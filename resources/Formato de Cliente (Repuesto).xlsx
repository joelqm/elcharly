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kathiusca\FORMATO DE CLIENTE\2026\"/>
    </mc:Choice>
  </mc:AlternateContent>
  <xr:revisionPtr revIDLastSave="0" documentId="13_ncr:1_{D3C4F6E1-395B-4261-BDAC-08A57963EE1A}" xr6:coauthVersionLast="47" xr6:coauthVersionMax="47" xr10:uidLastSave="{00000000-0000-0000-0000-000000000000}"/>
  <bookViews>
    <workbookView xWindow="-120" yWindow="-120" windowWidth="20730" windowHeight="11040" tabRatio="842" xr2:uid="{8CA635B7-36D9-4A12-80C0-2C222054517B}"/>
  </bookViews>
  <sheets>
    <sheet name="Formato de Pedido" sheetId="1" r:id="rId1"/>
    <sheet name="Lista de Productos" sheetId="3" r:id="rId2"/>
  </sheets>
  <definedNames>
    <definedName name="DatosExternos_1" localSheetId="1" hidden="1">'Lista de Productos'!$A$1:$G$16906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M49" i="1" l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C30" i="1" l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5" i="1"/>
  <c r="K26" i="1"/>
  <c r="K27" i="1"/>
  <c r="K28" i="1"/>
  <c r="K29" i="1"/>
  <c r="K31" i="1"/>
  <c r="K32" i="1"/>
  <c r="K33" i="1"/>
  <c r="K34" i="1"/>
  <c r="K35" i="1"/>
  <c r="J36" i="1"/>
  <c r="J37" i="1"/>
  <c r="J38" i="1"/>
  <c r="K39" i="1"/>
  <c r="K40" i="1"/>
  <c r="J41" i="1"/>
  <c r="K42" i="1"/>
  <c r="J43" i="1"/>
  <c r="K44" i="1"/>
  <c r="K45" i="1"/>
  <c r="K46" i="1"/>
  <c r="K47" i="1"/>
  <c r="K48" i="1"/>
  <c r="K49" i="1"/>
  <c r="K25" i="1"/>
  <c r="C25" i="1"/>
  <c r="C26" i="1"/>
  <c r="C27" i="1"/>
  <c r="C28" i="1"/>
  <c r="C29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H25" i="1"/>
  <c r="I25" i="1" s="1"/>
  <c r="O2" i="1"/>
  <c r="I30" i="1" l="1"/>
  <c r="I29" i="1"/>
  <c r="J29" i="1"/>
  <c r="L29" i="1" s="1"/>
  <c r="K37" i="1"/>
  <c r="L37" i="1" s="1"/>
  <c r="J27" i="1"/>
  <c r="L27" i="1" s="1"/>
  <c r="I37" i="1"/>
  <c r="I27" i="1"/>
  <c r="I44" i="1"/>
  <c r="J44" i="1"/>
  <c r="L44" i="1" s="1"/>
  <c r="J28" i="1"/>
  <c r="L28" i="1" s="1"/>
  <c r="I28" i="1"/>
  <c r="I47" i="1"/>
  <c r="I31" i="1"/>
  <c r="K36" i="1"/>
  <c r="L36" i="1" s="1"/>
  <c r="I36" i="1"/>
  <c r="I38" i="1"/>
  <c r="I34" i="1"/>
  <c r="J34" i="1"/>
  <c r="L34" i="1" s="1"/>
  <c r="I35" i="1"/>
  <c r="J35" i="1"/>
  <c r="L35" i="1" s="1"/>
  <c r="K43" i="1"/>
  <c r="L43" i="1" s="1"/>
  <c r="I40" i="1"/>
  <c r="K41" i="1"/>
  <c r="L41" i="1" s="1"/>
  <c r="J45" i="1"/>
  <c r="L45" i="1" s="1"/>
  <c r="I45" i="1"/>
  <c r="I41" i="1"/>
  <c r="J31" i="1"/>
  <c r="L31" i="1" s="1"/>
  <c r="K38" i="1"/>
  <c r="L38" i="1" s="1"/>
  <c r="J47" i="1"/>
  <c r="L47" i="1" s="1"/>
  <c r="I33" i="1"/>
  <c r="J40" i="1"/>
  <c r="L40" i="1" s="1"/>
  <c r="I49" i="1"/>
  <c r="I26" i="1"/>
  <c r="J33" i="1"/>
  <c r="L33" i="1" s="1"/>
  <c r="I42" i="1"/>
  <c r="J49" i="1"/>
  <c r="L49" i="1" s="1"/>
  <c r="J42" i="1"/>
  <c r="L42" i="1" s="1"/>
  <c r="J26" i="1"/>
  <c r="L26" i="1" s="1"/>
  <c r="I46" i="1"/>
  <c r="J30" i="1"/>
  <c r="I39" i="1"/>
  <c r="J46" i="1"/>
  <c r="L46" i="1" s="1"/>
  <c r="K30" i="1"/>
  <c r="I32" i="1"/>
  <c r="J39" i="1"/>
  <c r="L39" i="1" s="1"/>
  <c r="I48" i="1"/>
  <c r="J32" i="1"/>
  <c r="L32" i="1" s="1"/>
  <c r="J48" i="1"/>
  <c r="L48" i="1" s="1"/>
  <c r="J25" i="1"/>
  <c r="I43" i="1"/>
  <c r="L30" i="1" l="1"/>
  <c r="I52" i="1"/>
  <c r="L25" i="1"/>
  <c r="I51" i="1"/>
  <c r="I54" i="1"/>
  <c r="I53" i="1" l="1"/>
  <c r="H53" i="1" s="1"/>
  <c r="I55" i="1"/>
  <c r="I56" i="1" s="1"/>
  <c r="I5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08213-996F-4847-9303-CD098682135B}" keepAlive="1" name="Consulta - Hoja 1" description="Conexión a la consulta 'Hoja 1' en el libro." type="5" refreshedVersion="7" background="1" saveData="1">
    <dbPr connection="Provider=Microsoft.Mashup.OleDb.1;Data Source=$Workbook$;Location=&quot;Hoja 1&quot;;Extended Properties=&quot;&quot;" command="SELECT * FROM [Hoja 1]"/>
  </connection>
</connections>
</file>

<file path=xl/sharedStrings.xml><?xml version="1.0" encoding="utf-8"?>
<sst xmlns="http://schemas.openxmlformats.org/spreadsheetml/2006/main" count="101513" uniqueCount="31274">
  <si>
    <t>[ REPUESTOS ] ORDEN DE PEDIDO - MAKITA PERU S.A.</t>
  </si>
  <si>
    <t xml:space="preserve">Fecha de solicitud : </t>
  </si>
  <si>
    <t xml:space="preserve">NRO. ORDEN DEL CLIENTE  :  </t>
  </si>
  <si>
    <t xml:space="preserve">Nro. Pedido SAP :  </t>
  </si>
  <si>
    <t xml:space="preserve">DATOS DE FACTURACIÓN DEL CLIENTE : </t>
  </si>
  <si>
    <t>RUC CLIENTE :</t>
  </si>
  <si>
    <t>CLIENTE :</t>
  </si>
  <si>
    <t>Baterias XGT-LXT-CXT :</t>
  </si>
  <si>
    <t>Vigente</t>
  </si>
  <si>
    <t>DIRECCIÓN FISCAL :</t>
  </si>
  <si>
    <t>Cargadores XGT-LXT-CXT :</t>
  </si>
  <si>
    <t>Herramientas XGT-LXT-CXT :</t>
  </si>
  <si>
    <t>FORMA Y CONDICION DE PAGO  :</t>
  </si>
  <si>
    <t>OPE y Aspiradoras DC :</t>
  </si>
  <si>
    <t>LETRAS</t>
  </si>
  <si>
    <t>DATOS DE ENTREGA : (Campo obligatorio)</t>
  </si>
  <si>
    <t>Despacho en Lima:</t>
  </si>
  <si>
    <t>Despacho por Agencia (Provincias) :</t>
  </si>
  <si>
    <t xml:space="preserve">Entregar en : </t>
  </si>
  <si>
    <t xml:space="preserve">Enviar por : </t>
  </si>
  <si>
    <t xml:space="preserve">Horario de recepción : </t>
  </si>
  <si>
    <t xml:space="preserve">Dirección de agencia : </t>
  </si>
  <si>
    <t xml:space="preserve">Persona de contacto : </t>
  </si>
  <si>
    <t xml:space="preserve">Destino en provincia : </t>
  </si>
  <si>
    <t xml:space="preserve">DETALLE DE PEDIDO : </t>
  </si>
  <si>
    <t>ITEM</t>
  </si>
  <si>
    <t>CÓDIGO</t>
  </si>
  <si>
    <t>DESCRIPCIÓN</t>
  </si>
  <si>
    <t>PRECIO LISTA UNITARIO</t>
  </si>
  <si>
    <t>CANT.</t>
  </si>
  <si>
    <t>DSCTO 1</t>
  </si>
  <si>
    <t>DSCTO 2</t>
  </si>
  <si>
    <t>DSCTO FINAL</t>
  </si>
  <si>
    <t>PRECIO SIN IGV</t>
  </si>
  <si>
    <t>SUB TOTAL SIN DCTOS(A)</t>
  </si>
  <si>
    <t>SOLES DSCTO 1 (B)</t>
  </si>
  <si>
    <t>SOLES DSCTO 2 (C)</t>
  </si>
  <si>
    <t>[STATUS STOCK]</t>
  </si>
  <si>
    <t>FAMILIA COMERCIAL</t>
  </si>
  <si>
    <t>Comentarios</t>
  </si>
  <si>
    <t>MERCHANDISING Y OBSEQUIOS PUBLICITARIOS</t>
  </si>
  <si>
    <t>SUB TOTAL SIN DCTOS (A)</t>
  </si>
  <si>
    <t>DESCUENTO 1 (B)</t>
  </si>
  <si>
    <t xml:space="preserve"> </t>
  </si>
  <si>
    <t>DESCUENTO 2 (C)</t>
  </si>
  <si>
    <t>Rojo</t>
  </si>
  <si>
    <t>Agotado</t>
  </si>
  <si>
    <t>BASE IMPONIBLE</t>
  </si>
  <si>
    <t xml:space="preserve">IGV 18% </t>
  </si>
  <si>
    <t>Amarillo</t>
  </si>
  <si>
    <t>TOTAL CON IGV</t>
  </si>
  <si>
    <t>Verde</t>
  </si>
  <si>
    <t>REVISA MERCH VIGENTE AQUÍ</t>
  </si>
  <si>
    <t>SALDO A FAVOR DEL CLIENTE</t>
  </si>
  <si>
    <t>SALDO A FAVOR</t>
  </si>
  <si>
    <t>*Consultar stock de COMBOS con ATC / Vendedor</t>
  </si>
  <si>
    <t>(1) Makita Perú S.A. no se responsabiliza por retrasos en la entrega si el cliente no completa correctamente los datos de entrega.</t>
  </si>
  <si>
    <t>MONTO A ABONAR</t>
  </si>
  <si>
    <t xml:space="preserve">(2) Lista de precios actualizado a Enero 2022. Precios y promociones pueden variar sin previo aviso. </t>
  </si>
  <si>
    <t>COD. ARTICULO</t>
  </si>
  <si>
    <t>DESCRIPCION</t>
  </si>
  <si>
    <t>FAMILIA SAP</t>
  </si>
  <si>
    <t>CATEGORIA SAP</t>
  </si>
  <si>
    <t>CATEGORIA</t>
  </si>
  <si>
    <t>Status</t>
  </si>
  <si>
    <t>LISTA GENERAL</t>
  </si>
  <si>
    <t>CASQUILLO</t>
  </si>
  <si>
    <t>REPUESTOS</t>
  </si>
  <si>
    <t>VALVULA DE COMPRESION / DCS9010</t>
  </si>
  <si>
    <t>JALADOR DE ARRANQUE / DCS7301</t>
  </si>
  <si>
    <t>TUERCA HEX. / VARIOS</t>
  </si>
  <si>
    <t>GUIA DE DISCO</t>
  </si>
  <si>
    <t>TORNILLO TENSOR / UNIVERSAL</t>
  </si>
  <si>
    <t>TUERCA MARIPOSA</t>
  </si>
  <si>
    <t>TUERCA INTERNA M5 / UNIVERSAL</t>
  </si>
  <si>
    <t>TORNILLO M6X20 / UNIVERSAL</t>
  </si>
  <si>
    <t>BOBINA DE ENCENDIDO / DCS7301</t>
  </si>
  <si>
    <t>JUEGO DE AMORTIGUADORES / DCS7301</t>
  </si>
  <si>
    <t>TAPA DE GASOLINA / DCS7301</t>
  </si>
  <si>
    <t>FILTRO DE GASOLINA / DBC4510</t>
  </si>
  <si>
    <t>BOMBIN DE GASOLINA / EA4301F</t>
  </si>
  <si>
    <t>EMBRAGUE / DCS9010</t>
  </si>
  <si>
    <t>JUEGO ZAPATAS / DBC4510</t>
  </si>
  <si>
    <t>MECANISMO DE FRENO / DCS7301</t>
  </si>
  <si>
    <t>VALVULA DE DESCOMPRESION / DCS5200</t>
  </si>
  <si>
    <t>VALVULA DE DESCOMPRESION / DCS7301</t>
  </si>
  <si>
    <t>TUBO PRINCIPAL / DBC4510</t>
  </si>
  <si>
    <t>TUBO PRINCIPAL / DBC 4510</t>
  </si>
  <si>
    <t>PROTECTOR / DBC4510</t>
  </si>
  <si>
    <t>TORNILLO CON ARANDELA M8X1</t>
  </si>
  <si>
    <t>PERNO M5X14 / UNIVERSAL</t>
  </si>
  <si>
    <t>PERNO CABEZA SOCKET M6X35</t>
  </si>
  <si>
    <t>TORNILLO M5X25 / UNIVERSAL</t>
  </si>
  <si>
    <t>01584800MS</t>
  </si>
  <si>
    <t>ARANDELA DE PRESION M5 / UNIVERSAL</t>
  </si>
  <si>
    <t>020103-015</t>
  </si>
  <si>
    <t>TORNILLO / SJ401</t>
  </si>
  <si>
    <t>020106-013</t>
  </si>
  <si>
    <t>UÑA DE PROTECCION / DCS5200</t>
  </si>
  <si>
    <t>RESORTE DE ARRANQUE / DCS9010</t>
  </si>
  <si>
    <t>FILTRO DE ESPONJA / EA4301F</t>
  </si>
  <si>
    <t>020200-015</t>
  </si>
  <si>
    <t>020216-005</t>
  </si>
  <si>
    <t>020219-001</t>
  </si>
  <si>
    <t>020228-001</t>
  </si>
  <si>
    <t>020505-003</t>
  </si>
  <si>
    <t>PRISIONERO / SJ401</t>
  </si>
  <si>
    <t>020508-001</t>
  </si>
  <si>
    <t>PERNO / SJ401</t>
  </si>
  <si>
    <t>020600-001</t>
  </si>
  <si>
    <t>020601-003</t>
  </si>
  <si>
    <t>020608-003</t>
  </si>
  <si>
    <t>020613-001</t>
  </si>
  <si>
    <t>020614-001</t>
  </si>
  <si>
    <t>020702-001</t>
  </si>
  <si>
    <t>020720-003</t>
  </si>
  <si>
    <t>020723-007</t>
  </si>
  <si>
    <t>021100-011</t>
  </si>
  <si>
    <t>ARANDELA PLANA / SJ401</t>
  </si>
  <si>
    <t>021101-025</t>
  </si>
  <si>
    <t>021101-027</t>
  </si>
  <si>
    <t>021104-023</t>
  </si>
  <si>
    <t>021200-001</t>
  </si>
  <si>
    <t>ARANDELA DE PRESION / SJ401</t>
  </si>
  <si>
    <t>021202-003</t>
  </si>
  <si>
    <t>ARANDELA PLANA / UNIVERSAL</t>
  </si>
  <si>
    <t>BOMBA DE ACEITE / UC4010</t>
  </si>
  <si>
    <t>021402-001</t>
  </si>
  <si>
    <t>021403-019</t>
  </si>
  <si>
    <t>ARANDELA ONDULADA</t>
  </si>
  <si>
    <t>022101-001</t>
  </si>
  <si>
    <t>022804-000</t>
  </si>
  <si>
    <t>UÑA DE PROTECCION / DCS9010</t>
  </si>
  <si>
    <t>CARCASA LADO VOLANTE / DCS9010</t>
  </si>
  <si>
    <t>MONOBLOCK LADO EMBRAGUE / DCS9010</t>
  </si>
  <si>
    <t>CUBIERTA DEL CIGÜEÑAL (LADO DEL EMBRAGUE) / DCS9010</t>
  </si>
  <si>
    <t>ARRANCADOR / DCS9010</t>
  </si>
  <si>
    <t>TANQUE DE COMBUSTIBLE</t>
  </si>
  <si>
    <t>CAJA DE FILTRO DE AIRE / DCS9010</t>
  </si>
  <si>
    <t>TAPA SUPERIOR / DCS9010</t>
  </si>
  <si>
    <t>PROTECTOR</t>
  </si>
  <si>
    <t>CIGÜEÑAL / DCS9010</t>
  </si>
  <si>
    <t>CILINDRO Y PISTON CPL / DCS9010</t>
  </si>
  <si>
    <t>MANGUERA FLEXIBLE / DCS9010</t>
  </si>
  <si>
    <t>ANILLO DE TUBO / DCS9010</t>
  </si>
  <si>
    <t>PISTON 52MM CPL / DCS9010</t>
  </si>
  <si>
    <t>VOLANTE MAGNETICO / DCS9010</t>
  </si>
  <si>
    <t>BOBINA / DCS9010</t>
  </si>
  <si>
    <t>PALANCA DE CHOKE / DCS9010</t>
  </si>
  <si>
    <t>CARBURADOR / DCS9010</t>
  </si>
  <si>
    <t>AGUJA CARBURADOR (L) / DCS9010</t>
  </si>
  <si>
    <t>AGUJA CARBURADOR (H) / DCS9010</t>
  </si>
  <si>
    <t>TAMBOR PARA CORDON / DCS9010</t>
  </si>
  <si>
    <t>PRIMER FILTRO PLASTICO / DCS9010</t>
  </si>
  <si>
    <t>FILTRO DE AIRE / DCS9010</t>
  </si>
  <si>
    <t>TUERCA DE ALUMINIO / DCS9010</t>
  </si>
  <si>
    <t>TAPA FILTRO DE AIRE / DCS9010</t>
  </si>
  <si>
    <t>TORNILLO TORX / UNIVERSAL</t>
  </si>
  <si>
    <t>PLACA DE TUBO ESCAPE / DCS9010</t>
  </si>
  <si>
    <t>024201-001</t>
  </si>
  <si>
    <t>REMACHE / SJ401</t>
  </si>
  <si>
    <t>PLACA DE EMBRAGUE / DCS9010</t>
  </si>
  <si>
    <t>PROTECTOR DE MANO / DCS9010</t>
  </si>
  <si>
    <t>CINTA DE FRENO / DCS9010</t>
  </si>
  <si>
    <t>TAPA DE PIÑON / DCS9010</t>
  </si>
  <si>
    <t>PERNO DE ESPADA 8 / DCS9010</t>
  </si>
  <si>
    <t>BOMBA DE ACEITE / DCS9010</t>
  </si>
  <si>
    <t>LINEA DE ACEITE / DCS9010</t>
  </si>
  <si>
    <t>BARRA DENTADA / DCS9010</t>
  </si>
  <si>
    <t>ASA TUBULAR CPL / DCS9010</t>
  </si>
  <si>
    <t>MANGO TUBULAR / DCS9010</t>
  </si>
  <si>
    <t>026102-007</t>
  </si>
  <si>
    <t>026103-015</t>
  </si>
  <si>
    <t>PERNO / UNIVERSAL</t>
  </si>
  <si>
    <t>026104-009</t>
  </si>
  <si>
    <t>026107-001</t>
  </si>
  <si>
    <t>PASADOR / SJ401</t>
  </si>
  <si>
    <t>026202-007</t>
  </si>
  <si>
    <t>PIÑON ARRASTRE 10 / EA6100P</t>
  </si>
  <si>
    <t>CIGÜEÑAL / EA4301F</t>
  </si>
  <si>
    <t>PISTON CPL 44 / EA4301F</t>
  </si>
  <si>
    <t>CARBURADOR / DCS5200</t>
  </si>
  <si>
    <t>PALANCA DE CHOKE / DBC4510</t>
  </si>
  <si>
    <t>028935-001</t>
  </si>
  <si>
    <t>TORNILLO / UNIVERSAL</t>
  </si>
  <si>
    <t>029141-001</t>
  </si>
  <si>
    <t>RESORTE / SJ401</t>
  </si>
  <si>
    <t>029144-001</t>
  </si>
  <si>
    <t>KIT REPACION BOMBA ACEITE / DCS7301</t>
  </si>
  <si>
    <t>TRINQUETE / DCS9010</t>
  </si>
  <si>
    <t>LLAVE MADERA</t>
  </si>
  <si>
    <t>PLACA GUIA / DCS7301</t>
  </si>
  <si>
    <t>CLIP DE ACERO 10 / DCS7301</t>
  </si>
  <si>
    <t>TUERCA CUADRADA 5M / VARIOS</t>
  </si>
  <si>
    <t>PROTECTOR DE CADENA / VARIOS</t>
  </si>
  <si>
    <t>CARCASA PARTE EMBRAGUE / DCS7301</t>
  </si>
  <si>
    <t>MONOBLOCK LADO VOLANTE / DCS7301</t>
  </si>
  <si>
    <t>GUIA DE VENTILACION / DCS7301</t>
  </si>
  <si>
    <t>DUCTO DE GASOLINA / DCS7301</t>
  </si>
  <si>
    <t>AMORTIGUADOR DE MOTOR / DCS7301</t>
  </si>
  <si>
    <t>COPA ALUMINIO / DCS9010</t>
  </si>
  <si>
    <t>PALANCA DE SEGURIDAD / DCS7301</t>
  </si>
  <si>
    <t>BASE DE CABLE DE CONTROL / EA6100P</t>
  </si>
  <si>
    <t>CABLE DE CONTROL / DCS7301</t>
  </si>
  <si>
    <t>RESORTE DE COMPRESION / DCS7301</t>
  </si>
  <si>
    <t>CARCASA DE CILINDRO / DCS7301</t>
  </si>
  <si>
    <t>GUIA DE AJUSTE</t>
  </si>
  <si>
    <t>PROTECTOR FLEXIBLE / DCS7301</t>
  </si>
  <si>
    <t>VALVULA DESCOMPRESION / DCS7301</t>
  </si>
  <si>
    <t>TAPA GRIS EXTERNA / DCS7301</t>
  </si>
  <si>
    <t>CARCASA SUPERIOR / DCS7301</t>
  </si>
  <si>
    <t>CARCASA SUPERIOR CILINDRO / DCS7301</t>
  </si>
  <si>
    <t>CIGÜEÑAL / DCS7301</t>
  </si>
  <si>
    <t>CILINDRO Y PISTON CPL 52MM / DCS7301</t>
  </si>
  <si>
    <t>GARGANTA FLEXIBLE / DCS7301</t>
  </si>
  <si>
    <t>ANILLO DE GARGANTA / DCS7301</t>
  </si>
  <si>
    <t>PISTON 52 / EA7900</t>
  </si>
  <si>
    <t>SEGURO DE EJE PISTON / DCS7301</t>
  </si>
  <si>
    <t>VOLANTE MAGNETICO/ DCS7301</t>
  </si>
  <si>
    <t>ANILLO GOMA / VARIOS</t>
  </si>
  <si>
    <t>BOBINA / DCS7301</t>
  </si>
  <si>
    <t>PROTECTOR DE TERMINAL / DCS7301</t>
  </si>
  <si>
    <t>TAPA DE CARBURADOR / DCS7301</t>
  </si>
  <si>
    <t>AGUJA  ALTA / DCS7301</t>
  </si>
  <si>
    <t>ANILLO DE GOMA / DCS7301</t>
  </si>
  <si>
    <t>JUEGO DE MEMBRANAS / DCS7301</t>
  </si>
  <si>
    <t>CARBURADOR CON GUIA AJUSTE / DCS7301</t>
  </si>
  <si>
    <t>ANILLO RETENEDOR / EA4301</t>
  </si>
  <si>
    <t>PALANCA DE CHOKE / DCS7301</t>
  </si>
  <si>
    <t>ESPACIADOR 30 / DCS7301</t>
  </si>
  <si>
    <t>ARRANCADOR CPL / DCS7301</t>
  </si>
  <si>
    <t>TAMBOR DE CORDON CPL / DCS7301</t>
  </si>
  <si>
    <t>TRINQUETE / DCS7301</t>
  </si>
  <si>
    <t>AMORTIGUADOR / EA6100P</t>
  </si>
  <si>
    <t>BASE DE CABLE CONTROL / DCS7301</t>
  </si>
  <si>
    <t>FILTRO DE AIRE NYLON / DCS7301</t>
  </si>
  <si>
    <t>FILTRO AIRE FELPA / DCS7301</t>
  </si>
  <si>
    <t>CHAPA DE AISLAMIENTO / DCS7301</t>
  </si>
  <si>
    <t>TOPE TUBO 5X26.8 / EA6100P</t>
  </si>
  <si>
    <t>TUBO DE ESCAPE / DCS7301</t>
  </si>
  <si>
    <t>TAPA DE TORNILLO / EA6100P</t>
  </si>
  <si>
    <t>CINTA DE FRENO / DCS7301</t>
  </si>
  <si>
    <t>RESORTE / DCS7301</t>
  </si>
  <si>
    <t>PROTECTOR METALICO / DCS7301</t>
  </si>
  <si>
    <t>BOCINA / DCS7301</t>
  </si>
  <si>
    <t>038213181R</t>
  </si>
  <si>
    <t>MECANISMO DE FRENO</t>
  </si>
  <si>
    <t>GUIA DE DESPERDICIO / DCS7301</t>
  </si>
  <si>
    <t>PROTECTOR ESPONJA / DCS7301</t>
  </si>
  <si>
    <t>PROTECTOR DE MANO / DCS7301</t>
  </si>
  <si>
    <t>ARANDELA OVALADA / DCS7301</t>
  </si>
  <si>
    <t>038213370R</t>
  </si>
  <si>
    <t>PROTECTOR DE MANO</t>
  </si>
  <si>
    <t>GUARDA DE PIÑON ARRASTRE / DCS7301</t>
  </si>
  <si>
    <t>TAPADE PIÑON CPL / DCS7301</t>
  </si>
  <si>
    <t>ARANDELA DE CIGÜEÑAL / DCS7301</t>
  </si>
  <si>
    <t>BOMBA DE ACEITE CPL / DCS7301</t>
  </si>
  <si>
    <t>LINEA DE ACEITE INGRESO / DCS7301</t>
  </si>
  <si>
    <t>PROPULSOR DE BOMBA / DCS7301</t>
  </si>
  <si>
    <t>LINEA DE ACEITE SALIDA / DCS7301</t>
  </si>
  <si>
    <t>BARRA DENTADA / DCS7301</t>
  </si>
  <si>
    <t>ABRAZADERA / DCS7301</t>
  </si>
  <si>
    <t>TOPE DE RESORTE / DCS7301</t>
  </si>
  <si>
    <t>ASA TUBULAR CPL / DCS7301</t>
  </si>
  <si>
    <t>CILINDRO 50 CPL SIN VALVULA / DCS7301</t>
  </si>
  <si>
    <t>CILINDRO Y PISTON 50 / DCS7301</t>
  </si>
  <si>
    <t>040006-001</t>
  </si>
  <si>
    <t>LLAVE ALLEN / SJ401</t>
  </si>
  <si>
    <t>SELLO DE ACEITE 25 / VARIOS</t>
  </si>
  <si>
    <t>050007-000</t>
  </si>
  <si>
    <t>RODAJE  / SJ401</t>
  </si>
  <si>
    <t>050012-000</t>
  </si>
  <si>
    <t>RODAJE DE BOLAS / SJ401</t>
  </si>
  <si>
    <t>050015-100</t>
  </si>
  <si>
    <t>RODAJE / SJ401</t>
  </si>
  <si>
    <t>053014-000</t>
  </si>
  <si>
    <t>GUIA / SJ401</t>
  </si>
  <si>
    <t>ABRAZADERA DE MANGUERA</t>
  </si>
  <si>
    <t>ABRAZADERA DE MANGUERA / BBX7600</t>
  </si>
  <si>
    <t>060047-000</t>
  </si>
  <si>
    <t>ESPACIADOR / SJ401</t>
  </si>
  <si>
    <t>060052-000</t>
  </si>
  <si>
    <t>RODAMIENTO AGUJAS / VARIOS</t>
  </si>
  <si>
    <t>CABLE ACELERADOR / EVH2000</t>
  </si>
  <si>
    <t>BUJIA  / VARIOS</t>
  </si>
  <si>
    <t>BUJIA / VARIOS</t>
  </si>
  <si>
    <t>CONECTOR DE BUJIA / VARIOS</t>
  </si>
  <si>
    <t>0724405-SAMPLE</t>
  </si>
  <si>
    <t>ETIQUETA DE CHOKE / VARIOS</t>
  </si>
  <si>
    <t>MANGUERA DE COMBUSTIBLE / VARIOS</t>
  </si>
  <si>
    <t>090042-000</t>
  </si>
  <si>
    <t>INTERRUPTOR / SJ401</t>
  </si>
  <si>
    <t>10076C</t>
  </si>
  <si>
    <t>GANCHO DE AGARRE / HB500</t>
  </si>
  <si>
    <t>MANIJA 12MM / HB500</t>
  </si>
  <si>
    <t>MOTOR / HG6020</t>
  </si>
  <si>
    <t>TORNILLO / HG6020</t>
  </si>
  <si>
    <t>VARILLA DE SOLDADURA PLASTICA</t>
  </si>
  <si>
    <t>BOQUILLA REFLECTOR SOLDADURA</t>
  </si>
  <si>
    <t>RESISTENCIA / HG1100</t>
  </si>
  <si>
    <t>PEGATINA / 3447</t>
  </si>
  <si>
    <t>APOYO DE GOMA / HG6020</t>
  </si>
  <si>
    <t>TARJETA / HG6020</t>
  </si>
  <si>
    <t>RESISTENCIA / HG6020</t>
  </si>
  <si>
    <t>CUBIERTA DE RESISTENCIA / HG6020</t>
  </si>
  <si>
    <t>CUBIERTA DE MANGO / HG6020</t>
  </si>
  <si>
    <t>CORDON ARRANQUE 4 X 100 / DCS7301</t>
  </si>
  <si>
    <t>TRINQUETE CPL / DCS7301</t>
  </si>
  <si>
    <t>CAJA MOTOR / HG6020</t>
  </si>
  <si>
    <t>INTERRUPTOR / HG6020</t>
  </si>
  <si>
    <t>MARIPOSA DE CHOKE / DCS9010</t>
  </si>
  <si>
    <t>PLACA PRINCIPAL</t>
  </si>
  <si>
    <t>BASE DE MOTOR / HG5002</t>
  </si>
  <si>
    <t>RESISTENCIA 230V- 2000W / HG650C</t>
  </si>
  <si>
    <t>PERNO HEX. 6X35 / UNIVERSAL</t>
  </si>
  <si>
    <t>EJE DE PISTON / DCS7301</t>
  </si>
  <si>
    <t>SEGURO DE EJE PISTON / DCS9010</t>
  </si>
  <si>
    <t>PIÑON DE ARRASTRE / DCS7301</t>
  </si>
  <si>
    <t>122444-5</t>
  </si>
  <si>
    <t>BRIDA INTERNA 47 / VARIOS</t>
  </si>
  <si>
    <t>122536-0</t>
  </si>
  <si>
    <t>PRENSA / LS1040 - LS1040F</t>
  </si>
  <si>
    <t>122563-7</t>
  </si>
  <si>
    <t>PRENSA HORIZONTAL / LS1045</t>
  </si>
  <si>
    <t>122576-8</t>
  </si>
  <si>
    <t>BARRA DE MONTAJE  / VARIOS</t>
  </si>
  <si>
    <t>122646-3</t>
  </si>
  <si>
    <t>EMPUÑADURA / DA4000LR</t>
  </si>
  <si>
    <t>122727-3</t>
  </si>
  <si>
    <t>EMPUÑADURA LATERAL / TW1000</t>
  </si>
  <si>
    <t>122728-1</t>
  </si>
  <si>
    <t>PRENSA / LF1000</t>
  </si>
  <si>
    <t>122729-9</t>
  </si>
  <si>
    <t>REGLA DE CORTE / LF1000</t>
  </si>
  <si>
    <t>122730-4</t>
  </si>
  <si>
    <t>REGLA ANGULAR / LF1000</t>
  </si>
  <si>
    <t>122735-4</t>
  </si>
  <si>
    <t>REGLA ANGULAR / 2704</t>
  </si>
  <si>
    <t>122846-5</t>
  </si>
  <si>
    <t>GUARDA / DGA700</t>
  </si>
  <si>
    <t>122847-3</t>
  </si>
  <si>
    <t>122854-6</t>
  </si>
  <si>
    <t>PRENSA / VARIOS</t>
  </si>
  <si>
    <t>122878-2</t>
  </si>
  <si>
    <t>EMPUÑADURA / VARIOS</t>
  </si>
  <si>
    <t>122882-1</t>
  </si>
  <si>
    <t>CABEZAL DE NYLON / VARIOS</t>
  </si>
  <si>
    <t>122887-1</t>
  </si>
  <si>
    <t>GUARDA / GA5010</t>
  </si>
  <si>
    <t>122889-7</t>
  </si>
  <si>
    <t>GUARDA 180K / VARIOS</t>
  </si>
  <si>
    <t>122890-2</t>
  </si>
  <si>
    <t>GUARDA DE DISCO / M0920 - M9000</t>
  </si>
  <si>
    <t>122891-0</t>
  </si>
  <si>
    <t>122892-8</t>
  </si>
  <si>
    <t>GUARDA 230K / M0921 - M9001</t>
  </si>
  <si>
    <t>122906-3</t>
  </si>
  <si>
    <t>122930-6</t>
  </si>
  <si>
    <t>122A42-1</t>
  </si>
  <si>
    <t>122A91-8</t>
  </si>
  <si>
    <t>AGARRE DELANTERO / DBO380</t>
  </si>
  <si>
    <t>122A92-6</t>
  </si>
  <si>
    <t>CAJA DE ENGRANAJE / DHP486</t>
  </si>
  <si>
    <t>122B23-1</t>
  </si>
  <si>
    <t>CAJA DE ENGRANAJE / DHP487</t>
  </si>
  <si>
    <t>122B40-1</t>
  </si>
  <si>
    <t>GUIA DE VENTILADOR / VARIOS</t>
  </si>
  <si>
    <t>122C03-3</t>
  </si>
  <si>
    <t>BOMBA / DHW080</t>
  </si>
  <si>
    <t>122D63-1</t>
  </si>
  <si>
    <t>122D65-7</t>
  </si>
  <si>
    <t>122D66-5</t>
  </si>
  <si>
    <t>122D71-2</t>
  </si>
  <si>
    <t>122E82-3</t>
  </si>
  <si>
    <t>122E83-1</t>
  </si>
  <si>
    <t>122E87-3</t>
  </si>
  <si>
    <t>122G01-1</t>
  </si>
  <si>
    <t>122G23-1</t>
  </si>
  <si>
    <t>123098-1</t>
  </si>
  <si>
    <t>123100-0</t>
  </si>
  <si>
    <t>PORTA HERRAMIENTA CPL / VARIOS</t>
  </si>
  <si>
    <t>123144-0</t>
  </si>
  <si>
    <t>CUBIERTA R /VARIOS</t>
  </si>
  <si>
    <t>123145-8</t>
  </si>
  <si>
    <t>GUARDA / VARIOS</t>
  </si>
  <si>
    <t>123149-0</t>
  </si>
  <si>
    <t>MONTAJE GUIA DE ANGULO / PJ7000 - DPJ180</t>
  </si>
  <si>
    <t>123150-5</t>
  </si>
  <si>
    <t>BOLSA RECOLECTORA / PJ7000 - DPJ180</t>
  </si>
  <si>
    <t>123191-1</t>
  </si>
  <si>
    <t>123199-5</t>
  </si>
  <si>
    <t>123257-7</t>
  </si>
  <si>
    <t>EMPUÑADURA / DHP458</t>
  </si>
  <si>
    <t>123293-3</t>
  </si>
  <si>
    <t>MOTOR CPL 12V / CL107FD</t>
  </si>
  <si>
    <t>123294-1</t>
  </si>
  <si>
    <t>CAJA DE ENGRANAJE / DFL650F - DFL651F</t>
  </si>
  <si>
    <t>123299-1</t>
  </si>
  <si>
    <t>ENGRANAJE DE SINCRONISMO / VARIOS</t>
  </si>
  <si>
    <t>123300-2</t>
  </si>
  <si>
    <t>CARBURADOR / EM4350RH</t>
  </si>
  <si>
    <t>123301-0</t>
  </si>
  <si>
    <t>CARBURADOR / VARIOS</t>
  </si>
  <si>
    <t>123361-2</t>
  </si>
  <si>
    <t>EQUILIBRADOR / HM1812</t>
  </si>
  <si>
    <t>123442-2</t>
  </si>
  <si>
    <t>SELECTOR DE VELOCIDAD / DHP482 - DDF482</t>
  </si>
  <si>
    <t>123443-0</t>
  </si>
  <si>
    <t>CAJA DE ENGRANAJE / DHP482</t>
  </si>
  <si>
    <t>123444-8</t>
  </si>
  <si>
    <t>CAJA DE ENGRANAJE / DDF482</t>
  </si>
  <si>
    <t>123452-9</t>
  </si>
  <si>
    <t>FILTRO DE AIRE / VARIOS</t>
  </si>
  <si>
    <t>123455-3</t>
  </si>
  <si>
    <t>GANCHO / DJR187</t>
  </si>
  <si>
    <t>123456-1</t>
  </si>
  <si>
    <t>GANCHO / DJR360</t>
  </si>
  <si>
    <t>123458-7</t>
  </si>
  <si>
    <t>CAJA DE ENGRANAJE  / DUP361</t>
  </si>
  <si>
    <t>123465-0</t>
  </si>
  <si>
    <t>MOTOR CPL / EM2510LH - 2511LH</t>
  </si>
  <si>
    <t>123478-1</t>
  </si>
  <si>
    <t>PERILLA DE AJUSTE / DLW140 - LW1400</t>
  </si>
  <si>
    <t>123499-3</t>
  </si>
  <si>
    <t>CUBIERTA DE FILTRO / VARIOS</t>
  </si>
  <si>
    <t>123502-0</t>
  </si>
  <si>
    <t>CAJA DE ENGRANAJE / HP331D - HP330</t>
  </si>
  <si>
    <t>123509-6</t>
  </si>
  <si>
    <t>CAJA DE ENGRANAJE / DJR187 - DJR360</t>
  </si>
  <si>
    <t>123511-9</t>
  </si>
  <si>
    <t>CAJA DE ENGRANAJE L / DJR186</t>
  </si>
  <si>
    <t>123536-3</t>
  </si>
  <si>
    <t>GATILLO / VARIOS</t>
  </si>
  <si>
    <t>123548-6</t>
  </si>
  <si>
    <t>CAJA DE ENGRANAJE / HP332D</t>
  </si>
  <si>
    <t>123549-4</t>
  </si>
  <si>
    <t>CAJA DE ENGRANAJE / DF332D</t>
  </si>
  <si>
    <t>123550-9</t>
  </si>
  <si>
    <t>CAJA DE ENGRANAJE / DF032D</t>
  </si>
  <si>
    <t>123557-5</t>
  </si>
  <si>
    <t>TAPA DE CILINDRO / VARIOS</t>
  </si>
  <si>
    <t>123559-1</t>
  </si>
  <si>
    <t>COLECTOR DE POLVO / DSD180 - SD100D</t>
  </si>
  <si>
    <t>123573-7</t>
  </si>
  <si>
    <t>INTERRUPTOR / EV2000 - EF1550RH</t>
  </si>
  <si>
    <t>123578-7</t>
  </si>
  <si>
    <t>TAPA INFERIOR DE CILINDRO / VARIOS</t>
  </si>
  <si>
    <t>123580-0</t>
  </si>
  <si>
    <t>CILINDRO CPL  / VARIOS</t>
  </si>
  <si>
    <t>123586-8</t>
  </si>
  <si>
    <t>GANCHO DE CIERRE / DVC260 - DVC261</t>
  </si>
  <si>
    <t>123587-6</t>
  </si>
  <si>
    <t>PALANCA DE CAMBIO / HP332D</t>
  </si>
  <si>
    <t>123649-0</t>
  </si>
  <si>
    <t>JUNTA DE ABSORCION / VARIOS</t>
  </si>
  <si>
    <t>123737-3</t>
  </si>
  <si>
    <t>CAJA DE ENGRANAJE / DDF484</t>
  </si>
  <si>
    <t>123738-1</t>
  </si>
  <si>
    <t>SELECTOR DE VELOCIDAD / DHP484 - DDF484</t>
  </si>
  <si>
    <t>123748-8</t>
  </si>
  <si>
    <t>CIGUEÑAL / VARIOS</t>
  </si>
  <si>
    <t>123774-7</t>
  </si>
  <si>
    <t>123788-6</t>
  </si>
  <si>
    <t>MANGUERAS DE COMBUSTIBLE / VARIOS</t>
  </si>
  <si>
    <t>123833-7</t>
  </si>
  <si>
    <t>CAJA DE ENGRANAJE / VARIOS</t>
  </si>
  <si>
    <t>123835-3</t>
  </si>
  <si>
    <t>123846-8</t>
  </si>
  <si>
    <t>CAJA DE ENGRANAJE / EM2510LH - EM2511LH</t>
  </si>
  <si>
    <t>123848-4</t>
  </si>
  <si>
    <t>CAJA DE RODAMIENTO / M9510 -M9507</t>
  </si>
  <si>
    <t>123849-2</t>
  </si>
  <si>
    <t>MOTOR CPL 12V / CL106FD</t>
  </si>
  <si>
    <t>123853-1</t>
  </si>
  <si>
    <t>123854-9</t>
  </si>
  <si>
    <t>CAJA DE ENGRANAJE / EM403MP</t>
  </si>
  <si>
    <t>123863-8</t>
  </si>
  <si>
    <t>SISTEMA DE ARRANQUE / VARIOS</t>
  </si>
  <si>
    <t>123868-8</t>
  </si>
  <si>
    <t>CAJA DE ENGRANAJE / DDF483 - DF332D</t>
  </si>
  <si>
    <t>123885-8</t>
  </si>
  <si>
    <t>EMBRAGUE / VARIOS</t>
  </si>
  <si>
    <t>123886-6</t>
  </si>
  <si>
    <t>TAMBOR DE FRENO / UC4551A</t>
  </si>
  <si>
    <t>123911-3</t>
  </si>
  <si>
    <t>CAJA DE ENGRANAJE / DF001D</t>
  </si>
  <si>
    <t>123914-7</t>
  </si>
  <si>
    <t>CAJA DE ENGRANAJE / DF012D</t>
  </si>
  <si>
    <t>123952-9</t>
  </si>
  <si>
    <t>GANCHO / DRS780</t>
  </si>
  <si>
    <t>123972-3</t>
  </si>
  <si>
    <t>CAJA DE ENGRANAJE / EM405MP</t>
  </si>
  <si>
    <t>123974-9</t>
  </si>
  <si>
    <t>MOTOR CPL 36V / DVC864L</t>
  </si>
  <si>
    <t>123981-2</t>
  </si>
  <si>
    <t>LLAVE DE PASO / VARIOS</t>
  </si>
  <si>
    <t>123986-2</t>
  </si>
  <si>
    <t>MOTOR CPL / VARIOS</t>
  </si>
  <si>
    <t>123994-3</t>
  </si>
  <si>
    <t>PLACA DE FILTRO / VARIOS</t>
  </si>
  <si>
    <t>RESISTENCIA / HG5012K.</t>
  </si>
  <si>
    <t>125102-2</t>
  </si>
  <si>
    <t>SELECTOR DE VELOCIDAD / VARIOS</t>
  </si>
  <si>
    <t>125157-7</t>
  </si>
  <si>
    <t>BRAZO 6</t>
  </si>
  <si>
    <t>125176-3</t>
  </si>
  <si>
    <t>125180-2</t>
  </si>
  <si>
    <t>CONJUNTO DE ILUMINACION/VARIOS</t>
  </si>
  <si>
    <t>125237-9</t>
  </si>
  <si>
    <t>125267-0</t>
  </si>
  <si>
    <t>GUARDA  / 9557HP - DGA452</t>
  </si>
  <si>
    <t>125283-2</t>
  </si>
  <si>
    <t>CONJUNTO DE ENGRANAJE / VARIOS</t>
  </si>
  <si>
    <t>125310-5</t>
  </si>
  <si>
    <t>125329-4</t>
  </si>
  <si>
    <t>PALANCA DE CAMBIO / VARIOS</t>
  </si>
  <si>
    <t>125366-8</t>
  </si>
  <si>
    <t>125374-9</t>
  </si>
  <si>
    <t>LIMITADOR DE TORQUE / VARIOS</t>
  </si>
  <si>
    <t>125386-2</t>
  </si>
  <si>
    <t>LIMITADOR DE TORQUE / HR2810</t>
  </si>
  <si>
    <t>125421-6</t>
  </si>
  <si>
    <t>LIMTADOR DE TORQUE / HR3210C</t>
  </si>
  <si>
    <t>125423-2</t>
  </si>
  <si>
    <t>125430-5</t>
  </si>
  <si>
    <t>125468-0</t>
  </si>
  <si>
    <t>125469-8</t>
  </si>
  <si>
    <t>SISTEMA DE ARRANQUE / EM2511LH</t>
  </si>
  <si>
    <t>125472-9</t>
  </si>
  <si>
    <t>TAPA DE TANQUE / VARIOS</t>
  </si>
  <si>
    <t>125482-6</t>
  </si>
  <si>
    <t>125483-4</t>
  </si>
  <si>
    <t>CAJA DE ENGRANAJE / DF457D - DDF453</t>
  </si>
  <si>
    <t>125484-2</t>
  </si>
  <si>
    <t>125485-0</t>
  </si>
  <si>
    <t>CAJA DE ENGRANAJES / HP457D - DHP453</t>
  </si>
  <si>
    <t>125488-4</t>
  </si>
  <si>
    <t>125516-5</t>
  </si>
  <si>
    <t>ARNES / VARIOS</t>
  </si>
  <si>
    <t>125517-3</t>
  </si>
  <si>
    <t>SISTEMA DE ARRANQUE / EM2510LH</t>
  </si>
  <si>
    <t>125533-5</t>
  </si>
  <si>
    <t>CARCASA FRONTAL DE VENTILADOR  / BHX2500</t>
  </si>
  <si>
    <t>125539-3</t>
  </si>
  <si>
    <t>CAJA DE ENGRANAJE / DF330D</t>
  </si>
  <si>
    <t>125542-4</t>
  </si>
  <si>
    <t>VARILLA DE PROFUNDIDAD / RP2301FC</t>
  </si>
  <si>
    <t>125544-0</t>
  </si>
  <si>
    <t>MANDO DE CONTROL / VARIOS</t>
  </si>
  <si>
    <t>125552-1</t>
  </si>
  <si>
    <t>125553-9</t>
  </si>
  <si>
    <t>MANGUERA DE ACEITE / EM2510LH - EM2511LH</t>
  </si>
  <si>
    <t>125554-7</t>
  </si>
  <si>
    <t>BALANCIN  / VARIOS</t>
  </si>
  <si>
    <t>125556-3</t>
  </si>
  <si>
    <t>125576-7</t>
  </si>
  <si>
    <t>125728-0</t>
  </si>
  <si>
    <t>125751-5</t>
  </si>
  <si>
    <t>SISTEMA DE ARRANQUE / EM2654LH</t>
  </si>
  <si>
    <t>125753-1</t>
  </si>
  <si>
    <t>125755-7</t>
  </si>
  <si>
    <t>CILINDRO / EBH340U - EBH341R</t>
  </si>
  <si>
    <t>125756-5</t>
  </si>
  <si>
    <t>CIGUEÑAL CPL / VARIOS</t>
  </si>
  <si>
    <t>125757-3</t>
  </si>
  <si>
    <t>125761-2</t>
  </si>
  <si>
    <t>BANDA DE EJE / EBH340U</t>
  </si>
  <si>
    <t>125805-8</t>
  </si>
  <si>
    <t>MANGUERA DE ACEITE / VARIOS</t>
  </si>
  <si>
    <t>125831-7</t>
  </si>
  <si>
    <t>CAJA DE ENGRANAJE / DDF456</t>
  </si>
  <si>
    <t>125875-7</t>
  </si>
  <si>
    <t>125876-5</t>
  </si>
  <si>
    <t>125914-3</t>
  </si>
  <si>
    <t>CILINDRO  / VARIOS</t>
  </si>
  <si>
    <t>125917-7</t>
  </si>
  <si>
    <t>ARRANCADOR / VARIOS</t>
  </si>
  <si>
    <t>125919-3</t>
  </si>
  <si>
    <t>125920-8</t>
  </si>
  <si>
    <t>BOBINA DE ENCENDIDO / VARIOS</t>
  </si>
  <si>
    <t>125922-4</t>
  </si>
  <si>
    <t>CAJA DE ENGRANAJE CPL / EBH340U</t>
  </si>
  <si>
    <t>125923-2</t>
  </si>
  <si>
    <t>EJE / EBH340U</t>
  </si>
  <si>
    <t>125924-0</t>
  </si>
  <si>
    <t>SUJETADOR DE MANGO / EBH340U</t>
  </si>
  <si>
    <t>125925-8</t>
  </si>
  <si>
    <t>CONTROLADOR / EBH340U</t>
  </si>
  <si>
    <t>125932-1</t>
  </si>
  <si>
    <t>125945-2</t>
  </si>
  <si>
    <t>TAMBOR DE EMBRAGUE / VARIOS</t>
  </si>
  <si>
    <t>125946-0</t>
  </si>
  <si>
    <t>CAJA DE VALVULAS / VARIOS</t>
  </si>
  <si>
    <t>126005-3</t>
  </si>
  <si>
    <t>REGULADOR DE VALVULA / VARIOS</t>
  </si>
  <si>
    <t>126006-1</t>
  </si>
  <si>
    <t>BOBINA / EK7650H</t>
  </si>
  <si>
    <t>126098-0</t>
  </si>
  <si>
    <t>CAJA DE ENGRANAJE / DDF458</t>
  </si>
  <si>
    <t>126100-9</t>
  </si>
  <si>
    <t>SELECTOR DE VELOCIDAD / DHP458 - DDF458</t>
  </si>
  <si>
    <t>126114-8</t>
  </si>
  <si>
    <t>PALANCA DE CONTROL / EM4351UH</t>
  </si>
  <si>
    <t>126116-4</t>
  </si>
  <si>
    <t>BALANCIN / VARIOS</t>
  </si>
  <si>
    <t>126118-0</t>
  </si>
  <si>
    <t>CUBIERTA DE FILTRO</t>
  </si>
  <si>
    <t>126119-8</t>
  </si>
  <si>
    <t>CUBIERTA DE ARRANQUE / VARIOS</t>
  </si>
  <si>
    <t>126121-1</t>
  </si>
  <si>
    <t>126122-9</t>
  </si>
  <si>
    <t>VOLANTE CPL / VARIOS</t>
  </si>
  <si>
    <t>126126-1</t>
  </si>
  <si>
    <t>MONTAJE DE BANDA / VARIOS</t>
  </si>
  <si>
    <t>126131-8</t>
  </si>
  <si>
    <t>126138-4</t>
  </si>
  <si>
    <t>TUBO DE COMBUSTIBLE / PM7650H</t>
  </si>
  <si>
    <t>126149-9</t>
  </si>
  <si>
    <t>FILTRO DE AIRE CPL / VARIOS</t>
  </si>
  <si>
    <t>126163-5</t>
  </si>
  <si>
    <t>PALANCA DE CONTROL / VARIOS</t>
  </si>
  <si>
    <t>126165-1</t>
  </si>
  <si>
    <t>WINCHA / VARIOS</t>
  </si>
  <si>
    <t>126179-0</t>
  </si>
  <si>
    <t>CAJA DE ENGRANAJE / DHP459</t>
  </si>
  <si>
    <t>126180-5</t>
  </si>
  <si>
    <t>SELECTOR DE VELOCIDAD / DHP459 - DDF459</t>
  </si>
  <si>
    <t>126186-3</t>
  </si>
  <si>
    <t>CORDON DE ARRANQUE / PM7650H;50HG</t>
  </si>
  <si>
    <t>126188-9</t>
  </si>
  <si>
    <t>CAJA DE ENGRANAJE / DDF459 - DDF459</t>
  </si>
  <si>
    <t>126194-4</t>
  </si>
  <si>
    <t>BOMBA DE AGUA / VARIOS</t>
  </si>
  <si>
    <t>126201-3</t>
  </si>
  <si>
    <t>CUCHILLA CPL / DJR183</t>
  </si>
  <si>
    <t>126211-0</t>
  </si>
  <si>
    <t>CONJUNTO DE VALVULAS  / VARIOS</t>
  </si>
  <si>
    <t>126233-0</t>
  </si>
  <si>
    <t>126240-3</t>
  </si>
  <si>
    <t>INTERRUPTOR DE PARADA  / EW1050H</t>
  </si>
  <si>
    <t>126253-4</t>
  </si>
  <si>
    <t>CONJUNTO DE ENGRANAJE / DCG180</t>
  </si>
  <si>
    <t>126270-4</t>
  </si>
  <si>
    <t>126272-0</t>
  </si>
  <si>
    <t>126289-3</t>
  </si>
  <si>
    <t>SELECTOR DE VELOCIDAD CPL / DHP456 - DDF456</t>
  </si>
  <si>
    <t>126290-8</t>
  </si>
  <si>
    <t>126339-4</t>
  </si>
  <si>
    <t>126353-0</t>
  </si>
  <si>
    <t>126354-8</t>
  </si>
  <si>
    <t>ENGRANAJE / DDF480</t>
  </si>
  <si>
    <t>126364-5</t>
  </si>
  <si>
    <t>ARRANCADOR DE CUERDA / VARIOS</t>
  </si>
  <si>
    <t>126398-8</t>
  </si>
  <si>
    <t>ENGRANAJE / DBN500</t>
  </si>
  <si>
    <t>126409-9</t>
  </si>
  <si>
    <t>CAJA DE ENGRANAJE / DDF481</t>
  </si>
  <si>
    <t>126410-4</t>
  </si>
  <si>
    <t>CAJA DE ENGRANAJE / DHP481</t>
  </si>
  <si>
    <t>126411-2</t>
  </si>
  <si>
    <t>SELECTOR DE VELOCIDAD / DHP481 - DDF481</t>
  </si>
  <si>
    <t>126416-2</t>
  </si>
  <si>
    <t>CUCHILLA DE CIZALLA / VARIOS</t>
  </si>
  <si>
    <t>126418-8</t>
  </si>
  <si>
    <t>BOBINA / EM3400U</t>
  </si>
  <si>
    <t>126447-1</t>
  </si>
  <si>
    <t>126448-9</t>
  </si>
  <si>
    <t>126459-4</t>
  </si>
  <si>
    <t>126460-9</t>
  </si>
  <si>
    <t>126476-4</t>
  </si>
  <si>
    <t>LIMITADOR DE TORQUE CPL</t>
  </si>
  <si>
    <t>126501-1</t>
  </si>
  <si>
    <t>SISTEMA DE ARRANQUE / EM3400U</t>
  </si>
  <si>
    <t>126502-9</t>
  </si>
  <si>
    <t>CONJUNTO DE FILTRO DE AIRE / EM3400U</t>
  </si>
  <si>
    <t>126503-7</t>
  </si>
  <si>
    <t>MANGUERA DE COMBUSTIBLE / EM3400U</t>
  </si>
  <si>
    <t>126504-5</t>
  </si>
  <si>
    <t>PALANCA DE CONTROL / EM3400U</t>
  </si>
  <si>
    <t>126506-1</t>
  </si>
  <si>
    <t>CABEZAL CPL / EM3400U</t>
  </si>
  <si>
    <t>126510-0</t>
  </si>
  <si>
    <t>EJE FLEXIBLE CPL / EM4350RH</t>
  </si>
  <si>
    <t>126512-6</t>
  </si>
  <si>
    <t>PALANCA DE CONTROL CPL / EM4350RH</t>
  </si>
  <si>
    <t>126513-4</t>
  </si>
  <si>
    <t>ARNES CPL / EM4350RH</t>
  </si>
  <si>
    <t>126523-1</t>
  </si>
  <si>
    <t>CUBIERTA DE FILTRO / EM4351UH</t>
  </si>
  <si>
    <t>126524-9</t>
  </si>
  <si>
    <t>ARRANCADOR CPL / EM4350RH</t>
  </si>
  <si>
    <t>126533-8</t>
  </si>
  <si>
    <t>MUELLE DE ARRANQUE</t>
  </si>
  <si>
    <t>126535-4</t>
  </si>
  <si>
    <t>EMBRAGUE</t>
  </si>
  <si>
    <t>126537-0</t>
  </si>
  <si>
    <t>VALVULA</t>
  </si>
  <si>
    <t>126538-8</t>
  </si>
  <si>
    <t>VALVULA DE CAÑA CPL</t>
  </si>
  <si>
    <t>126539-6</t>
  </si>
  <si>
    <t>SILENCIADOR DE ESCAPE</t>
  </si>
  <si>
    <t>126563-9</t>
  </si>
  <si>
    <t>BASE FILTRO AIRE / EM4350RH</t>
  </si>
  <si>
    <t>126567-1</t>
  </si>
  <si>
    <t>TUBERIA DE ACEITE / VARIOS</t>
  </si>
  <si>
    <t>126571-0</t>
  </si>
  <si>
    <t>ENGRANAJE DE LEVA / EM4351UH</t>
  </si>
  <si>
    <t>126576-0</t>
  </si>
  <si>
    <t>CIGUEÑAL / PM7650H</t>
  </si>
  <si>
    <t>126589-1</t>
  </si>
  <si>
    <t>ESTRUCTURA CPL / DCU180</t>
  </si>
  <si>
    <t>126622-9</t>
  </si>
  <si>
    <t>ENGRANAJE DE LEVA / PM7650H</t>
  </si>
  <si>
    <t>126629-5</t>
  </si>
  <si>
    <t>VENTILADOR DE AIRE CPL / VARIOS</t>
  </si>
  <si>
    <t>126683-9</t>
  </si>
  <si>
    <t>CAJA DE ENGRANAJE / DBN600</t>
  </si>
  <si>
    <t>126729-1</t>
  </si>
  <si>
    <t>CAJA DE ENGRANAJE / DHP484</t>
  </si>
  <si>
    <t>126734-8</t>
  </si>
  <si>
    <t>LLANTA DELANTERA / DCU180</t>
  </si>
  <si>
    <t>126743-7</t>
  </si>
  <si>
    <t>TOPE / DTR180</t>
  </si>
  <si>
    <t>126751-8</t>
  </si>
  <si>
    <t>BOQUILLA DE POLVO / DLS111</t>
  </si>
  <si>
    <t>126756-8</t>
  </si>
  <si>
    <t>DUCTO / DVC260</t>
  </si>
  <si>
    <t>126764-9</t>
  </si>
  <si>
    <t>126765-7</t>
  </si>
  <si>
    <t>126766-5</t>
  </si>
  <si>
    <t>MANGUERA DE ALTA PRESION 5M / DHW080</t>
  </si>
  <si>
    <t>126832-8</t>
  </si>
  <si>
    <t>TAPA DE TANQUE / DUC406</t>
  </si>
  <si>
    <t>126837-8</t>
  </si>
  <si>
    <t>LLANTA TRASERA / DCU180</t>
  </si>
  <si>
    <t>126838-6</t>
  </si>
  <si>
    <t>CAJA DE ENGRANAJE / DTR180</t>
  </si>
  <si>
    <t>126846-7</t>
  </si>
  <si>
    <t>MOTOR CPL / CL108F</t>
  </si>
  <si>
    <t>126882-3</t>
  </si>
  <si>
    <t>126901-5</t>
  </si>
  <si>
    <t>TAPA CENTRAL CPL / 2704</t>
  </si>
  <si>
    <t>126911-2</t>
  </si>
  <si>
    <t>CUBIERTA DE DISCO / 4100KB</t>
  </si>
  <si>
    <t>126943-9</t>
  </si>
  <si>
    <t>CULATA / PM7650H</t>
  </si>
  <si>
    <t>126961-7</t>
  </si>
  <si>
    <t>CAJA DE ENGRANAJE / DHP485</t>
  </si>
  <si>
    <t>126972-2</t>
  </si>
  <si>
    <t>126984-5</t>
  </si>
  <si>
    <t>CONJUNTO BRAZO DE CORTE / SC103D</t>
  </si>
  <si>
    <t>127011-1</t>
  </si>
  <si>
    <t>CAJA PARA POLVO / DCS553</t>
  </si>
  <si>
    <t>127050-1</t>
  </si>
  <si>
    <t>RODAMIENTO DE TORNILLO / DRV250</t>
  </si>
  <si>
    <t>127051-9</t>
  </si>
  <si>
    <t>CAJA DE ENGRANAJE / DRV250</t>
  </si>
  <si>
    <t>127061-6</t>
  </si>
  <si>
    <t>DEPOSITO DE CESPED / DLM460</t>
  </si>
  <si>
    <t>127065-8</t>
  </si>
  <si>
    <t>CAJA DE ENGRANAJE / DUT130</t>
  </si>
  <si>
    <t>127066-6</t>
  </si>
  <si>
    <t>PALANCA DE CAMBIO INTERIOR / VARIOS</t>
  </si>
  <si>
    <t>127092-5</t>
  </si>
  <si>
    <t>LLANTA TRASERA CON TOPE / DCU180</t>
  </si>
  <si>
    <t>127093-3</t>
  </si>
  <si>
    <t>TUBO CURVO / DVC261</t>
  </si>
  <si>
    <t>127099-1</t>
  </si>
  <si>
    <t>CAJA DE ENGRANAJE / DF331D</t>
  </si>
  <si>
    <t>127104-4</t>
  </si>
  <si>
    <t>CAJA DE ALMACENAMIENTO</t>
  </si>
  <si>
    <t>127124-8</t>
  </si>
  <si>
    <t>CAJA DE ENGRANAJE / HP333D</t>
  </si>
  <si>
    <t>127125-6</t>
  </si>
  <si>
    <t>CAJA DE ENGRANAJE / DF333D</t>
  </si>
  <si>
    <t>127126-4</t>
  </si>
  <si>
    <t>CAJA DE ENGRANAJE CPL / DF003D</t>
  </si>
  <si>
    <t>127127-2</t>
  </si>
  <si>
    <t>PALANCA DE SELECTOR / DF003D - HP333D</t>
  </si>
  <si>
    <t>127142-6</t>
  </si>
  <si>
    <t>RODAMIENTO DE TORNILLO / DUP362</t>
  </si>
  <si>
    <t>127221-0</t>
  </si>
  <si>
    <t>HUSILLO DE BOLA / DVR150</t>
  </si>
  <si>
    <t>127222-8</t>
  </si>
  <si>
    <t>CAJA DE ENGRANAJE / DVR150</t>
  </si>
  <si>
    <t>127223-6</t>
  </si>
  <si>
    <t>PUNTA 6.4 / DRV250</t>
  </si>
  <si>
    <t>127225-2</t>
  </si>
  <si>
    <t>PUNTA DE RENACHE / DVR150</t>
  </si>
  <si>
    <t>127236-7</t>
  </si>
  <si>
    <t>MOTOR 12V CPL / CL121D</t>
  </si>
  <si>
    <t>127238-3</t>
  </si>
  <si>
    <t>CAJA DE ENGRANAJE /UR012G</t>
  </si>
  <si>
    <t>127274-9</t>
  </si>
  <si>
    <t>BOQUILLA DE POLVO / LS1219L</t>
  </si>
  <si>
    <t>127276-5</t>
  </si>
  <si>
    <t>BOLSA RECOLECTORA / VARIOS</t>
  </si>
  <si>
    <t>127282-0</t>
  </si>
  <si>
    <t>PALANCA DE CAMBIO EXTERIOR / VARIOS</t>
  </si>
  <si>
    <t>127291-9</t>
  </si>
  <si>
    <t>GUIA DE CLAVADO / DFN350</t>
  </si>
  <si>
    <t>127297-7</t>
  </si>
  <si>
    <t>CABEZAL CPL / DWR180</t>
  </si>
  <si>
    <t>127320-8</t>
  </si>
  <si>
    <t>CONJUNTO DE EMBRAGUE / DFL020</t>
  </si>
  <si>
    <t>127321-6</t>
  </si>
  <si>
    <t>CABEZA EN ANGULO/DFL020</t>
  </si>
  <si>
    <t>127322-4</t>
  </si>
  <si>
    <t>CONJUNTO DE EMBRAGUE / DFL063F</t>
  </si>
  <si>
    <t>127324-0</t>
  </si>
  <si>
    <t>CAJA DE ENGRANAJE / DDF485</t>
  </si>
  <si>
    <t>127330-5</t>
  </si>
  <si>
    <t>CAJA DE ENGRANAJE / DFL063F</t>
  </si>
  <si>
    <t>127344-4</t>
  </si>
  <si>
    <t>GANCHO / HR003G</t>
  </si>
  <si>
    <t>127355-9</t>
  </si>
  <si>
    <t>CAJA DE ENGRANAJE / HP0300</t>
  </si>
  <si>
    <t>127356-7</t>
  </si>
  <si>
    <t>CAJA DE ENGRANAJE / DF0300</t>
  </si>
  <si>
    <t>127357-5</t>
  </si>
  <si>
    <t>PALANCA DE CAMBIO / HP0300 - DF0300</t>
  </si>
  <si>
    <t>127387-6</t>
  </si>
  <si>
    <t>CUBIERTA SUPERIOR / DLM432</t>
  </si>
  <si>
    <t>127393-1</t>
  </si>
  <si>
    <t>CUBIERTA SUPERIOR / DLM382</t>
  </si>
  <si>
    <t>127397-3</t>
  </si>
  <si>
    <t>DESLIZADOR CPL / DJR186</t>
  </si>
  <si>
    <t>127412-3</t>
  </si>
  <si>
    <t>RECEPTOR DE CESPED / VARIOS</t>
  </si>
  <si>
    <t>127424-6</t>
  </si>
  <si>
    <t>REJILLA FRONTAL / AG3751</t>
  </si>
  <si>
    <t>127427-0</t>
  </si>
  <si>
    <t>BOQUILLA DE POLVO / VARIOS</t>
  </si>
  <si>
    <t>127428-8</t>
  </si>
  <si>
    <t>EJE PRINCIPAL CPL / VARIOS</t>
  </si>
  <si>
    <t>127433-5</t>
  </si>
  <si>
    <t>RECOGEDOR DE CESPED / DLM465</t>
  </si>
  <si>
    <t>127443-2</t>
  </si>
  <si>
    <t>EMBRAGUE CPL / VARIOS</t>
  </si>
  <si>
    <t>127473-3</t>
  </si>
  <si>
    <t>IMPULSOR DE MORDAZA 4.5 / DVR150</t>
  </si>
  <si>
    <t>127475-9</t>
  </si>
  <si>
    <t>IMPULSOR DE MORDAZAS 3.6 / DVR150</t>
  </si>
  <si>
    <t>127480-6</t>
  </si>
  <si>
    <t>GANCHO DE CIERRE / DVC660</t>
  </si>
  <si>
    <t>127491-1</t>
  </si>
  <si>
    <t>MANGUERA / DCE090</t>
  </si>
  <si>
    <t>127494-5</t>
  </si>
  <si>
    <t>SELECTOR DE VELOCIDAD CPL / HP001G</t>
  </si>
  <si>
    <t>127499-5</t>
  </si>
  <si>
    <t>127500-6</t>
  </si>
  <si>
    <t>127502-2</t>
  </si>
  <si>
    <t>TUBO EN U 90 / AG3751</t>
  </si>
  <si>
    <t>127509-8</t>
  </si>
  <si>
    <t>UNIDAD DE MANEJO / DLM465</t>
  </si>
  <si>
    <t>127510-3</t>
  </si>
  <si>
    <t>CAJA TRANSMISION CPL / VARIOS</t>
  </si>
  <si>
    <t>127513-7</t>
  </si>
  <si>
    <t>RUEDA TRASERA / DLM465</t>
  </si>
  <si>
    <t>127514-5</t>
  </si>
  <si>
    <t>RUEDA DELANTERA / DLM465</t>
  </si>
  <si>
    <t>127515-3</t>
  </si>
  <si>
    <t>TAPON COLCHADO / DLM465</t>
  </si>
  <si>
    <t>127516-1</t>
  </si>
  <si>
    <t>TAPA CPL / VARIOS</t>
  </si>
  <si>
    <t>127522-6</t>
  </si>
  <si>
    <t>127538-1</t>
  </si>
  <si>
    <t>CIGUEÑAL CPL / EK7651H</t>
  </si>
  <si>
    <t>127550-1</t>
  </si>
  <si>
    <t>127601-0</t>
  </si>
  <si>
    <t>GANCHO CPL /DBP183-DBP184</t>
  </si>
  <si>
    <t>127654-9</t>
  </si>
  <si>
    <t>MOTOR 18V CPL / DCL184</t>
  </si>
  <si>
    <t>127671-9</t>
  </si>
  <si>
    <t>EMBRAGUE CPL / DCS7301</t>
  </si>
  <si>
    <t>127688-2</t>
  </si>
  <si>
    <t>EMPUÑADURA CPL / VARIOS</t>
  </si>
  <si>
    <t>127699-7</t>
  </si>
  <si>
    <t>CAJA DE ENGRANAJE CPL / DDF486</t>
  </si>
  <si>
    <t>127713-9</t>
  </si>
  <si>
    <t>GUARDA DE DISCO CPL / GA037G</t>
  </si>
  <si>
    <t>127714-7</t>
  </si>
  <si>
    <t>GUARDA DE DISCO CPL / GA038G</t>
  </si>
  <si>
    <t>127720-2</t>
  </si>
  <si>
    <t>PALANCA DE CAMBIO EXTERIOR / DPV300</t>
  </si>
  <si>
    <t>127721-0</t>
  </si>
  <si>
    <t>CAJA DE ENGRANAJE CPL</t>
  </si>
  <si>
    <t>127729-4</t>
  </si>
  <si>
    <t>CAJA DE ENGRANAJE / HP002G</t>
  </si>
  <si>
    <t>127730-9</t>
  </si>
  <si>
    <t>CAJA DE ENGRANAJE CPL / DF002G</t>
  </si>
  <si>
    <t>127731-7</t>
  </si>
  <si>
    <t>SELECTOR DE VELOCIDAD / HP002G</t>
  </si>
  <si>
    <t>127732-5</t>
  </si>
  <si>
    <t>CAJA DE ENGRANAJE / HP488D</t>
  </si>
  <si>
    <t>127734-1</t>
  </si>
  <si>
    <t>CAJA DE ENGRANAJE CPL / DF488D</t>
  </si>
  <si>
    <t>127754-5</t>
  </si>
  <si>
    <t>SELECTOR DE VELOCIDAD / HP488D</t>
  </si>
  <si>
    <t>127758-7</t>
  </si>
  <si>
    <t>SELECTOR DE VELOCIDAD / DHP487</t>
  </si>
  <si>
    <t>127761-8</t>
  </si>
  <si>
    <t>GUIA DE CLAVO COMPLETO / FN001G</t>
  </si>
  <si>
    <t>127771-5</t>
  </si>
  <si>
    <t>GANCHO CPL / RS001G, RS002G</t>
  </si>
  <si>
    <t>127809-6</t>
  </si>
  <si>
    <t>127823-2</t>
  </si>
  <si>
    <t>LIMITADOR DE TORQUE / HR006G</t>
  </si>
  <si>
    <t>MOTOR / HG5012</t>
  </si>
  <si>
    <t>INTERRUPTOR 2 NIVELES / HG5012</t>
  </si>
  <si>
    <t>ACTUADOR / HG5012</t>
  </si>
  <si>
    <t>ALMOHADILLA DE MANGO / HG5012</t>
  </si>
  <si>
    <t>TUBO DE CALEFACCION / HG5012</t>
  </si>
  <si>
    <t>ALIVIO DE TENSION</t>
  </si>
  <si>
    <t>INTERRUPTOR / HG5002</t>
  </si>
  <si>
    <t>INTERRUPTOR / HG651C</t>
  </si>
  <si>
    <t>DEPOSITO</t>
  </si>
  <si>
    <t>CLIP DE ACERO 30 / DCS7301</t>
  </si>
  <si>
    <t>BRIDA DE CARBURADOR / EA6100P</t>
  </si>
  <si>
    <t>CILINDRO 4 / EA6100P</t>
  </si>
  <si>
    <t>PLATINA DE AIRE / EA6100P</t>
  </si>
  <si>
    <t>CAJA DE CARBURADOR / EA6100P</t>
  </si>
  <si>
    <t>BOBINA / EA6100P</t>
  </si>
  <si>
    <t>GENERADOR CALENTADOR / UNIVERSAL</t>
  </si>
  <si>
    <t>VOLANTE MAGNETICO / EA6100P</t>
  </si>
  <si>
    <t>CUBIERTA PARA CALEFACCION  / EA6100P</t>
  </si>
  <si>
    <t>JUEGO DE MEMBRANAS / EA6100P</t>
  </si>
  <si>
    <t>CARBURADOR / EA6100P</t>
  </si>
  <si>
    <t>BOMBIN CEBADOR / EA6100P</t>
  </si>
  <si>
    <t>TAPA LATERAL</t>
  </si>
  <si>
    <t>TAPA LATERAL / EA6100P</t>
  </si>
  <si>
    <t>FILTRO DE AIRE / EA6100P</t>
  </si>
  <si>
    <t>TORNILLO DE FILTRO AIRE/ EA6100P</t>
  </si>
  <si>
    <t>TENSOR DE CADENA / EA6100P</t>
  </si>
  <si>
    <t>TAPA METALICA / EA6100P</t>
  </si>
  <si>
    <t>TENSOR  DE CADENA / EA6100P</t>
  </si>
  <si>
    <t>MANGO DELANTERO / EK8100</t>
  </si>
  <si>
    <t>PISTON 45MM CPL / EA5601F</t>
  </si>
  <si>
    <t>13210KA031</t>
  </si>
  <si>
    <t>TRABAS DE VALVULAS CPL / VARIOS</t>
  </si>
  <si>
    <t>ANILLO 52X1.2 / DCS9010</t>
  </si>
  <si>
    <t>PIÑON DE ARRASTRE .0404 / DCS9010</t>
  </si>
  <si>
    <t>134435-4</t>
  </si>
  <si>
    <t>EJE PRINCIPAL / 6827</t>
  </si>
  <si>
    <t>134945-1</t>
  </si>
  <si>
    <t>MANGO TIPO D / HR5001C</t>
  </si>
  <si>
    <t>134960-5</t>
  </si>
  <si>
    <t>GUIA DE CLAVADO CPL / AN901</t>
  </si>
  <si>
    <t>135050-7</t>
  </si>
  <si>
    <t>EMPUÑADURA IZQUIERDA / VARIOS</t>
  </si>
  <si>
    <t>135051-5</t>
  </si>
  <si>
    <t>EMPUÑADURA DERECHA / VARIOS</t>
  </si>
  <si>
    <t>135058-1</t>
  </si>
  <si>
    <t>VENTILADOR 76 / HM0860C</t>
  </si>
  <si>
    <t>135060-4</t>
  </si>
  <si>
    <t>135107-4</t>
  </si>
  <si>
    <t>GUARDA DE DISCO CPL / VARIOS</t>
  </si>
  <si>
    <t>135131-7</t>
  </si>
  <si>
    <t>BOLSA DE POLVO CPL / MBS400, MBS401</t>
  </si>
  <si>
    <t>135197-7</t>
  </si>
  <si>
    <t>EMPUÑADURA 36 / HR3210C</t>
  </si>
  <si>
    <t>135249-4</t>
  </si>
  <si>
    <t>TENSOR DE CADENA CPL / UC4020C</t>
  </si>
  <si>
    <t>135264-8</t>
  </si>
  <si>
    <t>GUIA DE TOPE / RP0900 - M3601</t>
  </si>
  <si>
    <t>135269-8</t>
  </si>
  <si>
    <t>MANGO TIPO D / VARIOS</t>
  </si>
  <si>
    <t>135283-4</t>
  </si>
  <si>
    <t>MANGO LATERAL 90 / VARIOS</t>
  </si>
  <si>
    <t>135302-6</t>
  </si>
  <si>
    <t>EMPUÑADURA 36 / HP2070F - HP2050</t>
  </si>
  <si>
    <t>135374-1</t>
  </si>
  <si>
    <t>135380-6</t>
  </si>
  <si>
    <t>MANGO RECTO / HR5211C</t>
  </si>
  <si>
    <t>135398-7</t>
  </si>
  <si>
    <t>EXTENCION DE PROTECTOR / EM4351UH</t>
  </si>
  <si>
    <t>135414-5</t>
  </si>
  <si>
    <t>TAPA DE TANQUE DE ACEITE / UC4020C</t>
  </si>
  <si>
    <t>135465-8</t>
  </si>
  <si>
    <t>PROTECTOR DE DISCO CPL / EBH340U</t>
  </si>
  <si>
    <t>135473-9</t>
  </si>
  <si>
    <t>YUNQUE / TW100D</t>
  </si>
  <si>
    <t>135478-9</t>
  </si>
  <si>
    <t>CILINDRO CPL / VARIOS</t>
  </si>
  <si>
    <t>135482-8</t>
  </si>
  <si>
    <t>SOPORTE DE CUCHILLA / JV0600</t>
  </si>
  <si>
    <t>135508-6</t>
  </si>
  <si>
    <t>135539-5</t>
  </si>
  <si>
    <t>135554-9</t>
  </si>
  <si>
    <t>EJE / VC3211 - VC2211M</t>
  </si>
  <si>
    <t>135558-1</t>
  </si>
  <si>
    <t>MONOBLOCK CPL / VARIOS</t>
  </si>
  <si>
    <t>135562-0</t>
  </si>
  <si>
    <t>CILINDRO CPL / EVH2000</t>
  </si>
  <si>
    <t>135563-8</t>
  </si>
  <si>
    <t>135615-5</t>
  </si>
  <si>
    <t>ENGRANAJE RECTO 43 / UC4041A</t>
  </si>
  <si>
    <t>135629-4</t>
  </si>
  <si>
    <t>MANGO LATERAL / VARIOS</t>
  </si>
  <si>
    <t>135638-3</t>
  </si>
  <si>
    <t>BASE DE VALVULA / EM4350RH</t>
  </si>
  <si>
    <t>135644-8</t>
  </si>
  <si>
    <t>IMPULSOR DE CLAVO / DBN500</t>
  </si>
  <si>
    <t>135647-2</t>
  </si>
  <si>
    <t>CARTER / EM3400U</t>
  </si>
  <si>
    <t>135659-5</t>
  </si>
  <si>
    <t>CILINDRO CPL / EM4351UH</t>
  </si>
  <si>
    <t>135669-2</t>
  </si>
  <si>
    <t>135708-8</t>
  </si>
  <si>
    <t>PRENSA CPL / LW1401</t>
  </si>
  <si>
    <t>135717-7</t>
  </si>
  <si>
    <t>YUNQUE W / DTW1002</t>
  </si>
  <si>
    <t>135718-5</t>
  </si>
  <si>
    <t>CAJA DE ENGRANAJE B / DTW1001 -DTW1002</t>
  </si>
  <si>
    <t>135739-7</t>
  </si>
  <si>
    <t>BLOQUE DE CILINDRO / PM7650H</t>
  </si>
  <si>
    <t>135753-3</t>
  </si>
  <si>
    <t>EXTENCION DE PROTECTOR CPL / VARIOS</t>
  </si>
  <si>
    <t>135771-1</t>
  </si>
  <si>
    <t>BOQUILLA ENTRADA DE AIRE/ VARIOS</t>
  </si>
  <si>
    <t>135794-9</t>
  </si>
  <si>
    <t>CILINDRO CPL / EK8100</t>
  </si>
  <si>
    <t>135796-5</t>
  </si>
  <si>
    <t>YUNQUE CPL / DTW190</t>
  </si>
  <si>
    <t>135803-4</t>
  </si>
  <si>
    <t>RETEN DE RODAMIENTO / DLS600</t>
  </si>
  <si>
    <t>135804-2</t>
  </si>
  <si>
    <t>135824-6</t>
  </si>
  <si>
    <t>PLACA DE FRICCION/ VARIOS</t>
  </si>
  <si>
    <t>135838-5</t>
  </si>
  <si>
    <t>TUBO DE COMBUSTIBLE / EB5300TH</t>
  </si>
  <si>
    <t>135855-5</t>
  </si>
  <si>
    <t>CONJUNTO DE ENGRANAJE / DPT353</t>
  </si>
  <si>
    <t>135857-1</t>
  </si>
  <si>
    <t>CONJUNTO DE VARILLA DE CONTACTO / DPT353</t>
  </si>
  <si>
    <t>135881-4</t>
  </si>
  <si>
    <t>PRENSA CPL /LW1401</t>
  </si>
  <si>
    <t>135883-0</t>
  </si>
  <si>
    <t>ENGRANAJE 47 / DUM604 - UM600D</t>
  </si>
  <si>
    <t>135893-7</t>
  </si>
  <si>
    <t>CILINDRO CPL / EB5300TH</t>
  </si>
  <si>
    <t>135894-5</t>
  </si>
  <si>
    <t>ENGRANAJE DE LEVA / EB5300TH</t>
  </si>
  <si>
    <t>135897-9</t>
  </si>
  <si>
    <t>CARTUCHO CPL / DPT353</t>
  </si>
  <si>
    <t>135899-5</t>
  </si>
  <si>
    <t>EJE / TL065D</t>
  </si>
  <si>
    <t>135900-6</t>
  </si>
  <si>
    <t>CONTROLADOR / DSP600</t>
  </si>
  <si>
    <t>135915-3</t>
  </si>
  <si>
    <t>CONTROLADOR / DSP601</t>
  </si>
  <si>
    <t>135916-1</t>
  </si>
  <si>
    <t>CUBIERTA CAJA DE ENGRANAJE / DGA700 - DGA900</t>
  </si>
  <si>
    <t>135917-9</t>
  </si>
  <si>
    <t>CAJA DE RODAMIENTO CPL / DGA700 - DGA900</t>
  </si>
  <si>
    <t>135918-7</t>
  </si>
  <si>
    <t>CAJA DE ENGRANAJE / DGA700 - DGA900</t>
  </si>
  <si>
    <t>135919-5</t>
  </si>
  <si>
    <t>TUBO DE PROTECCION / DGA700 - DGA900</t>
  </si>
  <si>
    <t>135920-0</t>
  </si>
  <si>
    <t>EMPUÑADURA CPL / DGA700  - DGA900</t>
  </si>
  <si>
    <t>135926-8</t>
  </si>
  <si>
    <t>CONJUNTO DE CARCASA  / HR140D</t>
  </si>
  <si>
    <t>135929-2</t>
  </si>
  <si>
    <t>135930-7</t>
  </si>
  <si>
    <t>TAPA DE CAJA DE ENGRANAJE / VARIOS</t>
  </si>
  <si>
    <t>135932-3</t>
  </si>
  <si>
    <t>YUNQUE / VARIOS</t>
  </si>
  <si>
    <t>135934-9</t>
  </si>
  <si>
    <t>CAJA DE BATERIA / DCU180</t>
  </si>
  <si>
    <t>135935-7</t>
  </si>
  <si>
    <t>CONTROLADOR / DGA700 - DGA900</t>
  </si>
  <si>
    <t>135941-2</t>
  </si>
  <si>
    <t>135945-4</t>
  </si>
  <si>
    <t>IMPULSOR DE CLAVO / DBN600</t>
  </si>
  <si>
    <t>135946-2</t>
  </si>
  <si>
    <t>VASTAGO VALVULA / DBN600</t>
  </si>
  <si>
    <t>135947-0</t>
  </si>
  <si>
    <t>CAJA DE RODAMIENTO / HS7010</t>
  </si>
  <si>
    <t>135948-8</t>
  </si>
  <si>
    <t>CAJA DE RODAMIENTO / DCC500</t>
  </si>
  <si>
    <t>135949-6</t>
  </si>
  <si>
    <t>CAJA DE RODAMIENTO / VARIOS</t>
  </si>
  <si>
    <t>135950-1</t>
  </si>
  <si>
    <t>PROTECTOR / UR100D</t>
  </si>
  <si>
    <t>135952-7</t>
  </si>
  <si>
    <t>TUBO 24 / UR100D</t>
  </si>
  <si>
    <t>135955-1</t>
  </si>
  <si>
    <t>135958-5</t>
  </si>
  <si>
    <t>135959-3</t>
  </si>
  <si>
    <t>135961-6</t>
  </si>
  <si>
    <t>PALANCA DE CAMBIO / HR003G - DHR280</t>
  </si>
  <si>
    <t>135962-4</t>
  </si>
  <si>
    <t>CAJA DE TRANSMISION / DHR280</t>
  </si>
  <si>
    <t>135963-2</t>
  </si>
  <si>
    <t>GANCHO / DHR280</t>
  </si>
  <si>
    <t>135966-6</t>
  </si>
  <si>
    <t>135969-0</t>
  </si>
  <si>
    <t>ENGRANAJE 30B / DTR180</t>
  </si>
  <si>
    <t>135993-3</t>
  </si>
  <si>
    <t>CAJA DE RODAMIENTO / DHS660 - DHS661</t>
  </si>
  <si>
    <t>135998-3</t>
  </si>
  <si>
    <t>GUIA DE BRAZO CPL / DTR180</t>
  </si>
  <si>
    <t>135999-1</t>
  </si>
  <si>
    <t>MOTOR CPL 18V / DTR180</t>
  </si>
  <si>
    <t>136010-2</t>
  </si>
  <si>
    <t>CUBIERTA DE TENSION CPL / DUC254</t>
  </si>
  <si>
    <t>136012-8</t>
  </si>
  <si>
    <t>CAJA DE RODAMIENTO / GA4540C - PC5010C</t>
  </si>
  <si>
    <t>136013-6</t>
  </si>
  <si>
    <t>136021-7</t>
  </si>
  <si>
    <t>CAJA DE ENGRANAJE /VARIOS</t>
  </si>
  <si>
    <t>136023-3</t>
  </si>
  <si>
    <t>GUARDA DE DISCO / DCS552</t>
  </si>
  <si>
    <t>136030-6</t>
  </si>
  <si>
    <t>YUNQUE / DTW181</t>
  </si>
  <si>
    <t>136039-8</t>
  </si>
  <si>
    <t>136040-3</t>
  </si>
  <si>
    <t>SELECTOR CPL / DHR182</t>
  </si>
  <si>
    <t>136043-7</t>
  </si>
  <si>
    <t>CAJA DE ENGRANAJE / DHR182</t>
  </si>
  <si>
    <t>136092-4</t>
  </si>
  <si>
    <t>MOTOR CPL / DCL281F</t>
  </si>
  <si>
    <t>136100-1</t>
  </si>
  <si>
    <t>CAJA PARA POLVO / CL121D</t>
  </si>
  <si>
    <t>136104-3</t>
  </si>
  <si>
    <t>CONJUNTO DE ENGRANAJE / DFN350 - DPT353</t>
  </si>
  <si>
    <t>136105-1</t>
  </si>
  <si>
    <t>CUBIERTA DELANTERA CON BOQUILLA / DCL281F</t>
  </si>
  <si>
    <t>136108-5</t>
  </si>
  <si>
    <t>EJE CPL / M9800</t>
  </si>
  <si>
    <t>136124-7</t>
  </si>
  <si>
    <t>CAJA DE ENGRANAJE / DGP180</t>
  </si>
  <si>
    <t>136128-9</t>
  </si>
  <si>
    <t>MONTAJE DE LA BOMBA / DGP180</t>
  </si>
  <si>
    <t>136138-6</t>
  </si>
  <si>
    <t>CUBIERTA DE PIÑON / DUC406</t>
  </si>
  <si>
    <t>136141-7</t>
  </si>
  <si>
    <t>CAJA DE RODAMIENTO / GA4550 - GA4550R</t>
  </si>
  <si>
    <t>136144-1</t>
  </si>
  <si>
    <t>136154-8</t>
  </si>
  <si>
    <t>136171-8</t>
  </si>
  <si>
    <t>PROTECTOR EXTERNO / TD001G</t>
  </si>
  <si>
    <t>136173-4</t>
  </si>
  <si>
    <t>DUCTO DE SUCCION / VARIOS</t>
  </si>
  <si>
    <t>136190-4</t>
  </si>
  <si>
    <t>CUBIERTA CAJA DE ENGRANAJE / GA028G - GA015G</t>
  </si>
  <si>
    <t>136192-0</t>
  </si>
  <si>
    <t>CAJA DE RODAJE / VARIOS</t>
  </si>
  <si>
    <t>136194-6</t>
  </si>
  <si>
    <t>CAJA INTERNA / HR003G</t>
  </si>
  <si>
    <t>136198-8</t>
  </si>
  <si>
    <t>CAJA DE ENGRANAJE CPL / GA028G - GA015G</t>
  </si>
  <si>
    <t>136199-6</t>
  </si>
  <si>
    <t>136203-1</t>
  </si>
  <si>
    <t>YUNQUE CPL / TD001G</t>
  </si>
  <si>
    <t>136209-9</t>
  </si>
  <si>
    <t>CAJA DE ENGRANAJE CPL / DGA469</t>
  </si>
  <si>
    <t>136223-5</t>
  </si>
  <si>
    <t>YUNQUE / DTW300</t>
  </si>
  <si>
    <t>136231-6</t>
  </si>
  <si>
    <t>136233-2</t>
  </si>
  <si>
    <t>136235-8</t>
  </si>
  <si>
    <t>136249-7</t>
  </si>
  <si>
    <t>YUNQUE / TW001G</t>
  </si>
  <si>
    <t>136256-0</t>
  </si>
  <si>
    <t>YUNQUE / DTW700</t>
  </si>
  <si>
    <t>136260-9</t>
  </si>
  <si>
    <t>EJE - GA015G</t>
  </si>
  <si>
    <t>136261-7</t>
  </si>
  <si>
    <t>136262-5</t>
  </si>
  <si>
    <t>CAJA DE RODAMIENTO / GA028G</t>
  </si>
  <si>
    <t>136263-3</t>
  </si>
  <si>
    <t>136275-6</t>
  </si>
  <si>
    <t>BASE CPL / HS003G</t>
  </si>
  <si>
    <t>136279-8</t>
  </si>
  <si>
    <t>CAJA DE ENGRANAJE / TW001G</t>
  </si>
  <si>
    <t>136280-3</t>
  </si>
  <si>
    <t>BASE CPL / HS004G</t>
  </si>
  <si>
    <t>136296-8</t>
  </si>
  <si>
    <t>136358-2</t>
  </si>
  <si>
    <t>YUNQUE CPL / TW005G</t>
  </si>
  <si>
    <t>136363-9</t>
  </si>
  <si>
    <t>136364-7</t>
  </si>
  <si>
    <t>136365-5</t>
  </si>
  <si>
    <t>136368-9</t>
  </si>
  <si>
    <t>136372-8</t>
  </si>
  <si>
    <t>DEPOSITO DE ACEITE / VARIOS</t>
  </si>
  <si>
    <t>136377-8</t>
  </si>
  <si>
    <t>PERNO DE IMPACTO / HR005G</t>
  </si>
  <si>
    <t>136378-6</t>
  </si>
  <si>
    <t>CILINDRO CPL / HR005G</t>
  </si>
  <si>
    <t>136381-7</t>
  </si>
  <si>
    <t>136392-2</t>
  </si>
  <si>
    <t>CARTUCHO COMPLETO / FN001G</t>
  </si>
  <si>
    <t>136393-0</t>
  </si>
  <si>
    <t>MONTAJE DE EJE / DUA301 - UA004G</t>
  </si>
  <si>
    <t>136405-9</t>
  </si>
  <si>
    <t>CAJA DE ENGRANAJE CON MANDRIL / HP001G</t>
  </si>
  <si>
    <t>136406-7</t>
  </si>
  <si>
    <t>MANDRIL S13 Y CAJA ENGRANAJE CPL / DF001G</t>
  </si>
  <si>
    <t>136410-6</t>
  </si>
  <si>
    <t>YUNQUE / TW007G</t>
  </si>
  <si>
    <t>136413-0</t>
  </si>
  <si>
    <t>PERNO DE IMPACTO / HR006G</t>
  </si>
  <si>
    <t>136449-9</t>
  </si>
  <si>
    <t>CUBIERTA FRONTAL CON BOQUILLA / CL001G</t>
  </si>
  <si>
    <t>136465-1</t>
  </si>
  <si>
    <t>136563-1</t>
  </si>
  <si>
    <t>ENGRANAJE CONICO 13 / VARIOS</t>
  </si>
  <si>
    <t>136573-8</t>
  </si>
  <si>
    <t>TAPA DE PIÑON DE ARRASTRTE / VARIOS</t>
  </si>
  <si>
    <t>136605-1</t>
  </si>
  <si>
    <t>CAJA DE POLVO / DVC560</t>
  </si>
  <si>
    <t>136621-3</t>
  </si>
  <si>
    <t>TUBO ALUMINIO CPL / DUN461N</t>
  </si>
  <si>
    <t>136628-9</t>
  </si>
  <si>
    <t>CAJA DE ENGRANAJE CPL / PV001G</t>
  </si>
  <si>
    <t>136629-7</t>
  </si>
  <si>
    <t>TAPA SUPERIOR CPL / PV001G</t>
  </si>
  <si>
    <t>136631-0</t>
  </si>
  <si>
    <t>TUBO DESLIZANTE CPL / DX15</t>
  </si>
  <si>
    <t>136715-4</t>
  </si>
  <si>
    <t>136716-2</t>
  </si>
  <si>
    <t>CAJA DE RODAMIENTO /VARIOS</t>
  </si>
  <si>
    <t>136770-6</t>
  </si>
  <si>
    <t>136771-4</t>
  </si>
  <si>
    <t>CUBIERTA DE CAJA DE ENGRANAJE / VARIOS</t>
  </si>
  <si>
    <t>136784-5</t>
  </si>
  <si>
    <t>CUBIERTA DE PIÑON / VARIOS</t>
  </si>
  <si>
    <t>136839-6</t>
  </si>
  <si>
    <t>CAJA MOTOR /HS012G</t>
  </si>
  <si>
    <t>136840-1</t>
  </si>
  <si>
    <t>136867-1</t>
  </si>
  <si>
    <t>DESLIZADOR CPL /DJR189</t>
  </si>
  <si>
    <t>136914-8</t>
  </si>
  <si>
    <t>136936-8</t>
  </si>
  <si>
    <t>136949-9</t>
  </si>
  <si>
    <t>136955-4</t>
  </si>
  <si>
    <t>136959-6</t>
  </si>
  <si>
    <t>CARCASA IZQUIERDA</t>
  </si>
  <si>
    <t>CARCASA DERECHA</t>
  </si>
  <si>
    <t>140023-7</t>
  </si>
  <si>
    <t>TAPA DE BALACIN / VARIOS</t>
  </si>
  <si>
    <t>140041-5</t>
  </si>
  <si>
    <t>TUBO DE ALUMINIO CPL / VARIOS</t>
  </si>
  <si>
    <t>140057-0</t>
  </si>
  <si>
    <t>GUIA PROFUNDIDAD/ VARIOS</t>
  </si>
  <si>
    <t>140060-1</t>
  </si>
  <si>
    <t>CAJA GIRATORIA / HM1307CB - HM1307CB</t>
  </si>
  <si>
    <t>140091-0</t>
  </si>
  <si>
    <t>TAPA SUPERIOR CPL / VARIOS</t>
  </si>
  <si>
    <t>140171-2</t>
  </si>
  <si>
    <t>CAJA DE TRANSMISION / DTW251</t>
  </si>
  <si>
    <t>140197-4</t>
  </si>
  <si>
    <t>CARCASA / KP0800</t>
  </si>
  <si>
    <t>140201-9</t>
  </si>
  <si>
    <t>CAJA DE POLEAS / KP0800</t>
  </si>
  <si>
    <t>140204-3</t>
  </si>
  <si>
    <t>CUBIERTA CAJA DE ENGRANAJES / HM0871C</t>
  </si>
  <si>
    <t>140205-1</t>
  </si>
  <si>
    <t>MANGO COMPLETO / HM0871C</t>
  </si>
  <si>
    <t>140206-9</t>
  </si>
  <si>
    <t>CAJA DE TRANSMISION / HM0870C</t>
  </si>
  <si>
    <t>140207-7</t>
  </si>
  <si>
    <t>MANGO CPL NEGRO / HM0870C</t>
  </si>
  <si>
    <t>140222-1</t>
  </si>
  <si>
    <t>CAJA MOTOR  / VARIOS</t>
  </si>
  <si>
    <t>140224-7</t>
  </si>
  <si>
    <t>EJE / GA7050 - GA9050</t>
  </si>
  <si>
    <t>140254-8</t>
  </si>
  <si>
    <t>SEPARADOR / VARIOS</t>
  </si>
  <si>
    <t>140264-5</t>
  </si>
  <si>
    <t>PORTA HERRAMIENTA / VARIOS</t>
  </si>
  <si>
    <t>140265-3</t>
  </si>
  <si>
    <t>140266-1</t>
  </si>
  <si>
    <t>PORTA HERRAMIENTA / HR2320T</t>
  </si>
  <si>
    <t>140280-7</t>
  </si>
  <si>
    <t>140312-0</t>
  </si>
  <si>
    <t>140344-7</t>
  </si>
  <si>
    <t>CUBIERTA DE LASER CPL / DLS600</t>
  </si>
  <si>
    <t>140407-9</t>
  </si>
  <si>
    <t>CAJA DE ENGRANAJE / HM1111C</t>
  </si>
  <si>
    <t>140411-8</t>
  </si>
  <si>
    <t>BARRIL / HM1111C</t>
  </si>
  <si>
    <t>140422-3</t>
  </si>
  <si>
    <t>CAJA DE ENGRANAJE CPL / HR2310T,HR2610T</t>
  </si>
  <si>
    <t>140433-8</t>
  </si>
  <si>
    <t>CAJA DE ENGRANAJE CPL / VARIOS</t>
  </si>
  <si>
    <t>140435-4</t>
  </si>
  <si>
    <t>TAPA DE TANQUE GASOLINA CPL / VARIOS</t>
  </si>
  <si>
    <t>140436-2</t>
  </si>
  <si>
    <t>CORREA CPL / VARIOS</t>
  </si>
  <si>
    <t>140438-8</t>
  </si>
  <si>
    <t>CUERPO DE PURGA NEUMATICA / VARIOS</t>
  </si>
  <si>
    <t>140441-9</t>
  </si>
  <si>
    <t>RESPALDO DE GOMA / VARIOS</t>
  </si>
  <si>
    <t>140451-6</t>
  </si>
  <si>
    <t>TAPA INFERIOR / VARIOS</t>
  </si>
  <si>
    <t>140480-9</t>
  </si>
  <si>
    <t>VOLANTE CPL / EA3203S</t>
  </si>
  <si>
    <t>140482-5</t>
  </si>
  <si>
    <t>CARCASA DE MOTOR CPL / EA3203S</t>
  </si>
  <si>
    <t>140507-5</t>
  </si>
  <si>
    <t>CAJA DE ENGRANAJE CPL / JS1601</t>
  </si>
  <si>
    <t>140508-3</t>
  </si>
  <si>
    <t>CILINDRO 33 / VARIOS</t>
  </si>
  <si>
    <t>140604-7</t>
  </si>
  <si>
    <t>ALOJAMIENTO DE ENGRANAJE/UH550D</t>
  </si>
  <si>
    <t>140618-6</t>
  </si>
  <si>
    <t>CAJA MOTOR / DS5000</t>
  </si>
  <si>
    <t>140619-4</t>
  </si>
  <si>
    <t>140625-9</t>
  </si>
  <si>
    <t>CAJA DE ENGRANAJE / CC300D</t>
  </si>
  <si>
    <t>140648-7</t>
  </si>
  <si>
    <t>GUARDA FIJA / VARIOS</t>
  </si>
  <si>
    <t>140668-1</t>
  </si>
  <si>
    <t>CAJA MOTOR GRIS / MGA901</t>
  </si>
  <si>
    <t>140735-2</t>
  </si>
  <si>
    <t>CARCASA EXTERIOR METAL / RT0700C</t>
  </si>
  <si>
    <t>140736-0</t>
  </si>
  <si>
    <t>SOPORTE CPL / RT0700C</t>
  </si>
  <si>
    <t>140751-4</t>
  </si>
  <si>
    <t>CUBIERTA CPL / VARIOS</t>
  </si>
  <si>
    <t>140774-2</t>
  </si>
  <si>
    <t>TANQUE CPL / EK7650H</t>
  </si>
  <si>
    <t>140817-0</t>
  </si>
  <si>
    <t>ENGRANAJE DE LEVA / EK7651H, PC7614</t>
  </si>
  <si>
    <t>140819-6</t>
  </si>
  <si>
    <t>TUBO ALUMINIO CPL / EBH340U</t>
  </si>
  <si>
    <t>140820-1</t>
  </si>
  <si>
    <t>CAMPANA EMBRAGUE CPL / EBH340U</t>
  </si>
  <si>
    <t>140827-7</t>
  </si>
  <si>
    <t>HOJA DE CORTE/UH5261</t>
  </si>
  <si>
    <t>140828-5</t>
  </si>
  <si>
    <t>CAJA DE ENGRANAJE/UH5261</t>
  </si>
  <si>
    <t>140831-6</t>
  </si>
  <si>
    <t>TAPA DE TANQUE GASOLINA / VARIOS</t>
  </si>
  <si>
    <t>140838-2</t>
  </si>
  <si>
    <t>SOPORTE DE MOTOR CPL / UH353D</t>
  </si>
  <si>
    <t>140898-4</t>
  </si>
  <si>
    <t>TAPA DE BALANCIN / EK7650H</t>
  </si>
  <si>
    <t>140899-2</t>
  </si>
  <si>
    <t>TAPA DE ACEITE CPL / EK7651H, PC7614</t>
  </si>
  <si>
    <t>140900-3</t>
  </si>
  <si>
    <t>CIGUEÑAL CPL / EK7651H, PC7614</t>
  </si>
  <si>
    <t>140901-1</t>
  </si>
  <si>
    <t>CILINDRO CPL / EK7651H, PC7614</t>
  </si>
  <si>
    <t>140903-7</t>
  </si>
  <si>
    <t>TAPA FILTRO DE AIRE / EK7651H, PC7614</t>
  </si>
  <si>
    <t>140928-1</t>
  </si>
  <si>
    <t>BASE DE BALANCINES / EK7651H, PC7614</t>
  </si>
  <si>
    <t>140946-9</t>
  </si>
  <si>
    <t>CAJA DE TRANSMISION / DTD146</t>
  </si>
  <si>
    <t>140963-9</t>
  </si>
  <si>
    <t>PLACA DE INTERRUPTOR / VARIOS</t>
  </si>
  <si>
    <t>140989-1</t>
  </si>
  <si>
    <t>BOMBA DE CARBURADOR / EM3400U - EM2500U</t>
  </si>
  <si>
    <t>140A04-7</t>
  </si>
  <si>
    <t>CONTROLADOR SEGUNDARIO / VARIOS</t>
  </si>
  <si>
    <t>140A12-8</t>
  </si>
  <si>
    <t>ENGRANAJE RECTO 29 / DDA460</t>
  </si>
  <si>
    <t>140A13-6</t>
  </si>
  <si>
    <t>GUIA DE ENGRANAJE A / DDA460</t>
  </si>
  <si>
    <t>140A14-4</t>
  </si>
  <si>
    <t>GUIA DE ENGRANAJE B / DDA460</t>
  </si>
  <si>
    <t>140A16-0</t>
  </si>
  <si>
    <t>CAJA DE ENGRANAJE / DDA460</t>
  </si>
  <si>
    <t>140A19-4</t>
  </si>
  <si>
    <t>BOTON DE ENCENDIDO / DDA460</t>
  </si>
  <si>
    <t>140A20-9</t>
  </si>
  <si>
    <t>CUBIERTA DE LA CAJA DE ENGRANAJE / DDA460</t>
  </si>
  <si>
    <t>140A21-7</t>
  </si>
  <si>
    <t>TAPA DE CABEZAL / DDA460</t>
  </si>
  <si>
    <t>140A22-5</t>
  </si>
  <si>
    <t>CABEZAL DE ENGRANAJE / DDA460</t>
  </si>
  <si>
    <t>140A23-3</t>
  </si>
  <si>
    <t>ENGRANAJE CONICO EN ESPIRAL 13 / DDA460</t>
  </si>
  <si>
    <t>140A25-9</t>
  </si>
  <si>
    <t>140A26-7</t>
  </si>
  <si>
    <t>CUADRO PRINCIPAL / M1902</t>
  </si>
  <si>
    <t>140A30-6</t>
  </si>
  <si>
    <t>TAMBOR DE EMBRAGUE / EA3203S</t>
  </si>
  <si>
    <t>140A43-7</t>
  </si>
  <si>
    <t>140A48-7</t>
  </si>
  <si>
    <t>CAJA MOTOR  / VR1000</t>
  </si>
  <si>
    <t>140A71-2</t>
  </si>
  <si>
    <t>PROTECTOR DE MANO / DUC254</t>
  </si>
  <si>
    <t>140A74-6</t>
  </si>
  <si>
    <t>PLACA DE ENLACE / VARIOS</t>
  </si>
  <si>
    <t>140A75-4</t>
  </si>
  <si>
    <t>TANQUE DE ACEITE / DUC254</t>
  </si>
  <si>
    <t>140A77-0</t>
  </si>
  <si>
    <t>CONTROLADOR / DUC254</t>
  </si>
  <si>
    <t>140A85-1</t>
  </si>
  <si>
    <t>PALANCA DE FRENO / DTR180</t>
  </si>
  <si>
    <t>140A87-7</t>
  </si>
  <si>
    <t>140B03-5</t>
  </si>
  <si>
    <t>CAJA DE ENGRANAJE / TW140D</t>
  </si>
  <si>
    <t>140B04-3</t>
  </si>
  <si>
    <t>CAJA DE RODAMIENTO / TW140D</t>
  </si>
  <si>
    <t>140B24-7</t>
  </si>
  <si>
    <t>CUBIERTA FRONTAL / SC103D</t>
  </si>
  <si>
    <t>140B49-1</t>
  </si>
  <si>
    <t>140B61-1</t>
  </si>
  <si>
    <t>CONTROLADOR SEGUNDARIO / DUR189</t>
  </si>
  <si>
    <t>140B62-9</t>
  </si>
  <si>
    <t>TAPA CAJA DE ENGRANAJE / VARIOS</t>
  </si>
  <si>
    <t>140B66-1</t>
  </si>
  <si>
    <t>CUBIERTA CPL / DTR180</t>
  </si>
  <si>
    <t>140B67-9</t>
  </si>
  <si>
    <t>PLACA DE INTERRUPTOR / DTR180</t>
  </si>
  <si>
    <t>140B68-7</t>
  </si>
  <si>
    <t>CONTROLADOR / DTR180</t>
  </si>
  <si>
    <t>140B79-2</t>
  </si>
  <si>
    <t>ENGRANAJE PRINCIPAL / VARIOS</t>
  </si>
  <si>
    <t>140C48-9</t>
  </si>
  <si>
    <t>CAJA MOTOR  / DHS660</t>
  </si>
  <si>
    <t>140C49-7</t>
  </si>
  <si>
    <t>CAJA MOTOR / DHS661</t>
  </si>
  <si>
    <t>140C65-9</t>
  </si>
  <si>
    <t>TUBO ALUMINIO CPL / VARIOS</t>
  </si>
  <si>
    <t>140C85-3</t>
  </si>
  <si>
    <t>GUARDA MOVIL / DCS552</t>
  </si>
  <si>
    <t>140C92-6</t>
  </si>
  <si>
    <t>GUARDA / DCS553</t>
  </si>
  <si>
    <t>140D00-3</t>
  </si>
  <si>
    <t>ALOJAMIENTO DE ENGRANAJES / VARIOS</t>
  </si>
  <si>
    <t>140D07-9</t>
  </si>
  <si>
    <t>ESTUCHE DE CUCHILLA / DHS660 - DHS661</t>
  </si>
  <si>
    <t>140D36-2</t>
  </si>
  <si>
    <t>CAJA DE ENGRANAJE / TW141D</t>
  </si>
  <si>
    <t>140D62-1</t>
  </si>
  <si>
    <t>CARCASA SUPERIOR / DVC265</t>
  </si>
  <si>
    <t>140D69-7</t>
  </si>
  <si>
    <t>CAJA DE ENGRANAJE / LW1401</t>
  </si>
  <si>
    <t>140D72-8</t>
  </si>
  <si>
    <t>TAPA DE BATERIA / DLW140</t>
  </si>
  <si>
    <t>140D79-4</t>
  </si>
  <si>
    <t>CAJA DE ENGRANAJE / DCS553</t>
  </si>
  <si>
    <t>140E31-8</t>
  </si>
  <si>
    <t>ENGRANAJE RECTO 10 / DRV250</t>
  </si>
  <si>
    <t>140E32-6</t>
  </si>
  <si>
    <t>CARCASA DELANTERA / DRV250</t>
  </si>
  <si>
    <t>140E33-4</t>
  </si>
  <si>
    <t>CARCASA TRASERA / DRV250</t>
  </si>
  <si>
    <t>140E40-7</t>
  </si>
  <si>
    <t>SUJETADOR DE IMAN / DVR150</t>
  </si>
  <si>
    <t>140E43-1</t>
  </si>
  <si>
    <t>CAJA DE TRANSMISION / DTW181</t>
  </si>
  <si>
    <t>140F01-3</t>
  </si>
  <si>
    <t>TAPA DE MOTOR / DLM460</t>
  </si>
  <si>
    <t>140F02-1</t>
  </si>
  <si>
    <t>TAPA DE BATERIA / DLM460</t>
  </si>
  <si>
    <t>140F05-5</t>
  </si>
  <si>
    <t>SOPORTE DE CUCHILLA / DLM460</t>
  </si>
  <si>
    <t>140F06-3</t>
  </si>
  <si>
    <t>SUJETADOR DE TAMBOR / DLM460</t>
  </si>
  <si>
    <t>140F08-9</t>
  </si>
  <si>
    <t>CIRCUITO LED / DLM460</t>
  </si>
  <si>
    <t>140F09-7</t>
  </si>
  <si>
    <t>CIRCUITO DE INTERRUPTOR / DLM465</t>
  </si>
  <si>
    <t>140F10-2</t>
  </si>
  <si>
    <t>140F22-5</t>
  </si>
  <si>
    <t>140F25-9</t>
  </si>
  <si>
    <t>CUBIERTA DE INTERRUPTOR / VR1000</t>
  </si>
  <si>
    <t>140F28-3</t>
  </si>
  <si>
    <t>BANDA DE FRENO / DLM460</t>
  </si>
  <si>
    <t>140F51-8</t>
  </si>
  <si>
    <t>CUBIERTA DE FRENO / DLM460</t>
  </si>
  <si>
    <t>140F61-5</t>
  </si>
  <si>
    <t>CARCASA INFERIOR GRIS / DVC261</t>
  </si>
  <si>
    <t>140F83-5</t>
  </si>
  <si>
    <t>GUARDA FIJA / LS1219L</t>
  </si>
  <si>
    <t>140F85-1</t>
  </si>
  <si>
    <t>CAJA INTERNA / DHR182</t>
  </si>
  <si>
    <t>140F99-0</t>
  </si>
  <si>
    <t>TAPA / VARIOS</t>
  </si>
  <si>
    <t>140G00-1</t>
  </si>
  <si>
    <t>FLOTADOR CPL / DVC750L</t>
  </si>
  <si>
    <t>140G01-9</t>
  </si>
  <si>
    <t>INTERRUPTOR DE BASE / DVC750L</t>
  </si>
  <si>
    <t>140G02-7</t>
  </si>
  <si>
    <t>CUBIERTA SUPERIOR / DVC750L</t>
  </si>
  <si>
    <t>140G16-6</t>
  </si>
  <si>
    <t>CARCASA SUPERIOR  / DVC261</t>
  </si>
  <si>
    <t>140G18-2</t>
  </si>
  <si>
    <t>TAPA/VC009G</t>
  </si>
  <si>
    <t>140G19-0</t>
  </si>
  <si>
    <t>TUBO TELESCOPICO AL/ VARIOS</t>
  </si>
  <si>
    <t>140G25-5</t>
  </si>
  <si>
    <t>CUBIERTA DELANTERA CON BOQUILLA / CL108F</t>
  </si>
  <si>
    <t>140G26-3</t>
  </si>
  <si>
    <t>140G30-2</t>
  </si>
  <si>
    <t>140G46-7</t>
  </si>
  <si>
    <t>CAJA DE PERCUTOR M8100K</t>
  </si>
  <si>
    <t>140G47-5</t>
  </si>
  <si>
    <t>BASE DE RODAMIENTO / VARIOS</t>
  </si>
  <si>
    <t>140G57-2</t>
  </si>
  <si>
    <t>140G71-8</t>
  </si>
  <si>
    <t>TANQUE / DVC750L</t>
  </si>
  <si>
    <t>140G83-1</t>
  </si>
  <si>
    <t>140H08-1</t>
  </si>
  <si>
    <t>CAJA MOTOR  / LS1221</t>
  </si>
  <si>
    <t>140H47-1</t>
  </si>
  <si>
    <t>CARCASA SUPERIOR NEGRO / DC18SH</t>
  </si>
  <si>
    <t>140H65-9</t>
  </si>
  <si>
    <t>CIGÜEÑAL CPL / VARIOS</t>
  </si>
  <si>
    <t>140H92-6</t>
  </si>
  <si>
    <t>MANGUERA CPL / CL121D, DCL184</t>
  </si>
  <si>
    <t>140H94-2</t>
  </si>
  <si>
    <t>CEPILLO 360 / CL121D, DCL184</t>
  </si>
  <si>
    <t>140J06-7</t>
  </si>
  <si>
    <t>EJE CPL / DPB182</t>
  </si>
  <si>
    <t>140J07-5</t>
  </si>
  <si>
    <t>RUEDA A / VARIOS</t>
  </si>
  <si>
    <t>140J09-1</t>
  </si>
  <si>
    <t>CUADRO / DPB182</t>
  </si>
  <si>
    <t>140J36-8</t>
  </si>
  <si>
    <t>BIELA/HR3011FC -HR3012FC</t>
  </si>
  <si>
    <t>140J44-9</t>
  </si>
  <si>
    <t>CARCASA DELANTERA / DVR150</t>
  </si>
  <si>
    <t>140J45-7</t>
  </si>
  <si>
    <t>CARCASA TRASERA  / DVR150</t>
  </si>
  <si>
    <t>140J46-5</t>
  </si>
  <si>
    <t>ENGRANAJE RECTO 10 / DVR150</t>
  </si>
  <si>
    <t>140J49-9</t>
  </si>
  <si>
    <t>EJE DE CORTE / DTR180</t>
  </si>
  <si>
    <t>140J61-9</t>
  </si>
  <si>
    <t>MANUBRIO/UR101</t>
  </si>
  <si>
    <t>140J64-3</t>
  </si>
  <si>
    <t>ACCESORIO DE ASPIRACION / CL121D - DCL184</t>
  </si>
  <si>
    <t>140J81-3</t>
  </si>
  <si>
    <t>GUIA DE ENGRANAJE / DSL800</t>
  </si>
  <si>
    <t>140J82-1</t>
  </si>
  <si>
    <t>ENGRANAJE RECTO 17 / DSL800</t>
  </si>
  <si>
    <t>140J83-9</t>
  </si>
  <si>
    <t>PANEL / DSL800</t>
  </si>
  <si>
    <t>140J84-7</t>
  </si>
  <si>
    <t>MANGO DE BLOQUEO / DSL800</t>
  </si>
  <si>
    <t>140J85-5</t>
  </si>
  <si>
    <t>ESCOBILLA A / DSL800</t>
  </si>
  <si>
    <t>140J86-3</t>
  </si>
  <si>
    <t>ESCOBILLA B / DSL800</t>
  </si>
  <si>
    <t>140J89-7</t>
  </si>
  <si>
    <t>GUARDA DE DISCO FIJO / DLS211</t>
  </si>
  <si>
    <t>140K35-6</t>
  </si>
  <si>
    <t>SUB CONTROLADOR / DUR369A</t>
  </si>
  <si>
    <t>140K36-4</t>
  </si>
  <si>
    <t>INDICADOR DE CIRCUITO/UR101</t>
  </si>
  <si>
    <t>140K41-1</t>
  </si>
  <si>
    <t>CAJA DE ENGRANAJE / TW161D</t>
  </si>
  <si>
    <t>140K45-3</t>
  </si>
  <si>
    <t>ENGRANAJE RECTO 61 / DFN350</t>
  </si>
  <si>
    <t>140K48-7</t>
  </si>
  <si>
    <t>ENGRANAJE RECTO 8 / DFN350</t>
  </si>
  <si>
    <t>140K71-2</t>
  </si>
  <si>
    <t>GUIA DE ENGRANAJE / DWR180</t>
  </si>
  <si>
    <t>140K81-9</t>
  </si>
  <si>
    <t>CUBIERTA CENTRAL / DUC406</t>
  </si>
  <si>
    <t>140K84-3</t>
  </si>
  <si>
    <t>CONTROLADOR / DUC406</t>
  </si>
  <si>
    <t>140K97-4</t>
  </si>
  <si>
    <t>SOPORTE DE RIEL / DFN350</t>
  </si>
  <si>
    <t>140L18-2</t>
  </si>
  <si>
    <t>SOPORTE  MOTOR / 3709</t>
  </si>
  <si>
    <t>140L30-2</t>
  </si>
  <si>
    <t>SOPORTE DE MOTOR / M3700</t>
  </si>
  <si>
    <t>140L37-8</t>
  </si>
  <si>
    <t>CILINDRO / VARIOS</t>
  </si>
  <si>
    <t>140L61-1</t>
  </si>
  <si>
    <t>TUBO CPL / DSL800</t>
  </si>
  <si>
    <t>140L62-9</t>
  </si>
  <si>
    <t>CUBIERTA DE RODAMIENTO / DSL800</t>
  </si>
  <si>
    <t>140L65-3</t>
  </si>
  <si>
    <t>PALANCA INTERRUPTOR / DFL063F</t>
  </si>
  <si>
    <t>140L66-1</t>
  </si>
  <si>
    <t>EJE PRINCIPAL / DFL063F</t>
  </si>
  <si>
    <t>140L67-9</t>
  </si>
  <si>
    <t>CAJA DE ENGRANAJE CPL / DFL063F</t>
  </si>
  <si>
    <t>140L83-1</t>
  </si>
  <si>
    <t>EMPUÑADURA 19 / VARIOS</t>
  </si>
  <si>
    <t>140L84-9</t>
  </si>
  <si>
    <t>ARANDELA DE BLOQUEO / VARIOS</t>
  </si>
  <si>
    <t>140L89-9</t>
  </si>
  <si>
    <t>TUBO DE ALUMINO / DUR368L</t>
  </si>
  <si>
    <t>140M05-7</t>
  </si>
  <si>
    <t>FRENO DE MANO / DUC406</t>
  </si>
  <si>
    <t>140M11-2</t>
  </si>
  <si>
    <t>CAJA DE PERCUTOR / M8100K</t>
  </si>
  <si>
    <t>140M12-0</t>
  </si>
  <si>
    <t>ALOJAMIENTO DE ENGRANAJE / HP1630K</t>
  </si>
  <si>
    <t>140M22-7</t>
  </si>
  <si>
    <t>140M30-8</t>
  </si>
  <si>
    <t>140M75-6</t>
  </si>
  <si>
    <t>PLACA DE INTERRUPTOR / DGP180</t>
  </si>
  <si>
    <t>140M80-3</t>
  </si>
  <si>
    <t>ENGRANAJE RECTO 14 / DPB184</t>
  </si>
  <si>
    <t>140M81-1</t>
  </si>
  <si>
    <t>ENGRANAJE RECTO 16 / DPB184</t>
  </si>
  <si>
    <t>140M85-3</t>
  </si>
  <si>
    <t>CUADRO CPL / PDC01</t>
  </si>
  <si>
    <t>140M87-9</t>
  </si>
  <si>
    <t>CARCASA SUPERIOR  / PDC01</t>
  </si>
  <si>
    <t>140M96-8</t>
  </si>
  <si>
    <t>CARCASA TRASERA  / DHK180</t>
  </si>
  <si>
    <t>140M97-6</t>
  </si>
  <si>
    <t>140N21-5</t>
  </si>
  <si>
    <t>CARCAZA SUPERIOR / VARIOS</t>
  </si>
  <si>
    <t>140N50-8</t>
  </si>
  <si>
    <t>CAJA DE POLEAS / DKP181</t>
  </si>
  <si>
    <t>140N51-6</t>
  </si>
  <si>
    <t>CAJA MOTOR  / DKP181</t>
  </si>
  <si>
    <t>140N57-4</t>
  </si>
  <si>
    <t>MARTILLO / DTD156</t>
  </si>
  <si>
    <t>140N60-5</t>
  </si>
  <si>
    <t>TUBO CPL A / DSL800</t>
  </si>
  <si>
    <t>140N74-4</t>
  </si>
  <si>
    <t>140N76-0</t>
  </si>
  <si>
    <t>TAPA MOTOR / DUB363</t>
  </si>
  <si>
    <t>140P27-5</t>
  </si>
  <si>
    <t>BASE DE RODAMIENTO / TW141D</t>
  </si>
  <si>
    <t>140P83-5</t>
  </si>
  <si>
    <t>GUARDA DE DISCO FIJO / DHS900</t>
  </si>
  <si>
    <t>140P89-3</t>
  </si>
  <si>
    <t>CUADRO CPL / DHS900</t>
  </si>
  <si>
    <t>140P90-8</t>
  </si>
  <si>
    <t>MOTOR CPL / DX14</t>
  </si>
  <si>
    <t>140P91-6</t>
  </si>
  <si>
    <t>CUBIERTA SUPERIOR / DVC660</t>
  </si>
  <si>
    <t>140P92-4</t>
  </si>
  <si>
    <t>CARCASA SUPERIOR  / DVC665</t>
  </si>
  <si>
    <t>140P93-2</t>
  </si>
  <si>
    <t>CUBIERTA INFERIOR / DVC660</t>
  </si>
  <si>
    <t>140P94-0</t>
  </si>
  <si>
    <t>CARCASA INFERIOR GRIS / DVC665</t>
  </si>
  <si>
    <t>140P97-4</t>
  </si>
  <si>
    <t>CUBIERTA DE CAJA DE POLVO / DVC660</t>
  </si>
  <si>
    <t>140P98-2</t>
  </si>
  <si>
    <t>TAPA DE BOLSA DE POLVO / DVC665</t>
  </si>
  <si>
    <t>140P99-0</t>
  </si>
  <si>
    <t>PALANCA 100 / DVC660</t>
  </si>
  <si>
    <t>140R12-0</t>
  </si>
  <si>
    <t>CAJA DE ENGRANAJE CPL / JR3051T</t>
  </si>
  <si>
    <t>140R13-8</t>
  </si>
  <si>
    <t>CUBIERTA SUPERIOR DE CAJA ENGRANAJE / JR3051T</t>
  </si>
  <si>
    <t>140R14-6</t>
  </si>
  <si>
    <t>CAJA MOTOR CPL  / JR3051T</t>
  </si>
  <si>
    <t>140R15-4</t>
  </si>
  <si>
    <t>ENGRANAJE PRINCIPAL / JR3051T</t>
  </si>
  <si>
    <t>140R17-0</t>
  </si>
  <si>
    <t>CAJA DE ENGRANAJE/ DUN500W, DUN501W</t>
  </si>
  <si>
    <t>140R22-7</t>
  </si>
  <si>
    <t>TUBO A /DUN500W</t>
  </si>
  <si>
    <t>140R24-3</t>
  </si>
  <si>
    <t>SUB CONTROLADOR / DUN500W, DUN501W</t>
  </si>
  <si>
    <t>140R47-1</t>
  </si>
  <si>
    <t>CAJA DE ENGRANAJE / TD001G</t>
  </si>
  <si>
    <t>140R48-9</t>
  </si>
  <si>
    <t>BASE DE RODAJE / TD001G</t>
  </si>
  <si>
    <t>140R54-4</t>
  </si>
  <si>
    <t>PLACA DE INTERRUPTOR / TD001G</t>
  </si>
  <si>
    <t>140R63-3</t>
  </si>
  <si>
    <t>ENGRANAJE PRINCIPAL / DUH754S</t>
  </si>
  <si>
    <t>140R76-4</t>
  </si>
  <si>
    <t>ENGRANAJE RECTO /DF001G - HP001G</t>
  </si>
  <si>
    <t>140R95-0</t>
  </si>
  <si>
    <t>ALETA TRASERA / DLM465</t>
  </si>
  <si>
    <t>140R96-8</t>
  </si>
  <si>
    <t>TAPA TRASERA / VARIOS</t>
  </si>
  <si>
    <t>140S03-7</t>
  </si>
  <si>
    <t>CUBIERTA DE BATERIA / DLM465</t>
  </si>
  <si>
    <t>140S12-6</t>
  </si>
  <si>
    <t>140S15-0</t>
  </si>
  <si>
    <t>140S28-1</t>
  </si>
  <si>
    <t>RUEDA 75 /DVC560</t>
  </si>
  <si>
    <t>140S35-4</t>
  </si>
  <si>
    <t>PLACA DE INTERRUPTOR / DVC560</t>
  </si>
  <si>
    <t>140S43-5</t>
  </si>
  <si>
    <t>GUARDA DE DISCO FIJO / HS003G, HS004G</t>
  </si>
  <si>
    <t>140S46-9</t>
  </si>
  <si>
    <t>BASE DE TERMINAL / HS003G, HS004G</t>
  </si>
  <si>
    <t>140S58-2</t>
  </si>
  <si>
    <t>CONTROLADOR / VARIOS</t>
  </si>
  <si>
    <t>140S59-0</t>
  </si>
  <si>
    <t>BASE MOTOR IZQUIERDO / DUB363</t>
  </si>
  <si>
    <t>140S82-5</t>
  </si>
  <si>
    <t>TUBO DE EJE / UR101</t>
  </si>
  <si>
    <t>140S89-1</t>
  </si>
  <si>
    <t>PERNO DE IMPACTO / VARIOS</t>
  </si>
  <si>
    <t>140S92-2</t>
  </si>
  <si>
    <t>SUB CONTROLADOR / DUH754S,DUH604S</t>
  </si>
  <si>
    <t>140T04-1</t>
  </si>
  <si>
    <t>140T18-0</t>
  </si>
  <si>
    <t>SUB CONTROLADOR / VARIOS</t>
  </si>
  <si>
    <t>140T23-7</t>
  </si>
  <si>
    <t>140T33-4</t>
  </si>
  <si>
    <t>PALANCA DE INTERRUPTOR / GA028G - GA015G</t>
  </si>
  <si>
    <t>140T36-8</t>
  </si>
  <si>
    <t>CAJA DE TRANSMISION / DTW300</t>
  </si>
  <si>
    <t>140T37-6</t>
  </si>
  <si>
    <t>CAJA DE ENGRANAJE INTERNO / DTW300</t>
  </si>
  <si>
    <t>140T74-0</t>
  </si>
  <si>
    <t>EJE PRINCIPAL / DPB184,DPB183</t>
  </si>
  <si>
    <t>140T79-0</t>
  </si>
  <si>
    <t>PLACA DE INDICACION / DPB183</t>
  </si>
  <si>
    <t>140T99-4</t>
  </si>
  <si>
    <t>MARTILLO / TW001G</t>
  </si>
  <si>
    <t>140U03-9</t>
  </si>
  <si>
    <t>INTERRUPTOR / TW001G</t>
  </si>
  <si>
    <t>140U04-7</t>
  </si>
  <si>
    <t>BOMBA ACEITE / VARIOS</t>
  </si>
  <si>
    <t>140U47-9</t>
  </si>
  <si>
    <t>CAJA DE ENGRANAJE / DTW700, DTW701</t>
  </si>
  <si>
    <t>140U53-4</t>
  </si>
  <si>
    <t>PLACA DE INTERRUPTOR / DTW700, DTW701</t>
  </si>
  <si>
    <t>140U56-8</t>
  </si>
  <si>
    <t>CAJA DE VENTILADOR / DUB185</t>
  </si>
  <si>
    <t>140U92-4</t>
  </si>
  <si>
    <t>CAJA MOTOR  / M1100</t>
  </si>
  <si>
    <t>140V20-5</t>
  </si>
  <si>
    <t>EJE COMPLETO C / DUA301 - AU004G</t>
  </si>
  <si>
    <t>140V23-9</t>
  </si>
  <si>
    <t>VALVULA  LAMINA / DVC560</t>
  </si>
  <si>
    <t>140V32-8</t>
  </si>
  <si>
    <t>EJE PRINCIPAL / VARIOS</t>
  </si>
  <si>
    <t>140V49-1</t>
  </si>
  <si>
    <t>CUBIERTA DE MANGO / DKP181</t>
  </si>
  <si>
    <t>140V53-0</t>
  </si>
  <si>
    <t>CIRCUITO INDICADOR / DVC560</t>
  </si>
  <si>
    <t>140V75-0</t>
  </si>
  <si>
    <t>CUADRO CPL / DPB183</t>
  </si>
  <si>
    <t>140W06-5</t>
  </si>
  <si>
    <t>INTERRUPTOR/VARIOS</t>
  </si>
  <si>
    <t>140W13-8</t>
  </si>
  <si>
    <t>CAJA DE ENGRANAJE /TW004G - TW005G</t>
  </si>
  <si>
    <t>140W14-6</t>
  </si>
  <si>
    <t>140W19-6</t>
  </si>
  <si>
    <t>PLACA DE INDICACION / VARIOS</t>
  </si>
  <si>
    <t>140W38-2</t>
  </si>
  <si>
    <t>CAJA CIGÜEÑAL / HM1511,HM1512</t>
  </si>
  <si>
    <t>140W41-3</t>
  </si>
  <si>
    <t>CIRCUITO DE INTERRUPTOR / DUR192L</t>
  </si>
  <si>
    <t>140W45-5</t>
  </si>
  <si>
    <t>TUBO CPL B / DUR192L</t>
  </si>
  <si>
    <t>140W46-3</t>
  </si>
  <si>
    <t>TUBO CPL C / DUR192L</t>
  </si>
  <si>
    <t>140W47-1</t>
  </si>
  <si>
    <t>ARANDELA DE BLOQUEO / DUR192L</t>
  </si>
  <si>
    <t>140W48-9</t>
  </si>
  <si>
    <t>PALANCA / HR006G</t>
  </si>
  <si>
    <t>140W49-7</t>
  </si>
  <si>
    <t>140W50-2</t>
  </si>
  <si>
    <t>EMPUÑADURA PRINCIPAL / VARIOS</t>
  </si>
  <si>
    <t>140W55-2</t>
  </si>
  <si>
    <t>TAPA TRASERA / HR005G</t>
  </si>
  <si>
    <t>140W56-0</t>
  </si>
  <si>
    <t>PALANCA INTERNA / HR005G</t>
  </si>
  <si>
    <t>140W63-3</t>
  </si>
  <si>
    <t>CIRCUITO INDICADOR / VARIOS</t>
  </si>
  <si>
    <t>140W64-1</t>
  </si>
  <si>
    <t>CIRCUITO INTERRUPTOR / UX01G</t>
  </si>
  <si>
    <t>140W78-0</t>
  </si>
  <si>
    <t>TAPA TRASERA / HM001G</t>
  </si>
  <si>
    <t>140X08-7</t>
  </si>
  <si>
    <t>CIRCUITO INTERRUPTOR /UB002C</t>
  </si>
  <si>
    <t>140X49-3</t>
  </si>
  <si>
    <t>PALANCA INTERRUPTOR / GA037G,GA038G</t>
  </si>
  <si>
    <t>140X97-2</t>
  </si>
  <si>
    <t>CUBIERTA CAJA MOTOR  / HR006G</t>
  </si>
  <si>
    <t>140Y00-9</t>
  </si>
  <si>
    <t>CAJA DE ENGRANAJE / HR006G</t>
  </si>
  <si>
    <t>140Y01-7</t>
  </si>
  <si>
    <t>CUBIERTA DEL BARRIL / HR006G</t>
  </si>
  <si>
    <t>140Y05-9</t>
  </si>
  <si>
    <t>TAPA TRASERA / HM002G</t>
  </si>
  <si>
    <t>140Y09-1</t>
  </si>
  <si>
    <t>CAJA DE ENGRANAJE / DTD157</t>
  </si>
  <si>
    <t>140Y11-4</t>
  </si>
  <si>
    <t>BASE DE RODAMIENTO / DTD157</t>
  </si>
  <si>
    <t>140Y20-3</t>
  </si>
  <si>
    <t>CAJA MOTOR  / DCC500</t>
  </si>
  <si>
    <t>140Y21-1</t>
  </si>
  <si>
    <t>CAJA DE ENGRANAJE / DCC500</t>
  </si>
  <si>
    <t>140Y24-5</t>
  </si>
  <si>
    <t>CUENTA DE MANGO / DCC500</t>
  </si>
  <si>
    <t>140Y38-4</t>
  </si>
  <si>
    <t>SOPORTE DE TUBO CPL/UR006G-07G</t>
  </si>
  <si>
    <t>140Y51-2</t>
  </si>
  <si>
    <t>SOPORTE DE RESORTE / HR005G</t>
  </si>
  <si>
    <t>140Y86-3</t>
  </si>
  <si>
    <t>COBERTOR DE FRENO / GA7070 - GA9070</t>
  </si>
  <si>
    <t>140Y89-7</t>
  </si>
  <si>
    <t>CAJA DE ENGRANAJE / GA7070 - GA9070</t>
  </si>
  <si>
    <t>141019-1</t>
  </si>
  <si>
    <t>FLOTADOR CPL / VARIOS</t>
  </si>
  <si>
    <t>141026-4</t>
  </si>
  <si>
    <t>ENGRANAJE CPL / JV0600</t>
  </si>
  <si>
    <t>141028-0</t>
  </si>
  <si>
    <t>RETEN CPL / JV0600</t>
  </si>
  <si>
    <t>141033-7</t>
  </si>
  <si>
    <t>141040-0</t>
  </si>
  <si>
    <t>CUBIERTA DE FILTRO CPL / EK7650H</t>
  </si>
  <si>
    <t>141042-6</t>
  </si>
  <si>
    <t>GUARDA DE DISCO / EK7650H</t>
  </si>
  <si>
    <t>1410F7-0</t>
  </si>
  <si>
    <t>141133-3</t>
  </si>
  <si>
    <t>BRAZO SUPERIOR / LF1000</t>
  </si>
  <si>
    <t>141150-3</t>
  </si>
  <si>
    <t>141165-0</t>
  </si>
  <si>
    <t>CAJA DE PERCUTOR / HP1640</t>
  </si>
  <si>
    <t>141173-1</t>
  </si>
  <si>
    <t>CAJA MOTOR GRIS / MTR50</t>
  </si>
  <si>
    <t>141229-0</t>
  </si>
  <si>
    <t>CAJA DE ENGRANAJE / DHR242</t>
  </si>
  <si>
    <t>141238-9</t>
  </si>
  <si>
    <t>EJE B / DUX60</t>
  </si>
  <si>
    <t>141247-8</t>
  </si>
  <si>
    <t>GUIA FRONTAL / PJ7000 - DPJ180</t>
  </si>
  <si>
    <t>141312-3</t>
  </si>
  <si>
    <t>GUIA DE ALTURA DE CORTE / DHS710</t>
  </si>
  <si>
    <t>141327-0</t>
  </si>
  <si>
    <t>CAJA DE ENGRANAJE / PJ7000</t>
  </si>
  <si>
    <t>141335-1</t>
  </si>
  <si>
    <t>TUBO DE EJE / EM4351UH</t>
  </si>
  <si>
    <t>141381-4</t>
  </si>
  <si>
    <t>141448-8</t>
  </si>
  <si>
    <t>141458-5</t>
  </si>
  <si>
    <t>ENGRANAJE 11 / DHR242</t>
  </si>
  <si>
    <t>141515-9</t>
  </si>
  <si>
    <t>SOPORTE DE FRENO / GA4541C</t>
  </si>
  <si>
    <t>141521-4</t>
  </si>
  <si>
    <t>CUBIERTA DE MOTOR / PM7650H</t>
  </si>
  <si>
    <t>141522-2</t>
  </si>
  <si>
    <t>SUJETADOR DE CARCASA / PM7650H</t>
  </si>
  <si>
    <t>141523-0</t>
  </si>
  <si>
    <t>TANQUE CPL / PM7650H</t>
  </si>
  <si>
    <t>141525-6</t>
  </si>
  <si>
    <t>TAPA FILTRO DE AIRE / PM7650H</t>
  </si>
  <si>
    <t>141540-0</t>
  </si>
  <si>
    <t>PLACA DE ENLACE /LF1000</t>
  </si>
  <si>
    <t>141572-7</t>
  </si>
  <si>
    <t>BASE INTERNA / VARIOS</t>
  </si>
  <si>
    <t>141573-5</t>
  </si>
  <si>
    <t>CAJA DE TRANSMISION  / HR2631F - HR2641</t>
  </si>
  <si>
    <t>141574-3</t>
  </si>
  <si>
    <t>CAJA DE TRANSMISION / VARIOS</t>
  </si>
  <si>
    <t>141575-1</t>
  </si>
  <si>
    <t>CARCASA INTERNA CPL / VARIOS</t>
  </si>
  <si>
    <t>141584-0</t>
  </si>
  <si>
    <t>MANGO CPL / EM4351UH</t>
  </si>
  <si>
    <t>141585-8</t>
  </si>
  <si>
    <t>TAPA INTERRUPTOR/ VARIOS</t>
  </si>
  <si>
    <t>141633-3</t>
  </si>
  <si>
    <t>CAJA DE ENGRANAJE / DTD129</t>
  </si>
  <si>
    <t>141649-8</t>
  </si>
  <si>
    <t>CAJA DE ARRANQUE CPL / PM7650H</t>
  </si>
  <si>
    <t>141664-2</t>
  </si>
  <si>
    <t>CAJA DE ENGRANAJE INTERNO/ VARIOS</t>
  </si>
  <si>
    <t>141670-7</t>
  </si>
  <si>
    <t>AISLANTE CPL / PM7650H</t>
  </si>
  <si>
    <t>141672-3</t>
  </si>
  <si>
    <t>CUERPO DE LA BOMBA / PM7650H</t>
  </si>
  <si>
    <t>141689-6</t>
  </si>
  <si>
    <t>CAMPANA /VARIOS</t>
  </si>
  <si>
    <t>141690-1</t>
  </si>
  <si>
    <t>ENGRANAJE DE EJE / JS1602</t>
  </si>
  <si>
    <t>141691-9</t>
  </si>
  <si>
    <t>CAJA DE ENGRANAJE / JS1602</t>
  </si>
  <si>
    <t>141726-6</t>
  </si>
  <si>
    <t>CAJA MOTOR  / 4100NH2</t>
  </si>
  <si>
    <t>141764-8</t>
  </si>
  <si>
    <t>TAPA DE TANQUE / PM7650H</t>
  </si>
  <si>
    <t>141771-1</t>
  </si>
  <si>
    <t>CUBIERTA DE CABEZAL / PM7650H</t>
  </si>
  <si>
    <t>141773-7</t>
  </si>
  <si>
    <t>CAJA MOTOR GRIS / MTR51</t>
  </si>
  <si>
    <t>141776-1</t>
  </si>
  <si>
    <t>141785-0</t>
  </si>
  <si>
    <t>TUBO ALUMINIO / VARIOS</t>
  </si>
  <si>
    <t>141786-8</t>
  </si>
  <si>
    <t>CILINDRO / HM1214C</t>
  </si>
  <si>
    <t>141794-9</t>
  </si>
  <si>
    <t>INTERRUPTOR / EW1050</t>
  </si>
  <si>
    <t>141796-5</t>
  </si>
  <si>
    <t>CAJA DE RODAJE / JS3201</t>
  </si>
  <si>
    <t>141861-0</t>
  </si>
  <si>
    <t>SUJETADOR CPL / VARIOS</t>
  </si>
  <si>
    <t>141867-8</t>
  </si>
  <si>
    <t>BASE CPL / M3600 - MRP102</t>
  </si>
  <si>
    <t>141868-6</t>
  </si>
  <si>
    <t>SOPORTE DE MOTOR / M3600</t>
  </si>
  <si>
    <t>141875-9</t>
  </si>
  <si>
    <t>FILTRO PARA POLVO / VC3211M</t>
  </si>
  <si>
    <t>141899-5</t>
  </si>
  <si>
    <t>BASE DE RODAJE / VARIOS</t>
  </si>
  <si>
    <t>141915-3</t>
  </si>
  <si>
    <t>141916-1</t>
  </si>
  <si>
    <t>141917-9</t>
  </si>
  <si>
    <t>SEPARADOR COMPLETO P/VC3211H</t>
  </si>
  <si>
    <t>141918-7</t>
  </si>
  <si>
    <t>VALVULA INTERNA / VC3211H - VC2211M</t>
  </si>
  <si>
    <t>141919-5</t>
  </si>
  <si>
    <t>VALVULA EXTERIOR / VC3211H - VC2211M</t>
  </si>
  <si>
    <t>141921-8</t>
  </si>
  <si>
    <t>ADAPTADOR DE TUBO CPL / PM7650H</t>
  </si>
  <si>
    <t>141941-2</t>
  </si>
  <si>
    <t>141951-9</t>
  </si>
  <si>
    <t>ENGRANAJE CPL / M6501 - MDP205</t>
  </si>
  <si>
    <t>141953-5</t>
  </si>
  <si>
    <t>141955-1</t>
  </si>
  <si>
    <t>CAJA DE ENGRANAJE CPL  / VARIOS</t>
  </si>
  <si>
    <t>141956-9</t>
  </si>
  <si>
    <t>BARRIL CPL / VARIOS</t>
  </si>
  <si>
    <t>141957-7</t>
  </si>
  <si>
    <t>TAPA DE CAJA A CPL / VARIOS</t>
  </si>
  <si>
    <t>141959-3</t>
  </si>
  <si>
    <t>141961-6</t>
  </si>
  <si>
    <t>141975-5</t>
  </si>
  <si>
    <t>CAJA MOTOR GRIS / MCC401</t>
  </si>
  <si>
    <t>141981-0</t>
  </si>
  <si>
    <t>CUBIERTA DE ENGRANAJE / VARIOS</t>
  </si>
  <si>
    <t>141A11-3</t>
  </si>
  <si>
    <t>CAJA DISCO / RS001G</t>
  </si>
  <si>
    <t>141A12-1</t>
  </si>
  <si>
    <t>CAJA MOTOR  / RS001G</t>
  </si>
  <si>
    <t>141A63-4</t>
  </si>
  <si>
    <t>ENGRANAJE 46  /DFR452 - DFR551</t>
  </si>
  <si>
    <t>141A64-2</t>
  </si>
  <si>
    <t>CAJA DE ENGRANAJE  /DFR452 - DFR551</t>
  </si>
  <si>
    <t>141A67-6</t>
  </si>
  <si>
    <t>EJE  /DFR452 - DFR551</t>
  </si>
  <si>
    <t>141A74-9</t>
  </si>
  <si>
    <t>CARCASA DE ESTUCHE 41   / DFR452</t>
  </si>
  <si>
    <t>141A75-7</t>
  </si>
  <si>
    <t>TAPA DE CAJA   / DFR452</t>
  </si>
  <si>
    <t>141A76-5</t>
  </si>
  <si>
    <t>BASE TOPE  /DFR452</t>
  </si>
  <si>
    <t>141A78-1</t>
  </si>
  <si>
    <t>TRINQUETE /DFR452 - DFR551</t>
  </si>
  <si>
    <t>141B54-1</t>
  </si>
  <si>
    <t>CIRCUITO INDICADOR / CL001G</t>
  </si>
  <si>
    <t>141B58-3</t>
  </si>
  <si>
    <t>SOPORTE DE MOTOR / DUN461W</t>
  </si>
  <si>
    <t>141B59-1</t>
  </si>
  <si>
    <t>ENGRANAJE / DUN461W</t>
  </si>
  <si>
    <t>141C08-4</t>
  </si>
  <si>
    <t>CAJA DE CUCHILLA / LS003G</t>
  </si>
  <si>
    <t>141C11-5</t>
  </si>
  <si>
    <t>CAJA DE TRANSMISION / LS03G-04G</t>
  </si>
  <si>
    <t>141C12-3</t>
  </si>
  <si>
    <t>BRAZO CPL / LS003G</t>
  </si>
  <si>
    <t>141C14-9</t>
  </si>
  <si>
    <t>BRAZO DELANTERO / LS003G</t>
  </si>
  <si>
    <t>141C16-5</t>
  </si>
  <si>
    <t>CERCA SUPERIOR L / LS003G</t>
  </si>
  <si>
    <t>141C18-1</t>
  </si>
  <si>
    <t>CERCA SUPERIOR R / LS003G</t>
  </si>
  <si>
    <t>141C21-2</t>
  </si>
  <si>
    <t>CUBIERTA LED CPL / LS003G</t>
  </si>
  <si>
    <t>141C22-0</t>
  </si>
  <si>
    <t>141C39-3</t>
  </si>
  <si>
    <t>PORTA TUBOS 32 CPL / DUN461W</t>
  </si>
  <si>
    <t>141C40-8</t>
  </si>
  <si>
    <t>141C46-6</t>
  </si>
  <si>
    <t>141C49-0</t>
  </si>
  <si>
    <t>141C50-5</t>
  </si>
  <si>
    <t>CAJA DE ENGRANAJE /UH006G, UH007G</t>
  </si>
  <si>
    <t>141C76-7</t>
  </si>
  <si>
    <t>ESTUCHE DE HOJA / LS004G</t>
  </si>
  <si>
    <t>141C80-6</t>
  </si>
  <si>
    <t>BRAZO / LS004G</t>
  </si>
  <si>
    <t>141C81-4</t>
  </si>
  <si>
    <t>REGLA SUPERIOR L / LS004G</t>
  </si>
  <si>
    <t>141C82-2</t>
  </si>
  <si>
    <t>REGLA SUPERIOR R / LS004G</t>
  </si>
  <si>
    <t>141C83-0</t>
  </si>
  <si>
    <t>BRAZO DELANTERO / LS004G</t>
  </si>
  <si>
    <t>141D05-6</t>
  </si>
  <si>
    <t>CARCASA DE TERMINAL  / SP001G</t>
  </si>
  <si>
    <t>141D06-4</t>
  </si>
  <si>
    <t>GUARDA DISCO FIJO / SP001G</t>
  </si>
  <si>
    <t>141D07-2</t>
  </si>
  <si>
    <t>CAJA DE ENGRANAJE / SP001G</t>
  </si>
  <si>
    <t>141D24-2</t>
  </si>
  <si>
    <t>ABRAZADERA SUPERIOR 22 CPL / UR006G</t>
  </si>
  <si>
    <t>141D26-8</t>
  </si>
  <si>
    <t>ETIQUETA CONTROL /VARIOS</t>
  </si>
  <si>
    <t>141D27-6</t>
  </si>
  <si>
    <t>MANGO 22L CPL/UR006G</t>
  </si>
  <si>
    <t>141D32-3</t>
  </si>
  <si>
    <t>CUBIERTA LED / LS004G</t>
  </si>
  <si>
    <t>141D39-9</t>
  </si>
  <si>
    <t>141D66-6</t>
  </si>
  <si>
    <t>CIRCUITO DE INTERRUPTOR / VARIOS</t>
  </si>
  <si>
    <t>141D72-1</t>
  </si>
  <si>
    <t>GUARDA/UR012G</t>
  </si>
  <si>
    <t>141D74-7</t>
  </si>
  <si>
    <t>TUBO PRINCIPAL/UR012G</t>
  </si>
  <si>
    <t>141D78-9</t>
  </si>
  <si>
    <t>CAJA MOTOR  / 3709 - 4403</t>
  </si>
  <si>
    <t>141D80-2</t>
  </si>
  <si>
    <t>CAJA MOTOR  / M3700</t>
  </si>
  <si>
    <t>141E09-4</t>
  </si>
  <si>
    <t>BASE B / LS003G</t>
  </si>
  <si>
    <t>141E52-3</t>
  </si>
  <si>
    <t>TAPA GUIA DE AVT / HR5212C</t>
  </si>
  <si>
    <t>141E55-7</t>
  </si>
  <si>
    <t>CUBIERTA DE MOTOR R / CL001G</t>
  </si>
  <si>
    <t>141E60-4</t>
  </si>
  <si>
    <t>MECANISMO DE FRENO / VARIOS</t>
  </si>
  <si>
    <t>141E90-5</t>
  </si>
  <si>
    <t>PLACA DE INDICACION / DBO380</t>
  </si>
  <si>
    <t>141E93-9</t>
  </si>
  <si>
    <t>BASE B / LS004G</t>
  </si>
  <si>
    <t>141F42-2</t>
  </si>
  <si>
    <t>SOPORTE INTERNO / VARIOS</t>
  </si>
  <si>
    <t>141F83-8</t>
  </si>
  <si>
    <t>TAPA DE TANQUE CPL / VARIOS</t>
  </si>
  <si>
    <t>141F87-0</t>
  </si>
  <si>
    <t>CARCASA TAPA /HM001G</t>
  </si>
  <si>
    <t>141G07-0</t>
  </si>
  <si>
    <t>141G16-9</t>
  </si>
  <si>
    <t>CAJA DE TERMINAL / HS009G - HS010G</t>
  </si>
  <si>
    <t>141G17-7</t>
  </si>
  <si>
    <t>CAJA DE DISCO CORTE / HS009G - HS010G</t>
  </si>
  <si>
    <t>141G57-5</t>
  </si>
  <si>
    <t>TAPA EXTERIOR / AS001G</t>
  </si>
  <si>
    <t>141G67-2</t>
  </si>
  <si>
    <t>PLACA DE INTERRUPTOR /DFR452 - DFR551</t>
  </si>
  <si>
    <t>141H07-6</t>
  </si>
  <si>
    <t>CAJA DE ENGRANAJES / HR5212C</t>
  </si>
  <si>
    <t>141H08-4</t>
  </si>
  <si>
    <t>141H14-9</t>
  </si>
  <si>
    <t>CIRCUITO DE INTERRUPTOR / UA003G, UA004G</t>
  </si>
  <si>
    <t>141H35-1</t>
  </si>
  <si>
    <t>CIRCUITO INTERRUPTOR / VARIOS</t>
  </si>
  <si>
    <t>141H68-6</t>
  </si>
  <si>
    <t>141J65-4</t>
  </si>
  <si>
    <t>141J66-2</t>
  </si>
  <si>
    <t>141J99-7</t>
  </si>
  <si>
    <t>ENGRANAJE 21-25 /DFR452 - DFR551</t>
  </si>
  <si>
    <t>141K56-1</t>
  </si>
  <si>
    <t>CAJA MOTOR  / AS001G</t>
  </si>
  <si>
    <t>141K82-0</t>
  </si>
  <si>
    <t>PROTECTOR DE MANO  / DUC357 - DUC407</t>
  </si>
  <si>
    <t>141L26-6</t>
  </si>
  <si>
    <t>GUARDA DE DISCO 115 / VARIOS</t>
  </si>
  <si>
    <t>141L92-3</t>
  </si>
  <si>
    <t>ENGRANAJE CPL /DJR189</t>
  </si>
  <si>
    <t>141M76-7</t>
  </si>
  <si>
    <t>141N25-0</t>
  </si>
  <si>
    <t>BOMBA DE ACEITE CPL / VARIOS</t>
  </si>
  <si>
    <t>141N53-5</t>
  </si>
  <si>
    <t>141P44-8</t>
  </si>
  <si>
    <t>GUARDA DE DISCO / VARIOS</t>
  </si>
  <si>
    <t>141R04-2</t>
  </si>
  <si>
    <t>141R06-8</t>
  </si>
  <si>
    <t>141R09-2</t>
  </si>
  <si>
    <t>141R14-9</t>
  </si>
  <si>
    <t>141R15-7</t>
  </si>
  <si>
    <t>141R82-2</t>
  </si>
  <si>
    <t>141R84-8</t>
  </si>
  <si>
    <t>141S38-1</t>
  </si>
  <si>
    <t>141S89-4</t>
  </si>
  <si>
    <t>RETEN DEL RODAMIENTO 32-43 / DDG461 - DG002G</t>
  </si>
  <si>
    <t>141V03-8</t>
  </si>
  <si>
    <t>141V04-6</t>
  </si>
  <si>
    <t>141V18-5</t>
  </si>
  <si>
    <t>142001-3</t>
  </si>
  <si>
    <t>BOMBA DE ACEITE / UC4020C</t>
  </si>
  <si>
    <t>142002-1</t>
  </si>
  <si>
    <t>BOMBA DE ACEITE / VARIOS</t>
  </si>
  <si>
    <t>142022-5</t>
  </si>
  <si>
    <t>TUBO DE ALUMINIO / EN4950H</t>
  </si>
  <si>
    <t>142038-0</t>
  </si>
  <si>
    <t>ENGRANAJE RECTO 9A / DCG180</t>
  </si>
  <si>
    <t>142041-1</t>
  </si>
  <si>
    <t>CREMALLERA 42 / DCG180</t>
  </si>
  <si>
    <t>142042-9</t>
  </si>
  <si>
    <t>CREMALLERA 64 / DCG180</t>
  </si>
  <si>
    <t>142066-5</t>
  </si>
  <si>
    <t>MOTOR / DCG180</t>
  </si>
  <si>
    <t>142072-0</t>
  </si>
  <si>
    <t>PISTON B / DCG180</t>
  </si>
  <si>
    <t>142074-6</t>
  </si>
  <si>
    <t>SUJETADOR DE LEVA CPL / M0801 - MHP80B</t>
  </si>
  <si>
    <t>142083-5</t>
  </si>
  <si>
    <t>EMPUÑADURA 36 / M0801K</t>
  </si>
  <si>
    <t>142095-8</t>
  </si>
  <si>
    <t>TUBO ALUMINIO / RBC412</t>
  </si>
  <si>
    <t>142128-9</t>
  </si>
  <si>
    <t>AISLANTE / EM4351UH</t>
  </si>
  <si>
    <t>142142-5</t>
  </si>
  <si>
    <t>CAJA MOTOR  / 4100NH3</t>
  </si>
  <si>
    <t>142143-3</t>
  </si>
  <si>
    <t>CAJA DE ENGRANAJE / 4100NH3</t>
  </si>
  <si>
    <t>142144-1</t>
  </si>
  <si>
    <t>EJE DENTADO / VARIOS</t>
  </si>
  <si>
    <t>142150-6</t>
  </si>
  <si>
    <t>DUCTO DE COMBUSTIBLE / EK7651H</t>
  </si>
  <si>
    <t>142154-8</t>
  </si>
  <si>
    <t>CAJA DE ENGRANAJE / FS4200</t>
  </si>
  <si>
    <t>142156-4</t>
  </si>
  <si>
    <t>142159-8</t>
  </si>
  <si>
    <t>142176-8</t>
  </si>
  <si>
    <t>ENGRANAJE / M4500 - MJR300</t>
  </si>
  <si>
    <t>142177-6</t>
  </si>
  <si>
    <t>142235-8</t>
  </si>
  <si>
    <t>TUERCA / VARIOS</t>
  </si>
  <si>
    <t>142263-3</t>
  </si>
  <si>
    <t>PANEL INDICADOR / VARIOS</t>
  </si>
  <si>
    <t>142279-8</t>
  </si>
  <si>
    <t>PALANCA DE FRENO / UC4041A</t>
  </si>
  <si>
    <t>142281-1</t>
  </si>
  <si>
    <t>CUBIERTA DE CADENA / UC4041A</t>
  </si>
  <si>
    <t>142282-9</t>
  </si>
  <si>
    <t>142284-5</t>
  </si>
  <si>
    <t>ENGRANAJE / DJR183</t>
  </si>
  <si>
    <t>142289-5</t>
  </si>
  <si>
    <t>SOPORTE CPL / VARIOS</t>
  </si>
  <si>
    <t>142291-8</t>
  </si>
  <si>
    <t>CAJA MOTOR  / UB1103</t>
  </si>
  <si>
    <t>142292-6</t>
  </si>
  <si>
    <t>CARCASA DE VENTILADOR  / UB1103</t>
  </si>
  <si>
    <t>142341-9</t>
  </si>
  <si>
    <t>142342-7</t>
  </si>
  <si>
    <t>CUBIERTA DE RUEDA DENTADA / VARIOS</t>
  </si>
  <si>
    <t>142348-5</t>
  </si>
  <si>
    <t>CAJA MOTOR / UC4051A - UC4551A</t>
  </si>
  <si>
    <t>142365-5</t>
  </si>
  <si>
    <t>CAJA DE ENGRANAJE / DHS710</t>
  </si>
  <si>
    <t>142370-2</t>
  </si>
  <si>
    <t>142399-8</t>
  </si>
  <si>
    <t>142400-9</t>
  </si>
  <si>
    <t>142403-3</t>
  </si>
  <si>
    <t>BASE GUIA DE CORTE / RT0700C - DRT50</t>
  </si>
  <si>
    <t>142406-7</t>
  </si>
  <si>
    <t>CAJA DE ENGRANAJES A / HR5212C</t>
  </si>
  <si>
    <t>142407-5</t>
  </si>
  <si>
    <t>CARCASA MANIVELA B / HR5202C</t>
  </si>
  <si>
    <t>142408-3</t>
  </si>
  <si>
    <t>BARRIL / VARIOS</t>
  </si>
  <si>
    <t>142409-1</t>
  </si>
  <si>
    <t>ALOJAMIENTO DE ENGRANAJE / VARIOS</t>
  </si>
  <si>
    <t>142410-6</t>
  </si>
  <si>
    <t>142411-4</t>
  </si>
  <si>
    <t>CUBIERTA CAJA DE ENGRANAJES / HR5212C</t>
  </si>
  <si>
    <t>142412-2</t>
  </si>
  <si>
    <t>CUBIERTA ALOJAMIENTO COMPLE./ HR5202C</t>
  </si>
  <si>
    <t>142440-7</t>
  </si>
  <si>
    <t>BASE DE MAGNETICA CPL / DBN500</t>
  </si>
  <si>
    <t>142442-3</t>
  </si>
  <si>
    <t>CLAVIJA DE ACERO / DBN500</t>
  </si>
  <si>
    <t>142443-1</t>
  </si>
  <si>
    <t>PLATO CENTRAL CPL / DBN500</t>
  </si>
  <si>
    <t>142465-1</t>
  </si>
  <si>
    <t>GUARDA DE DISCO FIJO / 5007NB, 5007F</t>
  </si>
  <si>
    <t>142466-9</t>
  </si>
  <si>
    <t>CAJA MOTOR  / 5007NB, 5007F</t>
  </si>
  <si>
    <t>142541-1</t>
  </si>
  <si>
    <t>CAJA DE ENGRANAJE / 4100NH2</t>
  </si>
  <si>
    <t>142542-9</t>
  </si>
  <si>
    <t>CIGUEÑAL / EM3400U</t>
  </si>
  <si>
    <t>142665-3</t>
  </si>
  <si>
    <t>ENGRANAJE DE TRANSMISION / UC4551A</t>
  </si>
  <si>
    <t>142700-7</t>
  </si>
  <si>
    <t>TUBO ALUMINIO / RBC414U</t>
  </si>
  <si>
    <t>142706-5</t>
  </si>
  <si>
    <t>BARRIL / M8600</t>
  </si>
  <si>
    <t>142736-6</t>
  </si>
  <si>
    <t>142751-0</t>
  </si>
  <si>
    <t>142753-6</t>
  </si>
  <si>
    <t>CAJA DE ENGRANAJE / M9001 - M9000</t>
  </si>
  <si>
    <t>142754-4</t>
  </si>
  <si>
    <t>142783-7</t>
  </si>
  <si>
    <t>GUARDA DE PIÑON / EA3203S</t>
  </si>
  <si>
    <t>142808-7</t>
  </si>
  <si>
    <t>CIGÜEÑAL</t>
  </si>
  <si>
    <t>142812-6</t>
  </si>
  <si>
    <t>GUIA SUPERIOR IZQUIERDO /LS1016L</t>
  </si>
  <si>
    <t>142837-0</t>
  </si>
  <si>
    <t>TUBO DE EJE / EM3400U</t>
  </si>
  <si>
    <t>142838-8</t>
  </si>
  <si>
    <t>TUBO ALUMINIO / EM4350RH</t>
  </si>
  <si>
    <t>142840-1</t>
  </si>
  <si>
    <t>CAJA DE RODAJE / M6201 - M6600</t>
  </si>
  <si>
    <t>142841-9</t>
  </si>
  <si>
    <t>CAJA DE ENGRANAJE / M6201 - M6600</t>
  </si>
  <si>
    <t>142851-6</t>
  </si>
  <si>
    <t>BASE DE CARBURADOR /EM4350RH</t>
  </si>
  <si>
    <t>142854-0</t>
  </si>
  <si>
    <t>ASA FLEXIBLE</t>
  </si>
  <si>
    <t>142857-4</t>
  </si>
  <si>
    <t>142861-3</t>
  </si>
  <si>
    <t>VOLANTE MAGNETICO / VARIOS</t>
  </si>
  <si>
    <t>142862-1</t>
  </si>
  <si>
    <t>PROTECTOR DE MANO CPL</t>
  </si>
  <si>
    <t>142872-8</t>
  </si>
  <si>
    <t>CAJA MOTOR  / HS6600 - HS7600</t>
  </si>
  <si>
    <t>142893-0</t>
  </si>
  <si>
    <t>CAJA MOTOR GRIS / MGA92A, MGA92B</t>
  </si>
  <si>
    <t>142901-7</t>
  </si>
  <si>
    <t>142903-3</t>
  </si>
  <si>
    <t>EJE 125 / DFS452</t>
  </si>
  <si>
    <t>142904-1</t>
  </si>
  <si>
    <t>ENGRANAJE / DFS452</t>
  </si>
  <si>
    <t>142905-9</t>
  </si>
  <si>
    <t>PLACA DE INTERRUPTOR / DFS452</t>
  </si>
  <si>
    <t>142909-1</t>
  </si>
  <si>
    <t>CUCHILLA/ AG3751</t>
  </si>
  <si>
    <t>142919-8</t>
  </si>
  <si>
    <t>CAJA DE TRANSMISION / HM1812</t>
  </si>
  <si>
    <t>142921-1</t>
  </si>
  <si>
    <t>MANIVELA  / HM1812</t>
  </si>
  <si>
    <t>142922-9</t>
  </si>
  <si>
    <t>BIELA CPL / HM1812</t>
  </si>
  <si>
    <t>142923-7</t>
  </si>
  <si>
    <t>CAJA DE ENGRANAJE / HM1802</t>
  </si>
  <si>
    <t>142928-7</t>
  </si>
  <si>
    <t>CAJA DE ENGRANAJE / DTS131, DTS141</t>
  </si>
  <si>
    <t>142952-0</t>
  </si>
  <si>
    <t>CAJA DE CIGUEÑAL / HM1812</t>
  </si>
  <si>
    <t>142970-8</t>
  </si>
  <si>
    <t>CAJA DE ENGRANAJE / HR2631F - HR2641</t>
  </si>
  <si>
    <t>142971-6</t>
  </si>
  <si>
    <t>CAJA DE ENGRANAJE / HR2630 - HR2320T</t>
  </si>
  <si>
    <t>142972-4</t>
  </si>
  <si>
    <t>142973-2</t>
  </si>
  <si>
    <t>PORTA HERRAMIENTA  / HR2630 - HR2300</t>
  </si>
  <si>
    <t>142976-6</t>
  </si>
  <si>
    <t>PALANCA DE INTERRUPTOR / VARIOS</t>
  </si>
  <si>
    <t>142985-5</t>
  </si>
  <si>
    <t>GUARDA DE DISCO FIJO / M0400</t>
  </si>
  <si>
    <t>142986-3</t>
  </si>
  <si>
    <t>CAJA MOTOR  /M0400</t>
  </si>
  <si>
    <t>143011-3</t>
  </si>
  <si>
    <t>TUBO DE ALUMINIO / DUR364L</t>
  </si>
  <si>
    <t>143014-7</t>
  </si>
  <si>
    <t>TANQUE DE GASOLINA</t>
  </si>
  <si>
    <t>143016-3</t>
  </si>
  <si>
    <t>CAJA DE ENGRANAJE / GA9050 - GA7050</t>
  </si>
  <si>
    <t>143035-9</t>
  </si>
  <si>
    <t>TOPE / TW007G-TW008G</t>
  </si>
  <si>
    <t>143040-6</t>
  </si>
  <si>
    <t>143046-4</t>
  </si>
  <si>
    <t>MANGO / EM3400U</t>
  </si>
  <si>
    <t>143050-3</t>
  </si>
  <si>
    <t>EJE PRINCIPAL CPL / DFL650F</t>
  </si>
  <si>
    <t>143051-1</t>
  </si>
  <si>
    <t>CABEZA ANGULAR / DFL650F</t>
  </si>
  <si>
    <t>143052-9</t>
  </si>
  <si>
    <t>ENGRANAJE RECTO 20 / DFL650F,DFL651F</t>
  </si>
  <si>
    <t>143082-0</t>
  </si>
  <si>
    <t>CUBIERTA DE BOMBA DE ACEITE</t>
  </si>
  <si>
    <t>143119-3</t>
  </si>
  <si>
    <t>CAJA MOTOR ( GRIS ) / M9001 - M9000</t>
  </si>
  <si>
    <t>143128-2</t>
  </si>
  <si>
    <t>CAJA MOTOR GRIS / M0920 - M0921</t>
  </si>
  <si>
    <t>143134-7</t>
  </si>
  <si>
    <t>CAJA MOTOR GRIS / M9002 - M9003</t>
  </si>
  <si>
    <t>143136-3</t>
  </si>
  <si>
    <t>CAJA DE ENGRANAJE INTERNA / DFL650F</t>
  </si>
  <si>
    <t>143137-1</t>
  </si>
  <si>
    <t>REDUCTOR CPL / DFL650F,DFL651F</t>
  </si>
  <si>
    <t>143148-6</t>
  </si>
  <si>
    <t>CAJA MOTOR GRIS / M6201 - M6600</t>
  </si>
  <si>
    <t>143166-4</t>
  </si>
  <si>
    <t>CONTROLADOR / DUB362</t>
  </si>
  <si>
    <t>143173-7</t>
  </si>
  <si>
    <t>CAJA DE MOTOR / DVC860</t>
  </si>
  <si>
    <t>143174-5</t>
  </si>
  <si>
    <t>TAPA DE BATERIA / DVC860</t>
  </si>
  <si>
    <t>143175-3</t>
  </si>
  <si>
    <t>TAPA DEL TANQUE DE ASPIRACION / DVC864L - DVC860</t>
  </si>
  <si>
    <t>143176-1</t>
  </si>
  <si>
    <t>BASE DE INTERRUPTOR / DVC860</t>
  </si>
  <si>
    <t>143180-0</t>
  </si>
  <si>
    <t>TUBO CPL / DUR365U</t>
  </si>
  <si>
    <t>143185-0</t>
  </si>
  <si>
    <t>143186-8</t>
  </si>
  <si>
    <t>CONTROLADOR CPL / DUR365U</t>
  </si>
  <si>
    <t>143187-6</t>
  </si>
  <si>
    <t>MANGO CPL / DUR365U</t>
  </si>
  <si>
    <t>143242-4</t>
  </si>
  <si>
    <t>TUBO DE ALUMINIO / EN4951SH</t>
  </si>
  <si>
    <t>143244-0</t>
  </si>
  <si>
    <t>CARCASA NEGRA CPL / DC10WC</t>
  </si>
  <si>
    <t>143251-3</t>
  </si>
  <si>
    <t>CAJA MOTOR () / M0920 - M0921</t>
  </si>
  <si>
    <t>143252-1</t>
  </si>
  <si>
    <t>CAJA MOTOR (  ) / M9001 - M9000</t>
  </si>
  <si>
    <t>143253-9</t>
  </si>
  <si>
    <t>CAJA MOTOR () / M9002 - M9003</t>
  </si>
  <si>
    <t>143260-2</t>
  </si>
  <si>
    <t>CAJA MOTOR () / M6201 - M6600</t>
  </si>
  <si>
    <t>143277-5</t>
  </si>
  <si>
    <t>CAJA DE TRANSMISION / TD110D</t>
  </si>
  <si>
    <t>143280-6</t>
  </si>
  <si>
    <t>CARCASA NEGRA CPL / DC10SA, DC10SB</t>
  </si>
  <si>
    <t>143298-7</t>
  </si>
  <si>
    <t>CAJA DE RODAMIENTO / DTD152</t>
  </si>
  <si>
    <t>143299-5</t>
  </si>
  <si>
    <t>CAJA DE TRANSMISION / DTD152</t>
  </si>
  <si>
    <t>143321-8</t>
  </si>
  <si>
    <t>CAJA DE EMBRAGUE / EM3400U</t>
  </si>
  <si>
    <t>143324-2</t>
  </si>
  <si>
    <t>CAJA DE ENGRANAJE / BO6050</t>
  </si>
  <si>
    <t>143325-0</t>
  </si>
  <si>
    <t>EJE EXTERIOR / BO6050</t>
  </si>
  <si>
    <t>143326-8</t>
  </si>
  <si>
    <t>BOQUILLA CPL / BO6050</t>
  </si>
  <si>
    <t>143327-6</t>
  </si>
  <si>
    <t>CUBIERTA DE LA CAJA DE ENGRANAJE / BO6050</t>
  </si>
  <si>
    <t>143330-7</t>
  </si>
  <si>
    <t>VARILLA DE ACELERACION / VARIOS</t>
  </si>
  <si>
    <t>143331-5</t>
  </si>
  <si>
    <t>143332-3</t>
  </si>
  <si>
    <t>PISTON 42 CPL / VARIOS</t>
  </si>
  <si>
    <t>143339-9</t>
  </si>
  <si>
    <t>CAMPANA DE ENGRANAJE/ VARIOS</t>
  </si>
  <si>
    <t>143359-3</t>
  </si>
  <si>
    <t>ENGRANAJE CPL / DJR360</t>
  </si>
  <si>
    <t>143362-4</t>
  </si>
  <si>
    <t>CAJA DE ENGRANAJE R / DJR360</t>
  </si>
  <si>
    <t>143375-5</t>
  </si>
  <si>
    <t>EJE INTERNO / BO6050</t>
  </si>
  <si>
    <t>143376-3</t>
  </si>
  <si>
    <t>BLOQUEO DE EJE / BO6050</t>
  </si>
  <si>
    <t>143377-1</t>
  </si>
  <si>
    <t>ENGRANAJE / DJR186</t>
  </si>
  <si>
    <t>143381-0</t>
  </si>
  <si>
    <t>CAJA DE ENGRANAJE R / DJR186</t>
  </si>
  <si>
    <t>143416-7</t>
  </si>
  <si>
    <t>INTERRUPTOR / DTW1001 -DTW1002</t>
  </si>
  <si>
    <t>143417-5</t>
  </si>
  <si>
    <t>PLACA DE INDICACION / DTW1001 -DTW1002</t>
  </si>
  <si>
    <t>143463-8</t>
  </si>
  <si>
    <t>143464-6</t>
  </si>
  <si>
    <t>143469-6</t>
  </si>
  <si>
    <t>CONECTOR DE AGUA /4100NH2R</t>
  </si>
  <si>
    <t>143484-0</t>
  </si>
  <si>
    <t>GOMA COJIN / DX05</t>
  </si>
  <si>
    <t>143485-8</t>
  </si>
  <si>
    <t>143486-6</t>
  </si>
  <si>
    <t>EMPUÑADURA CPL 37 / VARIOS</t>
  </si>
  <si>
    <t>143510-5</t>
  </si>
  <si>
    <t>TUBO SUPERIOR / VARIOS</t>
  </si>
  <si>
    <t>143515-5</t>
  </si>
  <si>
    <t>143526-0</t>
  </si>
  <si>
    <t>ENGRANAJE PRINCIPAL / UH353D</t>
  </si>
  <si>
    <t>143541-4</t>
  </si>
  <si>
    <t>CARCASA CENTRAL / BAP182</t>
  </si>
  <si>
    <t>143579-9</t>
  </si>
  <si>
    <t>CAJA MOTOR (GRIS) / M3700</t>
  </si>
  <si>
    <t>143591-9</t>
  </si>
  <si>
    <t>CAJA MOTOR () / M3600</t>
  </si>
  <si>
    <t>143633-9</t>
  </si>
  <si>
    <t>CARCASA INFERIOR  / DUP361</t>
  </si>
  <si>
    <t>143646-0</t>
  </si>
  <si>
    <t>CUBIERTA MARTILLO/VARIOS</t>
  </si>
  <si>
    <t>143654-1</t>
  </si>
  <si>
    <t>BASE CPL / 3707</t>
  </si>
  <si>
    <t>143677-9</t>
  </si>
  <si>
    <t>VALVULA DE FILTRO / VARIOS</t>
  </si>
  <si>
    <t>143690-7</t>
  </si>
  <si>
    <t>CIGUEÑAL / DSD180,SD100D</t>
  </si>
  <si>
    <t>143694-9</t>
  </si>
  <si>
    <t>DESLIZADOR CPL / DSD180,SD100D</t>
  </si>
  <si>
    <t>143695-7</t>
  </si>
  <si>
    <t>EMPUÑADURA SEGUNDARIA / VARIOS</t>
  </si>
  <si>
    <t>143714-9</t>
  </si>
  <si>
    <t>143716-5</t>
  </si>
  <si>
    <t>CABEZA ANGULAR CPL / VARIOS</t>
  </si>
  <si>
    <t>143717-3</t>
  </si>
  <si>
    <t>CAJA DE ENGRANAJE INTERNO / DFL650F</t>
  </si>
  <si>
    <t>143719-9</t>
  </si>
  <si>
    <t>CAJA DE RODAMIENTO / DTD170</t>
  </si>
  <si>
    <t>143721-2</t>
  </si>
  <si>
    <t>PLACA DE INDICACION / DTD170</t>
  </si>
  <si>
    <t>143763-6</t>
  </si>
  <si>
    <t>CAJA DE POLEAS / M1902</t>
  </si>
  <si>
    <t>143784-8</t>
  </si>
  <si>
    <t>FALDA COMPLETA</t>
  </si>
  <si>
    <t>143788-0</t>
  </si>
  <si>
    <t>CARCASA SUPERIOR  / DVC260</t>
  </si>
  <si>
    <t>143789-8</t>
  </si>
  <si>
    <t>CARCASA INTERIOR / DVC260</t>
  </si>
  <si>
    <t>143790-3</t>
  </si>
  <si>
    <t>ENGRANAJE 26 / PO5000C - DPO500</t>
  </si>
  <si>
    <t>143809-8</t>
  </si>
  <si>
    <t>CARCASA SUPERIOR  / EB7660TH</t>
  </si>
  <si>
    <t>143813-7</t>
  </si>
  <si>
    <t>CARCASA MOTOR CPL  / HW1200 - HW1300</t>
  </si>
  <si>
    <t>143814-5</t>
  </si>
  <si>
    <t>CARCASA DELANTERA / HW1300</t>
  </si>
  <si>
    <t>143817-9</t>
  </si>
  <si>
    <t>CARCASA DELANTERA / HW1200</t>
  </si>
  <si>
    <t>143820-0</t>
  </si>
  <si>
    <t>CARCASA TRASERA / HW1200 - HW1300</t>
  </si>
  <si>
    <t>143822-6</t>
  </si>
  <si>
    <t>CAJA DE ENGRANAJE / HW1200 - HW1300</t>
  </si>
  <si>
    <t>143823-4</t>
  </si>
  <si>
    <t>CAJA DE EMBRAGUE / VARIOS</t>
  </si>
  <si>
    <t>143825-0</t>
  </si>
  <si>
    <t>EMPUÑADURA CPL / EN410MP</t>
  </si>
  <si>
    <t>143837-3</t>
  </si>
  <si>
    <t>CAJA DE ENGRANAJE / EN410MP</t>
  </si>
  <si>
    <t>143848-8</t>
  </si>
  <si>
    <t>PLACA DE INTERRUPTOR / DTW280</t>
  </si>
  <si>
    <t>143855-1</t>
  </si>
  <si>
    <t>TUBO ALUMINIO / DUR365U - DUR366L</t>
  </si>
  <si>
    <t>143858-5</t>
  </si>
  <si>
    <t>CONTROLADOR 36V / DUR366L</t>
  </si>
  <si>
    <t>143875-5</t>
  </si>
  <si>
    <t>CAJA MOTOR GRIS / M1902</t>
  </si>
  <si>
    <t>143885-2</t>
  </si>
  <si>
    <t>TUBO ALUMINIO B / EM2510LH</t>
  </si>
  <si>
    <t>143889-4</t>
  </si>
  <si>
    <t>TUBO ALUMINIO B / EM2511LH</t>
  </si>
  <si>
    <t>143898-3</t>
  </si>
  <si>
    <t>TUBO ALUMINIO G / EM2653LH</t>
  </si>
  <si>
    <t>143904-4</t>
  </si>
  <si>
    <t>TUBO ALUMINIO D / EM2654LH</t>
  </si>
  <si>
    <t>143938-7</t>
  </si>
  <si>
    <t>RETEN DE RODAMIENTO 80 / VARIOS</t>
  </si>
  <si>
    <t>143948-4</t>
  </si>
  <si>
    <t>BASE DEL INTERRUPTOR COMPLETA E-H P/VC3211H</t>
  </si>
  <si>
    <t>143949-2</t>
  </si>
  <si>
    <t>TAPA DE CARBON IZQUIERDO / VARIOS</t>
  </si>
  <si>
    <t>143950-7</t>
  </si>
  <si>
    <t>TAPA DE CARBON DERECHO / VARIOS</t>
  </si>
  <si>
    <t>143951-5</t>
  </si>
  <si>
    <t>CAJA DE TRANSMISION / DTD154</t>
  </si>
  <si>
    <t>143954-9</t>
  </si>
  <si>
    <t>PLACA DE INTERRUPTOR / DTD154</t>
  </si>
  <si>
    <t>143957-3</t>
  </si>
  <si>
    <t>CAJA DE TRANSMISION / DTD153</t>
  </si>
  <si>
    <t>143958-1</t>
  </si>
  <si>
    <t>CAJA DE RODAMIENTO / DTD153</t>
  </si>
  <si>
    <t>143962-0</t>
  </si>
  <si>
    <t>RODAMIENTO DE AGUJAS / M8701</t>
  </si>
  <si>
    <t>143972-7</t>
  </si>
  <si>
    <t>CIGUEÑAL / EB7660TH</t>
  </si>
  <si>
    <t>143975-1</t>
  </si>
  <si>
    <t>INTERRUPTOR / VARIOS</t>
  </si>
  <si>
    <t>143976-9</t>
  </si>
  <si>
    <t>143977-7</t>
  </si>
  <si>
    <t>SUB CONTROLADOR / DUR366L</t>
  </si>
  <si>
    <t>144007-7</t>
  </si>
  <si>
    <t>CONTROLADOR / DUC400</t>
  </si>
  <si>
    <t>144028-9</t>
  </si>
  <si>
    <t>BASE GIRATORIA CPL / DLS600</t>
  </si>
  <si>
    <t>144033-6</t>
  </si>
  <si>
    <t>PLACA DE INDICACION / DLS600</t>
  </si>
  <si>
    <t>144034-4</t>
  </si>
  <si>
    <t>PLACA INFERIOR / DLS600</t>
  </si>
  <si>
    <t>144054-8</t>
  </si>
  <si>
    <t>CAJA MOTOR GRIS / M2401</t>
  </si>
  <si>
    <t>144058-0</t>
  </si>
  <si>
    <t>CAJA DE TRANSMISION / TD111D</t>
  </si>
  <si>
    <t>144060-3</t>
  </si>
  <si>
    <t>PLACA DE INTERRUPTOR / TD111D</t>
  </si>
  <si>
    <t>144085-7</t>
  </si>
  <si>
    <t>CAJA ANGULAR CPL / TM30D</t>
  </si>
  <si>
    <t>144096-2</t>
  </si>
  <si>
    <t>144100-7</t>
  </si>
  <si>
    <t>TRINQUETE / EK7651H</t>
  </si>
  <si>
    <t>144109-9</t>
  </si>
  <si>
    <t>EMPUÑADURA CPL / EN420MP</t>
  </si>
  <si>
    <t>144137-4</t>
  </si>
  <si>
    <t>PLACA DE INDICACION / DTD155</t>
  </si>
  <si>
    <t>144154-4</t>
  </si>
  <si>
    <t>CARCASA INFERIOR NEGRA CPL / BTC04</t>
  </si>
  <si>
    <t>144156-0</t>
  </si>
  <si>
    <t>CAJA DE ENGRANAJE CPL / DFS250</t>
  </si>
  <si>
    <t>144157-8</t>
  </si>
  <si>
    <t>CAJA DE ENGRANAJE / DFS251</t>
  </si>
  <si>
    <t>144159-4</t>
  </si>
  <si>
    <t>EJE PRINCIPAL / DFS250</t>
  </si>
  <si>
    <t>144161-7</t>
  </si>
  <si>
    <t>CUBIERTA DE LA CAJA DE ENGRANAJES /  / DFS251</t>
  </si>
  <si>
    <t>144207-9</t>
  </si>
  <si>
    <t>CAJA SUPERIOR / BPS01</t>
  </si>
  <si>
    <t>144208-7</t>
  </si>
  <si>
    <t>CAJA INFERIOR / BPS01</t>
  </si>
  <si>
    <t>144215-0</t>
  </si>
  <si>
    <t>144216-8</t>
  </si>
  <si>
    <t>CAJA DE ENGRANAJE / M8701</t>
  </si>
  <si>
    <t>144217-6</t>
  </si>
  <si>
    <t>PLACA DE INTERRUPTOR / DTW285</t>
  </si>
  <si>
    <t>144251-6</t>
  </si>
  <si>
    <t>PLACA DE INDICACION / DHS660 - DCS553</t>
  </si>
  <si>
    <t>144253-2</t>
  </si>
  <si>
    <t>PLACA /VARIOS</t>
  </si>
  <si>
    <t>144273-6</t>
  </si>
  <si>
    <t>144284-1</t>
  </si>
  <si>
    <t>GUARDA CUCHILLA /VARIOS</t>
  </si>
  <si>
    <t>144285-9</t>
  </si>
  <si>
    <t>EMPUÑADURA 36 / HS0600</t>
  </si>
  <si>
    <t>144290-6</t>
  </si>
  <si>
    <t>ENGRANAJE RECTO 55 / DPT353</t>
  </si>
  <si>
    <t>144291-4</t>
  </si>
  <si>
    <t>TAPA GUIA / DPT353</t>
  </si>
  <si>
    <t>144312-2</t>
  </si>
  <si>
    <t>ARANDELA  / UNIVERSAL</t>
  </si>
  <si>
    <t>144316-4</t>
  </si>
  <si>
    <t>GUARDA PLASTICA / VARIOS</t>
  </si>
  <si>
    <t>144329-5</t>
  </si>
  <si>
    <t>PLACA CENTRAL / DPT353</t>
  </si>
  <si>
    <t>144330-0</t>
  </si>
  <si>
    <t>GUIA DE CLAVADO CPL / DPT353</t>
  </si>
  <si>
    <t>144335-0</t>
  </si>
  <si>
    <t>RIEL INFERIOR / DPT353</t>
  </si>
  <si>
    <t>144342-3</t>
  </si>
  <si>
    <t>PROTECTOR / DUM604 - UM600D</t>
  </si>
  <si>
    <t>144360-1</t>
  </si>
  <si>
    <t>CUBIERTA DE MOTOR / EB5300TH</t>
  </si>
  <si>
    <t>144367-7</t>
  </si>
  <si>
    <t>CONTROLADOR 36V / DUR364L</t>
  </si>
  <si>
    <t>144371-6</t>
  </si>
  <si>
    <t>SUB CONTROLADOR / DUR187L</t>
  </si>
  <si>
    <t>144372-4</t>
  </si>
  <si>
    <t>TUBO CPL A / DUR187L</t>
  </si>
  <si>
    <t>144374-0</t>
  </si>
  <si>
    <t>144376-6</t>
  </si>
  <si>
    <t>CAJA  DELANTERA</t>
  </si>
  <si>
    <t>144393-6</t>
  </si>
  <si>
    <t>CARTER LADO EMBRAGUE / VARIOS</t>
  </si>
  <si>
    <t>144394-4</t>
  </si>
  <si>
    <t>CARTER LADO VOLANTE / VARIOS</t>
  </si>
  <si>
    <t>144409-7</t>
  </si>
  <si>
    <t>CARCASA MEDIA  / VARIOS</t>
  </si>
  <si>
    <t>144466-5</t>
  </si>
  <si>
    <t>CAJA DE ENGRANAJE / DRS780</t>
  </si>
  <si>
    <t>144467-3</t>
  </si>
  <si>
    <t>CAJA MOTOR  / DRS780</t>
  </si>
  <si>
    <t>144473-8</t>
  </si>
  <si>
    <t>CAJA DE ENGRANAJE A / DTW1001 -DTW1002</t>
  </si>
  <si>
    <t>144479-6</t>
  </si>
  <si>
    <t>BASE INTERRUPTOR / VARIOS</t>
  </si>
  <si>
    <t>144486-9</t>
  </si>
  <si>
    <t>TAPA DE BATERIA / DVC864L</t>
  </si>
  <si>
    <t>144512-4</t>
  </si>
  <si>
    <t>ARANDELA DE ENCAJE / DUR187L</t>
  </si>
  <si>
    <t>144519-0</t>
  </si>
  <si>
    <t>CAJA DE CIRCUITO ELECTRICO / DCU180</t>
  </si>
  <si>
    <t>144520-5</t>
  </si>
  <si>
    <t>144521-3</t>
  </si>
  <si>
    <t>INTERRUPTOR / DCU180</t>
  </si>
  <si>
    <t>144529-7</t>
  </si>
  <si>
    <t>PLACA DE ENLACE / LS1019 - DLS111</t>
  </si>
  <si>
    <t>144530-2</t>
  </si>
  <si>
    <t>BRAZO CPL / LS1019 - DLS111</t>
  </si>
  <si>
    <t>144531-0</t>
  </si>
  <si>
    <t>SOPORTE DELANTERO / LS1019 - DLS111</t>
  </si>
  <si>
    <t>144532-8</t>
  </si>
  <si>
    <t>CAJA MOTOR  / LS1219L - LS1019</t>
  </si>
  <si>
    <t>144562-9</t>
  </si>
  <si>
    <t>CARCASA CPL NEGRO / DC18RE</t>
  </si>
  <si>
    <t>144575-0</t>
  </si>
  <si>
    <t>CAJA DE ENGRANAJE / HR140D</t>
  </si>
  <si>
    <t>144584-9</t>
  </si>
  <si>
    <t>PALANCA DE INTERRUPTOR / DGA700 - DGA900</t>
  </si>
  <si>
    <t>144586-5</t>
  </si>
  <si>
    <t>144620-1</t>
  </si>
  <si>
    <t>CUCHILLA INFERIOR / CP100D</t>
  </si>
  <si>
    <t>144628-5</t>
  </si>
  <si>
    <t>PLACA DE INDICACION / DJV185,JV102D</t>
  </si>
  <si>
    <t>144629-3</t>
  </si>
  <si>
    <t>RETEN CPL / VARIOS</t>
  </si>
  <si>
    <t>144630-8</t>
  </si>
  <si>
    <t>ENGRANAJE PRINCIPAL / JV102D, JV103D</t>
  </si>
  <si>
    <t>144634-0</t>
  </si>
  <si>
    <t>GUARDA DE DISCO FIJO / LS1019L</t>
  </si>
  <si>
    <t>144636-6</t>
  </si>
  <si>
    <t>CAJA DE ENGRANAJE / LS1019</t>
  </si>
  <si>
    <t>144646-3</t>
  </si>
  <si>
    <t>GUIA SUPERIOR L / LS1019 - DLS111</t>
  </si>
  <si>
    <t>144650-2</t>
  </si>
  <si>
    <t>GUIA SUPERIOR R / LS1019 - DLS111</t>
  </si>
  <si>
    <t>144654-4</t>
  </si>
  <si>
    <t>BASE GIRATORIA / LS1019 - DLS111</t>
  </si>
  <si>
    <t>144656-0</t>
  </si>
  <si>
    <t>PALANCA / VARIOS</t>
  </si>
  <si>
    <t>144657-8</t>
  </si>
  <si>
    <t>PALANCA DE TOPE / LS1019 - DLS111</t>
  </si>
  <si>
    <t>144658-6</t>
  </si>
  <si>
    <t>CUBIERTA DE AJUSTE / VARIOS</t>
  </si>
  <si>
    <t>144662-5</t>
  </si>
  <si>
    <t>PLACA DE INTERRUPTOR</t>
  </si>
  <si>
    <t>144698-4</t>
  </si>
  <si>
    <t>CAJA DE ENGRANAJE / VR1000</t>
  </si>
  <si>
    <t>144699-2</t>
  </si>
  <si>
    <t>CAJA DE TRANSMISION / VR1000</t>
  </si>
  <si>
    <t>144702-9</t>
  </si>
  <si>
    <t>CAJA REDUCTORA / DA333D</t>
  </si>
  <si>
    <t>144728-1</t>
  </si>
  <si>
    <t>CAJA MOTOR  / HS7010</t>
  </si>
  <si>
    <t>144729-9</t>
  </si>
  <si>
    <t>CAJA DE ENGRANAJE / HS7010</t>
  </si>
  <si>
    <t>144746-9</t>
  </si>
  <si>
    <t>CAJA MOTOR  / M4302</t>
  </si>
  <si>
    <t>144758-2</t>
  </si>
  <si>
    <t>SUJETADOR CPL / DBN600</t>
  </si>
  <si>
    <t>144760-5</t>
  </si>
  <si>
    <t>CIGÜEÑAL CPL / DBN600</t>
  </si>
  <si>
    <t>144765-5</t>
  </si>
  <si>
    <t>CAMPANA / EA6100P</t>
  </si>
  <si>
    <t>144770-2</t>
  </si>
  <si>
    <t>BASE DE INTERRUPTOR / DVC864L</t>
  </si>
  <si>
    <t>144774-4</t>
  </si>
  <si>
    <t>CAJA DE ENGRANAJE / DLS111</t>
  </si>
  <si>
    <t>144781-7</t>
  </si>
  <si>
    <t>GUARDA DE DISCO FIJO / 4100KB</t>
  </si>
  <si>
    <t>144787-5</t>
  </si>
  <si>
    <t>CAJA DE TRANSMISION / DTD170</t>
  </si>
  <si>
    <t>144788-3</t>
  </si>
  <si>
    <t>CAJA DE ENGRANAJE / DTD137,DTD148</t>
  </si>
  <si>
    <t>144791-4</t>
  </si>
  <si>
    <t>PLACA DE ENLACE CPL / DLS600</t>
  </si>
  <si>
    <t>144792-2</t>
  </si>
  <si>
    <t>BASE ALUMINIO  CPL / DLS600</t>
  </si>
  <si>
    <t>144795-6</t>
  </si>
  <si>
    <t>ORQUILLA  CPL / DLS600</t>
  </si>
  <si>
    <t>144796-4</t>
  </si>
  <si>
    <t>GUARDA DE DISCO FIJO / DLS600</t>
  </si>
  <si>
    <t>144820-3</t>
  </si>
  <si>
    <t>CAJA DE RODAMIENTO / JV0600</t>
  </si>
  <si>
    <t>144823-7</t>
  </si>
  <si>
    <t>CAJA DE MARTILLO / DTW180</t>
  </si>
  <si>
    <t>144828-7</t>
  </si>
  <si>
    <t>PLACA DE INDICACION / DTW180</t>
  </si>
  <si>
    <t>144829-5</t>
  </si>
  <si>
    <t>CAJA DE RODAMIENTO / DTW180</t>
  </si>
  <si>
    <t>144860-1</t>
  </si>
  <si>
    <t>CUBIERTA DE VENTILADOR A / M4001</t>
  </si>
  <si>
    <t>144861-9</t>
  </si>
  <si>
    <t>CAJA MOTOR  / M4001</t>
  </si>
  <si>
    <t>144863-5</t>
  </si>
  <si>
    <t>MOTOR CPL / CG100D</t>
  </si>
  <si>
    <t>144867-7</t>
  </si>
  <si>
    <t>PALANCA CPL 20 / VARIOS</t>
  </si>
  <si>
    <t>144868-5</t>
  </si>
  <si>
    <t>ESTUCHE DE CUCHILLA / VARIOS</t>
  </si>
  <si>
    <t>144883-9</t>
  </si>
  <si>
    <t>BASE DE CILINDRO CPL / DBN600</t>
  </si>
  <si>
    <t>144901-3</t>
  </si>
  <si>
    <t>BRAZO MAGNETICO / DTR180</t>
  </si>
  <si>
    <t>144904-7</t>
  </si>
  <si>
    <t>144911-0</t>
  </si>
  <si>
    <t>BRAZO CPL / LS1219L</t>
  </si>
  <si>
    <t>144922-5</t>
  </si>
  <si>
    <t>GUIA SUPERIOR CPL / VARIOS</t>
  </si>
  <si>
    <t>144925-9</t>
  </si>
  <si>
    <t>GUIA SUPERIOR R / LS1219L</t>
  </si>
  <si>
    <t>144926-7</t>
  </si>
  <si>
    <t>BASE GIRATORIA / LS1219L</t>
  </si>
  <si>
    <t>144939-8</t>
  </si>
  <si>
    <t>TUBO 28 / UR100D</t>
  </si>
  <si>
    <t>144952-6</t>
  </si>
  <si>
    <t>CAJA DE RODAJE / DTD156</t>
  </si>
  <si>
    <t>144959-2</t>
  </si>
  <si>
    <t>BOTON DE CIERRE / HR003G - DHR280</t>
  </si>
  <si>
    <t>144960-7</t>
  </si>
  <si>
    <t>SOPORTE INTERIOR / VARIOS</t>
  </si>
  <si>
    <t>144964-9</t>
  </si>
  <si>
    <t>ENGRANAJE HELICOIDAL 11 /VARIOS</t>
  </si>
  <si>
    <t>144965-7</t>
  </si>
  <si>
    <t>144973-8</t>
  </si>
  <si>
    <t>CUBIERTA PRINCIPAL / DVC864L</t>
  </si>
  <si>
    <t>144986-9</t>
  </si>
  <si>
    <t>LEVA CPL / SC103D</t>
  </si>
  <si>
    <t>144987-7</t>
  </si>
  <si>
    <t>ENGRANAJE RECTO 10B / SC103D</t>
  </si>
  <si>
    <t>144988-5</t>
  </si>
  <si>
    <t>ENGRANAJE RECTO 9 / SC103D</t>
  </si>
  <si>
    <t>144989-3</t>
  </si>
  <si>
    <t>GUIA DE ENGRANAJE / SC103D</t>
  </si>
  <si>
    <t>144990-8</t>
  </si>
  <si>
    <t>SUJETADOR DE IMAN / SC103D</t>
  </si>
  <si>
    <t>144992-4</t>
  </si>
  <si>
    <t>TAPA DE ENGRANAJE / SC103D</t>
  </si>
  <si>
    <t>150368-5</t>
  </si>
  <si>
    <t>TAPA DE CIGUEÑAL / HM0810T</t>
  </si>
  <si>
    <t>150585-7</t>
  </si>
  <si>
    <t>BASE CPL / VARIOS</t>
  </si>
  <si>
    <t>150662-5</t>
  </si>
  <si>
    <t>GUIA AUXILIAR / LS1040 - LS1040F</t>
  </si>
  <si>
    <t>150732-0</t>
  </si>
  <si>
    <t>GUIA AUXILIAR / VARIOS</t>
  </si>
  <si>
    <t>150744-3</t>
  </si>
  <si>
    <t>IMPULSOR / AN611</t>
  </si>
  <si>
    <t>150789-1</t>
  </si>
  <si>
    <t>GUARDA DE DISCO FIJO / VARIOS</t>
  </si>
  <si>
    <t>150790-6</t>
  </si>
  <si>
    <t>BASE CPL</t>
  </si>
  <si>
    <t>150791-4</t>
  </si>
  <si>
    <t>BRAZO CPL / LS1221</t>
  </si>
  <si>
    <t>150832-6</t>
  </si>
  <si>
    <t>CAJA DE ENGRANAJE / HR5001C</t>
  </si>
  <si>
    <t>150833-4</t>
  </si>
  <si>
    <t>CAJA MOTOR / HR5001C</t>
  </si>
  <si>
    <t>150835-0</t>
  </si>
  <si>
    <t>ENGRANAJE HELICOIDAL / HR5001C</t>
  </si>
  <si>
    <t>150836-8</t>
  </si>
  <si>
    <t>CARCASA DE BARRIL / HR5001C</t>
  </si>
  <si>
    <t>150837-6</t>
  </si>
  <si>
    <t>SOPORTE DE RODILLO / 9911</t>
  </si>
  <si>
    <t>150845-7</t>
  </si>
  <si>
    <t>BASE DELANTERA / 1805N</t>
  </si>
  <si>
    <t>150846-5</t>
  </si>
  <si>
    <t>DESLIZADOR CPL / 9403</t>
  </si>
  <si>
    <t>150893-6</t>
  </si>
  <si>
    <t>CARCASA METALICA GRIS / 1805N</t>
  </si>
  <si>
    <t>150916-0</t>
  </si>
  <si>
    <t>CAJA DE ENGRANAJE / 2414NB</t>
  </si>
  <si>
    <t>150958-4</t>
  </si>
  <si>
    <t>CAJA MOTOR  / 9911</t>
  </si>
  <si>
    <t>150969-9</t>
  </si>
  <si>
    <t>150978-8</t>
  </si>
  <si>
    <t>TENSOR DE RODILLO / VARIOS</t>
  </si>
  <si>
    <t>150979-6</t>
  </si>
  <si>
    <t>CAJA DE ENGRANAJE / 9403</t>
  </si>
  <si>
    <t>150980-1</t>
  </si>
  <si>
    <t>PLATO DE ACERO CPL / 9403</t>
  </si>
  <si>
    <t>150981-9</t>
  </si>
  <si>
    <t>CAJA MOTOR CPL  / 9403</t>
  </si>
  <si>
    <t>151121-2</t>
  </si>
  <si>
    <t>RODILLO  DELANTERO / 9401</t>
  </si>
  <si>
    <t>151158-9</t>
  </si>
  <si>
    <t>BASE ALUMINIO CPL / VARIOS</t>
  </si>
  <si>
    <t>151189-8</t>
  </si>
  <si>
    <t>BASE METALICA / 9924DB</t>
  </si>
  <si>
    <t>151457-9</t>
  </si>
  <si>
    <t>BARRIL / HM0810T</t>
  </si>
  <si>
    <t>151518-5</t>
  </si>
  <si>
    <t>BOQUILLA PARA POLVO / VARIOS</t>
  </si>
  <si>
    <t>151622-0</t>
  </si>
  <si>
    <t>SUJETADOR DE PALANCA / LC1230</t>
  </si>
  <si>
    <t>151623-8</t>
  </si>
  <si>
    <t>BASE / LC1230</t>
  </si>
  <si>
    <t>151631-9</t>
  </si>
  <si>
    <t>151726-8</t>
  </si>
  <si>
    <t>PUNTA GUIA / VARIOS</t>
  </si>
  <si>
    <t>151737-3</t>
  </si>
  <si>
    <t>CAJA MOTOR  / 2012NB</t>
  </si>
  <si>
    <t>151738-1</t>
  </si>
  <si>
    <t>CAJA DE ENGRANAJE / 2012NB</t>
  </si>
  <si>
    <t>151743-8</t>
  </si>
  <si>
    <t>CAJA COMPLETA PARA 9404</t>
  </si>
  <si>
    <t>151760-8</t>
  </si>
  <si>
    <t>151768-2</t>
  </si>
  <si>
    <t>ABRAZADERA 62 / HR5000C</t>
  </si>
  <si>
    <t>151788-6</t>
  </si>
  <si>
    <t>151790-9</t>
  </si>
  <si>
    <t>ENGRANAJE PRINCIPAL / 6824</t>
  </si>
  <si>
    <t>151848-4</t>
  </si>
  <si>
    <t>CAJA MOTOR  / N5900B - HS0600</t>
  </si>
  <si>
    <t>152103-7</t>
  </si>
  <si>
    <t>RODILLO TENSION CPL / 9401</t>
  </si>
  <si>
    <t>152176-0</t>
  </si>
  <si>
    <t>RODILLO TENSION CPL / JN3200- JN3201</t>
  </si>
  <si>
    <t>152179-4</t>
  </si>
  <si>
    <t>RODILLO FRONTAL / PC5001C</t>
  </si>
  <si>
    <t>152180-9</t>
  </si>
  <si>
    <t>CIGUEÑAL / HM1201</t>
  </si>
  <si>
    <t>152448-3</t>
  </si>
  <si>
    <t>PALANCA DE INTERRUPTOR / 2414NB</t>
  </si>
  <si>
    <t>152457-2</t>
  </si>
  <si>
    <t>SUJETADOR DE LIJA / 9046</t>
  </si>
  <si>
    <t>152463-7</t>
  </si>
  <si>
    <t>PALANCA DE INTERRUPTOR / 2414NB - LC1230</t>
  </si>
  <si>
    <t>152483-1</t>
  </si>
  <si>
    <t>PUNTA GUIA / 6807 - 6821</t>
  </si>
  <si>
    <t>152486-5</t>
  </si>
  <si>
    <t>BASE DE PUNZON / JN3200- JN3201</t>
  </si>
  <si>
    <t>152551-0</t>
  </si>
  <si>
    <t>EJE / 9237CB - 9227CB</t>
  </si>
  <si>
    <t>152567-5</t>
  </si>
  <si>
    <t>BASE DE MOTOR  /  3612</t>
  </si>
  <si>
    <t>152577-2</t>
  </si>
  <si>
    <t>152578-0</t>
  </si>
  <si>
    <t>SUJETADOR DE BASE  / 4322-4323</t>
  </si>
  <si>
    <t>152585-3</t>
  </si>
  <si>
    <t>RODILLO DE TENSION / 9911</t>
  </si>
  <si>
    <t>152600-3</t>
  </si>
  <si>
    <t>152601-1</t>
  </si>
  <si>
    <t>APOYO DE CUCHILLA / 4324</t>
  </si>
  <si>
    <t>152612-6</t>
  </si>
  <si>
    <t>EMPUÑADURA 36 / VARIOS</t>
  </si>
  <si>
    <t>152760-1</t>
  </si>
  <si>
    <t>ENGRANAJE RECTO 26 CPL / BO6040</t>
  </si>
  <si>
    <t>152841-1</t>
  </si>
  <si>
    <t>ANILLO 36 / VARIOS</t>
  </si>
  <si>
    <t>152890-8</t>
  </si>
  <si>
    <t>BASE ANGULAR CPL / DA4000LR</t>
  </si>
  <si>
    <t>152892-4</t>
  </si>
  <si>
    <t>EMPUÑADURA CPL / DS5000</t>
  </si>
  <si>
    <t>152913-2</t>
  </si>
  <si>
    <t>BASE DE RODAJE / 6827</t>
  </si>
  <si>
    <t>152932-8</t>
  </si>
  <si>
    <t>ABRAZADERA UNION / DA4000LR</t>
  </si>
  <si>
    <t>152955-6</t>
  </si>
  <si>
    <t>LIMITADOR DE TORQUE / HR3000</t>
  </si>
  <si>
    <t>153119-5</t>
  </si>
  <si>
    <t>ENGRANAJE / GV5010</t>
  </si>
  <si>
    <t>153138-1</t>
  </si>
  <si>
    <t>CIGUEÑAL / SJ1600</t>
  </si>
  <si>
    <t>153199-1</t>
  </si>
  <si>
    <t>EJE / 6905H</t>
  </si>
  <si>
    <t>153246-8</t>
  </si>
  <si>
    <t>ENGRANAJE CPL / 6407</t>
  </si>
  <si>
    <t>153252-3</t>
  </si>
  <si>
    <t>ENGRANAJE 31 / 9911</t>
  </si>
  <si>
    <t>153254-9</t>
  </si>
  <si>
    <t>153260-4</t>
  </si>
  <si>
    <t>ENGRANAJE / VARIOS</t>
  </si>
  <si>
    <t>153288-2</t>
  </si>
  <si>
    <t>153289-0</t>
  </si>
  <si>
    <t>153290-5</t>
  </si>
  <si>
    <t>RODAMIENTO DE AGUJAS / VARIOS</t>
  </si>
  <si>
    <t>153291-3</t>
  </si>
  <si>
    <t>ENGRANAJE.43 / 9403</t>
  </si>
  <si>
    <t>153299-7</t>
  </si>
  <si>
    <t>LEVA DE ENGRANAJE / VARIOS</t>
  </si>
  <si>
    <t>153310-5</t>
  </si>
  <si>
    <t>BRAZO CPL 9 / 9032</t>
  </si>
  <si>
    <t>153312-1</t>
  </si>
  <si>
    <t>TENSOR / 9032</t>
  </si>
  <si>
    <t>153334-1</t>
  </si>
  <si>
    <t>GUIA DE CUCHILLA / 4350FCT</t>
  </si>
  <si>
    <t>153335-9</t>
  </si>
  <si>
    <t>ENGRANAJE CPL / 4350FCT</t>
  </si>
  <si>
    <t>153336-7</t>
  </si>
  <si>
    <t>MANIVELA / 4350FCT</t>
  </si>
  <si>
    <t>153337-5</t>
  </si>
  <si>
    <t>CAJA ENGRANAJE / 4350FCT</t>
  </si>
  <si>
    <t>153338-3</t>
  </si>
  <si>
    <t>CUBIERTA CAJA ENGRANAJE / 4350FCT</t>
  </si>
  <si>
    <t>153347-2</t>
  </si>
  <si>
    <t>CAJA MOTOR   / 3707</t>
  </si>
  <si>
    <t>153365-0</t>
  </si>
  <si>
    <t>153379-9</t>
  </si>
  <si>
    <t>CAJA DE ENGRANAJE / HP2050</t>
  </si>
  <si>
    <t>153423-2</t>
  </si>
  <si>
    <t>153436-3</t>
  </si>
  <si>
    <t>GUARDA DE DISCO / 5007N</t>
  </si>
  <si>
    <t>153438-9</t>
  </si>
  <si>
    <t>CAJA MOTOR  / HM1304</t>
  </si>
  <si>
    <t>153476-1</t>
  </si>
  <si>
    <t>MEDIA TUERCA / RP2301FC</t>
  </si>
  <si>
    <t>153488-4</t>
  </si>
  <si>
    <t>153539-3</t>
  </si>
  <si>
    <t>153551-3</t>
  </si>
  <si>
    <t>CAJA DE ENGRANAJE / DP4700</t>
  </si>
  <si>
    <t>153600-6</t>
  </si>
  <si>
    <t>153620-0</t>
  </si>
  <si>
    <t>CUBIERTA DE LA CAJA DE ENGRANAJE / VARIOS</t>
  </si>
  <si>
    <t>153621-8</t>
  </si>
  <si>
    <t>CAJA DE ENGRANAJE / HP2070F</t>
  </si>
  <si>
    <t>153622-6</t>
  </si>
  <si>
    <t>153625-0</t>
  </si>
  <si>
    <t>CAJA MOTOR  / TW0350</t>
  </si>
  <si>
    <t>153676-3</t>
  </si>
  <si>
    <t>CIGÜEÑAL / HM0860C</t>
  </si>
  <si>
    <t>153677-1</t>
  </si>
  <si>
    <t>CAJA MOTOR  / HM0860C</t>
  </si>
  <si>
    <t>153678-9</t>
  </si>
  <si>
    <t>CAJA CIGUEÑAL / HM0860C</t>
  </si>
  <si>
    <t>153686-0</t>
  </si>
  <si>
    <t>CAJA DE ENGRANAJE INTERNA / VARIOS</t>
  </si>
  <si>
    <t>153687-8</t>
  </si>
  <si>
    <t>153717-5</t>
  </si>
  <si>
    <t>CAJA DE RODAMIENTO / PW5001C</t>
  </si>
  <si>
    <t>153746-8</t>
  </si>
  <si>
    <t>153763-8</t>
  </si>
  <si>
    <t>BASE DE ALUMINIO / VARIOS</t>
  </si>
  <si>
    <t>153765-4</t>
  </si>
  <si>
    <t>SOPORTE DE MOTOR / VARIOS</t>
  </si>
  <si>
    <t>153785-8</t>
  </si>
  <si>
    <t>EJE / VARIOS</t>
  </si>
  <si>
    <t>153786-6</t>
  </si>
  <si>
    <t>153787-4</t>
  </si>
  <si>
    <t>PALANCA DE INTERRUPTOR /VARIOS</t>
  </si>
  <si>
    <t>153789-0</t>
  </si>
  <si>
    <t>153792-1</t>
  </si>
  <si>
    <t>CAJA MOTOR / LS1040</t>
  </si>
  <si>
    <t>153799-7</t>
  </si>
  <si>
    <t>CAJA MOTOR  / LS1040F</t>
  </si>
  <si>
    <t>153814-7</t>
  </si>
  <si>
    <t>CAJA MOTOR  / MLC140</t>
  </si>
  <si>
    <t>153851-1</t>
  </si>
  <si>
    <t>CAJA MOTOR GRIS / VARIOS</t>
  </si>
  <si>
    <t>153860-0</t>
  </si>
  <si>
    <t>GUARDA DE DISCO FIJO / 4100NH</t>
  </si>
  <si>
    <t>153924-0</t>
  </si>
  <si>
    <t>CAJA DE ENGRANAJE / 4131</t>
  </si>
  <si>
    <t>154398-8</t>
  </si>
  <si>
    <t>EJE DESLIZANTE / 4320,4321</t>
  </si>
  <si>
    <t>154463-3</t>
  </si>
  <si>
    <t>BRAZO CPL / LS1040 - LS1040F</t>
  </si>
  <si>
    <t>154497-6</t>
  </si>
  <si>
    <t>CAJA DE ENGRANAJE / JR3050T</t>
  </si>
  <si>
    <t>154498-4</t>
  </si>
  <si>
    <t>CAJA MOTOR  / JR3050T - JR3070CT</t>
  </si>
  <si>
    <t>154499-2</t>
  </si>
  <si>
    <t>CUBIERTA DE CAJA DE ENGRANAJE / JR3050T</t>
  </si>
  <si>
    <t>154501-1</t>
  </si>
  <si>
    <t>CARCASA PRINCIPAL METAL / M1100</t>
  </si>
  <si>
    <t>154502-9</t>
  </si>
  <si>
    <t>SOPORTE DESLIZANTE / JR3070CT</t>
  </si>
  <si>
    <t>154545-1</t>
  </si>
  <si>
    <t>MANIVELA CPL / JR3070CT</t>
  </si>
  <si>
    <t>154546-9</t>
  </si>
  <si>
    <t>BASE DE MANIVELA / JR3070CT</t>
  </si>
  <si>
    <t>154547-7</t>
  </si>
  <si>
    <t>PLACA GUIA / JR3070CT</t>
  </si>
  <si>
    <t>154549-3</t>
  </si>
  <si>
    <t>LIMITADOR DE TORQUE / JR3070CT</t>
  </si>
  <si>
    <t>154551-6</t>
  </si>
  <si>
    <t>CUBIERTA DE CAJA DE ENGRANAJE / JR3070CT</t>
  </si>
  <si>
    <t>154556-6</t>
  </si>
  <si>
    <t>CAJA MOTOR  / TW1000</t>
  </si>
  <si>
    <t>154569-7</t>
  </si>
  <si>
    <t>CAJA MOTOR  / LF1000</t>
  </si>
  <si>
    <t>154584-1</t>
  </si>
  <si>
    <t>154585-9</t>
  </si>
  <si>
    <t>CAJA DE ENGRANAJE / HM1810</t>
  </si>
  <si>
    <t>154586-7</t>
  </si>
  <si>
    <t>CAJA MOTOR B  / HM1810</t>
  </si>
  <si>
    <t>154587-5</t>
  </si>
  <si>
    <t>MANIVELA / HM1810</t>
  </si>
  <si>
    <t>154588-3</t>
  </si>
  <si>
    <t>CIGUEÑAL PARA / HM1810</t>
  </si>
  <si>
    <t>154589-1</t>
  </si>
  <si>
    <t>BALANCEADOR / HM1810</t>
  </si>
  <si>
    <t>154590-6</t>
  </si>
  <si>
    <t>CAJA ENGRANAJE / VARIOS</t>
  </si>
  <si>
    <t>154595-6</t>
  </si>
  <si>
    <t>EJE CPL / 2704</t>
  </si>
  <si>
    <t>154596-4</t>
  </si>
  <si>
    <t>RIEL DE EXTENSION P/2704</t>
  </si>
  <si>
    <t>154602-5</t>
  </si>
  <si>
    <t>CAJA MOTOR / 2704</t>
  </si>
  <si>
    <t>154603-3</t>
  </si>
  <si>
    <t>CAJA DE ENGRANAJE / 2704</t>
  </si>
  <si>
    <t>154608-3</t>
  </si>
  <si>
    <t>BASE CPL / 2704</t>
  </si>
  <si>
    <t>154619-8</t>
  </si>
  <si>
    <t>CAJA MOTOR  / HR4011C</t>
  </si>
  <si>
    <t>154621-1</t>
  </si>
  <si>
    <t>BARRIL / HR4001C</t>
  </si>
  <si>
    <t>154623-7</t>
  </si>
  <si>
    <t>BASE DE RODAJE / HR4001C</t>
  </si>
  <si>
    <t>154625-3</t>
  </si>
  <si>
    <t>CAJA CIGUEÑAL CPL / HR4001C</t>
  </si>
  <si>
    <t>154626-1</t>
  </si>
  <si>
    <t>CAJA DE INTERRUPTOR / VARIOS</t>
  </si>
  <si>
    <t>154635-0</t>
  </si>
  <si>
    <t>PALANCA DE ENCENDIDO / HR4001C</t>
  </si>
  <si>
    <t>154649-9</t>
  </si>
  <si>
    <t>GRIFO COMPLETO P/PW5001C</t>
  </si>
  <si>
    <t>154665-1</t>
  </si>
  <si>
    <t>GUARDA DE DISCO 230 / MT901</t>
  </si>
  <si>
    <t>154666-9</t>
  </si>
  <si>
    <t>GUARDA DE DISCO 180 / MT900</t>
  </si>
  <si>
    <t>154668-5</t>
  </si>
  <si>
    <t>154669-3</t>
  </si>
  <si>
    <t>SOPORTE MOTOR / 3709 - 4403</t>
  </si>
  <si>
    <t>154671-6</t>
  </si>
  <si>
    <t>CAJA MOTOR  / GA9020 - GA7020</t>
  </si>
  <si>
    <t>154672-4</t>
  </si>
  <si>
    <t>GUARDA / GA9020 - GA9040S</t>
  </si>
  <si>
    <t>154761-5</t>
  </si>
  <si>
    <t>RUEDA DENTADA / UC4020C</t>
  </si>
  <si>
    <t>154763-1</t>
  </si>
  <si>
    <t>PALANCA / UC4020C</t>
  </si>
  <si>
    <t>154769-9</t>
  </si>
  <si>
    <t>154777-0</t>
  </si>
  <si>
    <t>EJE - GA9040S - GA7040S</t>
  </si>
  <si>
    <t>154786-9</t>
  </si>
  <si>
    <t>154843-3</t>
  </si>
  <si>
    <t>PORTA HERRAMIENTA / DHR165 - HR1830</t>
  </si>
  <si>
    <t>154935-8</t>
  </si>
  <si>
    <t>154946-3</t>
  </si>
  <si>
    <t>BIELA / HM1810</t>
  </si>
  <si>
    <t>155174-3</t>
  </si>
  <si>
    <t>BASE CPL / 9035</t>
  </si>
  <si>
    <t>155885-0</t>
  </si>
  <si>
    <t>DESLIZADOR / 9402- 9401</t>
  </si>
  <si>
    <t>156087-1</t>
  </si>
  <si>
    <t>CAJA DE TRANSMISION / 6906</t>
  </si>
  <si>
    <t>156443-5</t>
  </si>
  <si>
    <t>CAJA MOTOR  6013BR</t>
  </si>
  <si>
    <t>156651-8</t>
  </si>
  <si>
    <t>CAJA DE RODAMIENTO / 6016</t>
  </si>
  <si>
    <t>156652-6</t>
  </si>
  <si>
    <t>CAJA DE ENGRANAJE / 6016</t>
  </si>
  <si>
    <t>156734-4</t>
  </si>
  <si>
    <t>156833-2</t>
  </si>
  <si>
    <t>TAPA DE CAJA /JN3200</t>
  </si>
  <si>
    <t>156838-2</t>
  </si>
  <si>
    <t>CAJA DE ENGRANAJE / JN3200</t>
  </si>
  <si>
    <t>156862-5</t>
  </si>
  <si>
    <t>156863-3</t>
  </si>
  <si>
    <t>CAJA DE TRANSMISION / HM1201</t>
  </si>
  <si>
    <t>156971-0</t>
  </si>
  <si>
    <t>CAJA DE ENGRANAJE / 6013BR</t>
  </si>
  <si>
    <t>157023-0</t>
  </si>
  <si>
    <t>CAJA TAMBOR  1804K</t>
  </si>
  <si>
    <t>157628-6</t>
  </si>
  <si>
    <t>CAJA DE ENGRANAJE / HM0810T</t>
  </si>
  <si>
    <t>157640-6</t>
  </si>
  <si>
    <t>158047-9</t>
  </si>
  <si>
    <t>158057-6</t>
  </si>
  <si>
    <t>158070-4</t>
  </si>
  <si>
    <t>ESTRUCTURA / VARIOS</t>
  </si>
  <si>
    <t>158072-0</t>
  </si>
  <si>
    <t>ENGRANAJE HELICOIDAL 42 / VARIOS</t>
  </si>
  <si>
    <t>158076-2</t>
  </si>
  <si>
    <t>158094-0</t>
  </si>
  <si>
    <t>CAJA MOTOR  / SP6000 - CA5000</t>
  </si>
  <si>
    <t>158100-1</t>
  </si>
  <si>
    <t>CAJA MOTOR  / 5007N - 5008 MG</t>
  </si>
  <si>
    <t>158103-5</t>
  </si>
  <si>
    <t>RIEL TRASERO DE EXTENSION P/2704</t>
  </si>
  <si>
    <t>158104-3</t>
  </si>
  <si>
    <t>RIEL FRONTAL DE EXTENSION P/2704</t>
  </si>
  <si>
    <t>158131-0</t>
  </si>
  <si>
    <t>EMPUÑADURA CPL 36 / VARIOS</t>
  </si>
  <si>
    <t>158139-4</t>
  </si>
  <si>
    <t>ENGRANAJE HELICOIDAL 43 / HM1305</t>
  </si>
  <si>
    <t>158145-9</t>
  </si>
  <si>
    <t>CAJA DE RODAMIENTO / DTD146</t>
  </si>
  <si>
    <t>158156-4</t>
  </si>
  <si>
    <t>TAMBOR CPL / KP0810C - DKP181</t>
  </si>
  <si>
    <t>158166-1</t>
  </si>
  <si>
    <t>FLOTADOR / DVC860</t>
  </si>
  <si>
    <t>158175-0</t>
  </si>
  <si>
    <t>BARRIL / HR5211C</t>
  </si>
  <si>
    <t>158176-8</t>
  </si>
  <si>
    <t>CAJA CIGUEÑAL / HR5211C</t>
  </si>
  <si>
    <t>158177-6</t>
  </si>
  <si>
    <t>CAJA DE CIGUEÑAL / HR5201C</t>
  </si>
  <si>
    <t>158178-4</t>
  </si>
  <si>
    <t>CAJA DE ENGRANAJE / HR5211C</t>
  </si>
  <si>
    <t>158179-2</t>
  </si>
  <si>
    <t>CUBIERTA DE BARRIL / HR5211C</t>
  </si>
  <si>
    <t>158184-9</t>
  </si>
  <si>
    <t>SOPORTE DE TAMBOR / KP0810C - DKP181</t>
  </si>
  <si>
    <t>158206-5</t>
  </si>
  <si>
    <t>EJE  / GA9020 - GA7020</t>
  </si>
  <si>
    <t>158209-9</t>
  </si>
  <si>
    <t>EJE CPL / M9001 - M9000</t>
  </si>
  <si>
    <t>158215-4</t>
  </si>
  <si>
    <t>CAJA INTERNA CPL / VARIOS</t>
  </si>
  <si>
    <t>158216-2</t>
  </si>
  <si>
    <t>158278-0</t>
  </si>
  <si>
    <t>158281-1</t>
  </si>
  <si>
    <t>SOPORTE DE INTERRUPTOR / HR2810</t>
  </si>
  <si>
    <t>158282-9</t>
  </si>
  <si>
    <t>BIELA / VARIOS</t>
  </si>
  <si>
    <t>158284-5</t>
  </si>
  <si>
    <t>PALANCA DE CAMBIO / HR2810</t>
  </si>
  <si>
    <t>158285-3</t>
  </si>
  <si>
    <t>PORTA HERRAMIENTA CPL / HR2810</t>
  </si>
  <si>
    <t>158286-1</t>
  </si>
  <si>
    <t>CILINDRO / HR2810T</t>
  </si>
  <si>
    <t>158287-9</t>
  </si>
  <si>
    <t>CAJA DE RODAMIENTO / HR2810 - HR2810T</t>
  </si>
  <si>
    <t>158288-7</t>
  </si>
  <si>
    <t>BARRIL / HR2810 - HR2810T</t>
  </si>
  <si>
    <t>158289-5</t>
  </si>
  <si>
    <t>CAJA CIGUEÑAL/ VARIOS</t>
  </si>
  <si>
    <t>158305-3</t>
  </si>
  <si>
    <t>CAJA DE ENGRANAJE / HR2230</t>
  </si>
  <si>
    <t>158323-1</t>
  </si>
  <si>
    <t>RESPALDO CPL / BO4555</t>
  </si>
  <si>
    <t>158324-9</t>
  </si>
  <si>
    <t>158360-5</t>
  </si>
  <si>
    <t>BASE DELANTERA</t>
  </si>
  <si>
    <t>158392-2</t>
  </si>
  <si>
    <t>GUIA DE CORTE / VARIOS</t>
  </si>
  <si>
    <t>158393-0</t>
  </si>
  <si>
    <t>RETENEDOR CPL / 4326 - 4327</t>
  </si>
  <si>
    <t>158398-0</t>
  </si>
  <si>
    <t>CAJA MOTOR  / GA5020C - GA5021C</t>
  </si>
  <si>
    <t>158401-7</t>
  </si>
  <si>
    <t>PALANCA DE INTERRUPTOR A / PC5001C</t>
  </si>
  <si>
    <t>158413-0</t>
  </si>
  <si>
    <t>158423-7</t>
  </si>
  <si>
    <t>BASE  CPL / 5008 MG</t>
  </si>
  <si>
    <t>158437-6</t>
  </si>
  <si>
    <t>ENGRANAJE RECTO 33 / HR3210C</t>
  </si>
  <si>
    <t>158490-2</t>
  </si>
  <si>
    <t>CAJA MOTOR  / MCC400</t>
  </si>
  <si>
    <t>158491-0</t>
  </si>
  <si>
    <t>CAJA MOTOR  / MSS700</t>
  </si>
  <si>
    <t>158533-0</t>
  </si>
  <si>
    <t>BARRIL / HR3210C</t>
  </si>
  <si>
    <t>158534-8</t>
  </si>
  <si>
    <t>CAJA DE ENGRANAJE / HR3210C</t>
  </si>
  <si>
    <t>158562-3</t>
  </si>
  <si>
    <t>CAJA MOTOR  / MBS400</t>
  </si>
  <si>
    <t>158574-6</t>
  </si>
  <si>
    <t>PORTA HERRAMIENTA</t>
  </si>
  <si>
    <t>158575-4</t>
  </si>
  <si>
    <t>PORTA HERRAMIENTA / HR2230</t>
  </si>
  <si>
    <t>158595-8</t>
  </si>
  <si>
    <t>BASE DE GOMA / VARIOS</t>
  </si>
  <si>
    <t>158606-9</t>
  </si>
  <si>
    <t>IMPULSOR / AN901</t>
  </si>
  <si>
    <t>158670-0</t>
  </si>
  <si>
    <t>CAJA DE ENGRANAJE / TD090</t>
  </si>
  <si>
    <t>158671-8</t>
  </si>
  <si>
    <t>CAJA DE RODAMIENTO / TD110D</t>
  </si>
  <si>
    <t>158677-6</t>
  </si>
  <si>
    <t>CUBIERTA DE EMPUÑADURA / HP1630K</t>
  </si>
  <si>
    <t>158705-7</t>
  </si>
  <si>
    <t>CAJA MOTOR  / 5007NK</t>
  </si>
  <si>
    <t>158712-0</t>
  </si>
  <si>
    <t>CARCASA DE MANIVELA CPL / VARIOS</t>
  </si>
  <si>
    <t>158796-8</t>
  </si>
  <si>
    <t>BASE DE GOMA / M9200</t>
  </si>
  <si>
    <t>158808-7</t>
  </si>
  <si>
    <t>BASE  / RP0900 - M3601</t>
  </si>
  <si>
    <t>158835-4</t>
  </si>
  <si>
    <t>TUBO DE SUMINSTRO DE AGUA / 4100NH2</t>
  </si>
  <si>
    <t>158858-2</t>
  </si>
  <si>
    <t>BARRIL / HM1203C; 13C</t>
  </si>
  <si>
    <t>158859-0</t>
  </si>
  <si>
    <t>CAJA DE ENGRANAJE / HM1203C; 13C</t>
  </si>
  <si>
    <t>158869-7</t>
  </si>
  <si>
    <t>RETENEDOR / M4302</t>
  </si>
  <si>
    <t>158870-2</t>
  </si>
  <si>
    <t>CAJA DE ENGRANAJE / M4302</t>
  </si>
  <si>
    <t>158871-0</t>
  </si>
  <si>
    <t>CUBIERTA DE LA CAJA DE ENGRANAJE / M4302</t>
  </si>
  <si>
    <t>158873-6</t>
  </si>
  <si>
    <t>PLACA DE MANIVELA / M4302</t>
  </si>
  <si>
    <t>158874-4</t>
  </si>
  <si>
    <t>CAJA DE RODAMIENTO / FS4200 - FS4000</t>
  </si>
  <si>
    <t>158876-0</t>
  </si>
  <si>
    <t>CUBIERTA DE ENCASTRE / VARIOS</t>
  </si>
  <si>
    <t>158881-7</t>
  </si>
  <si>
    <t>CAJA DE ENGRANAJE / FS6300</t>
  </si>
  <si>
    <t>158883-3</t>
  </si>
  <si>
    <t>CAJA DE ENGRANAJE / FS4000</t>
  </si>
  <si>
    <t>158885-9</t>
  </si>
  <si>
    <t>ENGRANAJE 38 / FS6300</t>
  </si>
  <si>
    <t>158886-7</t>
  </si>
  <si>
    <t>158892-2</t>
  </si>
  <si>
    <t>ENGRANAJE RECTO 35 / FS2700</t>
  </si>
  <si>
    <t>158911-4</t>
  </si>
  <si>
    <t>DUCTO DE GASOLINA CPL / VARIOS</t>
  </si>
  <si>
    <t>158913-0</t>
  </si>
  <si>
    <t>ENGRANAJE 49 / M4302</t>
  </si>
  <si>
    <t>158944-9</t>
  </si>
  <si>
    <t>SOPORTE / DHR263</t>
  </si>
  <si>
    <t>158945-7</t>
  </si>
  <si>
    <t>158957-0</t>
  </si>
  <si>
    <t>158972-4</t>
  </si>
  <si>
    <t>CAJA DE RODAMIENTO / RP2301FC</t>
  </si>
  <si>
    <t>158973-2</t>
  </si>
  <si>
    <t>BASE / RP2301FC</t>
  </si>
  <si>
    <t>158978-2</t>
  </si>
  <si>
    <t>CAJA MOTOR  / RP2301FC</t>
  </si>
  <si>
    <t>158982-1</t>
  </si>
  <si>
    <t>CAJA DE ENGRANAJE / FS2200 - FS2700</t>
  </si>
  <si>
    <t>158983-9</t>
  </si>
  <si>
    <t>CAJA DE ENGRANAJE / HM1214C</t>
  </si>
  <si>
    <t>158985-5</t>
  </si>
  <si>
    <t>CAJA DE RODAMIENTO / HM1214C</t>
  </si>
  <si>
    <t>158986-3</t>
  </si>
  <si>
    <t>CUBIERTA DE CONTROLADOR / VARIOS</t>
  </si>
  <si>
    <t>159087-0</t>
  </si>
  <si>
    <t>159247-4</t>
  </si>
  <si>
    <t>CAJA MOTOR / 3600H</t>
  </si>
  <si>
    <t>159283-0</t>
  </si>
  <si>
    <t>159414-1</t>
  </si>
  <si>
    <t>CAJA MOTOR   / 6906</t>
  </si>
  <si>
    <t>159530-9</t>
  </si>
  <si>
    <t>TAPA MOTOR / HM1800</t>
  </si>
  <si>
    <t>159587-0</t>
  </si>
  <si>
    <t>CAJA MOTOR METAL / 6016</t>
  </si>
  <si>
    <t>159634-7</t>
  </si>
  <si>
    <t>CAJA MOTOR  / HM0810T</t>
  </si>
  <si>
    <t>159668-0</t>
  </si>
  <si>
    <t>CAJA MOTOR  / 3612</t>
  </si>
  <si>
    <t>159685-0</t>
  </si>
  <si>
    <t>CAJA MOTOR  / 4131</t>
  </si>
  <si>
    <t>159750-5</t>
  </si>
  <si>
    <t>CAJA MOTOR  / 2414NB</t>
  </si>
  <si>
    <t>159951-5</t>
  </si>
  <si>
    <t>CAJA DE ENGRANAJE / 9227CB</t>
  </si>
  <si>
    <t>161056-9</t>
  </si>
  <si>
    <t>TAMBOR / 1805N</t>
  </si>
  <si>
    <t>161061-6</t>
  </si>
  <si>
    <t>161132-9</t>
  </si>
  <si>
    <t>TAMBOR / 1806B</t>
  </si>
  <si>
    <t>161140-0</t>
  </si>
  <si>
    <t>BASE DE CUCHILLAS / VARIOS</t>
  </si>
  <si>
    <t>161141-8</t>
  </si>
  <si>
    <t>TAMBOR / VARIOS</t>
  </si>
  <si>
    <t>161301-2</t>
  </si>
  <si>
    <t>JUNTA DE LA CUBIERTA DE CABEZAL / EK7651H</t>
  </si>
  <si>
    <t>161312-7</t>
  </si>
  <si>
    <t>CARBURADOR CPL / EK8100</t>
  </si>
  <si>
    <t>161328-2</t>
  </si>
  <si>
    <t>ARRANCADOR CPL / EA3203S</t>
  </si>
  <si>
    <t>161332-1</t>
  </si>
  <si>
    <t>ZAPATA / VARIOS</t>
  </si>
  <si>
    <t>161346-0</t>
  </si>
  <si>
    <t>BOMBA DE ACEITE / EA3203S</t>
  </si>
  <si>
    <t>161357-5</t>
  </si>
  <si>
    <t>BOBINA DE ARRAQUE / VARIOS</t>
  </si>
  <si>
    <t>161365-6</t>
  </si>
  <si>
    <t>ARRANCADOR MANUAL / VARIOS</t>
  </si>
  <si>
    <t>161368-0</t>
  </si>
  <si>
    <t>BASE DE CARBURADOR / VARIOS</t>
  </si>
  <si>
    <t>161370-3</t>
  </si>
  <si>
    <t>161374-5</t>
  </si>
  <si>
    <t>GUIA DE CORTE / DJR360</t>
  </si>
  <si>
    <t>161375-3</t>
  </si>
  <si>
    <t>ZAPATA / DJR186</t>
  </si>
  <si>
    <t>161397-3</t>
  </si>
  <si>
    <t>BASE DE HERRAMIENTA/ LW1400</t>
  </si>
  <si>
    <t>161398-1</t>
  </si>
  <si>
    <t>GUIA DE SEGURIDAD / LW1400 - LW1401</t>
  </si>
  <si>
    <t>161399-9</t>
  </si>
  <si>
    <t>PROTECTOR DE CHISPAS/ LW1400</t>
  </si>
  <si>
    <t>161400-0</t>
  </si>
  <si>
    <t>GUARDA FIJA / LW1400 - LW1401</t>
  </si>
  <si>
    <t>161402-6</t>
  </si>
  <si>
    <t>BASE GUIA/ LW1400</t>
  </si>
  <si>
    <t>161404-2</t>
  </si>
  <si>
    <t>GUIA ANGULAR FRONTAL/ 4100NH2R</t>
  </si>
  <si>
    <t>161405-0</t>
  </si>
  <si>
    <t>GUIA ANGULAR TRASERA/ 4100NH2R</t>
  </si>
  <si>
    <t>161408-4</t>
  </si>
  <si>
    <t>TUBO SILENCIADOR/ EB7660TH</t>
  </si>
  <si>
    <t>161411-5</t>
  </si>
  <si>
    <t>BOBINA / EB5300TH</t>
  </si>
  <si>
    <t>161433-5</t>
  </si>
  <si>
    <t>CORREA DE MANO / PM7650H</t>
  </si>
  <si>
    <t>161458-9</t>
  </si>
  <si>
    <t>SOPORTE DE CUCHILLAS / M1902</t>
  </si>
  <si>
    <t>161479-1</t>
  </si>
  <si>
    <t>ARNES / DVC260</t>
  </si>
  <si>
    <t>161483-0</t>
  </si>
  <si>
    <t>BOBINA DE ARRANQUE/ VARIOS</t>
  </si>
  <si>
    <t>161509-8</t>
  </si>
  <si>
    <t>BANDA L / PM7650H</t>
  </si>
  <si>
    <t>161510-3</t>
  </si>
  <si>
    <t>BANDA R / PM7650H</t>
  </si>
  <si>
    <t>161518-7</t>
  </si>
  <si>
    <t>TUBO DE ESCAPE / EB5300TH</t>
  </si>
  <si>
    <t>161519-5</t>
  </si>
  <si>
    <t>EMPAQUETADURA DE CARBURADOR / EB5300TH</t>
  </si>
  <si>
    <t>161520-0</t>
  </si>
  <si>
    <t>EMPAQUETADURA DE CABEZAL / EB5300TH</t>
  </si>
  <si>
    <t>161521-8</t>
  </si>
  <si>
    <t>EMPAQUETADURA ENGRANAJE DE LEVA / EB5300TH</t>
  </si>
  <si>
    <t>161522-6</t>
  </si>
  <si>
    <t>EMPAQUETADURA CAJA DE ACEITE / EB5300TH</t>
  </si>
  <si>
    <t>161523-4</t>
  </si>
  <si>
    <t>EMPAQUETADURA TUBO DE ACEITE / EB5300TH</t>
  </si>
  <si>
    <t>161526-8</t>
  </si>
  <si>
    <t>TAMBOR DE FRENO CPL / VARIOS</t>
  </si>
  <si>
    <t>161528-4</t>
  </si>
  <si>
    <t>BASE / M2401</t>
  </si>
  <si>
    <t>161534-9</t>
  </si>
  <si>
    <t>ASA IZQUIERDA/ EB7660TH</t>
  </si>
  <si>
    <t>161535-7</t>
  </si>
  <si>
    <t>ASA DERECHA/ EB7660TH</t>
  </si>
  <si>
    <t>161542-0</t>
  </si>
  <si>
    <t>CARBURADOR  / EB7660TH</t>
  </si>
  <si>
    <t>161566-6</t>
  </si>
  <si>
    <t>COJIN / PM7650H</t>
  </si>
  <si>
    <t>161567-4</t>
  </si>
  <si>
    <t>CINTURON / EB5300TH</t>
  </si>
  <si>
    <t>161569-0</t>
  </si>
  <si>
    <t>161573-9</t>
  </si>
  <si>
    <t>TUBO SILENCIADOR/ VARIOS</t>
  </si>
  <si>
    <t>161583-6</t>
  </si>
  <si>
    <t>JUNTA AISLANTE / EB7660TH</t>
  </si>
  <si>
    <t>161596-7</t>
  </si>
  <si>
    <t>CARBURADOR / EB5300TH</t>
  </si>
  <si>
    <t>161598-3</t>
  </si>
  <si>
    <t>MANIVELA / DUM604 - UM600D</t>
  </si>
  <si>
    <t>161600-2</t>
  </si>
  <si>
    <t>161604-4</t>
  </si>
  <si>
    <t>GUIA DE PROFUNDIDAD DE CORTE / DRS780</t>
  </si>
  <si>
    <t>161640-0</t>
  </si>
  <si>
    <t>MANGO CPL / DCU180</t>
  </si>
  <si>
    <t>161641-8</t>
  </si>
  <si>
    <t>MORDAZA DE FRENO / DCU180</t>
  </si>
  <si>
    <t>161647-6</t>
  </si>
  <si>
    <t>SOPORTE DE GUARDA / VARIOS</t>
  </si>
  <si>
    <t>161648-4</t>
  </si>
  <si>
    <t>FRENO ENSAMBLADO / DCU180</t>
  </si>
  <si>
    <t>161653-1</t>
  </si>
  <si>
    <t>BOQUILLA GITARORIA / EB5300TH</t>
  </si>
  <si>
    <t>161656-5</t>
  </si>
  <si>
    <t>PALANCA DE CAMBIO / HR2652</t>
  </si>
  <si>
    <t>161773-1</t>
  </si>
  <si>
    <t>BASE / HS7010</t>
  </si>
  <si>
    <t>161775-7</t>
  </si>
  <si>
    <t>BASE DE HERRAMIENTA / 4100KB</t>
  </si>
  <si>
    <t>161781-2</t>
  </si>
  <si>
    <t>PESTILLO / DBN600</t>
  </si>
  <si>
    <t>161791-9</t>
  </si>
  <si>
    <t>GUARDA DE RUEDA DENTADA/ VARIOS</t>
  </si>
  <si>
    <t>161809-6</t>
  </si>
  <si>
    <t>161810-1</t>
  </si>
  <si>
    <t>161820-8</t>
  </si>
  <si>
    <t>CAJA DE PISTON / DHW080</t>
  </si>
  <si>
    <t>161821-6</t>
  </si>
  <si>
    <t>CARCASA DE LA BOMBA  / DHW080</t>
  </si>
  <si>
    <t>161823-2</t>
  </si>
  <si>
    <t>CARCASA DE ENGRANAJE / DHW080</t>
  </si>
  <si>
    <t>161838-9</t>
  </si>
  <si>
    <t>PASADOR / HR003G - DHR280</t>
  </si>
  <si>
    <t>161867-2</t>
  </si>
  <si>
    <t>GUIA DE ALAMBRE / DTR180</t>
  </si>
  <si>
    <t>161870-3</t>
  </si>
  <si>
    <t>TUERCA DE BRIDA / DUC254</t>
  </si>
  <si>
    <t>161871-1</t>
  </si>
  <si>
    <t>TAMBOR DE FRENO / DUC254</t>
  </si>
  <si>
    <t>161877-9</t>
  </si>
  <si>
    <t>CAMPANA DE EMBRAGUE / VARIOS</t>
  </si>
  <si>
    <t>161899-9</t>
  </si>
  <si>
    <t>GUIA DE PROFUNDIDAD / DHS660 - DHS661</t>
  </si>
  <si>
    <t>162149-5</t>
  </si>
  <si>
    <t>PLACA DE AMORTIGUACION / 6905H</t>
  </si>
  <si>
    <t>162171-2</t>
  </si>
  <si>
    <t>RETENEDOR DE RODAJE 24 / 9046</t>
  </si>
  <si>
    <t>162172-0</t>
  </si>
  <si>
    <t>BASE DE ESPONJA / 9046</t>
  </si>
  <si>
    <t>162199-0</t>
  </si>
  <si>
    <t>RODILLO DE GOMA / 9403</t>
  </si>
  <si>
    <t>162216-6</t>
  </si>
  <si>
    <t>RODILLO 34-295 / 2012NB</t>
  </si>
  <si>
    <t>162229-7</t>
  </si>
  <si>
    <t>SELECTOR DE FUNCION / VARIOS</t>
  </si>
  <si>
    <t>162236-0</t>
  </si>
  <si>
    <t>BOTON DESPLAZAMIENTO /VARIOS</t>
  </si>
  <si>
    <t>162241-7</t>
  </si>
  <si>
    <t>EMPAQUETADURA / HM1810</t>
  </si>
  <si>
    <t>162244-1</t>
  </si>
  <si>
    <t>PALANCA DE CAMBIO / HR2230</t>
  </si>
  <si>
    <t>162245-9</t>
  </si>
  <si>
    <t>162248-3</t>
  </si>
  <si>
    <t>RODILLO IMPULSOR / M9400</t>
  </si>
  <si>
    <t>162256-4</t>
  </si>
  <si>
    <t>PALANCA DE ENLACE / HR2810</t>
  </si>
  <si>
    <t>162259-8</t>
  </si>
  <si>
    <t>SUJETADOR DE LIJA / BO4556</t>
  </si>
  <si>
    <t>162272-6</t>
  </si>
  <si>
    <t>GANCHO / VARIOS</t>
  </si>
  <si>
    <t>162274-2</t>
  </si>
  <si>
    <t>EMPAQUE TAPA DE RUEDA DENTADA / VARIOS</t>
  </si>
  <si>
    <t>162275-0</t>
  </si>
  <si>
    <t>EMPAQUE TAPA BALANCIN / VARIOS</t>
  </si>
  <si>
    <t>162276-8</t>
  </si>
  <si>
    <t>EMPAQUE DE CARTER / VARIOS</t>
  </si>
  <si>
    <t>162279-2</t>
  </si>
  <si>
    <t>SUJETADOR DE LIJA / BO3710 - DBO380</t>
  </si>
  <si>
    <t>162302-3</t>
  </si>
  <si>
    <t>PESTILLO / VARIOS</t>
  </si>
  <si>
    <t>162304-9</t>
  </si>
  <si>
    <t>EMPAQUE TAPA BALANCIN/ VARIOS</t>
  </si>
  <si>
    <t>162307-3</t>
  </si>
  <si>
    <t>162308-1</t>
  </si>
  <si>
    <t>162309-9</t>
  </si>
  <si>
    <t>DUCTO DE GASOLINA / VARIOS</t>
  </si>
  <si>
    <t>162333-2</t>
  </si>
  <si>
    <t>JUNTA AISLANTE / PM7650H</t>
  </si>
  <si>
    <t>162334-0</t>
  </si>
  <si>
    <t>EMPAQUETADURA DE ENGRANAJE DE LEVA / EM4351UH</t>
  </si>
  <si>
    <t>162335-8</t>
  </si>
  <si>
    <t>EMPAQUETADURA DE CABEZAL / EM4351UH</t>
  </si>
  <si>
    <t>162337-4</t>
  </si>
  <si>
    <t>EMPAQUE CONTENEDOR DE ACEITE / EM4351UH</t>
  </si>
  <si>
    <t>162338-2</t>
  </si>
  <si>
    <t>EMPAQUE TUBO DE ACEITE / EM4351UH</t>
  </si>
  <si>
    <t>162345-5</t>
  </si>
  <si>
    <t>162468-9</t>
  </si>
  <si>
    <t>BASE / DCS553</t>
  </si>
  <si>
    <t>162489-1</t>
  </si>
  <si>
    <t>GUARDA DE DISCO  FIJO / DLW140</t>
  </si>
  <si>
    <t>162490-6</t>
  </si>
  <si>
    <t>GUARDA DE DISCO MOVIL / DLW140</t>
  </si>
  <si>
    <t>162494-8</t>
  </si>
  <si>
    <t>TUERCA DE BRIDA / DUC254 - DUC406</t>
  </si>
  <si>
    <t>162500-9</t>
  </si>
  <si>
    <t>DEPOSITO DE RESIDUOS / DVR150</t>
  </si>
  <si>
    <t>162501-7</t>
  </si>
  <si>
    <t>ASA IZQUIERDA / EB7660TH</t>
  </si>
  <si>
    <t>162502-5</t>
  </si>
  <si>
    <t>ASA DERECHA / EB7660TH</t>
  </si>
  <si>
    <t>162505-9</t>
  </si>
  <si>
    <t>CORREA  / EB5300TH</t>
  </si>
  <si>
    <t>162509-1</t>
  </si>
  <si>
    <t>CABLE DE CONTROL / DLM460</t>
  </si>
  <si>
    <t>162518-0</t>
  </si>
  <si>
    <t>FILTRO / DVC750L</t>
  </si>
  <si>
    <t>162540-7</t>
  </si>
  <si>
    <t>162544-9</t>
  </si>
  <si>
    <t>CORREA DE HOMBRO / CL121D</t>
  </si>
  <si>
    <t>162564-3</t>
  </si>
  <si>
    <t>PLACA DESLIZANTE / VARIOS</t>
  </si>
  <si>
    <t>162566-9</t>
  </si>
  <si>
    <t>162638-0</t>
  </si>
  <si>
    <t>FRENO DE TAMBRO / DUC406</t>
  </si>
  <si>
    <t>162641-1</t>
  </si>
  <si>
    <t>CUBIERTA DE TANQUE / DVC750L</t>
  </si>
  <si>
    <t>162658-4</t>
  </si>
  <si>
    <t>EMPUÑADURA CPL / PDC01</t>
  </si>
  <si>
    <t>162667-3</t>
  </si>
  <si>
    <t>VALVULA DE DRENADO / DGP180</t>
  </si>
  <si>
    <t>162682-7</t>
  </si>
  <si>
    <t>EJE DELANTERO / DML382</t>
  </si>
  <si>
    <t>162683-5</t>
  </si>
  <si>
    <t>EJE TRASERO/ DML382</t>
  </si>
  <si>
    <t>162686-9</t>
  </si>
  <si>
    <t>ROTOR 220V/MRP100-MRP101</t>
  </si>
  <si>
    <t>162688-5</t>
  </si>
  <si>
    <t>EJE DELANTERO/ VARIOS</t>
  </si>
  <si>
    <t>162689-3</t>
  </si>
  <si>
    <t>EJE TRASERO/ VARIOS</t>
  </si>
  <si>
    <t>162690-8</t>
  </si>
  <si>
    <t>EJE DELANTERO / DLM465</t>
  </si>
  <si>
    <t>162691-6</t>
  </si>
  <si>
    <t>EJE TRASERO / DLM465</t>
  </si>
  <si>
    <t>162692-4</t>
  </si>
  <si>
    <t>EMPUÑADURA TRASERA/ VARIOS</t>
  </si>
  <si>
    <t>162694-0</t>
  </si>
  <si>
    <t>PALANCA DE AJUSTE DE ALTURA / DLM465</t>
  </si>
  <si>
    <t>162698-2</t>
  </si>
  <si>
    <t>BANDA DE HOMBRO 30 / DUB363</t>
  </si>
  <si>
    <t>162700-1</t>
  </si>
  <si>
    <t>HARNES / DVC660</t>
  </si>
  <si>
    <t>162704-3</t>
  </si>
  <si>
    <t>PIE DE APOYO / JR3051T</t>
  </si>
  <si>
    <t>162705-1</t>
  </si>
  <si>
    <t>DESLIZADOR / JR3051T</t>
  </si>
  <si>
    <t>162743-3</t>
  </si>
  <si>
    <t>TUBO GUIA 4.6 / DRV250</t>
  </si>
  <si>
    <t>162750-6</t>
  </si>
  <si>
    <t>ARNES / DVC665</t>
  </si>
  <si>
    <t>162813-8</t>
  </si>
  <si>
    <t>GUIA DE PROFUNDIDAD / DHS901</t>
  </si>
  <si>
    <t>162815-4</t>
  </si>
  <si>
    <t>GANCHO / DPB183</t>
  </si>
  <si>
    <t>162951-6</t>
  </si>
  <si>
    <t>BASE / DCC500</t>
  </si>
  <si>
    <t>162965-5</t>
  </si>
  <si>
    <t>PERILLA 57/UR002G-06G</t>
  </si>
  <si>
    <t>162994-8</t>
  </si>
  <si>
    <t>CARCASA DE PISTON / DHW080</t>
  </si>
  <si>
    <t>162B76-8</t>
  </si>
  <si>
    <t>DESLIZADOR /DJR189</t>
  </si>
  <si>
    <t>162B78-4</t>
  </si>
  <si>
    <t>CAMPANA EMGRAGUE / VARIOS</t>
  </si>
  <si>
    <t>162B95-4</t>
  </si>
  <si>
    <t>ZAPATA DE APOYO / DJR189</t>
  </si>
  <si>
    <t>162C20-1</t>
  </si>
  <si>
    <t>TAPA DE DEPOSITO/ VARIOS</t>
  </si>
  <si>
    <t>162C59-4</t>
  </si>
  <si>
    <t>163039-5</t>
  </si>
  <si>
    <t>SOPORTE RODILLO / 9401- 9402</t>
  </si>
  <si>
    <t>163113-9</t>
  </si>
  <si>
    <t>BLOQUEO DE EJE / VARIOS</t>
  </si>
  <si>
    <t>163248-6</t>
  </si>
  <si>
    <t>PLANCHA REGULADORA / 5007F</t>
  </si>
  <si>
    <t>163397-9</t>
  </si>
  <si>
    <t>BASE / M4301</t>
  </si>
  <si>
    <t>163398-7</t>
  </si>
  <si>
    <t>SOPORTE DE RODILLO DE TENSION / 9403</t>
  </si>
  <si>
    <t>163430-7</t>
  </si>
  <si>
    <t>PLACA DE BLOQUEO / VARIOS</t>
  </si>
  <si>
    <t>163446-2</t>
  </si>
  <si>
    <t>PROTECTOR DE DISCO / GA7010C</t>
  </si>
  <si>
    <t>163447-0</t>
  </si>
  <si>
    <t>FILTRO DE GASOLINA / EM3400U</t>
  </si>
  <si>
    <t>163448-8</t>
  </si>
  <si>
    <t>PLACA DE ENLACE COMPLETA</t>
  </si>
  <si>
    <t>163451-9</t>
  </si>
  <si>
    <t>163453-5</t>
  </si>
  <si>
    <t>GUIA DE CORTE / JR3070CT</t>
  </si>
  <si>
    <t>163477-1</t>
  </si>
  <si>
    <t>SOPORTE DE RODILLO TENSOR / VARIOS</t>
  </si>
  <si>
    <t>163484-4</t>
  </si>
  <si>
    <t>GUIA DE PROFUNDIDAD / 5007NK</t>
  </si>
  <si>
    <t>163499-1</t>
  </si>
  <si>
    <t>FILTRO DE GASOLINA / VARIOS</t>
  </si>
  <si>
    <t>163500-2</t>
  </si>
  <si>
    <t>PLACA DE ENLACE / EA3203S</t>
  </si>
  <si>
    <t>163506-0</t>
  </si>
  <si>
    <t>MANGO LATERAL / HM1317CB - HM1307CB</t>
  </si>
  <si>
    <t>163518-3</t>
  </si>
  <si>
    <t>FILTRO DE ACEITE / EM4351UH</t>
  </si>
  <si>
    <t>163524-8</t>
  </si>
  <si>
    <t>PALANCA DE BLOQUEO / RT0700C - DRT50</t>
  </si>
  <si>
    <t>163532-9</t>
  </si>
  <si>
    <t>163541-8</t>
  </si>
  <si>
    <t>163543-4</t>
  </si>
  <si>
    <t>PRENDEDOR CPL / 9035H</t>
  </si>
  <si>
    <t>164195-4</t>
  </si>
  <si>
    <t>BASE DE HERRAMIENTA / 4100H</t>
  </si>
  <si>
    <t>164372-8</t>
  </si>
  <si>
    <t>PIVOTE DE RODILLO 1923H</t>
  </si>
  <si>
    <t>165066-8</t>
  </si>
  <si>
    <t>SOPORTE DE RESORTE / LC1230 - 2414NB</t>
  </si>
  <si>
    <t>165096-9</t>
  </si>
  <si>
    <t>MANGUITO DE GOMA / 9046</t>
  </si>
  <si>
    <t>AMORTIGUADOR DE MOTOR / EA4301</t>
  </si>
  <si>
    <t>165126-6</t>
  </si>
  <si>
    <t>GUARDA MOVIL / 2414NB</t>
  </si>
  <si>
    <t>TUBO ESPACIADOR / EA6100P</t>
  </si>
  <si>
    <t>165216-5</t>
  </si>
  <si>
    <t>PROTECTOR DE DISCO / VARIOS</t>
  </si>
  <si>
    <t>BARRA DENTADA / EA4301F</t>
  </si>
  <si>
    <t>165323-4</t>
  </si>
  <si>
    <t>BASE DE HERRAMIENTA / MCC400-MCC401</t>
  </si>
  <si>
    <t>165326-8</t>
  </si>
  <si>
    <t>SOPORTE DE CUCHILLA / 4350FCT</t>
  </si>
  <si>
    <t>165341-2</t>
  </si>
  <si>
    <t>BASE / 2414NB.</t>
  </si>
  <si>
    <t>165352-7</t>
  </si>
  <si>
    <t>BASE / VARIOS</t>
  </si>
  <si>
    <t>165362-4</t>
  </si>
  <si>
    <t>165373-9</t>
  </si>
  <si>
    <t>BASE DE HERRAMIENTA / LW1401</t>
  </si>
  <si>
    <t>165374-7</t>
  </si>
  <si>
    <t>GUARDA DE DISCO MOVIL / N5900B</t>
  </si>
  <si>
    <t>165386-0</t>
  </si>
  <si>
    <t>TAPA DE VENTILADOR / DVC260</t>
  </si>
  <si>
    <t>165387-8</t>
  </si>
  <si>
    <t>BASE / 4131</t>
  </si>
  <si>
    <t>165459-9</t>
  </si>
  <si>
    <t>BRAZO DE ENLACE / HR5211C</t>
  </si>
  <si>
    <t>165548-0</t>
  </si>
  <si>
    <t>BASE / 4100NH2</t>
  </si>
  <si>
    <t>165555-3</t>
  </si>
  <si>
    <t>BASE / M4302</t>
  </si>
  <si>
    <t>165593-5</t>
  </si>
  <si>
    <t>CONTRA PESO / HR2631F - HR2641</t>
  </si>
  <si>
    <t>165606-2</t>
  </si>
  <si>
    <t>POLEA / VARIOS</t>
  </si>
  <si>
    <t>165633-9</t>
  </si>
  <si>
    <t>GUIA DE BLOQUEO / VARIOS</t>
  </si>
  <si>
    <t>165636-3</t>
  </si>
  <si>
    <t>TAMBOR DE EMBRAGUE / EK7650H</t>
  </si>
  <si>
    <t>165654-1</t>
  </si>
  <si>
    <t>165668-0</t>
  </si>
  <si>
    <t>EJE DELANTERO / VARIOS</t>
  </si>
  <si>
    <t>165669-8</t>
  </si>
  <si>
    <t>EJE TRASERO / VARIOS</t>
  </si>
  <si>
    <t>165686-8</t>
  </si>
  <si>
    <t>MARCO CPL / PM7650H</t>
  </si>
  <si>
    <t>165711-5</t>
  </si>
  <si>
    <t>BASE / 4100NH3</t>
  </si>
  <si>
    <t>165734-3</t>
  </si>
  <si>
    <t>CIGÜEÑAL / VARIOS</t>
  </si>
  <si>
    <t>165740-8</t>
  </si>
  <si>
    <t>ZAPATA / DJR183</t>
  </si>
  <si>
    <t>165752-1</t>
  </si>
  <si>
    <t>ESTRUCTURA METALICA / VARIOS</t>
  </si>
  <si>
    <t>165754-7</t>
  </si>
  <si>
    <t>SILENCIADOR DE ESCAPE / EM3400U</t>
  </si>
  <si>
    <t>166084-9</t>
  </si>
  <si>
    <t>BOLSA PARA POLVO / VARIOS</t>
  </si>
  <si>
    <t>166106-5</t>
  </si>
  <si>
    <t>BOLSA DE POLVO / EK7650H</t>
  </si>
  <si>
    <t>166142-1</t>
  </si>
  <si>
    <t>168289-7</t>
  </si>
  <si>
    <t>RUEDA LOCA 75 / 406-407</t>
  </si>
  <si>
    <t>168310-2</t>
  </si>
  <si>
    <t>RUEDA LOCA 50 / 406-407</t>
  </si>
  <si>
    <t>168320-9</t>
  </si>
  <si>
    <t>GUIA DE SEGURIDAD / 2414NB.</t>
  </si>
  <si>
    <t>168321-7</t>
  </si>
  <si>
    <t>BANDA DE FRENO / VARIOS</t>
  </si>
  <si>
    <t>168324-1</t>
  </si>
  <si>
    <t>168389-3</t>
  </si>
  <si>
    <t>BASE / 5901B - N5900B</t>
  </si>
  <si>
    <t>168393-2</t>
  </si>
  <si>
    <t>168396-6</t>
  </si>
  <si>
    <t>RESPIRADOR / EB5300TH</t>
  </si>
  <si>
    <t>168398-2</t>
  </si>
  <si>
    <t>BOMBA CEBADORA / VARIOS</t>
  </si>
  <si>
    <t>168405-1</t>
  </si>
  <si>
    <t>DESLIZADOR / VARIOS</t>
  </si>
  <si>
    <t>168410-8</t>
  </si>
  <si>
    <t>DESLIZADOR / JR3070CT</t>
  </si>
  <si>
    <t>168425-5</t>
  </si>
  <si>
    <t>RUEDA DELANTERA 50 / VC2510L</t>
  </si>
  <si>
    <t>168434-4</t>
  </si>
  <si>
    <t>RUEDILLA 50 / VARIOS</t>
  </si>
  <si>
    <t>168435-2</t>
  </si>
  <si>
    <t>FUNDA / TD022D</t>
  </si>
  <si>
    <t>168467-9</t>
  </si>
  <si>
    <t>FUNDA / HP330</t>
  </si>
  <si>
    <t>168469-5</t>
  </si>
  <si>
    <t>TUBO SILENCIADOR / VARIOS</t>
  </si>
  <si>
    <t>168472-6</t>
  </si>
  <si>
    <t>168475-0</t>
  </si>
  <si>
    <t>168478-4</t>
  </si>
  <si>
    <t>COLGADOR / DUR365U - DUR182U</t>
  </si>
  <si>
    <t>168497-0</t>
  </si>
  <si>
    <t>168503-1</t>
  </si>
  <si>
    <t>168507-3</t>
  </si>
  <si>
    <t>TAPA TANQUE DE GASOLINA / EA3203S</t>
  </si>
  <si>
    <t>168514-6</t>
  </si>
  <si>
    <t>DESLIZADOR / M4302</t>
  </si>
  <si>
    <t>168517-0</t>
  </si>
  <si>
    <t>BUJIA BPMR7A / VARIOS</t>
  </si>
  <si>
    <t>168518-8</t>
  </si>
  <si>
    <t>CABLE DE CONTROL / VARIOS</t>
  </si>
  <si>
    <t>168526-9</t>
  </si>
  <si>
    <t>TUBO / DUR365U - RBC411U</t>
  </si>
  <si>
    <t>168534-0</t>
  </si>
  <si>
    <t>BUJIA CMR4A / VARIOS</t>
  </si>
  <si>
    <t>168535-8</t>
  </si>
  <si>
    <t>RUEDA 50 /VARIOS</t>
  </si>
  <si>
    <t>168537-4</t>
  </si>
  <si>
    <t>168540-5</t>
  </si>
  <si>
    <t>RUEDA TRASERA 50 / VC2510L</t>
  </si>
  <si>
    <t>168547-1</t>
  </si>
  <si>
    <t>RUEDILLA 75 / VARIOS</t>
  </si>
  <si>
    <t>168552-8</t>
  </si>
  <si>
    <t>CUBIERTA DE EMBRAGUE A / FS2700</t>
  </si>
  <si>
    <t>168559-4</t>
  </si>
  <si>
    <t>168561-7</t>
  </si>
  <si>
    <t>168567-5</t>
  </si>
  <si>
    <t>168568-3</t>
  </si>
  <si>
    <t>168569-1</t>
  </si>
  <si>
    <t>168571-4</t>
  </si>
  <si>
    <t>168574-8</t>
  </si>
  <si>
    <t>MEMBRANA DIAFRAGMA / VARIOS</t>
  </si>
  <si>
    <t>168575-6</t>
  </si>
  <si>
    <t>DIAFRAGMA DE LA BOMBA / VARIOS</t>
  </si>
  <si>
    <t>168584-5</t>
  </si>
  <si>
    <t>EMPAQUE TUBO DE ESCAPE / VARIOS</t>
  </si>
  <si>
    <t>168587-9</t>
  </si>
  <si>
    <t>168588-7</t>
  </si>
  <si>
    <t>168599-2</t>
  </si>
  <si>
    <t>BUJIA CMR7A-5 / VARIOS</t>
  </si>
  <si>
    <t>168607-9</t>
  </si>
  <si>
    <t>EMBRAGUE / EA3203S</t>
  </si>
  <si>
    <t>168620-7</t>
  </si>
  <si>
    <t>DIAFRAGMA DE MEDICION / VARIOS</t>
  </si>
  <si>
    <t>168622-3</t>
  </si>
  <si>
    <t>ZAPATA DE EMBRAGUE /VARIOS</t>
  </si>
  <si>
    <t>168625-7</t>
  </si>
  <si>
    <t>CABLE DE CONTROL /VARIOS</t>
  </si>
  <si>
    <t>168631-2</t>
  </si>
  <si>
    <t>TUBO DE ESCAPE / EA3203S</t>
  </si>
  <si>
    <t>168638-8</t>
  </si>
  <si>
    <t>ESCAPE DE SILENCIADOR / EK7650H</t>
  </si>
  <si>
    <t>168641-9</t>
  </si>
  <si>
    <t>CARBURADOR / BHX2500</t>
  </si>
  <si>
    <t>168643-5</t>
  </si>
  <si>
    <t>168645-1</t>
  </si>
  <si>
    <t>CONDUCTO DE ACEITE CPL / EA3203S</t>
  </si>
  <si>
    <t>168648-5</t>
  </si>
  <si>
    <t>BUJIA (BPMR7A) / VARIOS</t>
  </si>
  <si>
    <t>168652-4</t>
  </si>
  <si>
    <t>BUJIA  / EK7650H - EB5300TH</t>
  </si>
  <si>
    <t>168653-2</t>
  </si>
  <si>
    <t>CARBURADOR / EK7651H</t>
  </si>
  <si>
    <t>168654-0</t>
  </si>
  <si>
    <t>TUBO CPL / EK7650H</t>
  </si>
  <si>
    <t>168655-8</t>
  </si>
  <si>
    <t>TUBO DE ACEITE CPL / EK7650H</t>
  </si>
  <si>
    <t>168662-1</t>
  </si>
  <si>
    <t>BUJIA BMR7A / VARIOS</t>
  </si>
  <si>
    <t>168684-1</t>
  </si>
  <si>
    <t>168711-4</t>
  </si>
  <si>
    <t>CONTROL DE CABLE / EM4351UH</t>
  </si>
  <si>
    <t>168714-8</t>
  </si>
  <si>
    <t>BOBINA / EM4350LH</t>
  </si>
  <si>
    <t>168715-6</t>
  </si>
  <si>
    <t>TUBO DE ESCAPE / EM4351UH</t>
  </si>
  <si>
    <t>168718-0</t>
  </si>
  <si>
    <t>TANQUE DE COMBUSTIBLE / EM4350UH - EM4351UH</t>
  </si>
  <si>
    <t>168724-5</t>
  </si>
  <si>
    <t>TUBO CPL / EM4351UH</t>
  </si>
  <si>
    <t>168725-3</t>
  </si>
  <si>
    <t>CARBURADOR / PM7650H</t>
  </si>
  <si>
    <t>168742-3</t>
  </si>
  <si>
    <t>CAMPANA EMBRAGUE / EM4350LH</t>
  </si>
  <si>
    <t>168744-9</t>
  </si>
  <si>
    <t>CABLE DE CONTROL / PM7650H</t>
  </si>
  <si>
    <t>168745-7</t>
  </si>
  <si>
    <t>CAJA DE INTERRUPTOR CPL / PM7650H</t>
  </si>
  <si>
    <t>168746-5</t>
  </si>
  <si>
    <t>TUBO GIRATORIO / PM7650H</t>
  </si>
  <si>
    <t>168755-4</t>
  </si>
  <si>
    <t>168762-7</t>
  </si>
  <si>
    <t>168765-1</t>
  </si>
  <si>
    <t>DUCTO DE GASOLINA 1 / VARIOS</t>
  </si>
  <si>
    <t>168766-9</t>
  </si>
  <si>
    <t>DUCTO DE GASOLINA 2 / VARIOS</t>
  </si>
  <si>
    <t>168767-7</t>
  </si>
  <si>
    <t>168781-3</t>
  </si>
  <si>
    <t>CARBURADOR / EW1050H</t>
  </si>
  <si>
    <t>168794-4</t>
  </si>
  <si>
    <t>DUCTO DE GASOLINA / EF1550RH</t>
  </si>
  <si>
    <t>168796-0</t>
  </si>
  <si>
    <t>LLAVE MARIPOSA/VARIOS</t>
  </si>
  <si>
    <t>168809-7</t>
  </si>
  <si>
    <t>168816-0</t>
  </si>
  <si>
    <t>168823-3</t>
  </si>
  <si>
    <t>168834-8</t>
  </si>
  <si>
    <t>EMBRAGUE CPL / EK7651H</t>
  </si>
  <si>
    <t>168843-7</t>
  </si>
  <si>
    <t>CABLE DE CONTROL / EB5300TH</t>
  </si>
  <si>
    <t>168846-1</t>
  </si>
  <si>
    <t>CABLE CONTROL / RBC414</t>
  </si>
  <si>
    <t>168848-7</t>
  </si>
  <si>
    <t>CARBURADOR / EA3203S</t>
  </si>
  <si>
    <t>168849-5</t>
  </si>
  <si>
    <t>168852-6</t>
  </si>
  <si>
    <t>EMBRAGUE DE TAMBOR</t>
  </si>
  <si>
    <t>168853-4</t>
  </si>
  <si>
    <t>CABLE CONTROL</t>
  </si>
  <si>
    <t>168856-8</t>
  </si>
  <si>
    <t>CARBURADOR / RBC414U</t>
  </si>
  <si>
    <t>168857-6</t>
  </si>
  <si>
    <t>CAMPANA DE EMBRAGUE / EM4350RH</t>
  </si>
  <si>
    <t>168859-2</t>
  </si>
  <si>
    <t>CARBURADOR / EK7650H</t>
  </si>
  <si>
    <t>168862-3</t>
  </si>
  <si>
    <t>DUCTO DE GASOLINA / PE345H</t>
  </si>
  <si>
    <t>168863-1</t>
  </si>
  <si>
    <t>POLEA / EM3400U</t>
  </si>
  <si>
    <t>168864-9</t>
  </si>
  <si>
    <t>CARBURADOR / EM3400U</t>
  </si>
  <si>
    <t>168867-3</t>
  </si>
  <si>
    <t>CABLE DE CONTROL / EM3400U</t>
  </si>
  <si>
    <t>168872-0</t>
  </si>
  <si>
    <t>CABLE CONTROL / EM4350RH</t>
  </si>
  <si>
    <t>168873-8</t>
  </si>
  <si>
    <t>BOTON BLOQUEO / EM4350RH</t>
  </si>
  <si>
    <t>168876-2</t>
  </si>
  <si>
    <t>DUCTO DE GASOLINA / EM4350RH</t>
  </si>
  <si>
    <t>168877-0</t>
  </si>
  <si>
    <t>CARBURADOR</t>
  </si>
  <si>
    <t>VALVULA DE RESPIRACION / EA6100P</t>
  </si>
  <si>
    <t>TUERCA HEX. M4 /UNIVERSAL</t>
  </si>
  <si>
    <t>BASE DE CABLE / EA6100P</t>
  </si>
  <si>
    <t>BOMBA DE ACEITE / EA6100P</t>
  </si>
  <si>
    <t>BOMBA DE ACEITE / DPC7301</t>
  </si>
  <si>
    <t>181026-2</t>
  </si>
  <si>
    <t>CARBON CB-55 / VARIOS</t>
  </si>
  <si>
    <t>181047-4</t>
  </si>
  <si>
    <t>CARBON CB-154 / VARIOS</t>
  </si>
  <si>
    <t>181048-2</t>
  </si>
  <si>
    <t>CARBON CB-155 / HM1201 - HR4500C</t>
  </si>
  <si>
    <t>BLOQUEO CADENA / VARIOS</t>
  </si>
  <si>
    <t>TAPA DE GASOLINA / EA6100P</t>
  </si>
  <si>
    <t>AMORTIGUADOR DE MOTOR / EA6100P</t>
  </si>
  <si>
    <t>PISTON CPL 45MM / DCS5000</t>
  </si>
  <si>
    <t>PISTON 45MM CPL / DCS5030</t>
  </si>
  <si>
    <t>181137-3</t>
  </si>
  <si>
    <t>MANGO CPL / 1805N</t>
  </si>
  <si>
    <t>VOLANTE MAGNETICO / EA5600</t>
  </si>
  <si>
    <t>RESORTE / EA6100P</t>
  </si>
  <si>
    <t>DISCO DE ARRANQUE / EA5600F</t>
  </si>
  <si>
    <t>EMBRAGUE CPL / EA5600</t>
  </si>
  <si>
    <t>RESORTE TENSION 6 / EA5600</t>
  </si>
  <si>
    <t>CINTA DE FRENO / EA6100P</t>
  </si>
  <si>
    <t>MECANISMO DE FRENO / EA6100P</t>
  </si>
  <si>
    <t>BOCINA / EA6100P</t>
  </si>
  <si>
    <t>ARANDELA PLANA / EA6100P</t>
  </si>
  <si>
    <t>PROPULSOR DE BOMBA / EA6100P</t>
  </si>
  <si>
    <t>LINEA DE ACEITE SALIDA / EA6100P</t>
  </si>
  <si>
    <t>TUBO DE ACEITE / EA4301F</t>
  </si>
  <si>
    <t>181434-7</t>
  </si>
  <si>
    <t>SUMINISTRO DE ACEITE 30CC / VARIOS</t>
  </si>
  <si>
    <t>181441-0</t>
  </si>
  <si>
    <t>EMPUÑADURA CPL / JN3200</t>
  </si>
  <si>
    <t>182077-8</t>
  </si>
  <si>
    <t>MANGO CPL / HM1201</t>
  </si>
  <si>
    <t>182305-1</t>
  </si>
  <si>
    <t>CARCAZA CPL / 3620</t>
  </si>
  <si>
    <t>182375-0</t>
  </si>
  <si>
    <t>CARCAZA CPL / 4320</t>
  </si>
  <si>
    <t>182400-7</t>
  </si>
  <si>
    <t>CARCAZA CPL / HP1030</t>
  </si>
  <si>
    <t>182471-4</t>
  </si>
  <si>
    <t>CARCASA CPL   / 6905H</t>
  </si>
  <si>
    <t>182590-6</t>
  </si>
  <si>
    <t>MANGO CPL / HM0810 - HM0810T</t>
  </si>
  <si>
    <t>182628-7</t>
  </si>
  <si>
    <t>MANGO CPL / VARIOS</t>
  </si>
  <si>
    <t>182856-4</t>
  </si>
  <si>
    <t>CARCAZA CPL / 6821</t>
  </si>
  <si>
    <t>182917-0</t>
  </si>
  <si>
    <t>MANGO CPL NEGRO / 9227CB</t>
  </si>
  <si>
    <t>182918-8</t>
  </si>
  <si>
    <t>CAJA MOTOR / 9227CB</t>
  </si>
  <si>
    <t>182981-1</t>
  </si>
  <si>
    <t>CARCAZA CPL / 9910</t>
  </si>
  <si>
    <t>182982-9</t>
  </si>
  <si>
    <t>CUBIERTA DE LA CAJA MOTOR / 9911</t>
  </si>
  <si>
    <t>183021-8</t>
  </si>
  <si>
    <t>CUBIERTA DE FAJA / 9911</t>
  </si>
  <si>
    <t>183048-8</t>
  </si>
  <si>
    <t>183088-6</t>
  </si>
  <si>
    <t>BORDE FLEXIBLE / VARIOS</t>
  </si>
  <si>
    <t>1830D9-6</t>
  </si>
  <si>
    <t>1830K8-7</t>
  </si>
  <si>
    <t>183270-7</t>
  </si>
  <si>
    <t>CAJA MOTOR  / DP4000</t>
  </si>
  <si>
    <t>183442-4</t>
  </si>
  <si>
    <t>183477-5</t>
  </si>
  <si>
    <t>GRASA 30G /VARIOS</t>
  </si>
  <si>
    <t>183546-2</t>
  </si>
  <si>
    <t>EMPUÑADURA / HM1304B</t>
  </si>
  <si>
    <t>183559-3</t>
  </si>
  <si>
    <t>EJE BLOQUEO/ DHS900-DHS901</t>
  </si>
  <si>
    <t>183560-8</t>
  </si>
  <si>
    <t>BARRA CONEXION/ VARIOS</t>
  </si>
  <si>
    <t>183658-1</t>
  </si>
  <si>
    <t>CAJA MOTOR  / HP2070F</t>
  </si>
  <si>
    <t>183711-3</t>
  </si>
  <si>
    <t>CARCASA  CPL / HP1620-HP1621</t>
  </si>
  <si>
    <t>183719-7</t>
  </si>
  <si>
    <t>CUBIERTA DE BARRIL / HM0860C</t>
  </si>
  <si>
    <t>183740-6</t>
  </si>
  <si>
    <t>CAJA MOTOR  / PW5001C</t>
  </si>
  <si>
    <t>183784-6</t>
  </si>
  <si>
    <t>MANGO CPL / SA7000C</t>
  </si>
  <si>
    <t>183826-6</t>
  </si>
  <si>
    <t>MANGO CPL / 4131</t>
  </si>
  <si>
    <t>183874-5</t>
  </si>
  <si>
    <t>CARCASA ANARANJADO / MT651</t>
  </si>
  <si>
    <t>183920-4</t>
  </si>
  <si>
    <t>MANGO CPL / JR3050T</t>
  </si>
  <si>
    <t>183933-5</t>
  </si>
  <si>
    <t>JUEGO DE MANGO / JR3070CT</t>
  </si>
  <si>
    <t>183935-1</t>
  </si>
  <si>
    <t>JUEGO DE MANGO CPL / TW1000</t>
  </si>
  <si>
    <t>183943-2</t>
  </si>
  <si>
    <t>CUBIERTA TRASERA / 9557HP - GD0600</t>
  </si>
  <si>
    <t>183944-0</t>
  </si>
  <si>
    <t>TAPA DE CIGUEÑAL / VARIOS</t>
  </si>
  <si>
    <t>183A52-3</t>
  </si>
  <si>
    <t>CARCASA CPL  / DGA458 - DGA455</t>
  </si>
  <si>
    <t>183A62-0</t>
  </si>
  <si>
    <t>CARCASA CPL  / CL183D</t>
  </si>
  <si>
    <t>183A64-6</t>
  </si>
  <si>
    <t>CARCASA CPL / DUR365U</t>
  </si>
  <si>
    <t>183A77-7</t>
  </si>
  <si>
    <t>EMPUÑADURA CPL / DUR365U</t>
  </si>
  <si>
    <t>183A78-5</t>
  </si>
  <si>
    <t>CARCASA  / DFL650</t>
  </si>
  <si>
    <t>183A81-6</t>
  </si>
  <si>
    <t>183A91-3</t>
  </si>
  <si>
    <t>CARCASA CPL() / M4000</t>
  </si>
  <si>
    <t>183A94-7</t>
  </si>
  <si>
    <t>MANGO CPL (  ) / M9001 - M9000</t>
  </si>
  <si>
    <t>183B00-8</t>
  </si>
  <si>
    <t>CARCASA CPL / M6501</t>
  </si>
  <si>
    <t>183B05-8</t>
  </si>
  <si>
    <t>MANGO CPL () / M6201</t>
  </si>
  <si>
    <t>183B06-6</t>
  </si>
  <si>
    <t>JUEGO DE MANGO  / M9002 - M9003</t>
  </si>
  <si>
    <t>183B22-8</t>
  </si>
  <si>
    <t>CARCASA CPL (GRIS) / M0600</t>
  </si>
  <si>
    <t>183B49-8</t>
  </si>
  <si>
    <t>CARCASA CPL  / TD110D</t>
  </si>
  <si>
    <t>183B50-3</t>
  </si>
  <si>
    <t>JUEGO DE CARCASA  / HP331D - DF331D</t>
  </si>
  <si>
    <t>183B54-5</t>
  </si>
  <si>
    <t>TENSOR DE CADENA COMPLETO / UC4551A - UC4051A</t>
  </si>
  <si>
    <t>183B62-6</t>
  </si>
  <si>
    <t>CARCASA CPL  / GD0603</t>
  </si>
  <si>
    <t>183B63-4</t>
  </si>
  <si>
    <t>CARCASA CPL  / DTD152</t>
  </si>
  <si>
    <t>183B65-0</t>
  </si>
  <si>
    <t>CARCASA CPL  / DHP482 - DDF482</t>
  </si>
  <si>
    <t>183B68-4</t>
  </si>
  <si>
    <t>TAPA FRONTAL CPL / BO6050</t>
  </si>
  <si>
    <t>183B69-2</t>
  </si>
  <si>
    <t>CARCASA CPL  / DUP361-DUP362</t>
  </si>
  <si>
    <t>183B76-5</t>
  </si>
  <si>
    <t>CAJA INTERRUPTOR / DUP361-DUP362</t>
  </si>
  <si>
    <t>183C02-0</t>
  </si>
  <si>
    <t>CARCAZA COMPLETA/DHR242;43</t>
  </si>
  <si>
    <t>183C12-7</t>
  </si>
  <si>
    <t>CUBIERTA DE LA BATERIA / DTW1001 -DTW1002</t>
  </si>
  <si>
    <t>183C14-3</t>
  </si>
  <si>
    <t>JUEGO DE MANGO / LW1401</t>
  </si>
  <si>
    <t>183C31-3</t>
  </si>
  <si>
    <t>CARCASA CPL  / JR103D-JR105D</t>
  </si>
  <si>
    <t>183C34-7</t>
  </si>
  <si>
    <t>CARCASA CPL  / HP332D</t>
  </si>
  <si>
    <t>183C47-8</t>
  </si>
  <si>
    <t>EMPUÑADURA CPL / DJR187</t>
  </si>
  <si>
    <t>183C48-6</t>
  </si>
  <si>
    <t>MANGO CPL / DJR186</t>
  </si>
  <si>
    <t>183C50-9</t>
  </si>
  <si>
    <t>MANGO CPL / DJR360</t>
  </si>
  <si>
    <t>183C54-1</t>
  </si>
  <si>
    <t>EMPUÑADURA CPL / HS301D</t>
  </si>
  <si>
    <t>183C62-2</t>
  </si>
  <si>
    <t>JUEGO DE MANGO / VARIOS</t>
  </si>
  <si>
    <t>183C63-0</t>
  </si>
  <si>
    <t>183C71-1</t>
  </si>
  <si>
    <t>CAJA MOTOR  / UH353D</t>
  </si>
  <si>
    <t>183C90-7</t>
  </si>
  <si>
    <t>CARCASA CPL  / DFL651F</t>
  </si>
  <si>
    <t>183C93-1</t>
  </si>
  <si>
    <t>EMPUÑADURA IZQUIERDA / M3600</t>
  </si>
  <si>
    <t>183C94-9</t>
  </si>
  <si>
    <t>EMPUÑADURA DERECHA / M3600</t>
  </si>
  <si>
    <t>183C95-7</t>
  </si>
  <si>
    <t>CAJA MOTOR  / DUR184L</t>
  </si>
  <si>
    <t>183D13-1</t>
  </si>
  <si>
    <t>183D46-6</t>
  </si>
  <si>
    <t>CARCASA CPL  / DTW285</t>
  </si>
  <si>
    <t>183D72-5</t>
  </si>
  <si>
    <t>POSICIONADOR DE BOMBA / HW1200 - HW1300</t>
  </si>
  <si>
    <t>183D73-3</t>
  </si>
  <si>
    <t>CARCASA CPL  / DTW190</t>
  </si>
  <si>
    <t>183D86-4</t>
  </si>
  <si>
    <t>JUEGO DE MANGO  / PO5000C - PO6000C</t>
  </si>
  <si>
    <t>183D91-1</t>
  </si>
  <si>
    <t>CAJA DE INTERRUPTOR / DVC260</t>
  </si>
  <si>
    <t>183E13-7</t>
  </si>
  <si>
    <t>CARCASA CPL  / JV101D</t>
  </si>
  <si>
    <t>183E19-5</t>
  </si>
  <si>
    <t>CARCASA CPL  / VARIOS</t>
  </si>
  <si>
    <t>183E25-0</t>
  </si>
  <si>
    <t>CARCASA CPL  / M3601</t>
  </si>
  <si>
    <t>183E27-6</t>
  </si>
  <si>
    <t>CARCASA CPL  / M4301</t>
  </si>
  <si>
    <t>183E32-3</t>
  </si>
  <si>
    <t>CARCASA CPL  / TM30D</t>
  </si>
  <si>
    <t>183E35-7</t>
  </si>
  <si>
    <t>CARCASA CPL  / DTD153</t>
  </si>
  <si>
    <t>183E36-5</t>
  </si>
  <si>
    <t>CARCASA CPL  / DTD154</t>
  </si>
  <si>
    <t>183E39-9</t>
  </si>
  <si>
    <t>CARCASA CPL  / DTD170</t>
  </si>
  <si>
    <t>183E41-2</t>
  </si>
  <si>
    <t>CARCASA CPL  / DSD180</t>
  </si>
  <si>
    <t>183E52-7</t>
  </si>
  <si>
    <t>EMPUÑADURA CPL / DLS600</t>
  </si>
  <si>
    <t>183E65-8</t>
  </si>
  <si>
    <t>CARCASA CPL  / TD111D</t>
  </si>
  <si>
    <t>183E71-3</t>
  </si>
  <si>
    <t>CARCASA CPL  / DHP484 - DDF484</t>
  </si>
  <si>
    <t>183E72-1</t>
  </si>
  <si>
    <t>MANGO CPL / TD022D</t>
  </si>
  <si>
    <t>183E88-6</t>
  </si>
  <si>
    <t>CAJA MOTOR  /VARIOS</t>
  </si>
  <si>
    <t>183E89-4</t>
  </si>
  <si>
    <t>CARCASA CPL  / CL107FD</t>
  </si>
  <si>
    <t>183F00-2</t>
  </si>
  <si>
    <t>CARCASA CPL  / TD022D</t>
  </si>
  <si>
    <t>183F15-9</t>
  </si>
  <si>
    <t>CAJA DE TERMINALES / DUC400</t>
  </si>
  <si>
    <t>183F18-3</t>
  </si>
  <si>
    <t>CAJA MOTOR CPL  / DUR187L</t>
  </si>
  <si>
    <t>183F23-0</t>
  </si>
  <si>
    <t>CARCASA CPL  / ST113D</t>
  </si>
  <si>
    <t>183F27-2</t>
  </si>
  <si>
    <t>MANGO DE CONTROL / EB5300TH</t>
  </si>
  <si>
    <t>183F35-3</t>
  </si>
  <si>
    <t>CARCASA CPL  / DUR187L</t>
  </si>
  <si>
    <t>183F38-7</t>
  </si>
  <si>
    <t>CARCASA CPL  / FD001D</t>
  </si>
  <si>
    <t>183F59-9</t>
  </si>
  <si>
    <t>CARCASA CPL  / DUC400</t>
  </si>
  <si>
    <t>183F65-4</t>
  </si>
  <si>
    <t>CARCASA CPL  / SD100D</t>
  </si>
  <si>
    <t>183F77-7</t>
  </si>
  <si>
    <t>CARCASA CPL  / M6501</t>
  </si>
  <si>
    <t>183F90-5</t>
  </si>
  <si>
    <t>CAJA MOTOR / DVC864L</t>
  </si>
  <si>
    <t>183F93-9</t>
  </si>
  <si>
    <t>CONJUNTO DE CARCASA  / DPT353</t>
  </si>
  <si>
    <t>183F98-9</t>
  </si>
  <si>
    <t>CARCASA CPL  / DF012D</t>
  </si>
  <si>
    <t>183G00-8</t>
  </si>
  <si>
    <t>MANGO CPL / DF012D</t>
  </si>
  <si>
    <t>183G04-0</t>
  </si>
  <si>
    <t>CARCASA CPL  / UM600D</t>
  </si>
  <si>
    <t>183G24-4</t>
  </si>
  <si>
    <t>CARCASA CPL  / PT354D</t>
  </si>
  <si>
    <t>183G26-0</t>
  </si>
  <si>
    <t>MANGO CPL  / GA7062 - GA9062</t>
  </si>
  <si>
    <t>183G43-0</t>
  </si>
  <si>
    <t>CAJA MOTOR  / TL065D</t>
  </si>
  <si>
    <t>183G68-4</t>
  </si>
  <si>
    <t>CONECTOR DE BOQUILLA PARA POLVO / LS1019</t>
  </si>
  <si>
    <t>183G76-5</t>
  </si>
  <si>
    <t>CARCASA CPL  / DRT50</t>
  </si>
  <si>
    <t>183H15-1</t>
  </si>
  <si>
    <t>CAJA DE INTERRUPTOR / DCU180</t>
  </si>
  <si>
    <t>183H16-9</t>
  </si>
  <si>
    <t>CARCASA CPL  / HR140D</t>
  </si>
  <si>
    <t>183H17-7</t>
  </si>
  <si>
    <t>CARCASA CPL  / JV102D</t>
  </si>
  <si>
    <t>183H18-5</t>
  </si>
  <si>
    <t>CARCASA CPL  / JV103D</t>
  </si>
  <si>
    <t>183H19-3</t>
  </si>
  <si>
    <t>EMPUÑADURA CPL / LS1219L</t>
  </si>
  <si>
    <t>183H25-8</t>
  </si>
  <si>
    <t>CARCASA CPL  / DHR171</t>
  </si>
  <si>
    <t>183H36-3</t>
  </si>
  <si>
    <t>PROTECTOR BATERIA/ VARIOS</t>
  </si>
  <si>
    <t>183H38-9</t>
  </si>
  <si>
    <t>CARCASA CPL  / DA332D-DA333D</t>
  </si>
  <si>
    <t>183H46-0</t>
  </si>
  <si>
    <t>CUBIERTA TRASERA CPL / DSP600</t>
  </si>
  <si>
    <t>183H54-1</t>
  </si>
  <si>
    <t>CARCASA CPL  / CG100D</t>
  </si>
  <si>
    <t>183H57-5</t>
  </si>
  <si>
    <t>CAJA MOTOR / DBN600</t>
  </si>
  <si>
    <t>183H65-6</t>
  </si>
  <si>
    <t>CARCASA DE BATERIA  / DLS111</t>
  </si>
  <si>
    <t>183H70-3</t>
  </si>
  <si>
    <t>MANGO CPL / DLS111</t>
  </si>
  <si>
    <t>183H71-1</t>
  </si>
  <si>
    <t>CONECTOR DE MANGUERA / VARIOS</t>
  </si>
  <si>
    <t>183H79-5</t>
  </si>
  <si>
    <t>CUBIERTA CPL DE LA EMPUÑADURA / DSP601</t>
  </si>
  <si>
    <t>183H85-0</t>
  </si>
  <si>
    <t>CARCASA CPL VARIOS / DGA468</t>
  </si>
  <si>
    <t>183H86-8</t>
  </si>
  <si>
    <t>183H89-2</t>
  </si>
  <si>
    <t>MANGO CPL / UR100D</t>
  </si>
  <si>
    <t>183H91-5</t>
  </si>
  <si>
    <t>CAJA MOTOR CPL  / UR100D</t>
  </si>
  <si>
    <t>183H92-3</t>
  </si>
  <si>
    <t>183J06-4</t>
  </si>
  <si>
    <t>ENGRANAJE CPL / EM403MP- EM405MP</t>
  </si>
  <si>
    <t>183J10-3</t>
  </si>
  <si>
    <t>EMPUÑADURA CPL / DHR400</t>
  </si>
  <si>
    <t>183J18-7</t>
  </si>
  <si>
    <t>CARCASA CPL  / DBN600</t>
  </si>
  <si>
    <t>183J24-2</t>
  </si>
  <si>
    <t>KIT CARCASA  / VARIOS</t>
  </si>
  <si>
    <t>183J27-6</t>
  </si>
  <si>
    <t>183J29-2</t>
  </si>
  <si>
    <t>MANGO CPL / DHR280</t>
  </si>
  <si>
    <t>183J31-5</t>
  </si>
  <si>
    <t>CARCASA CPL  / DHR280</t>
  </si>
  <si>
    <t>183J32-3</t>
  </si>
  <si>
    <t>183J34-9</t>
  </si>
  <si>
    <t>CARCASA CPL  / DSC102</t>
  </si>
  <si>
    <t>183J51-9</t>
  </si>
  <si>
    <t>EMPUÑADURA /VARIOS</t>
  </si>
  <si>
    <t>183J52-7</t>
  </si>
  <si>
    <t>CAJA MOTOR CPL / VARIOS</t>
  </si>
  <si>
    <t>183J56-9</t>
  </si>
  <si>
    <t>CARCASA CPL  / DTR180</t>
  </si>
  <si>
    <t>183J58-5</t>
  </si>
  <si>
    <t>JUEGO DE MANGO / DDA460</t>
  </si>
  <si>
    <t>183J75-5</t>
  </si>
  <si>
    <t>CARCASA CPL  / TW060D</t>
  </si>
  <si>
    <t>183J85-2</t>
  </si>
  <si>
    <t>183K13-3</t>
  </si>
  <si>
    <t>MANGO CPL / DCS553</t>
  </si>
  <si>
    <t>183K15-9</t>
  </si>
  <si>
    <t>PISTON 47 CPL / EA6100P</t>
  </si>
  <si>
    <t>183K21-4</t>
  </si>
  <si>
    <t>183K23-0</t>
  </si>
  <si>
    <t>EMPUÑADURA / DJR187</t>
  </si>
  <si>
    <t>183K39-5</t>
  </si>
  <si>
    <t>EMPUÑADURA / JR3061T</t>
  </si>
  <si>
    <t>183K40-0</t>
  </si>
  <si>
    <t>CARCASA DE TERMINAL  / DLM460</t>
  </si>
  <si>
    <t>183K45-0</t>
  </si>
  <si>
    <t>CAJA DE INTERRUPTOR / DLM460</t>
  </si>
  <si>
    <t>183K49-2</t>
  </si>
  <si>
    <t>CUBIERTA CPL / CL108F</t>
  </si>
  <si>
    <t>183K56-5</t>
  </si>
  <si>
    <t>CAJA DE LA PALANCA / DLM460</t>
  </si>
  <si>
    <t>183K57-3</t>
  </si>
  <si>
    <t>EMPUÑADURA / DLW140</t>
  </si>
  <si>
    <t>183K65-4</t>
  </si>
  <si>
    <t>EMPUÑADURA /UH353D</t>
  </si>
  <si>
    <t>183K69-6</t>
  </si>
  <si>
    <t>CUBIERTA DE TERMINAL CPL / DVC750L</t>
  </si>
  <si>
    <t>183K70-1</t>
  </si>
  <si>
    <t>CUBIERTA CPL DEL MOTOR / DVC750L</t>
  </si>
  <si>
    <t>183K74-3</t>
  </si>
  <si>
    <t>CARCASA DE INTERRUPTOR CPL  / DVC660</t>
  </si>
  <si>
    <t>183K75-1</t>
  </si>
  <si>
    <t>CAJA INTERRUPTOR / DVC265</t>
  </si>
  <si>
    <t>183K77-7</t>
  </si>
  <si>
    <t>183K87-4</t>
  </si>
  <si>
    <t>CARCASA CPL  / DTD171</t>
  </si>
  <si>
    <t>183K90-5</t>
  </si>
  <si>
    <t>CARCASA CPL  / DF003D - HP333D</t>
  </si>
  <si>
    <t>183L00-8</t>
  </si>
  <si>
    <t>CUBIERTA TRASERA CPL / VR1000</t>
  </si>
  <si>
    <t>183L06-6</t>
  </si>
  <si>
    <t>CARCASA CPL  / DUT130</t>
  </si>
  <si>
    <t>183L12-1</t>
  </si>
  <si>
    <t>MANGO CPL / DHR182</t>
  </si>
  <si>
    <t>183L14-7</t>
  </si>
  <si>
    <t>CAJA MOTOR  / DHR182</t>
  </si>
  <si>
    <t>183L18-9</t>
  </si>
  <si>
    <t>CARCASA CPL  / DX05</t>
  </si>
  <si>
    <t>183L30-9</t>
  </si>
  <si>
    <t>CARCASA CPL  / DVR150</t>
  </si>
  <si>
    <t>183L33-3</t>
  </si>
  <si>
    <t>CARCASA CPL  / DUR368A</t>
  </si>
  <si>
    <t>183L40-6</t>
  </si>
  <si>
    <t>CAJA DE BATERIA CPL / VARIOS</t>
  </si>
  <si>
    <t>183L61-8</t>
  </si>
  <si>
    <t>CAJA DE CONTROL / DUR369A</t>
  </si>
  <si>
    <t>183L66-8</t>
  </si>
  <si>
    <t>183L67-6</t>
  </si>
  <si>
    <t>CARCASA CPL  / DFN350</t>
  </si>
  <si>
    <t>183L75-7</t>
  </si>
  <si>
    <t>MANGO CPL / DSL800</t>
  </si>
  <si>
    <t>183L76-5</t>
  </si>
  <si>
    <t>BRAZO CPL / DSL800</t>
  </si>
  <si>
    <t>183L77-3</t>
  </si>
  <si>
    <t>CAJA MOTOR CPL  / DSL800</t>
  </si>
  <si>
    <t>183L78-1</t>
  </si>
  <si>
    <t>CARCASA DE TUBO CPL  / DSL800</t>
  </si>
  <si>
    <t>183L79-9</t>
  </si>
  <si>
    <t>183L81-2</t>
  </si>
  <si>
    <t>CARCASA CPL  / WR100D</t>
  </si>
  <si>
    <t>183L86-2</t>
  </si>
  <si>
    <t>CARCASA CPL  / CL121D</t>
  </si>
  <si>
    <t>183L93-5</t>
  </si>
  <si>
    <t>CARCASA CPL  / DFL020F</t>
  </si>
  <si>
    <t>183M00-4</t>
  </si>
  <si>
    <t>CAJA DE INTERRUPTOR / DHW080</t>
  </si>
  <si>
    <t>183M13-5</t>
  </si>
  <si>
    <t>CUBIERTA CPL / DCL281F</t>
  </si>
  <si>
    <t>183M17-7</t>
  </si>
  <si>
    <t>CUBIERTA DE LA CAJA DE ENGRANAJE / M9800</t>
  </si>
  <si>
    <t>183M32-1</t>
  </si>
  <si>
    <t>JUEGO DE CARCASAS  / HP0300 - DF0300</t>
  </si>
  <si>
    <t>183M37-1</t>
  </si>
  <si>
    <t>CARCASA CPL  / DHW080</t>
  </si>
  <si>
    <t>183M55-9</t>
  </si>
  <si>
    <t>SUJETADOR DE TERMINAL / DHW080</t>
  </si>
  <si>
    <t>183M63-0</t>
  </si>
  <si>
    <t>BASE DE BATERIA CPL / PDC01</t>
  </si>
  <si>
    <t>183M64-8</t>
  </si>
  <si>
    <t>CUBIERTA DE MOTOR / DUB184</t>
  </si>
  <si>
    <t>183M68-0</t>
  </si>
  <si>
    <t>JUEGO TAPA TRASERA / VARIOS</t>
  </si>
  <si>
    <t>183M99-9</t>
  </si>
  <si>
    <t>CARCASA CPL  / M0801K</t>
  </si>
  <si>
    <t>183N15-7</t>
  </si>
  <si>
    <t>CARCASA CPL  / DUC406</t>
  </si>
  <si>
    <t>183N23-8</t>
  </si>
  <si>
    <t>CARCASA  CPL  / DUR369A</t>
  </si>
  <si>
    <t>183N25-4</t>
  </si>
  <si>
    <t>CARCAZA SECUNDARIA/UR101</t>
  </si>
  <si>
    <t>183N31-9</t>
  </si>
  <si>
    <t>CARCASA CPL  / DTD156</t>
  </si>
  <si>
    <t>183N35-1</t>
  </si>
  <si>
    <t>BASE DE BATERIA CPL / VARIOS</t>
  </si>
  <si>
    <t>183N36-9</t>
  </si>
  <si>
    <t>CARCASA CPL  / DHK180</t>
  </si>
  <si>
    <t>183N39-3</t>
  </si>
  <si>
    <t>EMPUÑADURA CPL / DHS900</t>
  </si>
  <si>
    <t>183N40-8</t>
  </si>
  <si>
    <t>EMPUÑADURA CPL / JR3051T</t>
  </si>
  <si>
    <t>183N49-0</t>
  </si>
  <si>
    <t>CARCASA  / SC103D</t>
  </si>
  <si>
    <t>183N52-1</t>
  </si>
  <si>
    <t>EMPUÑADURA CPL / HR001G - HR002G</t>
  </si>
  <si>
    <t>183N53-9</t>
  </si>
  <si>
    <t>MANGO CPL  / HR003G</t>
  </si>
  <si>
    <t>183N56-3</t>
  </si>
  <si>
    <t>CARCASA CPL  / HR003G - HR004G</t>
  </si>
  <si>
    <t>183N64-4</t>
  </si>
  <si>
    <t>183N66-0</t>
  </si>
  <si>
    <t>EMPUÑADURA CPL / DUH604S</t>
  </si>
  <si>
    <t>183N69-4</t>
  </si>
  <si>
    <t>CARCASA CPL  / DUH604S</t>
  </si>
  <si>
    <t>183N71-7</t>
  </si>
  <si>
    <t>CARCAZA PRINCIPAL/UR101</t>
  </si>
  <si>
    <t>183N73-3</t>
  </si>
  <si>
    <t>CARCASA CPL  / HP001G</t>
  </si>
  <si>
    <t>183N78-3</t>
  </si>
  <si>
    <t>CUBIERTA DE TERMINAL / DLM465</t>
  </si>
  <si>
    <t>183N81-4</t>
  </si>
  <si>
    <t>CAJA INTERRUPTOR / VARIOS</t>
  </si>
  <si>
    <t>183N83-0</t>
  </si>
  <si>
    <t>CAJA MOTOR CPL / DUN500W</t>
  </si>
  <si>
    <t>183N85-6</t>
  </si>
  <si>
    <t>CARCASA CPL  / DUN500W</t>
  </si>
  <si>
    <t>183N88-0</t>
  </si>
  <si>
    <t>CUBIERTA CPL / DUB184</t>
  </si>
  <si>
    <t>183N90-3</t>
  </si>
  <si>
    <t>CAJA DE INTERRUPTOR / DLM465</t>
  </si>
  <si>
    <t>183N92-9</t>
  </si>
  <si>
    <t>183P08-6</t>
  </si>
  <si>
    <t>183P27-2</t>
  </si>
  <si>
    <t>CARCASA CPL  / DTW300</t>
  </si>
  <si>
    <t>183P28-0</t>
  </si>
  <si>
    <t>CAJA MOTOR  / GA015G</t>
  </si>
  <si>
    <t>183P30-3</t>
  </si>
  <si>
    <t>183P40-0</t>
  </si>
  <si>
    <t>CAJA DE NIVEL</t>
  </si>
  <si>
    <t>183P49-2</t>
  </si>
  <si>
    <t>CAJA MOTOR CPL / DPB183</t>
  </si>
  <si>
    <t>183P56-5</t>
  </si>
  <si>
    <t>CARCASA CPL  / TD001G</t>
  </si>
  <si>
    <t>183P61-2</t>
  </si>
  <si>
    <t>CARCASA CPL  / TW001G</t>
  </si>
  <si>
    <t>183P63-8</t>
  </si>
  <si>
    <t>CAJA MOTOR  / DUB185</t>
  </si>
  <si>
    <t>183P78-5</t>
  </si>
  <si>
    <t>CARCASA CPL  / GA028G</t>
  </si>
  <si>
    <t>183P88-2</t>
  </si>
  <si>
    <t>CARCASA CPL  / DTW700</t>
  </si>
  <si>
    <t>183P89-0</t>
  </si>
  <si>
    <t>BASE DE BATERIA CPL / DTW700</t>
  </si>
  <si>
    <t>183R04-6</t>
  </si>
  <si>
    <t>TUBO DE SOPLADO / DUB363</t>
  </si>
  <si>
    <t>183R08-8</t>
  </si>
  <si>
    <t>TUBO DE ASPIRADO / DUB363</t>
  </si>
  <si>
    <t>183R12-7</t>
  </si>
  <si>
    <t>183R15-1</t>
  </si>
  <si>
    <t>EMPUÑADURA CPL / HS003G- HS004G</t>
  </si>
  <si>
    <t>183R20-8</t>
  </si>
  <si>
    <t>EMPUÑADURA CPL / DPB183</t>
  </si>
  <si>
    <t>183R26-6</t>
  </si>
  <si>
    <t>CARCASA CPL  / DCO181</t>
  </si>
  <si>
    <t>183R28-2</t>
  </si>
  <si>
    <t>CARCASA CPL  / DCL184</t>
  </si>
  <si>
    <t>183R38-9</t>
  </si>
  <si>
    <t>CARCASA CPL  / DGP180</t>
  </si>
  <si>
    <t>183R54-1</t>
  </si>
  <si>
    <t>CARCASA CPL  / DUR192L</t>
  </si>
  <si>
    <t>183R55-9</t>
  </si>
  <si>
    <t>CARCASA DE AGARRE CPL  / DUR192L</t>
  </si>
  <si>
    <t>183R83-4</t>
  </si>
  <si>
    <t>CARCASA CPL  / DHP486</t>
  </si>
  <si>
    <t>183R84-2</t>
  </si>
  <si>
    <t>CARCASA CPL  / HR005G</t>
  </si>
  <si>
    <t>183R85-0</t>
  </si>
  <si>
    <t>SOPORTE DE BATERIA / HR005G</t>
  </si>
  <si>
    <t>183R90-7</t>
  </si>
  <si>
    <t>CARCASA CPL  / HM001G</t>
  </si>
  <si>
    <t>183R93-1</t>
  </si>
  <si>
    <t>CARCASA CPL  / HP488D</t>
  </si>
  <si>
    <t>183R97-3</t>
  </si>
  <si>
    <t>EMPUÑADURA CPL / GA037G- GA038G</t>
  </si>
  <si>
    <t>183S03-4</t>
  </si>
  <si>
    <t>CARCASA CPL  / HP002G</t>
  </si>
  <si>
    <t>183S06-8</t>
  </si>
  <si>
    <t>JUEGO DE CARCASA NEGRO / DHP487</t>
  </si>
  <si>
    <t>183S07-6</t>
  </si>
  <si>
    <t>JUEGO DE CARCAZA / DHP487-DDF487</t>
  </si>
  <si>
    <t>183S18-1</t>
  </si>
  <si>
    <t>BASE DE BATERIA CPL / RS001G-RS002G</t>
  </si>
  <si>
    <t>183S22-0</t>
  </si>
  <si>
    <t>CUBIERTA DE VENTILADOR  JUEGO  / M9204</t>
  </si>
  <si>
    <t>183S27-0</t>
  </si>
  <si>
    <t>CARCASA CPL  / DTD157</t>
  </si>
  <si>
    <t>183S29-6</t>
  </si>
  <si>
    <t>CARCASA CPL</t>
  </si>
  <si>
    <t>183S32-7</t>
  </si>
  <si>
    <t>CARCASA CPL  / HR006G</t>
  </si>
  <si>
    <t>183S33-5</t>
  </si>
  <si>
    <t>CUBIERTA CPL DE LA BATERIA / TW001G</t>
  </si>
  <si>
    <t>183S37-7</t>
  </si>
  <si>
    <t>183S46-6</t>
  </si>
  <si>
    <t>MANGO CPL / M6600</t>
  </si>
  <si>
    <t>183S55-5</t>
  </si>
  <si>
    <t>EMPUÑADURA CPL / RS001G</t>
  </si>
  <si>
    <t>183S69-4</t>
  </si>
  <si>
    <t>CARCASA INTERNA CPL  / DTM52</t>
  </si>
  <si>
    <t>183S74-1</t>
  </si>
  <si>
    <t>CARCASA CPL  / TW007G-TW008G</t>
  </si>
  <si>
    <t>183S77-5</t>
  </si>
  <si>
    <t>183S78-3</t>
  </si>
  <si>
    <t>CARCASA CPL  / DTM52</t>
  </si>
  <si>
    <t>183S87-2</t>
  </si>
  <si>
    <t>CARCASA  / UR006G</t>
  </si>
  <si>
    <t>183S94-5</t>
  </si>
  <si>
    <t>183S95-3</t>
  </si>
  <si>
    <t>183S96-1</t>
  </si>
  <si>
    <t>EMPUÑADURA /DUN461W</t>
  </si>
  <si>
    <t>183T10-3</t>
  </si>
  <si>
    <t>CARCASA  CPL  / HM002G</t>
  </si>
  <si>
    <t>183T13-7</t>
  </si>
  <si>
    <t>CAJA MOTOR  / DUN461W</t>
  </si>
  <si>
    <t>183T14-5</t>
  </si>
  <si>
    <t>JUEGO PORTA TUBOS/DUN461W</t>
  </si>
  <si>
    <t>183T22-6</t>
  </si>
  <si>
    <t>EMPUÑADURA KIT/VARIOS</t>
  </si>
  <si>
    <t>183T24-2</t>
  </si>
  <si>
    <t>CUBIERTA DE CARBONES / GA7070 - GA9070</t>
  </si>
  <si>
    <t>183T43-8</t>
  </si>
  <si>
    <t>CARCASA CPL NEGRO / CL001G</t>
  </si>
  <si>
    <t>183T58-5</t>
  </si>
  <si>
    <t>JUEGO DE CUBIERTA /LS003-04G</t>
  </si>
  <si>
    <t>183T62-4</t>
  </si>
  <si>
    <t>EMPUÑADURA  CPL / SP001G</t>
  </si>
  <si>
    <t>183T63-2</t>
  </si>
  <si>
    <t>CARCASA CPL GRIS / HP333D</t>
  </si>
  <si>
    <t>183T66-6</t>
  </si>
  <si>
    <t>183T68-2</t>
  </si>
  <si>
    <t>JUEGO DE PUÑOS/UR006G</t>
  </si>
  <si>
    <t>183T69-0</t>
  </si>
  <si>
    <t>183T94-1</t>
  </si>
  <si>
    <t>CARCASA CPL  / DBO380</t>
  </si>
  <si>
    <t>183U05-2</t>
  </si>
  <si>
    <t>CAJA MOTOR CPL  / VARIOS</t>
  </si>
  <si>
    <t>183U22-2</t>
  </si>
  <si>
    <t>CARCASA INTERNA  / HR007G</t>
  </si>
  <si>
    <t>183U30-3</t>
  </si>
  <si>
    <t>CUBIERTA TRASERA CPL / 9564P - 9564PC</t>
  </si>
  <si>
    <t>183U47-6</t>
  </si>
  <si>
    <t>JUEGO DE MANIJAS / HS009G - HS010G</t>
  </si>
  <si>
    <t>183U56-5</t>
  </si>
  <si>
    <t>183U93-9</t>
  </si>
  <si>
    <t>183V42-2</t>
  </si>
  <si>
    <t>CAJA MOTOR  / RP0900</t>
  </si>
  <si>
    <t>183V61-8</t>
  </si>
  <si>
    <t>183W84-2</t>
  </si>
  <si>
    <t>CARCASA MOTOR  / VARIOS</t>
  </si>
  <si>
    <t>183X19-9</t>
  </si>
  <si>
    <t>CARCAZA DDF489/DHP489</t>
  </si>
  <si>
    <t>183X94-5</t>
  </si>
  <si>
    <t>183Y31-5</t>
  </si>
  <si>
    <t>183Y42-0</t>
  </si>
  <si>
    <t>CAJA DE DISCO CPL/HS012G</t>
  </si>
  <si>
    <t>183Y55-1</t>
  </si>
  <si>
    <t>CARCASA COMPLETA / DDG461</t>
  </si>
  <si>
    <t>183Y57-7</t>
  </si>
  <si>
    <t>CARCASA COMPLETA / DG002G</t>
  </si>
  <si>
    <t>184678-8</t>
  </si>
  <si>
    <t>ANILLO DE GARGANTA / EA4301</t>
  </si>
  <si>
    <t>TRINQUETE / EA3500</t>
  </si>
  <si>
    <t>187026-0</t>
  </si>
  <si>
    <t>CARCASA  / HP457D - DF457D</t>
  </si>
  <si>
    <t>187058-7</t>
  </si>
  <si>
    <t>CARCASA  CPL  / VARIOS</t>
  </si>
  <si>
    <t>187116-9</t>
  </si>
  <si>
    <t>CARCASA CPL  / DTD146</t>
  </si>
  <si>
    <t>187161-4</t>
  </si>
  <si>
    <t>187163-0</t>
  </si>
  <si>
    <t>CARCASA CPL  / JV0600</t>
  </si>
  <si>
    <t>187188-4</t>
  </si>
  <si>
    <t>CARCASA  CPL GRIS / MHP131</t>
  </si>
  <si>
    <t>187198-1</t>
  </si>
  <si>
    <t>CUBIERTA COLECTOR DE POLVO /MBS401</t>
  </si>
  <si>
    <t>187199-9</t>
  </si>
  <si>
    <t>SOPORTE DE MOTOR  CPL/MTR050</t>
  </si>
  <si>
    <t>187221-2</t>
  </si>
  <si>
    <t>CARCASA  CPL GRIS / MRP090</t>
  </si>
  <si>
    <t>187231-9</t>
  </si>
  <si>
    <t>187300-6</t>
  </si>
  <si>
    <t>CARCASA  CPL  / 6271D</t>
  </si>
  <si>
    <t>187303-0</t>
  </si>
  <si>
    <t>CARCASA DE BATERIA  / DGP180</t>
  </si>
  <si>
    <t>187348-8</t>
  </si>
  <si>
    <t>CARCASA  CPL  / TW100D</t>
  </si>
  <si>
    <t>187356-9</t>
  </si>
  <si>
    <t>187358-5</t>
  </si>
  <si>
    <t>CARCASA CPL BLANCO / VARIOS</t>
  </si>
  <si>
    <t>187359-3</t>
  </si>
  <si>
    <t>187363-2</t>
  </si>
  <si>
    <t>CARCASA CPL  / DHP453 - DDF453</t>
  </si>
  <si>
    <t>187420-6</t>
  </si>
  <si>
    <t>CARCASA  / TD127D</t>
  </si>
  <si>
    <t>187430-3</t>
  </si>
  <si>
    <t>CARCASA  / VARIOS</t>
  </si>
  <si>
    <t>187454-9</t>
  </si>
  <si>
    <t>187497-1</t>
  </si>
  <si>
    <t>187521-0</t>
  </si>
  <si>
    <t>EMPUÑADURA  CPL /MUB103</t>
  </si>
  <si>
    <t>187531-7</t>
  </si>
  <si>
    <t>MANGO CPL / JS3201</t>
  </si>
  <si>
    <t>187638-9</t>
  </si>
  <si>
    <t>EMPUÑADURA KIT / VARIOS</t>
  </si>
  <si>
    <t>187675-3</t>
  </si>
  <si>
    <t>PORTA CUCHILLA  CPL / 1806B</t>
  </si>
  <si>
    <t>187676-1</t>
  </si>
  <si>
    <t>PLACA DE PORTA CUCHILLA / VARIOS</t>
  </si>
  <si>
    <t>187679-5</t>
  </si>
  <si>
    <t>PLACA DE PORTA CUCHILLA / KP0800 - DKP180</t>
  </si>
  <si>
    <t>187681-8</t>
  </si>
  <si>
    <t>PLACA DE PORTA CUCHILLA / 1805N</t>
  </si>
  <si>
    <t>187692-3</t>
  </si>
  <si>
    <t>CUBIERTA DE INTERRUPTOR / HR4013C</t>
  </si>
  <si>
    <t>187723-8</t>
  </si>
  <si>
    <t>CARCASA  / JV183D</t>
  </si>
  <si>
    <t>187804-8</t>
  </si>
  <si>
    <t>CARCASA DE EMPUÑADURA  CPL  / VARIOS</t>
  </si>
  <si>
    <t>187809-8</t>
  </si>
  <si>
    <t>CARCASA DE MOTOR / DBN500</t>
  </si>
  <si>
    <t>187839-9</t>
  </si>
  <si>
    <t>187864-0</t>
  </si>
  <si>
    <t>CARCASA  / DBN500</t>
  </si>
  <si>
    <t>187869-0</t>
  </si>
  <si>
    <t>CARCASA   / UC4041A</t>
  </si>
  <si>
    <t>187890-9</t>
  </si>
  <si>
    <t>CAJA DE INTERRUPTOR / HR5212C; 02C</t>
  </si>
  <si>
    <t>187921-4</t>
  </si>
  <si>
    <t>CARCASA CPL  / DHP481 - DDF481</t>
  </si>
  <si>
    <t>187946-8</t>
  </si>
  <si>
    <t>MANGO CPL ( GRIS ) / M6600</t>
  </si>
  <si>
    <t>187973-5</t>
  </si>
  <si>
    <t>CARCASA CPL  / DTD148</t>
  </si>
  <si>
    <t>187993-9</t>
  </si>
  <si>
    <t>CARCASA CPL / DFS452</t>
  </si>
  <si>
    <t>188059-8</t>
  </si>
  <si>
    <t>EMPUÑADURA KIT/ VARIOS</t>
  </si>
  <si>
    <t>188089-9</t>
  </si>
  <si>
    <t>CARCASA CPL  / UC4020C</t>
  </si>
  <si>
    <t>188123-5</t>
  </si>
  <si>
    <t>188197-6</t>
  </si>
  <si>
    <t>JUEGO DE MANGO / SP6000 - CA5000</t>
  </si>
  <si>
    <t>188198-4</t>
  </si>
  <si>
    <t>EMPUÑADURA CPL / TD020</t>
  </si>
  <si>
    <t>188200-3</t>
  </si>
  <si>
    <t>CARCASA CPL  / TD020</t>
  </si>
  <si>
    <t>188215-0</t>
  </si>
  <si>
    <t>MANGO CPL / KP0810C</t>
  </si>
  <si>
    <t>188243-5</t>
  </si>
  <si>
    <t>CARCASA KIT  / VARIOS</t>
  </si>
  <si>
    <t>188277-8</t>
  </si>
  <si>
    <t>188287-5</t>
  </si>
  <si>
    <t>JUEGO DE MANGO / 4350FCT</t>
  </si>
  <si>
    <t>188291-4</t>
  </si>
  <si>
    <t>EMPUÑADURA / GA5020 - GA5010</t>
  </si>
  <si>
    <t>188292-2</t>
  </si>
  <si>
    <t>EMPUÑADURA  CPL / GA5020-GA6020</t>
  </si>
  <si>
    <t>188338-4</t>
  </si>
  <si>
    <t>CARCASA CPL / 4329</t>
  </si>
  <si>
    <t>188364-3</t>
  </si>
  <si>
    <t>CUBIERTA TRASERA  / 9564P - 9564PC</t>
  </si>
  <si>
    <t>188365-1</t>
  </si>
  <si>
    <t>CUBIERTA TRASERA / 9564PCV - GD0801C</t>
  </si>
  <si>
    <t>188369-3</t>
  </si>
  <si>
    <t>CUCHILLA / DUM604 - UM600D</t>
  </si>
  <si>
    <t>188406-3</t>
  </si>
  <si>
    <t>CARCASA CPL  / MDF330D</t>
  </si>
  <si>
    <t>188409-7</t>
  </si>
  <si>
    <t>CARCASA CPL  / MUB101</t>
  </si>
  <si>
    <t>188434-8</t>
  </si>
  <si>
    <t>CARCASA CPL  / DTW450</t>
  </si>
  <si>
    <t>188441-1</t>
  </si>
  <si>
    <t>SOPORTE CPL / MTR100</t>
  </si>
  <si>
    <t>188446-1</t>
  </si>
  <si>
    <t>GUARDA DE CUCHILLA FIJA / 5008MG</t>
  </si>
  <si>
    <t>188453-4</t>
  </si>
  <si>
    <t>188579-2</t>
  </si>
  <si>
    <t>CUBIERTA DE VENTILADOR JUEGO / BO5030</t>
  </si>
  <si>
    <t>188611-2</t>
  </si>
  <si>
    <t>CARCASA CPL  / HP1640</t>
  </si>
  <si>
    <t>188615-4</t>
  </si>
  <si>
    <t>CARCASA CPL  / BHP453</t>
  </si>
  <si>
    <t>188618-8</t>
  </si>
  <si>
    <t>EMPUÑADURA CPL / M4302</t>
  </si>
  <si>
    <t>188630-8</t>
  </si>
  <si>
    <t>JUEGO DE MANGO / PC5001C</t>
  </si>
  <si>
    <t>188660-9</t>
  </si>
  <si>
    <t>188696-8</t>
  </si>
  <si>
    <t>188824-5</t>
  </si>
  <si>
    <t>CONJUNTO DE TANQUE / VC3210L - VC3211H</t>
  </si>
  <si>
    <t>188835-0</t>
  </si>
  <si>
    <t>CUBIERTA DE VENTILADOR / BO5041</t>
  </si>
  <si>
    <t>188848-1</t>
  </si>
  <si>
    <t>188858-8</t>
  </si>
  <si>
    <t>CUBIERTA IMPULSOR DE CADENA CPL / UC3030A</t>
  </si>
  <si>
    <t>188920-9</t>
  </si>
  <si>
    <t>CUBIERTA DE INTERRUPTOR / DS5000</t>
  </si>
  <si>
    <t>188932-2</t>
  </si>
  <si>
    <t>CARCASA CPL  / DDF456</t>
  </si>
  <si>
    <t>188971-2</t>
  </si>
  <si>
    <t>CARCASA CPL  / BHP456 - DHP456</t>
  </si>
  <si>
    <t>188996-6</t>
  </si>
  <si>
    <t>MANGO CPL GRIS / VARIOS</t>
  </si>
  <si>
    <t>18X512</t>
  </si>
  <si>
    <t>FUSIBLE - UDW18XC512/ HB350</t>
  </si>
  <si>
    <t>1910J8-6</t>
  </si>
  <si>
    <t>1910K0-9</t>
  </si>
  <si>
    <t>TABLERO DE CONTROL / DRC300</t>
  </si>
  <si>
    <t>1910K2-5</t>
  </si>
  <si>
    <t>TABLERO PRINCIPAL / DRC300</t>
  </si>
  <si>
    <t>1910K3-3</t>
  </si>
  <si>
    <t>TABLERO INFERIOR/ DRC300</t>
  </si>
  <si>
    <t>1910K4-1</t>
  </si>
  <si>
    <t>TABLERO UI / DRC300</t>
  </si>
  <si>
    <t>1910K8-3</t>
  </si>
  <si>
    <t>CAMARA DE VISION / DRC300</t>
  </si>
  <si>
    <t>1910K9-1</t>
  </si>
  <si>
    <t>ZUMBADOR CPL / DRC300</t>
  </si>
  <si>
    <t>1910L0-6</t>
  </si>
  <si>
    <t>MOTOR DE VENTILADOR/ DRC300</t>
  </si>
  <si>
    <t>1910L4-8</t>
  </si>
  <si>
    <t>MOTOR CEPILLO IZQUIERDO / DRC300</t>
  </si>
  <si>
    <t>1910L5-6</t>
  </si>
  <si>
    <t>MOTOR CEPILLO DERECHO / DRC300</t>
  </si>
  <si>
    <t>1910M3-7</t>
  </si>
  <si>
    <t>CARBON CB-264 / VARIOS</t>
  </si>
  <si>
    <t>1910T8-6</t>
  </si>
  <si>
    <t>CEPILLO CPL / DVC560</t>
  </si>
  <si>
    <t>1911A5-5</t>
  </si>
  <si>
    <t>TARJETA DE VISION / DRC300</t>
  </si>
  <si>
    <t>1913B9-6</t>
  </si>
  <si>
    <t>1913C0-1</t>
  </si>
  <si>
    <t>CARBON CB-64</t>
  </si>
  <si>
    <t>1913C2-7</t>
  </si>
  <si>
    <t>CARBON CB-153</t>
  </si>
  <si>
    <t>1913C3-5</t>
  </si>
  <si>
    <t>CARBON CB-204</t>
  </si>
  <si>
    <t>1913C5-1</t>
  </si>
  <si>
    <t>CARBON CB-419</t>
  </si>
  <si>
    <t>1913J5-0</t>
  </si>
  <si>
    <t>1913J7-6</t>
  </si>
  <si>
    <t>1913M9-3</t>
  </si>
  <si>
    <t>1913N4-0</t>
  </si>
  <si>
    <t>1913N6-6</t>
  </si>
  <si>
    <t>1913N8-2</t>
  </si>
  <si>
    <t>1914B1-8</t>
  </si>
  <si>
    <t>1914C4-9</t>
  </si>
  <si>
    <t>1914D4-6</t>
  </si>
  <si>
    <t>1914D5-4</t>
  </si>
  <si>
    <t>1914L5-0</t>
  </si>
  <si>
    <t>191628-6</t>
  </si>
  <si>
    <t>CARBON CB-65 / SJ1600</t>
  </si>
  <si>
    <t>191953-5</t>
  </si>
  <si>
    <t>CARBON CB-203 / 2414NB - 3612</t>
  </si>
  <si>
    <t>191955-1</t>
  </si>
  <si>
    <t>191956-9</t>
  </si>
  <si>
    <t>CARBON CB-75 / VARIOS</t>
  </si>
  <si>
    <t>191961-6</t>
  </si>
  <si>
    <t>CARBON CB-304 / VARIOS</t>
  </si>
  <si>
    <t>191963-2</t>
  </si>
  <si>
    <t>CARBON CB-303 / VARIOS</t>
  </si>
  <si>
    <t>191971-3</t>
  </si>
  <si>
    <t>CARBON CB-430 / VARIOS</t>
  </si>
  <si>
    <t>191978-9</t>
  </si>
  <si>
    <t>191998-3</t>
  </si>
  <si>
    <t>CARBON CB-85 / VARIOS</t>
  </si>
  <si>
    <t>191A50-3</t>
  </si>
  <si>
    <t>ADAPTADOR CUADRADO 9.5 / DWR180</t>
  </si>
  <si>
    <t>191A51-1</t>
  </si>
  <si>
    <t>ADAPTADOR CUADRADO 6.35 / DWR180</t>
  </si>
  <si>
    <t>191C37-7</t>
  </si>
  <si>
    <t>JUEGO DE GANCHOS / HR003G</t>
  </si>
  <si>
    <t>191D12-9</t>
  </si>
  <si>
    <t>FILTRO PRINCIPAL H / DVC660</t>
  </si>
  <si>
    <t>191D69-0</t>
  </si>
  <si>
    <t>CEPILLO GIRATORIO / DVC560</t>
  </si>
  <si>
    <t>191D85-2</t>
  </si>
  <si>
    <t>CARBON CB-260 / GA4550</t>
  </si>
  <si>
    <t>191G24-0</t>
  </si>
  <si>
    <t>191K75-7</t>
  </si>
  <si>
    <t>KIT DE MANTENIMIENTO / HR5212C</t>
  </si>
  <si>
    <t>191K75-7N</t>
  </si>
  <si>
    <t>191L97-3</t>
  </si>
  <si>
    <t>CONJUNTO DEL PISTON</t>
  </si>
  <si>
    <t>191M24-6</t>
  </si>
  <si>
    <t>KIT DE MANTENIMIENTO / HM1512</t>
  </si>
  <si>
    <t>191P00-8</t>
  </si>
  <si>
    <t>191P12-1</t>
  </si>
  <si>
    <t>CARCASA CPL  / DPV300</t>
  </si>
  <si>
    <t>191P28-6</t>
  </si>
  <si>
    <t>CEPILLO / DRC300</t>
  </si>
  <si>
    <t>191P31-7</t>
  </si>
  <si>
    <t>FILTRO H CPL / DRC300</t>
  </si>
  <si>
    <t>191P99-3</t>
  </si>
  <si>
    <t>191T31-1</t>
  </si>
  <si>
    <t>CARBON / GA7070 - GA9070</t>
  </si>
  <si>
    <t>191T96-3</t>
  </si>
  <si>
    <t>191V69-8</t>
  </si>
  <si>
    <t>FILTRO DE TELA / VARIOS</t>
  </si>
  <si>
    <t>191V90-7</t>
  </si>
  <si>
    <t>191V97-3</t>
  </si>
  <si>
    <t>CUCHILLA 480 / DLM480</t>
  </si>
  <si>
    <t>GUARDA POLVO / VARIOS</t>
  </si>
  <si>
    <t>191W93-7</t>
  </si>
  <si>
    <t>ESTUCHE 41 / DFR452</t>
  </si>
  <si>
    <t>191W94-5</t>
  </si>
  <si>
    <t>ESTUCHE CPL 55 / DFR551</t>
  </si>
  <si>
    <t>191X23-4</t>
  </si>
  <si>
    <t>MANGUERA ASPIRACION / AS001G</t>
  </si>
  <si>
    <t>191X29-2</t>
  </si>
  <si>
    <t>CONJUNTO DE FILTRO AIRE / AS001G</t>
  </si>
  <si>
    <t>191X75-5</t>
  </si>
  <si>
    <t>CARCASA  L/R / AS001G</t>
  </si>
  <si>
    <t>191Y14-1</t>
  </si>
  <si>
    <t>CUBIERTA DE ARNES / VC009G</t>
  </si>
  <si>
    <t>191Y78-5</t>
  </si>
  <si>
    <t>ADAPTADOR DE BATERIA 64V / BTCS1</t>
  </si>
  <si>
    <t>192016-0</t>
  </si>
  <si>
    <t>MANDRIL S10 / VARIOS</t>
  </si>
  <si>
    <t>192035-6</t>
  </si>
  <si>
    <t>CABEZA DE VACIO P/3612-3612</t>
  </si>
  <si>
    <t>192541-1</t>
  </si>
  <si>
    <t>MANDRIL S13 / HP1620</t>
  </si>
  <si>
    <t>192621-3</t>
  </si>
  <si>
    <t>BRAZO DE APOYO / LS1040</t>
  </si>
  <si>
    <t>192672-6</t>
  </si>
  <si>
    <t>CONJUNTO DE PRENSA / LS1221</t>
  </si>
  <si>
    <t>192877-8</t>
  </si>
  <si>
    <t>MANDRIL S13 / DP4700</t>
  </si>
  <si>
    <t>192970-8</t>
  </si>
  <si>
    <t>193004-0</t>
  </si>
  <si>
    <t>PORTA HERRAMIENTA / HM0810T</t>
  </si>
  <si>
    <t>193036-7</t>
  </si>
  <si>
    <t>ADAPTADOR DE ASPIRACION / 2012NB</t>
  </si>
  <si>
    <t>193050-3</t>
  </si>
  <si>
    <t>ENGRANAJE PRINCIPAL/6409</t>
  </si>
  <si>
    <t>193051-1</t>
  </si>
  <si>
    <t>BLOQUE PARA CORTE / LS1040F</t>
  </si>
  <si>
    <t>193067-6</t>
  </si>
  <si>
    <t>MANDRIL CON LLAVE S13 / HP2050</t>
  </si>
  <si>
    <t>193228-8</t>
  </si>
  <si>
    <t>MANDRIL S13 / DP4000</t>
  </si>
  <si>
    <t>193318-7</t>
  </si>
  <si>
    <t>MANDRIL S13 / DA4000LR</t>
  </si>
  <si>
    <t>193319-5</t>
  </si>
  <si>
    <t>MANDRIL S13 / DS4000</t>
  </si>
  <si>
    <t>193466-2</t>
  </si>
  <si>
    <t>CARBON CB-434 / VARIOS</t>
  </si>
  <si>
    <t>193470-1</t>
  </si>
  <si>
    <t>ALMOHADILLA DE ESPONJA</t>
  </si>
  <si>
    <t>193540-6</t>
  </si>
  <si>
    <t>PLATO DE FIJACION 82 / VARIOS</t>
  </si>
  <si>
    <t>193730-1</t>
  </si>
  <si>
    <t>LAMPARA FLUORESCENTE / LS1040F - 2107F</t>
  </si>
  <si>
    <t>193822-6</t>
  </si>
  <si>
    <t>MANDRIL CON LLAVE S13 / HP2070F</t>
  </si>
  <si>
    <t>194160-9</t>
  </si>
  <si>
    <t>194250-8</t>
  </si>
  <si>
    <t>MANDRIL S10 / 6903VD</t>
  </si>
  <si>
    <t>194285-9</t>
  </si>
  <si>
    <t>CARBON CB-327 / VARIOS</t>
  </si>
  <si>
    <t>194303-3</t>
  </si>
  <si>
    <t>RECOLECTOR DE POLVO PARA AMOLADORA</t>
  </si>
  <si>
    <t>194427-5</t>
  </si>
  <si>
    <t>CARBON CB-440 / VARIOS</t>
  </si>
  <si>
    <t>194547-5</t>
  </si>
  <si>
    <t>CARBON CB-253 / GA5020C</t>
  </si>
  <si>
    <t>194566-1</t>
  </si>
  <si>
    <t>CONJUNTO DE BOLSA DE PAPEL / VARIOS</t>
  </si>
  <si>
    <t>194582-3</t>
  </si>
  <si>
    <t>MANGO RECTO / VARIOS</t>
  </si>
  <si>
    <t>194583-1</t>
  </si>
  <si>
    <t>BASE DE AGARRE / HR2230</t>
  </si>
  <si>
    <t>194666-7</t>
  </si>
  <si>
    <t>CUCHILLA DE CORTE COMPLETA UH6570</t>
  </si>
  <si>
    <t>194733-8</t>
  </si>
  <si>
    <t>BOQUILLA DE POLVO / RT0700C - DRT50</t>
  </si>
  <si>
    <t>194904-7</t>
  </si>
  <si>
    <t>JUEGO HERRAMIENTAS / VARIOS</t>
  </si>
  <si>
    <t>194928-3</t>
  </si>
  <si>
    <t>CARBON CB-442 / VARIOS</t>
  </si>
  <si>
    <t>194963-1</t>
  </si>
  <si>
    <t>CARBON CB-51 / 6016</t>
  </si>
  <si>
    <t>194964-9</t>
  </si>
  <si>
    <t>194968-1</t>
  </si>
  <si>
    <t>CARBON CB-64 / VARIOS</t>
  </si>
  <si>
    <t>194969-9</t>
  </si>
  <si>
    <t>194970-4</t>
  </si>
  <si>
    <t>CARBON CB-70 / VARIOS</t>
  </si>
  <si>
    <t>194971-2</t>
  </si>
  <si>
    <t>194972-0</t>
  </si>
  <si>
    <t>CARBON CB-76 / VARIOS</t>
  </si>
  <si>
    <t>194973-8</t>
  </si>
  <si>
    <t>194974-6</t>
  </si>
  <si>
    <t>CARBON CB-100 / 6906</t>
  </si>
  <si>
    <t>194975-4</t>
  </si>
  <si>
    <t>CARBON CB-105 / M8600 - HM0810T</t>
  </si>
  <si>
    <t>194976-2</t>
  </si>
  <si>
    <t>CARBON CB-106 / RP0900 - M3601</t>
  </si>
  <si>
    <t>194984-3</t>
  </si>
  <si>
    <t>CARBON CB-132 / VARIOS</t>
  </si>
  <si>
    <t>194985-1</t>
  </si>
  <si>
    <t>CARBON CB-153 / VARIOS</t>
  </si>
  <si>
    <t>194986-9</t>
  </si>
  <si>
    <t>CARBON CB-154 / LS1221</t>
  </si>
  <si>
    <t>194987-7</t>
  </si>
  <si>
    <t>CARBON CB-155 / VARIOS</t>
  </si>
  <si>
    <t>194991-6</t>
  </si>
  <si>
    <t>PLACA BASE/ 3620</t>
  </si>
  <si>
    <t>194992-4</t>
  </si>
  <si>
    <t>CARBON CB-204 / VARIOS</t>
  </si>
  <si>
    <t>194994-0</t>
  </si>
  <si>
    <t>CARBON CB-253 / VARIOS</t>
  </si>
  <si>
    <t>194996-6</t>
  </si>
  <si>
    <t>194999-0</t>
  </si>
  <si>
    <t>BOTON/ VARIOS</t>
  </si>
  <si>
    <t>195001-2</t>
  </si>
  <si>
    <t>CARBON CB-325 / VARIOS</t>
  </si>
  <si>
    <t>195003-8</t>
  </si>
  <si>
    <t>195004-6</t>
  </si>
  <si>
    <t>CARBON CB-350 / VARIOS</t>
  </si>
  <si>
    <t>195010-1</t>
  </si>
  <si>
    <t>CARBON CB-411 / VARIOS</t>
  </si>
  <si>
    <t>195012-7</t>
  </si>
  <si>
    <t>CONJUNTO DE PORTA CARBON / 6905H</t>
  </si>
  <si>
    <t>195015-1</t>
  </si>
  <si>
    <t>CARBON CB-419 / VARIOS</t>
  </si>
  <si>
    <t>195018-5</t>
  </si>
  <si>
    <t>195020-8</t>
  </si>
  <si>
    <t>195021-6</t>
  </si>
  <si>
    <t>195022-4</t>
  </si>
  <si>
    <t>CARBON CB-441 / VARIOS</t>
  </si>
  <si>
    <t>195023-2</t>
  </si>
  <si>
    <t>CARBON CB-442/VARIOS</t>
  </si>
  <si>
    <t>195026-6</t>
  </si>
  <si>
    <t>CARBON CB-459 / VARIOS</t>
  </si>
  <si>
    <t>195050-9</t>
  </si>
  <si>
    <t>RECOLECTOR DESPERDICIO / VARIOS</t>
  </si>
  <si>
    <t>195056-7</t>
  </si>
  <si>
    <t>CARBON CB-165 / 406</t>
  </si>
  <si>
    <t>195081-8</t>
  </si>
  <si>
    <t>MANDRIL CON LLAVE S13 / VARIOS</t>
  </si>
  <si>
    <t>EMPAQUE  MONOBLOCK / EA4301F</t>
  </si>
  <si>
    <t>CARTER  PARTE MAG. / EA4301F</t>
  </si>
  <si>
    <t>195114-9</t>
  </si>
  <si>
    <t>KIT DE MANTENIMIENTO / VARIOS</t>
  </si>
  <si>
    <t>CONEXIÓN DE GASOLINA / EA4301</t>
  </si>
  <si>
    <t>TUBO DE COMBUSTIBLE / EA4301F</t>
  </si>
  <si>
    <t>RESORTE AMORTIGUADOR / EA3500</t>
  </si>
  <si>
    <t>VARILLA DE ACELERADOR / EA4302</t>
  </si>
  <si>
    <t>GARGANTA / EA4301</t>
  </si>
  <si>
    <t>ANILLO DE ESPUMA / EA4301F</t>
  </si>
  <si>
    <t>EMPAQUE DE CILINDRO / EA4301</t>
  </si>
  <si>
    <t>CAJA DE CARBURADOR / EA4301</t>
  </si>
  <si>
    <t>ANILLO DE PISTON / EA4301F</t>
  </si>
  <si>
    <t>195136-9</t>
  </si>
  <si>
    <t>GUIA RECTA / VARIOS</t>
  </si>
  <si>
    <t>195141-6</t>
  </si>
  <si>
    <t>JUEGO DE ANILLOS / VARIOS</t>
  </si>
  <si>
    <t>195142-4</t>
  </si>
  <si>
    <t>ARANDELA DE AISLAMIENTO / VARIOS</t>
  </si>
  <si>
    <t>ANILLO DE AISLAMIENTO / EA4301F</t>
  </si>
  <si>
    <t>BOBINA CPL / EA4301F</t>
  </si>
  <si>
    <t>195144-0</t>
  </si>
  <si>
    <t>SOPORTE DE EQUIPO / VARIOS</t>
  </si>
  <si>
    <t>195145-8</t>
  </si>
  <si>
    <t>195146-6</t>
  </si>
  <si>
    <t>CABLE DE APAGADO / EA4301</t>
  </si>
  <si>
    <t>AGUJA CARBURADOR (L) / EA4301</t>
  </si>
  <si>
    <t>CARBURADOR / EA4301</t>
  </si>
  <si>
    <t>JUEGO DE MEMBRANAS / EA4301F</t>
  </si>
  <si>
    <t>KIT MEMBRANA DE CARBURADOR / EA4301</t>
  </si>
  <si>
    <t>MUELLE DE CONTACTO / EA4301F</t>
  </si>
  <si>
    <t>RUEDA DE ARRANQUE / EA4301F</t>
  </si>
  <si>
    <t>RESORTE DE TORSION / EA4301</t>
  </si>
  <si>
    <t>TAMBOR DE CORDON / EA4301</t>
  </si>
  <si>
    <t>RESORTE DE ARRANCADOR / EA4301</t>
  </si>
  <si>
    <t>ARRANCADOR CPL / EA4301</t>
  </si>
  <si>
    <t>TRINQUETE DE ARRANQUE / VARIOS</t>
  </si>
  <si>
    <t>195171-7</t>
  </si>
  <si>
    <t>CONTENEDOR DE POLVO / DHR280</t>
  </si>
  <si>
    <t>195173-3</t>
  </si>
  <si>
    <t>FILTRO DE AIRE / EA4301F</t>
  </si>
  <si>
    <t>FILTRO DE AIRE NYLON/EA4301</t>
  </si>
  <si>
    <t>JUEGO FILTRO AIRE / EA4301</t>
  </si>
  <si>
    <t>TUBO DE ESCAPE / EA4301</t>
  </si>
  <si>
    <t>195179-1</t>
  </si>
  <si>
    <t>195191-1</t>
  </si>
  <si>
    <t>KIT DE REPUESTOS / HR5211</t>
  </si>
  <si>
    <t>JUEGO TENSION CADENA / EA4301</t>
  </si>
  <si>
    <t>PROTECTOR DE MANO / EA4301</t>
  </si>
  <si>
    <t>PROTECTOR DE PIÑON / EA4301</t>
  </si>
  <si>
    <t>PERNO DE ESPADA / EA6100P</t>
  </si>
  <si>
    <t>BOCINA DE CIGÜEÑAL / EA4301</t>
  </si>
  <si>
    <t>195246-2</t>
  </si>
  <si>
    <t>BARRA DENTADA / VARIOS</t>
  </si>
  <si>
    <t>195298-3</t>
  </si>
  <si>
    <t>195308-6</t>
  </si>
  <si>
    <t>195489-6</t>
  </si>
  <si>
    <t>195758-5</t>
  </si>
  <si>
    <t>MANGO CPL / EA3203S</t>
  </si>
  <si>
    <t>195760-8</t>
  </si>
  <si>
    <t>CONJUNTO DE PISTON / EA3203S</t>
  </si>
  <si>
    <t>195761-6</t>
  </si>
  <si>
    <t>TRINQUETE CPL / EA3203S</t>
  </si>
  <si>
    <t>195764-0</t>
  </si>
  <si>
    <t>TENSOR DE CADENA / EA3203S</t>
  </si>
  <si>
    <t>195798-3</t>
  </si>
  <si>
    <t>PROTECTOR DE BATERIA / VARIOS</t>
  </si>
  <si>
    <t>195844-2</t>
  </si>
  <si>
    <t>CARBON CB-175 / VARIOS</t>
  </si>
  <si>
    <t>195845-0</t>
  </si>
  <si>
    <t>195870-1</t>
  </si>
  <si>
    <t>HERRAMIENTAS - ACCESORIOS / VARIOS</t>
  </si>
  <si>
    <t>195926-0</t>
  </si>
  <si>
    <t>CONJUNTO DE ANILLOS DE GOMA / PM7650H</t>
  </si>
  <si>
    <t>195955-3</t>
  </si>
  <si>
    <t>RESORTE ESPIRAL / EA3203S</t>
  </si>
  <si>
    <t>196140-1</t>
  </si>
  <si>
    <t>BOQUILLA / PM7650H</t>
  </si>
  <si>
    <t>196152-4</t>
  </si>
  <si>
    <t>BASE DE FIELTRO / DBO180</t>
  </si>
  <si>
    <t>196193-0</t>
  </si>
  <si>
    <t>MANDRIL CIERRE RAPIDO S13 / VARIOS</t>
  </si>
  <si>
    <t>196242-3</t>
  </si>
  <si>
    <t>JUEGO DE CADENA 200 / VARIOS</t>
  </si>
  <si>
    <t>196253-8</t>
  </si>
  <si>
    <t>CONJUNTO PRE FILTRO / VC3211H - VC2211M</t>
  </si>
  <si>
    <t>196351-8</t>
  </si>
  <si>
    <t>CONJUNTO A / DCG180</t>
  </si>
  <si>
    <t>196352-6</t>
  </si>
  <si>
    <t>JUEGO DE SUJETADOR CILINDRICO</t>
  </si>
  <si>
    <t>196384-3</t>
  </si>
  <si>
    <t>CILINDRO CPL / EA3203S</t>
  </si>
  <si>
    <t>196482-3</t>
  </si>
  <si>
    <t>CARBON CB-85 / M8100K</t>
  </si>
  <si>
    <t>196499-6</t>
  </si>
  <si>
    <t>CONJUNTO DE BOQUILLAS / PM7650H</t>
  </si>
  <si>
    <t>196564-1</t>
  </si>
  <si>
    <t>196595-0</t>
  </si>
  <si>
    <t>196612-6</t>
  </si>
  <si>
    <t>BASE DE HERRAMIENTA / DRT50</t>
  </si>
  <si>
    <t>196613-4</t>
  </si>
  <si>
    <t>CONJUNTO DE LA BASE / DRT50 - RT001G</t>
  </si>
  <si>
    <t>196616-8</t>
  </si>
  <si>
    <t>196667-1</t>
  </si>
  <si>
    <t>ANILLO DE PISTON / EM4351UH</t>
  </si>
  <si>
    <t>196855-0</t>
  </si>
  <si>
    <t>CARBON CB-448 / DTD152</t>
  </si>
  <si>
    <t>196922-1</t>
  </si>
  <si>
    <t>BASE DE EJE DESPLAZADO / RT0700C</t>
  </si>
  <si>
    <t>196924-7</t>
  </si>
  <si>
    <t>CONJUNTO DE MANGO / RT0700C</t>
  </si>
  <si>
    <t>196956-4</t>
  </si>
  <si>
    <t>CINTURON MAQUINA / VARIOS</t>
  </si>
  <si>
    <t>196960-3</t>
  </si>
  <si>
    <t>EMPUÑADURA EN D / EM4350RH</t>
  </si>
  <si>
    <t>197040-8</t>
  </si>
  <si>
    <t>JUEGO DE ANILLOS / PM7650H</t>
  </si>
  <si>
    <t>197043-2</t>
  </si>
  <si>
    <t>197055-5</t>
  </si>
  <si>
    <t>CONJUNTO DE CINTURON / PM7650H</t>
  </si>
  <si>
    <t>197128-4</t>
  </si>
  <si>
    <t>CUBIERTA INFERIOR/ DLM533-DLM537</t>
  </si>
  <si>
    <t>197195-9</t>
  </si>
  <si>
    <t>CONJUNTO C / DCG180</t>
  </si>
  <si>
    <t>197206-0</t>
  </si>
  <si>
    <t>CARBON / DVC860</t>
  </si>
  <si>
    <t>197244-2</t>
  </si>
  <si>
    <t>CARBON CB-351 / HR4013C</t>
  </si>
  <si>
    <t>197364-2</t>
  </si>
  <si>
    <t>MANGUERA REFRIGERACION / M0400</t>
  </si>
  <si>
    <t>197366-8</t>
  </si>
  <si>
    <t>CUCHILLA EN U / DUP361</t>
  </si>
  <si>
    <t>197367-6</t>
  </si>
  <si>
    <t>CUCHILLA EN L / DUP361</t>
  </si>
  <si>
    <t>197441-0</t>
  </si>
  <si>
    <t>CAMPANA DENTADA / VARIOS</t>
  </si>
  <si>
    <t>197456-7</t>
  </si>
  <si>
    <t>CONJUNTO DE PISTON / PM7650H</t>
  </si>
  <si>
    <t>197457-5</t>
  </si>
  <si>
    <t>PISTON  / EK7651H</t>
  </si>
  <si>
    <t>197458-3</t>
  </si>
  <si>
    <t>JUEGO ANILLOS  / EK7651H</t>
  </si>
  <si>
    <t>197473-7</t>
  </si>
  <si>
    <t>197539-3</t>
  </si>
  <si>
    <t>CIGUEÑAL / EA3203S</t>
  </si>
  <si>
    <t>197682-8</t>
  </si>
  <si>
    <t>KIT DE MANTENIMIENTO</t>
  </si>
  <si>
    <t>197684-4</t>
  </si>
  <si>
    <t>197723-0</t>
  </si>
  <si>
    <t>CONJUNTO DE TUBO LARGO 9 / EB5300TH</t>
  </si>
  <si>
    <t>197768-8</t>
  </si>
  <si>
    <t>CUCHILLA CPL / EN410MP</t>
  </si>
  <si>
    <t>197903-8</t>
  </si>
  <si>
    <t>FILTRO(BOLSAS) / VARIOS</t>
  </si>
  <si>
    <t>197912-7</t>
  </si>
  <si>
    <t>ESPONJA / PO5000C</t>
  </si>
  <si>
    <t>197916-9</t>
  </si>
  <si>
    <t>ALMOHADILLA DE FIELTRO 100 / PO5000C</t>
  </si>
  <si>
    <t>197920-8</t>
  </si>
  <si>
    <t>ALMOHADILLA DE LANA 125MM / PO5000C</t>
  </si>
  <si>
    <t>197941-0</t>
  </si>
  <si>
    <t>SOPORTE PARA SUJECION DE TALADRO / VARIOS</t>
  </si>
  <si>
    <t>197976-1</t>
  </si>
  <si>
    <t>BOTELLA DE ACEITE /VARIOS</t>
  </si>
  <si>
    <t>198034-6</t>
  </si>
  <si>
    <t>CONJUNTO DE BOQUILLAS 90-60 M / EB5300TH</t>
  </si>
  <si>
    <t>198149-9</t>
  </si>
  <si>
    <t>BOQUILLA DX DE SUELO ESTANDAR / VARIOS</t>
  </si>
  <si>
    <t>198172-4</t>
  </si>
  <si>
    <t>JUEGO PRE FILTRO AIRE  /EK7651H</t>
  </si>
  <si>
    <t>198209-7</t>
  </si>
  <si>
    <t>PISTON  /EB7660TH</t>
  </si>
  <si>
    <t>198210-2</t>
  </si>
  <si>
    <t>CILINDRO CPL  /EB7660TH</t>
  </si>
  <si>
    <t>198211-0</t>
  </si>
  <si>
    <t>MONOBLOCK CPL  /EB7660TH</t>
  </si>
  <si>
    <t>198218-6</t>
  </si>
  <si>
    <t>198224-1</t>
  </si>
  <si>
    <t>CABEZAL DE CILINDRO  /EB7660TH</t>
  </si>
  <si>
    <t>198386-5</t>
  </si>
  <si>
    <t>CABEZAL NYLON 95- M8/VARIOS</t>
  </si>
  <si>
    <t>198402-3</t>
  </si>
  <si>
    <t>198415-4</t>
  </si>
  <si>
    <t>PROTTECTOR DE POLVO / GA5020 - 9564CV</t>
  </si>
  <si>
    <t>198420-1</t>
  </si>
  <si>
    <t>PISTON CPL / EB5300TH</t>
  </si>
  <si>
    <t>198491-8</t>
  </si>
  <si>
    <t>CAJA TUBULAR /DCU180</t>
  </si>
  <si>
    <t>198877-6</t>
  </si>
  <si>
    <t>CEPILLO REDONDO BLANCO/ DCL181</t>
  </si>
  <si>
    <t>198887-3</t>
  </si>
  <si>
    <t>CARBON CB-448 / DTW251 - DTD156</t>
  </si>
  <si>
    <t>198911-2</t>
  </si>
  <si>
    <t>MANDRIL S10 / MT603</t>
  </si>
  <si>
    <t>198987-9</t>
  </si>
  <si>
    <t>BASE INCLINABLE / RT0700C - DRT50</t>
  </si>
  <si>
    <t>199039-9</t>
  </si>
  <si>
    <t>BOQUILLA -ACCESORIO / VARIOS</t>
  </si>
  <si>
    <t>199132-9</t>
  </si>
  <si>
    <t>CILINDRO  /EB7660TH</t>
  </si>
  <si>
    <t>199165-4</t>
  </si>
  <si>
    <t>KIT DE MANTENIMIENTO/DBN600</t>
  </si>
  <si>
    <t>199204-0</t>
  </si>
  <si>
    <t>CUCHILLAS L Y R/KR401MP</t>
  </si>
  <si>
    <t>199231-7</t>
  </si>
  <si>
    <t>GANCHO /DHS600-DHS661</t>
  </si>
  <si>
    <t>199386-8</t>
  </si>
  <si>
    <t>GANCHO /VARIOS</t>
  </si>
  <si>
    <t>199453-9</t>
  </si>
  <si>
    <t>MANGUERA CPL 32-1.0 / DVC660</t>
  </si>
  <si>
    <t>199493-7</t>
  </si>
  <si>
    <t>TUBO FLEXIBLE 32-1.7</t>
  </si>
  <si>
    <t>199555-1</t>
  </si>
  <si>
    <t>CAJA DE POLVO /VARIOS</t>
  </si>
  <si>
    <t>199557-7</t>
  </si>
  <si>
    <t>FILTRO / HR2652 - HR003G</t>
  </si>
  <si>
    <t>199568-2</t>
  </si>
  <si>
    <t>199586-0</t>
  </si>
  <si>
    <t>GUARDA POLVO / HR2652</t>
  </si>
  <si>
    <t>199595-9</t>
  </si>
  <si>
    <t>CAJA DE POLVO /DX05</t>
  </si>
  <si>
    <t>199596-7</t>
  </si>
  <si>
    <t>FILTRO DE AIRE /VARIOS</t>
  </si>
  <si>
    <t>199730-9</t>
  </si>
  <si>
    <t>CONJUNTO DE MORDAZA 6.4 / DVR150</t>
  </si>
  <si>
    <t>199731-7</t>
  </si>
  <si>
    <t>CONJUNTO DE MORDAZA 4.8 / DVR150</t>
  </si>
  <si>
    <t>199937-7</t>
  </si>
  <si>
    <t>EMPUÑADURA /DLS801</t>
  </si>
  <si>
    <t>199940-8</t>
  </si>
  <si>
    <t>BASE FLEXIBLE /DLS801</t>
  </si>
  <si>
    <t>199942-4</t>
  </si>
  <si>
    <t>RUEDAS AUXILIARES / DUC180</t>
  </si>
  <si>
    <t>199966-0</t>
  </si>
  <si>
    <t>1R003</t>
  </si>
  <si>
    <t>ALICATE DE SEGUROS / VARIOS</t>
  </si>
  <si>
    <t>1R004</t>
  </si>
  <si>
    <t>1R004-C</t>
  </si>
  <si>
    <t>1R005</t>
  </si>
  <si>
    <t>1R006</t>
  </si>
  <si>
    <t>1R018</t>
  </si>
  <si>
    <t>1R019</t>
  </si>
  <si>
    <t>1R020</t>
  </si>
  <si>
    <t>1R021</t>
  </si>
  <si>
    <t>1R022</t>
  </si>
  <si>
    <t>EXTRACTOR RODAMIENTO P. PRENSA / VARIOS</t>
  </si>
  <si>
    <t>1R025</t>
  </si>
  <si>
    <t>BOCINA PARA PRENSA / VARIOS</t>
  </si>
  <si>
    <t>1R042</t>
  </si>
  <si>
    <t>LLAVE DE UÑA / VARIOS</t>
  </si>
  <si>
    <t>1R048</t>
  </si>
  <si>
    <t>CUÑA DE PRESION 11 / VARIOS</t>
  </si>
  <si>
    <t>1R049</t>
  </si>
  <si>
    <t>CUÑA DE PRESION 15 / VARIOS</t>
  </si>
  <si>
    <t>1R050</t>
  </si>
  <si>
    <t>CUÑA DE PRESION 22 / VARIOS</t>
  </si>
  <si>
    <t>1R062</t>
  </si>
  <si>
    <t>GUIA DE ESTATOR M4 / VARIOS</t>
  </si>
  <si>
    <t>1R063</t>
  </si>
  <si>
    <t>GUIA DE ESTATOR M5 / VARIOS</t>
  </si>
  <si>
    <t>1R077</t>
  </si>
  <si>
    <t>MEDIDOR DE AISLAMIENTO / VARIOS</t>
  </si>
  <si>
    <t>1R080</t>
  </si>
  <si>
    <t>BASE DE PRENSA 2 TON / VARIOS</t>
  </si>
  <si>
    <t>1R081</t>
  </si>
  <si>
    <t>BASE DE PRENSA 1 TON / VARIOS</t>
  </si>
  <si>
    <t>1R083</t>
  </si>
  <si>
    <t>TESTEADOR DE MARTILLO / VARIOS</t>
  </si>
  <si>
    <t>1R139</t>
  </si>
  <si>
    <t>EXTRACTOR DE MANDRIL / VARIOS</t>
  </si>
  <si>
    <t>1R149</t>
  </si>
  <si>
    <t>TESTEADOR ROTOR 220V / VARIOS</t>
  </si>
  <si>
    <t>1R150</t>
  </si>
  <si>
    <t>TESTEADOR ROTOR 240V / VARIOS</t>
  </si>
  <si>
    <t>1R155</t>
  </si>
  <si>
    <t>BLOQUEADOR DE PISTON / VARIOS</t>
  </si>
  <si>
    <t>1R167</t>
  </si>
  <si>
    <t>LLAVE HEX. 3X70 / VARIOS</t>
  </si>
  <si>
    <t>1R168</t>
  </si>
  <si>
    <t>LLAVE HEX. 4X77 / VARIOS</t>
  </si>
  <si>
    <t>1R169</t>
  </si>
  <si>
    <t>LLAVE HEX. 5X89 / VARIOS</t>
  </si>
  <si>
    <t>1R170</t>
  </si>
  <si>
    <t>LLAVE HEX. 3X127 / VARIOS</t>
  </si>
  <si>
    <t>1R171</t>
  </si>
  <si>
    <t>LLAVE HEX. 4X130 / VARIOS</t>
  </si>
  <si>
    <t>1R172</t>
  </si>
  <si>
    <t>LLAVE HEX. 5X153 / VARIOS</t>
  </si>
  <si>
    <t>1R174</t>
  </si>
  <si>
    <t>CABLES PARA TESTEAR ESTATOR / VARIOS</t>
  </si>
  <si>
    <t>1R175</t>
  </si>
  <si>
    <t>CABLES  TIERRA ESTATOR / VARIOS</t>
  </si>
  <si>
    <t>1R176</t>
  </si>
  <si>
    <t>1R181</t>
  </si>
  <si>
    <t>TESTEADOR DE BUJIAS / VARIOS</t>
  </si>
  <si>
    <t>1R183</t>
  </si>
  <si>
    <t>DADO PARA EMBRAGUE 2 PINES / VARIOS</t>
  </si>
  <si>
    <t>1R207</t>
  </si>
  <si>
    <t>REGLA DE 45° SOLIDO / VARIOS</t>
  </si>
  <si>
    <t>1R208</t>
  </si>
  <si>
    <t>REGLA DE 90° SOLIDO / VARIOS</t>
  </si>
  <si>
    <t>1R212</t>
  </si>
  <si>
    <t>ALICATE PARA SEGUROS / VARIOS</t>
  </si>
  <si>
    <t>1R212-A</t>
  </si>
  <si>
    <t>PUNTAS PARA ALICATE / VARIOS</t>
  </si>
  <si>
    <t>1R212-B</t>
  </si>
  <si>
    <t>1R213</t>
  </si>
  <si>
    <t>EXTRACTOR DE CILINDRO / HR5001C</t>
  </si>
  <si>
    <t>1R226</t>
  </si>
  <si>
    <t>CARBON ABRASIVO / VARIOS</t>
  </si>
  <si>
    <t>1R257</t>
  </si>
  <si>
    <t>DADO PARA EMBRAGUE 3 UÑAS/VARIOS</t>
  </si>
  <si>
    <t>1R262</t>
  </si>
  <si>
    <t>TESTEADOR DE ROTOR / VARIOS</t>
  </si>
  <si>
    <t>1R263</t>
  </si>
  <si>
    <t>PALANCA PARA RODAMIENTOS / VARIOS</t>
  </si>
  <si>
    <t>1R269</t>
  </si>
  <si>
    <t>EXTRACTOR DE RODAMIENTO / VARIOS</t>
  </si>
  <si>
    <t>1R269-A</t>
  </si>
  <si>
    <t>PUNTA P.EXTRACTOR RODAMIENTOS / VARIOS</t>
  </si>
  <si>
    <t>1R270</t>
  </si>
  <si>
    <t>PUNTA PARA TESTEAR SDS MAX / VARIOS</t>
  </si>
  <si>
    <t>1R271</t>
  </si>
  <si>
    <t>PUNTA PARA TESTEAR SDS PLUS / VARIOS</t>
  </si>
  <si>
    <t>1R288</t>
  </si>
  <si>
    <t>MAGNETIZADOR / VARIOS</t>
  </si>
  <si>
    <t>1R290-A</t>
  </si>
  <si>
    <t>LLAVE TORX 27X150 / VARIOS</t>
  </si>
  <si>
    <t>1R307</t>
  </si>
  <si>
    <t>LLAVE PARA SEGUROS ET / VARIOS</t>
  </si>
  <si>
    <t>1R312</t>
  </si>
  <si>
    <t>SOPORTE PARA MARTILLOS / HR5212C</t>
  </si>
  <si>
    <t>1R340</t>
  </si>
  <si>
    <t>LLAVE DE 2 UÑAS / VARIOS</t>
  </si>
  <si>
    <t>1R347</t>
  </si>
  <si>
    <t>MEDIA LUNA / VARIOS</t>
  </si>
  <si>
    <t>1R359-A</t>
  </si>
  <si>
    <t>ADAPTADOR PARA RETIRAR MANDRIL / VARIOS</t>
  </si>
  <si>
    <t>1R360</t>
  </si>
  <si>
    <t>DADO PARA EMBRAGUE 3 PINES / VARIOS</t>
  </si>
  <si>
    <t>1R363</t>
  </si>
  <si>
    <t>EXTRACTOR DE SEGURO / HR5212C</t>
  </si>
  <si>
    <t>1R364</t>
  </si>
  <si>
    <t>EXTRACTOR DE VOLANTE / VARIOS</t>
  </si>
  <si>
    <t>1R366</t>
  </si>
  <si>
    <t>MEDIDOR DE LAMINAS / VARIOS</t>
  </si>
  <si>
    <t>1R368</t>
  </si>
  <si>
    <t>CARBON ABRASIVO CB-350 / VARIOS</t>
  </si>
  <si>
    <t>1R369</t>
  </si>
  <si>
    <t>1R370</t>
  </si>
  <si>
    <t>PALANCA PARA RESORTES / VARIOS</t>
  </si>
  <si>
    <t>1R372</t>
  </si>
  <si>
    <t>1R380</t>
  </si>
  <si>
    <t>PRENSA PARA TERMINALES / VARIOS</t>
  </si>
  <si>
    <t>1R388</t>
  </si>
  <si>
    <t>PIN PARA PRENSA / VARIOS</t>
  </si>
  <si>
    <t>1R389</t>
  </si>
  <si>
    <t>RESORTE / VARIOS</t>
  </si>
  <si>
    <t>1R389-A</t>
  </si>
  <si>
    <t>1R402-A</t>
  </si>
  <si>
    <t>MULTITESTER DIGITAL</t>
  </si>
  <si>
    <t>1R402-B</t>
  </si>
  <si>
    <t>1R407</t>
  </si>
  <si>
    <t>1R408-SAMPLE</t>
  </si>
  <si>
    <t>REGLA PARA DISCO CORTE / VARIOS</t>
  </si>
  <si>
    <t>1R412</t>
  </si>
  <si>
    <t>CABLEADO PARA LUCES LED / VARIOS</t>
  </si>
  <si>
    <t>1R413</t>
  </si>
  <si>
    <t>TESTEADOR DE INTERRUPTOR / VARIOS</t>
  </si>
  <si>
    <t>1R414</t>
  </si>
  <si>
    <t>LAMINA INDICADOR MAGNETICO / VARIOS</t>
  </si>
  <si>
    <t>1R462</t>
  </si>
  <si>
    <t>ACCESORIO PARA PRENSA / VARIOS</t>
  </si>
  <si>
    <t>1R467</t>
  </si>
  <si>
    <t>BLOQUEADOR DE EJE  DE MANDRIL A / VARIOS</t>
  </si>
  <si>
    <t>1R467-A</t>
  </si>
  <si>
    <t>BLOQUEADOR DE EJE  DE MANDRIL B / VARIOS</t>
  </si>
  <si>
    <t>1R473</t>
  </si>
  <si>
    <t>20A3691103</t>
  </si>
  <si>
    <t>TENSOR DE CADENA / VARIOS</t>
  </si>
  <si>
    <t>20A5020130</t>
  </si>
  <si>
    <t>20A7943101</t>
  </si>
  <si>
    <t>20B32622H0</t>
  </si>
  <si>
    <t>20B4220101</t>
  </si>
  <si>
    <t>20B6253008</t>
  </si>
  <si>
    <t>PALANCA DE CONTROL CARBURADOR / VARIOS</t>
  </si>
  <si>
    <t>210005-4</t>
  </si>
  <si>
    <t>RODAJE 608DDW / UNIVERSAL</t>
  </si>
  <si>
    <t>210006-2</t>
  </si>
  <si>
    <t>RODAMIENTO 696ZZ / UNIVERSAL</t>
  </si>
  <si>
    <t>210007-0</t>
  </si>
  <si>
    <t>RODAJE 608VV / UNIVERSAL</t>
  </si>
  <si>
    <t>210015-1</t>
  </si>
  <si>
    <t>RODAJE 688DDW / 9031</t>
  </si>
  <si>
    <t>210017-7</t>
  </si>
  <si>
    <t>RODAJE 607DDW / UNIVERSAL</t>
  </si>
  <si>
    <t>210022-4</t>
  </si>
  <si>
    <t>RODAJE 626DDW / UNIVERSAL</t>
  </si>
  <si>
    <t>210023-2</t>
  </si>
  <si>
    <t>RODAJE 627DDW / UNIVERSAL</t>
  </si>
  <si>
    <t>210024-0</t>
  </si>
  <si>
    <t>RODAMIENTO 608LLU / HR3000C</t>
  </si>
  <si>
    <t>210025-8</t>
  </si>
  <si>
    <t>RODAJE 627LLB / UNIVERSAL</t>
  </si>
  <si>
    <t>210026-6</t>
  </si>
  <si>
    <t>RODAJE 696ZZ / UNIVERSAL</t>
  </si>
  <si>
    <t>210027-4</t>
  </si>
  <si>
    <t>RODAMIENTO 627DDW / UNIVERSAL</t>
  </si>
  <si>
    <t>210028-2</t>
  </si>
  <si>
    <t>RODAJE 606ZZ / UNIVERSAL</t>
  </si>
  <si>
    <t>210029-0</t>
  </si>
  <si>
    <t>RODAJE 608ZZ / UNIVERSAL</t>
  </si>
  <si>
    <t>210030-5</t>
  </si>
  <si>
    <t>RODAJE 627ZZ / UNIVERSAL</t>
  </si>
  <si>
    <t>210033-9</t>
  </si>
  <si>
    <t>RODAJE 696ZZ/UNIVERSAL</t>
  </si>
  <si>
    <t>210034-7</t>
  </si>
  <si>
    <t>RODAJE 607LLB / UNIVERSAL</t>
  </si>
  <si>
    <t>210036-3</t>
  </si>
  <si>
    <t>RODAJE 604ZZ / UNIVERSAL</t>
  </si>
  <si>
    <t>210039-7</t>
  </si>
  <si>
    <t>RODAMIENTO 695 DDW / VARIOS</t>
  </si>
  <si>
    <t>210040-2</t>
  </si>
  <si>
    <t>TERMINAL / DUB362 - DUB184</t>
  </si>
  <si>
    <t>210042-8</t>
  </si>
  <si>
    <t>RODAJE 629LLB / UNIVERSAL</t>
  </si>
  <si>
    <t>210043-6</t>
  </si>
  <si>
    <t>RODAMIENTO 608LL / UNIVERSAL</t>
  </si>
  <si>
    <t>210044-4</t>
  </si>
  <si>
    <t>210045-2</t>
  </si>
  <si>
    <t>210046-0</t>
  </si>
  <si>
    <t>RODAJE 608ZZ /UNIVERSAL</t>
  </si>
  <si>
    <t>210047-8</t>
  </si>
  <si>
    <t>RODAJE 626Z / UNIVERSAL</t>
  </si>
  <si>
    <t>210049-4</t>
  </si>
  <si>
    <t>RODAJE 609ZZ/UNIVERSAL</t>
  </si>
  <si>
    <t>210050-9</t>
  </si>
  <si>
    <t>210053-3</t>
  </si>
  <si>
    <t>RODAMIENTO 629 LLB / UNIVERSAL</t>
  </si>
  <si>
    <t>210054-1</t>
  </si>
  <si>
    <t>RODAJE 6000LLU / UNIVERSAL</t>
  </si>
  <si>
    <t>210057-5</t>
  </si>
  <si>
    <t>RODAJE 6900LLB / KP0810C - DKP181</t>
  </si>
  <si>
    <t>210058-3</t>
  </si>
  <si>
    <t>RODAMIENTO 6000LU / UNIVERSAL</t>
  </si>
  <si>
    <t>210059-1</t>
  </si>
  <si>
    <t>RODAJE 6000DDW / UNIVERSAL</t>
  </si>
  <si>
    <t>210060-6</t>
  </si>
  <si>
    <t>RODAJE 609LLU / HR1830</t>
  </si>
  <si>
    <t>210062-2</t>
  </si>
  <si>
    <t>RODAJE 607ZZ / UNIVERSAL</t>
  </si>
  <si>
    <t>210063-0</t>
  </si>
  <si>
    <t>RODAJE 629ZZ / UNIVERSAL</t>
  </si>
  <si>
    <t>210067-2</t>
  </si>
  <si>
    <t>RODAJE 6000ZZ / UNIVERSAL</t>
  </si>
  <si>
    <t>210069-8</t>
  </si>
  <si>
    <t>RODAJE 6900DDW / UNIVERSAL</t>
  </si>
  <si>
    <t>210070-3</t>
  </si>
  <si>
    <t>RODAJE 6200ZZ / UNIVERSAL</t>
  </si>
  <si>
    <t>210071-1</t>
  </si>
  <si>
    <t>RODAMIENTO 629LLB / UNIVERSAL</t>
  </si>
  <si>
    <t>210075-3</t>
  </si>
  <si>
    <t>RODAMIENTO 6200DDW / UNIVERSAL</t>
  </si>
  <si>
    <t>210076-1</t>
  </si>
  <si>
    <t>RODAJE 6800LLB / UNIVERSAL</t>
  </si>
  <si>
    <t>210081-8</t>
  </si>
  <si>
    <t>210084-2</t>
  </si>
  <si>
    <t>210102-6</t>
  </si>
  <si>
    <t>RODAJE 6001DDW / UNIVERSAL</t>
  </si>
  <si>
    <t>210104-2</t>
  </si>
  <si>
    <t>RODAMIENTO 6301DDW / UNIVERSAL</t>
  </si>
  <si>
    <t>210105-0</t>
  </si>
  <si>
    <t>RODAJE 6001LLU / UNIVERSAL</t>
  </si>
  <si>
    <t>210106-8</t>
  </si>
  <si>
    <t>RODAJE 6001LLB / UNIVERSAL</t>
  </si>
  <si>
    <t>210107-6</t>
  </si>
  <si>
    <t>RODAJE 6001ZZ / UNIVERSAL</t>
  </si>
  <si>
    <t>210116-5</t>
  </si>
  <si>
    <t>RODAJE 6201LLU / UNIVERSAL</t>
  </si>
  <si>
    <t>210118-1</t>
  </si>
  <si>
    <t>RODAJE 6201DDW / M8600</t>
  </si>
  <si>
    <t>210124-6</t>
  </si>
  <si>
    <t>RODAJE 688ZZ / UNIVERSAL</t>
  </si>
  <si>
    <t>210126-2</t>
  </si>
  <si>
    <t>RODAJE 6003 / UNIVERSAL</t>
  </si>
  <si>
    <t>210137-7</t>
  </si>
  <si>
    <t>210138-5</t>
  </si>
  <si>
    <t>RODAMIENTO 6003LLU / UNIVERSAL</t>
  </si>
  <si>
    <t>210141-6</t>
  </si>
  <si>
    <t>RODAMIENTO 6000DDW / UNIVERSAL</t>
  </si>
  <si>
    <t>210143-2</t>
  </si>
  <si>
    <t>RODAJE 626ZZ / UNIVERSAL</t>
  </si>
  <si>
    <t>210144-0</t>
  </si>
  <si>
    <t>RODAJE 505 /M9800 - TM30D</t>
  </si>
  <si>
    <t>210146-6</t>
  </si>
  <si>
    <t>RODAJE 6811LLB / UNIVERSAL</t>
  </si>
  <si>
    <t>210147-4</t>
  </si>
  <si>
    <t>RODAJE 6902 / UNIVERSAL</t>
  </si>
  <si>
    <t>210150-5</t>
  </si>
  <si>
    <t>RODAMIENTO 6803DDW / UNIVERSAL</t>
  </si>
  <si>
    <t>210157-1</t>
  </si>
  <si>
    <t>210159-7</t>
  </si>
  <si>
    <t>210160-2</t>
  </si>
  <si>
    <t>210163-6</t>
  </si>
  <si>
    <t>210167-8</t>
  </si>
  <si>
    <t>RODAJE 6900LLB / UNIVERSAL</t>
  </si>
  <si>
    <t>210168-6</t>
  </si>
  <si>
    <t>RODAJE 6805DDW / VARIOS</t>
  </si>
  <si>
    <t>210169-4</t>
  </si>
  <si>
    <t>210171-7</t>
  </si>
  <si>
    <t>RODAJE 6800ZZ / UNIVERSAL</t>
  </si>
  <si>
    <t>210176-7</t>
  </si>
  <si>
    <t>RODAMIENTO DE BALINES 2454 / DHW080</t>
  </si>
  <si>
    <t>210180-6</t>
  </si>
  <si>
    <t>210183-0</t>
  </si>
  <si>
    <t>RODAJE 6004 / UNIVERSAL</t>
  </si>
  <si>
    <t>210187-2</t>
  </si>
  <si>
    <t>210199-5</t>
  </si>
  <si>
    <t>RODAJE 6000ZZ/UNIVERSAL</t>
  </si>
  <si>
    <t>210200-6</t>
  </si>
  <si>
    <t>RODAJE 608DDW /UNIVERSAL</t>
  </si>
  <si>
    <t>210204-8</t>
  </si>
  <si>
    <t>RODAJE / UNIVERSAL</t>
  </si>
  <si>
    <t>210206-4</t>
  </si>
  <si>
    <t>RODAMIENTO 606ZZ/ VARIOS</t>
  </si>
  <si>
    <t>210208-0</t>
  </si>
  <si>
    <t>RODAJE 6905DDW / UNIVERSAL</t>
  </si>
  <si>
    <t>210211-1</t>
  </si>
  <si>
    <t>210215-3</t>
  </si>
  <si>
    <t>RODAJE 695DDW / UNIVERSAL</t>
  </si>
  <si>
    <t>210216-1</t>
  </si>
  <si>
    <t>210223-4</t>
  </si>
  <si>
    <t>210232-3</t>
  </si>
  <si>
    <t>210233-1</t>
  </si>
  <si>
    <t>RODAMIENTO 2818LLU / UNIVERSAL</t>
  </si>
  <si>
    <t>210234-9</t>
  </si>
  <si>
    <t>RODAMIENTO 2216LLB / UNIVERSAL</t>
  </si>
  <si>
    <t>210235-7</t>
  </si>
  <si>
    <t>RODAJE 625ZZ / UNIVERSAL</t>
  </si>
  <si>
    <t>210236-5</t>
  </si>
  <si>
    <t>210239-9</t>
  </si>
  <si>
    <t>RODAJE 6203DDW/UNIVERSAL</t>
  </si>
  <si>
    <t>210243-8</t>
  </si>
  <si>
    <t>RODAJE 6901ZZ / UNIVERSAL</t>
  </si>
  <si>
    <t>210244-6</t>
  </si>
  <si>
    <t>210249-6</t>
  </si>
  <si>
    <t>RODAJE 688LLU / UNIVERSAL</t>
  </si>
  <si>
    <t>210253-5</t>
  </si>
  <si>
    <t>RODAJE 6302DDW / UNIVERSAL</t>
  </si>
  <si>
    <t>210254-3</t>
  </si>
  <si>
    <t>RODAJE 6206LLB / UNIVERSAL</t>
  </si>
  <si>
    <t>210255-1</t>
  </si>
  <si>
    <t>RODAJE 6006LLB / UNIVERSAL</t>
  </si>
  <si>
    <t>210256-9</t>
  </si>
  <si>
    <t>RODAJE 6904LLB / UNIVERSAL</t>
  </si>
  <si>
    <t>210261-6</t>
  </si>
  <si>
    <t>RODAJE 688LLB / UNIVERSAL</t>
  </si>
  <si>
    <t>210267-4</t>
  </si>
  <si>
    <t>RODAJE 6200DDW / UNIVERSAL</t>
  </si>
  <si>
    <t>210301-0</t>
  </si>
  <si>
    <t>RODAJE 6003DDW / UNIVERSAL</t>
  </si>
  <si>
    <t>210302-8</t>
  </si>
  <si>
    <t>RODAJE 6903ZZ / UNIVERSAL</t>
  </si>
  <si>
    <t>211012-0</t>
  </si>
  <si>
    <t>211014-6</t>
  </si>
  <si>
    <t>RODAJE 606 / UNIVERSAL</t>
  </si>
  <si>
    <t>211016-2</t>
  </si>
  <si>
    <t>RODAJE 626LLB / UNIVERSAL</t>
  </si>
  <si>
    <t>211021-9</t>
  </si>
  <si>
    <t>211022-7</t>
  </si>
  <si>
    <t>RODAJE 607ZZ/UNIVERSAL</t>
  </si>
  <si>
    <t>211027-7</t>
  </si>
  <si>
    <t>RODAJE 627ZZ/UNIVERSAL</t>
  </si>
  <si>
    <t>211028-5</t>
  </si>
  <si>
    <t>RODAJE 627LB / UNIVERSAL</t>
  </si>
  <si>
    <t>211031-6</t>
  </si>
  <si>
    <t>RODAJE 608LLB / UNIVERSAL</t>
  </si>
  <si>
    <t>211032-4</t>
  </si>
  <si>
    <t>211033-2</t>
  </si>
  <si>
    <t>RODAJE 608LB / UNIVERSAL</t>
  </si>
  <si>
    <t>211051-0</t>
  </si>
  <si>
    <t>RODAJE 609LLB / UNIVERSAL</t>
  </si>
  <si>
    <t>211061-7</t>
  </si>
  <si>
    <t>RODAJE 6000LLB / UNIVERSAL</t>
  </si>
  <si>
    <t>211062-5</t>
  </si>
  <si>
    <t>211064-1</t>
  </si>
  <si>
    <t>RODAJE 6000 / UNIVERSAL</t>
  </si>
  <si>
    <t>211066-7</t>
  </si>
  <si>
    <t>211067-5</t>
  </si>
  <si>
    <t>RODAMIENTO DE BOLAS / UNIVERSAL</t>
  </si>
  <si>
    <t>211068-3</t>
  </si>
  <si>
    <t>RODAMIENTO 6200LB / UNIVERSAL</t>
  </si>
  <si>
    <t>211087-9</t>
  </si>
  <si>
    <t>211088-7</t>
  </si>
  <si>
    <t>211092-6</t>
  </si>
  <si>
    <t>RODAJE 629DDW / UNIVERSAL</t>
  </si>
  <si>
    <t>211097-6</t>
  </si>
  <si>
    <t>211101-1</t>
  </si>
  <si>
    <t>RODAMIENTO 6001LLB / UNIVERSAL</t>
  </si>
  <si>
    <t>211106-1</t>
  </si>
  <si>
    <t>RODAJE 6201LLB / UNIVERSAL</t>
  </si>
  <si>
    <t>211107-9</t>
  </si>
  <si>
    <t>RODAJE 6201ZZ / UNIVERSAL</t>
  </si>
  <si>
    <t>211109-5</t>
  </si>
  <si>
    <t>RODAMIENTO 6201 / UNIVERSAL</t>
  </si>
  <si>
    <t>211111-8</t>
  </si>
  <si>
    <t>RODAJE 6301LLB / UC4551A</t>
  </si>
  <si>
    <t>211129-9</t>
  </si>
  <si>
    <t>RODAJE 6201DDW / UNIVERSAL</t>
  </si>
  <si>
    <t>211131-2</t>
  </si>
  <si>
    <t>211132-0</t>
  </si>
  <si>
    <t>RODAJE 6301DDW / UNIVERSAL</t>
  </si>
  <si>
    <t>211137-0</t>
  </si>
  <si>
    <t>211138-8</t>
  </si>
  <si>
    <t>211141-9</t>
  </si>
  <si>
    <t>RODAJE 6901LLB / UNIVERSAL</t>
  </si>
  <si>
    <t>211142-7</t>
  </si>
  <si>
    <t>211145-1</t>
  </si>
  <si>
    <t>211148-5</t>
  </si>
  <si>
    <t>RODAMIENTO 6001ZZ / UNIVERSAL</t>
  </si>
  <si>
    <t>211150-8</t>
  </si>
  <si>
    <t>211151-6</t>
  </si>
  <si>
    <t>RODAJE 6306LLB / UNIVERSAL</t>
  </si>
  <si>
    <t>211152-4</t>
  </si>
  <si>
    <t>RODAMIENTO 6303 LLU / UNIVERSAL</t>
  </si>
  <si>
    <t>211157-4</t>
  </si>
  <si>
    <t>RODAJE 695ZZ / UNIVERSAL</t>
  </si>
  <si>
    <t>211166-3</t>
  </si>
  <si>
    <t>RODAJE 698DDW / UNIVERSAL</t>
  </si>
  <si>
    <t>211201-7</t>
  </si>
  <si>
    <t>RODAJE 6002LLB / UNIVERSAL</t>
  </si>
  <si>
    <t>211206-7</t>
  </si>
  <si>
    <t>RODAMIENTO 6202 / VARIOS</t>
  </si>
  <si>
    <t>211209-1</t>
  </si>
  <si>
    <t>RODAJE 6202 / UNIVERSAL</t>
  </si>
  <si>
    <t>211214-8</t>
  </si>
  <si>
    <t>RODAJE 6302 / UNIVERSAL</t>
  </si>
  <si>
    <t>211221-1</t>
  </si>
  <si>
    <t>RODAMIENTO 6902 / UNIVERSAL</t>
  </si>
  <si>
    <t>211223-7</t>
  </si>
  <si>
    <t>RODAJE 6002DDW / UNIVERSAL</t>
  </si>
  <si>
    <t>211228-7</t>
  </si>
  <si>
    <t>RODAJE 6202DDW / UNIVERSAL</t>
  </si>
  <si>
    <t>211232-6</t>
  </si>
  <si>
    <t>RODAMIENTO 6002LLU / UNIVERSAL</t>
  </si>
  <si>
    <t>211234-2</t>
  </si>
  <si>
    <t>RODAJE 6902LLB / UNIVERSAL</t>
  </si>
  <si>
    <t>211236-8</t>
  </si>
  <si>
    <t>211238-4</t>
  </si>
  <si>
    <t>RODAJE 6202LLU / UNIVERSAL</t>
  </si>
  <si>
    <t>211240-7</t>
  </si>
  <si>
    <t>RODAJE 6202ZZ / UNIVERSAL</t>
  </si>
  <si>
    <t>211241-5</t>
  </si>
  <si>
    <t>211243-1</t>
  </si>
  <si>
    <t>RODAMIENTO 6002ZZ / UNIVERSAL</t>
  </si>
  <si>
    <t>211244-9</t>
  </si>
  <si>
    <t>RODAMIENTO 6902LLU / UNIVERSAL</t>
  </si>
  <si>
    <t>211247-3</t>
  </si>
  <si>
    <t>211249-9</t>
  </si>
  <si>
    <t>RODAJE 6302LLU / UNIVERSAL</t>
  </si>
  <si>
    <t>211251-2</t>
  </si>
  <si>
    <t>RODAMIENTO 6003LLB / UNIVERSAL</t>
  </si>
  <si>
    <t>211275-8</t>
  </si>
  <si>
    <t>RODAMIENTO 6003DDW / UNIVERSAL</t>
  </si>
  <si>
    <t>211278-2</t>
  </si>
  <si>
    <t>RODAJE 6203DDW / UNIVERSAL</t>
  </si>
  <si>
    <t>211279-0</t>
  </si>
  <si>
    <t>RODAJE 6303LLU / UNIVERSAL</t>
  </si>
  <si>
    <t>211281-3</t>
  </si>
  <si>
    <t>RODAMIENTO 6203LLU / UNIVERSAL</t>
  </si>
  <si>
    <t>211282-1</t>
  </si>
  <si>
    <t>RODAJE 6203ZZ / UNIVERSAL</t>
  </si>
  <si>
    <t>211285-5</t>
  </si>
  <si>
    <t>211288-9</t>
  </si>
  <si>
    <t>RODAMIENTO 6901 DDW / VARIOS</t>
  </si>
  <si>
    <t>211290-2</t>
  </si>
  <si>
    <t>RODAJE 6203ZZ / HM1214C</t>
  </si>
  <si>
    <t>211294-4</t>
  </si>
  <si>
    <t>RODAJE 6806LLU / UNIVERSAL</t>
  </si>
  <si>
    <t>211295-2</t>
  </si>
  <si>
    <t>211306-3</t>
  </si>
  <si>
    <t>RODAJE 6204LLB / UNIVERSAL</t>
  </si>
  <si>
    <t>211323-3</t>
  </si>
  <si>
    <t>RODAMIENTO 6904LLV / UNIVERSAL</t>
  </si>
  <si>
    <t>211326-7</t>
  </si>
  <si>
    <t>RODAJE 2012DDW / UNIVERSAL</t>
  </si>
  <si>
    <t>211327-5</t>
  </si>
  <si>
    <t>RODAJE 6304LLU / UNIVERSAL</t>
  </si>
  <si>
    <t>211332-2</t>
  </si>
  <si>
    <t>RODAMIENTO 6004LLU / UNIVERSAL</t>
  </si>
  <si>
    <t>211333-0</t>
  </si>
  <si>
    <t>RODAJE 6804LLU / UNIVERSAL</t>
  </si>
  <si>
    <t>211335-6</t>
  </si>
  <si>
    <t>RODAMIENTO 6004ZZ / UNIVERSAL</t>
  </si>
  <si>
    <t>211338-0</t>
  </si>
  <si>
    <t>RODAJE 6003LLU / UNIVERSAL</t>
  </si>
  <si>
    <t>211341-1</t>
  </si>
  <si>
    <t>RODAJE 6201 / UNIVERSAL</t>
  </si>
  <si>
    <t>211343-7</t>
  </si>
  <si>
    <t>RODAMIENTO 688ZZ / UNIVERSAL</t>
  </si>
  <si>
    <t>211345-3</t>
  </si>
  <si>
    <t>211373-8</t>
  </si>
  <si>
    <t>RODAJE 6205LLU / UNIVERSAL</t>
  </si>
  <si>
    <t>211375-4</t>
  </si>
  <si>
    <t>RODAMIENTO 6805LLB / UNIVERSAL</t>
  </si>
  <si>
    <t>211377-0</t>
  </si>
  <si>
    <t>RODAMIENTO 6905LLB / UNIVERSAL</t>
  </si>
  <si>
    <t>211380-1</t>
  </si>
  <si>
    <t>211381-9</t>
  </si>
  <si>
    <t>211382-7</t>
  </si>
  <si>
    <t>211387-7</t>
  </si>
  <si>
    <t>RODAJE 6004LLU / UNIVERSAL</t>
  </si>
  <si>
    <t>211395-8</t>
  </si>
  <si>
    <t>RODAJE 608LLU / VARIOS</t>
  </si>
  <si>
    <t>211418-2</t>
  </si>
  <si>
    <t>RODAJE 6006LLU / UNIVERSAL</t>
  </si>
  <si>
    <t>211423-9</t>
  </si>
  <si>
    <t>RODAJE 6806DDW / UNIVERSAL</t>
  </si>
  <si>
    <t>211424-7</t>
  </si>
  <si>
    <t>RODAJE 6206LLU / UNIVERSAL</t>
  </si>
  <si>
    <t>211441-7</t>
  </si>
  <si>
    <t>RODAJE 3009 / UNIVERSAL</t>
  </si>
  <si>
    <t>211445-9</t>
  </si>
  <si>
    <t>RODAJE 6906DDW / UNIVERSAL</t>
  </si>
  <si>
    <t>211469-5</t>
  </si>
  <si>
    <t>RODAMIENTO 6907 / UNIVERSAL</t>
  </si>
  <si>
    <t>211470-0</t>
  </si>
  <si>
    <t>211478-4</t>
  </si>
  <si>
    <t>RODAJE 689 / UNIVERSAL</t>
  </si>
  <si>
    <t>211484-9</t>
  </si>
  <si>
    <t>211485-7</t>
  </si>
  <si>
    <t>RODAJE 6800LLU / UNIVERSAL</t>
  </si>
  <si>
    <t>211487-3</t>
  </si>
  <si>
    <t>211489-9</t>
  </si>
  <si>
    <t>RODAJE 6002LLUX / UNIVERSAL</t>
  </si>
  <si>
    <t>211490-4</t>
  </si>
  <si>
    <t>RODAJE 6203LLU / UNIVERSAL</t>
  </si>
  <si>
    <t>211491-2</t>
  </si>
  <si>
    <t>RODAMIENTO 609DDW / UNIVERSAL</t>
  </si>
  <si>
    <t>211492-0</t>
  </si>
  <si>
    <t>211493-8</t>
  </si>
  <si>
    <t>RODAJE 609DDW / UNIVERSAL</t>
  </si>
  <si>
    <t>211499-6</t>
  </si>
  <si>
    <t>211500-7</t>
  </si>
  <si>
    <t>RODAJE 6307LLU / UNIVERSAL</t>
  </si>
  <si>
    <t>211751-2</t>
  </si>
  <si>
    <t>212001-8</t>
  </si>
  <si>
    <t>RODAJE DE AGUJA / JR3050T</t>
  </si>
  <si>
    <t>212003-4</t>
  </si>
  <si>
    <t>212004-2</t>
  </si>
  <si>
    <t>RODAJE DE AGUJA 810 / VARIOS</t>
  </si>
  <si>
    <t>212009-2</t>
  </si>
  <si>
    <t>RODAJE DE AGUJA 509 / 9911</t>
  </si>
  <si>
    <t>212011-5</t>
  </si>
  <si>
    <t>RODAJE DE AGUJA 609 / 6906</t>
  </si>
  <si>
    <t>212014-9</t>
  </si>
  <si>
    <t>RODAJE DE AGUJA 407 / 4350FCT - DJV182</t>
  </si>
  <si>
    <t>212063-6</t>
  </si>
  <si>
    <t>RODAMIENTO DE AGUJA 1012 / JS1602 - SJ1600</t>
  </si>
  <si>
    <t>212075-9</t>
  </si>
  <si>
    <t>RODAJE DE AGUJA 1010 / UNIVERSAL</t>
  </si>
  <si>
    <t>212080-6</t>
  </si>
  <si>
    <t>RODAJE DE AGUJA HK1012 / UNIVERSAL</t>
  </si>
  <si>
    <t>212085-6</t>
  </si>
  <si>
    <t>212086-4</t>
  </si>
  <si>
    <t>RODAJE DE AGUJA 810 / EA3203S</t>
  </si>
  <si>
    <t>212093-7</t>
  </si>
  <si>
    <t>212095-3</t>
  </si>
  <si>
    <t>RODAMIENTO DE AGUJAS 1010 / UNIVERSAL</t>
  </si>
  <si>
    <t>212099-5</t>
  </si>
  <si>
    <t>212101-4</t>
  </si>
  <si>
    <t>RODAMIENTO AGUJAS 1210 / UNIVERSAL</t>
  </si>
  <si>
    <t>212102-2</t>
  </si>
  <si>
    <t>RODAMIENTO DE AGUJAS 1210 / UNIVERSAL</t>
  </si>
  <si>
    <t>212108-0</t>
  </si>
  <si>
    <t>RODAJE DE AGUJA 1212 / HM0810T</t>
  </si>
  <si>
    <t>212113-7</t>
  </si>
  <si>
    <t>RODAJE DE AGUJA / UNIVERSAL</t>
  </si>
  <si>
    <t>212115-3</t>
  </si>
  <si>
    <t>RODAMIENTO DE AGUJA 1216 / JR3050T</t>
  </si>
  <si>
    <t>212131-5</t>
  </si>
  <si>
    <t>RODAJE DE AGUJA 307 / DSL800</t>
  </si>
  <si>
    <t>212133-1</t>
  </si>
  <si>
    <t>RODAMIENTO AGUJAS 12X16X13 / UNIVERSAL</t>
  </si>
  <si>
    <t>212151-9</t>
  </si>
  <si>
    <t>RODAJE DE AGUJA 1412 / 6906</t>
  </si>
  <si>
    <t>212159-3</t>
  </si>
  <si>
    <t>RODAJE DE AGUJA 1412 / VARIOS</t>
  </si>
  <si>
    <t>212193-3</t>
  </si>
  <si>
    <t>RODAJE DE AGUJA / DDA460</t>
  </si>
  <si>
    <t>212199-1</t>
  </si>
  <si>
    <t>RODAJE DE AGUJA 510 / UNIVERSAL</t>
  </si>
  <si>
    <t>212208-6</t>
  </si>
  <si>
    <t>RODAJE DE AGUJA 1516 / HM1201</t>
  </si>
  <si>
    <t>212225-6</t>
  </si>
  <si>
    <t>RODAJE DE AGUJA 1613 / HM1214C</t>
  </si>
  <si>
    <t>212229-8</t>
  </si>
  <si>
    <t>RODAMIENTO AGUJAS 315 / UNIVERSAL</t>
  </si>
  <si>
    <t>212230-3</t>
  </si>
  <si>
    <t>RODAMIENTO AGUJAS 1715 / UNIVERSAL</t>
  </si>
  <si>
    <t>212261-2</t>
  </si>
  <si>
    <t>212264-6</t>
  </si>
  <si>
    <t>RODAMIENTO DE AGUJA 1813 / HM1317CB</t>
  </si>
  <si>
    <t>212358-7</t>
  </si>
  <si>
    <t>RODAJE DE AGUJA 2520 / UNIVERSAL</t>
  </si>
  <si>
    <t>212701-0</t>
  </si>
  <si>
    <t>RODAJE DE AGUJA 7025 / UNIVERSAL</t>
  </si>
  <si>
    <t>212957-5</t>
  </si>
  <si>
    <t>RODAJE DE AGUJA 710 / JR3070CT</t>
  </si>
  <si>
    <t>212959-1</t>
  </si>
  <si>
    <t>RODAMIENTO AGUJAS 708 /VARIOS</t>
  </si>
  <si>
    <t>212960-6</t>
  </si>
  <si>
    <t>RODAJE DE AGUJAS / UNIVERSAL</t>
  </si>
  <si>
    <t>212965-6</t>
  </si>
  <si>
    <t>RODAJE DE AGUJA 407 / JV0600</t>
  </si>
  <si>
    <t>213001-1</t>
  </si>
  <si>
    <t>SELLO CONTRA POLVO 7 / 6016</t>
  </si>
  <si>
    <t>213005-3</t>
  </si>
  <si>
    <t>ANILLO DE GOMA 5 / VARIOS</t>
  </si>
  <si>
    <t>213008-7</t>
  </si>
  <si>
    <t>ANILLO DE GOMA 22.4 / VARIOS</t>
  </si>
  <si>
    <t>213017-6</t>
  </si>
  <si>
    <t>ANILLO DE GOMA 6 / VARIOS</t>
  </si>
  <si>
    <t>213021-5</t>
  </si>
  <si>
    <t>213022-3</t>
  </si>
  <si>
    <t>ANILLO DE GOMA 13 / VARIOS</t>
  </si>
  <si>
    <t>213023-1</t>
  </si>
  <si>
    <t>ANILLO DE GOMA 4 / VARIOS</t>
  </si>
  <si>
    <t>213026-5</t>
  </si>
  <si>
    <t>ANILLO DE GOMA 7 / VARIOS</t>
  </si>
  <si>
    <t>213030-4</t>
  </si>
  <si>
    <t>ANILLO DE GOMA 8 / RP2301FC - HR3210C</t>
  </si>
  <si>
    <t>213032-0</t>
  </si>
  <si>
    <t>213034-6</t>
  </si>
  <si>
    <t>ANILLO DE GOMA 3 / DA3010F</t>
  </si>
  <si>
    <t>213038-8</t>
  </si>
  <si>
    <t>213039-6</t>
  </si>
  <si>
    <t>ANILLO DE GOMA 6 / UC4020C</t>
  </si>
  <si>
    <t>213045-1</t>
  </si>
  <si>
    <t>213047-7</t>
  </si>
  <si>
    <t>ANILLO GOMA 4 / VARIOS</t>
  </si>
  <si>
    <t>213048-5</t>
  </si>
  <si>
    <t>ANILLO DE GOMA 56 / VARIOS</t>
  </si>
  <si>
    <t>213051-6</t>
  </si>
  <si>
    <t>SELLO CONTRA POLVO 10 / 1805N - HM1201</t>
  </si>
  <si>
    <t>213058-2</t>
  </si>
  <si>
    <t>ANILLO GOMA 10 / VARIOS</t>
  </si>
  <si>
    <t>213060-5</t>
  </si>
  <si>
    <t>ANILLO DE GOMA / VARIOS</t>
  </si>
  <si>
    <t>213062-1</t>
  </si>
  <si>
    <t>ANILLO DE GOMA 9 / VARIOS</t>
  </si>
  <si>
    <t>213070-2</t>
  </si>
  <si>
    <t>ANILLO DE GOMA 10 / DTM52</t>
  </si>
  <si>
    <t>213071-0</t>
  </si>
  <si>
    <t>RETEN DE ACEITE 10 / HR3000C -HR3550C</t>
  </si>
  <si>
    <t>213073-6</t>
  </si>
  <si>
    <t>213077-8</t>
  </si>
  <si>
    <t>SELLO DE ACEITE 10 / VARIOS</t>
  </si>
  <si>
    <t>213078-6</t>
  </si>
  <si>
    <t>ANILLO DE GOMA 10 / DCU180</t>
  </si>
  <si>
    <t>213079-4</t>
  </si>
  <si>
    <t>ANILLO DE GOMA 35.5 / VARIOS</t>
  </si>
  <si>
    <t>213080-9</t>
  </si>
  <si>
    <t>ANILLO DE GOMA 29.5 / EA3203S</t>
  </si>
  <si>
    <t>213084-1</t>
  </si>
  <si>
    <t>SELLO DE ACEITE 12 / EA3203S</t>
  </si>
  <si>
    <t>213085-9</t>
  </si>
  <si>
    <t>ANILLO GOMA 20 / VARIOS</t>
  </si>
  <si>
    <t>213087-5</t>
  </si>
  <si>
    <t>ANILLO DE GOMA 16.5 / DHP487</t>
  </si>
  <si>
    <t>213088-3</t>
  </si>
  <si>
    <t>SELLO DE ACEITE 15 / EB5300TH</t>
  </si>
  <si>
    <t>213089-1</t>
  </si>
  <si>
    <t>RETEN DE ACEITE 12 / VARIOS</t>
  </si>
  <si>
    <t>213090-6</t>
  </si>
  <si>
    <t>SELLO DE ACEITE L / PM7650H</t>
  </si>
  <si>
    <t>213091-4</t>
  </si>
  <si>
    <t>SELLO DE ACEITE 17 / PM7650H</t>
  </si>
  <si>
    <t>213105-9</t>
  </si>
  <si>
    <t>ANILLO DE GOMA 11 / DUR193 - DUX60</t>
  </si>
  <si>
    <t>213117-2</t>
  </si>
  <si>
    <t>ANILLO DE GOMA 11 / VARIOS</t>
  </si>
  <si>
    <t>213118-0</t>
  </si>
  <si>
    <t>ANILLO DE GOMA 12 / VARIOS</t>
  </si>
  <si>
    <t>213122-9</t>
  </si>
  <si>
    <t>ANILLO DE GOMA 12 / HP2070F - HP2050</t>
  </si>
  <si>
    <t>213128-7</t>
  </si>
  <si>
    <t>213133-4</t>
  </si>
  <si>
    <t>SELLO DE ACEITE 12 / VARIOS</t>
  </si>
  <si>
    <t>213147-3</t>
  </si>
  <si>
    <t>213148-1</t>
  </si>
  <si>
    <t>RETEN DE ACEITE 10 / VARIOS</t>
  </si>
  <si>
    <t>213149-9</t>
  </si>
  <si>
    <t>ANILLO DE GOMA 35 / VARIOS</t>
  </si>
  <si>
    <t>213150-4</t>
  </si>
  <si>
    <t>ANILLO DE GOMA 36 / HM1317CB - HM1307CB</t>
  </si>
  <si>
    <t>213150-4N</t>
  </si>
  <si>
    <t>ANILLO DE GOMA 36 / VARIOS</t>
  </si>
  <si>
    <t>213151-2</t>
  </si>
  <si>
    <t>SELLO DE ACEITE 14 / VARIOS</t>
  </si>
  <si>
    <t>213154-6</t>
  </si>
  <si>
    <t>ANILLO DE GOMA 14 / VARIOS</t>
  </si>
  <si>
    <t>213160-1</t>
  </si>
  <si>
    <t>RETEN DE ACEITE 14 / VARIOS</t>
  </si>
  <si>
    <t>213162-7</t>
  </si>
  <si>
    <t>213166-9</t>
  </si>
  <si>
    <t>O RING 12.5</t>
  </si>
  <si>
    <t>213172-4</t>
  </si>
  <si>
    <t>O-ANILLO 15  P/ HR2011</t>
  </si>
  <si>
    <t>213174-0</t>
  </si>
  <si>
    <t>ANILLO 14 / VARIOS</t>
  </si>
  <si>
    <t>213176-6</t>
  </si>
  <si>
    <t>ANILLO DE GOMA14 / VARIOS</t>
  </si>
  <si>
    <t>213180-5</t>
  </si>
  <si>
    <t>ANILLO DE GOMA14 / LW1401 - M2401</t>
  </si>
  <si>
    <t>213182-1</t>
  </si>
  <si>
    <t>213183-9</t>
  </si>
  <si>
    <t>ANILLO 13 / VARIOS</t>
  </si>
  <si>
    <t>213192-8</t>
  </si>
  <si>
    <t>ANILLO 36 / HM1317CB - HM1307CB</t>
  </si>
  <si>
    <t>213192-8N</t>
  </si>
  <si>
    <t>ANILLO GOMA 36 / VARIOS</t>
  </si>
  <si>
    <t>213193-6</t>
  </si>
  <si>
    <t>213209-7</t>
  </si>
  <si>
    <t>SELLO DE ACEITE 16 / VARIOS</t>
  </si>
  <si>
    <t>213214-4</t>
  </si>
  <si>
    <t>ANILLO DE GOMA 16 / DTW190</t>
  </si>
  <si>
    <t>213218-6</t>
  </si>
  <si>
    <t>ANILLO DE GOMA 16 / VARIOS</t>
  </si>
  <si>
    <t>213223-3</t>
  </si>
  <si>
    <t>ANILLO DE GOMA 16 / HR3210C - DHW080</t>
  </si>
  <si>
    <t>213226-7</t>
  </si>
  <si>
    <t>ANILLO GOMA 16 / VARIOS</t>
  </si>
  <si>
    <t>213227-5</t>
  </si>
  <si>
    <t>213228-3</t>
  </si>
  <si>
    <t>ANILLO DE GOMA 15 / HR3210C</t>
  </si>
  <si>
    <t>213231-4</t>
  </si>
  <si>
    <t>SELLO DE ACEITE 15 / VARIOS</t>
  </si>
  <si>
    <t>213232-2</t>
  </si>
  <si>
    <t>ANILLO GOMA 15 / VARIOS</t>
  </si>
  <si>
    <t>213257-6</t>
  </si>
  <si>
    <t>SELLO DE ACEITE 18 / 6905H - TW0350</t>
  </si>
  <si>
    <t>213258-4</t>
  </si>
  <si>
    <t>ANILLO DE GOMA 17.5 / VARIOS</t>
  </si>
  <si>
    <t>213260-7</t>
  </si>
  <si>
    <t>SELLO DE ACEITE 17 / HM0810T</t>
  </si>
  <si>
    <t>213261-5</t>
  </si>
  <si>
    <t>ANILLO DE GOMA 17 / VARIOS</t>
  </si>
  <si>
    <t>213262-3</t>
  </si>
  <si>
    <t>ANILLO DE GOMA 18 / VARIOS</t>
  </si>
  <si>
    <t>213273-8</t>
  </si>
  <si>
    <t>RETEN DE ACEITE 17 / VARIOS</t>
  </si>
  <si>
    <t>213274-6</t>
  </si>
  <si>
    <t>ANILLO DE GOMA 18 / HR5211C</t>
  </si>
  <si>
    <t>213275-4</t>
  </si>
  <si>
    <t>213278-8</t>
  </si>
  <si>
    <t>213279-6</t>
  </si>
  <si>
    <t>213281-9</t>
  </si>
  <si>
    <t>ANILLO X 18 / HR4010C - HM1111C</t>
  </si>
  <si>
    <t>213283-5</t>
  </si>
  <si>
    <t>ANILLO DE GOMA 18 / HR3210C</t>
  </si>
  <si>
    <t>213286-9</t>
  </si>
  <si>
    <t>ANILLO GOMA 48 / VARIOS</t>
  </si>
  <si>
    <t>213296-6</t>
  </si>
  <si>
    <t>ANILLO  DE FUERZA 34 / HR5211C</t>
  </si>
  <si>
    <t>213304-3</t>
  </si>
  <si>
    <t>ANILLO DE GOMA 20 / VARIOS</t>
  </si>
  <si>
    <t>213308-5</t>
  </si>
  <si>
    <t>ANILLO GOMA 19 / VARIOS</t>
  </si>
  <si>
    <t>213310-8</t>
  </si>
  <si>
    <t>ANILLO DE GOMA 20 / FS2700</t>
  </si>
  <si>
    <t>213313-2</t>
  </si>
  <si>
    <t>SELLO DE ACEITE 20 / VARIOS</t>
  </si>
  <si>
    <t>213314-0</t>
  </si>
  <si>
    <t>SELLO DE ACEITE 19 / HP2070F - HP2050</t>
  </si>
  <si>
    <t>213317-4</t>
  </si>
  <si>
    <t>213321-3</t>
  </si>
  <si>
    <t>213325-5</t>
  </si>
  <si>
    <t>ANILLO DE GOMA 19 / VARIOS</t>
  </si>
  <si>
    <t>213343-3</t>
  </si>
  <si>
    <t>ANILLO DE GOMA 35 / FS2700 - DTM51</t>
  </si>
  <si>
    <t>213344-1</t>
  </si>
  <si>
    <t>SELLO DE ACEITE 9 / VARIOS</t>
  </si>
  <si>
    <t>213345-9</t>
  </si>
  <si>
    <t>213360-3</t>
  </si>
  <si>
    <t>SELLO DE ACEITE 25 / 6906</t>
  </si>
  <si>
    <t>213364-5</t>
  </si>
  <si>
    <t>ANILLO GOMA 24 / DBN500</t>
  </si>
  <si>
    <t>213370-0</t>
  </si>
  <si>
    <t>ANILLO GOMA 22 / VARIOS</t>
  </si>
  <si>
    <t>213373-4</t>
  </si>
  <si>
    <t>ANILLO DE GOMA 22 / VARIOS</t>
  </si>
  <si>
    <t>213379-2</t>
  </si>
  <si>
    <t>ANILLO DE GOMA 21 / VARIOS</t>
  </si>
  <si>
    <t>213380-7</t>
  </si>
  <si>
    <t>ANILLO DE GOMA 24 / M8600 - DVR150</t>
  </si>
  <si>
    <t>213381-5</t>
  </si>
  <si>
    <t>213388-1</t>
  </si>
  <si>
    <t>ANILLO GOMA 24 / VARIOS</t>
  </si>
  <si>
    <t>213392-0</t>
  </si>
  <si>
    <t>213394-6</t>
  </si>
  <si>
    <t>ANILLO DE GOMA 23 / VARIOS</t>
  </si>
  <si>
    <t>213406-5</t>
  </si>
  <si>
    <t>ANILLO DE GOMA 30 / VARIOS</t>
  </si>
  <si>
    <t>213407-3</t>
  </si>
  <si>
    <t>213411-2</t>
  </si>
  <si>
    <t>ANILLO DE GOMA 27 / M8600 - HM0810T</t>
  </si>
  <si>
    <t>213412-0</t>
  </si>
  <si>
    <t>ANILLO DE GOMA 29 / HW1300 - HW1200</t>
  </si>
  <si>
    <t>213415-4</t>
  </si>
  <si>
    <t>ANILLO DE GOMA 28 / VARIOS</t>
  </si>
  <si>
    <t>213428-5</t>
  </si>
  <si>
    <t>213431-6</t>
  </si>
  <si>
    <t>ANILLO DE FLURETANO / VARIOS</t>
  </si>
  <si>
    <t>213432-4</t>
  </si>
  <si>
    <t>ANILLO DE GOMA 26 / VARIOS</t>
  </si>
  <si>
    <t>213434-0</t>
  </si>
  <si>
    <t>213435-8</t>
  </si>
  <si>
    <t>213437-4</t>
  </si>
  <si>
    <t>ANILLO DE GOMA 28 / DHR263 - PM7650H</t>
  </si>
  <si>
    <t>213443-9</t>
  </si>
  <si>
    <t>ANILLO GOMA 30 / HM1304 - HM1304B</t>
  </si>
  <si>
    <t>213444-7</t>
  </si>
  <si>
    <t>213445-5</t>
  </si>
  <si>
    <t>213458-6</t>
  </si>
  <si>
    <t>ANILLO DE GOMA 34 / HM1111C</t>
  </si>
  <si>
    <t>213459-4</t>
  </si>
  <si>
    <t>ANILLO DE GOMA 32 / VARIOS</t>
  </si>
  <si>
    <t>213460-9</t>
  </si>
  <si>
    <t>213464-1</t>
  </si>
  <si>
    <t>ANILLO DE GOMA 34 / HM1201</t>
  </si>
  <si>
    <t>213469-1</t>
  </si>
  <si>
    <t>213472-2</t>
  </si>
  <si>
    <t>ANILLO 35 / HM1201</t>
  </si>
  <si>
    <t>213476-4</t>
  </si>
  <si>
    <t>SELLO DE ACEITE 35 / HM1810</t>
  </si>
  <si>
    <t>213477-2</t>
  </si>
  <si>
    <t>ANILLO GOMA 34 / HM1302</t>
  </si>
  <si>
    <t>213479-8</t>
  </si>
  <si>
    <t>ANILLO DE GOMA 33 / VARIOS</t>
  </si>
  <si>
    <t>213482-9</t>
  </si>
  <si>
    <t>ANILLO DE FUERZA 34 / HR5211C</t>
  </si>
  <si>
    <t>213485-3</t>
  </si>
  <si>
    <t>ANILLO GOMA 34 / VARIOS</t>
  </si>
  <si>
    <t>213486-1</t>
  </si>
  <si>
    <t>ANILLO GOMA 35 / VARIOS</t>
  </si>
  <si>
    <t>213487-9</t>
  </si>
  <si>
    <t>ANILLO DE GOMA 31 / VARIOS</t>
  </si>
  <si>
    <t>213492-6</t>
  </si>
  <si>
    <t>213497-6</t>
  </si>
  <si>
    <t>ANILLO DE GOMA 31.5 / DTM52</t>
  </si>
  <si>
    <t>213499-2</t>
  </si>
  <si>
    <t>ANILLO DE GOMA 31.5 / VARIOS</t>
  </si>
  <si>
    <t>213507-9</t>
  </si>
  <si>
    <t>ANILLO DE GOMA 40 / VARIOS</t>
  </si>
  <si>
    <t>213508-7</t>
  </si>
  <si>
    <t>ANILLO DE GOMA 38 / VARIOS</t>
  </si>
  <si>
    <t>213510-0</t>
  </si>
  <si>
    <t>213512-6</t>
  </si>
  <si>
    <t>ANILLO DE GOMA 39 / VARIOS</t>
  </si>
  <si>
    <t>213515-0</t>
  </si>
  <si>
    <t>213517-6</t>
  </si>
  <si>
    <t>ANILLO 40 / HM1810</t>
  </si>
  <si>
    <t>213521-5</t>
  </si>
  <si>
    <t>213523-1</t>
  </si>
  <si>
    <t>213527-3</t>
  </si>
  <si>
    <t>213534-6</t>
  </si>
  <si>
    <t>ANILLO DE GOMA 36 / HR5211C</t>
  </si>
  <si>
    <t>213536-2</t>
  </si>
  <si>
    <t>ANILLO DE GOMA 27 / HM1111C</t>
  </si>
  <si>
    <t>213537-0</t>
  </si>
  <si>
    <t>SELLO DE ACEITE 12 / EM4351UH</t>
  </si>
  <si>
    <t>213538-8</t>
  </si>
  <si>
    <t>ANILLO DE GOMA 2 / PM7650H - EM2500U</t>
  </si>
  <si>
    <t>213540-1</t>
  </si>
  <si>
    <t>213547-7</t>
  </si>
  <si>
    <t>ANILLO GOMA 12 / VARIOS</t>
  </si>
  <si>
    <t>213554-0</t>
  </si>
  <si>
    <t>ANILLO DE GOMA 44 / HM0810T</t>
  </si>
  <si>
    <t>213561-3</t>
  </si>
  <si>
    <t>ANILLO DE GOMA 42 / VARIOS</t>
  </si>
  <si>
    <t>213565-5</t>
  </si>
  <si>
    <t>ANILLO DE GOMA / DRS780</t>
  </si>
  <si>
    <t>213569-7</t>
  </si>
  <si>
    <t>ANILLO DE GOMA 45 / VARIOS</t>
  </si>
  <si>
    <t>213572-8</t>
  </si>
  <si>
    <t>ANILLO GOMA 35 / HM1304 - HM1304B</t>
  </si>
  <si>
    <t>213576-0</t>
  </si>
  <si>
    <t>SELLO DE ACEITE 45 / HR5201C - HR5211C</t>
  </si>
  <si>
    <t>213581-7</t>
  </si>
  <si>
    <t>ANILLO DE GOMA 44 / VARIOS</t>
  </si>
  <si>
    <t>213586-7</t>
  </si>
  <si>
    <t>ANILLO DE GOMA 11.5 / EA3203S</t>
  </si>
  <si>
    <t>213592-2</t>
  </si>
  <si>
    <t>RETEN DE ACEITE 22 / VARIOS</t>
  </si>
  <si>
    <t>213594-8</t>
  </si>
  <si>
    <t>ANILLO GOMA 7 / VARIOS</t>
  </si>
  <si>
    <t>213598-0</t>
  </si>
  <si>
    <t>213599-8</t>
  </si>
  <si>
    <t>SELLO DE ACEITE / VARIOS</t>
  </si>
  <si>
    <t>213604-1</t>
  </si>
  <si>
    <t>ANILLO DE GOMA 50 / VARIOS</t>
  </si>
  <si>
    <t>213605-9</t>
  </si>
  <si>
    <t>213606-7</t>
  </si>
  <si>
    <t>ANILLO DE GOMA 48 / VARIOS</t>
  </si>
  <si>
    <t>213609-1</t>
  </si>
  <si>
    <t>ANILLO GOMA 50 / DBN500</t>
  </si>
  <si>
    <t>213611-4</t>
  </si>
  <si>
    <t>ANILLO DE GOMA 46 / VARIOS</t>
  </si>
  <si>
    <t>213615-6</t>
  </si>
  <si>
    <t>213616-4</t>
  </si>
  <si>
    <t>213617-2</t>
  </si>
  <si>
    <t>ANILLO GOMA 47 / VARIOS</t>
  </si>
  <si>
    <t>213618-0</t>
  </si>
  <si>
    <t>RETEN DE ACEITE 48 / HR5001C</t>
  </si>
  <si>
    <t>213620-3</t>
  </si>
  <si>
    <t>ANILLO DE GOMA 46 / HR2810</t>
  </si>
  <si>
    <t>213621-1</t>
  </si>
  <si>
    <t>ANILLO DE GOMA 46 / 4131</t>
  </si>
  <si>
    <t>213622-9</t>
  </si>
  <si>
    <t>213623-7</t>
  </si>
  <si>
    <t>ANILLO DE GOMA 46 / 5007NK</t>
  </si>
  <si>
    <t>213624-5</t>
  </si>
  <si>
    <t>213625-3</t>
  </si>
  <si>
    <t>ANILLO GOMA 9 / VARIOS</t>
  </si>
  <si>
    <t>213636-8</t>
  </si>
  <si>
    <t>213641-5</t>
  </si>
  <si>
    <t>213642-3</t>
  </si>
  <si>
    <t>ANILLO DE GOMA 18 / EM4350UH - EM4351UH</t>
  </si>
  <si>
    <t>213645-7</t>
  </si>
  <si>
    <t>ANILLO DE GOMA 94 / VARIOS</t>
  </si>
  <si>
    <t>213647-3</t>
  </si>
  <si>
    <t>ANILLO DE GOMA 9 / PM7650H</t>
  </si>
  <si>
    <t>213649-9</t>
  </si>
  <si>
    <t>ANILLO DE GOMA 19 / PM7650H</t>
  </si>
  <si>
    <t>213654-6</t>
  </si>
  <si>
    <t>ANILLO DE GOMA 60 / VARIOS</t>
  </si>
  <si>
    <t>213655-4</t>
  </si>
  <si>
    <t>213656-2</t>
  </si>
  <si>
    <t>ANILLO DE GOMA 53 / VARIOS</t>
  </si>
  <si>
    <t>213660-1</t>
  </si>
  <si>
    <t>ANILLO DE GOMA 53 / HM1810</t>
  </si>
  <si>
    <t>213662-7</t>
  </si>
  <si>
    <t>ANILLO DE GOMA 55 / VARIOS</t>
  </si>
  <si>
    <t>213663-5</t>
  </si>
  <si>
    <t>213664-3</t>
  </si>
  <si>
    <t>ANILLO DE GOMA 60 / HR5212C - HR006G</t>
  </si>
  <si>
    <t>213666-9</t>
  </si>
  <si>
    <t>ANILLO DE GOMA 52 / HM1810</t>
  </si>
  <si>
    <t>213667-7</t>
  </si>
  <si>
    <t>ANILLO DE GOMA 60 / HM1810</t>
  </si>
  <si>
    <t>213670-8</t>
  </si>
  <si>
    <t>ANILLO GOMA 58 / VARIOS</t>
  </si>
  <si>
    <t>213673-2</t>
  </si>
  <si>
    <t>ANILLO DE GOMA 52 / VARIOS</t>
  </si>
  <si>
    <t>213674-0</t>
  </si>
  <si>
    <t>ANILLO DE GOMA 60 / HR5212C</t>
  </si>
  <si>
    <t>213678-2</t>
  </si>
  <si>
    <t>213685-5</t>
  </si>
  <si>
    <t>213686-3</t>
  </si>
  <si>
    <t>ANILLO DE GOMA 12 / PM7650H</t>
  </si>
  <si>
    <t>213693-6</t>
  </si>
  <si>
    <t>ANILLO DE GOMA 27.5 / VARIOS</t>
  </si>
  <si>
    <t>213695-2</t>
  </si>
  <si>
    <t>ANILLO 22 / VARIOS</t>
  </si>
  <si>
    <t>213707-1</t>
  </si>
  <si>
    <t>ANILLO DE GOMA 65 / VARIOS</t>
  </si>
  <si>
    <t>213709-7</t>
  </si>
  <si>
    <t>ANILLO DE GOMA 63 / DDA460 - DBN500</t>
  </si>
  <si>
    <t>213715-2</t>
  </si>
  <si>
    <t>ANILLO GOMA 67 / HR5001C</t>
  </si>
  <si>
    <t>213718-6</t>
  </si>
  <si>
    <t>ANILLO DE GOMA 70 / 6905H</t>
  </si>
  <si>
    <t>213720-9</t>
  </si>
  <si>
    <t>ANILLO DE GOMA 67 / VARIOS</t>
  </si>
  <si>
    <t>213721-7</t>
  </si>
  <si>
    <t>ANILLO DE GOMA 61 / HM1810</t>
  </si>
  <si>
    <t>213722-5</t>
  </si>
  <si>
    <t>ANILLO DE GOMA 63 / DTW450</t>
  </si>
  <si>
    <t>213725-9</t>
  </si>
  <si>
    <t>ANILLO GOMA 68 / VARIOS</t>
  </si>
  <si>
    <t>213726-7</t>
  </si>
  <si>
    <t>ANILLO DE GOMA 62 / JR3070CT</t>
  </si>
  <si>
    <t>213727-5</t>
  </si>
  <si>
    <t>ANILLO DE GOMA 63 / VARIOS</t>
  </si>
  <si>
    <t>213728-3</t>
  </si>
  <si>
    <t>ANILLO DE GOMA 68 / VARIOS</t>
  </si>
  <si>
    <t>213754-2</t>
  </si>
  <si>
    <t>ANILLO DE GOMA 71 / HM1214C</t>
  </si>
  <si>
    <t>213755-0</t>
  </si>
  <si>
    <t>ANILLO DE GOMA 75 / VARIOS</t>
  </si>
  <si>
    <t>213757-6</t>
  </si>
  <si>
    <t>ANILLO DE GOMA 80 / VARIOS</t>
  </si>
  <si>
    <t>213758-4</t>
  </si>
  <si>
    <t>ANILLO DE GOMA 74 / HM1317CB - HM1307CB</t>
  </si>
  <si>
    <t>213760-7</t>
  </si>
  <si>
    <t>ANILLO DE GOMA 78 / VARIOS</t>
  </si>
  <si>
    <t>213765-7</t>
  </si>
  <si>
    <t>ANILLO DE GOMA 73 / HM1810</t>
  </si>
  <si>
    <t>213766-5</t>
  </si>
  <si>
    <t>213769-9</t>
  </si>
  <si>
    <t>RETEN DE ACEITE 10/HR5001C</t>
  </si>
  <si>
    <t>213776-2</t>
  </si>
  <si>
    <t>ANILLO 26 / HR5212C; 02C</t>
  </si>
  <si>
    <t>213778-8</t>
  </si>
  <si>
    <t>213779-6</t>
  </si>
  <si>
    <t>213780-1</t>
  </si>
  <si>
    <t>ANILLO DE FLURETANO 32.5 / HR5212C; 02C</t>
  </si>
  <si>
    <t>213781-9</t>
  </si>
  <si>
    <t>213782-7</t>
  </si>
  <si>
    <t>213783-5</t>
  </si>
  <si>
    <t>213785-1</t>
  </si>
  <si>
    <t>ORING 50 / VARIOS</t>
  </si>
  <si>
    <t>213787-7</t>
  </si>
  <si>
    <t>ANILLO DE GOMA 22 / M8600</t>
  </si>
  <si>
    <t>213789-3</t>
  </si>
  <si>
    <t>213797-4</t>
  </si>
  <si>
    <t>ANILLO 47 / HM1812 - HM1802</t>
  </si>
  <si>
    <t>213798-2</t>
  </si>
  <si>
    <t>ANILLO DE GOMA 47 / HM1812 - HM1802</t>
  </si>
  <si>
    <t>213799-0</t>
  </si>
  <si>
    <t>ANILLO DE GOMA 56 / HM1812 - HM1802</t>
  </si>
  <si>
    <t>213806-9</t>
  </si>
  <si>
    <t>ANILLO DE GOMA 90 / VARIOS</t>
  </si>
  <si>
    <t>213809-3</t>
  </si>
  <si>
    <t>ANILLO DE GOMA 87 / HM1317CB - HM1307CB</t>
  </si>
  <si>
    <t>213810-8</t>
  </si>
  <si>
    <t>ANILLO DE GOMA 124 / HM1812</t>
  </si>
  <si>
    <t>213811-6</t>
  </si>
  <si>
    <t>ANILLO DE GOMA 26.5 / HR5212C; 02C</t>
  </si>
  <si>
    <t>213832-8</t>
  </si>
  <si>
    <t>ANILLO DE GOMA 13 / HR1840 - DHR182</t>
  </si>
  <si>
    <t>213833-6</t>
  </si>
  <si>
    <t>213842-5</t>
  </si>
  <si>
    <t>ANILLO GOMA 40 / PV001G</t>
  </si>
  <si>
    <t>213843-3</t>
  </si>
  <si>
    <t>ANILLO 21 / DUR192L</t>
  </si>
  <si>
    <t>213850-6</t>
  </si>
  <si>
    <t>ANILLO DE GOMA 74 / HR003G - DHR280</t>
  </si>
  <si>
    <t>213855-6</t>
  </si>
  <si>
    <t>ANILLO DE GOMA 95 / TW1000 - HM1810</t>
  </si>
  <si>
    <t>213858-0</t>
  </si>
  <si>
    <t>ANILLO DE GOMA 65 / LW1401</t>
  </si>
  <si>
    <t>213859-8</t>
  </si>
  <si>
    <t>213861-1</t>
  </si>
  <si>
    <t>SELLO DE ACEITE 12 / DHW080</t>
  </si>
  <si>
    <t>213863-7</t>
  </si>
  <si>
    <t>ANILLO GOMA 80 / DBN600</t>
  </si>
  <si>
    <t>213877-6</t>
  </si>
  <si>
    <t>213880-7</t>
  </si>
  <si>
    <t>213881-5</t>
  </si>
  <si>
    <t>213884-9</t>
  </si>
  <si>
    <t>213891-2</t>
  </si>
  <si>
    <t>ANILLO DE GOMA 14.5 / DVR150</t>
  </si>
  <si>
    <t>213892-0</t>
  </si>
  <si>
    <t>ANILLO GOMA 43 / TD001G</t>
  </si>
  <si>
    <t>213902-3</t>
  </si>
  <si>
    <t>ANILLO DE GOMA 135 / HM1812 - HM1802</t>
  </si>
  <si>
    <t>213911-2</t>
  </si>
  <si>
    <t>ANILLO GOMA X 38 / VARIOS</t>
  </si>
  <si>
    <t>213912-0</t>
  </si>
  <si>
    <t>ANILLO GOMA 40 / HM1501-HM1502</t>
  </si>
  <si>
    <t>213913-8</t>
  </si>
  <si>
    <t>213914-6</t>
  </si>
  <si>
    <t>ANILLO GOMA 100 / VARIOS</t>
  </si>
  <si>
    <t>213915-4</t>
  </si>
  <si>
    <t>ANILLO GOMA 25 / HM1511-HM1512</t>
  </si>
  <si>
    <t>213916-2</t>
  </si>
  <si>
    <t>ANILLO GOMA 106 / VARIOS</t>
  </si>
  <si>
    <t>213920-1</t>
  </si>
  <si>
    <t>ANILLO GOMA 10.5 / DTD157</t>
  </si>
  <si>
    <t>213922-7</t>
  </si>
  <si>
    <t>ANILLO DE GOMA 14 / DHW080</t>
  </si>
  <si>
    <t>213953-6</t>
  </si>
  <si>
    <t>ANILLO DE GOMA 24 / VARIOS</t>
  </si>
  <si>
    <t>213958-6</t>
  </si>
  <si>
    <t>213960-9</t>
  </si>
  <si>
    <t>213961-7</t>
  </si>
  <si>
    <t>213962-5</t>
  </si>
  <si>
    <t>213977-2</t>
  </si>
  <si>
    <t>213980-3</t>
  </si>
  <si>
    <t>ANILLO 21 / VARIOS</t>
  </si>
  <si>
    <t>213983-7</t>
  </si>
  <si>
    <t>213987-9</t>
  </si>
  <si>
    <t>ANILLO GOMA 25 / VARIOS</t>
  </si>
  <si>
    <t>214012-9</t>
  </si>
  <si>
    <t>BOCINA 6 / 6905H</t>
  </si>
  <si>
    <t>214022-6</t>
  </si>
  <si>
    <t>BOCINA 8 / 2012NB - 6905H</t>
  </si>
  <si>
    <t>214025-0</t>
  </si>
  <si>
    <t>DESLIZADOR/4320</t>
  </si>
  <si>
    <t>214031-5</t>
  </si>
  <si>
    <t>214043-8</t>
  </si>
  <si>
    <t>RODAJE PLANO 5 / M6501</t>
  </si>
  <si>
    <t>214116-7</t>
  </si>
  <si>
    <t>RODAJE PLANO / M9400</t>
  </si>
  <si>
    <t>214169-6</t>
  </si>
  <si>
    <t>RODAMIENTO PLANO 14 / VARIOS</t>
  </si>
  <si>
    <t>214170-1</t>
  </si>
  <si>
    <t>PLACA GUIA 14A / JR3070CT</t>
  </si>
  <si>
    <t>214215-5</t>
  </si>
  <si>
    <t>BOCINA 14 / DJR189</t>
  </si>
  <si>
    <t>214251-1</t>
  </si>
  <si>
    <t>RODAJE PLANO 17 / 2012NB</t>
  </si>
  <si>
    <t>214408-4</t>
  </si>
  <si>
    <t>RODAJE PLANO 30 / UNIVERSAL</t>
  </si>
  <si>
    <t>214603-6</t>
  </si>
  <si>
    <t>RODAMIENTO DE AGUJAS 49 / VARIOS</t>
  </si>
  <si>
    <t>EMPAQUETADURA CIRCULAR / VARIOS</t>
  </si>
  <si>
    <t>EMPAQUE CIRCULAR /VARIOS</t>
  </si>
  <si>
    <t>216001-0</t>
  </si>
  <si>
    <t>BOLA DE ACERO 3.5 / VARIOS</t>
  </si>
  <si>
    <t>216002-8</t>
  </si>
  <si>
    <t>BOLA DE ACERO 4.8 / VARIOS</t>
  </si>
  <si>
    <t>216003-6</t>
  </si>
  <si>
    <t>BOLA DE ACERO 10 / HM1201</t>
  </si>
  <si>
    <t>216004-4</t>
  </si>
  <si>
    <t>BOLA DE ACERO 7.9 / VARIOS</t>
  </si>
  <si>
    <t>216007-8</t>
  </si>
  <si>
    <t>BOLA DE ACERO 6.4 / VARIOS</t>
  </si>
  <si>
    <t>216008-6</t>
  </si>
  <si>
    <t>BOLA DE ACERO 4 / VARIOS</t>
  </si>
  <si>
    <t>216009-4</t>
  </si>
  <si>
    <t>BOLA DE ACERO 7.1 / VARIOS</t>
  </si>
  <si>
    <t>216011-7</t>
  </si>
  <si>
    <t>BOLA DE ACERO 5.6 / VARIOS</t>
  </si>
  <si>
    <t>216013-3</t>
  </si>
  <si>
    <t>BOLA DE ACERO 6 / HR2320T</t>
  </si>
  <si>
    <t>216014-1</t>
  </si>
  <si>
    <t>BOLA DE ACERO 3.2 / FS2700</t>
  </si>
  <si>
    <t>216015-9</t>
  </si>
  <si>
    <t>216018-3</t>
  </si>
  <si>
    <t>BOLA DE ACERO 5 / HP1640</t>
  </si>
  <si>
    <t>216019-1</t>
  </si>
  <si>
    <t>BOLA DE ACERO 3 / VARIOS</t>
  </si>
  <si>
    <t>216022-2</t>
  </si>
  <si>
    <t>BOLA DE ACERO 7 / VARIOS</t>
  </si>
  <si>
    <t>216024-8</t>
  </si>
  <si>
    <t>BOLA DE ACERO / VARIOS</t>
  </si>
  <si>
    <t>216038-7</t>
  </si>
  <si>
    <t>BOLA DE ACERO 5 / M0801K</t>
  </si>
  <si>
    <t>216040-0</t>
  </si>
  <si>
    <t>216041-8</t>
  </si>
  <si>
    <t>216049-2</t>
  </si>
  <si>
    <t>BOLA DE ACERO 4 /VARIOS</t>
  </si>
  <si>
    <t>216103-2</t>
  </si>
  <si>
    <t>BOCINA 1016 / 6906</t>
  </si>
  <si>
    <t>216212-7</t>
  </si>
  <si>
    <t>ARANDELA 821 / VARIOS</t>
  </si>
  <si>
    <t>216216-9</t>
  </si>
  <si>
    <t>ARANDELA 1730 / FS2700</t>
  </si>
  <si>
    <t>216415-3</t>
  </si>
  <si>
    <t>RODAJE PLANO 821 / VARIOS</t>
  </si>
  <si>
    <t>216423-4</t>
  </si>
  <si>
    <t>AGUJA DE PROPULSION 1730 / FS2700</t>
  </si>
  <si>
    <t>219014-0</t>
  </si>
  <si>
    <t>ROTULA 10 / VARIOS</t>
  </si>
  <si>
    <t>219019-0</t>
  </si>
  <si>
    <t>RODAJE PLANO 9 / HR1830 - DHR165</t>
  </si>
  <si>
    <t>219020-5</t>
  </si>
  <si>
    <t>ROTULA / VARIOS</t>
  </si>
  <si>
    <t>219021-3</t>
  </si>
  <si>
    <t>ROTULA 10 / M8700</t>
  </si>
  <si>
    <t>219023-9</t>
  </si>
  <si>
    <t>ROTULA 10 / HR2631F - HR2641</t>
  </si>
  <si>
    <t>219030-2</t>
  </si>
  <si>
    <t>RODAMIENTO INCLINADO 10 / VARIOS</t>
  </si>
  <si>
    <t>221013-0</t>
  </si>
  <si>
    <t>ENGRANAJE HELICOIDAL 44 / 5900B</t>
  </si>
  <si>
    <t>221105-5</t>
  </si>
  <si>
    <t>ENGRANAJE HELICOIDAL 56 / 6016</t>
  </si>
  <si>
    <t>221126-7</t>
  </si>
  <si>
    <t>ENGRANAJE HELICOIDAL 47 / 59105</t>
  </si>
  <si>
    <t>221193-2</t>
  </si>
  <si>
    <t>ENGRANAJE HELICOIDAL 10 / VARIOS</t>
  </si>
  <si>
    <t>221194-0</t>
  </si>
  <si>
    <t>ENGRANAJE HELICOIDAL 42 / 9401 - 9402</t>
  </si>
  <si>
    <t>221242-5</t>
  </si>
  <si>
    <t>ENGRANAJE INTERNO 65 / 6906</t>
  </si>
  <si>
    <t>221243-3</t>
  </si>
  <si>
    <t>ENGRANAJE RECTO 29 / 6906</t>
  </si>
  <si>
    <t>221261-1</t>
  </si>
  <si>
    <t>ENGRANAJE RECTO 47 /VARIOS</t>
  </si>
  <si>
    <t>221422-3</t>
  </si>
  <si>
    <t>ENGRANAJE SIN FIN / VARIOS</t>
  </si>
  <si>
    <t>221427-3</t>
  </si>
  <si>
    <t>221428-1</t>
  </si>
  <si>
    <t>ENGRANAJE SIN FIN / DUC254</t>
  </si>
  <si>
    <t>221443-5</t>
  </si>
  <si>
    <t>ENGRANAJE ESPIRAL 9 / DFL650F - DFL651F</t>
  </si>
  <si>
    <t>221450-8</t>
  </si>
  <si>
    <t>PIÑON 10 / PO5000C - DPO500</t>
  </si>
  <si>
    <t>221453-2</t>
  </si>
  <si>
    <t>ENGRANAJE 29 / PO5000C</t>
  </si>
  <si>
    <t>221457-4</t>
  </si>
  <si>
    <t>ENGRANAJE 51 / DTD154 / DTD170</t>
  </si>
  <si>
    <t>221462-1</t>
  </si>
  <si>
    <t>221464-7</t>
  </si>
  <si>
    <t>RUEDA DENTADA / DUC400 - DUC406</t>
  </si>
  <si>
    <t>221475-2</t>
  </si>
  <si>
    <t>ENGRANAJE ESPIRAL / M9510-M9507</t>
  </si>
  <si>
    <t>221476-0</t>
  </si>
  <si>
    <t>ENGRANAJE ESPIRAL 37 / M9510 -M9507</t>
  </si>
  <si>
    <t>221478-6</t>
  </si>
  <si>
    <t>ENGRANAJE 9-23 / DFS251</t>
  </si>
  <si>
    <t>221479-4</t>
  </si>
  <si>
    <t>ENGRANAJE 34-180 / DFS251</t>
  </si>
  <si>
    <t>221484-1</t>
  </si>
  <si>
    <t>ENGRANAJE CONICO 19/UR101</t>
  </si>
  <si>
    <t>221492-2</t>
  </si>
  <si>
    <t>ENGRANAJE HELICOIDAL / DUR187L</t>
  </si>
  <si>
    <t>221525-3</t>
  </si>
  <si>
    <t>PIÑON 10 / 2012NB</t>
  </si>
  <si>
    <t>221526-1</t>
  </si>
  <si>
    <t>RUEDA DENTADA / VARIOS</t>
  </si>
  <si>
    <t>221542-3</t>
  </si>
  <si>
    <t>ENGRANAJE 37 / DRS780</t>
  </si>
  <si>
    <t>221543-1</t>
  </si>
  <si>
    <t>ENGRANAJE RECTO 13 / VARIOS</t>
  </si>
  <si>
    <t>221544-9</t>
  </si>
  <si>
    <t>ENGRANAJE RECTO 18 / VARIOS</t>
  </si>
  <si>
    <t>221546-5</t>
  </si>
  <si>
    <t>ENGRANAJE INTERNO 47 / VARIOS</t>
  </si>
  <si>
    <t>221548-1</t>
  </si>
  <si>
    <t>ENGRANAJE HELICOIDAL 41 / VARIOS</t>
  </si>
  <si>
    <t>221553-8</t>
  </si>
  <si>
    <t>ENGRANAJE ESPIRAL 37 / HR140D</t>
  </si>
  <si>
    <t>221568-5</t>
  </si>
  <si>
    <t>ENGRANAJE 19 / VR1000</t>
  </si>
  <si>
    <t>221569-3</t>
  </si>
  <si>
    <t>ENGRANAJE INTERNO 48 / DA332D-DA333D</t>
  </si>
  <si>
    <t>221570-8</t>
  </si>
  <si>
    <t>ENGRANAJE ESPIRAL 6 / DA332D-DA333D</t>
  </si>
  <si>
    <t>221572-4</t>
  </si>
  <si>
    <t>ENGRANAJE RECTO 17 / DA332D-DA333D</t>
  </si>
  <si>
    <t>221575-8</t>
  </si>
  <si>
    <t>ENGRANAJE 43 / HS7010</t>
  </si>
  <si>
    <t>221583-9</t>
  </si>
  <si>
    <t>ENGRANAJE RECTO 44 / DBN600</t>
  </si>
  <si>
    <t>221584-7</t>
  </si>
  <si>
    <t>221597-8</t>
  </si>
  <si>
    <t>ENGRANAJE HELICOIDAL 47 / DHW080</t>
  </si>
  <si>
    <t>221599-4</t>
  </si>
  <si>
    <t>ENGRANAJE ESPEIRAL 32 / VARIOS</t>
  </si>
  <si>
    <t>221602-1</t>
  </si>
  <si>
    <t>ENGRANAJE HELICOIDAL 44 / 5800NB-LS0810</t>
  </si>
  <si>
    <t>221607-1</t>
  </si>
  <si>
    <t>ENGRANAJE HELICOIDAL 45 / 4107</t>
  </si>
  <si>
    <t>221669-9</t>
  </si>
  <si>
    <t>ENGRANAJE 41 / HM0810T</t>
  </si>
  <si>
    <t>221701-9</t>
  </si>
  <si>
    <t>ENGRANAJE HELICOIDAL 50 / HM1201</t>
  </si>
  <si>
    <t>221776-8</t>
  </si>
  <si>
    <t>ENGRANAJE HELICOIDAL 19  / 4100NB-4101R</t>
  </si>
  <si>
    <t>221777-6</t>
  </si>
  <si>
    <t>ENGRANAJE HELICOIDAL 41 / 4100NB-4101R</t>
  </si>
  <si>
    <t>221793-8</t>
  </si>
  <si>
    <t>ENGRANAJE 50 / HM1810</t>
  </si>
  <si>
    <t>221815-4</t>
  </si>
  <si>
    <t>ENGRANAJE INTERNO 32 / TW1000</t>
  </si>
  <si>
    <t>222006-0</t>
  </si>
  <si>
    <t>POLEA 6-30 / 1805N</t>
  </si>
  <si>
    <t>222007-8</t>
  </si>
  <si>
    <t>POLEA 6-323L / 1805N</t>
  </si>
  <si>
    <t>222012-5</t>
  </si>
  <si>
    <t>POLEA EN V 6-24L / 9401- 9402</t>
  </si>
  <si>
    <t>222122-8</t>
  </si>
  <si>
    <t>POLEA 10-38.3 / 9901</t>
  </si>
  <si>
    <t>222125-2</t>
  </si>
  <si>
    <t>POLEA 4-20L / KP0810C</t>
  </si>
  <si>
    <t>222126-0</t>
  </si>
  <si>
    <t>POLEA 4-37 / KP0810C</t>
  </si>
  <si>
    <t>222129-4</t>
  </si>
  <si>
    <t>POLEA 33-64 / 9031</t>
  </si>
  <si>
    <t>222130-9</t>
  </si>
  <si>
    <t>POLEA 30-25 / 9031</t>
  </si>
  <si>
    <t>222147-2</t>
  </si>
  <si>
    <t>POLEA 10-24.1 / 9403</t>
  </si>
  <si>
    <t>222148-0</t>
  </si>
  <si>
    <t>POLEA 11-55.6 / 9403</t>
  </si>
  <si>
    <t>222154-5</t>
  </si>
  <si>
    <t>POLEA V8-54 /VARIOS</t>
  </si>
  <si>
    <t>222155-3</t>
  </si>
  <si>
    <t>POLEA V  8-23.5L / 2012NB</t>
  </si>
  <si>
    <t>222156-1</t>
  </si>
  <si>
    <t>POLEA 9.5- 46 / VARIOS</t>
  </si>
  <si>
    <t>222163-4</t>
  </si>
  <si>
    <t>POLEA 4-20 / M1902</t>
  </si>
  <si>
    <t>222164-2</t>
  </si>
  <si>
    <t>POLEA 4-37 / M1902</t>
  </si>
  <si>
    <t>222165-0</t>
  </si>
  <si>
    <t>POLEA V 5-32.4 / M1100</t>
  </si>
  <si>
    <t>222166-8</t>
  </si>
  <si>
    <t>POLEA V 5-23.5L / M1100</t>
  </si>
  <si>
    <t>222168-4</t>
  </si>
  <si>
    <t>POLEA V  6-23  / VARIOS</t>
  </si>
  <si>
    <t>222169-2</t>
  </si>
  <si>
    <t>POLEA V  6-52.9  / VARIOS</t>
  </si>
  <si>
    <t>222174-9</t>
  </si>
  <si>
    <t>222191-9</t>
  </si>
  <si>
    <t>POLEA 17-19.3 / VARIOS</t>
  </si>
  <si>
    <t>222192-7</t>
  </si>
  <si>
    <t>POLEA 17-87.8 / VARIOS</t>
  </si>
  <si>
    <t>222193-5</t>
  </si>
  <si>
    <t>POLEA 4-17L / DKP181</t>
  </si>
  <si>
    <t>222194-3</t>
  </si>
  <si>
    <t>POLEA 4-39.5 / DKP181</t>
  </si>
  <si>
    <t>222698S</t>
  </si>
  <si>
    <t>CHAVETA / PLM5113N2- PLM5600N2</t>
  </si>
  <si>
    <t>223073-8</t>
  </si>
  <si>
    <t>LEVA DE EMBRAGUE / FS2700</t>
  </si>
  <si>
    <t>223137-8</t>
  </si>
  <si>
    <t>LEVA A / HP2050</t>
  </si>
  <si>
    <t>223141-7</t>
  </si>
  <si>
    <t>LEVA A / HP2070F</t>
  </si>
  <si>
    <t>223167-9</t>
  </si>
  <si>
    <t>EMBRAGUE / HR2810</t>
  </si>
  <si>
    <t>223170-0</t>
  </si>
  <si>
    <t>ANILLO EMBRAGUE 125S / VARIOS</t>
  </si>
  <si>
    <t>223174-2</t>
  </si>
  <si>
    <t>LEVA DE EMBRAGUE / M8700</t>
  </si>
  <si>
    <t>223181-5</t>
  </si>
  <si>
    <t>LEVA DE EMBRAGUE 125S / DFS452</t>
  </si>
  <si>
    <t>223188-1</t>
  </si>
  <si>
    <t>LEVA / DDA460</t>
  </si>
  <si>
    <t>223192-0</t>
  </si>
  <si>
    <t>EMBRAGUE SOLIDO /DFR452 - DFR551</t>
  </si>
  <si>
    <t>224019-7</t>
  </si>
  <si>
    <t>BRIDA EXTERNA 50 / VARIOS</t>
  </si>
  <si>
    <t>224047-2</t>
  </si>
  <si>
    <t>BRIDA INTERNA 50 / 9105</t>
  </si>
  <si>
    <t>224080-4</t>
  </si>
  <si>
    <t>BRIDA INTERNA 36 / 4100NH3</t>
  </si>
  <si>
    <t>224081-2</t>
  </si>
  <si>
    <t>BRIDA EXTERNA 36 / 4100NH3</t>
  </si>
  <si>
    <t>224151-7</t>
  </si>
  <si>
    <t>BRIDA INTERNA 40 / VARIOS</t>
  </si>
  <si>
    <t>224275-9</t>
  </si>
  <si>
    <t>BRIDA EXTERNA 40 / VARIOS</t>
  </si>
  <si>
    <t>224299-5</t>
  </si>
  <si>
    <t>BRIDA INTERNA 90 / VARIOS</t>
  </si>
  <si>
    <t>224301-4</t>
  </si>
  <si>
    <t>BRIDA EXTERNA 42 / N5900B</t>
  </si>
  <si>
    <t>224303-0</t>
  </si>
  <si>
    <t>BRIDA INTERNA 42 / N5900B</t>
  </si>
  <si>
    <t>224308-0</t>
  </si>
  <si>
    <t>224333-1</t>
  </si>
  <si>
    <t>BRIDA 53 / VARIOS</t>
  </si>
  <si>
    <t>224366-6</t>
  </si>
  <si>
    <t>BRIDA  EXTERNA 40 / VARIOS</t>
  </si>
  <si>
    <t>224370-5</t>
  </si>
  <si>
    <t>224395-9</t>
  </si>
  <si>
    <t>224396-7</t>
  </si>
  <si>
    <t>224399-1</t>
  </si>
  <si>
    <t>BRIDA INTERIOR / VARIOS</t>
  </si>
  <si>
    <t>224400-2</t>
  </si>
  <si>
    <t>BRIDA EXTERNA 53 / LF1000</t>
  </si>
  <si>
    <t>224406-0</t>
  </si>
  <si>
    <t>BRIDA INTERNA 35 / SP6000 - CA5000</t>
  </si>
  <si>
    <t>224409-4</t>
  </si>
  <si>
    <t>BRIDA EXTERNA 35 / VARIOS</t>
  </si>
  <si>
    <t>224411-7</t>
  </si>
  <si>
    <t>TUERCA INTERNA 35 / VARIOS</t>
  </si>
  <si>
    <t>224415-9</t>
  </si>
  <si>
    <t>TUERCA INTERNA 42 / VARIOS</t>
  </si>
  <si>
    <t>224423-0</t>
  </si>
  <si>
    <t>BRIDA INTERNA 36 / VARIOS</t>
  </si>
  <si>
    <t>224424-8</t>
  </si>
  <si>
    <t>BRIDA EXTERNA 36 / VARIOS</t>
  </si>
  <si>
    <t>224429-8</t>
  </si>
  <si>
    <t>BRIDA EXTERNA 46 / LS1019 - DLS111</t>
  </si>
  <si>
    <t>224431-1</t>
  </si>
  <si>
    <t>BRIDA INTERNA / LS1219L</t>
  </si>
  <si>
    <t>224432-9</t>
  </si>
  <si>
    <t>BRIDA EXTERIOR 53 /LS003G</t>
  </si>
  <si>
    <t>224443-4</t>
  </si>
  <si>
    <t>BRIDA 102 / EK7650H</t>
  </si>
  <si>
    <t>224444-2</t>
  </si>
  <si>
    <t>224445-0</t>
  </si>
  <si>
    <t>224447-6</t>
  </si>
  <si>
    <t>BRIDA INTERNA 42B / VARIOS</t>
  </si>
  <si>
    <t>224457-3</t>
  </si>
  <si>
    <t>BRIDA INTERNA 50 / GS5000 - GS6000</t>
  </si>
  <si>
    <t>224460-4</t>
  </si>
  <si>
    <t>BRIDA EXTERNA 50B / GS5000 - GS6000</t>
  </si>
  <si>
    <t>224479-3</t>
  </si>
  <si>
    <t>BRIDA EXTERNA 35 / CA5000</t>
  </si>
  <si>
    <t>224482-4</t>
  </si>
  <si>
    <t>BRIDA EXTERNA 53 / 2704</t>
  </si>
  <si>
    <t>224485-8</t>
  </si>
  <si>
    <t>TUERCA EXTERNA / VARIOS</t>
  </si>
  <si>
    <t>224490-5</t>
  </si>
  <si>
    <t>224496-3</t>
  </si>
  <si>
    <t>BRIDA INTERNA / DRS780</t>
  </si>
  <si>
    <t>224505-8</t>
  </si>
  <si>
    <t>CONTRA TUERCA 10-40 / VARIOS</t>
  </si>
  <si>
    <t>224515-5</t>
  </si>
  <si>
    <t>TUERCA DE AJUSTE DE DISCO / VARIOS</t>
  </si>
  <si>
    <t>224543-0</t>
  </si>
  <si>
    <t>TUERCA EXTERNA 14-45 / VARIOS</t>
  </si>
  <si>
    <t>224554-5</t>
  </si>
  <si>
    <t>TUERCA DE DISCO M14/45 / VARIOS</t>
  </si>
  <si>
    <t>224584-6</t>
  </si>
  <si>
    <t>TUERCA EXTERIOR 14-45 / M0920 - M0921</t>
  </si>
  <si>
    <t>224593-5</t>
  </si>
  <si>
    <t>BRIDA INTERNA 35 / VARIOS</t>
  </si>
  <si>
    <t>224600-4</t>
  </si>
  <si>
    <t>TUERCA EXTERNA 38/ VARIOS</t>
  </si>
  <si>
    <t>224604-6</t>
  </si>
  <si>
    <t>BRIDA EXTERNA 46 / DCE090</t>
  </si>
  <si>
    <t>224605-4</t>
  </si>
  <si>
    <t>BRIDA INTERNA 46 / DCE090</t>
  </si>
  <si>
    <t>224609-6</t>
  </si>
  <si>
    <t>TUERCA INTERNA 38/ VARIOS</t>
  </si>
  <si>
    <t>224622-4</t>
  </si>
  <si>
    <t>BRIDA  92 / CE001G</t>
  </si>
  <si>
    <t>225001-9</t>
  </si>
  <si>
    <t>CORREA POLY V5-285 / VARIOS</t>
  </si>
  <si>
    <t>225006-9</t>
  </si>
  <si>
    <t>FRENO GUIA/ VARIOS</t>
  </si>
  <si>
    <t>225007-7</t>
  </si>
  <si>
    <t>FAJA / KP0800 - DKP180</t>
  </si>
  <si>
    <t>225042-5</t>
  </si>
  <si>
    <t>CORREA POLYV6-304 / 1805B</t>
  </si>
  <si>
    <t>225064-5</t>
  </si>
  <si>
    <t>CORREA DE SINCRONISMO 8-269 / 9901</t>
  </si>
  <si>
    <t>225069-000</t>
  </si>
  <si>
    <t>TENSOR DE CUCHILLA / SJ401</t>
  </si>
  <si>
    <t>225069-5</t>
  </si>
  <si>
    <t>CORREA POLY V4-272 / 1805B</t>
  </si>
  <si>
    <t>225070-000</t>
  </si>
  <si>
    <t>BLOQUE DE AGARRE / SJ401</t>
  </si>
  <si>
    <t>225071-8</t>
  </si>
  <si>
    <t>FAJA V 4-241 / DKP181</t>
  </si>
  <si>
    <t>225073-000</t>
  </si>
  <si>
    <t>SOPORTE DE CUCHILLA / SJ401</t>
  </si>
  <si>
    <t>225079-2</t>
  </si>
  <si>
    <t>FAJA 6-300 / 9911</t>
  </si>
  <si>
    <t>225081-5</t>
  </si>
  <si>
    <t>CORREA 6-300 / 9403</t>
  </si>
  <si>
    <t>225083-1</t>
  </si>
  <si>
    <t>FAJA EN V 8-341 / 2012NB</t>
  </si>
  <si>
    <t>225084-9</t>
  </si>
  <si>
    <t>CORREA 6-330 / 9404</t>
  </si>
  <si>
    <t>225091-2</t>
  </si>
  <si>
    <t>FAJA V 6-355 / VARIOS</t>
  </si>
  <si>
    <t>225092-0</t>
  </si>
  <si>
    <t>225094-6</t>
  </si>
  <si>
    <t>FAJA V 5-800 / EK7650H</t>
  </si>
  <si>
    <t>225096-2</t>
  </si>
  <si>
    <t>FAJA V 5-285 / VARIOS</t>
  </si>
  <si>
    <t>225097-0</t>
  </si>
  <si>
    <t>CORREA DE SINCRONIZACION 4-176 / DCG180</t>
  </si>
  <si>
    <t>225101-5</t>
  </si>
  <si>
    <t>CORREA DE SINCRONIZACION 15-756 / LS1019 - DLS111</t>
  </si>
  <si>
    <t>225102-3</t>
  </si>
  <si>
    <t>CORREA 15-810 /VARIOS</t>
  </si>
  <si>
    <t>225105-7</t>
  </si>
  <si>
    <t>CORREA SINCRONISMO 6-108 / VARIOS</t>
  </si>
  <si>
    <t>225106-5</t>
  </si>
  <si>
    <t>CORREA DE SINCRONISMO 15-750 / CE001G</t>
  </si>
  <si>
    <t>225107-3</t>
  </si>
  <si>
    <t>RESORTE DE TORSION / VARIOS</t>
  </si>
  <si>
    <t>CAMPANA CPL / VARIOS</t>
  </si>
  <si>
    <t>225520-5</t>
  </si>
  <si>
    <t>CADENA 35-46 / 2012NB</t>
  </si>
  <si>
    <t>226009-6</t>
  </si>
  <si>
    <t>ENGRANAJE CPL 11-47 / 6016</t>
  </si>
  <si>
    <t>226028-2</t>
  </si>
  <si>
    <t>ENGRANAJE CPL 7-41 /VARIOS</t>
  </si>
  <si>
    <t>226060-6</t>
  </si>
  <si>
    <t>ENGRANAJE 15-46 /JN3200</t>
  </si>
  <si>
    <t>226100-0</t>
  </si>
  <si>
    <t>226122-0</t>
  </si>
  <si>
    <t>ENGRANAJE CPL 16-44 /VARIOS</t>
  </si>
  <si>
    <t>226134-3</t>
  </si>
  <si>
    <t>ENGRANAJE CPL 8-50/VARIOS</t>
  </si>
  <si>
    <t>226135-1</t>
  </si>
  <si>
    <t>ENGRANAJE CPL 8-46/VARIOS</t>
  </si>
  <si>
    <t>226144-0</t>
  </si>
  <si>
    <t>ENGRANAJE 7-41 /6304LR</t>
  </si>
  <si>
    <t>226155-5</t>
  </si>
  <si>
    <t>ENGRANAJE CPL 34-48 / HM1214C</t>
  </si>
  <si>
    <t>226156-3</t>
  </si>
  <si>
    <t>ENGRANAJE CPL 31-43 / HM1317CB - HM1307CB</t>
  </si>
  <si>
    <t>226163-6</t>
  </si>
  <si>
    <t>ENGRANAJE RECTO 21 / SC103D</t>
  </si>
  <si>
    <t>226164-4</t>
  </si>
  <si>
    <t>ENGRANAJE INTERNO 53 / SC103D</t>
  </si>
  <si>
    <t>226165-2</t>
  </si>
  <si>
    <t>ENGRANAJE RECTO 19 / SC103D</t>
  </si>
  <si>
    <t>226166-0</t>
  </si>
  <si>
    <t>ENGRANAJE INTERNO 48 / SC103D</t>
  </si>
  <si>
    <t>226168-6</t>
  </si>
  <si>
    <t>ENGRANAJE RECTO 10C / SC103D</t>
  </si>
  <si>
    <t>226169-4</t>
  </si>
  <si>
    <t>ENGRANAJE RECTO 39 / SC103D</t>
  </si>
  <si>
    <t>226170-9</t>
  </si>
  <si>
    <t>ENGRANAJE RECTO 10/ VARIOS</t>
  </si>
  <si>
    <t>226174-1</t>
  </si>
  <si>
    <t>ENGRANAJE INTERNO 71 / DDA460</t>
  </si>
  <si>
    <t>226175-9</t>
  </si>
  <si>
    <t>ENGRANAJE RECTO 14 / DDA460</t>
  </si>
  <si>
    <t>226176-7</t>
  </si>
  <si>
    <t>ENGRANAJE RECTO 13 / DDA460</t>
  </si>
  <si>
    <t>226177-5</t>
  </si>
  <si>
    <t>ENGRANAJE INTERNO 40 / DDA460</t>
  </si>
  <si>
    <t>226190-3</t>
  </si>
  <si>
    <t>226191-1</t>
  </si>
  <si>
    <t>ENGRANAJE RECTO 45 / VARIOS</t>
  </si>
  <si>
    <t>226192-9</t>
  </si>
  <si>
    <t>ENGRANAJE HELICOIDAL 49 / DHS660 - DHS661</t>
  </si>
  <si>
    <t>226217-9</t>
  </si>
  <si>
    <t>ENGRANAJE RECTO / 3709</t>
  </si>
  <si>
    <t>226251-9</t>
  </si>
  <si>
    <t>ENGRANAJE RECTO 22 / HM1810</t>
  </si>
  <si>
    <t>226336-1</t>
  </si>
  <si>
    <t>ENGRANAJE RECTO 22 / VARIOS</t>
  </si>
  <si>
    <t>226344-2</t>
  </si>
  <si>
    <t>ENGRANAJE RECTO / VARIOS</t>
  </si>
  <si>
    <t>226399-7</t>
  </si>
  <si>
    <t>ENGRANAJE RECTO 10 / VARIOS</t>
  </si>
  <si>
    <t>226415-5</t>
  </si>
  <si>
    <t>ENGRANAJE R3-9/VARIOS</t>
  </si>
  <si>
    <t>226427-8</t>
  </si>
  <si>
    <t>ENGRANAJE 38 / LC1230</t>
  </si>
  <si>
    <t>226430-9</t>
  </si>
  <si>
    <t>ENGRANAJE 39 / 9046</t>
  </si>
  <si>
    <t>226449-8</t>
  </si>
  <si>
    <t>ENGRANAJE HELICOIDAL 34 / VARIOS</t>
  </si>
  <si>
    <t>226450-3</t>
  </si>
  <si>
    <t>ENGRANAJE HELICOIDAL 57 / VARIOS</t>
  </si>
  <si>
    <t>226465-0</t>
  </si>
  <si>
    <t>ENGRANAJE HELICOIDAL / LS1040 - LS1040F</t>
  </si>
  <si>
    <t>226482-0</t>
  </si>
  <si>
    <t>ENGRANAJE HELICOIDAL 49 / VARIOS</t>
  </si>
  <si>
    <t>226490-1</t>
  </si>
  <si>
    <t>ENGRANAJE HELICOIDAL 20A / HR5001C</t>
  </si>
  <si>
    <t>226493-5</t>
  </si>
  <si>
    <t>ENGRANAJE HELICOIDAL 50 / HR5001C</t>
  </si>
  <si>
    <t>226494-3</t>
  </si>
  <si>
    <t>ENGRANAJE 6 / 9911</t>
  </si>
  <si>
    <t>226495-1</t>
  </si>
  <si>
    <t>ENGRANAJE HELICOIDAL 62 / VARIOS</t>
  </si>
  <si>
    <t>226497-7</t>
  </si>
  <si>
    <t>ENGRANAJE HELICOIDAL 47 / VARIOS</t>
  </si>
  <si>
    <t>226499-3</t>
  </si>
  <si>
    <t>ENGRANAJE HELICOIDAL 42 / 2702-2703</t>
  </si>
  <si>
    <t>226518-5</t>
  </si>
  <si>
    <t>ENGRANAJE 47 / 2012NB</t>
  </si>
  <si>
    <t>226523-2</t>
  </si>
  <si>
    <t>ENGRANAJE HELICOIDAL 39 / N5900B - HS0600</t>
  </si>
  <si>
    <t>226532-1</t>
  </si>
  <si>
    <t>ENGRANAJE HELICOIDAL 39 / VARIOS</t>
  </si>
  <si>
    <t>226534-7</t>
  </si>
  <si>
    <t>ENGRANAJE 8 / EA3203S</t>
  </si>
  <si>
    <t>226550-9</t>
  </si>
  <si>
    <t>ENGRANAJE HELICOIDAL 26 / VARIOS</t>
  </si>
  <si>
    <t>226551-7</t>
  </si>
  <si>
    <t>ENGRANAJE 12 / 9403</t>
  </si>
  <si>
    <t>226552-5</t>
  </si>
  <si>
    <t>ENGRANAJE 15 / 4100NH3</t>
  </si>
  <si>
    <t>226566-4</t>
  </si>
  <si>
    <t>ENGRANAJE HELICOIDAL 43 / 6824N</t>
  </si>
  <si>
    <t>226567-2</t>
  </si>
  <si>
    <t>ENGRANAJE 28 / DA3010F</t>
  </si>
  <si>
    <t>226572-9</t>
  </si>
  <si>
    <t>226578-7</t>
  </si>
  <si>
    <t>ENGRANAJE HELICOIDAL 35 / VARIOS</t>
  </si>
  <si>
    <t>226579-5</t>
  </si>
  <si>
    <t>ENGRANAJE 45 / HP1640</t>
  </si>
  <si>
    <t>226586-8</t>
  </si>
  <si>
    <t>ENGRANAJE HELICOIDAL 37 / VARIOS</t>
  </si>
  <si>
    <t>226589-2</t>
  </si>
  <si>
    <t>ENGRANAJE 37 / M8100K</t>
  </si>
  <si>
    <t>226591-5</t>
  </si>
  <si>
    <t>ENGRANAJE 48 / 4131</t>
  </si>
  <si>
    <t>226600-0</t>
  </si>
  <si>
    <t>ENGRANAJE HELICOIDAL 46 / LF1000</t>
  </si>
  <si>
    <t>226602-6</t>
  </si>
  <si>
    <t>ENGRANAJE 42 / 2704</t>
  </si>
  <si>
    <t>226605-0</t>
  </si>
  <si>
    <t>ENGRANAJE HELICOIDAL 38 / VARIOS</t>
  </si>
  <si>
    <t>226610-7</t>
  </si>
  <si>
    <t>226619-9</t>
  </si>
  <si>
    <t>ENGRANAJE HELICOIDAL 5 / HR2432</t>
  </si>
  <si>
    <t>226620-4</t>
  </si>
  <si>
    <t>CHICLER 77.5 / EG302A-EG382A</t>
  </si>
  <si>
    <t>226634-3</t>
  </si>
  <si>
    <t>ENGRANAJE HELICOIDAL 10/VARIOS</t>
  </si>
  <si>
    <t>226637-7</t>
  </si>
  <si>
    <t>ENGRANAJE 39 / SP6000 - CA5000</t>
  </si>
  <si>
    <t>226646-6</t>
  </si>
  <si>
    <t>ENGRANAJE HELICOIDAL 47 / HR5211C</t>
  </si>
  <si>
    <t>226651-3</t>
  </si>
  <si>
    <t>ENGRANAJE HELICOIDAL 30 / DTW310</t>
  </si>
  <si>
    <t>226653-9</t>
  </si>
  <si>
    <t>ENGRANAJE /VARIOS</t>
  </si>
  <si>
    <t>226656-3</t>
  </si>
  <si>
    <t>ENGRANAJE 26 / HR2230 - HR2470</t>
  </si>
  <si>
    <t>226662-8</t>
  </si>
  <si>
    <t>ENGRANAJE HELICOIDAL 43 / 5008MG</t>
  </si>
  <si>
    <t>226681-4</t>
  </si>
  <si>
    <t>ENGRANAJE 17 / EA3203S</t>
  </si>
  <si>
    <t>226682-2</t>
  </si>
  <si>
    <t>ENGRANAJE HELICOIDAL 47 / 5007NK</t>
  </si>
  <si>
    <t>226683-0</t>
  </si>
  <si>
    <t>ENGRANAJE HELICOIDAL 17 / 4100NH</t>
  </si>
  <si>
    <t>226684-8</t>
  </si>
  <si>
    <t>ENGRANAJE HELICOIDAL 41 / 4100NH</t>
  </si>
  <si>
    <t>226691-1</t>
  </si>
  <si>
    <t>ENGRANAJE HELICOIDAL 57 / HM1203C; 13C</t>
  </si>
  <si>
    <t>226695-3</t>
  </si>
  <si>
    <t>ENGRANAJE 17 / 4100NH2</t>
  </si>
  <si>
    <t>226696-1</t>
  </si>
  <si>
    <t>ENGRANAJE 44 / 4100NH2</t>
  </si>
  <si>
    <t>226699-5</t>
  </si>
  <si>
    <t>ENGRANAJE HELICOIDAL 52 / HM1214C</t>
  </si>
  <si>
    <t>226742-0</t>
  </si>
  <si>
    <t>ENGRANAJE ESPIRAL 33 / LS1013-LS1013L</t>
  </si>
  <si>
    <t>226747-0</t>
  </si>
  <si>
    <t>ENGRANAJE RECTO 15 / VARIOS</t>
  </si>
  <si>
    <t>226760-8</t>
  </si>
  <si>
    <t>ENGRANAJE ESPIRAL 12 / HR5001C</t>
  </si>
  <si>
    <t>226761-6</t>
  </si>
  <si>
    <t>ENGRANAJE ESPIRAL 41 / HR5001C</t>
  </si>
  <si>
    <t>226773-9</t>
  </si>
  <si>
    <t>ENGRANAJE ESPIRAL 49 / 9067-9067S</t>
  </si>
  <si>
    <t>226782-8</t>
  </si>
  <si>
    <t>ENGRANAJE ESPIRAL 10 / HR3000C-HR3550C</t>
  </si>
  <si>
    <t>226783-6</t>
  </si>
  <si>
    <t>ENGRANAJE ESPIRAL 37 / HR3000C-HR3550C</t>
  </si>
  <si>
    <t>226786-0</t>
  </si>
  <si>
    <t>ENGRANAJE 15 / 2012NB</t>
  </si>
  <si>
    <t>226791-7</t>
  </si>
  <si>
    <t>ENGRANAJE RECTO 15 / 2012NB</t>
  </si>
  <si>
    <t>226794-1</t>
  </si>
  <si>
    <t>ENGRANAJE ESPIRAL 11 / VARIOS</t>
  </si>
  <si>
    <t>226795-9</t>
  </si>
  <si>
    <t>ENGRANAJE ESPIRAL 38 / VARIOS</t>
  </si>
  <si>
    <t>226831-1</t>
  </si>
  <si>
    <t>ENGRANAJE 12-31/ VARIOS</t>
  </si>
  <si>
    <t>226834-5</t>
  </si>
  <si>
    <t>ENGRANAJE CPL 23-59 / HM1812 - HM1802</t>
  </si>
  <si>
    <t>226838-7</t>
  </si>
  <si>
    <t>226853-1</t>
  </si>
  <si>
    <t>ENGRANAJE 12 / DHR182</t>
  </si>
  <si>
    <t>226854-9</t>
  </si>
  <si>
    <t>ENGRANAJE 44 / DHR182</t>
  </si>
  <si>
    <t>226858-1</t>
  </si>
  <si>
    <t>ENGRANAJE CONICO ESPIRAL 10 / VARIOS</t>
  </si>
  <si>
    <t>226859-9</t>
  </si>
  <si>
    <t>ENGRANAJE CONICO ESPIRAL 37 / VARIOS</t>
  </si>
  <si>
    <t>226861-2</t>
  </si>
  <si>
    <t>PIÑON 10 / VARIOS</t>
  </si>
  <si>
    <t>226862-0</t>
  </si>
  <si>
    <t>ENGRANAJE 37 / VARIOS</t>
  </si>
  <si>
    <t>226865-4</t>
  </si>
  <si>
    <t>ENGRANAJE ESPIRAL 19 / DUP362</t>
  </si>
  <si>
    <t>226866-2</t>
  </si>
  <si>
    <t>ENGRANAJE INTERNO 49 / DUP362</t>
  </si>
  <si>
    <t>226867-0</t>
  </si>
  <si>
    <t>ENGRANAJE ESPIRAL 8 / VARIOS</t>
  </si>
  <si>
    <t>226869-6</t>
  </si>
  <si>
    <t>ENGRANAJE HELICOIDAL 31 / VARIOS</t>
  </si>
  <si>
    <t>226880-8</t>
  </si>
  <si>
    <t>ENGRANAJE CENTRAL 24 / DTW1001 -DTW1002</t>
  </si>
  <si>
    <t>226884-0</t>
  </si>
  <si>
    <t>POLEA DENTADA / DUC406</t>
  </si>
  <si>
    <t>226885-8</t>
  </si>
  <si>
    <t>ENGRANAJE RECTO 13 / DSL800</t>
  </si>
  <si>
    <t>226886-6</t>
  </si>
  <si>
    <t>ENGRANAJE RECTO 14 / DSL800</t>
  </si>
  <si>
    <t>226889-0</t>
  </si>
  <si>
    <t>ENGRANAJE INTERNO 43 / DSL800</t>
  </si>
  <si>
    <t>226890-5</t>
  </si>
  <si>
    <t>ENGRANAJE INTERNO 47 / DSL800</t>
  </si>
  <si>
    <t>226897-1</t>
  </si>
  <si>
    <t>ENGRANAJE INTERNO 41 / DWR180</t>
  </si>
  <si>
    <t>226898-9</t>
  </si>
  <si>
    <t>ENGRANAJE RECTO 14 / DWR180</t>
  </si>
  <si>
    <t>226900-8</t>
  </si>
  <si>
    <t>ENGRANAJE RECTO 14 / DPB182</t>
  </si>
  <si>
    <t>226902-4</t>
  </si>
  <si>
    <t>ENGRANAJE ESPIRAL 15A / DFL020F</t>
  </si>
  <si>
    <t>226921-0</t>
  </si>
  <si>
    <t>ENGRANAJE INTERNO 40 / DPB183-DPB184</t>
  </si>
  <si>
    <t>226922-8</t>
  </si>
  <si>
    <t>ENGRANAJE INTERNO 39 / DPB183-DPB184</t>
  </si>
  <si>
    <t>226923-6</t>
  </si>
  <si>
    <t>226924-4</t>
  </si>
  <si>
    <t>ENGRANAJE RECTO 11 / DPB183-DPB184</t>
  </si>
  <si>
    <t>226931-7</t>
  </si>
  <si>
    <t>ENGRANAJE 29/UR101</t>
  </si>
  <si>
    <t>226932-5</t>
  </si>
  <si>
    <t>ENGRANAJE 10/UR101</t>
  </si>
  <si>
    <t>226934-1</t>
  </si>
  <si>
    <t>ENGRANAJE HELICOIDAL 46 / VARIOS</t>
  </si>
  <si>
    <t>226940-6</t>
  </si>
  <si>
    <t>ENGRANAJE 12 / DLM465</t>
  </si>
  <si>
    <t>226941-4</t>
  </si>
  <si>
    <t>ENGRANAJE 49 / DLM465</t>
  </si>
  <si>
    <t>226950-3</t>
  </si>
  <si>
    <t>226951-1</t>
  </si>
  <si>
    <t>ENGRANAJE ESPIRAL 37 / VARIOS</t>
  </si>
  <si>
    <t>226957-9</t>
  </si>
  <si>
    <t>ENGRANAJE INTERNO 45 / TW141D</t>
  </si>
  <si>
    <t>226958-7</t>
  </si>
  <si>
    <t>ENGRANAJE HELICOIDAL 68 / VARIOS</t>
  </si>
  <si>
    <t>226960-0</t>
  </si>
  <si>
    <t>ENGRANAJE RECTO 24 / TD001G</t>
  </si>
  <si>
    <t>226961-8</t>
  </si>
  <si>
    <t>ENGRANAJE INTERNO 56 / TD001G</t>
  </si>
  <si>
    <t>226976-5</t>
  </si>
  <si>
    <t>ENGRANAJE ESPIRAL 10 / GA028G - GA015G</t>
  </si>
  <si>
    <t>226989-6</t>
  </si>
  <si>
    <t>ENGRANAJE 15 / TW001G</t>
  </si>
  <si>
    <t>226990-1</t>
  </si>
  <si>
    <t>ENGRANAJE 11-22 / TW001G</t>
  </si>
  <si>
    <t>226991-9</t>
  </si>
  <si>
    <t>ENGRANAJE INTERNO 50 / TW001G</t>
  </si>
  <si>
    <t>226995-1</t>
  </si>
  <si>
    <t>ENGRANAJE ESPIRAL 18 / VARIOS</t>
  </si>
  <si>
    <t>226996-9</t>
  </si>
  <si>
    <t>ENGRANAJE HELICOIDAL 16 / VARIOS</t>
  </si>
  <si>
    <t>227008-1</t>
  </si>
  <si>
    <t>ENGRANAJE INTERNO 29 / BO6040</t>
  </si>
  <si>
    <t>227019-6</t>
  </si>
  <si>
    <t>ENGRANAJE RECTO 51 / HR2230</t>
  </si>
  <si>
    <t>227028-5</t>
  </si>
  <si>
    <t>ENGRANAJE RECTO 51 / VARIOS</t>
  </si>
  <si>
    <t>227030-8</t>
  </si>
  <si>
    <t>ENGRANAJE RECTO 29-37 / VARIOS</t>
  </si>
  <si>
    <t>227109-5</t>
  </si>
  <si>
    <t>227119-2</t>
  </si>
  <si>
    <t>ENGRANAJE RECTO 29-37 / HP2070F - HP2050</t>
  </si>
  <si>
    <t>227150-8</t>
  </si>
  <si>
    <t>ENGRANAJE INTERNO / DTW251 - DTD146</t>
  </si>
  <si>
    <t>227152-4</t>
  </si>
  <si>
    <t>ENGRANAJE RECTO 10 /VARIOS</t>
  </si>
  <si>
    <t>227153-2</t>
  </si>
  <si>
    <t>ENGRANAJE RECTO 12 / UC4041A - UC4020C</t>
  </si>
  <si>
    <t>227154-0</t>
  </si>
  <si>
    <t>ENGRANAJE RECTO 43 / UC4020C</t>
  </si>
  <si>
    <t>227166-3</t>
  </si>
  <si>
    <t>ENGRANAJE INTERNO 69 / DFN350 - DPT353</t>
  </si>
  <si>
    <t>227171-0</t>
  </si>
  <si>
    <t>ENGRANAJE RECTO / DTW450</t>
  </si>
  <si>
    <t>227172-8</t>
  </si>
  <si>
    <t>ENGRANAJE RECTO 23 / VARIOS</t>
  </si>
  <si>
    <t>227173-6</t>
  </si>
  <si>
    <t>ENGRANAJE RECTO 27 / TD022D</t>
  </si>
  <si>
    <t>227176-0</t>
  </si>
  <si>
    <t>ENGRANAJE RECTO 24 / HR5211C</t>
  </si>
  <si>
    <t>227179-4</t>
  </si>
  <si>
    <t>227182-5</t>
  </si>
  <si>
    <t>ENGRANAJE RECTO 10 / HR2230</t>
  </si>
  <si>
    <t>227188-3</t>
  </si>
  <si>
    <t>ENGRANAJE RECTO 33 /VARIOS</t>
  </si>
  <si>
    <t>227213-0</t>
  </si>
  <si>
    <t>ENGRANAJE RECTO 17 / TD110D- TD0100</t>
  </si>
  <si>
    <t>227215-6</t>
  </si>
  <si>
    <t>ENGRANAJE INTERNO 43 / TD110D- TD0100</t>
  </si>
  <si>
    <t>227231-8</t>
  </si>
  <si>
    <t>227233-4</t>
  </si>
  <si>
    <t>ENGRANAJE 22 / DTW251 - DTD146</t>
  </si>
  <si>
    <t>227247-3</t>
  </si>
  <si>
    <t>ENGRANAJE RECTO 9 /VARIOS</t>
  </si>
  <si>
    <t>227248-1</t>
  </si>
  <si>
    <t>ENGRANAJE RECTO 43 /VARIOS</t>
  </si>
  <si>
    <t>227262-7</t>
  </si>
  <si>
    <t>ENGRANAJE RECTO 16 / RT0700C - DRT50</t>
  </si>
  <si>
    <t>227268-5</t>
  </si>
  <si>
    <t>ENGRANAJE RECTO 51 / M8700</t>
  </si>
  <si>
    <t>227269-3</t>
  </si>
  <si>
    <t>227279-0</t>
  </si>
  <si>
    <t>ENGRANAJE INTERNO 51 / VARIOS</t>
  </si>
  <si>
    <t>227316-0</t>
  </si>
  <si>
    <t>227336-4</t>
  </si>
  <si>
    <t>ENGRANAJE ESPIRAL 26 /VARIOS</t>
  </si>
  <si>
    <t>227337-2</t>
  </si>
  <si>
    <t>ENGRANAJE 51 / DTW285 - DTW300</t>
  </si>
  <si>
    <t>227338-0</t>
  </si>
  <si>
    <t>ENGRANAJE 22 / VARIOS</t>
  </si>
  <si>
    <t>227351-8</t>
  </si>
  <si>
    <t>ENGRANAJE INTERNO 51 / DTD170</t>
  </si>
  <si>
    <t>227359-2</t>
  </si>
  <si>
    <t>227360-7</t>
  </si>
  <si>
    <t>227362-3</t>
  </si>
  <si>
    <t>227365-7</t>
  </si>
  <si>
    <t>ENGRANAJE RECTO 13 / DFL650F-DFL651F</t>
  </si>
  <si>
    <t>227366-5</t>
  </si>
  <si>
    <t>ENGRANAJE RECTO 18 / DFL650F-DFL651F</t>
  </si>
  <si>
    <t>227378-8</t>
  </si>
  <si>
    <t>ENGRANAJE 51 / DTD152 - DTD153</t>
  </si>
  <si>
    <t>227386-9</t>
  </si>
  <si>
    <t>ENGRANAJE RECTO 31 / BO6050</t>
  </si>
  <si>
    <t>227387-7</t>
  </si>
  <si>
    <t>ENGRANAJE INTERNO 34 / BO6050</t>
  </si>
  <si>
    <t>227389-3</t>
  </si>
  <si>
    <t>ENGRANAJE RECTO 18 / AR3733-DUP361</t>
  </si>
  <si>
    <t>227390-8</t>
  </si>
  <si>
    <t>ENGRANAJE INTERNO 48 / AR3733-DUP361</t>
  </si>
  <si>
    <t>227392-4</t>
  </si>
  <si>
    <t>ENGRANAJE RECTO 54 / DTW1001 -DTW1002</t>
  </si>
  <si>
    <t>227411-6</t>
  </si>
  <si>
    <t>ENGRANAJE CONICO 19 / DA4000LR</t>
  </si>
  <si>
    <t>227412-4</t>
  </si>
  <si>
    <t>ENGRANAJE CONICO 13 / DA4000LR</t>
  </si>
  <si>
    <t>227429-7</t>
  </si>
  <si>
    <t>ENGRANAJE 9 / SG1251</t>
  </si>
  <si>
    <t>227430-2</t>
  </si>
  <si>
    <t>ENGRANAJE 35 / SG1251</t>
  </si>
  <si>
    <t>227436-0</t>
  </si>
  <si>
    <t>ENGRANAJE ESPIRAL 9 / DA3010F</t>
  </si>
  <si>
    <t>227437-8</t>
  </si>
  <si>
    <t>ENGRANAJE ESPIRAL 26 / DA3010F</t>
  </si>
  <si>
    <t>227451-4</t>
  </si>
  <si>
    <t>227452-2</t>
  </si>
  <si>
    <t>ENGRANAJE ESPIRAL 36 / VARIOS</t>
  </si>
  <si>
    <t>227455-6</t>
  </si>
  <si>
    <t>ENGRANAJE 38 / PW5001C</t>
  </si>
  <si>
    <t>227460-3</t>
  </si>
  <si>
    <t>ENGRANAJE ESPIRAL 43 / SA7000C</t>
  </si>
  <si>
    <t>227464-5</t>
  </si>
  <si>
    <t>ENGRANAJE ESPIRAL 10 / VARIOS</t>
  </si>
  <si>
    <t>227488-1</t>
  </si>
  <si>
    <t>PIÑON 16 / VARIOS</t>
  </si>
  <si>
    <t>227489-9</t>
  </si>
  <si>
    <t>ENGRANAJE 53 / GA7020 - M9000</t>
  </si>
  <si>
    <t>227490-4</t>
  </si>
  <si>
    <t>PIÑON 12 / VARIOS</t>
  </si>
  <si>
    <t>227491-2</t>
  </si>
  <si>
    <t>ENGRANAJE ESPIRAL 53A / GA9020</t>
  </si>
  <si>
    <t>227492-0</t>
  </si>
  <si>
    <t>ENGRANAJE ESPIRAL 53C  - GA9040S</t>
  </si>
  <si>
    <t>227493-8</t>
  </si>
  <si>
    <t>227495-4</t>
  </si>
  <si>
    <t>ENGRANAJE RECTO 14 / UC4020C</t>
  </si>
  <si>
    <t>227496-2</t>
  </si>
  <si>
    <t>ENGRANAJE RECTO 14 / VARIOS</t>
  </si>
  <si>
    <t>227499-6</t>
  </si>
  <si>
    <t>ENGRANAJE ESPIRAL 50 / 9060L-9069</t>
  </si>
  <si>
    <t>227500-7</t>
  </si>
  <si>
    <t>ENGRANAJE ESPIRAL 12 / 9060L-9069</t>
  </si>
  <si>
    <t>227501-5</t>
  </si>
  <si>
    <t>ENGRANAJE ESPIRAL 19 / DGA452</t>
  </si>
  <si>
    <t>227502-3</t>
  </si>
  <si>
    <t>ENGRANAJE ESPIRAL 39 /VARIOS</t>
  </si>
  <si>
    <t>227505-7</t>
  </si>
  <si>
    <t>227509-9</t>
  </si>
  <si>
    <t>ENGRANAJE RECTO 25 / VARIOS</t>
  </si>
  <si>
    <t>227511-2</t>
  </si>
  <si>
    <t>REDUCTOR RECTO CONICO 33 / HR5201C - HR5211C</t>
  </si>
  <si>
    <t>227512-0</t>
  </si>
  <si>
    <t>ENGRANAJE ESPIRAL 52 / 9237CB - 9227CB</t>
  </si>
  <si>
    <t>227513-8</t>
  </si>
  <si>
    <t>227514-6</t>
  </si>
  <si>
    <t>ENGRANAJE ESPIRAL 38 /VARIOS</t>
  </si>
  <si>
    <t>227517-0</t>
  </si>
  <si>
    <t>ENGRANAJE ESPIRAL 13 / VARIOS</t>
  </si>
  <si>
    <t>227519-6</t>
  </si>
  <si>
    <t>ENGRANAJE ESPIRAL 34B / VARIOS</t>
  </si>
  <si>
    <t>227520-1</t>
  </si>
  <si>
    <t>227521-9</t>
  </si>
  <si>
    <t>227522-7</t>
  </si>
  <si>
    <t>ENGRANAJE ESPIRAL 35B /VARIOS</t>
  </si>
  <si>
    <t>227524-3</t>
  </si>
  <si>
    <t>ENGRANAJE ESPIRAL9 / HR2810</t>
  </si>
  <si>
    <t>227531-6</t>
  </si>
  <si>
    <t>ENGRANAJE ESPIRAL 37 / HR3210C</t>
  </si>
  <si>
    <t>227532-4</t>
  </si>
  <si>
    <t>ENGRANAJE 31 / HR2810</t>
  </si>
  <si>
    <t>227533-2</t>
  </si>
  <si>
    <t>ENGRANAJE ESPIRAL 9 / HR3210C</t>
  </si>
  <si>
    <t>227536-6</t>
  </si>
  <si>
    <t>ENGRANAJE ESPIRAL 26 / VARIOS</t>
  </si>
  <si>
    <t>227541-3</t>
  </si>
  <si>
    <t>PIÑON CONICO 10 / VARIOS</t>
  </si>
  <si>
    <t>227542-1</t>
  </si>
  <si>
    <t>227545-5</t>
  </si>
  <si>
    <t>227546-3</t>
  </si>
  <si>
    <t>227549-7</t>
  </si>
  <si>
    <t>ENGRANAJE 26 / DHR263</t>
  </si>
  <si>
    <t>227550-2</t>
  </si>
  <si>
    <t>ENGRANAJE ESPIRAL 32 / VARIOS</t>
  </si>
  <si>
    <t>227561-7</t>
  </si>
  <si>
    <t>ENGRANAJE 49 / GA9050 - DGA900</t>
  </si>
  <si>
    <t>227562-5</t>
  </si>
  <si>
    <t>ENGRANAJE 38 / GA7050</t>
  </si>
  <si>
    <t>227563-3</t>
  </si>
  <si>
    <t>ENGRANAJE ESPIRAL 10B / VARIOS</t>
  </si>
  <si>
    <t>227564-1</t>
  </si>
  <si>
    <t>PIÑON 10A / GA7050</t>
  </si>
  <si>
    <t>227578-0</t>
  </si>
  <si>
    <t>ENGRANAJE ESPIRAL 37 / M0901</t>
  </si>
  <si>
    <t>227579-8</t>
  </si>
  <si>
    <t>ENGRANAJE ESPIRAL 13 / M0901</t>
  </si>
  <si>
    <t>227591-8</t>
  </si>
  <si>
    <t>227592-6</t>
  </si>
  <si>
    <t>227593-4</t>
  </si>
  <si>
    <t>ENGRANAJE ESPIRAL 9 / PC5010</t>
  </si>
  <si>
    <t>227594-2</t>
  </si>
  <si>
    <t>ENGRANAJE ESPIRAL 41 / PC5010</t>
  </si>
  <si>
    <t>227603-7</t>
  </si>
  <si>
    <t>ENGRANAJE ESPIRAL 31 / DA331D-DA333D</t>
  </si>
  <si>
    <t>227608-7</t>
  </si>
  <si>
    <t>ENGRANAJE ESPIRAL 10 /VARIOS</t>
  </si>
  <si>
    <t>227609-5</t>
  </si>
  <si>
    <t>227612-6</t>
  </si>
  <si>
    <t>ENGRANAJE ESPIRAL 7 / VARIOS</t>
  </si>
  <si>
    <t>227613-4</t>
  </si>
  <si>
    <t>227615-0</t>
  </si>
  <si>
    <t>ENGRANAJE 53 / M0920</t>
  </si>
  <si>
    <t>227616-8</t>
  </si>
  <si>
    <t>ENGRANAJE ESPIRAL 16 / VARIOS</t>
  </si>
  <si>
    <t>227617-6</t>
  </si>
  <si>
    <t>ENGRANAJE ESPIRAL 12 / VARIOS</t>
  </si>
  <si>
    <t>227618-4</t>
  </si>
  <si>
    <t>ENGRANAJE ESPIRAL 53B / M0921</t>
  </si>
  <si>
    <t>227620-7</t>
  </si>
  <si>
    <t>ENGRANAJE DE TRANSMISION / DUC254 - DUC406</t>
  </si>
  <si>
    <t>227625-7</t>
  </si>
  <si>
    <t>ENGRANAJE DE ESPIRAL 33 /VARIOS</t>
  </si>
  <si>
    <t>227626-5</t>
  </si>
  <si>
    <t>227627-3</t>
  </si>
  <si>
    <t>227628-1</t>
  </si>
  <si>
    <t>ENGRANAJE ESPIRAL 10/ VARIOS</t>
  </si>
  <si>
    <t>227634-6</t>
  </si>
  <si>
    <t>ENGRANAJE RECTO 14 /VARIOS</t>
  </si>
  <si>
    <t>227637-0</t>
  </si>
  <si>
    <t>ENGRANAJE ESPIRAL 35A / M9002</t>
  </si>
  <si>
    <t>227643-5</t>
  </si>
  <si>
    <t>ENGRANAJE ESPIRAL 47 / VARIOS</t>
  </si>
  <si>
    <t>227647-7</t>
  </si>
  <si>
    <t>ENGRANAJE ESPIRAL 11 / BO6050</t>
  </si>
  <si>
    <t>227648-5</t>
  </si>
  <si>
    <t>ENGRANAJE ESPIRAL 43 / BO6050</t>
  </si>
  <si>
    <t>227650-8</t>
  </si>
  <si>
    <t>ENGRANAJE 7 / DJR186</t>
  </si>
  <si>
    <t>227652-4</t>
  </si>
  <si>
    <t>ENGRANAJE 13 / VARIOS</t>
  </si>
  <si>
    <t>227655-8</t>
  </si>
  <si>
    <t>PIÑON 17 / VARIOS</t>
  </si>
  <si>
    <t>227656-6</t>
  </si>
  <si>
    <t>ENGRANAJE 55 / GA7060 - GA7070</t>
  </si>
  <si>
    <t>227701-7</t>
  </si>
  <si>
    <t>ENGRANAJE HELICOIDAL 14 / VARIOS</t>
  </si>
  <si>
    <t>227702-5</t>
  </si>
  <si>
    <t>ENGRANAJE HELICOIDAL 27 / VARIOS</t>
  </si>
  <si>
    <t>227703-3</t>
  </si>
  <si>
    <t>ENGRANAJE HELICOIDAL 28 / VARIOS</t>
  </si>
  <si>
    <t>227709-1</t>
  </si>
  <si>
    <t>ENGRANAJE HELICOIDAL / HM1307C - HM1307CB</t>
  </si>
  <si>
    <t>227719-8</t>
  </si>
  <si>
    <t>227726-1</t>
  </si>
  <si>
    <t>ENGRANAJE HELICOIDAL 31 / DLS600</t>
  </si>
  <si>
    <t>227727-9</t>
  </si>
  <si>
    <t>ENGRANAJE HELICOIDAL 39 / DLS600</t>
  </si>
  <si>
    <t>227731-8</t>
  </si>
  <si>
    <t>ENGRANAJE HELICOIDAL 40 / JS1000-JS1601</t>
  </si>
  <si>
    <t>227735-0</t>
  </si>
  <si>
    <t>ENGRANAJE 9B / CC300D - CC301D</t>
  </si>
  <si>
    <t>227736-8</t>
  </si>
  <si>
    <t>ENGRANAJE 28 / CC300D - CC301D</t>
  </si>
  <si>
    <t>227737-6</t>
  </si>
  <si>
    <t>ENGRANAJE 47 / CC300D - CC301D</t>
  </si>
  <si>
    <t>227743-1</t>
  </si>
  <si>
    <t>ENGRANAJE HELICOIDAL 11 / VARIOS</t>
  </si>
  <si>
    <t>227744-9</t>
  </si>
  <si>
    <t>ENGRANAJE HELICOIDAL 18 / VARIOS</t>
  </si>
  <si>
    <t>227748-1</t>
  </si>
  <si>
    <t>ENGRANAJE 27 / VARIOS</t>
  </si>
  <si>
    <t>227762-7</t>
  </si>
  <si>
    <t>ENGRANAJE HELICOIDAL 14 / M0400</t>
  </si>
  <si>
    <t>227763-5</t>
  </si>
  <si>
    <t>ENGRANAJE HELICOIDAL 32 / M0400</t>
  </si>
  <si>
    <t>227764-3</t>
  </si>
  <si>
    <t>ENGRANAJE HELICOIDAL / M0801K</t>
  </si>
  <si>
    <t>227766-9</t>
  </si>
  <si>
    <t>ENGRANAJE 47 / GS5000 - GS6000</t>
  </si>
  <si>
    <t>227767-7</t>
  </si>
  <si>
    <t>ENGRANAJE 34 / 4100NH3</t>
  </si>
  <si>
    <t>227769-3</t>
  </si>
  <si>
    <t>227772-4</t>
  </si>
  <si>
    <t>227788-9</t>
  </si>
  <si>
    <t>ENGRANAJE ESPIRAL 46 /VARIOS</t>
  </si>
  <si>
    <t>227793-6</t>
  </si>
  <si>
    <t>ENGRANAJE 38 / HS7600 - HS6600</t>
  </si>
  <si>
    <t>227797-8</t>
  </si>
  <si>
    <t>ENGRANAJE 57 / HM1812 - HM1802</t>
  </si>
  <si>
    <t>227806-3</t>
  </si>
  <si>
    <t>ENGRANAJE HELICOIDAL 37 / HP1630K</t>
  </si>
  <si>
    <t>227811-0</t>
  </si>
  <si>
    <t>ENGRANAJE HELICOIDAL 50 / LW1401</t>
  </si>
  <si>
    <t>227813-6</t>
  </si>
  <si>
    <t>ENGRANAJE RECTO 21 / DTW700-DTW701</t>
  </si>
  <si>
    <t>227814-4</t>
  </si>
  <si>
    <t>ENGRANAJE INTERNO 48 / DTW700-DTW701</t>
  </si>
  <si>
    <t>227830-6</t>
  </si>
  <si>
    <t>ENGRANAJE HELICOIDAL 32/ DUR192L</t>
  </si>
  <si>
    <t>227832-2</t>
  </si>
  <si>
    <t>ENGRANAJE HELICOIDAL 53 / VARIOS</t>
  </si>
  <si>
    <t>227833-0</t>
  </si>
  <si>
    <t>ENGRANAJE RECTO 31-45 /VARIOS</t>
  </si>
  <si>
    <t>227834-8</t>
  </si>
  <si>
    <t>ENGRANAJE HELICOIDAL  16 /UR006G-07G</t>
  </si>
  <si>
    <t>227848-7</t>
  </si>
  <si>
    <t>ENGRANAJE HELICOIDAL 33 /VARIOS</t>
  </si>
  <si>
    <t>227855-0</t>
  </si>
  <si>
    <t>ENGRANAJE 45 / DCC500</t>
  </si>
  <si>
    <t>227883-5</t>
  </si>
  <si>
    <t>ENGRANAJE 11 / DUR192L</t>
  </si>
  <si>
    <t>227891-6</t>
  </si>
  <si>
    <t>ENGRANAJE RECTO 28 / TW007G-TW008G</t>
  </si>
  <si>
    <t>227896-6</t>
  </si>
  <si>
    <t>ENGRANAJE ESPIRAL 11 /GA5080</t>
  </si>
  <si>
    <t>227916-6</t>
  </si>
  <si>
    <t>ENGRANAJE CONICO 11 / VARIOS</t>
  </si>
  <si>
    <t>227917-4</t>
  </si>
  <si>
    <t>ENGRANAJE  ESPIRAL 38 / VARIOS</t>
  </si>
  <si>
    <t>227920-5</t>
  </si>
  <si>
    <t>227921-3</t>
  </si>
  <si>
    <t>ENGRANAJE ESPIRAL 15 / VARIOS</t>
  </si>
  <si>
    <t>227930-2</t>
  </si>
  <si>
    <t>227931-0</t>
  </si>
  <si>
    <t>ENGRANAJE ESPIRAL 29 / VARIOS</t>
  </si>
  <si>
    <t>227932-8</t>
  </si>
  <si>
    <t>ENGRANAJE CILINDRICO 12 / VARIOS</t>
  </si>
  <si>
    <t>227934-4</t>
  </si>
  <si>
    <t>ENGRANAJE HELICOIDAL 61 / VARIOS</t>
  </si>
  <si>
    <t>227947-5</t>
  </si>
  <si>
    <t>227953-0</t>
  </si>
  <si>
    <t>ENGRANAJE ESPIRAL 52 / PV001G</t>
  </si>
  <si>
    <t>227956-4</t>
  </si>
  <si>
    <t>227957-2</t>
  </si>
  <si>
    <t>227959-8</t>
  </si>
  <si>
    <t>PIÑON 19 / DGA452</t>
  </si>
  <si>
    <t>227989-9</t>
  </si>
  <si>
    <t>ENGRANAJE RECTO 16 / VARIOS</t>
  </si>
  <si>
    <t>227990-4</t>
  </si>
  <si>
    <t>ENGRANAJE RECTO 73 / VARIOS</t>
  </si>
  <si>
    <t>227A17-6</t>
  </si>
  <si>
    <t>227A40-1</t>
  </si>
  <si>
    <t>ENGRANE HELICOIDAL 52 /HS012G</t>
  </si>
  <si>
    <t>231004-3</t>
  </si>
  <si>
    <t>RESORTE 18 / VARIOS</t>
  </si>
  <si>
    <t>231025-5</t>
  </si>
  <si>
    <t>RESORTE 8 / UC4020C - EA3203S</t>
  </si>
  <si>
    <t>231026-3</t>
  </si>
  <si>
    <t>RESORTE 4 / VARIOS</t>
  </si>
  <si>
    <t>231037-8</t>
  </si>
  <si>
    <t>RESORTE 7 / VARIOS</t>
  </si>
  <si>
    <t>231038-6</t>
  </si>
  <si>
    <t>RESORTE DE COMPRESION 6 / VARIOS</t>
  </si>
  <si>
    <t>231056-4</t>
  </si>
  <si>
    <t>RESORTE 13 / 9031</t>
  </si>
  <si>
    <t>231110-4</t>
  </si>
  <si>
    <t>RESORTE DE COMPRESION 9 / 9401-9402</t>
  </si>
  <si>
    <t>231113-8</t>
  </si>
  <si>
    <t>RESORTE 12 / DUR181 - DUR193</t>
  </si>
  <si>
    <t>231131-6</t>
  </si>
  <si>
    <t>RESORTE DE COMPRESION 11 / VARIOS</t>
  </si>
  <si>
    <t>231135-8</t>
  </si>
  <si>
    <t>RESORTE 37 / 6906</t>
  </si>
  <si>
    <t>231139-0</t>
  </si>
  <si>
    <t>RESORTE 9 / N5900B</t>
  </si>
  <si>
    <t>231225-7</t>
  </si>
  <si>
    <t>RESORTE 16 / M9400</t>
  </si>
  <si>
    <t>231227-3</t>
  </si>
  <si>
    <t>RESORTE 15 / DLM465</t>
  </si>
  <si>
    <t>231231-2</t>
  </si>
  <si>
    <t>RESORTE 12 / VARIOS</t>
  </si>
  <si>
    <t>231234-6</t>
  </si>
  <si>
    <t>RESORTE 3.5 / VARIOS</t>
  </si>
  <si>
    <t>231240-1</t>
  </si>
  <si>
    <t>231252-4</t>
  </si>
  <si>
    <t>RESORTE 6 / 9557HP - GD0600</t>
  </si>
  <si>
    <t>231294-8</t>
  </si>
  <si>
    <t>RESORTE 6 / DTR180</t>
  </si>
  <si>
    <t>231297-2</t>
  </si>
  <si>
    <t>RESORTE 9 / VARIOS</t>
  </si>
  <si>
    <t>231298-0</t>
  </si>
  <si>
    <t>RESORTE 6 / DUC400 - DVR850</t>
  </si>
  <si>
    <t>231309-1</t>
  </si>
  <si>
    <t>RESORTE DE COMPRESION 5 / JR3070CT</t>
  </si>
  <si>
    <t>231315-6</t>
  </si>
  <si>
    <t>RESORTE 14 / 2704</t>
  </si>
  <si>
    <t>231316-4</t>
  </si>
  <si>
    <t>231325-3</t>
  </si>
  <si>
    <t>RESORTE 6 / VARIOS</t>
  </si>
  <si>
    <t>231329-5</t>
  </si>
  <si>
    <t>RESORTE 11 / VARIOS</t>
  </si>
  <si>
    <t>231372-4</t>
  </si>
  <si>
    <t>RESORTE 5 / VARIOS</t>
  </si>
  <si>
    <t>231397-8</t>
  </si>
  <si>
    <t>231416-0</t>
  </si>
  <si>
    <t>RESORTE 10 / RP0900 - M3601</t>
  </si>
  <si>
    <t>231417-8</t>
  </si>
  <si>
    <t>231419-4</t>
  </si>
  <si>
    <t>231423-3</t>
  </si>
  <si>
    <t>RESORTE 13.6 / FS2700</t>
  </si>
  <si>
    <t>231433-0</t>
  </si>
  <si>
    <t>231457-6</t>
  </si>
  <si>
    <t>RESORTE 3 / VARIOS</t>
  </si>
  <si>
    <t>231459-2</t>
  </si>
  <si>
    <t>RESORTE 13 / 2012NB</t>
  </si>
  <si>
    <t>231469-9</t>
  </si>
  <si>
    <t>231473-8</t>
  </si>
  <si>
    <t>231485-1</t>
  </si>
  <si>
    <t>RESORTE 4 / 2704</t>
  </si>
  <si>
    <t>231493-2</t>
  </si>
  <si>
    <t>RESORTE 34 / 6905H</t>
  </si>
  <si>
    <t>231504-3</t>
  </si>
  <si>
    <t>RESORTE DE TORSION 10 / 1051D - 1923H</t>
  </si>
  <si>
    <t>231588-1</t>
  </si>
  <si>
    <t>RESORTE DE TORSION 9 / 2012NB</t>
  </si>
  <si>
    <t>231593-8</t>
  </si>
  <si>
    <t>RESORTE DE TORSION 36 / LS1040 - LS1040F</t>
  </si>
  <si>
    <t>231618-8</t>
  </si>
  <si>
    <t>RESORTE 15 / 3612-3612C</t>
  </si>
  <si>
    <t>231634-0</t>
  </si>
  <si>
    <t>RESORTE DE TORSION 45 / VARIOS</t>
  </si>
  <si>
    <t>231635-8</t>
  </si>
  <si>
    <t>RESORTE DE TORSION 34 / LS1221</t>
  </si>
  <si>
    <t>231638-2</t>
  </si>
  <si>
    <t>RESORTE TORSION 28 / VARIOS</t>
  </si>
  <si>
    <t>231640-5</t>
  </si>
  <si>
    <t>RESORTE DE TORSION 20 / UC4041A - UC4020C</t>
  </si>
  <si>
    <t>231643-9</t>
  </si>
  <si>
    <t>RESORTE DE TORSION 38 / LC1230</t>
  </si>
  <si>
    <t>231647-1</t>
  </si>
  <si>
    <t>RESORTE TORSION 4 / BO3700</t>
  </si>
  <si>
    <t>231659-4</t>
  </si>
  <si>
    <t>RESORTE 6 / 4350FCT - DJV182</t>
  </si>
  <si>
    <t>231660-9</t>
  </si>
  <si>
    <t>RESORTE DE TORSION 15 / 4350FCT</t>
  </si>
  <si>
    <t>231667-5</t>
  </si>
  <si>
    <t>RESORTE TORSION 24 / VARIOS</t>
  </si>
  <si>
    <t>231669-1</t>
  </si>
  <si>
    <t>RESORTE DE TORSION 31 / HR2320T</t>
  </si>
  <si>
    <t>231670-6</t>
  </si>
  <si>
    <t>RESORTE DE TORSION 16 / M3600</t>
  </si>
  <si>
    <t>231677-2</t>
  </si>
  <si>
    <t>RESORTE DE TORSION 9 / M1100</t>
  </si>
  <si>
    <t>231687-9</t>
  </si>
  <si>
    <t>RESORTE 17 / VARIOS</t>
  </si>
  <si>
    <t>231698-4</t>
  </si>
  <si>
    <t>231793-0</t>
  </si>
  <si>
    <t>RESORTE DE TENSION 5 / 2012NB</t>
  </si>
  <si>
    <t>231817-2</t>
  </si>
  <si>
    <t>RESORTE 5 / UC4041A - UC4020C</t>
  </si>
  <si>
    <t>231819-8</t>
  </si>
  <si>
    <t>RESORTE DE TENSION 4 / M9400</t>
  </si>
  <si>
    <t>231823-7</t>
  </si>
  <si>
    <t>RESORTE 4 / 4131</t>
  </si>
  <si>
    <t>231828-7</t>
  </si>
  <si>
    <t>231832-6</t>
  </si>
  <si>
    <t>RESORTE 3 / DHS660</t>
  </si>
  <si>
    <t>231833-4</t>
  </si>
  <si>
    <t>RESORTE DE TENSION 3 / M5801</t>
  </si>
  <si>
    <t>231834-2</t>
  </si>
  <si>
    <t>RESORTE TENSION 5 / N5900B</t>
  </si>
  <si>
    <t>231839-2</t>
  </si>
  <si>
    <t>RESORTE 4 / 5007NK</t>
  </si>
  <si>
    <t>231846-5</t>
  </si>
  <si>
    <t>RESORTE TORSION 5 / 5902B-N5900B</t>
  </si>
  <si>
    <t>231848-1</t>
  </si>
  <si>
    <t>RESORTE TENSION 4 / 5008MG-SCW70</t>
  </si>
  <si>
    <t>231863-5</t>
  </si>
  <si>
    <t>231869-3</t>
  </si>
  <si>
    <t>231873-2</t>
  </si>
  <si>
    <t>RESORTE 5 / EA3203S</t>
  </si>
  <si>
    <t>231878-2</t>
  </si>
  <si>
    <t>231881-3</t>
  </si>
  <si>
    <t>RESORTE TENSION 9 / VARIOS</t>
  </si>
  <si>
    <t>231884-7</t>
  </si>
  <si>
    <t>RESORTE DE TENSION 6 / EK7650H</t>
  </si>
  <si>
    <t>231891-0</t>
  </si>
  <si>
    <t>231899-4</t>
  </si>
  <si>
    <t>RESORTE 31 / M8701</t>
  </si>
  <si>
    <t>231900-5</t>
  </si>
  <si>
    <t>RESORTE 5 / M8701</t>
  </si>
  <si>
    <t>231907-1</t>
  </si>
  <si>
    <t>ANILLO DE RETENCION / VARIOS</t>
  </si>
  <si>
    <t>231920-9</t>
  </si>
  <si>
    <t>ANILLO DE RETENCION 16 / 6906</t>
  </si>
  <si>
    <t>231921-7</t>
  </si>
  <si>
    <t>ANILLO DE RETENCION 22 / TW1000</t>
  </si>
  <si>
    <t>231928-3</t>
  </si>
  <si>
    <t>ANILLO DE RETENCION 8 / VARIOS</t>
  </si>
  <si>
    <t>231934-8</t>
  </si>
  <si>
    <t>RESORTE ESPIRAL 26 / VARIOS</t>
  </si>
  <si>
    <t>231936-4</t>
  </si>
  <si>
    <t>ANILLO RESORTE 30.5 / VARIOS</t>
  </si>
  <si>
    <t>231940-3</t>
  </si>
  <si>
    <t>ANILLO DE RETENCION 22 / FS2700</t>
  </si>
  <si>
    <t>231951-8</t>
  </si>
  <si>
    <t>ANILLO DE RETENCION 11 / VARIOS</t>
  </si>
  <si>
    <t>231952-6</t>
  </si>
  <si>
    <t>SEGURO 12 / DWR180</t>
  </si>
  <si>
    <t>231955-0</t>
  </si>
  <si>
    <t>ANILLO DE RETENCION 12 / N5900B</t>
  </si>
  <si>
    <t>231965-7</t>
  </si>
  <si>
    <t>ANILLO DE RETENCION 10 / VARIOS</t>
  </si>
  <si>
    <t>231975-4</t>
  </si>
  <si>
    <t>RESORTE / UC4020C</t>
  </si>
  <si>
    <t>231984-3</t>
  </si>
  <si>
    <t>ANILLO DE RETENCION 25 / VARIOS</t>
  </si>
  <si>
    <t>231985-1</t>
  </si>
  <si>
    <t>ANILLO DE RETENCION 43 / HM1214C</t>
  </si>
  <si>
    <t>231987-7</t>
  </si>
  <si>
    <t>ANILLO DE PRESION / VARIOS</t>
  </si>
  <si>
    <t>231989-3</t>
  </si>
  <si>
    <t>ANILLO DE RETENSION 46 / VARIOS</t>
  </si>
  <si>
    <t>231991-6</t>
  </si>
  <si>
    <t>RESORTE CONICO 21-31 / HR3210C</t>
  </si>
  <si>
    <t>232029-0</t>
  </si>
  <si>
    <t>LAMINA RESORTE / 9401-9402</t>
  </si>
  <si>
    <t>232050-9</t>
  </si>
  <si>
    <t>RESORTE DE HOJA / VARIOS</t>
  </si>
  <si>
    <t>232053-3</t>
  </si>
  <si>
    <t>LAMINA RESORTE / VARIOS</t>
  </si>
  <si>
    <t>232131-9</t>
  </si>
  <si>
    <t>RESORTE DE DISCO / PJ7000 - DPJ180</t>
  </si>
  <si>
    <t>232143-2</t>
  </si>
  <si>
    <t>RESORTE PLANO / HP2070F - HP2050</t>
  </si>
  <si>
    <t>232152-1</t>
  </si>
  <si>
    <t>232163-6</t>
  </si>
  <si>
    <t>ARANDELA 20 / VARIOS</t>
  </si>
  <si>
    <t>232171-7</t>
  </si>
  <si>
    <t>RESORTE LAMINA 37 / HR4000C-HR4500C</t>
  </si>
  <si>
    <t>232174-1</t>
  </si>
  <si>
    <t>RESORTE DE HOJA / 2704</t>
  </si>
  <si>
    <t>232180-6</t>
  </si>
  <si>
    <t>RESORTE LAMINA 41 / VARIOS</t>
  </si>
  <si>
    <t>232182-2</t>
  </si>
  <si>
    <t>LAMINA DE TORQUE / VARIOS</t>
  </si>
  <si>
    <t>232183-0</t>
  </si>
  <si>
    <t>232185-6</t>
  </si>
  <si>
    <t>232190-3</t>
  </si>
  <si>
    <t>RESORTE LAMINA 26 / VARIOS</t>
  </si>
  <si>
    <t>232207-2</t>
  </si>
  <si>
    <t>RESORTE DE HOJA / 4350FCT - DJV182</t>
  </si>
  <si>
    <t>232208-0</t>
  </si>
  <si>
    <t>232209-8</t>
  </si>
  <si>
    <t>RESORTE LAMINA / VARIOS</t>
  </si>
  <si>
    <t>232210-3</t>
  </si>
  <si>
    <t>232220-0</t>
  </si>
  <si>
    <t>232221-8</t>
  </si>
  <si>
    <t>RESORTE DE HOJA A / VARIOS</t>
  </si>
  <si>
    <t>232222-6</t>
  </si>
  <si>
    <t>RESORTE DE HOJA B / VARIOS</t>
  </si>
  <si>
    <t>232239-9</t>
  </si>
  <si>
    <t>232245-4</t>
  </si>
  <si>
    <t>232251-9</t>
  </si>
  <si>
    <t>232257-7</t>
  </si>
  <si>
    <t>RESORTE ESPIRAL / VARIOS</t>
  </si>
  <si>
    <t>232258-5</t>
  </si>
  <si>
    <t>232268-2</t>
  </si>
  <si>
    <t>232280-2</t>
  </si>
  <si>
    <t>PORTA HOJA / VARIOS</t>
  </si>
  <si>
    <t>232286-0</t>
  </si>
  <si>
    <t>232290-9</t>
  </si>
  <si>
    <t>RESORTE 6 / EM4351UH</t>
  </si>
  <si>
    <t>232299-1</t>
  </si>
  <si>
    <t>RESORTE 5 / DST111-DST112</t>
  </si>
  <si>
    <t>232304-4</t>
  </si>
  <si>
    <t>RESORTE 22 / EB7660TH</t>
  </si>
  <si>
    <t>232305-2</t>
  </si>
  <si>
    <t>232310-9</t>
  </si>
  <si>
    <t>RESORTE DE TORSION 28 / EB7660TH</t>
  </si>
  <si>
    <t>232311-7</t>
  </si>
  <si>
    <t>RESORTE 22 / DLS600-LS002G</t>
  </si>
  <si>
    <t>232315-9</t>
  </si>
  <si>
    <t>RESORTE 12 / EB5300TH</t>
  </si>
  <si>
    <t>232316-7</t>
  </si>
  <si>
    <t>SEGURO 11 / EB5300TH</t>
  </si>
  <si>
    <t>232317-5</t>
  </si>
  <si>
    <t>ARANDELA DE PRESION 9 / VARIOS</t>
  </si>
  <si>
    <t>232318-3</t>
  </si>
  <si>
    <t>RESORTE DE TORSION 10 / DUC400</t>
  </si>
  <si>
    <t>232319-1</t>
  </si>
  <si>
    <t>RESORTE 9 / DUC400</t>
  </si>
  <si>
    <t>232326-4</t>
  </si>
  <si>
    <t>232328-0</t>
  </si>
  <si>
    <t>RESORTE 22 / EB5300TH</t>
  </si>
  <si>
    <t>232329-8</t>
  </si>
  <si>
    <t>232330-3</t>
  </si>
  <si>
    <t>RESORTE DE HOJA / EB5300TH</t>
  </si>
  <si>
    <t>232331-1</t>
  </si>
  <si>
    <t>232334-5</t>
  </si>
  <si>
    <t>ANILLO DE RETENCION 16 / DTW1001</t>
  </si>
  <si>
    <t>232347-6</t>
  </si>
  <si>
    <t>RESORTE CONICO 21-29 / VARIOS</t>
  </si>
  <si>
    <t>232350-7</t>
  </si>
  <si>
    <t>RESORTE 6 / UR101</t>
  </si>
  <si>
    <t>232352-3</t>
  </si>
  <si>
    <t>RESORTE TENSION 6 / VARIOS</t>
  </si>
  <si>
    <t>232353-1</t>
  </si>
  <si>
    <t>RESORTE 4 / DWR180</t>
  </si>
  <si>
    <t>232356-5</t>
  </si>
  <si>
    <t>RESORTE DE TENSION 6 / HS0600</t>
  </si>
  <si>
    <t>232361-2</t>
  </si>
  <si>
    <t>RESORTE CONICO</t>
  </si>
  <si>
    <t>232362-0</t>
  </si>
  <si>
    <t>RESORTE DE HOJA / DPT353</t>
  </si>
  <si>
    <t>232363-8</t>
  </si>
  <si>
    <t>RESORTE 7 / DFN350 - DPT353</t>
  </si>
  <si>
    <t>232364-6</t>
  </si>
  <si>
    <t>RESORTE 17 / DPT353</t>
  </si>
  <si>
    <t>232365-4</t>
  </si>
  <si>
    <t>RESORTE 7 / DPT353</t>
  </si>
  <si>
    <t>232366-2</t>
  </si>
  <si>
    <t>RESORTE 5 / DPT353</t>
  </si>
  <si>
    <t>232367-0</t>
  </si>
  <si>
    <t>RESORTE 3 / DPT353</t>
  </si>
  <si>
    <t>232369-6</t>
  </si>
  <si>
    <t>RESORTE LAMINA / DF012D</t>
  </si>
  <si>
    <t>232370-1</t>
  </si>
  <si>
    <t>RESORTE 5 / DFN350 - DPT353</t>
  </si>
  <si>
    <t>232371-9</t>
  </si>
  <si>
    <t>RESORTE 5 / DRS780</t>
  </si>
  <si>
    <t>232381-6</t>
  </si>
  <si>
    <t>RESORTE 6 / DRS780</t>
  </si>
  <si>
    <t>232384-0</t>
  </si>
  <si>
    <t>RESORTE 10 / VARIOS</t>
  </si>
  <si>
    <t>232405-8</t>
  </si>
  <si>
    <t>RESORTE 15 / DBN600</t>
  </si>
  <si>
    <t>232406-6</t>
  </si>
  <si>
    <t>RESORTE 9 / DBN600</t>
  </si>
  <si>
    <t>232407-4</t>
  </si>
  <si>
    <t>232408-2</t>
  </si>
  <si>
    <t>RESORTE LAMINA / DBN600</t>
  </si>
  <si>
    <t>232409-0</t>
  </si>
  <si>
    <t>232410-5</t>
  </si>
  <si>
    <t>RESORTE 21 / DTW180</t>
  </si>
  <si>
    <t>232411-3</t>
  </si>
  <si>
    <t>RESORTE 8 / DHR400</t>
  </si>
  <si>
    <t>232412-1</t>
  </si>
  <si>
    <t>RESORTE DE TORSION 11 / VARIOS</t>
  </si>
  <si>
    <t>232418-9</t>
  </si>
  <si>
    <t>RESORTE 5 / HR006G / DHR400 - HR005G</t>
  </si>
  <si>
    <t>232427-8</t>
  </si>
  <si>
    <t>RESORTE 2 / VARIOS</t>
  </si>
  <si>
    <t>232428-6</t>
  </si>
  <si>
    <t>232429-4</t>
  </si>
  <si>
    <t>RESORTE 11 / DHW080</t>
  </si>
  <si>
    <t>232432-5</t>
  </si>
  <si>
    <t>RESORTE 7 / DHW080</t>
  </si>
  <si>
    <t>232433-3</t>
  </si>
  <si>
    <t>RESORTE 6 / DHW080</t>
  </si>
  <si>
    <t>232434-1</t>
  </si>
  <si>
    <t>RESORTE 22 / DHW080</t>
  </si>
  <si>
    <t>232435-9</t>
  </si>
  <si>
    <t>RESORTE DE TORSION 4 / DHW080</t>
  </si>
  <si>
    <t>232436-7</t>
  </si>
  <si>
    <t>RESORTE 10 / HR003G - DHR280</t>
  </si>
  <si>
    <t>232442-2</t>
  </si>
  <si>
    <t>RESORTE 3 / DTR180</t>
  </si>
  <si>
    <t>232443-0</t>
  </si>
  <si>
    <t>232446-4</t>
  </si>
  <si>
    <t>RESORTE 7 / DTR180</t>
  </si>
  <si>
    <t>232448-0</t>
  </si>
  <si>
    <t>232449-8</t>
  </si>
  <si>
    <t>RESORTE 14 / HR003G - DHR280</t>
  </si>
  <si>
    <t>232452-9</t>
  </si>
  <si>
    <t>RESORTE 7 / DUC254 - DUC406</t>
  </si>
  <si>
    <t>232453-7</t>
  </si>
  <si>
    <t>RESORTE 3 / DUC254</t>
  </si>
  <si>
    <t>232454-5</t>
  </si>
  <si>
    <t>RESORTE TORSION 10 / VARIOS</t>
  </si>
  <si>
    <t>232459-5</t>
  </si>
  <si>
    <t>RESORTE 24B / DTD171</t>
  </si>
  <si>
    <t>232467-6</t>
  </si>
  <si>
    <t>RESORTE DE TENSION 4 / VARIOS</t>
  </si>
  <si>
    <t>232469-2</t>
  </si>
  <si>
    <t>RESORTE 15 / DLM460</t>
  </si>
  <si>
    <t>232470-7</t>
  </si>
  <si>
    <t>RESORTE 12 / DLM460</t>
  </si>
  <si>
    <t>232471-5</t>
  </si>
  <si>
    <t>RESORTE DE HOJA / DHW080</t>
  </si>
  <si>
    <t>232472-3</t>
  </si>
  <si>
    <t>232473-1</t>
  </si>
  <si>
    <t>RESORTE 8 / DHR182</t>
  </si>
  <si>
    <t>232475-7</t>
  </si>
  <si>
    <t>RESORTE 3 / DHR182</t>
  </si>
  <si>
    <t>232478-1</t>
  </si>
  <si>
    <t>RESORTE DE TORSION 33 / DLW140</t>
  </si>
  <si>
    <t>232479-9</t>
  </si>
  <si>
    <t>RESORTE 4 / DX05</t>
  </si>
  <si>
    <t>232485-4</t>
  </si>
  <si>
    <t>ANILLO DE RETENCION 5 / VARIOS</t>
  </si>
  <si>
    <t>232489-6</t>
  </si>
  <si>
    <t>RESORTE 21 / DTW181</t>
  </si>
  <si>
    <t>232490-1</t>
  </si>
  <si>
    <t>232491-9</t>
  </si>
  <si>
    <t>RESORTE DE COMPRESION 9 / VARIOS</t>
  </si>
  <si>
    <t>232493-5</t>
  </si>
  <si>
    <t>LAMINA DE RESORTE / VARIOS</t>
  </si>
  <si>
    <t>232501-2</t>
  </si>
  <si>
    <t>ANILLO RESORTE 24 / VARIOS</t>
  </si>
  <si>
    <t>232509-6</t>
  </si>
  <si>
    <t>RESORTE 10 / DUC406</t>
  </si>
  <si>
    <t>232510-1</t>
  </si>
  <si>
    <t>RESORTE DE HOJA / DSL800</t>
  </si>
  <si>
    <t>232511-9</t>
  </si>
  <si>
    <t>RESORTE 17 / DFN350</t>
  </si>
  <si>
    <t>232512-7</t>
  </si>
  <si>
    <t>RESORTE 3 / DFN350</t>
  </si>
  <si>
    <t>232513-5</t>
  </si>
  <si>
    <t>232514-3</t>
  </si>
  <si>
    <t>RESORTE DE TORSION 7 / DFN350</t>
  </si>
  <si>
    <t>232516-9</t>
  </si>
  <si>
    <t>RESORTE 21 /TW161D</t>
  </si>
  <si>
    <t>232517-7</t>
  </si>
  <si>
    <t>RESORTE 21 /TW141D</t>
  </si>
  <si>
    <t>232534-7</t>
  </si>
  <si>
    <t>232536-3</t>
  </si>
  <si>
    <t>RESORTE DE TORSION 5 / PDC01</t>
  </si>
  <si>
    <t>232537-1</t>
  </si>
  <si>
    <t>RESORTE 7 / PDC01</t>
  </si>
  <si>
    <t>232538-9</t>
  </si>
  <si>
    <t>RESORTE 19 / PDC01</t>
  </si>
  <si>
    <t>232541-0</t>
  </si>
  <si>
    <t>RESORTE 5 / PDC01</t>
  </si>
  <si>
    <t>232542-8</t>
  </si>
  <si>
    <t>RESORTE ESPIRAL 41 / VARIAS</t>
  </si>
  <si>
    <t>232560-6</t>
  </si>
  <si>
    <t>RESORTE 12 / DHK180</t>
  </si>
  <si>
    <t>232561-4</t>
  </si>
  <si>
    <t>RESORTE 5 / DHK180-HM001G</t>
  </si>
  <si>
    <t>232562-2</t>
  </si>
  <si>
    <t>RESORTE DE TENSION 6 / UNIVERSAL</t>
  </si>
  <si>
    <t>232563-0</t>
  </si>
  <si>
    <t>RESORTE DE TENSION 4 / UNIVERSAL</t>
  </si>
  <si>
    <t>232567-2</t>
  </si>
  <si>
    <t>RESORTE DE TORSION 9 / VARIOS</t>
  </si>
  <si>
    <t>232570-3</t>
  </si>
  <si>
    <t>GANCHO / DKP181</t>
  </si>
  <si>
    <t>232575-3</t>
  </si>
  <si>
    <t>RESORTE 12 / DLM465</t>
  </si>
  <si>
    <t>232576-1</t>
  </si>
  <si>
    <t>RESORTE DE TORSION 5 / VARIOS</t>
  </si>
  <si>
    <t>232577-9</t>
  </si>
  <si>
    <t>232586-8</t>
  </si>
  <si>
    <t>RESORTE 7 / DVR150</t>
  </si>
  <si>
    <t>232588-4</t>
  </si>
  <si>
    <t>RESORTE 6 / DVC660</t>
  </si>
  <si>
    <t>232591-5</t>
  </si>
  <si>
    <t>RESORTE 25 / TD001G</t>
  </si>
  <si>
    <t>232592-3</t>
  </si>
  <si>
    <t>RESORTE 14 / VARIOS</t>
  </si>
  <si>
    <t>232593-1</t>
  </si>
  <si>
    <t>ANILLO RESORTE 12 / TD001G</t>
  </si>
  <si>
    <t>232597-3</t>
  </si>
  <si>
    <t>RESORTE 3 / HP001G</t>
  </si>
  <si>
    <t>232600-0</t>
  </si>
  <si>
    <t>RESORTE DE TORSION 8 / AG3751-DUB363</t>
  </si>
  <si>
    <t>232603-4</t>
  </si>
  <si>
    <t>RESORTE 4 / ADP10</t>
  </si>
  <si>
    <t>232604-2</t>
  </si>
  <si>
    <t>RESORTE TENSION 5/ADP10</t>
  </si>
  <si>
    <t>232615-7</t>
  </si>
  <si>
    <t>RESORTE 25 / DTW300</t>
  </si>
  <si>
    <t>232623-8</t>
  </si>
  <si>
    <t>RESORTE 41 / TW001G</t>
  </si>
  <si>
    <t>232628-8</t>
  </si>
  <si>
    <t>RESORTE 16 / DLM465</t>
  </si>
  <si>
    <t>232629-6</t>
  </si>
  <si>
    <t>RESORTE 34 / DTW700-DTW701</t>
  </si>
  <si>
    <t>232642-4</t>
  </si>
  <si>
    <t>RESORTE 18 / HM1511-HM1512</t>
  </si>
  <si>
    <t>232643-2</t>
  </si>
  <si>
    <t>RESORTE DE TORSION 13 / HR006G</t>
  </si>
  <si>
    <t>232644-0</t>
  </si>
  <si>
    <t>RESORTE 16 / HM1511-HM1512</t>
  </si>
  <si>
    <t>232646-6</t>
  </si>
  <si>
    <t>RESORTE 66 / DTW700-DTW701</t>
  </si>
  <si>
    <t>232650-5</t>
  </si>
  <si>
    <t>RESORTE 13 / HR005G</t>
  </si>
  <si>
    <t>232659-7</t>
  </si>
  <si>
    <t>RESORTE LAMINA / DPV300-PV301D</t>
  </si>
  <si>
    <t>232662-8</t>
  </si>
  <si>
    <t>RESORTE 12 / HR006G</t>
  </si>
  <si>
    <t>232663-6</t>
  </si>
  <si>
    <t>RESORTE 8 / HR006G</t>
  </si>
  <si>
    <t>232664-4</t>
  </si>
  <si>
    <t>RESORTE 10 / HR006G</t>
  </si>
  <si>
    <t>232667-8</t>
  </si>
  <si>
    <t>RESORTE 6 / DCC500</t>
  </si>
  <si>
    <t>232680-6</t>
  </si>
  <si>
    <t>RESORTE 25 / DTM52</t>
  </si>
  <si>
    <t>232682-2</t>
  </si>
  <si>
    <t>RESORTE 18 / TW004G-TW005G</t>
  </si>
  <si>
    <t>232696-1</t>
  </si>
  <si>
    <t>RESORTE COMPRESION 21 / DFR452</t>
  </si>
  <si>
    <t>232698-7</t>
  </si>
  <si>
    <t>RESORTE / DFR551</t>
  </si>
  <si>
    <t>232728-4</t>
  </si>
  <si>
    <t>RESORTE COMPRESION 12 / CE001G-CE002G</t>
  </si>
  <si>
    <t>232752-7</t>
  </si>
  <si>
    <t>232787-8</t>
  </si>
  <si>
    <t>233002-3</t>
  </si>
  <si>
    <t>233005-7</t>
  </si>
  <si>
    <t>RESORTE 13 / VARIOS</t>
  </si>
  <si>
    <t>233024-3</t>
  </si>
  <si>
    <t>RESORTE 4 / RP2301FC</t>
  </si>
  <si>
    <t>233025-1</t>
  </si>
  <si>
    <t>233031-6</t>
  </si>
  <si>
    <t>ANILLO DE RETENCION 12 / VARIOS</t>
  </si>
  <si>
    <t>233033-2</t>
  </si>
  <si>
    <t>RESORTE 4 / UC4020C - EA3203S</t>
  </si>
  <si>
    <t>233038-2</t>
  </si>
  <si>
    <t>RESORTE 5 / JR3070CT</t>
  </si>
  <si>
    <t>233068-3</t>
  </si>
  <si>
    <t>RESORTE 6 / DUR181</t>
  </si>
  <si>
    <t>233071-4</t>
  </si>
  <si>
    <t>233072-2</t>
  </si>
  <si>
    <t>RESORTE 8 / VARIOS</t>
  </si>
  <si>
    <t>233083-7</t>
  </si>
  <si>
    <t>233084-5</t>
  </si>
  <si>
    <t>233089-5</t>
  </si>
  <si>
    <t>233092-6</t>
  </si>
  <si>
    <t>RESORTE 5 / DUB362 - 4131</t>
  </si>
  <si>
    <t>233101-1</t>
  </si>
  <si>
    <t>233103-7</t>
  </si>
  <si>
    <t>RESORTE COMPRESION /VARIOS</t>
  </si>
  <si>
    <t>233105-3</t>
  </si>
  <si>
    <t>233110-0</t>
  </si>
  <si>
    <t>233117-6</t>
  </si>
  <si>
    <t>233118-4</t>
  </si>
  <si>
    <t>233121-5</t>
  </si>
  <si>
    <t>233126-5</t>
  </si>
  <si>
    <t>233127-3</t>
  </si>
  <si>
    <t>RESORTE 7 / RT0700C - DRT50</t>
  </si>
  <si>
    <t>233139-6</t>
  </si>
  <si>
    <t>RESORTE 3 / 4350FCT - DJV182</t>
  </si>
  <si>
    <t>233149-3</t>
  </si>
  <si>
    <t>233151-6</t>
  </si>
  <si>
    <t>233152-4</t>
  </si>
  <si>
    <t>RESORTE 28 / LS1040 - LS1040F</t>
  </si>
  <si>
    <t>233173-6</t>
  </si>
  <si>
    <t>233174-4</t>
  </si>
  <si>
    <t>233175-2</t>
  </si>
  <si>
    <t>RESORTE 9 / UC4041A - UC4020C</t>
  </si>
  <si>
    <t>233180-9</t>
  </si>
  <si>
    <t>233188-3</t>
  </si>
  <si>
    <t>RESORTE 2.4 / VARIOS</t>
  </si>
  <si>
    <t>233191-4</t>
  </si>
  <si>
    <t>RESORTE 30 / M8600 - HM0810T</t>
  </si>
  <si>
    <t>233202-5</t>
  </si>
  <si>
    <t>RESORTE 20 / VARIOS</t>
  </si>
  <si>
    <t>233203-3</t>
  </si>
  <si>
    <t>RESORTE 38 / VARIOS</t>
  </si>
  <si>
    <t>233215-6</t>
  </si>
  <si>
    <t>RESORTE 45 / HR5001C</t>
  </si>
  <si>
    <t>233216-4</t>
  </si>
  <si>
    <t>RESORTE 58 / HR5001C</t>
  </si>
  <si>
    <t>233217-2</t>
  </si>
  <si>
    <t>RESORTE 51 / HR5001-HM1202C</t>
  </si>
  <si>
    <t>233218-0</t>
  </si>
  <si>
    <t>RESORTE COMPRESION 55 / VARIOS</t>
  </si>
  <si>
    <t>233219-8</t>
  </si>
  <si>
    <t>RESORTE 6 / 9911</t>
  </si>
  <si>
    <t>233221-1</t>
  </si>
  <si>
    <t>RESORTE 12 / 9911</t>
  </si>
  <si>
    <t>233222-9</t>
  </si>
  <si>
    <t>RESORTE COMPRESION 5 / VARIOS</t>
  </si>
  <si>
    <t>233234-2</t>
  </si>
  <si>
    <t>RESORTE COMPRESION 35 / VARIOS</t>
  </si>
  <si>
    <t>233235-0</t>
  </si>
  <si>
    <t>RESORTE 12 / M9400</t>
  </si>
  <si>
    <t>233250-4</t>
  </si>
  <si>
    <t>RESORTE COMPRESION 12 / VARIOS</t>
  </si>
  <si>
    <t>233263-5</t>
  </si>
  <si>
    <t>RESORTE 9 / GA028G - GA015G</t>
  </si>
  <si>
    <t>233264-3</t>
  </si>
  <si>
    <t>RESORTE 5 / N5900B - HS0600</t>
  </si>
  <si>
    <t>233267-7</t>
  </si>
  <si>
    <t>233279-0</t>
  </si>
  <si>
    <t>RESORTE 4 / DHR263 - DDA460</t>
  </si>
  <si>
    <t>233284-7</t>
  </si>
  <si>
    <t>233292-8</t>
  </si>
  <si>
    <t>233309-7</t>
  </si>
  <si>
    <t>RESORTE 16/ VARIOS</t>
  </si>
  <si>
    <t>233314-4</t>
  </si>
  <si>
    <t>233328-3</t>
  </si>
  <si>
    <t>RESORTE 31 / HR2230</t>
  </si>
  <si>
    <t>233330-6</t>
  </si>
  <si>
    <t>RESORTE 16 / HP1630K - M8100K</t>
  </si>
  <si>
    <t>233341-1</t>
  </si>
  <si>
    <t>RESORTE COMPRESION 3 / VARIOS</t>
  </si>
  <si>
    <t>233342-9</t>
  </si>
  <si>
    <t>233343-7</t>
  </si>
  <si>
    <t>233344-5</t>
  </si>
  <si>
    <t>233345-3</t>
  </si>
  <si>
    <t>233347-9</t>
  </si>
  <si>
    <t>RESORTE 13 / HR2230</t>
  </si>
  <si>
    <t>233360-7</t>
  </si>
  <si>
    <t>233372-0</t>
  </si>
  <si>
    <t>RESORTE 7 / LW1401 - M2401</t>
  </si>
  <si>
    <t>233375-4</t>
  </si>
  <si>
    <t>233376-2</t>
  </si>
  <si>
    <t>233386-9</t>
  </si>
  <si>
    <t>RESORTE 37 / HM0870C</t>
  </si>
  <si>
    <t>233387-7</t>
  </si>
  <si>
    <t>RESORTE 52 / VARIOS</t>
  </si>
  <si>
    <t>233388-5</t>
  </si>
  <si>
    <t>RESORTE 5 / HR2230</t>
  </si>
  <si>
    <t>233389-3</t>
  </si>
  <si>
    <t>RESPORTE 15 / HP1640</t>
  </si>
  <si>
    <t>233395-8</t>
  </si>
  <si>
    <t>RESORTE 18 / M1902</t>
  </si>
  <si>
    <t>233396-6</t>
  </si>
  <si>
    <t>RESORTE 7 / M3600</t>
  </si>
  <si>
    <t>233397-4</t>
  </si>
  <si>
    <t>RESORTE 11 / M3600</t>
  </si>
  <si>
    <t>233398-2</t>
  </si>
  <si>
    <t>RESORTE 12 / M3600</t>
  </si>
  <si>
    <t>233401-9</t>
  </si>
  <si>
    <t>RESORTE 32 / VARIOS</t>
  </si>
  <si>
    <t>233408-5</t>
  </si>
  <si>
    <t>RESORTE 3 / KP0810C</t>
  </si>
  <si>
    <t>233422-1</t>
  </si>
  <si>
    <t>RESORTE 19 / M1100</t>
  </si>
  <si>
    <t>233423-9</t>
  </si>
  <si>
    <t>RESORTE 9 / M9400 - M1100</t>
  </si>
  <si>
    <t>233429-7</t>
  </si>
  <si>
    <t>RESORTE COMPRESION 7 / VARIOS</t>
  </si>
  <si>
    <t>233430-2</t>
  </si>
  <si>
    <t>RESORTE 24 / VARIOS</t>
  </si>
  <si>
    <t>233431-0</t>
  </si>
  <si>
    <t>RESORTE COMPRESION 48 / VARIOS</t>
  </si>
  <si>
    <t>233432-8</t>
  </si>
  <si>
    <t>233433-6</t>
  </si>
  <si>
    <t>233434-4</t>
  </si>
  <si>
    <t>233436-0</t>
  </si>
  <si>
    <t>RESORTE 3 / HR3210C - HR5211C</t>
  </si>
  <si>
    <t>233438-6</t>
  </si>
  <si>
    <t>233441-7</t>
  </si>
  <si>
    <t>RESORTE COMPRESION 8 / VARIOS</t>
  </si>
  <si>
    <t>233448-3</t>
  </si>
  <si>
    <t>RESORTE COMPRESION 37 / VARIOS</t>
  </si>
  <si>
    <t>233455-6</t>
  </si>
  <si>
    <t>RESORTE 7 / HR2641</t>
  </si>
  <si>
    <t>233456-4</t>
  </si>
  <si>
    <t>233457-2</t>
  </si>
  <si>
    <t>RESORTE 25 / HR1830</t>
  </si>
  <si>
    <t>233459-8</t>
  </si>
  <si>
    <t>233479-2</t>
  </si>
  <si>
    <t>233481-5</t>
  </si>
  <si>
    <t>RESORTE 20 / TD022D</t>
  </si>
  <si>
    <t>233496-2</t>
  </si>
  <si>
    <t>RESORTE 50 / HR5211C</t>
  </si>
  <si>
    <t>233497-0</t>
  </si>
  <si>
    <t>RESORTE 15 / VARIOS</t>
  </si>
  <si>
    <t>233498-8</t>
  </si>
  <si>
    <t>RESORTE 46 / HR5211C</t>
  </si>
  <si>
    <t>233506-5</t>
  </si>
  <si>
    <t>RESORTE DE TORSION 15 / HR5211C</t>
  </si>
  <si>
    <t>233521-9</t>
  </si>
  <si>
    <t>RESORTE 10 / KP0810C - DKP181</t>
  </si>
  <si>
    <t>233537-4</t>
  </si>
  <si>
    <t>RESORTE DE TORSION 35 / LS1019 - DLS111</t>
  </si>
  <si>
    <t>233538-2</t>
  </si>
  <si>
    <t>RESORTE 15 / RP2301FC</t>
  </si>
  <si>
    <t>233540-5</t>
  </si>
  <si>
    <t>233541-3</t>
  </si>
  <si>
    <t>RESORTE DE TORSION 7 / EM3400U - RBC411U</t>
  </si>
  <si>
    <t>233542-1</t>
  </si>
  <si>
    <t>RESORTE 40 / VARIOS</t>
  </si>
  <si>
    <t>233579-8</t>
  </si>
  <si>
    <t>RESORTE TORSION 8 / VARIOS</t>
  </si>
  <si>
    <t>233587-9</t>
  </si>
  <si>
    <t>RESORTE DE TORSION 15 / EK7650H</t>
  </si>
  <si>
    <t>233590-0</t>
  </si>
  <si>
    <t>RESORTE TORSION 12 / VARIOS</t>
  </si>
  <si>
    <t>233591-8</t>
  </si>
  <si>
    <t>RESORTE 10 / JV0600 - DJV182</t>
  </si>
  <si>
    <t>233594-2</t>
  </si>
  <si>
    <t>RESORTE 17 / DJR183</t>
  </si>
  <si>
    <t>233598-4</t>
  </si>
  <si>
    <t>233602-9</t>
  </si>
  <si>
    <t>RESORTE DE TORSION 9 / PM7650H</t>
  </si>
  <si>
    <t>233603-7</t>
  </si>
  <si>
    <t>233611-8</t>
  </si>
  <si>
    <t>233612-6</t>
  </si>
  <si>
    <t>RESORTE 10 / DUR365U - DUR187L</t>
  </si>
  <si>
    <t>233613-4</t>
  </si>
  <si>
    <t>RESORTE DE TORSION 21 / VARIOS</t>
  </si>
  <si>
    <t>233616-8</t>
  </si>
  <si>
    <t>RESORTE 12</t>
  </si>
  <si>
    <t>233617-6</t>
  </si>
  <si>
    <t>233621-5</t>
  </si>
  <si>
    <t>RESORTE 9 / DUR365U - DUR187L</t>
  </si>
  <si>
    <t>233622-3</t>
  </si>
  <si>
    <t>ANILLO DE TORSION 12 / DUR192L</t>
  </si>
  <si>
    <t>233625-7</t>
  </si>
  <si>
    <t>ABRAZADERA DE RESORTE / EK8100</t>
  </si>
  <si>
    <t>233627-3</t>
  </si>
  <si>
    <t>RESORTE DE TORSION 4 / CA5000</t>
  </si>
  <si>
    <t>233633-8</t>
  </si>
  <si>
    <t>RESORTE DE TORSION 33 / LW1401</t>
  </si>
  <si>
    <t>233901-9</t>
  </si>
  <si>
    <t>RESORTE DE BLOQUEO 12 / VARIOS</t>
  </si>
  <si>
    <t>233909-3</t>
  </si>
  <si>
    <t>ANILLO RESORTE 33 / HM1202C</t>
  </si>
  <si>
    <t>233910-8</t>
  </si>
  <si>
    <t>ANILLO DE RETENCION 43 / DTW285</t>
  </si>
  <si>
    <t>233916-6</t>
  </si>
  <si>
    <t>233917-4</t>
  </si>
  <si>
    <t>ANILLO DE RETENCION 28 / VARIOS</t>
  </si>
  <si>
    <t>233918-2</t>
  </si>
  <si>
    <t>ANILLO DE RETENCION 28 / HR2230</t>
  </si>
  <si>
    <t>233920-5</t>
  </si>
  <si>
    <t>ANILLO DE RETENSION 11 / HP2070F - HP2050</t>
  </si>
  <si>
    <t>233921-3</t>
  </si>
  <si>
    <t>RESORTE CONICO 15-24 / HP2070F - HP2050</t>
  </si>
  <si>
    <t>233924-7</t>
  </si>
  <si>
    <t>ANILLO DE RETENCION 21 / HR2320T</t>
  </si>
  <si>
    <t>233925-5</t>
  </si>
  <si>
    <t>ANILLO DE RETENCION 13 / VARIOS</t>
  </si>
  <si>
    <t>233926-3</t>
  </si>
  <si>
    <t>ANILLO DE RETENCION 7 / GA5020 - GA5020C</t>
  </si>
  <si>
    <t>233927-1</t>
  </si>
  <si>
    <t>ANILLO DE RETENCION 34 / VARIOS</t>
  </si>
  <si>
    <t>233929-7</t>
  </si>
  <si>
    <t>ANILLO DE RETENCION 29 / VARIOS</t>
  </si>
  <si>
    <t>233937-8</t>
  </si>
  <si>
    <t>ANILLO RESORTE 31 / HM1202C</t>
  </si>
  <si>
    <t>233938-6</t>
  </si>
  <si>
    <t>RESORTE 12 / HP1630K - M8100K</t>
  </si>
  <si>
    <t>233940-9</t>
  </si>
  <si>
    <t>ANILLO DE RETENCION 19 / VARIOS</t>
  </si>
  <si>
    <t>233942-5</t>
  </si>
  <si>
    <t>ANILLO DE RETENCION 22 / VARIOS</t>
  </si>
  <si>
    <t>233946-7</t>
  </si>
  <si>
    <t>ANILLO DE RETENCION 15 / VARIOS</t>
  </si>
  <si>
    <t>233948-3</t>
  </si>
  <si>
    <t>233949-1</t>
  </si>
  <si>
    <t>SEGURO 44 / HR5211C</t>
  </si>
  <si>
    <t>233950-6</t>
  </si>
  <si>
    <t>233951-4</t>
  </si>
  <si>
    <t>RESORTE CONICO 16-26 / HR2810</t>
  </si>
  <si>
    <t>233952-2</t>
  </si>
  <si>
    <t>ANILLO DE RETENCION 41 / HR2810</t>
  </si>
  <si>
    <t>233954-8</t>
  </si>
  <si>
    <t>233970-0</t>
  </si>
  <si>
    <t>ANILLO DE RETENCION 35 / VARIOS</t>
  </si>
  <si>
    <t>233971-8</t>
  </si>
  <si>
    <t>ANILLO RESORTE / EA3203S</t>
  </si>
  <si>
    <t>233973-4</t>
  </si>
  <si>
    <t>ANILLO DE RETENCION 26 / VARIOS</t>
  </si>
  <si>
    <t>233974-2</t>
  </si>
  <si>
    <t>ANILLO DE RETENCION 33 / FS4000 - FS2200</t>
  </si>
  <si>
    <t>233976-8</t>
  </si>
  <si>
    <t>SUJETADOR DE PRESION / EM3400U</t>
  </si>
  <si>
    <t>233977-6</t>
  </si>
  <si>
    <t>ANILLO 55 / HM1317CB</t>
  </si>
  <si>
    <t>233979-2</t>
  </si>
  <si>
    <t>233981-5</t>
  </si>
  <si>
    <t>ANILLO DE RETENCION 38 / HM1111C</t>
  </si>
  <si>
    <t>233982-3</t>
  </si>
  <si>
    <t>ANILLO DE GOMA 33 / HM1111C</t>
  </si>
  <si>
    <t>233983-1</t>
  </si>
  <si>
    <t>SUJETADOR DE PRESION / EM4351UH - RBC411U</t>
  </si>
  <si>
    <t>233989-9</t>
  </si>
  <si>
    <t>ANILLO DE RETENCION 14 / VARIOS</t>
  </si>
  <si>
    <t>233992-0</t>
  </si>
  <si>
    <t>233995-4</t>
  </si>
  <si>
    <t>ANILLO DE PRESION 12 / PM7650H</t>
  </si>
  <si>
    <t>234019-9</t>
  </si>
  <si>
    <t>RESORTE 4 / HR2810</t>
  </si>
  <si>
    <t>234020-4</t>
  </si>
  <si>
    <t>RESORTE 37/ VARIOS</t>
  </si>
  <si>
    <t>234021-2</t>
  </si>
  <si>
    <t>RESORTE 30 / HR2810</t>
  </si>
  <si>
    <t>234037-7</t>
  </si>
  <si>
    <t>234048-2</t>
  </si>
  <si>
    <t>RESORTE 10 / HR3210C</t>
  </si>
  <si>
    <t>234049-0</t>
  </si>
  <si>
    <t>RESORTE CONICO 22-32 / HR3210C</t>
  </si>
  <si>
    <t>234057-1</t>
  </si>
  <si>
    <t>234064-4</t>
  </si>
  <si>
    <t>RESORTE 21 / TD110D</t>
  </si>
  <si>
    <t>234066-6</t>
  </si>
  <si>
    <t>TUERCA CUADRADA M5-10 / VARIOS</t>
  </si>
  <si>
    <t>234086-4</t>
  </si>
  <si>
    <t>RESORTE 56 / VARIOS</t>
  </si>
  <si>
    <t>234093-7</t>
  </si>
  <si>
    <t>234095-3</t>
  </si>
  <si>
    <t>RESORTE 6 / FS2700</t>
  </si>
  <si>
    <t>234098-7</t>
  </si>
  <si>
    <t>234104-8</t>
  </si>
  <si>
    <t>RESORTE COMPRESION 13 / VARIOS</t>
  </si>
  <si>
    <t>234105-6</t>
  </si>
  <si>
    <t>RESORTE 11 / RP2301FC</t>
  </si>
  <si>
    <t>234106-4</t>
  </si>
  <si>
    <t>RESORTE 13 / RP2301FC</t>
  </si>
  <si>
    <t>234107-2</t>
  </si>
  <si>
    <t>RESORTE 5 / HM1214C.</t>
  </si>
  <si>
    <t>234108-0</t>
  </si>
  <si>
    <t>RESORTE COMPRESION 9 / VARIOS</t>
  </si>
  <si>
    <t>234111-1</t>
  </si>
  <si>
    <t>234121-8</t>
  </si>
  <si>
    <t>RESORTE 8 / DFS452</t>
  </si>
  <si>
    <t>234134-9</t>
  </si>
  <si>
    <t>RESORTE 12 / HM0871C</t>
  </si>
  <si>
    <t>234147-0</t>
  </si>
  <si>
    <t>234148-8</t>
  </si>
  <si>
    <t>RESORTE 31 / VARIOS</t>
  </si>
  <si>
    <t>234149-6</t>
  </si>
  <si>
    <t>234183-6</t>
  </si>
  <si>
    <t>RESORTE CONICO 5-9 / VARIOS</t>
  </si>
  <si>
    <t>234189-4</t>
  </si>
  <si>
    <t>RESORTE 12 / EA3203S</t>
  </si>
  <si>
    <t>234204-4</t>
  </si>
  <si>
    <t>234210-9</t>
  </si>
  <si>
    <t>RESORTE 3 / DUC406 - EA3203S</t>
  </si>
  <si>
    <t>234212-5</t>
  </si>
  <si>
    <t>RESORTE 11 / PM7650H</t>
  </si>
  <si>
    <t>234213-3</t>
  </si>
  <si>
    <t>ANILLO RESORTE 13 / EK7650H</t>
  </si>
  <si>
    <t>234214-1</t>
  </si>
  <si>
    <t>RESORTE COMPRESION 16 / VARIOS</t>
  </si>
  <si>
    <t>234215-9</t>
  </si>
  <si>
    <t>RESORTE DE COMPRENSION 6 / EK7651H</t>
  </si>
  <si>
    <t>234216-7</t>
  </si>
  <si>
    <t>234217-5</t>
  </si>
  <si>
    <t>RESORTE COMPRESION 21 / TD091D-TW100D</t>
  </si>
  <si>
    <t>234238-7</t>
  </si>
  <si>
    <t>RESORTE 21 / EM4351UH</t>
  </si>
  <si>
    <t>234244-2</t>
  </si>
  <si>
    <t>RESORTE 3 / PM7650H</t>
  </si>
  <si>
    <t>234245-0</t>
  </si>
  <si>
    <t>RESORTE 12 / PM7650H</t>
  </si>
  <si>
    <t>234246-8</t>
  </si>
  <si>
    <t>RESORTE 17 / PM7650H</t>
  </si>
  <si>
    <t>234247-6</t>
  </si>
  <si>
    <t>RESORTE COMPRENSION 20 / PM7650H</t>
  </si>
  <si>
    <t>234253-1</t>
  </si>
  <si>
    <t>RESORTE DE TORSION 20 / EA3203S</t>
  </si>
  <si>
    <t>234257-3</t>
  </si>
  <si>
    <t>RESORTE DE FRICCION / VARIOS</t>
  </si>
  <si>
    <t>234264-6</t>
  </si>
  <si>
    <t>234281-6</t>
  </si>
  <si>
    <t>234282-4</t>
  </si>
  <si>
    <t>234283-2</t>
  </si>
  <si>
    <t>RESORTE 18.5 / VARIOS</t>
  </si>
  <si>
    <t>234284-0</t>
  </si>
  <si>
    <t>234285-8</t>
  </si>
  <si>
    <t>RESORTE 7 / HR5212C - HR4013C</t>
  </si>
  <si>
    <t>234286-6</t>
  </si>
  <si>
    <t>234287-4</t>
  </si>
  <si>
    <t>RESORTE 34 / VARIOS</t>
  </si>
  <si>
    <t>234288-2</t>
  </si>
  <si>
    <t>RESORTE 46 / VARIOS</t>
  </si>
  <si>
    <t>234289-0</t>
  </si>
  <si>
    <t>RESORTE 33 / VARIOS</t>
  </si>
  <si>
    <t>234290-5</t>
  </si>
  <si>
    <t>234293-9</t>
  </si>
  <si>
    <t>ANILLO DE RETENCION 32 / FS4200</t>
  </si>
  <si>
    <t>234298-9</t>
  </si>
  <si>
    <t>RESORTE 12 / M0920 - M0921</t>
  </si>
  <si>
    <t>234299-7</t>
  </si>
  <si>
    <t>ANILLO DE RETENCION 13 / M0920 - M0921</t>
  </si>
  <si>
    <t>234313-9</t>
  </si>
  <si>
    <t>234317-1</t>
  </si>
  <si>
    <t>RESORTE 49 / VARIOS</t>
  </si>
  <si>
    <t>234318-9</t>
  </si>
  <si>
    <t>RESORTE 45 / VARIOS</t>
  </si>
  <si>
    <t>234319-7</t>
  </si>
  <si>
    <t>234320-2</t>
  </si>
  <si>
    <t>RESORTE 12 / HR5212C</t>
  </si>
  <si>
    <t>234325-2</t>
  </si>
  <si>
    <t>RESORTE 6 / DFN350 - DBN500</t>
  </si>
  <si>
    <t>234326-0</t>
  </si>
  <si>
    <t>RESORTE COMPRESION 3 / DBN500</t>
  </si>
  <si>
    <t>234328-6</t>
  </si>
  <si>
    <t>RESORTE COMPRESION 4 / DBN500</t>
  </si>
  <si>
    <t>234329-4</t>
  </si>
  <si>
    <t>234332-5</t>
  </si>
  <si>
    <t>RESORTE COMPRESION 7 / DCO180</t>
  </si>
  <si>
    <t>234334-1</t>
  </si>
  <si>
    <t>RESORTE DE COMPRESION 14</t>
  </si>
  <si>
    <t>234335-9</t>
  </si>
  <si>
    <t>RESORTE DE COMPRESION 12</t>
  </si>
  <si>
    <t>234337-5</t>
  </si>
  <si>
    <t>RESORTE 25 / DTW251</t>
  </si>
  <si>
    <t>234338-3</t>
  </si>
  <si>
    <t>RESORTE 33 / DTW450</t>
  </si>
  <si>
    <t>234339-1</t>
  </si>
  <si>
    <t>RESORTE 6 / DUM604 - UM600D</t>
  </si>
  <si>
    <t>234342-2</t>
  </si>
  <si>
    <t>RESORTE 16 / M0801K</t>
  </si>
  <si>
    <t>234343-0</t>
  </si>
  <si>
    <t>234346-4</t>
  </si>
  <si>
    <t>RESORTE COMPRESION 17 / VARIOS</t>
  </si>
  <si>
    <t>234349-8</t>
  </si>
  <si>
    <t>RESORTE 12A / HM1812</t>
  </si>
  <si>
    <t>234356-1</t>
  </si>
  <si>
    <t>ANILLO DE SEGURO 16 / VARIOS</t>
  </si>
  <si>
    <t>234357-9</t>
  </si>
  <si>
    <t>234361-8</t>
  </si>
  <si>
    <t>RESORTE COMPRESION 2 / VARIOS</t>
  </si>
  <si>
    <t>234381-2</t>
  </si>
  <si>
    <t>RESORTE 6 / DJR186 - DJR360</t>
  </si>
  <si>
    <t>234382-0</t>
  </si>
  <si>
    <t>RESORTE 13 / CA5000</t>
  </si>
  <si>
    <t>234383-8</t>
  </si>
  <si>
    <t>RESORTE 38 / DTW1001 -DTW1002</t>
  </si>
  <si>
    <t>234391-9</t>
  </si>
  <si>
    <t>234393-5</t>
  </si>
  <si>
    <t>RESORTE COMPRESION 11 / DBN500</t>
  </si>
  <si>
    <t>GUIA DE VALVULA/VARIOS</t>
  </si>
  <si>
    <t>240001-8</t>
  </si>
  <si>
    <t>VENTILADOR 80 / VARIOS</t>
  </si>
  <si>
    <t>240002-6</t>
  </si>
  <si>
    <t>VENTILADOR 70 / 9237CB - 9227CB</t>
  </si>
  <si>
    <t>240003-4</t>
  </si>
  <si>
    <t>240013-1</t>
  </si>
  <si>
    <t>VENTILADOR 84 / M9400</t>
  </si>
  <si>
    <t>240016-5</t>
  </si>
  <si>
    <t>VENTILADOR 90 / VARIOS</t>
  </si>
  <si>
    <t>240024-6</t>
  </si>
  <si>
    <t>VENTILADOR 100 / HM1810</t>
  </si>
  <si>
    <t>240033-5</t>
  </si>
  <si>
    <t>VENTILADOR 57 / VARIOS</t>
  </si>
  <si>
    <t>240037-7</t>
  </si>
  <si>
    <t>VENTILADOR 44 / DHR263</t>
  </si>
  <si>
    <t>240042-000</t>
  </si>
  <si>
    <t>240053-9</t>
  </si>
  <si>
    <t>VENTILADOR 65 / 4100NH3</t>
  </si>
  <si>
    <t>240060-2</t>
  </si>
  <si>
    <t>VENTILADOR 80 / VR1000 - 4114S</t>
  </si>
  <si>
    <t>240061-0</t>
  </si>
  <si>
    <t>VENTILADOR 48 / DA3010F</t>
  </si>
  <si>
    <t>240069-4</t>
  </si>
  <si>
    <t>VENTILADOR 83 /VARIOS</t>
  </si>
  <si>
    <t>240076-7</t>
  </si>
  <si>
    <t>VENTILADOR 56 / VARIOS</t>
  </si>
  <si>
    <t>240077-5</t>
  </si>
  <si>
    <t>VENTILADOR 100 /VARIOS</t>
  </si>
  <si>
    <t>240079-1</t>
  </si>
  <si>
    <t>VENTILADOR 62 / KP0810C - DKP181</t>
  </si>
  <si>
    <t>240081-4</t>
  </si>
  <si>
    <t>VENTILADOR 80/VARIOS</t>
  </si>
  <si>
    <t>240084-8</t>
  </si>
  <si>
    <t>VENTILADOR 60 / VARIOS</t>
  </si>
  <si>
    <t>240092-9</t>
  </si>
  <si>
    <t>VENTILADOR 64 / VARIOS</t>
  </si>
  <si>
    <t>240094-5</t>
  </si>
  <si>
    <t>VENTILADOR 70 / VARIOS</t>
  </si>
  <si>
    <t>240109-8</t>
  </si>
  <si>
    <t>VENTILADOR 70 / 4100NH2</t>
  </si>
  <si>
    <t>240112-9</t>
  </si>
  <si>
    <t>VENTILADOR 80 / RP2301FC</t>
  </si>
  <si>
    <t>240114-5</t>
  </si>
  <si>
    <t>VENTILADOR 85 / PC5001C</t>
  </si>
  <si>
    <t>240119-5</t>
  </si>
  <si>
    <t>240121-8</t>
  </si>
  <si>
    <t>VENTILADOR 65 / VARIOS</t>
  </si>
  <si>
    <t>240125-0</t>
  </si>
  <si>
    <t>VENTILADOR 55 / RT0700C</t>
  </si>
  <si>
    <t>240127-6</t>
  </si>
  <si>
    <t>VENTILADOR 52 / M0801K - M0600</t>
  </si>
  <si>
    <t>240142-0</t>
  </si>
  <si>
    <t>VENTILADOR 44 / M6501</t>
  </si>
  <si>
    <t>240146-2</t>
  </si>
  <si>
    <t>VENTILADOR 76 / HR4003C - HR4013C</t>
  </si>
  <si>
    <t>240148-8</t>
  </si>
  <si>
    <t>VENTILADOR 110 /VARIOS</t>
  </si>
  <si>
    <t>240152-7</t>
  </si>
  <si>
    <t>VENTILADOR 250/VARIOS</t>
  </si>
  <si>
    <t>240158-5</t>
  </si>
  <si>
    <t>VENTILADOR 110 / DUB362</t>
  </si>
  <si>
    <t>240161-6</t>
  </si>
  <si>
    <t>VENTILADOR 86 /VARIOS</t>
  </si>
  <si>
    <t>240164-0</t>
  </si>
  <si>
    <t>VENTILADOR 80 / LW1401</t>
  </si>
  <si>
    <t>240170-5</t>
  </si>
  <si>
    <t>VENTILADOR 243 / EB5300TH</t>
  </si>
  <si>
    <t>240177-1</t>
  </si>
  <si>
    <t>VENTILADOR 110 / DUB362 - DUB184</t>
  </si>
  <si>
    <t>240178-9</t>
  </si>
  <si>
    <t>240197-5</t>
  </si>
  <si>
    <t>240204-4</t>
  </si>
  <si>
    <t>VENTILADOR 180/AG3751-DUB363</t>
  </si>
  <si>
    <t>240205-2</t>
  </si>
  <si>
    <t>VENTILADOR 170 / DLM465</t>
  </si>
  <si>
    <t>240210-9</t>
  </si>
  <si>
    <t>VENTILADOR 85 / DUB185 - UB101D</t>
  </si>
  <si>
    <t>240213-3</t>
  </si>
  <si>
    <t>240230-3</t>
  </si>
  <si>
    <t>VENTILADOR 68 / DBO380</t>
  </si>
  <si>
    <t>240237-9</t>
  </si>
  <si>
    <t>VENTILADOR 110 / UB002C</t>
  </si>
  <si>
    <t>240243-4</t>
  </si>
  <si>
    <t>241013-4</t>
  </si>
  <si>
    <t>VENTILADOR 80  BO5010</t>
  </si>
  <si>
    <t>241037-0</t>
  </si>
  <si>
    <t>VENTILADOR / VARIOS</t>
  </si>
  <si>
    <t>241512-6</t>
  </si>
  <si>
    <t>VENTILADOR 62 / VARIOS</t>
  </si>
  <si>
    <t>241609-1</t>
  </si>
  <si>
    <t>VENTILADOR 73 / 6906</t>
  </si>
  <si>
    <t>241611-4</t>
  </si>
  <si>
    <t>VENTILADOR 74/VARIOS</t>
  </si>
  <si>
    <t>241660-1</t>
  </si>
  <si>
    <t>VENTILADOR 68 / 9911</t>
  </si>
  <si>
    <t>241662-7</t>
  </si>
  <si>
    <t>VENTILADOR 80 /VARIOS</t>
  </si>
  <si>
    <t>241663-5</t>
  </si>
  <si>
    <t>VENTILADOR 76 / VARIOS</t>
  </si>
  <si>
    <t>241665-1</t>
  </si>
  <si>
    <t>VENTILADOR 92 / BO6030</t>
  </si>
  <si>
    <t>241667-7</t>
  </si>
  <si>
    <t>VENTILADOR 52 / VARIOS</t>
  </si>
  <si>
    <t>241669-3</t>
  </si>
  <si>
    <t>241671-6</t>
  </si>
  <si>
    <t>VENTILADOR 63 /VARIOS</t>
  </si>
  <si>
    <t>241672-4</t>
  </si>
  <si>
    <t>241673-2</t>
  </si>
  <si>
    <t>VENTILADOR 88 /VARIOS</t>
  </si>
  <si>
    <t>241806-9</t>
  </si>
  <si>
    <t>VENTILADOR 90 / 9401-9402</t>
  </si>
  <si>
    <t>241812-4</t>
  </si>
  <si>
    <t>VENTILADOR 58 / VARIOS</t>
  </si>
  <si>
    <t>241835-2</t>
  </si>
  <si>
    <t>241850-6</t>
  </si>
  <si>
    <t>241851-4</t>
  </si>
  <si>
    <t>VENTILADOR 94 / VARIOS</t>
  </si>
  <si>
    <t>241861-1</t>
  </si>
  <si>
    <t>VENTILADOR 74 / 3612C</t>
  </si>
  <si>
    <t>241863-7</t>
  </si>
  <si>
    <t>241876-8</t>
  </si>
  <si>
    <t>VENTILADOR 76 / HS7010 - 4131</t>
  </si>
  <si>
    <t>241880-7</t>
  </si>
  <si>
    <t>VENTILADOR 68 / 9046</t>
  </si>
  <si>
    <t>241881-5</t>
  </si>
  <si>
    <t>241888-1</t>
  </si>
  <si>
    <t>VENTILADOR 110 / VARIOS</t>
  </si>
  <si>
    <t>241908-1</t>
  </si>
  <si>
    <t>241909-9</t>
  </si>
  <si>
    <t>VENTILADOR 80 / LS1040 - LS1040F</t>
  </si>
  <si>
    <t>241910-4</t>
  </si>
  <si>
    <t>VENTILADOR 125 / VARIOS</t>
  </si>
  <si>
    <t>242072-1</t>
  </si>
  <si>
    <t>BOTELLA DE ACEITE / VARIOS</t>
  </si>
  <si>
    <t>245041-1</t>
  </si>
  <si>
    <t>MANGUERA 28-0.45 / LS1019 - DLS111</t>
  </si>
  <si>
    <t>245042-9</t>
  </si>
  <si>
    <t>MANGUERA 30C / HR2652</t>
  </si>
  <si>
    <t>245043-7</t>
  </si>
  <si>
    <t>MANGUERA 30D / HR2652</t>
  </si>
  <si>
    <t>245048-7</t>
  </si>
  <si>
    <t>MANGUERA 28-0.5 / LS1219L</t>
  </si>
  <si>
    <t>245058-4</t>
  </si>
  <si>
    <t>MANGUERA 28-0.25 / DSL800</t>
  </si>
  <si>
    <t>250003-000</t>
  </si>
  <si>
    <t>SOPORTE INF. CUCHILLA / SJ401</t>
  </si>
  <si>
    <t>250004-000</t>
  </si>
  <si>
    <t>TUERCA INF. CUCHILLA / SJ401</t>
  </si>
  <si>
    <t>250005-000</t>
  </si>
  <si>
    <t>SOPORTE SUP. CUCHILLA / SJ401</t>
  </si>
  <si>
    <t>251212-0</t>
  </si>
  <si>
    <t>TORNILLO M5X13 / UNIVERSAL</t>
  </si>
  <si>
    <t>251221-9</t>
  </si>
  <si>
    <t>TORNILLO AVELLANADO M6 / N5900B - DRS780</t>
  </si>
  <si>
    <t>251228-5</t>
  </si>
  <si>
    <t>TORNILLO HEX. M5X20 / UNIVERSAL</t>
  </si>
  <si>
    <t>251246-3</t>
  </si>
  <si>
    <t>TORNILLO M4X5 / UNIVERSAL</t>
  </si>
  <si>
    <t>251247-1</t>
  </si>
  <si>
    <t>251267-5</t>
  </si>
  <si>
    <t>TORNILLO CABEZA PLANA M6 / UNIVERSAL</t>
  </si>
  <si>
    <t>251283-7</t>
  </si>
  <si>
    <t>251291-8</t>
  </si>
  <si>
    <t>TORNILLO M4X8 / UNIVERSAL</t>
  </si>
  <si>
    <t>251308-7</t>
  </si>
  <si>
    <t>TORNILLO M4X10 / UNIVERSAL</t>
  </si>
  <si>
    <t>251314-2</t>
  </si>
  <si>
    <t>TORNILLO M4X12 / UNIVERSAL</t>
  </si>
  <si>
    <t>251322-3</t>
  </si>
  <si>
    <t>TORNILLO M5X12 / UNIVERSAL</t>
  </si>
  <si>
    <t>251337-0</t>
  </si>
  <si>
    <t>TORNILLO M5 / 2107F</t>
  </si>
  <si>
    <t>251350-8</t>
  </si>
  <si>
    <t>TORNILLO AVELLANADO M6X28 / N5900B</t>
  </si>
  <si>
    <t>251358-2</t>
  </si>
  <si>
    <t>TORNILLO M4X8/UNIVERSAL</t>
  </si>
  <si>
    <t>251370-2</t>
  </si>
  <si>
    <t>TORNILLO CABEZA PLANA M5X15.5 / VARIOS</t>
  </si>
  <si>
    <t>251372-8</t>
  </si>
  <si>
    <t>TORNILLO AVELLANADO M5X12 / UNIVERSAL</t>
  </si>
  <si>
    <t>251382-5</t>
  </si>
  <si>
    <t>TORNILLO M5X35 / UNIVERSAL</t>
  </si>
  <si>
    <t>251389-1</t>
  </si>
  <si>
    <t>TORNILLO CABEZA PLANA / UNIVERSAL</t>
  </si>
  <si>
    <t>251425-3</t>
  </si>
  <si>
    <t>TORNILLO M6C22 / DP4700</t>
  </si>
  <si>
    <t>251447-3</t>
  </si>
  <si>
    <t>TORNILLO RANURADO PLANO M6 / RP0900 - M3601</t>
  </si>
  <si>
    <t>251451-2</t>
  </si>
  <si>
    <t>TORNILLO M5X22 / UNIVERSAL</t>
  </si>
  <si>
    <t>251467-7</t>
  </si>
  <si>
    <t>251468-5</t>
  </si>
  <si>
    <t>TORNILLO CABEZA PLANA M6X22 / VARIOS</t>
  </si>
  <si>
    <t>251470-8</t>
  </si>
  <si>
    <t>TORNILLO PLANO RANURADO M6 / M3600</t>
  </si>
  <si>
    <t>251472-4</t>
  </si>
  <si>
    <t>TORNILLO RANURADO M6X26 / VARIOS</t>
  </si>
  <si>
    <t>251474-0</t>
  </si>
  <si>
    <t>251475-8</t>
  </si>
  <si>
    <t>PERNO HEX. M6X25 / CA5000</t>
  </si>
  <si>
    <t>251476-6</t>
  </si>
  <si>
    <t>PERNO HEX. M5X35 / UNIVERSAL</t>
  </si>
  <si>
    <t>251481-3</t>
  </si>
  <si>
    <t>TORNILLO MARIPOSA M5X20 / VARIOS</t>
  </si>
  <si>
    <t>251482-1</t>
  </si>
  <si>
    <t>PERNO HEX. M6X17 / UNIVERSAL</t>
  </si>
  <si>
    <t>251486-3</t>
  </si>
  <si>
    <t>TORNILLO CABEZA PLANA 5MX55 / UNIVERSAL</t>
  </si>
  <si>
    <t>251495-2</t>
  </si>
  <si>
    <t>TORNILLO HEX. M10 / UNIVERSAL</t>
  </si>
  <si>
    <t>251496-0</t>
  </si>
  <si>
    <t>PERNO HEX. M5X50 / UNIVERSAL</t>
  </si>
  <si>
    <t>251497-8</t>
  </si>
  <si>
    <t>TORNILLO DE ROSCA 3X20 / VARIOS</t>
  </si>
  <si>
    <t>251498-6</t>
  </si>
  <si>
    <t>PERNO HEX. M10X25 / UNIVERSAL</t>
  </si>
  <si>
    <t>251513-6</t>
  </si>
  <si>
    <t>PERNO HEX M5X25 / VARIOS</t>
  </si>
  <si>
    <t>251517-8</t>
  </si>
  <si>
    <t>TORNILLO 4X40 / DHS660</t>
  </si>
  <si>
    <t>251518-6</t>
  </si>
  <si>
    <t>TORNILLO M6X23.5 / UNIVERSAL</t>
  </si>
  <si>
    <t>251519-4</t>
  </si>
  <si>
    <t>PERNO HEX. M8X25</t>
  </si>
  <si>
    <t>251520-9</t>
  </si>
  <si>
    <t>PERNO HEX. M8X20</t>
  </si>
  <si>
    <t>251523-3</t>
  </si>
  <si>
    <t>TORNILLO HEX. M8 / UNIVERSAL</t>
  </si>
  <si>
    <t>251527-5</t>
  </si>
  <si>
    <t>TORNILLO HEX. M6X14 / UNIVERSAL</t>
  </si>
  <si>
    <t>251528-3</t>
  </si>
  <si>
    <t>TORNILLO CON REBORDE M6X54 / HS0600</t>
  </si>
  <si>
    <t>251529-1</t>
  </si>
  <si>
    <t>TORNILLO M4X14 / UNIVERSAL</t>
  </si>
  <si>
    <t>251537-2</t>
  </si>
  <si>
    <t>TORNILLO M8X28 / UNIVERSAL</t>
  </si>
  <si>
    <t>251538-0</t>
  </si>
  <si>
    <t>PERNO HEX. M8X24 / UNIVERSAL</t>
  </si>
  <si>
    <t>251539-8</t>
  </si>
  <si>
    <t>TORNILLO AUTORROSCANTE 2.2X6.5 / BTC04</t>
  </si>
  <si>
    <t>251544-5</t>
  </si>
  <si>
    <t>TORNILLO HEX. CON REBAJE M4 / VARIOS</t>
  </si>
  <si>
    <t>251545-3</t>
  </si>
  <si>
    <t>TORNILLO HEX. CON REBAJE M6 / VARIOS</t>
  </si>
  <si>
    <t>251546-1</t>
  </si>
  <si>
    <t>TORNILLO CABEZA  M5 / VARIOS</t>
  </si>
  <si>
    <t>251547-9</t>
  </si>
  <si>
    <t>PERNO HEX. M8X35 / VARIOS</t>
  </si>
  <si>
    <t>251554-2</t>
  </si>
  <si>
    <t>TORNILLO MARIPOSA M6X40 / VARIOS</t>
  </si>
  <si>
    <t>251561-5</t>
  </si>
  <si>
    <t>TORNILLO HEX. M10X12 / VARIOS</t>
  </si>
  <si>
    <t>251565-7</t>
  </si>
  <si>
    <t>PERNO HEX. M4X14 / UNIVERSAL</t>
  </si>
  <si>
    <t>251566-5</t>
  </si>
  <si>
    <t>PERNO HEX. M4X6 W / DFN350 - DPT353</t>
  </si>
  <si>
    <t>251570-4</t>
  </si>
  <si>
    <t>PERNO HEX. M5X30 / UNIVERSAL</t>
  </si>
  <si>
    <t>251572-0</t>
  </si>
  <si>
    <t>TORNILLO DE TOPE M6X30 /VARIOS</t>
  </si>
  <si>
    <t>251578-8</t>
  </si>
  <si>
    <t>251582-7</t>
  </si>
  <si>
    <t>PERNO HEX. 6X25MM / UNIVERSAL</t>
  </si>
  <si>
    <t>251586-9</t>
  </si>
  <si>
    <t>TORNILLO M6X18 / UNIVERSAL</t>
  </si>
  <si>
    <t>251587-7</t>
  </si>
  <si>
    <t>TORNILLO 5X18 / UNIVERSAL</t>
  </si>
  <si>
    <t>251595-8</t>
  </si>
  <si>
    <t>PERNO HEX. M8X20 / DCU180</t>
  </si>
  <si>
    <t>251599-0</t>
  </si>
  <si>
    <t>TORNILLO 4X18 / UNIVERSAL</t>
  </si>
  <si>
    <t>251609-3</t>
  </si>
  <si>
    <t>PERNO CABEZA HEX. M5X17 / UNIVERSAL</t>
  </si>
  <si>
    <t>251644-1</t>
  </si>
  <si>
    <t>TORNILLO ALLEN CON BRIDA M8X20 / N5900B</t>
  </si>
  <si>
    <t>251667-9</t>
  </si>
  <si>
    <t>251680-7</t>
  </si>
  <si>
    <t>PERO HEX. M10X25 / LW1401 - 2414NB</t>
  </si>
  <si>
    <t>251804-5</t>
  </si>
  <si>
    <t>TORNILLO MARIPOSA M6X13 / 1805N</t>
  </si>
  <si>
    <t>251815-0</t>
  </si>
  <si>
    <t>TORNILLO MARIPOSA M6X25 / VARIOS</t>
  </si>
  <si>
    <t>251821-5</t>
  </si>
  <si>
    <t>TORNILLO PERILLA 8X72MM / UNIVERSAL</t>
  </si>
  <si>
    <t>251858-2</t>
  </si>
  <si>
    <t>TORNILLO MARIPOSA M6*15 / 5007NK</t>
  </si>
  <si>
    <t>251867-1</t>
  </si>
  <si>
    <t>TORNILLO MARIPOSA M5X30 / VARIOS</t>
  </si>
  <si>
    <t>251878-6</t>
  </si>
  <si>
    <t>251887-5</t>
  </si>
  <si>
    <t>TORNILLO MARIPOSA M6X10 / VARIOS</t>
  </si>
  <si>
    <t>251919-8</t>
  </si>
  <si>
    <t>TORNILLO FRANCES M6X20 / UNIVERSAL</t>
  </si>
  <si>
    <t>251920-3</t>
  </si>
  <si>
    <t>TORNILLO M6X30 / UNIVERSAL</t>
  </si>
  <si>
    <t>251961-9</t>
  </si>
  <si>
    <t>PERNO HEX. M6X10 / UNIVERSAL</t>
  </si>
  <si>
    <t>251986-3</t>
  </si>
  <si>
    <t>TORNILLO HEX. M6X6 / JS1602 - SJ1600</t>
  </si>
  <si>
    <t>252003-2</t>
  </si>
  <si>
    <t>252005-8</t>
  </si>
  <si>
    <t>252007-4</t>
  </si>
  <si>
    <t>TUERCA HEX. W 1/2-21 / UNIVERSAL</t>
  </si>
  <si>
    <t>252014-7</t>
  </si>
  <si>
    <t>252044-8</t>
  </si>
  <si>
    <t>TUERCA HEX. M16-24 / LC1230</t>
  </si>
  <si>
    <t>252083-8</t>
  </si>
  <si>
    <t>252087-0</t>
  </si>
  <si>
    <t>TUERCA HEX. M12-19 / UNIVERSAL</t>
  </si>
  <si>
    <t>252094-3</t>
  </si>
  <si>
    <t>TUERCA HEX. M8 / UNIVERSAL</t>
  </si>
  <si>
    <t>252103-8</t>
  </si>
  <si>
    <t>TUERCA HEX. M5X8 / VARIOS</t>
  </si>
  <si>
    <t>252105-4</t>
  </si>
  <si>
    <t>TUERCA HEX. M8-13 / VARIOS</t>
  </si>
  <si>
    <t>252126-6</t>
  </si>
  <si>
    <t>TUERCA HEX. M4-7 / UNIVERSAL</t>
  </si>
  <si>
    <t>252134-7</t>
  </si>
  <si>
    <t>TUERCA HEX. M8 / N5900B</t>
  </si>
  <si>
    <t>252135-5</t>
  </si>
  <si>
    <t>TUERCA HEX. / UNIVERSAL</t>
  </si>
  <si>
    <t>252137-1</t>
  </si>
  <si>
    <t>TUERCA HEX. M5-8 / UNIVERSAL</t>
  </si>
  <si>
    <t>252145-2</t>
  </si>
  <si>
    <t>TUERCA HEX. 8M / UNIVERSAL</t>
  </si>
  <si>
    <t>252153-3</t>
  </si>
  <si>
    <t>TUERCA HEX. M6-10 / UNIVERSAL</t>
  </si>
  <si>
    <t>252154-1</t>
  </si>
  <si>
    <t>TUERCA HEX. M8-13 / UNIVERSAL</t>
  </si>
  <si>
    <t>252155-9</t>
  </si>
  <si>
    <t>252156-7</t>
  </si>
  <si>
    <t>TUERCA HEX. M5-8 / M3700</t>
  </si>
  <si>
    <t>252159-1</t>
  </si>
  <si>
    <t>TUERCA HEX M6 / VARIOS</t>
  </si>
  <si>
    <t>252161-4</t>
  </si>
  <si>
    <t>TUERCA HEX. M10-17 /UNIVERSAL</t>
  </si>
  <si>
    <t>252164-8</t>
  </si>
  <si>
    <t>TUERCA HEX. M10-17 / UNIVERSAL</t>
  </si>
  <si>
    <t>252168-0</t>
  </si>
  <si>
    <t>TUERCA HEX. M8-13 / UC4020C</t>
  </si>
  <si>
    <t>252175-3</t>
  </si>
  <si>
    <t>TUERCA HEX. M5 / M5801</t>
  </si>
  <si>
    <t>252178-7</t>
  </si>
  <si>
    <t>TUERCA HEX. M8-12 / VARIOS</t>
  </si>
  <si>
    <t>252180-0</t>
  </si>
  <si>
    <t>TUERCA M5-8 /UNIVERSAL</t>
  </si>
  <si>
    <t>252183-4</t>
  </si>
  <si>
    <t>TUERCA HEX. M10-17</t>
  </si>
  <si>
    <t>252186-8</t>
  </si>
  <si>
    <t>TUERCA HEX. M6 / VARIOS</t>
  </si>
  <si>
    <t>252194-9</t>
  </si>
  <si>
    <t>252199-9</t>
  </si>
  <si>
    <t>252234-3</t>
  </si>
  <si>
    <t>TUERCA HEX. M10 / UNIVERSAL</t>
  </si>
  <si>
    <t>252236-9</t>
  </si>
  <si>
    <t>252240-8</t>
  </si>
  <si>
    <t>TUERCA HEX. M8-13 / DRS780</t>
  </si>
  <si>
    <t>252244-0</t>
  </si>
  <si>
    <t>252262-8</t>
  </si>
  <si>
    <t>252265-2</t>
  </si>
  <si>
    <t>TUERCA HEX. M6 / DHS660</t>
  </si>
  <si>
    <t>252270-9</t>
  </si>
  <si>
    <t>TUERCA MARIPOSA 6M / UNIVERSAL</t>
  </si>
  <si>
    <t>252273-3</t>
  </si>
  <si>
    <t>TUERCA HEX. M6 / DFN350  DPT353</t>
  </si>
  <si>
    <t>252275-9</t>
  </si>
  <si>
    <t>252276-7</t>
  </si>
  <si>
    <t>252286-4</t>
  </si>
  <si>
    <t>252426-4</t>
  </si>
  <si>
    <t>TUERCA M14 / UNIVERSAL</t>
  </si>
  <si>
    <t>252427-2</t>
  </si>
  <si>
    <t>TUERCA M14L / UNIVERSAL</t>
  </si>
  <si>
    <t>252429-8</t>
  </si>
  <si>
    <t>TUERCA  M15-23 / VARIOS</t>
  </si>
  <si>
    <t>252605-4</t>
  </si>
  <si>
    <t>TUERCA MARIPOSA M16 / 9031</t>
  </si>
  <si>
    <t>252625-8</t>
  </si>
  <si>
    <t>TUERCA MARIPOSA 10M / UNIVERSAL</t>
  </si>
  <si>
    <t>252633-9</t>
  </si>
  <si>
    <t>252640-2</t>
  </si>
  <si>
    <t>TUERCA PERILLA M8 / VARIOS</t>
  </si>
  <si>
    <t>252643-6</t>
  </si>
  <si>
    <t>TUERCA DE TOPE / RP2301FC</t>
  </si>
  <si>
    <t>252649-4</t>
  </si>
  <si>
    <t>TUERCA M6 / UNIVERSAL</t>
  </si>
  <si>
    <t>252652-5</t>
  </si>
  <si>
    <t>TUERCA MARIPOSA / 3709</t>
  </si>
  <si>
    <t>252654-1</t>
  </si>
  <si>
    <t>TUERCA MARIPOSA M10 / VARIOS</t>
  </si>
  <si>
    <t>253010-8</t>
  </si>
  <si>
    <t>ARANDELA PLANA 6 / UNIVERSAL</t>
  </si>
  <si>
    <t>253011-6</t>
  </si>
  <si>
    <t>253024-7</t>
  </si>
  <si>
    <t>ARANDELA PLANA 10 / UNIVERSAL</t>
  </si>
  <si>
    <t>253047-5</t>
  </si>
  <si>
    <t>253052-2</t>
  </si>
  <si>
    <t>ARANDELA PLANA 12 / UNIVERSAL</t>
  </si>
  <si>
    <t>253077-6</t>
  </si>
  <si>
    <t>253084-9</t>
  </si>
  <si>
    <t>253111-2</t>
  </si>
  <si>
    <t>253133-2</t>
  </si>
  <si>
    <t>ARANDELA PLANA 7 / UNIVERSAL</t>
  </si>
  <si>
    <t>253147-1</t>
  </si>
  <si>
    <t>ARANDELA PLANA 15 / UNIVERSAL</t>
  </si>
  <si>
    <t>253165-9</t>
  </si>
  <si>
    <t>ARANDELA PLANA 8 / VARIOS</t>
  </si>
  <si>
    <t>253171-4</t>
  </si>
  <si>
    <t>253180-3</t>
  </si>
  <si>
    <t>ARANDELA PLANA / 6906</t>
  </si>
  <si>
    <t>253186-1</t>
  </si>
  <si>
    <t>253192-6</t>
  </si>
  <si>
    <t>ARANDELA PLANA 14 / VARIOS</t>
  </si>
  <si>
    <t>253194-2</t>
  </si>
  <si>
    <t>ARANDELA PLANA 5 / UNIVERSAL</t>
  </si>
  <si>
    <t>253196-8</t>
  </si>
  <si>
    <t>253197-6</t>
  </si>
  <si>
    <t>253198-4</t>
  </si>
  <si>
    <t>ARANDELA PLANA 18 / UNIVERSAL</t>
  </si>
  <si>
    <t>253215-0</t>
  </si>
  <si>
    <t>ARANDELA PLANA 8 / UNIVERSAL</t>
  </si>
  <si>
    <t>253308-3</t>
  </si>
  <si>
    <t>ARANDELA 6 / UNIVERSAL</t>
  </si>
  <si>
    <t>253312-2</t>
  </si>
  <si>
    <t>253313-0</t>
  </si>
  <si>
    <t>ARANDELA  14 /VARIOS</t>
  </si>
  <si>
    <t>253314-8</t>
  </si>
  <si>
    <t>ARANDELA FINA 15 / VARIOS</t>
  </si>
  <si>
    <t>253315-6</t>
  </si>
  <si>
    <t>253332-6</t>
  </si>
  <si>
    <t>253338-4</t>
  </si>
  <si>
    <t>253343-1</t>
  </si>
  <si>
    <t>ARANDELA FINA 18 / CA5000</t>
  </si>
  <si>
    <t>253362-7</t>
  </si>
  <si>
    <t>ARANDELA FINA 12 / DTD146</t>
  </si>
  <si>
    <t>253374-0</t>
  </si>
  <si>
    <t>ARANDELA 35 / UNIVERSAL</t>
  </si>
  <si>
    <t>253377-4</t>
  </si>
  <si>
    <t>ARANDELA PLANA 17 / UNIVERSAL</t>
  </si>
  <si>
    <t>253380-5</t>
  </si>
  <si>
    <t>ARANDELA PLANA 13 / UNIVERSAL</t>
  </si>
  <si>
    <t>253384-7</t>
  </si>
  <si>
    <t>253385-5</t>
  </si>
  <si>
    <t>ARANDELA ONDULADA 10 / UNIVERSAL</t>
  </si>
  <si>
    <t>253388-9</t>
  </si>
  <si>
    <t>253389-7</t>
  </si>
  <si>
    <t>ARANDELA 94 / VARIOS</t>
  </si>
  <si>
    <t>253393-6</t>
  </si>
  <si>
    <t>ARANDELA PLANA 42 / UNIVERSAL</t>
  </si>
  <si>
    <t>253396-0</t>
  </si>
  <si>
    <t>253397-8</t>
  </si>
  <si>
    <t>ARANDELA CONCAVA 15 / DCC500</t>
  </si>
  <si>
    <t>253407-1</t>
  </si>
  <si>
    <t>ARANDELA 5A / DHW080</t>
  </si>
  <si>
    <t>253408-9</t>
  </si>
  <si>
    <t>ARANDELA 5B / DHW080</t>
  </si>
  <si>
    <t>253409-7</t>
  </si>
  <si>
    <t>ARANDELA 17 / SC103D</t>
  </si>
  <si>
    <t>253410-2</t>
  </si>
  <si>
    <t>ARANDELA 15 / SC103D</t>
  </si>
  <si>
    <t>253411-0</t>
  </si>
  <si>
    <t>ARANDELA 6 / DDA460</t>
  </si>
  <si>
    <t>253412-8</t>
  </si>
  <si>
    <t>ARANDELA 15 / DDA460</t>
  </si>
  <si>
    <t>253416-0</t>
  </si>
  <si>
    <t>ARANDELA DISCO 5 / UNIVERSAL</t>
  </si>
  <si>
    <t>253427-5</t>
  </si>
  <si>
    <t>ARANDELA DE PRESION 5 / UNIVERSAL</t>
  </si>
  <si>
    <t>253428-3</t>
  </si>
  <si>
    <t>ARANDELA DE PRESION 6 / UNIVERSAL</t>
  </si>
  <si>
    <t>253437-2</t>
  </si>
  <si>
    <t>ARANDELA PLANA 23 / DSL800</t>
  </si>
  <si>
    <t>253444-5</t>
  </si>
  <si>
    <t>ARANDELA CONCAVA 4 / UNIVERSAL</t>
  </si>
  <si>
    <t>253454-2</t>
  </si>
  <si>
    <t>253464-9</t>
  </si>
  <si>
    <t>253474-6</t>
  </si>
  <si>
    <t>ARANDELA DE BLOQUEO / UNIVERSAL</t>
  </si>
  <si>
    <t>253478-8</t>
  </si>
  <si>
    <t>ARANDELA PLANA 41 / TW001G</t>
  </si>
  <si>
    <t>253479-6</t>
  </si>
  <si>
    <t>ARANDELA PLANA 57 / TW001G</t>
  </si>
  <si>
    <t>253481-9</t>
  </si>
  <si>
    <t>ARANDELA PLANA 20 / UNIVERSAL</t>
  </si>
  <si>
    <t>253484-3</t>
  </si>
  <si>
    <t>ARANDELA DE BLOQUEO 5 / UNIVERSAL</t>
  </si>
  <si>
    <t>253569-5</t>
  </si>
  <si>
    <t>ARANDELA 14/ VARIOS</t>
  </si>
  <si>
    <t>253707-9</t>
  </si>
  <si>
    <t>ARANDELA PLANA 16 / 9403</t>
  </si>
  <si>
    <t>253712-6</t>
  </si>
  <si>
    <t>ARANDELA PLANA 36 / TW1000</t>
  </si>
  <si>
    <t>253715-0</t>
  </si>
  <si>
    <t>ARANDELA PLANA 6 / VARIOS</t>
  </si>
  <si>
    <t>253731-2</t>
  </si>
  <si>
    <t>ARANDELA PLANA 8 / LC1230 - 2414NB</t>
  </si>
  <si>
    <t>253739-6</t>
  </si>
  <si>
    <t>ARANDELA PLANA 4 / UNIVERSAL</t>
  </si>
  <si>
    <t>253741-9</t>
  </si>
  <si>
    <t>ARANDELA PLANA 9 / UNIVERSAL</t>
  </si>
  <si>
    <t>253744-3</t>
  </si>
  <si>
    <t>ARANDELA PLANA 12 / VARIOS</t>
  </si>
  <si>
    <t>253752-4</t>
  </si>
  <si>
    <t>253758-2</t>
  </si>
  <si>
    <t>253759-0</t>
  </si>
  <si>
    <t>ARANDEL PLANA 12 / UNIVERSAL</t>
  </si>
  <si>
    <t>253762-1</t>
  </si>
  <si>
    <t>253764-7</t>
  </si>
  <si>
    <t>ARANDELA PLANA 30 / UNIVERSAL</t>
  </si>
  <si>
    <t>253765-5</t>
  </si>
  <si>
    <t>ARANDELA PLANA 36 / UNIVERSAL</t>
  </si>
  <si>
    <t>253771-0</t>
  </si>
  <si>
    <t>ARANDELA PLANA 16 / LC1230 - DDA460</t>
  </si>
  <si>
    <t>253774-4</t>
  </si>
  <si>
    <t>ARANDELA PLANA 65 / UNIVERSAL</t>
  </si>
  <si>
    <t>253783-3</t>
  </si>
  <si>
    <t>253786-7</t>
  </si>
  <si>
    <t>ARANDELA PLANA 14 / UNIVERSAL</t>
  </si>
  <si>
    <t>253797-2</t>
  </si>
  <si>
    <t>253798-0</t>
  </si>
  <si>
    <t>ARANDELA PLANA 13 / TD0101</t>
  </si>
  <si>
    <t>253804-1</t>
  </si>
  <si>
    <t>253806-7</t>
  </si>
  <si>
    <t>253807-5</t>
  </si>
  <si>
    <t>ARANDELA PLANA 5 / VARIOS</t>
  </si>
  <si>
    <t>253810-6</t>
  </si>
  <si>
    <t>253811-4</t>
  </si>
  <si>
    <t>ARANDELA PLANA 5 / 5007NK - DTM52</t>
  </si>
  <si>
    <t>253823-7</t>
  </si>
  <si>
    <t>ARANDELA PLANA 7  / UNIVERSAL</t>
  </si>
  <si>
    <t>253828-7</t>
  </si>
  <si>
    <t>GOLILLA PLANA P/2012NB</t>
  </si>
  <si>
    <t>253835-0</t>
  </si>
  <si>
    <t>253843-1</t>
  </si>
  <si>
    <t>253845-7</t>
  </si>
  <si>
    <t>ARANDELA PLANA 31 / UNIVERSAL</t>
  </si>
  <si>
    <t>253853-8</t>
  </si>
  <si>
    <t>ARANDELA PLANA 15 / VARIOS</t>
  </si>
  <si>
    <t>253854-6</t>
  </si>
  <si>
    <t>ARANDELA PLANA 12  /UNIVERSAL</t>
  </si>
  <si>
    <t>253865-1</t>
  </si>
  <si>
    <t>253874-0</t>
  </si>
  <si>
    <t>ARANDELA PLANA 4 / VARIOS</t>
  </si>
  <si>
    <t>253877-4</t>
  </si>
  <si>
    <t>253878-2</t>
  </si>
  <si>
    <t>253903-9</t>
  </si>
  <si>
    <t>ARANDELA ONDULADA 6 / VARIOS</t>
  </si>
  <si>
    <t>253905-5</t>
  </si>
  <si>
    <t>ARANDELA ONDULADA 23 / 3707</t>
  </si>
  <si>
    <t>253906-3</t>
  </si>
  <si>
    <t>ARANDELA ONDULADA 26 / UNIVERSAL</t>
  </si>
  <si>
    <t>253909-7</t>
  </si>
  <si>
    <t>253922-5</t>
  </si>
  <si>
    <t>ARANDELA CONCAVA 12 / M9400</t>
  </si>
  <si>
    <t>253929-1</t>
  </si>
  <si>
    <t>ARANDELA CONCAVA 5 / TW0350</t>
  </si>
  <si>
    <t>253932-2</t>
  </si>
  <si>
    <t>ARANDELA ONDULADA 10 / VARIOS</t>
  </si>
  <si>
    <t>253937-2</t>
  </si>
  <si>
    <t>253939-8</t>
  </si>
  <si>
    <t>ARANDELA PLANA 25 / UNIVERSAL</t>
  </si>
  <si>
    <t>253948-7</t>
  </si>
  <si>
    <t>ARANDELA ONDULADA 8 / VARIOS</t>
  </si>
  <si>
    <t>253955-0</t>
  </si>
  <si>
    <t>ARANDELA PLANA 24 / UNIVERSAL</t>
  </si>
  <si>
    <t>253989-3</t>
  </si>
  <si>
    <t>ARANDELA DE PRESION 12 / HM1810</t>
  </si>
  <si>
    <t>254001-2</t>
  </si>
  <si>
    <t>CHAVETA 4 / DLS111</t>
  </si>
  <si>
    <t>254002-0</t>
  </si>
  <si>
    <t>CHAVETA MEDIA LUNA 3 / UNIVERSAL</t>
  </si>
  <si>
    <t>254011-9</t>
  </si>
  <si>
    <t>CHAVETA 4 / VARIOS</t>
  </si>
  <si>
    <t>254032-1</t>
  </si>
  <si>
    <t>CHAVETA MEDIA LUNA / VARIOS</t>
  </si>
  <si>
    <t>254040-2</t>
  </si>
  <si>
    <t>CUÑA DE MEDIA LUNA 3 / EM3400U - RBC411U</t>
  </si>
  <si>
    <t>254201-4</t>
  </si>
  <si>
    <t>LLAVE 4 / DA3010F</t>
  </si>
  <si>
    <t>254202-2</t>
  </si>
  <si>
    <t>LLAVE 4 / VARIOS</t>
  </si>
  <si>
    <t>254204-8</t>
  </si>
  <si>
    <t>LLAVE 4 / 2012NB</t>
  </si>
  <si>
    <t>254211-1</t>
  </si>
  <si>
    <t>LLAVE 5 / VARIOS</t>
  </si>
  <si>
    <t>254219-5</t>
  </si>
  <si>
    <t>CHAVETA RECTA 4 / UNIVERSAL</t>
  </si>
  <si>
    <t>254220-0</t>
  </si>
  <si>
    <t>LLAVE 5 / HM1812</t>
  </si>
  <si>
    <t>254226-8</t>
  </si>
  <si>
    <t>254229-2</t>
  </si>
  <si>
    <t>254239-9</t>
  </si>
  <si>
    <t>CHAVETA 4 /  VARIOS</t>
  </si>
  <si>
    <t>255058-6</t>
  </si>
  <si>
    <t>REMACHE 2 / VARIOS</t>
  </si>
  <si>
    <t>256009-2</t>
  </si>
  <si>
    <t>PASADOR 4.5 / UNIVERSAL</t>
  </si>
  <si>
    <t>256012-3</t>
  </si>
  <si>
    <t>PASADOR 6 / 2414NB</t>
  </si>
  <si>
    <t>256021-2</t>
  </si>
  <si>
    <t>PASADOR 5 / UC4020C</t>
  </si>
  <si>
    <t>256033-5</t>
  </si>
  <si>
    <t>PASADOR 6 / DTW450</t>
  </si>
  <si>
    <t>256040-8</t>
  </si>
  <si>
    <t>PASADOR 5 / 6906</t>
  </si>
  <si>
    <t>256041-6</t>
  </si>
  <si>
    <t>PASADOR 6 / 2012NB</t>
  </si>
  <si>
    <t>256098-7</t>
  </si>
  <si>
    <t>PASADOR 5 / LC1230</t>
  </si>
  <si>
    <t>256099-5</t>
  </si>
  <si>
    <t>PASADOR 6 / VARIOS</t>
  </si>
  <si>
    <t>256104-8</t>
  </si>
  <si>
    <t>PASADOR 3 / 9046</t>
  </si>
  <si>
    <t>256117-9</t>
  </si>
  <si>
    <t>PASADOR 4 / VARIOS</t>
  </si>
  <si>
    <t>256120-0</t>
  </si>
  <si>
    <t>PASADOR 10 / HM1201</t>
  </si>
  <si>
    <t>256122-6</t>
  </si>
  <si>
    <t>PASADOR 4 / UNIVERSAL</t>
  </si>
  <si>
    <t>256151-9</t>
  </si>
  <si>
    <t>PASADOR 5 / HM1810</t>
  </si>
  <si>
    <t>256155-1</t>
  </si>
  <si>
    <t>PASADOR 5 / UNIVERSAL</t>
  </si>
  <si>
    <t>256156-9</t>
  </si>
  <si>
    <t>PASADOR 6 / UNIVERSAL</t>
  </si>
  <si>
    <t>256158-5</t>
  </si>
  <si>
    <t>PASADOR 3 / VARIOS</t>
  </si>
  <si>
    <t>256176-3</t>
  </si>
  <si>
    <t>PASADOR 2.5 / UNIVERSAL</t>
  </si>
  <si>
    <t>256180-2</t>
  </si>
  <si>
    <t>256186-0</t>
  </si>
  <si>
    <t>PASADOR 5 / VARIOS</t>
  </si>
  <si>
    <t>256197-5</t>
  </si>
  <si>
    <t>PASADOR 7 / VARIOS</t>
  </si>
  <si>
    <t>256200-2</t>
  </si>
  <si>
    <t>256206-0</t>
  </si>
  <si>
    <t>256211-7</t>
  </si>
  <si>
    <t>256219-1</t>
  </si>
  <si>
    <t>256221-4</t>
  </si>
  <si>
    <t>PASADOR 3 / 3707</t>
  </si>
  <si>
    <t>256226-4</t>
  </si>
  <si>
    <t>PASADOR 4 / 2012NB - LS1221</t>
  </si>
  <si>
    <t>256238-7</t>
  </si>
  <si>
    <t>PASADOR 12 / HM1317CB - HM1307CB</t>
  </si>
  <si>
    <t>256251-5</t>
  </si>
  <si>
    <t>PASADOR DE GOMA 4 / VARIOS</t>
  </si>
  <si>
    <t>256253-1</t>
  </si>
  <si>
    <t>256254-9</t>
  </si>
  <si>
    <t>256255-7</t>
  </si>
  <si>
    <t>PASADOR / JN3201</t>
  </si>
  <si>
    <t>256263-8</t>
  </si>
  <si>
    <t>256265-4</t>
  </si>
  <si>
    <t>PASADOR 10 / HR5211C</t>
  </si>
  <si>
    <t>256266-2</t>
  </si>
  <si>
    <t>256267-0</t>
  </si>
  <si>
    <t>PASADOR 3 / SC103D</t>
  </si>
  <si>
    <t>256269-6</t>
  </si>
  <si>
    <t>PASADOR 6 / HM1812 - HM1802</t>
  </si>
  <si>
    <t>256280-8</t>
  </si>
  <si>
    <t>PASADOR 8 / LS1040 - LS1040F</t>
  </si>
  <si>
    <t>256331-7</t>
  </si>
  <si>
    <t>PASADOR DE PISTON 11 / EB5300TH</t>
  </si>
  <si>
    <t>256342-2</t>
  </si>
  <si>
    <t>SOPORTE DE CUCHILLA / DFS251</t>
  </si>
  <si>
    <t>256343-0</t>
  </si>
  <si>
    <t>PASADOR 8 / UNIVERSAL</t>
  </si>
  <si>
    <t>256351-1</t>
  </si>
  <si>
    <t>PASADOR CON RESALTO 6-7 / HS0600</t>
  </si>
  <si>
    <t>256364-2</t>
  </si>
  <si>
    <t>256368-4</t>
  </si>
  <si>
    <t>PASADOR RANURADO / GD0603</t>
  </si>
  <si>
    <t>256372-3</t>
  </si>
  <si>
    <t>PASADOR 3.5 / UNIVERSAL</t>
  </si>
  <si>
    <t>256378-1</t>
  </si>
  <si>
    <t>PASADOR 3  / UNIVERSAL</t>
  </si>
  <si>
    <t>256380-4</t>
  </si>
  <si>
    <t>PASADOR CON REBAJE 4-6 / VARIOS</t>
  </si>
  <si>
    <t>256393-5</t>
  </si>
  <si>
    <t>PASADOR CON CABEZA 5-8.5 / DDA460</t>
  </si>
  <si>
    <t>256437-1</t>
  </si>
  <si>
    <t>PASADOR TRABADOR / RT0700C - DRT50</t>
  </si>
  <si>
    <t>256447-8</t>
  </si>
  <si>
    <t>PASADOR 8 / VARIOS</t>
  </si>
  <si>
    <t>256452-5</t>
  </si>
  <si>
    <t>PASADOR DE BRIDA 8 / VARIOS</t>
  </si>
  <si>
    <t>256459-1</t>
  </si>
  <si>
    <t>PASADOR TRABADOR / VARIOS</t>
  </si>
  <si>
    <t>256482-6</t>
  </si>
  <si>
    <t>PASADOR TRABADOR 6 / M3600</t>
  </si>
  <si>
    <t>256483-4</t>
  </si>
  <si>
    <t>PASADOR TRABADOR / SA7000C - PK5011C</t>
  </si>
  <si>
    <t>256486-8</t>
  </si>
  <si>
    <t>PASADOR TRABADOR 4 / M0901</t>
  </si>
  <si>
    <t>256491-5</t>
  </si>
  <si>
    <t>TRABADOR /VARIOS</t>
  </si>
  <si>
    <t>256492-3</t>
  </si>
  <si>
    <t>PASADOR CON RESPALDO / VARIOS</t>
  </si>
  <si>
    <t>256496-5</t>
  </si>
  <si>
    <t>PASADOR TRABADOR 4 / DGA452 - DPJ180</t>
  </si>
  <si>
    <t>256504-2</t>
  </si>
  <si>
    <t>PASADOR TRABADOR 9 / 9237CB - 9227CB</t>
  </si>
  <si>
    <t>256505-0</t>
  </si>
  <si>
    <t>TRABADOR DE DISCO / VARIOS</t>
  </si>
  <si>
    <t>256510-7</t>
  </si>
  <si>
    <t>256511-5</t>
  </si>
  <si>
    <t>PERNO SIN ROSCA/ VARIOS</t>
  </si>
  <si>
    <t>256516-5</t>
  </si>
  <si>
    <t>PASADOR TRABADOR 11 / VARIOS</t>
  </si>
  <si>
    <t>256520-4</t>
  </si>
  <si>
    <t>VARILLA DE CONTROL 5M / EK7651H</t>
  </si>
  <si>
    <t>256526-2</t>
  </si>
  <si>
    <t>VARILLA DE PRESION / PM7650H</t>
  </si>
  <si>
    <t>256528-8</t>
  </si>
  <si>
    <t>PASADOR 2 / VARIOS</t>
  </si>
  <si>
    <t>256535-1</t>
  </si>
  <si>
    <t>PASADOR CON RESALTO 6 / VARIOS</t>
  </si>
  <si>
    <t>256536-9</t>
  </si>
  <si>
    <t>PASADOR CON RESALTO Y CABEZA 6 / VARIOS</t>
  </si>
  <si>
    <t>256543-2</t>
  </si>
  <si>
    <t>PASADOR DE PISTON / VARIOS</t>
  </si>
  <si>
    <t>256546-6</t>
  </si>
  <si>
    <t>256548-2</t>
  </si>
  <si>
    <t>256550-5</t>
  </si>
  <si>
    <t>PASADOR TRABADOR 5 / M0920 - M0921</t>
  </si>
  <si>
    <t>256559-7</t>
  </si>
  <si>
    <t>PASADOR CON CABEZA 6 / HM1802 - HM1812</t>
  </si>
  <si>
    <t>256567-8</t>
  </si>
  <si>
    <t>PASADOR 6-8 / DJR186</t>
  </si>
  <si>
    <t>256568-6</t>
  </si>
  <si>
    <t>PASADOR  5 / VARIOS</t>
  </si>
  <si>
    <t>256569-4</t>
  </si>
  <si>
    <t>PASADOR CON CABEZA 5 / DJR186 -DJR360</t>
  </si>
  <si>
    <t>256571-7</t>
  </si>
  <si>
    <t>PASADOR CON TRABA 7 / VARIOS</t>
  </si>
  <si>
    <t>256573-3</t>
  </si>
  <si>
    <t>PASADOR 5 / DTR180</t>
  </si>
  <si>
    <t>256579-1</t>
  </si>
  <si>
    <t>PASADOR  5MM / VARIOS</t>
  </si>
  <si>
    <t>256585-6</t>
  </si>
  <si>
    <t>VARILLA 4 / DHR182</t>
  </si>
  <si>
    <t>256586-4</t>
  </si>
  <si>
    <t>PASADOR 2.5 / DHR182</t>
  </si>
  <si>
    <t>256594-5</t>
  </si>
  <si>
    <t>EJE LISO 6 / VARIOS</t>
  </si>
  <si>
    <t>256598-7</t>
  </si>
  <si>
    <t>PASADOR BLOQUEO 4MM / VARIOS</t>
  </si>
  <si>
    <t>256606-4</t>
  </si>
  <si>
    <t>PASADOR DE BRIDA 6 / VARIOS</t>
  </si>
  <si>
    <t>256626-8</t>
  </si>
  <si>
    <t>PASADOR CON RESALTO Y CABEZA 4 / LS1221 - SJ1600</t>
  </si>
  <si>
    <t>256633-1</t>
  </si>
  <si>
    <t>256651-9</t>
  </si>
  <si>
    <t>PASADOR 10 / VARIOS</t>
  </si>
  <si>
    <t>256688-6</t>
  </si>
  <si>
    <t>256689-4</t>
  </si>
  <si>
    <t>PASADOR CON RESPALDO Y CABEZA 4 / PJ7000 - DPJ180</t>
  </si>
  <si>
    <t>256733-7</t>
  </si>
  <si>
    <t>PASADOR  7 / VARIOS</t>
  </si>
  <si>
    <t>256739-5</t>
  </si>
  <si>
    <t>PASADOR RANURADO 4-55 / VARIOS</t>
  </si>
  <si>
    <t>256836-7</t>
  </si>
  <si>
    <t>PASADOR 16 / LS1040 - LS1040F</t>
  </si>
  <si>
    <t>256865-0</t>
  </si>
  <si>
    <t>VARILLAS 2.5MM / VARIOS</t>
  </si>
  <si>
    <t>256866-8</t>
  </si>
  <si>
    <t>SOPORTE DE CUCHILLA 2.5 / EM4351UH - EB5300TH</t>
  </si>
  <si>
    <t>256875-7</t>
  </si>
  <si>
    <t>SOPORTE DE CUCHILLA / CA5000</t>
  </si>
  <si>
    <t>256882-0</t>
  </si>
  <si>
    <t>PASADOR CON CABEZA 4 / DFN350 - DPT353</t>
  </si>
  <si>
    <t>256883-8</t>
  </si>
  <si>
    <t>PASADOR  4 / VARIOS</t>
  </si>
  <si>
    <t>256886-2</t>
  </si>
  <si>
    <t>VARILLA / HR006G - HR005G</t>
  </si>
  <si>
    <t>256933-9</t>
  </si>
  <si>
    <t>PERNO HEX. 8X35MM / VARIOS</t>
  </si>
  <si>
    <t>256934-7</t>
  </si>
  <si>
    <t>PASADOR  6 / VARIOS</t>
  </si>
  <si>
    <t>256935-5</t>
  </si>
  <si>
    <t>256949-4</t>
  </si>
  <si>
    <t>VARILLA 3 / HP001G</t>
  </si>
  <si>
    <t>256A11-1</t>
  </si>
  <si>
    <t>EJE 3 / VARIOS</t>
  </si>
  <si>
    <t>257010-0</t>
  </si>
  <si>
    <t>ANILLO 12 / VARIOS</t>
  </si>
  <si>
    <t>257018-4</t>
  </si>
  <si>
    <t>ANILLO 15 / VARIOS</t>
  </si>
  <si>
    <t>257022-3</t>
  </si>
  <si>
    <t>ANILLO 16 / VARIOS</t>
  </si>
  <si>
    <t>257024-9</t>
  </si>
  <si>
    <t>ANILLO 17 / DRS780</t>
  </si>
  <si>
    <t>257040-1</t>
  </si>
  <si>
    <t>ANILLO 65 / 6906</t>
  </si>
  <si>
    <t>257043-5</t>
  </si>
  <si>
    <t>ANILLO 15 / 6016</t>
  </si>
  <si>
    <t>257053-2</t>
  </si>
  <si>
    <t>ANILLO 15 / 4131 - 4114S</t>
  </si>
  <si>
    <t>257060-5</t>
  </si>
  <si>
    <t>ANILLO 15.88 / VARIOS</t>
  </si>
  <si>
    <t>257161-9</t>
  </si>
  <si>
    <t>257162-7</t>
  </si>
  <si>
    <t>ANILLO 7 / VARIOS</t>
  </si>
  <si>
    <t>257163-5</t>
  </si>
  <si>
    <t>ANILLO 6 / VARIOS</t>
  </si>
  <si>
    <t>257173-2</t>
  </si>
  <si>
    <t>ANILLO SEPARADOR 12 / VARIOS</t>
  </si>
  <si>
    <t>257185-5</t>
  </si>
  <si>
    <t>ANILLO 17 / 2414NB</t>
  </si>
  <si>
    <t>257188-9</t>
  </si>
  <si>
    <t>ANILLO 15 / 9046</t>
  </si>
  <si>
    <t>257189-7</t>
  </si>
  <si>
    <t>ANILLO 19 / 9046</t>
  </si>
  <si>
    <t>257196-0</t>
  </si>
  <si>
    <t>ANILLO ESPACIADOR 25 / VARIOS</t>
  </si>
  <si>
    <t>257202-1</t>
  </si>
  <si>
    <t>ANILLO 25 / VARIOS</t>
  </si>
  <si>
    <t>257206-3</t>
  </si>
  <si>
    <t>ANILLO 29 / VARIOS</t>
  </si>
  <si>
    <t>257222-5</t>
  </si>
  <si>
    <t>ANILLO 8 / LC1230</t>
  </si>
  <si>
    <t>257241-1</t>
  </si>
  <si>
    <t>257246-1</t>
  </si>
  <si>
    <t>ANILLO 19 / HP1630K - M8100K</t>
  </si>
  <si>
    <t>257255-0</t>
  </si>
  <si>
    <t>ANILLO 17 / LW1401 - M2401</t>
  </si>
  <si>
    <t>257262-3</t>
  </si>
  <si>
    <t>ANILLO 16 /LS003G</t>
  </si>
  <si>
    <t>257265-7</t>
  </si>
  <si>
    <t>ANILLO 21 / JR3070CT</t>
  </si>
  <si>
    <t>257266-5</t>
  </si>
  <si>
    <t>ANILLO 15 / LF1000</t>
  </si>
  <si>
    <t>257275-4</t>
  </si>
  <si>
    <t>ANILLO 11 / HR1830 - DHR165</t>
  </si>
  <si>
    <t>257279-6</t>
  </si>
  <si>
    <t>ANILLO 17 / 5007NK - HS0600</t>
  </si>
  <si>
    <t>257280-1</t>
  </si>
  <si>
    <t>ANILLO 28 / HR5211C</t>
  </si>
  <si>
    <t>257281-9</t>
  </si>
  <si>
    <t>257282-7</t>
  </si>
  <si>
    <t>ANILLO 47 / HR5211C</t>
  </si>
  <si>
    <t>257288-5</t>
  </si>
  <si>
    <t>ANILLO 21 / HR3210C</t>
  </si>
  <si>
    <t>257295-8</t>
  </si>
  <si>
    <t>ANILLO 16 / LF1000</t>
  </si>
  <si>
    <t>257297-4</t>
  </si>
  <si>
    <t>ANILLO 45 / HM1214C</t>
  </si>
  <si>
    <t>257301-9</t>
  </si>
  <si>
    <t>ANILLO 35 / HM1317CB - HM1307CB</t>
  </si>
  <si>
    <t>257308-5</t>
  </si>
  <si>
    <t>ANILLO 28 / VARIOS</t>
  </si>
  <si>
    <t>257309-3</t>
  </si>
  <si>
    <t>ANILLO DE PISTON / VARIOS</t>
  </si>
  <si>
    <t>257314-0</t>
  </si>
  <si>
    <t>ANILLO SEPARADOR 17 / EK7651H</t>
  </si>
  <si>
    <t>257321-3</t>
  </si>
  <si>
    <t>ANILLO 8 / VARIOS</t>
  </si>
  <si>
    <t>257334-4</t>
  </si>
  <si>
    <t>ANILLO DE PISTON 34 / VARIOS</t>
  </si>
  <si>
    <t>257336-0</t>
  </si>
  <si>
    <t>ANILLO DE TOPE U-6 / VARIOS</t>
  </si>
  <si>
    <t>257340-9</t>
  </si>
  <si>
    <t>ANILLO 33 / VARIOS</t>
  </si>
  <si>
    <t>257344-1</t>
  </si>
  <si>
    <t>PASADOR DE PISTON / PM7650H</t>
  </si>
  <si>
    <t>257348-3</t>
  </si>
  <si>
    <t>ANILLO 15/VARIOS</t>
  </si>
  <si>
    <t>257353-0</t>
  </si>
  <si>
    <t>ANILLO 49 / VARIOS</t>
  </si>
  <si>
    <t>257354-8</t>
  </si>
  <si>
    <t>257355-6</t>
  </si>
  <si>
    <t>ANILLO 44 / VARIOS</t>
  </si>
  <si>
    <t>257359-8</t>
  </si>
  <si>
    <t>ANILLO PISTON / EM3400U</t>
  </si>
  <si>
    <t>257361-1</t>
  </si>
  <si>
    <t>ANILLO 24 / M8600</t>
  </si>
  <si>
    <t>257366-1</t>
  </si>
  <si>
    <t>ANILLO DE PISTON 38 / VARIOS</t>
  </si>
  <si>
    <t>257367-9</t>
  </si>
  <si>
    <t>257377-6</t>
  </si>
  <si>
    <t>ANILLO 50MM / DCS7301</t>
  </si>
  <si>
    <t>257384-9</t>
  </si>
  <si>
    <t>SEGMENTO DE PISTON</t>
  </si>
  <si>
    <t>257389-9</t>
  </si>
  <si>
    <t>TUBO 11 / DLW140</t>
  </si>
  <si>
    <t>257390-4</t>
  </si>
  <si>
    <t>MANGUITO 20 / LW1401</t>
  </si>
  <si>
    <t>257402-3</t>
  </si>
  <si>
    <t>MANGUITO 10 / DUC400</t>
  </si>
  <si>
    <t>257416-2</t>
  </si>
  <si>
    <t>257423-5</t>
  </si>
  <si>
    <t>ANILLO DE RETENCION QR-42 / DRS780</t>
  </si>
  <si>
    <t>257426-9</t>
  </si>
  <si>
    <t>MANGUITO 5 / LS1019 - DLS111</t>
  </si>
  <si>
    <t>257430-8</t>
  </si>
  <si>
    <t>ANILLO DE RETENCION 18 / VARIOS</t>
  </si>
  <si>
    <t>257432-4</t>
  </si>
  <si>
    <t>SEGURO R-35/UR101</t>
  </si>
  <si>
    <t>257438-2</t>
  </si>
  <si>
    <t>MANGUITO 10 / DHR280</t>
  </si>
  <si>
    <t>257439-0</t>
  </si>
  <si>
    <t>ESPACIADOR 5 / VARIOS</t>
  </si>
  <si>
    <t>257440-5</t>
  </si>
  <si>
    <t>MANGUITO 17 / DDA460</t>
  </si>
  <si>
    <t>257451-0</t>
  </si>
  <si>
    <t>ESPACIADOR 17 / VARIOS</t>
  </si>
  <si>
    <t>257452-8</t>
  </si>
  <si>
    <t>ANILLO DE RETENCION WR-40 / VARIOS</t>
  </si>
  <si>
    <t>257457-8</t>
  </si>
  <si>
    <t>257465-9</t>
  </si>
  <si>
    <t>ANILLO 5 / VARIOS</t>
  </si>
  <si>
    <t>257504-5</t>
  </si>
  <si>
    <t>TUBO 6 / VARIOS</t>
  </si>
  <si>
    <t>257507-9</t>
  </si>
  <si>
    <t>TUBO 7 / VARIOS</t>
  </si>
  <si>
    <t>257539-6</t>
  </si>
  <si>
    <t>MANGUITO 5 / TW001G</t>
  </si>
  <si>
    <t>257600-9</t>
  </si>
  <si>
    <t>MANGUITO 6 / 2012NB</t>
  </si>
  <si>
    <t>257636-8</t>
  </si>
  <si>
    <t>MANGO 6 / VARIOS</t>
  </si>
  <si>
    <t>257637-6</t>
  </si>
  <si>
    <t>MANGUITO 18 / 6905H</t>
  </si>
  <si>
    <t>257659-6</t>
  </si>
  <si>
    <t>MANGUITO 4 / 9046</t>
  </si>
  <si>
    <t>257669-3</t>
  </si>
  <si>
    <t>BOCINA 6 / N5900B - DHS710</t>
  </si>
  <si>
    <t>257678-2</t>
  </si>
  <si>
    <t>257683-9</t>
  </si>
  <si>
    <t>ANILLO DE TRANSMISION / VARIOS</t>
  </si>
  <si>
    <t>257693-6</t>
  </si>
  <si>
    <t>TUBO 9 / VARIOS</t>
  </si>
  <si>
    <t>257742-9</t>
  </si>
  <si>
    <t>FUNDA PARA HOMBRO 14 / JR3070CT</t>
  </si>
  <si>
    <t>257751-8</t>
  </si>
  <si>
    <t>TUBO 8 / VARIOS</t>
  </si>
  <si>
    <t>257759-2</t>
  </si>
  <si>
    <t>PASADOR 6 / 5007NK</t>
  </si>
  <si>
    <t>257761-5</t>
  </si>
  <si>
    <t>TUBO 9 / LF1000</t>
  </si>
  <si>
    <t>257781-9</t>
  </si>
  <si>
    <t>257782-7</t>
  </si>
  <si>
    <t>TUBO 43 / HM1307C-HM1317C</t>
  </si>
  <si>
    <t>257788-5</t>
  </si>
  <si>
    <t>MANGUITO 43 / HM1317CB - HM1307CB</t>
  </si>
  <si>
    <t>257796-6</t>
  </si>
  <si>
    <t>257797-4</t>
  </si>
  <si>
    <t>257804-3</t>
  </si>
  <si>
    <t>ANILLO DE TRANSMISION 7 / JV0600</t>
  </si>
  <si>
    <t>257813-2</t>
  </si>
  <si>
    <t>MANGUITO 9 / HR5212C - HR4013C</t>
  </si>
  <si>
    <t>257820-5</t>
  </si>
  <si>
    <t>PASADOR DE PISTON 9 / VARIOS</t>
  </si>
  <si>
    <t>257822-1</t>
  </si>
  <si>
    <t>TUBO 8 / DBN500</t>
  </si>
  <si>
    <t>257857-2</t>
  </si>
  <si>
    <t>ANILLO 8 / HP2070F - HP2050</t>
  </si>
  <si>
    <t>257858-0</t>
  </si>
  <si>
    <t>ANILLO 8 / HP1230</t>
  </si>
  <si>
    <t>257859-8</t>
  </si>
  <si>
    <t>TUBO 5 /UH006G-UH007G</t>
  </si>
  <si>
    <t>257872-6</t>
  </si>
  <si>
    <t>257932-4</t>
  </si>
  <si>
    <t>ARANDELA DE BLOQUEO 30 / VARIOS</t>
  </si>
  <si>
    <t>257953-6</t>
  </si>
  <si>
    <t>257960-9</t>
  </si>
  <si>
    <t>ANILLO DE RETENCION REDONDO R-42 / VARIOS</t>
  </si>
  <si>
    <t>257965-9</t>
  </si>
  <si>
    <t>ANILLO DE RETENCION R-32 / VARIOS</t>
  </si>
  <si>
    <t>257966-7</t>
  </si>
  <si>
    <t>ANILLO DE RETENCION INT-55 / VARIOS</t>
  </si>
  <si>
    <t>257967-5</t>
  </si>
  <si>
    <t>ANILLO DE RETENCION EXT- 15 / EBH340U</t>
  </si>
  <si>
    <t>257971-4</t>
  </si>
  <si>
    <t>ANILLO 17 / VARIOS</t>
  </si>
  <si>
    <t>257972-2</t>
  </si>
  <si>
    <t>TUBO 6.5 /VARIOS</t>
  </si>
  <si>
    <t>257978-0</t>
  </si>
  <si>
    <t>257982-9</t>
  </si>
  <si>
    <t>257986-1</t>
  </si>
  <si>
    <t>SEGURO S-9/UR101</t>
  </si>
  <si>
    <t>257987-9</t>
  </si>
  <si>
    <t>SEGURO 24 / UR101</t>
  </si>
  <si>
    <t>257991-8</t>
  </si>
  <si>
    <t>ANILLO DE RETENCION WR-32.5 / VARIOS</t>
  </si>
  <si>
    <t>257993-4</t>
  </si>
  <si>
    <t>SEGURO 12 / M0400</t>
  </si>
  <si>
    <t>257994-2</t>
  </si>
  <si>
    <t>ANILLO DE RETENCION WR-44 / VARIOS</t>
  </si>
  <si>
    <t>258002-2</t>
  </si>
  <si>
    <t>PASADOR / VARIOS</t>
  </si>
  <si>
    <t>259019-8</t>
  </si>
  <si>
    <t>TRABADOR 15 / RP0900 - M3601</t>
  </si>
  <si>
    <t>259033-4</t>
  </si>
  <si>
    <t>ANILLO DE RETENCION E-6 / UC4551A - EA3203S</t>
  </si>
  <si>
    <t>259036-8</t>
  </si>
  <si>
    <t>ANILLO DE TOPE E-8 / UC4041A - UC4020C</t>
  </si>
  <si>
    <t>259039-2</t>
  </si>
  <si>
    <t>CERRADURA / VARIOS</t>
  </si>
  <si>
    <t>259045-7</t>
  </si>
  <si>
    <t>ANILLO DE TOPE EXT-E8 / VARIOS</t>
  </si>
  <si>
    <t>259056-2</t>
  </si>
  <si>
    <t>ANILLO DE SEGURIDAD 54 / VARIOS</t>
  </si>
  <si>
    <t>259057-0</t>
  </si>
  <si>
    <t>ANILLO DE RETENSION 74 / VARIOS</t>
  </si>
  <si>
    <t>259068-5</t>
  </si>
  <si>
    <t>VARILLA 6/DLM382</t>
  </si>
  <si>
    <t>259075-8</t>
  </si>
  <si>
    <t>ANILLO DE RETENCION EXT-WR 14 / EBH340U</t>
  </si>
  <si>
    <t>261011-2</t>
  </si>
  <si>
    <t>GOLILLA FIBRA 8 / VARIOS</t>
  </si>
  <si>
    <t>261023-5</t>
  </si>
  <si>
    <t>ARANDELA DE NYLON 27 / UNIVERSAL</t>
  </si>
  <si>
    <t>261039-0</t>
  </si>
  <si>
    <t>ARANDELA DE URETANO 14 / 6802BV-6805BV</t>
  </si>
  <si>
    <t>261054-4</t>
  </si>
  <si>
    <t>ARANDELA DE NYLON 32 / HM1201</t>
  </si>
  <si>
    <t>261065-9</t>
  </si>
  <si>
    <t>ANILLO TEFLON 7 / VARIOS</t>
  </si>
  <si>
    <t>261089-5</t>
  </si>
  <si>
    <t>ARANDELA DE GOMA 18 / 6905H</t>
  </si>
  <si>
    <t>261104-5</t>
  </si>
  <si>
    <t>ARANDELA DE GOMA 12 / VARIOS</t>
  </si>
  <si>
    <t>261111-8</t>
  </si>
  <si>
    <t>261116-8</t>
  </si>
  <si>
    <t>ARANDELA DE NYLON 18 / DTW251</t>
  </si>
  <si>
    <t>261121-5</t>
  </si>
  <si>
    <t>ANILLO NYLON 55 / HM1304-HM1304B</t>
  </si>
  <si>
    <t>261127-3</t>
  </si>
  <si>
    <t>ARANDELA DE TEFLON 10 / VARIOS</t>
  </si>
  <si>
    <t>261129-9</t>
  </si>
  <si>
    <t>ARANDELA DE URETANO 18 / 2704</t>
  </si>
  <si>
    <t>261131-2</t>
  </si>
  <si>
    <t>ARANDELA DE NYLON 89 / VARIOS</t>
  </si>
  <si>
    <t>261132-0</t>
  </si>
  <si>
    <t>ARANDELA DE URETANO 26 / 5007NK</t>
  </si>
  <si>
    <t>261140-1</t>
  </si>
  <si>
    <t>ARANDELA DE NYLON / TD110D- TD0100</t>
  </si>
  <si>
    <t>261151-6</t>
  </si>
  <si>
    <t>ARANDELA DE NYLON 19 /VARIOS</t>
  </si>
  <si>
    <t>261152-4</t>
  </si>
  <si>
    <t>ARANDELA DE GOMA 8 / EM4351UH</t>
  </si>
  <si>
    <t>261154-0</t>
  </si>
  <si>
    <t>ARANDELA DE NYLON 28 / DTW285 - DTW300</t>
  </si>
  <si>
    <t>261155-8</t>
  </si>
  <si>
    <t>ARANDELA DE NYLON 24 / DTD154 - DTD170</t>
  </si>
  <si>
    <t>261157-4</t>
  </si>
  <si>
    <t>ARANDELA DE ESPONJA 40 / BO6050</t>
  </si>
  <si>
    <t>261160-5</t>
  </si>
  <si>
    <t>ARANDELA DE NYLON 30 / DTD171</t>
  </si>
  <si>
    <t>261161-3</t>
  </si>
  <si>
    <t>ANILLO DE FIELTRO 8 / DVR150</t>
  </si>
  <si>
    <t>261165-5</t>
  </si>
  <si>
    <t>ANILLO NYLON 26 / DTD157</t>
  </si>
  <si>
    <t>261173-6</t>
  </si>
  <si>
    <t>ARANDELA DE GOMA 12 / CC300D - CC301D</t>
  </si>
  <si>
    <t>262001-8</t>
  </si>
  <si>
    <t>ANILLO DE URETANO 5 / VARIOS</t>
  </si>
  <si>
    <t>262010-7</t>
  </si>
  <si>
    <t>ANILLO DE URETANO 18 / 6906</t>
  </si>
  <si>
    <t>262050-5</t>
  </si>
  <si>
    <t>ANILLO DE GOMA 54 / HM1810</t>
  </si>
  <si>
    <t>262052-1</t>
  </si>
  <si>
    <t>ANILLO DE GOMA / HM0810</t>
  </si>
  <si>
    <t>262054-7</t>
  </si>
  <si>
    <t>ANILLO DE URETANO 3 / VARIOS</t>
  </si>
  <si>
    <t>262076-7</t>
  </si>
  <si>
    <t>ANILLO FILTRO 30 / VARIOS</t>
  </si>
  <si>
    <t>262085-6</t>
  </si>
  <si>
    <t>262087-2</t>
  </si>
  <si>
    <t>262095-3</t>
  </si>
  <si>
    <t>ARANDELA DE URETANO 41/HM1202-HM1202C</t>
  </si>
  <si>
    <t>262098-7</t>
  </si>
  <si>
    <t>ARANDELA DE URETANO 48/VARIOS</t>
  </si>
  <si>
    <t>262099-5</t>
  </si>
  <si>
    <t>ANILLO DE GOMA 52 / HM1304-HM1304B</t>
  </si>
  <si>
    <t>262116-1</t>
  </si>
  <si>
    <t>ANILLO URETANO 45 / HR4010C</t>
  </si>
  <si>
    <t>262118-7</t>
  </si>
  <si>
    <t>ANILLO DE FIELTRO 18 / VARIOS</t>
  </si>
  <si>
    <t>262122-6</t>
  </si>
  <si>
    <t>262130-7</t>
  </si>
  <si>
    <t>ARANDELA DE URETANO 4/VARIOS</t>
  </si>
  <si>
    <t>262132-3</t>
  </si>
  <si>
    <t>ANILLO DE GOMA 27 / GA5020 - GA5010</t>
  </si>
  <si>
    <t>262133-1</t>
  </si>
  <si>
    <t>ANILLO DE URETANO 31 / HR2810</t>
  </si>
  <si>
    <t>262135-7</t>
  </si>
  <si>
    <t>ANILLO DE GOMA 36 / HM1111C</t>
  </si>
  <si>
    <t>262147-0</t>
  </si>
  <si>
    <t>262148-8</t>
  </si>
  <si>
    <t>262149-6</t>
  </si>
  <si>
    <t>262150-1</t>
  </si>
  <si>
    <t>ANILLO URETANO 32 / HM1307C - HM1317C</t>
  </si>
  <si>
    <t>262151-9</t>
  </si>
  <si>
    <t>262157-7</t>
  </si>
  <si>
    <t>ANILLO DE NYLON 14 / HM1317CB - HM1307CB</t>
  </si>
  <si>
    <t>262158-5</t>
  </si>
  <si>
    <t>ANILLO DE GOMA / LS1221</t>
  </si>
  <si>
    <t>262161-6</t>
  </si>
  <si>
    <t>ANILLO DE GOMA 28 / HM1111C</t>
  </si>
  <si>
    <t>262166-6</t>
  </si>
  <si>
    <t>ANILLO DE GOMA 18  / VARIOS</t>
  </si>
  <si>
    <t>262167-4</t>
  </si>
  <si>
    <t>262168-2</t>
  </si>
  <si>
    <t>262171-3</t>
  </si>
  <si>
    <t>262172-1</t>
  </si>
  <si>
    <t>ANILLO DE GOMA 29 / VARIOS</t>
  </si>
  <si>
    <t>262173-9</t>
  </si>
  <si>
    <t>262174-7</t>
  </si>
  <si>
    <t>ANILLO AMORTIGUADOR DE GOMA 47 / HM1812 - HM1802</t>
  </si>
  <si>
    <t>262185-2</t>
  </si>
  <si>
    <t>EMPAQUE DE GOMA 8 / VARIOS</t>
  </si>
  <si>
    <t>262196-7</t>
  </si>
  <si>
    <t>262502-6</t>
  </si>
  <si>
    <t>TOPE DE GOMA 6 / VARIOS</t>
  </si>
  <si>
    <t>262511-5</t>
  </si>
  <si>
    <t>MANGUITO GUIA 6 / VARIOS</t>
  </si>
  <si>
    <t>262528-8</t>
  </si>
  <si>
    <t>262538-5</t>
  </si>
  <si>
    <t>TUBO GOMA 8 / HM1800</t>
  </si>
  <si>
    <t>262552-1</t>
  </si>
  <si>
    <t>MANGUITO DE GOMA 6 / DHS710</t>
  </si>
  <si>
    <t>262556-3</t>
  </si>
  <si>
    <t>TOPE DE GOMA 6 / HS7600 - M5801</t>
  </si>
  <si>
    <t>262561-0</t>
  </si>
  <si>
    <t>MANGUITO 6 / HR2641 - DSL800</t>
  </si>
  <si>
    <t>262564-4</t>
  </si>
  <si>
    <t>262569-4</t>
  </si>
  <si>
    <t>BOCINA DE SEPARACION / VARIOS</t>
  </si>
  <si>
    <t>262571-7</t>
  </si>
  <si>
    <t>MANGUITO 8 / VARIOS</t>
  </si>
  <si>
    <t>262573-3</t>
  </si>
  <si>
    <t>TUBO 5 / EN420MP</t>
  </si>
  <si>
    <t>263002-9</t>
  </si>
  <si>
    <t>263005-3</t>
  </si>
  <si>
    <t>PASADOR DE GOMA 6 / VARIOS</t>
  </si>
  <si>
    <t>263027-3</t>
  </si>
  <si>
    <t>263032-0</t>
  </si>
  <si>
    <t>263036-2</t>
  </si>
  <si>
    <t>PASADOR DE GOMA 5 / VARIOS</t>
  </si>
  <si>
    <t>263039-6</t>
  </si>
  <si>
    <t>PASADOR DE GOMA 4 / TM30D</t>
  </si>
  <si>
    <t>263041-9</t>
  </si>
  <si>
    <t>PASADOR DE GOMA 3.5 / VARIOS</t>
  </si>
  <si>
    <t>263046-9</t>
  </si>
  <si>
    <t>TORNILLO M3X14 /UNIVERSAL</t>
  </si>
  <si>
    <t>264002-2</t>
  </si>
  <si>
    <t>TUERCA CUADRADA M5 / VARIOS</t>
  </si>
  <si>
    <t>264006-4</t>
  </si>
  <si>
    <t>TUERCA M8-13 / 5007NK</t>
  </si>
  <si>
    <t>264010-3</t>
  </si>
  <si>
    <t>TUERCA HEX. M7 / UNIVERSAL</t>
  </si>
  <si>
    <t>264013-7</t>
  </si>
  <si>
    <t>TUERCA M5-8/UH5570</t>
  </si>
  <si>
    <t>264018-7</t>
  </si>
  <si>
    <t>TUERCA HEX. M8 / VARIOS</t>
  </si>
  <si>
    <t>264025-0</t>
  </si>
  <si>
    <t>TUERCA HEX. M10-17 / DUR365U</t>
  </si>
  <si>
    <t>264028-4</t>
  </si>
  <si>
    <t>264039-9</t>
  </si>
  <si>
    <t>264042-0</t>
  </si>
  <si>
    <t>TUERCA HEX. M8-13 / EA3203S</t>
  </si>
  <si>
    <t>264044-6</t>
  </si>
  <si>
    <t>TUERCA A PRESION M5 / EA3203S</t>
  </si>
  <si>
    <t>264052-7</t>
  </si>
  <si>
    <t>TUERCA HEX. M10 / EBH340U</t>
  </si>
  <si>
    <t>264054-3</t>
  </si>
  <si>
    <t>TUERCA  M10 / VARIOS</t>
  </si>
  <si>
    <t>264055-1</t>
  </si>
  <si>
    <t>264066-6</t>
  </si>
  <si>
    <t>TUERCA CUADRADA M5-10 / EK7651H</t>
  </si>
  <si>
    <t>264070-5</t>
  </si>
  <si>
    <t>TUERCA MARIPOSA M6 / VARIOS</t>
  </si>
  <si>
    <t>264075-5</t>
  </si>
  <si>
    <t>264080-2</t>
  </si>
  <si>
    <t>TORNILLO HEX. M10-17 / UNIVERSAL</t>
  </si>
  <si>
    <t>264081-0</t>
  </si>
  <si>
    <t>264103-6</t>
  </si>
  <si>
    <t>TUERCA HEX. M6 / DCC500</t>
  </si>
  <si>
    <t>264108-6</t>
  </si>
  <si>
    <t>264115-9</t>
  </si>
  <si>
    <t>TUERCA CIRCULAR M10-24 / VARIOS</t>
  </si>
  <si>
    <t>264118-3</t>
  </si>
  <si>
    <t>264119-1</t>
  </si>
  <si>
    <t>TUERCA HEX. M4 / UNIVERSAL</t>
  </si>
  <si>
    <t>265008-3</t>
  </si>
  <si>
    <t>TORNILLO M5 / UNIVERSAL</t>
  </si>
  <si>
    <t>265014-8</t>
  </si>
  <si>
    <t>TORNILLO M4X12 / HR5211C</t>
  </si>
  <si>
    <t>265026-1</t>
  </si>
  <si>
    <t>TORNILLO DE CABEZA PLANA M4 / VARIOS</t>
  </si>
  <si>
    <t>265031-8</t>
  </si>
  <si>
    <t>265034-2</t>
  </si>
  <si>
    <t>TORNILLO AVELLANADO M5X16 / UNIVERSAL</t>
  </si>
  <si>
    <t>265035-0</t>
  </si>
  <si>
    <t>TORNILLO AVELLANADO M4X10 / UNIVERSAL</t>
  </si>
  <si>
    <t>265045-7</t>
  </si>
  <si>
    <t>TORNILLO M5X18 / UNIVERSAL</t>
  </si>
  <si>
    <t>265056-2</t>
  </si>
  <si>
    <t>265059-6</t>
  </si>
  <si>
    <t>TORNILLO CON REBAJE M4X21 / 9911</t>
  </si>
  <si>
    <t>265074-0</t>
  </si>
  <si>
    <t>TORNILLO M5X16</t>
  </si>
  <si>
    <t>265075-8</t>
  </si>
  <si>
    <t>265082-1</t>
  </si>
  <si>
    <t>265083-9</t>
  </si>
  <si>
    <t>TORNILLO DE PLASTICO / VARIOS</t>
  </si>
  <si>
    <t>265085-5</t>
  </si>
  <si>
    <t>TORNILLO AVELLANADO M4X8 / VARIOS</t>
  </si>
  <si>
    <t>265086-3</t>
  </si>
  <si>
    <t>265089-7</t>
  </si>
  <si>
    <t>TORNILLO M6 / LC1230</t>
  </si>
  <si>
    <t>265091-0</t>
  </si>
  <si>
    <t>TORNILLO ST 2.2X6.5 / UNIVERSAL</t>
  </si>
  <si>
    <t>265099-4</t>
  </si>
  <si>
    <t>265100-5</t>
  </si>
  <si>
    <t>TORNILLO DE CABEZA PLANA M4X16 / UNIVERSAL</t>
  </si>
  <si>
    <t>265101-3</t>
  </si>
  <si>
    <t>TORNILLO PLANO M4X25 / UNIVERSAL</t>
  </si>
  <si>
    <t>265103-9</t>
  </si>
  <si>
    <t>TORNILLO PLANO M5X14 / UNIVERSAL</t>
  </si>
  <si>
    <t>265104-7</t>
  </si>
  <si>
    <t>TORNILLO CABEZA PLANA M5X40 / VARIOS</t>
  </si>
  <si>
    <t>265107-1</t>
  </si>
  <si>
    <t>TORNILLO M4 / VARIOS</t>
  </si>
  <si>
    <t>265109-7</t>
  </si>
  <si>
    <t>TORNILLO M3X22 / VARIOS</t>
  </si>
  <si>
    <t>265112-8</t>
  </si>
  <si>
    <t>TORNILLO M4X18 / UNIVERSAL</t>
  </si>
  <si>
    <t>265118-6</t>
  </si>
  <si>
    <t>PERNO ESPECIAL M5 /VARIOS</t>
  </si>
  <si>
    <t>265120-9</t>
  </si>
  <si>
    <t>TORNILLO PLANO M5X16 / UNIVERSAL</t>
  </si>
  <si>
    <t>265121-7</t>
  </si>
  <si>
    <t>TORNILLO M6 / UNIVERSAL</t>
  </si>
  <si>
    <t>265122-5</t>
  </si>
  <si>
    <t>TORNILLO CABEZA PLANA M5X20 / UNIVERSAL</t>
  </si>
  <si>
    <t>265125-9</t>
  </si>
  <si>
    <t>TORNILLO M8X30 / UNIVERSAL</t>
  </si>
  <si>
    <t>265131-4</t>
  </si>
  <si>
    <t>TORNILLO ESTRELLA M5X18 / UNIVERSAL</t>
  </si>
  <si>
    <t>265132-2</t>
  </si>
  <si>
    <t>TORNILLO PLANO M4X5 / UNIVERSAL</t>
  </si>
  <si>
    <t>265133-0</t>
  </si>
  <si>
    <t>TORNILLO M5X10 / M3600</t>
  </si>
  <si>
    <t>265134-8</t>
  </si>
  <si>
    <t>TORNILLO M6 / VARIOS</t>
  </si>
  <si>
    <t>265135-6</t>
  </si>
  <si>
    <t>265137-2</t>
  </si>
  <si>
    <t>TORNILLO M5X45 / VARIOS</t>
  </si>
  <si>
    <t>265142-9</t>
  </si>
  <si>
    <t>TORNILLO PLANO M4X10 / UNIVERSAL</t>
  </si>
  <si>
    <t>265144-5</t>
  </si>
  <si>
    <t>TORNILLO CABEZA PLANA M6X12 / UNIVERSAL</t>
  </si>
  <si>
    <t>265147-9</t>
  </si>
  <si>
    <t>TORNILLO PLANO M4X22 / UNIVERSAL</t>
  </si>
  <si>
    <t>265148-7</t>
  </si>
  <si>
    <t>TORNILLO AVELLANADO M5X14 / VARIOS</t>
  </si>
  <si>
    <t>265150-0</t>
  </si>
  <si>
    <t>TORNILLO CON REBAJE M5X18 / UNIVERSAL</t>
  </si>
  <si>
    <t>265158-4</t>
  </si>
  <si>
    <t>TORNILLO M8X25 / UNIVERSAL</t>
  </si>
  <si>
    <t>265165-7</t>
  </si>
  <si>
    <t>TORNILLO AVELLANADO M6X16 / JR3050T - JR3070CT</t>
  </si>
  <si>
    <t>265169-9</t>
  </si>
  <si>
    <t>TORNILLO M4X45 / M9400</t>
  </si>
  <si>
    <t>265170-4</t>
  </si>
  <si>
    <t>TORNILLO M5X12 / M9400</t>
  </si>
  <si>
    <t>265172-0</t>
  </si>
  <si>
    <t>TORNILLO M2.6X6 / UNIVERSAL</t>
  </si>
  <si>
    <t>265173-8</t>
  </si>
  <si>
    <t>TORNILLO M3X8 / UNIVERSAL</t>
  </si>
  <si>
    <t>265174-6</t>
  </si>
  <si>
    <t>265175-4</t>
  </si>
  <si>
    <t>265178-8</t>
  </si>
  <si>
    <t>265180-1</t>
  </si>
  <si>
    <t>265198-2</t>
  </si>
  <si>
    <t>TORNILLO PLANO M8X25 / UNIVERSAL</t>
  </si>
  <si>
    <t>265199-0</t>
  </si>
  <si>
    <t>TORNILLO CABEZA PLANA M3X8 / VARIOS</t>
  </si>
  <si>
    <t>265226-3</t>
  </si>
  <si>
    <t>PERNO HEX. 6MX17 / VARIOS</t>
  </si>
  <si>
    <t>265269-5</t>
  </si>
  <si>
    <t>PERNO HEX. 5MX12 / VARIOS</t>
  </si>
  <si>
    <t>265324-3</t>
  </si>
  <si>
    <t>TORNILLO ALLEN CON BRIDA M8X12 / VARIOS</t>
  </si>
  <si>
    <t>265338-2</t>
  </si>
  <si>
    <t>265344-7</t>
  </si>
  <si>
    <t>PERNO HEX. M5X85 / UNIVERSAL</t>
  </si>
  <si>
    <t>265350-2</t>
  </si>
  <si>
    <t>TORNILLO M5X70 / UNIVERSAL</t>
  </si>
  <si>
    <t>265355-2</t>
  </si>
  <si>
    <t>PERNO HEX. M8X20 / UNIVERSAL</t>
  </si>
  <si>
    <t>265366-7</t>
  </si>
  <si>
    <t>PERNO HEX. 6X22 / UNIVERSAL</t>
  </si>
  <si>
    <t>265367-5</t>
  </si>
  <si>
    <t>PERNO HEX. M8X40 / UNIVERSAL</t>
  </si>
  <si>
    <t>265371-4</t>
  </si>
  <si>
    <t>PERNO HEX. M8X30 / UNIVERSAL</t>
  </si>
  <si>
    <t>265374-8</t>
  </si>
  <si>
    <t>265381-1</t>
  </si>
  <si>
    <t>PERNO HEX. M6X16 / LC1230</t>
  </si>
  <si>
    <t>265382-9</t>
  </si>
  <si>
    <t>PERNO HEX. M5X20 / UNIVERSAL</t>
  </si>
  <si>
    <t>265405-3</t>
  </si>
  <si>
    <t>PERNO / VARIOS</t>
  </si>
  <si>
    <t>265413-4</t>
  </si>
  <si>
    <t>PERNO HEX. M16 / LC1230</t>
  </si>
  <si>
    <t>265437-0</t>
  </si>
  <si>
    <t>PERNO HEX. M10 / UNIVERSAL</t>
  </si>
  <si>
    <t>265439-6</t>
  </si>
  <si>
    <t>TORNILLO HEX. M8X150 / VARIOS</t>
  </si>
  <si>
    <t>265460-5</t>
  </si>
  <si>
    <t>PERNO HEX. M6X20 / UNIVERSAL</t>
  </si>
  <si>
    <t>265472-8</t>
  </si>
  <si>
    <t>PERNO HEX. M4X25 / UNIVERSAL</t>
  </si>
  <si>
    <t>265484-1</t>
  </si>
  <si>
    <t>PERNO HEX. M6X18 / UNIVERSAL</t>
  </si>
  <si>
    <t>265487-5</t>
  </si>
  <si>
    <t>265488-3</t>
  </si>
  <si>
    <t>265490-6</t>
  </si>
  <si>
    <t>PERNO HEX. M4X16 / UNIVERSAL</t>
  </si>
  <si>
    <t>265495-6</t>
  </si>
  <si>
    <t>PERNO HEX. M8X110 / UNIVERSAL</t>
  </si>
  <si>
    <t>265497-2</t>
  </si>
  <si>
    <t>265508-3</t>
  </si>
  <si>
    <t>TORNILLO HEX. M10X25 / UNIVERSAL</t>
  </si>
  <si>
    <t>265509-1</t>
  </si>
  <si>
    <t>PERNO HEX. M10X140 / LW1401</t>
  </si>
  <si>
    <t>265512-2</t>
  </si>
  <si>
    <t>TORNILLO ALLEN M6X17 / UNIVERSAL</t>
  </si>
  <si>
    <t>265515-6</t>
  </si>
  <si>
    <t>PERNO HEX. M5X16 / UNIVERSAL</t>
  </si>
  <si>
    <t>265516-4</t>
  </si>
  <si>
    <t>PERNO HEX. M5X28 / UNIVERSAL</t>
  </si>
  <si>
    <t>265517-2</t>
  </si>
  <si>
    <t>PERNO HEX. M5X40 / UNIVERSAL</t>
  </si>
  <si>
    <t>265530-0</t>
  </si>
  <si>
    <t>PERNO HEX. M5X8 / UNIVERSAL</t>
  </si>
  <si>
    <t>265531-8</t>
  </si>
  <si>
    <t>PERNO HEX. M5X14 / UNIVERSAL</t>
  </si>
  <si>
    <t>265535-0</t>
  </si>
  <si>
    <t>PERNO HEX. M6X65 / UNIVERSAL</t>
  </si>
  <si>
    <t>265541-5</t>
  </si>
  <si>
    <t>PERNO CABEZA HEX. M6X22 / VARIOS</t>
  </si>
  <si>
    <t>265555-4</t>
  </si>
  <si>
    <t>TORNILLO M8X50 / UNIVERSAL</t>
  </si>
  <si>
    <t>265586-3</t>
  </si>
  <si>
    <t>265587-1</t>
  </si>
  <si>
    <t>265590-2</t>
  </si>
  <si>
    <t>PERNO M8X10 / UNIVERSAL</t>
  </si>
  <si>
    <t>265596-0</t>
  </si>
  <si>
    <t>PERNO HEX. M6X40 / UNIVERSAL</t>
  </si>
  <si>
    <t>265625-9</t>
  </si>
  <si>
    <t>TORNILLO MARIPOSA / HR003G - DHR280</t>
  </si>
  <si>
    <t>265628-3</t>
  </si>
  <si>
    <t>265633-0</t>
  </si>
  <si>
    <t>PERNO HEX. M3X20 / UNIVERSAL</t>
  </si>
  <si>
    <t>265634-8</t>
  </si>
  <si>
    <t>PERNO HEX. M3X8 / UNIVERSAL</t>
  </si>
  <si>
    <t>265635-6</t>
  </si>
  <si>
    <t>PERNO HEX. M3X6 / UNIVERSAL</t>
  </si>
  <si>
    <t>265638-0</t>
  </si>
  <si>
    <t>TORNILLO PLANO M4 / VARIOS</t>
  </si>
  <si>
    <t>265647-9</t>
  </si>
  <si>
    <t>265648-7</t>
  </si>
  <si>
    <t>265660-7</t>
  </si>
  <si>
    <t>PERNO HEX. M5X12 / UNIVERSAL</t>
  </si>
  <si>
    <t>265674-6</t>
  </si>
  <si>
    <t>PERNO HEX. M6X14 / UNIVERSAL</t>
  </si>
  <si>
    <t>265678-8</t>
  </si>
  <si>
    <t>265679-6</t>
  </si>
  <si>
    <t>TORNILLO 4X40 / UNIVERSAL</t>
  </si>
  <si>
    <t>265688-5</t>
  </si>
  <si>
    <t>TORNILLO ENROSCANTE 3X10 / UNIVERSAL</t>
  </si>
  <si>
    <t>265695-8</t>
  </si>
  <si>
    <t>PERNO HEX. M5X30 / DDA460</t>
  </si>
  <si>
    <t>265698-2</t>
  </si>
  <si>
    <t>265701-9</t>
  </si>
  <si>
    <t>TORNILLO M6X14 / UNIVERSAL</t>
  </si>
  <si>
    <t>265708-5</t>
  </si>
  <si>
    <t>TORNILLO MARIPOSA M6X20 / VARIOS</t>
  </si>
  <si>
    <t>265716-6</t>
  </si>
  <si>
    <t>TORNILLO MARIPOSA M5X10 / 2012NB - 3901</t>
  </si>
  <si>
    <t>265720-5</t>
  </si>
  <si>
    <t>TORNILLO MARIPOSA M5X14 / RP2301FC</t>
  </si>
  <si>
    <t>265726-3</t>
  </si>
  <si>
    <t>TORNILLO MARIPOSA M6X15 / CA5000</t>
  </si>
  <si>
    <t>265751-4</t>
  </si>
  <si>
    <t>TORNILLO MARIPOSA M5X13 / 9032</t>
  </si>
  <si>
    <t>265754-8</t>
  </si>
  <si>
    <t>TORNILLO MARIPOSA M6X12 / VARIOS</t>
  </si>
  <si>
    <t>265757-2</t>
  </si>
  <si>
    <t>265759-8</t>
  </si>
  <si>
    <t>TORNILLO MARIPOSA M10X80 / M3600</t>
  </si>
  <si>
    <t>265760-3</t>
  </si>
  <si>
    <t>TORNILLO M5X10 / UNIVERSAL</t>
  </si>
  <si>
    <t>265761-1</t>
  </si>
  <si>
    <t>TORNILLO MARIPOSA M5X16 / VARIOS</t>
  </si>
  <si>
    <t>265762-9</t>
  </si>
  <si>
    <t>TORNILLO M5X30 / VARIOS</t>
  </si>
  <si>
    <t>265763-7</t>
  </si>
  <si>
    <t>265767-9</t>
  </si>
  <si>
    <t>TORNILLO MARIPOSA M6X13 / M1100</t>
  </si>
  <si>
    <t>265771-8</t>
  </si>
  <si>
    <t>TORNILLO MARIPOSA M5X33 / 3709</t>
  </si>
  <si>
    <t>265774-2</t>
  </si>
  <si>
    <t>TORNILLO MARIPOSA M4X19 / VARIOS</t>
  </si>
  <si>
    <t>265775-0</t>
  </si>
  <si>
    <t>TORNILLO MARIPOSA M4X3  / VARIOS</t>
  </si>
  <si>
    <t>265776-8</t>
  </si>
  <si>
    <t>TORNILLO MARIPOSA M6X26 / VARIOS</t>
  </si>
  <si>
    <t>265785-7</t>
  </si>
  <si>
    <t>TORNILLO MARIPOSA M5X10 / UNIVERSAL</t>
  </si>
  <si>
    <t>265792-0</t>
  </si>
  <si>
    <t>TORNILLO MARIPOSA M5*35 / UNIVERSAL</t>
  </si>
  <si>
    <t>265795-4</t>
  </si>
  <si>
    <t>TORNILLO MARIPOSA M6X52 / VARIOS</t>
  </si>
  <si>
    <t>265835-8</t>
  </si>
  <si>
    <t>PERNO COCHE 8MX30 / VARIOS</t>
  </si>
  <si>
    <t>265844-7</t>
  </si>
  <si>
    <t>265854-4</t>
  </si>
  <si>
    <t>PERNO HEX. M6X12 / UNIVERSAL</t>
  </si>
  <si>
    <t>265874-8</t>
  </si>
  <si>
    <t>TORNILLO AUTORROSCANTE 4X20 / VARIOS</t>
  </si>
  <si>
    <t>265878-0</t>
  </si>
  <si>
    <t>TORNILLO AUTORROSCANTE 5X16 / VARIOS</t>
  </si>
  <si>
    <t>265907-9</t>
  </si>
  <si>
    <t>265913-4</t>
  </si>
  <si>
    <t>265914-2</t>
  </si>
  <si>
    <t>PERNO HEX. M6X25 / UNIVERSAL</t>
  </si>
  <si>
    <t>265939-6</t>
  </si>
  <si>
    <t>TORNILLO M6X14 / VARIOS</t>
  </si>
  <si>
    <t>265976-0</t>
  </si>
  <si>
    <t>PERNO HEX. M5X10 / UNIVERSAL</t>
  </si>
  <si>
    <t>265984-1</t>
  </si>
  <si>
    <t>PERNO HEX. M6X14 / VARIOS</t>
  </si>
  <si>
    <t>265985-9</t>
  </si>
  <si>
    <t>PERNO HEX. M6X9 / UNIVERSAL</t>
  </si>
  <si>
    <t>265989-1</t>
  </si>
  <si>
    <t>265995-6</t>
  </si>
  <si>
    <t>TORNILLO PT 4X18 / UNIVERSAL</t>
  </si>
  <si>
    <t>265999-8</t>
  </si>
  <si>
    <t>TORNILLO ESTRELLA 4X25 / VARIOS</t>
  </si>
  <si>
    <t>265A08-9</t>
  </si>
  <si>
    <t>TORNILLO M4X25 / UNIVERSAL</t>
  </si>
  <si>
    <t>265A13-6</t>
  </si>
  <si>
    <t>TORNILLO 5X85 / UNIVERSAL</t>
  </si>
  <si>
    <t>265A14-4</t>
  </si>
  <si>
    <t>PERNO HEX. M6X50 / UNIVERSAL</t>
  </si>
  <si>
    <t>265A29-1</t>
  </si>
  <si>
    <t>265A33-0</t>
  </si>
  <si>
    <t>265A34-8</t>
  </si>
  <si>
    <t>265A35-6</t>
  </si>
  <si>
    <t>PERNO HEX. M8X17 / DSL800</t>
  </si>
  <si>
    <t>265A36-4</t>
  </si>
  <si>
    <t>PERNO HEX. M6X16 / UNIVERSAL</t>
  </si>
  <si>
    <t>265A38-0</t>
  </si>
  <si>
    <t>TORNILLO M3X6 WR / DWR180</t>
  </si>
  <si>
    <t>265A48-7</t>
  </si>
  <si>
    <t>265A52-6</t>
  </si>
  <si>
    <t>PERNO HEX. M4X14 / DFN350</t>
  </si>
  <si>
    <t>265A55-0</t>
  </si>
  <si>
    <t>TORNILLO HEX. NPT1/8-27X5 / DGP180</t>
  </si>
  <si>
    <t>265A56-8</t>
  </si>
  <si>
    <t>PERNO HEX. M12X16 / DGP180</t>
  </si>
  <si>
    <t>265A59-2</t>
  </si>
  <si>
    <t>PERNO SOCKET M8 / UNIVERSAL</t>
  </si>
  <si>
    <t>265A60-7</t>
  </si>
  <si>
    <t>TORNILLO M5X14 / UNIVERSAL</t>
  </si>
  <si>
    <t>265A68-1</t>
  </si>
  <si>
    <t>PERNO HEX. M8X22 / DSL800</t>
  </si>
  <si>
    <t>265A69-9</t>
  </si>
  <si>
    <t>PERNO HEX. M10X35 EG / DLM465</t>
  </si>
  <si>
    <t>265A77-0</t>
  </si>
  <si>
    <t>TORNILLO 3X10 / UNIVERSAL</t>
  </si>
  <si>
    <t>265A82-7</t>
  </si>
  <si>
    <t>PERNO HEX. M3X4 / UNIVERSAL</t>
  </si>
  <si>
    <t>265A83-5</t>
  </si>
  <si>
    <t>265A84-3</t>
  </si>
  <si>
    <t>PERNO HEX. M4X12 / UNIVERSAL</t>
  </si>
  <si>
    <t>265A87-7</t>
  </si>
  <si>
    <t>PERNO TORX M4X8 / HR003G</t>
  </si>
  <si>
    <t>265A89-3</t>
  </si>
  <si>
    <t>PERNO HEX. M5X25 / UNIVERSAL</t>
  </si>
  <si>
    <t>265A90-8</t>
  </si>
  <si>
    <t>PERNO HEX. M5X60 / UNIVERSAL</t>
  </si>
  <si>
    <t>265B01-9</t>
  </si>
  <si>
    <t>TORNILLO M4X20 / UNIVERSAL</t>
  </si>
  <si>
    <t>265B02-7</t>
  </si>
  <si>
    <t>265B03-5</t>
  </si>
  <si>
    <t>TORNILLO M3X16 / UNIVERSAL</t>
  </si>
  <si>
    <t>265B04-3</t>
  </si>
  <si>
    <t>TORNILLO M5X8 / UNIVERSAL</t>
  </si>
  <si>
    <t>265B05-1</t>
  </si>
  <si>
    <t>TORNILLO AUTORROSCANTE 4X20M/VARIOS</t>
  </si>
  <si>
    <t>265B25-5</t>
  </si>
  <si>
    <t>TORNILLO M5X12 / DUB185 - UB101D</t>
  </si>
  <si>
    <t>265B38-6</t>
  </si>
  <si>
    <t>265B53-0</t>
  </si>
  <si>
    <t>PERNO HEX. 8X20M / VARIOS</t>
  </si>
  <si>
    <t>265B54-8</t>
  </si>
  <si>
    <t>265B55-6</t>
  </si>
  <si>
    <t>265B65-3</t>
  </si>
  <si>
    <t>265B66-1</t>
  </si>
  <si>
    <t>TORNILLO PLANO 5X25M / VARIOS</t>
  </si>
  <si>
    <t>265C75-6</t>
  </si>
  <si>
    <t>266007-8</t>
  </si>
  <si>
    <t>TORNILLO ESTRELA 3X10 / UNIVERSAL</t>
  </si>
  <si>
    <t>266010-9</t>
  </si>
  <si>
    <t>266011-7</t>
  </si>
  <si>
    <t>PERNO HEX. M8X35 / UNIVERSAL</t>
  </si>
  <si>
    <t>266012-5</t>
  </si>
  <si>
    <t>TORNILLO ESTRELLA / UNIVERSAL</t>
  </si>
  <si>
    <t>266015-9</t>
  </si>
  <si>
    <t>TUERCA HEX. DE LA PERILLA / RP2301FC - 3612</t>
  </si>
  <si>
    <t>266016-7</t>
  </si>
  <si>
    <t>TORNILLO AVELLANADO M5X10 / RP2301FC</t>
  </si>
  <si>
    <t>266020-6</t>
  </si>
  <si>
    <t>TORNILLO ESTRELLA 4X12 / UNIVERSAL</t>
  </si>
  <si>
    <t>266021-4</t>
  </si>
  <si>
    <t>TORNILLO PT 5X20 / VARIOS</t>
  </si>
  <si>
    <t>266024-8</t>
  </si>
  <si>
    <t>PERNO HEX M6X20 / VARIOS</t>
  </si>
  <si>
    <t>266026-4</t>
  </si>
  <si>
    <t>TORNILLO ESTRELLA CT 4X12 / UNIVERSAL</t>
  </si>
  <si>
    <t>266031-1</t>
  </si>
  <si>
    <t>TORNILLO PLANO M6X20 / UNIVERSAL</t>
  </si>
  <si>
    <t>266034-5</t>
  </si>
  <si>
    <t>TORNILLO CT 4X16 / UNIVERSAL</t>
  </si>
  <si>
    <t>266038-7</t>
  </si>
  <si>
    <t>266040-0</t>
  </si>
  <si>
    <t>TORNILLO 4X25 / UNIVERSAL</t>
  </si>
  <si>
    <t>266041-8</t>
  </si>
  <si>
    <t>TORNILLO ESTRELLA PT 5X25 / UNIVERSAL</t>
  </si>
  <si>
    <t>266042-6</t>
  </si>
  <si>
    <t>TAPA DE PERNO / VARIOS</t>
  </si>
  <si>
    <t>266044-2</t>
  </si>
  <si>
    <t>TORNILLO ESTRELLA PT 5X60 / VARIOS</t>
  </si>
  <si>
    <t>266045-0</t>
  </si>
  <si>
    <t>TORNILLO 4X20 / UNIVERSAL</t>
  </si>
  <si>
    <t>266046-8</t>
  </si>
  <si>
    <t>TORNILLO PT 5X50 / UNIVERSAL</t>
  </si>
  <si>
    <t>266048-4</t>
  </si>
  <si>
    <t>TORNILLO ESTRELLA PT 4X40 / UNIVERSAL</t>
  </si>
  <si>
    <t>266052-3</t>
  </si>
  <si>
    <t>TORNILLO PT 4X60 / VARIOS</t>
  </si>
  <si>
    <t>266053-1</t>
  </si>
  <si>
    <t>TORNILLO ESTRELLA 4X35 / UNIVERSAL</t>
  </si>
  <si>
    <t>266056-5</t>
  </si>
  <si>
    <t>PERNO HEX. 5X8 / UNIVERSAL</t>
  </si>
  <si>
    <t>266058-1</t>
  </si>
  <si>
    <t>TORNILLO CABEZA PLANA 4X12 / 9031</t>
  </si>
  <si>
    <t>266059-9</t>
  </si>
  <si>
    <t>TORNILLO ESTRELLA 5X75 / UNIVERSAL</t>
  </si>
  <si>
    <t>266061-2</t>
  </si>
  <si>
    <t>TORNILLO CABEZA FIJADOR 4X8 / VARIOS</t>
  </si>
  <si>
    <t>266069-6</t>
  </si>
  <si>
    <t>TORNILLO PT 4X45 / UNIVERSAL</t>
  </si>
  <si>
    <t>266071-9</t>
  </si>
  <si>
    <t>266080-8</t>
  </si>
  <si>
    <t>PERNO HEX. 3X12M / VARIOS</t>
  </si>
  <si>
    <t>266085-8</t>
  </si>
  <si>
    <t>PRISIONERO / VARIOS</t>
  </si>
  <si>
    <t>266086-6</t>
  </si>
  <si>
    <t>266087-4</t>
  </si>
  <si>
    <t>266090-5</t>
  </si>
  <si>
    <t>PERNO HEX. M5*15 / TW100</t>
  </si>
  <si>
    <t>266091-3</t>
  </si>
  <si>
    <t>TAPA TORNILLO / VARIOS</t>
  </si>
  <si>
    <t>266095-5</t>
  </si>
  <si>
    <t>TORNILLO 5X55 / UNIVERSAL</t>
  </si>
  <si>
    <t>266127-8</t>
  </si>
  <si>
    <t>TORNILLO 3X20 / UNIVERSAL</t>
  </si>
  <si>
    <t>266130-9</t>
  </si>
  <si>
    <t>TORNILLO CABEZA CIEGA / VARIOS</t>
  </si>
  <si>
    <t>266147-2</t>
  </si>
  <si>
    <t>TORNILLO PT 4X55 / UNIVERSAL</t>
  </si>
  <si>
    <t>266157-9</t>
  </si>
  <si>
    <t>266163-4</t>
  </si>
  <si>
    <t>TORNILLO FRANCES M8X80 / UNIVERSAL</t>
  </si>
  <si>
    <t>266171-5</t>
  </si>
  <si>
    <t>PERNO HEX. M8X25 / UNIVERSAL</t>
  </si>
  <si>
    <t>266173-1</t>
  </si>
  <si>
    <t>TORNILLO 5X30 / UNIVERSAL</t>
  </si>
  <si>
    <t>266177-3</t>
  </si>
  <si>
    <t>PERNO HEX. M3X10 / UNIVERSAL</t>
  </si>
  <si>
    <t>266192-7</t>
  </si>
  <si>
    <t>TORNILLO ESTRELLA PT 4X14 / UNIVERSAL</t>
  </si>
  <si>
    <t>266202-0</t>
  </si>
  <si>
    <t>266203-8</t>
  </si>
  <si>
    <t>TORNILLO CT 4X40 / UNIVERSAL</t>
  </si>
  <si>
    <t>266211-9</t>
  </si>
  <si>
    <t>TORNILLO M5-40 / VARIOS</t>
  </si>
  <si>
    <t>266225-8</t>
  </si>
  <si>
    <t>PRISIONERO M6X8 / UNIVERSAL</t>
  </si>
  <si>
    <t>266227-4</t>
  </si>
  <si>
    <t>266229-0</t>
  </si>
  <si>
    <t>TORNILLO HEX. M5X8 / UNIVERSAL</t>
  </si>
  <si>
    <t>266237-1</t>
  </si>
  <si>
    <t>TORNILLO DE CABEZA PLANA M8X90 / 5007NK - N5900B</t>
  </si>
  <si>
    <t>266256-7</t>
  </si>
  <si>
    <t>TORNILLO CON CABEZAL FIJADOR 3X10 / VARIOS</t>
  </si>
  <si>
    <t>266257-5</t>
  </si>
  <si>
    <t>TORNILLO 4X28 / UNIVERSAL</t>
  </si>
  <si>
    <t>266258-3</t>
  </si>
  <si>
    <t>TORNILLO ESTRELLA 4X70 / VARIOS</t>
  </si>
  <si>
    <t>266259-1</t>
  </si>
  <si>
    <t>TORNILLO 4X60 / UNIVERSAL</t>
  </si>
  <si>
    <t>266264-8</t>
  </si>
  <si>
    <t>TORNILLO HEX. M5X6 / UNIVERSAL</t>
  </si>
  <si>
    <t>266270-3</t>
  </si>
  <si>
    <t>PERNO HEX. M8X14 / UNIVERSAL</t>
  </si>
  <si>
    <t>266273-7</t>
  </si>
  <si>
    <t>266276-1</t>
  </si>
  <si>
    <t>266281-8</t>
  </si>
  <si>
    <t>266283-4</t>
  </si>
  <si>
    <t>PERNO HEX. CON BRIDA M8X20 / VARIOS</t>
  </si>
  <si>
    <t>266286-8</t>
  </si>
  <si>
    <t>PERNO HEX. 6X18M / VARIOS</t>
  </si>
  <si>
    <t>266298-1</t>
  </si>
  <si>
    <t>266300-0</t>
  </si>
  <si>
    <t>TORNILLO ESTRELLA 4X18 / UNIVERSAL</t>
  </si>
  <si>
    <t>266306-8</t>
  </si>
  <si>
    <t>TORNILLO CON REBAJE M5 / LS1219L - DLS111</t>
  </si>
  <si>
    <t>266308-4</t>
  </si>
  <si>
    <t>266315-7</t>
  </si>
  <si>
    <t>TORNILLO MT 4X65 / UNIVERSAL</t>
  </si>
  <si>
    <t>266321-2</t>
  </si>
  <si>
    <t>TORNILLO HEX. M6X16 / VARIOS</t>
  </si>
  <si>
    <t>266322-0</t>
  </si>
  <si>
    <t>266324-6</t>
  </si>
  <si>
    <t>TORNILLO ESTRELLA 4X22 / UNIVERSAL</t>
  </si>
  <si>
    <t>266325-4</t>
  </si>
  <si>
    <t>TORNILLO ESTRELLA 4X70 / UNIVERSAL</t>
  </si>
  <si>
    <t>266326-2</t>
  </si>
  <si>
    <t>266328-8</t>
  </si>
  <si>
    <t>TORNILLO 5X80 / UNIVERSAL</t>
  </si>
  <si>
    <t>266329-6</t>
  </si>
  <si>
    <t>TORNILLO M5X60 / UNIVERSAL</t>
  </si>
  <si>
    <t>266330-1</t>
  </si>
  <si>
    <t>266334-3</t>
  </si>
  <si>
    <t>TORNILLO ESTRELLA 4X60 / UNIVERSAL</t>
  </si>
  <si>
    <t>266335-1</t>
  </si>
  <si>
    <t>PERNO FIJO M8X16 / UNIVERSAL</t>
  </si>
  <si>
    <t>266338-5</t>
  </si>
  <si>
    <t>TORNILLO HEX. M6X6 / UNIVERSAL</t>
  </si>
  <si>
    <t>266340-8</t>
  </si>
  <si>
    <t>TORNILLO ESTRELLA 4X65 / UNIVERSAL</t>
  </si>
  <si>
    <t>266341-6</t>
  </si>
  <si>
    <t>266345-8</t>
  </si>
  <si>
    <t>TORNILLO ESTRELLA 4*80 / UNIVERSAL</t>
  </si>
  <si>
    <t>266351-3</t>
  </si>
  <si>
    <t>266352-1</t>
  </si>
  <si>
    <t>TORNILLO 5X65 / UNIVERSAL</t>
  </si>
  <si>
    <t>266361-0</t>
  </si>
  <si>
    <t>TORNILLO ESTRELLA 4X30 / UNIVERSAL</t>
  </si>
  <si>
    <t>266366-0</t>
  </si>
  <si>
    <t>266373-3</t>
  </si>
  <si>
    <t>TORNILLO ESTRELLA 5X35 / UNIVERSAL</t>
  </si>
  <si>
    <t>266374-1</t>
  </si>
  <si>
    <t>266385-6</t>
  </si>
  <si>
    <t>TORNILLO ESTRELLA 4X14 / UNIVERSAL</t>
  </si>
  <si>
    <t>266388-0</t>
  </si>
  <si>
    <t>TORNILLO ESTRELLA 5X16 / UNIVERSAL</t>
  </si>
  <si>
    <t>266396-1</t>
  </si>
  <si>
    <t>TORNILLO FRANCES M8X24 / VARIOS</t>
  </si>
  <si>
    <t>266397-9</t>
  </si>
  <si>
    <t>TORNILLO ESTRELLA 5X50 / 5007NK</t>
  </si>
  <si>
    <t>266398-7</t>
  </si>
  <si>
    <t>TORNILLO ESTRELLA 4X12 / 5007NK - HS7600</t>
  </si>
  <si>
    <t>266400-6</t>
  </si>
  <si>
    <t>266403-0</t>
  </si>
  <si>
    <t>266404-8</t>
  </si>
  <si>
    <t>TORNILLO 3X14 / UNIVERSAL</t>
  </si>
  <si>
    <t>266415-3</t>
  </si>
  <si>
    <t>TORNILLO ESTRELLA 4X55 / UNIVERSAL</t>
  </si>
  <si>
    <t>266418-7</t>
  </si>
  <si>
    <t>TORNILLO ESTRELLA 5X55 / UNIVERSAL</t>
  </si>
  <si>
    <t>266420-0</t>
  </si>
  <si>
    <t>TORNILLO 5X20 / UNIVERSAL</t>
  </si>
  <si>
    <t>266421-8</t>
  </si>
  <si>
    <t>266424-2</t>
  </si>
  <si>
    <t>266425-0</t>
  </si>
  <si>
    <t>TORNILLO 4X45 / UNIVERSAL</t>
  </si>
  <si>
    <t>266427-6</t>
  </si>
  <si>
    <t>266429-2</t>
  </si>
  <si>
    <t>TORNILLO ESTRELLA 3X16 / UNIVERSAL</t>
  </si>
  <si>
    <t>266437-3</t>
  </si>
  <si>
    <t>266455-1</t>
  </si>
  <si>
    <t>266458-5</t>
  </si>
  <si>
    <t>266459-3</t>
  </si>
  <si>
    <t>TORNILLO M5X25 /UNIVERSAL</t>
  </si>
  <si>
    <t>266460-8</t>
  </si>
  <si>
    <t>266461-6</t>
  </si>
  <si>
    <t>266464-0</t>
  </si>
  <si>
    <t>266466-6</t>
  </si>
  <si>
    <t>TORNILLO ENROSCANTE 5X45 / UNIVERSAL</t>
  </si>
  <si>
    <t>266467-4</t>
  </si>
  <si>
    <t>TORNILLO ENROSCANTE CON CABEZA FIJADOR 4 X 5</t>
  </si>
  <si>
    <t>266472-1</t>
  </si>
  <si>
    <t>TORNILLO</t>
  </si>
  <si>
    <t>266473-9</t>
  </si>
  <si>
    <t>PERNO HEX. TORX  5X23MM / UNIVERSAL</t>
  </si>
  <si>
    <t>266475-5</t>
  </si>
  <si>
    <t>266476-3</t>
  </si>
  <si>
    <t>266477-1</t>
  </si>
  <si>
    <t>266478-9</t>
  </si>
  <si>
    <t>266482-8</t>
  </si>
  <si>
    <t>PERNO BOTON HEX. M6X40 / HM1203C; 13C</t>
  </si>
  <si>
    <t>266490-9</t>
  </si>
  <si>
    <t>TORNILLO PT 2X6 / UNIVERSAL</t>
  </si>
  <si>
    <t>266492-5</t>
  </si>
  <si>
    <t>TORNILLO ESTRELLA 3X8 / UNIVERSAL</t>
  </si>
  <si>
    <t>266499-1</t>
  </si>
  <si>
    <t>PERNO HEX. M6X30 GM / UNIVERSAL</t>
  </si>
  <si>
    <t>266505-2</t>
  </si>
  <si>
    <t>266510-9</t>
  </si>
  <si>
    <t>266511-7</t>
  </si>
  <si>
    <t>266512-5</t>
  </si>
  <si>
    <t>PERNO M10X142 / UNIVERSAL</t>
  </si>
  <si>
    <t>266515-9</t>
  </si>
  <si>
    <t>TORNILLO M5X41 / VARIOS</t>
  </si>
  <si>
    <t>266522-2</t>
  </si>
  <si>
    <t>PERNO CUADRADO M8X95 / HM0870C; 71C</t>
  </si>
  <si>
    <t>266556-5</t>
  </si>
  <si>
    <t>TORNILLO ESTRELLA 3X12 / UNIVERSAL</t>
  </si>
  <si>
    <t>266559-9</t>
  </si>
  <si>
    <t>266568-8</t>
  </si>
  <si>
    <t>TORNILLO ESTRELLA 5X80 / UNIVERSAL</t>
  </si>
  <si>
    <t>266572-7</t>
  </si>
  <si>
    <t>266573-5</t>
  </si>
  <si>
    <t>266575-1</t>
  </si>
  <si>
    <t>266579-3</t>
  </si>
  <si>
    <t>PERNO HEX. M6X30 / UNIVERSAL</t>
  </si>
  <si>
    <t>266585-8</t>
  </si>
  <si>
    <t>TORNILLO CABEZAL FIJADOR 5X12 / PM7650H</t>
  </si>
  <si>
    <t>266586-6</t>
  </si>
  <si>
    <t>PERNO HEX. M6X35 / UNIVERSAL</t>
  </si>
  <si>
    <t>266589-0</t>
  </si>
  <si>
    <t>PERNO HEX. 6X60M / VARIOS</t>
  </si>
  <si>
    <t>266592-1</t>
  </si>
  <si>
    <t>PERNO HEX. 5X50M / VARIOS</t>
  </si>
  <si>
    <t>266597-1</t>
  </si>
  <si>
    <t>PERNO HEX. CON RESORTE M8 / EM4351UH</t>
  </si>
  <si>
    <t>266601-6</t>
  </si>
  <si>
    <t>266602-4</t>
  </si>
  <si>
    <t>PERNO HEX. M4X20 / UNIVERSAL</t>
  </si>
  <si>
    <t>266604-0</t>
  </si>
  <si>
    <t>PERNO TORX M4X40 / UNIVERSAL</t>
  </si>
  <si>
    <t>266605-8</t>
  </si>
  <si>
    <t>266606-6</t>
  </si>
  <si>
    <t>PERNO TORX M5X40 / UNIVERSAL</t>
  </si>
  <si>
    <t>266607-4</t>
  </si>
  <si>
    <t>PERNO TORX M5X20 / UNIVERSAL</t>
  </si>
  <si>
    <t>266608-2</t>
  </si>
  <si>
    <t>TORNILLO TORX 5X40 / UNIVERSAL</t>
  </si>
  <si>
    <t>266611-3</t>
  </si>
  <si>
    <t>PERNO HEX. M6X8 / UNIVERSAL</t>
  </si>
  <si>
    <t>266612-1</t>
  </si>
  <si>
    <t>266622-8</t>
  </si>
  <si>
    <t>TORNILLO SEGMENTADO M4X12 / VARIOS</t>
  </si>
  <si>
    <t>266627-8</t>
  </si>
  <si>
    <t>TORNILLO TORX 4.7X16 / UNIVERSAL</t>
  </si>
  <si>
    <t>266645-6</t>
  </si>
  <si>
    <t>266647-2</t>
  </si>
  <si>
    <t>266649-8</t>
  </si>
  <si>
    <t>266651-1</t>
  </si>
  <si>
    <t>TORNILLO TORX 5.5X16 / UNIVERSAL</t>
  </si>
  <si>
    <t>266652-9</t>
  </si>
  <si>
    <t>TORNILLO HEX. M5X16 / UNIVERSAL</t>
  </si>
  <si>
    <t>266653-7</t>
  </si>
  <si>
    <t>266655-3</t>
  </si>
  <si>
    <t>TORNILLO  HEX. M5X30 / UNIVERSAL</t>
  </si>
  <si>
    <t>266656-1</t>
  </si>
  <si>
    <t>TORNILLO HEX. M5X40 / EK7650H</t>
  </si>
  <si>
    <t>266657-9</t>
  </si>
  <si>
    <t>PERNO HEX. 5X45M / VARIOS</t>
  </si>
  <si>
    <t>266658-7</t>
  </si>
  <si>
    <t>PERNO HEX. 6X25M / VARIOS</t>
  </si>
  <si>
    <t>266659-5</t>
  </si>
  <si>
    <t>TORNILLO HEX. M6X30 / UNIVERSAL</t>
  </si>
  <si>
    <t>266660-0</t>
  </si>
  <si>
    <t>PERNO HEX. 6X35M / VARIOS</t>
  </si>
  <si>
    <t>266661-8</t>
  </si>
  <si>
    <t>266687-0</t>
  </si>
  <si>
    <t>266688-8</t>
  </si>
  <si>
    <t>266689-6</t>
  </si>
  <si>
    <t>TORNILLO DE CABEZA HEX.  M6 / EK7650H</t>
  </si>
  <si>
    <t>266690-1</t>
  </si>
  <si>
    <t>266691-9</t>
  </si>
  <si>
    <t>266692-7</t>
  </si>
  <si>
    <t>TORNILLO M6X15 / UNIVERSAL</t>
  </si>
  <si>
    <t>266693-5</t>
  </si>
  <si>
    <t>266725-8</t>
  </si>
  <si>
    <t>266729-0</t>
  </si>
  <si>
    <t>266731-3</t>
  </si>
  <si>
    <t>266732-1</t>
  </si>
  <si>
    <t>PERNO HEX. 6X16M / VARIOS</t>
  </si>
  <si>
    <t>266733-9</t>
  </si>
  <si>
    <t>266743-6</t>
  </si>
  <si>
    <t>266749-4</t>
  </si>
  <si>
    <t>PERNO HEX. M5X25 WR / UNIVERSAL</t>
  </si>
  <si>
    <t>266750-9</t>
  </si>
  <si>
    <t>PERNO CUADRADO MX8100 / DHP458 - DDF458</t>
  </si>
  <si>
    <t>266755-9</t>
  </si>
  <si>
    <t>TORNILLO HEX. M10X20 /UNIVERSAL</t>
  </si>
  <si>
    <t>266760-6</t>
  </si>
  <si>
    <t>PERNO HEX. M5X18 WRM / UNIVERSAL</t>
  </si>
  <si>
    <t>266762-2</t>
  </si>
  <si>
    <t>266767-2</t>
  </si>
  <si>
    <t>266768-0</t>
  </si>
  <si>
    <t>TORNILLO 4X16 / PM7650H</t>
  </si>
  <si>
    <t>266771-1</t>
  </si>
  <si>
    <t>266777-9</t>
  </si>
  <si>
    <t>TORNILLO 5X12 / UNIVERSAL</t>
  </si>
  <si>
    <t>266782-6</t>
  </si>
  <si>
    <t>PERNO HEX. 5X16M / VARIOS</t>
  </si>
  <si>
    <t>266784-2</t>
  </si>
  <si>
    <t>TORNILLO HEX. M5X12 / UNIVERSAL</t>
  </si>
  <si>
    <t>266786-8</t>
  </si>
  <si>
    <t>TORNILLO M2X10 / UNIVERSAL</t>
  </si>
  <si>
    <t>266789-2</t>
  </si>
  <si>
    <t>266792-3</t>
  </si>
  <si>
    <t>TORNILLO HEX. M5X18 / UNIVERSAL</t>
  </si>
  <si>
    <t>266793-1</t>
  </si>
  <si>
    <t>PERNO HEX. 5X25M / VARIOS</t>
  </si>
  <si>
    <t>266794-9</t>
  </si>
  <si>
    <t>266800-0</t>
  </si>
  <si>
    <t>266805-0</t>
  </si>
  <si>
    <t>PERNO HEX. M5X25W / EBH340U</t>
  </si>
  <si>
    <t>266808-4</t>
  </si>
  <si>
    <t>TORNILLO ESTRELLA M5X12 WR / EBH340U</t>
  </si>
  <si>
    <t>266809-2</t>
  </si>
  <si>
    <t>TORNILLO ESTRELLA M5X14 WR / EBH340U</t>
  </si>
  <si>
    <t>266811-5</t>
  </si>
  <si>
    <t>266813-1</t>
  </si>
  <si>
    <t>266814-9</t>
  </si>
  <si>
    <t>266826-2</t>
  </si>
  <si>
    <t>TORNILLO 5X60 / UNIVERSAL</t>
  </si>
  <si>
    <t>266827-0</t>
  </si>
  <si>
    <t>TORNILLO M3X18 WR / UNIVERSAL</t>
  </si>
  <si>
    <t>266828-8</t>
  </si>
  <si>
    <t>266832-7</t>
  </si>
  <si>
    <t>TORNILLO DE FIJACION / EN5950SH</t>
  </si>
  <si>
    <t>266834-3</t>
  </si>
  <si>
    <t>PERNO HEX. M4X18 GM / UNIVERSAL</t>
  </si>
  <si>
    <t>266840-8</t>
  </si>
  <si>
    <t>266841-6</t>
  </si>
  <si>
    <t>266842-4</t>
  </si>
  <si>
    <t>TORNILLO ESTRELLA 5X65 / UNIVERSAL</t>
  </si>
  <si>
    <t>266851-3</t>
  </si>
  <si>
    <t>TORNILLO TORX M5X20 / EK7651H</t>
  </si>
  <si>
    <t>266852-1</t>
  </si>
  <si>
    <t>TORNILLO TORX M5X25 / EK7651H</t>
  </si>
  <si>
    <t>266862-8</t>
  </si>
  <si>
    <t>TORNILLO TORX M5X16 / EK7651H</t>
  </si>
  <si>
    <t>266865-2</t>
  </si>
  <si>
    <t>PERNO HEX. M5X14 WR / UNIVERSAL</t>
  </si>
  <si>
    <t>266871-7</t>
  </si>
  <si>
    <t>PERNO HEX. M5X60 / EN5950SH</t>
  </si>
  <si>
    <t>266889-8</t>
  </si>
  <si>
    <t>PERNO HEX. M8X30 / DLM380</t>
  </si>
  <si>
    <t>266890-3</t>
  </si>
  <si>
    <t>TORNILLO ENROSCANTE 4X16 / DLM380</t>
  </si>
  <si>
    <t>266893-7</t>
  </si>
  <si>
    <t>PERNO HEX. M8X45 / DLM380</t>
  </si>
  <si>
    <t>266898-7</t>
  </si>
  <si>
    <t>TORNILLO MARIPOSA M4X8 / DCO181</t>
  </si>
  <si>
    <t>266899-5</t>
  </si>
  <si>
    <t>PERNO CUADRADO M8X140 / DHP458 - DDF458</t>
  </si>
  <si>
    <t>266901-4</t>
  </si>
  <si>
    <t>TORNILLO 4X14 / UNIVERSAL</t>
  </si>
  <si>
    <t>266902-2</t>
  </si>
  <si>
    <t>PERNO HEX. M6X35 WR / UNIVERSAL</t>
  </si>
  <si>
    <t>266903-0</t>
  </si>
  <si>
    <t>PERNO M5X20 WR / UNIVERSAL</t>
  </si>
  <si>
    <t>266905-6</t>
  </si>
  <si>
    <t>PERNO HEX. M5X12 / VARIOS</t>
  </si>
  <si>
    <t>266906-4</t>
  </si>
  <si>
    <t>PERNO 4X20 / UNIVERSAL</t>
  </si>
  <si>
    <t>266907-2</t>
  </si>
  <si>
    <t>PERNO 4X40 / UNIVERSAL</t>
  </si>
  <si>
    <t>266908-0</t>
  </si>
  <si>
    <t>266917-9</t>
  </si>
  <si>
    <t>PERNO HEX. M5X55 / UNIVERSAL</t>
  </si>
  <si>
    <t>266920-0</t>
  </si>
  <si>
    <t>PERNO M8 / RP0900 - M3601</t>
  </si>
  <si>
    <t>266922-6</t>
  </si>
  <si>
    <t>PERNO HEX. M5X120GM / HM1812 - HM1802</t>
  </si>
  <si>
    <t>266923-4</t>
  </si>
  <si>
    <t>PERNO HEX. M6X25 GM / UNIVERSAL</t>
  </si>
  <si>
    <t>266924-2</t>
  </si>
  <si>
    <t>266940-4</t>
  </si>
  <si>
    <t>PERNO HEX. TORX 5X15MM / UNIVERSAL</t>
  </si>
  <si>
    <t>266945-4</t>
  </si>
  <si>
    <t>PERNO HEX.TORX 5X30MM / UNIVERSAL</t>
  </si>
  <si>
    <t>266946-2</t>
  </si>
  <si>
    <t>266947-0</t>
  </si>
  <si>
    <t>266960-8</t>
  </si>
  <si>
    <t>266964-0</t>
  </si>
  <si>
    <t>TORNILLO ROSCA / VARIOS</t>
  </si>
  <si>
    <t>266976-3</t>
  </si>
  <si>
    <t>PERNO HEX. M8X25 / VARIOS</t>
  </si>
  <si>
    <t>266978-9</t>
  </si>
  <si>
    <t>PERNO / EA4301F</t>
  </si>
  <si>
    <t>266979-7</t>
  </si>
  <si>
    <t>PERNO HEX.M4X35 WR / UNIVERSAL</t>
  </si>
  <si>
    <t>266980-2</t>
  </si>
  <si>
    <t>PERNO HEX. M3X6 / VARIOS</t>
  </si>
  <si>
    <t>266986-0</t>
  </si>
  <si>
    <t>266996-7</t>
  </si>
  <si>
    <t>PERNO 10X20 / UNIVERSAL</t>
  </si>
  <si>
    <t>266997-5</t>
  </si>
  <si>
    <t>TORNILLO MARIPOSA M6X25 / 4100NH2R</t>
  </si>
  <si>
    <t>266998-3</t>
  </si>
  <si>
    <t>TORNILLO M5X31 / UNIVERSAL</t>
  </si>
  <si>
    <t>267001-3</t>
  </si>
  <si>
    <t>267010-2</t>
  </si>
  <si>
    <t>ARANDELA PLANA 5 /  UNIVERSAL</t>
  </si>
  <si>
    <t>267012-8</t>
  </si>
  <si>
    <t>267025-9</t>
  </si>
  <si>
    <t>ARANDELA 15 / HR5211C</t>
  </si>
  <si>
    <t>267041-1</t>
  </si>
  <si>
    <t>267047-9</t>
  </si>
  <si>
    <t>267058-4</t>
  </si>
  <si>
    <t>ARANDELA PLANA 32 / HM1201</t>
  </si>
  <si>
    <t>267079-6</t>
  </si>
  <si>
    <t>ARANDELA PLANA 34 / UNIVERSAL</t>
  </si>
  <si>
    <t>267080-1</t>
  </si>
  <si>
    <t>267085-1</t>
  </si>
  <si>
    <t>267104-3</t>
  </si>
  <si>
    <t>267105-1</t>
  </si>
  <si>
    <t>ARANDELA PLANA 29 / UNIVERSAL</t>
  </si>
  <si>
    <t>267106-9</t>
  </si>
  <si>
    <t>ARANDELA 18 / UNIVERSAL</t>
  </si>
  <si>
    <t>267113-2</t>
  </si>
  <si>
    <t>267114-0</t>
  </si>
  <si>
    <t>ARANDELA PLANA 17 / VARIOS</t>
  </si>
  <si>
    <t>267126-3</t>
  </si>
  <si>
    <t>ARANDELA PLANA 22 / UNIVERSAL</t>
  </si>
  <si>
    <t>267127-1</t>
  </si>
  <si>
    <t>ARANDELA PLANA 26 / UNIVERSAL</t>
  </si>
  <si>
    <t>267136-0</t>
  </si>
  <si>
    <t>267143-3</t>
  </si>
  <si>
    <t>ARANDELA PLANA 11 / UNIVERSAL</t>
  </si>
  <si>
    <t>267153-0</t>
  </si>
  <si>
    <t>ARANDELA PLANA 30 / VARIOS</t>
  </si>
  <si>
    <t>267164-5</t>
  </si>
  <si>
    <t>267166-1</t>
  </si>
  <si>
    <t>267167-9</t>
  </si>
  <si>
    <t>267170-0</t>
  </si>
  <si>
    <t>ARANDELA PLANA 34 / 2704 - TW1000</t>
  </si>
  <si>
    <t>267171-8</t>
  </si>
  <si>
    <t>267173-4</t>
  </si>
  <si>
    <t>267175-0</t>
  </si>
  <si>
    <t>267177-6</t>
  </si>
  <si>
    <t>267189-9</t>
  </si>
  <si>
    <t>ARANDELA 5 / UC4020C</t>
  </si>
  <si>
    <t>267190-4</t>
  </si>
  <si>
    <t>ARANDELA 45 / UNIVERSAL</t>
  </si>
  <si>
    <t>267194-6</t>
  </si>
  <si>
    <t>ARANDELA 15 / UNIVERSAL</t>
  </si>
  <si>
    <t>267195-4</t>
  </si>
  <si>
    <t>ARANDELA PLANA 4  / UNIVERSAL</t>
  </si>
  <si>
    <t>267202-3</t>
  </si>
  <si>
    <t>ARANDELA PLANA 8 / DFS452</t>
  </si>
  <si>
    <t>267212-0</t>
  </si>
  <si>
    <t>267213-8</t>
  </si>
  <si>
    <t>267215-4</t>
  </si>
  <si>
    <t>ARANDELA PLANA / VARIOS</t>
  </si>
  <si>
    <t>267216-2</t>
  </si>
  <si>
    <t>ARANDELA 8 / DLM465</t>
  </si>
  <si>
    <t>267229-3</t>
  </si>
  <si>
    <t>267231-6</t>
  </si>
  <si>
    <t>267232-4</t>
  </si>
  <si>
    <t>ARANDELA PLANA 48 / UNIVERSAL</t>
  </si>
  <si>
    <t>267233-2</t>
  </si>
  <si>
    <t>ARANDELA PLANA 55 / UNIVERSAL</t>
  </si>
  <si>
    <t>267234-0</t>
  </si>
  <si>
    <t>267235-8</t>
  </si>
  <si>
    <t>267236-6</t>
  </si>
  <si>
    <t>267237-4</t>
  </si>
  <si>
    <t>ARANDELA PLANA 9 / VARIOS</t>
  </si>
  <si>
    <t>267238-2</t>
  </si>
  <si>
    <t>267239-0</t>
  </si>
  <si>
    <t>267245-5</t>
  </si>
  <si>
    <t>267250-2</t>
  </si>
  <si>
    <t>ARANDELA PLANA 30 / TW001G - 4114S</t>
  </si>
  <si>
    <t>267256-0</t>
  </si>
  <si>
    <t>267258-6</t>
  </si>
  <si>
    <t>267268-3</t>
  </si>
  <si>
    <t>ARANDELA PLANA 19 / UNIVERSAL</t>
  </si>
  <si>
    <t>267270-6</t>
  </si>
  <si>
    <t>267272-2</t>
  </si>
  <si>
    <t>ARANDELA PLANA 28 / UNIVERSAL</t>
  </si>
  <si>
    <t>267273-0</t>
  </si>
  <si>
    <t>267274-8</t>
  </si>
  <si>
    <t>267278-0</t>
  </si>
  <si>
    <t>ARANDELA PLANA /VARIOS</t>
  </si>
  <si>
    <t>267279-8</t>
  </si>
  <si>
    <t>ARANDELA PLANA 21 / VARIOS</t>
  </si>
  <si>
    <t>267280-3</t>
  </si>
  <si>
    <t>267281-1</t>
  </si>
  <si>
    <t>267287-9</t>
  </si>
  <si>
    <t>ARANDELA 57 / HR5211C</t>
  </si>
  <si>
    <t>267290-0</t>
  </si>
  <si>
    <t>267293-4</t>
  </si>
  <si>
    <t>267294-2</t>
  </si>
  <si>
    <t>ARANDELA PLANA 5 / M4001</t>
  </si>
  <si>
    <t>267296-8</t>
  </si>
  <si>
    <t>ARANDELA PLANA 63 / UNIVERSAL</t>
  </si>
  <si>
    <t>267297-6</t>
  </si>
  <si>
    <t>267299-2</t>
  </si>
  <si>
    <t>267304-5</t>
  </si>
  <si>
    <t>267305-3</t>
  </si>
  <si>
    <t>ARANDELA PLANA 5/16" / UNIVERSAL</t>
  </si>
  <si>
    <t>267329-9</t>
  </si>
  <si>
    <t>267335-4</t>
  </si>
  <si>
    <t>267337-0</t>
  </si>
  <si>
    <t>ARANDELA 40 / UNIVERSAL</t>
  </si>
  <si>
    <t>267340-1</t>
  </si>
  <si>
    <t>ARANDELA PLANA 32 / UNIVERSAL</t>
  </si>
  <si>
    <t>267349-3</t>
  </si>
  <si>
    <t>267352-4</t>
  </si>
  <si>
    <t>ARANDELA PLANA 22 / VARIOS</t>
  </si>
  <si>
    <t>267353-2</t>
  </si>
  <si>
    <t>267354-0</t>
  </si>
  <si>
    <t>267380-9</t>
  </si>
  <si>
    <t>267386-7</t>
  </si>
  <si>
    <t>267387-5</t>
  </si>
  <si>
    <t>ARANDELA PLANA 39 / UNIVERSAL</t>
  </si>
  <si>
    <t>267389-1</t>
  </si>
  <si>
    <t>ARANDELA PLANA 12 / EA4301F</t>
  </si>
  <si>
    <t>267397-2</t>
  </si>
  <si>
    <t>267398-0</t>
  </si>
  <si>
    <t>267401-7</t>
  </si>
  <si>
    <t>267402-5</t>
  </si>
  <si>
    <t>267407-5</t>
  </si>
  <si>
    <t>ARANDELA PLANA 23/ UNIVERSAL</t>
  </si>
  <si>
    <t>267414-8</t>
  </si>
  <si>
    <t>267415-6</t>
  </si>
  <si>
    <t>ARANDELA PLANA 33 / UNIVERSAL</t>
  </si>
  <si>
    <t>267425-3</t>
  </si>
  <si>
    <t>ARANDELA 26 / UNIVERSAL</t>
  </si>
  <si>
    <t>267428-7</t>
  </si>
  <si>
    <t>ARANDELA 8 / UNIVERSAL</t>
  </si>
  <si>
    <t>267429-5</t>
  </si>
  <si>
    <t>267430-0</t>
  </si>
  <si>
    <t>ARANDELA 10 / UNIVERSAL</t>
  </si>
  <si>
    <t>267431-8</t>
  </si>
  <si>
    <t>267437-6</t>
  </si>
  <si>
    <t>267447-3</t>
  </si>
  <si>
    <t>267448-1</t>
  </si>
  <si>
    <t>ARANDELA 41 / UNIVERSAL</t>
  </si>
  <si>
    <t>267459-6</t>
  </si>
  <si>
    <t>267460-1</t>
  </si>
  <si>
    <t>ARANDELA 31 / VARIOS</t>
  </si>
  <si>
    <t>267462-7</t>
  </si>
  <si>
    <t>ARANDELA PLANA INOX 10 / UNIVERSAL</t>
  </si>
  <si>
    <t>267469-3</t>
  </si>
  <si>
    <t>267470-8</t>
  </si>
  <si>
    <t>267477-4</t>
  </si>
  <si>
    <t>ARANDELA PLANA 60 / VARIOS</t>
  </si>
  <si>
    <t>267478-2</t>
  </si>
  <si>
    <t>ARANDELA PLANA 44 / UNIVERSAL</t>
  </si>
  <si>
    <t>267486-3</t>
  </si>
  <si>
    <t>ARANDELA PLANA 50 / UNIVERSAL</t>
  </si>
  <si>
    <t>267487-1</t>
  </si>
  <si>
    <t>267490-2</t>
  </si>
  <si>
    <t>ARANDELA PLANA 54 / UNIVERSAL</t>
  </si>
  <si>
    <t>267497-8</t>
  </si>
  <si>
    <t>267706-5</t>
  </si>
  <si>
    <t>ARANDELA 17 / UNIVERSAL</t>
  </si>
  <si>
    <t>267714-6</t>
  </si>
  <si>
    <t>ARANDELA 15 / LW1401 - 2414NB</t>
  </si>
  <si>
    <t>267715-4</t>
  </si>
  <si>
    <t>ARANDELA ONDULADA 20 / VARIOS</t>
  </si>
  <si>
    <t>267721-9</t>
  </si>
  <si>
    <t>TAPA INTERRPTOR/ VARIOS</t>
  </si>
  <si>
    <t>267731-6</t>
  </si>
  <si>
    <t>ARANDELA CONCAVA 4 / 9911</t>
  </si>
  <si>
    <t>267734-0</t>
  </si>
  <si>
    <t>ARANDELA CONCAVA 37 / HR5001C</t>
  </si>
  <si>
    <t>267736-6</t>
  </si>
  <si>
    <t>267756-0</t>
  </si>
  <si>
    <t>BASE/ VARIOS</t>
  </si>
  <si>
    <t>267760-9</t>
  </si>
  <si>
    <t>ARANDELA 37 / UNIVERSAL</t>
  </si>
  <si>
    <t>267766-7</t>
  </si>
  <si>
    <t>ARANDELA CONCAVA 14 / VARIOS</t>
  </si>
  <si>
    <t>267780-3</t>
  </si>
  <si>
    <t>ARANDELA CONCAVA / HM0860C</t>
  </si>
  <si>
    <t>267781-1</t>
  </si>
  <si>
    <t>ARANDELA ONDULADA 7 / SP6000 - CA5000</t>
  </si>
  <si>
    <t>267784-5</t>
  </si>
  <si>
    <t>ARANDELA 42 / UNIVERSAL</t>
  </si>
  <si>
    <t>267785-3</t>
  </si>
  <si>
    <t>ARANDELA ONDULADA 23 / VARIOS</t>
  </si>
  <si>
    <t>267794-2</t>
  </si>
  <si>
    <t>ARANDELA ONDULADA 12 / 9557HP</t>
  </si>
  <si>
    <t>267798-4</t>
  </si>
  <si>
    <t>ARANDELA DE TRABA / VARIOS</t>
  </si>
  <si>
    <t>267803-7</t>
  </si>
  <si>
    <t>ARANDELA PLANA DE BLOQUEO / VARIOS</t>
  </si>
  <si>
    <t>267804-5</t>
  </si>
  <si>
    <t>ARANDELA ONDULADA 15 / VARIOS</t>
  </si>
  <si>
    <t>267805-3</t>
  </si>
  <si>
    <t>ARANDELA 30 / UNIVERSAL</t>
  </si>
  <si>
    <t>267806-1</t>
  </si>
  <si>
    <t>ARANDELA 9 / UNIVERSAL</t>
  </si>
  <si>
    <t>267809-5</t>
  </si>
  <si>
    <t>ARANDELA ONDULADA 19 / VARIOS</t>
  </si>
  <si>
    <t>267811-8</t>
  </si>
  <si>
    <t>ARANDELA  BLOQUEO /VARIOS</t>
  </si>
  <si>
    <t>267813-4</t>
  </si>
  <si>
    <t>ARANDELA 21 / UNIVERSAL</t>
  </si>
  <si>
    <t>267816-8</t>
  </si>
  <si>
    <t>ARANDELA ONDULADA / DHR202 - DHR241</t>
  </si>
  <si>
    <t>267820-7</t>
  </si>
  <si>
    <t>ARANDELA 29 / EA4301F</t>
  </si>
  <si>
    <t>267821-5</t>
  </si>
  <si>
    <t>ARANDELA PLANA 5 /UNIVERSAL</t>
  </si>
  <si>
    <t>267825-7</t>
  </si>
  <si>
    <t>ARANDELA ONDULADA 30 / HM0870C; 71C</t>
  </si>
  <si>
    <t>267832-0</t>
  </si>
  <si>
    <t>ARANDELA ONDULADA 10 / EM4351UH</t>
  </si>
  <si>
    <t>267833-8</t>
  </si>
  <si>
    <t>ARANDELA CONCAVA 8 / EA3203S</t>
  </si>
  <si>
    <t>267841-9</t>
  </si>
  <si>
    <t>ARANDELA ONDULADA / VARIOS</t>
  </si>
  <si>
    <t>267856-6</t>
  </si>
  <si>
    <t>ARANDELA FIJACION 23 /VARIOS</t>
  </si>
  <si>
    <t>268040-6</t>
  </si>
  <si>
    <t>PALANCA BLOQUEO /LC1230</t>
  </si>
  <si>
    <t>268057-9</t>
  </si>
  <si>
    <t>PASADOR 4 / 6905H 5 TW0350</t>
  </si>
  <si>
    <t>268066-8</t>
  </si>
  <si>
    <t>PASADOR 12 / HM1304B</t>
  </si>
  <si>
    <t>268076-5</t>
  </si>
  <si>
    <t>268079-9</t>
  </si>
  <si>
    <t>PASADOR 5 / DTW1001 -DTW1002</t>
  </si>
  <si>
    <t>268090-1</t>
  </si>
  <si>
    <t>268092-7</t>
  </si>
  <si>
    <t>268094-3</t>
  </si>
  <si>
    <t>268101-2</t>
  </si>
  <si>
    <t>268104-6</t>
  </si>
  <si>
    <t>268121-6</t>
  </si>
  <si>
    <t>PASADOR 12 / VARIOS</t>
  </si>
  <si>
    <t>268130-5</t>
  </si>
  <si>
    <t>PASADOR DE PISTON / HM1810</t>
  </si>
  <si>
    <t>268147-8</t>
  </si>
  <si>
    <t>PASADOR 4 / DHR165 - HR1830</t>
  </si>
  <si>
    <t>268160-6</t>
  </si>
  <si>
    <t>PASADOR 3.5 / TD022D</t>
  </si>
  <si>
    <t>268161-4</t>
  </si>
  <si>
    <t>PASADOR 5 / GS5000 - TD022D</t>
  </si>
  <si>
    <t>268184-2</t>
  </si>
  <si>
    <t>PASADOR 1.5 / VARIOS</t>
  </si>
  <si>
    <t>268217-3</t>
  </si>
  <si>
    <t>PASADOR 3.5 / VARIOS</t>
  </si>
  <si>
    <t>268222-0</t>
  </si>
  <si>
    <t>PASADOR 8 / HM1214C</t>
  </si>
  <si>
    <t>268226-2</t>
  </si>
  <si>
    <t>268228-8</t>
  </si>
  <si>
    <t>PASADOR TRABADOR / M9510 -M9507</t>
  </si>
  <si>
    <t>268229-6</t>
  </si>
  <si>
    <t>268233-5</t>
  </si>
  <si>
    <t>268234-3</t>
  </si>
  <si>
    <t>PASADOR TRABADOR / RP2301FC</t>
  </si>
  <si>
    <t>268235-1</t>
  </si>
  <si>
    <t>PASADOR 6 / HM1214C</t>
  </si>
  <si>
    <t>268238-5</t>
  </si>
  <si>
    <t>268239-3</t>
  </si>
  <si>
    <t>PASADOR 4 / EBH340U</t>
  </si>
  <si>
    <t>268240-8</t>
  </si>
  <si>
    <t>PASADOR 10 / HM1317CB</t>
  </si>
  <si>
    <t>268241-6</t>
  </si>
  <si>
    <t>PASADOR 6 / HM1317CB</t>
  </si>
  <si>
    <t>268254-7</t>
  </si>
  <si>
    <t>268256-3</t>
  </si>
  <si>
    <t>268284-8</t>
  </si>
  <si>
    <t>268285-6</t>
  </si>
  <si>
    <t>PASADOR DE PISTON / EM4350LH</t>
  </si>
  <si>
    <t>268287-2</t>
  </si>
  <si>
    <t>PASADOR DE PISTON 8 / DBN600</t>
  </si>
  <si>
    <t>268288-0</t>
  </si>
  <si>
    <t>PASADOR 5.5 / PM7650H</t>
  </si>
  <si>
    <t>268308-0</t>
  </si>
  <si>
    <t>PASADOR 9 / VARIOS</t>
  </si>
  <si>
    <t>268309-8</t>
  </si>
  <si>
    <t>PASADOR 4 / HR5212C - HR4013C</t>
  </si>
  <si>
    <t>268310-3</t>
  </si>
  <si>
    <t>PASADOR 5 / PM7650H</t>
  </si>
  <si>
    <t>268311-1</t>
  </si>
  <si>
    <t>268325-0</t>
  </si>
  <si>
    <t>SOPORTE DE CUCHILLA 2 / DFS452</t>
  </si>
  <si>
    <t>268328-4</t>
  </si>
  <si>
    <t>PASADOR 15 / HM1812 - HM1802</t>
  </si>
  <si>
    <t>268335-7</t>
  </si>
  <si>
    <t>PIN 3MM/ DCS9010</t>
  </si>
  <si>
    <t>268336-5</t>
  </si>
  <si>
    <t>PASADOR DE PISTON</t>
  </si>
  <si>
    <t>268337-3</t>
  </si>
  <si>
    <t>PASADOR DE PISTON 8 / EM3400U</t>
  </si>
  <si>
    <t>268341-2</t>
  </si>
  <si>
    <t>PASADOR 6 / DJR186 - DJR360</t>
  </si>
  <si>
    <t>270248-000</t>
  </si>
  <si>
    <t>CUBIERTA DE SOPORTE / SJ401</t>
  </si>
  <si>
    <t>270251-000</t>
  </si>
  <si>
    <t>PLACA CONECTORA / SJ401</t>
  </si>
  <si>
    <t>270252-000</t>
  </si>
  <si>
    <t>GUIA DE RODAJE / SJ401</t>
  </si>
  <si>
    <t>270308-000</t>
  </si>
  <si>
    <t>CUBIERTA DE TRANSMISION / SJ401</t>
  </si>
  <si>
    <t>270309-000</t>
  </si>
  <si>
    <t>BASE DE AGARRE/JS401</t>
  </si>
  <si>
    <t>270310-000</t>
  </si>
  <si>
    <t>SOPORTE / SJ401</t>
  </si>
  <si>
    <t>270344S</t>
  </si>
  <si>
    <t>ANILLO DE GOMA</t>
  </si>
  <si>
    <t>271072-4</t>
  </si>
  <si>
    <t>MANGO / LC1230</t>
  </si>
  <si>
    <t>271073-2</t>
  </si>
  <si>
    <t>MANGO / 2704</t>
  </si>
  <si>
    <t>271074-0</t>
  </si>
  <si>
    <t>BRAZO 60 / 2704</t>
  </si>
  <si>
    <t>271207-7</t>
  </si>
  <si>
    <t>PERILLA 55 / 9402</t>
  </si>
  <si>
    <t>271231-0</t>
  </si>
  <si>
    <t>271296-2</t>
  </si>
  <si>
    <t>PERILLA 45 / 2012NB</t>
  </si>
  <si>
    <t>271308-1</t>
  </si>
  <si>
    <t>BOTON/VARIOS</t>
  </si>
  <si>
    <t>271325-1</t>
  </si>
  <si>
    <t>PERILLA 55 / M9400</t>
  </si>
  <si>
    <t>271329-3</t>
  </si>
  <si>
    <t>BOTON 50 / M1100</t>
  </si>
  <si>
    <t>271331-6</t>
  </si>
  <si>
    <t>BOTON 40 / LW1400</t>
  </si>
  <si>
    <t>271417-6</t>
  </si>
  <si>
    <t>SELECTOR 28 / 9237CB - 9227CB</t>
  </si>
  <si>
    <t>271420-7</t>
  </si>
  <si>
    <t>SELECTOR 28 / SA7000C - PK5011C</t>
  </si>
  <si>
    <t>271423-1</t>
  </si>
  <si>
    <t>BOTON 32 / 2704</t>
  </si>
  <si>
    <t>271427-3</t>
  </si>
  <si>
    <t>SELECTOR 28 / VARIOS</t>
  </si>
  <si>
    <t>271429-9</t>
  </si>
  <si>
    <t>PERILLA DE CALIBRACION 44 / M1902</t>
  </si>
  <si>
    <t>271433-8</t>
  </si>
  <si>
    <t>PALANCA 59 / DRS780</t>
  </si>
  <si>
    <t>271434-6</t>
  </si>
  <si>
    <t>PALANCA 56 / DRS780</t>
  </si>
  <si>
    <t>271435-4</t>
  </si>
  <si>
    <t>PALANCA 48 / DRS780</t>
  </si>
  <si>
    <t>271437-0</t>
  </si>
  <si>
    <t>BOTON 22/ VARIOS</t>
  </si>
  <si>
    <t>271441-9</t>
  </si>
  <si>
    <t>PALANCA 19 / DJV184</t>
  </si>
  <si>
    <t>271443-5</t>
  </si>
  <si>
    <t>PALANCA 49 / VARIOS</t>
  </si>
  <si>
    <t>271444-3</t>
  </si>
  <si>
    <t>PALANCA 37 / HS7010</t>
  </si>
  <si>
    <t>271446-9</t>
  </si>
  <si>
    <t>PALANCA 45 / DHS660</t>
  </si>
  <si>
    <t>271448-5</t>
  </si>
  <si>
    <t>PALANCA 37 / VARIOS</t>
  </si>
  <si>
    <t>271450-8</t>
  </si>
  <si>
    <t>271451-6</t>
  </si>
  <si>
    <t>PALANCA 55/ VARIOS</t>
  </si>
  <si>
    <t>271453-2</t>
  </si>
  <si>
    <t>PALANCA 132 / VARIOS</t>
  </si>
  <si>
    <t>271460-5</t>
  </si>
  <si>
    <t>PALANCA 90 / VARIOS</t>
  </si>
  <si>
    <t>271461-3</t>
  </si>
  <si>
    <t>PALANCA 56 / VARIOS</t>
  </si>
  <si>
    <t>271462-1</t>
  </si>
  <si>
    <t>PALANCA 54 / VARIOS</t>
  </si>
  <si>
    <t>271468-9</t>
  </si>
  <si>
    <t>271474-4</t>
  </si>
  <si>
    <t>PALANCA 37/ HS012G</t>
  </si>
  <si>
    <t>272021-4</t>
  </si>
  <si>
    <t>MANGO 120 / 2414NB</t>
  </si>
  <si>
    <t>272027-2</t>
  </si>
  <si>
    <t>MANGO 120 / VARIOS</t>
  </si>
  <si>
    <t>272028-0</t>
  </si>
  <si>
    <t>EMPUÑADURA 160/VARIOS</t>
  </si>
  <si>
    <t>272221-6</t>
  </si>
  <si>
    <t>PALANCA 45 / VARIOS</t>
  </si>
  <si>
    <t>272230-5</t>
  </si>
  <si>
    <t>PALANCA 54 / N5900B</t>
  </si>
  <si>
    <t>272239-7</t>
  </si>
  <si>
    <t>PALANCA 18 / 4329</t>
  </si>
  <si>
    <t>272247-8</t>
  </si>
  <si>
    <t>PALANCA 20 / JR3070CT</t>
  </si>
  <si>
    <t>272248-6</t>
  </si>
  <si>
    <t>PALANCA 120 / 2704</t>
  </si>
  <si>
    <t>272252-5</t>
  </si>
  <si>
    <t>PALANCA 65 / VARIOS</t>
  </si>
  <si>
    <t>272261-4</t>
  </si>
  <si>
    <t>272266-4</t>
  </si>
  <si>
    <t>PALANCA 25 / VARIOS</t>
  </si>
  <si>
    <t>272268-0</t>
  </si>
  <si>
    <t>PALANCA 94 / DUX60</t>
  </si>
  <si>
    <t>272269-8</t>
  </si>
  <si>
    <t>PALANCA 18 / JV0600</t>
  </si>
  <si>
    <t>272272-9</t>
  </si>
  <si>
    <t>272286-8</t>
  </si>
  <si>
    <t>PALANCA 125 / LW1400</t>
  </si>
  <si>
    <t>273015-2</t>
  </si>
  <si>
    <t>EMPUÑADURA 50A / VARIOS</t>
  </si>
  <si>
    <t>273016-0</t>
  </si>
  <si>
    <t>EMPUÑADURA 50B / VARIOS</t>
  </si>
  <si>
    <t>273416-4</t>
  </si>
  <si>
    <t>EMPUÑADURA 25 / VARIOS</t>
  </si>
  <si>
    <t>273495-2</t>
  </si>
  <si>
    <t>EMPUÑADURA 32 / LS1040 - LS1040F</t>
  </si>
  <si>
    <t>273518-6</t>
  </si>
  <si>
    <t>EMPUÑADURA 37 / HM1304B</t>
  </si>
  <si>
    <t>273665-3</t>
  </si>
  <si>
    <t>EMPUÑADURA / BHX2500</t>
  </si>
  <si>
    <t>273666-1</t>
  </si>
  <si>
    <t>EMPUÑADURA 50 / LS1016</t>
  </si>
  <si>
    <t>273669-5</t>
  </si>
  <si>
    <t>EMPUÑADURA / EBH340U</t>
  </si>
  <si>
    <t>273670-0</t>
  </si>
  <si>
    <t>BASE DE RODAMIENTO / EG382A</t>
  </si>
  <si>
    <t>CABEZAL DE CILINDRO/ EG302</t>
  </si>
  <si>
    <t>EMPAQUE DE BALANCIN / VARIOS</t>
  </si>
  <si>
    <t>SELLO DE VALVULA / VARIOS</t>
  </si>
  <si>
    <t>27723401J3</t>
  </si>
  <si>
    <t>PISTON STD/ EG302</t>
  </si>
  <si>
    <t>ANILLOS DE PISTON  / VARIOS</t>
  </si>
  <si>
    <t>JUNTA DE CARBON / VARIOS</t>
  </si>
  <si>
    <t>FILTRO DE AIRE / EG302</t>
  </si>
  <si>
    <t>KIT FILTRO AIRE / EG302</t>
  </si>
  <si>
    <t>27735902J3</t>
  </si>
  <si>
    <t>EMPAQUE EXTERNO DE CARBURADOR / VARIOS</t>
  </si>
  <si>
    <t>27735903J3</t>
  </si>
  <si>
    <t>EMPAQUE EXTERNO CARBURADOR  / VARIOS</t>
  </si>
  <si>
    <t>KIT  BALANCINES/ EG302</t>
  </si>
  <si>
    <t>EJE DE CONTROL/ EG302</t>
  </si>
  <si>
    <t>VARILLA DE GOBERNADOR / VARIOS</t>
  </si>
  <si>
    <t>PROCTECTOR DE DUCTO / VARIOS</t>
  </si>
  <si>
    <t>CARBURADOR CPL / EG382A</t>
  </si>
  <si>
    <t>CARBURADOR CPL / EG302A</t>
  </si>
  <si>
    <t>CHICLER   CARBURADOR / EG382</t>
  </si>
  <si>
    <t>CHICLER CARBURADOR / EG302</t>
  </si>
  <si>
    <t>AGUJA CARBURADOR / EG302</t>
  </si>
  <si>
    <t>CABEZAL DE CILINDRO / EG382</t>
  </si>
  <si>
    <t>MUELLE / VARIOS</t>
  </si>
  <si>
    <t>27935903J3</t>
  </si>
  <si>
    <t>EMPAQUE / VARIOS</t>
  </si>
  <si>
    <t>ARRANCADOR / EG512</t>
  </si>
  <si>
    <t>CAJA DE VENTILADOR / EG512</t>
  </si>
  <si>
    <t>CARBURADOR / EG512</t>
  </si>
  <si>
    <t>LLAVE DE CARBURADOR / VARIOS</t>
  </si>
  <si>
    <t>CHICLER PILOTO / EG512</t>
  </si>
  <si>
    <t>BOBINA CPL / EG512A</t>
  </si>
  <si>
    <t>281019-0</t>
  </si>
  <si>
    <t>GANCHO / SC103D</t>
  </si>
  <si>
    <t>281028-9</t>
  </si>
  <si>
    <t>281216-8</t>
  </si>
  <si>
    <t>COLGADOR / VARIOS</t>
  </si>
  <si>
    <t>281222-3</t>
  </si>
  <si>
    <t>GANCHO / DUC254 - DUC406</t>
  </si>
  <si>
    <t>281434S</t>
  </si>
  <si>
    <t>MANIJA DE LA CUERDA</t>
  </si>
  <si>
    <t>282015-1</t>
  </si>
  <si>
    <t>CADENA / VARIOS</t>
  </si>
  <si>
    <t>282016-9</t>
  </si>
  <si>
    <t>CADENA / 2414NB</t>
  </si>
  <si>
    <t>282018-5</t>
  </si>
  <si>
    <t>ANILLO DE GOMA / TW1000</t>
  </si>
  <si>
    <t>282020-8</t>
  </si>
  <si>
    <t>ABRAZADERA / EM4351UH</t>
  </si>
  <si>
    <t>282023-2</t>
  </si>
  <si>
    <t>ABRAZADERA 14 / PM7650H - PM001G</t>
  </si>
  <si>
    <t>282024-0</t>
  </si>
  <si>
    <t>ABRAZADERA DE MANGUERA 76 / PM7650H</t>
  </si>
  <si>
    <t>282025-8</t>
  </si>
  <si>
    <t>ABRAZADERA DE MANGUERA 100 / VARIOS</t>
  </si>
  <si>
    <t>282027-4</t>
  </si>
  <si>
    <t>ABRAZADERA / PM7650H</t>
  </si>
  <si>
    <t>284059-7</t>
  </si>
  <si>
    <t>CUBIERTA TRASERA / M8600 - HM0810T</t>
  </si>
  <si>
    <t>284065-2</t>
  </si>
  <si>
    <t>CUBIERTA TRASERA / 6906</t>
  </si>
  <si>
    <t>285024-9</t>
  </si>
  <si>
    <t>RETENEDOR DE RODAJE 55 / CA5000</t>
  </si>
  <si>
    <t>285039-6</t>
  </si>
  <si>
    <t>RETEN DEL RODAMIENTO / VARIOS</t>
  </si>
  <si>
    <t>285685-5</t>
  </si>
  <si>
    <t>RETEN DE RODAMIENTO 64 / VARIOS</t>
  </si>
  <si>
    <t>285687-1</t>
  </si>
  <si>
    <t>RETENEDOR DE RODAJE 48 / 9237CB - 9227CB</t>
  </si>
  <si>
    <t>285698-6</t>
  </si>
  <si>
    <t>RETEN DE RODAMIENTO 33 / 2012NB</t>
  </si>
  <si>
    <t>285700-5</t>
  </si>
  <si>
    <t>RETENEDOR DE RODAJE / GD0800C - GD0801C</t>
  </si>
  <si>
    <t>285702-1</t>
  </si>
  <si>
    <t>RETEN DE RODAMIENTO / BO6030</t>
  </si>
  <si>
    <t>285711-0</t>
  </si>
  <si>
    <t>RETEN DE RODAMIENTO 50 / VARIOS</t>
  </si>
  <si>
    <t>285718-6</t>
  </si>
  <si>
    <t>RETEN DE RODAMIENTO / VARIOS</t>
  </si>
  <si>
    <t>285724-1</t>
  </si>
  <si>
    <t>RETENEDOR DE RODAJE 50 /VARIOS</t>
  </si>
  <si>
    <t>285728-3</t>
  </si>
  <si>
    <t>285731-4</t>
  </si>
  <si>
    <t>RETENEDOR DE RODAJE 60 / RP2301FC</t>
  </si>
  <si>
    <t>285732-2</t>
  </si>
  <si>
    <t>RETENEDOR DE RODAJE 51 / VARIOS</t>
  </si>
  <si>
    <t>285735-6</t>
  </si>
  <si>
    <t>RETENEDOR DE RODAJE / VARIOS</t>
  </si>
  <si>
    <t>285739-8</t>
  </si>
  <si>
    <t>BASE DE RODAJE 20-34/ VARIOS</t>
  </si>
  <si>
    <t>285741-1</t>
  </si>
  <si>
    <t>285742-9</t>
  </si>
  <si>
    <t>RETEN DE RODAMIENTO 59 / VARIOS</t>
  </si>
  <si>
    <t>285807-7</t>
  </si>
  <si>
    <t>RETENEDOR DE RODAJE 22-36 / VARIOS</t>
  </si>
  <si>
    <t>285809-3</t>
  </si>
  <si>
    <t>ANILLO RETENSION 23-36 / VARIOS</t>
  </si>
  <si>
    <t>285815-8</t>
  </si>
  <si>
    <t>RETEN DE RODAMIENTO 19-33 / VARIOS</t>
  </si>
  <si>
    <t>285824-7</t>
  </si>
  <si>
    <t>RETENEDOR DE RODAJE 31-48 / GS5000 - GS6000</t>
  </si>
  <si>
    <t>285828-9</t>
  </si>
  <si>
    <t>RETEN DE RODAMIENTO 66 / VARIOS</t>
  </si>
  <si>
    <t>285838-6</t>
  </si>
  <si>
    <t>RETEN DE RODAMIENTO 29-42 / VARIOS</t>
  </si>
  <si>
    <t>285839-4</t>
  </si>
  <si>
    <t>RETENEDOR DE RODAJE / HP2070F - HP2050</t>
  </si>
  <si>
    <t>285840-9</t>
  </si>
  <si>
    <t>RETENEDOR DE RODAJE / 4100NH3</t>
  </si>
  <si>
    <t>285841-7</t>
  </si>
  <si>
    <t>285842-5</t>
  </si>
  <si>
    <t>RETENEDOR DE RODAJE 36-43 / DA3010F</t>
  </si>
  <si>
    <t>285843-3</t>
  </si>
  <si>
    <t>RETENEDOR DE RODAJE / DHS660</t>
  </si>
  <si>
    <t>285845-9</t>
  </si>
  <si>
    <t>PALANCA DE RETENSION/ VARIOS</t>
  </si>
  <si>
    <t>285846-7</t>
  </si>
  <si>
    <t>RETEN DE RODAMIENTO 25-36 / LF1000</t>
  </si>
  <si>
    <t>285847-5</t>
  </si>
  <si>
    <t>RETENEDOR DE RODAJE 14-23 / VARIOS</t>
  </si>
  <si>
    <t>285848-3</t>
  </si>
  <si>
    <t>RETENEDOR DE RODAJE 23-26 / VARIOS</t>
  </si>
  <si>
    <t>285849-1</t>
  </si>
  <si>
    <t>285851-4</t>
  </si>
  <si>
    <t>285852-2</t>
  </si>
  <si>
    <t>RETENEDOR DE RODAJE 19-33 / VARIOS</t>
  </si>
  <si>
    <t>285854-8</t>
  </si>
  <si>
    <t>RETENEDOR DE ACEITE 20-33 / VARIOS</t>
  </si>
  <si>
    <t>285857-2</t>
  </si>
  <si>
    <t>285858-0</t>
  </si>
  <si>
    <t>286032-3</t>
  </si>
  <si>
    <t>TAPA 5 / 4350FCT - DJV182</t>
  </si>
  <si>
    <t>286036-5</t>
  </si>
  <si>
    <t>TAPA / DHS660 - DCC500</t>
  </si>
  <si>
    <t>286037-3</t>
  </si>
  <si>
    <t>TAPA 34 / VARIOS</t>
  </si>
  <si>
    <t>286039-9</t>
  </si>
  <si>
    <t>286040-4</t>
  </si>
  <si>
    <t>286042-0</t>
  </si>
  <si>
    <t>TAPA 31 / VARIOS</t>
  </si>
  <si>
    <t>286043-8</t>
  </si>
  <si>
    <t>TAPON / DGP180</t>
  </si>
  <si>
    <t>286212-1</t>
  </si>
  <si>
    <t>TAPA DE GOMA / VARIOS</t>
  </si>
  <si>
    <t>286235-9</t>
  </si>
  <si>
    <t>TAPON 11 / 3612</t>
  </si>
  <si>
    <t>286236-7</t>
  </si>
  <si>
    <t>TAPA 16 / LC1230</t>
  </si>
  <si>
    <t>286241-4</t>
  </si>
  <si>
    <t>TAPA 30 / 9031</t>
  </si>
  <si>
    <t>286247-2</t>
  </si>
  <si>
    <t>TAPA PORTA HERRAMIENTA / HR4000C</t>
  </si>
  <si>
    <t>286250-3</t>
  </si>
  <si>
    <t>TAPA PORTA HERRAMIENTA / HM1202C</t>
  </si>
  <si>
    <t>286253-7</t>
  </si>
  <si>
    <t>TAPON 40 / HR3000C</t>
  </si>
  <si>
    <t>286255-3</t>
  </si>
  <si>
    <t>TAPON 13 / VARIOS</t>
  </si>
  <si>
    <t>286259-5</t>
  </si>
  <si>
    <t>TAPA DE ENCASTRE / HR4500C</t>
  </si>
  <si>
    <t>286263-4</t>
  </si>
  <si>
    <t>GUARDAPOLVO 35 / VARIOS</t>
  </si>
  <si>
    <t>286265-0</t>
  </si>
  <si>
    <t>TAPON 31 / HR2410</t>
  </si>
  <si>
    <t>286269-2</t>
  </si>
  <si>
    <t>TAPA PORTA HERRAMIENTA / HM0860C</t>
  </si>
  <si>
    <t>286270-7</t>
  </si>
  <si>
    <t>TAPA 11 / M3600</t>
  </si>
  <si>
    <t>286271-5</t>
  </si>
  <si>
    <t>TAPA DE PROFUNDIDAD 15 / M3600</t>
  </si>
  <si>
    <t>286272-3</t>
  </si>
  <si>
    <t>TAPA PORTA HERRAMIENTA / HR5211C</t>
  </si>
  <si>
    <t>286282-0</t>
  </si>
  <si>
    <t>TAPA DE PORTA HERRAMIENTA / HR3210C</t>
  </si>
  <si>
    <t>286285-4</t>
  </si>
  <si>
    <t>GUARDA POLVO / HM1111C - HR5211C</t>
  </si>
  <si>
    <t>286287-0</t>
  </si>
  <si>
    <t>286288-8</t>
  </si>
  <si>
    <t>GUARDA POLVO 35 / VARIOS</t>
  </si>
  <si>
    <t>286292-7</t>
  </si>
  <si>
    <t>TAPA PORTA HERRAMIENTA / VARIOS</t>
  </si>
  <si>
    <t>290077-000</t>
  </si>
  <si>
    <t>290078-000</t>
  </si>
  <si>
    <t>PERNO TENSADOR / SJ401</t>
  </si>
  <si>
    <t>290079-000</t>
  </si>
  <si>
    <t>RODILLO DE SOPORTE/JS401</t>
  </si>
  <si>
    <t>290081-000</t>
  </si>
  <si>
    <t>TUBO DE AIRE/JS401</t>
  </si>
  <si>
    <t>ANILLOS  / EG512</t>
  </si>
  <si>
    <t>299819S</t>
  </si>
  <si>
    <t>RETENEDOR DE ACEITE</t>
  </si>
  <si>
    <t>30046A</t>
  </si>
  <si>
    <t>TANQUE DE ACEITE / HB500</t>
  </si>
  <si>
    <t>303000-001</t>
  </si>
  <si>
    <t>TAPA DE CARBON / SJ401</t>
  </si>
  <si>
    <t>303071-001</t>
  </si>
  <si>
    <t>MANDO DE AJUSTE / SJ401</t>
  </si>
  <si>
    <t>303201-000</t>
  </si>
  <si>
    <t>SOPORTE DE RODAJE / SJ401</t>
  </si>
  <si>
    <t>303202-000</t>
  </si>
  <si>
    <t>PORTA CUCHILLAS / SJ401</t>
  </si>
  <si>
    <t>303203-000</t>
  </si>
  <si>
    <t>CUBIERTA DE TABLERO</t>
  </si>
  <si>
    <t>303204-000</t>
  </si>
  <si>
    <t>TAPA DE MOTOR TRASERA/SJ401</t>
  </si>
  <si>
    <t>303204-003</t>
  </si>
  <si>
    <t>CAJA MOTOR / SJ401</t>
  </si>
  <si>
    <t>303205-000</t>
  </si>
  <si>
    <t>CARBON / SJ401</t>
  </si>
  <si>
    <t>303207-000</t>
  </si>
  <si>
    <t>PERILLA / SJ401</t>
  </si>
  <si>
    <t>303259-001</t>
  </si>
  <si>
    <t>CUBIERTA DE INTERRUPTOR / SJ401</t>
  </si>
  <si>
    <t>310052-6</t>
  </si>
  <si>
    <t>PASADOR CON RESALTO 8 / HR4000C - HR4500C</t>
  </si>
  <si>
    <t>310086-9</t>
  </si>
  <si>
    <t>310108-5</t>
  </si>
  <si>
    <t>TRABAS / VARIOS</t>
  </si>
  <si>
    <t>310134-4</t>
  </si>
  <si>
    <t>DESLIZADOR / 4350FCT</t>
  </si>
  <si>
    <t>310135-2</t>
  </si>
  <si>
    <t>CHAVETA / 4350FCT</t>
  </si>
  <si>
    <t>310136-0</t>
  </si>
  <si>
    <t>310145-9</t>
  </si>
  <si>
    <t>ANILLO DE BLOQUEO / VARIOS</t>
  </si>
  <si>
    <t>310154-8</t>
  </si>
  <si>
    <t>CAJA DE RODAJE / TW1000</t>
  </si>
  <si>
    <t>310161-1</t>
  </si>
  <si>
    <t>TRABADOR / VARIOS</t>
  </si>
  <si>
    <t>310178-4</t>
  </si>
  <si>
    <t>TRABADOR  / VARIOS</t>
  </si>
  <si>
    <t>310179-2</t>
  </si>
  <si>
    <t>PORTA CLAVOS / VARIOS</t>
  </si>
  <si>
    <t>310185-7</t>
  </si>
  <si>
    <t>EJE / DTW450</t>
  </si>
  <si>
    <t>310207-3</t>
  </si>
  <si>
    <t>PALANCA DE ENLACE / HR5211C</t>
  </si>
  <si>
    <t>310257-8</t>
  </si>
  <si>
    <t>TRABA / HR4013C - HR005G</t>
  </si>
  <si>
    <t>310279-8</t>
  </si>
  <si>
    <t>310285-3</t>
  </si>
  <si>
    <t>TUBO TRANSMISION / VARIOS</t>
  </si>
  <si>
    <t>310300-3</t>
  </si>
  <si>
    <t>GUIA DE RESORTE / VARIOS</t>
  </si>
  <si>
    <t>310301-1</t>
  </si>
  <si>
    <t>EQUILIBRADOR / BO3710</t>
  </si>
  <si>
    <t>310344-3</t>
  </si>
  <si>
    <t>310345-1</t>
  </si>
  <si>
    <t>CILINDRO PISTON / VARIOS</t>
  </si>
  <si>
    <t>310484-7</t>
  </si>
  <si>
    <t>310485-5</t>
  </si>
  <si>
    <t>PERNO BLOQUEO / VARIOS</t>
  </si>
  <si>
    <t>310514-4</t>
  </si>
  <si>
    <t>BRIDA PRINCIPAL / VARIOS</t>
  </si>
  <si>
    <t>310584-3</t>
  </si>
  <si>
    <t>TAPON / DBN500</t>
  </si>
  <si>
    <t>310585-1</t>
  </si>
  <si>
    <t>CUÑA DE AJUSTE / DBN500</t>
  </si>
  <si>
    <t>310586-9</t>
  </si>
  <si>
    <t>GUIA DE CLAVADO / DBN500</t>
  </si>
  <si>
    <t>310587-7</t>
  </si>
  <si>
    <t>DESLIZADOR / DBN500</t>
  </si>
  <si>
    <t>310588-5</t>
  </si>
  <si>
    <t>PLACA DE FIJACION / DBN500</t>
  </si>
  <si>
    <t>310616-6</t>
  </si>
  <si>
    <t>310618-2</t>
  </si>
  <si>
    <t>CIGUEÑAL / HM1812 - HM1802</t>
  </si>
  <si>
    <t>310619-0</t>
  </si>
  <si>
    <t>CONTRAEJE / HM1812</t>
  </si>
  <si>
    <t>310663-7</t>
  </si>
  <si>
    <t>RODILLO / DJR186 - DJR360</t>
  </si>
  <si>
    <t>310678-4</t>
  </si>
  <si>
    <t>EMBRAGUE / M8701</t>
  </si>
  <si>
    <t>310683-1</t>
  </si>
  <si>
    <t>MANGUITO DE UNION / VARIOS</t>
  </si>
  <si>
    <t>310715-4</t>
  </si>
  <si>
    <t>CONTROL DE VALVULA L / PM7650H</t>
  </si>
  <si>
    <t>310737-4</t>
  </si>
  <si>
    <t>PESO</t>
  </si>
  <si>
    <t>310739-0</t>
  </si>
  <si>
    <t>CONTROL DE VALVULA / EB5300TH</t>
  </si>
  <si>
    <t>310774-8</t>
  </si>
  <si>
    <t>SUJETADOR / RBC411U</t>
  </si>
  <si>
    <t>310777-2</t>
  </si>
  <si>
    <t>TAPA DE CONTACTO SUPERIOR / DPT353</t>
  </si>
  <si>
    <t>310778-0</t>
  </si>
  <si>
    <t>BRAZO / DPT353</t>
  </si>
  <si>
    <t>310780-3</t>
  </si>
  <si>
    <t>RIEL DENTADO A / DPT353 - DPT353</t>
  </si>
  <si>
    <t>310781-1</t>
  </si>
  <si>
    <t>RIEL DENTADO B / DPT353 - DPT353</t>
  </si>
  <si>
    <t>310800-3</t>
  </si>
  <si>
    <t>BRIDA FIJA / VARIOS</t>
  </si>
  <si>
    <t>310803-7</t>
  </si>
  <si>
    <t>TOPE GIRATORIO / VARIOS</t>
  </si>
  <si>
    <t>310804-5</t>
  </si>
  <si>
    <t>GUIA DE CLAVADO / DBN600</t>
  </si>
  <si>
    <t>310805-3</t>
  </si>
  <si>
    <t>PRENDEDOR DE LA TAPA / DBN600</t>
  </si>
  <si>
    <t>310806-1</t>
  </si>
  <si>
    <t>PLACA / DBN600</t>
  </si>
  <si>
    <t>310810-0</t>
  </si>
  <si>
    <t>GUIA DE CORTE / DJV184</t>
  </si>
  <si>
    <t>310811-8</t>
  </si>
  <si>
    <t>ABRAZADERA DE CUCHILLA / VARIOS</t>
  </si>
  <si>
    <t>310812-6</t>
  </si>
  <si>
    <t>PLACA DE EQUILIBRIO / DJV184</t>
  </si>
  <si>
    <t>310814-2</t>
  </si>
  <si>
    <t>CORTADOR A / DTR180</t>
  </si>
  <si>
    <t>310815-0</t>
  </si>
  <si>
    <t>CORTADOR B  / DTR180</t>
  </si>
  <si>
    <t>310831-2</t>
  </si>
  <si>
    <t>ANILLO DE BLOQUEO / DA333D</t>
  </si>
  <si>
    <t>310832-0</t>
  </si>
  <si>
    <t>SUJETADOR DE MANDRIL / DA333D</t>
  </si>
  <si>
    <t>310840-1</t>
  </si>
  <si>
    <t>BIELA / DBN600</t>
  </si>
  <si>
    <t>310848-5</t>
  </si>
  <si>
    <t>MANGUITO DE TRANSMISION / DJR188</t>
  </si>
  <si>
    <t>310866-3</t>
  </si>
  <si>
    <t>RETENEDOR DE RODAJE / DTR180</t>
  </si>
  <si>
    <t>310869-7</t>
  </si>
  <si>
    <t>CONTRA PESO / VARIOS</t>
  </si>
  <si>
    <t>310876-0</t>
  </si>
  <si>
    <t>ANILLO DE CAMBIO / DDA460</t>
  </si>
  <si>
    <t>310879-4</t>
  </si>
  <si>
    <t>GUIA PROTECTOR DE MANO / DUC254</t>
  </si>
  <si>
    <t>310907-5</t>
  </si>
  <si>
    <t>EJE DE RODILLO 6.4 / DVR250</t>
  </si>
  <si>
    <t>310908-3</t>
  </si>
  <si>
    <t>PLACA GUIA L / DVR150</t>
  </si>
  <si>
    <t>310909-1</t>
  </si>
  <si>
    <t>PLACA GUIA R / DVR150</t>
  </si>
  <si>
    <t>310912-2</t>
  </si>
  <si>
    <t>PASADOR / DJR183</t>
  </si>
  <si>
    <t>310913-0</t>
  </si>
  <si>
    <t>310924-5</t>
  </si>
  <si>
    <t>RIEL DENTADO A / DFN350 - DPT353</t>
  </si>
  <si>
    <t>310925-3</t>
  </si>
  <si>
    <t>RIEL DENTADO B / DFN350</t>
  </si>
  <si>
    <t>310935-0</t>
  </si>
  <si>
    <t>EJE DE RODILLO 4.8 / DVR150</t>
  </si>
  <si>
    <t>310943-1</t>
  </si>
  <si>
    <t>PLACA CENTRAL / DFN350</t>
  </si>
  <si>
    <t>310945-7</t>
  </si>
  <si>
    <t>BLOQUEO DE SEGURO / DFN350</t>
  </si>
  <si>
    <t>310953-8</t>
  </si>
  <si>
    <t>CAJA DE ENGRANAJE INTERNO / DWR180</t>
  </si>
  <si>
    <t>310960-1</t>
  </si>
  <si>
    <t>DESLIZADOR / DGP180</t>
  </si>
  <si>
    <t>310961-9</t>
  </si>
  <si>
    <t>GUIA DE DESLIZADOR / DGP180</t>
  </si>
  <si>
    <t>310983-9</t>
  </si>
  <si>
    <t>TUBO 5 /VARIOS</t>
  </si>
  <si>
    <t>311717-3</t>
  </si>
  <si>
    <t>PROTECTOR PORTA CUCHILLA / SJ1600</t>
  </si>
  <si>
    <t>311949-2</t>
  </si>
  <si>
    <t>GUIA TORNILLO / VARIOS</t>
  </si>
  <si>
    <t>312886-3</t>
  </si>
  <si>
    <t>PROTECTOR DE VIRUTA / 1805N</t>
  </si>
  <si>
    <t>312956-8</t>
  </si>
  <si>
    <t>312A28-5</t>
  </si>
  <si>
    <t>BASE DE MANGO LATERAL A / HM1501</t>
  </si>
  <si>
    <t>312A29-3</t>
  </si>
  <si>
    <t>BASE DE MANGO LATERAL B / HM1501</t>
  </si>
  <si>
    <t>312A51-0</t>
  </si>
  <si>
    <t>BARRIL / HM001G</t>
  </si>
  <si>
    <t>312A68-3</t>
  </si>
  <si>
    <t>PISTON / VARIOS</t>
  </si>
  <si>
    <t>312A70-6</t>
  </si>
  <si>
    <t>TAPA DE CIGUEÑAL / HR006G</t>
  </si>
  <si>
    <t>312A89-5</t>
  </si>
  <si>
    <t>GUARDA DISCO MOVIL /RS001G</t>
  </si>
  <si>
    <t>312A97-6</t>
  </si>
  <si>
    <t>CAJA DE RODAMIENTO / GA7070 - GA9070</t>
  </si>
  <si>
    <t>312A98-4</t>
  </si>
  <si>
    <t>CUBIERTA SUPERIOR DE FRENO / GA7070 - GA9070</t>
  </si>
  <si>
    <t>312B21-5</t>
  </si>
  <si>
    <t>BASE HERRAMIENTA /RS001G</t>
  </si>
  <si>
    <t>312B30-4</t>
  </si>
  <si>
    <t>SOPORTE DE MOTOR/LS003G</t>
  </si>
  <si>
    <t>312B35-4</t>
  </si>
  <si>
    <t>BASE A/LS003G-04G</t>
  </si>
  <si>
    <t>312B37-0</t>
  </si>
  <si>
    <t>REGLA/LS003G-04G</t>
  </si>
  <si>
    <t>312B60-5</t>
  </si>
  <si>
    <t>SOPORTE DE MOTOR/LS004G</t>
  </si>
  <si>
    <t>312B61-3</t>
  </si>
  <si>
    <t>TAPA DE GUARDA FIJA /RS001G</t>
  </si>
  <si>
    <t>312B64-7</t>
  </si>
  <si>
    <t>BASE HERRAMIENTA /SP001G</t>
  </si>
  <si>
    <t>312B65-5</t>
  </si>
  <si>
    <t>ABRAZADERA SUPERIOR 24 / UR002G-06G</t>
  </si>
  <si>
    <t>312B66-3</t>
  </si>
  <si>
    <t>ABRAZADERA INFERIOR 24 / UR002G-06G</t>
  </si>
  <si>
    <t>312B68-9</t>
  </si>
  <si>
    <t>ABRAZADERAINFERIOR 22 / UR006G</t>
  </si>
  <si>
    <t>312C12-2</t>
  </si>
  <si>
    <t>TAPA CAJA DISCO CORTE / HS009G - HS010G</t>
  </si>
  <si>
    <t>312C14-8</t>
  </si>
  <si>
    <t>CUBIERTA SEGURIDAD / HS009G - HS010G</t>
  </si>
  <si>
    <t>312C15-6</t>
  </si>
  <si>
    <t>312C17-2</t>
  </si>
  <si>
    <t>PALANCA ANGULAR / HS009G</t>
  </si>
  <si>
    <t>312C90-2</t>
  </si>
  <si>
    <t>BASE</t>
  </si>
  <si>
    <t>312D49-5</t>
  </si>
  <si>
    <t>TUBO 24 / DUX60</t>
  </si>
  <si>
    <t>312D76-2</t>
  </si>
  <si>
    <t>BASE DE HERRAMIENTA/HS012G</t>
  </si>
  <si>
    <t>312D77-0</t>
  </si>
  <si>
    <t>312D78-8</t>
  </si>
  <si>
    <t>PLACA ANGULAR/HS012G</t>
  </si>
  <si>
    <t>313075-3</t>
  </si>
  <si>
    <t>313082-6</t>
  </si>
  <si>
    <t>GUIA DESLIZADOR / VARIOS</t>
  </si>
  <si>
    <t>313083-4</t>
  </si>
  <si>
    <t>313086-8</t>
  </si>
  <si>
    <t>SOPORTE DESLIZANTE / VARIOS</t>
  </si>
  <si>
    <t>313108-4</t>
  </si>
  <si>
    <t>PLACA DE EQUILIBRIO / VARIOS</t>
  </si>
  <si>
    <t>313114-9</t>
  </si>
  <si>
    <t>TUERCA DE PRENSA / VARIOS</t>
  </si>
  <si>
    <t>313121-2</t>
  </si>
  <si>
    <t>CONTRA PESO/ VARIOS</t>
  </si>
  <si>
    <t>313124-6</t>
  </si>
  <si>
    <t>BOCINA DE MANGO / HR5211C</t>
  </si>
  <si>
    <t>313127-0</t>
  </si>
  <si>
    <t>BASE DE GANCHO /BJR181</t>
  </si>
  <si>
    <t>313136-9</t>
  </si>
  <si>
    <t>ANILLO DE BLOQUEO / TD022D</t>
  </si>
  <si>
    <t>313138-5</t>
  </si>
  <si>
    <t>MANGO CONDUCTOR / HR5201C - HR5211C</t>
  </si>
  <si>
    <t>313140-8</t>
  </si>
  <si>
    <t>SEGURO DE CUCHILLA / VARIOS</t>
  </si>
  <si>
    <t>313141-6</t>
  </si>
  <si>
    <t>BALANCEADOR / VARIOS</t>
  </si>
  <si>
    <t>313149-0</t>
  </si>
  <si>
    <t>BRIDA DE TRANSMISION / VARIOS</t>
  </si>
  <si>
    <t>313161-0</t>
  </si>
  <si>
    <t>PLACA DE EQUILIBRIO / M4302</t>
  </si>
  <si>
    <t>313165-2</t>
  </si>
  <si>
    <t>LEVA / LS1016</t>
  </si>
  <si>
    <t>313169-4</t>
  </si>
  <si>
    <t>CONTROL DE VALVULA / EBH340U</t>
  </si>
  <si>
    <t>313193-7</t>
  </si>
  <si>
    <t>ANILLO DE CAMBIO / HM1111C</t>
  </si>
  <si>
    <t>313194-5</t>
  </si>
  <si>
    <t>ANILLO DE GOMA 39 / HM1101C.</t>
  </si>
  <si>
    <t>313207-2</t>
  </si>
  <si>
    <t>ZAPATA DE EMBRAGUE / EK7651H</t>
  </si>
  <si>
    <t>313208-0</t>
  </si>
  <si>
    <t>SOPORTE DE EMBRAGUE / EK7650H</t>
  </si>
  <si>
    <t>313209-8</t>
  </si>
  <si>
    <t>ELEVADOR IZQUIERDO / EK7650H</t>
  </si>
  <si>
    <t>313210-3</t>
  </si>
  <si>
    <t>CONTROL DE VALVULA / EK7651H</t>
  </si>
  <si>
    <t>313212-9</t>
  </si>
  <si>
    <t>GUIA DE FRENO DE MANO / DUC406 - EA3203S</t>
  </si>
  <si>
    <t>313215-3</t>
  </si>
  <si>
    <t>SOPORTE DESLIZADOR / JV0600</t>
  </si>
  <si>
    <t>313216-1</t>
  </si>
  <si>
    <t>PLACA DE EQUILIBRIO / JV0600</t>
  </si>
  <si>
    <t>313226-8</t>
  </si>
  <si>
    <t>313228-4</t>
  </si>
  <si>
    <t>UNION / VARIOS</t>
  </si>
  <si>
    <t>313236-5</t>
  </si>
  <si>
    <t>ELEVADOR / EM4350UH - EM4351UH</t>
  </si>
  <si>
    <t>313238-1</t>
  </si>
  <si>
    <t>ZAPATA DE EMBRAGUE / EM4350UH - EM4351UH</t>
  </si>
  <si>
    <t>313239-9</t>
  </si>
  <si>
    <t>EMBRAGUE BASE / EM4350UH -  EM4351UH</t>
  </si>
  <si>
    <t>313245-4</t>
  </si>
  <si>
    <t>313255-1</t>
  </si>
  <si>
    <t>ENGRANAJE DE CAMBIO / VARIOS</t>
  </si>
  <si>
    <t>313260-8</t>
  </si>
  <si>
    <t>313267-4</t>
  </si>
  <si>
    <t>CONTROL DE VALVULA R / PM7650H</t>
  </si>
  <si>
    <t>313268-2</t>
  </si>
  <si>
    <t>BLOQUEO GIRATORIO / DTM51</t>
  </si>
  <si>
    <t>313270-5</t>
  </si>
  <si>
    <t>FUNDA PARA HOMBRO / DJR183</t>
  </si>
  <si>
    <t>313271-3</t>
  </si>
  <si>
    <t>DESLIZADOR / DJR183</t>
  </si>
  <si>
    <t>313272-1</t>
  </si>
  <si>
    <t>MANGO DE TRANSMISION / VARIOS</t>
  </si>
  <si>
    <t>313276-3</t>
  </si>
  <si>
    <t>LEVA DE BORDE / DBN500</t>
  </si>
  <si>
    <t>313288-6</t>
  </si>
  <si>
    <t>GUIA DE RESORTE / HP001G</t>
  </si>
  <si>
    <t>313290-9</t>
  </si>
  <si>
    <t>CUBIERTA TRASERA SOPORTE DE EJE / DLM465</t>
  </si>
  <si>
    <t>313297-5</t>
  </si>
  <si>
    <t>313298-3</t>
  </si>
  <si>
    <t>313321-4</t>
  </si>
  <si>
    <t>ANILLO GUIA / HM1501</t>
  </si>
  <si>
    <t>313323-0</t>
  </si>
  <si>
    <t>PORTA HERRAMIENTA B/VARIOS</t>
  </si>
  <si>
    <t>313324-8</t>
  </si>
  <si>
    <t>DEPOSITO / HM1501</t>
  </si>
  <si>
    <t>313325-6</t>
  </si>
  <si>
    <t>CUBIERTA DE METAL / HR005G</t>
  </si>
  <si>
    <t>313360-4</t>
  </si>
  <si>
    <t>VENTILADOR 45 / GA7070 - GA9070</t>
  </si>
  <si>
    <t>313365-4</t>
  </si>
  <si>
    <t>PESO / DTM52</t>
  </si>
  <si>
    <t>313395-5</t>
  </si>
  <si>
    <t>BALANCEADOR / DBO380</t>
  </si>
  <si>
    <t>313420-2</t>
  </si>
  <si>
    <t>CABEZAL DE BOMBA / DHW080</t>
  </si>
  <si>
    <t>313448-0</t>
  </si>
  <si>
    <t>MANGUITO DE CONDUCCION / DJR189</t>
  </si>
  <si>
    <t>313450-3</t>
  </si>
  <si>
    <t>GUIA DESLIZADOR / DJR189</t>
  </si>
  <si>
    <t>ANILLO 47MM / EA6100P</t>
  </si>
  <si>
    <t>PISTON 47MM  CPL / EA6100P</t>
  </si>
  <si>
    <t>EMPAQUE DE DIAFRAGMA/EA6100P</t>
  </si>
  <si>
    <t>TAMBOR DE CORDON/EA6100P</t>
  </si>
  <si>
    <t>315419-3</t>
  </si>
  <si>
    <t>315769-6</t>
  </si>
  <si>
    <t>CAJA DE RODAJE/4107R</t>
  </si>
  <si>
    <t>315931-3</t>
  </si>
  <si>
    <t>316473-0</t>
  </si>
  <si>
    <t>CAJA DE RODAMIENTO / LS1221</t>
  </si>
  <si>
    <t>316487-9</t>
  </si>
  <si>
    <t>CUBIERTA DE MANGO / 6016</t>
  </si>
  <si>
    <t>316499-2</t>
  </si>
  <si>
    <t>CAJA DE RODAMIENTO / 3612</t>
  </si>
  <si>
    <t>316527-3</t>
  </si>
  <si>
    <t>CAJA RODAMIENTO / VARIOS</t>
  </si>
  <si>
    <t>316579-4</t>
  </si>
  <si>
    <t>CAJA DE RODAMIENTO / 4131</t>
  </si>
  <si>
    <t>316587-5</t>
  </si>
  <si>
    <t>BASE DELANTERA /VARIOS</t>
  </si>
  <si>
    <t>316619-8</t>
  </si>
  <si>
    <t>EQUILIBRADOR / 9046</t>
  </si>
  <si>
    <t>316620-3</t>
  </si>
  <si>
    <t>BASE / 9046</t>
  </si>
  <si>
    <t>316626-1</t>
  </si>
  <si>
    <t>CAJA ENGRANAJE L / VARIOS</t>
  </si>
  <si>
    <t>316700-5</t>
  </si>
  <si>
    <t>CAJA DE RODAJE/VARIOS</t>
  </si>
  <si>
    <t>316792-4</t>
  </si>
  <si>
    <t>CAJA DE ENGRANAJE /HM1800</t>
  </si>
  <si>
    <t>316795-8</t>
  </si>
  <si>
    <t>BRIDA / VARIOS</t>
  </si>
  <si>
    <t>316796-6</t>
  </si>
  <si>
    <t>SOPORTE PORTA CARBON /VARIOS</t>
  </si>
  <si>
    <t>316799-0</t>
  </si>
  <si>
    <t>316821-3</t>
  </si>
  <si>
    <t>316824-7</t>
  </si>
  <si>
    <t>BASE GIRATORIA / LS1040 - LS1040F</t>
  </si>
  <si>
    <t>316834-4</t>
  </si>
  <si>
    <t>TAPA DE CAJA DE RODAJE /VARIOS</t>
  </si>
  <si>
    <t>316835-2</t>
  </si>
  <si>
    <t>CAJA DE RODAJE /VARIOS</t>
  </si>
  <si>
    <t>316896-2</t>
  </si>
  <si>
    <t>CAJA DE RODAMIENTO / 9237CB - 9227CB</t>
  </si>
  <si>
    <t>316940-5</t>
  </si>
  <si>
    <t>PROTECTOR DE GUARDA MOVIL A / LS1221</t>
  </si>
  <si>
    <t>316943-9</t>
  </si>
  <si>
    <t>BASE GIRATORIA / LS1221</t>
  </si>
  <si>
    <t>316971-4</t>
  </si>
  <si>
    <t>RODILLO / 9911</t>
  </si>
  <si>
    <t>317018-7</t>
  </si>
  <si>
    <t>CUBIERTA DE VENTILADOR / 9403</t>
  </si>
  <si>
    <t>317020-0</t>
  </si>
  <si>
    <t>TAPA DE ENGRANAJE / VARIOS</t>
  </si>
  <si>
    <t>317021-8</t>
  </si>
  <si>
    <t>SOPORTE DE VENTILADOR / 9403</t>
  </si>
  <si>
    <t>317152-3</t>
  </si>
  <si>
    <t>317260-0</t>
  </si>
  <si>
    <t>SOPORTE / 2012NB</t>
  </si>
  <si>
    <t>317301-2</t>
  </si>
  <si>
    <t>EMPUÑADURA CPL/VARIOS</t>
  </si>
  <si>
    <t>317302-0</t>
  </si>
  <si>
    <t>CUBIERTA DE EMPUÑADURA CPL/9105</t>
  </si>
  <si>
    <t>317359-1</t>
  </si>
  <si>
    <t>317367-2</t>
  </si>
  <si>
    <t>CAJA DE RODAMIENTO / GD0800C - GD0801C</t>
  </si>
  <si>
    <t>317368-0</t>
  </si>
  <si>
    <t>BARRIL / GD0800C - GD0801C</t>
  </si>
  <si>
    <t>317416-5</t>
  </si>
  <si>
    <t>CAJA DE VENTILADOR  / BO6030</t>
  </si>
  <si>
    <t>317436-9</t>
  </si>
  <si>
    <t>GUARDA DISCO MOVIL/5007F</t>
  </si>
  <si>
    <t>317444-0</t>
  </si>
  <si>
    <t>CILINDRO / HM1304B</t>
  </si>
  <si>
    <t>317447-4</t>
  </si>
  <si>
    <t>PISTON / HM1304B</t>
  </si>
  <si>
    <t>317448-2</t>
  </si>
  <si>
    <t>BIELA / HM1304B</t>
  </si>
  <si>
    <t>317517-9</t>
  </si>
  <si>
    <t>CILINDRO PISTON / HR2230</t>
  </si>
  <si>
    <t>317522-6</t>
  </si>
  <si>
    <t>RODILLO / 9032</t>
  </si>
  <si>
    <t>317534-9</t>
  </si>
  <si>
    <t>CAJA DE  RODAMIENTO L /VARIOS</t>
  </si>
  <si>
    <t>317550-1</t>
  </si>
  <si>
    <t>CAJA DE RODAMIENTO / 4100NH3</t>
  </si>
  <si>
    <t>317553-5</t>
  </si>
  <si>
    <t>CAJA DE PERCUTOR /VARIOS</t>
  </si>
  <si>
    <t>317565-8</t>
  </si>
  <si>
    <t>BASE / 4350FCT</t>
  </si>
  <si>
    <t>317623-0</t>
  </si>
  <si>
    <t>CAJA CIGUEÑAL / HM1304B</t>
  </si>
  <si>
    <t>317635-3</t>
  </si>
  <si>
    <t>CAJA DE ENGRANAJE / DA3010F</t>
  </si>
  <si>
    <t>317662-0</t>
  </si>
  <si>
    <t>317719-7</t>
  </si>
  <si>
    <t>GUIA DE CILINDRO / HM0870C</t>
  </si>
  <si>
    <t>317723-6</t>
  </si>
  <si>
    <t>BASE / SG1251</t>
  </si>
  <si>
    <t>317747-2</t>
  </si>
  <si>
    <t>317748-0</t>
  </si>
  <si>
    <t>TOPE DE PROFUNDIDAD / M3600</t>
  </si>
  <si>
    <t>317753-7</t>
  </si>
  <si>
    <t>TAPA CAJA DE  ENGRANAJE / VARIOS</t>
  </si>
  <si>
    <t>317754-5</t>
  </si>
  <si>
    <t>CAJA RODAJE / VARIOS</t>
  </si>
  <si>
    <t>317760-0</t>
  </si>
  <si>
    <t>EMPAQUE / 2012NB</t>
  </si>
  <si>
    <t>317762-6</t>
  </si>
  <si>
    <t>ESTRUCTURA PRINCIPAL / VARIOS</t>
  </si>
  <si>
    <t>317775-7</t>
  </si>
  <si>
    <t>GUARDA / 4131</t>
  </si>
  <si>
    <t>317778-1</t>
  </si>
  <si>
    <t>PROTECTOR DE CUCHILLA / 4131</t>
  </si>
  <si>
    <t>317796-9</t>
  </si>
  <si>
    <t>317811-9</t>
  </si>
  <si>
    <t>PISTON /VARIOS</t>
  </si>
  <si>
    <t>317819-3</t>
  </si>
  <si>
    <t>CAJA DE RODAMIENTO / 9557HP - DGA452</t>
  </si>
  <si>
    <t>317821-6</t>
  </si>
  <si>
    <t>CUBIERTA DE ALOJAMIENTO / VARIOS</t>
  </si>
  <si>
    <t>317841-0</t>
  </si>
  <si>
    <t>GUIA DE RODAJE / TW1000</t>
  </si>
  <si>
    <t>317842-8</t>
  </si>
  <si>
    <t>CAJA DE ENGRANAJE / JR3070CT</t>
  </si>
  <si>
    <t>317852-5</t>
  </si>
  <si>
    <t>BASE DELANTERA / M1100</t>
  </si>
  <si>
    <t>317853-3</t>
  </si>
  <si>
    <t>CAJA DE RODAMIENTO / M1100</t>
  </si>
  <si>
    <t>317854-1</t>
  </si>
  <si>
    <t>SOPORTE / M1100</t>
  </si>
  <si>
    <t>317867-2</t>
  </si>
  <si>
    <t>RIEL TRASERO P/2704</t>
  </si>
  <si>
    <t>317876-1</t>
  </si>
  <si>
    <t>MESA / 2704</t>
  </si>
  <si>
    <t>317877-9</t>
  </si>
  <si>
    <t>MESA LATERAL / 2704</t>
  </si>
  <si>
    <t>317887-6</t>
  </si>
  <si>
    <t>BRAZO INFERIOR / LF1000</t>
  </si>
  <si>
    <t>317888-4</t>
  </si>
  <si>
    <t>CAJA DE RODAMIENTO / LF1000</t>
  </si>
  <si>
    <t>317899-9</t>
  </si>
  <si>
    <t>CAJA DE RODAMIENTO / HM1810</t>
  </si>
  <si>
    <t>317901-8</t>
  </si>
  <si>
    <t>CAJA TRASERA / HM1810</t>
  </si>
  <si>
    <t>317925-4</t>
  </si>
  <si>
    <t>PROTECTOR DE TAPA /VARIOS</t>
  </si>
  <si>
    <t>317956-3</t>
  </si>
  <si>
    <t>CAJA DE  RODAMIENTO L / VARIOS</t>
  </si>
  <si>
    <t>317977-5</t>
  </si>
  <si>
    <t>SUJETADOR / UC4020C</t>
  </si>
  <si>
    <t>317980-6</t>
  </si>
  <si>
    <t>GUIA TOPE / LS1220-LS1221</t>
  </si>
  <si>
    <t>317988-0</t>
  </si>
  <si>
    <t>317999-5</t>
  </si>
  <si>
    <t>318000-9</t>
  </si>
  <si>
    <t>318027-9</t>
  </si>
  <si>
    <t>CAJA DE TRANSMISION / HM1810</t>
  </si>
  <si>
    <t>318028-7</t>
  </si>
  <si>
    <t>CAJA DE CIGUEÑAL / HM1810</t>
  </si>
  <si>
    <t>318051-2</t>
  </si>
  <si>
    <t>CAJA DE ENGRANAJE / DGA452</t>
  </si>
  <si>
    <t>318052-0</t>
  </si>
  <si>
    <t>CILINDRO / HM0860C</t>
  </si>
  <si>
    <t>318056-2</t>
  </si>
  <si>
    <t>CAJA DE RODAMIENTO / 5007NK</t>
  </si>
  <si>
    <t>318088-9</t>
  </si>
  <si>
    <t>318089-7</t>
  </si>
  <si>
    <t>CAJA DE RODAMIENTO / N5900B</t>
  </si>
  <si>
    <t>318091-0</t>
  </si>
  <si>
    <t>GUARDA MOVIL / N5900B</t>
  </si>
  <si>
    <t>318098-6</t>
  </si>
  <si>
    <t>BASE / KP0810C</t>
  </si>
  <si>
    <t>318124-1</t>
  </si>
  <si>
    <t>CARCASA DE AVT / HR5211C</t>
  </si>
  <si>
    <t>318129-1</t>
  </si>
  <si>
    <t>TAPA DE METAL / HR5211C</t>
  </si>
  <si>
    <t>318130-6</t>
  </si>
  <si>
    <t>PROTECTOR DE TAPA /HR5202C</t>
  </si>
  <si>
    <t>318132-2</t>
  </si>
  <si>
    <t>318151-8</t>
  </si>
  <si>
    <t>SOPORTE / VARIOS</t>
  </si>
  <si>
    <t>318158-4</t>
  </si>
  <si>
    <t>318175-4</t>
  </si>
  <si>
    <t>PROTECTOR MOVIL /5008MG</t>
  </si>
  <si>
    <t>318201-9</t>
  </si>
  <si>
    <t>TAPA DE CIGUEÑAL / HR3210C</t>
  </si>
  <si>
    <t>318250-6</t>
  </si>
  <si>
    <t>SUJETADOR DE TUBO / EN5950SH</t>
  </si>
  <si>
    <t>318272-6</t>
  </si>
  <si>
    <t>SOPORTE DE MANGO 1 / DUR365U -DUR182U</t>
  </si>
  <si>
    <t>318273-4</t>
  </si>
  <si>
    <t>SUJETADOR DE MANGO / VARIOS</t>
  </si>
  <si>
    <t>318274-2</t>
  </si>
  <si>
    <t>SOPORTE DE MANGO 3 / DUR365U - DUR182U</t>
  </si>
  <si>
    <t>318299-6</t>
  </si>
  <si>
    <t>CAJA DE RODAMIENTO / GA5020C</t>
  </si>
  <si>
    <t>318302-3</t>
  </si>
  <si>
    <t>318303-1</t>
  </si>
  <si>
    <t>TAPA CAJA DE RODAJE / VARIOS</t>
  </si>
  <si>
    <t>318304-9</t>
  </si>
  <si>
    <t>318331-6</t>
  </si>
  <si>
    <t>CAJA DE RODAMIENTO / DGA455</t>
  </si>
  <si>
    <t>318332-4</t>
  </si>
  <si>
    <t>318334-0</t>
  </si>
  <si>
    <t>318335-8</t>
  </si>
  <si>
    <t>CAJA DE ENGRANAJE / GA4530 - GA4530R</t>
  </si>
  <si>
    <t>318336-6</t>
  </si>
  <si>
    <t>CAJA DE RODAMIENTO / 9557HP - GA4530R</t>
  </si>
  <si>
    <t>318354-4</t>
  </si>
  <si>
    <t>DEPOSITO / HM1810</t>
  </si>
  <si>
    <t>318361-7</t>
  </si>
  <si>
    <t>CARCASA AVT / HM1213C</t>
  </si>
  <si>
    <t>318363-3</t>
  </si>
  <si>
    <t>CAJA DE ENGRANAJE / HM1213C</t>
  </si>
  <si>
    <t>318364-1</t>
  </si>
  <si>
    <t>CAJA DE ENGRANAJE / HM1203C</t>
  </si>
  <si>
    <t>318371-4</t>
  </si>
  <si>
    <t>ABRAZADERA / M4302 - MJV431</t>
  </si>
  <si>
    <t>318374-8</t>
  </si>
  <si>
    <t>318382-9</t>
  </si>
  <si>
    <t>TAPA DE RETENEDOR / RP2301FC</t>
  </si>
  <si>
    <t>318410-0</t>
  </si>
  <si>
    <t>SUJETADOR DE PASADOR / LS1016</t>
  </si>
  <si>
    <t>318411-8</t>
  </si>
  <si>
    <t>GUIA DE TOPE / LS1016</t>
  </si>
  <si>
    <t>318421-5</t>
  </si>
  <si>
    <t>CARCASA DE EMBRAGUE/VARIOS</t>
  </si>
  <si>
    <t>318422-3</t>
  </si>
  <si>
    <t>ABRAZADERA PARA TUBO / VARIOS</t>
  </si>
  <si>
    <t>318423-1</t>
  </si>
  <si>
    <t>SUJETADOR DE TUBO/VARIOS</t>
  </si>
  <si>
    <t>318424-9</t>
  </si>
  <si>
    <t>SUJETADOR DE EMPUÑADURA/VARIOS</t>
  </si>
  <si>
    <t>318425-7</t>
  </si>
  <si>
    <t>ABRAZADERA DE MANGO / EM4351UH</t>
  </si>
  <si>
    <t>318426-5</t>
  </si>
  <si>
    <t>ABRAZADERA / UR101</t>
  </si>
  <si>
    <t>318427-3</t>
  </si>
  <si>
    <t>318428-1</t>
  </si>
  <si>
    <t>318429-9</t>
  </si>
  <si>
    <t>ABRAZADERA PARA EMPUÑADURA / VARIOS</t>
  </si>
  <si>
    <t>318441-9</t>
  </si>
  <si>
    <t>PISTON / EN5950SH</t>
  </si>
  <si>
    <t>318443-5</t>
  </si>
  <si>
    <t>TAPA LATERAL / EBH340U</t>
  </si>
  <si>
    <t>318453-2</t>
  </si>
  <si>
    <t>POSICIONADOR DE TUBO / EM3400U</t>
  </si>
  <si>
    <t>318454-0</t>
  </si>
  <si>
    <t>SOPORTE DE TUBO / EM3400U</t>
  </si>
  <si>
    <t>318458-2</t>
  </si>
  <si>
    <t>318459-0</t>
  </si>
  <si>
    <t>PISTON / HM1307C - HM1317CB</t>
  </si>
  <si>
    <t>318462-1</t>
  </si>
  <si>
    <t>TAPA DE ENGRANAJE / HM1307C - HM1307CB</t>
  </si>
  <si>
    <t>318484-1</t>
  </si>
  <si>
    <t>318510-6</t>
  </si>
  <si>
    <t>GUIA DE CILINDRO / HM0871C</t>
  </si>
  <si>
    <t>318511-4</t>
  </si>
  <si>
    <t>CILINDRO / HM0871C</t>
  </si>
  <si>
    <t>318512-2</t>
  </si>
  <si>
    <t>BARRIL / HM0870C</t>
  </si>
  <si>
    <t>318523-7</t>
  </si>
  <si>
    <t>318533-4</t>
  </si>
  <si>
    <t>TAPON /DLS600</t>
  </si>
  <si>
    <t>318534-2</t>
  </si>
  <si>
    <t>CAJA DE  RODAMIENTO L / DLS600</t>
  </si>
  <si>
    <t>318604-7</t>
  </si>
  <si>
    <t>CILINDRO DE GUIA / HM1111C</t>
  </si>
  <si>
    <t>318613-6</t>
  </si>
  <si>
    <t>PISTON / EBH340U</t>
  </si>
  <si>
    <t>318617-8</t>
  </si>
  <si>
    <t>318630-6</t>
  </si>
  <si>
    <t>CILINDRO / RBC411U</t>
  </si>
  <si>
    <t>318631-4</t>
  </si>
  <si>
    <t>PISTON / RBC411U</t>
  </si>
  <si>
    <t>318632-2</t>
  </si>
  <si>
    <t>VOLANTE / RBC411U</t>
  </si>
  <si>
    <t>318633-0</t>
  </si>
  <si>
    <t>CAJA DE CIGUEÑAL INFERIOR / EA3203S</t>
  </si>
  <si>
    <t>318634-8</t>
  </si>
  <si>
    <t>ANILLO DE BRIDA / EA3203S</t>
  </si>
  <si>
    <t>318660-7</t>
  </si>
  <si>
    <t>CAJA DE RODAMIENTO / CC300D - CC301D</t>
  </si>
  <si>
    <t>318669-9</t>
  </si>
  <si>
    <t>SUJETADOR DE  MANGO 2 / EM3400U</t>
  </si>
  <si>
    <t>318670-4</t>
  </si>
  <si>
    <t>SUJETADOR DE MANGO 3 / EM3400U</t>
  </si>
  <si>
    <t>318699-0</t>
  </si>
  <si>
    <t>SOPORTE DE TUBO / EBH340U</t>
  </si>
  <si>
    <t>318704-3</t>
  </si>
  <si>
    <t>VOLANTE / EK7651H</t>
  </si>
  <si>
    <t>318707-7</t>
  </si>
  <si>
    <t>FLOTANTE / EK7651H</t>
  </si>
  <si>
    <t>318708-5</t>
  </si>
  <si>
    <t>CUBIERTA DE CABEZAL</t>
  </si>
  <si>
    <t>318709-3</t>
  </si>
  <si>
    <t>PLATO RETENEDOR  / EK7650H</t>
  </si>
  <si>
    <t>318710-8</t>
  </si>
  <si>
    <t>TANQUE DE ACEITE / EK7651H</t>
  </si>
  <si>
    <t>318711-6</t>
  </si>
  <si>
    <t>BRAZO DE CORTE / EK7651H</t>
  </si>
  <si>
    <t>318712-4</t>
  </si>
  <si>
    <t>GUARDA / EK7650H</t>
  </si>
  <si>
    <t>318713-2</t>
  </si>
  <si>
    <t>CARCASA DE EMBRAGUE / EBH340U</t>
  </si>
  <si>
    <t>318722-1</t>
  </si>
  <si>
    <t>DISPOSITIVO DE CORTE / EK7650H</t>
  </si>
  <si>
    <t>318725-5</t>
  </si>
  <si>
    <t>TAPA DE ENGRANAJE / PM7650H</t>
  </si>
  <si>
    <t>318726-3</t>
  </si>
  <si>
    <t>PISTON / PM7650H</t>
  </si>
  <si>
    <t>318727-1</t>
  </si>
  <si>
    <t>RODILLO 45 / EK7650H</t>
  </si>
  <si>
    <t>318728-9</t>
  </si>
  <si>
    <t>SOPORTE DELANTERO EXTERIOR / EK7650H</t>
  </si>
  <si>
    <t>318729-7</t>
  </si>
  <si>
    <t>CENTRO DE SOPORTE INTERIOR / EK7650H</t>
  </si>
  <si>
    <t>318730-2</t>
  </si>
  <si>
    <t>SUJETADOR EXTERNO TRASERO / EK7651H</t>
  </si>
  <si>
    <t>318745-9</t>
  </si>
  <si>
    <t>CUBIERTA EXTERIOR / EN5950SH</t>
  </si>
  <si>
    <t>318746-7</t>
  </si>
  <si>
    <t>ANILLO DE PRESION / EK7650H</t>
  </si>
  <si>
    <t>318780-7</t>
  </si>
  <si>
    <t>318813-8</t>
  </si>
  <si>
    <t>BASE / PJ7000 - DPJ180</t>
  </si>
  <si>
    <t>318817-0</t>
  </si>
  <si>
    <t>318819-6</t>
  </si>
  <si>
    <t>BASE / DHS710</t>
  </si>
  <si>
    <t>318837-4</t>
  </si>
  <si>
    <t>CAJA DE RODAMIENTO / GA4540C</t>
  </si>
  <si>
    <t>318845-5</t>
  </si>
  <si>
    <t>CUBIERTA DE LA CUCHILLA / PJ7000 - DPJ180</t>
  </si>
  <si>
    <t>318847-1</t>
  </si>
  <si>
    <t>REGLA GUIA /LS1040 - LS1040F</t>
  </si>
  <si>
    <t>318849-7</t>
  </si>
  <si>
    <t>CAJA DE EMBRAGUE / EM4351UH</t>
  </si>
  <si>
    <t>318850-2</t>
  </si>
  <si>
    <t>TAPA DE BALANCINES EXTERIOR / EM4350UH - EM4351UH</t>
  </si>
  <si>
    <t>318851-0</t>
  </si>
  <si>
    <t>PLATO DE RETENCION / EM4350UH - EM4351UH</t>
  </si>
  <si>
    <t>318852-8</t>
  </si>
  <si>
    <t>BASE DE MOTOR / EM4350UH - EM4351UH</t>
  </si>
  <si>
    <t>318853-6</t>
  </si>
  <si>
    <t>PISTON / EM4350UH -  EM4351UH</t>
  </si>
  <si>
    <t>318854-4</t>
  </si>
  <si>
    <t>SELLO DE ACEITE / EM4350UH - EM4351UH</t>
  </si>
  <si>
    <t>318856-0</t>
  </si>
  <si>
    <t>CAJA DE ENGRANAJE / EM4350UH - EM4351UH</t>
  </si>
  <si>
    <t>318858-6</t>
  </si>
  <si>
    <t>318880-3</t>
  </si>
  <si>
    <t>CAJA DE RODAMIENTO / M5801</t>
  </si>
  <si>
    <t>318890-0</t>
  </si>
  <si>
    <t>BASE IZQUIERDA / PM7650H</t>
  </si>
  <si>
    <t>318891-8</t>
  </si>
  <si>
    <t>BASE DERECHO / PM7650H</t>
  </si>
  <si>
    <t>318921-5</t>
  </si>
  <si>
    <t>RECOLECTOR DE POLVO / M9400</t>
  </si>
  <si>
    <t>318941-9</t>
  </si>
  <si>
    <t>CAJA DE ENGRANAJE / 9557HP</t>
  </si>
  <si>
    <t>318958-2</t>
  </si>
  <si>
    <t>JUNTA DE SOPORTE B / DCG180</t>
  </si>
  <si>
    <t>318961-3</t>
  </si>
  <si>
    <t>CAJA DE ENGRANAJE / GS5000 - GS6000</t>
  </si>
  <si>
    <t>318962-1</t>
  </si>
  <si>
    <t>CAJA DE RODAMIENTO / GS5000 - GS6000</t>
  </si>
  <si>
    <t>318972-8</t>
  </si>
  <si>
    <t>CAJA DE RODAMIENTO / EN5950SH</t>
  </si>
  <si>
    <t>318973-6</t>
  </si>
  <si>
    <t>CUBIERTA INFERIOR / EN5950SH</t>
  </si>
  <si>
    <t>318988-3</t>
  </si>
  <si>
    <t>CUBIERTA DE METAL / HR4013C</t>
  </si>
  <si>
    <t>319004-4</t>
  </si>
  <si>
    <t>319008-6</t>
  </si>
  <si>
    <t>CAJA DE ACEITE / PM7650H</t>
  </si>
  <si>
    <t>319009-4</t>
  </si>
  <si>
    <t>BASE / KP0800 - DKP180</t>
  </si>
  <si>
    <t>319010-9</t>
  </si>
  <si>
    <t>BASE DELANTERA / KP0800</t>
  </si>
  <si>
    <t>319044-2</t>
  </si>
  <si>
    <t>CAJA DE RODAMIENTO / 4100NH2</t>
  </si>
  <si>
    <t>319060-4</t>
  </si>
  <si>
    <t>CAJA DE ENGRANAJE / DJR183</t>
  </si>
  <si>
    <t>319061-2</t>
  </si>
  <si>
    <t>CUBIERTA DE CAJA DE ENGRANAJE / DJR183</t>
  </si>
  <si>
    <t>319072-7</t>
  </si>
  <si>
    <t>GUARDA MOVIL / DHS710</t>
  </si>
  <si>
    <t>319073-5</t>
  </si>
  <si>
    <t>CILINDRO 38/VARIOS</t>
  </si>
  <si>
    <t>319082-4</t>
  </si>
  <si>
    <t>CAJA CIGUEÑAL / VARIOS</t>
  </si>
  <si>
    <t>319088-2</t>
  </si>
  <si>
    <t>319091-3</t>
  </si>
  <si>
    <t>CAJA DE RODAMIENTO / UC4551A</t>
  </si>
  <si>
    <t>319097-1</t>
  </si>
  <si>
    <t>PISTON / HR5212C; 02C</t>
  </si>
  <si>
    <t>319108-2</t>
  </si>
  <si>
    <t>PISTON 38 /VARIOS</t>
  </si>
  <si>
    <t>319133-3</t>
  </si>
  <si>
    <t>CILINDRO / EM3400U</t>
  </si>
  <si>
    <t>319136-7</t>
  </si>
  <si>
    <t>PISTON / EM3400U</t>
  </si>
  <si>
    <t>319137-5</t>
  </si>
  <si>
    <t>VOLANTE / EM3400U</t>
  </si>
  <si>
    <t>319163-4</t>
  </si>
  <si>
    <t>CUBIERTA DE VALVULA</t>
  </si>
  <si>
    <t>319164-2</t>
  </si>
  <si>
    <t>BASE DE ENTRADA</t>
  </si>
  <si>
    <t>319169-2</t>
  </si>
  <si>
    <t>CAJA DE RODAMIENTO / M0920 - M0921</t>
  </si>
  <si>
    <t>319170-7</t>
  </si>
  <si>
    <t>VOLANTE / PM7650H</t>
  </si>
  <si>
    <t>319178-1</t>
  </si>
  <si>
    <t>CAJA DE ENGRANAJE / M9002 - M9003</t>
  </si>
  <si>
    <t>319179-9</t>
  </si>
  <si>
    <t>CAJA DE RODAMIENTO / M9002 - M9003</t>
  </si>
  <si>
    <t>319180-4</t>
  </si>
  <si>
    <t>319181-2</t>
  </si>
  <si>
    <t>SOPORTE/VARIOS</t>
  </si>
  <si>
    <t>319182-0</t>
  </si>
  <si>
    <t>319213-5</t>
  </si>
  <si>
    <t>319214-3</t>
  </si>
  <si>
    <t>319218-5</t>
  </si>
  <si>
    <t>BARRIL / HM1812 - HM1802</t>
  </si>
  <si>
    <t>319220-8</t>
  </si>
  <si>
    <t>CAJA DE RODAMIENTO / HM1812 - HM1802</t>
  </si>
  <si>
    <t>319222-4</t>
  </si>
  <si>
    <t>BASE / HM1812 - HM1802</t>
  </si>
  <si>
    <t>319241-0</t>
  </si>
  <si>
    <t>CILINDRO / RBL500</t>
  </si>
  <si>
    <t>319245-2</t>
  </si>
  <si>
    <t>ARANDELA DE ENCAJE / VARIOS</t>
  </si>
  <si>
    <t>319254-1</t>
  </si>
  <si>
    <t>CAJA DE RODAJE/M0400</t>
  </si>
  <si>
    <t>319292-3</t>
  </si>
  <si>
    <t>319296-5</t>
  </si>
  <si>
    <t>CUBIERTA DE ALUMINIO / M9400</t>
  </si>
  <si>
    <t>319310-7</t>
  </si>
  <si>
    <t>319314-9</t>
  </si>
  <si>
    <t>319315-7</t>
  </si>
  <si>
    <t>PERNO DE BLOQUEO / CA5000</t>
  </si>
  <si>
    <t>319316-5</t>
  </si>
  <si>
    <t>TAPON / VARIOS</t>
  </si>
  <si>
    <t>319317-3</t>
  </si>
  <si>
    <t>HUSILLO / VARIOS</t>
  </si>
  <si>
    <t>319330-1</t>
  </si>
  <si>
    <t>EQUILIBRADOR / BO6050</t>
  </si>
  <si>
    <t>319349-0</t>
  </si>
  <si>
    <t>SOPORTE DE MOTOR/VARIOS</t>
  </si>
  <si>
    <t>319351-3</t>
  </si>
  <si>
    <t>319383-0</t>
  </si>
  <si>
    <t>AJUSTADOR / 4100NH2R</t>
  </si>
  <si>
    <t>319391-1</t>
  </si>
  <si>
    <t>VOLANTE / EB5300TH</t>
  </si>
  <si>
    <t>319393-7</t>
  </si>
  <si>
    <t>CAJA DE RODAMIENTO / LW1401</t>
  </si>
  <si>
    <t>319395-3</t>
  </si>
  <si>
    <t>PLACA DE RETENSION /VARIOS</t>
  </si>
  <si>
    <t>319399-5</t>
  </si>
  <si>
    <t>CAJA DE RODAMIENTO / DGA458 - DGA456</t>
  </si>
  <si>
    <t>319417-9</t>
  </si>
  <si>
    <t>BASE / M1902</t>
  </si>
  <si>
    <t>319418-7</t>
  </si>
  <si>
    <t>BASE DELANTERA / M1902</t>
  </si>
  <si>
    <t>319464-0</t>
  </si>
  <si>
    <t>TAPA DE ENGRANAJE DE LEVA / EB5300TH</t>
  </si>
  <si>
    <t>319465-8</t>
  </si>
  <si>
    <t>CUBIERTA DE CABEZAL / EB5300TH</t>
  </si>
  <si>
    <t>319466-6</t>
  </si>
  <si>
    <t>CAJA DE ACEITE / EB5300TH</t>
  </si>
  <si>
    <t>319467-4</t>
  </si>
  <si>
    <t>PLACA DE RETENCION / EB5300TH</t>
  </si>
  <si>
    <t>319487-8</t>
  </si>
  <si>
    <t>CAJA DE ENGRANAJE / M9510-M9507</t>
  </si>
  <si>
    <t>319510-9</t>
  </si>
  <si>
    <t>319517-5</t>
  </si>
  <si>
    <t>ABRAZADERA DE MANUBRIO / UR101</t>
  </si>
  <si>
    <t>319527-2</t>
  </si>
  <si>
    <t>GUARDA MOVIL / VARIOS</t>
  </si>
  <si>
    <t>319528-0</t>
  </si>
  <si>
    <t>PLACA ANGULAR / VARIOS</t>
  </si>
  <si>
    <t>319529-8</t>
  </si>
  <si>
    <t>CAJA DE RODAMIENTO / HS0600</t>
  </si>
  <si>
    <t>319537-9</t>
  </si>
  <si>
    <t>GUIA DE AMORTIGUADOR / DPT353</t>
  </si>
  <si>
    <t>319542-6</t>
  </si>
  <si>
    <t>BASE / DRS780</t>
  </si>
  <si>
    <t>319543-4</t>
  </si>
  <si>
    <t>GUARDA MOVIL / DRS780</t>
  </si>
  <si>
    <t>319544-2</t>
  </si>
  <si>
    <t>CAJA DE RODAMIENTO / DRS780</t>
  </si>
  <si>
    <t>319560-4</t>
  </si>
  <si>
    <t>BASE / LS1019 - DLS111</t>
  </si>
  <si>
    <t>319565-4</t>
  </si>
  <si>
    <t>GUIA DE TOPE / VARIOS</t>
  </si>
  <si>
    <t>319591-3</t>
  </si>
  <si>
    <t>SOPORTE DE MOTOR / LS1019 - DLS111</t>
  </si>
  <si>
    <t>319592-1</t>
  </si>
  <si>
    <t>319593-9</t>
  </si>
  <si>
    <t>319594-7</t>
  </si>
  <si>
    <t>FARO / DCU180</t>
  </si>
  <si>
    <t>319595-5</t>
  </si>
  <si>
    <t>CUBIERTA DE FARO / DCU180</t>
  </si>
  <si>
    <t>319604-0</t>
  </si>
  <si>
    <t>BASE / DSP600 - DSP601</t>
  </si>
  <si>
    <t>319605-8</t>
  </si>
  <si>
    <t>CUBIERTA PROTECTOR DE DISCO / DSP600 - DSP601</t>
  </si>
  <si>
    <t>319620-2</t>
  </si>
  <si>
    <t>BASE /JV102</t>
  </si>
  <si>
    <t>319635-9</t>
  </si>
  <si>
    <t>CARCASA DE ENGRANAJE / DA333D</t>
  </si>
  <si>
    <t>319643-0</t>
  </si>
  <si>
    <t>TAPA EXTERIOR / DBN600</t>
  </si>
  <si>
    <t>319644-8</t>
  </si>
  <si>
    <t>SUJETADOR DE BASTAGO / DBN600</t>
  </si>
  <si>
    <t>319646-4</t>
  </si>
  <si>
    <t>GUIA TOPE / DLS600</t>
  </si>
  <si>
    <t>319652-9</t>
  </si>
  <si>
    <t>TAPA DE CIGUEÑAL / DHR400</t>
  </si>
  <si>
    <t>319665-0</t>
  </si>
  <si>
    <t>GUIA DE RESORTE / DTR180</t>
  </si>
  <si>
    <t>319667-6</t>
  </si>
  <si>
    <t>PASADOR 9 / UR100D</t>
  </si>
  <si>
    <t>319669-2</t>
  </si>
  <si>
    <t>CUBIERTA TRASERA /DWT310</t>
  </si>
  <si>
    <t>319670-7</t>
  </si>
  <si>
    <t>CILINDRO DE PISTON / DHW080</t>
  </si>
  <si>
    <t>319674-9</t>
  </si>
  <si>
    <t>CAJA DE RODAMIENTO / HR003G - DHR280</t>
  </si>
  <si>
    <t>319703-8</t>
  </si>
  <si>
    <t>319705-4</t>
  </si>
  <si>
    <t>SUJETADOR DE  EMPUÑADURA/VARIOS</t>
  </si>
  <si>
    <t>319715-1</t>
  </si>
  <si>
    <t>PLACA ANGULAR/VARIOS</t>
  </si>
  <si>
    <t>319717-7</t>
  </si>
  <si>
    <t>TAPA CENTRAL/VARIOS</t>
  </si>
  <si>
    <t>319760-6</t>
  </si>
  <si>
    <t>REGLA DE APOYO / LS1221</t>
  </si>
  <si>
    <t>319768-0</t>
  </si>
  <si>
    <t>SOPORTE DE MOTOR / DLM460</t>
  </si>
  <si>
    <t>319774-5</t>
  </si>
  <si>
    <t>TUERCA HEX. 6.4 / UNIVERSAL</t>
  </si>
  <si>
    <t>319780-0</t>
  </si>
  <si>
    <t>GUARDA / 5007NK</t>
  </si>
  <si>
    <t>319784-2</t>
  </si>
  <si>
    <t>CABEZAL DE LA BOMBA / DHW080</t>
  </si>
  <si>
    <t>319789-2</t>
  </si>
  <si>
    <t>PLACA RETENEDORA / VARIOS</t>
  </si>
  <si>
    <t>319793-1</t>
  </si>
  <si>
    <t>CAJA DE ENGRANAJE /DPB182</t>
  </si>
  <si>
    <t>319799-9</t>
  </si>
  <si>
    <t>ABRAZADERA DE TUBO / UR012G</t>
  </si>
  <si>
    <t>319802-6</t>
  </si>
  <si>
    <t>TAPA DE CIGUEÑAL/VARIOS</t>
  </si>
  <si>
    <t>319807-6</t>
  </si>
  <si>
    <t>319808-4</t>
  </si>
  <si>
    <t>MARCO / DSL800</t>
  </si>
  <si>
    <t>319812-3</t>
  </si>
  <si>
    <t>TUERCA PARA TORNILLO 4.8 / DVR150</t>
  </si>
  <si>
    <t>319815-7</t>
  </si>
  <si>
    <t>319823-8</t>
  </si>
  <si>
    <t>RETEN DE RODAJE 47 / DSL800</t>
  </si>
  <si>
    <t>319824-6</t>
  </si>
  <si>
    <t>SUJETADOR / DFN350</t>
  </si>
  <si>
    <t>319827-0</t>
  </si>
  <si>
    <t>TAPON /DHS782-DHS783</t>
  </si>
  <si>
    <t>319828-8</t>
  </si>
  <si>
    <t>BASE /DHS782-DHS783</t>
  </si>
  <si>
    <t>319829-6</t>
  </si>
  <si>
    <t>MARCO /DHS782-DHS783</t>
  </si>
  <si>
    <t>319830-1</t>
  </si>
  <si>
    <t>ANGULO DELANTERO /DHS782-DHS783</t>
  </si>
  <si>
    <t>319831-9</t>
  </si>
  <si>
    <t>ANGULO TRASERO /DHS782-DHS783</t>
  </si>
  <si>
    <t>319860-2</t>
  </si>
  <si>
    <t>GUARDA  DISCO FIJO /DHS900-DHS901</t>
  </si>
  <si>
    <t>319861-0</t>
  </si>
  <si>
    <t>GUARDA  DISCO MOVIL /DHS900-DHS901</t>
  </si>
  <si>
    <t>319862-8</t>
  </si>
  <si>
    <t>BASE HERRAMIENTA /DHS900</t>
  </si>
  <si>
    <t>319865-2</t>
  </si>
  <si>
    <t>ANGULO DELANTERO /DHS900</t>
  </si>
  <si>
    <t>319866-0</t>
  </si>
  <si>
    <t>ANGULO TRASERO /DHS900</t>
  </si>
  <si>
    <t>319867-8</t>
  </si>
  <si>
    <t>SOPORTE DE MOTOR / DLM465</t>
  </si>
  <si>
    <t>319868-6</t>
  </si>
  <si>
    <t>SOPORTE DE CUCHILLA /VARIOS</t>
  </si>
  <si>
    <t>319869-4</t>
  </si>
  <si>
    <t>CARCASA DE MOTOR SUPERIOIR / DLM465</t>
  </si>
  <si>
    <t>319870-9</t>
  </si>
  <si>
    <t>CARCASA DE MOTOR INFERIOR / DLM465</t>
  </si>
  <si>
    <t>319872-5</t>
  </si>
  <si>
    <t>BASE FRONTAL / DKP181</t>
  </si>
  <si>
    <t>319882-2</t>
  </si>
  <si>
    <t>SOPORTE DE CUCHILLA / DLM465</t>
  </si>
  <si>
    <t>319918-7</t>
  </si>
  <si>
    <t>PLATAFORMA /DLM533-DLM537</t>
  </si>
  <si>
    <t>319919-5</t>
  </si>
  <si>
    <t>SOPORTE DE EJE / UR101 - DUX60</t>
  </si>
  <si>
    <t>319949-6</t>
  </si>
  <si>
    <t>CUBIERTA CAJA DE ENGRANAJE /VARIOS</t>
  </si>
  <si>
    <t>319950-1</t>
  </si>
  <si>
    <t>BASE DE TUBO B /DUN500W</t>
  </si>
  <si>
    <t>319951-9</t>
  </si>
  <si>
    <t>CUBIERTA LATERAL /DUN500W-DUN501</t>
  </si>
  <si>
    <t>319952-7</t>
  </si>
  <si>
    <t>BASE DE TUBO A /DUN500W</t>
  </si>
  <si>
    <t>319959-3</t>
  </si>
  <si>
    <t>BASE DE SOPORTE/UR101</t>
  </si>
  <si>
    <t>319970-5</t>
  </si>
  <si>
    <t>GUARDA  DISCO MOVIL /HS003G-HS004G</t>
  </si>
  <si>
    <t>319973-9</t>
  </si>
  <si>
    <t>BASE /HS003G</t>
  </si>
  <si>
    <t>319974-7</t>
  </si>
  <si>
    <t>BASE /HS004G</t>
  </si>
  <si>
    <t>319975-5</t>
  </si>
  <si>
    <t>MARCO /HS004G</t>
  </si>
  <si>
    <t>319976-3</t>
  </si>
  <si>
    <t>PLACA DE ANGULO DELANTERO/HS004G</t>
  </si>
  <si>
    <t>319977-1</t>
  </si>
  <si>
    <t>PLACA DE ANGULO TRASERO/HS004G</t>
  </si>
  <si>
    <t>319978-9</t>
  </si>
  <si>
    <t>TOPE / HS004G</t>
  </si>
  <si>
    <t>319980-2</t>
  </si>
  <si>
    <t>CAJA ENGRANAJE /DPB183-DPB184</t>
  </si>
  <si>
    <t>319987-8</t>
  </si>
  <si>
    <t>PALANCA ANGULAR/DHS901</t>
  </si>
  <si>
    <t>319988-6</t>
  </si>
  <si>
    <t>BARRIL /DHK180</t>
  </si>
  <si>
    <t>319994-1</t>
  </si>
  <si>
    <t>SOPORTE INFERIOR /DPB183</t>
  </si>
  <si>
    <t>319995-9</t>
  </si>
  <si>
    <t>SOPORTE SUPERIOR /DPB183</t>
  </si>
  <si>
    <t>321111-1</t>
  </si>
  <si>
    <t>PASADOR DE CAMBIO / VARIOS</t>
  </si>
  <si>
    <t>321193-3</t>
  </si>
  <si>
    <t>COLGADOR / GD0603</t>
  </si>
  <si>
    <t>321210-9</t>
  </si>
  <si>
    <t>PASADOR DE MANGO / HM0810T - HM1201</t>
  </si>
  <si>
    <t>321311-3</t>
  </si>
  <si>
    <t>PORTA CUCHILLA / SJ1600</t>
  </si>
  <si>
    <t>321404-6</t>
  </si>
  <si>
    <t>PORTA CUCHILLA / JS3201</t>
  </si>
  <si>
    <t>321405-4</t>
  </si>
  <si>
    <t>ACOPLE DE METAL / JS3201</t>
  </si>
  <si>
    <t>321406-2</t>
  </si>
  <si>
    <t>TORNILLO /JN3200-JN3201</t>
  </si>
  <si>
    <t>321408-8</t>
  </si>
  <si>
    <t>CIGUEÑAL /JN3200-JN3201</t>
  </si>
  <si>
    <t>321415-1</t>
  </si>
  <si>
    <t>CONTRA TUERCA /JN3200-JN3201</t>
  </si>
  <si>
    <t>321418-5</t>
  </si>
  <si>
    <t>PASADOR 9 / JN3200-JN3201</t>
  </si>
  <si>
    <t>321436-3</t>
  </si>
  <si>
    <t>EJE DE RODILLO / PC5001C</t>
  </si>
  <si>
    <t>321441-0</t>
  </si>
  <si>
    <t>PISTON / HM1201</t>
  </si>
  <si>
    <t>321445-2</t>
  </si>
  <si>
    <t>TUERCA DE MANGO / HM1201</t>
  </si>
  <si>
    <t>321447-8</t>
  </si>
  <si>
    <t>GOLPEADOR / HM1201</t>
  </si>
  <si>
    <t>321495-7</t>
  </si>
  <si>
    <t>PERNO DE IMPACTO / HM0810T</t>
  </si>
  <si>
    <t>321497-3</t>
  </si>
  <si>
    <t>TUERCA ABRAZADERA / VARIOS</t>
  </si>
  <si>
    <t>321514-9</t>
  </si>
  <si>
    <t>ANILLO INTERNO 26 / HM0810T</t>
  </si>
  <si>
    <t>321680-2</t>
  </si>
  <si>
    <t>TORNILLO CON REBAJE / 2414NB</t>
  </si>
  <si>
    <t>321929-0</t>
  </si>
  <si>
    <t>GOLPEADOR /VARIOS</t>
  </si>
  <si>
    <t>321948-6</t>
  </si>
  <si>
    <t>BARRA DE TOPE / M3601</t>
  </si>
  <si>
    <t>321954-1</t>
  </si>
  <si>
    <t>321958-3</t>
  </si>
  <si>
    <t>PISTON / HM0810T</t>
  </si>
  <si>
    <t>321980-0</t>
  </si>
  <si>
    <t>322045-1</t>
  </si>
  <si>
    <t>SUJETADOR DE PRESION /VARIOS</t>
  </si>
  <si>
    <t>322070-2</t>
  </si>
  <si>
    <t>CUBIERTA FRONTAL / FS2700</t>
  </si>
  <si>
    <t>322073-6</t>
  </si>
  <si>
    <t>PALANCA AJUSTE / VARIOS</t>
  </si>
  <si>
    <t>322107-5</t>
  </si>
  <si>
    <t>PERNO DE IMPACTO / HM1201</t>
  </si>
  <si>
    <t>322188-9</t>
  </si>
  <si>
    <t>TAPA DE PESTILLO /6805BV</t>
  </si>
  <si>
    <t>322209-7</t>
  </si>
  <si>
    <t>TUERCA PRENSA /VARIOS</t>
  </si>
  <si>
    <t>322229-1</t>
  </si>
  <si>
    <t>CALIBRADOR / 2012NB</t>
  </si>
  <si>
    <t>322239-8</t>
  </si>
  <si>
    <t>TORNILLO BANCO / VARIOS</t>
  </si>
  <si>
    <t>322317-4</t>
  </si>
  <si>
    <t>PASADOR CON RESALTO Y CABEZA / LS1040 - LS1040F</t>
  </si>
  <si>
    <t>322391-2</t>
  </si>
  <si>
    <t>MARTILLO / 6905H</t>
  </si>
  <si>
    <t>322476-4</t>
  </si>
  <si>
    <t>BARRA DE CONEXION / HM1810</t>
  </si>
  <si>
    <t>322477-2</t>
  </si>
  <si>
    <t>PASADOR DE RETENCION / VARIOS</t>
  </si>
  <si>
    <t>322548-5</t>
  </si>
  <si>
    <t>CILINDRO 8 / HM1810</t>
  </si>
  <si>
    <t>322560-5</t>
  </si>
  <si>
    <t>322625-3</t>
  </si>
  <si>
    <t>322633-4</t>
  </si>
  <si>
    <t>HUSILLO  /VARIOS</t>
  </si>
  <si>
    <t>322665-1</t>
  </si>
  <si>
    <t>322679-0</t>
  </si>
  <si>
    <t>EJE MANDRIL / VARIOS</t>
  </si>
  <si>
    <t>322701-3</t>
  </si>
  <si>
    <t>322708-9</t>
  </si>
  <si>
    <t>CIGUEÑAL / 9046</t>
  </si>
  <si>
    <t>322865-3</t>
  </si>
  <si>
    <t>322873-4</t>
  </si>
  <si>
    <t>BATIDOR /VARIOS</t>
  </si>
  <si>
    <t>322908-1</t>
  </si>
  <si>
    <t>RODILLO 8 / HM1202C - HR4500C</t>
  </si>
  <si>
    <t>322951-0</t>
  </si>
  <si>
    <t>PALANCA DE CAMBIO / HR5001C - HR4500C</t>
  </si>
  <si>
    <t>322962-5</t>
  </si>
  <si>
    <t>PASADOR CURVO 4 / HR4000C - HR4500C</t>
  </si>
  <si>
    <t>322963-3</t>
  </si>
  <si>
    <t>PASADOR CURVO / HR5001C - HR4500C</t>
  </si>
  <si>
    <t>322967-5</t>
  </si>
  <si>
    <t>EJE DE PALANCA DE BLOQUEO / 2704</t>
  </si>
  <si>
    <t>322982-9</t>
  </si>
  <si>
    <t>SUJETADOR HERRAMIENTA/HM1100-HM1100C</t>
  </si>
  <si>
    <t>322988-7</t>
  </si>
  <si>
    <t>323675-1</t>
  </si>
  <si>
    <t>323736-7</t>
  </si>
  <si>
    <t>BARRA GUIA / 2704</t>
  </si>
  <si>
    <t>323740-6</t>
  </si>
  <si>
    <t>PASADOR 16 / LS1221</t>
  </si>
  <si>
    <t>323741-4</t>
  </si>
  <si>
    <t>PERNO DE BLOQUEO / LS1220 - LS1221</t>
  </si>
  <si>
    <t>323748-0</t>
  </si>
  <si>
    <t>ALAMBRE DE BLOQUEO / VARIOS</t>
  </si>
  <si>
    <t>323767-6</t>
  </si>
  <si>
    <t>PASADOR CON RESALTO Y CABEZA 8 / HM1202C</t>
  </si>
  <si>
    <t>323768-4</t>
  </si>
  <si>
    <t>PERNO DE IMPACTO / HR5001C</t>
  </si>
  <si>
    <t>323769-2</t>
  </si>
  <si>
    <t>GOLPEADOR / HR5001C</t>
  </si>
  <si>
    <t>323771-5</t>
  </si>
  <si>
    <t>SOPORTE DE PORTA HERRAMIENTA A / HR5001C</t>
  </si>
  <si>
    <t>323773-1</t>
  </si>
  <si>
    <t>CAJA DE TRABA / HM1202C</t>
  </si>
  <si>
    <t>323774-9</t>
  </si>
  <si>
    <t>CIGUEÑAL / HR5001C</t>
  </si>
  <si>
    <t>323776-5</t>
  </si>
  <si>
    <t>PASADOR DEL RODILLO / 9911</t>
  </si>
  <si>
    <t>323817-7</t>
  </si>
  <si>
    <t>ANILLO 22 / HR5001C</t>
  </si>
  <si>
    <t>323819-3</t>
  </si>
  <si>
    <t>GUIA DE RESORTE / HR3000C</t>
  </si>
  <si>
    <t>323820-8</t>
  </si>
  <si>
    <t>ANILLO DE MANDRIL / HR3000C</t>
  </si>
  <si>
    <t>323829-0</t>
  </si>
  <si>
    <t>RODILLO TENSOR / M9400</t>
  </si>
  <si>
    <t>323875-3</t>
  </si>
  <si>
    <t>SOPORTE DE AMORTIGUADOR 24 / HM1202C</t>
  </si>
  <si>
    <t>323877-9</t>
  </si>
  <si>
    <t>CIGUEÑAL / HM1202C</t>
  </si>
  <si>
    <t>323882-6</t>
  </si>
  <si>
    <t>EJE DE COLLARIN 12 / LC1230</t>
  </si>
  <si>
    <t>323912-3</t>
  </si>
  <si>
    <t>323913-1</t>
  </si>
  <si>
    <t>PERNO DE IMPACTO / HR3000C</t>
  </si>
  <si>
    <t>323924-6</t>
  </si>
  <si>
    <t>TORNILLO R/VARIOS</t>
  </si>
  <si>
    <t>323925-4</t>
  </si>
  <si>
    <t>323955-5</t>
  </si>
  <si>
    <t>EJE / N5900B</t>
  </si>
  <si>
    <t>323973-3</t>
  </si>
  <si>
    <t>PASADOR CURVO4 / HR5001C</t>
  </si>
  <si>
    <t>323989-8</t>
  </si>
  <si>
    <t>UNION / GD0800C - GD0801C</t>
  </si>
  <si>
    <t>324031-8</t>
  </si>
  <si>
    <t>SOPORTE / BO3700</t>
  </si>
  <si>
    <t>324035-0</t>
  </si>
  <si>
    <t>324042-3</t>
  </si>
  <si>
    <t>EJE / GD0800C - GD0801C</t>
  </si>
  <si>
    <t>324068-5</t>
  </si>
  <si>
    <t>PASADOR TENSOR / EA3203S</t>
  </si>
  <si>
    <t>324069-3</t>
  </si>
  <si>
    <t>EJE / PO5000C - DPO500</t>
  </si>
  <si>
    <t>324070-8</t>
  </si>
  <si>
    <t>MANGUITO / PO5000C - DPO500</t>
  </si>
  <si>
    <t>324098-6</t>
  </si>
  <si>
    <t>SUJETADOR DE HERRAMIENTA /HM1304</t>
  </si>
  <si>
    <t>324099-4</t>
  </si>
  <si>
    <t>RETEN DE HERRAMIENTA /VARIOS</t>
  </si>
  <si>
    <t>324100-5</t>
  </si>
  <si>
    <t>CIGUEÑAL / HM1304B</t>
  </si>
  <si>
    <t>324101-3</t>
  </si>
  <si>
    <t>BATIDOR /HM1304</t>
  </si>
  <si>
    <t>324102-1</t>
  </si>
  <si>
    <t>GOLPEADOR / HM1304B</t>
  </si>
  <si>
    <t>324109-7</t>
  </si>
  <si>
    <t>324131-4</t>
  </si>
  <si>
    <t>GUIA DE ACERO / HM1202C</t>
  </si>
  <si>
    <t>324132-2</t>
  </si>
  <si>
    <t>PERNO DE IMPACTO / HM1202C</t>
  </si>
  <si>
    <t>324135-6</t>
  </si>
  <si>
    <t>MANGUITO DE RETENCION /VARIOS</t>
  </si>
  <si>
    <t>324144-5</t>
  </si>
  <si>
    <t>EJE / BO6030</t>
  </si>
  <si>
    <t>324154-2</t>
  </si>
  <si>
    <t>UNION RANURADO / DA4000LR</t>
  </si>
  <si>
    <t>324166-5</t>
  </si>
  <si>
    <t>ANILLO PARTIDO / HM1304B</t>
  </si>
  <si>
    <t>324167-3</t>
  </si>
  <si>
    <t>GUIA DE HERRAMIENTA /HM1304</t>
  </si>
  <si>
    <t>324169-9</t>
  </si>
  <si>
    <t>EJE DE ENGRANAJE H / DA4000LR</t>
  </si>
  <si>
    <t>324185-1</t>
  </si>
  <si>
    <t>324212-4</t>
  </si>
  <si>
    <t>324214-0</t>
  </si>
  <si>
    <t>GOLPEADOR / VARIOS</t>
  </si>
  <si>
    <t>324215-8</t>
  </si>
  <si>
    <t>324216-6</t>
  </si>
  <si>
    <t>SOPORTE DE ANILLO DE GOMA /VARIOS</t>
  </si>
  <si>
    <t>324218-2</t>
  </si>
  <si>
    <t>ANILLO 9 / HR2020-HR2021</t>
  </si>
  <si>
    <t>324219-0</t>
  </si>
  <si>
    <t>TOPE DE PROFUNDIDAD / VARIOS</t>
  </si>
  <si>
    <t>324220-5</t>
  </si>
  <si>
    <t>324221-3</t>
  </si>
  <si>
    <t>EJE / 4100NH3</t>
  </si>
  <si>
    <t>324231-0</t>
  </si>
  <si>
    <t>YUNQUE / 6906</t>
  </si>
  <si>
    <t>324233-6</t>
  </si>
  <si>
    <t>BLOQUEO DE ALAMBRE / 4350FCT</t>
  </si>
  <si>
    <t>324236-0</t>
  </si>
  <si>
    <t>324238-6</t>
  </si>
  <si>
    <t>EJE DE RETENCION / VARIOS</t>
  </si>
  <si>
    <t>324243-3</t>
  </si>
  <si>
    <t>PASADOR CON RESPALDO Y CABEZA / 3707</t>
  </si>
  <si>
    <t>324247-5</t>
  </si>
  <si>
    <t>324278-4</t>
  </si>
  <si>
    <t>PERNO DE IMPACTO / HR2450</t>
  </si>
  <si>
    <t>324319-6</t>
  </si>
  <si>
    <t>324321-9</t>
  </si>
  <si>
    <t>EJE / LW1401</t>
  </si>
  <si>
    <t>324322-7</t>
  </si>
  <si>
    <t>324323-5</t>
  </si>
  <si>
    <t>TORNILLO DE BANCO / LW1401</t>
  </si>
  <si>
    <t>324347-1</t>
  </si>
  <si>
    <t>PERNO DE IMPACTO / HM1304B</t>
  </si>
  <si>
    <t>324355-2</t>
  </si>
  <si>
    <t>324357-8</t>
  </si>
  <si>
    <t>YUNQUE / 6905H</t>
  </si>
  <si>
    <t>324376-4</t>
  </si>
  <si>
    <t>324387-9</t>
  </si>
  <si>
    <t>324388-7</t>
  </si>
  <si>
    <t>324389-5</t>
  </si>
  <si>
    <t>324390-0</t>
  </si>
  <si>
    <t>FUNDA PARA HOMBRO /HM1304</t>
  </si>
  <si>
    <t>324395-0</t>
  </si>
  <si>
    <t>HUSILLO /VARIOS</t>
  </si>
  <si>
    <t>324396-8</t>
  </si>
  <si>
    <t>FUNDA DE EJE 6/HM1304</t>
  </si>
  <si>
    <t>324397-6</t>
  </si>
  <si>
    <t>EJE / HP1640</t>
  </si>
  <si>
    <t>324402-9</t>
  </si>
  <si>
    <t>ANILLO 10 / VARIOS</t>
  </si>
  <si>
    <t>324409-5</t>
  </si>
  <si>
    <t>EJE / PW5001C</t>
  </si>
  <si>
    <t>324420-7</t>
  </si>
  <si>
    <t>MANGUITO / TD127D - DTD156</t>
  </si>
  <si>
    <t>324424-9</t>
  </si>
  <si>
    <t>TUERCA DE TOPE / M3600</t>
  </si>
  <si>
    <t>324425-7</t>
  </si>
  <si>
    <t>PASADOR DE BLOQUEO / M3600</t>
  </si>
  <si>
    <t>324432-0</t>
  </si>
  <si>
    <t>YUNQUE /HM1304</t>
  </si>
  <si>
    <t>324463-9</t>
  </si>
  <si>
    <t>324469-7</t>
  </si>
  <si>
    <t>LEVA DE EMBRAGUE /VARIOS</t>
  </si>
  <si>
    <t>324475-2</t>
  </si>
  <si>
    <t>EJE / 4131</t>
  </si>
  <si>
    <t>324476-0</t>
  </si>
  <si>
    <t>GANCHO / 4131</t>
  </si>
  <si>
    <t>324489-1</t>
  </si>
  <si>
    <t>EJE / 9557HP - DGA452</t>
  </si>
  <si>
    <t>324530-0</t>
  </si>
  <si>
    <t>PASADOR DE ESCALA / 2704</t>
  </si>
  <si>
    <t>324536-8</t>
  </si>
  <si>
    <t>324539-2</t>
  </si>
  <si>
    <t>324541-5</t>
  </si>
  <si>
    <t>PERNO DE IMPACTO / HM1810</t>
  </si>
  <si>
    <t>324543-1</t>
  </si>
  <si>
    <t>EJE / LF1000</t>
  </si>
  <si>
    <t>324544-9</t>
  </si>
  <si>
    <t>CIGUEÑAL /HM1801</t>
  </si>
  <si>
    <t>324545-7</t>
  </si>
  <si>
    <t>324546-5</t>
  </si>
  <si>
    <t>GOLPEADOR / HM1810</t>
  </si>
  <si>
    <t>324548-1</t>
  </si>
  <si>
    <t>ANILLO DE MANDRIL / VARIOS</t>
  </si>
  <si>
    <t>324549-9</t>
  </si>
  <si>
    <t>BRIDA DE TRANSMISION /VARIOS</t>
  </si>
  <si>
    <t>324550-4</t>
  </si>
  <si>
    <t>CIGUEÑAL /VARIOS</t>
  </si>
  <si>
    <t>324552-0</t>
  </si>
  <si>
    <t>324569-3</t>
  </si>
  <si>
    <t>PERNO DE IMPACTO /VARIOS</t>
  </si>
  <si>
    <t>324570-8</t>
  </si>
  <si>
    <t>CILINDRO 28.5 /VARIOS</t>
  </si>
  <si>
    <t>324580-5</t>
  </si>
  <si>
    <t>ESPACIADOR / HM1810</t>
  </si>
  <si>
    <t>324583-9</t>
  </si>
  <si>
    <t>MARTILLO /VARIOS</t>
  </si>
  <si>
    <t>324611-0</t>
  </si>
  <si>
    <t>PERNO DE IMPACTO / HR1830 - DHR165</t>
  </si>
  <si>
    <t>324612-8</t>
  </si>
  <si>
    <t>JUNTA DE PISTON / VARIOS</t>
  </si>
  <si>
    <t>324613-6</t>
  </si>
  <si>
    <t>GOLPEADOR / HR1830 - DHR165</t>
  </si>
  <si>
    <t>324616-0</t>
  </si>
  <si>
    <t>ABRAZADERA / EK7651H</t>
  </si>
  <si>
    <t>324619-4</t>
  </si>
  <si>
    <t>EJE / UC4020C</t>
  </si>
  <si>
    <t>324620-9</t>
  </si>
  <si>
    <t>TORNILLO / UC4041A - UC4020C</t>
  </si>
  <si>
    <t>324621-7</t>
  </si>
  <si>
    <t>PASADOR DE AJUSTE / UC4020C</t>
  </si>
  <si>
    <t>324638-0</t>
  </si>
  <si>
    <t>EJE / GD0600 - M9100</t>
  </si>
  <si>
    <t>324639-8</t>
  </si>
  <si>
    <t>ACOPLAMIENTO / VARIOS</t>
  </si>
  <si>
    <t>324666-5</t>
  </si>
  <si>
    <t>EJE / TW1000</t>
  </si>
  <si>
    <t>324668-1</t>
  </si>
  <si>
    <t>EJE / HR2470 - DHR241</t>
  </si>
  <si>
    <t>324669-9</t>
  </si>
  <si>
    <t>324685-1</t>
  </si>
  <si>
    <t>ABRAZADERA / UC4551A - UC4020C</t>
  </si>
  <si>
    <t>324690-8</t>
  </si>
  <si>
    <t>EJE / 5007NK</t>
  </si>
  <si>
    <t>324697-4</t>
  </si>
  <si>
    <t>MARTILLO / DTW450</t>
  </si>
  <si>
    <t>324703-5</t>
  </si>
  <si>
    <t>MARTILLO / DTW251</t>
  </si>
  <si>
    <t>324706-9</t>
  </si>
  <si>
    <t>324708-5</t>
  </si>
  <si>
    <t>PASADOR CON RESALTO Y CABEZA 8 / VARIOS</t>
  </si>
  <si>
    <t>324709-3</t>
  </si>
  <si>
    <t>324711-6</t>
  </si>
  <si>
    <t>MANGUITO ADAPTADOR / VARIOS</t>
  </si>
  <si>
    <t>324713-2</t>
  </si>
  <si>
    <t>YUNQUE / TD022D</t>
  </si>
  <si>
    <t>324714-0</t>
  </si>
  <si>
    <t>MARTILLO / TD022D</t>
  </si>
  <si>
    <t>324715-8</t>
  </si>
  <si>
    <t>EJE / TD022D</t>
  </si>
  <si>
    <t>324716-6</t>
  </si>
  <si>
    <t>324717-4</t>
  </si>
  <si>
    <t>EJE M / TD022D</t>
  </si>
  <si>
    <t>324727-1</t>
  </si>
  <si>
    <t>ARANDELA 8 / VARIOS</t>
  </si>
  <si>
    <t>324733-6</t>
  </si>
  <si>
    <t>GOLPEADOR / HR2810 - HR2470</t>
  </si>
  <si>
    <t>324738-6</t>
  </si>
  <si>
    <t>SUJETADOR DE SELLADO / HM1304B</t>
  </si>
  <si>
    <t>324739-4</t>
  </si>
  <si>
    <t>CIGUEÑAL / HR5211C</t>
  </si>
  <si>
    <t>324740-9</t>
  </si>
  <si>
    <t>SOPORTE DE HERRAMIENTA A / HR5211C</t>
  </si>
  <si>
    <t>324741-7</t>
  </si>
  <si>
    <t>SOPORTE DE PORTA HERRAMIENTA / HR5211C</t>
  </si>
  <si>
    <t>324752-2</t>
  </si>
  <si>
    <t>ANILLO DE TRABAS / VARIOS</t>
  </si>
  <si>
    <t>324753-0</t>
  </si>
  <si>
    <t>PERNO DE IMPACTO / HR5201C - HR5211C</t>
  </si>
  <si>
    <t>324754-8</t>
  </si>
  <si>
    <t>GOLPEADOR / HR5211C</t>
  </si>
  <si>
    <t>324755-6</t>
  </si>
  <si>
    <t>CONTRA PESO DE AVT / HR5211C</t>
  </si>
  <si>
    <t>324756-4</t>
  </si>
  <si>
    <t>ANILLO 20 / HR006G - HR5211C</t>
  </si>
  <si>
    <t>324757-2</t>
  </si>
  <si>
    <t>ANILLO GUIA / HR5211C</t>
  </si>
  <si>
    <t>324781-5</t>
  </si>
  <si>
    <t>324789-9</t>
  </si>
  <si>
    <t>324793-8</t>
  </si>
  <si>
    <t>CIGUEÑAL / HR2810</t>
  </si>
  <si>
    <t>324796-2</t>
  </si>
  <si>
    <t>PERNO IMPACTO /VARIOS</t>
  </si>
  <si>
    <t>324833-2</t>
  </si>
  <si>
    <t>MANGA  BLOQUEO/VARIOS</t>
  </si>
  <si>
    <t>324839-0</t>
  </si>
  <si>
    <t>324840-5</t>
  </si>
  <si>
    <t>PORTA HERRAMIENTA / HR3210C</t>
  </si>
  <si>
    <t>324848-9</t>
  </si>
  <si>
    <t>EMBRAGUE/VARIOS</t>
  </si>
  <si>
    <t>324849-7</t>
  </si>
  <si>
    <t>PERNO DE IMPACTO / HR3210C</t>
  </si>
  <si>
    <t>324858-6</t>
  </si>
  <si>
    <t>GOLPEADOR / HR3210C</t>
  </si>
  <si>
    <t>324873-0</t>
  </si>
  <si>
    <t>324891-8</t>
  </si>
  <si>
    <t>RESORTE DE BUJIA / VARIOS</t>
  </si>
  <si>
    <t>324893-4</t>
  </si>
  <si>
    <t>EJE /VARIOS</t>
  </si>
  <si>
    <t>324894-2</t>
  </si>
  <si>
    <t>MARTILLO / VARIOS</t>
  </si>
  <si>
    <t>324895-0</t>
  </si>
  <si>
    <t>YUNQUE / TD110D</t>
  </si>
  <si>
    <t>324897-6</t>
  </si>
  <si>
    <t>324918-4</t>
  </si>
  <si>
    <t>PISTON / HR3210C</t>
  </si>
  <si>
    <t>324929-9</t>
  </si>
  <si>
    <t>SOPORTE DE EJE / M6600</t>
  </si>
  <si>
    <t>324954-0</t>
  </si>
  <si>
    <t>324969-7</t>
  </si>
  <si>
    <t>ANILLO DE CAMBIO / VARIOS</t>
  </si>
  <si>
    <t>324983-3</t>
  </si>
  <si>
    <t>324985-9</t>
  </si>
  <si>
    <t>324987-5</t>
  </si>
  <si>
    <t>ANILLO TRABADOR / VARIOS</t>
  </si>
  <si>
    <t>324988-3</t>
  </si>
  <si>
    <t>324990-6</t>
  </si>
  <si>
    <t>PERNO DE IMPACTO / HM1203C; 13C</t>
  </si>
  <si>
    <t>324993-0</t>
  </si>
  <si>
    <t>SOPORTE PERNO DE IMPACTO / VARIOS</t>
  </si>
  <si>
    <t>324994-8</t>
  </si>
  <si>
    <t>CIGÜEÑAL / HM1203C; 13C</t>
  </si>
  <si>
    <t>325085-8</t>
  </si>
  <si>
    <t>EJE / 6016</t>
  </si>
  <si>
    <t>325108-2</t>
  </si>
  <si>
    <t>EJE DE TENSOR / 9402</t>
  </si>
  <si>
    <t>325322-0</t>
  </si>
  <si>
    <t>EJE  / 6906</t>
  </si>
  <si>
    <t>325415-3</t>
  </si>
  <si>
    <t>MARTILLO / TW1000</t>
  </si>
  <si>
    <t>325494-1</t>
  </si>
  <si>
    <t>EJE / DS5000</t>
  </si>
  <si>
    <t>325587-4</t>
  </si>
  <si>
    <t>YUNQUE / TW1000</t>
  </si>
  <si>
    <t>325600-8</t>
  </si>
  <si>
    <t>BLOQUEO DE DESLIZADOR / M4302</t>
  </si>
  <si>
    <t>325601-6</t>
  </si>
  <si>
    <t>PORTA CUCHILLAS / M4302</t>
  </si>
  <si>
    <t>325602-4</t>
  </si>
  <si>
    <t>BLOQUEO DE ALAMBRE / M4302</t>
  </si>
  <si>
    <t>325603-2</t>
  </si>
  <si>
    <t>EJE / 4100NH2 - DCC500</t>
  </si>
  <si>
    <t>325604-0</t>
  </si>
  <si>
    <t>BUJE / EA4301F</t>
  </si>
  <si>
    <t>325607-4</t>
  </si>
  <si>
    <t>325640-6</t>
  </si>
  <si>
    <t>MANGUITO 9 / DHR263</t>
  </si>
  <si>
    <t>325643-0</t>
  </si>
  <si>
    <t>EJE PARA ENGRANAJE /VARIOS</t>
  </si>
  <si>
    <t>325644-8</t>
  </si>
  <si>
    <t>325651-1</t>
  </si>
  <si>
    <t>JUNTA / LS1016</t>
  </si>
  <si>
    <t>325659-5</t>
  </si>
  <si>
    <t>325660-0</t>
  </si>
  <si>
    <t>CONTRA EJE / HM1214C</t>
  </si>
  <si>
    <t>325662-6</t>
  </si>
  <si>
    <t>ARANDELA DE FIJACION 8 / HM1214C</t>
  </si>
  <si>
    <t>325665-0</t>
  </si>
  <si>
    <t>TUBO DE JUNTA / VARIOS</t>
  </si>
  <si>
    <t>325666-8</t>
  </si>
  <si>
    <t>PUNTERO DE ACEITE / EM4351UH</t>
  </si>
  <si>
    <t>325668-4</t>
  </si>
  <si>
    <t>RETEN DE RESORTE / EN5950SH</t>
  </si>
  <si>
    <t>325669-2</t>
  </si>
  <si>
    <t>VALVULA DE ESCAPE / EN5950SH</t>
  </si>
  <si>
    <t>325675-7</t>
  </si>
  <si>
    <t>EJE / EM3400U</t>
  </si>
  <si>
    <t>325680-4</t>
  </si>
  <si>
    <t>GOLPEADOR / HM1214C</t>
  </si>
  <si>
    <t>325681-2</t>
  </si>
  <si>
    <t>PERNO DE IMPACTO / HM1214C</t>
  </si>
  <si>
    <t>325682-0</t>
  </si>
  <si>
    <t>PERNO DE IMPACTO / HM1307C</t>
  </si>
  <si>
    <t>325683-8</t>
  </si>
  <si>
    <t>ARANDELA 30 / HM1307C - HM1307CB</t>
  </si>
  <si>
    <t>325684-6</t>
  </si>
  <si>
    <t>ANILLO 32 / HM1317CB - HM1307CB</t>
  </si>
  <si>
    <t>325685-4</t>
  </si>
  <si>
    <t>GOLPEADOR / HM1317CB - HM1307CB</t>
  </si>
  <si>
    <t>325686-2</t>
  </si>
  <si>
    <t>ARANDELA 8 / HM1317CB</t>
  </si>
  <si>
    <t>325687-0</t>
  </si>
  <si>
    <t>PERNO DE IMPACTO / HM1317CB - HM1307CB</t>
  </si>
  <si>
    <t>325727-4</t>
  </si>
  <si>
    <t>BLOQUE/VARIOS</t>
  </si>
  <si>
    <t>325732-1</t>
  </si>
  <si>
    <t>ANILLO 20 / HM0870C; 71C</t>
  </si>
  <si>
    <t>325733-9</t>
  </si>
  <si>
    <t>PASADOR AVT / HM0871C</t>
  </si>
  <si>
    <t>325734-7</t>
  </si>
  <si>
    <t>CIGÜEÑAL 17.5 / HM0871C</t>
  </si>
  <si>
    <t>325735-5</t>
  </si>
  <si>
    <t>CIGÜEÑAL 17 / HM0870C</t>
  </si>
  <si>
    <t>325747-8</t>
  </si>
  <si>
    <t>ESPACIADOR / VARIOS</t>
  </si>
  <si>
    <t>325782-6</t>
  </si>
  <si>
    <t>MANGUITO 12 / VARIOS</t>
  </si>
  <si>
    <t>325783-4</t>
  </si>
  <si>
    <t>MANGUITO 98 / VARIOS</t>
  </si>
  <si>
    <t>325784-2</t>
  </si>
  <si>
    <t>325785-0</t>
  </si>
  <si>
    <t>CONO DE EMPUJE / VARIOS</t>
  </si>
  <si>
    <t>325786-8</t>
  </si>
  <si>
    <t>ARBOL DE LEVAS/VARIOS</t>
  </si>
  <si>
    <t>325789-2</t>
  </si>
  <si>
    <t>325791-5</t>
  </si>
  <si>
    <t>PERNO DE IMPACTO / HR2320T</t>
  </si>
  <si>
    <t>325792-3</t>
  </si>
  <si>
    <t>325793-1</t>
  </si>
  <si>
    <t>SOPORTE DE ANILLO DE GOMA B /VARIOS</t>
  </si>
  <si>
    <t>325794-9</t>
  </si>
  <si>
    <t>ANILLO 10A / VARIOS</t>
  </si>
  <si>
    <t>325795-7</t>
  </si>
  <si>
    <t>ANILLO 10B / HR2320T</t>
  </si>
  <si>
    <t>325798-1</t>
  </si>
  <si>
    <t>SOPORTE DE ANILLO DE GOMA A / VARIOS</t>
  </si>
  <si>
    <t>325809-2</t>
  </si>
  <si>
    <t>325811-5</t>
  </si>
  <si>
    <t>325813-1</t>
  </si>
  <si>
    <t>325866-0</t>
  </si>
  <si>
    <t>HUSILLO /DLS600</t>
  </si>
  <si>
    <t>325895-3</t>
  </si>
  <si>
    <t>SEGURO DE ACCESORIO / HM1317CB - HM1307CB</t>
  </si>
  <si>
    <t>325899-5</t>
  </si>
  <si>
    <t>CIGUEÑAL / HM1111C</t>
  </si>
  <si>
    <t>325901-4</t>
  </si>
  <si>
    <t>PORTA HERRAMIENTA / HM1111C</t>
  </si>
  <si>
    <t>325902-2</t>
  </si>
  <si>
    <t>PERNO DE IMPACTO / HM1111C</t>
  </si>
  <si>
    <t>325903-0</t>
  </si>
  <si>
    <t>FUNDA PARA HOMBRO / HM1111C</t>
  </si>
  <si>
    <t>325905-6</t>
  </si>
  <si>
    <t>GOLPEADOR / HM1111C</t>
  </si>
  <si>
    <t>325912-9</t>
  </si>
  <si>
    <t>RETEN DE RESORTE / EBH340U</t>
  </si>
  <si>
    <t>325913-7</t>
  </si>
  <si>
    <t>VALVULA DE ESCAPE / EBH340U</t>
  </si>
  <si>
    <t>325914-5</t>
  </si>
  <si>
    <t>VALVULA DE ADMISION / EBH340U</t>
  </si>
  <si>
    <t>325939-9</t>
  </si>
  <si>
    <t>ENLACE DE CONECCION / EA3203S</t>
  </si>
  <si>
    <t>325947-0</t>
  </si>
  <si>
    <t>BOCINA 6 / EA3203S</t>
  </si>
  <si>
    <t>325948-8</t>
  </si>
  <si>
    <t>CIGUEÑAL /JS1000</t>
  </si>
  <si>
    <t>325949-6</t>
  </si>
  <si>
    <t>SELLO ACEITE /JS1000</t>
  </si>
  <si>
    <t>325976-3</t>
  </si>
  <si>
    <t>EJE DE LEVAS / DHR263</t>
  </si>
  <si>
    <t>325978-9</t>
  </si>
  <si>
    <t>325983-6</t>
  </si>
  <si>
    <t>EJE / CC300D - CC301D</t>
  </si>
  <si>
    <t>325991-7</t>
  </si>
  <si>
    <t>ANILLO DE PISTON 38 / EA3203S</t>
  </si>
  <si>
    <t>325992-5</t>
  </si>
  <si>
    <t>PASADOR DE PISTON / EA3203S</t>
  </si>
  <si>
    <t>326002-1</t>
  </si>
  <si>
    <t>326033-0</t>
  </si>
  <si>
    <t>326038-0</t>
  </si>
  <si>
    <t>BLOQUEO DE EJE / EK7650H</t>
  </si>
  <si>
    <t>326039-8</t>
  </si>
  <si>
    <t>326040-3</t>
  </si>
  <si>
    <t>VARILLA DE ACELERADOR / EK7651H</t>
  </si>
  <si>
    <t>326041-1</t>
  </si>
  <si>
    <t>VARILLA DE AHOGADOR / EK7651H</t>
  </si>
  <si>
    <t>326054-2</t>
  </si>
  <si>
    <t>MARTILLO  / DTD146</t>
  </si>
  <si>
    <t>326062-3</t>
  </si>
  <si>
    <t>EJE /EK7650H</t>
  </si>
  <si>
    <t>326066-5</t>
  </si>
  <si>
    <t>EJE / DTD146</t>
  </si>
  <si>
    <t>326068-1</t>
  </si>
  <si>
    <t>MANGUITO DE TRABA / VARIOS</t>
  </si>
  <si>
    <t>326069-9</t>
  </si>
  <si>
    <t>YUNQUE M / DTD146</t>
  </si>
  <si>
    <t>326088-5</t>
  </si>
  <si>
    <t>EJE A/VARIOS</t>
  </si>
  <si>
    <t>326092-4</t>
  </si>
  <si>
    <t>ALAMBRE DE BLOQUEO / JV0600</t>
  </si>
  <si>
    <t>326096-6</t>
  </si>
  <si>
    <t>326109-3</t>
  </si>
  <si>
    <t>326110-8</t>
  </si>
  <si>
    <t>MARTILLO / TD127D - DTW190</t>
  </si>
  <si>
    <t>326120-5</t>
  </si>
  <si>
    <t>EJE / PJ7000 - DPJ180</t>
  </si>
  <si>
    <t>326130-2</t>
  </si>
  <si>
    <t>HUSILLO VARIOS</t>
  </si>
  <si>
    <t>326139-4</t>
  </si>
  <si>
    <t>GOLPEADOR / DHR242</t>
  </si>
  <si>
    <t>326140-9</t>
  </si>
  <si>
    <t>EJE / DHR242</t>
  </si>
  <si>
    <t>326148-3</t>
  </si>
  <si>
    <t>RESORTE TAPA DE BUJIA / EK7651H</t>
  </si>
  <si>
    <t>326153-0</t>
  </si>
  <si>
    <t>EJE / EM4351UH</t>
  </si>
  <si>
    <t>326157-2</t>
  </si>
  <si>
    <t>VALVULA DE ADMISION / EM4350LH</t>
  </si>
  <si>
    <t>326158-0</t>
  </si>
  <si>
    <t>VALVULA DE ESCAPE / VARIOS</t>
  </si>
  <si>
    <t>326177-6</t>
  </si>
  <si>
    <t>INDICADOR DE ACEITE / EK7651H</t>
  </si>
  <si>
    <t>326188-1</t>
  </si>
  <si>
    <t>YUNQUE / TD127D - DTD156</t>
  </si>
  <si>
    <t>326198-8</t>
  </si>
  <si>
    <t>BOQUILLA 4.5 / PM7650H</t>
  </si>
  <si>
    <t>326200-7</t>
  </si>
  <si>
    <t>BASCULA / VARIOS</t>
  </si>
  <si>
    <t>326215-4</t>
  </si>
  <si>
    <t>HUSILLO /DA331D</t>
  </si>
  <si>
    <t>326243-9</t>
  </si>
  <si>
    <t>CHORRO / PM7650H</t>
  </si>
  <si>
    <t>326251-0</t>
  </si>
  <si>
    <t>EJE B / GS5000 - GS6000</t>
  </si>
  <si>
    <t>326257-8</t>
  </si>
  <si>
    <t>EJE / EN5950SH</t>
  </si>
  <si>
    <t>326268-3</t>
  </si>
  <si>
    <t>PORTA HERRAMIENTA / HR4013C - HR005G</t>
  </si>
  <si>
    <t>326270-6</t>
  </si>
  <si>
    <t>326271-4</t>
  </si>
  <si>
    <t>326272-2</t>
  </si>
  <si>
    <t>326273-0</t>
  </si>
  <si>
    <t>326274-8</t>
  </si>
  <si>
    <t>326278-0</t>
  </si>
  <si>
    <t>EJE / M0801K</t>
  </si>
  <si>
    <t>326280-3</t>
  </si>
  <si>
    <t>HUSILLO /DP2010-DP2011</t>
  </si>
  <si>
    <t>326300-3</t>
  </si>
  <si>
    <t>326310-0</t>
  </si>
  <si>
    <t>EJE DE AJUSTE/ VARIOS</t>
  </si>
  <si>
    <t>326351-6</t>
  </si>
  <si>
    <t>EJE DE LA PALANCA/VARIOS</t>
  </si>
  <si>
    <t>326360-5</t>
  </si>
  <si>
    <t>EJE / UC4041A</t>
  </si>
  <si>
    <t>326361-3</t>
  </si>
  <si>
    <t>326362-1</t>
  </si>
  <si>
    <t>PORTA HERRAMIENTA B / VARIOS</t>
  </si>
  <si>
    <t>326366-3</t>
  </si>
  <si>
    <t>326367-1</t>
  </si>
  <si>
    <t>VALVULA DE ADMISION / EN5950SH</t>
  </si>
  <si>
    <t>326373-6</t>
  </si>
  <si>
    <t>326375-2</t>
  </si>
  <si>
    <t>CONTRA PESO /VARIOS</t>
  </si>
  <si>
    <t>326377-8</t>
  </si>
  <si>
    <t>GOLPEADOR / HR5212C; 02C</t>
  </si>
  <si>
    <t>326384-1</t>
  </si>
  <si>
    <t>MARTILLO / DTW285</t>
  </si>
  <si>
    <t>326385-9</t>
  </si>
  <si>
    <t>EJE / DTW285</t>
  </si>
  <si>
    <t>326398-0</t>
  </si>
  <si>
    <t>VALVULA / DBN500</t>
  </si>
  <si>
    <t>326401-7</t>
  </si>
  <si>
    <t>VASTAGO DE VALVULA / DBN500</t>
  </si>
  <si>
    <t>326421-1</t>
  </si>
  <si>
    <t>GOLPEADOR / M8600</t>
  </si>
  <si>
    <t>326422-9</t>
  </si>
  <si>
    <t>BATIDOR/VARIOS</t>
  </si>
  <si>
    <t>326423-7</t>
  </si>
  <si>
    <t>PORTA HERRAMIENTA / M8600</t>
  </si>
  <si>
    <t>326427-9</t>
  </si>
  <si>
    <t>VARILLA</t>
  </si>
  <si>
    <t>326434-2</t>
  </si>
  <si>
    <t>EJE / M9002 - M9003</t>
  </si>
  <si>
    <t>326436-8</t>
  </si>
  <si>
    <t>326439-2</t>
  </si>
  <si>
    <t>EJE / M6600</t>
  </si>
  <si>
    <t>326444-9</t>
  </si>
  <si>
    <t>326447-3</t>
  </si>
  <si>
    <t>EJE FLEXIBLE/VARIOS</t>
  </si>
  <si>
    <t>326448-1</t>
  </si>
  <si>
    <t>EJE DE LEVAS / VARIOS</t>
  </si>
  <si>
    <t>326455-4</t>
  </si>
  <si>
    <t>EJE / M0901</t>
  </si>
  <si>
    <t>326459-6</t>
  </si>
  <si>
    <t>326469-3</t>
  </si>
  <si>
    <t>PERNO DE IMPACTO / HM1812 - HM1802</t>
  </si>
  <si>
    <t>326470-8</t>
  </si>
  <si>
    <t>GOLPEADOR / HM1812 - HM1802</t>
  </si>
  <si>
    <t>326471-6</t>
  </si>
  <si>
    <t>VARILLA / HM1812 - HM1802</t>
  </si>
  <si>
    <t>326488-9</t>
  </si>
  <si>
    <t>EJE /DFL650F</t>
  </si>
  <si>
    <t>326490-2</t>
  </si>
  <si>
    <t>ESPACIADOR /DFL650F</t>
  </si>
  <si>
    <t>326491-0</t>
  </si>
  <si>
    <t>UNION DE TRANSMISION /DFL650F-DFL651F</t>
  </si>
  <si>
    <t>326493-6</t>
  </si>
  <si>
    <t>EMPAQUE /BVF104</t>
  </si>
  <si>
    <t>326506-3</t>
  </si>
  <si>
    <t>YUNQUE M / DTD154 / DTD170</t>
  </si>
  <si>
    <t>326518-6</t>
  </si>
  <si>
    <t>ARANDELA DE ENCAJE A / DUR365U</t>
  </si>
  <si>
    <t>326530-6</t>
  </si>
  <si>
    <t>EJE/ VARIOS</t>
  </si>
  <si>
    <t>326555-0</t>
  </si>
  <si>
    <t>326557-6</t>
  </si>
  <si>
    <t>PASADOR DE BLOQUEO 8 / CA5000</t>
  </si>
  <si>
    <t>326561-5</t>
  </si>
  <si>
    <t>HUSILLO /M0400</t>
  </si>
  <si>
    <t>326562-3</t>
  </si>
  <si>
    <t>326563-1</t>
  </si>
  <si>
    <t>YUNQUE M / DTD152 - DTD153</t>
  </si>
  <si>
    <t>326564-9</t>
  </si>
  <si>
    <t>MARTILLO / DTD152 - DTD153</t>
  </si>
  <si>
    <t>326574-6</t>
  </si>
  <si>
    <t>EJE 10/ VARIOS</t>
  </si>
  <si>
    <t>326575-4</t>
  </si>
  <si>
    <t>326581-9</t>
  </si>
  <si>
    <t>BRIDA / BO6050</t>
  </si>
  <si>
    <t>326582-7</t>
  </si>
  <si>
    <t>CUBIERTA / BO6050</t>
  </si>
  <si>
    <t>326596-6</t>
  </si>
  <si>
    <t>326599-0</t>
  </si>
  <si>
    <t>PERNO DE BLOQUEO / DJR360</t>
  </si>
  <si>
    <t>326600-1</t>
  </si>
  <si>
    <t>EJE / M6201</t>
  </si>
  <si>
    <t>326611-6</t>
  </si>
  <si>
    <t>EJE / DTW1001 -DTW1002</t>
  </si>
  <si>
    <t>326612-4</t>
  </si>
  <si>
    <t>MARTILLO / DTW1001</t>
  </si>
  <si>
    <t>326613-2</t>
  </si>
  <si>
    <t>MARTILLO / DTW1002</t>
  </si>
  <si>
    <t>326624-7</t>
  </si>
  <si>
    <t>PASADOR DE BRIDA DE RESALTO / LW1400</t>
  </si>
  <si>
    <t>326635-2</t>
  </si>
  <si>
    <t>TUBO INFERIOR/VARIOS</t>
  </si>
  <si>
    <t>326636-0</t>
  </si>
  <si>
    <t>PALANCA DE INTERRUPTOR/VARIOS</t>
  </si>
  <si>
    <t>326640-9</t>
  </si>
  <si>
    <t>MANGUITO UNION /VARIOS</t>
  </si>
  <si>
    <t>326641-7</t>
  </si>
  <si>
    <t>326672-6</t>
  </si>
  <si>
    <t>326679-2</t>
  </si>
  <si>
    <t>ARANDELA DE FIJACION /DSD180-SD100D</t>
  </si>
  <si>
    <t>326680-7</t>
  </si>
  <si>
    <t>BLOQUEO DE ALAMBRE/DSD180-SD100D</t>
  </si>
  <si>
    <t>326691-2</t>
  </si>
  <si>
    <t>VALVULA ADMISION/VARIOS</t>
  </si>
  <si>
    <t>326692-0</t>
  </si>
  <si>
    <t>VALVULA ESCAPE/VARIOS</t>
  </si>
  <si>
    <t>326708-1</t>
  </si>
  <si>
    <t>HUSILLO /DFL650F-DFL651F</t>
  </si>
  <si>
    <t>326709-9</t>
  </si>
  <si>
    <t>ESPACIADOR /VARIOS</t>
  </si>
  <si>
    <t>326710-4</t>
  </si>
  <si>
    <t>EJE / DTD170</t>
  </si>
  <si>
    <t>326711-2</t>
  </si>
  <si>
    <t>MARTILLO / DTD154 - DTD170</t>
  </si>
  <si>
    <t>326735-8</t>
  </si>
  <si>
    <t>PESO DE EQUILIBRIO SUPERIOR / PO5000C - DPO500</t>
  </si>
  <si>
    <t>326736-6</t>
  </si>
  <si>
    <t>326754-4</t>
  </si>
  <si>
    <t>EJE A/EN410MP-HTCS2</t>
  </si>
  <si>
    <t>326769-1</t>
  </si>
  <si>
    <t>PASADOR / DLS600</t>
  </si>
  <si>
    <t>326783-7</t>
  </si>
  <si>
    <t>EJE / DTD154 - DTD170</t>
  </si>
  <si>
    <t>326790-0</t>
  </si>
  <si>
    <t>EJE / M2401</t>
  </si>
  <si>
    <t>326795-0</t>
  </si>
  <si>
    <t>VALVULA DE ADMISION / EB5300TH</t>
  </si>
  <si>
    <t>326796-8</t>
  </si>
  <si>
    <t>VALVULA DE ESCAPE / EB5300TH</t>
  </si>
  <si>
    <t>326798-4</t>
  </si>
  <si>
    <t>EJE A/EN420MP-EN424MP</t>
  </si>
  <si>
    <t>326803-7</t>
  </si>
  <si>
    <t>MANGUITO ADAPTADOR / TD111D - DTD155</t>
  </si>
  <si>
    <t>326813-4</t>
  </si>
  <si>
    <t>ANILLO 29/ DHK180</t>
  </si>
  <si>
    <t>326814-2</t>
  </si>
  <si>
    <t>CILINDRO/ DHK180</t>
  </si>
  <si>
    <t>326829-9</t>
  </si>
  <si>
    <t>EJE / M9510B-M9507</t>
  </si>
  <si>
    <t>326839-6</t>
  </si>
  <si>
    <t>HUSILLO 180N/ DFS251</t>
  </si>
  <si>
    <t>326840-1</t>
  </si>
  <si>
    <t>326849-3</t>
  </si>
  <si>
    <t>LEVA EMBRAGUE/VARIOS</t>
  </si>
  <si>
    <t>326850-8</t>
  </si>
  <si>
    <t>PASADOR TRABADOR / DHR242</t>
  </si>
  <si>
    <t>326854-0</t>
  </si>
  <si>
    <t>EJE DE CABEZAL / EM403MP - EM405MP</t>
  </si>
  <si>
    <t>326877-8</t>
  </si>
  <si>
    <t>326888-3</t>
  </si>
  <si>
    <t>ANILLO 10 / HR1840 - DHR182</t>
  </si>
  <si>
    <t>326890-6</t>
  </si>
  <si>
    <t>CILINDRO PISTON</t>
  </si>
  <si>
    <t>326901-7</t>
  </si>
  <si>
    <t>TUBO DE GUIA / VARIOS</t>
  </si>
  <si>
    <t>326903-3</t>
  </si>
  <si>
    <t>PERNO GUIA / VARIOS</t>
  </si>
  <si>
    <t>326904-1</t>
  </si>
  <si>
    <t>PESO/DFN350</t>
  </si>
  <si>
    <t>326924-5</t>
  </si>
  <si>
    <t>EJE DE LA CORTADORA / VARIOS</t>
  </si>
  <si>
    <t>326941-5</t>
  </si>
  <si>
    <t>326963-5</t>
  </si>
  <si>
    <t>326969-3</t>
  </si>
  <si>
    <t>326970-8</t>
  </si>
  <si>
    <t>326971-6</t>
  </si>
  <si>
    <t>VARILLA DE BLOQUEO / VARIOS</t>
  </si>
  <si>
    <t>326972-4</t>
  </si>
  <si>
    <t>SOPORTE DE CUCHILLA  / VARIOS</t>
  </si>
  <si>
    <t>326973-2</t>
  </si>
  <si>
    <t>SOPORTE DE LA CUCHILLA 12 / VARIOS</t>
  </si>
  <si>
    <t>326975-8</t>
  </si>
  <si>
    <t>326976-6</t>
  </si>
  <si>
    <t>EJE CENTRAL / VARIOS</t>
  </si>
  <si>
    <t>326977-4</t>
  </si>
  <si>
    <t>PASADOR CON RESALTO Y CABEZA / VARIOS</t>
  </si>
  <si>
    <t>326978-2</t>
  </si>
  <si>
    <t>SUJETADOR 200 / VARIOS</t>
  </si>
  <si>
    <t>326980-5</t>
  </si>
  <si>
    <t>PERNO HEX. 10-19 / UNIVERSAL</t>
  </si>
  <si>
    <t>326983-9</t>
  </si>
  <si>
    <t>DESLIZADOR/ VARIOS</t>
  </si>
  <si>
    <t>326987-1</t>
  </si>
  <si>
    <t>PASADOR 9 - 365 / VARIOS</t>
  </si>
  <si>
    <t>326994-4</t>
  </si>
  <si>
    <t>SOPORTE DE LA CUCHILLA 16 / VARIOS</t>
  </si>
  <si>
    <t>327007-4</t>
  </si>
  <si>
    <t>GOLPEADOR / DHR171 - DHR183</t>
  </si>
  <si>
    <t>327014-7</t>
  </si>
  <si>
    <t>EJE / VR1000</t>
  </si>
  <si>
    <t>327015-5</t>
  </si>
  <si>
    <t>HUSILLO / DA333D</t>
  </si>
  <si>
    <t>327028-6</t>
  </si>
  <si>
    <t>CILINDRO PRINCIPAL / DBN600</t>
  </si>
  <si>
    <t>327029-4</t>
  </si>
  <si>
    <t>CILINDRO / DBN600</t>
  </si>
  <si>
    <t>327030-9</t>
  </si>
  <si>
    <t>327032-5</t>
  </si>
  <si>
    <t>CONTACTO SUPERIOR / DBN600</t>
  </si>
  <si>
    <t>327033-3</t>
  </si>
  <si>
    <t>EJE DE AJUSTE / DBN600</t>
  </si>
  <si>
    <t>327039-1</t>
  </si>
  <si>
    <t>BRIDA DE TRANSMISION / HR1840 - DHR182</t>
  </si>
  <si>
    <t>327043-0</t>
  </si>
  <si>
    <t>GUIA / VARIOS</t>
  </si>
  <si>
    <t>327045-6</t>
  </si>
  <si>
    <t>327046-4</t>
  </si>
  <si>
    <t>HUSILLO/VARIOS</t>
  </si>
  <si>
    <t>327048-0</t>
  </si>
  <si>
    <t>BLOQUE DE PROTECCION / VARIOS</t>
  </si>
  <si>
    <t>327054-5</t>
  </si>
  <si>
    <t>327056-1</t>
  </si>
  <si>
    <t>327065-0</t>
  </si>
  <si>
    <t>PROTECTOR DE ALAMBRE / UR100D</t>
  </si>
  <si>
    <t>327074-9</t>
  </si>
  <si>
    <t>PASADOR TIPO U / DHW080</t>
  </si>
  <si>
    <t>327075-7</t>
  </si>
  <si>
    <t>PASADOR DE PISTON 12 / VARIOS</t>
  </si>
  <si>
    <t>327076-5</t>
  </si>
  <si>
    <t>327078-1</t>
  </si>
  <si>
    <t>ARBOL DE LEVAS /VARIOS</t>
  </si>
  <si>
    <t>327079-9</t>
  </si>
  <si>
    <t>CILINDRO DE PISTON/VARIOS</t>
  </si>
  <si>
    <t>327106-2</t>
  </si>
  <si>
    <t>327114-3</t>
  </si>
  <si>
    <t>MARTILLO / DTD171</t>
  </si>
  <si>
    <t>327120-8</t>
  </si>
  <si>
    <t>TORNILLO DE AJUSTE / UNIVERSAL</t>
  </si>
  <si>
    <t>327127-4</t>
  </si>
  <si>
    <t>327132-1</t>
  </si>
  <si>
    <t>327142-8</t>
  </si>
  <si>
    <t>CIGUEÑAL/VARIOS</t>
  </si>
  <si>
    <t>327153-3</t>
  </si>
  <si>
    <t>RODILLO F / JR3061T</t>
  </si>
  <si>
    <t>327155-9</t>
  </si>
  <si>
    <t>MARTILLO / DTD154</t>
  </si>
  <si>
    <t>327192-3</t>
  </si>
  <si>
    <t>EJE PRINCIPAL/ VARIOS</t>
  </si>
  <si>
    <t>327200-0</t>
  </si>
  <si>
    <t>MARTILLO / DTW181 - TW161D</t>
  </si>
  <si>
    <t>327202-6</t>
  </si>
  <si>
    <t>ENTUBADO / VARIOS</t>
  </si>
  <si>
    <t>327207-6</t>
  </si>
  <si>
    <t>VARIOS / DLM460</t>
  </si>
  <si>
    <t>327208-4</t>
  </si>
  <si>
    <t>PALANCA DE INTERRUPTOR / DLM460</t>
  </si>
  <si>
    <t>327209-2</t>
  </si>
  <si>
    <t>SOPORTE DE CUCHILLA 6 / VARIOS</t>
  </si>
  <si>
    <t>327215-7</t>
  </si>
  <si>
    <t>GOLPEADOR / DHR182</t>
  </si>
  <si>
    <t>327216-5</t>
  </si>
  <si>
    <t>ROTULA / DHR182</t>
  </si>
  <si>
    <t>327217-3</t>
  </si>
  <si>
    <t>EMBRAGUE / DHR182</t>
  </si>
  <si>
    <t>327220-4</t>
  </si>
  <si>
    <t>EJE / HP1630K - M8100K</t>
  </si>
  <si>
    <t>327241-6</t>
  </si>
  <si>
    <t>EJE DE TRANSMISION / VARIOS</t>
  </si>
  <si>
    <t>327244-0</t>
  </si>
  <si>
    <t>EJE / DHS660</t>
  </si>
  <si>
    <t>327245-8</t>
  </si>
  <si>
    <t>327266-0</t>
  </si>
  <si>
    <t>GOLPEADOR/ VARIOS</t>
  </si>
  <si>
    <t>327268-6</t>
  </si>
  <si>
    <t>ANILLO 11 / VARIOS</t>
  </si>
  <si>
    <t>327271-7</t>
  </si>
  <si>
    <t>ARANDELA 11 / VARIOS</t>
  </si>
  <si>
    <t>327273-3</t>
  </si>
  <si>
    <t>327276-7</t>
  </si>
  <si>
    <t>MANGUITO DE TRANSMISION / VARIOS</t>
  </si>
  <si>
    <t>327277-5</t>
  </si>
  <si>
    <t>327279-1</t>
  </si>
  <si>
    <t>CABEZAL 6.4 / VARIOS</t>
  </si>
  <si>
    <t>327280-6</t>
  </si>
  <si>
    <t>JUNTA 6.4 / DRV250</t>
  </si>
  <si>
    <t>327281-4</t>
  </si>
  <si>
    <t>CARCASA DE LAS MORDAZAS / VARIOS</t>
  </si>
  <si>
    <t>327284-8</t>
  </si>
  <si>
    <t>TUBO 4.8 / DVR150</t>
  </si>
  <si>
    <t>327285-6</t>
  </si>
  <si>
    <t>UNION / DVR150</t>
  </si>
  <si>
    <t>327315-3</t>
  </si>
  <si>
    <t>VARA 12 / LS1219L</t>
  </si>
  <si>
    <t>327317-9</t>
  </si>
  <si>
    <t>327318-7</t>
  </si>
  <si>
    <t>327322-6</t>
  </si>
  <si>
    <t>SOPORTE 4 / VARIOS</t>
  </si>
  <si>
    <t>327328-4</t>
  </si>
  <si>
    <t>TUBO DE GUIA / DFN350</t>
  </si>
  <si>
    <t>327333-1</t>
  </si>
  <si>
    <t>SOPORTE DE CUCHILLA / DHW080</t>
  </si>
  <si>
    <t>327334-9</t>
  </si>
  <si>
    <t>MARTILLO / TW141D</t>
  </si>
  <si>
    <t>327376-3</t>
  </si>
  <si>
    <t>327409-4</t>
  </si>
  <si>
    <t>VARILLA DE COLECTOR TRASERO / DLM132</t>
  </si>
  <si>
    <t>327413-3</t>
  </si>
  <si>
    <t>TUBO INFERIOR / DLM382</t>
  </si>
  <si>
    <t>327421-4</t>
  </si>
  <si>
    <t>MANGO SUPERIOR / VARIOS</t>
  </si>
  <si>
    <t>327422-2</t>
  </si>
  <si>
    <t>MANGO INFERIOR / VARIOS</t>
  </si>
  <si>
    <t>327424-8</t>
  </si>
  <si>
    <t>327425-6</t>
  </si>
  <si>
    <t>PALANCA DE CLAVADO / VARIOS</t>
  </si>
  <si>
    <t>327426-4</t>
  </si>
  <si>
    <t>SUJETADOR DE EJE TRASERO / VARIOS</t>
  </si>
  <si>
    <t>327435-3</t>
  </si>
  <si>
    <t>327441-8</t>
  </si>
  <si>
    <t>CUÑA / JR3051T</t>
  </si>
  <si>
    <t>327459-9</t>
  </si>
  <si>
    <t>327460-4</t>
  </si>
  <si>
    <t>327491-3</t>
  </si>
  <si>
    <t>MANGO INFERIOR / DLM533</t>
  </si>
  <si>
    <t>327514-7</t>
  </si>
  <si>
    <t>PASADOR DE RETENCION / DUN500W</t>
  </si>
  <si>
    <t>327516-3</t>
  </si>
  <si>
    <t>327524-4</t>
  </si>
  <si>
    <t>EJE / TD001G</t>
  </si>
  <si>
    <t>327525-2</t>
  </si>
  <si>
    <t>327532-5</t>
  </si>
  <si>
    <t>327535-9</t>
  </si>
  <si>
    <t>CONECTOR / VARIOS</t>
  </si>
  <si>
    <t>327555-3</t>
  </si>
  <si>
    <t>327572-3</t>
  </si>
  <si>
    <t>MARTILLO / DTW300</t>
  </si>
  <si>
    <t>327573-1</t>
  </si>
  <si>
    <t>327594-3</t>
  </si>
  <si>
    <t>EJE / TW001G</t>
  </si>
  <si>
    <t>327595-1</t>
  </si>
  <si>
    <t>327606-2</t>
  </si>
  <si>
    <t>327623-2</t>
  </si>
  <si>
    <t>327624-0</t>
  </si>
  <si>
    <t>327637-1</t>
  </si>
  <si>
    <t>GUARDA / DPB183</t>
  </si>
  <si>
    <t>327648-6</t>
  </si>
  <si>
    <t>MARTILLO/TW004G - TW005G</t>
  </si>
  <si>
    <t>327650-9</t>
  </si>
  <si>
    <t>GUIA DE MANGUITO / VARIOS</t>
  </si>
  <si>
    <t>327660-6</t>
  </si>
  <si>
    <t>CIGÜEÑAL / HM1512</t>
  </si>
  <si>
    <t>327661-4</t>
  </si>
  <si>
    <t>327662-2</t>
  </si>
  <si>
    <t>CILINDRO 59 / VARIOS</t>
  </si>
  <si>
    <t>327663-0</t>
  </si>
  <si>
    <t>327664-8</t>
  </si>
  <si>
    <t>ARANDELA 65 / UNIVERSAL</t>
  </si>
  <si>
    <t>327665-6</t>
  </si>
  <si>
    <t>327666-4</t>
  </si>
  <si>
    <t>ANILLO FIJADOR 30A / VARIOS</t>
  </si>
  <si>
    <t>327667-2</t>
  </si>
  <si>
    <t>ANILLO FIJADOR 30 B / VARIOS</t>
  </si>
  <si>
    <t>327669-8</t>
  </si>
  <si>
    <t>PERNO DE IMPACTO/HM1502-HM1512</t>
  </si>
  <si>
    <t>327678-7</t>
  </si>
  <si>
    <t>EJE DE CUCHILLA / DUR192L</t>
  </si>
  <si>
    <t>327679-5</t>
  </si>
  <si>
    <t>327680-0</t>
  </si>
  <si>
    <t>SOPORTE INTERNO / HM1512</t>
  </si>
  <si>
    <t>327687-6</t>
  </si>
  <si>
    <t>ADAPTADOR D / DG001G, DDG460</t>
  </si>
  <si>
    <t>327689-2</t>
  </si>
  <si>
    <t>EJE / TW005G</t>
  </si>
  <si>
    <t>327693-1</t>
  </si>
  <si>
    <t>327694-9</t>
  </si>
  <si>
    <t>CILINDRO 32 / HM001G</t>
  </si>
  <si>
    <t>327729-6</t>
  </si>
  <si>
    <t>CIGÜEÑAL/HR006G</t>
  </si>
  <si>
    <t>327730-1</t>
  </si>
  <si>
    <t>CILINDRO 40 / HR006G</t>
  </si>
  <si>
    <t>327731-9</t>
  </si>
  <si>
    <t>GOLPEADOR / HR006G</t>
  </si>
  <si>
    <t>327734-3</t>
  </si>
  <si>
    <t>ARANDELA 20 / HR006G</t>
  </si>
  <si>
    <t>327735-1</t>
  </si>
  <si>
    <t>327739-3</t>
  </si>
  <si>
    <t>COLPEADOR / HM002G</t>
  </si>
  <si>
    <t>327740-8</t>
  </si>
  <si>
    <t>CIGÜEÑAL / HM002G</t>
  </si>
  <si>
    <t>327741-6</t>
  </si>
  <si>
    <t>CILINDRO 40 / VARIOS</t>
  </si>
  <si>
    <t>327743-2</t>
  </si>
  <si>
    <t>327760-2</t>
  </si>
  <si>
    <t>PASADOR DE TOPE / VARIOS</t>
  </si>
  <si>
    <t>327769-4</t>
  </si>
  <si>
    <t>327778-3</t>
  </si>
  <si>
    <t>327804-8</t>
  </si>
  <si>
    <t>MARTILLO / TW007G - TW008G</t>
  </si>
  <si>
    <t>327807-2</t>
  </si>
  <si>
    <t>EJE / DBO481</t>
  </si>
  <si>
    <t>327810-3</t>
  </si>
  <si>
    <t>PROTECTOR DE BATERIA/DUN461W</t>
  </si>
  <si>
    <t>327824-2</t>
  </si>
  <si>
    <t>MARTILLO / DBO481</t>
  </si>
  <si>
    <t>327837-3</t>
  </si>
  <si>
    <t>MANGO 22 R/UR006G</t>
  </si>
  <si>
    <t>327845-4</t>
  </si>
  <si>
    <t>EJE TRANSMISION/UR012G</t>
  </si>
  <si>
    <t>327868-2</t>
  </si>
  <si>
    <t>ANILLO DE RETENCION / HR006G</t>
  </si>
  <si>
    <t>327890-9</t>
  </si>
  <si>
    <t>327916-7</t>
  </si>
  <si>
    <t>327918-3</t>
  </si>
  <si>
    <t>MANGA PRESION / VARIOS</t>
  </si>
  <si>
    <t>327924-8</t>
  </si>
  <si>
    <t>327947-6</t>
  </si>
  <si>
    <t>EJE / PB002G</t>
  </si>
  <si>
    <t>327958-1</t>
  </si>
  <si>
    <t>TORNILLO DE AJUSTE / VARIOS</t>
  </si>
  <si>
    <t>327984-0</t>
  </si>
  <si>
    <t>327985-8</t>
  </si>
  <si>
    <t>327A07-0</t>
  </si>
  <si>
    <t>GOLPEADOR / HM1512</t>
  </si>
  <si>
    <t>327A24-0</t>
  </si>
  <si>
    <t>327A29-0</t>
  </si>
  <si>
    <t>327A77-9</t>
  </si>
  <si>
    <t>GOLPEADOR</t>
  </si>
  <si>
    <t>327A89-2</t>
  </si>
  <si>
    <t>327B24-6</t>
  </si>
  <si>
    <t>327C11-1</t>
  </si>
  <si>
    <t>EJE DELANTERO / RM350D</t>
  </si>
  <si>
    <t>327C19-5</t>
  </si>
  <si>
    <t>EJE / DDG461 - DG002G</t>
  </si>
  <si>
    <t>330026-000</t>
  </si>
  <si>
    <t>DISPENSADOR DE AIRE SJ401</t>
  </si>
  <si>
    <t>330029-000</t>
  </si>
  <si>
    <t>CUBIERTA DE PASADOR / SJ401</t>
  </si>
  <si>
    <t>331165-0</t>
  </si>
  <si>
    <t>PROTECTOR SUJETADOR DE CUCHILLA / JS3201</t>
  </si>
  <si>
    <t>331167-6</t>
  </si>
  <si>
    <t>SOPORTE DE CUCHILLA / VARIOS</t>
  </si>
  <si>
    <t>331273-7</t>
  </si>
  <si>
    <t>331329-6</t>
  </si>
  <si>
    <t>CRUCETA / VARIOS</t>
  </si>
  <si>
    <t>331450-1</t>
  </si>
  <si>
    <t>MANGUITO 12 / 9031</t>
  </si>
  <si>
    <t>331518-3</t>
  </si>
  <si>
    <t>331534-5</t>
  </si>
  <si>
    <t>CILINDRO / HR5001C</t>
  </si>
  <si>
    <t>331557-3</t>
  </si>
  <si>
    <t>ANILLLO 29 / HR3000C</t>
  </si>
  <si>
    <t>331558-1</t>
  </si>
  <si>
    <t>MANGUITO DE TRANSMISION / HR3000C</t>
  </si>
  <si>
    <t>331559-9</t>
  </si>
  <si>
    <t>CILINDRO 25 / HR3000C</t>
  </si>
  <si>
    <t>331563-8</t>
  </si>
  <si>
    <t>MANGUITO 50 / HR3000C</t>
  </si>
  <si>
    <t>331568-8</t>
  </si>
  <si>
    <t>TUBO 9 / N5900B</t>
  </si>
  <si>
    <t>331596-3</t>
  </si>
  <si>
    <t>331600-8</t>
  </si>
  <si>
    <t>CILINDRO LINEAL / HM750</t>
  </si>
  <si>
    <t>331632-5</t>
  </si>
  <si>
    <t>CILNDRO DE PISTON / VARIOS</t>
  </si>
  <si>
    <t>331644-8</t>
  </si>
  <si>
    <t>CAJA RESORTE P/4112SP</t>
  </si>
  <si>
    <t>331648-0</t>
  </si>
  <si>
    <t>TUBO 20 - 128 / VARIOS</t>
  </si>
  <si>
    <t>331658-7</t>
  </si>
  <si>
    <t>CILINDRO 32 / VARIOS</t>
  </si>
  <si>
    <t>331659-5</t>
  </si>
  <si>
    <t>331660-0</t>
  </si>
  <si>
    <t>331694-3</t>
  </si>
  <si>
    <t>CILINDRO LINEAL 62 / HM1810</t>
  </si>
  <si>
    <t>331706-2</t>
  </si>
  <si>
    <t>LEVA DE EMBRAGUE / HR1830 - DHR165</t>
  </si>
  <si>
    <t>331708-8</t>
  </si>
  <si>
    <t>CILINDRO PISTON / HR1830 - DHR165</t>
  </si>
  <si>
    <t>331709-6</t>
  </si>
  <si>
    <t>331718-5</t>
  </si>
  <si>
    <t>331719-3</t>
  </si>
  <si>
    <t>TUBO 9 / 5007NK</t>
  </si>
  <si>
    <t>331734-7</t>
  </si>
  <si>
    <t>EMBRAGUE / HR2230</t>
  </si>
  <si>
    <t>331745-2</t>
  </si>
  <si>
    <t>CILINDRO 22 / HM1213C</t>
  </si>
  <si>
    <t>331748-6</t>
  </si>
  <si>
    <t>CILINDRO 40 / HR5202C - HR5211C</t>
  </si>
  <si>
    <t>331769-8</t>
  </si>
  <si>
    <t>MANGUITO 9 / VARIOS</t>
  </si>
  <si>
    <t>331770-3</t>
  </si>
  <si>
    <t>PIÑON DE TRASMISION / HR2810</t>
  </si>
  <si>
    <t>331776-1</t>
  </si>
  <si>
    <t>CILINDRO / HR2810 - HR2810T</t>
  </si>
  <si>
    <t>331794-9</t>
  </si>
  <si>
    <t>CILINDRO 25 / HR3210C</t>
  </si>
  <si>
    <t>331795-7</t>
  </si>
  <si>
    <t>MANGUITO DE TRANSMISION / HR3210C</t>
  </si>
  <si>
    <t>331815-7</t>
  </si>
  <si>
    <t>LEVA DE EMBRAGUE B/VARIOS</t>
  </si>
  <si>
    <t>331848-2</t>
  </si>
  <si>
    <t>CILINDRO 40 / HM1203C - HM1213C</t>
  </si>
  <si>
    <t>331854-7</t>
  </si>
  <si>
    <t>331855-5</t>
  </si>
  <si>
    <t>331856-3</t>
  </si>
  <si>
    <t>CILINDRO 40 / HM1214C</t>
  </si>
  <si>
    <t>331862-8</t>
  </si>
  <si>
    <t>MANGO 19 / VARIOS</t>
  </si>
  <si>
    <t>331863-6</t>
  </si>
  <si>
    <t>MANGO 22 / VARIOS</t>
  </si>
  <si>
    <t>331866-0</t>
  </si>
  <si>
    <t>331867-8</t>
  </si>
  <si>
    <t>CONTRAPESO / HM1317CB</t>
  </si>
  <si>
    <t>331868-6</t>
  </si>
  <si>
    <t>MANGUITO DESLIZANTE / HM1317CB</t>
  </si>
  <si>
    <t>331869-4</t>
  </si>
  <si>
    <t>EJE SECUNDARIO / HM1317CB</t>
  </si>
  <si>
    <t>331870-9</t>
  </si>
  <si>
    <t>CILINDRO 52 / HM1317CB - HM1307CB</t>
  </si>
  <si>
    <t>331871-7</t>
  </si>
  <si>
    <t>CIGUEÑAL / HM1317CB - HM1307CB</t>
  </si>
  <si>
    <t>331886-4</t>
  </si>
  <si>
    <t>331890-3</t>
  </si>
  <si>
    <t>FUNDA CILINDRICA / VARIOS</t>
  </si>
  <si>
    <t>331892-9</t>
  </si>
  <si>
    <t>CILINDRO 35 / HM1111C</t>
  </si>
  <si>
    <t>331897-9</t>
  </si>
  <si>
    <t>BOLA / EK7650H</t>
  </si>
  <si>
    <t>331911-1</t>
  </si>
  <si>
    <t>CILINDRO 10 / HM1111C</t>
  </si>
  <si>
    <t>331925-0</t>
  </si>
  <si>
    <t>331937-3</t>
  </si>
  <si>
    <t>331938-1</t>
  </si>
  <si>
    <t>ARANDELA DE ENCAJE / EBH340U</t>
  </si>
  <si>
    <t>331940-4</t>
  </si>
  <si>
    <t>MANGO DELANTERO /EK7650H</t>
  </si>
  <si>
    <t>331963-2</t>
  </si>
  <si>
    <t>MANGUITO DE GUIA / VARIOS</t>
  </si>
  <si>
    <t>331964-0</t>
  </si>
  <si>
    <t>VALVULA DE ADMISION / VARIOS</t>
  </si>
  <si>
    <t>331965-8</t>
  </si>
  <si>
    <t>331966-6</t>
  </si>
  <si>
    <t>RETENEDOR  / VARIOS</t>
  </si>
  <si>
    <t>331967-4</t>
  </si>
  <si>
    <t>CHAVETA / VARIOS</t>
  </si>
  <si>
    <t>331969-0</t>
  </si>
  <si>
    <t>GUIA DE VALVULA / VARIOS</t>
  </si>
  <si>
    <t>331970-5</t>
  </si>
  <si>
    <t>ESPACIADOR 17 / EK7650H</t>
  </si>
  <si>
    <t>331987-8</t>
  </si>
  <si>
    <t>SEPARADOR PUERTO DE ESCAPE / VARIOS</t>
  </si>
  <si>
    <t>331988-6</t>
  </si>
  <si>
    <t>331990-9</t>
  </si>
  <si>
    <t>331991-7</t>
  </si>
  <si>
    <t>SEGURO DE VALVULA / VARIOS</t>
  </si>
  <si>
    <t>331992-5</t>
  </si>
  <si>
    <t>331993-3</t>
  </si>
  <si>
    <t>CAMBIO DE EMBRAGUE / VARIOS</t>
  </si>
  <si>
    <t>332042-9</t>
  </si>
  <si>
    <t>332046-1</t>
  </si>
  <si>
    <t>CUERDA GUIA / VARIOS</t>
  </si>
  <si>
    <t>332055-0</t>
  </si>
  <si>
    <t>332058-4</t>
  </si>
  <si>
    <t>BARRA GUIA / VARIOS</t>
  </si>
  <si>
    <t>332059-2</t>
  </si>
  <si>
    <t>332063-1</t>
  </si>
  <si>
    <t>CILINDRO 28.5 / HR4013C - DHR400</t>
  </si>
  <si>
    <t>332092-4</t>
  </si>
  <si>
    <t>TUBO 21.5 /HR5212C</t>
  </si>
  <si>
    <t>332093-2</t>
  </si>
  <si>
    <t>332099-0</t>
  </si>
  <si>
    <t>CILINDRO PRINCIPAL / DBN500</t>
  </si>
  <si>
    <t>332101-9</t>
  </si>
  <si>
    <t>TUBO 12 / DBN500</t>
  </si>
  <si>
    <t>332114-0</t>
  </si>
  <si>
    <t>332123-9</t>
  </si>
  <si>
    <t>MANGO 19 / EM3400U</t>
  </si>
  <si>
    <t>332125-5</t>
  </si>
  <si>
    <t>LEVA DE EMBRAGUE / VARIOS</t>
  </si>
  <si>
    <t>332127-1</t>
  </si>
  <si>
    <t>ARANDELA 42 / HM1812 - HM1802</t>
  </si>
  <si>
    <t>332129-7</t>
  </si>
  <si>
    <t>ANILLO ESPIRAL / VARIOS</t>
  </si>
  <si>
    <t>332130-2</t>
  </si>
  <si>
    <t>CILINDRO 66 / HM1812 - HM1802</t>
  </si>
  <si>
    <t>332131-0</t>
  </si>
  <si>
    <t>ESPACIADOR / HM1812 - HM1802</t>
  </si>
  <si>
    <t>332139-4</t>
  </si>
  <si>
    <t>341195-3</t>
  </si>
  <si>
    <t>PLACA DE EQUILIBRIO / 9401</t>
  </si>
  <si>
    <t>341462-6</t>
  </si>
  <si>
    <t>PLACA / JR3050T</t>
  </si>
  <si>
    <t>341685-6</t>
  </si>
  <si>
    <t>CUBIERTA DE METAL A / 2012NB</t>
  </si>
  <si>
    <t>341718-7</t>
  </si>
  <si>
    <t>PLACA DE BLOQUEO / 4131</t>
  </si>
  <si>
    <t>341741-2</t>
  </si>
  <si>
    <t>CUBIERTA DE PORTA CARBON / HM1201</t>
  </si>
  <si>
    <t>341860-4</t>
  </si>
  <si>
    <t>BASE DE LA EMPUÑADURA / HM1201</t>
  </si>
  <si>
    <t>341861-2</t>
  </si>
  <si>
    <t>ABRAZADERA DE MANGO / HM1201</t>
  </si>
  <si>
    <t>341862-0</t>
  </si>
  <si>
    <t>ANILLO INTERNO 36 / HM1201</t>
  </si>
  <si>
    <t>341914-7</t>
  </si>
  <si>
    <t>ABRAZADERA DE MANGO / HM0810T</t>
  </si>
  <si>
    <t>341922-8</t>
  </si>
  <si>
    <t>BASE DE LA EMPUÑADURA / HM0810 - HM0810T</t>
  </si>
  <si>
    <t>342152-4</t>
  </si>
  <si>
    <t>ZAPATA PLANA / 9031</t>
  </si>
  <si>
    <t>342165-5</t>
  </si>
  <si>
    <t>PLACA DE AJUSTE / 1805N</t>
  </si>
  <si>
    <t>342291-0</t>
  </si>
  <si>
    <t>SUJETADOR DE TUBO / 4100NB - 4100HN</t>
  </si>
  <si>
    <t>342331-4</t>
  </si>
  <si>
    <t>TAPA BASE / 9401</t>
  </si>
  <si>
    <t>342430-2</t>
  </si>
  <si>
    <t>PLACA DE AJUSTE / KP0800</t>
  </si>
  <si>
    <t>342472-6</t>
  </si>
  <si>
    <t>BANDA DE CUBIERTA / 9105</t>
  </si>
  <si>
    <t>342679-4</t>
  </si>
  <si>
    <t>PLACA PRENSA/VARIOS</t>
  </si>
  <si>
    <t>342907-7</t>
  </si>
  <si>
    <t>PLACA DE PALANCA / 4131</t>
  </si>
  <si>
    <t>342986-5</t>
  </si>
  <si>
    <t>ABRAZADERA / VARIOS</t>
  </si>
  <si>
    <t>343077-5</t>
  </si>
  <si>
    <t>DEFLECTOR / 6016</t>
  </si>
  <si>
    <t>343165-8</t>
  </si>
  <si>
    <t>TAPA CORREA / 9401</t>
  </si>
  <si>
    <t>343166-6</t>
  </si>
  <si>
    <t>SEPARADOR / 9401</t>
  </si>
  <si>
    <t>343293-9</t>
  </si>
  <si>
    <t>CUBIERTA DE FAJA / 1805N</t>
  </si>
  <si>
    <t>343433-9</t>
  </si>
  <si>
    <t>PORTA CUCHILLA / VARIOS</t>
  </si>
  <si>
    <t>343480-0</t>
  </si>
  <si>
    <t>PLATO DESLIZADOR / VARIOS</t>
  </si>
  <si>
    <t>343481-8</t>
  </si>
  <si>
    <t>343540-8</t>
  </si>
  <si>
    <t>PORTA SIERRA / VARIOS</t>
  </si>
  <si>
    <t>343577-5</t>
  </si>
  <si>
    <t>GUIA 10 / VARIOS</t>
  </si>
  <si>
    <t>343638-1</t>
  </si>
  <si>
    <t>SOPORTE DE RESORTE / VARIOS</t>
  </si>
  <si>
    <t>343639-9</t>
  </si>
  <si>
    <t>PLACA CENTRAL/VARIOS</t>
  </si>
  <si>
    <t>343641-2</t>
  </si>
  <si>
    <t>343682-8</t>
  </si>
  <si>
    <t>PLACA DE FIJACION / 2012NB</t>
  </si>
  <si>
    <t>343758-1</t>
  </si>
  <si>
    <t>PROTECTOR / 4131</t>
  </si>
  <si>
    <t>343759-9</t>
  </si>
  <si>
    <t>ANILLO DE RETENCION / 4131</t>
  </si>
  <si>
    <t>343799-7</t>
  </si>
  <si>
    <t>343832-5</t>
  </si>
  <si>
    <t>TRABADOR DE DISCO / 4131</t>
  </si>
  <si>
    <t>343844-8</t>
  </si>
  <si>
    <t>CUBIERTA DE METAL B / 2012NB</t>
  </si>
  <si>
    <t>343948-6</t>
  </si>
  <si>
    <t>CUBIERTA TAMBOR / 1923H</t>
  </si>
  <si>
    <t>344068-9</t>
  </si>
  <si>
    <t>344089-1</t>
  </si>
  <si>
    <t>PLACA DE TOPE / 2414NB</t>
  </si>
  <si>
    <t>344097-2</t>
  </si>
  <si>
    <t>PALANCA DE FIJACION  / 3612</t>
  </si>
  <si>
    <t>344118-0</t>
  </si>
  <si>
    <t>344119-8</t>
  </si>
  <si>
    <t>PLACA GUIA /VARIOS</t>
  </si>
  <si>
    <t>344142-3</t>
  </si>
  <si>
    <t>CUBIERTA INFERIOR / 9046</t>
  </si>
  <si>
    <t>344143-1</t>
  </si>
  <si>
    <t>PLACA / 9046</t>
  </si>
  <si>
    <t>344377-6</t>
  </si>
  <si>
    <t>PLACA DE ENLACE / LS1040 - LS1040F</t>
  </si>
  <si>
    <t>344380-7</t>
  </si>
  <si>
    <t>TAPA CENTRAL / LS1040 - LS1040F</t>
  </si>
  <si>
    <t>344381-5</t>
  </si>
  <si>
    <t>RESORTE DE EMPUÑADURA / LS1040 - LS1040F</t>
  </si>
  <si>
    <t>344385-7</t>
  </si>
  <si>
    <t>PUNTERO / LS1040 - LS1040F</t>
  </si>
  <si>
    <t>344463-3</t>
  </si>
  <si>
    <t>PLACA DE LA GUIA / LS1221</t>
  </si>
  <si>
    <t>344464-1</t>
  </si>
  <si>
    <t>SOPORTE DE RESORTE / LS1040 - LS1040F</t>
  </si>
  <si>
    <t>344476-4</t>
  </si>
  <si>
    <t>PLACA DE GUIA AUXILIAR / LS1040 - LS1040F</t>
  </si>
  <si>
    <t>344529-9</t>
  </si>
  <si>
    <t>ASIENTO DE DESLIZAMIENTO / 2704</t>
  </si>
  <si>
    <t>344536-2</t>
  </si>
  <si>
    <t>PLACA DE CARACTERISTICAS / 2704</t>
  </si>
  <si>
    <t>344539-6</t>
  </si>
  <si>
    <t>ARANDELA CENTRAL / LS1221</t>
  </si>
  <si>
    <t>344540-1</t>
  </si>
  <si>
    <t>PLACA CENTRAL / LS1221</t>
  </si>
  <si>
    <t>344541-9</t>
  </si>
  <si>
    <t>TAPA CENTRAL /VARIOS</t>
  </si>
  <si>
    <t>344584-1</t>
  </si>
  <si>
    <t>PLACA / 9911</t>
  </si>
  <si>
    <t>344585-9</t>
  </si>
  <si>
    <t>PALANCA / 9911</t>
  </si>
  <si>
    <t>344586-7</t>
  </si>
  <si>
    <t>PLATO DE ACERO / 9911</t>
  </si>
  <si>
    <t>344613-0</t>
  </si>
  <si>
    <t>344614-8</t>
  </si>
  <si>
    <t>344615-6</t>
  </si>
  <si>
    <t>PLATO DE EMPUJE / VARIOS</t>
  </si>
  <si>
    <t>344620-3</t>
  </si>
  <si>
    <t>PLACA DE ACERO / 9403</t>
  </si>
  <si>
    <t>344622-9</t>
  </si>
  <si>
    <t>PROTECTOR MOVIL/VARIOS</t>
  </si>
  <si>
    <t>344623-7</t>
  </si>
  <si>
    <t>PLACA DE AJUSTE / M9400</t>
  </si>
  <si>
    <t>344641-5</t>
  </si>
  <si>
    <t>CUBIERTA CENTRAL / LS0714</t>
  </si>
  <si>
    <t>344683-9</t>
  </si>
  <si>
    <t>PLACA DE EMPUJE / VARIOS</t>
  </si>
  <si>
    <t>344685-5</t>
  </si>
  <si>
    <t>PLACA DE AJUSTE / VARIOS</t>
  </si>
  <si>
    <t>344686-3</t>
  </si>
  <si>
    <t>PLACA DE SELLO / VARIOS</t>
  </si>
  <si>
    <t>344688-9</t>
  </si>
  <si>
    <t>RESORTE DE FRENO  / VARIOS</t>
  </si>
  <si>
    <t>344690-2</t>
  </si>
  <si>
    <t>GOLILLA / VARIOS</t>
  </si>
  <si>
    <t>344703-9</t>
  </si>
  <si>
    <t>SOPORTE / 9911</t>
  </si>
  <si>
    <t>344737-2</t>
  </si>
  <si>
    <t>TAPA CENTRAL / LC1230</t>
  </si>
  <si>
    <t>344739-8</t>
  </si>
  <si>
    <t>PLACA LADO INFERIOR / LC1230</t>
  </si>
  <si>
    <t>344740-3</t>
  </si>
  <si>
    <t>CAJA DE POLVO / LC1230</t>
  </si>
  <si>
    <t>344815-8</t>
  </si>
  <si>
    <t>PLACA DE BLOQUEO / 2012NB</t>
  </si>
  <si>
    <t>344816-6</t>
  </si>
  <si>
    <t>PLACA DE MESA / 2012NB</t>
  </si>
  <si>
    <t>344820-5</t>
  </si>
  <si>
    <t>TRAVESAÑO LATERAL  / 2012NB</t>
  </si>
  <si>
    <t>344844-1</t>
  </si>
  <si>
    <t>TRABADOR DE DISCO / N5900B - HS0600</t>
  </si>
  <si>
    <t>344871-8</t>
  </si>
  <si>
    <t>RETENEDOR / VARIOS</t>
  </si>
  <si>
    <t>344872-6</t>
  </si>
  <si>
    <t>RUEDA / VARIOS</t>
  </si>
  <si>
    <t>344903-1</t>
  </si>
  <si>
    <t>PLACA AISLANTE / VARIOS</t>
  </si>
  <si>
    <t>344944-7</t>
  </si>
  <si>
    <t>344998-4</t>
  </si>
  <si>
    <t>GOLILLA PLANA / HM1202C</t>
  </si>
  <si>
    <t>345179-3</t>
  </si>
  <si>
    <t>345187-4</t>
  </si>
  <si>
    <t>ARANDELA GUIA / VARIOS</t>
  </si>
  <si>
    <t>345195-5</t>
  </si>
  <si>
    <t>CUBIERTA DE BRAZO / 9032</t>
  </si>
  <si>
    <t>345196-3</t>
  </si>
  <si>
    <t>GUARDA MOVIL / 9032</t>
  </si>
  <si>
    <t>345214-7</t>
  </si>
  <si>
    <t>345220-2</t>
  </si>
  <si>
    <t>PLATO DE CAMBIO / HR2450F</t>
  </si>
  <si>
    <t>345223-6</t>
  </si>
  <si>
    <t>PLACA DE CAMBIO B / HP2070F - HP2050</t>
  </si>
  <si>
    <t>345224-4</t>
  </si>
  <si>
    <t>ARANDELA CONCAVA 15 / HP2070F - HP2050</t>
  </si>
  <si>
    <t>345225-2</t>
  </si>
  <si>
    <t>PLACA DE BLOQUEO / HP2070F - HP2050</t>
  </si>
  <si>
    <t>345228-6</t>
  </si>
  <si>
    <t>PLACA DE CAMBIO / MHP130</t>
  </si>
  <si>
    <t>345229-4</t>
  </si>
  <si>
    <t>PALANCA DE BLOQUEO / 3709</t>
  </si>
  <si>
    <t>345235-9</t>
  </si>
  <si>
    <t>PLACA DE EMPUJE / 4350FCT</t>
  </si>
  <si>
    <t>345237-5</t>
  </si>
  <si>
    <t>PLACA DE APRIETE / 4350FCT - DJV182</t>
  </si>
  <si>
    <t>345238-3</t>
  </si>
  <si>
    <t>PLACA DE BASE / 4350FCT</t>
  </si>
  <si>
    <t>345240-6</t>
  </si>
  <si>
    <t>GUIA LINEAL / 4350FCT</t>
  </si>
  <si>
    <t>345272-3</t>
  </si>
  <si>
    <t>PLACA DE PALANCA DE BLOQUEO / VARIOS</t>
  </si>
  <si>
    <t>345278-1</t>
  </si>
  <si>
    <t>TAPA METAL DE CARBON / HM1304</t>
  </si>
  <si>
    <t>345279-9</t>
  </si>
  <si>
    <t>DESLICE DE MANGO / HM1304</t>
  </si>
  <si>
    <t>345280-4</t>
  </si>
  <si>
    <t>ARANDELA HEX. / VARIOS</t>
  </si>
  <si>
    <t>345310-1</t>
  </si>
  <si>
    <t>PLACA DE TOPE / LW1401</t>
  </si>
  <si>
    <t>345311-9</t>
  </si>
  <si>
    <t>PLACA / LW1401</t>
  </si>
  <si>
    <t>345315-1</t>
  </si>
  <si>
    <t>PLACA GUIA / LW1401 - M2401</t>
  </si>
  <si>
    <t>345317-7</t>
  </si>
  <si>
    <t>PALANCA DE BLOQUEO / VARIOS</t>
  </si>
  <si>
    <t>345319-3</t>
  </si>
  <si>
    <t>TAPA TRASERA / HM1304</t>
  </si>
  <si>
    <t>345333-9</t>
  </si>
  <si>
    <t>CUBIERTA DE TRABA / HR2320T</t>
  </si>
  <si>
    <t>345334-7</t>
  </si>
  <si>
    <t>ANILLO DE GOMA DE CAMBIO P/HR2450T / HR2470T / HR2810T</t>
  </si>
  <si>
    <t>345335-5</t>
  </si>
  <si>
    <t>345342-8</t>
  </si>
  <si>
    <t>SUJETADOR DE LIJA / BO3700</t>
  </si>
  <si>
    <t>345354-1</t>
  </si>
  <si>
    <t>PLACA 19 / HP1640</t>
  </si>
  <si>
    <t>345355-9</t>
  </si>
  <si>
    <t>SOPORTE / HM1800</t>
  </si>
  <si>
    <t>345361-4</t>
  </si>
  <si>
    <t>MUELLE DE ASA / HM0860C</t>
  </si>
  <si>
    <t>345363-0</t>
  </si>
  <si>
    <t>PLACA DE CAMBIO / VARIOS</t>
  </si>
  <si>
    <t>345391-5</t>
  </si>
  <si>
    <t>ANILLO ESPACIADOR / VARIOS</t>
  </si>
  <si>
    <t>345421-2</t>
  </si>
  <si>
    <t>PALANCA DE APERTURA / 4131</t>
  </si>
  <si>
    <t>345441-6</t>
  </si>
  <si>
    <t>PLACA DE BASE / VARIOS</t>
  </si>
  <si>
    <t>345454-7</t>
  </si>
  <si>
    <t>345464-4</t>
  </si>
  <si>
    <t>ARANDELA PROTECTORA / VARIOS</t>
  </si>
  <si>
    <t>345478-3</t>
  </si>
  <si>
    <t>PLACA DE ENGRANAJE / JR3050T</t>
  </si>
  <si>
    <t>345479-1</t>
  </si>
  <si>
    <t>GUIA DE ZAPATO / JR3050T - JR3070CT</t>
  </si>
  <si>
    <t>345480-6</t>
  </si>
  <si>
    <t>PLACA DESLIZANTE / JR3050T</t>
  </si>
  <si>
    <t>345485-6</t>
  </si>
  <si>
    <t>PLACA A / JR3070CT</t>
  </si>
  <si>
    <t>345486-4</t>
  </si>
  <si>
    <t>PLACA B / JR3070CT</t>
  </si>
  <si>
    <t>345487-2</t>
  </si>
  <si>
    <t>PLACA DESLIZANTE / JR3070CT</t>
  </si>
  <si>
    <t>345489-8</t>
  </si>
  <si>
    <t>345504-8</t>
  </si>
  <si>
    <t>345506-4</t>
  </si>
  <si>
    <t>GUIA DE PROFUNDIDAD / M1100</t>
  </si>
  <si>
    <t>345507-2</t>
  </si>
  <si>
    <t>TAPA DE TAMBOR / M1100</t>
  </si>
  <si>
    <t>345517-9</t>
  </si>
  <si>
    <t>PLACA / TW1000</t>
  </si>
  <si>
    <t>345519-5</t>
  </si>
  <si>
    <t>PLACA DE SOPORTE / VARIOS</t>
  </si>
  <si>
    <t>345529-2</t>
  </si>
  <si>
    <t>TOPE DE RIEL / 2704</t>
  </si>
  <si>
    <t>345541-2</t>
  </si>
  <si>
    <t>PLACA DESLIZANTE L / LF1000</t>
  </si>
  <si>
    <t>345542-0</t>
  </si>
  <si>
    <t>PLACA DESLIZANTE R / LF1000</t>
  </si>
  <si>
    <t>345552-7</t>
  </si>
  <si>
    <t>PALANCA DE BLOQUEO / LF1000</t>
  </si>
  <si>
    <t>345565-8</t>
  </si>
  <si>
    <t>GANCHO DE  REGLA GUIA / 2704</t>
  </si>
  <si>
    <t>345569-0</t>
  </si>
  <si>
    <t>PLACA / HM1810</t>
  </si>
  <si>
    <t>345574-7</t>
  </si>
  <si>
    <t>BLOQUE DE EJE / LF1000</t>
  </si>
  <si>
    <t>345579-7</t>
  </si>
  <si>
    <t>GUIA DE RESORTE / HR4011C</t>
  </si>
  <si>
    <t>345581-0</t>
  </si>
  <si>
    <t>TAPA GOLILLA 8 / HR4011C</t>
  </si>
  <si>
    <t>345582-8</t>
  </si>
  <si>
    <t>PLACA DE ENLACE / HR4011</t>
  </si>
  <si>
    <t>345585-2</t>
  </si>
  <si>
    <t>345589-4</t>
  </si>
  <si>
    <t>ARANDELA CENTRAL / VARIOS</t>
  </si>
  <si>
    <t>345590-9</t>
  </si>
  <si>
    <t>GUIA ANGULAR / DHS660 - DHS710</t>
  </si>
  <si>
    <t>345644-2</t>
  </si>
  <si>
    <t>345651-5</t>
  </si>
  <si>
    <t>345681-6</t>
  </si>
  <si>
    <t>PLACA DE UNION / VARIOS</t>
  </si>
  <si>
    <t>345702-4</t>
  </si>
  <si>
    <t>IMPULSOR / VARIOS</t>
  </si>
  <si>
    <t>345717-1</t>
  </si>
  <si>
    <t>TRABADOR / 5007NK</t>
  </si>
  <si>
    <t>345726-0</t>
  </si>
  <si>
    <t>BORDE DESLIZADOR / M9400</t>
  </si>
  <si>
    <t>345748-0</t>
  </si>
  <si>
    <t>ARANDELA / VARIOS</t>
  </si>
  <si>
    <t>345749-8</t>
  </si>
  <si>
    <t>PLACA DE FIJACION / TD022</t>
  </si>
  <si>
    <t>345759-5</t>
  </si>
  <si>
    <t>PALANCA 98 / N5900B</t>
  </si>
  <si>
    <t>345760-0</t>
  </si>
  <si>
    <t>345765-0</t>
  </si>
  <si>
    <t>CUBIERTA DE TAMBOR / KP0810C - DKP181</t>
  </si>
  <si>
    <t>345766-8</t>
  </si>
  <si>
    <t>PANEL FRONTAL / KP0810C</t>
  </si>
  <si>
    <t>345778-1</t>
  </si>
  <si>
    <t>PLATO DE RETENCION / HR5211C</t>
  </si>
  <si>
    <t>345779-9</t>
  </si>
  <si>
    <t>PLANCHA DE ENLACE / HR5201C</t>
  </si>
  <si>
    <t>345804-6</t>
  </si>
  <si>
    <t>GUIA DE LAS TRABAS / HM1111C - HR5211C</t>
  </si>
  <si>
    <t>345814-3</t>
  </si>
  <si>
    <t>345815-1</t>
  </si>
  <si>
    <t>PLACA GUIA / HR2810</t>
  </si>
  <si>
    <t>345818-5</t>
  </si>
  <si>
    <t>ARANDELA CONCAVA 16 / HR2810</t>
  </si>
  <si>
    <t>345873-7</t>
  </si>
  <si>
    <t>ARANDELA GUIA / HR3210C</t>
  </si>
  <si>
    <t>345916-5</t>
  </si>
  <si>
    <t>JUNTA DE SILENCIADOR / VARIOS</t>
  </si>
  <si>
    <t>345918-1</t>
  </si>
  <si>
    <t>ABRAZADERA DE MANGUERA / VARIOS</t>
  </si>
  <si>
    <t>345920-4</t>
  </si>
  <si>
    <t>345929-6</t>
  </si>
  <si>
    <t>CUBIERTA TRASERA / 5007NK</t>
  </si>
  <si>
    <t>345930-1</t>
  </si>
  <si>
    <t>PLACA DE LA PALANCA  / 5007NK</t>
  </si>
  <si>
    <t>345931-9</t>
  </si>
  <si>
    <t>PALANCA DE LA GUARDA / VARIOS</t>
  </si>
  <si>
    <t>345944-0</t>
  </si>
  <si>
    <t>SELECTOR / HP1630K - M8100K</t>
  </si>
  <si>
    <t>345963-6</t>
  </si>
  <si>
    <t>345977-5</t>
  </si>
  <si>
    <t>345998-7</t>
  </si>
  <si>
    <t>346003-3</t>
  </si>
  <si>
    <t>PALANCA DE AJUSTE / 5007NK</t>
  </si>
  <si>
    <t>346007-5</t>
  </si>
  <si>
    <t>PLACA DE PRESION / RP0900 - M3601</t>
  </si>
  <si>
    <t>346015-6</t>
  </si>
  <si>
    <t>GUIA DE RESORTE  / VARIOS</t>
  </si>
  <si>
    <t>346029-5</t>
  </si>
  <si>
    <t>346031-8</t>
  </si>
  <si>
    <t>PLACA / M4302</t>
  </si>
  <si>
    <t>346032-6</t>
  </si>
  <si>
    <t>PLACA DE BLOQUEO / RP2301FC</t>
  </si>
  <si>
    <t>346035-0</t>
  </si>
  <si>
    <t>PLACA DE CAMBIO / HR2230</t>
  </si>
  <si>
    <t>346036-8</t>
  </si>
  <si>
    <t>PLACA GUIA / VARIOS</t>
  </si>
  <si>
    <t>346037-6</t>
  </si>
  <si>
    <t>PLACA DE RETENCION / VARIOS</t>
  </si>
  <si>
    <t>346038-4</t>
  </si>
  <si>
    <t>RETENEDOR DE RODAJE B / DHR242 - DHR263</t>
  </si>
  <si>
    <t>346039-2</t>
  </si>
  <si>
    <t>SOPORTE DE PLACA / VARIOS</t>
  </si>
  <si>
    <t>346042-3</t>
  </si>
  <si>
    <t>SUJETADOR DE RODILLO L / PC5001C</t>
  </si>
  <si>
    <t>346043-1</t>
  </si>
  <si>
    <t>SUJETADOR DE RODILLO R / PC5001C</t>
  </si>
  <si>
    <t>346049-9</t>
  </si>
  <si>
    <t>BRAZO DE TOPE / VARIOS</t>
  </si>
  <si>
    <t>346051-2</t>
  </si>
  <si>
    <t>PLACA DE BLOQUEO / LS1016</t>
  </si>
  <si>
    <t>346057-0</t>
  </si>
  <si>
    <t>PLATINA / M4302 - MJV431</t>
  </si>
  <si>
    <t>346058-8</t>
  </si>
  <si>
    <t>PLACA GUIA / LS1016</t>
  </si>
  <si>
    <t>346072-4</t>
  </si>
  <si>
    <t>PROTECTOR DE ABRAZADERA / VARIOS</t>
  </si>
  <si>
    <t>346083-9</t>
  </si>
  <si>
    <t>VALVULA DE PLOMO / EBH252L</t>
  </si>
  <si>
    <t>346084-7</t>
  </si>
  <si>
    <t>ARANDELA DE SUJECION / DUR365U</t>
  </si>
  <si>
    <t>346102-1</t>
  </si>
  <si>
    <t>ABRAZADERA PAPEL / BO3710 - DBO380</t>
  </si>
  <si>
    <t>346114-4</t>
  </si>
  <si>
    <t>VENTILADOR DE REGRESO / VARIOS</t>
  </si>
  <si>
    <t>346115-2</t>
  </si>
  <si>
    <t>TAPA VENTILADOR /VARIOS</t>
  </si>
  <si>
    <t>346130-6</t>
  </si>
  <si>
    <t>346131-4</t>
  </si>
  <si>
    <t>CUBIERTA DESLIZABLE / BJS161</t>
  </si>
  <si>
    <t>346140-3</t>
  </si>
  <si>
    <t>GANCHO DE AJUSTE 70 / HM0870C; 71C</t>
  </si>
  <si>
    <t>346141-1</t>
  </si>
  <si>
    <t>PLACA / VARIOS</t>
  </si>
  <si>
    <t>346169-9</t>
  </si>
  <si>
    <t>PLACA DE GUIA / DLC600</t>
  </si>
  <si>
    <t>346171-2</t>
  </si>
  <si>
    <t>CUBIERTA DE PLACA / DLS600</t>
  </si>
  <si>
    <t>346176-2</t>
  </si>
  <si>
    <t>346177-0</t>
  </si>
  <si>
    <t>346180-1</t>
  </si>
  <si>
    <t>ARANDELA DE GUIA / HR2631F - HR2641</t>
  </si>
  <si>
    <t>346221-3</t>
  </si>
  <si>
    <t>ARANDELA 16 / UNIVERSAL</t>
  </si>
  <si>
    <t>346247-5</t>
  </si>
  <si>
    <t>ARANDELA CONCAVA 28 / HM1111C</t>
  </si>
  <si>
    <t>346248-3</t>
  </si>
  <si>
    <t>ABRAZADERA 24 / VARIOS</t>
  </si>
  <si>
    <t>346251-4</t>
  </si>
  <si>
    <t>346255-6</t>
  </si>
  <si>
    <t>PLACA DE FRICCION / VARIOS</t>
  </si>
  <si>
    <t>346256-4</t>
  </si>
  <si>
    <t>SOPORTE F / EN4951</t>
  </si>
  <si>
    <t>346275-0</t>
  </si>
  <si>
    <t>346290-4</t>
  </si>
  <si>
    <t>RESORTE DE CONTACTO / VARIOS</t>
  </si>
  <si>
    <t>346298-8</t>
  </si>
  <si>
    <t>BANDA DE BLOQUEO / VARIOS</t>
  </si>
  <si>
    <t>346299-6</t>
  </si>
  <si>
    <t>ESPACIADOR DE METAL / EA3203S</t>
  </si>
  <si>
    <t>346304-9</t>
  </si>
  <si>
    <t>EMPAQUETADURA / EA3203S</t>
  </si>
  <si>
    <t>346305-7</t>
  </si>
  <si>
    <t>EMPAQUE / EM4351UH</t>
  </si>
  <si>
    <t>346306-5</t>
  </si>
  <si>
    <t>PLACA DE ENFRIAMIENTO / EA3203S</t>
  </si>
  <si>
    <t>346355-2</t>
  </si>
  <si>
    <t>ARANDELA DE PRESION / EM4351UH - RBC411U</t>
  </si>
  <si>
    <t>346392-6</t>
  </si>
  <si>
    <t>PLACA DE LEVA</t>
  </si>
  <si>
    <t>346396-8</t>
  </si>
  <si>
    <t>TRINQUETE / EK7650H</t>
  </si>
  <si>
    <t>346397-6</t>
  </si>
  <si>
    <t>ANILLO GUIA / EK7651H</t>
  </si>
  <si>
    <t>346398-4</t>
  </si>
  <si>
    <t>VALVULA CONDUCTORA / VARIOS</t>
  </si>
  <si>
    <t>346399-2</t>
  </si>
  <si>
    <t>JUNTA DE SILENCIADOR / EK7650H</t>
  </si>
  <si>
    <t>346400-3</t>
  </si>
  <si>
    <t>346402-9</t>
  </si>
  <si>
    <t>GUARDA / EBH340U</t>
  </si>
  <si>
    <t>346404-5</t>
  </si>
  <si>
    <t>ARANDELA DE SUJECION / EBH340U</t>
  </si>
  <si>
    <t>346406-1</t>
  </si>
  <si>
    <t>TUBO / EBH340U</t>
  </si>
  <si>
    <t>346413-4</t>
  </si>
  <si>
    <t>BOCINA 17 / EA3203S</t>
  </si>
  <si>
    <t>346433-8</t>
  </si>
  <si>
    <t>PLATO BASE / EK7650H</t>
  </si>
  <si>
    <t>346434-6</t>
  </si>
  <si>
    <t>346445-1</t>
  </si>
  <si>
    <t>CONECTOR DE BUJIA / EA3203S</t>
  </si>
  <si>
    <t>346447-7</t>
  </si>
  <si>
    <t>PEDESTAL / EBH340U</t>
  </si>
  <si>
    <t>346449-3</t>
  </si>
  <si>
    <t>346452-4</t>
  </si>
  <si>
    <t>EMPAQUETADURA / VARIOS</t>
  </si>
  <si>
    <t>346455-8</t>
  </si>
  <si>
    <t>PLATO DE IMPACTO / EK7650H</t>
  </si>
  <si>
    <t>346457-4</t>
  </si>
  <si>
    <t>PLATO / EK7650H</t>
  </si>
  <si>
    <t>346466-3</t>
  </si>
  <si>
    <t>PLACA / DTD146</t>
  </si>
  <si>
    <t>346470-2</t>
  </si>
  <si>
    <t>PLACA DEL FILTRO / JV0600</t>
  </si>
  <si>
    <t>346471-0</t>
  </si>
  <si>
    <t>PLACA DE EMPUJE / JV0600</t>
  </si>
  <si>
    <t>346473-6</t>
  </si>
  <si>
    <t>PLACA GUIA DE DESLIZADOR / JV0600</t>
  </si>
  <si>
    <t>346495-6</t>
  </si>
  <si>
    <t>ABRAZADERA 30 / EK7651H</t>
  </si>
  <si>
    <t>346517-2</t>
  </si>
  <si>
    <t>ARANDELA CONCAVA 6 / EA3203S</t>
  </si>
  <si>
    <t>346536-8</t>
  </si>
  <si>
    <t>RETENEDOR DE RODAJE A / VARIOS</t>
  </si>
  <si>
    <t>346537-6</t>
  </si>
  <si>
    <t>PLACA DE BLOQUEO / DHR242</t>
  </si>
  <si>
    <t>346538-4</t>
  </si>
  <si>
    <t>GUIA DE PASADOR / VARIOS</t>
  </si>
  <si>
    <t>346543-1</t>
  </si>
  <si>
    <t>346554-6</t>
  </si>
  <si>
    <t>PLACA / EK7650H</t>
  </si>
  <si>
    <t>346556-2</t>
  </si>
  <si>
    <t>PLACA TIPO C / VARIOS</t>
  </si>
  <si>
    <t>346557-0</t>
  </si>
  <si>
    <t>PLACA DE INTERRUPTOR / GA4541C</t>
  </si>
  <si>
    <t>346566-9</t>
  </si>
  <si>
    <t>RESORTE DE EMPUÑADURA 60 / DHP458 - DDF458</t>
  </si>
  <si>
    <t>346571-6</t>
  </si>
  <si>
    <t>SOPORTE DERECHO / EM4351UH</t>
  </si>
  <si>
    <t>346572-4</t>
  </si>
  <si>
    <t>SOPORTE IZQUIERDO / EM4351UH</t>
  </si>
  <si>
    <t>346574-0</t>
  </si>
  <si>
    <t>JUNTA DE ESCAPE / EM4350UH -  EM4351UH</t>
  </si>
  <si>
    <t>346576-6</t>
  </si>
  <si>
    <t>PLACA DE VENTILADOR / EM4350UH - EM4351UH</t>
  </si>
  <si>
    <t>346582-1</t>
  </si>
  <si>
    <t>PLATO 31 / PM7650H</t>
  </si>
  <si>
    <t>346589-7</t>
  </si>
  <si>
    <t>SILENCIADOR / EK7650H</t>
  </si>
  <si>
    <t>346590-2</t>
  </si>
  <si>
    <t>ABRAZADERA DE TUBO 33 / EM4351UH</t>
  </si>
  <si>
    <t>346611-0</t>
  </si>
  <si>
    <t>JUNTA DE CUBIERTA DE ARRANQUE / EK7651H</t>
  </si>
  <si>
    <t>346633-0</t>
  </si>
  <si>
    <t>PLACA DE ENLACE / LC1230</t>
  </si>
  <si>
    <t>346641-1</t>
  </si>
  <si>
    <t>PROTECTOR / JS3201</t>
  </si>
  <si>
    <t>346642-9</t>
  </si>
  <si>
    <t>PROTECTOR DE ABRAZADERA / RBC412U</t>
  </si>
  <si>
    <t>346649-5</t>
  </si>
  <si>
    <t>346670-4</t>
  </si>
  <si>
    <t>346671-2</t>
  </si>
  <si>
    <t>346673-8</t>
  </si>
  <si>
    <t>ANILLO GUIA / VARIOS</t>
  </si>
  <si>
    <t>346676-2</t>
  </si>
  <si>
    <t>PLACA 19 / M0801K</t>
  </si>
  <si>
    <t>346677-0</t>
  </si>
  <si>
    <t>SOPORTE DE TRABAS / VARIOS</t>
  </si>
  <si>
    <t>346682-7</t>
  </si>
  <si>
    <t>EMPAQUE DE SILENCIADOR / VARIOS</t>
  </si>
  <si>
    <t>346685-1</t>
  </si>
  <si>
    <t>PLACA DE  BASE / DJV182</t>
  </si>
  <si>
    <t>346715-8</t>
  </si>
  <si>
    <t>PLACA DE ENGRANAJE</t>
  </si>
  <si>
    <t>346728-9</t>
  </si>
  <si>
    <t>PLACA DE TOPE / VARIOS</t>
  </si>
  <si>
    <t>346730-2</t>
  </si>
  <si>
    <t>SOPORTE / EN4950H</t>
  </si>
  <si>
    <t>346739-4</t>
  </si>
  <si>
    <t>ANILLO DE FRENO / UC4041A</t>
  </si>
  <si>
    <t>346746-7</t>
  </si>
  <si>
    <t>BASE / 5007NK</t>
  </si>
  <si>
    <t>346748-3</t>
  </si>
  <si>
    <t>RIEL DE GRIA / VARIOS</t>
  </si>
  <si>
    <t>346749-1</t>
  </si>
  <si>
    <t>346751-4</t>
  </si>
  <si>
    <t>346770-0</t>
  </si>
  <si>
    <t>PLACA 31 / VARIOS</t>
  </si>
  <si>
    <t>346775-0</t>
  </si>
  <si>
    <t>BRAZO DE ENLACE A / DBN500</t>
  </si>
  <si>
    <t>346776-8</t>
  </si>
  <si>
    <t>BRAZO DE ENLACE B / DBN500</t>
  </si>
  <si>
    <t>346782-3</t>
  </si>
  <si>
    <t>PROPULSOR / DBN500</t>
  </si>
  <si>
    <t>346783-1</t>
  </si>
  <si>
    <t>346795-4</t>
  </si>
  <si>
    <t>SOPORTE DE ZAPATA / VARIOS</t>
  </si>
  <si>
    <t>346796-2</t>
  </si>
  <si>
    <t>PLACA DE ZAPATA / VARIOS</t>
  </si>
  <si>
    <t>346803-1</t>
  </si>
  <si>
    <t>TERMINAL / VARIOS</t>
  </si>
  <si>
    <t>346804-9</t>
  </si>
  <si>
    <t>346806-5</t>
  </si>
  <si>
    <t>MANGA9 / VARIOS</t>
  </si>
  <si>
    <t>346807-3</t>
  </si>
  <si>
    <t>LAMINA DE TENSION / VARIOS</t>
  </si>
  <si>
    <t>346808-1</t>
  </si>
  <si>
    <t>GUIA PLANA / VARIOS</t>
  </si>
  <si>
    <t>346809-9</t>
  </si>
  <si>
    <t>PUNTO DE TOPE / VARIOS</t>
  </si>
  <si>
    <t>346810-4</t>
  </si>
  <si>
    <t>ATRAPA CADENA / VARIOS</t>
  </si>
  <si>
    <t>346811-2</t>
  </si>
  <si>
    <t>GANCHO SOPORTE / VARIOS</t>
  </si>
  <si>
    <t>346816-2</t>
  </si>
  <si>
    <t>CAJA DE RODAMIENTO / EM4350RH</t>
  </si>
  <si>
    <t>346829-3</t>
  </si>
  <si>
    <t>EMPAQUE DE SILENCIADOR / EM3400U</t>
  </si>
  <si>
    <t>346831-6</t>
  </si>
  <si>
    <t>346832-4</t>
  </si>
  <si>
    <t>PLACA DE CAMBIO A / VARIOS</t>
  </si>
  <si>
    <t>346833-2</t>
  </si>
  <si>
    <t>PLACA DE CAMBIO B / VARIOS</t>
  </si>
  <si>
    <t>346834-0</t>
  </si>
  <si>
    <t>ARANDELA 16 / VARIOS</t>
  </si>
  <si>
    <t>346840-5</t>
  </si>
  <si>
    <t>GUIA / HM1812</t>
  </si>
  <si>
    <t>346850-2</t>
  </si>
  <si>
    <t>346855-2</t>
  </si>
  <si>
    <t>CORTADOR /VARIOS</t>
  </si>
  <si>
    <t>346858-6</t>
  </si>
  <si>
    <t>PROTECTOR BATERIA/VARIOS</t>
  </si>
  <si>
    <t>346859-4</t>
  </si>
  <si>
    <t>TENSOR DE CADENA / UC4041A</t>
  </si>
  <si>
    <t>346862-5</t>
  </si>
  <si>
    <t>PLACA L / VARIOS</t>
  </si>
  <si>
    <t>346863-3</t>
  </si>
  <si>
    <t>ANILLO 38R / VARIOS</t>
  </si>
  <si>
    <t>346873-0</t>
  </si>
  <si>
    <t>346874A8</t>
  </si>
  <si>
    <t>346880-3</t>
  </si>
  <si>
    <t>SEPARADOR / 5007NK - 4131</t>
  </si>
  <si>
    <t>346884-5</t>
  </si>
  <si>
    <t>346902-9</t>
  </si>
  <si>
    <t>346913-4</t>
  </si>
  <si>
    <t>346914-2</t>
  </si>
  <si>
    <t>PLACA DE CAMBIO / BO6050</t>
  </si>
  <si>
    <t>346925-7</t>
  </si>
  <si>
    <t>JUNTA DE BASE DE CILINDRO / EA4301F</t>
  </si>
  <si>
    <t>346935-4</t>
  </si>
  <si>
    <t>GUIA DE VARILLA L / VARIOS</t>
  </si>
  <si>
    <t>346936-2</t>
  </si>
  <si>
    <t>GUIA DE VARILLA R / VARIOS</t>
  </si>
  <si>
    <t>346937-0</t>
  </si>
  <si>
    <t>GUIA DE ZAPATA / VARIOS</t>
  </si>
  <si>
    <t>346938-8</t>
  </si>
  <si>
    <t>ZAPATA DE BLOQUEO / VARIOS</t>
  </si>
  <si>
    <t>346940-1</t>
  </si>
  <si>
    <t>PLACA BLOQUEO/ VARIOS</t>
  </si>
  <si>
    <t>346941-9</t>
  </si>
  <si>
    <t>BRAZO  ENLACE/ VARIOS</t>
  </si>
  <si>
    <t>346945-1</t>
  </si>
  <si>
    <t>PLACA DE BLOQUEO A / CA5000</t>
  </si>
  <si>
    <t>346946-9</t>
  </si>
  <si>
    <t>PLACA DE BLOQUEO B / CA5000</t>
  </si>
  <si>
    <t>346947-7</t>
  </si>
  <si>
    <t>RETENEDOR / DTW1001 - DTW1002</t>
  </si>
  <si>
    <t>346970-2</t>
  </si>
  <si>
    <t>GUIA DE LA PLACA / VARIOS</t>
  </si>
  <si>
    <t>346973-6</t>
  </si>
  <si>
    <t>346979-4</t>
  </si>
  <si>
    <t>JUNTA TUBO DE ESCAPE / EB7660</t>
  </si>
  <si>
    <t>346981-7</t>
  </si>
  <si>
    <t>PALANCA 33/VARIOS</t>
  </si>
  <si>
    <t>346991-4</t>
  </si>
  <si>
    <t>346998-0</t>
  </si>
  <si>
    <t>PLACA DE BLOQUEO / M8701</t>
  </si>
  <si>
    <t>346999-8</t>
  </si>
  <si>
    <t>PLACA DE CAMBIO A / M8701</t>
  </si>
  <si>
    <t>347000-2</t>
  </si>
  <si>
    <t>PLACA DE CAMBIO B / M8701</t>
  </si>
  <si>
    <t>347006-0</t>
  </si>
  <si>
    <t>347010-9</t>
  </si>
  <si>
    <t>SUJETADOR DE LA CUCHILLA / VARIOS</t>
  </si>
  <si>
    <t>347011-7</t>
  </si>
  <si>
    <t>ABRAZADERA 29 / DUR192L</t>
  </si>
  <si>
    <t>347012-5</t>
  </si>
  <si>
    <t>PROTECTOR DE ABRZADERA 24 / VARIOS</t>
  </si>
  <si>
    <t>347024-8</t>
  </si>
  <si>
    <t>PLACA DE SOPORTE / M1902</t>
  </si>
  <si>
    <t>347057-3</t>
  </si>
  <si>
    <t>PLACA DE PROTECCION / DLS600</t>
  </si>
  <si>
    <t>347058-1</t>
  </si>
  <si>
    <t>347059-9</t>
  </si>
  <si>
    <t>PLACA CENTRAL / VARIOS</t>
  </si>
  <si>
    <t>347060-4</t>
  </si>
  <si>
    <t>347076-9</t>
  </si>
  <si>
    <t>LEVA DE ENGRANAJE</t>
  </si>
  <si>
    <t>347077-7</t>
  </si>
  <si>
    <t>EMPAQUE DE TUBO DE ESCAPE / EB5300TH</t>
  </si>
  <si>
    <t>347078-5</t>
  </si>
  <si>
    <t>PARACHOQUE / DUC400</t>
  </si>
  <si>
    <t>347079-3</t>
  </si>
  <si>
    <t>ATRAPA CADENA / DUC400</t>
  </si>
  <si>
    <t>347091-3</t>
  </si>
  <si>
    <t>COLGADOR 24 / VARIOS</t>
  </si>
  <si>
    <t>347094-7</t>
  </si>
  <si>
    <t>347104-0</t>
  </si>
  <si>
    <t>ARANDELA / UR101</t>
  </si>
  <si>
    <t>347105-8</t>
  </si>
  <si>
    <t>ARANDELA DE SUJECION / EM403MP</t>
  </si>
  <si>
    <t>347107-4</t>
  </si>
  <si>
    <t>ABRAZADERA DE PROTECTOR 24 / VARIOS</t>
  </si>
  <si>
    <t>347115-5</t>
  </si>
  <si>
    <t>CUCHILLA/UR101</t>
  </si>
  <si>
    <t>347116-3</t>
  </si>
  <si>
    <t>COLGADOR / DUR192L - DUR187L</t>
  </si>
  <si>
    <t>347122-8</t>
  </si>
  <si>
    <t>GUIA ANGULAR / VARIOS</t>
  </si>
  <si>
    <t>347123-6</t>
  </si>
  <si>
    <t>PLACA DE LA CUBIERTA / HS0600</t>
  </si>
  <si>
    <t>347124-4</t>
  </si>
  <si>
    <t>347130-9</t>
  </si>
  <si>
    <t>GUIA DEL RESORTE</t>
  </si>
  <si>
    <t>347134-1</t>
  </si>
  <si>
    <t>347136-7</t>
  </si>
  <si>
    <t>VARILLA DE CONTACTO / VARIOS</t>
  </si>
  <si>
    <t>347137-5</t>
  </si>
  <si>
    <t>347138-3</t>
  </si>
  <si>
    <t>PROPULSOR / VARIOS</t>
  </si>
  <si>
    <t>347139-1</t>
  </si>
  <si>
    <t>BRAZO DE BLOQUEO / VARIOS</t>
  </si>
  <si>
    <t>347140-6</t>
  </si>
  <si>
    <t>RIEL / VARIOS</t>
  </si>
  <si>
    <t>347141-4</t>
  </si>
  <si>
    <t>347142-2</t>
  </si>
  <si>
    <t>PLACA DE ENGRANAJE / VARIOS</t>
  </si>
  <si>
    <t>347144-8</t>
  </si>
  <si>
    <t>GUIA DE RIEL L / DTP353</t>
  </si>
  <si>
    <t>347145-6</t>
  </si>
  <si>
    <t>BOCINA/ VARIOS</t>
  </si>
  <si>
    <t>347146-4</t>
  </si>
  <si>
    <t>BASE INTERRUPTOR/ VARIOS</t>
  </si>
  <si>
    <t>347147-2</t>
  </si>
  <si>
    <t>347148-0</t>
  </si>
  <si>
    <t>BASE DE RESORTE / DPT353</t>
  </si>
  <si>
    <t>347168-4</t>
  </si>
  <si>
    <t>TRABADOR DE EJE / DRS780</t>
  </si>
  <si>
    <t>347169-2</t>
  </si>
  <si>
    <t>GUIA ANGULAR / DRS780</t>
  </si>
  <si>
    <t>347171-5</t>
  </si>
  <si>
    <t>347208-8</t>
  </si>
  <si>
    <t>DISCO DE FRENO / DCU180</t>
  </si>
  <si>
    <t>347213-5</t>
  </si>
  <si>
    <t>347214-3</t>
  </si>
  <si>
    <t>PATA CENTRAL / VARIOS</t>
  </si>
  <si>
    <t>347215-1</t>
  </si>
  <si>
    <t>PLACA DE PROTECCION / LS1019 - DLS111</t>
  </si>
  <si>
    <t>347216-9</t>
  </si>
  <si>
    <t>347217-7</t>
  </si>
  <si>
    <t>PLACA DE PALANCA / VARIOS</t>
  </si>
  <si>
    <t>347218-5</t>
  </si>
  <si>
    <t>347219-3</t>
  </si>
  <si>
    <t>347221-6</t>
  </si>
  <si>
    <t>347222-4</t>
  </si>
  <si>
    <t>PLACA DE SOPORTE DELANTERO / VARIOS</t>
  </si>
  <si>
    <t>347223-2</t>
  </si>
  <si>
    <t>PLACA DE ESCALA / LS1019 - DLS111</t>
  </si>
  <si>
    <t>347228-2</t>
  </si>
  <si>
    <t>347229-0</t>
  </si>
  <si>
    <t>347230-5</t>
  </si>
  <si>
    <t>347237-1</t>
  </si>
  <si>
    <t>PLACA DE LEVA / VARIOS</t>
  </si>
  <si>
    <t>347238-9</t>
  </si>
  <si>
    <t>ABRAZADERA A / DCU180</t>
  </si>
  <si>
    <t>347239-7</t>
  </si>
  <si>
    <t>ABRAZADERA B / DCU180</t>
  </si>
  <si>
    <t>347247-8</t>
  </si>
  <si>
    <t>PLACA / DJV184</t>
  </si>
  <si>
    <t>347249-4</t>
  </si>
  <si>
    <t>347250-9</t>
  </si>
  <si>
    <t>DESLIZADOR/ JV102D-JV103D</t>
  </si>
  <si>
    <t>347251-7</t>
  </si>
  <si>
    <t>SUJETADOR / VARIOS</t>
  </si>
  <si>
    <t>347252-5</t>
  </si>
  <si>
    <t>347278-7</t>
  </si>
  <si>
    <t>PLACA BLOQUEO/ JR3061T</t>
  </si>
  <si>
    <t>347279-5</t>
  </si>
  <si>
    <t>PLACA / DCS552</t>
  </si>
  <si>
    <t>347284-2</t>
  </si>
  <si>
    <t>TRABADOR DE EJE / HS7010</t>
  </si>
  <si>
    <t>347287-6</t>
  </si>
  <si>
    <t>GUIA ANGULAR/ VARIOS</t>
  </si>
  <si>
    <t>347288-4</t>
  </si>
  <si>
    <t>LAMINA RESORTE/ VARIOS</t>
  </si>
  <si>
    <t>347289-2</t>
  </si>
  <si>
    <t>347290-7</t>
  </si>
  <si>
    <t>PLACA R/ DFL063F-DFT060F</t>
  </si>
  <si>
    <t>347291-5</t>
  </si>
  <si>
    <t>PROTECTOR DE BATERIA/ VARIOS</t>
  </si>
  <si>
    <t>347292-3</t>
  </si>
  <si>
    <t>PLACA DE NUCLEO / DBN600</t>
  </si>
  <si>
    <t>347293-1</t>
  </si>
  <si>
    <t>SOPORTE DE RESORTE / DBN600</t>
  </si>
  <si>
    <t>347294-9</t>
  </si>
  <si>
    <t>PLACA GUIA / DBN600</t>
  </si>
  <si>
    <t>347295-7</t>
  </si>
  <si>
    <t>347299-9</t>
  </si>
  <si>
    <t>347308-4</t>
  </si>
  <si>
    <t>PLACA DE PROTECCION / LS1219L</t>
  </si>
  <si>
    <t>347332-7</t>
  </si>
  <si>
    <t>347333-5</t>
  </si>
  <si>
    <t>347340-8</t>
  </si>
  <si>
    <t>347341-6</t>
  </si>
  <si>
    <t>LEVA PLANA 8.5 / DHW080</t>
  </si>
  <si>
    <t>347343-2</t>
  </si>
  <si>
    <t>RETEN DE RODAMIENTO B / VARIOS</t>
  </si>
  <si>
    <t>347344-0</t>
  </si>
  <si>
    <t>GUIA DE RESORTE / HR003G - DHR280</t>
  </si>
  <si>
    <t>347350-5</t>
  </si>
  <si>
    <t>PLACA DE REGRESO / SC103D</t>
  </si>
  <si>
    <t>347357-1</t>
  </si>
  <si>
    <t>347361-0</t>
  </si>
  <si>
    <t>347362-8</t>
  </si>
  <si>
    <t>347364-4</t>
  </si>
  <si>
    <t>347365-2</t>
  </si>
  <si>
    <t>347366-0</t>
  </si>
  <si>
    <t>347372-5</t>
  </si>
  <si>
    <t>BANDA DE FRENO / DUC254</t>
  </si>
  <si>
    <t>347373-3</t>
  </si>
  <si>
    <t>ATRAPA CADENA / DUC254</t>
  </si>
  <si>
    <t>347374-1</t>
  </si>
  <si>
    <t>PLACA GUIA L / DUC254</t>
  </si>
  <si>
    <t>347375-9</t>
  </si>
  <si>
    <t>PLACA GUIA R / DUC254</t>
  </si>
  <si>
    <t>347376-7</t>
  </si>
  <si>
    <t>PLACA DE TENSION / DUC254</t>
  </si>
  <si>
    <t>347377-5</t>
  </si>
  <si>
    <t>SOPORTE DE GANCHO / DUC254</t>
  </si>
  <si>
    <t>347394-5</t>
  </si>
  <si>
    <t>347398-7</t>
  </si>
  <si>
    <t>347399-5</t>
  </si>
  <si>
    <t>PLACA DE LA PALANCA / DHS660 - DCC500</t>
  </si>
  <si>
    <t>347400-6</t>
  </si>
  <si>
    <t>347401-4</t>
  </si>
  <si>
    <t>347412-9</t>
  </si>
  <si>
    <t>PLACA DE ESCALA / VARIOS</t>
  </si>
  <si>
    <t>347415-3</t>
  </si>
  <si>
    <t>347416-1</t>
  </si>
  <si>
    <t>347418-7</t>
  </si>
  <si>
    <t>PALANCA DE AJUSTE / DCS553</t>
  </si>
  <si>
    <t>347439-9</t>
  </si>
  <si>
    <t>347440-4</t>
  </si>
  <si>
    <t>347442-0</t>
  </si>
  <si>
    <t>REGLA CURVA/ VARIOS</t>
  </si>
  <si>
    <t>347452-7</t>
  </si>
  <si>
    <t>PLACA DE ENLACE / LS1221</t>
  </si>
  <si>
    <t>347455-1</t>
  </si>
  <si>
    <t>PALANCA DE FRENO / DLM460</t>
  </si>
  <si>
    <t>347456-9</t>
  </si>
  <si>
    <t>SOPORTE DE PALANCA / DLM460</t>
  </si>
  <si>
    <t>347462-4</t>
  </si>
  <si>
    <t>PLACA DE CAMBIO A / DHR182</t>
  </si>
  <si>
    <t>347463-2</t>
  </si>
  <si>
    <t>PLACA DE CAMBIO B / DHR182</t>
  </si>
  <si>
    <t>347476-3</t>
  </si>
  <si>
    <t>ANILLO PARA CORREA / VARIOS</t>
  </si>
  <si>
    <t>347479-7</t>
  </si>
  <si>
    <t>GUARDA 115 / VARIOS</t>
  </si>
  <si>
    <t>347482-8</t>
  </si>
  <si>
    <t>BLOQUE DE PROTECCION / DGA700 - DGA900</t>
  </si>
  <si>
    <t>347493-3</t>
  </si>
  <si>
    <t>CUCHILLA/UR012G</t>
  </si>
  <si>
    <t>347501-0</t>
  </si>
  <si>
    <t>347506-0</t>
  </si>
  <si>
    <t>347509-4</t>
  </si>
  <si>
    <t>VARILLAS / LS1219L</t>
  </si>
  <si>
    <t>347513-3</t>
  </si>
  <si>
    <t>347514-1</t>
  </si>
  <si>
    <t>SOPORTE DE GANCHO / DUC406</t>
  </si>
  <si>
    <t>347515-9</t>
  </si>
  <si>
    <t>BANDA DE FRENO / DUC406</t>
  </si>
  <si>
    <t>347516-7</t>
  </si>
  <si>
    <t>ENGANCHE DE CADENA / DUC406</t>
  </si>
  <si>
    <t>347517-5</t>
  </si>
  <si>
    <t>TENSOR DE CADENA / DUC406</t>
  </si>
  <si>
    <t>347519-1</t>
  </si>
  <si>
    <t>IMPULSOR / DFN350</t>
  </si>
  <si>
    <t>347520-6</t>
  </si>
  <si>
    <t>PROPULSOR / DFN350</t>
  </si>
  <si>
    <t>347521-4</t>
  </si>
  <si>
    <t>RIEL / DFN350</t>
  </si>
  <si>
    <t>347522-2</t>
  </si>
  <si>
    <t>BASE DE RESORTE / DFN350</t>
  </si>
  <si>
    <t>347523-0</t>
  </si>
  <si>
    <t>PLACA / DFN350</t>
  </si>
  <si>
    <t>347525-6</t>
  </si>
  <si>
    <t>PLACA DE ENGRANAJE / DFN350</t>
  </si>
  <si>
    <t>347526-4</t>
  </si>
  <si>
    <t>PLACA DE FONDO / DFN350</t>
  </si>
  <si>
    <t>347527-2</t>
  </si>
  <si>
    <t>CONTRA TOPE / DFN350</t>
  </si>
  <si>
    <t>347528-0</t>
  </si>
  <si>
    <t>PLACA SUPERIOR / DFN350 - DPT353</t>
  </si>
  <si>
    <t>347529-8</t>
  </si>
  <si>
    <t>BRAZO / DFN350</t>
  </si>
  <si>
    <t>347530-3</t>
  </si>
  <si>
    <t>PLACA DE BLOQUEO / DHW080</t>
  </si>
  <si>
    <t>347532-9</t>
  </si>
  <si>
    <t>347533-7</t>
  </si>
  <si>
    <t>PLACA GUIA L / DUC406</t>
  </si>
  <si>
    <t>347534-5</t>
  </si>
  <si>
    <t>PLACA GUIA R / DUC406</t>
  </si>
  <si>
    <t>347538-7</t>
  </si>
  <si>
    <t>347546-8</t>
  </si>
  <si>
    <t>CUBIERTA DE LA BOMBA / DGP180</t>
  </si>
  <si>
    <t>347560-4</t>
  </si>
  <si>
    <t>CUBIERTA / DLM465</t>
  </si>
  <si>
    <t>347563-8</t>
  </si>
  <si>
    <t>347570-1</t>
  </si>
  <si>
    <t>347574-3</t>
  </si>
  <si>
    <t>GUIA DE PROFUNDIDAD / HS009G</t>
  </si>
  <si>
    <t>347575-1</t>
  </si>
  <si>
    <t>347576-9</t>
  </si>
  <si>
    <t>PLANCHA / VARIOS</t>
  </si>
  <si>
    <t>347577-7</t>
  </si>
  <si>
    <t>347580-8</t>
  </si>
  <si>
    <t>347585-8</t>
  </si>
  <si>
    <t>PLATAFORMA/ VARIOS</t>
  </si>
  <si>
    <t>347588-2</t>
  </si>
  <si>
    <t>BARRA CONEXION/ DLM533-DLM537</t>
  </si>
  <si>
    <t>347591-3</t>
  </si>
  <si>
    <t>PLACA/ VARIOS</t>
  </si>
  <si>
    <t>347596-3</t>
  </si>
  <si>
    <t>347597-1</t>
  </si>
  <si>
    <t>PLACA TIERRA/ AG3751-DUB363</t>
  </si>
  <si>
    <t>347615-5</t>
  </si>
  <si>
    <t>RETEN/ DTW700-DTW701</t>
  </si>
  <si>
    <t>347640-6</t>
  </si>
  <si>
    <t>ANILLO DE EJE - GA015G</t>
  </si>
  <si>
    <t>347641-4</t>
  </si>
  <si>
    <t>PLACA BLOQUEO/ RS001G-RS002G</t>
  </si>
  <si>
    <t>347642-2</t>
  </si>
  <si>
    <t>PALANCA A - GA015G</t>
  </si>
  <si>
    <t>347647-2</t>
  </si>
  <si>
    <t>347655-3</t>
  </si>
  <si>
    <t>347656-1</t>
  </si>
  <si>
    <t>PLACA BASE/ 3601B</t>
  </si>
  <si>
    <t>347657-9</t>
  </si>
  <si>
    <t>347661-8</t>
  </si>
  <si>
    <t>347662-6</t>
  </si>
  <si>
    <t>347667-6</t>
  </si>
  <si>
    <t>ABRAZADERA / DUR192L</t>
  </si>
  <si>
    <t>347676-5</t>
  </si>
  <si>
    <t>347688-8</t>
  </si>
  <si>
    <t>BASE /DHS901-HS010G</t>
  </si>
  <si>
    <t>347689-6</t>
  </si>
  <si>
    <t>GUIA DE TENSION/ VARIOS</t>
  </si>
  <si>
    <t>347706-2</t>
  </si>
  <si>
    <t>347718-5</t>
  </si>
  <si>
    <t>347720-8</t>
  </si>
  <si>
    <t>PLACA DE TRACCION/DTR180, DTR181</t>
  </si>
  <si>
    <t>347722-4</t>
  </si>
  <si>
    <t>347728-2</t>
  </si>
  <si>
    <t>347747-8</t>
  </si>
  <si>
    <t>UNION 24 / DUR192L</t>
  </si>
  <si>
    <t>347752-5</t>
  </si>
  <si>
    <t>PROTECTOR DE BATERIA/VARIOS</t>
  </si>
  <si>
    <t>347766-4</t>
  </si>
  <si>
    <t>347785-0</t>
  </si>
  <si>
    <t>347791-5</t>
  </si>
  <si>
    <t>IMPULSOR / FN001G</t>
  </si>
  <si>
    <t>347805-0</t>
  </si>
  <si>
    <t>347825-4</t>
  </si>
  <si>
    <t>LAMINA METALICA   / DFR452</t>
  </si>
  <si>
    <t>347835-1</t>
  </si>
  <si>
    <t>COJIN DE GOMA CENTRAL /LS003G-04G</t>
  </si>
  <si>
    <t>347837-7</t>
  </si>
  <si>
    <t>ESCALA INGLETE/LS003G-04G</t>
  </si>
  <si>
    <t>347864-4</t>
  </si>
  <si>
    <t>347911-1</t>
  </si>
  <si>
    <t>PLANCHA TIPO C / VARIOS</t>
  </si>
  <si>
    <t>347914-5</t>
  </si>
  <si>
    <t>ANILLO PARA LA CORREA / AS001G</t>
  </si>
  <si>
    <t>347966-6</t>
  </si>
  <si>
    <t>347A22-8</t>
  </si>
  <si>
    <t>347A69-2</t>
  </si>
  <si>
    <t>352010-6</t>
  </si>
  <si>
    <t>MALLA DE ENTRADA / VARIOS</t>
  </si>
  <si>
    <t>352012-2</t>
  </si>
  <si>
    <t>SEPARADOR DE ENGRANAJE / EK7650H</t>
  </si>
  <si>
    <t>352020-3</t>
  </si>
  <si>
    <t>FILTRO / VARIOS</t>
  </si>
  <si>
    <t>353019-1</t>
  </si>
  <si>
    <t>36A2030008</t>
  </si>
  <si>
    <t>ANILLO SEGURO  / EG512</t>
  </si>
  <si>
    <t>36B2020208</t>
  </si>
  <si>
    <t>370021-000</t>
  </si>
  <si>
    <t>INTERRUPTOR DE VELOCIDAD / SJ401</t>
  </si>
  <si>
    <t>GOMA DE SUJECION / DBC4510</t>
  </si>
  <si>
    <t>GUARDA DE CUCHILLA 3 PUNTAS/ DBC4510</t>
  </si>
  <si>
    <t>375009-000</t>
  </si>
  <si>
    <t>375009-001</t>
  </si>
  <si>
    <t>CARBON CB / SJ401</t>
  </si>
  <si>
    <t>CUBIERTA DE ENFRIAMIENTO / MS4010</t>
  </si>
  <si>
    <t>RESORTE DE SEGURIDAD / VARIOS</t>
  </si>
  <si>
    <t>BOBINA DE ENCENDIDO</t>
  </si>
  <si>
    <t>TAPA BUJIA / VARIOS</t>
  </si>
  <si>
    <t>GRILLETE DE RESORTE / MS4010</t>
  </si>
  <si>
    <t>GUIA DE AJUSTE / MS4010</t>
  </si>
  <si>
    <t>DISPOSITIVO DE ARRANQUE / MS4010</t>
  </si>
  <si>
    <t>SOPORTE DE CABLE DE ACELERADOR / MS4010</t>
  </si>
  <si>
    <t>CAJA DE ENGRANAJE / DBC4510</t>
  </si>
  <si>
    <t>CAMPANA CPL/ DBC4510</t>
  </si>
  <si>
    <t>PLATO DESLIZANTE  / DBC4510</t>
  </si>
  <si>
    <t>PLATO PROTECTOR/ DBC4510</t>
  </si>
  <si>
    <t>ARANDELA DE PROTECCION / DBC4510</t>
  </si>
  <si>
    <t>EJE DENTADO/ DBC4510</t>
  </si>
  <si>
    <t>ARANDELA SEGURO 5MM / DBC4510</t>
  </si>
  <si>
    <t>CILINDRO 43MM / DBC4510</t>
  </si>
  <si>
    <t>ANILLO 43MM  / DBC4510</t>
  </si>
  <si>
    <t>GATILLO ACELERADOR / VARIOS</t>
  </si>
  <si>
    <t>CIERRE DE BAYONETA / VARIOS</t>
  </si>
  <si>
    <t>GARGANTA /DPC7301</t>
  </si>
  <si>
    <t>BOBINA/DPC7331</t>
  </si>
  <si>
    <t>RESORTE DE CONTACTO / DPC7331</t>
  </si>
  <si>
    <t>CLAVIJAS DE CHOKE /DPC7301</t>
  </si>
  <si>
    <t>TORNILLO DE TOPE / DCS9010</t>
  </si>
  <si>
    <t>CARBURADOR CPL / VARIOS</t>
  </si>
  <si>
    <t>BASE DE FILTRO AIRE /DPC7301</t>
  </si>
  <si>
    <t>ARANDELA PLANA /UNIVERSAL</t>
  </si>
  <si>
    <t>ESPACIADOR 8MM / EK8100</t>
  </si>
  <si>
    <t>EJE 20MM/ EK8100</t>
  </si>
  <si>
    <t>ANILLO SEGURO / EA6100P</t>
  </si>
  <si>
    <t>RESORTE DE COMPRESION / DPC7301</t>
  </si>
  <si>
    <t>DISCO DE COMPRESION CPL / DPC7301</t>
  </si>
  <si>
    <t>TANQUE DE AGUA / EK8100</t>
  </si>
  <si>
    <t>PISTON Y ANILLOS / VARIOS</t>
  </si>
  <si>
    <t>ARRANCADOR CPL/ DPC7301</t>
  </si>
  <si>
    <t>MANGO DE CONEXIÓN</t>
  </si>
  <si>
    <t>PLACA DE ENFRIAMIENTO/DPC7301</t>
  </si>
  <si>
    <t>EMPAQUE SILENCIADOR/DPC7301</t>
  </si>
  <si>
    <t>TAPA DE FAJA /EK7351</t>
  </si>
  <si>
    <t>399781S</t>
  </si>
  <si>
    <t>RETENEDOR DE ACEITE /PLM5113</t>
  </si>
  <si>
    <t>410047-0</t>
  </si>
  <si>
    <t>LLAVE / VARIOS</t>
  </si>
  <si>
    <t>410128-0</t>
  </si>
  <si>
    <t>DEFLECTOR / 3612</t>
  </si>
  <si>
    <t>410129-8</t>
  </si>
  <si>
    <t>TUERCA DE NYLON M10 / RP2301FC - 3612</t>
  </si>
  <si>
    <t>410191-3</t>
  </si>
  <si>
    <t>SUJETADOR DE INTERRUPTOR / 3901</t>
  </si>
  <si>
    <t>410585-2</t>
  </si>
  <si>
    <t>BASE PROTECTORA (TRASPARENTE) / M3700  3709</t>
  </si>
  <si>
    <t>410834-7</t>
  </si>
  <si>
    <t>BASE PLATO / VARIOS</t>
  </si>
  <si>
    <t>411023-7</t>
  </si>
  <si>
    <t>PLATO BASE / VARIOS</t>
  </si>
  <si>
    <t>411478-6</t>
  </si>
  <si>
    <t>BOTON INTERRUPTOR / VARIOS</t>
  </si>
  <si>
    <t>411623-3</t>
  </si>
  <si>
    <t>411709-3</t>
  </si>
  <si>
    <t>411852-8</t>
  </si>
  <si>
    <t>411930-4</t>
  </si>
  <si>
    <t>BASE  / 3701</t>
  </si>
  <si>
    <t>412049-2</t>
  </si>
  <si>
    <t>ANILLO PISTON 40 / HM1201</t>
  </si>
  <si>
    <t>412053-1</t>
  </si>
  <si>
    <t>ANILLO PISTON 30 / HM0810T</t>
  </si>
  <si>
    <t>412073-5</t>
  </si>
  <si>
    <t>ANILLO INTERIOR 26 / HM0810T</t>
  </si>
  <si>
    <t>412096-3</t>
  </si>
  <si>
    <t>MANGUITO DESLIZANTE / HM1111C</t>
  </si>
  <si>
    <t>412108-2</t>
  </si>
  <si>
    <t>MANGUERA 10-300 / PM7650H</t>
  </si>
  <si>
    <t>412109-0</t>
  </si>
  <si>
    <t>MANGUERA 10-500 / PM7650H</t>
  </si>
  <si>
    <t>412110-5</t>
  </si>
  <si>
    <t>TUBO 10-750 / PM7650H</t>
  </si>
  <si>
    <t>412112-1</t>
  </si>
  <si>
    <t>MANGUERA 3-60 / PM7650H</t>
  </si>
  <si>
    <t>412115-5</t>
  </si>
  <si>
    <t>TUBO FLEXIBLE / PM7650H</t>
  </si>
  <si>
    <t>412116-3</t>
  </si>
  <si>
    <t>CODO / PM7650H</t>
  </si>
  <si>
    <t>412119-7</t>
  </si>
  <si>
    <t>PROTECTOR DE MANGUERA 20-160 / PM7650H</t>
  </si>
  <si>
    <t>412121-0</t>
  </si>
  <si>
    <t>MANGUERA 3-130 / PM7650H</t>
  </si>
  <si>
    <t>412122-8</t>
  </si>
  <si>
    <t>MANGUERA 3-240 / PM7650H</t>
  </si>
  <si>
    <t>412123-6</t>
  </si>
  <si>
    <t>MANGUERA 10-110 / PM7650H</t>
  </si>
  <si>
    <t>412124-4</t>
  </si>
  <si>
    <t>MANGUERA 10-220 / PM7650H</t>
  </si>
  <si>
    <t>412134-1</t>
  </si>
  <si>
    <t>MANGUERA 3-210 / PM7650H</t>
  </si>
  <si>
    <t>412143-0</t>
  </si>
  <si>
    <t>TUBO 10-420 / PM7650H</t>
  </si>
  <si>
    <t>412145-6</t>
  </si>
  <si>
    <t>FILTRO DE AIRE / EB7650TH</t>
  </si>
  <si>
    <t>412210-1</t>
  </si>
  <si>
    <t>412233-9</t>
  </si>
  <si>
    <t>PALANCA DE INTERRUPTOR / DCO181</t>
  </si>
  <si>
    <t>412234-7</t>
  </si>
  <si>
    <t>TAPA DE TRABADOR / GA028G - GA015G</t>
  </si>
  <si>
    <t>412237-1</t>
  </si>
  <si>
    <t>VARILLA DE CONTACTO / DFN350</t>
  </si>
  <si>
    <t>412263-0</t>
  </si>
  <si>
    <t>412268-0</t>
  </si>
  <si>
    <t>PLACA DE GANCHO/VC009G</t>
  </si>
  <si>
    <t>412272-9</t>
  </si>
  <si>
    <t>CUBIERTA INFERIOR/ VARIOS</t>
  </si>
  <si>
    <t>412273-7</t>
  </si>
  <si>
    <t>TAPON ACOLCHADO</t>
  </si>
  <si>
    <t>412285-0</t>
  </si>
  <si>
    <t>GATILLO /DUN500W - DUN600L</t>
  </si>
  <si>
    <t>412295-7</t>
  </si>
  <si>
    <t>SUJETADOR DE PASADOR / DUN500W</t>
  </si>
  <si>
    <t>412296-5</t>
  </si>
  <si>
    <t>EMPUÑADURA CONTRA DESLIZAMIENTO 24 / DUN500W</t>
  </si>
  <si>
    <t>412310-7</t>
  </si>
  <si>
    <t>UNION DE EMPUÑADURA / VARIOS</t>
  </si>
  <si>
    <t>412311-5</t>
  </si>
  <si>
    <t>CUBIERTA DE EMPUÑADURA / VARIOS</t>
  </si>
  <si>
    <t>412315-7</t>
  </si>
  <si>
    <t>412316-5</t>
  </si>
  <si>
    <t>PALANCA INTERRUPTOR F / VARIOS</t>
  </si>
  <si>
    <t>412317-3</t>
  </si>
  <si>
    <t>PROTECTOR INFERIOR / VARIOS</t>
  </si>
  <si>
    <t>412339-3</t>
  </si>
  <si>
    <t>CUBIERTA TRASERA / VARIOS</t>
  </si>
  <si>
    <t>412361-0</t>
  </si>
  <si>
    <t>CUBIERTA TRASERA / HP001G</t>
  </si>
  <si>
    <t>412434-9</t>
  </si>
  <si>
    <t>RODILLO DELANTERO / DVC560</t>
  </si>
  <si>
    <t>412480-2</t>
  </si>
  <si>
    <t>412485-2</t>
  </si>
  <si>
    <t>412499-1</t>
  </si>
  <si>
    <t>LOGO MAKITA / DLM533</t>
  </si>
  <si>
    <t>412510-9</t>
  </si>
  <si>
    <t>SELECTRO 27 / VARIOS</t>
  </si>
  <si>
    <t>412551-5</t>
  </si>
  <si>
    <t>BOTON DE BLOQUEO / VARIOS</t>
  </si>
  <si>
    <t>412555-7</t>
  </si>
  <si>
    <t>CUBIERTA TRASERA / DTW300</t>
  </si>
  <si>
    <t>412556-5</t>
  </si>
  <si>
    <t>CUBIERTA DE CAJA DE ENGRANAJE / DTW300</t>
  </si>
  <si>
    <t>412572-7</t>
  </si>
  <si>
    <t>CUBIERTA DE VENTILADOR / DUB185</t>
  </si>
  <si>
    <t>412580-8</t>
  </si>
  <si>
    <t>PROTECTOR 330 / DUR192L</t>
  </si>
  <si>
    <t>412673-1</t>
  </si>
  <si>
    <t>412697-7</t>
  </si>
  <si>
    <t>BOTON DE DESBLOQUEO / VARIOS</t>
  </si>
  <si>
    <t>412715-1</t>
  </si>
  <si>
    <t>CUBIERTA DE MANGO / M1100</t>
  </si>
  <si>
    <t>412769-8</t>
  </si>
  <si>
    <t>PROTECTOR DE CUCHILLA 600 / DUH604S</t>
  </si>
  <si>
    <t>412770-3</t>
  </si>
  <si>
    <t>PROTECTOR DE CUCHILLA 750 / DUH754S</t>
  </si>
  <si>
    <t>412804-2</t>
  </si>
  <si>
    <t>JUNTA DE SALIDA / DHW080</t>
  </si>
  <si>
    <t>412822-0</t>
  </si>
  <si>
    <t>CUBIERTA DE LA CAJA / VARIOS</t>
  </si>
  <si>
    <t>412857-1</t>
  </si>
  <si>
    <t>412858-9</t>
  </si>
  <si>
    <t>412859-7</t>
  </si>
  <si>
    <t>MANGO DESLIZANTE / VARIOS</t>
  </si>
  <si>
    <t>412860-2</t>
  </si>
  <si>
    <t>CAJA MOTOR / VARIOS</t>
  </si>
  <si>
    <t>412862-8</t>
  </si>
  <si>
    <t>TAPA DE CIGÜEÑAL A / HM1512 - HM1511</t>
  </si>
  <si>
    <t>412863-6</t>
  </si>
  <si>
    <t>BLOQUEADOR DE GATILLO / VARIOS</t>
  </si>
  <si>
    <t>412865-2</t>
  </si>
  <si>
    <t>SUJETADOR DE TUBO / VARIOS</t>
  </si>
  <si>
    <t>412866-0</t>
  </si>
  <si>
    <t>412867-8</t>
  </si>
  <si>
    <t>GUIA DL FILTRO / VARIOS</t>
  </si>
  <si>
    <t>412868-6</t>
  </si>
  <si>
    <t>CAJA DE CONTROLADOR / VARIOS</t>
  </si>
  <si>
    <t>412869-4</t>
  </si>
  <si>
    <t>PROTECTOR DE CABLE / VARIOS</t>
  </si>
  <si>
    <t>412871-7</t>
  </si>
  <si>
    <t>BASE / HM1511 - HM1512</t>
  </si>
  <si>
    <t>412874-1</t>
  </si>
  <si>
    <t>CUBIERTA DE CILINDRO / VARIOS</t>
  </si>
  <si>
    <t>412875-9</t>
  </si>
  <si>
    <t>412876-7</t>
  </si>
  <si>
    <t>PALANCA CAMBIO F/R/ VARIOS</t>
  </si>
  <si>
    <t>412878-3</t>
  </si>
  <si>
    <t>PORTA INTERRUPTOR / VARIOS</t>
  </si>
  <si>
    <t>412879-1</t>
  </si>
  <si>
    <t>SOPORTE DE INTERRUPTOR / VARIOS</t>
  </si>
  <si>
    <t>412880-6</t>
  </si>
  <si>
    <t>CUBIERTA DE MANGO / VARIOS</t>
  </si>
  <si>
    <t>412881-4</t>
  </si>
  <si>
    <t>412911-1</t>
  </si>
  <si>
    <t>PROTECTOR DE CUCHILLA 600 / DUH601 - UH006G</t>
  </si>
  <si>
    <t>412951-9</t>
  </si>
  <si>
    <t>BASE / HR005G</t>
  </si>
  <si>
    <t>412953-5</t>
  </si>
  <si>
    <t>BLOQUEO DE GATILLO / HR006G</t>
  </si>
  <si>
    <t>412961-6</t>
  </si>
  <si>
    <t>412980-2</t>
  </si>
  <si>
    <t>GATILLO / HM001G</t>
  </si>
  <si>
    <t>412981-0</t>
  </si>
  <si>
    <t>SEGURO DE GATILLO/ HM001G - HM002G</t>
  </si>
  <si>
    <t>412982-8</t>
  </si>
  <si>
    <t>CARCASA DE MOTOR / HM001G</t>
  </si>
  <si>
    <t>412984-4</t>
  </si>
  <si>
    <t>TOPE DE RESORTE / HM001G</t>
  </si>
  <si>
    <t>412985-2</t>
  </si>
  <si>
    <t>BASE / HR006G</t>
  </si>
  <si>
    <t>412986-0</t>
  </si>
  <si>
    <t>MANGUITO DESLIZANTE / HM001G</t>
  </si>
  <si>
    <t>413024-1</t>
  </si>
  <si>
    <t>413076-2</t>
  </si>
  <si>
    <t>DEFLECTOR / VARIOS</t>
  </si>
  <si>
    <t>413095-8</t>
  </si>
  <si>
    <t>PLACA C / JR3070CT</t>
  </si>
  <si>
    <t>413097-4</t>
  </si>
  <si>
    <t>TAPA DESLIZANTE / 2704</t>
  </si>
  <si>
    <t>413126-3</t>
  </si>
  <si>
    <t>413138-6</t>
  </si>
  <si>
    <t>EMPAQUE DE CARBURADOR / VARIOS</t>
  </si>
  <si>
    <t>413143-3</t>
  </si>
  <si>
    <t>413148-3</t>
  </si>
  <si>
    <t>PLACA BASE</t>
  </si>
  <si>
    <t>413150-6</t>
  </si>
  <si>
    <t>BASE PROTECTORA</t>
  </si>
  <si>
    <t>413170-0</t>
  </si>
  <si>
    <t>EMPAQUETADURA DE CARTER</t>
  </si>
  <si>
    <t>413171-8</t>
  </si>
  <si>
    <t>EMPAQUETADURA DE CILINDRO.</t>
  </si>
  <si>
    <t>413174-2</t>
  </si>
  <si>
    <t>EMPAQUETADURA</t>
  </si>
  <si>
    <t>413175-0</t>
  </si>
  <si>
    <t>EMPAQUETADURA DE SILENCIADOR</t>
  </si>
  <si>
    <t>413201-5</t>
  </si>
  <si>
    <t>413211-2</t>
  </si>
  <si>
    <t>413218-8</t>
  </si>
  <si>
    <t>CAJA DE CONECTOR/ GA037G - GA038G</t>
  </si>
  <si>
    <t>413219-6</t>
  </si>
  <si>
    <t>TAPA DE PASADOR / VARIOS</t>
  </si>
  <si>
    <t>413225-1</t>
  </si>
  <si>
    <t>CUBIERTA TRASERA</t>
  </si>
  <si>
    <t>413228-5</t>
  </si>
  <si>
    <t>413229-3</t>
  </si>
  <si>
    <t>TORNILLO M8X10 / UNIVERSAL</t>
  </si>
  <si>
    <t>413251-0</t>
  </si>
  <si>
    <t>413256-0</t>
  </si>
  <si>
    <t>CAJA MOTOR  / HR006G</t>
  </si>
  <si>
    <t>413260-9</t>
  </si>
  <si>
    <t>DEFLECTOR / HR006G</t>
  </si>
  <si>
    <t>413261-7</t>
  </si>
  <si>
    <t>BIELA / HR006G</t>
  </si>
  <si>
    <t>413263-3</t>
  </si>
  <si>
    <t>MANGUITO DESLIZANTE / HR006G</t>
  </si>
  <si>
    <t>413264-1</t>
  </si>
  <si>
    <t>BASE DE RESORTE / HR006G</t>
  </si>
  <si>
    <t>413266-7</t>
  </si>
  <si>
    <t>CARCASA DE MOTOR  / HM002G</t>
  </si>
  <si>
    <t>413268-3</t>
  </si>
  <si>
    <t>CUBIERTA DE LA CARCASA  / HM002G</t>
  </si>
  <si>
    <t>413277-2</t>
  </si>
  <si>
    <t>BARRA DE CONEXIÓN / HM002G</t>
  </si>
  <si>
    <t>413291-8</t>
  </si>
  <si>
    <t>DEFLECTOR / DCC500</t>
  </si>
  <si>
    <t>413309-5</t>
  </si>
  <si>
    <t>CUBIERTA POSTERIOR / DHP487</t>
  </si>
  <si>
    <t>413310-0</t>
  </si>
  <si>
    <t>BOTON DE SELECTOR / DHP487</t>
  </si>
  <si>
    <t>413343-5</t>
  </si>
  <si>
    <t>CAJA MOTOR  / GA7070 - GA9070</t>
  </si>
  <si>
    <t>413348-5</t>
  </si>
  <si>
    <t>EMPUÑADURA / RS001G</t>
  </si>
  <si>
    <t>413388-3</t>
  </si>
  <si>
    <t>GUIA DE VENTILADOR / GA7070 - GA9070</t>
  </si>
  <si>
    <t>413389-1</t>
  </si>
  <si>
    <t>413395-6</t>
  </si>
  <si>
    <t>PERILLA DE INTERRUPTOR / DTM52</t>
  </si>
  <si>
    <t>413397-2</t>
  </si>
  <si>
    <t>PALANCA DE INTERRUPTOR B / DTM52</t>
  </si>
  <si>
    <t>413405-9</t>
  </si>
  <si>
    <t>CUBIERTA TRASERA / DHP486</t>
  </si>
  <si>
    <t>413525-9</t>
  </si>
  <si>
    <t>CAJA ALIMENTADORA   / DFR452</t>
  </si>
  <si>
    <t>413550-0</t>
  </si>
  <si>
    <t>RUEDA TRASERA / DRC300</t>
  </si>
  <si>
    <t>413553-4</t>
  </si>
  <si>
    <t>RUEDA DELANTERA / DRC300</t>
  </si>
  <si>
    <t>413570-4</t>
  </si>
  <si>
    <t>BOTON INTERRUPTOR / DRC300</t>
  </si>
  <si>
    <t>413590-8</t>
  </si>
  <si>
    <t>ESPACIADOR/LS003G-04G</t>
  </si>
  <si>
    <t>413602-7</t>
  </si>
  <si>
    <t>CUBIERTA TRASERA / TW007G - TW008G</t>
  </si>
  <si>
    <t>413618-2</t>
  </si>
  <si>
    <t>BASE / DBO481</t>
  </si>
  <si>
    <t>413645-9</t>
  </si>
  <si>
    <t>CUBIERTA DE MOTOR F / CL001G</t>
  </si>
  <si>
    <t>413711-2</t>
  </si>
  <si>
    <t>TAPA DE TUBO 28 / DUN461W</t>
  </si>
  <si>
    <t>413712-0</t>
  </si>
  <si>
    <t>TAPA DE TUBO 32/DUN461W</t>
  </si>
  <si>
    <t>413713-8</t>
  </si>
  <si>
    <t>BOTON DE BLOQUEO A / DUN461W</t>
  </si>
  <si>
    <t>413714-6</t>
  </si>
  <si>
    <t>PALANCA DE INTERRUPTOR / DUN461W</t>
  </si>
  <si>
    <t>413715-4</t>
  </si>
  <si>
    <t>BOTON DE BLOQUEO B / DUN461W</t>
  </si>
  <si>
    <t>413719-6</t>
  </si>
  <si>
    <t>AGARRE DELANTERO A/DUN461W</t>
  </si>
  <si>
    <t>413748-9</t>
  </si>
  <si>
    <t>TAPA POSTERIOR NEGRO / DHP487</t>
  </si>
  <si>
    <t>413791-8</t>
  </si>
  <si>
    <t>EMPUÑADURA DELANTERA / VARIOS</t>
  </si>
  <si>
    <t>413792-6</t>
  </si>
  <si>
    <t>PALANCA DL INTERRUPTOR R / VARIOS</t>
  </si>
  <si>
    <t>413794-2</t>
  </si>
  <si>
    <t>GUARDA R / VARIOS</t>
  </si>
  <si>
    <t>413795-0</t>
  </si>
  <si>
    <t>ESPACIADOR 600R / UH006G</t>
  </si>
  <si>
    <t>413820-7</t>
  </si>
  <si>
    <t>CUBIERTA DE SEGURIDAD B/LS003G</t>
  </si>
  <si>
    <t>413825-7</t>
  </si>
  <si>
    <t>CUBIERTA DE SEGURIDAD B/LS004G</t>
  </si>
  <si>
    <t>413827-3</t>
  </si>
  <si>
    <t>PALANCA DE ENLACE / HR006G</t>
  </si>
  <si>
    <t>413840-1</t>
  </si>
  <si>
    <t>CARCASA DE MOTOR  / SP001G</t>
  </si>
  <si>
    <t>413844-3</t>
  </si>
  <si>
    <t>EMPAQUE DE CAJA/ VARIOS</t>
  </si>
  <si>
    <t>413846-9</t>
  </si>
  <si>
    <t>BOQUILLA POLVO/ SP001G</t>
  </si>
  <si>
    <t>413847-7</t>
  </si>
  <si>
    <t>GUIA DE PROFUNDIDAD / SP001G</t>
  </si>
  <si>
    <t>413904-1</t>
  </si>
  <si>
    <t>CARCASA DE MOTOR  / UC002G - UC004G</t>
  </si>
  <si>
    <t>413986-3</t>
  </si>
  <si>
    <t>TAPA DE LA TUERCA / VARIOS</t>
  </si>
  <si>
    <t>413A11-6</t>
  </si>
  <si>
    <t>GUIA ANGULAR DELANTERA / VARIOS</t>
  </si>
  <si>
    <t>413A23-9</t>
  </si>
  <si>
    <t>413A32-8</t>
  </si>
  <si>
    <t>413B17-0</t>
  </si>
  <si>
    <t>413C02-9</t>
  </si>
  <si>
    <t>413C03-7</t>
  </si>
  <si>
    <t>413C07-9</t>
  </si>
  <si>
    <t>DEFLECTOR GUIA AIRE / VARIOS</t>
  </si>
  <si>
    <t>413C09-5</t>
  </si>
  <si>
    <t>413C10-0</t>
  </si>
  <si>
    <t>PERILLA DE INTERRUPTOR / VARIOS</t>
  </si>
  <si>
    <t>413C17-6</t>
  </si>
  <si>
    <t>CAJA MOTOR  / HS009G - HS010G</t>
  </si>
  <si>
    <t>413C21-5</t>
  </si>
  <si>
    <t>EMPUÑADURA DELANTERA /HS009G - HS010G</t>
  </si>
  <si>
    <t>413C22-3</t>
  </si>
  <si>
    <t>PLACA DIFUSORA / HS009G - HS010G</t>
  </si>
  <si>
    <t>413C24-9</t>
  </si>
  <si>
    <t>GATILLO /HS009G - HS010G</t>
  </si>
  <si>
    <t>413C47-7</t>
  </si>
  <si>
    <t>TAPA TRASERA / AS001G</t>
  </si>
  <si>
    <t>413C49-3</t>
  </si>
  <si>
    <t>SOPORTE DE FILTRO/ AS001G</t>
  </si>
  <si>
    <t>413E35-6</t>
  </si>
  <si>
    <t>PLACA DEFLECTORA/ VARIOS</t>
  </si>
  <si>
    <t>413G97-6</t>
  </si>
  <si>
    <t>413G98-4</t>
  </si>
  <si>
    <t>CAJA MOTOR / GA4595</t>
  </si>
  <si>
    <t>413H29-9</t>
  </si>
  <si>
    <t>FILTRO  / CL003G, DCL286F</t>
  </si>
  <si>
    <t>413J59-2</t>
  </si>
  <si>
    <t>CAJA DE RODAMIENTO / UC4041A</t>
  </si>
  <si>
    <t>413J75-4</t>
  </si>
  <si>
    <t>MANGO DELANTERO / DUC357 - DUC407</t>
  </si>
  <si>
    <t>413J76-2</t>
  </si>
  <si>
    <t>413J84-3</t>
  </si>
  <si>
    <t>413J85-1</t>
  </si>
  <si>
    <t>CUBIERTA DE CARCASA  / VARIOS</t>
  </si>
  <si>
    <t>413J87-7</t>
  </si>
  <si>
    <t>PALANCA DEL PROTECTOR / DUC357 - DUC407</t>
  </si>
  <si>
    <t>413J90-8</t>
  </si>
  <si>
    <t>PEDAL / DVC560, VC010G</t>
  </si>
  <si>
    <t>413K14-0</t>
  </si>
  <si>
    <t>CUBIERTA SUPERIOR / 3709</t>
  </si>
  <si>
    <t>413K35-2</t>
  </si>
  <si>
    <t>413L58-6</t>
  </si>
  <si>
    <t>413L96-8</t>
  </si>
  <si>
    <t>413M03-7</t>
  </si>
  <si>
    <t>413M04-5</t>
  </si>
  <si>
    <t>413N80-5</t>
  </si>
  <si>
    <t>TAPA DDF489/DHP489</t>
  </si>
  <si>
    <t>413R44-3</t>
  </si>
  <si>
    <t>413R47-7</t>
  </si>
  <si>
    <t>413S09-1</t>
  </si>
  <si>
    <t>413S11-4</t>
  </si>
  <si>
    <t>413S22-9</t>
  </si>
  <si>
    <t>413S26-1</t>
  </si>
  <si>
    <t>413S47-3</t>
  </si>
  <si>
    <t>413S50-4</t>
  </si>
  <si>
    <t>413S54-6</t>
  </si>
  <si>
    <t>413S60-1</t>
  </si>
  <si>
    <t>413S61-9</t>
  </si>
  <si>
    <t>413S62-7</t>
  </si>
  <si>
    <t>414145-2</t>
  </si>
  <si>
    <t>JUNTA / VARIOS</t>
  </si>
  <si>
    <t>414218-1</t>
  </si>
  <si>
    <t>TAPA CIGUEÑAL / HM1201</t>
  </si>
  <si>
    <t>414546-4</t>
  </si>
  <si>
    <t>MANGUITO DE BLOQUEO / LS1040 - LS1040F</t>
  </si>
  <si>
    <t>414787-2</t>
  </si>
  <si>
    <t>CAJA MOTOR A  / HM1810</t>
  </si>
  <si>
    <t>414959-9</t>
  </si>
  <si>
    <t>CUBIERTA DE MANGO / 6906</t>
  </si>
  <si>
    <t>415067-9</t>
  </si>
  <si>
    <t>CUBIERTA TRASERA / 3612C</t>
  </si>
  <si>
    <t>415070-0</t>
  </si>
  <si>
    <t>BOTON L / VARIOS</t>
  </si>
  <si>
    <t>415071-8</t>
  </si>
  <si>
    <t>BOTON R / 3612</t>
  </si>
  <si>
    <t>415120-1</t>
  </si>
  <si>
    <t>PALANCA DE INTERRUPTOR/ VARIOS</t>
  </si>
  <si>
    <t>415209-5</t>
  </si>
  <si>
    <t>415252-4</t>
  </si>
  <si>
    <t>BOQUILLA DE POLVO / PJ7000 - DPJ180</t>
  </si>
  <si>
    <t>415300-9</t>
  </si>
  <si>
    <t>ANILLO LABERINTO / VARIOS</t>
  </si>
  <si>
    <t>415366-9</t>
  </si>
  <si>
    <t>BLOQUEO DE INTERRUPTOR / LC1230 - 2414NB</t>
  </si>
  <si>
    <t>415369-3</t>
  </si>
  <si>
    <t>DEFLECTOR / 2414NB</t>
  </si>
  <si>
    <t>415437-2</t>
  </si>
  <si>
    <t>PASADOR DE RODILLO / N5900B</t>
  </si>
  <si>
    <t>415438-0</t>
  </si>
  <si>
    <t>RODILLO 20 / N5900B</t>
  </si>
  <si>
    <t>415467-3</t>
  </si>
  <si>
    <t>DEFLECTOR / 4131</t>
  </si>
  <si>
    <t>415474-6</t>
  </si>
  <si>
    <t>GUIA DE CORTE</t>
  </si>
  <si>
    <t>415486-9</t>
  </si>
  <si>
    <t>415491-6</t>
  </si>
  <si>
    <t>TAPA DE TRABADOR / 9237CB - 9227CB</t>
  </si>
  <si>
    <t>415559-8</t>
  </si>
  <si>
    <t>PERILLA DE AJUSTE / 9046</t>
  </si>
  <si>
    <t>415563-7</t>
  </si>
  <si>
    <t>CUBIERTA DE DESPLAZADOR / 9046</t>
  </si>
  <si>
    <t>415567-9</t>
  </si>
  <si>
    <t>ALOJAMIENTO DE DESPLAZADOR / 9046</t>
  </si>
  <si>
    <t>415624-3</t>
  </si>
  <si>
    <t>ALINEADOR DE POLEA / 9031</t>
  </si>
  <si>
    <t>415661-7</t>
  </si>
  <si>
    <t>TAPON / 2414NB</t>
  </si>
  <si>
    <t>415690-0</t>
  </si>
  <si>
    <t>TAPA DE MANIVELA / HM1100C</t>
  </si>
  <si>
    <t>415723-1</t>
  </si>
  <si>
    <t>CUBIERTA DE LA EMPUÑADURA / 9046</t>
  </si>
  <si>
    <t>415805-9</t>
  </si>
  <si>
    <t>415806-7</t>
  </si>
  <si>
    <t>415932-2</t>
  </si>
  <si>
    <t>TAPA DE MOTOR / 407</t>
  </si>
  <si>
    <t>415999-0</t>
  </si>
  <si>
    <t>416000-4</t>
  </si>
  <si>
    <t>PALANCA DE DESBLOQUEO / VARIOS</t>
  </si>
  <si>
    <t>416001-2</t>
  </si>
  <si>
    <t>PLACA DE CORTE / LS1040 - LS1040F</t>
  </si>
  <si>
    <t>416003-8</t>
  </si>
  <si>
    <t>CUBIERTA DE SEGURIDAD / LS1040F</t>
  </si>
  <si>
    <t>416006-2</t>
  </si>
  <si>
    <t>PALANCA 10 / VARIOS</t>
  </si>
  <si>
    <t>416063-0</t>
  </si>
  <si>
    <t>BOQUILLA DE BOLSA / VARIOS</t>
  </si>
  <si>
    <t>416064-8</t>
  </si>
  <si>
    <t>416079-5</t>
  </si>
  <si>
    <t>PALANCA DE CAMBIO DE GIRO / VARIOS</t>
  </si>
  <si>
    <t>416123-8</t>
  </si>
  <si>
    <t>BIELA / HR4000C</t>
  </si>
  <si>
    <t>416125-4</t>
  </si>
  <si>
    <t>MANGO DE BLOQUEO / HR4000C</t>
  </si>
  <si>
    <t>416126-2</t>
  </si>
  <si>
    <t>GUIA DELANTERA / VARIOS</t>
  </si>
  <si>
    <t>416131-9</t>
  </si>
  <si>
    <t>416178-3</t>
  </si>
  <si>
    <t>416228-4</t>
  </si>
  <si>
    <t>BASE DE EMPUÑADURA / VARIOS</t>
  </si>
  <si>
    <t>416233-1</t>
  </si>
  <si>
    <t>TAPA DE ESCAPE / AN611</t>
  </si>
  <si>
    <t>416253-5</t>
  </si>
  <si>
    <t>DEFLECTOR / 9237CB - 9227CB</t>
  </si>
  <si>
    <t>416274-7</t>
  </si>
  <si>
    <t>416284-4</t>
  </si>
  <si>
    <t>416287-8</t>
  </si>
  <si>
    <t>416288-6</t>
  </si>
  <si>
    <t>SOPORTE DE CAMBIO / HR4000C</t>
  </si>
  <si>
    <t>416289-4</t>
  </si>
  <si>
    <t>416292-5</t>
  </si>
  <si>
    <t>TAPA DE CARBON / HR5001C - HR4500C</t>
  </si>
  <si>
    <t>416325-6</t>
  </si>
  <si>
    <t>MANGUITO DE BLOQUEO B / HR4000C</t>
  </si>
  <si>
    <t>416331-1</t>
  </si>
  <si>
    <t>DEFLECTOR / 2704</t>
  </si>
  <si>
    <t>416333-7</t>
  </si>
  <si>
    <t>PLATO CREMALLERA / 2703</t>
  </si>
  <si>
    <t>416348-4</t>
  </si>
  <si>
    <t>MANGO D / 9227CB</t>
  </si>
  <si>
    <t>416356-5</t>
  </si>
  <si>
    <t>416358-1</t>
  </si>
  <si>
    <t>MANGUITO 17 / LS1221</t>
  </si>
  <si>
    <t>416359-9</t>
  </si>
  <si>
    <t>PALANCA DE BLOQUEO / LS1221</t>
  </si>
  <si>
    <t>416360-4</t>
  </si>
  <si>
    <t>MARCO CORTE/VARIOS</t>
  </si>
  <si>
    <t>416361-2</t>
  </si>
  <si>
    <t>DEFLECTOR / LS1221</t>
  </si>
  <si>
    <t>416362-0</t>
  </si>
  <si>
    <t>CUBIERTA TRASERA / LF1000</t>
  </si>
  <si>
    <t>416367-0</t>
  </si>
  <si>
    <t>BOQUILLA POLVO/ LS1220-LS1221</t>
  </si>
  <si>
    <t>416368-8</t>
  </si>
  <si>
    <t>CODO / VARIOS</t>
  </si>
  <si>
    <t>416403-2</t>
  </si>
  <si>
    <t>PLACA DESLIZANTE/VARIOS</t>
  </si>
  <si>
    <t>416404-0</t>
  </si>
  <si>
    <t>BOTON DE INTERRUPTOR / VARIOS</t>
  </si>
  <si>
    <t>416410-5</t>
  </si>
  <si>
    <t>TAPA DE MANDRIL / VARIOS</t>
  </si>
  <si>
    <t>416416-3</t>
  </si>
  <si>
    <t>PLACA DE DESPLAZADOR / 9911</t>
  </si>
  <si>
    <t>416417-1</t>
  </si>
  <si>
    <t>416418-9</t>
  </si>
  <si>
    <t>DEFLECTOR / 9911</t>
  </si>
  <si>
    <t>416419-7</t>
  </si>
  <si>
    <t>PIE / 9911</t>
  </si>
  <si>
    <t>416442-2</t>
  </si>
  <si>
    <t>416449-8</t>
  </si>
  <si>
    <t>BOTON DE TRABADOR / VARIOS</t>
  </si>
  <si>
    <t>416450-3</t>
  </si>
  <si>
    <t>416476-5</t>
  </si>
  <si>
    <t>CUBIERTA CONTA POLVO / VARIOS</t>
  </si>
  <si>
    <t>416494-3</t>
  </si>
  <si>
    <t>SEPARADOR / 9403</t>
  </si>
  <si>
    <t>416495-1</t>
  </si>
  <si>
    <t>CUBIERTA DE FAJA / 9403</t>
  </si>
  <si>
    <t>416496-9</t>
  </si>
  <si>
    <t>CUBIERTA DE MANGO / 9403</t>
  </si>
  <si>
    <t>416497-7</t>
  </si>
  <si>
    <t>BOQUILLA PARA POLVO / 9403</t>
  </si>
  <si>
    <t>416498-5</t>
  </si>
  <si>
    <t>DEFLECTOR / 9403</t>
  </si>
  <si>
    <t>416499-3</t>
  </si>
  <si>
    <t>EMPUÑADURA DELANTERA / 9403</t>
  </si>
  <si>
    <t>416518-5</t>
  </si>
  <si>
    <t>CARRETE / VARIOS</t>
  </si>
  <si>
    <t>416561-4</t>
  </si>
  <si>
    <t>TAPA DE MANIVELA / VARIOS</t>
  </si>
  <si>
    <t>416562-2</t>
  </si>
  <si>
    <t>VARILLA DE SUJECION / HR5001C</t>
  </si>
  <si>
    <t>416563-0</t>
  </si>
  <si>
    <t>PISTON / HR5001C</t>
  </si>
  <si>
    <t>416564-8</t>
  </si>
  <si>
    <t>BIELA / HR5001C</t>
  </si>
  <si>
    <t>416566-4</t>
  </si>
  <si>
    <t>MANGUITO DESLIZANTE / HR5001C</t>
  </si>
  <si>
    <t>416567-2</t>
  </si>
  <si>
    <t>GUIA PARA POLVOS / HR5001C</t>
  </si>
  <si>
    <t>416568-0</t>
  </si>
  <si>
    <t>CUBIERTA DE MANDRIL / HR5001C</t>
  </si>
  <si>
    <t>416571-1</t>
  </si>
  <si>
    <t>SOPORTE DE CAMBIO / HR5001C</t>
  </si>
  <si>
    <t>416572-9</t>
  </si>
  <si>
    <t>MANGO DE BLOQUEO A / HR5001C</t>
  </si>
  <si>
    <t>416573-7</t>
  </si>
  <si>
    <t>MANGO DE BLOQUEO B / HR5001C</t>
  </si>
  <si>
    <t>416703-0</t>
  </si>
  <si>
    <t>SELLO CONTRA POLVO / VARIOS</t>
  </si>
  <si>
    <t>416708-0</t>
  </si>
  <si>
    <t>416741-2</t>
  </si>
  <si>
    <t>CODO / SG1251 - DCC500</t>
  </si>
  <si>
    <t>416771-3</t>
  </si>
  <si>
    <t>TAPA DE GOMA / M2401</t>
  </si>
  <si>
    <t>416889-0</t>
  </si>
  <si>
    <t>CUBIERTA DE MANGO / 5007NB</t>
  </si>
  <si>
    <t>416928-6</t>
  </si>
  <si>
    <t>GUIA PLASTICA 49 / HM1202C</t>
  </si>
  <si>
    <t>416929-4</t>
  </si>
  <si>
    <t>PISTON / HM1202 - HM1202C</t>
  </si>
  <si>
    <t>416930-9</t>
  </si>
  <si>
    <t>BIELA / HM1202C</t>
  </si>
  <si>
    <t>416931-7</t>
  </si>
  <si>
    <t>416934-1</t>
  </si>
  <si>
    <t>ANILLO  DE CAMBIO / HM1202C</t>
  </si>
  <si>
    <t>416935-9</t>
  </si>
  <si>
    <t>TAPA CIGUEÑAL / HM1202</t>
  </si>
  <si>
    <t>416936-7</t>
  </si>
  <si>
    <t>DEFLECTOR / HM1202C</t>
  </si>
  <si>
    <t>416937-5</t>
  </si>
  <si>
    <t>416938-3</t>
  </si>
  <si>
    <t>CUBIERTA DE LA CARCASA / HM1202 - HM1202C</t>
  </si>
  <si>
    <t>416972-3</t>
  </si>
  <si>
    <t>416994-3</t>
  </si>
  <si>
    <t>417002-3</t>
  </si>
  <si>
    <t>417003-1</t>
  </si>
  <si>
    <t>417016-2</t>
  </si>
  <si>
    <t>BIELA / HR3000C</t>
  </si>
  <si>
    <t>417020-1</t>
  </si>
  <si>
    <t>MANGO DE BLOQUEO / HR3000C</t>
  </si>
  <si>
    <t>417021-9</t>
  </si>
  <si>
    <t>PISTON / HR3000C</t>
  </si>
  <si>
    <t>417027-7</t>
  </si>
  <si>
    <t>TAPA DE MANDRIL /  HR3000C</t>
  </si>
  <si>
    <t>417030-8</t>
  </si>
  <si>
    <t>TAPA DE ENGRANAJE / 2012NB</t>
  </si>
  <si>
    <t>417032-4</t>
  </si>
  <si>
    <t>417033-2</t>
  </si>
  <si>
    <t>DEFLECTOR / 2012NB</t>
  </si>
  <si>
    <t>417034-0</t>
  </si>
  <si>
    <t>RETEN DE EJE / 2012NB</t>
  </si>
  <si>
    <t>417035-8</t>
  </si>
  <si>
    <t>TAPA DE LA FAJA / 2012NB</t>
  </si>
  <si>
    <t>417052-8</t>
  </si>
  <si>
    <t>CUBIERTA DE CORREA / 9404</t>
  </si>
  <si>
    <t>417056-0</t>
  </si>
  <si>
    <t>RUEDA ESPECIAL / VARIOS</t>
  </si>
  <si>
    <t>417113-4</t>
  </si>
  <si>
    <t>BOTON DE TRABA / VARIOS</t>
  </si>
  <si>
    <t>417114-2</t>
  </si>
  <si>
    <t>DEFLECTOR / N5900B - HS0600</t>
  </si>
  <si>
    <t>417115-0</t>
  </si>
  <si>
    <t>GATILLO DE INTERRUPTOR / N5900B - HS0600</t>
  </si>
  <si>
    <t>417118-4</t>
  </si>
  <si>
    <t>CUBIERTA DE MANGO  / N5900B - HS0600</t>
  </si>
  <si>
    <t>417167-1</t>
  </si>
  <si>
    <t>TAPA MANILLA / HM5001C</t>
  </si>
  <si>
    <t>417183-3</t>
  </si>
  <si>
    <t>417185-9</t>
  </si>
  <si>
    <t>417186-7</t>
  </si>
  <si>
    <t>PALANCA DE INTERRUPTOR / PW5001C - 9564CV</t>
  </si>
  <si>
    <t>417187-5</t>
  </si>
  <si>
    <t>PALANCA DE INTERRUPTOR / GD0800C</t>
  </si>
  <si>
    <t>417237-6</t>
  </si>
  <si>
    <t>TAPA AISLANTE / VARIOS</t>
  </si>
  <si>
    <t>417252-0</t>
  </si>
  <si>
    <t>GUIA DE RESORTE / RP2301FC</t>
  </si>
  <si>
    <t>417340-3</t>
  </si>
  <si>
    <t>417403-5</t>
  </si>
  <si>
    <t>CUBIERTA / VARIOS</t>
  </si>
  <si>
    <t>417405-1</t>
  </si>
  <si>
    <t>LEVA / VARIOS</t>
  </si>
  <si>
    <t>417416-6</t>
  </si>
  <si>
    <t>417432-8</t>
  </si>
  <si>
    <t>BIELA / HR4500C</t>
  </si>
  <si>
    <t>417544-7</t>
  </si>
  <si>
    <t>PALANCA INTERRUPTOR / HM750</t>
  </si>
  <si>
    <t>417564-1</t>
  </si>
  <si>
    <t>GATILLO DE INTERRUPTOR / VARIOS</t>
  </si>
  <si>
    <t>417576-4</t>
  </si>
  <si>
    <t>MANGO 39 / HM1202C</t>
  </si>
  <si>
    <t>417577-2</t>
  </si>
  <si>
    <t>TAPA DE MANDRIL / HM1202C</t>
  </si>
  <si>
    <t>417587-9</t>
  </si>
  <si>
    <t>PLACA DE SUJETADOR / VARIOS</t>
  </si>
  <si>
    <t>417600-3</t>
  </si>
  <si>
    <t>ANILLO GUIA / HM1202C</t>
  </si>
  <si>
    <t>417628-1</t>
  </si>
  <si>
    <t>TAPA / HR2440</t>
  </si>
  <si>
    <t>417629-9</t>
  </si>
  <si>
    <t>CUBIERTA DE MANDRIL / VARIOS</t>
  </si>
  <si>
    <t>417630-4</t>
  </si>
  <si>
    <t>EMPUÑADURA BASE / VARIOS</t>
  </si>
  <si>
    <t>417749-9</t>
  </si>
  <si>
    <t>BASE PROTECTOR / 3707</t>
  </si>
  <si>
    <t>417771-6</t>
  </si>
  <si>
    <t>TAPA DE TRABA / VARIOS</t>
  </si>
  <si>
    <t>417791-0</t>
  </si>
  <si>
    <t>GUIA DE MANGUITO/ VARIOS</t>
  </si>
  <si>
    <t>417794-4</t>
  </si>
  <si>
    <t>417795-2</t>
  </si>
  <si>
    <t>417796-0</t>
  </si>
  <si>
    <t>BASE GUIA / VARIOS</t>
  </si>
  <si>
    <t>417802-1</t>
  </si>
  <si>
    <t>CAJA DE LA PALANCA / VARIOS</t>
  </si>
  <si>
    <t>417803-9</t>
  </si>
  <si>
    <t>DEFLECTOR / HP2050</t>
  </si>
  <si>
    <t>417804-7</t>
  </si>
  <si>
    <t>CREMALLERA 12 / HP2070F - HP2050</t>
  </si>
  <si>
    <t>417805-5</t>
  </si>
  <si>
    <t>PALANCA DE CAMBIO B / HP2070F - HP2050</t>
  </si>
  <si>
    <t>417806-3</t>
  </si>
  <si>
    <t>CAJA MOTOR  / HP2050F</t>
  </si>
  <si>
    <t>417807-1</t>
  </si>
  <si>
    <t>CARCASA DE MOTOR  / VARIOS</t>
  </si>
  <si>
    <t>417812-8</t>
  </si>
  <si>
    <t>CAJA MOTOR  / GD0800C - GD0810C</t>
  </si>
  <si>
    <t>417813-6</t>
  </si>
  <si>
    <t>PERILLA DE INTERRUPTOR / GD0800C - 9564CV</t>
  </si>
  <si>
    <t>417818-6</t>
  </si>
  <si>
    <t>417819-4</t>
  </si>
  <si>
    <t>PALANCA DE CAMBIO / HP1630K - M8100K</t>
  </si>
  <si>
    <t>417821-7</t>
  </si>
  <si>
    <t>417836-4</t>
  </si>
  <si>
    <t>GUARDA MOVIL / LS1220 - LS1221</t>
  </si>
  <si>
    <t>417839-8</t>
  </si>
  <si>
    <t>PLACA DE SELLO / 4350FCT</t>
  </si>
  <si>
    <t>417842-9</t>
  </si>
  <si>
    <t>SOPORTE PORTA HERRAMIENTA / VARIOS</t>
  </si>
  <si>
    <t>417980-7</t>
  </si>
  <si>
    <t>418000-0</t>
  </si>
  <si>
    <t>DEFLECTOR / HM1304 - HM1304B</t>
  </si>
  <si>
    <t>418016-5</t>
  </si>
  <si>
    <t>PERILLA INTERRUPTOR / VARIOS</t>
  </si>
  <si>
    <t>418017-3</t>
  </si>
  <si>
    <t>418023-8</t>
  </si>
  <si>
    <t>418033-5</t>
  </si>
  <si>
    <t>DEFLECTOR / DA3010F</t>
  </si>
  <si>
    <t>418036-9</t>
  </si>
  <si>
    <t>EMPAQUETADURA / DA3010F</t>
  </si>
  <si>
    <t>418037-7</t>
  </si>
  <si>
    <t>PERILLA DE VELOCIDAD / DA3010F</t>
  </si>
  <si>
    <t>418040-8</t>
  </si>
  <si>
    <t>LEVA / DA3010F</t>
  </si>
  <si>
    <t>418042-4</t>
  </si>
  <si>
    <t>418067-8</t>
  </si>
  <si>
    <t>TAPA TRABADOR / VARIOS</t>
  </si>
  <si>
    <t>418072-5</t>
  </si>
  <si>
    <t>APOYO / LS1040F</t>
  </si>
  <si>
    <t>418083-0</t>
  </si>
  <si>
    <t>PALANCA DE CAMBIO A / HP2070F - HP2050</t>
  </si>
  <si>
    <t>418084-8</t>
  </si>
  <si>
    <t>418104-8</t>
  </si>
  <si>
    <t>LENTE PARA LA LUZ LED /VARIOS</t>
  </si>
  <si>
    <t>418138-1</t>
  </si>
  <si>
    <t>BOTON TRABA / M2401</t>
  </si>
  <si>
    <t>418139-9</t>
  </si>
  <si>
    <t>BLOQUEO DE INTERRUPTOR / LW1401 - M2401</t>
  </si>
  <si>
    <t>418140-4</t>
  </si>
  <si>
    <t>418142-0</t>
  </si>
  <si>
    <t>SOPORTE DE GOMA / LW1401</t>
  </si>
  <si>
    <t>418143-8</t>
  </si>
  <si>
    <t>418150-1</t>
  </si>
  <si>
    <t>PROTECTOR MOVIL /VARIOS</t>
  </si>
  <si>
    <t>418217-5</t>
  </si>
  <si>
    <t>CUBIERTA DE MANDRIL / HR2320T</t>
  </si>
  <si>
    <t>418218-3</t>
  </si>
  <si>
    <t>TAPA DE CAMBIO / HR2320T</t>
  </si>
  <si>
    <t>418269-6</t>
  </si>
  <si>
    <t>DEFLECTOR / HP2070F</t>
  </si>
  <si>
    <t>418311-3</t>
  </si>
  <si>
    <t>MANGUITO / VARIOS</t>
  </si>
  <si>
    <t>418319-7</t>
  </si>
  <si>
    <t>PALANCA DE CAMBIO / HP1640</t>
  </si>
  <si>
    <t>418332-5</t>
  </si>
  <si>
    <t>PALANCA INTERRUPTOR / HM1800</t>
  </si>
  <si>
    <t>418333-3</t>
  </si>
  <si>
    <t>EMPUÑADURA / HM1810</t>
  </si>
  <si>
    <t>418349-8</t>
  </si>
  <si>
    <t>418350-3</t>
  </si>
  <si>
    <t>418351-1</t>
  </si>
  <si>
    <t>TAPA DE MANDRIL / HM0860C</t>
  </si>
  <si>
    <t>418353-7</t>
  </si>
  <si>
    <t>VARILLA DE SUJECION / HM0860C</t>
  </si>
  <si>
    <t>418354-5</t>
  </si>
  <si>
    <t>CUBIERTA / HM0860C</t>
  </si>
  <si>
    <t>418355-3</t>
  </si>
  <si>
    <t>DEFLECTOR / HM0860C</t>
  </si>
  <si>
    <t>418357-9</t>
  </si>
  <si>
    <t>SEGURO / HM0860C</t>
  </si>
  <si>
    <t>418358-7</t>
  </si>
  <si>
    <t>418360-0</t>
  </si>
  <si>
    <t>PALANCA DE INTERRUPTOR / HM0860C</t>
  </si>
  <si>
    <t>418362-6</t>
  </si>
  <si>
    <t>TAPA DE CARBON / HM0860C</t>
  </si>
  <si>
    <t>418363-4</t>
  </si>
  <si>
    <t>BASE DE EMPUÑADURA 6 / VARIOS</t>
  </si>
  <si>
    <t>418366-8</t>
  </si>
  <si>
    <t>MANGO / HM0860C</t>
  </si>
  <si>
    <t>418415-1</t>
  </si>
  <si>
    <t>EMPUÑADURA LATERAL / HM1810</t>
  </si>
  <si>
    <t>418468-0</t>
  </si>
  <si>
    <t>PROTECTOR DE VIRUTAS / VARIOS</t>
  </si>
  <si>
    <t>418483-4</t>
  </si>
  <si>
    <t>418484-2</t>
  </si>
  <si>
    <t>TUERCA DE NYLON M10 / VARIOS</t>
  </si>
  <si>
    <t>418485-0</t>
  </si>
  <si>
    <t>BASE PLASTICA / VARIOS</t>
  </si>
  <si>
    <t>418486-8</t>
  </si>
  <si>
    <t>DEFLECTOR / M3600</t>
  </si>
  <si>
    <t>418492-3</t>
  </si>
  <si>
    <t>GUIA DE RESORTE / M3600</t>
  </si>
  <si>
    <t>418493-1</t>
  </si>
  <si>
    <t>418512-3</t>
  </si>
  <si>
    <t>CAJA MOTOR  / PW5001C - 9564CV</t>
  </si>
  <si>
    <t>418517-3</t>
  </si>
  <si>
    <t>TAPA DE TRABADOR / SA7000C - PK5011C</t>
  </si>
  <si>
    <t>418518-1</t>
  </si>
  <si>
    <t>418519-9</t>
  </si>
  <si>
    <t>BASE DE INTERRUPTOR / VARIOS</t>
  </si>
  <si>
    <t>418528-8</t>
  </si>
  <si>
    <t>DEFLECTOR / SA7000C</t>
  </si>
  <si>
    <t>418529-6</t>
  </si>
  <si>
    <t>TAPA FRONTAL /VARIOS</t>
  </si>
  <si>
    <t>418563-6</t>
  </si>
  <si>
    <t>CAJA DE PERCUTOR / MHP130 - MHP160</t>
  </si>
  <si>
    <t>418725-6</t>
  </si>
  <si>
    <t>418728-0</t>
  </si>
  <si>
    <t>PALANCA INTERRUPTOR / VARIOS</t>
  </si>
  <si>
    <t>418729-8</t>
  </si>
  <si>
    <t>CASQUILLO ESPACIADOR / 9557HP - GD0600</t>
  </si>
  <si>
    <t>418770-1</t>
  </si>
  <si>
    <t>DEFLECTOR / 9557HP</t>
  </si>
  <si>
    <t>418805-8</t>
  </si>
  <si>
    <t>DEFLECTOR / JR3050T</t>
  </si>
  <si>
    <t>418806-6</t>
  </si>
  <si>
    <t>418814-7</t>
  </si>
  <si>
    <t>DEFLECTOR / TW1000</t>
  </si>
  <si>
    <t>418838-3</t>
  </si>
  <si>
    <t>CAJA MOTOR / 9557HP - GD0600</t>
  </si>
  <si>
    <t>418842-2</t>
  </si>
  <si>
    <t>BOTON DE BLOQUEO / 9557HP - GD0600</t>
  </si>
  <si>
    <t>418871-5</t>
  </si>
  <si>
    <t>BOTON DE BLOQUEO / M9400 - M1100</t>
  </si>
  <si>
    <t>418873-1</t>
  </si>
  <si>
    <t>418874-9</t>
  </si>
  <si>
    <t>GUIA DE POLVO / VARIOS</t>
  </si>
  <si>
    <t>418907-0</t>
  </si>
  <si>
    <t>TAPA DE RIEL / 2704</t>
  </si>
  <si>
    <t>418908-8</t>
  </si>
  <si>
    <t>418909-6</t>
  </si>
  <si>
    <t>CUBIERTA DE INTERRUPTOR / 2704</t>
  </si>
  <si>
    <t>418917-7</t>
  </si>
  <si>
    <t>JUNTA DE POLVO / 2704</t>
  </si>
  <si>
    <t>418940-2</t>
  </si>
  <si>
    <t>CUBIERTA / 2704</t>
  </si>
  <si>
    <t>418944-4</t>
  </si>
  <si>
    <t>PALANCA DE BLOQUEO / 2704</t>
  </si>
  <si>
    <t>418946-0</t>
  </si>
  <si>
    <t>PALANCA / 2704</t>
  </si>
  <si>
    <t>418947-8</t>
  </si>
  <si>
    <t>MANGO DE REGLA GUIA / 2704</t>
  </si>
  <si>
    <t>418949-4</t>
  </si>
  <si>
    <t>ESPACIADOR 68 / HM1810</t>
  </si>
  <si>
    <t>418951-7</t>
  </si>
  <si>
    <t>LENTE / HM1810</t>
  </si>
  <si>
    <t>418952-5</t>
  </si>
  <si>
    <t>TAPON / HM1810</t>
  </si>
  <si>
    <t>418954-1</t>
  </si>
  <si>
    <t>CUBIERTA SUPERIOR / HM1810</t>
  </si>
  <si>
    <t>418981-8</t>
  </si>
  <si>
    <t>418991-5</t>
  </si>
  <si>
    <t>TAPON / JR3070CT</t>
  </si>
  <si>
    <t>419001-1</t>
  </si>
  <si>
    <t>TAPA DE CIGÜEÑAL / HM1801</t>
  </si>
  <si>
    <t>419002-9</t>
  </si>
  <si>
    <t>419003-7</t>
  </si>
  <si>
    <t>419004-5</t>
  </si>
  <si>
    <t>PISTON / HR4013C - DHR400</t>
  </si>
  <si>
    <t>419005-3</t>
  </si>
  <si>
    <t>419006-1</t>
  </si>
  <si>
    <t>PALANCA DE ENLACE / VARIOS</t>
  </si>
  <si>
    <t>419008-7</t>
  </si>
  <si>
    <t>GUIA DE FIJACION / VARIOS</t>
  </si>
  <si>
    <t>419010-0</t>
  </si>
  <si>
    <t>LENTE / HM1203C; 13C</t>
  </si>
  <si>
    <t>419011-8</t>
  </si>
  <si>
    <t>GUIA DE RESORTE / HM0871C</t>
  </si>
  <si>
    <t>419012-6</t>
  </si>
  <si>
    <t>TUBO DE AIRE / VARIOS</t>
  </si>
  <si>
    <t>419013-4</t>
  </si>
  <si>
    <t>419015-0</t>
  </si>
  <si>
    <t>419016-8</t>
  </si>
  <si>
    <t>TAPA DE LIBERACION / VARIOS</t>
  </si>
  <si>
    <t>419018-4</t>
  </si>
  <si>
    <t>PALANCA DE CAMBIO/ VARIOS</t>
  </si>
  <si>
    <t>419019-2</t>
  </si>
  <si>
    <t>PLATO GUIA/ VARIOS</t>
  </si>
  <si>
    <t>419020-7</t>
  </si>
  <si>
    <t>419021-5</t>
  </si>
  <si>
    <t>419022-3</t>
  </si>
  <si>
    <t>GUIA VENTILADOR / VARIOS</t>
  </si>
  <si>
    <t>419024-9</t>
  </si>
  <si>
    <t>BASE DE ABRAZADERA DE CABLE / VARIOS</t>
  </si>
  <si>
    <t>419025-7</t>
  </si>
  <si>
    <t>419027-3</t>
  </si>
  <si>
    <t>PLACA DE CONTROL / HR4001C - HR4010C</t>
  </si>
  <si>
    <t>419028-1</t>
  </si>
  <si>
    <t>419030-4</t>
  </si>
  <si>
    <t>TAPA CIGUEÑAL  / VARIOS</t>
  </si>
  <si>
    <t>419034-6</t>
  </si>
  <si>
    <t>TAPA CAJA CIGUEÑAL / VARIOS</t>
  </si>
  <si>
    <t>419036-2</t>
  </si>
  <si>
    <t>TAPA MANILLA / VARIOS</t>
  </si>
  <si>
    <t>419041-9</t>
  </si>
  <si>
    <t>419044-3</t>
  </si>
  <si>
    <t>SUB BASE DE LA EMPUÑADURA / HM1810</t>
  </si>
  <si>
    <t>419045-1</t>
  </si>
  <si>
    <t>CUBIERTA DE INTERRUPTOR / HM1810</t>
  </si>
  <si>
    <t>419133-4</t>
  </si>
  <si>
    <t>TAPA DEL TRABADOR / VARIOS</t>
  </si>
  <si>
    <t>419135-0</t>
  </si>
  <si>
    <t>DEFLECTOR /VARIOS</t>
  </si>
  <si>
    <t>419137-6</t>
  </si>
  <si>
    <t>419138-4</t>
  </si>
  <si>
    <t>BASE / 3709</t>
  </si>
  <si>
    <t>419144-9</t>
  </si>
  <si>
    <t>PARACHOQUE / VARIOS</t>
  </si>
  <si>
    <t>419192-8</t>
  </si>
  <si>
    <t>SELECTOR DE BLOQUEO / VARIOS</t>
  </si>
  <si>
    <t>419201-3</t>
  </si>
  <si>
    <t>419220-9</t>
  </si>
  <si>
    <t>CUBIERTA DE ENCASTRE / HR1830 - DHR165</t>
  </si>
  <si>
    <t>419233-0</t>
  </si>
  <si>
    <t>SELECTOR 40 / VARIOS</t>
  </si>
  <si>
    <t>419234-8</t>
  </si>
  <si>
    <t>419235-6</t>
  </si>
  <si>
    <t>PROTECTOR DE MANO / VARIOS</t>
  </si>
  <si>
    <t>419238-0</t>
  </si>
  <si>
    <t>419241-1</t>
  </si>
  <si>
    <t>419250-0</t>
  </si>
  <si>
    <t>419260-7</t>
  </si>
  <si>
    <t>419263-1</t>
  </si>
  <si>
    <t>CUBIERTA DE LA TAPA / HM1810</t>
  </si>
  <si>
    <t>419271-2</t>
  </si>
  <si>
    <t>COJIN F/ AN611</t>
  </si>
  <si>
    <t>419324-7</t>
  </si>
  <si>
    <t>CUBIERTA DE LA CAJA MOTOR  / HM1810</t>
  </si>
  <si>
    <t>419457-8</t>
  </si>
  <si>
    <t>PALANCA DE CAMBIO / DHR165</t>
  </si>
  <si>
    <t>419468-3</t>
  </si>
  <si>
    <t>CUBIERTA DE MANGO / 8422B</t>
  </si>
  <si>
    <t>419518-4</t>
  </si>
  <si>
    <t>CUBIERTA /VARIOS</t>
  </si>
  <si>
    <t>419519-2</t>
  </si>
  <si>
    <t>419548-5</t>
  </si>
  <si>
    <t>DEFLECTOR / 5007NK</t>
  </si>
  <si>
    <t>419550-8</t>
  </si>
  <si>
    <t>EMPUÑADURA DELANTERA/ 5007MG-5008MG</t>
  </si>
  <si>
    <t>419566-3</t>
  </si>
  <si>
    <t>419580-9</t>
  </si>
  <si>
    <t>DEFLECTOR / M9400</t>
  </si>
  <si>
    <t>419581-7</t>
  </si>
  <si>
    <t>TAPA CORREA/VARIOS</t>
  </si>
  <si>
    <t>419589-1</t>
  </si>
  <si>
    <t>TAPA TRABADOR / M9510 - M9507</t>
  </si>
  <si>
    <t>419596-4</t>
  </si>
  <si>
    <t>GUIA ANGULAR TRASERA / VARIOS</t>
  </si>
  <si>
    <t>419620-3</t>
  </si>
  <si>
    <t>BOQUILLA DE POLVO / SP6000 - CA5000</t>
  </si>
  <si>
    <t>419622-9</t>
  </si>
  <si>
    <t>PALANCA INTERRUPTOR / SP6000 - CA5000</t>
  </si>
  <si>
    <t>419624-5</t>
  </si>
  <si>
    <t>419626-1</t>
  </si>
  <si>
    <t>DEFLECTOR / SP6000 - CA5000</t>
  </si>
  <si>
    <t>419627-9</t>
  </si>
  <si>
    <t>419629-5</t>
  </si>
  <si>
    <t>419630-0</t>
  </si>
  <si>
    <t>419631-8</t>
  </si>
  <si>
    <t>PLACA DE BLOQUEO / SP6000 - CA5000</t>
  </si>
  <si>
    <t>419632-6</t>
  </si>
  <si>
    <t>PUNTERO / SP6000 - DSP600</t>
  </si>
  <si>
    <t>419637-6</t>
  </si>
  <si>
    <t>PALANCA CAMBIO/ TD020D</t>
  </si>
  <si>
    <t>419638-4</t>
  </si>
  <si>
    <t>CUBIERTA DE LUZ/ TD020D</t>
  </si>
  <si>
    <t>419639-2</t>
  </si>
  <si>
    <t>CAJA DE ENGRANAJE INTERNO / TD020D</t>
  </si>
  <si>
    <t>419643-1</t>
  </si>
  <si>
    <t>SUJETADOR DE RESORTE / N5900B</t>
  </si>
  <si>
    <t>419665-1</t>
  </si>
  <si>
    <t>419694-4</t>
  </si>
  <si>
    <t>CARCASA  / KP0810C</t>
  </si>
  <si>
    <t>419699-4</t>
  </si>
  <si>
    <t>BOTON / KP0810C</t>
  </si>
  <si>
    <t>419700-5</t>
  </si>
  <si>
    <t>CUBIERTA DE BOTON / KP0810C</t>
  </si>
  <si>
    <t>419701-3</t>
  </si>
  <si>
    <t>DEFLECTOR / KP0810C</t>
  </si>
  <si>
    <t>419703-9</t>
  </si>
  <si>
    <t>PALANCA DE INTERRUPTOR / KP0810C</t>
  </si>
  <si>
    <t>419704-7</t>
  </si>
  <si>
    <t>419705-5</t>
  </si>
  <si>
    <t>419716-0</t>
  </si>
  <si>
    <t>DEFLECTOR / HR2230 - HR2470</t>
  </si>
  <si>
    <t>419717-8</t>
  </si>
  <si>
    <t>CUBIERTA DE MANGO / HR2230 - HR2470</t>
  </si>
  <si>
    <t>419720-9</t>
  </si>
  <si>
    <t>419725-9</t>
  </si>
  <si>
    <t>CAJA FLOTANTE / VARIOS</t>
  </si>
  <si>
    <t>419731-4</t>
  </si>
  <si>
    <t>CAJA MOTOR  / HR2470</t>
  </si>
  <si>
    <t>419760-7</t>
  </si>
  <si>
    <t>MANGO DE BLOQUEO / VARIOS</t>
  </si>
  <si>
    <t>419771-2</t>
  </si>
  <si>
    <t>PISTON / HR5211C - HR5201C</t>
  </si>
  <si>
    <t>419773-8</t>
  </si>
  <si>
    <t>GUIA DE RESORTE / HM1213C - HR5211C</t>
  </si>
  <si>
    <t>419774-6</t>
  </si>
  <si>
    <t>LENTE / HR5211C - HR5201C</t>
  </si>
  <si>
    <t>419775-4</t>
  </si>
  <si>
    <t>GUIA DE BRAZO ARTICULADO / HR5211C - HR5201C</t>
  </si>
  <si>
    <t>419776-2</t>
  </si>
  <si>
    <t>MANGO DE BLOQUEO / HR5201C - HR5211C</t>
  </si>
  <si>
    <t>419777-0</t>
  </si>
  <si>
    <t>BOTON DE BLOQUEO / HR5201C - HR5211C</t>
  </si>
  <si>
    <t>419778-8</t>
  </si>
  <si>
    <t>CUBIERTA DE MANDRIL / HR5201C - HR5211C</t>
  </si>
  <si>
    <t>419779-6</t>
  </si>
  <si>
    <t>TAPA DE LIBERACION / HR5201C - HR5211C</t>
  </si>
  <si>
    <t>419780-1</t>
  </si>
  <si>
    <t>MANGA DISTANCIADORA / HR5201C - HR5211C</t>
  </si>
  <si>
    <t>419781-9</t>
  </si>
  <si>
    <t>ENLACE GUIA DE PLACA / HR5201C - HR5211C</t>
  </si>
  <si>
    <t>419782-7</t>
  </si>
  <si>
    <t>419783-5</t>
  </si>
  <si>
    <t>CUBIERTA DE AMORTIGUADOR B / VARIOS</t>
  </si>
  <si>
    <t>419785-1</t>
  </si>
  <si>
    <t>PLACA DE CONTROL / HR5201C</t>
  </si>
  <si>
    <t>419786-9</t>
  </si>
  <si>
    <t>419788-5</t>
  </si>
  <si>
    <t>DEFLECTOR / HR5201C - HR5211C</t>
  </si>
  <si>
    <t>419789-3</t>
  </si>
  <si>
    <t>TAPA CIGUEÑAL / HR5201C</t>
  </si>
  <si>
    <t>419790-8</t>
  </si>
  <si>
    <t>CUBIERTA TRASERA / HR5201C - HR5211C</t>
  </si>
  <si>
    <t>419791-6</t>
  </si>
  <si>
    <t>CUBIERTA DE CAJA DE ENGRANAJE / HR5201C - HR5211C</t>
  </si>
  <si>
    <t>419793-2</t>
  </si>
  <si>
    <t>CUBIERTA CIGUEÑAL / HR5211C</t>
  </si>
  <si>
    <t>419794-0</t>
  </si>
  <si>
    <t>CIGÜEÑAL / HR5201C - HR5211C</t>
  </si>
  <si>
    <t>419795-8</t>
  </si>
  <si>
    <t>CAJA DE MOTOR / HR5211C</t>
  </si>
  <si>
    <t>419796-6</t>
  </si>
  <si>
    <t>419797-4</t>
  </si>
  <si>
    <t>BASE DE EMPUÑADURA / HR5211C</t>
  </si>
  <si>
    <t>419798-2</t>
  </si>
  <si>
    <t>MANGO / VARIOS</t>
  </si>
  <si>
    <t>419799-0</t>
  </si>
  <si>
    <t>MANGO / HR5201C</t>
  </si>
  <si>
    <t>419820-5</t>
  </si>
  <si>
    <t>PROTECTOR DE HERRAMIENTA / VARIOS</t>
  </si>
  <si>
    <t>419875-0</t>
  </si>
  <si>
    <t>BIELA / HR4002</t>
  </si>
  <si>
    <t>419917-0</t>
  </si>
  <si>
    <t>CAJA RODAJE/VARIOS</t>
  </si>
  <si>
    <t>419918-8</t>
  </si>
  <si>
    <t>BASE / M9200</t>
  </si>
  <si>
    <t>419961-7</t>
  </si>
  <si>
    <t>419975-6</t>
  </si>
  <si>
    <t>BASE DE EMPUÑADURA 20 / HR2810</t>
  </si>
  <si>
    <t>419976-4</t>
  </si>
  <si>
    <t>419980-3</t>
  </si>
  <si>
    <t>419981-1</t>
  </si>
  <si>
    <t>419983-7</t>
  </si>
  <si>
    <t>CUBIERTA TRASERA/VARIOS</t>
  </si>
  <si>
    <t>419984-5</t>
  </si>
  <si>
    <t>CUBIERTA DE CAJA DE ENGRANAJE / HR2810</t>
  </si>
  <si>
    <t>419986-1</t>
  </si>
  <si>
    <t>419987-9</t>
  </si>
  <si>
    <t>TAPA DE MANIVELA / HR2810 - HR2810T</t>
  </si>
  <si>
    <t>419988-7</t>
  </si>
  <si>
    <t>TAPA DE FILTRO / VARIOS</t>
  </si>
  <si>
    <t>419989-5</t>
  </si>
  <si>
    <t>DEFLECTOR / HR2810 - HR2810T</t>
  </si>
  <si>
    <t>419990-0</t>
  </si>
  <si>
    <t>PALANCA DE INTERRUPTOR / HR2810 - HR2810T</t>
  </si>
  <si>
    <t>419992-6</t>
  </si>
  <si>
    <t>421007-7</t>
  </si>
  <si>
    <t>JUNTA DE GOMA / KP0800 - DKP180</t>
  </si>
  <si>
    <t>421093-8</t>
  </si>
  <si>
    <t>PLACA DE CORCHO / 9401 - MT940</t>
  </si>
  <si>
    <t>421112-0</t>
  </si>
  <si>
    <t>PARACHOQUE / 6906</t>
  </si>
  <si>
    <t>421265-5</t>
  </si>
  <si>
    <t>PROTECTOR POLVO INT 1301-1201</t>
  </si>
  <si>
    <t>421297-2</t>
  </si>
  <si>
    <t>CUBIERTA CONTRA EL POLVO / DS5000</t>
  </si>
  <si>
    <t>421333-4</t>
  </si>
  <si>
    <t>CORREA DE GOMA / 2107F</t>
  </si>
  <si>
    <t>421380-5</t>
  </si>
  <si>
    <t>ANILLO DE SOPORTE / DVC260</t>
  </si>
  <si>
    <t>421468-1</t>
  </si>
  <si>
    <t>SELLO DE CABLE</t>
  </si>
  <si>
    <t>421479-6</t>
  </si>
  <si>
    <t>CUBIERTA DE GOMA 19 / VARIOS</t>
  </si>
  <si>
    <t>421487-7</t>
  </si>
  <si>
    <t>COJIN / 2414NB</t>
  </si>
  <si>
    <t>421490-8</t>
  </si>
  <si>
    <t>421494-0</t>
  </si>
  <si>
    <t>421496-6</t>
  </si>
  <si>
    <t>EMPAQUE / 9046</t>
  </si>
  <si>
    <t>421541-7</t>
  </si>
  <si>
    <t>CUBIERTA DE CILINDRO / HM0810T</t>
  </si>
  <si>
    <t>421566-1</t>
  </si>
  <si>
    <t>RODILLO / 3707</t>
  </si>
  <si>
    <t>421575-0</t>
  </si>
  <si>
    <t>COJIN F / AN611</t>
  </si>
  <si>
    <t>421597-0</t>
  </si>
  <si>
    <t>JUNTA DE GOMA / 1805N</t>
  </si>
  <si>
    <t>421612-0</t>
  </si>
  <si>
    <t>ALMOHADILLA  / LS1221</t>
  </si>
  <si>
    <t>421622-7</t>
  </si>
  <si>
    <t>SELLO DE ANILLO / HR5001C</t>
  </si>
  <si>
    <t>421623-5</t>
  </si>
  <si>
    <t>ANILLO DE JEBE 24 / HR5001C</t>
  </si>
  <si>
    <t>421631-6</t>
  </si>
  <si>
    <t>ANILLO CONTRA PÓLVO / VARIOS</t>
  </si>
  <si>
    <t>421646-3</t>
  </si>
  <si>
    <t>PLACA DE CORCHO</t>
  </si>
  <si>
    <t>421670-6</t>
  </si>
  <si>
    <t>AMORTIGUADOR / LC1230</t>
  </si>
  <si>
    <t>421671-4</t>
  </si>
  <si>
    <t>RESPALDO DE GOMA / LC1230</t>
  </si>
  <si>
    <t>421691-8</t>
  </si>
  <si>
    <t>ANILLO DE GOMA 25 / VARIOS</t>
  </si>
  <si>
    <t>421720-7</t>
  </si>
  <si>
    <t>421738-8</t>
  </si>
  <si>
    <t>SELLO DE GOMA 22  / VARIOS</t>
  </si>
  <si>
    <t>421747-7</t>
  </si>
  <si>
    <t>CUBIERTA DE GOMA / 6905H</t>
  </si>
  <si>
    <t>421763-9</t>
  </si>
  <si>
    <t>PROTECTOR DE GOMA / VARIOS</t>
  </si>
  <si>
    <t>421770-2</t>
  </si>
  <si>
    <t>ANILLO DE GOMA / GD0800C - GD0801C</t>
  </si>
  <si>
    <t>421778-6</t>
  </si>
  <si>
    <t>421779-4</t>
  </si>
  <si>
    <t>ANILLO DE SELLO A / HM1304 - HM1304B</t>
  </si>
  <si>
    <t>421780-9</t>
  </si>
  <si>
    <t>ANILLO DE SELLO B / HM1304 - HM1304B</t>
  </si>
  <si>
    <t>421808-3</t>
  </si>
  <si>
    <t>ANILLO DE GOMA 19 / HP1630K - M8100K</t>
  </si>
  <si>
    <t>421810-6</t>
  </si>
  <si>
    <t>EMPAQUE DE GOMA / HP2070F- HP2050</t>
  </si>
  <si>
    <t>421816-4</t>
  </si>
  <si>
    <t>SELLO CONTRA POLVO / 4350FCT</t>
  </si>
  <si>
    <t>421817-2</t>
  </si>
  <si>
    <t>CUBIERTA CONTRA POLVO / 4350FCT</t>
  </si>
  <si>
    <t>421818-0</t>
  </si>
  <si>
    <t>TAPA DE GOMA / 3707</t>
  </si>
  <si>
    <t>421830-0</t>
  </si>
  <si>
    <t>421834-2</t>
  </si>
  <si>
    <t>PATAS DE GOMA / LW1401 - M2401</t>
  </si>
  <si>
    <t>421850-4</t>
  </si>
  <si>
    <t>PLACA CONTRA POLVO / HM1810</t>
  </si>
  <si>
    <t>421851-2</t>
  </si>
  <si>
    <t>ANILLO SELLADOR / HM0860C</t>
  </si>
  <si>
    <t>421852-0</t>
  </si>
  <si>
    <t>ANILLO DE GOMA 20 / HM0860C</t>
  </si>
  <si>
    <t>421858-8</t>
  </si>
  <si>
    <t>JUNTA DE GOMA / M1902</t>
  </si>
  <si>
    <t>421866-9</t>
  </si>
  <si>
    <t>ANILLO DE FRENO / BO5010</t>
  </si>
  <si>
    <t>421868-5</t>
  </si>
  <si>
    <t>421892-8</t>
  </si>
  <si>
    <t>CUBIERTA AISLANTE / JR3050T</t>
  </si>
  <si>
    <t>421893-6</t>
  </si>
  <si>
    <t>SELLO DE ANILLO / JR3050 - JR3050T</t>
  </si>
  <si>
    <t>421895-2</t>
  </si>
  <si>
    <t>PARACHOQUE FRONTAL / TW1000</t>
  </si>
  <si>
    <t>421896-0</t>
  </si>
  <si>
    <t>CUBIERTA DE GOMA / TW1000</t>
  </si>
  <si>
    <t>421899-4</t>
  </si>
  <si>
    <t>SELLO DE ANILLO / JR3070CT</t>
  </si>
  <si>
    <t>421901-3</t>
  </si>
  <si>
    <t>ANILLO DE GOMA 17 / HR4011C</t>
  </si>
  <si>
    <t>421902-1</t>
  </si>
  <si>
    <t>JUNTA DE GOMA / M1100</t>
  </si>
  <si>
    <t>421903-9</t>
  </si>
  <si>
    <t>TAPA DE GOMA / 4131</t>
  </si>
  <si>
    <t>421904-7</t>
  </si>
  <si>
    <t>TAPA AISLANTE / JR3070CT</t>
  </si>
  <si>
    <t>421905-5</t>
  </si>
  <si>
    <t>BOQUILLA /VARIOS</t>
  </si>
  <si>
    <t>421907-1</t>
  </si>
  <si>
    <t>ANILLO DE SELLO / VARIOS</t>
  </si>
  <si>
    <t>421908-9</t>
  </si>
  <si>
    <t>421909-7</t>
  </si>
  <si>
    <t>SELLO DE TUBO / VARIOS</t>
  </si>
  <si>
    <t>421910-2</t>
  </si>
  <si>
    <t>PLACA DE SELLO / HR4010C - HR4011C</t>
  </si>
  <si>
    <t>421911-0</t>
  </si>
  <si>
    <t>HOJA DE SELLO / VARIOS</t>
  </si>
  <si>
    <t>421934-8</t>
  </si>
  <si>
    <t>421935-6</t>
  </si>
  <si>
    <t>421936-4</t>
  </si>
  <si>
    <t>GOMA ANTIVIBRACION / VARIOS</t>
  </si>
  <si>
    <t>421938-0</t>
  </si>
  <si>
    <t>421940-3</t>
  </si>
  <si>
    <t>421942-9</t>
  </si>
  <si>
    <t>421943-7</t>
  </si>
  <si>
    <t>CUBIERTA AISLANTE / GD0600</t>
  </si>
  <si>
    <t>421955-0</t>
  </si>
  <si>
    <t>ANILLO AMORTIGUADOR 13 / VARIOS</t>
  </si>
  <si>
    <t>421957-6</t>
  </si>
  <si>
    <t>TAPA INTERRUPTOR / BHR240</t>
  </si>
  <si>
    <t>421959-2</t>
  </si>
  <si>
    <t>SELLO DE GOMA / VARIOS</t>
  </si>
  <si>
    <t>421960-7</t>
  </si>
  <si>
    <t>ESPONJA / VARIOS</t>
  </si>
  <si>
    <t>421971-2</t>
  </si>
  <si>
    <t>PARACHOQUE / DTW450</t>
  </si>
  <si>
    <t>421975-4</t>
  </si>
  <si>
    <t>ANILLO DE GOMA / HM1304</t>
  </si>
  <si>
    <t>421998-2</t>
  </si>
  <si>
    <t>SELLO DE ANILLO / HR5201C - HR5211C</t>
  </si>
  <si>
    <t>421999-0</t>
  </si>
  <si>
    <t>422032-1</t>
  </si>
  <si>
    <t>MANGUITO DE GOMA 29 / 9911</t>
  </si>
  <si>
    <t>422041-0</t>
  </si>
  <si>
    <t>COJIN / VARIOS</t>
  </si>
  <si>
    <t>422042-8</t>
  </si>
  <si>
    <t>DUCTO / EBH340U</t>
  </si>
  <si>
    <t>422053-3</t>
  </si>
  <si>
    <t>ANILLO DE GOMA 20 / HM1111C</t>
  </si>
  <si>
    <t>422054-1</t>
  </si>
  <si>
    <t>CONECTOR DE GOMA / HM1111C</t>
  </si>
  <si>
    <t>422055-9</t>
  </si>
  <si>
    <t>422059-1</t>
  </si>
  <si>
    <t>422065-6</t>
  </si>
  <si>
    <t>ENTUBADO 2.5 - 112 / VARIOS</t>
  </si>
  <si>
    <t>422066-4</t>
  </si>
  <si>
    <t>ENTUBADO 2.5 - 72 / VARIOS</t>
  </si>
  <si>
    <t>422067-2</t>
  </si>
  <si>
    <t>ENTUBADO 2.5 - 55 / VARIOS</t>
  </si>
  <si>
    <t>422073-7</t>
  </si>
  <si>
    <t>ENTUBADO 3.8 / EK7651H</t>
  </si>
  <si>
    <t>422074-5</t>
  </si>
  <si>
    <t>TUBO 3-120 / EK7651H</t>
  </si>
  <si>
    <t>422075-3</t>
  </si>
  <si>
    <t>ENTUBADO 3-300 / EK7650H</t>
  </si>
  <si>
    <t>422076-1</t>
  </si>
  <si>
    <t>TUBO 3-170 / EK7651H</t>
  </si>
  <si>
    <t>422077-9</t>
  </si>
  <si>
    <t>TUBO 3-190 / EK7650H</t>
  </si>
  <si>
    <t>422078-7</t>
  </si>
  <si>
    <t>TUBO 5-70  / EK7650H</t>
  </si>
  <si>
    <t>422079-5</t>
  </si>
  <si>
    <t>TUBO 3-45  / EK7650H</t>
  </si>
  <si>
    <t>422080-0</t>
  </si>
  <si>
    <t>TUBO 3-35 / EK7650H</t>
  </si>
  <si>
    <t>422081-8</t>
  </si>
  <si>
    <t>TUBO 3-75  / EK7650H</t>
  </si>
  <si>
    <t>422082-6</t>
  </si>
  <si>
    <t>TUBO 3-130 / EK7650H</t>
  </si>
  <si>
    <t>422083-4</t>
  </si>
  <si>
    <t>422084-2</t>
  </si>
  <si>
    <t>TUBO 5-55  / EK7650H - EB5300TH</t>
  </si>
  <si>
    <t>422090-7</t>
  </si>
  <si>
    <t>TUBO 3-85 / EM4350LH</t>
  </si>
  <si>
    <t>422091-5</t>
  </si>
  <si>
    <t>TUBO 5-160 / EM4350LH</t>
  </si>
  <si>
    <t>422096-5</t>
  </si>
  <si>
    <t>ENTUBADO 3-25 / VARIOS</t>
  </si>
  <si>
    <t>422099-9</t>
  </si>
  <si>
    <t>TUBO / VARIOS</t>
  </si>
  <si>
    <t>422109-2</t>
  </si>
  <si>
    <t>TUBO RESPIRADOR / VARIOS</t>
  </si>
  <si>
    <t>422123-8</t>
  </si>
  <si>
    <t>MANGO DE GOMA 6</t>
  </si>
  <si>
    <t>422126-2</t>
  </si>
  <si>
    <t>TUBO 3-160 / VARIOS</t>
  </si>
  <si>
    <t>422127-0</t>
  </si>
  <si>
    <t>TUBO 3-55 / VARIOS</t>
  </si>
  <si>
    <t>422129-6</t>
  </si>
  <si>
    <t>TUBO DE ACEITE</t>
  </si>
  <si>
    <t>422131-9</t>
  </si>
  <si>
    <t>TUBO 3-75 / VARIOS</t>
  </si>
  <si>
    <t>422134-3</t>
  </si>
  <si>
    <t>TUBO 2.5-75 / VARIOS</t>
  </si>
  <si>
    <t>422137-7</t>
  </si>
  <si>
    <t>PROTECTOR DE TUBO / VARIOS</t>
  </si>
  <si>
    <t>422148-2</t>
  </si>
  <si>
    <t>TOPE / TOPE</t>
  </si>
  <si>
    <t>422150-5</t>
  </si>
  <si>
    <t>ESPONJA 34-43 / CL106FD</t>
  </si>
  <si>
    <t>422151-3</t>
  </si>
  <si>
    <t>422155-5</t>
  </si>
  <si>
    <t>GUARDA DE POLVO / LS1019 - DLS111</t>
  </si>
  <si>
    <t>422156-3</t>
  </si>
  <si>
    <t>GUIA DE POLVO / LS1019 - DLS111</t>
  </si>
  <si>
    <t>422159-7</t>
  </si>
  <si>
    <t>LLANTA DELANTERA 430 / DCU180</t>
  </si>
  <si>
    <t>422166-0</t>
  </si>
  <si>
    <t>EMPAQUE / DCU180</t>
  </si>
  <si>
    <t>422181-8</t>
  </si>
  <si>
    <t>FILTRO DE AIRE</t>
  </si>
  <si>
    <t>422200-6</t>
  </si>
  <si>
    <t>CUBIERTA DE GOMA / VR1000</t>
  </si>
  <si>
    <t>422214-5</t>
  </si>
  <si>
    <t>COJIN / DBN600</t>
  </si>
  <si>
    <t>422215-3</t>
  </si>
  <si>
    <t>ANILLO DE GOMA / DBN600</t>
  </si>
  <si>
    <t>422223-4</t>
  </si>
  <si>
    <t>PROTECTOR / VARIOS</t>
  </si>
  <si>
    <t>422228-4</t>
  </si>
  <si>
    <t>TOPE / VARIOS</t>
  </si>
  <si>
    <t>422229-2</t>
  </si>
  <si>
    <t>GUÍA DE POLVO / LS1219L</t>
  </si>
  <si>
    <t>422235-7</t>
  </si>
  <si>
    <t>CUBIERTA DE PLACA / LS1219L</t>
  </si>
  <si>
    <t>422241-2</t>
  </si>
  <si>
    <t>ANILLO DE GOMA DOBLE / DHR400</t>
  </si>
  <si>
    <t>422248-8</t>
  </si>
  <si>
    <t>422249-6</t>
  </si>
  <si>
    <t>LAMINA DE ESPONJA / DTR180 - DTR181</t>
  </si>
  <si>
    <t>422250-1</t>
  </si>
  <si>
    <t>RECEPTORA DE GOMA / DHW080 - HW001G</t>
  </si>
  <si>
    <t>422254-3</t>
  </si>
  <si>
    <t>EMPAQUE 12 / DHW080</t>
  </si>
  <si>
    <t>422255-1</t>
  </si>
  <si>
    <t>TAPA / HR003G - DHR280</t>
  </si>
  <si>
    <t>422256-9</t>
  </si>
  <si>
    <t>422257-7</t>
  </si>
  <si>
    <t>FUELLE / DHR280 - DHR283</t>
  </si>
  <si>
    <t>422258-5</t>
  </si>
  <si>
    <t>ARANDELA DE ESPONJA / HR003G - DHR280</t>
  </si>
  <si>
    <t>422259-3</t>
  </si>
  <si>
    <t>MANGO DE GOMA 8 / VARIOS</t>
  </si>
  <si>
    <t>422260-8</t>
  </si>
  <si>
    <t>422261-6</t>
  </si>
  <si>
    <t>MANGO DE GOMA / VARIOS</t>
  </si>
  <si>
    <t>422268-2</t>
  </si>
  <si>
    <t>FILTRO AIRE / VARIOS</t>
  </si>
  <si>
    <t>422269-0</t>
  </si>
  <si>
    <t>PARACHOQUE / DTD171</t>
  </si>
  <si>
    <t>422270-5</t>
  </si>
  <si>
    <t>OJAL / DUC254</t>
  </si>
  <si>
    <t>422271-3</t>
  </si>
  <si>
    <t>CONECTOR A / DUC254</t>
  </si>
  <si>
    <t>422272-1</t>
  </si>
  <si>
    <t>CONECTOR B / DUC254</t>
  </si>
  <si>
    <t>422273-9</t>
  </si>
  <si>
    <t>422350-7</t>
  </si>
  <si>
    <t>ESPONJA / DLM460</t>
  </si>
  <si>
    <t>422351-5</t>
  </si>
  <si>
    <t>ESPONJA / DLM461</t>
  </si>
  <si>
    <t>422354-9</t>
  </si>
  <si>
    <t>FUELLE / DHR182</t>
  </si>
  <si>
    <t>422359-9</t>
  </si>
  <si>
    <t>FUELLE / DX05</t>
  </si>
  <si>
    <t>422364-6</t>
  </si>
  <si>
    <t>SELLO A / DVC750L</t>
  </si>
  <si>
    <t>422365-4</t>
  </si>
  <si>
    <t>SELLO B / DVC750L</t>
  </si>
  <si>
    <t>422366-2</t>
  </si>
  <si>
    <t>SELLO C / DVC750L</t>
  </si>
  <si>
    <t>422367-0</t>
  </si>
  <si>
    <t>SELLO D / DVC750L</t>
  </si>
  <si>
    <t>422368-8</t>
  </si>
  <si>
    <t>SELLO E / DVC750L</t>
  </si>
  <si>
    <t>422370-1</t>
  </si>
  <si>
    <t>AMORTIGUADOR DE BANDA C / DVC660 - DVC261</t>
  </si>
  <si>
    <t>422371-9</t>
  </si>
  <si>
    <t>ANILLO DE ACEITE / M9800</t>
  </si>
  <si>
    <t>422376-9</t>
  </si>
  <si>
    <t>ANILLO DE SOPORTE / DVC660 - DVC261</t>
  </si>
  <si>
    <t>422377-7</t>
  </si>
  <si>
    <t>ANILLO DE GOMA / CL108F - CL117FD</t>
  </si>
  <si>
    <t>422407-4</t>
  </si>
  <si>
    <t>PARACHOQUE / DTW181</t>
  </si>
  <si>
    <t>422409-0</t>
  </si>
  <si>
    <t>COJIN DE GOMA / DHW080</t>
  </si>
  <si>
    <t>422411-3</t>
  </si>
  <si>
    <t>ESPONJA / DHW080</t>
  </si>
  <si>
    <t>422413-9</t>
  </si>
  <si>
    <t>MANGA DE GOMA 19 / VARIOS</t>
  </si>
  <si>
    <t>422421-0</t>
  </si>
  <si>
    <t>ANILLO DE GOMA / CL114FD</t>
  </si>
  <si>
    <t>422423-6</t>
  </si>
  <si>
    <t>422433-3</t>
  </si>
  <si>
    <t>SELLO / CL121D-DCL184</t>
  </si>
  <si>
    <t>422434-1</t>
  </si>
  <si>
    <t>EMPAQUE / CL121D-DCL184</t>
  </si>
  <si>
    <t>422435-9</t>
  </si>
  <si>
    <t>PIE / CL121D-DCL184</t>
  </si>
  <si>
    <t>422439-1</t>
  </si>
  <si>
    <t>ESPONJA 47-57 / VARIOS</t>
  </si>
  <si>
    <t>422440-6</t>
  </si>
  <si>
    <t>ESPONJA 90 / VARIOS</t>
  </si>
  <si>
    <t>422446-4</t>
  </si>
  <si>
    <t>TAPA DE GOMA / DSL800 - DSL801</t>
  </si>
  <si>
    <t>422451-1</t>
  </si>
  <si>
    <t>TUBO PARA ACEITE 3-100 / VARIOS</t>
  </si>
  <si>
    <t>422452-9</t>
  </si>
  <si>
    <t>TUBO DE ACEITE 3-130 / VARIOS</t>
  </si>
  <si>
    <t>422456-1</t>
  </si>
  <si>
    <t>COJIN DE AVELLANADO/ DFN350</t>
  </si>
  <si>
    <t>422457-9</t>
  </si>
  <si>
    <t>COJIN / DFN350 - PT001G</t>
  </si>
  <si>
    <t>422460-0</t>
  </si>
  <si>
    <t>PLACA DE GOMA / DCL281F - CL001G</t>
  </si>
  <si>
    <t>422466-8</t>
  </si>
  <si>
    <t>OJAL / VARIOS</t>
  </si>
  <si>
    <t>422467-6</t>
  </si>
  <si>
    <t>422468-4</t>
  </si>
  <si>
    <t>EMPAQUE / PDC01</t>
  </si>
  <si>
    <t>422469-2</t>
  </si>
  <si>
    <t>BOTON INTERRUPTOR / PDC01</t>
  </si>
  <si>
    <t>422472-3</t>
  </si>
  <si>
    <t>ESPONJA / HR006G - HR005G</t>
  </si>
  <si>
    <t>422476-5</t>
  </si>
  <si>
    <t>EMPAQUE DE GOMA A / DGP180</t>
  </si>
  <si>
    <t>422478-1</t>
  </si>
  <si>
    <t>SOPORTE DE MANGUERA</t>
  </si>
  <si>
    <t>422479-9</t>
  </si>
  <si>
    <t>PIE / DGP180</t>
  </si>
  <si>
    <t>422480-4</t>
  </si>
  <si>
    <t>ANILLO SELLADO / DGP180</t>
  </si>
  <si>
    <t>422493-5</t>
  </si>
  <si>
    <t>422531-3</t>
  </si>
  <si>
    <t>EMPAQUE DE GOMA / DKP181 - KP001G</t>
  </si>
  <si>
    <t>422533-9</t>
  </si>
  <si>
    <t>OJAL / DLM530</t>
  </si>
  <si>
    <t>422537-1</t>
  </si>
  <si>
    <t>TAPA AISLANTE / JR3051T</t>
  </si>
  <si>
    <t>422538-9</t>
  </si>
  <si>
    <t>ANILLO SELLADO / JR3051T</t>
  </si>
  <si>
    <t>422563-0</t>
  </si>
  <si>
    <t>CUBIERTA DE POLVA - GA015G</t>
  </si>
  <si>
    <t>422568-0</t>
  </si>
  <si>
    <t>EMPAQUE DE CAJA DE ENGRANAJE / DUN500W - DUN600L</t>
  </si>
  <si>
    <t>422576-1</t>
  </si>
  <si>
    <t>CEPILLO / DVC560</t>
  </si>
  <si>
    <t>422584-2</t>
  </si>
  <si>
    <t>PARACHOQUE / DTW300</t>
  </si>
  <si>
    <t>422588-4</t>
  </si>
  <si>
    <t>ANILLO GOMA DE MOTOR A / DUB185 - UB101D</t>
  </si>
  <si>
    <t>422589-2</t>
  </si>
  <si>
    <t>ANILLO GOMA DE MOTOR B / DUB185 - UB101D</t>
  </si>
  <si>
    <t>422594-9</t>
  </si>
  <si>
    <t>PARACHOQUE / TW001G</t>
  </si>
  <si>
    <t>422595-7</t>
  </si>
  <si>
    <t>EMPAQUETADURA / TW001G</t>
  </si>
  <si>
    <t>422602-6</t>
  </si>
  <si>
    <t>OJAL/ VARIOS</t>
  </si>
  <si>
    <t>422603-4</t>
  </si>
  <si>
    <t>422607-6</t>
  </si>
  <si>
    <t>422610-7</t>
  </si>
  <si>
    <t>GUARDA POLVO/ VARIOS</t>
  </si>
  <si>
    <t>422613-1</t>
  </si>
  <si>
    <t>422636-9</t>
  </si>
  <si>
    <t>ANILLO SELLADO / VARIOS</t>
  </si>
  <si>
    <t>422642-4</t>
  </si>
  <si>
    <t>COJIN DE GOMA / HM001G</t>
  </si>
  <si>
    <t>422647-4</t>
  </si>
  <si>
    <t>ORING A/ HM001G</t>
  </si>
  <si>
    <t>422656-3</t>
  </si>
  <si>
    <t>CUBIERTA CONTRA EL POLVO / GA037G - GA038G</t>
  </si>
  <si>
    <t>422658-9</t>
  </si>
  <si>
    <t>ANILLO SELLO A / HM002G</t>
  </si>
  <si>
    <t>422659-7</t>
  </si>
  <si>
    <t>ANILLO SELLO B / HM002G</t>
  </si>
  <si>
    <t>422661-0</t>
  </si>
  <si>
    <t>TOPE / DTD157</t>
  </si>
  <si>
    <t>422671-7</t>
  </si>
  <si>
    <t>GOMA ANTIVIBRACION / GA7070 - GA9070</t>
  </si>
  <si>
    <t>422672-5</t>
  </si>
  <si>
    <t>PASTILLA DE FRENO / GA7070 - GA9070</t>
  </si>
  <si>
    <t>422677-5</t>
  </si>
  <si>
    <t>COJIN F / DTM52</t>
  </si>
  <si>
    <t>422692-9</t>
  </si>
  <si>
    <t>EMPAQUE A  /DFR452 - DFR551</t>
  </si>
  <si>
    <t>422709-8</t>
  </si>
  <si>
    <t>422711-1</t>
  </si>
  <si>
    <t>TAPA 36 / VARIOS</t>
  </si>
  <si>
    <t>422723-4</t>
  </si>
  <si>
    <t>SELLO DE CUBIERTA / CL001G</t>
  </si>
  <si>
    <t>422725-0</t>
  </si>
  <si>
    <t>TUBO DE GOMA 8 /VARIOS</t>
  </si>
  <si>
    <t>422750-1</t>
  </si>
  <si>
    <t>ANILLO DE GOMA LABERINTO 22 P/ 9564PCV</t>
  </si>
  <si>
    <t>422780-2</t>
  </si>
  <si>
    <t>EMPAQUE ESPONJA / VARIOS</t>
  </si>
  <si>
    <t>422786-0</t>
  </si>
  <si>
    <t>ANILLO DE ACEITE A / VARIOS</t>
  </si>
  <si>
    <t>422787-8</t>
  </si>
  <si>
    <t>ANILLO DE ACEITE B / VARIOS</t>
  </si>
  <si>
    <t>422811-7</t>
  </si>
  <si>
    <t>MANGA DE GOMA 22 / VARIOS</t>
  </si>
  <si>
    <t>422812-5</t>
  </si>
  <si>
    <t>PLACA DE GOMA / VARIOS</t>
  </si>
  <si>
    <t>422817-5</t>
  </si>
  <si>
    <t>CUBIERTA DE MOTOR / AS001G</t>
  </si>
  <si>
    <t>422824-8</t>
  </si>
  <si>
    <t>FILTRO DE AIRE A / AS001G</t>
  </si>
  <si>
    <t>422825-6</t>
  </si>
  <si>
    <t>FILTRO DE AIRE B / AS001G</t>
  </si>
  <si>
    <t>422874-3</t>
  </si>
  <si>
    <t>422909-0</t>
  </si>
  <si>
    <t>422913-9</t>
  </si>
  <si>
    <t>TUBO DE ACEITE 3-105 / VARIOS</t>
  </si>
  <si>
    <t>422949-8</t>
  </si>
  <si>
    <t>PROTECTOR / DJR189</t>
  </si>
  <si>
    <t>422950-3</t>
  </si>
  <si>
    <t>ANILLO SELLO / DJR189</t>
  </si>
  <si>
    <t>422952-9</t>
  </si>
  <si>
    <t>EMPAQUE / DJR189</t>
  </si>
  <si>
    <t>422974-9</t>
  </si>
  <si>
    <t>422A24-6</t>
  </si>
  <si>
    <t>422A27-0</t>
  </si>
  <si>
    <t>422A29-6</t>
  </si>
  <si>
    <t>422A31-9</t>
  </si>
  <si>
    <t>422A32-7</t>
  </si>
  <si>
    <t>422A33-5</t>
  </si>
  <si>
    <t>422A41-6</t>
  </si>
  <si>
    <t>422A46-6</t>
  </si>
  <si>
    <t>422A47-4</t>
  </si>
  <si>
    <t>422A48-2</t>
  </si>
  <si>
    <t>422A56-3</t>
  </si>
  <si>
    <t>423029-3</t>
  </si>
  <si>
    <t>PLACA DE CARBON 100MM / 9401</t>
  </si>
  <si>
    <t>423035-8</t>
  </si>
  <si>
    <t>PLATO CORCHO /9924</t>
  </si>
  <si>
    <t>423036-6</t>
  </si>
  <si>
    <t>PLACA DE CARBONO /9924</t>
  </si>
  <si>
    <t>423118-4</t>
  </si>
  <si>
    <t>CUBIERTA ANTI POLVO /VARIOS</t>
  </si>
  <si>
    <t>423279-0</t>
  </si>
  <si>
    <t>ANILLO DE GOMA 70 / VARIOS</t>
  </si>
  <si>
    <t>423300-5</t>
  </si>
  <si>
    <t>FILTRO / AN611</t>
  </si>
  <si>
    <t>423307-1</t>
  </si>
  <si>
    <t>SELLO DE ESPONJA / VARIOS</t>
  </si>
  <si>
    <t>423343-7</t>
  </si>
  <si>
    <t>PLACA DE SELLO 14 / JR3070CT</t>
  </si>
  <si>
    <t>423345-3</t>
  </si>
  <si>
    <t>PLACA DE AMORTIGUACION / HM1111C</t>
  </si>
  <si>
    <t>423366-5</t>
  </si>
  <si>
    <t>UNION DE FIJACION / VARIOS</t>
  </si>
  <si>
    <t>423376-2</t>
  </si>
  <si>
    <t>423379-6</t>
  </si>
  <si>
    <t>PALANCA DE ESPONJA / VARIOS</t>
  </si>
  <si>
    <t>423396-6</t>
  </si>
  <si>
    <t>FILTRO DE BLOQUEO TRASERO / VARIOS</t>
  </si>
  <si>
    <t>423397-4</t>
  </si>
  <si>
    <t>AMORTIGUADOR DE BANDA / VARIOS</t>
  </si>
  <si>
    <t>423399-0</t>
  </si>
  <si>
    <t>FILTRO DE BLOQUE LATERAL / VARIOS</t>
  </si>
  <si>
    <t>423411-6</t>
  </si>
  <si>
    <t>CUBIERTA DE GOMA / HM0870C; 71C</t>
  </si>
  <si>
    <t>423414-0</t>
  </si>
  <si>
    <t>423422-1</t>
  </si>
  <si>
    <t>ESPONJA A / DHP458 - DDF458</t>
  </si>
  <si>
    <t>423423-9</t>
  </si>
  <si>
    <t>ESPONJA B / DHP458 - DDF458</t>
  </si>
  <si>
    <t>423438-6</t>
  </si>
  <si>
    <t>EMPAQUE DE CARBURADOR / PM7650H</t>
  </si>
  <si>
    <t>423452-2</t>
  </si>
  <si>
    <t>AMORTIGUADOR / VARIOS</t>
  </si>
  <si>
    <t>423455-6</t>
  </si>
  <si>
    <t>SELLO DE LA VÁLVULA P/VC3211H</t>
  </si>
  <si>
    <t>423456-4</t>
  </si>
  <si>
    <t>AMORTIGUADOR SUPERIOR P/VC3211H</t>
  </si>
  <si>
    <t>423457-2</t>
  </si>
  <si>
    <t>EMPAQUE /VARIOS</t>
  </si>
  <si>
    <t>423467-9</t>
  </si>
  <si>
    <t>ESPONJA / PM7650</t>
  </si>
  <si>
    <t>423469-5</t>
  </si>
  <si>
    <t>FILTRO / BO3710 - DBO380</t>
  </si>
  <si>
    <t>423472-6</t>
  </si>
  <si>
    <t>EMPAQUETADURA A / DBN500</t>
  </si>
  <si>
    <t>423473-4</t>
  </si>
  <si>
    <t>EMPAQUETADURA B / DBN500</t>
  </si>
  <si>
    <t>424000-0</t>
  </si>
  <si>
    <t>424001-8</t>
  </si>
  <si>
    <t>CUBIERTA AMORTIGUADOR A / VARIOS</t>
  </si>
  <si>
    <t>424023-8</t>
  </si>
  <si>
    <t>CUBIERTA DE ESPONJA / VARIOS</t>
  </si>
  <si>
    <t>424024-6</t>
  </si>
  <si>
    <t>424028-8</t>
  </si>
  <si>
    <t>424039-3</t>
  </si>
  <si>
    <t>TAPA DE INTERRUPTOR / VARIOS</t>
  </si>
  <si>
    <t>424042-4</t>
  </si>
  <si>
    <t>SOPORTE DE GOMA / DTW450 - DHR241</t>
  </si>
  <si>
    <t>424047-4</t>
  </si>
  <si>
    <t>EMPAQUE / SP6000 - CA5000</t>
  </si>
  <si>
    <t>424050-5</t>
  </si>
  <si>
    <t>ESPONJA / SP6000 - CA5000</t>
  </si>
  <si>
    <t>424051-3</t>
  </si>
  <si>
    <t>ANILLO DE GOMA 26 / GA5020C - PC5001C</t>
  </si>
  <si>
    <t>424056-3</t>
  </si>
  <si>
    <t>424057-1</t>
  </si>
  <si>
    <t>PLACA DE CARBON / M9400</t>
  </si>
  <si>
    <t>424058-9</t>
  </si>
  <si>
    <t>PLACA DE GOMA / M9400</t>
  </si>
  <si>
    <t>424062-8</t>
  </si>
  <si>
    <t>ANILLO DE GOMA 13 / HR3210C</t>
  </si>
  <si>
    <t>424064-4</t>
  </si>
  <si>
    <t>ANILLO DE SELLADO B / HR3210C</t>
  </si>
  <si>
    <t>424078-3</t>
  </si>
  <si>
    <t>424080-6</t>
  </si>
  <si>
    <t>GOMA ANTIVIBRACION/ VARIOS</t>
  </si>
  <si>
    <t>424081-4</t>
  </si>
  <si>
    <t>GOMA AMORTIGUADOR / VARIOS</t>
  </si>
  <si>
    <t>424082-2</t>
  </si>
  <si>
    <t>424083-0</t>
  </si>
  <si>
    <t>424086-4</t>
  </si>
  <si>
    <t>424087-2</t>
  </si>
  <si>
    <t>TAPA DE GOMA / M9201</t>
  </si>
  <si>
    <t>424100-6</t>
  </si>
  <si>
    <t>424101-4</t>
  </si>
  <si>
    <t>TAPON / EK7651H</t>
  </si>
  <si>
    <t>424102-2</t>
  </si>
  <si>
    <t>424103-0</t>
  </si>
  <si>
    <t>424104-8</t>
  </si>
  <si>
    <t>AMORTIGUADOR / EBH252L</t>
  </si>
  <si>
    <t>424105-6</t>
  </si>
  <si>
    <t>424109-8</t>
  </si>
  <si>
    <t>TOPE /TD090D</t>
  </si>
  <si>
    <t>424111-1</t>
  </si>
  <si>
    <t>424112-9</t>
  </si>
  <si>
    <t>ANILLO DE SELLADO / HP1630K - M8100K</t>
  </si>
  <si>
    <t>424121-8</t>
  </si>
  <si>
    <t>ADAPTADOR BOQUILLA/VARIOS</t>
  </si>
  <si>
    <t>424128-4</t>
  </si>
  <si>
    <t>CUBIERTA TAPA DE CARBON / VARIOS</t>
  </si>
  <si>
    <t>424131-5</t>
  </si>
  <si>
    <t>ANILLO DE FRENO / VARIOS</t>
  </si>
  <si>
    <t>424147-0</t>
  </si>
  <si>
    <t>PROTECTOR / JR3050T - JR3070CT</t>
  </si>
  <si>
    <t>424156-9</t>
  </si>
  <si>
    <t>TAPA GOMA /VARIOS</t>
  </si>
  <si>
    <t>424162-4</t>
  </si>
  <si>
    <t>ANILLO DE SELLADO / VARIOS</t>
  </si>
  <si>
    <t>424163-2</t>
  </si>
  <si>
    <t>SELLO DE POLVO / VARIOS</t>
  </si>
  <si>
    <t>424164-0</t>
  </si>
  <si>
    <t>TAPA AISLANTE/GD0602</t>
  </si>
  <si>
    <t>424165-8</t>
  </si>
  <si>
    <t>424166-6</t>
  </si>
  <si>
    <t>EMPAQUETADURA DE GOMA / HM1203C; 13C</t>
  </si>
  <si>
    <t>424167-4</t>
  </si>
  <si>
    <t>424175-5</t>
  </si>
  <si>
    <t>SELLO DE ESPONJA / M4302</t>
  </si>
  <si>
    <t>424176-3</t>
  </si>
  <si>
    <t>CAPUCHON DE PLACA / RP2301FC</t>
  </si>
  <si>
    <t>424178-9</t>
  </si>
  <si>
    <t>TUBO ACEITE / VARIOS</t>
  </si>
  <si>
    <t>424182-8</t>
  </si>
  <si>
    <t>GOMA DE FRICCION / BHX2500</t>
  </si>
  <si>
    <t>424187-8</t>
  </si>
  <si>
    <t>CUBIERTA DE POLVO / VARIOS</t>
  </si>
  <si>
    <t>424190-9</t>
  </si>
  <si>
    <t>AMORTIGUADOR /VARIOS</t>
  </si>
  <si>
    <t>424196-7</t>
  </si>
  <si>
    <t>ANILLO SELLADOR / HM1214C</t>
  </si>
  <si>
    <t>424200-2</t>
  </si>
  <si>
    <t>424201-0</t>
  </si>
  <si>
    <t>VALVULA DE RETENCION / VARIOS</t>
  </si>
  <si>
    <t>424202-8</t>
  </si>
  <si>
    <t>424204-4</t>
  </si>
  <si>
    <t>424206-0</t>
  </si>
  <si>
    <t>424207-8</t>
  </si>
  <si>
    <t>ANILLO SELLADOR / HM1307C</t>
  </si>
  <si>
    <t>424228-0</t>
  </si>
  <si>
    <t>ANILLO DE GOMA 120 / VARIOS</t>
  </si>
  <si>
    <t>424229-8</t>
  </si>
  <si>
    <t>ANILLO RESORTE / VARIOS</t>
  </si>
  <si>
    <t>424235-3</t>
  </si>
  <si>
    <t>ANILLO DE SELLADO 30 / VARIOS</t>
  </si>
  <si>
    <t>424244-2</t>
  </si>
  <si>
    <t>EMPAQUETADURA DE GOMA / HM0870C; 71C</t>
  </si>
  <si>
    <t>424245-0</t>
  </si>
  <si>
    <t>ANILLO DE GOMA 20 / HM0870C; 71C</t>
  </si>
  <si>
    <t>424246-8</t>
  </si>
  <si>
    <t>LAMINA ESPONJA / VARIOS</t>
  </si>
  <si>
    <t>424261-2</t>
  </si>
  <si>
    <t>ANILLO DE GOMA 28 /  / VARIOS</t>
  </si>
  <si>
    <t>424267-0</t>
  </si>
  <si>
    <t>ANILLO AMORTIGUADOR 12 / VARIOS</t>
  </si>
  <si>
    <t>424270-1</t>
  </si>
  <si>
    <t>424302-4</t>
  </si>
  <si>
    <t>TAPON CLAVIJA / VARIOS</t>
  </si>
  <si>
    <t>424311-3</t>
  </si>
  <si>
    <t>TAPA DE FILTRO / HM1111C</t>
  </si>
  <si>
    <t>424312-1</t>
  </si>
  <si>
    <t>EMPAQUETADURA DE GOMA / HM1111C</t>
  </si>
  <si>
    <t>424313-9</t>
  </si>
  <si>
    <t>424314-7</t>
  </si>
  <si>
    <t>BOMBIN / VARIOS</t>
  </si>
  <si>
    <t>424316-3</t>
  </si>
  <si>
    <t>424319-7</t>
  </si>
  <si>
    <t>BOTON ARRANQUE/ VARIOS</t>
  </si>
  <si>
    <t>424336-7</t>
  </si>
  <si>
    <t>424337-5</t>
  </si>
  <si>
    <t>424339-1</t>
  </si>
  <si>
    <t>SELLO CIGÜEÑAL / VARIOS</t>
  </si>
  <si>
    <t>424340-6</t>
  </si>
  <si>
    <t>TUBO ADMISION / VARIOS</t>
  </si>
  <si>
    <t>424342-2</t>
  </si>
  <si>
    <t>424343-0</t>
  </si>
  <si>
    <t>424346-4</t>
  </si>
  <si>
    <t>ANILLO DE GOMA T / VARIOS</t>
  </si>
  <si>
    <t>424360-0</t>
  </si>
  <si>
    <t>TOPE CORDON / VARIOS</t>
  </si>
  <si>
    <t>424361-8</t>
  </si>
  <si>
    <t>BOTON ARRANQUE / VARIOS</t>
  </si>
  <si>
    <t>424364-2</t>
  </si>
  <si>
    <t>ARANDELA DE GOMA 16 / VARIOS</t>
  </si>
  <si>
    <t>424370-7</t>
  </si>
  <si>
    <t>TOPE  / VARIOS</t>
  </si>
  <si>
    <t>424375-7</t>
  </si>
  <si>
    <t>PARACHOQUE / DTW251</t>
  </si>
  <si>
    <t>424377-3</t>
  </si>
  <si>
    <t>424382-0</t>
  </si>
  <si>
    <t>SOPORTE DE GOMA / VARIOS</t>
  </si>
  <si>
    <t>424384-6</t>
  </si>
  <si>
    <t>TUBO DE ACEITE  / EK7650H</t>
  </si>
  <si>
    <t>424396-9</t>
  </si>
  <si>
    <t>TAPA DE GOMA / RT0700C - DRT50</t>
  </si>
  <si>
    <t>424397-7</t>
  </si>
  <si>
    <t>TUBO ASPIRACION / EK7651H</t>
  </si>
  <si>
    <t>424399-3</t>
  </si>
  <si>
    <t>FILTRO INTERIOR / EK7650H</t>
  </si>
  <si>
    <t>424400-4</t>
  </si>
  <si>
    <t>TUBO AMORTIGUADOR / EBH340U</t>
  </si>
  <si>
    <t>424403-8</t>
  </si>
  <si>
    <t>424404-6</t>
  </si>
  <si>
    <t>PATA TRASERA  / VARIOS</t>
  </si>
  <si>
    <t>424405-4</t>
  </si>
  <si>
    <t>BASE DELANTERA  / EK7650H</t>
  </si>
  <si>
    <t>424406-2</t>
  </si>
  <si>
    <t>TAPON / EK7650H</t>
  </si>
  <si>
    <t>424407-0</t>
  </si>
  <si>
    <t>JUNTA DE GOMA/ / VARIOS</t>
  </si>
  <si>
    <t>424408-8</t>
  </si>
  <si>
    <t>GUARDA TANQUE / VARIOS</t>
  </si>
  <si>
    <t>424409-6</t>
  </si>
  <si>
    <t>TAPA ENCHUFE / VARIOS</t>
  </si>
  <si>
    <t>424410-1</t>
  </si>
  <si>
    <t>TAPA DE GOMA / EK7650H</t>
  </si>
  <si>
    <t>424417-7</t>
  </si>
  <si>
    <t>424418-5</t>
  </si>
  <si>
    <t>SELLO  / EK7650H</t>
  </si>
  <si>
    <t>424421-6</t>
  </si>
  <si>
    <t>JUNTA DE ACEITE / VARIOS</t>
  </si>
  <si>
    <t>424424-0</t>
  </si>
  <si>
    <t>SELLO DE VASTAGO / VARIOS</t>
  </si>
  <si>
    <t>424426-6</t>
  </si>
  <si>
    <t>ANILLO DE GOMA (INTERIOR)  / EK7650H</t>
  </si>
  <si>
    <t>424427-4</t>
  </si>
  <si>
    <t>ANILLO DE GOMA (EXTERIOR)  / EK7650H</t>
  </si>
  <si>
    <t>424428-2</t>
  </si>
  <si>
    <t>TOPE / TW100D</t>
  </si>
  <si>
    <t>424429-0</t>
  </si>
  <si>
    <t>424430-5</t>
  </si>
  <si>
    <t>EMPAQUE DE GOMA / VARIOS</t>
  </si>
  <si>
    <t>424436-3</t>
  </si>
  <si>
    <t>SELLO DE ESPONJA / JV0600</t>
  </si>
  <si>
    <t>424444-4</t>
  </si>
  <si>
    <t>ANILLO EMPAQUE / VARIOS</t>
  </si>
  <si>
    <t>424456-7</t>
  </si>
  <si>
    <t>TUBO GASOLINA / VARIOS</t>
  </si>
  <si>
    <t>424466-4</t>
  </si>
  <si>
    <t>424473-7</t>
  </si>
  <si>
    <t>GUIA DE GOMA / VARIOS</t>
  </si>
  <si>
    <t>424474-5</t>
  </si>
  <si>
    <t>TAPA SELLO /VARIOS</t>
  </si>
  <si>
    <t>424476-1</t>
  </si>
  <si>
    <t>ALMOHADILLA / VARIOS</t>
  </si>
  <si>
    <t>424479-5</t>
  </si>
  <si>
    <t>PUNTA DE GOMA / PJ7000 - DPJ180</t>
  </si>
  <si>
    <t>424486-8</t>
  </si>
  <si>
    <t>GOMA TIERRA/ VARIOS</t>
  </si>
  <si>
    <t>424488-4</t>
  </si>
  <si>
    <t>424489-2</t>
  </si>
  <si>
    <t>OJAL /VARIOS</t>
  </si>
  <si>
    <t>424492-3</t>
  </si>
  <si>
    <t>VALVULA DE RETENCION / PM7650H</t>
  </si>
  <si>
    <t>424499-9</t>
  </si>
  <si>
    <t>TUBO GOMA /VARIOS</t>
  </si>
  <si>
    <t>424503-4</t>
  </si>
  <si>
    <t>TAPON / PM7650H</t>
  </si>
  <si>
    <t>424504-2</t>
  </si>
  <si>
    <t>GUARDA ACEITE / PM7650H</t>
  </si>
  <si>
    <t>424516-5</t>
  </si>
  <si>
    <t>COLLAR / VARIOS</t>
  </si>
  <si>
    <t>424517-3</t>
  </si>
  <si>
    <t>424525-4</t>
  </si>
  <si>
    <t>GUARDA POLVO /PC5000C</t>
  </si>
  <si>
    <t>424526-2</t>
  </si>
  <si>
    <t>PROTECTOR POLVO/PC5000C</t>
  </si>
  <si>
    <t>424543-2</t>
  </si>
  <si>
    <t>424544-0</t>
  </si>
  <si>
    <t>424549-0</t>
  </si>
  <si>
    <t>TAPA AISLANTE / GS5000 - GS6000</t>
  </si>
  <si>
    <t>424556-3</t>
  </si>
  <si>
    <t>424557-1</t>
  </si>
  <si>
    <t>CUBIERTA CONTRA EL POLVO / HR5212C - HR4013C</t>
  </si>
  <si>
    <t>424558-9</t>
  </si>
  <si>
    <t>ANILLO DE SELLO A / VARIOS</t>
  </si>
  <si>
    <t>424559-7</t>
  </si>
  <si>
    <t>ANILLO DE SELLO B / VARIOS</t>
  </si>
  <si>
    <t>424560-2</t>
  </si>
  <si>
    <t>TAPA DE CARCASA / VARIOS</t>
  </si>
  <si>
    <t>424567-8</t>
  </si>
  <si>
    <t>MANGO DE GOMA 24 / BUR182</t>
  </si>
  <si>
    <t>424583-0</t>
  </si>
  <si>
    <t>CLAVIJA /VARIOS</t>
  </si>
  <si>
    <t>424585-6</t>
  </si>
  <si>
    <t>CUBIERTA CONTRA POLVO / VARIOS</t>
  </si>
  <si>
    <t>424589-8</t>
  </si>
  <si>
    <t>424600-6</t>
  </si>
  <si>
    <t>EMPUÑADURA DELANTERA / UC4041A</t>
  </si>
  <si>
    <t>424601-4</t>
  </si>
  <si>
    <t>424602-2</t>
  </si>
  <si>
    <t>MANGUERA DE ACEITE / UC4041A</t>
  </si>
  <si>
    <t>424603-0</t>
  </si>
  <si>
    <t>OJAL / UC4041A</t>
  </si>
  <si>
    <t>424607-2</t>
  </si>
  <si>
    <t>424608-0</t>
  </si>
  <si>
    <t>ANILLO SELLO B / HR5212C; 02C</t>
  </si>
  <si>
    <t>424609-8</t>
  </si>
  <si>
    <t>ANILLO SELLO A / HR5212C; 02C</t>
  </si>
  <si>
    <t>424610-3</t>
  </si>
  <si>
    <t>CONECTOR A / VARIOS</t>
  </si>
  <si>
    <t>424611-1</t>
  </si>
  <si>
    <t>CONECTOR B / UC4551A</t>
  </si>
  <si>
    <t>424617-9</t>
  </si>
  <si>
    <t>TUBO DE ADMISION / VARIOS</t>
  </si>
  <si>
    <t>424619-5</t>
  </si>
  <si>
    <t>TAPA DE BUJIA  / VARIOS</t>
  </si>
  <si>
    <t>424623-4</t>
  </si>
  <si>
    <t>424624-2</t>
  </si>
  <si>
    <t>AMORTIGUADOR / DBN500</t>
  </si>
  <si>
    <t>424625-0</t>
  </si>
  <si>
    <t>AMORTIGUADOR TRASERO / DBN500</t>
  </si>
  <si>
    <t>424639-9</t>
  </si>
  <si>
    <t>BRIDA DE ADMISION</t>
  </si>
  <si>
    <t>424640-4</t>
  </si>
  <si>
    <t>DUCTO DE AIRE</t>
  </si>
  <si>
    <t>424641-2</t>
  </si>
  <si>
    <t>AMORTIGUADOR</t>
  </si>
  <si>
    <t>424643-8</t>
  </si>
  <si>
    <t>OJAL</t>
  </si>
  <si>
    <t>424646-2</t>
  </si>
  <si>
    <t>CUBIERTA DE TUBO / VARIOS</t>
  </si>
  <si>
    <t>424654-3</t>
  </si>
  <si>
    <t>TAPA / M6201 - M6600</t>
  </si>
  <si>
    <t>424655-1</t>
  </si>
  <si>
    <t>424656-9</t>
  </si>
  <si>
    <t>424657-7</t>
  </si>
  <si>
    <t>424659-3</t>
  </si>
  <si>
    <t>TAPA BOTON / VARIOS</t>
  </si>
  <si>
    <t>424664-0</t>
  </si>
  <si>
    <t>ANILLO DE SELLADO / DFS452</t>
  </si>
  <si>
    <t>424666-6</t>
  </si>
  <si>
    <t>EMPAQUETADURA DE GOMA A / HM1812 - HM1802</t>
  </si>
  <si>
    <t>424667-4</t>
  </si>
  <si>
    <t>EMPAQUETADURA DE GOMA B / HM1812 - HM1802</t>
  </si>
  <si>
    <t>424668-2</t>
  </si>
  <si>
    <t>424669-0</t>
  </si>
  <si>
    <t>FUELLE / HM1812 - HM1802</t>
  </si>
  <si>
    <t>424672-1</t>
  </si>
  <si>
    <t>BRAZO DE GOMA</t>
  </si>
  <si>
    <t>424676-3</t>
  </si>
  <si>
    <t>ESPONJA /VARIOS</t>
  </si>
  <si>
    <t>424678-9</t>
  </si>
  <si>
    <t>424684-4</t>
  </si>
  <si>
    <t>FILTRO DE ESPONJA 6X87X3 / BO4556</t>
  </si>
  <si>
    <t>424685-2</t>
  </si>
  <si>
    <t>ANILLO GOMA 60 / VARIOS</t>
  </si>
  <si>
    <t>424686-0</t>
  </si>
  <si>
    <t>ANILLO GOMA 120 / VARIOS</t>
  </si>
  <si>
    <t>424687-8</t>
  </si>
  <si>
    <t>ANILLO DE SOPORTE / DVC864L - DVC860</t>
  </si>
  <si>
    <t>424690-9</t>
  </si>
  <si>
    <t>FILTRO DE AIRE TRASERO / DVC864L - DVC860</t>
  </si>
  <si>
    <t>424700-2</t>
  </si>
  <si>
    <t>PRE FILTRO DE AIRE / EK7651</t>
  </si>
  <si>
    <t>424701-0</t>
  </si>
  <si>
    <t>FILTRO DE AIRE / EK8100</t>
  </si>
  <si>
    <t>424737-9</t>
  </si>
  <si>
    <t>PARACHOQUE / TD110D</t>
  </si>
  <si>
    <t>424738-7</t>
  </si>
  <si>
    <t>TOPE / DTD152</t>
  </si>
  <si>
    <t>424747-6</t>
  </si>
  <si>
    <t>PROTECTOR DE GOMA / BO6050</t>
  </si>
  <si>
    <t>424748-4</t>
  </si>
  <si>
    <t>ANILLO DE FRENO / BO6050</t>
  </si>
  <si>
    <t>424754-9</t>
  </si>
  <si>
    <t>TUBO 2.5-55 / EA4301F</t>
  </si>
  <si>
    <t>424760-4</t>
  </si>
  <si>
    <t>EMPAQUE CIEGO / PM7650H</t>
  </si>
  <si>
    <t>424764-6</t>
  </si>
  <si>
    <t>ANILLO / DJR186 - DJR360</t>
  </si>
  <si>
    <t>424765-4</t>
  </si>
  <si>
    <t>TAPA AISLANTE/DJR187</t>
  </si>
  <si>
    <t>424767-0</t>
  </si>
  <si>
    <t>TAPA AISLANTE B/DJR360</t>
  </si>
  <si>
    <t>424768-8</t>
  </si>
  <si>
    <t>TAPA AISLANTE /DJR186</t>
  </si>
  <si>
    <t>424773-5</t>
  </si>
  <si>
    <t>COJIN DE GOMA / VARIOS</t>
  </si>
  <si>
    <t>424809-0</t>
  </si>
  <si>
    <t>FILTRO AIRE/VARIOS</t>
  </si>
  <si>
    <t>424823-6</t>
  </si>
  <si>
    <t>TUBO /VARIOS</t>
  </si>
  <si>
    <t>424827-8</t>
  </si>
  <si>
    <t>TAPA USB  /VARIOS</t>
  </si>
  <si>
    <t>424828-6</t>
  </si>
  <si>
    <t>TOPE   /VARIOS</t>
  </si>
  <si>
    <t>424830-9</t>
  </si>
  <si>
    <t>JUNTA   /VARIOS</t>
  </si>
  <si>
    <t>424831-7</t>
  </si>
  <si>
    <t>SELLO AISLANTE  /VARIOS</t>
  </si>
  <si>
    <t>424833-3</t>
  </si>
  <si>
    <t>ESPACIADOR./VARIOS</t>
  </si>
  <si>
    <t>424836-7</t>
  </si>
  <si>
    <t>SELLO/VARIOS</t>
  </si>
  <si>
    <t>424837-5</t>
  </si>
  <si>
    <t>SOPORTE A / VARIOS</t>
  </si>
  <si>
    <t>424838-3</t>
  </si>
  <si>
    <t>424852-9</t>
  </si>
  <si>
    <t>AMORTIGUADOR DE GOMA / HW1300 - HW1200</t>
  </si>
  <si>
    <t>424856-1</t>
  </si>
  <si>
    <t>PROTECTOR DE ESPONJA / HW1200 - HW1300</t>
  </si>
  <si>
    <t>424858-7</t>
  </si>
  <si>
    <t>FIELTRO 16X16/VARIOS</t>
  </si>
  <si>
    <t>424860-0</t>
  </si>
  <si>
    <t>CUBIERTA DE INTERRUPTOR / M9800</t>
  </si>
  <si>
    <t>424869-2</t>
  </si>
  <si>
    <t>MANGUERA DE TUBO / HW1300</t>
  </si>
  <si>
    <t>424870-7</t>
  </si>
  <si>
    <t>GUARDA/DLS600</t>
  </si>
  <si>
    <t>424873-1</t>
  </si>
  <si>
    <t>PARACHOQUE / DTD154</t>
  </si>
  <si>
    <t>424888-8</t>
  </si>
  <si>
    <t>TOPE  /VARIOS</t>
  </si>
  <si>
    <t>424896-9</t>
  </si>
  <si>
    <t>FILTRO AIRE /VARIOS</t>
  </si>
  <si>
    <t>424897-7</t>
  </si>
  <si>
    <t>PLACA DE GOMA/VARIOS</t>
  </si>
  <si>
    <t>424899-3</t>
  </si>
  <si>
    <t>SELLO AISLANTE /VARIOS</t>
  </si>
  <si>
    <t>424900-4</t>
  </si>
  <si>
    <t>TUBO GASOLINA 3-85/VARIOS</t>
  </si>
  <si>
    <t>424901-2</t>
  </si>
  <si>
    <t>TUBO DE ACEITE 5-195/ VARIOS</t>
  </si>
  <si>
    <t>424902-0</t>
  </si>
  <si>
    <t>FILTRO 16X16/VARIOS</t>
  </si>
  <si>
    <t>424903-8</t>
  </si>
  <si>
    <t>CONECTOR A / DUC400</t>
  </si>
  <si>
    <t>424904-6</t>
  </si>
  <si>
    <t>CONECTOR B / DUC400</t>
  </si>
  <si>
    <t>424907-0</t>
  </si>
  <si>
    <t>PARACHOQUE / TD111D</t>
  </si>
  <si>
    <t>424909-6</t>
  </si>
  <si>
    <t>TAPA DE ENCHUFE / VARIOS</t>
  </si>
  <si>
    <t>424913-5</t>
  </si>
  <si>
    <t>ESPONJA 35-70 / VARIOS</t>
  </si>
  <si>
    <t>424928-2</t>
  </si>
  <si>
    <t>424952-5</t>
  </si>
  <si>
    <t>COJIN /VARIOS</t>
  </si>
  <si>
    <t>424953-3</t>
  </si>
  <si>
    <t>TOPE FLEXIBLE /VARIOS</t>
  </si>
  <si>
    <t>424954-1</t>
  </si>
  <si>
    <t>COJIN AVELLANADO /VARIOS</t>
  </si>
  <si>
    <t>424958-3</t>
  </si>
  <si>
    <t>SELLO DE ESPONJA/DUN461W</t>
  </si>
  <si>
    <t>424980-0</t>
  </si>
  <si>
    <t>TAPON /VARIOS</t>
  </si>
  <si>
    <t>424981-8</t>
  </si>
  <si>
    <t>441075-4</t>
  </si>
  <si>
    <t>442138-9</t>
  </si>
  <si>
    <t>EMPAQUETADURA / 4350FCT</t>
  </si>
  <si>
    <t>442145-2</t>
  </si>
  <si>
    <t>EMPAQUE / M4302</t>
  </si>
  <si>
    <t>442147-8</t>
  </si>
  <si>
    <t>442149-4</t>
  </si>
  <si>
    <t>442152-5</t>
  </si>
  <si>
    <t>EMPAQUE  /VARIOS</t>
  </si>
  <si>
    <t>442154-1</t>
  </si>
  <si>
    <t>MEMBRANA DIAFRAGMA/VARIOS</t>
  </si>
  <si>
    <t>442155-9</t>
  </si>
  <si>
    <t>442156-7</t>
  </si>
  <si>
    <t>EMPAQUE CILINDRO /VARIOS</t>
  </si>
  <si>
    <t>442157-5</t>
  </si>
  <si>
    <t>EMPAQUE CARTER /VARIOS</t>
  </si>
  <si>
    <t>442160-6</t>
  </si>
  <si>
    <t>JUNTA VALVULA /VARIOS</t>
  </si>
  <si>
    <t>442161-4</t>
  </si>
  <si>
    <t>JUNTA CARTON /VARIOS</t>
  </si>
  <si>
    <t>442165-6</t>
  </si>
  <si>
    <t>FILTRO DE AIRE / EK7650H</t>
  </si>
  <si>
    <t>442166-4</t>
  </si>
  <si>
    <t>JUNTA DE CARBURADOR / EK7650H</t>
  </si>
  <si>
    <t>442167-2</t>
  </si>
  <si>
    <t>442168-0</t>
  </si>
  <si>
    <t>EMPAQUE DE CAJA/VARIOS</t>
  </si>
  <si>
    <t>442169-8</t>
  </si>
  <si>
    <t>DISCO  / VARIOS</t>
  </si>
  <si>
    <t>442172-9</t>
  </si>
  <si>
    <t>EMPAQUE BOMBA / VARIOS</t>
  </si>
  <si>
    <t>442181-8</t>
  </si>
  <si>
    <t>442183-4</t>
  </si>
  <si>
    <t>EMPAQUE DIAFRAGMA/VARIOS</t>
  </si>
  <si>
    <t>442185-0</t>
  </si>
  <si>
    <t>442186-8</t>
  </si>
  <si>
    <t>EMPAQUE / JS3201</t>
  </si>
  <si>
    <t>442189-2</t>
  </si>
  <si>
    <t>JUNTA AISLANTE/VARIOS</t>
  </si>
  <si>
    <t>442190-7</t>
  </si>
  <si>
    <t>JUNTA CARBURADOR/VARIOS</t>
  </si>
  <si>
    <t>442195-7</t>
  </si>
  <si>
    <t>EMPAQUE / DJV182</t>
  </si>
  <si>
    <t>442196-5</t>
  </si>
  <si>
    <t>JUNTA CARBURADOR / EM4350LH</t>
  </si>
  <si>
    <t>442197-3</t>
  </si>
  <si>
    <t>442199-9</t>
  </si>
  <si>
    <t>EMPAQUE/VARIOS</t>
  </si>
  <si>
    <t>442206-8</t>
  </si>
  <si>
    <t>JUNTA CARBURADOR /VARIOS</t>
  </si>
  <si>
    <t>442207-6</t>
  </si>
  <si>
    <t>EMPAQUETADURA / M6201 - M6600</t>
  </si>
  <si>
    <t>442208-4</t>
  </si>
  <si>
    <t>442210-7</t>
  </si>
  <si>
    <t>443073-4</t>
  </si>
  <si>
    <t>FIELTRO / RP0900 - M3601</t>
  </si>
  <si>
    <t>443074-2</t>
  </si>
  <si>
    <t>ANILLO DE FIELTRO / RP0900 - M3601</t>
  </si>
  <si>
    <t>443108-1</t>
  </si>
  <si>
    <t>FIELTRO 6X225X3 /VARIOS</t>
  </si>
  <si>
    <t>443118-8</t>
  </si>
  <si>
    <t>443121-9</t>
  </si>
  <si>
    <t>CEPILLO RECOLECTOR DE POLVO / PW5001C</t>
  </si>
  <si>
    <t>443122-7</t>
  </si>
  <si>
    <t>PAÑO DE LIMPIEZA / VARIOS</t>
  </si>
  <si>
    <t>443124-3</t>
  </si>
  <si>
    <t>ANILLO DE FIELTRO 17 / VARIOS</t>
  </si>
  <si>
    <t>443126-9</t>
  </si>
  <si>
    <t>FILTRO/VARIOS</t>
  </si>
  <si>
    <t>443127-7</t>
  </si>
  <si>
    <t>443129-3</t>
  </si>
  <si>
    <t>443137-4</t>
  </si>
  <si>
    <t>FIELTRO / SP6000 - CA5000</t>
  </si>
  <si>
    <t>443138-2</t>
  </si>
  <si>
    <t>443140-5</t>
  </si>
  <si>
    <t>443141-3</t>
  </si>
  <si>
    <t>443147-1</t>
  </si>
  <si>
    <t>FILTRO DE AIRE / HM1214C.</t>
  </si>
  <si>
    <t>443153-6</t>
  </si>
  <si>
    <t>443157-8</t>
  </si>
  <si>
    <t>443158-6</t>
  </si>
  <si>
    <t>443159-4</t>
  </si>
  <si>
    <t>443167-5</t>
  </si>
  <si>
    <t>443169-1</t>
  </si>
  <si>
    <t>443170-6</t>
  </si>
  <si>
    <t>FIELTRO/VARIOS</t>
  </si>
  <si>
    <t>443171-4</t>
  </si>
  <si>
    <t>443173-0</t>
  </si>
  <si>
    <t>443180-3</t>
  </si>
  <si>
    <t>443182-9</t>
  </si>
  <si>
    <t>443196-8</t>
  </si>
  <si>
    <t>444019-3</t>
  </si>
  <si>
    <t>CUERDA ARRANQUE/VARIOS</t>
  </si>
  <si>
    <t>444020-8</t>
  </si>
  <si>
    <t>444021-6</t>
  </si>
  <si>
    <t>444038-9</t>
  </si>
  <si>
    <t>ARRANCADOR  /VARIOS</t>
  </si>
  <si>
    <t>444043-6</t>
  </si>
  <si>
    <t>CUERDA ARRANQUE / VARIOS</t>
  </si>
  <si>
    <t>ESPADA CORTE 20" 3/8 .058/EA6100P</t>
  </si>
  <si>
    <t>450064-8</t>
  </si>
  <si>
    <t>CUBIERTA DE ENCASTRE / HM1111C</t>
  </si>
  <si>
    <t>450067-2</t>
  </si>
  <si>
    <t>BASE/VARIOS</t>
  </si>
  <si>
    <t>450069-8</t>
  </si>
  <si>
    <t>GUIA VENTILADOR/VARIOS</t>
  </si>
  <si>
    <t>450070-3</t>
  </si>
  <si>
    <t>CAJA DE RODAMIENTO / BO4556</t>
  </si>
  <si>
    <t>450071-1</t>
  </si>
  <si>
    <t>CUBIERTA SUPERIOR / BO4556 - BO5030</t>
  </si>
  <si>
    <t>450072-9</t>
  </si>
  <si>
    <t>450098-1</t>
  </si>
  <si>
    <t>450190-3</t>
  </si>
  <si>
    <t>SEPARADOR B / VARIOS</t>
  </si>
  <si>
    <t>450230-7</t>
  </si>
  <si>
    <t>MANIVELA / UC4020C</t>
  </si>
  <si>
    <t>450235-7</t>
  </si>
  <si>
    <t>BIELA / HR3210C</t>
  </si>
  <si>
    <t>450237-3</t>
  </si>
  <si>
    <t>TAPA / HR3210C</t>
  </si>
  <si>
    <t>450240-4</t>
  </si>
  <si>
    <t>LENTE / HM1111C - HR3210C</t>
  </si>
  <si>
    <t>450241-2</t>
  </si>
  <si>
    <t>450243-8</t>
  </si>
  <si>
    <t>MANGUITO DESLIZANTE / HR3210C</t>
  </si>
  <si>
    <t>450244-6</t>
  </si>
  <si>
    <t>ENGRANAJE PLASTICO / HR3210C</t>
  </si>
  <si>
    <t>450245-4</t>
  </si>
  <si>
    <t>CUBIERTA DE ENCASTRE / HR3210C</t>
  </si>
  <si>
    <t>450248-8</t>
  </si>
  <si>
    <t>CUBIERTA AVT / HR3210C</t>
  </si>
  <si>
    <t>450251-9</t>
  </si>
  <si>
    <t>DEFLECTOR / HR3210C</t>
  </si>
  <si>
    <t>450252-7</t>
  </si>
  <si>
    <t>CAJA MOTOR  / HR3210C</t>
  </si>
  <si>
    <t>450253-5</t>
  </si>
  <si>
    <t>CUBIERTA TRASERA / HR3210C</t>
  </si>
  <si>
    <t>450254-3</t>
  </si>
  <si>
    <t>CUBIERTA / HR3210C</t>
  </si>
  <si>
    <t>450347-6</t>
  </si>
  <si>
    <t>TAPA / HM1812 - HM1802</t>
  </si>
  <si>
    <t>450359-9</t>
  </si>
  <si>
    <t>CUBIERTA EMPUÑADURA /MBS400</t>
  </si>
  <si>
    <t>450455-3</t>
  </si>
  <si>
    <t>CUBIERTA SUPERIOR / M9201</t>
  </si>
  <si>
    <t>450457-9</t>
  </si>
  <si>
    <t>450458-7</t>
  </si>
  <si>
    <t>450504-6</t>
  </si>
  <si>
    <t>PALANCA DE CAMBIO / HP330</t>
  </si>
  <si>
    <t>450522-4</t>
  </si>
  <si>
    <t>LENTE / CL114FD - CL104D - CL117FD</t>
  </si>
  <si>
    <t>450560-6</t>
  </si>
  <si>
    <t>PLACA DE AHOGADOR/VARIOS</t>
  </si>
  <si>
    <t>450561-4</t>
  </si>
  <si>
    <t>CUBIERTA FILTRO AIRE /VARIOS</t>
  </si>
  <si>
    <t>450565-6</t>
  </si>
  <si>
    <t>MEDIDOR ACEITE/VARIOS</t>
  </si>
  <si>
    <t>450566-4</t>
  </si>
  <si>
    <t>450617-3</t>
  </si>
  <si>
    <t>CAJA MOTOR  / HP1630K</t>
  </si>
  <si>
    <t>450619-9</t>
  </si>
  <si>
    <t>450620-4</t>
  </si>
  <si>
    <t>DEFLECTOR / HP1630K - M8100K</t>
  </si>
  <si>
    <t>450621-2</t>
  </si>
  <si>
    <t>CAJA DE LA PALANCA/ HP1630K</t>
  </si>
  <si>
    <t>450644-0</t>
  </si>
  <si>
    <t>450665-2</t>
  </si>
  <si>
    <t>CUBIERTA DE SOPORTE / M3700</t>
  </si>
  <si>
    <t>450671-7</t>
  </si>
  <si>
    <t>CAJA MOTOR  / BO5030</t>
  </si>
  <si>
    <t>450672-5</t>
  </si>
  <si>
    <t>BASE CIRCULAR / VARIOS</t>
  </si>
  <si>
    <t>450684-8</t>
  </si>
  <si>
    <t>CUBIERTA DE MANGO / 5007NK</t>
  </si>
  <si>
    <t>450687-2</t>
  </si>
  <si>
    <t>450704-8</t>
  </si>
  <si>
    <t>SELECTOR 27</t>
  </si>
  <si>
    <t>450705-6</t>
  </si>
  <si>
    <t>EMPUÑADURA DELANTERA / 5007NK</t>
  </si>
  <si>
    <t>450794-1</t>
  </si>
  <si>
    <t>CUBIERTA TRASERA / GA4530 - PJ7000</t>
  </si>
  <si>
    <t>450795-9</t>
  </si>
  <si>
    <t>450796-7</t>
  </si>
  <si>
    <t>450797-5</t>
  </si>
  <si>
    <t>450819-1</t>
  </si>
  <si>
    <t>PLACA DE BASE / RP0900</t>
  </si>
  <si>
    <t>450820-6</t>
  </si>
  <si>
    <t>DEFLECTOR / RP0900</t>
  </si>
  <si>
    <t>450821-4</t>
  </si>
  <si>
    <t>PALANCA 47 / VARIOS</t>
  </si>
  <si>
    <t>450838-7</t>
  </si>
  <si>
    <t>CUBIERTA DE MANGO / 4100NH2</t>
  </si>
  <si>
    <t>450839-5</t>
  </si>
  <si>
    <t>DEFLECTOR / 4100NH2</t>
  </si>
  <si>
    <t>450877-7</t>
  </si>
  <si>
    <t>450884-0</t>
  </si>
  <si>
    <t>450889-0</t>
  </si>
  <si>
    <t>GUIA DE VALVULA / HM1203C; 13C</t>
  </si>
  <si>
    <t>450890-5</t>
  </si>
  <si>
    <t>450891-3</t>
  </si>
  <si>
    <t>450892-1</t>
  </si>
  <si>
    <t>TUBO DE AIRE</t>
  </si>
  <si>
    <t>450893-9</t>
  </si>
  <si>
    <t>CUBIERTA DE ANILLO DE CAMBIO / VARIOS</t>
  </si>
  <si>
    <t>450894-7</t>
  </si>
  <si>
    <t>COBERTOR / VARIOS</t>
  </si>
  <si>
    <t>450895-5</t>
  </si>
  <si>
    <t>CUBIERTA DE LIBERACION / VARIOS</t>
  </si>
  <si>
    <t>450896-3</t>
  </si>
  <si>
    <t>PALANCA DE ARRANQUE / HM1213C - HM1111C</t>
  </si>
  <si>
    <t>450897-1</t>
  </si>
  <si>
    <t>PALANCA DE CAMBIO / HM1203C</t>
  </si>
  <si>
    <t>450898-9</t>
  </si>
  <si>
    <t>450899-7</t>
  </si>
  <si>
    <t>450900-8</t>
  </si>
  <si>
    <t>DEFLECTOR / HM1203C; 13C</t>
  </si>
  <si>
    <t>450901-6</t>
  </si>
  <si>
    <t>CUBIERTA TRASERA / HM1203C; 13C</t>
  </si>
  <si>
    <t>450902-4</t>
  </si>
  <si>
    <t>450903-2</t>
  </si>
  <si>
    <t>CUBIERTA DE LA CAJA DE ENGRANAJE / HM1203C</t>
  </si>
  <si>
    <t>450904-0</t>
  </si>
  <si>
    <t>CAJA MOTOR  / HM1203C; 13C</t>
  </si>
  <si>
    <t>450905-8</t>
  </si>
  <si>
    <t>BASE DE EMPUÑADURA / HM1213C</t>
  </si>
  <si>
    <t>450906-6</t>
  </si>
  <si>
    <t>EMPUÑADURA / HM1213C; 13C</t>
  </si>
  <si>
    <t>450907-4</t>
  </si>
  <si>
    <t>MANGO / HM1203C</t>
  </si>
  <si>
    <t>450908-2</t>
  </si>
  <si>
    <t>CUBIERTA DE MANGO / HM1203C; 13C</t>
  </si>
  <si>
    <t>450926-0</t>
  </si>
  <si>
    <t>CAJA TOPE / VARIOS</t>
  </si>
  <si>
    <t>450933-3</t>
  </si>
  <si>
    <t>DEFLECTOR / M4302</t>
  </si>
  <si>
    <t>450936-7</t>
  </si>
  <si>
    <t>EMPUÑADURA R / VARIOS</t>
  </si>
  <si>
    <t>450937-5</t>
  </si>
  <si>
    <t>CUBIERTA DE EMPUÑADURA DERECHA / RP2301FC</t>
  </si>
  <si>
    <t>450938-3</t>
  </si>
  <si>
    <t>MANGO IZQUIERDO / RP2301FC</t>
  </si>
  <si>
    <t>450939-1</t>
  </si>
  <si>
    <t>CUBIERTA DE EMPUÑADURA IZQUIERDA / RP2301FC</t>
  </si>
  <si>
    <t>450940-6</t>
  </si>
  <si>
    <t>PALANCA INTERRUPTOR / RP2301FC</t>
  </si>
  <si>
    <t>450941-4</t>
  </si>
  <si>
    <t>BOTON DE BLOQUEO / RP2301FC</t>
  </si>
  <si>
    <t>450942-2</t>
  </si>
  <si>
    <t>TAPA DEL TRABADOR / RP2301FC</t>
  </si>
  <si>
    <t>450943-0</t>
  </si>
  <si>
    <t>450944-8</t>
  </si>
  <si>
    <t>PLACA DEFLECTORA / RP2301FC</t>
  </si>
  <si>
    <t>450946-4</t>
  </si>
  <si>
    <t>PUNTERO / RP2301FC</t>
  </si>
  <si>
    <t>450947-2</t>
  </si>
  <si>
    <t>TAPA SUPERIOR DE LA CARCASA / RP2301FC</t>
  </si>
  <si>
    <t>450949-8</t>
  </si>
  <si>
    <t>TAPA LATERAL / RP2301FC</t>
  </si>
  <si>
    <t>450950-3</t>
  </si>
  <si>
    <t>PALANCA DE AJUSTE / RP2301FC</t>
  </si>
  <si>
    <t>450951-1</t>
  </si>
  <si>
    <t>PLACA DE LA BASE / RP2301FC</t>
  </si>
  <si>
    <t>450953-7</t>
  </si>
  <si>
    <t>MICA DE PROTECCION / VARIOS</t>
  </si>
  <si>
    <t>450956-1</t>
  </si>
  <si>
    <t>PROPULSOR BOMBA/VARIOS</t>
  </si>
  <si>
    <t>450961-8</t>
  </si>
  <si>
    <t>450964-2</t>
  </si>
  <si>
    <t>TAPA ENCHUFE/VARIOS</t>
  </si>
  <si>
    <t>450966-8</t>
  </si>
  <si>
    <t>BOQUILLA FINAL /VARIOS</t>
  </si>
  <si>
    <t>450978-1</t>
  </si>
  <si>
    <t>BOTON BLOQUEO /VARIOS</t>
  </si>
  <si>
    <t>450979-9</t>
  </si>
  <si>
    <t>BLOQUEADOR F/R/VARIOS</t>
  </si>
  <si>
    <t>450980-4</t>
  </si>
  <si>
    <t>PALANCA CAMBIO/VARIOS</t>
  </si>
  <si>
    <t>450981-2</t>
  </si>
  <si>
    <t>PALANCA INTERRUPTOR/VARIOS</t>
  </si>
  <si>
    <t>451000-7</t>
  </si>
  <si>
    <t>CUBIERTA DE PLOMO / LS1219L - DLS111</t>
  </si>
  <si>
    <t>451001-5</t>
  </si>
  <si>
    <t>451002-3</t>
  </si>
  <si>
    <t>GUIA DE PIÑON / VARIOS</t>
  </si>
  <si>
    <t>451010-4</t>
  </si>
  <si>
    <t>PALANCA BLOQUEO/VARIOS</t>
  </si>
  <si>
    <t>451013-8</t>
  </si>
  <si>
    <t>PLACA SUJECION/VARIOS</t>
  </si>
  <si>
    <t>451035-8</t>
  </si>
  <si>
    <t>PUNTERO / RP0900 - M3601</t>
  </si>
  <si>
    <t>451037-4</t>
  </si>
  <si>
    <t>BOTON DE INTERRUPTOR /VARIOS</t>
  </si>
  <si>
    <t>451090-0</t>
  </si>
  <si>
    <t>PROTECTOR POLVO/VARIOS</t>
  </si>
  <si>
    <t>451103-7</t>
  </si>
  <si>
    <t>CUBIERTA DE ANILLO / HM1214C</t>
  </si>
  <si>
    <t>451104-5</t>
  </si>
  <si>
    <t>TAPA DE GRASA / HM1214C</t>
  </si>
  <si>
    <t>451105-3</t>
  </si>
  <si>
    <t>LENTE / VARIOS</t>
  </si>
  <si>
    <t>451106-1</t>
  </si>
  <si>
    <t>451107-9</t>
  </si>
  <si>
    <t>CUBIERTA DE ARANDELA / VARIOS</t>
  </si>
  <si>
    <t>451108-7</t>
  </si>
  <si>
    <t>CAJA DE FILTRO / HM1214C</t>
  </si>
  <si>
    <t>451109-5</t>
  </si>
  <si>
    <t>TAPA DE FILTRO / HM1214C</t>
  </si>
  <si>
    <t>451110-0</t>
  </si>
  <si>
    <t>GUIA DE CILINDRO / HM1214C</t>
  </si>
  <si>
    <t>451111-8</t>
  </si>
  <si>
    <t>451112-6</t>
  </si>
  <si>
    <t>PALANCA DESLIZANTE / VARIOS</t>
  </si>
  <si>
    <t>451113-4</t>
  </si>
  <si>
    <t>CUBIERTA DE BARRIL / HM1214C</t>
  </si>
  <si>
    <t>451115-0</t>
  </si>
  <si>
    <t>CUBIERTA DE CAJA DE ENGRANAJE / HM1214C</t>
  </si>
  <si>
    <t>451117-6</t>
  </si>
  <si>
    <t>451118-4</t>
  </si>
  <si>
    <t>451119-2</t>
  </si>
  <si>
    <t>451157-4</t>
  </si>
  <si>
    <t>ESPACIADOR VARIOS</t>
  </si>
  <si>
    <t>451164-7</t>
  </si>
  <si>
    <t>BIELA / HM1317CB</t>
  </si>
  <si>
    <t>451166-3</t>
  </si>
  <si>
    <t>TAPA DE CIGÜEÑAL / HM1307CB</t>
  </si>
  <si>
    <t>451168-9</t>
  </si>
  <si>
    <t>FUNDA PARA HOMBRO / HM1317CB</t>
  </si>
  <si>
    <t>451169-7</t>
  </si>
  <si>
    <t>GUIA DE PESO / HM1317CB</t>
  </si>
  <si>
    <t>451170-2</t>
  </si>
  <si>
    <t>TAPA CIGUEÑAL / HM1307CB</t>
  </si>
  <si>
    <t>451171-0</t>
  </si>
  <si>
    <t>CUBIERTA TRASERA / HM1307C - HM1307CB</t>
  </si>
  <si>
    <t>451201-7</t>
  </si>
  <si>
    <t>MARCO DE CORTE / LS1219L</t>
  </si>
  <si>
    <t>451252-0</t>
  </si>
  <si>
    <t>CUBIERTA HERRAMIENTA /VARIOS</t>
  </si>
  <si>
    <t>451266-9</t>
  </si>
  <si>
    <t>CAJA DE RODAMIENTO / BO3710</t>
  </si>
  <si>
    <t>451267-7</t>
  </si>
  <si>
    <t>451270-8</t>
  </si>
  <si>
    <t>451314-4</t>
  </si>
  <si>
    <t>CUBIERTA DE MANGO / KP0800</t>
  </si>
  <si>
    <t>451324-1</t>
  </si>
  <si>
    <t>PERILLA</t>
  </si>
  <si>
    <t>451326-7</t>
  </si>
  <si>
    <t>CUBIERTA DE FAJA / KP0800</t>
  </si>
  <si>
    <t>451327-5</t>
  </si>
  <si>
    <t>DEFLECTOR / KP0800</t>
  </si>
  <si>
    <t>451328-3</t>
  </si>
  <si>
    <t>CUBIERTA DE PERILLA / VARIOS</t>
  </si>
  <si>
    <t>451329-1</t>
  </si>
  <si>
    <t>451331-4</t>
  </si>
  <si>
    <t>BASE DE EMPUÑADURA / HM1317CB - HM1307CB</t>
  </si>
  <si>
    <t>451334-8</t>
  </si>
  <si>
    <t>CONTENEDOR/VARIOS</t>
  </si>
  <si>
    <t>451338-0</t>
  </si>
  <si>
    <t>CUBIERTA DE MOTOR / VARIOS</t>
  </si>
  <si>
    <t>451340-3</t>
  </si>
  <si>
    <t>451343-7</t>
  </si>
  <si>
    <t>451392-4</t>
  </si>
  <si>
    <t>451423-9</t>
  </si>
  <si>
    <t>CAJA MOTOR  / HM0870C; 71C</t>
  </si>
  <si>
    <t>451428-9</t>
  </si>
  <si>
    <t>LENTE / HM0870C; 71C</t>
  </si>
  <si>
    <t>451429-7</t>
  </si>
  <si>
    <t>TUBO DE AIRE / HM0871C</t>
  </si>
  <si>
    <t>451432-8</t>
  </si>
  <si>
    <t>CUBIERTA DE ENCASTRE / HM0870C; 71C</t>
  </si>
  <si>
    <t>451433-6</t>
  </si>
  <si>
    <t>CUBIERTA DE CAMBIO / HM0870C; 71C</t>
  </si>
  <si>
    <t>451434-4</t>
  </si>
  <si>
    <t>CUBIERTA DE CIGÜEÑAL / HM0870C; 71C</t>
  </si>
  <si>
    <t>451435-2</t>
  </si>
  <si>
    <t>CUBIERTA A DE AVT / HM0871C</t>
  </si>
  <si>
    <t>451436-0</t>
  </si>
  <si>
    <t>CUBIERTA B DE AVT / HM0871C</t>
  </si>
  <si>
    <t>451438-6</t>
  </si>
  <si>
    <t>DEFLECTOR / HM0870C; 71C</t>
  </si>
  <si>
    <t>451440-9</t>
  </si>
  <si>
    <t>PALANCA DE INTERRUPTOR / HM1203C - HM0870C</t>
  </si>
  <si>
    <t>451442-5</t>
  </si>
  <si>
    <t>CUBIERTA TRASERA / HM0870C; 71C</t>
  </si>
  <si>
    <t>451444-1</t>
  </si>
  <si>
    <t>CUBIERTA CAJA DE ENGRANAJE / HM0870C</t>
  </si>
  <si>
    <t>451445-9</t>
  </si>
  <si>
    <t>CUBIERTA DE MANGO / HM0870C; 71C</t>
  </si>
  <si>
    <t>451453-0</t>
  </si>
  <si>
    <t>CUBIERTA DE TANQUE / VC2510L</t>
  </si>
  <si>
    <t>451454-8</t>
  </si>
  <si>
    <t>ENTRADA / VARIOS</t>
  </si>
  <si>
    <t>451455-6</t>
  </si>
  <si>
    <t>451462-9</t>
  </si>
  <si>
    <t>ARANDELA AISLANTE/VARIOS</t>
  </si>
  <si>
    <t>451480-7</t>
  </si>
  <si>
    <t>451485-7</t>
  </si>
  <si>
    <t>TAPA DE TRABADOR / VARIOS</t>
  </si>
  <si>
    <t>451500-7</t>
  </si>
  <si>
    <t>PALANCA INTERRUPTOR /VARIOS</t>
  </si>
  <si>
    <t>451516-2</t>
  </si>
  <si>
    <t>BIELA / HR5211C</t>
  </si>
  <si>
    <t>451522-7</t>
  </si>
  <si>
    <t>ENGRANAJE INTERNO /VARIOS</t>
  </si>
  <si>
    <t>451523-5</t>
  </si>
  <si>
    <t>PALANCA BLOQUEO / TD021D</t>
  </si>
  <si>
    <t>451524-3</t>
  </si>
  <si>
    <t>PASADOR DE RESORTE 10 / RP0900 - M3601</t>
  </si>
  <si>
    <t>451527-7</t>
  </si>
  <si>
    <t>451528-5</t>
  </si>
  <si>
    <t>CUBIERTA DE CAJA MOTOR / VARIOS</t>
  </si>
  <si>
    <t>451529-3</t>
  </si>
  <si>
    <t>PALANCA CAMBIO A / VARIOS</t>
  </si>
  <si>
    <t>451530-8</t>
  </si>
  <si>
    <t>TAPA PALANCA CAMBIO A / VARIOS</t>
  </si>
  <si>
    <t>451531-6</t>
  </si>
  <si>
    <t>PALANCA DE CAMBIO B / VARIOS</t>
  </si>
  <si>
    <t>451533-2</t>
  </si>
  <si>
    <t>GUIA DE ENGANCHE / VARIOS</t>
  </si>
  <si>
    <t>451536-6</t>
  </si>
  <si>
    <t>CAJA MOTOR  / HR2630</t>
  </si>
  <si>
    <t>451538-2</t>
  </si>
  <si>
    <t>451544-7</t>
  </si>
  <si>
    <t>CUBIERTA DE TANQUE / VARIOS</t>
  </si>
  <si>
    <t>451545-5</t>
  </si>
  <si>
    <t>SOPORTE DE GANCHO / VARIOS</t>
  </si>
  <si>
    <t>451546-3</t>
  </si>
  <si>
    <t>TAPA DE ENTRADA / VARIOS</t>
  </si>
  <si>
    <t>451593-4</t>
  </si>
  <si>
    <t>PALANCA BLOQUEO / VARIOS</t>
  </si>
  <si>
    <t>451601-1</t>
  </si>
  <si>
    <t>ESPACIADOR / DUR192L - DUR187L</t>
  </si>
  <si>
    <t>451617-6</t>
  </si>
  <si>
    <t>CAJA MOTOR  / BO5041</t>
  </si>
  <si>
    <t>451619-2</t>
  </si>
  <si>
    <t>CUBIERTA SUPERIOR / BO5041</t>
  </si>
  <si>
    <t>451639-6</t>
  </si>
  <si>
    <t>451642-7</t>
  </si>
  <si>
    <t>RUEDILLA 170 / VARIOS</t>
  </si>
  <si>
    <t>451643-5</t>
  </si>
  <si>
    <t>TAPA DE LA RUEDA / VC3210L - VC2211M</t>
  </si>
  <si>
    <t>451735-0</t>
  </si>
  <si>
    <t>CARCASA EMBRAGUE  / VARIOS</t>
  </si>
  <si>
    <t>451736-8</t>
  </si>
  <si>
    <t>TANQUE GASOLINA / VARIOS</t>
  </si>
  <si>
    <t>451737-6</t>
  </si>
  <si>
    <t>PROTECTOR DE TANQUE / VARIOS</t>
  </si>
  <si>
    <t>451749-9</t>
  </si>
  <si>
    <t>451752-0</t>
  </si>
  <si>
    <t>BOQUILLA / VARIOS</t>
  </si>
  <si>
    <t>451754-6</t>
  </si>
  <si>
    <t>GUARDA MOVIL B / VARIOS</t>
  </si>
  <si>
    <t>451814-4</t>
  </si>
  <si>
    <t>GUARDAPOLVO / DUM604 - UM600D</t>
  </si>
  <si>
    <t>451816-0</t>
  </si>
  <si>
    <t>GUARDA DE CUCHILLA / VARIOS</t>
  </si>
  <si>
    <t>451833-0</t>
  </si>
  <si>
    <t>PISTON / HM1111C</t>
  </si>
  <si>
    <t>451834-8</t>
  </si>
  <si>
    <t>BIELA / HM1111C</t>
  </si>
  <si>
    <t>451835-6</t>
  </si>
  <si>
    <t>CUBIERTA DE BARRIL / HM1111C</t>
  </si>
  <si>
    <t>451836-4</t>
  </si>
  <si>
    <t>CUBIERTA DE TRABADOR / HM1111C</t>
  </si>
  <si>
    <t>451840-3</t>
  </si>
  <si>
    <t>CAJA MOTOR  / HM1111C</t>
  </si>
  <si>
    <t>451843-7</t>
  </si>
  <si>
    <t>CUBIERTA DE AVT / HM1111C</t>
  </si>
  <si>
    <t>451845-3</t>
  </si>
  <si>
    <t>CARCASA NEGRA / HM1111C</t>
  </si>
  <si>
    <t>451848-7</t>
  </si>
  <si>
    <t>TUBO DE AIRE / HM1111C</t>
  </si>
  <si>
    <t>451860-7</t>
  </si>
  <si>
    <t>CUBIERTA CILINDRO /VARIOS</t>
  </si>
  <si>
    <t>451867-3</t>
  </si>
  <si>
    <t>TANQUE GASOLINA /VARIOS</t>
  </si>
  <si>
    <t>451874-6</t>
  </si>
  <si>
    <t>TAPA CILINDRO / VARIOS</t>
  </si>
  <si>
    <t>451875-4</t>
  </si>
  <si>
    <t>451876-2</t>
  </si>
  <si>
    <t>451877-0</t>
  </si>
  <si>
    <t>451907-7</t>
  </si>
  <si>
    <t>CAJA DE ENGRANAJE / M8100K</t>
  </si>
  <si>
    <t>451923-9</t>
  </si>
  <si>
    <t>451925-5</t>
  </si>
  <si>
    <t>PALANCA AHOGADOR / VARIOS</t>
  </si>
  <si>
    <t>452004-2</t>
  </si>
  <si>
    <t>452018-1</t>
  </si>
  <si>
    <t>PALANCA ACELERADOR / VARIOS</t>
  </si>
  <si>
    <t>452022-0</t>
  </si>
  <si>
    <t>VARILLA ACELERADOR / VARIOS</t>
  </si>
  <si>
    <t>452023-8</t>
  </si>
  <si>
    <t>TAPA PROTECTORA / EA3203S</t>
  </si>
  <si>
    <t>452024-6</t>
  </si>
  <si>
    <t>BRIDA INTERMEDIA / VARIOS</t>
  </si>
  <si>
    <t>452025-4</t>
  </si>
  <si>
    <t>452031-9</t>
  </si>
  <si>
    <t>TAPA FILTRO AIRE / VARIOS</t>
  </si>
  <si>
    <t>452032-7</t>
  </si>
  <si>
    <t>452033-5</t>
  </si>
  <si>
    <t>TAPA FRONTAL FRENO /VARIOS</t>
  </si>
  <si>
    <t>452035-1</t>
  </si>
  <si>
    <t>452036-9</t>
  </si>
  <si>
    <t>EMPUÑADURA TUBULAR /VARIOS</t>
  </si>
  <si>
    <t>452047-4</t>
  </si>
  <si>
    <t>TAPA ACEITE /VARIOS</t>
  </si>
  <si>
    <t>452049-0</t>
  </si>
  <si>
    <t>452073-3</t>
  </si>
  <si>
    <t>452106-4</t>
  </si>
  <si>
    <t>MANIVELA / VARIOS</t>
  </si>
  <si>
    <t>452126-8</t>
  </si>
  <si>
    <t>ENGRANAJE EN EJE PLASTICO / HR3210C</t>
  </si>
  <si>
    <t>452147-0</t>
  </si>
  <si>
    <t>PROTECTOR(UH550</t>
  </si>
  <si>
    <t>452205-2</t>
  </si>
  <si>
    <t>CUBIERTA TRASERA / DHP456 - DDF456</t>
  </si>
  <si>
    <t>452216-7</t>
  </si>
  <si>
    <t>PALANCA CRUCERO /VARIOS</t>
  </si>
  <si>
    <t>452219-1</t>
  </si>
  <si>
    <t>PLACA DEL AHOGADOR/VARIOS</t>
  </si>
  <si>
    <t>452220-6</t>
  </si>
  <si>
    <t>PALANCA AHOGADOR/VARIOS</t>
  </si>
  <si>
    <t>452259-9</t>
  </si>
  <si>
    <t>PROTECTOR/VARIOS</t>
  </si>
  <si>
    <t>452288-2</t>
  </si>
  <si>
    <t>POLEA DE ARRANQUE/VARIOS</t>
  </si>
  <si>
    <t>452312-1</t>
  </si>
  <si>
    <t>GATILLO A /VARIOS</t>
  </si>
  <si>
    <t>452313-9</t>
  </si>
  <si>
    <t>GATILLO B /VARIOS</t>
  </si>
  <si>
    <t>452314-7</t>
  </si>
  <si>
    <t>TAPON  /VARIOS</t>
  </si>
  <si>
    <t>452399-3</t>
  </si>
  <si>
    <t>PALANCA CAMBIO DE GIRO / VARIOS</t>
  </si>
  <si>
    <t>452421-6</t>
  </si>
  <si>
    <t>CAJA DE SELECTOR GRIS / VARIOS</t>
  </si>
  <si>
    <t>452438-9</t>
  </si>
  <si>
    <t>452446-0</t>
  </si>
  <si>
    <t>CAJA FLOTANTE/VARIOS</t>
  </si>
  <si>
    <t>452451-7</t>
  </si>
  <si>
    <t>GANCHO BASE/VARIOS</t>
  </si>
  <si>
    <t>452456-7</t>
  </si>
  <si>
    <t>SUJETADOR RODAMIENTO / VARIOS</t>
  </si>
  <si>
    <t>452465-6</t>
  </si>
  <si>
    <t>CUBIERTA SUPERIOR/VARIOS</t>
  </si>
  <si>
    <t>452468-0</t>
  </si>
  <si>
    <t>TORNILLO 8X10M / UNIVERSAL</t>
  </si>
  <si>
    <t>452610-3</t>
  </si>
  <si>
    <t>AGUJA ACEITE/VARIOS</t>
  </si>
  <si>
    <t>452613-7</t>
  </si>
  <si>
    <t>CAJA DE ARRANCADOR / EK7651H</t>
  </si>
  <si>
    <t>452614-5</t>
  </si>
  <si>
    <t>TUBO PARA ACEITE / EK7651H</t>
  </si>
  <si>
    <t>452616-1</t>
  </si>
  <si>
    <t>CUBIERTA DE VENTILADOR / EK7650H</t>
  </si>
  <si>
    <t>452617-9</t>
  </si>
  <si>
    <t>TAPA DE CILINDRO / EK7651H</t>
  </si>
  <si>
    <t>452630-7</t>
  </si>
  <si>
    <t>CUBIERTA DE MOTOR / BHX2500</t>
  </si>
  <si>
    <t>452638-1</t>
  </si>
  <si>
    <t>ESPACIADOR / EBH340U</t>
  </si>
  <si>
    <t>452639-9</t>
  </si>
  <si>
    <t>ABRAZADERA / EBH340U</t>
  </si>
  <si>
    <t>452640-4</t>
  </si>
  <si>
    <t>452641-2</t>
  </si>
  <si>
    <t>452642-0</t>
  </si>
  <si>
    <t>MANGO / EBH340U</t>
  </si>
  <si>
    <t>452667-4</t>
  </si>
  <si>
    <t>PROTECTOR DE ENGRANAJE / EA4301F</t>
  </si>
  <si>
    <t>452668-2</t>
  </si>
  <si>
    <t>452697-5</t>
  </si>
  <si>
    <t>CUBIERTA LA TAPA DE TANQUE / EK7651H</t>
  </si>
  <si>
    <t>452720-6</t>
  </si>
  <si>
    <t>SOPORTE DE FILTRO / EK7651H</t>
  </si>
  <si>
    <t>452721-4</t>
  </si>
  <si>
    <t>PALANCA DE ACELERACION / EK7651H</t>
  </si>
  <si>
    <t>452722-2</t>
  </si>
  <si>
    <t>PALANCA DE BLOQUEO / EK7651H</t>
  </si>
  <si>
    <t>452723-0</t>
  </si>
  <si>
    <t>PALANCA DE INTERRUPTOR / EK7651H</t>
  </si>
  <si>
    <t>452724-8</t>
  </si>
  <si>
    <t>SOPORTE DE CARBURADOR / EK7651H</t>
  </si>
  <si>
    <t>452726-4</t>
  </si>
  <si>
    <t>ACEITE DE LINEA / EK7650H</t>
  </si>
  <si>
    <t>452736-1</t>
  </si>
  <si>
    <t>CUBIERTA DE LA EMPUÑADURA / EK7651H</t>
  </si>
  <si>
    <t>452737-9</t>
  </si>
  <si>
    <t>452738-7</t>
  </si>
  <si>
    <t>EMPAQUE CONTENEDOR DE ACEITE / EK7651H</t>
  </si>
  <si>
    <t>452739-5</t>
  </si>
  <si>
    <t>TAPA SEPARADORA / EK7651H</t>
  </si>
  <si>
    <t>452740-0</t>
  </si>
  <si>
    <t>SUJETADOR INTERIOR DELANTERO / EK7651H</t>
  </si>
  <si>
    <t>452741-8</t>
  </si>
  <si>
    <t>SUJETADOR EXTERNO DE CENTRO / EK7651H</t>
  </si>
  <si>
    <t>452742-6</t>
  </si>
  <si>
    <t>SUJETADOR INTERIOR TRASERO / EK7651H</t>
  </si>
  <si>
    <t>452799-7</t>
  </si>
  <si>
    <t>JUNTA PARA MANGUERA 4-6 / EK7651H</t>
  </si>
  <si>
    <t>452800-8</t>
  </si>
  <si>
    <t>JUNTA PARA MANGUERA 4-4 / EK7651H</t>
  </si>
  <si>
    <t>452812-1</t>
  </si>
  <si>
    <t>452832-5</t>
  </si>
  <si>
    <t>TAPA TRASERA / DTD146</t>
  </si>
  <si>
    <t>452837-5</t>
  </si>
  <si>
    <t>CUBIERTA DE LA CAJA DE ENGRANAJES / VARIOS</t>
  </si>
  <si>
    <t>452839-1</t>
  </si>
  <si>
    <t>BOTON DE LIBERACION / VARIOS</t>
  </si>
  <si>
    <t>452850-3</t>
  </si>
  <si>
    <t>SUJETADOR DE INSERCION / VARIOS</t>
  </si>
  <si>
    <t>452913-5</t>
  </si>
  <si>
    <t>CUBIERTA DE BASE / M3601</t>
  </si>
  <si>
    <t>452920-8</t>
  </si>
  <si>
    <t>TAPA TANQUE DE GASOLINA/VARIOS</t>
  </si>
  <si>
    <t>452930-5</t>
  </si>
  <si>
    <t>452938-9</t>
  </si>
  <si>
    <t>452947-8</t>
  </si>
  <si>
    <t>452951-7</t>
  </si>
  <si>
    <t>JUNTA PARA MAGUERA 4.4 / VARIOS</t>
  </si>
  <si>
    <t>452952-5</t>
  </si>
  <si>
    <t>JUNTA PARA MAGUERA / VARIOS</t>
  </si>
  <si>
    <t>452982-6</t>
  </si>
  <si>
    <t>CUBIERTA DE PALANCA / VARIOS</t>
  </si>
  <si>
    <t>452983-4</t>
  </si>
  <si>
    <t>452984-2</t>
  </si>
  <si>
    <t>452985-0</t>
  </si>
  <si>
    <t>EMPUÑADURA 34/VARIOS</t>
  </si>
  <si>
    <t>453012-6</t>
  </si>
  <si>
    <t>CUBIERTA TRASERA GRIS / VARIOS</t>
  </si>
  <si>
    <t>453014-2</t>
  </si>
  <si>
    <t>453055-8</t>
  </si>
  <si>
    <t>PALANCA DE CAMBIO / TD127D</t>
  </si>
  <si>
    <t>453056-6</t>
  </si>
  <si>
    <t>CAJA DE ENGRANAJE INTERNO / VARIOS</t>
  </si>
  <si>
    <t>453124-5</t>
  </si>
  <si>
    <t>453125-3</t>
  </si>
  <si>
    <t>SELECTOR DE FUNCION / DHR242</t>
  </si>
  <si>
    <t>453131-8</t>
  </si>
  <si>
    <t>CUBIERTA DE SELECTOR / DHR242</t>
  </si>
  <si>
    <t>453171-6</t>
  </si>
  <si>
    <t>FILTRO PLANO/ VARIOS</t>
  </si>
  <si>
    <t>453218-6</t>
  </si>
  <si>
    <t>EMPUÑADURA / PJ7000</t>
  </si>
  <si>
    <t>453255-0</t>
  </si>
  <si>
    <t>453276-2</t>
  </si>
  <si>
    <t>CAJA MOTOR   / VARIOS</t>
  </si>
  <si>
    <t>453364-5</t>
  </si>
  <si>
    <t>453366-1</t>
  </si>
  <si>
    <t>453367-9</t>
  </si>
  <si>
    <t>453368-7</t>
  </si>
  <si>
    <t>PERILLA DE INTERRUPTOR / GA4540C - PC5010C</t>
  </si>
  <si>
    <t>453369-5</t>
  </si>
  <si>
    <t>453375-0</t>
  </si>
  <si>
    <t>PLACA DEFLECTORA B</t>
  </si>
  <si>
    <t>453376-8</t>
  </si>
  <si>
    <t>CAJA MOTOR  / GA4541C</t>
  </si>
  <si>
    <t>453377-6</t>
  </si>
  <si>
    <t>PERILLA DE ENCENDIDO B / GA4541C</t>
  </si>
  <si>
    <t>453394-6</t>
  </si>
  <si>
    <t>CUBIERTA TRASERA / DHP458 - DDF458</t>
  </si>
  <si>
    <t>453466-7</t>
  </si>
  <si>
    <t>ROLLO / VARIOS</t>
  </si>
  <si>
    <t>453491-8</t>
  </si>
  <si>
    <t>CARCASA VENTILADOR / PM7650H</t>
  </si>
  <si>
    <t>453495-0</t>
  </si>
  <si>
    <t>453496-8</t>
  </si>
  <si>
    <t>MEZCLADOR INFERIOR / VARIOS</t>
  </si>
  <si>
    <t>453497-6</t>
  </si>
  <si>
    <t>GUARDA VENTILADOR / VARIOS</t>
  </si>
  <si>
    <t>453498-4</t>
  </si>
  <si>
    <t>TUBO PRESION / VARIOS</t>
  </si>
  <si>
    <t>453499-2</t>
  </si>
  <si>
    <t>SUJETADOR  BASTIDOR / VARIOS</t>
  </si>
  <si>
    <t>453501-1</t>
  </si>
  <si>
    <t>PLACA FILTRO DE AIRE / VARIOS</t>
  </si>
  <si>
    <t>453502-9</t>
  </si>
  <si>
    <t>PALANCA CHOKE / VARIOS</t>
  </si>
  <si>
    <t>453505-3</t>
  </si>
  <si>
    <t>TAPA BOQUILLA / VARIOS</t>
  </si>
  <si>
    <t>453505-5</t>
  </si>
  <si>
    <t>SOPORTE DE MARCO INFERIOR</t>
  </si>
  <si>
    <t>453506-1</t>
  </si>
  <si>
    <t>453507-9</t>
  </si>
  <si>
    <t>TUBO CURVO 630 / VARIOS</t>
  </si>
  <si>
    <t>453508-7</t>
  </si>
  <si>
    <t>CUERPO DE LLAVE / PM7650H</t>
  </si>
  <si>
    <t>453509-5</t>
  </si>
  <si>
    <t>TAPA CUBIERTA / VARIOS</t>
  </si>
  <si>
    <t>453510-0</t>
  </si>
  <si>
    <t>VARILLA  VALVULA / VARIOS</t>
  </si>
  <si>
    <t>453511-8</t>
  </si>
  <si>
    <t>BOTON EMPUJE / VARIOS</t>
  </si>
  <si>
    <t>453524-9</t>
  </si>
  <si>
    <t>TUBO CORRUGADO / VARIOS</t>
  </si>
  <si>
    <t>453526-5</t>
  </si>
  <si>
    <t>CAJA TUBO / VARIOS</t>
  </si>
  <si>
    <t>453527-3</t>
  </si>
  <si>
    <t>TAPA CAJA / VARIOS</t>
  </si>
  <si>
    <t>453528-1</t>
  </si>
  <si>
    <t>SOPORTE CAJA / VARIOS</t>
  </si>
  <si>
    <t>453529-9</t>
  </si>
  <si>
    <t>CUBIERTA INTERIOR / VARIOS</t>
  </si>
  <si>
    <t>453530-4</t>
  </si>
  <si>
    <t>PLACA DE DESLIZADOR / VARIOS</t>
  </si>
  <si>
    <t>453535-4</t>
  </si>
  <si>
    <t>453536-2</t>
  </si>
  <si>
    <t>TAPA SILENCIADOR / VARIOS</t>
  </si>
  <si>
    <t>453538-8</t>
  </si>
  <si>
    <t>453555-8</t>
  </si>
  <si>
    <t>BOQUILLA / CC300D - CC301D</t>
  </si>
  <si>
    <t>453558-2</t>
  </si>
  <si>
    <t>CAJA VENTILADOR / VARIOS</t>
  </si>
  <si>
    <t>453559-0</t>
  </si>
  <si>
    <t>453560-5</t>
  </si>
  <si>
    <t>BASTIDOR INFERIOR/ VARIOS</t>
  </si>
  <si>
    <t>453561-3</t>
  </si>
  <si>
    <t>SUJETADOR TANQUE / VARIOS</t>
  </si>
  <si>
    <t>453584-1</t>
  </si>
  <si>
    <t>BASE DE EMPUÑADURA 60 / DHP458 - DDF458</t>
  </si>
  <si>
    <t>453599-8</t>
  </si>
  <si>
    <t>TUBO 25 /VARIOS</t>
  </si>
  <si>
    <t>453615-6</t>
  </si>
  <si>
    <t>453616-4</t>
  </si>
  <si>
    <t>453618-0</t>
  </si>
  <si>
    <t>453634-2</t>
  </si>
  <si>
    <t>453695-2</t>
  </si>
  <si>
    <t>CUBIERTA DE GUIA / LS1040F</t>
  </si>
  <si>
    <t>453700-5</t>
  </si>
  <si>
    <t>TUBO RECTO / VARIOS</t>
  </si>
  <si>
    <t>453707-1</t>
  </si>
  <si>
    <t>453711-0</t>
  </si>
  <si>
    <t>GUARDA MOVIL / LF1000</t>
  </si>
  <si>
    <t>453714-4</t>
  </si>
  <si>
    <t>BANDA DE ALAMBRE / PM7650H</t>
  </si>
  <si>
    <t>453715-2</t>
  </si>
  <si>
    <t>CABLE DE TUBO / PM7650H</t>
  </si>
  <si>
    <t>453716-0</t>
  </si>
  <si>
    <t>PALANCA DE ACELERADOR / PM7650H</t>
  </si>
  <si>
    <t>453717-8</t>
  </si>
  <si>
    <t>REGULADOR DE PALANCA / PM7650H</t>
  </si>
  <si>
    <t>453761-5</t>
  </si>
  <si>
    <t>PERILLA INTERRUPTOR / TM3000C - M9800</t>
  </si>
  <si>
    <t>453786-9</t>
  </si>
  <si>
    <t>PIÑON DE ARRANQUE / EA3203S</t>
  </si>
  <si>
    <t>453825-5</t>
  </si>
  <si>
    <t>453847-5</t>
  </si>
  <si>
    <t>453856-4</t>
  </si>
  <si>
    <t>CUBIERTA DE TAPA / MT925</t>
  </si>
  <si>
    <t>453866-1</t>
  </si>
  <si>
    <t>TUBO DE AIRE / HR3210C</t>
  </si>
  <si>
    <t>453974-8</t>
  </si>
  <si>
    <t>453982-9</t>
  </si>
  <si>
    <t>CUBIERTA ASPIRADORA/VARIOS</t>
  </si>
  <si>
    <t>453986-1</t>
  </si>
  <si>
    <t>ADAPTADOR SUPERIOR / VARIOS</t>
  </si>
  <si>
    <t>454022-6</t>
  </si>
  <si>
    <t>BASE / MTR051</t>
  </si>
  <si>
    <t>454025-0</t>
  </si>
  <si>
    <t>CUBIERTA SUPERIOR(NEGRO) / M3600</t>
  </si>
  <si>
    <t>454026-8</t>
  </si>
  <si>
    <t>PLACA BASE / M3600</t>
  </si>
  <si>
    <t>454027-6</t>
  </si>
  <si>
    <t>CUBIERTA DE INTERRUPTOR (NEGRO)  / M3600</t>
  </si>
  <si>
    <t>454032-3</t>
  </si>
  <si>
    <t>454033-1</t>
  </si>
  <si>
    <t>454051-9</t>
  </si>
  <si>
    <t>DEFLECTOR / M1100</t>
  </si>
  <si>
    <t>454070-5</t>
  </si>
  <si>
    <t>CUBIERTA DE VENTILADOR(GRIS) / M4000</t>
  </si>
  <si>
    <t>454076-3</t>
  </si>
  <si>
    <t>454112-5</t>
  </si>
  <si>
    <t>BOTON DE SELECTOR / DHR242</t>
  </si>
  <si>
    <t>454126-4</t>
  </si>
  <si>
    <t>BASE DE LA EMPUÑADURA / VARIOS</t>
  </si>
  <si>
    <t>454190-5</t>
  </si>
  <si>
    <t>TUBO CORRUGADO 160 / PM7650H</t>
  </si>
  <si>
    <t>454204-0</t>
  </si>
  <si>
    <t>CUBIERTA INFERIOR / VARIOS</t>
  </si>
  <si>
    <t>454208-2</t>
  </si>
  <si>
    <t>454209-0</t>
  </si>
  <si>
    <t>PROTECTOR (NEGRO) P/VC3211H</t>
  </si>
  <si>
    <t>454214-7</t>
  </si>
  <si>
    <t>454215-5</t>
  </si>
  <si>
    <t>454270-7</t>
  </si>
  <si>
    <t>BANDA / VARIOS</t>
  </si>
  <si>
    <t>454295-1</t>
  </si>
  <si>
    <t>INTERRUPTOR DE PALANCA / BUR182U</t>
  </si>
  <si>
    <t>454316-9</t>
  </si>
  <si>
    <t>CAJA DE MOTOR / HR4003C - HR4013C</t>
  </si>
  <si>
    <t>454317-7</t>
  </si>
  <si>
    <t>BIELA / HR4013C - HR005G</t>
  </si>
  <si>
    <t>454319-3</t>
  </si>
  <si>
    <t>TAPA CIGUEÑAL / VARIOS</t>
  </si>
  <si>
    <t>454323-2</t>
  </si>
  <si>
    <t>CUBIERTA DE MANGO / HR4013C</t>
  </si>
  <si>
    <t>454326-6</t>
  </si>
  <si>
    <t>454327-4</t>
  </si>
  <si>
    <t>PALANCA INFERIOR/ HR5212C</t>
  </si>
  <si>
    <t>454328-2</t>
  </si>
  <si>
    <t>CUBIERTA TRASERA / HR4003C - HR4013C</t>
  </si>
  <si>
    <t>454330-5</t>
  </si>
  <si>
    <t>454331-3</t>
  </si>
  <si>
    <t>454332-1</t>
  </si>
  <si>
    <t>INTERRUPTOR DE PALANCA A / HR5212C</t>
  </si>
  <si>
    <t>454333-9</t>
  </si>
  <si>
    <t>PALANCA INTERRUPTOR B / HR5202C</t>
  </si>
  <si>
    <t>454336-3</t>
  </si>
  <si>
    <t>PALANCA INTERRUPTOR C / HR5212C; 02C</t>
  </si>
  <si>
    <t>454337-1</t>
  </si>
  <si>
    <t>MANGUITO DE BLOQUEO / VARIOS</t>
  </si>
  <si>
    <t>454338-9</t>
  </si>
  <si>
    <t>GUIA DE ENLACE / VARIOS</t>
  </si>
  <si>
    <t>454339-7</t>
  </si>
  <si>
    <t>PLACA DE CONTROL / HR4013C</t>
  </si>
  <si>
    <t>454340-2</t>
  </si>
  <si>
    <t>PLACA DESLIZANTE / HR4013C</t>
  </si>
  <si>
    <t>454342-8</t>
  </si>
  <si>
    <t>454343-6</t>
  </si>
  <si>
    <t>SOPORTE DE POLVO A / VARIOS</t>
  </si>
  <si>
    <t>454344-4</t>
  </si>
  <si>
    <t>SOPORTE DE POLVO B / HR5212C - HR4013C</t>
  </si>
  <si>
    <t>454345-2</t>
  </si>
  <si>
    <t>PALANCA DE GIRO / VARIOS</t>
  </si>
  <si>
    <t>454346-0</t>
  </si>
  <si>
    <t>454347-8</t>
  </si>
  <si>
    <t>GUIA PLASTICA / VARIOS</t>
  </si>
  <si>
    <t>454348-6</t>
  </si>
  <si>
    <t>GUARDA 40 / HR4013C - HR005G</t>
  </si>
  <si>
    <t>454369-8</t>
  </si>
  <si>
    <t>DEFLECTOR / M0400</t>
  </si>
  <si>
    <t>454375-3</t>
  </si>
  <si>
    <t>PALANCA DE CAMBIO / M0801K</t>
  </si>
  <si>
    <t>454424-6</t>
  </si>
  <si>
    <t>TUBO CORRUGADO / EM4350UH - EM4351UH</t>
  </si>
  <si>
    <t>454425-4</t>
  </si>
  <si>
    <t>TUBO ESPIRAL 6-100 / VARIOS</t>
  </si>
  <si>
    <t>454426-2</t>
  </si>
  <si>
    <t>TUBO ESPIRAL 6-80 / EM4350UH - EM4351UH</t>
  </si>
  <si>
    <t>454462-8</t>
  </si>
  <si>
    <t>TAPA DE TRABADOR / M0920 - M0921</t>
  </si>
  <si>
    <t>454555-1</t>
  </si>
  <si>
    <t>454557-7</t>
  </si>
  <si>
    <t>CUBIERTA DE MANGO / 4100NH3</t>
  </si>
  <si>
    <t>454559-3</t>
  </si>
  <si>
    <t>TANQUE DE COMBUSTIBLE / RBC413 - RBC414U</t>
  </si>
  <si>
    <t>454669-6</t>
  </si>
  <si>
    <t>CAJA DE VENTILADOR / VARIOS</t>
  </si>
  <si>
    <t>454683-2</t>
  </si>
  <si>
    <t>454700-8</t>
  </si>
  <si>
    <t>CUBIERTA DE MANGO / UB1103</t>
  </si>
  <si>
    <t>454702-4</t>
  </si>
  <si>
    <t>CUBIERTA DE VENTILADOR / UB1103</t>
  </si>
  <si>
    <t>454720-2</t>
  </si>
  <si>
    <t>454725-2</t>
  </si>
  <si>
    <t>454726-0</t>
  </si>
  <si>
    <t>SELECTOR 30 / UC4041A</t>
  </si>
  <si>
    <t>454727-8</t>
  </si>
  <si>
    <t>454728-6</t>
  </si>
  <si>
    <t>454729-4</t>
  </si>
  <si>
    <t>TANQUE DE ACEITE / UC4041A</t>
  </si>
  <si>
    <t>454751-1</t>
  </si>
  <si>
    <t>454757-9</t>
  </si>
  <si>
    <t>CAJA MOTOR   / HR5212C; 02C</t>
  </si>
  <si>
    <t>454758-7</t>
  </si>
  <si>
    <t>BASE DE EMPUÑADURA / HR5212C</t>
  </si>
  <si>
    <t>454759-5</t>
  </si>
  <si>
    <t>MANGO A / HR5212C</t>
  </si>
  <si>
    <t>454760-0</t>
  </si>
  <si>
    <t>CUBIERTA DE MANGO / HR5212C; 02C</t>
  </si>
  <si>
    <t>454761-8</t>
  </si>
  <si>
    <t>MANGUITO DESLIZANTE / HR5212C; 02C</t>
  </si>
  <si>
    <t>454762-6</t>
  </si>
  <si>
    <t>CUBIERTA TRASERA / HR5212C; 02C</t>
  </si>
  <si>
    <t>454763-4</t>
  </si>
  <si>
    <t>454764-2</t>
  </si>
  <si>
    <t>TAPA DE MANIVELA  / VARIOS</t>
  </si>
  <si>
    <t>454765-0</t>
  </si>
  <si>
    <t>BIELA / HR5212C; 02C</t>
  </si>
  <si>
    <t>454766-8</t>
  </si>
  <si>
    <t>PALANCA DE ENLACE / HR5212C; 02C</t>
  </si>
  <si>
    <t>454767-6</t>
  </si>
  <si>
    <t>454768-4</t>
  </si>
  <si>
    <t>454769-2</t>
  </si>
  <si>
    <t>454770-7</t>
  </si>
  <si>
    <t>PLACA CONTROL / HR5212C; 02C</t>
  </si>
  <si>
    <t>454771-5</t>
  </si>
  <si>
    <t>PLACA DESLIZANTE / HR5212C; 02C</t>
  </si>
  <si>
    <t>454772-3</t>
  </si>
  <si>
    <t>DEFLECTOR  / HR5212C; 02C</t>
  </si>
  <si>
    <t>454773-1</t>
  </si>
  <si>
    <t>TAPA GUIA AVT 15 / HR5212C</t>
  </si>
  <si>
    <t>454774-9</t>
  </si>
  <si>
    <t>PLACA DE RESORTE / HR5212C - HR006G</t>
  </si>
  <si>
    <t>454777-3</t>
  </si>
  <si>
    <t>BASE A / HR5212C</t>
  </si>
  <si>
    <t>454778-1</t>
  </si>
  <si>
    <t>454779-9</t>
  </si>
  <si>
    <t>ANILLO GUIA  / VARIOS</t>
  </si>
  <si>
    <t>454780-4</t>
  </si>
  <si>
    <t>GUARDA 52 / HR5212C - HR006G</t>
  </si>
  <si>
    <t>454782-0</t>
  </si>
  <si>
    <t>MANGO B / HR5202C</t>
  </si>
  <si>
    <t>454784-6</t>
  </si>
  <si>
    <t>BASE B / HR5202C</t>
  </si>
  <si>
    <t>454819-3</t>
  </si>
  <si>
    <t>CUBIERTA DE LA TUERCA / UC4551A</t>
  </si>
  <si>
    <t>454821-6</t>
  </si>
  <si>
    <t>CAJA DE ENGRANAJE / UC4551A</t>
  </si>
  <si>
    <t>454823-2</t>
  </si>
  <si>
    <t>454826-6</t>
  </si>
  <si>
    <t>TANQUE DE ACEITE / UC4551A</t>
  </si>
  <si>
    <t>454842-8</t>
  </si>
  <si>
    <t>BASE PROTECTORA / RT0700C - DRT50</t>
  </si>
  <si>
    <t>454850-9</t>
  </si>
  <si>
    <t>CUBIERTA TRASERA / DTW285</t>
  </si>
  <si>
    <t>454879-5</t>
  </si>
  <si>
    <t>PALANCA DE BLOQUEO / DUM604 - UM600D</t>
  </si>
  <si>
    <t>454895-7</t>
  </si>
  <si>
    <t>TUBO LARGO 90 / VARIOS</t>
  </si>
  <si>
    <t>454899-9</t>
  </si>
  <si>
    <t>PALANCA DE ACELERADOR / VARIOS</t>
  </si>
  <si>
    <t>454900-0</t>
  </si>
  <si>
    <t>PALANCA DE ACELERADOR B / VARIOS</t>
  </si>
  <si>
    <t>454902-6</t>
  </si>
  <si>
    <t>PALANCA DE CHOQUE / VARIOS</t>
  </si>
  <si>
    <t>454910-7</t>
  </si>
  <si>
    <t>PLACA DE CHOQUE / VARIOS</t>
  </si>
  <si>
    <t>454924-6</t>
  </si>
  <si>
    <t>ENLACE DE ACELERADOR / VARIOS</t>
  </si>
  <si>
    <t>454934-3</t>
  </si>
  <si>
    <t>TUBO FLEXIBLE / VARIOS</t>
  </si>
  <si>
    <t>454937-7</t>
  </si>
  <si>
    <t>BIELA / DBN500</t>
  </si>
  <si>
    <t>454938-5</t>
  </si>
  <si>
    <t>INTERRUPTOR / DBN500</t>
  </si>
  <si>
    <t>454939-3</t>
  </si>
  <si>
    <t>GATILLO / DBN500</t>
  </si>
  <si>
    <t>454940-8</t>
  </si>
  <si>
    <t>MANGUITO / DBN500</t>
  </si>
  <si>
    <t>454942-4</t>
  </si>
  <si>
    <t>SOPORTE DE RIEL / DBN500</t>
  </si>
  <si>
    <t>454943-2</t>
  </si>
  <si>
    <t>CARTUCHO / DBN500</t>
  </si>
  <si>
    <t>454944-0</t>
  </si>
  <si>
    <t>PISTON / DBN500</t>
  </si>
  <si>
    <t>454945-8</t>
  </si>
  <si>
    <t>PALANCA DE BLOQUEO / DBN500</t>
  </si>
  <si>
    <t>454946-6</t>
  </si>
  <si>
    <t>TAPA LED / DBN500</t>
  </si>
  <si>
    <t>454949-0</t>
  </si>
  <si>
    <t>AJUSTADOR / DBN500</t>
  </si>
  <si>
    <t>454952-1</t>
  </si>
  <si>
    <t>SEGURO DE GATILLO / DBN500</t>
  </si>
  <si>
    <t>454973-3</t>
  </si>
  <si>
    <t>CUBIERTA DEL MANGO P/ 5007NB</t>
  </si>
  <si>
    <t>454977-5</t>
  </si>
  <si>
    <t>CAJA MOTOR  / HR2641</t>
  </si>
  <si>
    <t>455011-4</t>
  </si>
  <si>
    <t>455053-8</t>
  </si>
  <si>
    <t>455074-0</t>
  </si>
  <si>
    <t>455103-9</t>
  </si>
  <si>
    <t>CUBIERTA DE CILINDRO / EM4350UH - EM4351UH</t>
  </si>
  <si>
    <t>455157-6</t>
  </si>
  <si>
    <t>BIELA / M8600</t>
  </si>
  <si>
    <t>455158-4</t>
  </si>
  <si>
    <t>PISTON / M8600</t>
  </si>
  <si>
    <t>455159-2</t>
  </si>
  <si>
    <t>CUBIERTA DE BARRIL / M8600</t>
  </si>
  <si>
    <t>455160-7</t>
  </si>
  <si>
    <t>TAPA CAJA DE TRANSMISION / M8600</t>
  </si>
  <si>
    <t>455172-0</t>
  </si>
  <si>
    <t>455181-9</t>
  </si>
  <si>
    <t>BLOQUEO DE EJE / DCO180</t>
  </si>
  <si>
    <t>455182-7</t>
  </si>
  <si>
    <t>DEFLECTOR / DCO180</t>
  </si>
  <si>
    <t>455185-1</t>
  </si>
  <si>
    <t>455189-3</t>
  </si>
  <si>
    <t>455191-6</t>
  </si>
  <si>
    <t>455211-6</t>
  </si>
  <si>
    <t>AISLADOR DE CALOR / VARIOS</t>
  </si>
  <si>
    <t>455213-2</t>
  </si>
  <si>
    <t>CUBIERTA DE ENTRADA / VARIOS</t>
  </si>
  <si>
    <t>455216-6</t>
  </si>
  <si>
    <t>455218-2</t>
  </si>
  <si>
    <t>ASA DE CAJA R / VARIOS</t>
  </si>
  <si>
    <t>455220-5</t>
  </si>
  <si>
    <t>CUBIERTA DE FILTRO DE AIRE</t>
  </si>
  <si>
    <t>455222-1</t>
  </si>
  <si>
    <t>CONTROL DE NIVEL</t>
  </si>
  <si>
    <t>455223-9</t>
  </si>
  <si>
    <t>ACELERADOR DE PALANCA</t>
  </si>
  <si>
    <t>455224-7</t>
  </si>
  <si>
    <t>455225-5</t>
  </si>
  <si>
    <t>SOPORTE DE CEBADOR</t>
  </si>
  <si>
    <t>455226-3</t>
  </si>
  <si>
    <t>ASA FRONTAL</t>
  </si>
  <si>
    <t>455228-9</t>
  </si>
  <si>
    <t>CUBIERTA DE SILENCIADOR</t>
  </si>
  <si>
    <t>455233-6</t>
  </si>
  <si>
    <t>CUBIERTA DE VENTILADOR</t>
  </si>
  <si>
    <t>455234-4</t>
  </si>
  <si>
    <t>CUBIERTA DE DUCTO</t>
  </si>
  <si>
    <t>455241-7</t>
  </si>
  <si>
    <t>ABRAZADERA DE TORNILLO / VARIOS</t>
  </si>
  <si>
    <t>455242-5</t>
  </si>
  <si>
    <t>455245-9</t>
  </si>
  <si>
    <t>455288-1</t>
  </si>
  <si>
    <t>CUBIERTA CONTRA EL POLVO / 9237CB</t>
  </si>
  <si>
    <t>455293-8</t>
  </si>
  <si>
    <t>MANGO REDONDO / 9237CB</t>
  </si>
  <si>
    <t>455301-5</t>
  </si>
  <si>
    <t>DEFLECTOR / M9002 - M9003</t>
  </si>
  <si>
    <t>455304-9</t>
  </si>
  <si>
    <t>455305-7</t>
  </si>
  <si>
    <t>SUJETADOR DE RESORTE A / VARIOS</t>
  </si>
  <si>
    <t>455306-5</t>
  </si>
  <si>
    <t>SUJETADOR DE RESORTE B / VARIOS</t>
  </si>
  <si>
    <t>455307-3</t>
  </si>
  <si>
    <t>TAPA DE CAJA DE EMBRAGUE / EM3450RH</t>
  </si>
  <si>
    <t>455308-1</t>
  </si>
  <si>
    <t>TANQUE DE COMBUSTIBLE / VARIOS</t>
  </si>
  <si>
    <t>455310-4</t>
  </si>
  <si>
    <t>455317-0</t>
  </si>
  <si>
    <t>455329-3</t>
  </si>
  <si>
    <t>EMPUÑADURA 25 /UH353D</t>
  </si>
  <si>
    <t>455343-9</t>
  </si>
  <si>
    <t>DEFLECTOR / M6201 - M6600</t>
  </si>
  <si>
    <t>455351-0</t>
  </si>
  <si>
    <t>ESPACIADOR / GA4541C</t>
  </si>
  <si>
    <t>455354-4</t>
  </si>
  <si>
    <t>455358-6</t>
  </si>
  <si>
    <t>455370-6</t>
  </si>
  <si>
    <t>GUARDA DE TANQUE / EM3400U</t>
  </si>
  <si>
    <t>455371-4</t>
  </si>
  <si>
    <t>CUBIERTA DE CILINDRO / EM3400U</t>
  </si>
  <si>
    <t>455372-2</t>
  </si>
  <si>
    <t>455377-2</t>
  </si>
  <si>
    <t>CUBIERTA DE LA ASPIRADORA DE A / VARIOS</t>
  </si>
  <si>
    <t>455378-0</t>
  </si>
  <si>
    <t>AISLANTE / VARIOS</t>
  </si>
  <si>
    <t>455379-8</t>
  </si>
  <si>
    <t>455385-3</t>
  </si>
  <si>
    <t>CAJA MOTOR  / SG1251</t>
  </si>
  <si>
    <t>455386-1</t>
  </si>
  <si>
    <t>CUBIERTA DE LA CAJA MOTOR  / SG1251</t>
  </si>
  <si>
    <t>455391-8</t>
  </si>
  <si>
    <t>TAPA DE SELECTOR / VARIOS</t>
  </si>
  <si>
    <t>455392-6</t>
  </si>
  <si>
    <t>455393-4</t>
  </si>
  <si>
    <t>455394-2</t>
  </si>
  <si>
    <t>SELECTOR / VARIOS</t>
  </si>
  <si>
    <t>455432-0</t>
  </si>
  <si>
    <t>PLACA OBTURADORA</t>
  </si>
  <si>
    <t>455447-7</t>
  </si>
  <si>
    <t>PERILLA DE INTERRUPTOR / DGA456</t>
  </si>
  <si>
    <t>455449-3</t>
  </si>
  <si>
    <t>455450-8</t>
  </si>
  <si>
    <t>455490-6</t>
  </si>
  <si>
    <t>BIELA / HM1812 - HM1802</t>
  </si>
  <si>
    <t>455491-4</t>
  </si>
  <si>
    <t>TAPA DE ENGRANAJE / HM1812 - HM1802</t>
  </si>
  <si>
    <t>455492-2</t>
  </si>
  <si>
    <t>ESPACIADOR 72 / VARIOS</t>
  </si>
  <si>
    <t>455493-0</t>
  </si>
  <si>
    <t>TAPON / HM1812</t>
  </si>
  <si>
    <t>455494-8</t>
  </si>
  <si>
    <t>CAJA ELECTRONICA / HM1812 - HM1802</t>
  </si>
  <si>
    <t>455495-6</t>
  </si>
  <si>
    <t>CUBIERTA DE LA CAJA / HM1812 - HM1802</t>
  </si>
  <si>
    <t>455496-4</t>
  </si>
  <si>
    <t>CAJA MOTOR  / HM1812 - HM1802</t>
  </si>
  <si>
    <t>455497-2</t>
  </si>
  <si>
    <t>DEFLECTOR / HM1812 - HM1802</t>
  </si>
  <si>
    <t>455498-0</t>
  </si>
  <si>
    <t>CUBIERTA DE PORTA CARBON / HM1812 - HM1802</t>
  </si>
  <si>
    <t>455499-8</t>
  </si>
  <si>
    <t>CUBIERTA LATERAL A / HM1812 - HM1802</t>
  </si>
  <si>
    <t>455500-9</t>
  </si>
  <si>
    <t>CUBIERTA LATERAL B / HM1812 - HM1802</t>
  </si>
  <si>
    <t>455501-7</t>
  </si>
  <si>
    <t>TAPA FRONTAL / HM1812 - HM1802</t>
  </si>
  <si>
    <t>455502-5</t>
  </si>
  <si>
    <t>BASE DE EMPUÑADURA A / HM1812 - HM1802</t>
  </si>
  <si>
    <t>455503-3</t>
  </si>
  <si>
    <t>TAPA CENTRAL / HM1812 - HM1802</t>
  </si>
  <si>
    <t>455504-1</t>
  </si>
  <si>
    <t>455505-9</t>
  </si>
  <si>
    <t>MANGO B / HM1812 - HM1802</t>
  </si>
  <si>
    <t>455506-7</t>
  </si>
  <si>
    <t>MANGO C / HM1812 - HM1802</t>
  </si>
  <si>
    <t>455507-5</t>
  </si>
  <si>
    <t>CUBIERTA DE INTERRUPTOR / HM1812 - HM1802</t>
  </si>
  <si>
    <t>455508-3</t>
  </si>
  <si>
    <t>PALANCA DE INTERRUPTOR / HM1812 - HM1802</t>
  </si>
  <si>
    <t>455509-1</t>
  </si>
  <si>
    <t>PISTON / HM1812 - HM1802</t>
  </si>
  <si>
    <t>455510-6</t>
  </si>
  <si>
    <t>SOPORTE / HM1812 - HM1802</t>
  </si>
  <si>
    <t>455511-4</t>
  </si>
  <si>
    <t>GUIA DE INTERRUPTOR / HM1812 - HM1802</t>
  </si>
  <si>
    <t>455512-2</t>
  </si>
  <si>
    <t>BASE DE EMPUÑADURA B / HM1812 - HM1802</t>
  </si>
  <si>
    <t>455513-0</t>
  </si>
  <si>
    <t>TAPA DE CIGUEÑAL / HM1802</t>
  </si>
  <si>
    <t>455514-8</t>
  </si>
  <si>
    <t>LENTE / HM1812 - HM1802</t>
  </si>
  <si>
    <t>455559-6</t>
  </si>
  <si>
    <t>TAPA DE PESTILLO / EK7651H - EK7651HG</t>
  </si>
  <si>
    <t>455582-1</t>
  </si>
  <si>
    <t>CUBIERTA DE MANGO GRIS / M0400</t>
  </si>
  <si>
    <t>455587-1</t>
  </si>
  <si>
    <t>455591-0</t>
  </si>
  <si>
    <t>CUBIERTA DE REGULACION / VARIOS</t>
  </si>
  <si>
    <t>455604-7</t>
  </si>
  <si>
    <t>CARCASA FRONTAL CON BOQUILLA  / CL183D</t>
  </si>
  <si>
    <t>455626-7</t>
  </si>
  <si>
    <t>455628-3</t>
  </si>
  <si>
    <t>CUBIERTA INTERIOR / DUR365U</t>
  </si>
  <si>
    <t>455629-1</t>
  </si>
  <si>
    <t>PALANCA DE BLOQUEO / DUR365U</t>
  </si>
  <si>
    <t>455723-9</t>
  </si>
  <si>
    <t>455726-3</t>
  </si>
  <si>
    <t>455728-9</t>
  </si>
  <si>
    <t>GANCHO TAPA DE LA BATERIA / VARIOS</t>
  </si>
  <si>
    <t>455729-7</t>
  </si>
  <si>
    <t>455730-2</t>
  </si>
  <si>
    <t>455733-6</t>
  </si>
  <si>
    <t>455734-4</t>
  </si>
  <si>
    <t>455743-3</t>
  </si>
  <si>
    <t>PALANCA DE INTERRUPTOR / CL106FD - CL183D</t>
  </si>
  <si>
    <t>455765-3</t>
  </si>
  <si>
    <t>TAPA INTERRUPTOR / VARIOS</t>
  </si>
  <si>
    <t>455766-1</t>
  </si>
  <si>
    <t>455767-9</t>
  </si>
  <si>
    <t>455771-8</t>
  </si>
  <si>
    <t>PROTECTOR E / VARIOS</t>
  </si>
  <si>
    <t>455773-4</t>
  </si>
  <si>
    <t>PROTECTOR G / VARIOS</t>
  </si>
  <si>
    <t>455784-9</t>
  </si>
  <si>
    <t>FILTRO DE TANQUE / VARIOS</t>
  </si>
  <si>
    <t>455815-4</t>
  </si>
  <si>
    <t>PROTECTOR / DUR365U</t>
  </si>
  <si>
    <t>455816-2</t>
  </si>
  <si>
    <t>PALANCA DE INTERRUPTOR / DUR365U</t>
  </si>
  <si>
    <t>455878-0</t>
  </si>
  <si>
    <t>CAJA MOTOR GRIS / M0901</t>
  </si>
  <si>
    <t>455907-9</t>
  </si>
  <si>
    <t>CAJA MOTOR  / DUB362</t>
  </si>
  <si>
    <t>455908-7</t>
  </si>
  <si>
    <t>TAPA CAJA MOTOR  / DUB362</t>
  </si>
  <si>
    <t>455909-5</t>
  </si>
  <si>
    <t>TAPA / DUB362</t>
  </si>
  <si>
    <t>455914-2</t>
  </si>
  <si>
    <t>BOQUILLA DELANTERA / DUB362</t>
  </si>
  <si>
    <t>455919-2</t>
  </si>
  <si>
    <t>455923-1</t>
  </si>
  <si>
    <t>455934-6</t>
  </si>
  <si>
    <t>CAJA DE CONECTOR / EM4350RH</t>
  </si>
  <si>
    <t>455935-4</t>
  </si>
  <si>
    <t>TANQUE CPL / PM7650</t>
  </si>
  <si>
    <t>455936-2</t>
  </si>
  <si>
    <t>TAPA DE LA CORREA / EK7651H</t>
  </si>
  <si>
    <t>455958-2</t>
  </si>
  <si>
    <t>455959-0</t>
  </si>
  <si>
    <t>LENTE / DC10SB - DC10WD</t>
  </si>
  <si>
    <t>455974-4</t>
  </si>
  <si>
    <t>455975-2</t>
  </si>
  <si>
    <t>CUBIERTA DE MANGO () / M8700 - M8701</t>
  </si>
  <si>
    <t>455996-4</t>
  </si>
  <si>
    <t>CUBIERTA DE MANGO / M9400</t>
  </si>
  <si>
    <t>456014-1</t>
  </si>
  <si>
    <t>CAJA MOTOR ( ) / M9201</t>
  </si>
  <si>
    <t>456016-7</t>
  </si>
  <si>
    <t>CAJA MOTOR  / M9200</t>
  </si>
  <si>
    <t>456039-5</t>
  </si>
  <si>
    <t>456044-2</t>
  </si>
  <si>
    <t>CUBIERTA TRASERA / DTD152</t>
  </si>
  <si>
    <t>456048-4</t>
  </si>
  <si>
    <t>CUBIERTA DE CARGADOR / DC10SB - DC10WD</t>
  </si>
  <si>
    <t>456049-2</t>
  </si>
  <si>
    <t>456059-9</t>
  </si>
  <si>
    <t>EMPUÑADURA / CA5000</t>
  </si>
  <si>
    <t>456060-4</t>
  </si>
  <si>
    <t>ESPACIADOR / CA5000</t>
  </si>
  <si>
    <t>456061-2</t>
  </si>
  <si>
    <t>CUBIERTA DE PROTECTOR DE DISCO / CA5000</t>
  </si>
  <si>
    <t>456062-0</t>
  </si>
  <si>
    <t>CUBIERTA / CA5000</t>
  </si>
  <si>
    <t>456099-7</t>
  </si>
  <si>
    <t>CUBIERTA TRASERA / DHP482 - DDF482</t>
  </si>
  <si>
    <t>456110-5</t>
  </si>
  <si>
    <t>GUIA DE PROFUNDIDAD / CA5000</t>
  </si>
  <si>
    <t>456116-3</t>
  </si>
  <si>
    <t>DEFLECTOR / BO6050</t>
  </si>
  <si>
    <t>456117-1</t>
  </si>
  <si>
    <t>CUBIERTA SUPERIOR / BO6050</t>
  </si>
  <si>
    <t>456120-2</t>
  </si>
  <si>
    <t>CAJA MOTOR  / BO6050</t>
  </si>
  <si>
    <t>456121-0</t>
  </si>
  <si>
    <t>CUBIERTA TRASERA NEGRO / BO6050</t>
  </si>
  <si>
    <t>456122-8</t>
  </si>
  <si>
    <t>PALANCA DE INTERRUPTOR / BO6050</t>
  </si>
  <si>
    <t>456123-6</t>
  </si>
  <si>
    <t>PALANCA TRASERA DE INTERRUPTOR / BO6050</t>
  </si>
  <si>
    <t>456124-4</t>
  </si>
  <si>
    <t>CUBIERTA DE BOBINA / BO6050</t>
  </si>
  <si>
    <t>456126-0</t>
  </si>
  <si>
    <t>BOTON DE CAMBIO / BO6050</t>
  </si>
  <si>
    <t>456136-7</t>
  </si>
  <si>
    <t>PROTECCION PARA LA MANO / EA4301F</t>
  </si>
  <si>
    <t>456137-5</t>
  </si>
  <si>
    <t>PLACA DE GUIA DE AIRE / EA4301F</t>
  </si>
  <si>
    <t>456138-3</t>
  </si>
  <si>
    <t>456139-1</t>
  </si>
  <si>
    <t>456169-2</t>
  </si>
  <si>
    <t>CARBURADOR INFERIOR / EA4301F</t>
  </si>
  <si>
    <t>456176-5</t>
  </si>
  <si>
    <t>PALANCA DE BLOQUEO / DJR187 - DJR360</t>
  </si>
  <si>
    <t>456177-3</t>
  </si>
  <si>
    <t>BOTON DE CAMBIO / VARIOS</t>
  </si>
  <si>
    <t>456178-1</t>
  </si>
  <si>
    <t>PLACA MALLA / VARIOS</t>
  </si>
  <si>
    <t>456179-9</t>
  </si>
  <si>
    <t>CAJA MOTOR  / DJR187 - DJR360</t>
  </si>
  <si>
    <t>456184-6</t>
  </si>
  <si>
    <t>ENTUBADO 10-550 / PM7650H</t>
  </si>
  <si>
    <t>456206-2</t>
  </si>
  <si>
    <t>CAJA MOTOR  / DJR186</t>
  </si>
  <si>
    <t>456207-0</t>
  </si>
  <si>
    <t>PLACA MALLA / DJR186</t>
  </si>
  <si>
    <t>456208-8</t>
  </si>
  <si>
    <t>BOTON DE APAGADO / VARIOS</t>
  </si>
  <si>
    <t>456209-6</t>
  </si>
  <si>
    <t>CARCASA SUPERIOR  / DUP361 - DUP362</t>
  </si>
  <si>
    <t>456211-9</t>
  </si>
  <si>
    <t>CARCASA INFERIOR  / DUP361 - DUP362</t>
  </si>
  <si>
    <t>456217-7</t>
  </si>
  <si>
    <t>CUBIERTA DE TUERCA CIRCULAR A / DUP361 - DUP362</t>
  </si>
  <si>
    <t>456218-5</t>
  </si>
  <si>
    <t>CUBIERTA DE TUERCA CIRCULAR B / DUP361 - DUP362</t>
  </si>
  <si>
    <t>456238-9</t>
  </si>
  <si>
    <t>DIFUSOR / VARIOS</t>
  </si>
  <si>
    <t>456239-7</t>
  </si>
  <si>
    <t>456240-2</t>
  </si>
  <si>
    <t>456247-8</t>
  </si>
  <si>
    <t>TAPA DE EJE / VARIOS</t>
  </si>
  <si>
    <t>456252-5</t>
  </si>
  <si>
    <t>PROTECTOR DE CUCHILLA / HS301D</t>
  </si>
  <si>
    <t>456268-0</t>
  </si>
  <si>
    <t>PALANCA DE CAMBIO  / VARIOS</t>
  </si>
  <si>
    <t>456337-7</t>
  </si>
  <si>
    <t>456351-3</t>
  </si>
  <si>
    <t>CAJA PALANCA DE INTERRUPTOR / VARIOS</t>
  </si>
  <si>
    <t>456352-1</t>
  </si>
  <si>
    <t>TAPA DE CAJA DE INTERRUPTOR / VARIOS</t>
  </si>
  <si>
    <t>456380-6</t>
  </si>
  <si>
    <t>CAJA MOTOR  / GA4530R</t>
  </si>
  <si>
    <t>456386-4</t>
  </si>
  <si>
    <t>CUBIERTA SUPERIOR / BAP182</t>
  </si>
  <si>
    <t>456387-2</t>
  </si>
  <si>
    <t>CAJA EXTERIOR A INFERIOR / BAP182</t>
  </si>
  <si>
    <t>456389-8</t>
  </si>
  <si>
    <t>CAJA EXTERIOR A SUPERIOR / BAP182</t>
  </si>
  <si>
    <t>456390-3</t>
  </si>
  <si>
    <t>CAJA EXTERIOR B INFERIOR / BAP182</t>
  </si>
  <si>
    <t>456392-9</t>
  </si>
  <si>
    <t>SOPORTE INTERIOR / BAP182</t>
  </si>
  <si>
    <t>456398-7</t>
  </si>
  <si>
    <t>CAJA DELANTERA / VARIOS</t>
  </si>
  <si>
    <t>456399-5</t>
  </si>
  <si>
    <t>CAJA FILTRO AIRE/VARIOS</t>
  </si>
  <si>
    <t>456400-6</t>
  </si>
  <si>
    <t>SUJETADOR DE CABLE / VARIOS</t>
  </si>
  <si>
    <t>456401-4</t>
  </si>
  <si>
    <t>TAPA DE CARBURADOR / VARIOS</t>
  </si>
  <si>
    <t>456528-0</t>
  </si>
  <si>
    <t>CUBIERTA DE CAMBIO / M8701</t>
  </si>
  <si>
    <t>456529-8</t>
  </si>
  <si>
    <t>CUBIERTA DE ENCASTRE / M8700 - M8701</t>
  </si>
  <si>
    <t>456532-9</t>
  </si>
  <si>
    <t>456563-8</t>
  </si>
  <si>
    <t>CAJA MOTOR  / M9204</t>
  </si>
  <si>
    <t>456564-6</t>
  </si>
  <si>
    <t>CUBIERTA SUPERIOR / M9204</t>
  </si>
  <si>
    <t>456620-2</t>
  </si>
  <si>
    <t>CAJA TRASERA DE VENTILADOR / EB7660TH</t>
  </si>
  <si>
    <t>456623-6</t>
  </si>
  <si>
    <t>BASE / DSD180 - SD100D</t>
  </si>
  <si>
    <t>456625-2</t>
  </si>
  <si>
    <t>BOTON DE DESBLOQUEO / DSD180</t>
  </si>
  <si>
    <t>456675-7</t>
  </si>
  <si>
    <t>MANGO REDONDO 24 / VARIOS</t>
  </si>
  <si>
    <t>456705-4</t>
  </si>
  <si>
    <t>CUBIERTA DE MANGO () / M1902</t>
  </si>
  <si>
    <t>456707-0</t>
  </si>
  <si>
    <t>DEFLECTOR  / M1902</t>
  </si>
  <si>
    <t>456708-8</t>
  </si>
  <si>
    <t>PROTECTOR DE VIRUTAS (NEGRO) / M1902</t>
  </si>
  <si>
    <t>456710-1</t>
  </si>
  <si>
    <t>CUBIERTA DE LA CAJA PERCUTORA / DTD170</t>
  </si>
  <si>
    <t>456711-9</t>
  </si>
  <si>
    <t>CUBIERTA TRASERA  / DTD170</t>
  </si>
  <si>
    <t>456736-3</t>
  </si>
  <si>
    <t>BASE DE VENTILADOR / VARIOS</t>
  </si>
  <si>
    <t>456739-7</t>
  </si>
  <si>
    <t>CUBIERTA DE LA CAJA PARA POLVO / VARIOS</t>
  </si>
  <si>
    <t>456791-5</t>
  </si>
  <si>
    <t>PERILLA DE INTERRUPTOR / TM30D</t>
  </si>
  <si>
    <t>456802-6</t>
  </si>
  <si>
    <t>CAJA MOTOR  / PO5000C - PO6000C</t>
  </si>
  <si>
    <t>456805-0</t>
  </si>
  <si>
    <t>TAPA FRONTAL / VARIOS</t>
  </si>
  <si>
    <t>456806-8</t>
  </si>
  <si>
    <t>456807-6</t>
  </si>
  <si>
    <t>456809-2</t>
  </si>
  <si>
    <t>456823-8</t>
  </si>
  <si>
    <t>MANGUERA R/VARIOS</t>
  </si>
  <si>
    <t>456833-5</t>
  </si>
  <si>
    <t>CUBIERTA DE INTERRUPTOR / HW1300 - HW1200</t>
  </si>
  <si>
    <t>456835-1</t>
  </si>
  <si>
    <t>456836-9</t>
  </si>
  <si>
    <t>TAPA DE RUEDA / HW1300 - HW1200</t>
  </si>
  <si>
    <t>456837-7</t>
  </si>
  <si>
    <t>SELECTOR DE INTERRUPTOR 50 / VARIOS</t>
  </si>
  <si>
    <t>456838-5</t>
  </si>
  <si>
    <t>CAJA TRASERA/VARIOS</t>
  </si>
  <si>
    <t>456840-8</t>
  </si>
  <si>
    <t>456841-6</t>
  </si>
  <si>
    <t>456842-4</t>
  </si>
  <si>
    <t>EMPUÑADURA TRASERA / HW1300</t>
  </si>
  <si>
    <t>456843-2</t>
  </si>
  <si>
    <t>EMPUÑADURA TRASERA / HW1200</t>
  </si>
  <si>
    <t>456844-0</t>
  </si>
  <si>
    <t>CUBIERTA FRONTAL / HW1300</t>
  </si>
  <si>
    <t>456849-0</t>
  </si>
  <si>
    <t>CAJA SUPERIOR / BTC04</t>
  </si>
  <si>
    <t>456851-3</t>
  </si>
  <si>
    <t>TAPA DE BATERIA / BTC04</t>
  </si>
  <si>
    <t>456853-9</t>
  </si>
  <si>
    <t>TAPA MICRO USB / BTC04</t>
  </si>
  <si>
    <t>456854-7</t>
  </si>
  <si>
    <t>TAPA DE CONECTOR DE TARJETA / BTC04</t>
  </si>
  <si>
    <t>456856-3</t>
  </si>
  <si>
    <t>CUBIERTA DE PANTALLA / BTC04</t>
  </si>
  <si>
    <t>456857-1</t>
  </si>
  <si>
    <t>INTERRUPTOR / BTC04</t>
  </si>
  <si>
    <t>456858-9</t>
  </si>
  <si>
    <t>BOTON DE AVANCE / BTC04</t>
  </si>
  <si>
    <t>456859-7</t>
  </si>
  <si>
    <t>BOTON DE RETROCESO / BTC04</t>
  </si>
  <si>
    <t>456882-2</t>
  </si>
  <si>
    <t>CUBIERTA DE MANGO (GRIS) / M1902</t>
  </si>
  <si>
    <t>456895-3</t>
  </si>
  <si>
    <t>TUBO CORRUGADO / EB7660YH</t>
  </si>
  <si>
    <t>456897-9</t>
  </si>
  <si>
    <t>MANGUERA L/VARIOS</t>
  </si>
  <si>
    <t>456907-2</t>
  </si>
  <si>
    <t>MARCO DE CORTE / DLS600</t>
  </si>
  <si>
    <t>456908-0</t>
  </si>
  <si>
    <t>DEFLECTOR / DLS600</t>
  </si>
  <si>
    <t>456910-3</t>
  </si>
  <si>
    <t>CAJA MOTOR  / DLS600</t>
  </si>
  <si>
    <t>456953-5</t>
  </si>
  <si>
    <t>CUBIERTA FRONTAL/VARIOS</t>
  </si>
  <si>
    <t>456963-2</t>
  </si>
  <si>
    <t>CUBIERTA DE FAJA (NEGRO) / M1902</t>
  </si>
  <si>
    <t>456967-4</t>
  </si>
  <si>
    <t>CUBIERTA TRASERA / DHP484 - DDF484</t>
  </si>
  <si>
    <t>456993-3</t>
  </si>
  <si>
    <t>PLACA FILTRO DE AIRE / EB5300TH</t>
  </si>
  <si>
    <t>456994-1</t>
  </si>
  <si>
    <t>GUIA DE SOPLADO / EB5300TH</t>
  </si>
  <si>
    <t>456995-9</t>
  </si>
  <si>
    <t>PALANCA DE AHOGADOR / EB5300TH</t>
  </si>
  <si>
    <t>456997-5</t>
  </si>
  <si>
    <t>AISLANTE / EB5300TH</t>
  </si>
  <si>
    <t>456998-3</t>
  </si>
  <si>
    <t>VALVULA DE CONGELACION / EB5300TH</t>
  </si>
  <si>
    <t>456999-1</t>
  </si>
  <si>
    <t>TUBO DE ACEITE / EB5300TH</t>
  </si>
  <si>
    <t>457000-5</t>
  </si>
  <si>
    <t>CUBIERTA DE RUEDA DENTADA / DUC400</t>
  </si>
  <si>
    <t>457004-7</t>
  </si>
  <si>
    <t>CUBIERTA DE LA CAJA MOTOR  / DUC400</t>
  </si>
  <si>
    <t>457006-3</t>
  </si>
  <si>
    <t>PALANCA INTERRUPTOR / DUC400</t>
  </si>
  <si>
    <t>457007-1</t>
  </si>
  <si>
    <t>MANGO DELANTERO / DUC400</t>
  </si>
  <si>
    <t>457010-2</t>
  </si>
  <si>
    <t>CUBIERTA DE ALOJAMIENTO L / DUC400</t>
  </si>
  <si>
    <t>457013-6</t>
  </si>
  <si>
    <t>PALANCA DE SEGURO / DUC400</t>
  </si>
  <si>
    <t>457020-9</t>
  </si>
  <si>
    <t>DESLIZADOR /VARIOS</t>
  </si>
  <si>
    <t>457022-5</t>
  </si>
  <si>
    <t>PROTECTOR MANO /AS3835-DUC353</t>
  </si>
  <si>
    <t>457060-7</t>
  </si>
  <si>
    <t>TUBO CORRUGADO / EB7660TH</t>
  </si>
  <si>
    <t>457062-3</t>
  </si>
  <si>
    <t>CUBIERTA DE LA CAJA DE TRANSMISION / TD111D</t>
  </si>
  <si>
    <t>457069-9</t>
  </si>
  <si>
    <t>CUBIERTA TRASERA / DTD154</t>
  </si>
  <si>
    <t>457074-6</t>
  </si>
  <si>
    <t>TAPA DE BATERIA / BPS01</t>
  </si>
  <si>
    <t>457076-2</t>
  </si>
  <si>
    <t>CUBIERTA DE TERMINAL / BPS01</t>
  </si>
  <si>
    <t>457077-0</t>
  </si>
  <si>
    <t>ESPACIADOR / BPS01</t>
  </si>
  <si>
    <t>457078-8</t>
  </si>
  <si>
    <t>PLACA DE INTERRUPTOR / BPS01</t>
  </si>
  <si>
    <t>457079-6</t>
  </si>
  <si>
    <t>TAPA MICRO USB / BPS01</t>
  </si>
  <si>
    <t>457086-9</t>
  </si>
  <si>
    <t>TANQUE DE COMBUSTIBLE / EB5300TH</t>
  </si>
  <si>
    <t>457088-5</t>
  </si>
  <si>
    <t>CUBIERTA DE ASPIRADORA DE AIRE / EB5300TH</t>
  </si>
  <si>
    <t>457097-4</t>
  </si>
  <si>
    <t>MARCO / EB5300TH</t>
  </si>
  <si>
    <t>457098-2</t>
  </si>
  <si>
    <t>CAJA ESPIRAL DELANTERA / EB5300TH</t>
  </si>
  <si>
    <t>457099-0</t>
  </si>
  <si>
    <t>CAJA DE VENTILADOR TRASERA / EB5300TH</t>
  </si>
  <si>
    <t>457105-1</t>
  </si>
  <si>
    <t>457108-5</t>
  </si>
  <si>
    <t>CUBIERTA DE TERMINAL / VARIOS</t>
  </si>
  <si>
    <t>457122-1</t>
  </si>
  <si>
    <t>GUIA DE RODAMIENTO / M9510 -M9507</t>
  </si>
  <si>
    <t>457123-9</t>
  </si>
  <si>
    <t>CUBIERTA TRASERA / M9510 -M9507</t>
  </si>
  <si>
    <t>457124-7</t>
  </si>
  <si>
    <t>CAJA MOTOR  / M9507</t>
  </si>
  <si>
    <t>457129-7</t>
  </si>
  <si>
    <t>PALANCA INTERRUPTOR / M9507</t>
  </si>
  <si>
    <t>457130-2</t>
  </si>
  <si>
    <t>DEFLECTOR / M9507</t>
  </si>
  <si>
    <t>457131-0</t>
  </si>
  <si>
    <t>CAJA MOTOR  / M9510</t>
  </si>
  <si>
    <t>457136-0</t>
  </si>
  <si>
    <t>PALANCA DE INTERRUPTOR / M9510</t>
  </si>
  <si>
    <t>457137-8</t>
  </si>
  <si>
    <t>DEFLECTOR / M9510</t>
  </si>
  <si>
    <t>457192-0</t>
  </si>
  <si>
    <t>BOTON DE DESBLOQUEO / SD100D</t>
  </si>
  <si>
    <t>457214-6</t>
  </si>
  <si>
    <t>457271-4</t>
  </si>
  <si>
    <t>PROTECTOR U 45 / VARIOS</t>
  </si>
  <si>
    <t>457273-0</t>
  </si>
  <si>
    <t>PROTECTOR N 420-450 / VARIOS</t>
  </si>
  <si>
    <t>457274-8</t>
  </si>
  <si>
    <t>TAPA DE CABEZAL/UR101</t>
  </si>
  <si>
    <t>457281-1</t>
  </si>
  <si>
    <t>CARCASA FRONTAL / CL106FD</t>
  </si>
  <si>
    <t>457290-0</t>
  </si>
  <si>
    <t>TUBO / EM403MP</t>
  </si>
  <si>
    <t>457317-6</t>
  </si>
  <si>
    <t>457318-4</t>
  </si>
  <si>
    <t>PALANCA 126 /VARIOS</t>
  </si>
  <si>
    <t>457324-9</t>
  </si>
  <si>
    <t>PROTECTOR / DUR187L</t>
  </si>
  <si>
    <t>457378-6</t>
  </si>
  <si>
    <t>AJUSTADOR / DPT353 - PT354DD</t>
  </si>
  <si>
    <t>457379-4</t>
  </si>
  <si>
    <t>CARTUCHO DE CLAVOS / VARIOS</t>
  </si>
  <si>
    <t>457380-9</t>
  </si>
  <si>
    <t>RIEL SUPERIOR / DPT353</t>
  </si>
  <si>
    <t>457381-7</t>
  </si>
  <si>
    <t>TAPA DE PUERTA CORREDIZA / DPT353</t>
  </si>
  <si>
    <t>457382-5</t>
  </si>
  <si>
    <t>SUJETADOR DE GUIA DE CLAVOS / DPT353</t>
  </si>
  <si>
    <t>457383-3</t>
  </si>
  <si>
    <t>PASADOR CON REBAJE 5-6 / DPT353</t>
  </si>
  <si>
    <t>457384-1</t>
  </si>
  <si>
    <t>CUBIERTA FRONTAL / DPT353</t>
  </si>
  <si>
    <t>457385-9</t>
  </si>
  <si>
    <t>CUBIERTA DE LA CARCASA R  / DFN350 - DPT353</t>
  </si>
  <si>
    <t>457386-7</t>
  </si>
  <si>
    <t>GATILLO / DFN350</t>
  </si>
  <si>
    <t>457387-5</t>
  </si>
  <si>
    <t>CUBIERTA DE RESORTE / DPT353</t>
  </si>
  <si>
    <t>457388-3</t>
  </si>
  <si>
    <t>PALANCA / DFN350 - DPT353</t>
  </si>
  <si>
    <t>457389-1</t>
  </si>
  <si>
    <t>SUJETADOR DE RESORTE / DPT353</t>
  </si>
  <si>
    <t>457390-6</t>
  </si>
  <si>
    <t>SUJETADOR DE RIEL DENTADO / DFN350</t>
  </si>
  <si>
    <t>457430-0</t>
  </si>
  <si>
    <t>DEFLECTOR / DRS780</t>
  </si>
  <si>
    <t>457431-8</t>
  </si>
  <si>
    <t>BOTON DE TRABA / DRS780</t>
  </si>
  <si>
    <t>457432-6</t>
  </si>
  <si>
    <t>PALANCA DE INTERRUPTOR / DRS780 - DKP181</t>
  </si>
  <si>
    <t>457433-4</t>
  </si>
  <si>
    <t>EMPUÑADURA / DRS780</t>
  </si>
  <si>
    <t>457434-2</t>
  </si>
  <si>
    <t>ESPACIADOR / DRS780</t>
  </si>
  <si>
    <t>457458-8</t>
  </si>
  <si>
    <t>457486-3</t>
  </si>
  <si>
    <t>BASE DE VENTILADOR / DVC864L</t>
  </si>
  <si>
    <t>457499-4</t>
  </si>
  <si>
    <t>PROTECTOR MOVIL B / LS1019 - DLS111</t>
  </si>
  <si>
    <t>457534-8</t>
  </si>
  <si>
    <t>PLACA DESLIZANTE / DUM604 - UM600D</t>
  </si>
  <si>
    <t>457609-3</t>
  </si>
  <si>
    <t>SOPORTE DE CONTROLADOR / DVC864L</t>
  </si>
  <si>
    <t>457615-8</t>
  </si>
  <si>
    <t>CAJA MOTOR  / DGA700 - DGA900</t>
  </si>
  <si>
    <t>457618-2</t>
  </si>
  <si>
    <t>DEFLECTOR / DGA700 - DGA900</t>
  </si>
  <si>
    <t>457619-0</t>
  </si>
  <si>
    <t>GOMA ANTIVIBRACION / DGA700 - DGA900</t>
  </si>
  <si>
    <t>457620-5</t>
  </si>
  <si>
    <t>CUBIERTA CONTRA POLVO / DGA700 - DGA900</t>
  </si>
  <si>
    <t>457621-3</t>
  </si>
  <si>
    <t>LENTE / DGA700 - DGA900</t>
  </si>
  <si>
    <t>457628-9</t>
  </si>
  <si>
    <t>CUBIERTA FRONTAL / DCU180</t>
  </si>
  <si>
    <t>457629-7</t>
  </si>
  <si>
    <t>SUJETADOR TERMINAL / DCU180</t>
  </si>
  <si>
    <t>457630-2</t>
  </si>
  <si>
    <t>CUBIERTA / DCU180</t>
  </si>
  <si>
    <t>457633-6</t>
  </si>
  <si>
    <t>PALANCA DE INTERRUPTOR / DCU180</t>
  </si>
  <si>
    <t>457634-4</t>
  </si>
  <si>
    <t>LENTE / DCU180</t>
  </si>
  <si>
    <t>457635-2</t>
  </si>
  <si>
    <t>457636-0</t>
  </si>
  <si>
    <t>REFLECTOR / DCU180</t>
  </si>
  <si>
    <t>457652-2</t>
  </si>
  <si>
    <t>CUBIERTA TRASERA / LS1219L - LS1019</t>
  </si>
  <si>
    <t>457653-0</t>
  </si>
  <si>
    <t>CUBIERTA DE BRAZO / LS1019 - DLS111</t>
  </si>
  <si>
    <t>457654-8</t>
  </si>
  <si>
    <t>SOPORTE DE GUIA DE POLVO / VARIOS</t>
  </si>
  <si>
    <t>457655-6</t>
  </si>
  <si>
    <t>457656-4</t>
  </si>
  <si>
    <t>457657-2</t>
  </si>
  <si>
    <t>457659-8</t>
  </si>
  <si>
    <t>PROTECTOR DE CABLE / LS1019 - DLS111</t>
  </si>
  <si>
    <t>457660-3</t>
  </si>
  <si>
    <t>CUBIERTA DE LASER / DLS111</t>
  </si>
  <si>
    <t>457661-1</t>
  </si>
  <si>
    <t>TAPA DE PROTECTOR / LS1019</t>
  </si>
  <si>
    <t>457662-9</t>
  </si>
  <si>
    <t>CUBIERTA / LS1019</t>
  </si>
  <si>
    <t>457664-5</t>
  </si>
  <si>
    <t>457665-3</t>
  </si>
  <si>
    <t>MANGUITO / LS1019 - DLS111</t>
  </si>
  <si>
    <t>457666-1</t>
  </si>
  <si>
    <t>MANGUITO 20 / VARIOS</t>
  </si>
  <si>
    <t>457667-9</t>
  </si>
  <si>
    <t>PLACA DE LOGO / LS1019 - DLS111</t>
  </si>
  <si>
    <t>457668-7</t>
  </si>
  <si>
    <t>457669-5</t>
  </si>
  <si>
    <t>BOQUILLA DE POLVO / LS1019</t>
  </si>
  <si>
    <t>457672-6</t>
  </si>
  <si>
    <t>457673-4</t>
  </si>
  <si>
    <t>457690-4</t>
  </si>
  <si>
    <t>TAPA DE CAJA / DC18RE</t>
  </si>
  <si>
    <t>457691-2</t>
  </si>
  <si>
    <t>BASE DE TERMINAL / DC18RE</t>
  </si>
  <si>
    <t>457692-0</t>
  </si>
  <si>
    <t>CUBIERTA DE TERMINAL / DC18RE</t>
  </si>
  <si>
    <t>457702-3</t>
  </si>
  <si>
    <t>PUNTERO / VARIOS</t>
  </si>
  <si>
    <t>457703-1</t>
  </si>
  <si>
    <t>CODO / LS1019 - LS1019L</t>
  </si>
  <si>
    <t>457704-9</t>
  </si>
  <si>
    <t>457709-9</t>
  </si>
  <si>
    <t>457748-9</t>
  </si>
  <si>
    <t>PALANCA DE INTERRUPTOR / DSP600 - DSP601</t>
  </si>
  <si>
    <t>457749-7</t>
  </si>
  <si>
    <t>PLACA DE BLOQUEO / DSP600 - DSP601</t>
  </si>
  <si>
    <t>457750-2</t>
  </si>
  <si>
    <t>CAJA MOTOR  / DSP600 - DSP601</t>
  </si>
  <si>
    <t>457751-0</t>
  </si>
  <si>
    <t>DEFLECTOR / DSP600 - DSP601</t>
  </si>
  <si>
    <t>457752-8</t>
  </si>
  <si>
    <t>BOQUILLA DE POLVO / DSP601</t>
  </si>
  <si>
    <t>457764-1</t>
  </si>
  <si>
    <t>PLACA DE GUIA CONTRA POLVO / VARIOS</t>
  </si>
  <si>
    <t>457773-0</t>
  </si>
  <si>
    <t>457784-5</t>
  </si>
  <si>
    <t>CAJA MOTOR A  / HR140D</t>
  </si>
  <si>
    <t>457785-3</t>
  </si>
  <si>
    <t>CAJA MOTOR B  / HR140D</t>
  </si>
  <si>
    <t>457786-1</t>
  </si>
  <si>
    <t>PALANCA DE CAMBIO F-R / HR140D</t>
  </si>
  <si>
    <t>457794-2</t>
  </si>
  <si>
    <t>EXTENSION DE CORTADOR / VARIOS</t>
  </si>
  <si>
    <t>457809-5</t>
  </si>
  <si>
    <t>GUARDA DE INTERRUPTOR / DPT353 - PT354D</t>
  </si>
  <si>
    <t>457857-4</t>
  </si>
  <si>
    <t>PALANCA DE INTERRUPTOR / DVC750L</t>
  </si>
  <si>
    <t>457866-3</t>
  </si>
  <si>
    <t>GUIA DE RETEN / VARIOS</t>
  </si>
  <si>
    <t>457870-2</t>
  </si>
  <si>
    <t>PUNTERO L / VARIOS</t>
  </si>
  <si>
    <t>457871-0</t>
  </si>
  <si>
    <t>PUNTERO R / VARIOS</t>
  </si>
  <si>
    <t>457873-6</t>
  </si>
  <si>
    <t>CUBIERTA DE VENTILADOR / VARIOS</t>
  </si>
  <si>
    <t>457875-2</t>
  </si>
  <si>
    <t>457876-0</t>
  </si>
  <si>
    <t>TAPA DE MOTOR / VARIOS</t>
  </si>
  <si>
    <t>457906-7</t>
  </si>
  <si>
    <t>457933-4</t>
  </si>
  <si>
    <t>457934-2</t>
  </si>
  <si>
    <t>457935-0</t>
  </si>
  <si>
    <t>457937-6</t>
  </si>
  <si>
    <t>MANGO REDONDO 24 / DUR192L</t>
  </si>
  <si>
    <t>457963-5</t>
  </si>
  <si>
    <t>SELECTOR 22 / VARIOS</t>
  </si>
  <si>
    <t>457964-3</t>
  </si>
  <si>
    <t>DEFLECTOR / VR1000</t>
  </si>
  <si>
    <t>457972-4</t>
  </si>
  <si>
    <t>SOPORTE DE MOTOR / DA333D</t>
  </si>
  <si>
    <t>457973-2</t>
  </si>
  <si>
    <t>PALANCA DE INTERRUPTOR / DA333D</t>
  </si>
  <si>
    <t>458032-5</t>
  </si>
  <si>
    <t>CUBIERTA DE MANGO / HS7010</t>
  </si>
  <si>
    <t>458033-3</t>
  </si>
  <si>
    <t>DEFLECTOR / HS7010</t>
  </si>
  <si>
    <t>458038-3</t>
  </si>
  <si>
    <t>SUJETADOR / DSP601</t>
  </si>
  <si>
    <t>458047-2</t>
  </si>
  <si>
    <t>CUBIERTA DE LA FAJA / M1100</t>
  </si>
  <si>
    <t>458051-1</t>
  </si>
  <si>
    <t>CAJA MOTOR  / DHR400 - HR005G</t>
  </si>
  <si>
    <t>458054-5</t>
  </si>
  <si>
    <t>CUBIERTA DE CONTROLADOR / DHR400</t>
  </si>
  <si>
    <t>458061-8</t>
  </si>
  <si>
    <t>PISTON PRINCIPAL / DBN600</t>
  </si>
  <si>
    <t>458062-6</t>
  </si>
  <si>
    <t>VALVULA DE IMPULSO / DBN600</t>
  </si>
  <si>
    <t>458063-4</t>
  </si>
  <si>
    <t>BASE DE AJUSTE / DBN600</t>
  </si>
  <si>
    <t>458064-2</t>
  </si>
  <si>
    <t>SOPORTE / DBN600</t>
  </si>
  <si>
    <t>458065-0</t>
  </si>
  <si>
    <t>EXTREMO DE CARTUCHO / DBN600</t>
  </si>
  <si>
    <t>458066-8</t>
  </si>
  <si>
    <t>CARTUCHO / DBN600</t>
  </si>
  <si>
    <t>458067-6</t>
  </si>
  <si>
    <t>TAPA DE PESTILLO / DBN600</t>
  </si>
  <si>
    <t>458070-7</t>
  </si>
  <si>
    <t>SEGURO DE GATILLO / DBN600</t>
  </si>
  <si>
    <t>458071-5</t>
  </si>
  <si>
    <t>GATILLO / DBN600</t>
  </si>
  <si>
    <t>458072-3</t>
  </si>
  <si>
    <t>PALANCA DE PROPULSOR / DBN600</t>
  </si>
  <si>
    <t>458073-1</t>
  </si>
  <si>
    <t>BOTON / DBN600</t>
  </si>
  <si>
    <t>458074-9</t>
  </si>
  <si>
    <t>TAPON / DBN600</t>
  </si>
  <si>
    <t>458075-7</t>
  </si>
  <si>
    <t>CUBIERTA DE CABLE/VARIOS</t>
  </si>
  <si>
    <t>458077-3</t>
  </si>
  <si>
    <t>PROTECTOR MOVIL /DLS600</t>
  </si>
  <si>
    <t>458079-9</t>
  </si>
  <si>
    <t>TAPA DE INTERRUPTOR / DLS111 - DLS211</t>
  </si>
  <si>
    <t>458092-7</t>
  </si>
  <si>
    <t>458096-9</t>
  </si>
  <si>
    <t>SEGURO DE GATILLO / DHR400</t>
  </si>
  <si>
    <t>458097-7</t>
  </si>
  <si>
    <t>458098-5</t>
  </si>
  <si>
    <t>SUJETADOR DE RESORTE / DHR400</t>
  </si>
  <si>
    <t>458099-3</t>
  </si>
  <si>
    <t>DEFLECTOR / DHR400 - HR005G</t>
  </si>
  <si>
    <t>458100-4</t>
  </si>
  <si>
    <t>PALANCA DE ENLACE / DHR400 - HR005G</t>
  </si>
  <si>
    <t>458142-8</t>
  </si>
  <si>
    <t>CUBIERTA DE MANGO / M4001</t>
  </si>
  <si>
    <t>458143-6</t>
  </si>
  <si>
    <t>CUBIERTA DE VENTILADOR B / M4001</t>
  </si>
  <si>
    <t>458144-4</t>
  </si>
  <si>
    <t>GUARDA MOVIL / LS1219L</t>
  </si>
  <si>
    <t>458145-2</t>
  </si>
  <si>
    <t>CUBIERTA DE BRAZO / LS1219L</t>
  </si>
  <si>
    <t>458148-6</t>
  </si>
  <si>
    <t>CUBIERTA DE CABLE / LS1219L</t>
  </si>
  <si>
    <t>458149-4</t>
  </si>
  <si>
    <t>MANGUITO 17 / VARIOS</t>
  </si>
  <si>
    <t>458166-4</t>
  </si>
  <si>
    <t>PLACA DE AHOGADOR / VARIOS</t>
  </si>
  <si>
    <t>458167-2</t>
  </si>
  <si>
    <t>PLACA DE AHOGADOR / EB5300TH</t>
  </si>
  <si>
    <t>458198-1</t>
  </si>
  <si>
    <t>JUNTA DE MANGUERA / LS1219L - DLS111</t>
  </si>
  <si>
    <t>458216-5</t>
  </si>
  <si>
    <t>CUBIERTA DE CARRETE / DTR180 - DTR181</t>
  </si>
  <si>
    <t>458217-3</t>
  </si>
  <si>
    <t>CUBIERTA PLACA DE CONTACTO / DTR180 - DTR181</t>
  </si>
  <si>
    <t>458219-9</t>
  </si>
  <si>
    <t>TRABADOR / DTR180</t>
  </si>
  <si>
    <t>458220-4</t>
  </si>
  <si>
    <t>GATILLO / DTR180</t>
  </si>
  <si>
    <t>458221-2</t>
  </si>
  <si>
    <t>LEVA DE RODAMIENTO / DTR180</t>
  </si>
  <si>
    <t>458223-8</t>
  </si>
  <si>
    <t>PALANCA DE BLOQUEO / DTR180</t>
  </si>
  <si>
    <t>458225-4</t>
  </si>
  <si>
    <t>BASE DE CARRETE / DTR180</t>
  </si>
  <si>
    <t>458256-3</t>
  </si>
  <si>
    <t>MANGUITO / UR100D</t>
  </si>
  <si>
    <t>458257-1</t>
  </si>
  <si>
    <t>PALANCA / UR100D</t>
  </si>
  <si>
    <t>458258-9</t>
  </si>
  <si>
    <t>TAPA DE TUBO / UR100D</t>
  </si>
  <si>
    <t>458259-7</t>
  </si>
  <si>
    <t>PALANCA DE INTERRUPTOR / UR100D</t>
  </si>
  <si>
    <t>458260-2</t>
  </si>
  <si>
    <t>SOPORTE DE EMPUÑADURA / UR100D</t>
  </si>
  <si>
    <t>458284-8</t>
  </si>
  <si>
    <t>458302-2</t>
  </si>
  <si>
    <t>CARCASA DE MOTOR  / DWT310</t>
  </si>
  <si>
    <t>458303-0</t>
  </si>
  <si>
    <t>PALANCA DE INTERRUPTOR / DWT310</t>
  </si>
  <si>
    <t>458306-4</t>
  </si>
  <si>
    <t>DEFLECTOR / DWT310</t>
  </si>
  <si>
    <t>458307-2</t>
  </si>
  <si>
    <t>SEGURO DE GATILLO / DWT310</t>
  </si>
  <si>
    <t>458309-8</t>
  </si>
  <si>
    <t>SUJETADOR DE AJUSTE / DHW080</t>
  </si>
  <si>
    <t>458310-3</t>
  </si>
  <si>
    <t>TOPE CABEZAL DE BOMBA / VARIOS</t>
  </si>
  <si>
    <t>458311-1</t>
  </si>
  <si>
    <t>458316-1</t>
  </si>
  <si>
    <t>JUNTA DE AFLUENTE / DHW080</t>
  </si>
  <si>
    <t>458320-0</t>
  </si>
  <si>
    <t>VALVULA DE SALIDA DE FLUJO / DHW080</t>
  </si>
  <si>
    <t>458321-8</t>
  </si>
  <si>
    <t>SUJETADOR DE VALVULA / DHW080</t>
  </si>
  <si>
    <t>458322-6</t>
  </si>
  <si>
    <t>RETEN DE RESORTE A / DHW080 - HW001G</t>
  </si>
  <si>
    <t>458323-4</t>
  </si>
  <si>
    <t>SUJETADOR DE SELLADO 12 / DHW080</t>
  </si>
  <si>
    <t>458326-8</t>
  </si>
  <si>
    <t>CARCASA DE MOTOR  / DHW080</t>
  </si>
  <si>
    <t>458327-6</t>
  </si>
  <si>
    <t>DEFLECTOR / DHW080</t>
  </si>
  <si>
    <t>458332-3</t>
  </si>
  <si>
    <t>CUBIERTA DE CAJA DE BATERIAS / DHW080</t>
  </si>
  <si>
    <t>458336-5</t>
  </si>
  <si>
    <t>CAJA DE ACCESORIOS / DHW080</t>
  </si>
  <si>
    <t>458342-0</t>
  </si>
  <si>
    <t>PROTECTOR CUCHILLA /VARIOS</t>
  </si>
  <si>
    <t>458355-1</t>
  </si>
  <si>
    <t>BASE DE MANGO LATERAL / HR003G - DHR280</t>
  </si>
  <si>
    <t>458357-7</t>
  </si>
  <si>
    <t>EMPUÑADURA 36 / HR003G - DHR280</t>
  </si>
  <si>
    <t>458373-9</t>
  </si>
  <si>
    <t>SUJETADOR LED / DSC102 - SC103D</t>
  </si>
  <si>
    <t>458374-7</t>
  </si>
  <si>
    <t>CAJA DE ENGRANAJE / DSC102 - SC103</t>
  </si>
  <si>
    <t>458375-5</t>
  </si>
  <si>
    <t>458378-9</t>
  </si>
  <si>
    <t>PALANCA DE CAMBIO / DSC102 - SC103D</t>
  </si>
  <si>
    <t>458379-7</t>
  </si>
  <si>
    <t>GUIA DE TORNILLOS / DSC102 - SC103D</t>
  </si>
  <si>
    <t>458399-1</t>
  </si>
  <si>
    <t>458400-2</t>
  </si>
  <si>
    <t>EMPUÑADURA DELANTERA E / VARIOS</t>
  </si>
  <si>
    <t>458402-8</t>
  </si>
  <si>
    <t>PALANCA DE INTERRUPTOR F / VARIOS</t>
  </si>
  <si>
    <t>458403-6</t>
  </si>
  <si>
    <t>PALANCA DESBLOQUEO /VARIOS</t>
  </si>
  <si>
    <t>458404-4</t>
  </si>
  <si>
    <t>PALANCA DE INTERRUPTOR R / VARIOS</t>
  </si>
  <si>
    <t>458405-2</t>
  </si>
  <si>
    <t>BARRA DE BLOQUEO / VARIOS</t>
  </si>
  <si>
    <t>458406-0</t>
  </si>
  <si>
    <t>PALANCA DE BLOQUEO L / VARIOS</t>
  </si>
  <si>
    <t>458407-8</t>
  </si>
  <si>
    <t>PALANCA BLOQUEO R /VARIOS</t>
  </si>
  <si>
    <t>458408-6</t>
  </si>
  <si>
    <t>GUARDA E /VARIOS</t>
  </si>
  <si>
    <t>458413-3</t>
  </si>
  <si>
    <t>GUARDA CUCHILLA 500 /DUH51-DUN500W</t>
  </si>
  <si>
    <t>458417-5</t>
  </si>
  <si>
    <t>458418-3</t>
  </si>
  <si>
    <t>FRENO MANO / VARIOS</t>
  </si>
  <si>
    <t>458426-4</t>
  </si>
  <si>
    <t>458427-2</t>
  </si>
  <si>
    <t>DEFLECTOR / DDA460</t>
  </si>
  <si>
    <t>458430-3</t>
  </si>
  <si>
    <t>CUBIERTA SUPERIOR / DDA460</t>
  </si>
  <si>
    <t>458431-1</t>
  </si>
  <si>
    <t>EMPUÑADURA DELANTERA / DDA460</t>
  </si>
  <si>
    <t>458432-9</t>
  </si>
  <si>
    <t>PALANCA DE CAMBIO F/R / DDA460</t>
  </si>
  <si>
    <t>458433-7</t>
  </si>
  <si>
    <t>PALANCA DE CAMBIO / DDA460</t>
  </si>
  <si>
    <t>458434-5</t>
  </si>
  <si>
    <t>BOTON DE BLOQUEO / DDA460</t>
  </si>
  <si>
    <t>458437-9</t>
  </si>
  <si>
    <t>GUARDA SEGURIDAD / VARIOS</t>
  </si>
  <si>
    <t>458467-0</t>
  </si>
  <si>
    <t>GUIA DE FILTRO / VARIOS</t>
  </si>
  <si>
    <t>458478-5</t>
  </si>
  <si>
    <t>CUBIERTA TRASERA / DTD171</t>
  </si>
  <si>
    <t>458484-0</t>
  </si>
  <si>
    <t>CUBIERTA DE LA CAJA DE TRANSMISION / DTD171</t>
  </si>
  <si>
    <t>458489-0</t>
  </si>
  <si>
    <t>CARCASA DE MOTOR  / DUC254</t>
  </si>
  <si>
    <t>458490-5</t>
  </si>
  <si>
    <t>MANGO LATERAL / DUC245</t>
  </si>
  <si>
    <t>458491-3</t>
  </si>
  <si>
    <t>CUBIERTA CPL / DUC254</t>
  </si>
  <si>
    <t>458493-9</t>
  </si>
  <si>
    <t>CUBIERTA DE PIÑON /VARIOS</t>
  </si>
  <si>
    <t>458495-5</t>
  </si>
  <si>
    <t>PALANCA DE INTERRUPTOR / DUC254</t>
  </si>
  <si>
    <t>458497-1</t>
  </si>
  <si>
    <t>PALANCA DE SEGURO / DUC254</t>
  </si>
  <si>
    <t>458499-7</t>
  </si>
  <si>
    <t>CUBIERTA DE ALOJAMIENTO / DUC254</t>
  </si>
  <si>
    <t>458505-8</t>
  </si>
  <si>
    <t>EMPUÑADURA DELANTERA / UR100D</t>
  </si>
  <si>
    <t>458570-7</t>
  </si>
  <si>
    <t>458584-6</t>
  </si>
  <si>
    <t>CUBIERTA  EMPUÑADURA /VARIOS</t>
  </si>
  <si>
    <t>458586-2</t>
  </si>
  <si>
    <t>DEFLECTOR / DHS660</t>
  </si>
  <si>
    <t>458588-8</t>
  </si>
  <si>
    <t>SUJETADOR / DHS661</t>
  </si>
  <si>
    <t>458589-6</t>
  </si>
  <si>
    <t>DUCTO / DHS660</t>
  </si>
  <si>
    <t>458590-1</t>
  </si>
  <si>
    <t>EMPUÑADURA DELANTERA / DHS660</t>
  </si>
  <si>
    <t>458592-7</t>
  </si>
  <si>
    <t>CUBIERTA / DHS660</t>
  </si>
  <si>
    <t>458594-3</t>
  </si>
  <si>
    <t>PALANCA INTERRUPTOR / DHS660 - DCC500</t>
  </si>
  <si>
    <t>458628-2</t>
  </si>
  <si>
    <t>ESPACIADOR 600 / VARIOS</t>
  </si>
  <si>
    <t>458629-0</t>
  </si>
  <si>
    <t>ESPACIADOR 750 / VARIOS</t>
  </si>
  <si>
    <t>458643-6</t>
  </si>
  <si>
    <t>DEFLECTOR / JR3061T</t>
  </si>
  <si>
    <t>458644-4</t>
  </si>
  <si>
    <t>PALANCA DE BLOQUEO / JR3061T</t>
  </si>
  <si>
    <t>458647-8</t>
  </si>
  <si>
    <t>CAJA DE CUCHILLA / DCS552</t>
  </si>
  <si>
    <t>458648-6</t>
  </si>
  <si>
    <t>PROTECTOR DE CUCHILLA / DCS552</t>
  </si>
  <si>
    <t>458656-7</t>
  </si>
  <si>
    <t>CAJA MOTOR  / DCS553</t>
  </si>
  <si>
    <t>458657-5</t>
  </si>
  <si>
    <t>TAPA DE CAJA MOTOR / DCS553</t>
  </si>
  <si>
    <t>458658-3</t>
  </si>
  <si>
    <t>DEFLECTOR / DCS553</t>
  </si>
  <si>
    <t>458661-4</t>
  </si>
  <si>
    <t>CAJA DE CUCHILLA / DCS553</t>
  </si>
  <si>
    <t>458680-0</t>
  </si>
  <si>
    <t>CUBIERTA SEGURIDAD/VARIOS</t>
  </si>
  <si>
    <t>458690-7</t>
  </si>
  <si>
    <t>MANGO REDONDO / PC5010C</t>
  </si>
  <si>
    <t>458714-9</t>
  </si>
  <si>
    <t>MANDO INTERRUPTOR/VC009G</t>
  </si>
  <si>
    <t>458733-5</t>
  </si>
  <si>
    <t>CAJA MOTOR  / DLW140</t>
  </si>
  <si>
    <t>458736-9</t>
  </si>
  <si>
    <t>DEFLECTOR / DLW140</t>
  </si>
  <si>
    <t>458737-7</t>
  </si>
  <si>
    <t>458746-6</t>
  </si>
  <si>
    <t>458749-0</t>
  </si>
  <si>
    <t>458750-5</t>
  </si>
  <si>
    <t>458751-3</t>
  </si>
  <si>
    <t>CUBIERTA DE LUZ / VARIOS</t>
  </si>
  <si>
    <t>458772-5</t>
  </si>
  <si>
    <t>TUBO GUIA A / VARIOS</t>
  </si>
  <si>
    <t>458773-3</t>
  </si>
  <si>
    <t>TUBO GUIA B / VARIOS</t>
  </si>
  <si>
    <t>458774-1</t>
  </si>
  <si>
    <t>458785-6</t>
  </si>
  <si>
    <t>GUARDA MOVIL / LS07114</t>
  </si>
  <si>
    <t>458789-8</t>
  </si>
  <si>
    <t>GUARDA DE SEGURIDAD B  P/ LS1221</t>
  </si>
  <si>
    <t>458797-9</t>
  </si>
  <si>
    <t>TAPA DE INTERRUPTOR / DLM460</t>
  </si>
  <si>
    <t>458798-7</t>
  </si>
  <si>
    <t>CUBIERTA SUPERIOR / DLM460</t>
  </si>
  <si>
    <t>458799-5</t>
  </si>
  <si>
    <t>CUBIERTA INFERIOR / DLM460</t>
  </si>
  <si>
    <t>458803-0</t>
  </si>
  <si>
    <t>458805-6</t>
  </si>
  <si>
    <t>MANGO DE TRANSMISION A / DLM460</t>
  </si>
  <si>
    <t>458806-4</t>
  </si>
  <si>
    <t>MANGO DE TRANSMISION B / DLM460</t>
  </si>
  <si>
    <t>458807-2</t>
  </si>
  <si>
    <t>BOTON DE DESBLOQUEO / DLM460</t>
  </si>
  <si>
    <t>458808-0</t>
  </si>
  <si>
    <t>DEFLECTOR / DLM460</t>
  </si>
  <si>
    <t>458809-8</t>
  </si>
  <si>
    <t>PALANCA DE BLOQUEO / DLM460</t>
  </si>
  <si>
    <t>458810-3</t>
  </si>
  <si>
    <t>ABRAZADERA DE CABLE / DLM460</t>
  </si>
  <si>
    <t>458816-1</t>
  </si>
  <si>
    <t>CUBIERTA DE INTERRUPTOR / VARIOS</t>
  </si>
  <si>
    <t>458819-5</t>
  </si>
  <si>
    <t>CUBIERTA BOTON DE BLOQUEO / VARIOS</t>
  </si>
  <si>
    <t>458820-0</t>
  </si>
  <si>
    <t>CUBIERTA / DUT130 - DUT131</t>
  </si>
  <si>
    <t>458822-6</t>
  </si>
  <si>
    <t>458834-9</t>
  </si>
  <si>
    <t>CUBIERTA DE VENTILADOR / CL108F - CL117FD</t>
  </si>
  <si>
    <t>458844-6</t>
  </si>
  <si>
    <t>PALANCA DE INTERRUPTOR / DHR182</t>
  </si>
  <si>
    <t>458845-4</t>
  </si>
  <si>
    <t>CUBIERTA DE ENCASTRE / DHR182</t>
  </si>
  <si>
    <t>458846-2</t>
  </si>
  <si>
    <t>458847-0</t>
  </si>
  <si>
    <t>SOPORTE DE RESORTE / DHR182</t>
  </si>
  <si>
    <t>458848-8</t>
  </si>
  <si>
    <t>DUCTO DE AIRE / DHR182</t>
  </si>
  <si>
    <t>458849-6</t>
  </si>
  <si>
    <t>PLACA / DHR182</t>
  </si>
  <si>
    <t>458850-1</t>
  </si>
  <si>
    <t>PLACA GUIA / DHR182</t>
  </si>
  <si>
    <t>458851-9</t>
  </si>
  <si>
    <t>SELECTOR / DHR182</t>
  </si>
  <si>
    <t>458860-8</t>
  </si>
  <si>
    <t>MANGUITO DE UNION / DX05</t>
  </si>
  <si>
    <t>458861-6</t>
  </si>
  <si>
    <t>PALANCA DE BLOQUEO / DX05</t>
  </si>
  <si>
    <t>458864-0</t>
  </si>
  <si>
    <t>PALANCA INTERRUPTOR / DUB362</t>
  </si>
  <si>
    <t>458871-3</t>
  </si>
  <si>
    <t>CUBIERTA DE RUEDA DENTADA / DUC355 - DUC405</t>
  </si>
  <si>
    <t>458880-2</t>
  </si>
  <si>
    <t>CUBIERTA DE BATERIA / DVC750L</t>
  </si>
  <si>
    <t>458883-6</t>
  </si>
  <si>
    <t>TAPA DE VENTILADOR / DVC750L</t>
  </si>
  <si>
    <t>458886-0</t>
  </si>
  <si>
    <t>MANGO / DVC750L</t>
  </si>
  <si>
    <t>458887-8</t>
  </si>
  <si>
    <t>GANCHO DE MANGUERA / DVC750L</t>
  </si>
  <si>
    <t>458888-6</t>
  </si>
  <si>
    <t>ENTRADA DE AIRE / DVC750L</t>
  </si>
  <si>
    <t>458907-8</t>
  </si>
  <si>
    <t>458908-6</t>
  </si>
  <si>
    <t>PROTECTOR / UH353D</t>
  </si>
  <si>
    <t>458914-1</t>
  </si>
  <si>
    <t>PALANCA DE INTERRUPTOR / M9800</t>
  </si>
  <si>
    <t>458915-9</t>
  </si>
  <si>
    <t>DEFLECTOR / M9800</t>
  </si>
  <si>
    <t>458939-5</t>
  </si>
  <si>
    <t>BOTON A / VARIOS</t>
  </si>
  <si>
    <t>458948-4</t>
  </si>
  <si>
    <t>CAJA MOTOR  / M9800</t>
  </si>
  <si>
    <t>458949-2</t>
  </si>
  <si>
    <t>458952-3</t>
  </si>
  <si>
    <t>CUBIERTA TRASERA / M9800</t>
  </si>
  <si>
    <t>458953-1</t>
  </si>
  <si>
    <t>458968-8</t>
  </si>
  <si>
    <t>MANGO DE CONEXIÓN / VARIOS</t>
  </si>
  <si>
    <t>458972-7</t>
  </si>
  <si>
    <t>458973-5</t>
  </si>
  <si>
    <t>PROTECTOR CUBIERTA DEL VENTILADOR / DVC750L</t>
  </si>
  <si>
    <t>458998-9</t>
  </si>
  <si>
    <t>BRAZO DE IMPACTO / DX05</t>
  </si>
  <si>
    <t>458999-7</t>
  </si>
  <si>
    <t>CAJA MOTOR  / GA4550</t>
  </si>
  <si>
    <t>459003-5</t>
  </si>
  <si>
    <t>PLACA DIFUSORA / VARIOS</t>
  </si>
  <si>
    <t>459004-3</t>
  </si>
  <si>
    <t>459005-1</t>
  </si>
  <si>
    <t>PALANCA SEGUNDARIA / VARIOS</t>
  </si>
  <si>
    <t>459006-9</t>
  </si>
  <si>
    <t>TOPE PLASTICO / VARIOS</t>
  </si>
  <si>
    <t>459026-3</t>
  </si>
  <si>
    <t>SELECTOR DE CAMBIO / VARIOS</t>
  </si>
  <si>
    <t>459035-2</t>
  </si>
  <si>
    <t>CUBIERTA DE VENTILADOR / CL114FD</t>
  </si>
  <si>
    <t>459048-3</t>
  </si>
  <si>
    <t>SUJETADOR DE MANGUERA / CL121D - DCL184</t>
  </si>
  <si>
    <t>459050-6</t>
  </si>
  <si>
    <t>PLACA DE TOPE / CL121D - DCL184</t>
  </si>
  <si>
    <t>459066-1</t>
  </si>
  <si>
    <t>LENTE A / DC18SH</t>
  </si>
  <si>
    <t>459067-9</t>
  </si>
  <si>
    <t>LENTE B / DC18SH</t>
  </si>
  <si>
    <t>459068-7</t>
  </si>
  <si>
    <t>TAPA CAJA DEL CARGADOR / DC18SH</t>
  </si>
  <si>
    <t>459069-5</t>
  </si>
  <si>
    <t>BASE DE TERMINAL / DC18SH</t>
  </si>
  <si>
    <t>459084-9</t>
  </si>
  <si>
    <t>SUJETADOR DE LA PALANCA / VARIOS</t>
  </si>
  <si>
    <t>459087-3</t>
  </si>
  <si>
    <t>RUEDA B / VARIOS</t>
  </si>
  <si>
    <t>459099-6</t>
  </si>
  <si>
    <t>459101-5</t>
  </si>
  <si>
    <t>RUEDA TRASERA / VARIOS</t>
  </si>
  <si>
    <t>459144-7</t>
  </si>
  <si>
    <t>459145-5</t>
  </si>
  <si>
    <t>GATILLO/UR101</t>
  </si>
  <si>
    <t>459146-3</t>
  </si>
  <si>
    <t>PALANCA DE BLOQUEO/UR101</t>
  </si>
  <si>
    <t>459158-6</t>
  </si>
  <si>
    <t>CAJA DE MOTOR  / VARIOS</t>
  </si>
  <si>
    <t>459161-7</t>
  </si>
  <si>
    <t>459164-1</t>
  </si>
  <si>
    <t>459166-7</t>
  </si>
  <si>
    <t>459167-5</t>
  </si>
  <si>
    <t>459169-1</t>
  </si>
  <si>
    <t>CUBIERTA TRASERA / HR3011FC - HR3012FC</t>
  </si>
  <si>
    <t>459175-6</t>
  </si>
  <si>
    <t>459177-2</t>
  </si>
  <si>
    <t>459178-0</t>
  </si>
  <si>
    <t>SUJETADOR DE INTERRUPTOR / VARIOS</t>
  </si>
  <si>
    <t>459181-1</t>
  </si>
  <si>
    <t>ANILLO DE SELLADO A / VARIOS</t>
  </si>
  <si>
    <t>459182-9</t>
  </si>
  <si>
    <t>ANILLO DE SELLADO B / VARIOS</t>
  </si>
  <si>
    <t>459183-7</t>
  </si>
  <si>
    <t>LAMINA DE ESPONJA / VARIOS</t>
  </si>
  <si>
    <t>459184-5</t>
  </si>
  <si>
    <t>AMORTIGUADOR 12 / HR003G</t>
  </si>
  <si>
    <t>459216-8</t>
  </si>
  <si>
    <t>CAJA DE ENGRANAJE / DSL800</t>
  </si>
  <si>
    <t>459217-6</t>
  </si>
  <si>
    <t>TAPA FRONTAL / DSL800 - DSL801</t>
  </si>
  <si>
    <t>459218-4</t>
  </si>
  <si>
    <t>CUBIERTA / DSL800</t>
  </si>
  <si>
    <t>459219-2</t>
  </si>
  <si>
    <t>TOPE DE ESCOBILLA / DSL800</t>
  </si>
  <si>
    <t>459222-3</t>
  </si>
  <si>
    <t>UNION / DSL800</t>
  </si>
  <si>
    <t>459223-1</t>
  </si>
  <si>
    <t>CONECTOR DE LA MANGUERA / DSL800</t>
  </si>
  <si>
    <t>459224-9</t>
  </si>
  <si>
    <t>TOPE DE TUBO A / DSL800 - DSL801</t>
  </si>
  <si>
    <t>459226-5</t>
  </si>
  <si>
    <t>ANILLO DE BLOQUEO / DSL800</t>
  </si>
  <si>
    <t>459228-1</t>
  </si>
  <si>
    <t>SUJETADOR DE CABLE / DSL800</t>
  </si>
  <si>
    <t>459229-9</t>
  </si>
  <si>
    <t>CUBIERTA DE CABLE / DSL800</t>
  </si>
  <si>
    <t>459230-4</t>
  </si>
  <si>
    <t>BOTON DE DESBLOQUEO / DSL800</t>
  </si>
  <si>
    <t>459231-2</t>
  </si>
  <si>
    <t>PALANCA DE INTERRUPTOR / DSL800</t>
  </si>
  <si>
    <t>459234-6</t>
  </si>
  <si>
    <t>BOQUILLA DE POLVO / DSL800</t>
  </si>
  <si>
    <t>459249-3</t>
  </si>
  <si>
    <t>JUNTA DE MANGUERA / VARIOS</t>
  </si>
  <si>
    <t>459250-8</t>
  </si>
  <si>
    <t>459256-6</t>
  </si>
  <si>
    <t>SOPORTE / DCC500</t>
  </si>
  <si>
    <t>459264-7</t>
  </si>
  <si>
    <t>BOTON DE BLOQUEO / DCC500</t>
  </si>
  <si>
    <t>459267-1</t>
  </si>
  <si>
    <t>PALANCA DE INTERRUPTOR / DUC406</t>
  </si>
  <si>
    <t>459268-9</t>
  </si>
  <si>
    <t>PALANCA DE ENGANCHE / DUC406</t>
  </si>
  <si>
    <t>459270-2</t>
  </si>
  <si>
    <t>RETENEDOR DE FRENO DE MANO / DUC406</t>
  </si>
  <si>
    <t>459273-6</t>
  </si>
  <si>
    <t>CUBIERTA DERECHA / DUC406</t>
  </si>
  <si>
    <t>459275-2</t>
  </si>
  <si>
    <t>MANGO FRONTAL / DUC406</t>
  </si>
  <si>
    <t>459276-0</t>
  </si>
  <si>
    <t>CUBIERTA DE MOTOR / DUC406</t>
  </si>
  <si>
    <t>459278-6</t>
  </si>
  <si>
    <t>CUBIERTA DE TUERCA / DUC406</t>
  </si>
  <si>
    <t>459305-9</t>
  </si>
  <si>
    <t>CARTUCHO / DFN350</t>
  </si>
  <si>
    <t>459310-6</t>
  </si>
  <si>
    <t>AJUSTADOR / DFN350</t>
  </si>
  <si>
    <t>459311-4</t>
  </si>
  <si>
    <t>SUJETADOR DE RESORTE / DFN350</t>
  </si>
  <si>
    <t>459312-2</t>
  </si>
  <si>
    <t>TAPA DE AJUSTE / DFN350</t>
  </si>
  <si>
    <t>459313-0</t>
  </si>
  <si>
    <t>MANGUITO / DFN350</t>
  </si>
  <si>
    <t>459322-9</t>
  </si>
  <si>
    <t>CUBIERTA DE VENTILADOR / DCL281F</t>
  </si>
  <si>
    <t>459325-3</t>
  </si>
  <si>
    <t>459369-3</t>
  </si>
  <si>
    <t>CUBIERTA FRONTAL / DFN350</t>
  </si>
  <si>
    <t>459380-5</t>
  </si>
  <si>
    <t>PALANCA DE BLOQUEO / DHW080</t>
  </si>
  <si>
    <t>459421-7</t>
  </si>
  <si>
    <t>PALANCA DE INTERRUPTOR / DWR180</t>
  </si>
  <si>
    <t>459422-5</t>
  </si>
  <si>
    <t>PALANCA DE BLOQUEO / DWR180</t>
  </si>
  <si>
    <t>459465-7</t>
  </si>
  <si>
    <t>PESTILLO A/PDC01</t>
  </si>
  <si>
    <t>459470-4</t>
  </si>
  <si>
    <t>PASADOR DE INTERRUPTOR / PDC01</t>
  </si>
  <si>
    <t>459471-2</t>
  </si>
  <si>
    <t>BOTON DE BLOQUEO / PDC01</t>
  </si>
  <si>
    <t>459478-8</t>
  </si>
  <si>
    <t>LENTE / DCL281F - CL001G</t>
  </si>
  <si>
    <t>459490-8</t>
  </si>
  <si>
    <t>LENTE LED / DFL020F - DFL063F</t>
  </si>
  <si>
    <t>459491-6</t>
  </si>
  <si>
    <t>LENTE / DFL020F - DFL063F</t>
  </si>
  <si>
    <t>459492-4</t>
  </si>
  <si>
    <t>PALANCA DE CAMBIO / DFL020F - DFL063F</t>
  </si>
  <si>
    <t>459532-8</t>
  </si>
  <si>
    <t>CUBIERTA DE CABLE / PDC01</t>
  </si>
  <si>
    <t>459621-9</t>
  </si>
  <si>
    <t>SUJETADOR DE DEPOSITO / DGP180</t>
  </si>
  <si>
    <t>459622-7</t>
  </si>
  <si>
    <t>TAPA DE VALVULA / DGP180</t>
  </si>
  <si>
    <t>459623-5</t>
  </si>
  <si>
    <t>PALANCA DE INTERRUPTOR / DGP180</t>
  </si>
  <si>
    <t>459624-3</t>
  </si>
  <si>
    <t>BOTON DE DESBLOQUEO / DGP180</t>
  </si>
  <si>
    <t>459685-3</t>
  </si>
  <si>
    <t>459695-0</t>
  </si>
  <si>
    <t>CUBIERTA DE VENTILADOR / DUB184</t>
  </si>
  <si>
    <t>459696-8</t>
  </si>
  <si>
    <t>PALANCA DE INTERRUPTOR / DUB184</t>
  </si>
  <si>
    <t>459697-6</t>
  </si>
  <si>
    <t>PALANCA DE CONTROL / DUB184</t>
  </si>
  <si>
    <t>459698-4</t>
  </si>
  <si>
    <t>ENLACE / DUB184</t>
  </si>
  <si>
    <t>459699-2</t>
  </si>
  <si>
    <t>CUBIERTA TRASERA / DUB184</t>
  </si>
  <si>
    <t>459700-3</t>
  </si>
  <si>
    <t>TAPA / DUB184</t>
  </si>
  <si>
    <t>459701-1</t>
  </si>
  <si>
    <t>BOQUILLA FRONTAL / DUB184</t>
  </si>
  <si>
    <t>459737-0</t>
  </si>
  <si>
    <t>CAJA DE ADAPTADOR / ADP10</t>
  </si>
  <si>
    <t>459738-8</t>
  </si>
  <si>
    <t>CUBIERTA DE LA CAJA DE ADAPTADOR / ADP10</t>
  </si>
  <si>
    <t>459739-6</t>
  </si>
  <si>
    <t>BASE TERMINAL / ADP10</t>
  </si>
  <si>
    <t>459740-1</t>
  </si>
  <si>
    <t>CUBIERTA DE TERMINAL / ADP10</t>
  </si>
  <si>
    <t>459741-9</t>
  </si>
  <si>
    <t>GANCHO / ADP10</t>
  </si>
  <si>
    <t>459746-9</t>
  </si>
  <si>
    <t>TAPA DE CIGÜEÑAL / DHK180</t>
  </si>
  <si>
    <t>459747-7</t>
  </si>
  <si>
    <t>CAJA MOTOR  / DHK180</t>
  </si>
  <si>
    <t>459748-5</t>
  </si>
  <si>
    <t>CUBIERTA DE LA CARCASA  / DHK180</t>
  </si>
  <si>
    <t>459749-3</t>
  </si>
  <si>
    <t>DEFLECTOR / DHK180</t>
  </si>
  <si>
    <t>459750-8</t>
  </si>
  <si>
    <t>PALANCA DE INTERRUPTOR / DHK180</t>
  </si>
  <si>
    <t>459751-6</t>
  </si>
  <si>
    <t>SEGURO DE GATILLO / DHK180</t>
  </si>
  <si>
    <t>459752-4</t>
  </si>
  <si>
    <t>ANILLO DE SOPORTE / DHK180</t>
  </si>
  <si>
    <t>459758-2</t>
  </si>
  <si>
    <t>PALANCA DE INTERRUPTOR / DUR192L</t>
  </si>
  <si>
    <t>459763-9</t>
  </si>
  <si>
    <t>CAJA MOTOR  / UR101</t>
  </si>
  <si>
    <t>459764-7</t>
  </si>
  <si>
    <t>DEFLECTOR/UR101</t>
  </si>
  <si>
    <t>459765-5</t>
  </si>
  <si>
    <t>EXTENSION DE CUCHILLA/UR101</t>
  </si>
  <si>
    <t>459777-8</t>
  </si>
  <si>
    <t>PLATAFORMA / DLM382</t>
  </si>
  <si>
    <t>459780-9</t>
  </si>
  <si>
    <t>PLATAFORMA / DLM432</t>
  </si>
  <si>
    <t>459784-1</t>
  </si>
  <si>
    <t>CAJA DE VENTILADOR R / DUB363</t>
  </si>
  <si>
    <t>459787-5</t>
  </si>
  <si>
    <t>MANGO SECUNDARIO / DUB363</t>
  </si>
  <si>
    <t>459788-3</t>
  </si>
  <si>
    <t>EMPUÑADURA L / DUB363</t>
  </si>
  <si>
    <t>459789-1</t>
  </si>
  <si>
    <t>CAJA MOTOR  / DUB363</t>
  </si>
  <si>
    <t>459790-6</t>
  </si>
  <si>
    <t>TAPA DE INTERRUPTOR / DUB363</t>
  </si>
  <si>
    <t>459791-4</t>
  </si>
  <si>
    <t>PALANCA DE INTERRUPTOR / DUB363</t>
  </si>
  <si>
    <t>459792-2</t>
  </si>
  <si>
    <t>PALANCA DE CONTROL / DUB363</t>
  </si>
  <si>
    <t>459793-0</t>
  </si>
  <si>
    <t>PROPULSOR A / DUB363</t>
  </si>
  <si>
    <t>459794-8</t>
  </si>
  <si>
    <t>PROPULSOR B / DUB363</t>
  </si>
  <si>
    <t>459804-1</t>
  </si>
  <si>
    <t>CAJA DE INTERRUPTOR / DLM382 - DLM432</t>
  </si>
  <si>
    <t>459809-1</t>
  </si>
  <si>
    <t>SUJETADOR / DLM382 - DLM432</t>
  </si>
  <si>
    <t>459811-4</t>
  </si>
  <si>
    <t>SOPORTE DE CUCHILLA / DLM382</t>
  </si>
  <si>
    <t>459823-7</t>
  </si>
  <si>
    <t>CAJA MOTOR  / DHS900 - DHS901</t>
  </si>
  <si>
    <t>459826-1</t>
  </si>
  <si>
    <t>DEFLECTOR / DHS900 - DHS901</t>
  </si>
  <si>
    <t>459827-9</t>
  </si>
  <si>
    <t>CUBIERTA DE LA LUZ / DHS900 - DHS901</t>
  </si>
  <si>
    <t>459828-7</t>
  </si>
  <si>
    <t>EMPUÑADURA DELANTERA / DHS900 - DHS901</t>
  </si>
  <si>
    <t>459829-5</t>
  </si>
  <si>
    <t>PALANCA DE INTERRUPTOR / DHS900 - DHS901</t>
  </si>
  <si>
    <t>459830-0</t>
  </si>
  <si>
    <t>ESPACIADOR/ VARIOS</t>
  </si>
  <si>
    <t>459832-6</t>
  </si>
  <si>
    <t>BASE DE ADMISION / EA4301F</t>
  </si>
  <si>
    <t>459847-3</t>
  </si>
  <si>
    <t>CUBIERTA SUPERIOR / VARIOS</t>
  </si>
  <si>
    <t>459848-1</t>
  </si>
  <si>
    <t>CUBIERTA INFERIOR / DLM465</t>
  </si>
  <si>
    <t>459851-2</t>
  </si>
  <si>
    <t>PALANCA DE INTERRUPTOR / DLM465</t>
  </si>
  <si>
    <t>459853-8</t>
  </si>
  <si>
    <t>DEFLECTOR / DLM465</t>
  </si>
  <si>
    <t>459856-2</t>
  </si>
  <si>
    <t>SOPORTE PALANCA DE INTERRUPTOR / DLM465</t>
  </si>
  <si>
    <t>459857-0</t>
  </si>
  <si>
    <t>BOTON DE BLOQUEO / DLM465</t>
  </si>
  <si>
    <t>459858-8</t>
  </si>
  <si>
    <t>SOPORTE DE PALANCA DE MANIOBRA / DLM465</t>
  </si>
  <si>
    <t>459859-6</t>
  </si>
  <si>
    <t>SOPORTE  PALANCA DE CONDUCCION / DLM465</t>
  </si>
  <si>
    <t>459860-1</t>
  </si>
  <si>
    <t>459863-5</t>
  </si>
  <si>
    <t>SOPORTE L PALANCA DE INTERRUPTOR / DLM465</t>
  </si>
  <si>
    <t>459864-3</t>
  </si>
  <si>
    <t>SOPORTE L DE LA PALANCA DE MANIOBRA / DLM465</t>
  </si>
  <si>
    <t>459865-1</t>
  </si>
  <si>
    <t>PALANCA DE VELOCIDAD / DLM465</t>
  </si>
  <si>
    <t>459866-9</t>
  </si>
  <si>
    <t>SOPORTE PALANCA DE VELOCIDAD / DLM465</t>
  </si>
  <si>
    <t>459867-7</t>
  </si>
  <si>
    <t>TAPA DE RUEDA / DLM465</t>
  </si>
  <si>
    <t>459871-6</t>
  </si>
  <si>
    <t>459872-4</t>
  </si>
  <si>
    <t>459886-3</t>
  </si>
  <si>
    <t>CUBIERTA DE DESCARGA LATERAL / VARIOS</t>
  </si>
  <si>
    <t>459891-0</t>
  </si>
  <si>
    <t>DEFLECTOR / DKP181 - KP001G</t>
  </si>
  <si>
    <t>459892-8</t>
  </si>
  <si>
    <t>BOQUILLA / DKP181 - KP001G</t>
  </si>
  <si>
    <t>459893-6</t>
  </si>
  <si>
    <t>CUBIERTA DE FAJA / DKP181 - KP001G</t>
  </si>
  <si>
    <t>459894-4</t>
  </si>
  <si>
    <t>BOTON / DKP181</t>
  </si>
  <si>
    <t>459908-9</t>
  </si>
  <si>
    <t>CAJA DE INTERRUPTOR / DLM530</t>
  </si>
  <si>
    <t>459912-8</t>
  </si>
  <si>
    <t>PLACA DE TAPON / DVC660</t>
  </si>
  <si>
    <t>459913-6</t>
  </si>
  <si>
    <t>PLATO / DVC660</t>
  </si>
  <si>
    <t>459919-4</t>
  </si>
  <si>
    <t>DEFLECTOR / JR3051T</t>
  </si>
  <si>
    <t>459920-9</t>
  </si>
  <si>
    <t>CUBIERTA DE GANCHO / JR3051T</t>
  </si>
  <si>
    <t>459967-3</t>
  </si>
  <si>
    <t>50015C</t>
  </si>
  <si>
    <t>CONECTOR DE ENCHUFE RÁPIDO 1/8 BSP 6MM / HB500</t>
  </si>
  <si>
    <t>510061-7</t>
  </si>
  <si>
    <t>ROTOR 220V / LS0714</t>
  </si>
  <si>
    <t>510068-3</t>
  </si>
  <si>
    <t>ROTOR 220V / 5007NB</t>
  </si>
  <si>
    <t>510071-4</t>
  </si>
  <si>
    <t>ROTOR 220V / 2704</t>
  </si>
  <si>
    <t>510072-2</t>
  </si>
  <si>
    <t>ROTOR 220V / LS1221</t>
  </si>
  <si>
    <t>510134-6</t>
  </si>
  <si>
    <t>ROTOR 220V / 5007NK</t>
  </si>
  <si>
    <t>510144-3</t>
  </si>
  <si>
    <t>ROTOR 220V / LS1019 - LS1019L</t>
  </si>
  <si>
    <t>510163-9</t>
  </si>
  <si>
    <t>ROTOR 220V / VARIOS</t>
  </si>
  <si>
    <t>510172-8</t>
  </si>
  <si>
    <t>510173-6</t>
  </si>
  <si>
    <t>510204-1</t>
  </si>
  <si>
    <t>ROTOR 220V / M3601</t>
  </si>
  <si>
    <t>510207-5</t>
  </si>
  <si>
    <t>ROTOR 220V / M1901 - MKP082</t>
  </si>
  <si>
    <t>510210-6</t>
  </si>
  <si>
    <t>ROTOR 220V / MGA503</t>
  </si>
  <si>
    <t>510213-0</t>
  </si>
  <si>
    <t>ROTOR 220V / M3700 - MTR0O51</t>
  </si>
  <si>
    <t>510217-2</t>
  </si>
  <si>
    <t>ROTOR 220V / MTR050</t>
  </si>
  <si>
    <t>510221-1</t>
  </si>
  <si>
    <t>ROTOR 220V / 4100NH2</t>
  </si>
  <si>
    <t>510226-1</t>
  </si>
  <si>
    <t>ROTOR 220V / MTR051</t>
  </si>
  <si>
    <t>510240-7</t>
  </si>
  <si>
    <t>ROTOR 220V / 2414NB</t>
  </si>
  <si>
    <t>510242-3</t>
  </si>
  <si>
    <t>510246-5</t>
  </si>
  <si>
    <t>510249-9</t>
  </si>
  <si>
    <t>510251-2</t>
  </si>
  <si>
    <t>ROTOR 220V / M9204</t>
  </si>
  <si>
    <t>510275-8</t>
  </si>
  <si>
    <t>ROTOR 220V / 4403</t>
  </si>
  <si>
    <t>510276-6</t>
  </si>
  <si>
    <t>ROTOR 220V / MGA90B</t>
  </si>
  <si>
    <t>510283-9</t>
  </si>
  <si>
    <t>ROTOR 220V / LC1230</t>
  </si>
  <si>
    <t>510287-1</t>
  </si>
  <si>
    <t>ROTOR 220V /M4001 - MUB105</t>
  </si>
  <si>
    <t>510291-0</t>
  </si>
  <si>
    <t>ROTOR 220V / M9400</t>
  </si>
  <si>
    <t>510305-5</t>
  </si>
  <si>
    <t>ROTOR 220 / GD0801C</t>
  </si>
  <si>
    <t>510310-2</t>
  </si>
  <si>
    <t>ROTOR 220V / HM1203C; 13C</t>
  </si>
  <si>
    <t>510329-1</t>
  </si>
  <si>
    <t>ROTOR 18V / VARIOS</t>
  </si>
  <si>
    <t>510376-2</t>
  </si>
  <si>
    <t>ROTOR 115V / PC5010C</t>
  </si>
  <si>
    <t>510377-0</t>
  </si>
  <si>
    <t>ROTOR 220V / GA4540C - PC5010C</t>
  </si>
  <si>
    <t>510410-8</t>
  </si>
  <si>
    <t>ROTOR 220V / M4301</t>
  </si>
  <si>
    <t>510423-9</t>
  </si>
  <si>
    <t>ROTOR 220V / M5801</t>
  </si>
  <si>
    <t>510448-3</t>
  </si>
  <si>
    <t>ROTOR 18V / DUH604S - DUH754S</t>
  </si>
  <si>
    <t>510449-1</t>
  </si>
  <si>
    <t>510470-0</t>
  </si>
  <si>
    <t>ROTOR 36V / VARIOS</t>
  </si>
  <si>
    <t>510483-1</t>
  </si>
  <si>
    <t>ROTOR 220V / JV0600</t>
  </si>
  <si>
    <t>510510-4</t>
  </si>
  <si>
    <t>510531-6</t>
  </si>
  <si>
    <t>ROTOR 220V / RT0700C</t>
  </si>
  <si>
    <t>510558-6</t>
  </si>
  <si>
    <t>ROTOR 220V / BO4556</t>
  </si>
  <si>
    <t>510561-7</t>
  </si>
  <si>
    <t>ROTOR</t>
  </si>
  <si>
    <t>510567-5</t>
  </si>
  <si>
    <t>510582-9</t>
  </si>
  <si>
    <t>ROTOR 220V / 9564P</t>
  </si>
  <si>
    <t>510586-1</t>
  </si>
  <si>
    <t>510591-8</t>
  </si>
  <si>
    <t>511558-9</t>
  </si>
  <si>
    <t>ROTOR 906H</t>
  </si>
  <si>
    <t>511908-8</t>
  </si>
  <si>
    <t>ROTOR 220V / 3901</t>
  </si>
  <si>
    <t>511936-3</t>
  </si>
  <si>
    <t>ROTOR 115V / N1900B</t>
  </si>
  <si>
    <t>511938-9</t>
  </si>
  <si>
    <t>ROTOR 220V / 1902</t>
  </si>
  <si>
    <t>511958-3</t>
  </si>
  <si>
    <t>511A03-0</t>
  </si>
  <si>
    <t>ROTOR 220V / JR3051T</t>
  </si>
  <si>
    <t>511A14-5</t>
  </si>
  <si>
    <t>ROTOR 220V / GA7070 - GA9070</t>
  </si>
  <si>
    <t>511A19-5</t>
  </si>
  <si>
    <t>511A43-8</t>
  </si>
  <si>
    <t>511A48-8</t>
  </si>
  <si>
    <t>511A83-6</t>
  </si>
  <si>
    <t>ROTOR 220V / UC4041A</t>
  </si>
  <si>
    <t>512165-1</t>
  </si>
  <si>
    <t>ROTOR 220V / 6016</t>
  </si>
  <si>
    <t>512335-2</t>
  </si>
  <si>
    <t>512583-3</t>
  </si>
  <si>
    <t>512613-0</t>
  </si>
  <si>
    <t>512883-1</t>
  </si>
  <si>
    <t>ROTOR 220V / 6906</t>
  </si>
  <si>
    <t>512953-6</t>
  </si>
  <si>
    <t>ROTOR 220V/VARIOS</t>
  </si>
  <si>
    <t>513145-0</t>
  </si>
  <si>
    <t>ROTOR 220V / 1805N</t>
  </si>
  <si>
    <t>513155-7</t>
  </si>
  <si>
    <t>513294-3</t>
  </si>
  <si>
    <t>513339-7</t>
  </si>
  <si>
    <t>ROTOR 220V / 9404</t>
  </si>
  <si>
    <t>513388-4</t>
  </si>
  <si>
    <t>513433-5</t>
  </si>
  <si>
    <t>513438-5</t>
  </si>
  <si>
    <t>ROTOR 220V / HP1630K</t>
  </si>
  <si>
    <t>513443-2</t>
  </si>
  <si>
    <t>513448-2</t>
  </si>
  <si>
    <t>513463-6</t>
  </si>
  <si>
    <t>ROTOR 220V / LW1401</t>
  </si>
  <si>
    <t>513468-6</t>
  </si>
  <si>
    <t>ROTOR 220V / HW1300</t>
  </si>
  <si>
    <t>513469-4</t>
  </si>
  <si>
    <t>ROTOR 220V / HW1200</t>
  </si>
  <si>
    <t>513478-3</t>
  </si>
  <si>
    <t>ROTOR 220V / M1902</t>
  </si>
  <si>
    <t>513483-0</t>
  </si>
  <si>
    <t>ROTOR 220V / PO5000C - PO6000C</t>
  </si>
  <si>
    <t>513493-7</t>
  </si>
  <si>
    <t>ROTOR 220V / M2401</t>
  </si>
  <si>
    <t>513508-0</t>
  </si>
  <si>
    <t>513518-7</t>
  </si>
  <si>
    <t>ROTOR 220V / HR3000C</t>
  </si>
  <si>
    <t>513548-8</t>
  </si>
  <si>
    <t>ROTOR 220V / MT580</t>
  </si>
  <si>
    <t>513563-2</t>
  </si>
  <si>
    <t>ROTOR 220V / HM0860C</t>
  </si>
  <si>
    <t>513568-2</t>
  </si>
  <si>
    <t>ROTOR 220V / GA9010C</t>
  </si>
  <si>
    <t>513574-7</t>
  </si>
  <si>
    <t>ROTOR 220V / SA7000C</t>
  </si>
  <si>
    <t>513578-9</t>
  </si>
  <si>
    <t>ROTOR 220V / 4131</t>
  </si>
  <si>
    <t>513598-3</t>
  </si>
  <si>
    <t>ROTOR 220V / JR3050</t>
  </si>
  <si>
    <t>513603-6</t>
  </si>
  <si>
    <t>ROTOR 220V / JR30570CT</t>
  </si>
  <si>
    <t>513633-7</t>
  </si>
  <si>
    <t>ROTOR 220V / HR4011C</t>
  </si>
  <si>
    <t>513688-2</t>
  </si>
  <si>
    <t>ROTOR 220V / KP0810C</t>
  </si>
  <si>
    <t>513703-2</t>
  </si>
  <si>
    <t>ROTOR 220V / GA5020 - GA5010</t>
  </si>
  <si>
    <t>513713-9</t>
  </si>
  <si>
    <t>ROTOR 220V / UC4020C</t>
  </si>
  <si>
    <t>513733-3</t>
  </si>
  <si>
    <t>513748-0</t>
  </si>
  <si>
    <t>ROTOR 220V / HR3210C</t>
  </si>
  <si>
    <t>513778-1</t>
  </si>
  <si>
    <t>ROTOR 220V / RP0900</t>
  </si>
  <si>
    <t>513783-8</t>
  </si>
  <si>
    <t>ROTOR 220V / M4302</t>
  </si>
  <si>
    <t>513793-5</t>
  </si>
  <si>
    <t>ROTOR 220V / HM0870C; 71C</t>
  </si>
  <si>
    <t>513798-5</t>
  </si>
  <si>
    <t>ROTOR 220V / GA5020C - PC5001C</t>
  </si>
  <si>
    <t>513808-8</t>
  </si>
  <si>
    <t>ROTOR 220V / DS5000</t>
  </si>
  <si>
    <t>513822-4</t>
  </si>
  <si>
    <t>ROTOR 220V / PK5011C</t>
  </si>
  <si>
    <t>513853-3</t>
  </si>
  <si>
    <t>ROTOR 220V / M1100</t>
  </si>
  <si>
    <t>513858-3</t>
  </si>
  <si>
    <t>ROTOR 220V / JS3201</t>
  </si>
  <si>
    <t>513863-0</t>
  </si>
  <si>
    <t>513868-0</t>
  </si>
  <si>
    <t>ROTOR 220 / 4100NH3</t>
  </si>
  <si>
    <t>513878-7</t>
  </si>
  <si>
    <t>513888-4</t>
  </si>
  <si>
    <t>ROTOR 220V / HR4003C - HR4013C</t>
  </si>
  <si>
    <t>513893-1</t>
  </si>
  <si>
    <t>513898-1</t>
  </si>
  <si>
    <t>513903-4</t>
  </si>
  <si>
    <t>ROTOR 220V / UB1103</t>
  </si>
  <si>
    <t>513908-4</t>
  </si>
  <si>
    <t>ROTOR 220V / HS7600</t>
  </si>
  <si>
    <t>513913-1</t>
  </si>
  <si>
    <t>ROTOR 220V / M6600 - MUT220</t>
  </si>
  <si>
    <t>513918-1</t>
  </si>
  <si>
    <t>ROTOR 220V / M6201</t>
  </si>
  <si>
    <t>513923-8</t>
  </si>
  <si>
    <t>ROTOR 220V / M8600</t>
  </si>
  <si>
    <t>513928-8</t>
  </si>
  <si>
    <t>ROTOR 220V / M9002 - M9003</t>
  </si>
  <si>
    <t>513943-2</t>
  </si>
  <si>
    <t>ROTOR 220V / M8701</t>
  </si>
  <si>
    <t>514205-1</t>
  </si>
  <si>
    <t>ROTOR 220V / 9401</t>
  </si>
  <si>
    <t>514505-9</t>
  </si>
  <si>
    <t>ROTOR 220V / 4107R</t>
  </si>
  <si>
    <t>514718-2</t>
  </si>
  <si>
    <t>ROTOR 220V / HM1201</t>
  </si>
  <si>
    <t>514863-3</t>
  </si>
  <si>
    <t>ROTOR 220V/ 3600H</t>
  </si>
  <si>
    <t>514993-0</t>
  </si>
  <si>
    <t>515098-9</t>
  </si>
  <si>
    <t>515208-8</t>
  </si>
  <si>
    <t>ROTOR 220V / SG1251</t>
  </si>
  <si>
    <t>515218-5</t>
  </si>
  <si>
    <t>ROTOR 220V / GD0800C</t>
  </si>
  <si>
    <t>515228-2</t>
  </si>
  <si>
    <t>ROTOR 220V / 9564PC - 9564CV</t>
  </si>
  <si>
    <t>515233-9</t>
  </si>
  <si>
    <t>515238-9</t>
  </si>
  <si>
    <t>ROTOR 220V / PK5001C</t>
  </si>
  <si>
    <t>515263-0</t>
  </si>
  <si>
    <t>ROTOR 220V / TW0350</t>
  </si>
  <si>
    <t>515268-0</t>
  </si>
  <si>
    <t>ROTOR 220V / PW5001C</t>
  </si>
  <si>
    <t>515283-4</t>
  </si>
  <si>
    <t>515288-4</t>
  </si>
  <si>
    <t>ROTOR 220V / HR2470</t>
  </si>
  <si>
    <t>515293-1</t>
  </si>
  <si>
    <t>ROTOR 220V / HR2810</t>
  </si>
  <si>
    <t>515313-1</t>
  </si>
  <si>
    <t>515314-9</t>
  </si>
  <si>
    <t>515353-9</t>
  </si>
  <si>
    <t>515358-9</t>
  </si>
  <si>
    <t>515359-7</t>
  </si>
  <si>
    <t>ROTOR / HR2601</t>
  </si>
  <si>
    <t>515363-6</t>
  </si>
  <si>
    <t>515393-7</t>
  </si>
  <si>
    <t>515398-7</t>
  </si>
  <si>
    <t>ROTOR 220VGA4541C</t>
  </si>
  <si>
    <t>515423-4</t>
  </si>
  <si>
    <t>515433-1</t>
  </si>
  <si>
    <t>ROTOR 220V / HS7010</t>
  </si>
  <si>
    <t>515443-8</t>
  </si>
  <si>
    <t>ROTOR 220V / M9800</t>
  </si>
  <si>
    <t>515448-8</t>
  </si>
  <si>
    <t>515543-4</t>
  </si>
  <si>
    <t>515548-4</t>
  </si>
  <si>
    <t>ROTOR 220V / M9510</t>
  </si>
  <si>
    <t>515553-1</t>
  </si>
  <si>
    <t>ROTOR 220V / M9507</t>
  </si>
  <si>
    <t>515558-1</t>
  </si>
  <si>
    <t>ROTOR 220V / VR1000</t>
  </si>
  <si>
    <t>515613-9</t>
  </si>
  <si>
    <t>ROTOR 220V / 9557HP</t>
  </si>
  <si>
    <t>515619-7</t>
  </si>
  <si>
    <t>515633-3</t>
  </si>
  <si>
    <t>ROTOR 220V / 3709 - 4403</t>
  </si>
  <si>
    <t>515648-0</t>
  </si>
  <si>
    <t>ROTOR 220V / HR1830</t>
  </si>
  <si>
    <t>515663-4</t>
  </si>
  <si>
    <t>515668-4</t>
  </si>
  <si>
    <t>515673-1</t>
  </si>
  <si>
    <t>ROTOR 220V / HR2432</t>
  </si>
  <si>
    <t>515678-1</t>
  </si>
  <si>
    <t>ROTOR 220V / GD0600</t>
  </si>
  <si>
    <t>515698-5</t>
  </si>
  <si>
    <t>ROTOR 220V / 6413</t>
  </si>
  <si>
    <t>515708-8</t>
  </si>
  <si>
    <t>515718-5</t>
  </si>
  <si>
    <t>ROTOR 220V / 4329</t>
  </si>
  <si>
    <t>515733-9</t>
  </si>
  <si>
    <t>ROTOR 220V / BO5030 - BO5041</t>
  </si>
  <si>
    <t>515743-6</t>
  </si>
  <si>
    <t>ROTOR 220V / GD0602</t>
  </si>
  <si>
    <t>515753-3</t>
  </si>
  <si>
    <t>515758-3</t>
  </si>
  <si>
    <t>ROTOR 220V / FS4200 - FS4000</t>
  </si>
  <si>
    <t>515763-0</t>
  </si>
  <si>
    <t>ROTOR 220V / FS2200 - FS2700</t>
  </si>
  <si>
    <t>515783-4</t>
  </si>
  <si>
    <t>ROTOR 220V / BO3710</t>
  </si>
  <si>
    <t>515793-1</t>
  </si>
  <si>
    <t>ROTOR 220V / KP0800</t>
  </si>
  <si>
    <t>515843-2</t>
  </si>
  <si>
    <t>515848-2</t>
  </si>
  <si>
    <t>ROTOR 220V / M6002 - M6001</t>
  </si>
  <si>
    <t>515853-9</t>
  </si>
  <si>
    <t>515858-9</t>
  </si>
  <si>
    <t>ROTOR 220V / M8700 - MHR200</t>
  </si>
  <si>
    <t>515863-6</t>
  </si>
  <si>
    <t>ROTOR 220V / M4000 - MUB103</t>
  </si>
  <si>
    <t>515878-3</t>
  </si>
  <si>
    <t>ROTOR 220V / M6501- MDP205</t>
  </si>
  <si>
    <t>515893-7</t>
  </si>
  <si>
    <t>ROTOR 220V / M0801 - MHP80B</t>
  </si>
  <si>
    <t>515903-0</t>
  </si>
  <si>
    <t>ROTOR 220V / HR2641</t>
  </si>
  <si>
    <t>516053-4</t>
  </si>
  <si>
    <t>ROTOR 220V / 6905H</t>
  </si>
  <si>
    <t>516093-2</t>
  </si>
  <si>
    <t>ROTOR / 9005B</t>
  </si>
  <si>
    <t>516148-3</t>
  </si>
  <si>
    <t>ROTOR 220V / HM0810 - HM0810T</t>
  </si>
  <si>
    <t>516213-8</t>
  </si>
  <si>
    <t>ROTOR 220V / 9046</t>
  </si>
  <si>
    <t>516308-7</t>
  </si>
  <si>
    <t>ROTOR 220V / 9237CB - 9227CB</t>
  </si>
  <si>
    <t>516318-4</t>
  </si>
  <si>
    <t>516328-1</t>
  </si>
  <si>
    <t>ROTOR 220V / HR4000C</t>
  </si>
  <si>
    <t>516448-1</t>
  </si>
  <si>
    <t>ROTOR 220V / GV7000</t>
  </si>
  <si>
    <t>516453-8</t>
  </si>
  <si>
    <t>ROTOR 220V / BO6030</t>
  </si>
  <si>
    <t>516483-9</t>
  </si>
  <si>
    <t>ROTOR 220V /  / DA4000LR</t>
  </si>
  <si>
    <t>516508-9</t>
  </si>
  <si>
    <t>ROTOR 220V/3612C</t>
  </si>
  <si>
    <t>516513-6</t>
  </si>
  <si>
    <t>ROTOR 220V/5900B</t>
  </si>
  <si>
    <t>516573-8</t>
  </si>
  <si>
    <t>ROTOR 220V /LC1200</t>
  </si>
  <si>
    <t>516588-5</t>
  </si>
  <si>
    <t>ROTOR 220V / 3612</t>
  </si>
  <si>
    <t>516643-3</t>
  </si>
  <si>
    <t>ROTOR          HM1302</t>
  </si>
  <si>
    <t>516698-8</t>
  </si>
  <si>
    <t>516713-8</t>
  </si>
  <si>
    <t>516718-8</t>
  </si>
  <si>
    <t>ROTOR 220V  / LS1040 - LS1040F</t>
  </si>
  <si>
    <t>516748-9</t>
  </si>
  <si>
    <t>ROTOR 220V / LS1220</t>
  </si>
  <si>
    <t>516763-3</t>
  </si>
  <si>
    <t>ROTOR 220V / 2702-2703</t>
  </si>
  <si>
    <t>516773-0</t>
  </si>
  <si>
    <t>ROTOR 120V / 9076</t>
  </si>
  <si>
    <t>516778-0</t>
  </si>
  <si>
    <t>ROTOR 220V / HR5001C</t>
  </si>
  <si>
    <t>516783-7</t>
  </si>
  <si>
    <t>ROTOR 220V / 9403</t>
  </si>
  <si>
    <t>516803-7</t>
  </si>
  <si>
    <t>516813-4</t>
  </si>
  <si>
    <t>ROTOR 220V / 2012NB</t>
  </si>
  <si>
    <t>516818-4</t>
  </si>
  <si>
    <t>ROTOR 220V / N5900B - HS0600</t>
  </si>
  <si>
    <t>516863-9</t>
  </si>
  <si>
    <t>ROTOR 220V / HM1304B</t>
  </si>
  <si>
    <t>516883-3</t>
  </si>
  <si>
    <t>ROTOR 220V/MLC140-MT240</t>
  </si>
  <si>
    <t>516908-3</t>
  </si>
  <si>
    <t>516918-0</t>
  </si>
  <si>
    <t>ROTOR 220V / TW1000</t>
  </si>
  <si>
    <t>516922-9</t>
  </si>
  <si>
    <t>ROTOR 220-240 V / HM1810</t>
  </si>
  <si>
    <t>516948-1</t>
  </si>
  <si>
    <t>ROTOR 220V / M9001 - M9000</t>
  </si>
  <si>
    <t>516978-2</t>
  </si>
  <si>
    <t>ROTOR 220V/5007MG</t>
  </si>
  <si>
    <t>516993-6</t>
  </si>
  <si>
    <t>517108-8</t>
  </si>
  <si>
    <t>517153-3</t>
  </si>
  <si>
    <t>ROTOR 220V / 6821</t>
  </si>
  <si>
    <t>517183-4</t>
  </si>
  <si>
    <t>ROTOR 220V / 6410</t>
  </si>
  <si>
    <t>517198-1</t>
  </si>
  <si>
    <t>ROTOR 220V / 6407</t>
  </si>
  <si>
    <t>517233-5</t>
  </si>
  <si>
    <t>517243-2</t>
  </si>
  <si>
    <t>ROTOR 220V / 9911</t>
  </si>
  <si>
    <t>517338-1</t>
  </si>
  <si>
    <t>ROTOR 220V / BO3700</t>
  </si>
  <si>
    <t>517358-5</t>
  </si>
  <si>
    <t>ROTOR 220V / DP4000</t>
  </si>
  <si>
    <t>517398-3</t>
  </si>
  <si>
    <t>ROTOR 220V / 4350FCT</t>
  </si>
  <si>
    <t>517403-6</t>
  </si>
  <si>
    <t>ROTOR 220V / HR2410</t>
  </si>
  <si>
    <t>517413-3</t>
  </si>
  <si>
    <t>ROTOR 220V / HP2050F / HP2050</t>
  </si>
  <si>
    <t>517453-1</t>
  </si>
  <si>
    <t>517458-1</t>
  </si>
  <si>
    <t>ROTOR 220V / HP1640</t>
  </si>
  <si>
    <t>517463-8</t>
  </si>
  <si>
    <t>ROTOR 220V / HP2070F</t>
  </si>
  <si>
    <t>517493-9</t>
  </si>
  <si>
    <t>ROTOR 220 / MKP080 - MT190</t>
  </si>
  <si>
    <t>517498-9</t>
  </si>
  <si>
    <t>ROTOR 220V / MT370 - MTR100</t>
  </si>
  <si>
    <t>517513-9</t>
  </si>
  <si>
    <t>ROTOR JN1601</t>
  </si>
  <si>
    <t>517573-1</t>
  </si>
  <si>
    <t>ROTOR 220V / 3707</t>
  </si>
  <si>
    <t>517583-8</t>
  </si>
  <si>
    <t>ROTOR 220V / DA3010F</t>
  </si>
  <si>
    <t>517623-2</t>
  </si>
  <si>
    <t>ROTOR 220V / MGD100 - MT910</t>
  </si>
  <si>
    <t>517648-6</t>
  </si>
  <si>
    <t>517673-7</t>
  </si>
  <si>
    <t>ROTOR 220V / JS1601 - JS1602</t>
  </si>
  <si>
    <t>517683-4</t>
  </si>
  <si>
    <t>ROTOR 220V / TM3010C - TM3000C</t>
  </si>
  <si>
    <t>517688-4</t>
  </si>
  <si>
    <t>ROTOR 220V / M9200 - MBO452</t>
  </si>
  <si>
    <t>517763-6</t>
  </si>
  <si>
    <t>ROTOR 220V / 5008MG</t>
  </si>
  <si>
    <t>517788-0</t>
  </si>
  <si>
    <t>ROTOR / HM1307C - HM1307CB</t>
  </si>
  <si>
    <t>517793-7</t>
  </si>
  <si>
    <t>ROTOR 220V / GA9020 - GA7020</t>
  </si>
  <si>
    <t>517803-0</t>
  </si>
  <si>
    <t>ROTOR 220V / RP1801 - RP1801F</t>
  </si>
  <si>
    <t>517813-7</t>
  </si>
  <si>
    <t>ROTOR 220V / RP2301FC</t>
  </si>
  <si>
    <t>517818-7</t>
  </si>
  <si>
    <t>517823-4</t>
  </si>
  <si>
    <t>ROTOR 220V / LS1016</t>
  </si>
  <si>
    <t>517828-4</t>
  </si>
  <si>
    <t>ROTOR 220V / GA7030</t>
  </si>
  <si>
    <t>517833-1</t>
  </si>
  <si>
    <t>ROTOR 220V / GA9040S - GA7040S</t>
  </si>
  <si>
    <t>517838-1</t>
  </si>
  <si>
    <t>ROTOR 220V / HM1214C</t>
  </si>
  <si>
    <t>517843-8</t>
  </si>
  <si>
    <t>ROTOR 220V / LS1219L</t>
  </si>
  <si>
    <t>517848-8</t>
  </si>
  <si>
    <t>517849-6</t>
  </si>
  <si>
    <t>517853-5</t>
  </si>
  <si>
    <t>ROTOR 220V / GA9050</t>
  </si>
  <si>
    <t>517858-5</t>
  </si>
  <si>
    <t>ROTOR 220V / HM1111C</t>
  </si>
  <si>
    <t>517863-2</t>
  </si>
  <si>
    <t>ROTOR 220V / M2400 - MLC141</t>
  </si>
  <si>
    <t>517878-9</t>
  </si>
  <si>
    <t>517883-6</t>
  </si>
  <si>
    <t>ROTOR 220V / M3600 - MRP102</t>
  </si>
  <si>
    <t>517888-6</t>
  </si>
  <si>
    <t>ROTOR 220V / GS5000 - GS6000</t>
  </si>
  <si>
    <t>517893-3</t>
  </si>
  <si>
    <t>ROTOR 220V / M0920 - M0921</t>
  </si>
  <si>
    <t>517898-3</t>
  </si>
  <si>
    <t>ROTOR 220V / HR5212C; 02C</t>
  </si>
  <si>
    <t>517903-6</t>
  </si>
  <si>
    <t>ROTOR 220V / UC4551A</t>
  </si>
  <si>
    <t>517911-7</t>
  </si>
  <si>
    <t>ROTOR 220V / HM1802 - HM1812</t>
  </si>
  <si>
    <t>517913-3</t>
  </si>
  <si>
    <t>ROTOR 220V / HM1812 - HM1802</t>
  </si>
  <si>
    <t>517993-9</t>
  </si>
  <si>
    <t>ROTOR 220V / GA4550</t>
  </si>
  <si>
    <t>517998-9</t>
  </si>
  <si>
    <t>ROTOR 220V / HP0300 - DF0300</t>
  </si>
  <si>
    <t>518155-2</t>
  </si>
  <si>
    <t>518165-9</t>
  </si>
  <si>
    <t>ROTOR 220V / HR2630</t>
  </si>
  <si>
    <t>518166-7</t>
  </si>
  <si>
    <t>518174-8</t>
  </si>
  <si>
    <t>518684-5</t>
  </si>
  <si>
    <t>ROTOR 220V / PC5001C</t>
  </si>
  <si>
    <t>518701-1</t>
  </si>
  <si>
    <t>ROTOR 220V / LS1013</t>
  </si>
  <si>
    <t>518765-5</t>
  </si>
  <si>
    <t>519155-5</t>
  </si>
  <si>
    <t>519176-7</t>
  </si>
  <si>
    <t>519199-5</t>
  </si>
  <si>
    <t>519226-8</t>
  </si>
  <si>
    <t>519235-7</t>
  </si>
  <si>
    <t>ROTOR 36V / DHR263</t>
  </si>
  <si>
    <t>519261-6</t>
  </si>
  <si>
    <t>519288-6</t>
  </si>
  <si>
    <t>519355-7</t>
  </si>
  <si>
    <t>ROTOR MAGNETICO LXT / DFS452</t>
  </si>
  <si>
    <t>519359-9</t>
  </si>
  <si>
    <t>ROTOR 18V / DHS680</t>
  </si>
  <si>
    <t>519366-2</t>
  </si>
  <si>
    <t>ROTOR 36V / DUB362</t>
  </si>
  <si>
    <t>519378-5</t>
  </si>
  <si>
    <t>519384-0</t>
  </si>
  <si>
    <t>ROTOR 18V / DTW1001 -DTW1002</t>
  </si>
  <si>
    <t>519392-1</t>
  </si>
  <si>
    <t>ROTOR 18V / DJR186</t>
  </si>
  <si>
    <t>519400-8</t>
  </si>
  <si>
    <t>ROTOR 18V / DLS600</t>
  </si>
  <si>
    <t>519411-3</t>
  </si>
  <si>
    <t>ROTOR  MAGNETICO LXT / DUC400</t>
  </si>
  <si>
    <t>519424-4</t>
  </si>
  <si>
    <t>ROTOR 18V / DFS251</t>
  </si>
  <si>
    <t>519429-4</t>
  </si>
  <si>
    <t>ROTOR 18V / DUR187L</t>
  </si>
  <si>
    <t>519435-9</t>
  </si>
  <si>
    <t>ROTOR 36V / DRS780</t>
  </si>
  <si>
    <t>519436-7</t>
  </si>
  <si>
    <t>ROTOR 18V / DGA700 - DGA900</t>
  </si>
  <si>
    <t>519444-8</t>
  </si>
  <si>
    <t>519448-0</t>
  </si>
  <si>
    <t>ROTOR 36V / DSP600 - DSP601</t>
  </si>
  <si>
    <t>519449-8</t>
  </si>
  <si>
    <t>ROTOR 18V / DRT50</t>
  </si>
  <si>
    <t>519452-9</t>
  </si>
  <si>
    <t>ROTOR 12V / VARIOS</t>
  </si>
  <si>
    <t>519454-5</t>
  </si>
  <si>
    <t>ROTOR MAGNETICO /LS004G - DLS111</t>
  </si>
  <si>
    <t>519492-7</t>
  </si>
  <si>
    <t>ROTOR MAGNETICO / DHR400 - HR005G</t>
  </si>
  <si>
    <t>519497-7</t>
  </si>
  <si>
    <t>ROTOR 36V / DWT310</t>
  </si>
  <si>
    <t>519513-5</t>
  </si>
  <si>
    <t>519521-6</t>
  </si>
  <si>
    <t>ROTOR 18V / DUH601 - DUH751</t>
  </si>
  <si>
    <t>519526-6</t>
  </si>
  <si>
    <t>ROTOR 36V / DDA460</t>
  </si>
  <si>
    <t>519527-4</t>
  </si>
  <si>
    <t>ROTOR 18V / DHS660 - DHS661</t>
  </si>
  <si>
    <t>519534-7</t>
  </si>
  <si>
    <t>519537-1</t>
  </si>
  <si>
    <t>ROTOR 36V / DLW140</t>
  </si>
  <si>
    <t>519549-4</t>
  </si>
  <si>
    <t>ROTOR 18V / DHR182</t>
  </si>
  <si>
    <t>519554-1</t>
  </si>
  <si>
    <t>519557-5</t>
  </si>
  <si>
    <t>519560-6</t>
  </si>
  <si>
    <t>ROTOR MAGNETICO 36V /UR012G</t>
  </si>
  <si>
    <t>519567-2</t>
  </si>
  <si>
    <t>ROTOR 18V / DSL800</t>
  </si>
  <si>
    <t>519570-3</t>
  </si>
  <si>
    <t>ROTOR 36V / DHW080</t>
  </si>
  <si>
    <t>519576-1</t>
  </si>
  <si>
    <t>ROTOR MAGNETICO LXT / DUC406</t>
  </si>
  <si>
    <t>519580-0</t>
  </si>
  <si>
    <t>ROTOR 18V / DUB184</t>
  </si>
  <si>
    <t>519587-6</t>
  </si>
  <si>
    <t>ROTOR 220V/UR101</t>
  </si>
  <si>
    <t>519589-2</t>
  </si>
  <si>
    <t>ROTOR 18V / DHK180</t>
  </si>
  <si>
    <t>519590-7</t>
  </si>
  <si>
    <t>ROTOR 18V / DKP181</t>
  </si>
  <si>
    <t>519593-1</t>
  </si>
  <si>
    <t>519595-7</t>
  </si>
  <si>
    <t>ROTOR 40V / GA028G - GA015G</t>
  </si>
  <si>
    <t>519598-1</t>
  </si>
  <si>
    <t>ROTOR MAGNETICO/DUN500W- DUN600L</t>
  </si>
  <si>
    <t>519602-6</t>
  </si>
  <si>
    <t>ROTOR 36V / DHS900 - DHS901</t>
  </si>
  <si>
    <t>519606-8</t>
  </si>
  <si>
    <t>MOTOR  / DLM465</t>
  </si>
  <si>
    <t>519630-1</t>
  </si>
  <si>
    <t>PALANCA/ VARIOS</t>
  </si>
  <si>
    <t>519635-1</t>
  </si>
  <si>
    <t>ROTOR 18V / DTW700 - DTW701</t>
  </si>
  <si>
    <t>519639-3</t>
  </si>
  <si>
    <t>ROTOR MAGNETICO /UB002C</t>
  </si>
  <si>
    <t>519642-4</t>
  </si>
  <si>
    <t>ROTOR 40V / HM001G</t>
  </si>
  <si>
    <t>519643-2</t>
  </si>
  <si>
    <t>ROTOR 18V / DUR192L</t>
  </si>
  <si>
    <t>519647-4</t>
  </si>
  <si>
    <t>ROTOR MAGNETICO  /UR006G-07G</t>
  </si>
  <si>
    <t>519651-3</t>
  </si>
  <si>
    <t>ROTOR 80V / HM002G</t>
  </si>
  <si>
    <t>519652-1</t>
  </si>
  <si>
    <t>ROTOR MAGNETICO / HR006G</t>
  </si>
  <si>
    <t>519654-7</t>
  </si>
  <si>
    <t>ROTOR 220V/DUX18</t>
  </si>
  <si>
    <t>519665-2</t>
  </si>
  <si>
    <t>ROTOR 18V / DCC500</t>
  </si>
  <si>
    <t>519683-0</t>
  </si>
  <si>
    <t>ROTOR 18V / DTM52</t>
  </si>
  <si>
    <t>519685-6</t>
  </si>
  <si>
    <t>ROTOR  MAGNETICO /DFR452 - DFR551</t>
  </si>
  <si>
    <t>519689-8</t>
  </si>
  <si>
    <t>ROTOR 40V / VARIOS</t>
  </si>
  <si>
    <t>519691-1</t>
  </si>
  <si>
    <t>ROTOR 40V / TW007G - TW008G</t>
  </si>
  <si>
    <t>519694-5</t>
  </si>
  <si>
    <t>519695-3</t>
  </si>
  <si>
    <t>ROTOR 40V / UH006G - UH007G</t>
  </si>
  <si>
    <t>519698-7</t>
  </si>
  <si>
    <t>ROTOR 40V / SP001G</t>
  </si>
  <si>
    <t>519705-6</t>
  </si>
  <si>
    <t>ROTOR 18V / DBO380</t>
  </si>
  <si>
    <t>519710-3</t>
  </si>
  <si>
    <t>519715-3</t>
  </si>
  <si>
    <t>ROTOR MAGNETICO / HR007G</t>
  </si>
  <si>
    <t>519717-9</t>
  </si>
  <si>
    <t>ROTOR 80V / CE001G</t>
  </si>
  <si>
    <t>519721-8</t>
  </si>
  <si>
    <t>ROTOR MAGNETICO / HS009G - HS010G</t>
  </si>
  <si>
    <t>519736-5</t>
  </si>
  <si>
    <t>ROTOR MAGNETICO / PB002G</t>
  </si>
  <si>
    <t>519738-1</t>
  </si>
  <si>
    <t>ROTOR 40V / PV001G</t>
  </si>
  <si>
    <t>519762-4</t>
  </si>
  <si>
    <t>ROTOR MAGNETICO XGT / VARIOS</t>
  </si>
  <si>
    <t>519766-6</t>
  </si>
  <si>
    <t>ROTOR MAGNETICO LXT / VARIOS</t>
  </si>
  <si>
    <t>519770-5</t>
  </si>
  <si>
    <t>ROTOR MAGNETICO LXT / DJR189</t>
  </si>
  <si>
    <t>519778-9</t>
  </si>
  <si>
    <t>ROTOR MAGNETICO CPL/ HS012G</t>
  </si>
  <si>
    <t>519794-1</t>
  </si>
  <si>
    <t>519814-1</t>
  </si>
  <si>
    <t>519824-8</t>
  </si>
  <si>
    <t>519858-1</t>
  </si>
  <si>
    <t>520074-0</t>
  </si>
  <si>
    <t>ESTATOR 220V / DS5000</t>
  </si>
  <si>
    <t>521215-1</t>
  </si>
  <si>
    <t>ESTATOR 220V / 3700B</t>
  </si>
  <si>
    <t>521878-3</t>
  </si>
  <si>
    <t>ESTATOR 220V / JR3061T</t>
  </si>
  <si>
    <t>521893-7</t>
  </si>
  <si>
    <t>ESTATOR 220V / JR3051T</t>
  </si>
  <si>
    <t>521918-7</t>
  </si>
  <si>
    <t>ESTATOR 220V / VR1000</t>
  </si>
  <si>
    <t>522165-3</t>
  </si>
  <si>
    <t>ESTATOR 220V / 6016</t>
  </si>
  <si>
    <t>522438-4</t>
  </si>
  <si>
    <t>ESTATOR 220V / 6013BR</t>
  </si>
  <si>
    <t>522508-9</t>
  </si>
  <si>
    <t>ESTATOR 220V / HM0810 - HM0810T</t>
  </si>
  <si>
    <t>522683-1</t>
  </si>
  <si>
    <t>ESTATOR 220V / PC1100</t>
  </si>
  <si>
    <t>523005-8</t>
  </si>
  <si>
    <t>ESTATOR 220V / 9105</t>
  </si>
  <si>
    <t>523025-2</t>
  </si>
  <si>
    <t>ESTATOR 220V / 1805N</t>
  </si>
  <si>
    <t>CARTER / VARIOS</t>
  </si>
  <si>
    <t>EMPAQUETADURA DE CARBURADOR / VARIOS</t>
  </si>
  <si>
    <t>523404-4</t>
  </si>
  <si>
    <t>ESTATOR 220V / VARIOS</t>
  </si>
  <si>
    <t>523413-3</t>
  </si>
  <si>
    <t>ESTATOR 220V / GA9050 - GA7050</t>
  </si>
  <si>
    <t>523423-0</t>
  </si>
  <si>
    <t>ESTATOR 220V / GS5000 - GS6000</t>
  </si>
  <si>
    <t>524125-1</t>
  </si>
  <si>
    <t>ESTATOR 220V / 5900B - 5900BR</t>
  </si>
  <si>
    <t>524633-2</t>
  </si>
  <si>
    <t>ESTATOR 220V / HM1201</t>
  </si>
  <si>
    <t>525098-1</t>
  </si>
  <si>
    <t>525713-7</t>
  </si>
  <si>
    <t>ESTATOR 220V / JR3050T</t>
  </si>
  <si>
    <t>525743-8</t>
  </si>
  <si>
    <t>ESTATOR 220V / SP6000 - CA5000</t>
  </si>
  <si>
    <t>525768-2</t>
  </si>
  <si>
    <t>ESTATOR 220V / GA5020 - GA5010</t>
  </si>
  <si>
    <t>525783-6</t>
  </si>
  <si>
    <t>ESTATOR 220V / PC5001C</t>
  </si>
  <si>
    <t>525788-6</t>
  </si>
  <si>
    <t>ESTATOR 220V / GA5020C</t>
  </si>
  <si>
    <t>525868-8</t>
  </si>
  <si>
    <t>ESTATOR 220V / JS3201</t>
  </si>
  <si>
    <t>526033-2</t>
  </si>
  <si>
    <t>ESTATOR 220V / 407</t>
  </si>
  <si>
    <t>526053-6</t>
  </si>
  <si>
    <t>526068-3</t>
  </si>
  <si>
    <t>526073-0</t>
  </si>
  <si>
    <t>526093-4</t>
  </si>
  <si>
    <t>ESTATOR 220V / HM1202C</t>
  </si>
  <si>
    <t>526103-7</t>
  </si>
  <si>
    <t>ESTATOR 220V / 2012NB</t>
  </si>
  <si>
    <t>526148-5</t>
  </si>
  <si>
    <t>ESTATOR 220V / TW1000</t>
  </si>
  <si>
    <t>526178-6</t>
  </si>
  <si>
    <t>ESTATOR 220V / GA9020 - GA7020</t>
  </si>
  <si>
    <t>526193-0</t>
  </si>
  <si>
    <t>ESTATOR 220V / GA7030</t>
  </si>
  <si>
    <t>526198-0</t>
  </si>
  <si>
    <t>ESTATOR 220V / GA9040S - GA7040S</t>
  </si>
  <si>
    <t>526203-3</t>
  </si>
  <si>
    <t>526583-7</t>
  </si>
  <si>
    <t>ESTATOR 220V / HR2810</t>
  </si>
  <si>
    <t>526608-7</t>
  </si>
  <si>
    <t>ESTATOR 220V / GV5010</t>
  </si>
  <si>
    <t>526609-5</t>
  </si>
  <si>
    <t>ESTATOR 240V (AU) / GV5010</t>
  </si>
  <si>
    <t>528803-5</t>
  </si>
  <si>
    <t>ESTATOR 220V / JR3070CT</t>
  </si>
  <si>
    <t>529089-4</t>
  </si>
  <si>
    <t>ESTATOR 220V / MHP160 - MT813</t>
  </si>
  <si>
    <t>529146-8</t>
  </si>
  <si>
    <t>ESTATOR / DUR365U</t>
  </si>
  <si>
    <t>529187-4</t>
  </si>
  <si>
    <t>ESTATOR 18V / DHR242</t>
  </si>
  <si>
    <t>529420-4</t>
  </si>
  <si>
    <t>ESTATOR CPL 36V / DUC406</t>
  </si>
  <si>
    <t>531057-5</t>
  </si>
  <si>
    <t>BOBINA DE ENCENDIDO / RBC320</t>
  </si>
  <si>
    <t>CUBIERTA DE LA BUJIA / RBC320</t>
  </si>
  <si>
    <t>539168-0</t>
  </si>
  <si>
    <t>SOPORTE DE ESTATOR / 9237CB - 9227CB</t>
  </si>
  <si>
    <t>539214-9</t>
  </si>
  <si>
    <t>PORTA CARBON / BHR261 - BHR261T</t>
  </si>
  <si>
    <t>539215-7</t>
  </si>
  <si>
    <t>539233-5</t>
  </si>
  <si>
    <t>CARBON / DBN600</t>
  </si>
  <si>
    <t>539237-7</t>
  </si>
  <si>
    <t>539241-6</t>
  </si>
  <si>
    <t>PORTA CARBON CPL - DTD156</t>
  </si>
  <si>
    <t>PISTON /RBL500</t>
  </si>
  <si>
    <t>PISTON / RBC411</t>
  </si>
  <si>
    <t>FILTRO DE AIRE/ RBL500</t>
  </si>
  <si>
    <t>MEMBRANA DE  BOMBA / RBL500</t>
  </si>
  <si>
    <t>EMPAQUE DE  BOMBA / RBL500</t>
  </si>
  <si>
    <t>DIAFRAGMA / RBL500</t>
  </si>
  <si>
    <t>EMPAQUE EXTERNO CARBURADOR / RBL500</t>
  </si>
  <si>
    <t>BOBINA / RBL500</t>
  </si>
  <si>
    <t>ANILLOS / RBL500</t>
  </si>
  <si>
    <t>590018-4</t>
  </si>
  <si>
    <t>ESTATOR 220V / 3709 - 4403</t>
  </si>
  <si>
    <t>590022-3</t>
  </si>
  <si>
    <t>CAMPO P/LS1016</t>
  </si>
  <si>
    <t>590053-2</t>
  </si>
  <si>
    <t>ESTATOR 220 / M3601</t>
  </si>
  <si>
    <t>590077-8</t>
  </si>
  <si>
    <t>ROTOR 220V / M4001</t>
  </si>
  <si>
    <t>590086-7</t>
  </si>
  <si>
    <t>ESTATOR 220V /  / 4403</t>
  </si>
  <si>
    <t>590090-6</t>
  </si>
  <si>
    <t>ESTATOR 220V / 3709</t>
  </si>
  <si>
    <t>TOPE DE VARILLA / PLM5113N2- PLM5600N2</t>
  </si>
  <si>
    <t>VARILLA DE EMPUJE</t>
  </si>
  <si>
    <t>BIELA</t>
  </si>
  <si>
    <t>PALANCA DE CONTROL/ PLM5113N2- PLM5600N2</t>
  </si>
  <si>
    <t>TUBO ADMISION FLEXIBLE/ VARIOS</t>
  </si>
  <si>
    <t>BALANCIN</t>
  </si>
  <si>
    <t>VALVULA DE RESORTE</t>
  </si>
  <si>
    <t>VARILLA DE CHOKE</t>
  </si>
  <si>
    <t>ESPACIADOR DE CARBURADOR/ PLM5113N2- PLM5600N2</t>
  </si>
  <si>
    <t>PASADOR DE BISAGRA</t>
  </si>
  <si>
    <t>KIT DE CARBURADOR</t>
  </si>
  <si>
    <t>RESORTENDE CHOKE / VARIOS</t>
  </si>
  <si>
    <t>TORNILLOS / VARIOS</t>
  </si>
  <si>
    <t>BASE DE VARILLA</t>
  </si>
  <si>
    <t>CUERDA DE ARRANQUE / VARIOS</t>
  </si>
  <si>
    <t>FLOTADOR DE CARBUARDOR / VARIOS</t>
  </si>
  <si>
    <t>CLAVIJA DE CONEXION /VARIOS</t>
  </si>
  <si>
    <t>RESERVORIO DE FLOTADOR</t>
  </si>
  <si>
    <t>PISTON Y ANILLOS / PLM4628N</t>
  </si>
  <si>
    <t>CILINDRO /PLM4628N- PLM4627N</t>
  </si>
  <si>
    <t>BLOQUE DE CILINDRO / EF1550RH</t>
  </si>
  <si>
    <t>CILINDRO / BHX2500</t>
  </si>
  <si>
    <t>EMPAQUE  TAPA DE ENGRANAJE /VARIOS</t>
  </si>
  <si>
    <t>TUBO DE ESCAPE / EVH2000</t>
  </si>
  <si>
    <t>ARRANCADOR CPL / EF1550RH</t>
  </si>
  <si>
    <t>ARRANCADOR / EVH2000</t>
  </si>
  <si>
    <t>POLEA DE ARRANQUE /VARIOS</t>
  </si>
  <si>
    <t>CARBURADOR CPL / EF1550RH</t>
  </si>
  <si>
    <t>TANQUE DE GASOLINA / VARIOS</t>
  </si>
  <si>
    <t>ENGRANAJE DE SINCRONISMO /PLM4628N- PLM4627N</t>
  </si>
  <si>
    <t>592H45-5</t>
  </si>
  <si>
    <t>ESTATOR 36V / DUC400</t>
  </si>
  <si>
    <t>593118-9</t>
  </si>
  <si>
    <t>ESTATOR 220V / 1900B - 1902</t>
  </si>
  <si>
    <t>593138-3</t>
  </si>
  <si>
    <t>EMPAQUE DE VALVULAS / VARIOS</t>
  </si>
  <si>
    <t>ANILLOS GOMA / VARIOS</t>
  </si>
  <si>
    <t>FILTRO DE PAPEL</t>
  </si>
  <si>
    <t>593458-5</t>
  </si>
  <si>
    <t>ESTATOR 220V / BO3700</t>
  </si>
  <si>
    <t>ARRANCADOR CPL / PE3450H</t>
  </si>
  <si>
    <t>593508-6</t>
  </si>
  <si>
    <t>ESTATOR 220V / 4350FCT</t>
  </si>
  <si>
    <t>593523-0</t>
  </si>
  <si>
    <t>593588-2</t>
  </si>
  <si>
    <t>593603-2</t>
  </si>
  <si>
    <t>593643-0</t>
  </si>
  <si>
    <t>ESTATOR 220V / 6413</t>
  </si>
  <si>
    <t>593648-0</t>
  </si>
  <si>
    <t>ESTATOR 220V / BO4556</t>
  </si>
  <si>
    <t>EMPAQUE DE CARTER / PE3450H</t>
  </si>
  <si>
    <t>TUBO DE ACEITE / EB7660TH</t>
  </si>
  <si>
    <t>593668-4</t>
  </si>
  <si>
    <t>593703-8</t>
  </si>
  <si>
    <t>ESTATOR 220V / BO3710</t>
  </si>
  <si>
    <t>593718-5</t>
  </si>
  <si>
    <t>ESTATOR 220V / KP0800</t>
  </si>
  <si>
    <t>593803-4</t>
  </si>
  <si>
    <t>ESTATOR 220V / M8103 - MHP132</t>
  </si>
  <si>
    <t>593863-6</t>
  </si>
  <si>
    <t>ESTATOR 220V / M5801</t>
  </si>
  <si>
    <t>593869-4</t>
  </si>
  <si>
    <t>ESTATOR 220V / UC4041A /-UC4020C</t>
  </si>
  <si>
    <t>BOBINA /PLM4628N- PLM4627N</t>
  </si>
  <si>
    <t>593873-3</t>
  </si>
  <si>
    <t>ESTATOR 220V / GD0603</t>
  </si>
  <si>
    <t>593908-0</t>
  </si>
  <si>
    <t>ESTATOR 220V / LW1401</t>
  </si>
  <si>
    <t>593923-4</t>
  </si>
  <si>
    <t>ESTATOR 220V / M1902</t>
  </si>
  <si>
    <t>593943-8</t>
  </si>
  <si>
    <t>593948-8</t>
  </si>
  <si>
    <t>ESTATOR 220V / M2401</t>
  </si>
  <si>
    <t>593953-5</t>
  </si>
  <si>
    <t>ESTATOR 220V / M0400</t>
  </si>
  <si>
    <t>COPA/ PLM5113N2- PLM5600N2</t>
  </si>
  <si>
    <t>593973-9</t>
  </si>
  <si>
    <t>ESTATOR 220V / M3700</t>
  </si>
  <si>
    <t>VOLANTE MAGNETICO/ PLM5113N2- PLM5600N2</t>
  </si>
  <si>
    <t>SURTIDOR PRINCIPAL</t>
  </si>
  <si>
    <t>ARRANCADOR/ PLM5113N2- PLM5600N2</t>
  </si>
  <si>
    <t>JUNTA DE LA TAPA / VARIOS</t>
  </si>
  <si>
    <t>BIELA CPL /VARIOS</t>
  </si>
  <si>
    <t>ARBOL DE LEVAS/ VARIOS</t>
  </si>
  <si>
    <t>RETENEDOR VALVULA/ PLM5113N2- PLM5600N2</t>
  </si>
  <si>
    <t>CAJA DE BALACIN/ PLM5113N2- PLM5600N2</t>
  </si>
  <si>
    <t>VALVULA DE ADMISION CPL/ VARIOS</t>
  </si>
  <si>
    <t>VALVULA DE ESCAPE / PLM5113N2- PLM5600N2</t>
  </si>
  <si>
    <t>SELLO DE VALVULA/ PLM5113N2- PLM5600N2</t>
  </si>
  <si>
    <t>TOPE DE VALVULA / PLM5113N2- PLM5600N2</t>
  </si>
  <si>
    <t>JUEGO ANILLOS / PLM5113N2- PLM5600N2</t>
  </si>
  <si>
    <t>PISTON Y ANILLOS CPL / VARIOS</t>
  </si>
  <si>
    <t>CILINDRO/ PLM5113N2- PLM5600N2</t>
  </si>
  <si>
    <t>JUEGO DE EMPAQUES DE MOTOR /VARIOS</t>
  </si>
  <si>
    <t>VENTILADOR DE VOLANTE/ PLM5113N2- PLM5600N2</t>
  </si>
  <si>
    <t>TAPA DE VOLANTE/ PLM5113N2- PLM5600N2</t>
  </si>
  <si>
    <t>ENGRANAJE DE CIGUEÑAL/ PLM5113N2- PLM5600N2</t>
  </si>
  <si>
    <t>TAPA FILTRO DE AIRE/ VARIOS</t>
  </si>
  <si>
    <t>BASE DE FILTRO AIRE/ PLM5113N2- PLM5600N2</t>
  </si>
  <si>
    <t>TUBO DE ESCAPE/ PLM5113N2- PLM5600N2</t>
  </si>
  <si>
    <t>REJILLA DE TUBO ESCAPE/ PLM5113N2- PLM5600N2</t>
  </si>
  <si>
    <t>RETENEDOR DE VALVULAS/VARIOS</t>
  </si>
  <si>
    <t>594438-4</t>
  </si>
  <si>
    <t>ESTATOR 220V / UB1100 - UB1101</t>
  </si>
  <si>
    <t>594468-5</t>
  </si>
  <si>
    <t>594533-0</t>
  </si>
  <si>
    <t>ESTATOR 220V / M1100</t>
  </si>
  <si>
    <t>AGUJA DE CARBURADOR /VARIOS</t>
  </si>
  <si>
    <t>594583-5</t>
  </si>
  <si>
    <t>ESTATOR 220V / 4100NH2R</t>
  </si>
  <si>
    <t>594588-5</t>
  </si>
  <si>
    <t>ESTATOR 220V / M4302</t>
  </si>
  <si>
    <t>594593-2</t>
  </si>
  <si>
    <t>ESTATOR 220V / RP0900 - M3601</t>
  </si>
  <si>
    <t>594613-2</t>
  </si>
  <si>
    <t>ESTATOR 220V / 4100NH3</t>
  </si>
  <si>
    <t>594623-9</t>
  </si>
  <si>
    <t>594633-6</t>
  </si>
  <si>
    <t>ESTATOR 220V / UB1103</t>
  </si>
  <si>
    <t>594643-3</t>
  </si>
  <si>
    <t>ESTATOR 220V / HS7600</t>
  </si>
  <si>
    <t>594653-0</t>
  </si>
  <si>
    <t>ESTATOR 220V / M6600</t>
  </si>
  <si>
    <t>594658-0</t>
  </si>
  <si>
    <t>ESTATOR 220V / M6201</t>
  </si>
  <si>
    <t>594663-7</t>
  </si>
  <si>
    <t>ESTATOR 220V / M8600</t>
  </si>
  <si>
    <t>594668-7</t>
  </si>
  <si>
    <t>ESTATOR 220V / M9003</t>
  </si>
  <si>
    <t>594679-2</t>
  </si>
  <si>
    <t>ESTATOR 220V / HS7010</t>
  </si>
  <si>
    <t>594703-1</t>
  </si>
  <si>
    <t>594708-1</t>
  </si>
  <si>
    <t>BOBINA /PLM5113N2- PLM5600N2</t>
  </si>
  <si>
    <t>595088-8</t>
  </si>
  <si>
    <t>ESTATOR 220V / MGD100 - MT910</t>
  </si>
  <si>
    <t>595093-5</t>
  </si>
  <si>
    <t>ESTATOR /M9100</t>
  </si>
  <si>
    <t>CARCASA  EXTERIOR /PLM5113N2- PLM5600N2</t>
  </si>
  <si>
    <t>FILTRO AIRE ESPONJA/VARIOS</t>
  </si>
  <si>
    <t>EMPAQUE DE TAPA/PLM4628N- PLM4627N</t>
  </si>
  <si>
    <t>JUEGO EMPAQUE/PLM4628N- PLM4627N</t>
  </si>
  <si>
    <t>MODULO DE ARRANQUE /VARIOS</t>
  </si>
  <si>
    <t>CARBURADOR CPL / PLM4628</t>
  </si>
  <si>
    <t>596068-7</t>
  </si>
  <si>
    <t>596183-7</t>
  </si>
  <si>
    <t>ESTATOR 220V / 2704</t>
  </si>
  <si>
    <t>596193-4</t>
  </si>
  <si>
    <t>ESTATOR 220V / 9403</t>
  </si>
  <si>
    <t>596208-7</t>
  </si>
  <si>
    <t>ESTATOR 220V / N5900B - HS0600</t>
  </si>
  <si>
    <t>596238-8</t>
  </si>
  <si>
    <t>ESTATOR 220V / LS1221</t>
  </si>
  <si>
    <t>596248-5</t>
  </si>
  <si>
    <t>596263-9</t>
  </si>
  <si>
    <t>596273-6</t>
  </si>
  <si>
    <t>ESTATOR 220V / LF1000</t>
  </si>
  <si>
    <t>596278-6</t>
  </si>
  <si>
    <t>ESTATOR 220V / M9001 - M9000</t>
  </si>
  <si>
    <t>596288-3</t>
  </si>
  <si>
    <t>ESTATOR 220V / 5007NK</t>
  </si>
  <si>
    <t>596298-0</t>
  </si>
  <si>
    <t>ESTATOR 220V / M9400</t>
  </si>
  <si>
    <t>596348-1</t>
  </si>
  <si>
    <t>ESTATOR 220V / LS1016</t>
  </si>
  <si>
    <t>596358-8</t>
  </si>
  <si>
    <t>ESTATOR 220V / LS1219L</t>
  </si>
  <si>
    <t>596378-2</t>
  </si>
  <si>
    <t>ESTATOR 220V / M3600</t>
  </si>
  <si>
    <t>596398-6</t>
  </si>
  <si>
    <t>ESTATOR 220V / 5007F - 5007NB</t>
  </si>
  <si>
    <t>596410-2</t>
  </si>
  <si>
    <t>ESTATOR P/ 2704</t>
  </si>
  <si>
    <t>EMPAQUE DE BALANCIN / BBX7600</t>
  </si>
  <si>
    <t>TUBO DE ESCAPE / VARIOS</t>
  </si>
  <si>
    <t>EMPAQUE EXTERNO CARBURADOR / BBX7600</t>
  </si>
  <si>
    <t>PALANCA DE AHOGADOR /VARIOS</t>
  </si>
  <si>
    <t>ARRANCADOR / BBX7600</t>
  </si>
  <si>
    <t>POLEA</t>
  </si>
  <si>
    <t>CARBURADOR / BBX7600</t>
  </si>
  <si>
    <t>EMPAQUE DE CARTER / BBX7600</t>
  </si>
  <si>
    <t>BOBINA / VARIOS</t>
  </si>
  <si>
    <t>599095-3</t>
  </si>
  <si>
    <t>ESTATOR 220V / 4100NH2</t>
  </si>
  <si>
    <t>616968-6</t>
  </si>
  <si>
    <t>619087-7</t>
  </si>
  <si>
    <t>619103-5</t>
  </si>
  <si>
    <t>ROTOR 240V (AU) / MT600 - MT601</t>
  </si>
  <si>
    <t>619146-7</t>
  </si>
  <si>
    <t>ROTOR 220V / MHP160 - MT813</t>
  </si>
  <si>
    <t>619170-0</t>
  </si>
  <si>
    <t>ROTOR 18V / BDF450 - BHP450</t>
  </si>
  <si>
    <t>619190-4</t>
  </si>
  <si>
    <t>ROTOR 18V / BHR240</t>
  </si>
  <si>
    <t>619198-8</t>
  </si>
  <si>
    <t>ROTOR 18V / BDF452 - BHP452</t>
  </si>
  <si>
    <t>619218-8</t>
  </si>
  <si>
    <t>619230-8</t>
  </si>
  <si>
    <t>619254-4</t>
  </si>
  <si>
    <t>619263-3</t>
  </si>
  <si>
    <t>ROTOR 18V / DHP456 - DDF456</t>
  </si>
  <si>
    <t>619284-5</t>
  </si>
  <si>
    <t>ROTOR 18V / DGD800</t>
  </si>
  <si>
    <t>619293-4</t>
  </si>
  <si>
    <t>ROTOR MAGNETICO LXT / DHR242</t>
  </si>
  <si>
    <t>619303-7</t>
  </si>
  <si>
    <t>ROTOR 18V / BTD129 - DTD129</t>
  </si>
  <si>
    <t>619304-5</t>
  </si>
  <si>
    <t>ROTOR MAGNETICO / DHP459 - DDF459</t>
  </si>
  <si>
    <t>619324-9</t>
  </si>
  <si>
    <t>ROTOR 18V / DUR182U</t>
  </si>
  <si>
    <t>619331-2</t>
  </si>
  <si>
    <t>619334-6</t>
  </si>
  <si>
    <t>ROTOR 18V / DHR165 - DHR165</t>
  </si>
  <si>
    <t>619339-6</t>
  </si>
  <si>
    <t>ROTOR 18V / DBN500</t>
  </si>
  <si>
    <t>619341-9</t>
  </si>
  <si>
    <t>ROTOR MAGNETICO LXT / DTW285</t>
  </si>
  <si>
    <t>619360-5</t>
  </si>
  <si>
    <t>ROTOR 36V / AT3735C - DUR364L</t>
  </si>
  <si>
    <t>619364-7</t>
  </si>
  <si>
    <t>ROTOR 18V / DFL650F - DFL651F</t>
  </si>
  <si>
    <t>619372-8</t>
  </si>
  <si>
    <t>ROTOR 18V / DTD146</t>
  </si>
  <si>
    <t>619375-2</t>
  </si>
  <si>
    <t>ROTOR 18V / DTW251</t>
  </si>
  <si>
    <t>619377-8</t>
  </si>
  <si>
    <t>ROTOR 18V / DTD152</t>
  </si>
  <si>
    <t>619380-9</t>
  </si>
  <si>
    <t>ROTOR 18V / DDF482 - DHP482</t>
  </si>
  <si>
    <t>619393-0</t>
  </si>
  <si>
    <t>ROTOR 12V / HP332D</t>
  </si>
  <si>
    <t>619395-6</t>
  </si>
  <si>
    <t>ROTOR MAGNETICO LXT / DVC260</t>
  </si>
  <si>
    <t>619397-2</t>
  </si>
  <si>
    <t>ROTOR 18V / DHP481 - DDF481</t>
  </si>
  <si>
    <t>619404-1</t>
  </si>
  <si>
    <t>ROTOR 18V / DTD153</t>
  </si>
  <si>
    <t>619406-7</t>
  </si>
  <si>
    <t>ROTOR 18 V / DHP484</t>
  </si>
  <si>
    <t>619408-3</t>
  </si>
  <si>
    <t>619410-6</t>
  </si>
  <si>
    <t>619419-8</t>
  </si>
  <si>
    <t>ROTOR MAGNETICO LXT / DTD170</t>
  </si>
  <si>
    <t>619421-1</t>
  </si>
  <si>
    <t>ROTOR 18V / DHR171 - HR166D</t>
  </si>
  <si>
    <t>619431-8</t>
  </si>
  <si>
    <t>ROTOR 36V / DVC864L</t>
  </si>
  <si>
    <t>619456-2</t>
  </si>
  <si>
    <t>ROTOR DE 18V / DBN600</t>
  </si>
  <si>
    <t>619460-1</t>
  </si>
  <si>
    <t>619462-7</t>
  </si>
  <si>
    <t>ROTOR / DUR365U</t>
  </si>
  <si>
    <t>619491-0</t>
  </si>
  <si>
    <t>ROTOR 18V / DTW180</t>
  </si>
  <si>
    <t>619496-0</t>
  </si>
  <si>
    <t>ROTOR 18V / DHP458 - DDF458</t>
  </si>
  <si>
    <t>619512-8</t>
  </si>
  <si>
    <t>ROTOR 12V / SC103D</t>
  </si>
  <si>
    <t>619517-8</t>
  </si>
  <si>
    <t>619518-6</t>
  </si>
  <si>
    <t>ROTOR MAGNETICO / DUC254</t>
  </si>
  <si>
    <t>619520-9</t>
  </si>
  <si>
    <t>ROTOR MAGNETICO 18V / DTR180</t>
  </si>
  <si>
    <t>619533-0</t>
  </si>
  <si>
    <t>ROTOR 18V / DHP485 - DDF485</t>
  </si>
  <si>
    <t>619535-6</t>
  </si>
  <si>
    <t>ROTOR 18V / DVR150</t>
  </si>
  <si>
    <t>619540-3</t>
  </si>
  <si>
    <t>ROTOR 18V / DVC750L</t>
  </si>
  <si>
    <t>619551-8</t>
  </si>
  <si>
    <t>ROTOR 18V / DUT130 - DUT131</t>
  </si>
  <si>
    <t>619553-4</t>
  </si>
  <si>
    <t>ROTOR 18V / DTD156</t>
  </si>
  <si>
    <t>619605-1</t>
  </si>
  <si>
    <t>ROTOR 40V /TD001G</t>
  </si>
  <si>
    <t>619609-3</t>
  </si>
  <si>
    <t>ROTOR 36V / AG3751 - DUB363</t>
  </si>
  <si>
    <t>619613-2</t>
  </si>
  <si>
    <t>ROTOR 40V / HP001G</t>
  </si>
  <si>
    <t>619626-3</t>
  </si>
  <si>
    <t>ROTOR 18V / DTW300</t>
  </si>
  <si>
    <t>619628-9</t>
  </si>
  <si>
    <t>ROTOR 18V / DPB183 - DPB184</t>
  </si>
  <si>
    <t>619656-4</t>
  </si>
  <si>
    <t>ROTOR 18V / DHP486</t>
  </si>
  <si>
    <t>619659-8</t>
  </si>
  <si>
    <t>ROTOR 40V / HP002G</t>
  </si>
  <si>
    <t>619663-7</t>
  </si>
  <si>
    <t>ROTOR 18V / DPV300 - PV301D</t>
  </si>
  <si>
    <t>619671-8</t>
  </si>
  <si>
    <t>ROTOR 18V / DHP-487</t>
  </si>
  <si>
    <t>619672-6</t>
  </si>
  <si>
    <t>ROTOR MAGNETICO /DTD157</t>
  </si>
  <si>
    <t>619704-9</t>
  </si>
  <si>
    <t>ROTOR MAGNETICO / VARIOS</t>
  </si>
  <si>
    <t>619737-4</t>
  </si>
  <si>
    <t>619748-9</t>
  </si>
  <si>
    <t>619791-8</t>
  </si>
  <si>
    <t>619797-6</t>
  </si>
  <si>
    <t>ROTOR DDF489/DHP489</t>
  </si>
  <si>
    <t>619816-8</t>
  </si>
  <si>
    <t>619841-9</t>
  </si>
  <si>
    <t>620033-5</t>
  </si>
  <si>
    <t>620040-8</t>
  </si>
  <si>
    <t>CONTROLADOR / RT0700C</t>
  </si>
  <si>
    <t>620046-6</t>
  </si>
  <si>
    <t>CONTROLADOR / JV0600</t>
  </si>
  <si>
    <t>620052-1</t>
  </si>
  <si>
    <t>CIRCUITO LED / DTD146</t>
  </si>
  <si>
    <t>620069-4</t>
  </si>
  <si>
    <t>CONTROLADOR / PK5011C</t>
  </si>
  <si>
    <t>620072-5</t>
  </si>
  <si>
    <t>620081-4</t>
  </si>
  <si>
    <t>CONTROLADOR / RP2301FC</t>
  </si>
  <si>
    <t>620127-6</t>
  </si>
  <si>
    <t>CONTROLADOR / GA4540C</t>
  </si>
  <si>
    <t>620138-1</t>
  </si>
  <si>
    <t>CIRCUITO DE ILUMINACION / DHP458 - DDF458</t>
  </si>
  <si>
    <t>620162-4</t>
  </si>
  <si>
    <t>CONTROLADOR / DHP459 - DDF459</t>
  </si>
  <si>
    <t>620180-2</t>
  </si>
  <si>
    <t>SUB CONTROLADOR / DCG180</t>
  </si>
  <si>
    <t>620185-2</t>
  </si>
  <si>
    <t>SUB CONTROLADOR / VC3211H - VC2211M</t>
  </si>
  <si>
    <t>620186-0</t>
  </si>
  <si>
    <t>CIRCUITO DE SONIDO</t>
  </si>
  <si>
    <t>620187-8</t>
  </si>
  <si>
    <t>CONTROLADOR A11-02 / M4000</t>
  </si>
  <si>
    <t>620200-2</t>
  </si>
  <si>
    <t>CONTROLADOR / HR4013C</t>
  </si>
  <si>
    <t>620202-8</t>
  </si>
  <si>
    <t>CONTROLADOR / HR4003C</t>
  </si>
  <si>
    <t>620225-6</t>
  </si>
  <si>
    <t>CONTROLADOR (BR) / HM1214C</t>
  </si>
  <si>
    <t>620226-4</t>
  </si>
  <si>
    <t>CONTROLADOR / HM1214C</t>
  </si>
  <si>
    <t>620228-0</t>
  </si>
  <si>
    <t>CONTROLADOR / HM1307C - HM1307CB</t>
  </si>
  <si>
    <t>620230-3</t>
  </si>
  <si>
    <t>CONTROLADOR / HM1317CB</t>
  </si>
  <si>
    <t>620241-8</t>
  </si>
  <si>
    <t>CONTROLADOR</t>
  </si>
  <si>
    <t>620243-4</t>
  </si>
  <si>
    <t>620249-2</t>
  </si>
  <si>
    <t>CONTROLADOR / HR5212C</t>
  </si>
  <si>
    <t>620251-5</t>
  </si>
  <si>
    <t>CONTROLADOR / HR5202C</t>
  </si>
  <si>
    <t>620270-1</t>
  </si>
  <si>
    <t>CONTROLADOR / DTM51</t>
  </si>
  <si>
    <t>620275-1</t>
  </si>
  <si>
    <t>CONTROLADOR / DUC252 - DUC302</t>
  </si>
  <si>
    <t>620277-7</t>
  </si>
  <si>
    <t>CONTROLADOR / DLM380</t>
  </si>
  <si>
    <t>620280-8</t>
  </si>
  <si>
    <t>CONTROLADOR / DHR263</t>
  </si>
  <si>
    <t>620283-2</t>
  </si>
  <si>
    <t>CIRCUITO LED / VARIOS</t>
  </si>
  <si>
    <t>620291-3</t>
  </si>
  <si>
    <t>CONTROLADOR / DBN500</t>
  </si>
  <si>
    <t>620295-5</t>
  </si>
  <si>
    <t>CIRCUITO LED / DTW285</t>
  </si>
  <si>
    <t>620320-2</t>
  </si>
  <si>
    <t>CONTROLADOR / CL105D</t>
  </si>
  <si>
    <t>620321-0</t>
  </si>
  <si>
    <t>CONTROLADOR / 9237CB</t>
  </si>
  <si>
    <t>620336-7</t>
  </si>
  <si>
    <t>CONTROLADOR / SG1251</t>
  </si>
  <si>
    <t>620351-1</t>
  </si>
  <si>
    <t>CIRCUITO LED / DTW1001 -DTW1002</t>
  </si>
  <si>
    <t>620354-5</t>
  </si>
  <si>
    <t>CONTROLADOR / TDS141</t>
  </si>
  <si>
    <t>620360-0</t>
  </si>
  <si>
    <t>CONTROLADOR / DFS452</t>
  </si>
  <si>
    <t>620363-4</t>
  </si>
  <si>
    <t>CONTROLADOR / HM1802</t>
  </si>
  <si>
    <t>620392-7</t>
  </si>
  <si>
    <t>CONTROLADOR A / DVC860</t>
  </si>
  <si>
    <t>620394-3</t>
  </si>
  <si>
    <t>CIRCUITO LED / DVC860</t>
  </si>
  <si>
    <t>620395-1</t>
  </si>
  <si>
    <t>CONTROLADOR / DFL650F</t>
  </si>
  <si>
    <t>620396-9</t>
  </si>
  <si>
    <t>CIRCUITO LED / DFL062F</t>
  </si>
  <si>
    <t>620397-7</t>
  </si>
  <si>
    <t>UNIDAD RF / DFL650F</t>
  </si>
  <si>
    <t>620401-2</t>
  </si>
  <si>
    <t>CONTROLADOR B / VARIOS</t>
  </si>
  <si>
    <t>620406-2</t>
  </si>
  <si>
    <t>CONTROLADOR B / DVC860</t>
  </si>
  <si>
    <t>620415-1</t>
  </si>
  <si>
    <t>REGULADOR / DUB362 - DLM465</t>
  </si>
  <si>
    <t>620417-7</t>
  </si>
  <si>
    <t>CONTROLADOR / HM1812</t>
  </si>
  <si>
    <t>620421-6</t>
  </si>
  <si>
    <t>TARJETA ELECTRONICA / DC10WC</t>
  </si>
  <si>
    <t>620431-3</t>
  </si>
  <si>
    <t>TARJETA ELECTRONICA / DC10SA - DC10SB</t>
  </si>
  <si>
    <t>620432-1</t>
  </si>
  <si>
    <t>CONTROLADOR A / DJR187</t>
  </si>
  <si>
    <t>620434-7</t>
  </si>
  <si>
    <t>CIRCUITO LED / DJR360</t>
  </si>
  <si>
    <t>620455-9</t>
  </si>
  <si>
    <t>CONTROLADOR A / DJR360</t>
  </si>
  <si>
    <t>620458-3</t>
  </si>
  <si>
    <t>620459-1</t>
  </si>
  <si>
    <t>620460-6</t>
  </si>
  <si>
    <t>620461-4</t>
  </si>
  <si>
    <t>UNIDAD RADIO FRECUENCIA / VARIOS</t>
  </si>
  <si>
    <t>620465-6</t>
  </si>
  <si>
    <t>CONTROLADOR / BO6050</t>
  </si>
  <si>
    <t>620467-2</t>
  </si>
  <si>
    <t>CONTROLADOR / VC3211H - VC2211M</t>
  </si>
  <si>
    <t>620470-3</t>
  </si>
  <si>
    <t>620471-1</t>
  </si>
  <si>
    <t>CIRCUITO DE ADAPTADOR / VARIOS</t>
  </si>
  <si>
    <t>620479-5</t>
  </si>
  <si>
    <t>CONTROLADOR / AM3743 - DLM431</t>
  </si>
  <si>
    <t>620487-6</t>
  </si>
  <si>
    <t>CONTROLADOR / HP332D</t>
  </si>
  <si>
    <t>620489-2</t>
  </si>
  <si>
    <t>CIRCUITO LED / BAP182</t>
  </si>
  <si>
    <t>620490-7</t>
  </si>
  <si>
    <t>PLACA TERMINAL CPL A / BAP182</t>
  </si>
  <si>
    <t>620491-5</t>
  </si>
  <si>
    <t>PLACA TERMINAL CPL B / BAP182</t>
  </si>
  <si>
    <t>620493-1</t>
  </si>
  <si>
    <t>CONTROLADOR / DFL651F</t>
  </si>
  <si>
    <t>620497-3</t>
  </si>
  <si>
    <t>CONTROLADOR COMPLETO / VARIOS</t>
  </si>
  <si>
    <t>620500-0</t>
  </si>
  <si>
    <t>620502-6</t>
  </si>
  <si>
    <t>CONTROLADOR C / VARIOS</t>
  </si>
  <si>
    <t>620509-2</t>
  </si>
  <si>
    <t>CIRCUITO DE ILUMINACION / DSD180</t>
  </si>
  <si>
    <t>620511-5</t>
  </si>
  <si>
    <t>CONTROLADOR / PO5000C - PO6000C</t>
  </si>
  <si>
    <t>620520-4</t>
  </si>
  <si>
    <t>CONTROLADOR / DTD170</t>
  </si>
  <si>
    <t>620521-2</t>
  </si>
  <si>
    <t>CIRCUITO LED / DTD155</t>
  </si>
  <si>
    <t>620522-0</t>
  </si>
  <si>
    <t>CONTROLADOR / TM30D</t>
  </si>
  <si>
    <t>620524-6</t>
  </si>
  <si>
    <t>CONTROLADOR A / DVC260</t>
  </si>
  <si>
    <t>620525-4</t>
  </si>
  <si>
    <t>620526-2</t>
  </si>
  <si>
    <t>620548-2</t>
  </si>
  <si>
    <t>CONTROLADOR / DHP484 - DDF484</t>
  </si>
  <si>
    <t>620549-0</t>
  </si>
  <si>
    <t>CIRCUITO LED /  / VARIOS</t>
  </si>
  <si>
    <t>620551-3</t>
  </si>
  <si>
    <t>CIRCUITO ELECTRICO / DLS600</t>
  </si>
  <si>
    <t>620552-1</t>
  </si>
  <si>
    <t>CONTROLADOR / TD111D</t>
  </si>
  <si>
    <t>620555-5</t>
  </si>
  <si>
    <t>620558-9</t>
  </si>
  <si>
    <t>CIRCUITO LED / DLS600</t>
  </si>
  <si>
    <t>620563-6</t>
  </si>
  <si>
    <t>CONTROLADOR / DTD153</t>
  </si>
  <si>
    <t>620564-4</t>
  </si>
  <si>
    <t>CONTROLADOR / DTD154</t>
  </si>
  <si>
    <t>620578-3</t>
  </si>
  <si>
    <t>CONTROLADOR / HR166D</t>
  </si>
  <si>
    <t>620581-4</t>
  </si>
  <si>
    <t>CONTROLADOR / DBN600</t>
  </si>
  <si>
    <t>620582-2</t>
  </si>
  <si>
    <t>CIRCUITO LED / DBN600</t>
  </si>
  <si>
    <t>620586-4</t>
  </si>
  <si>
    <t>CONTROLADOR / DTD155</t>
  </si>
  <si>
    <t>620588-0</t>
  </si>
  <si>
    <t>620589-8</t>
  </si>
  <si>
    <t>PANTALLA LCD / BTC04</t>
  </si>
  <si>
    <t>620598-7</t>
  </si>
  <si>
    <t>CONTROLADOR / ST113D</t>
  </si>
  <si>
    <t>620624-2</t>
  </si>
  <si>
    <t>620639-9</t>
  </si>
  <si>
    <t>620642-0</t>
  </si>
  <si>
    <t>CONTROLADOR / DUR187L</t>
  </si>
  <si>
    <t>620648-8</t>
  </si>
  <si>
    <t>CONTROLADOR B / DVC864L</t>
  </si>
  <si>
    <t>620649-6</t>
  </si>
  <si>
    <t>CIRCUITO LED / DVC864L</t>
  </si>
  <si>
    <t>620675-5</t>
  </si>
  <si>
    <t>CONTROLADOR / DCU180</t>
  </si>
  <si>
    <t>620681-0</t>
  </si>
  <si>
    <t>CIRCUITO DE CARGA / DC18RE</t>
  </si>
  <si>
    <t>620684-4</t>
  </si>
  <si>
    <t>CIRCUITO DE SONIDO / DCU180</t>
  </si>
  <si>
    <t>620685-2</t>
  </si>
  <si>
    <t>CIRCUITO DE LED / DCU180</t>
  </si>
  <si>
    <t>620692-5</t>
  </si>
  <si>
    <t>CIRCUITO LED / DC18RE</t>
  </si>
  <si>
    <t>620693-3</t>
  </si>
  <si>
    <t>CONTROLADOR CON BATERIA INTEGRADA / DF001D</t>
  </si>
  <si>
    <t>620710-9</t>
  </si>
  <si>
    <t>CONTROLADOR / JV102D</t>
  </si>
  <si>
    <t>620711-7</t>
  </si>
  <si>
    <t>CONTROLADOR / JV103D</t>
  </si>
  <si>
    <t>620712-5</t>
  </si>
  <si>
    <t>CIRCUITO LED / DJV185 - JV102D</t>
  </si>
  <si>
    <t>620713-3</t>
  </si>
  <si>
    <t>620714-1</t>
  </si>
  <si>
    <t>INTERRUPTOR / JV102D</t>
  </si>
  <si>
    <t>620715-9</t>
  </si>
  <si>
    <t>INTERRUPTOR / JV103D</t>
  </si>
  <si>
    <t>620720-6</t>
  </si>
  <si>
    <t>CONTROLADOR A / DRT50</t>
  </si>
  <si>
    <t>620721-4</t>
  </si>
  <si>
    <t>CIRCUITO LED / DRT50</t>
  </si>
  <si>
    <t>620726-4</t>
  </si>
  <si>
    <t>CONTROLADOR / DVC864L</t>
  </si>
  <si>
    <t>620734-5</t>
  </si>
  <si>
    <t>CONTROLADOR / GA4540C - GA4541C</t>
  </si>
  <si>
    <t>620742-6</t>
  </si>
  <si>
    <t>CIRCUITO ELECTRICO / DLS111</t>
  </si>
  <si>
    <t>620743-4</t>
  </si>
  <si>
    <t>CONTROLADOR / DTW180</t>
  </si>
  <si>
    <t>620746-8</t>
  </si>
  <si>
    <t>CONTROLADOR / DHR171</t>
  </si>
  <si>
    <t>620747-6</t>
  </si>
  <si>
    <t>CIRCUITO LED / DHR171</t>
  </si>
  <si>
    <t>620750-7</t>
  </si>
  <si>
    <t>SUB CONTROLADOR / DLS111</t>
  </si>
  <si>
    <t>620752-3</t>
  </si>
  <si>
    <t>SUB CONTROLADOR / DGA468</t>
  </si>
  <si>
    <t>620753-1</t>
  </si>
  <si>
    <t>SUB CONTROLADOR / DSP601</t>
  </si>
  <si>
    <t>620754-9</t>
  </si>
  <si>
    <t>SUB CONTROLADOR / DHS661</t>
  </si>
  <si>
    <t>620755-7</t>
  </si>
  <si>
    <t>UNIDAD INALAMBRICA / DVC864L</t>
  </si>
  <si>
    <t>620761-2</t>
  </si>
  <si>
    <t>CONTROLADOR A / DLS600</t>
  </si>
  <si>
    <t>620780-8</t>
  </si>
  <si>
    <t>CONTROLADOR / UR100D</t>
  </si>
  <si>
    <t>620786-6</t>
  </si>
  <si>
    <t>620794-7</t>
  </si>
  <si>
    <t>CONTROLADOR / DHR400</t>
  </si>
  <si>
    <t>620795-5</t>
  </si>
  <si>
    <t>CONTROLADOR B / DHR400</t>
  </si>
  <si>
    <t>620796-3</t>
  </si>
  <si>
    <t>CIRCUITO DIAL / VARIOS</t>
  </si>
  <si>
    <t>620797-1</t>
  </si>
  <si>
    <t>CIRCUITO DE ACELERACION / DHR400</t>
  </si>
  <si>
    <t>620809-0</t>
  </si>
  <si>
    <t>CIRCUITO LED / DWT310</t>
  </si>
  <si>
    <t>620815-5</t>
  </si>
  <si>
    <t>CONTROLADOR / DHR280</t>
  </si>
  <si>
    <t>620817-1</t>
  </si>
  <si>
    <t>620818-9</t>
  </si>
  <si>
    <t>620820-2</t>
  </si>
  <si>
    <t>CONTROLADOR / DSC102</t>
  </si>
  <si>
    <t>620821-0</t>
  </si>
  <si>
    <t>CIRCUITO LED / DSC102</t>
  </si>
  <si>
    <t>620827-8</t>
  </si>
  <si>
    <t>TARJETA / DHS710</t>
  </si>
  <si>
    <t>620838-3</t>
  </si>
  <si>
    <t>CONTROLADOR / DDA460</t>
  </si>
  <si>
    <t>620839-1</t>
  </si>
  <si>
    <t>CIRCUITO LED / DDA460</t>
  </si>
  <si>
    <t>620893-5</t>
  </si>
  <si>
    <t>620910-1</t>
  </si>
  <si>
    <t>CONTROLADOR / DUR189</t>
  </si>
  <si>
    <t>620913-5</t>
  </si>
  <si>
    <t>CIRCUITO SENSOR / DTR180</t>
  </si>
  <si>
    <t>620924-0</t>
  </si>
  <si>
    <t>CIRCUITO DE INTERRUPTOR / DTR180</t>
  </si>
  <si>
    <t>620936-3</t>
  </si>
  <si>
    <t>620938-9</t>
  </si>
  <si>
    <t>CONTROLADOR / DCS553</t>
  </si>
  <si>
    <t>620939-7</t>
  </si>
  <si>
    <t>CONTROLADOR / DLM460</t>
  </si>
  <si>
    <t>620942-8</t>
  </si>
  <si>
    <t>CONTROLADOR / DVC265</t>
  </si>
  <si>
    <t>620943-6</t>
  </si>
  <si>
    <t>SUB CONTROLADOR / DVC265 - DVC665</t>
  </si>
  <si>
    <t>620949-4</t>
  </si>
  <si>
    <t>INTERRUPTOR / DVC265 - DVC665</t>
  </si>
  <si>
    <t>620952-5</t>
  </si>
  <si>
    <t>CONTROLADOR / UH353D</t>
  </si>
  <si>
    <t>620958-3</t>
  </si>
  <si>
    <t>CIRCUITO  / DVR250</t>
  </si>
  <si>
    <t>620965-6</t>
  </si>
  <si>
    <t>CIRCUITO LED / JR3061T</t>
  </si>
  <si>
    <t>620967-2</t>
  </si>
  <si>
    <t>CIRCUITO ELECTRICO / JR3061T</t>
  </si>
  <si>
    <t>620972-9</t>
  </si>
  <si>
    <t>CONTROLADOR / DUT130 - DUT131</t>
  </si>
  <si>
    <t>620982-6</t>
  </si>
  <si>
    <t>CONTROLADOR / DLW140</t>
  </si>
  <si>
    <t>620992-3</t>
  </si>
  <si>
    <t>CONTROLADOR / DVC261</t>
  </si>
  <si>
    <t>620995-7</t>
  </si>
  <si>
    <t>CONTROLADOR / DHR182</t>
  </si>
  <si>
    <t>620A04-8</t>
  </si>
  <si>
    <t>CONTROLADOR / DVC750L</t>
  </si>
  <si>
    <t>620A05-6</t>
  </si>
  <si>
    <t>CIRCUITO INDICADOR / DVC750L</t>
  </si>
  <si>
    <t>620A20-0</t>
  </si>
  <si>
    <t>CIRCUITO DE FILTRO / DC18SH</t>
  </si>
  <si>
    <t>620A36-5</t>
  </si>
  <si>
    <t>620A44-6</t>
  </si>
  <si>
    <t>CIRCUITO DE SALA / DVR150</t>
  </si>
  <si>
    <t>620A64-0</t>
  </si>
  <si>
    <t>CIRCUITO DIAL / DPB183 - PB002G</t>
  </si>
  <si>
    <t>620A75-5</t>
  </si>
  <si>
    <t>CONTROLADOR / DCL281F</t>
  </si>
  <si>
    <t>620A76-3</t>
  </si>
  <si>
    <t>CIRCUITO LED / DCL281F</t>
  </si>
  <si>
    <t>620A77-1</t>
  </si>
  <si>
    <t>INTERRUPTOR / DCL281F</t>
  </si>
  <si>
    <t>620A79-7</t>
  </si>
  <si>
    <t>620A89-4</t>
  </si>
  <si>
    <t>CIRCUITO DE INTERRUPTOR / DGP180</t>
  </si>
  <si>
    <t>620A90-9</t>
  </si>
  <si>
    <t>CIRCUITO LED / DGP180</t>
  </si>
  <si>
    <t>620A91-7</t>
  </si>
  <si>
    <t>CONTROLADOR / DGP180</t>
  </si>
  <si>
    <t>620A96-7</t>
  </si>
  <si>
    <t>CONTROLADOR / WR100D</t>
  </si>
  <si>
    <t>620B00-2</t>
  </si>
  <si>
    <t>CONTROLADOR / DSL800</t>
  </si>
  <si>
    <t>620B02-8</t>
  </si>
  <si>
    <t>CONTROLADOR B / DSL800</t>
  </si>
  <si>
    <t>620B08-6</t>
  </si>
  <si>
    <t>CIRCUITO DE CARGA / DC18SH</t>
  </si>
  <si>
    <t>620B10-9</t>
  </si>
  <si>
    <t>CIRCUITO LED / DWR180</t>
  </si>
  <si>
    <t>620B11-7</t>
  </si>
  <si>
    <t>CONTROLADOR / DFL020F</t>
  </si>
  <si>
    <t>620B12-5</t>
  </si>
  <si>
    <t>CONTROLADOR / DFL063F</t>
  </si>
  <si>
    <t>620B13-3</t>
  </si>
  <si>
    <t>CIRCUITO LED / DFL020F - DFL063F</t>
  </si>
  <si>
    <t>620B14-1</t>
  </si>
  <si>
    <t>CIRCUITO DE INDICACION / DFL020F - DFL063F</t>
  </si>
  <si>
    <t>620B15-9</t>
  </si>
  <si>
    <t>USB / DFL020F - DFL063F</t>
  </si>
  <si>
    <t>620B16-7</t>
  </si>
  <si>
    <t>CIRCUITO SENSOR / DFL020F - DFL063F</t>
  </si>
  <si>
    <t>620B17-5</t>
  </si>
  <si>
    <t>CONTROLADOR / DHW080</t>
  </si>
  <si>
    <t>620B24-8</t>
  </si>
  <si>
    <t>CONTROLADOR / DJV182</t>
  </si>
  <si>
    <t>620B46-8</t>
  </si>
  <si>
    <t>CONTROLADOR / PDC01</t>
  </si>
  <si>
    <t>620B50-7</t>
  </si>
  <si>
    <t>CIRCUITO DE INDICACION / PDC01</t>
  </si>
  <si>
    <t>620B51-5</t>
  </si>
  <si>
    <t>INTERRUPTOR / PDC01</t>
  </si>
  <si>
    <t>620B76-9</t>
  </si>
  <si>
    <t>CONTROLADOR / DUB184</t>
  </si>
  <si>
    <t>620B79-3</t>
  </si>
  <si>
    <t>CONTROLADOR / DKP181</t>
  </si>
  <si>
    <t>620B80-8</t>
  </si>
  <si>
    <t>CIRCUITO DE ADAPTADOR / ADP10</t>
  </si>
  <si>
    <t>620B81-6</t>
  </si>
  <si>
    <t>CONTROLADOR DLS211</t>
  </si>
  <si>
    <t>620B82-4</t>
  </si>
  <si>
    <t>CONTROLADOR / DLS212</t>
  </si>
  <si>
    <t>620B95-5</t>
  </si>
  <si>
    <t>CONTROLADOR / DUH604S - DUH754S</t>
  </si>
  <si>
    <t>620B96-3</t>
  </si>
  <si>
    <t>CONTROLADOR / TD001G</t>
  </si>
  <si>
    <t>620B97-1</t>
  </si>
  <si>
    <t>CIRCUITO LED / TD001G - TD003G</t>
  </si>
  <si>
    <t>620B98-9</t>
  </si>
  <si>
    <t>CONTROLADOR / HR001G - HR002G</t>
  </si>
  <si>
    <t>620B99-7</t>
  </si>
  <si>
    <t>CONTROLADOR / HR003G</t>
  </si>
  <si>
    <t>620C00-8</t>
  </si>
  <si>
    <t>CIRCUITO ACELEROMETRO / HR001G - HR002G</t>
  </si>
  <si>
    <t>620C01-6</t>
  </si>
  <si>
    <t>CIRCUITO SENSOR / HR001G - HR002G</t>
  </si>
  <si>
    <t>620C05-8</t>
  </si>
  <si>
    <t>CONTROLADOR / DUR369A</t>
  </si>
  <si>
    <t>620C14-7</t>
  </si>
  <si>
    <t>CONTROLADOR / SC103D</t>
  </si>
  <si>
    <t>620C15-5</t>
  </si>
  <si>
    <t>CIRCUITO LED / SC103D</t>
  </si>
  <si>
    <t>620C18-9</t>
  </si>
  <si>
    <t>CONTROLADOR / DHK180</t>
  </si>
  <si>
    <t>620C41-4</t>
  </si>
  <si>
    <t>CONTROLADOR / HR3011FC - HR3012FC</t>
  </si>
  <si>
    <t>620C43-0</t>
  </si>
  <si>
    <t>CIRCUITO LED / HR3011FC - HR3012FC</t>
  </si>
  <si>
    <t>620C44-8</t>
  </si>
  <si>
    <t>CONTROLADOR / AM3846 - DLM462</t>
  </si>
  <si>
    <t>620C45-6</t>
  </si>
  <si>
    <t>620C46-4</t>
  </si>
  <si>
    <t>620C47-2</t>
  </si>
  <si>
    <t>620C48-0</t>
  </si>
  <si>
    <t>CIRCUITO INDICADOR / DLM465</t>
  </si>
  <si>
    <t>620C52-9</t>
  </si>
  <si>
    <t>CONTROLADOR / DVC660</t>
  </si>
  <si>
    <t>620C53-7</t>
  </si>
  <si>
    <t>CONTROLADOR / DVC665</t>
  </si>
  <si>
    <t>620C56-1</t>
  </si>
  <si>
    <t>620C59-5</t>
  </si>
  <si>
    <t>CONTROLADOR / DHS900 - DHS901</t>
  </si>
  <si>
    <t>620C64-2</t>
  </si>
  <si>
    <t>CONTROLADOR / DTW300</t>
  </si>
  <si>
    <t>620C66-8</t>
  </si>
  <si>
    <t>CONTROLADOR/UR101</t>
  </si>
  <si>
    <t>620C79-9</t>
  </si>
  <si>
    <t>CONTROLADOR / DUN500W</t>
  </si>
  <si>
    <t>620C81-2</t>
  </si>
  <si>
    <t>CIRCUITO SENSOR / HP001G</t>
  </si>
  <si>
    <t>620D01-2</t>
  </si>
  <si>
    <t>CONTROLADOR / HS003G - HS004G</t>
  </si>
  <si>
    <t>620D03-8</t>
  </si>
  <si>
    <t>CONTROLADOR / DPB183</t>
  </si>
  <si>
    <t>620D09-6</t>
  </si>
  <si>
    <t>CIRCUITO LED / TW001G</t>
  </si>
  <si>
    <t>620D19-3</t>
  </si>
  <si>
    <t>MODULO LED/ DVC560</t>
  </si>
  <si>
    <t>620D22-4</t>
  </si>
  <si>
    <t>CONTROLADOR / DPV300</t>
  </si>
  <si>
    <t>620D30-5</t>
  </si>
  <si>
    <t>CIRCUITO DIAL / DJV184 - GA028G</t>
  </si>
  <si>
    <t>620D39-7</t>
  </si>
  <si>
    <t>SUB CONTROLADOR /VARIOS</t>
  </si>
  <si>
    <t>620D43-6</t>
  </si>
  <si>
    <t>CONTROLADOR / DCL184</t>
  </si>
  <si>
    <t>620D47-8</t>
  </si>
  <si>
    <t>CONTROLADOR / GA7070 - GA9070</t>
  </si>
  <si>
    <t>620D48-6</t>
  </si>
  <si>
    <t>CONTROLADOR / DTD171</t>
  </si>
  <si>
    <t>620D69-8</t>
  </si>
  <si>
    <t>CONTROLADOR / TW004G - TW005G</t>
  </si>
  <si>
    <t>620D73-7</t>
  </si>
  <si>
    <t>CONTROLADOR / HR005G</t>
  </si>
  <si>
    <t>620D74-5</t>
  </si>
  <si>
    <t>CIRCUITO DE REVOLUCIONES / HR005G</t>
  </si>
  <si>
    <t>620D75-3</t>
  </si>
  <si>
    <t>CIRCUITO SENSOR / HR005G</t>
  </si>
  <si>
    <t>620D76-1</t>
  </si>
  <si>
    <t>CONTROLADOR B / HR005G</t>
  </si>
  <si>
    <t>620D78-7</t>
  </si>
  <si>
    <t>CONTROLADOR / DUR192L</t>
  </si>
  <si>
    <t>620D91-5</t>
  </si>
  <si>
    <t>CONTROLADOR / DUX18</t>
  </si>
  <si>
    <t>620D95-7</t>
  </si>
  <si>
    <t>CONTROLADOR / UX01G</t>
  </si>
  <si>
    <t>620E03-4</t>
  </si>
  <si>
    <t>CONTROLADOR / HM1511 - HM1512</t>
  </si>
  <si>
    <t>620E08-4</t>
  </si>
  <si>
    <t>CIRCUITO DE ALIMENTACION/VARIOS</t>
  </si>
  <si>
    <t>620E09-2</t>
  </si>
  <si>
    <t>CONTROLADOR / HM001G</t>
  </si>
  <si>
    <t>620E14-9</t>
  </si>
  <si>
    <t>CONTROLADOR / UB001CZ</t>
  </si>
  <si>
    <t>620E21-2</t>
  </si>
  <si>
    <t>CONTROLADOR / DWR180</t>
  </si>
  <si>
    <t>620E22-0</t>
  </si>
  <si>
    <t>CONTROLADOR / GA038G</t>
  </si>
  <si>
    <t>620E23-8</t>
  </si>
  <si>
    <t>CONTROLADOR / GA037G</t>
  </si>
  <si>
    <t>620E25-4</t>
  </si>
  <si>
    <t>CONTROLADOR / HR006G</t>
  </si>
  <si>
    <t>620E26-2</t>
  </si>
  <si>
    <t>CONTROLADOR B DC36V/HM002G - HR006G</t>
  </si>
  <si>
    <t>620E27-0</t>
  </si>
  <si>
    <t>CIRCUITO LED / HR006G</t>
  </si>
  <si>
    <t>620E28-8</t>
  </si>
  <si>
    <t>CIRCUITO DE SENSOR / HR006G</t>
  </si>
  <si>
    <t>620E29-6</t>
  </si>
  <si>
    <t>CIRCUITO DIAL / HR006G</t>
  </si>
  <si>
    <t>620E30-1</t>
  </si>
  <si>
    <t>CIRCUITO ACELEROMETRO / HR006G</t>
  </si>
  <si>
    <t>620E31-9</t>
  </si>
  <si>
    <t>CONTROLADOR / HM002G</t>
  </si>
  <si>
    <t>620E42-4</t>
  </si>
  <si>
    <t>CONTROLADOR / HP002G</t>
  </si>
  <si>
    <t>620E43-2</t>
  </si>
  <si>
    <t>CONTROLADOR / DTD157</t>
  </si>
  <si>
    <t>620E44-0</t>
  </si>
  <si>
    <t>CONTROLADOR / DCC500</t>
  </si>
  <si>
    <t>620E45-8</t>
  </si>
  <si>
    <t>CONTROLADOR / DHP487</t>
  </si>
  <si>
    <t>620E46-6</t>
  </si>
  <si>
    <t>CONTROLADOR / UR002G</t>
  </si>
  <si>
    <t>620E48-2</t>
  </si>
  <si>
    <t>CONTROLADOR B / DUR365U</t>
  </si>
  <si>
    <t>620E57-1</t>
  </si>
  <si>
    <t>CONTROLADOR / UH006G - UH007G</t>
  </si>
  <si>
    <t>620E72-5</t>
  </si>
  <si>
    <t>620E74-1</t>
  </si>
  <si>
    <t>INTERRUPTOR / CL001G</t>
  </si>
  <si>
    <t>620E78-3</t>
  </si>
  <si>
    <t>CONTROLADOR / DTM52</t>
  </si>
  <si>
    <t>620E79-1</t>
  </si>
  <si>
    <t>CIRCUITO LED / DTM52</t>
  </si>
  <si>
    <t>620E82-2</t>
  </si>
  <si>
    <t>CIRCUITO LED / DCL281F - CL001G</t>
  </si>
  <si>
    <t>620E86-4</t>
  </si>
  <si>
    <t>CONTROLADOR / DCL181</t>
  </si>
  <si>
    <t>620E87-2</t>
  </si>
  <si>
    <t>620F00-6</t>
  </si>
  <si>
    <t>CONTROLADOR / RS001G</t>
  </si>
  <si>
    <t>620F04-8</t>
  </si>
  <si>
    <t>CONTROLADOR DC36V/LS003G</t>
  </si>
  <si>
    <t>620F05-6</t>
  </si>
  <si>
    <t>CIRCUITO LED/LS003G-04G</t>
  </si>
  <si>
    <t>620F17-9</t>
  </si>
  <si>
    <t>CONTROLADOR DC36V/LS004G</t>
  </si>
  <si>
    <t>620F23-4</t>
  </si>
  <si>
    <t>CONTROLADOR/UR006G</t>
  </si>
  <si>
    <t>620F34-9</t>
  </si>
  <si>
    <t>CONTROLADOR 36V / UR012G</t>
  </si>
  <si>
    <t>620F36-5</t>
  </si>
  <si>
    <t>CONTROLADOR B / UR012G</t>
  </si>
  <si>
    <t>620F37-3</t>
  </si>
  <si>
    <t>CONTROLADOR 40V / VARIOS</t>
  </si>
  <si>
    <t>620F38-1</t>
  </si>
  <si>
    <t>620F39-9</t>
  </si>
  <si>
    <t>CONTROLADOR B /VARIOS</t>
  </si>
  <si>
    <t>620F42-0</t>
  </si>
  <si>
    <t>CONTROLADOR/DUN461W</t>
  </si>
  <si>
    <t>620F48-8</t>
  </si>
  <si>
    <t>CIRCUITO LED / TW007G - TW008G</t>
  </si>
  <si>
    <t>620F52-7</t>
  </si>
  <si>
    <t>620F55-1</t>
  </si>
  <si>
    <t>CONTROLADOR / SP001G</t>
  </si>
  <si>
    <t>620F56-9</t>
  </si>
  <si>
    <t>CIRCUITO DIAL / SP001G</t>
  </si>
  <si>
    <t>620F72-1</t>
  </si>
  <si>
    <t>CONTROLADOR / UC002G - UC004G</t>
  </si>
  <si>
    <t>620G25-6</t>
  </si>
  <si>
    <t>CONTROLADOR / DBO380</t>
  </si>
  <si>
    <t>620G34-5</t>
  </si>
  <si>
    <t>620G35-3</t>
  </si>
  <si>
    <t>CIRCUITO ACELERADOR / HR007G</t>
  </si>
  <si>
    <t>620G36-1</t>
  </si>
  <si>
    <t>CONTROLADOR 40V / HR007G</t>
  </si>
  <si>
    <t>620G44-2</t>
  </si>
  <si>
    <t>620G60-4</t>
  </si>
  <si>
    <t>CONTROLADOR / DVC560</t>
  </si>
  <si>
    <t>620G78-5</t>
  </si>
  <si>
    <t>CONTROLADOR  / DLM480</t>
  </si>
  <si>
    <t>620G88-2</t>
  </si>
  <si>
    <t>CONTROLADOR 40V / AS001G</t>
  </si>
  <si>
    <t>620H15-5</t>
  </si>
  <si>
    <t>CONTROLADOR / CL114FD - CL117FD</t>
  </si>
  <si>
    <t>620H17-1</t>
  </si>
  <si>
    <t>CONTROLADOR / UA003G - UA004G</t>
  </si>
  <si>
    <t>620H23-6</t>
  </si>
  <si>
    <t>620H27-8</t>
  </si>
  <si>
    <t>620H32-5</t>
  </si>
  <si>
    <t>620H80-4</t>
  </si>
  <si>
    <t>CONTROLADOR 40V / HS009G - HS010G</t>
  </si>
  <si>
    <t>620H90-1</t>
  </si>
  <si>
    <t>LED CURCUIT</t>
  </si>
  <si>
    <t>620H91-9</t>
  </si>
  <si>
    <t>620J15-7</t>
  </si>
  <si>
    <t>CONTROLADOR/DUR193</t>
  </si>
  <si>
    <t>620J17-3</t>
  </si>
  <si>
    <t>INTERRUPTOR / DMC300</t>
  </si>
  <si>
    <t>620J36-9</t>
  </si>
  <si>
    <t>CONTROLADOR / PB002G</t>
  </si>
  <si>
    <t>620J39-3</t>
  </si>
  <si>
    <t>620J51-3</t>
  </si>
  <si>
    <t>CIRCUITO INTERRUPTOR / UB002C</t>
  </si>
  <si>
    <t>620J78-3</t>
  </si>
  <si>
    <t>CONTROLADOR 18V / VARIOS</t>
  </si>
  <si>
    <t>620K04-8</t>
  </si>
  <si>
    <t>CONTROLADOR 18V / DJR189</t>
  </si>
  <si>
    <t>620K21-8</t>
  </si>
  <si>
    <t>CONTROLADOR  / VARIOS</t>
  </si>
  <si>
    <t>620K29-2</t>
  </si>
  <si>
    <t>620K33-1</t>
  </si>
  <si>
    <t>620K47-0</t>
  </si>
  <si>
    <t>620K74-7</t>
  </si>
  <si>
    <t>620L19-1</t>
  </si>
  <si>
    <t>620L23-0</t>
  </si>
  <si>
    <t>620L24-8</t>
  </si>
  <si>
    <t>620L34-5</t>
  </si>
  <si>
    <t>620L44-2</t>
  </si>
  <si>
    <t>620L55-7</t>
  </si>
  <si>
    <t>620M06-6</t>
  </si>
  <si>
    <t>620M19-7</t>
  </si>
  <si>
    <t>620M22-8</t>
  </si>
  <si>
    <t>620M58-7</t>
  </si>
  <si>
    <t>620M73-1</t>
  </si>
  <si>
    <t>620M96-9</t>
  </si>
  <si>
    <t>620N09-6</t>
  </si>
  <si>
    <t>620P25-0</t>
  </si>
  <si>
    <t>620P26-8</t>
  </si>
  <si>
    <t>620P27-6</t>
  </si>
  <si>
    <t>621708-9</t>
  </si>
  <si>
    <t>ESTATOR 220V / 9557HP</t>
  </si>
  <si>
    <t>621711-0</t>
  </si>
  <si>
    <t>ESTATOR 115V / 9554NB</t>
  </si>
  <si>
    <t>621723-3</t>
  </si>
  <si>
    <t>ESTATOR 220V / GD0600</t>
  </si>
  <si>
    <t>621763-1</t>
  </si>
  <si>
    <t>ESTATOR 220V / 9564P</t>
  </si>
  <si>
    <t>621773-8</t>
  </si>
  <si>
    <t>ESTATOR 220V / BO6050</t>
  </si>
  <si>
    <t>621778-8</t>
  </si>
  <si>
    <t>621793-2</t>
  </si>
  <si>
    <t>ESTATOR 220V / PO5000C</t>
  </si>
  <si>
    <t>621813-2</t>
  </si>
  <si>
    <t>ESTATOR 220V / M9510</t>
  </si>
  <si>
    <t>621818-2</t>
  </si>
  <si>
    <t>ESTATOR 220V / M9507</t>
  </si>
  <si>
    <t>621893-8</t>
  </si>
  <si>
    <t>621898-8</t>
  </si>
  <si>
    <t>621923-5</t>
  </si>
  <si>
    <t>ESTATOR 220V / GA7070 - GA9070</t>
  </si>
  <si>
    <t>621968-3</t>
  </si>
  <si>
    <t>621A18-0</t>
  </si>
  <si>
    <t>621A58-8</t>
  </si>
  <si>
    <t>621B33-0</t>
  </si>
  <si>
    <t>ESTATOR        GD0800C</t>
  </si>
  <si>
    <t>622285-4</t>
  </si>
  <si>
    <t>ESTATOR 220V / 6906</t>
  </si>
  <si>
    <t>623418-4</t>
  </si>
  <si>
    <t>ESTATOR 220V / HM1101C - HM1111C</t>
  </si>
  <si>
    <t>623548-1</t>
  </si>
  <si>
    <t>ESTATOR 220V / JS1602</t>
  </si>
  <si>
    <t>623558-8</t>
  </si>
  <si>
    <t>ESTATOR 220V / TM3000C - TM3010C</t>
  </si>
  <si>
    <t>624953-5</t>
  </si>
  <si>
    <t>ESTATOR 220V / HM1800</t>
  </si>
  <si>
    <t>625163-7</t>
  </si>
  <si>
    <t>ESTATOR 220V / TW0350</t>
  </si>
  <si>
    <t>MANGA / RBC320</t>
  </si>
  <si>
    <t>CONTROL CPL / RBC320</t>
  </si>
  <si>
    <t>625703-1</t>
  </si>
  <si>
    <t>ESTATOR 220V / GA9010C - GA7010C</t>
  </si>
  <si>
    <t>625708-1</t>
  </si>
  <si>
    <t>ESTATOR 220V / SA7000C</t>
  </si>
  <si>
    <t>625758-6</t>
  </si>
  <si>
    <t>ESTATOR 220V / HR4013C</t>
  </si>
  <si>
    <t>625764-1</t>
  </si>
  <si>
    <t>ESTATOR 220V / HM0870C; 71C</t>
  </si>
  <si>
    <t>625813-4</t>
  </si>
  <si>
    <t>626078-1</t>
  </si>
  <si>
    <t>ESTATOR 220V / HR5001C</t>
  </si>
  <si>
    <t>626123-2</t>
  </si>
  <si>
    <t>ESTATOR 220V / HM1304B</t>
  </si>
  <si>
    <t>626152-5</t>
  </si>
  <si>
    <t>ESTATOR 220V / HM1810</t>
  </si>
  <si>
    <t>626503-2</t>
  </si>
  <si>
    <t>ESTATOR 220V / 9564CV</t>
  </si>
  <si>
    <t>626508-2</t>
  </si>
  <si>
    <t>ESTATOR 220V / 9564</t>
  </si>
  <si>
    <t>626523-6</t>
  </si>
  <si>
    <t>ESTATOR 220V / GD0800C</t>
  </si>
  <si>
    <t>626533-3</t>
  </si>
  <si>
    <t>ESTATOR 220V / BO6040</t>
  </si>
  <si>
    <t>626548-0</t>
  </si>
  <si>
    <t>ESTATOR 220V / PW5001C</t>
  </si>
  <si>
    <t>626573-1</t>
  </si>
  <si>
    <t>626578-1</t>
  </si>
  <si>
    <t>ESTATOR 220V / HR2470</t>
  </si>
  <si>
    <t>626598-5</t>
  </si>
  <si>
    <t>ESTATOR 220V / 9564PC - 9564PCV</t>
  </si>
  <si>
    <t>626603-8</t>
  </si>
  <si>
    <t>ESTATOR / HP1630K - M8100K</t>
  </si>
  <si>
    <t>626628-2</t>
  </si>
  <si>
    <t>626633-9</t>
  </si>
  <si>
    <t>626634-7</t>
  </si>
  <si>
    <t>ESTATOR 240V / VARIOS</t>
  </si>
  <si>
    <t>626648-6</t>
  </si>
  <si>
    <t>626653-3</t>
  </si>
  <si>
    <t>626668-0</t>
  </si>
  <si>
    <t>ESTATOR 220V / GD0801C</t>
  </si>
  <si>
    <t>626678-7</t>
  </si>
  <si>
    <t>ESTATOR 220V / SG1251</t>
  </si>
  <si>
    <t>TUBO PRINCIPAL CPL / RBC320</t>
  </si>
  <si>
    <t>CAJA DE ENGRANAJE CPL / RBC320</t>
  </si>
  <si>
    <t>COLGADOR / RBC320</t>
  </si>
  <si>
    <t>628191-1</t>
  </si>
  <si>
    <t>ESTATOR 220V / HR2630</t>
  </si>
  <si>
    <t>628192-9</t>
  </si>
  <si>
    <t>629095-0</t>
  </si>
  <si>
    <t>629105-3</t>
  </si>
  <si>
    <t>MOTOR CC 18V / DJR183</t>
  </si>
  <si>
    <t>629113-4</t>
  </si>
  <si>
    <t>629116-8</t>
  </si>
  <si>
    <t>ESTATOR CPL 18V / VARIOS</t>
  </si>
  <si>
    <t>629123-1</t>
  </si>
  <si>
    <t>ESTATOR 36V / VARIOS</t>
  </si>
  <si>
    <t>629135-4</t>
  </si>
  <si>
    <t>ESTATOR 18V / DFS452 - DFS251</t>
  </si>
  <si>
    <t>629137-0</t>
  </si>
  <si>
    <t>ESTATOR DE 18V / DTS141</t>
  </si>
  <si>
    <t>629151-6</t>
  </si>
  <si>
    <t>ESTATOR 18V / DFL650F - DFL651F</t>
  </si>
  <si>
    <t>629153-2</t>
  </si>
  <si>
    <t>ESTATOR 36V / DUB362</t>
  </si>
  <si>
    <t>629156-6</t>
  </si>
  <si>
    <t>MOTOR CPL / DVC860</t>
  </si>
  <si>
    <t>629160-5</t>
  </si>
  <si>
    <t>MOTOR CC 36V / AR3733 - DUP361</t>
  </si>
  <si>
    <t>629163-9</t>
  </si>
  <si>
    <t>MOTOR CC 12V / TD110D</t>
  </si>
  <si>
    <t>629165-5</t>
  </si>
  <si>
    <t>DC MOTOR 12V / JR103D - JR105D</t>
  </si>
  <si>
    <t>629167-1</t>
  </si>
  <si>
    <t>DC MOTOR 12V</t>
  </si>
  <si>
    <t>629174-4</t>
  </si>
  <si>
    <t>ESTATOR CPL / DGA455</t>
  </si>
  <si>
    <t>629176-0</t>
  </si>
  <si>
    <t>ESTATOR 18V / VARIOS</t>
  </si>
  <si>
    <t>629178-6</t>
  </si>
  <si>
    <t>ESTATOR 12V / HP332D</t>
  </si>
  <si>
    <t>629179-4</t>
  </si>
  <si>
    <t>ESTATOR 18V / DJR187</t>
  </si>
  <si>
    <t>629180-9</t>
  </si>
  <si>
    <t>ESTATOR 36V / DJR360</t>
  </si>
  <si>
    <t>629189-1</t>
  </si>
  <si>
    <t>ESTATOR 36V / DVC260</t>
  </si>
  <si>
    <t>629193-0</t>
  </si>
  <si>
    <t>DC MOTOR 18V / DSD180</t>
  </si>
  <si>
    <t>629195-6</t>
  </si>
  <si>
    <t>MOTOR CC 18V / DTW190 - TW202D</t>
  </si>
  <si>
    <t>629203-3</t>
  </si>
  <si>
    <t>ESTATOR CPL 18V / DGA458</t>
  </si>
  <si>
    <t>629211-4</t>
  </si>
  <si>
    <t>MOTOR CC 12V / JV101D</t>
  </si>
  <si>
    <t>629215-6</t>
  </si>
  <si>
    <t>ESTATOR DE 18V / DLS600</t>
  </si>
  <si>
    <t>629217-2</t>
  </si>
  <si>
    <t>629220-3</t>
  </si>
  <si>
    <t>DC MOTOR 12V / TM30D</t>
  </si>
  <si>
    <t>629224-5</t>
  </si>
  <si>
    <t>ESTATOR 18V / DTD153</t>
  </si>
  <si>
    <t>629225-3</t>
  </si>
  <si>
    <t>ESTATOR 18V / DHP484 - DDF484</t>
  </si>
  <si>
    <t>629228-7</t>
  </si>
  <si>
    <t>629230-0</t>
  </si>
  <si>
    <t>DC MOTOR 12V / SD100D</t>
  </si>
  <si>
    <t>629232-6</t>
  </si>
  <si>
    <t>ESTATOR 18V / TD111D</t>
  </si>
  <si>
    <t>629235-0</t>
  </si>
  <si>
    <t>MOTOR CC / TD022D</t>
  </si>
  <si>
    <t>629240-7</t>
  </si>
  <si>
    <t>DC MOTOR 12V / ST113D</t>
  </si>
  <si>
    <t>629244-9</t>
  </si>
  <si>
    <t>ESTATOR 12V / HR166D</t>
  </si>
  <si>
    <t>629248-1</t>
  </si>
  <si>
    <t>ESTATOR 18V / DUR187L</t>
  </si>
  <si>
    <t>629253-8</t>
  </si>
  <si>
    <t>MOTOR CC 18V / DPT353</t>
  </si>
  <si>
    <t>629256-2</t>
  </si>
  <si>
    <t>ESTATOR 36V / DVC864L</t>
  </si>
  <si>
    <t>629258-8</t>
  </si>
  <si>
    <t>MOTOR CC 18V / UM600D</t>
  </si>
  <si>
    <t>629259-6</t>
  </si>
  <si>
    <t>ESTATOR 36V / DRS780</t>
  </si>
  <si>
    <t>629260-1</t>
  </si>
  <si>
    <t>ESTATOR 18V / DGA700 - DGA900</t>
  </si>
  <si>
    <t>629264-3</t>
  </si>
  <si>
    <t>MOTOR CC 12V / DF012D</t>
  </si>
  <si>
    <t>629268-5</t>
  </si>
  <si>
    <t>DC MOTOR 12V / PT354D</t>
  </si>
  <si>
    <t>629271-6</t>
  </si>
  <si>
    <t>DC MOTOR 12V / TL064D - TL065D</t>
  </si>
  <si>
    <t>629275-8</t>
  </si>
  <si>
    <t>ESTATOR 36V / DSP600 - DSP601</t>
  </si>
  <si>
    <t>629280-5</t>
  </si>
  <si>
    <t>ESTATOR 18V / DRT50</t>
  </si>
  <si>
    <t>629281-3</t>
  </si>
  <si>
    <t>ESTATOR 12V / JV102D - JV103D</t>
  </si>
  <si>
    <t>629282-1</t>
  </si>
  <si>
    <t>ESTATOR 36V / DLS111</t>
  </si>
  <si>
    <t>629283-9</t>
  </si>
  <si>
    <t>ESTATOR 18V / DHR171</t>
  </si>
  <si>
    <t>629285-5</t>
  </si>
  <si>
    <t>MOTOR DC 12V / HR140D</t>
  </si>
  <si>
    <t>629289-7</t>
  </si>
  <si>
    <t>MOTOR CC / DA333D</t>
  </si>
  <si>
    <t>629304-7</t>
  </si>
  <si>
    <t>629305-5</t>
  </si>
  <si>
    <t>ESTATOR 18V / DGA468</t>
  </si>
  <si>
    <t>629317-8</t>
  </si>
  <si>
    <t>MOTOR CC 12V / UR100D</t>
  </si>
  <si>
    <t>629330-6</t>
  </si>
  <si>
    <t>ESTATOR 18V / DTW1001 -DTW1002</t>
  </si>
  <si>
    <t>629334-8</t>
  </si>
  <si>
    <t>ESTATOR 18V / DTW180 - DTW181</t>
  </si>
  <si>
    <t>629335-6</t>
  </si>
  <si>
    <t>ESTATOR 36V / DHR400 - HR005G</t>
  </si>
  <si>
    <t>629337-2</t>
  </si>
  <si>
    <t>ESTATOR 36V / DWT310</t>
  </si>
  <si>
    <t>629339-8</t>
  </si>
  <si>
    <t>ESTATOR 18V / DSC102</t>
  </si>
  <si>
    <t>629340-3</t>
  </si>
  <si>
    <t>ESTATOR 36V / DHR280</t>
  </si>
  <si>
    <t>629342-9</t>
  </si>
  <si>
    <t>ESTATOR DC18V</t>
  </si>
  <si>
    <t>629343-7</t>
  </si>
  <si>
    <t>ESTATOR 18V / DTR180</t>
  </si>
  <si>
    <t>629348-7</t>
  </si>
  <si>
    <t>ESTATOR 18V / DHS680</t>
  </si>
  <si>
    <t>629352-6</t>
  </si>
  <si>
    <t>629356-8</t>
  </si>
  <si>
    <t>ESTATOR 36V / DDA460</t>
  </si>
  <si>
    <t>629362-3</t>
  </si>
  <si>
    <t>ESTATOR 18V / DHS660 - DHS661</t>
  </si>
  <si>
    <t>629368-1</t>
  </si>
  <si>
    <t>ESTATOR 220V / DCS553</t>
  </si>
  <si>
    <t>629373-8</t>
  </si>
  <si>
    <t>ESTATOR 18V / DVR150</t>
  </si>
  <si>
    <t>629374-6</t>
  </si>
  <si>
    <t>MOTOR CC 36V / DLM460</t>
  </si>
  <si>
    <t>629377-0</t>
  </si>
  <si>
    <t>ESTATOR 36V / DLW140</t>
  </si>
  <si>
    <t>629378-8</t>
  </si>
  <si>
    <t>ESTATOR 36V / DUC254</t>
  </si>
  <si>
    <t>629380-1</t>
  </si>
  <si>
    <t>DC MOTOR 12V / UH353D</t>
  </si>
  <si>
    <t>629381-9</t>
  </si>
  <si>
    <t>ESTATOR 36V / DVC660 - DVC261</t>
  </si>
  <si>
    <t>629385-1</t>
  </si>
  <si>
    <t>ESTATOR 18V / DVC750L</t>
  </si>
  <si>
    <t>629386-9</t>
  </si>
  <si>
    <t>MOTOR CC 18V / DGP180</t>
  </si>
  <si>
    <t>629393-2</t>
  </si>
  <si>
    <t>ESTATOR 18V / DHR182</t>
  </si>
  <si>
    <t>629395-8</t>
  </si>
  <si>
    <t>DC MOTOR 12V / DF003D - HP333D</t>
  </si>
  <si>
    <t>629396-6</t>
  </si>
  <si>
    <t>ESTATOR 18V / DUT130 - DUT131</t>
  </si>
  <si>
    <t>629397-4</t>
  </si>
  <si>
    <t>DC MOTOR 36V / DUP362</t>
  </si>
  <si>
    <t>629402-7</t>
  </si>
  <si>
    <t>DC MOTOR 18V / DPB182</t>
  </si>
  <si>
    <t>629408-5</t>
  </si>
  <si>
    <t>MOTOR CC 18V / DFN350</t>
  </si>
  <si>
    <t>629409-3</t>
  </si>
  <si>
    <t>ESTATOR 18V / DSL800</t>
  </si>
  <si>
    <t>629411-6</t>
  </si>
  <si>
    <t>DC MOTOR 12V / WR100D</t>
  </si>
  <si>
    <t>629414-0</t>
  </si>
  <si>
    <t>ESTATOR 36V / DHW080</t>
  </si>
  <si>
    <t>629443-3</t>
  </si>
  <si>
    <t>629448-3</t>
  </si>
  <si>
    <t>ESTATOR 12V / SC103D</t>
  </si>
  <si>
    <t>629451-4</t>
  </si>
  <si>
    <t>ESTATOR 18V / DHK180</t>
  </si>
  <si>
    <t>629453-0</t>
  </si>
  <si>
    <t>ESTATOR 18V / DKP181</t>
  </si>
  <si>
    <t>629454-8</t>
  </si>
  <si>
    <t>ESTATOR 40V / HR003G</t>
  </si>
  <si>
    <t>629462-9</t>
  </si>
  <si>
    <t>ESTATOR 36V / DHS900 - DHS901</t>
  </si>
  <si>
    <t>629464-5</t>
  </si>
  <si>
    <t>ESTATOR 40V / VARIOS</t>
  </si>
  <si>
    <t>629465-3</t>
  </si>
  <si>
    <t>ESTATOR / DLM465</t>
  </si>
  <si>
    <t>629471-8</t>
  </si>
  <si>
    <t>ESTATOR/UR101</t>
  </si>
  <si>
    <t>629473-4</t>
  </si>
  <si>
    <t>ESTATOR 36V / AG3751 - DUB363</t>
  </si>
  <si>
    <t>629476-8</t>
  </si>
  <si>
    <t>ESTATOR CPL 40V / HP001G</t>
  </si>
  <si>
    <t>629477-6</t>
  </si>
  <si>
    <t>ESTATOR 18V / DTW300</t>
  </si>
  <si>
    <t>629479-2</t>
  </si>
  <si>
    <t>ESTATOR DC36V /HS003G - HS004G</t>
  </si>
  <si>
    <t>629480-7</t>
  </si>
  <si>
    <t>ESTATOR 40V XGT / VARIOS</t>
  </si>
  <si>
    <t>629481-5</t>
  </si>
  <si>
    <t>ESTATOR 40V - GA015G</t>
  </si>
  <si>
    <t>629482-3</t>
  </si>
  <si>
    <t>ESTATOR 18V / DPB183 - DPB184</t>
  </si>
  <si>
    <t>629484-9</t>
  </si>
  <si>
    <t>DC MOTOR 18V / DUB185</t>
  </si>
  <si>
    <t>629491-2</t>
  </si>
  <si>
    <t>ESTATOR DE 18V / DBO380</t>
  </si>
  <si>
    <t>629787-1</t>
  </si>
  <si>
    <t>MOTOR 12V / 6227D - 6327D</t>
  </si>
  <si>
    <t>629798-6</t>
  </si>
  <si>
    <t>DC MOTOR 12V / VARIOS</t>
  </si>
  <si>
    <t>629817-8</t>
  </si>
  <si>
    <t>MOTOR DC 12V / 6270D - 6271D</t>
  </si>
  <si>
    <t>629821-7</t>
  </si>
  <si>
    <t>MOTOR DC 12V / 8270D - 8271D</t>
  </si>
  <si>
    <t>629834-8</t>
  </si>
  <si>
    <t>629842-9</t>
  </si>
  <si>
    <t>MOTOR 7.2V / TD020D - TD021D</t>
  </si>
  <si>
    <t>629851-8</t>
  </si>
  <si>
    <t>MOTOR 12V / TD090D - TD2016D</t>
  </si>
  <si>
    <t>629853-4</t>
  </si>
  <si>
    <t>MOTOR 12V / DF030D - DF330D</t>
  </si>
  <si>
    <t>629885-1</t>
  </si>
  <si>
    <t>MOTOR CC 12V / CC300D - CC301D</t>
  </si>
  <si>
    <t>629904-3</t>
  </si>
  <si>
    <t>DC MOTOR 12V / TW100D</t>
  </si>
  <si>
    <t>629932-8</t>
  </si>
  <si>
    <t>DC MOTOR 18V / VARIOS</t>
  </si>
  <si>
    <t>629937-8</t>
  </si>
  <si>
    <t>MOTOR CC 18V / HP457D - DF457D</t>
  </si>
  <si>
    <t>629959-8</t>
  </si>
  <si>
    <t>ESTATOR 18V / BTD129 - DTD129</t>
  </si>
  <si>
    <t>629960-3</t>
  </si>
  <si>
    <t>ESTATOR 18V / DHP459 - DDF459</t>
  </si>
  <si>
    <t>629962-9</t>
  </si>
  <si>
    <t>MOTOR CC 12V / HP330</t>
  </si>
  <si>
    <t>629969-5</t>
  </si>
  <si>
    <t>MOTOR CC 18V / TD127D</t>
  </si>
  <si>
    <t>629981-5</t>
  </si>
  <si>
    <t>MOTOR DC P/VC3211H</t>
  </si>
  <si>
    <t>629985-7</t>
  </si>
  <si>
    <t>ESTATOR 18V / DUR182U</t>
  </si>
  <si>
    <t>629998-8</t>
  </si>
  <si>
    <t>ESTATOR 18VDJV182</t>
  </si>
  <si>
    <t>629A00-3</t>
  </si>
  <si>
    <t>ESTATOR 40V / GA028G</t>
  </si>
  <si>
    <t>629A06-1</t>
  </si>
  <si>
    <t>ESTATOR CPL 18V / DTW700 - DTW701</t>
  </si>
  <si>
    <t>629A10-0</t>
  </si>
  <si>
    <t>ESTATOR 36V / DVC560</t>
  </si>
  <si>
    <t>629A11-8</t>
  </si>
  <si>
    <t>MOTOR DC 36V / DVC560</t>
  </si>
  <si>
    <t>629A13-4</t>
  </si>
  <si>
    <t>ESTATOR 40V / TW004G - TW005G</t>
  </si>
  <si>
    <t>629A16-8</t>
  </si>
  <si>
    <t>ESTATOR 40V / TW001G</t>
  </si>
  <si>
    <t>629A17-6</t>
  </si>
  <si>
    <t>DC MOTOR 36V / DLM382</t>
  </si>
  <si>
    <t>629A18-4</t>
  </si>
  <si>
    <t>DC MOTOR 36V / VARIOS</t>
  </si>
  <si>
    <t>629A22-3</t>
  </si>
  <si>
    <t>ESTATOR 18V / DUR192L</t>
  </si>
  <si>
    <t>629A25-7</t>
  </si>
  <si>
    <t>ESTATOR DC36V /UR006G-07G</t>
  </si>
  <si>
    <t>629A27-3</t>
  </si>
  <si>
    <t>ESTATOR 80V / HR006G</t>
  </si>
  <si>
    <t>629A28-1</t>
  </si>
  <si>
    <t>ESTATOR 18V / DUX18</t>
  </si>
  <si>
    <t>629A32-0</t>
  </si>
  <si>
    <t>MOTOR CC 18V / DWR180</t>
  </si>
  <si>
    <t>629A33-8</t>
  </si>
  <si>
    <t>ESTATOR CPL 18V / DHP486</t>
  </si>
  <si>
    <t>629A35-4</t>
  </si>
  <si>
    <t>ESTATOR 40V / HP002G</t>
  </si>
  <si>
    <t>629A36-2</t>
  </si>
  <si>
    <t>ESTATOR DC18V/DPV300</t>
  </si>
  <si>
    <t>629A38-8</t>
  </si>
  <si>
    <t>ESTATOR 40V / GA037G - GA038G</t>
  </si>
  <si>
    <t>629A39-6</t>
  </si>
  <si>
    <t>ESTATOR 18V / DCC500</t>
  </si>
  <si>
    <t>629A40-1</t>
  </si>
  <si>
    <t>629A41-9</t>
  </si>
  <si>
    <t>ESTATOR 18V / DHP487</t>
  </si>
  <si>
    <t>629A44-3</t>
  </si>
  <si>
    <t>ESTATOR / DTD157</t>
  </si>
  <si>
    <t>629A45-1</t>
  </si>
  <si>
    <t>ESTATOR DC36V/RS001G</t>
  </si>
  <si>
    <t>629A46-9</t>
  </si>
  <si>
    <t>MOTOR CPL  40V / CL001G</t>
  </si>
  <si>
    <t>629A56-6</t>
  </si>
  <si>
    <t>ESTATOR 18V / DTM52</t>
  </si>
  <si>
    <t>629A57-4</t>
  </si>
  <si>
    <t>ESTATOR 18V /DFR452 - DFR551</t>
  </si>
  <si>
    <t>629A61-3</t>
  </si>
  <si>
    <t>MOTOR/DUN461W</t>
  </si>
  <si>
    <t>629A72-8</t>
  </si>
  <si>
    <t>ESTATOR 40V / TW007G - TW008G</t>
  </si>
  <si>
    <t>629A75-2</t>
  </si>
  <si>
    <t>629A76-0</t>
  </si>
  <si>
    <t>ESTATOR DC36V/LS003G-04G</t>
  </si>
  <si>
    <t>629A81-7</t>
  </si>
  <si>
    <t>ESTATOR 40V / SP001G</t>
  </si>
  <si>
    <t>629A82-5</t>
  </si>
  <si>
    <t>ESTATOR 36V / UR012G</t>
  </si>
  <si>
    <t>629A83-3</t>
  </si>
  <si>
    <t>629A85-9</t>
  </si>
  <si>
    <t>629A88-3</t>
  </si>
  <si>
    <t>MOTOR DC / DLM480</t>
  </si>
  <si>
    <t>629A89-1</t>
  </si>
  <si>
    <t>629A91-4</t>
  </si>
  <si>
    <t>MOTOR 40V / AS001G</t>
  </si>
  <si>
    <t>629A92-2</t>
  </si>
  <si>
    <t>ESTATOR 80V / CE001G</t>
  </si>
  <si>
    <t>629B03-3</t>
  </si>
  <si>
    <t>ESTATOR 40V / PB002G</t>
  </si>
  <si>
    <t>629B05-9</t>
  </si>
  <si>
    <t>DC MOTOR 18V / DBO481</t>
  </si>
  <si>
    <t>629B10-6</t>
  </si>
  <si>
    <t>ESTATOR CPL 40V / PV001G</t>
  </si>
  <si>
    <t>629B14-8</t>
  </si>
  <si>
    <t>629B59-6</t>
  </si>
  <si>
    <t>629B61-9</t>
  </si>
  <si>
    <t>ESTATOR 18V VARIOS</t>
  </si>
  <si>
    <t>629B62-7</t>
  </si>
  <si>
    <t>ESTATOR  18V / VARIOS</t>
  </si>
  <si>
    <t>629B65-1</t>
  </si>
  <si>
    <t>ESTATOR 18V / DJR189</t>
  </si>
  <si>
    <t>629B69-3</t>
  </si>
  <si>
    <t>629B81-3</t>
  </si>
  <si>
    <t>ESTATOR 40V CPL /HS012G</t>
  </si>
  <si>
    <t>629B87-1</t>
  </si>
  <si>
    <t>629B89-7</t>
  </si>
  <si>
    <t>MOTOR DC</t>
  </si>
  <si>
    <t>629B90-2</t>
  </si>
  <si>
    <t>ESTATOR 40V / UB002C</t>
  </si>
  <si>
    <t>629B92-8</t>
  </si>
  <si>
    <t>629B96-0</t>
  </si>
  <si>
    <t>629B98-6</t>
  </si>
  <si>
    <t>ESTATOR DDF489/DHP489</t>
  </si>
  <si>
    <t>629C05-5</t>
  </si>
  <si>
    <t>629C18-6</t>
  </si>
  <si>
    <t>629C25-9</t>
  </si>
  <si>
    <t>629C26-7</t>
  </si>
  <si>
    <t>629C29-1</t>
  </si>
  <si>
    <t>629C71-2</t>
  </si>
  <si>
    <t>MANUBRIO / RBC320</t>
  </si>
  <si>
    <t>631151-4</t>
  </si>
  <si>
    <t>CONTROLADOR  / 3612C</t>
  </si>
  <si>
    <t>631227-7</t>
  </si>
  <si>
    <t>CONTROLADOR / 9237CB - 9227CB</t>
  </si>
  <si>
    <t>631273-0</t>
  </si>
  <si>
    <t>CONTROLADOR / HM1202C</t>
  </si>
  <si>
    <t>631369-7</t>
  </si>
  <si>
    <t>CONTROLADOR / HR3000C</t>
  </si>
  <si>
    <t>631382-5</t>
  </si>
  <si>
    <t>631384-1</t>
  </si>
  <si>
    <t>CONTROLADOR / 9564CV</t>
  </si>
  <si>
    <t>631402-5</t>
  </si>
  <si>
    <t>CONTROLADOR / GD0800C</t>
  </si>
  <si>
    <t>631425-3</t>
  </si>
  <si>
    <t>CONTROLADOR / BO6030</t>
  </si>
  <si>
    <t>631475-8</t>
  </si>
  <si>
    <t>LAMPARA / HP2070F</t>
  </si>
  <si>
    <t>631527-5</t>
  </si>
  <si>
    <t>631534-8</t>
  </si>
  <si>
    <t>CONTROLADOR / HP2070F</t>
  </si>
  <si>
    <t>631554-2</t>
  </si>
  <si>
    <t>CONTROLADOR / HM0860C</t>
  </si>
  <si>
    <t>631598-2</t>
  </si>
  <si>
    <t>CONTROLADOR / GA7010C - GA9010C</t>
  </si>
  <si>
    <t>631600-1</t>
  </si>
  <si>
    <t>CONTROLADOR / SA7000C</t>
  </si>
  <si>
    <t>631613-2</t>
  </si>
  <si>
    <t>CIRCUITO DE ARRANQUE SUAVE / 2704</t>
  </si>
  <si>
    <t>631636-0</t>
  </si>
  <si>
    <t>CONTROLADOR / PW5001C</t>
  </si>
  <si>
    <t>631651-4</t>
  </si>
  <si>
    <t>CONTROLADOR / JR3070CT</t>
  </si>
  <si>
    <t>631657-2</t>
  </si>
  <si>
    <t>631671-8</t>
  </si>
  <si>
    <t>LAMPARA / HM1810</t>
  </si>
  <si>
    <t>631672-6</t>
  </si>
  <si>
    <t>CONTROLADOR /VARIOS</t>
  </si>
  <si>
    <t>631677-6</t>
  </si>
  <si>
    <t>CONTROLADOR / 9032 - 9031</t>
  </si>
  <si>
    <t>631678-4</t>
  </si>
  <si>
    <t>631692-0</t>
  </si>
  <si>
    <t>CIRCUITO DE ILUMINACION / VARIOS</t>
  </si>
  <si>
    <t>631693-8</t>
  </si>
  <si>
    <t>CIRCUITO LED / DTW251</t>
  </si>
  <si>
    <t>631714-6</t>
  </si>
  <si>
    <t>631719-6</t>
  </si>
  <si>
    <t>CONTROLADOR / UC4551A</t>
  </si>
  <si>
    <t>631727-7</t>
  </si>
  <si>
    <t>CONTROLADOR / HR5201C</t>
  </si>
  <si>
    <t>631729-3</t>
  </si>
  <si>
    <t>CONTROLADOR / SP6000 - CA5000</t>
  </si>
  <si>
    <t>631738-2</t>
  </si>
  <si>
    <t>DIODO CON CABLE DE CONEXIÓN / VARIOS</t>
  </si>
  <si>
    <t>631766-7</t>
  </si>
  <si>
    <t>CONTROLADOR / 4350FCT</t>
  </si>
  <si>
    <t>631768-3</t>
  </si>
  <si>
    <t>CONTROLADOR / 4340CT - 4350CT</t>
  </si>
  <si>
    <t>631784-5</t>
  </si>
  <si>
    <t>CONTROLADOR / HR3210C</t>
  </si>
  <si>
    <t>631787-9</t>
  </si>
  <si>
    <t>CONTROLADOR / 9564PC</t>
  </si>
  <si>
    <t>631789-5</t>
  </si>
  <si>
    <t>CONTROLADOR / 9564PCV</t>
  </si>
  <si>
    <t>631799-2</t>
  </si>
  <si>
    <t>CONTROLADOR / PC5001C</t>
  </si>
  <si>
    <t>631811-8</t>
  </si>
  <si>
    <t>631815-0</t>
  </si>
  <si>
    <t>CONTROLADOR / GA5020C</t>
  </si>
  <si>
    <t>631850-8</t>
  </si>
  <si>
    <t>631862-1</t>
  </si>
  <si>
    <t>631865-5</t>
  </si>
  <si>
    <t>631869-7</t>
  </si>
  <si>
    <t>CONTROLADOR / HM1203C</t>
  </si>
  <si>
    <t>631871-0</t>
  </si>
  <si>
    <t>CONTROLADOR / HM1213C</t>
  </si>
  <si>
    <t>631908-3</t>
  </si>
  <si>
    <t>CIRCUITO ELECTRICO / LS1219L</t>
  </si>
  <si>
    <t>631922-9</t>
  </si>
  <si>
    <t>631930-0</t>
  </si>
  <si>
    <t>CONTROLADOR / HM0870C</t>
  </si>
  <si>
    <t>631932-6</t>
  </si>
  <si>
    <t>CONTROLADOR / HM0871C</t>
  </si>
  <si>
    <t>631937-6</t>
  </si>
  <si>
    <t>LED / HR2631F</t>
  </si>
  <si>
    <t>631947-3</t>
  </si>
  <si>
    <t>CONTROLADOR / LF1000</t>
  </si>
  <si>
    <t>631956-2</t>
  </si>
  <si>
    <t>CONTROLADOR / BO5041</t>
  </si>
  <si>
    <t>631966-9</t>
  </si>
  <si>
    <t>CONTROLADOR / HM1101C</t>
  </si>
  <si>
    <t>631968-5</t>
  </si>
  <si>
    <t>CONTROLADOR / HM1111C</t>
  </si>
  <si>
    <t>631973-2</t>
  </si>
  <si>
    <t>632523-6</t>
  </si>
  <si>
    <t>TERMINAL L / VARIOS</t>
  </si>
  <si>
    <t>632524-4</t>
  </si>
  <si>
    <t>TERMINAL R / VARIOS</t>
  </si>
  <si>
    <t>632679-5</t>
  </si>
  <si>
    <t>SOPORTE CPL / 9227CB</t>
  </si>
  <si>
    <t>632783-0</t>
  </si>
  <si>
    <t>UNIDAD DE ILUMINACION 9227C</t>
  </si>
  <si>
    <t>632828-4</t>
  </si>
  <si>
    <t>ESTATOR MAGNETICO LXT / DHR263</t>
  </si>
  <si>
    <t>632999-7</t>
  </si>
  <si>
    <t>BLOQUE DE INTERRUPTOR / VARIOS</t>
  </si>
  <si>
    <t>632A24-0</t>
  </si>
  <si>
    <t>INTERRUPTOR / DHP453 - DDF453</t>
  </si>
  <si>
    <t>632A63-0</t>
  </si>
  <si>
    <t>CONTROLADOR / DCG180</t>
  </si>
  <si>
    <t>632A83-4</t>
  </si>
  <si>
    <t>632B59-7</t>
  </si>
  <si>
    <t>PORTA CARBON / HR5202C - HR5212C</t>
  </si>
  <si>
    <t>632B66-0</t>
  </si>
  <si>
    <t>UNIDAD PRINCIPAL / DHS710</t>
  </si>
  <si>
    <t>632B88-0</t>
  </si>
  <si>
    <t>PORTA CARBON CPL A / DTM51</t>
  </si>
  <si>
    <t>632B89-8</t>
  </si>
  <si>
    <t>PORTA CARBON CPL B / DTM51</t>
  </si>
  <si>
    <t>632B92-9</t>
  </si>
  <si>
    <t>PORTA CARBON / DBN500</t>
  </si>
  <si>
    <t>632C07-2</t>
  </si>
  <si>
    <t>UNIDAD PRINCIPAL / EB7650TH</t>
  </si>
  <si>
    <t>632C12-9</t>
  </si>
  <si>
    <t>UNIDAD PRINCIPAL</t>
  </si>
  <si>
    <t>632C13-7</t>
  </si>
  <si>
    <t>632C15-3</t>
  </si>
  <si>
    <t>UNIDAD PRINCIPAL / HR5212C; 02C</t>
  </si>
  <si>
    <t>632D00-2</t>
  </si>
  <si>
    <t>PORTA CARBON / VARIOS</t>
  </si>
  <si>
    <t>632D61-2</t>
  </si>
  <si>
    <t>ESTATOR P/ DTD148</t>
  </si>
  <si>
    <t>632D63-8</t>
  </si>
  <si>
    <t>ESTATOR 18V / DTW281</t>
  </si>
  <si>
    <t>632D66-2</t>
  </si>
  <si>
    <t>UNIDAD PRINCIPAL / VARIOS</t>
  </si>
  <si>
    <t>632D67-0</t>
  </si>
  <si>
    <t>632D74-3</t>
  </si>
  <si>
    <t>UNIDAD PRINCIPAL / EM3400U</t>
  </si>
  <si>
    <t>632D84-0</t>
  </si>
  <si>
    <t>BATERIA / CL105D</t>
  </si>
  <si>
    <t>632D94-7</t>
  </si>
  <si>
    <t>INTERRUPTOR / DHR165 - DHR165</t>
  </si>
  <si>
    <t>632D96-3</t>
  </si>
  <si>
    <t>PORTA CARBON / DHR165 - DHR165</t>
  </si>
  <si>
    <t>632E02-4</t>
  </si>
  <si>
    <t>632E12-1</t>
  </si>
  <si>
    <t>632E22-8</t>
  </si>
  <si>
    <t>CONTROLADOR / CL183D</t>
  </si>
  <si>
    <t>632E26-0</t>
  </si>
  <si>
    <t>UNIDAD DE INTERRUPTOR / VARIOS</t>
  </si>
  <si>
    <t>632E31-7</t>
  </si>
  <si>
    <t>PORTACARBON P/HR4003C, HR4013C</t>
  </si>
  <si>
    <t>632E38-3</t>
  </si>
  <si>
    <t>UNIDAD PRINCIPAL / EBH340U</t>
  </si>
  <si>
    <t>632E39-1</t>
  </si>
  <si>
    <t>632E40-6</t>
  </si>
  <si>
    <t>INTERRUPTOR / DUR365U</t>
  </si>
  <si>
    <t>632F21-6</t>
  </si>
  <si>
    <t>PORTA CARBON / DDF482 - DHO482</t>
  </si>
  <si>
    <t>632F22-4</t>
  </si>
  <si>
    <t>PORTA CARBON / DHP482 - DDF482</t>
  </si>
  <si>
    <t>632F23-2</t>
  </si>
  <si>
    <t>PORTA CARBON / DTD152</t>
  </si>
  <si>
    <t>632F25-8</t>
  </si>
  <si>
    <t>632F41-0</t>
  </si>
  <si>
    <t>632F44-4</t>
  </si>
  <si>
    <t>UNIDAD PRINCIPAL / BHX2500</t>
  </si>
  <si>
    <t>632F45-2</t>
  </si>
  <si>
    <t>632F47-8</t>
  </si>
  <si>
    <t>INTERRUPTOR / JR103D - JR105</t>
  </si>
  <si>
    <t>632F75-3</t>
  </si>
  <si>
    <t>632F76-1</t>
  </si>
  <si>
    <t>632F78-7</t>
  </si>
  <si>
    <t>632F79-5</t>
  </si>
  <si>
    <t>632F82-6</t>
  </si>
  <si>
    <t>632F84-2</t>
  </si>
  <si>
    <t>CONTROLADOR / CC301D</t>
  </si>
  <si>
    <t>632F97-3</t>
  </si>
  <si>
    <t>UNIDAD PRINCIPAL / DVC860</t>
  </si>
  <si>
    <t>632G35-1</t>
  </si>
  <si>
    <t>INTERRUPTOR / DTW190</t>
  </si>
  <si>
    <t>632G44-0</t>
  </si>
  <si>
    <t>632G50-5</t>
  </si>
  <si>
    <t>PORTA CARBON / BTW251 - DTW251</t>
  </si>
  <si>
    <t>632G54-7</t>
  </si>
  <si>
    <t>INTERRUPTOR / JV101D</t>
  </si>
  <si>
    <t>632G60-2</t>
  </si>
  <si>
    <t>UNIDAD DE INTERRUPTOR / DFN350 - DPT353</t>
  </si>
  <si>
    <t>632G61-0</t>
  </si>
  <si>
    <t>632G71-7</t>
  </si>
  <si>
    <t>FUSIBLE / HW1200</t>
  </si>
  <si>
    <t>632G73-3</t>
  </si>
  <si>
    <t>FUSIBLE / HW1300</t>
  </si>
  <si>
    <t>632H47-0</t>
  </si>
  <si>
    <t>UNIDAD DE FRENO / DUC400</t>
  </si>
  <si>
    <t>632H48-8</t>
  </si>
  <si>
    <t>CONTROLADOR / CL106FD</t>
  </si>
  <si>
    <t>632H50-1</t>
  </si>
  <si>
    <t>CONTROLADOR / CL107FD</t>
  </si>
  <si>
    <t>632H63-2</t>
  </si>
  <si>
    <t>FUSIBLE / CL106FD</t>
  </si>
  <si>
    <t>632H65-8</t>
  </si>
  <si>
    <t>UNIDAD DE TERMINAL / BTC04</t>
  </si>
  <si>
    <t>632H97-5</t>
  </si>
  <si>
    <t>INTERRUPTOR / SD100D</t>
  </si>
  <si>
    <t>632J07-4</t>
  </si>
  <si>
    <t>ESTATOR 18V / DTW285</t>
  </si>
  <si>
    <t>632J24-4</t>
  </si>
  <si>
    <t>632J30-9</t>
  </si>
  <si>
    <t>UNIDAD PRINCIPAL A / EB5300TH</t>
  </si>
  <si>
    <t>632J31-7</t>
  </si>
  <si>
    <t>632J50-3</t>
  </si>
  <si>
    <t>UNIDAD PRINCIPALB / EB5300TH</t>
  </si>
  <si>
    <t>632J60-0</t>
  </si>
  <si>
    <t>632J70-7</t>
  </si>
  <si>
    <t>ESTATOR MAGNETICO 18V / DHP482 - DDF482</t>
  </si>
  <si>
    <t>632J71-5</t>
  </si>
  <si>
    <t>ESTATOR MAGNETICO / DHP456 - DDF456</t>
  </si>
  <si>
    <t>632J77-3</t>
  </si>
  <si>
    <t>632J80-4</t>
  </si>
  <si>
    <t>INTERRUPTOR / TD127D</t>
  </si>
  <si>
    <t>632J82-0</t>
  </si>
  <si>
    <t>632J83-8</t>
  </si>
  <si>
    <t>UNIDAD PRINCIPAL / DVC864L</t>
  </si>
  <si>
    <t>632J90-1</t>
  </si>
  <si>
    <t>CONTROLADOR / DPT353</t>
  </si>
  <si>
    <t>632J92-7</t>
  </si>
  <si>
    <t>CONTROLADOR / PT354D</t>
  </si>
  <si>
    <t>632K06-2</t>
  </si>
  <si>
    <t>632K10-1</t>
  </si>
  <si>
    <t>CONTROLADOR / UM600D</t>
  </si>
  <si>
    <t>632K43-6</t>
  </si>
  <si>
    <t>TERMINAL / DCR18RE</t>
  </si>
  <si>
    <t>632K49-4</t>
  </si>
  <si>
    <t>UNIDAD PRINCIIPAL / DCU180</t>
  </si>
  <si>
    <t>632K50-9</t>
  </si>
  <si>
    <t>UNIDAD PRINCIPAL / DCU180</t>
  </si>
  <si>
    <t>632K58-3</t>
  </si>
  <si>
    <t>INTERRUPTOR / TL064D - TL065D</t>
  </si>
  <si>
    <t>632K62-2</t>
  </si>
  <si>
    <t>632K92-3</t>
  </si>
  <si>
    <t>INTERRUPTOR / DRT50 - DBO380</t>
  </si>
  <si>
    <t>632K95-7</t>
  </si>
  <si>
    <t>CONTROLADOR / CG100D</t>
  </si>
  <si>
    <t>632K99-9</t>
  </si>
  <si>
    <t>632L02-6</t>
  </si>
  <si>
    <t>FUSIBLE / VR1000</t>
  </si>
  <si>
    <t>632L06-8</t>
  </si>
  <si>
    <t>UNIDAD INTERRUPTOR / DBN600</t>
  </si>
  <si>
    <t>632L07-6</t>
  </si>
  <si>
    <t>632L09-2</t>
  </si>
  <si>
    <t>INTERRUPTOR / DLS111</t>
  </si>
  <si>
    <t>632L18-1</t>
  </si>
  <si>
    <t>PORTA CARBON / DTW251</t>
  </si>
  <si>
    <t>632L19-9</t>
  </si>
  <si>
    <t>632L22-0</t>
  </si>
  <si>
    <t>UNIDAD PRINCIPAL / UR100D</t>
  </si>
  <si>
    <t>632L24-6</t>
  </si>
  <si>
    <t>BLOQUE DE INTERRUPTOR / GA4540 - GA5040</t>
  </si>
  <si>
    <t>632L35-1</t>
  </si>
  <si>
    <t>EJE BLOQUEO/ VARIOS</t>
  </si>
  <si>
    <t>632L39-3</t>
  </si>
  <si>
    <t>UNIDAD PRINCIPAL / DHR400</t>
  </si>
  <si>
    <t>632L40-8</t>
  </si>
  <si>
    <t>CONTROLADOR/ DWT310</t>
  </si>
  <si>
    <t>632L45-8</t>
  </si>
  <si>
    <t>632L47-4</t>
  </si>
  <si>
    <t>UNIDAD DE CONECTOR / VC004G - DHR400</t>
  </si>
  <si>
    <t>632L48-2</t>
  </si>
  <si>
    <t>INTERRUPTOR / DUC254 - DUC406</t>
  </si>
  <si>
    <t>632L49-0</t>
  </si>
  <si>
    <t>632L58-9</t>
  </si>
  <si>
    <t>632L80-6</t>
  </si>
  <si>
    <t>INTERRUPTOR / DHS660</t>
  </si>
  <si>
    <t>632L84-8</t>
  </si>
  <si>
    <t>INTERRUPTOR / DTD171</t>
  </si>
  <si>
    <t>632L91-1</t>
  </si>
  <si>
    <t>632L94-5</t>
  </si>
  <si>
    <t>INTERRUPTOR / DTR180</t>
  </si>
  <si>
    <t>632L95-3</t>
  </si>
  <si>
    <t>UNIDAD PRINCIPAL / DHR280</t>
  </si>
  <si>
    <t>632L96-1</t>
  </si>
  <si>
    <t>MOTOR CPL 18V / VARIOS</t>
  </si>
  <si>
    <t>632M06-4</t>
  </si>
  <si>
    <t>632M67-4</t>
  </si>
  <si>
    <t>CONTROLADOR / DVR150</t>
  </si>
  <si>
    <t>632M68-2</t>
  </si>
  <si>
    <t>INTERRUPTOR / DCS553</t>
  </si>
  <si>
    <t>632M81-0</t>
  </si>
  <si>
    <t>UNIDAD PRINCIPAL / DLM460</t>
  </si>
  <si>
    <t>632M82-8</t>
  </si>
  <si>
    <t>INTERRUPTOR / DPT353</t>
  </si>
  <si>
    <t>632M90-9</t>
  </si>
  <si>
    <t>INTERRUPTOR / DVR150</t>
  </si>
  <si>
    <t>632M92-5</t>
  </si>
  <si>
    <t>632N32-9</t>
  </si>
  <si>
    <t>CONTROLADOR / CL121D</t>
  </si>
  <si>
    <t>632N37-9</t>
  </si>
  <si>
    <t>CONTROLADOR / DWT310</t>
  </si>
  <si>
    <t>632N39-5</t>
  </si>
  <si>
    <t>CONTROLADOR / DFN350</t>
  </si>
  <si>
    <t>632N57-3</t>
  </si>
  <si>
    <t>632N59-9</t>
  </si>
  <si>
    <t>632N61-2</t>
  </si>
  <si>
    <t>INTERRUPTOR / DHW080</t>
  </si>
  <si>
    <t>632N92-1</t>
  </si>
  <si>
    <t>TERMINAL / ADP10</t>
  </si>
  <si>
    <t>632P18-5</t>
  </si>
  <si>
    <t>CONTROLADOR / DLM382</t>
  </si>
  <si>
    <t>632P20-8</t>
  </si>
  <si>
    <t>CONTROLADOR / DLM432</t>
  </si>
  <si>
    <t>632P49-4</t>
  </si>
  <si>
    <t>TERMINAL / VC009G - HP001G</t>
  </si>
  <si>
    <t>632P53-3</t>
  </si>
  <si>
    <t>PORTA CARBON / HP0300 - DF0300</t>
  </si>
  <si>
    <t>632P57-5</t>
  </si>
  <si>
    <t>INTERRUPTOR - DTD156</t>
  </si>
  <si>
    <t>632P62-2</t>
  </si>
  <si>
    <t>CABLEADO/DUN500W - DUN600L</t>
  </si>
  <si>
    <t>632P64-8</t>
  </si>
  <si>
    <t>TERMINAL / HR003G</t>
  </si>
  <si>
    <t>632P65-6</t>
  </si>
  <si>
    <t>632P71-1</t>
  </si>
  <si>
    <t>632P74-5</t>
  </si>
  <si>
    <t>UNIDAD PRINCIPAL / DLM465</t>
  </si>
  <si>
    <t>632P80-0</t>
  </si>
  <si>
    <t>UNIDAD PRINCIPAL / AG3751 - DUB363</t>
  </si>
  <si>
    <t>632P82-6</t>
  </si>
  <si>
    <t>CONTROLADOR / DVR250</t>
  </si>
  <si>
    <t>632P88-4</t>
  </si>
  <si>
    <t>632P89-2</t>
  </si>
  <si>
    <t>632R18-7</t>
  </si>
  <si>
    <t>632R64-0</t>
  </si>
  <si>
    <t>TERMINAL PRINCIPAL / HR005G</t>
  </si>
  <si>
    <t>632R65-8</t>
  </si>
  <si>
    <t>PORTA CARBON / HM1501</t>
  </si>
  <si>
    <t>632R68-2</t>
  </si>
  <si>
    <t>INTERRUPTOR / DUB185</t>
  </si>
  <si>
    <t>632R89-4</t>
  </si>
  <si>
    <t>CONECTOR / HR006G</t>
  </si>
  <si>
    <t>632R96-7</t>
  </si>
  <si>
    <t>SENSOR / VARIOS</t>
  </si>
  <si>
    <t>632R98-3</t>
  </si>
  <si>
    <t>TERMINAL / HR006G</t>
  </si>
  <si>
    <t>632R99-1</t>
  </si>
  <si>
    <t>UNIDAD DE TERMINAL / HP002G</t>
  </si>
  <si>
    <t>632S32-9</t>
  </si>
  <si>
    <t>CABLE DE ALIMENTACION / CL001G</t>
  </si>
  <si>
    <t>632S34-5</t>
  </si>
  <si>
    <t>INTERRUPTOR / DTM52</t>
  </si>
  <si>
    <t>632S37-9</t>
  </si>
  <si>
    <t>INTERRUPTOR / GA7070 - GA9070</t>
  </si>
  <si>
    <t>632S80-8</t>
  </si>
  <si>
    <t>CONTROLADOR / DBO481</t>
  </si>
  <si>
    <t>632T58-7</t>
  </si>
  <si>
    <t>UNIDAD PRINCIPAL / CE001G</t>
  </si>
  <si>
    <t>632T61-8</t>
  </si>
  <si>
    <t>INTERRUPTOR / CE001G</t>
  </si>
  <si>
    <t>632U16-9</t>
  </si>
  <si>
    <t>CAMPO MAGNETICO / VARIOS</t>
  </si>
  <si>
    <t>632U35-5</t>
  </si>
  <si>
    <t>632U36-3</t>
  </si>
  <si>
    <t>632U81-8</t>
  </si>
  <si>
    <t>632k38-9</t>
  </si>
  <si>
    <t>633323-7</t>
  </si>
  <si>
    <t>ESTATOR 220V / 6821</t>
  </si>
  <si>
    <t>633393-6</t>
  </si>
  <si>
    <t>ESTATOR 220V / 9911</t>
  </si>
  <si>
    <t>633443-7</t>
  </si>
  <si>
    <t>633468-1</t>
  </si>
  <si>
    <t>ESTATOR 220V / DP4000</t>
  </si>
  <si>
    <t>633488-5</t>
  </si>
  <si>
    <t>633493-2</t>
  </si>
  <si>
    <t>633528-9</t>
  </si>
  <si>
    <t>ESTATOR 220V / HP2050</t>
  </si>
  <si>
    <t>633568-7</t>
  </si>
  <si>
    <t>ESTATOR 220V / HP1640</t>
  </si>
  <si>
    <t>633573-4</t>
  </si>
  <si>
    <t>ESTATOR 220V / HP2070F</t>
  </si>
  <si>
    <t>633623-5</t>
  </si>
  <si>
    <t>ESTATOR 220V / HR1830</t>
  </si>
  <si>
    <t>633673-0</t>
  </si>
  <si>
    <t>ESTATOR 220V / BO5030</t>
  </si>
  <si>
    <t>633688-7</t>
  </si>
  <si>
    <t>ESTATOR / M9204</t>
  </si>
  <si>
    <t>633693-4</t>
  </si>
  <si>
    <t>ESTATOR 220V / FS2200 - FS2700</t>
  </si>
  <si>
    <t>633713-4</t>
  </si>
  <si>
    <t>ESTATOR 220V / HR2641</t>
  </si>
  <si>
    <t>633723-1</t>
  </si>
  <si>
    <t>ESTATOR 220V / BO5041</t>
  </si>
  <si>
    <t>633733-8</t>
  </si>
  <si>
    <t>ESTATOR 220 / M4301</t>
  </si>
  <si>
    <t>633768-9</t>
  </si>
  <si>
    <t>ESTATOR 220V / RT0700C</t>
  </si>
  <si>
    <t>633788-3</t>
  </si>
  <si>
    <t>ESTATOR 220V / JV0600</t>
  </si>
  <si>
    <t>633793-0</t>
  </si>
  <si>
    <t>ESTATOR 220V / M8700</t>
  </si>
  <si>
    <t>633798-0</t>
  </si>
  <si>
    <t>ESTATOR 200V / M4000</t>
  </si>
  <si>
    <t>633813-0</t>
  </si>
  <si>
    <t>ESTATOR 220V / M6501</t>
  </si>
  <si>
    <t>633833-4</t>
  </si>
  <si>
    <t>ESTATOR 220 / M0801K</t>
  </si>
  <si>
    <t>633903-9</t>
  </si>
  <si>
    <t>ESTATOR 220V / GA4530R</t>
  </si>
  <si>
    <t>633978-8</t>
  </si>
  <si>
    <t>ESTATOR 220V / M8701</t>
  </si>
  <si>
    <t>633983-5</t>
  </si>
  <si>
    <t>ESTATOR 220V / M0801K</t>
  </si>
  <si>
    <t>634178-3</t>
  </si>
  <si>
    <t>ESTATOR 220V / 6905H</t>
  </si>
  <si>
    <t>634223-4</t>
  </si>
  <si>
    <t>ESTATOR 220V / 9046</t>
  </si>
  <si>
    <t>634293-3</t>
  </si>
  <si>
    <t>ESTATOR 220V / 9237CB - 9227CB</t>
  </si>
  <si>
    <t>TUERCA / UNIVERSAL</t>
  </si>
  <si>
    <t>ARANDELA DE BLOQUEO/ EBH340U</t>
  </si>
  <si>
    <t>JUEGO DE FLECHAS / EBH340U</t>
  </si>
  <si>
    <t>634348-4</t>
  </si>
  <si>
    <t>ESTATOR 220V / HR3000C</t>
  </si>
  <si>
    <t>634443-0</t>
  </si>
  <si>
    <t>ESTATOR / DA4000LR</t>
  </si>
  <si>
    <t>634508-8</t>
  </si>
  <si>
    <t>ESTATOR 220V / HM0860C</t>
  </si>
  <si>
    <t>634513-5</t>
  </si>
  <si>
    <t>ESTATOR 220V / 4131</t>
  </si>
  <si>
    <t>634728-4</t>
  </si>
  <si>
    <t>ESTATOR 220V / M9800</t>
  </si>
  <si>
    <t>634733-1</t>
  </si>
  <si>
    <t>634738-1</t>
  </si>
  <si>
    <t>ESTATOR 220V / HP0300 - DF0300</t>
  </si>
  <si>
    <t>634748-8</t>
  </si>
  <si>
    <t>ESTATOR 220V / HM1501</t>
  </si>
  <si>
    <t>635078-0</t>
  </si>
  <si>
    <t>635098-4</t>
  </si>
  <si>
    <t>ESTATOR 220V / M9200</t>
  </si>
  <si>
    <t>635113-4</t>
  </si>
  <si>
    <t>ESTATOR 220V / GA4530</t>
  </si>
  <si>
    <t>636008-4</t>
  </si>
  <si>
    <t>ESTATOR 220V / 2414NB</t>
  </si>
  <si>
    <t>636013-1</t>
  </si>
  <si>
    <t>ESTATOR 220V</t>
  </si>
  <si>
    <t>636168-2</t>
  </si>
  <si>
    <t>ESTATOR 220V / LC1230</t>
  </si>
  <si>
    <t>636303-2</t>
  </si>
  <si>
    <t>636333-3</t>
  </si>
  <si>
    <t>ESTATOR 220V / HM1317CB - HM1307CB</t>
  </si>
  <si>
    <t>636383-8</t>
  </si>
  <si>
    <t>ESTATOR 220V / M0920 - M0921</t>
  </si>
  <si>
    <t>636388-8</t>
  </si>
  <si>
    <t>ESTATOR 220V / UC4551A</t>
  </si>
  <si>
    <t>636405-4</t>
  </si>
  <si>
    <t>ESTATOR 115V / HM1812</t>
  </si>
  <si>
    <t>636408-8</t>
  </si>
  <si>
    <t>ESTATOR 220V / HM1802 - HM1812</t>
  </si>
  <si>
    <t>638020-0</t>
  </si>
  <si>
    <t>ESTATOR MAGNETICO LXT / VARIOS</t>
  </si>
  <si>
    <t>638081-0</t>
  </si>
  <si>
    <t>APOYO CPL / DA4000LR</t>
  </si>
  <si>
    <t>638107-8</t>
  </si>
  <si>
    <t>ESTATOR MAGNETICO LXT / DTW450</t>
  </si>
  <si>
    <t>638236-7</t>
  </si>
  <si>
    <t>PORTA CARBON / HR1830</t>
  </si>
  <si>
    <t>638237-5</t>
  </si>
  <si>
    <t>PORTA CARBON / HP1640</t>
  </si>
  <si>
    <t>638293-5</t>
  </si>
  <si>
    <t>APOYO CPL / HM0860C</t>
  </si>
  <si>
    <t>638358-3</t>
  </si>
  <si>
    <t>SOPORTE CPL / 4131</t>
  </si>
  <si>
    <t>638375-3</t>
  </si>
  <si>
    <t>638378-7</t>
  </si>
  <si>
    <t>CABLE DE ALIMENTACION / HM1810</t>
  </si>
  <si>
    <t>638387-6</t>
  </si>
  <si>
    <t>PORTA CARBON / DTD146</t>
  </si>
  <si>
    <t>638393-1</t>
  </si>
  <si>
    <t>638396-5</t>
  </si>
  <si>
    <t>ESTATOR MAGNETICO / VARIOS</t>
  </si>
  <si>
    <t>638406-8</t>
  </si>
  <si>
    <t>UNIDAD DE LUZ P/HR4011C</t>
  </si>
  <si>
    <t>638407-6</t>
  </si>
  <si>
    <t>UNIDAD PRINCIPAL / HR4001C - HR4010C</t>
  </si>
  <si>
    <t>638413-1</t>
  </si>
  <si>
    <t>PORTA CARBON / HP2070F</t>
  </si>
  <si>
    <t>638423-8</t>
  </si>
  <si>
    <t>ESTATOR MAGNETICO 18V / VARIOS</t>
  </si>
  <si>
    <t>638425-4</t>
  </si>
  <si>
    <t>638431-9</t>
  </si>
  <si>
    <t>638446-6</t>
  </si>
  <si>
    <t>ESTATOR / DHR165</t>
  </si>
  <si>
    <t>638447-4</t>
  </si>
  <si>
    <t>638448-2</t>
  </si>
  <si>
    <t>638461-0</t>
  </si>
  <si>
    <t>ESTATOR MAGNETICO 18V / BHR240</t>
  </si>
  <si>
    <t>638462-8</t>
  </si>
  <si>
    <t>PORTA CARBON / BHR240</t>
  </si>
  <si>
    <t>638470-9</t>
  </si>
  <si>
    <t>INTERRUPTOR / TD020D</t>
  </si>
  <si>
    <t>638494-5</t>
  </si>
  <si>
    <t>PORTA CARBON / DHP456 - DDF456</t>
  </si>
  <si>
    <t>638495-3</t>
  </si>
  <si>
    <t>ESTATOR MAGNETICO / DTW251</t>
  </si>
  <si>
    <t>638500-6</t>
  </si>
  <si>
    <t>PORTA CARBON / HR2230 - HR2470</t>
  </si>
  <si>
    <t>638503-0</t>
  </si>
  <si>
    <t>UNIDAD DE INTERRUPTOR / DTW450</t>
  </si>
  <si>
    <t>638510-3</t>
  </si>
  <si>
    <t>638519-5</t>
  </si>
  <si>
    <t>638565-8</t>
  </si>
  <si>
    <t>CONECTOR ELECTRICO / HR2810</t>
  </si>
  <si>
    <t>638566-6</t>
  </si>
  <si>
    <t>638567-4</t>
  </si>
  <si>
    <t>638571-3</t>
  </si>
  <si>
    <t>638605-2</t>
  </si>
  <si>
    <t>638613-3</t>
  </si>
  <si>
    <t>638614-1</t>
  </si>
  <si>
    <t>PORTA CARBON  / DHP458 - DDF458</t>
  </si>
  <si>
    <t>638627-2</t>
  </si>
  <si>
    <t>638640-0</t>
  </si>
  <si>
    <t>INTERRUPTOR CPL / BHX2500</t>
  </si>
  <si>
    <t>638642-6</t>
  </si>
  <si>
    <t>UNIDAD DE INTERRUPTOR / EB7650TH</t>
  </si>
  <si>
    <t>638650-7</t>
  </si>
  <si>
    <t>CONECTOR ELECTRICO / HM1203C; 13C</t>
  </si>
  <si>
    <t>638651-5</t>
  </si>
  <si>
    <t>CIRCUITO LASER / LS1219L - DLS111</t>
  </si>
  <si>
    <t>638652-3</t>
  </si>
  <si>
    <t>INTERRUPTOR LASER / LS1019L - LS1219L</t>
  </si>
  <si>
    <t>638655-7</t>
  </si>
  <si>
    <t>PORTA CARBON  / VARIOS</t>
  </si>
  <si>
    <t>638656-5</t>
  </si>
  <si>
    <t>ESTATOR 18V /BTD144</t>
  </si>
  <si>
    <t>638660-4</t>
  </si>
  <si>
    <t>638661-2</t>
  </si>
  <si>
    <t>638674-3</t>
  </si>
  <si>
    <t>PORTA CARBON / HM0870C; 71C</t>
  </si>
  <si>
    <t>638675-1</t>
  </si>
  <si>
    <t>CONECTOR ELECTRICO / HM0870C; 71C</t>
  </si>
  <si>
    <t>638700-8</t>
  </si>
  <si>
    <t>PORTA CARBON / HM1111C</t>
  </si>
  <si>
    <t>638710-5</t>
  </si>
  <si>
    <t>UNIDAD PRINCIPAL / PM7650H</t>
  </si>
  <si>
    <t>638715-5</t>
  </si>
  <si>
    <t>638747-2</t>
  </si>
  <si>
    <t>638776-5</t>
  </si>
  <si>
    <t>CABLE DE CONEXION / EK7650H</t>
  </si>
  <si>
    <t>638777-3</t>
  </si>
  <si>
    <t>638784-6</t>
  </si>
  <si>
    <t>ALAMBRE / PM7650H</t>
  </si>
  <si>
    <t>638883-4</t>
  </si>
  <si>
    <t>INTERRUPTOR / BHR202 - DHR202</t>
  </si>
  <si>
    <t>638887-6</t>
  </si>
  <si>
    <t>638892-3</t>
  </si>
  <si>
    <t>CONTROLADOR / CC300D</t>
  </si>
  <si>
    <t>638950-5</t>
  </si>
  <si>
    <t>638974-1</t>
  </si>
  <si>
    <t>UNIDAD PRINCIPAL / EM4351UH</t>
  </si>
  <si>
    <t>638975-9</t>
  </si>
  <si>
    <t>638978-3</t>
  </si>
  <si>
    <t>UNIDAD DE TERMINAL / VARIOS</t>
  </si>
  <si>
    <t>638983-0</t>
  </si>
  <si>
    <t>638984-8</t>
  </si>
  <si>
    <t>638989-8</t>
  </si>
  <si>
    <t>638A19-1</t>
  </si>
  <si>
    <t>CABLEADO /VARIOS</t>
  </si>
  <si>
    <t>638A20-6</t>
  </si>
  <si>
    <t>638A30-3</t>
  </si>
  <si>
    <t>CABLE DE CONEXION / AS001G</t>
  </si>
  <si>
    <t>638A31-1</t>
  </si>
  <si>
    <t>639080-5</t>
  </si>
  <si>
    <t>ESTATOR 220V / HW1300</t>
  </si>
  <si>
    <t>639091-0</t>
  </si>
  <si>
    <t>ESTATOR 220V / HW1200</t>
  </si>
  <si>
    <t>639382-9</t>
  </si>
  <si>
    <t>ESTATOR 220V / M0901</t>
  </si>
  <si>
    <t>639533-4</t>
  </si>
  <si>
    <t>JUEGO DE ENGRANAJE / RBC410</t>
  </si>
  <si>
    <t>ABRAZADERAS / RBC410</t>
  </si>
  <si>
    <t>643505-3</t>
  </si>
  <si>
    <t>PORTA CARBON A  / DJR186</t>
  </si>
  <si>
    <t>643506-1</t>
  </si>
  <si>
    <t>PORTA CARBON B / DJR186</t>
  </si>
  <si>
    <t>643516-8</t>
  </si>
  <si>
    <t>PORTA CARBON / GA5080 - GA5080R</t>
  </si>
  <si>
    <t>643531-2</t>
  </si>
  <si>
    <t>PORTA CARBON A  / DTW450</t>
  </si>
  <si>
    <t>643532-0</t>
  </si>
  <si>
    <t>PORTA CARBON B  / DTW450</t>
  </si>
  <si>
    <t>643535-4</t>
  </si>
  <si>
    <t>LLAVE / DLM465 - DLM460</t>
  </si>
  <si>
    <t>643540-1</t>
  </si>
  <si>
    <t>TERMINAL / PDC01</t>
  </si>
  <si>
    <t>643541-9</t>
  </si>
  <si>
    <t>643550-8</t>
  </si>
  <si>
    <t>TAPA DE CARBON 5-8 / VARIOS</t>
  </si>
  <si>
    <t>643552-4</t>
  </si>
  <si>
    <t>PORTA CARBON 5-8 / VARIOS</t>
  </si>
  <si>
    <t>643556-6</t>
  </si>
  <si>
    <t>PORTA CARBON 5-8 / 6016</t>
  </si>
  <si>
    <t>643563-9</t>
  </si>
  <si>
    <t>PORTA CARBON /VARIOS</t>
  </si>
  <si>
    <t>643564-7</t>
  </si>
  <si>
    <t>643565-5</t>
  </si>
  <si>
    <t>PORTA CARBON 5-8 / 4329</t>
  </si>
  <si>
    <t>643566-3</t>
  </si>
  <si>
    <t>PORTA CARBON 5X8 / VARIOS</t>
  </si>
  <si>
    <t>643600-9</t>
  </si>
  <si>
    <t>TAPA DE CARBON 6-10 / VARIOS</t>
  </si>
  <si>
    <t>643601-7</t>
  </si>
  <si>
    <t>643603-3</t>
  </si>
  <si>
    <t>643610-6</t>
  </si>
  <si>
    <t>PORTA CARBON 6.5X13.5 / VARIOS</t>
  </si>
  <si>
    <t>643650-4</t>
  </si>
  <si>
    <t>TAPA DE CARBON / VARIOS</t>
  </si>
  <si>
    <t>643653-8</t>
  </si>
  <si>
    <t>643660-1</t>
  </si>
  <si>
    <t>PORTA CARBON 6.5-13.5 / VARIOS</t>
  </si>
  <si>
    <t>643700-5</t>
  </si>
  <si>
    <t>TAPA DE CARBON 7-18 / VARIOS</t>
  </si>
  <si>
    <t>643707-1</t>
  </si>
  <si>
    <t>643708-9</t>
  </si>
  <si>
    <t>PORTA CARBON 5-11 / VARIOS</t>
  </si>
  <si>
    <t>643710-2</t>
  </si>
  <si>
    <t>TAPA DE CARBON / HM1810 - 4114S</t>
  </si>
  <si>
    <t>643711-0</t>
  </si>
  <si>
    <t>PORTACARBON / HM1810, 01; HM1304</t>
  </si>
  <si>
    <t>643712-8</t>
  </si>
  <si>
    <t>643714-4</t>
  </si>
  <si>
    <t>643716-0</t>
  </si>
  <si>
    <t>PORTA CARBON / M9507 - M9800</t>
  </si>
  <si>
    <t>643717-8</t>
  </si>
  <si>
    <t>PORTA CARBON / M9510</t>
  </si>
  <si>
    <t>643750-0</t>
  </si>
  <si>
    <t>643760-7</t>
  </si>
  <si>
    <t>643765-7</t>
  </si>
  <si>
    <t>PORTA CARBON / PW5001C</t>
  </si>
  <si>
    <t>643766-5</t>
  </si>
  <si>
    <t>643770-4</t>
  </si>
  <si>
    <t>643802-7</t>
  </si>
  <si>
    <t>643812-4</t>
  </si>
  <si>
    <t>643817-4</t>
  </si>
  <si>
    <t>TERMINAL / UM164D - TD022D</t>
  </si>
  <si>
    <t>643818-2</t>
  </si>
  <si>
    <t>643823-9</t>
  </si>
  <si>
    <t>643826-3</t>
  </si>
  <si>
    <t>PORTA CARBON / BJR182 - DJR182</t>
  </si>
  <si>
    <t>643827-1</t>
  </si>
  <si>
    <t>643829-7</t>
  </si>
  <si>
    <t>643830-2</t>
  </si>
  <si>
    <t>TERMINAL / HP330 - CC300D</t>
  </si>
  <si>
    <t>643834-4</t>
  </si>
  <si>
    <t>PORTA CARBON A / DHR202</t>
  </si>
  <si>
    <t>643835-2</t>
  </si>
  <si>
    <t>PORTA CARBON B / DHR202</t>
  </si>
  <si>
    <t>643836-0</t>
  </si>
  <si>
    <t>PORTA CARBON A / DHR241</t>
  </si>
  <si>
    <t>643837-8</t>
  </si>
  <si>
    <t>PORTA CARBON B / DHR241</t>
  </si>
  <si>
    <t>643839-4</t>
  </si>
  <si>
    <t>PORTA CARBON 6X9 / VARIOS</t>
  </si>
  <si>
    <t>643844-1</t>
  </si>
  <si>
    <t>TERMINAL / DTW450</t>
  </si>
  <si>
    <t>643852-2</t>
  </si>
  <si>
    <t>643860-3</t>
  </si>
  <si>
    <t>643862-9</t>
  </si>
  <si>
    <t>643871-8</t>
  </si>
  <si>
    <t>PORTA CARBON / M0901</t>
  </si>
  <si>
    <t>643874-2</t>
  </si>
  <si>
    <t>643890-4</t>
  </si>
  <si>
    <t>LLAVE  / DCU180</t>
  </si>
  <si>
    <t>643899-6</t>
  </si>
  <si>
    <t>643909-9</t>
  </si>
  <si>
    <t>PORTA BATERIA / VARIOS</t>
  </si>
  <si>
    <t>643922-7</t>
  </si>
  <si>
    <t>PORTA CARBON 6-9 / 9911</t>
  </si>
  <si>
    <t>643923-5</t>
  </si>
  <si>
    <t>PORTA CARBON 6.5-9.5 / VARIOS</t>
  </si>
  <si>
    <t>643928-5</t>
  </si>
  <si>
    <t>643929-3</t>
  </si>
  <si>
    <t>643936-6</t>
  </si>
  <si>
    <t>643941-3</t>
  </si>
  <si>
    <t>TAPA DE CARBON / UH550</t>
  </si>
  <si>
    <t>643948-9</t>
  </si>
  <si>
    <t>643951-0</t>
  </si>
  <si>
    <t>643953-6</t>
  </si>
  <si>
    <t>643954-4</t>
  </si>
  <si>
    <t>TAPA DE CARBON / DGA452 - DPJ180</t>
  </si>
  <si>
    <t>643987-9</t>
  </si>
  <si>
    <t>643988-7</t>
  </si>
  <si>
    <t>643989-5</t>
  </si>
  <si>
    <t>643995-0</t>
  </si>
  <si>
    <t>644001-4</t>
  </si>
  <si>
    <t>PORTA CARBON / GA7070 - GA9070</t>
  </si>
  <si>
    <t>644011-1</t>
  </si>
  <si>
    <t>644500-6</t>
  </si>
  <si>
    <t>644501-4</t>
  </si>
  <si>
    <t>PORTA CARBON 5X11 / VARIOS</t>
  </si>
  <si>
    <t>644507-2</t>
  </si>
  <si>
    <t>PORTA CARBON A / DHR263</t>
  </si>
  <si>
    <t>644508-0</t>
  </si>
  <si>
    <t>PORTA CARBON B / DHR263</t>
  </si>
  <si>
    <t>644802-0</t>
  </si>
  <si>
    <t>TAPA DE SUJETADOR / VARIOS</t>
  </si>
  <si>
    <t>644808-8</t>
  </si>
  <si>
    <t>644809-6</t>
  </si>
  <si>
    <t>644813-5</t>
  </si>
  <si>
    <t>645200-1</t>
  </si>
  <si>
    <t>CAPACITOR / 9237CB - 9227CB</t>
  </si>
  <si>
    <t>646788-4</t>
  </si>
  <si>
    <t>RESISTENCIA / GA9040S - GA7040S</t>
  </si>
  <si>
    <t>647069-9</t>
  </si>
  <si>
    <t>VARISTOR / VARIOS</t>
  </si>
  <si>
    <t>650000-6</t>
  </si>
  <si>
    <t>INTERRUPTOR BSW-1125A-17 / DTM52</t>
  </si>
  <si>
    <t>650008-0</t>
  </si>
  <si>
    <t>INTERRUPTOR C3XB-1LPSPM / HS009G - HS010G</t>
  </si>
  <si>
    <t>TORNILLO 4.2X 9.5/ UNIVERSAL</t>
  </si>
  <si>
    <t>650011-1</t>
  </si>
  <si>
    <t>650013-7</t>
  </si>
  <si>
    <t>INTERRUPTOR  1703.4002  /VARIOS</t>
  </si>
  <si>
    <t>650014-5</t>
  </si>
  <si>
    <t>INTERRUPTOR  1703.4803  /VARIOS</t>
  </si>
  <si>
    <t>650015-3</t>
  </si>
  <si>
    <t>INTERRUPTOR / UA003G - UA004G</t>
  </si>
  <si>
    <t>650019-5</t>
  </si>
  <si>
    <t>INTERRUPTOR C3JW-4B-L / AS001G</t>
  </si>
  <si>
    <t>650020-0</t>
  </si>
  <si>
    <t>INTERRUPTOR / PV001G</t>
  </si>
  <si>
    <t>650027-6</t>
  </si>
  <si>
    <t>CONTROLADOR / DMC300</t>
  </si>
  <si>
    <t>650028-4</t>
  </si>
  <si>
    <t>INTERRUPTOR FPC-2115T-0-02 / VARIOS</t>
  </si>
  <si>
    <t>650033-1</t>
  </si>
  <si>
    <t>650047-0</t>
  </si>
  <si>
    <t>650100-2</t>
  </si>
  <si>
    <t>650101-0</t>
  </si>
  <si>
    <t>650102-8</t>
  </si>
  <si>
    <t>650106-0</t>
  </si>
  <si>
    <t>INTERRUPTOR TG08-1300-013 / GA9050 - GA7050</t>
  </si>
  <si>
    <t>650113-3</t>
  </si>
  <si>
    <t>INTERRUPTOR SGEL115CDY-15 / SG1251</t>
  </si>
  <si>
    <t>650115-9</t>
  </si>
  <si>
    <t>INTERRUPTOR / M0920</t>
  </si>
  <si>
    <t>650116-7</t>
  </si>
  <si>
    <t>650202-4</t>
  </si>
  <si>
    <t>INTERRUPTOR SGEL115CDY-8 / JV0600</t>
  </si>
  <si>
    <t>650209-0</t>
  </si>
  <si>
    <t>650212-1</t>
  </si>
  <si>
    <t>INTERRUPTOR / HP2070F</t>
  </si>
  <si>
    <t>650213-9</t>
  </si>
  <si>
    <t>INTERRUPTOR TG71ARS / SA7000C</t>
  </si>
  <si>
    <t>650215-5</t>
  </si>
  <si>
    <t>INTERRUPTOR FA1-3/2B-B / MDP301 - MT602</t>
  </si>
  <si>
    <t>650217-1</t>
  </si>
  <si>
    <t>650218-9</t>
  </si>
  <si>
    <t>INTERRUPTOR FA1-6/1W-1 / M3601</t>
  </si>
  <si>
    <t>650222-8</t>
  </si>
  <si>
    <t>650226-0</t>
  </si>
  <si>
    <t>INTERRUPTOR TG823AB-2 / VARIOS</t>
  </si>
  <si>
    <t>650231-7</t>
  </si>
  <si>
    <t>INTERRUPTOR TGL115CDT-1 / 4350FCT</t>
  </si>
  <si>
    <t>650236-7</t>
  </si>
  <si>
    <t>INTERRUPTOR SGEL115CDY-13 / KP0800</t>
  </si>
  <si>
    <t>650240-6</t>
  </si>
  <si>
    <t>INTERRUPTOR FA2-4/1BEK / M0801K - M0600</t>
  </si>
  <si>
    <t>650242-2</t>
  </si>
  <si>
    <t>INTERRUPTOR / PK5011C</t>
  </si>
  <si>
    <t>650246-4</t>
  </si>
  <si>
    <t>INTERRUPTOR TN14-3-C01-1 / VARIOS</t>
  </si>
  <si>
    <t>650248-0</t>
  </si>
  <si>
    <t>INTERRUPTOR SGES115C-3 / 4100NH2</t>
  </si>
  <si>
    <t>650250-3</t>
  </si>
  <si>
    <t>INTERRUPTOR FA1-6/1D-3 / 4100NH3</t>
  </si>
  <si>
    <t>650251-1</t>
  </si>
  <si>
    <t>INTERRUPTOR SGEL106C-4 / DJV182</t>
  </si>
  <si>
    <t>650253-7</t>
  </si>
  <si>
    <t>INTERRUPTOR TN19 / M8600</t>
  </si>
  <si>
    <t>650254-5</t>
  </si>
  <si>
    <t>INTERRUPTOR SGE115C-7 / VARIOS</t>
  </si>
  <si>
    <t>650504-8</t>
  </si>
  <si>
    <t>INTERRUPTOR / DA312D - DA392D</t>
  </si>
  <si>
    <t>650508-0</t>
  </si>
  <si>
    <t>INTERRUPTOR TG813TLB-1 / HR2641</t>
  </si>
  <si>
    <t>650510-3</t>
  </si>
  <si>
    <t>INTERRUPTOR / DA4000LR</t>
  </si>
  <si>
    <t>650514-5</t>
  </si>
  <si>
    <t>INTERRUPTOR TG803BLA-1 / HR2410</t>
  </si>
  <si>
    <t>650518-7</t>
  </si>
  <si>
    <t>650524-2</t>
  </si>
  <si>
    <t>INTERRUPTOR TG813ALB-2 / HP2050</t>
  </si>
  <si>
    <t>650539-9</t>
  </si>
  <si>
    <t>GUIA ANGULAR /DHS901-HS010G</t>
  </si>
  <si>
    <t>650543-8</t>
  </si>
  <si>
    <t>INTERRUPTOR TG843TB-1 / VARIOS</t>
  </si>
  <si>
    <t>650545-4</t>
  </si>
  <si>
    <t>INTERRUPTOR TGA115CT-2 / VARIOS</t>
  </si>
  <si>
    <t>650551-9</t>
  </si>
  <si>
    <t>INTERRUPTOR FA1-3/2BEZ-4 / VARIOIS</t>
  </si>
  <si>
    <t>650555-1</t>
  </si>
  <si>
    <t>650556-9</t>
  </si>
  <si>
    <t>650560-8</t>
  </si>
  <si>
    <t>INTERRUPTOR DPX-2110-R / GD0600</t>
  </si>
  <si>
    <t>650562-4</t>
  </si>
  <si>
    <t>650564-0</t>
  </si>
  <si>
    <t>INTERRUPTOR TG553FSG-1 / VARIOS</t>
  </si>
  <si>
    <t>650569-0</t>
  </si>
  <si>
    <t>650570-5</t>
  </si>
  <si>
    <t>INTERRUPTOR TG843TB-2 / HP1640 - HR1830</t>
  </si>
  <si>
    <t>650573-9</t>
  </si>
  <si>
    <t>650577-1</t>
  </si>
  <si>
    <t>INTERRUPTOR SD-006-BB2AA-AA / VARIOS</t>
  </si>
  <si>
    <t>650579-7</t>
  </si>
  <si>
    <t>INTERRUPTOR 1246.3223 / VARIOS</t>
  </si>
  <si>
    <t>650583-6</t>
  </si>
  <si>
    <t>650586-0</t>
  </si>
  <si>
    <t>INTERRUPTOR DGQ-1104H / VARIOS</t>
  </si>
  <si>
    <t>650589-4</t>
  </si>
  <si>
    <t>INTERRUPTOR C3VA-2L / HR2230 - HR2470</t>
  </si>
  <si>
    <t>650591-7</t>
  </si>
  <si>
    <t>INTERRUPTOR / HR2810</t>
  </si>
  <si>
    <t>650604-4</t>
  </si>
  <si>
    <t>650607-8</t>
  </si>
  <si>
    <t>INTERRUPTOR / BTD132 - BTD144</t>
  </si>
  <si>
    <t>650613-3</t>
  </si>
  <si>
    <t>INTERRUPTOR C3TA / TD0101</t>
  </si>
  <si>
    <t>650614-1</t>
  </si>
  <si>
    <t>INTERRUPTOR C3TA-2L / VARIOS</t>
  </si>
  <si>
    <t>650616-7</t>
  </si>
  <si>
    <t>INTERRUPTOR DGQ -1104H-02 / M4302</t>
  </si>
  <si>
    <t>650618-3</t>
  </si>
  <si>
    <t>650619-1</t>
  </si>
  <si>
    <t>650621-4</t>
  </si>
  <si>
    <t>INTERRUPTOR PS10 / VARIOS</t>
  </si>
  <si>
    <t>650622-2</t>
  </si>
  <si>
    <t>650625-6</t>
  </si>
  <si>
    <t>650626-4</t>
  </si>
  <si>
    <t>650632-9</t>
  </si>
  <si>
    <t>INTERRUPTOR / DCG180</t>
  </si>
  <si>
    <t>650633-7</t>
  </si>
  <si>
    <t>INTERRUPTOR DGQ-1104H-03 / M4301</t>
  </si>
  <si>
    <t>650645-0</t>
  </si>
  <si>
    <t>650652-3</t>
  </si>
  <si>
    <t>650655-7</t>
  </si>
  <si>
    <t>INTERRUPTOR TG553FSB-7B / DHR241</t>
  </si>
  <si>
    <t>650659-9</t>
  </si>
  <si>
    <t>INTERRUPTOR 1703.4201 / VARIOS</t>
  </si>
  <si>
    <t>650663-8</t>
  </si>
  <si>
    <t>650671-9</t>
  </si>
  <si>
    <t>650672-7</t>
  </si>
  <si>
    <t>650673-5</t>
  </si>
  <si>
    <t>INTERRUPTOR C3JW-1A / DTW285</t>
  </si>
  <si>
    <t>650676-9</t>
  </si>
  <si>
    <t>INTERRUPTOR C3PA-1111 / HR3210C - HR5211C</t>
  </si>
  <si>
    <t>650678-5</t>
  </si>
  <si>
    <t>INTERRUPTOR / HR4003C</t>
  </si>
  <si>
    <t>650679-3</t>
  </si>
  <si>
    <t>INTERRUPTOR / JV100D</t>
  </si>
  <si>
    <t>650685-8</t>
  </si>
  <si>
    <t>650687-4</t>
  </si>
  <si>
    <t>INTERRUPTOR TGC32B / LS1219L - LS1019</t>
  </si>
  <si>
    <t>650689-0</t>
  </si>
  <si>
    <t>INTERRUPTOR C3JW-2B / VARIOS</t>
  </si>
  <si>
    <t>650691-3</t>
  </si>
  <si>
    <t>INTERRUPTOR C3HW-3A-EF1M / HP330</t>
  </si>
  <si>
    <t>650693-9</t>
  </si>
  <si>
    <t>650695-5</t>
  </si>
  <si>
    <t>INTERRUPTOR C3GA-2L / HP1630K</t>
  </si>
  <si>
    <t>650699-7</t>
  </si>
  <si>
    <t>INTERRUPTOR C3HW-3A-LF1M / VARIOS</t>
  </si>
  <si>
    <t>650704-0</t>
  </si>
  <si>
    <t>INTERRUPTOR D2SW-P01L1-3M / DUR182U</t>
  </si>
  <si>
    <t>650706-6</t>
  </si>
  <si>
    <t>INTERRUPTOR / DP2010 - DP2011</t>
  </si>
  <si>
    <t>650709-0</t>
  </si>
  <si>
    <t>INTERRUPTOR C3JW-1A-P / VARIOS</t>
  </si>
  <si>
    <t>650710-5</t>
  </si>
  <si>
    <t>INTERRUPTOR C3JW-4B / VARIOS</t>
  </si>
  <si>
    <t>650712-1</t>
  </si>
  <si>
    <t>INTERRUPTOR C3HY-1A-PRLMS / DJR183</t>
  </si>
  <si>
    <t>650714-7</t>
  </si>
  <si>
    <t>650716-3</t>
  </si>
  <si>
    <t>650717-1</t>
  </si>
  <si>
    <t>INTERRUPTOR / UC4051A - UC4551A</t>
  </si>
  <si>
    <t>650719-7</t>
  </si>
  <si>
    <t>INTERRUPTOR / M4001 - MUB105</t>
  </si>
  <si>
    <t>650721-0</t>
  </si>
  <si>
    <t>INTERRUPTOR / DHR263</t>
  </si>
  <si>
    <t>650722-8</t>
  </si>
  <si>
    <t>INTERRUPTOR TG573FSB-1 / DTD146</t>
  </si>
  <si>
    <t>650723-6</t>
  </si>
  <si>
    <t>INTERRUPTOR / DTD146</t>
  </si>
  <si>
    <t>650724-4</t>
  </si>
  <si>
    <t>650730-9</t>
  </si>
  <si>
    <t>INTERRUPTOR / DHS710</t>
  </si>
  <si>
    <t>650732-5</t>
  </si>
  <si>
    <t>INTERRUPTOR TN55 / M6201</t>
  </si>
  <si>
    <t>650733-3</t>
  </si>
  <si>
    <t>INTERRUPTOR C3JW-4B-2L / DFS452 - DFS251</t>
  </si>
  <si>
    <t>650734-1</t>
  </si>
  <si>
    <t>INTERRUPTOR TG73BDS-2 / VARIOS</t>
  </si>
  <si>
    <t>650738-3</t>
  </si>
  <si>
    <t>INTERRUPTOR C3JW-C-P / HM1812</t>
  </si>
  <si>
    <t>650742-2</t>
  </si>
  <si>
    <t>650744-8</t>
  </si>
  <si>
    <t>650745-6</t>
  </si>
  <si>
    <t>INTERRUPTOR / DVC860</t>
  </si>
  <si>
    <t>650747-2</t>
  </si>
  <si>
    <t>INTERRUPTOR C3HA-Z1A-TLMS / DHP456 - DDF456</t>
  </si>
  <si>
    <t>650750-3</t>
  </si>
  <si>
    <t>INTERRUPTOR / BJR182 - DJR182</t>
  </si>
  <si>
    <t>650751-1</t>
  </si>
  <si>
    <t>INTERRUPTOR / DTD152</t>
  </si>
  <si>
    <t>650753-7</t>
  </si>
  <si>
    <t>INTERRUPTOR C3HA-Z1A-TLF1MS / DHP482 - DDF482</t>
  </si>
  <si>
    <t>650759-5</t>
  </si>
  <si>
    <t>INTERRUPTOR C3JW-6B-2 / DJR360</t>
  </si>
  <si>
    <t>650760-0</t>
  </si>
  <si>
    <t>INTERRUPTOR  TG573FSB-9V / DJR186</t>
  </si>
  <si>
    <t>650762-6</t>
  </si>
  <si>
    <t>INTERRUPTOR / DSD180</t>
  </si>
  <si>
    <t>650769-2</t>
  </si>
  <si>
    <t>INTERRUPTOR / GA4530R</t>
  </si>
  <si>
    <t>650772-3</t>
  </si>
  <si>
    <t>INTERRUPTOR / DTD170</t>
  </si>
  <si>
    <t>650775-7</t>
  </si>
  <si>
    <t>INTERRUPTOR / HW1300</t>
  </si>
  <si>
    <t>650776-5</t>
  </si>
  <si>
    <t>INTERRUPTOR DGQ-1113C / PO5000C</t>
  </si>
  <si>
    <t>650780-4</t>
  </si>
  <si>
    <t>INTERRUPTOR / HW1200</t>
  </si>
  <si>
    <t>650781-2</t>
  </si>
  <si>
    <t>INTERRUPTOR C3JW-6B-P / DUC400</t>
  </si>
  <si>
    <t>650783-8</t>
  </si>
  <si>
    <t>INTERRUPTOR C3YW / TD022D</t>
  </si>
  <si>
    <t>651016-4</t>
  </si>
  <si>
    <t>INTERRUPTOR HPAHR2-2 / 6016</t>
  </si>
  <si>
    <t>651030-0</t>
  </si>
  <si>
    <t>INTERRUPTOR HPAHR2-2S / 1805N</t>
  </si>
  <si>
    <t>651045-7</t>
  </si>
  <si>
    <t>651051-2</t>
  </si>
  <si>
    <t>INTERRUPTOR NPAHR6-25S / HM0810 - HM0810T</t>
  </si>
  <si>
    <t>651057-0</t>
  </si>
  <si>
    <t>INTERRUPTOR / 4131</t>
  </si>
  <si>
    <t>651060-1</t>
  </si>
  <si>
    <t>INTERRUPTOR / GA5020C</t>
  </si>
  <si>
    <t>651066-9</t>
  </si>
  <si>
    <t>INTERRUPTOR ST115A-TB-S1 / VARIOS</t>
  </si>
  <si>
    <t>651083-9</t>
  </si>
  <si>
    <t>INTERRUPTOR C3XA-1PSPM / VARIOS</t>
  </si>
  <si>
    <t>651088-9</t>
  </si>
  <si>
    <t>INTERRUPTOR C3JW-4B-1L / VARIOS</t>
  </si>
  <si>
    <t>651097-8</t>
  </si>
  <si>
    <t>INTERRUPTOR C3HW / DA333D</t>
  </si>
  <si>
    <t>651098-6</t>
  </si>
  <si>
    <t>INTERRUPTOR 1703.4801 / DVC864L</t>
  </si>
  <si>
    <t>651131-4</t>
  </si>
  <si>
    <t>INTERRUPTOR C3D-15MS / VARIOS</t>
  </si>
  <si>
    <t>651145-3</t>
  </si>
  <si>
    <t>INTERRUPTOR C3D-H-MS / HM1201</t>
  </si>
  <si>
    <t>651172-0</t>
  </si>
  <si>
    <t>INTERRUPTOR TG933TN-1 / VARIOS</t>
  </si>
  <si>
    <t>651178-8</t>
  </si>
  <si>
    <t>INTERRUPTOR / GA9040S - GA7040S</t>
  </si>
  <si>
    <t>651179-6</t>
  </si>
  <si>
    <t>INTERRUPTOR / 4114S</t>
  </si>
  <si>
    <t>651182-7</t>
  </si>
  <si>
    <t>651184-3</t>
  </si>
  <si>
    <t>INTERRUPTOR HY44C / VARIOS</t>
  </si>
  <si>
    <t>651189-3</t>
  </si>
  <si>
    <t>INTERRUPTOR TG9333TN-2 / 5007NK</t>
  </si>
  <si>
    <t>651193-2</t>
  </si>
  <si>
    <t>INTERRUPTOR / GA5020 - GA5010</t>
  </si>
  <si>
    <t>651204-3</t>
  </si>
  <si>
    <t>INTERRUPTOR SGEL115CDY / VARIOS</t>
  </si>
  <si>
    <t>651234-4</t>
  </si>
  <si>
    <t>INTERRUPTOR SGE206C / 6905H</t>
  </si>
  <si>
    <t>651242-5</t>
  </si>
  <si>
    <t>INTERRUPTOR SGEL106C-1 / 9035</t>
  </si>
  <si>
    <t>651248-3</t>
  </si>
  <si>
    <t>INTERRUPTOR SGE106C / 6905H</t>
  </si>
  <si>
    <t>651256-4</t>
  </si>
  <si>
    <t>INTERRUPTOR SGEL106CV-1A / DP4700</t>
  </si>
  <si>
    <t>651263-7</t>
  </si>
  <si>
    <t>INTERRUPTOR SGEL206C / 9046 - 9031</t>
  </si>
  <si>
    <t>651280-7</t>
  </si>
  <si>
    <t>INTERRUPTOR / 3620 - RP0900</t>
  </si>
  <si>
    <t>651281-5</t>
  </si>
  <si>
    <t>INTERRUPTOR SGEL115CDY-5 / 9035H</t>
  </si>
  <si>
    <t>651282-3</t>
  </si>
  <si>
    <t>INTERRUPTOR 2022.1004 / 9237CB - 9227CB</t>
  </si>
  <si>
    <t>651284-9</t>
  </si>
  <si>
    <t>INTERRUPTOR SGEL115CDY-6 / VARIOS</t>
  </si>
  <si>
    <t>651285-7</t>
  </si>
  <si>
    <t>INTERRUPTOR SGEL206C-4 / 9911 - GV5010</t>
  </si>
  <si>
    <t>651286-5</t>
  </si>
  <si>
    <t>INTERRUPTOR SGEL206C-5 / VARIOS</t>
  </si>
  <si>
    <t>651297-0</t>
  </si>
  <si>
    <t>INTERRUPTOR / GV7000</t>
  </si>
  <si>
    <t>651298-8</t>
  </si>
  <si>
    <t>INTERRUPTOR / UB1103</t>
  </si>
  <si>
    <t>651365-9</t>
  </si>
  <si>
    <t>651366-7</t>
  </si>
  <si>
    <t>INTERRUPTOR C3JW-6B-24 / DHR280</t>
  </si>
  <si>
    <t>651367-5</t>
  </si>
  <si>
    <t>INTERRUPTOR / SC103D</t>
  </si>
  <si>
    <t>651376-4</t>
  </si>
  <si>
    <t>INTERRUPTOR C3VA-2L16 / JR3051T - JR3061T</t>
  </si>
  <si>
    <t>651379-8</t>
  </si>
  <si>
    <t>INTERRUPTOR C3JW-1A-S / DVR150</t>
  </si>
  <si>
    <t>651380-3</t>
  </si>
  <si>
    <t>INTERRUPTOR C3JW-6B-25 / DHR182</t>
  </si>
  <si>
    <t>651382-9</t>
  </si>
  <si>
    <t>INTERRUPTOR 1703.4702 / VARIOS</t>
  </si>
  <si>
    <t>651385-3</t>
  </si>
  <si>
    <t>INTERRUPTOR C3JW-A1B-PA7/ VARIOS</t>
  </si>
  <si>
    <t>651388-7</t>
  </si>
  <si>
    <t>INTERRUPTOR / M9800</t>
  </si>
  <si>
    <t>651391-8</t>
  </si>
  <si>
    <t>INTERRUPTOR C3JW-6BM-PN / DGP180 - DWR180</t>
  </si>
  <si>
    <t>651393-4</t>
  </si>
  <si>
    <t>INTERRUPTOR DGQ-1104H-01 / HP0300 - DF0300</t>
  </si>
  <si>
    <t>651395-0</t>
  </si>
  <si>
    <t>INTERRUPTOR C3JW-6B-PA6N / DUB184</t>
  </si>
  <si>
    <t>651396-8</t>
  </si>
  <si>
    <t>INTERRUPTOR 220V / VARIOS</t>
  </si>
  <si>
    <t>651398-4</t>
  </si>
  <si>
    <t>INTERRUPTOR/DUN461W</t>
  </si>
  <si>
    <t>651399-2</t>
  </si>
  <si>
    <t>INTERRUPTOR C3JW-6B-PA / VARIOS</t>
  </si>
  <si>
    <t>651418-4</t>
  </si>
  <si>
    <t>INTERRUPTOR ST115A-40 / VARIOS</t>
  </si>
  <si>
    <t>651423-1</t>
  </si>
  <si>
    <t>INTERRUPTOR ST115A-43 / VARIOS</t>
  </si>
  <si>
    <t>651424-9</t>
  </si>
  <si>
    <t>651425-7</t>
  </si>
  <si>
    <t>INTERRUPTOR</t>
  </si>
  <si>
    <t>651429-9</t>
  </si>
  <si>
    <t>INTERRUPTOR / 3612</t>
  </si>
  <si>
    <t>651430-4</t>
  </si>
  <si>
    <t>INTERRUPTOR / RP2301FC</t>
  </si>
  <si>
    <t>651434-6</t>
  </si>
  <si>
    <t>INTERRUPTOR TN15-2 / M0901</t>
  </si>
  <si>
    <t>651436-2</t>
  </si>
  <si>
    <t>INTERRUPTOR C3JW-1A-P-2/UR101</t>
  </si>
  <si>
    <t>651438-8</t>
  </si>
  <si>
    <t>651439-6</t>
  </si>
  <si>
    <t>INTERRUPTOR C3JR-4B-2 / HR003G</t>
  </si>
  <si>
    <t>651442-7</t>
  </si>
  <si>
    <t>651443-5</t>
  </si>
  <si>
    <t>INTERRUPTOR C3JR-4B / VARIOS</t>
  </si>
  <si>
    <t>651444-3</t>
  </si>
  <si>
    <t>INTERRUPTOR 1703.4703 / DLM465</t>
  </si>
  <si>
    <t>651445-1</t>
  </si>
  <si>
    <t>INTERRUPTOR FPM-1130 / DCO181</t>
  </si>
  <si>
    <t>651478-6</t>
  </si>
  <si>
    <t>INTERRUPTOR VTX11 / VARIOS</t>
  </si>
  <si>
    <t>651481-7</t>
  </si>
  <si>
    <t>INTERRUPTOR STE215K / HM1202C</t>
  </si>
  <si>
    <t>651486-7</t>
  </si>
  <si>
    <t>651489-1</t>
  </si>
  <si>
    <t>651492-2</t>
  </si>
  <si>
    <t>INTERRUPTOR C3JR-1A-PAXD3/VARIOS</t>
  </si>
  <si>
    <t>651494-8</t>
  </si>
  <si>
    <t>INTERRUPTOR / DUR192L</t>
  </si>
  <si>
    <t>651496-4</t>
  </si>
  <si>
    <t>INTERRUPTOR / UB001G</t>
  </si>
  <si>
    <t>651510-6</t>
  </si>
  <si>
    <t>INTERRUPTOR ALA263 / 2012NB</t>
  </si>
  <si>
    <t>651514-8</t>
  </si>
  <si>
    <t>INTERRUPTOR / 2107F</t>
  </si>
  <si>
    <t>651527-9</t>
  </si>
  <si>
    <t>651529-5</t>
  </si>
  <si>
    <t>INTERRUPTOR / 2012NB</t>
  </si>
  <si>
    <t>651536-8</t>
  </si>
  <si>
    <t>651556-2</t>
  </si>
  <si>
    <t>INTERRUPTOR VLX11 / 6905H</t>
  </si>
  <si>
    <t>651564-3</t>
  </si>
  <si>
    <t>INTERRUPTOR / 6906 - DS5000</t>
  </si>
  <si>
    <t>651572-4</t>
  </si>
  <si>
    <t>INTERRUPTOR SL220SD-19 / VARIOS</t>
  </si>
  <si>
    <t>651573-2</t>
  </si>
  <si>
    <t>INTERRUPTOR / 2704</t>
  </si>
  <si>
    <t>651574-0</t>
  </si>
  <si>
    <t>INTERRUPTOR ART-2220-1C-DBA12-01 / 2704</t>
  </si>
  <si>
    <t>651575-8</t>
  </si>
  <si>
    <t>INTERRUPTOR DRH-03-DAK32-16 / VR1000</t>
  </si>
  <si>
    <t>651600-5</t>
  </si>
  <si>
    <t>INTERRUPTOR SS106A / BO4510</t>
  </si>
  <si>
    <t>651601-3</t>
  </si>
  <si>
    <t>INTERRUPTOR SS106AY-2 / 3901</t>
  </si>
  <si>
    <t>651609-7</t>
  </si>
  <si>
    <t>INTERRUPTOR / TM3000C - TM3010C</t>
  </si>
  <si>
    <t>651610-2</t>
  </si>
  <si>
    <t>INTERRUPTOR / TM30D</t>
  </si>
  <si>
    <t>651816-2</t>
  </si>
  <si>
    <t>INTERRUPTOR ZGC53 / SJ1600</t>
  </si>
  <si>
    <t>651891-8</t>
  </si>
  <si>
    <t>651910-0</t>
  </si>
  <si>
    <t>INTERRUPTOR D2VW-01-EHS / VARIOS</t>
  </si>
  <si>
    <t>651922-3</t>
  </si>
  <si>
    <t>651923-1</t>
  </si>
  <si>
    <t>INTERRUPTOR TG70B / VARIOS</t>
  </si>
  <si>
    <t>651941-9</t>
  </si>
  <si>
    <t>INTERRUPTOR V-15-2A5 / VARIOS</t>
  </si>
  <si>
    <t>651947-7</t>
  </si>
  <si>
    <t>651956-6</t>
  </si>
  <si>
    <t>INTERRUPTOR TG72BD / DSS501</t>
  </si>
  <si>
    <t>651978-6</t>
  </si>
  <si>
    <t>651984-1</t>
  </si>
  <si>
    <t>INTERRUPTOR / N5900B - HS0600</t>
  </si>
  <si>
    <t>651986-7</t>
  </si>
  <si>
    <t>INTERRUPTOR / 6407</t>
  </si>
  <si>
    <t>651991-4</t>
  </si>
  <si>
    <t>INTERRUPTOR / DP4000</t>
  </si>
  <si>
    <t>652008-6</t>
  </si>
  <si>
    <t>TORNILLO M3 / UNIVERSAL</t>
  </si>
  <si>
    <t>652031-1</t>
  </si>
  <si>
    <t>TORNILLO M3X6 / UNIVERSAL</t>
  </si>
  <si>
    <t>652045-0</t>
  </si>
  <si>
    <t>TORNILLO M3.5X5 / UNIVERSAL</t>
  </si>
  <si>
    <t>652066-2</t>
  </si>
  <si>
    <t>TORNILLO M3X9 W / UNIVERSAL</t>
  </si>
  <si>
    <t>652069-6</t>
  </si>
  <si>
    <t>652112-1</t>
  </si>
  <si>
    <t>652113-9</t>
  </si>
  <si>
    <t>TUERCA HEX. M12X16 / UNIVERSAL</t>
  </si>
  <si>
    <t>652119-7</t>
  </si>
  <si>
    <t>652532-9</t>
  </si>
  <si>
    <t>RELÉ / VARIOS</t>
  </si>
  <si>
    <t>652772-9</t>
  </si>
  <si>
    <t>RELE 305.232.01 / LF1000</t>
  </si>
  <si>
    <t>654002-4</t>
  </si>
  <si>
    <t>TERMINAL 1.25-M4 / BO3700</t>
  </si>
  <si>
    <t>654018-9</t>
  </si>
  <si>
    <t>TERMINAL DE ANILLO 22.5L / 6016 - SJ1600</t>
  </si>
  <si>
    <t>654020-2</t>
  </si>
  <si>
    <t>TERMINAL DE ANILLO 36L / VARIOS</t>
  </si>
  <si>
    <t>654037-5</t>
  </si>
  <si>
    <t>TERMINAL AISLADO FVWS1.25-M3 / VARIOS</t>
  </si>
  <si>
    <t>654069-2</t>
  </si>
  <si>
    <t>CONECTOR 41-178N / VARIOS</t>
  </si>
  <si>
    <t>654100-4</t>
  </si>
  <si>
    <t>ANILLO  TERMINAL / VARIOS</t>
  </si>
  <si>
    <t>654197-3</t>
  </si>
  <si>
    <t>TERMINAL DE ANILLO / VARIOS</t>
  </si>
  <si>
    <t>654409-4</t>
  </si>
  <si>
    <t>TERMINAL VR1.25-3.5LB / VARIOS</t>
  </si>
  <si>
    <t>654451-5</t>
  </si>
  <si>
    <t>TERMINAL DE ANILLO / M3600</t>
  </si>
  <si>
    <t>654460-4</t>
  </si>
  <si>
    <t>TERMINAL DE RESORTE / BTC04</t>
  </si>
  <si>
    <t>654461-2</t>
  </si>
  <si>
    <t>TERMINAL DE RESORTE (+) / BTC04</t>
  </si>
  <si>
    <t>654462-0</t>
  </si>
  <si>
    <t>TERMINAL DE RESORTE (-) / BTC04</t>
  </si>
  <si>
    <t>654485-8</t>
  </si>
  <si>
    <t>ENPALME PARALELO / VARIOS</t>
  </si>
  <si>
    <t>654486-6</t>
  </si>
  <si>
    <t>EMPALME NO AISLADO / M3600 - M9000</t>
  </si>
  <si>
    <t>654501-6</t>
  </si>
  <si>
    <t>654502-4</t>
  </si>
  <si>
    <t>654509-0</t>
  </si>
  <si>
    <t>CONECTOR 2-SD / GB801 - GB601</t>
  </si>
  <si>
    <t>654531-7</t>
  </si>
  <si>
    <t>TERMINAL MULTIPLE / VARIOS</t>
  </si>
  <si>
    <t>654532-5</t>
  </si>
  <si>
    <t>CONECTOR MULTIPLE / VARIOS</t>
  </si>
  <si>
    <t>654553-7</t>
  </si>
  <si>
    <t>CONECTOR / LS1221 - 2704</t>
  </si>
  <si>
    <t>654554-5</t>
  </si>
  <si>
    <t>TERMINAL MULTIPLE / HM1810</t>
  </si>
  <si>
    <t>654561-8</t>
  </si>
  <si>
    <t>654741-6</t>
  </si>
  <si>
    <t>TERMINAL MULTIPLE / HM1501</t>
  </si>
  <si>
    <t>660331-5</t>
  </si>
  <si>
    <t>CABLE DE CONEXION / BAP182</t>
  </si>
  <si>
    <t>660332-3</t>
  </si>
  <si>
    <t>660393-3</t>
  </si>
  <si>
    <t>CABLE DE ALIMENTACION / VARIOS</t>
  </si>
  <si>
    <t>661430-6</t>
  </si>
  <si>
    <t>CABLE DE CONEXION /DUP361</t>
  </si>
  <si>
    <t>661445-3</t>
  </si>
  <si>
    <t>CABLE DE EXTENSION / VARIOS</t>
  </si>
  <si>
    <t>661752-4</t>
  </si>
  <si>
    <t>UNIDAD DE CABLE / VARIOS</t>
  </si>
  <si>
    <t>ALMOHADILLA / RBL500</t>
  </si>
  <si>
    <t>TUBO GASOLINA CPL / RBL500</t>
  </si>
  <si>
    <t>CONTROL CPL / RBL500</t>
  </si>
  <si>
    <t>CUBIERTA DE MOTOR / RBL500</t>
  </si>
  <si>
    <t>664094-5</t>
  </si>
  <si>
    <t>CABLE DE ALIMENTACION 1.25-5-0.5 / 2704</t>
  </si>
  <si>
    <t>665956-0</t>
  </si>
  <si>
    <t>CABLE DE ALIMENTACION 1.0-2-2.0 / VARIOS</t>
  </si>
  <si>
    <t>665959-4</t>
  </si>
  <si>
    <t>CABLE DE ALIMENTACION 1.0-2-4.0 / VARIOS</t>
  </si>
  <si>
    <t>665967-5</t>
  </si>
  <si>
    <t>CABLE DE ALIMENTACION 1.0-2-2.5 / VARIOS</t>
  </si>
  <si>
    <t>665977-2</t>
  </si>
  <si>
    <t>CABLE DE ALIMENTACION 1.0-2-5.0 / VARIOS</t>
  </si>
  <si>
    <t>666002-2</t>
  </si>
  <si>
    <t>666015-3</t>
  </si>
  <si>
    <t>667024-5</t>
  </si>
  <si>
    <t>CABLE DE ALIMENTACION 0.75-2-5.0 / VARIOS</t>
  </si>
  <si>
    <t>667215-8</t>
  </si>
  <si>
    <t>CABLE DE ALIMENTACION 1.25-2-2.5 / VARIOS</t>
  </si>
  <si>
    <t>667226-3</t>
  </si>
  <si>
    <t>CABLE DE ALIMENTACION 1.25-2-5.0 / HM0810T</t>
  </si>
  <si>
    <t>REMACHE /VARIOS</t>
  </si>
  <si>
    <t>TAPA DE ACEITE / PM7650H</t>
  </si>
  <si>
    <t>FILTRO DE AIRE/ BBX7600</t>
  </si>
  <si>
    <t>ASAS RH  / RBC410</t>
  </si>
  <si>
    <t>ETIQUETA DE MODELO / BBX7600</t>
  </si>
  <si>
    <t>EJE CORTO/ VARIOS</t>
  </si>
  <si>
    <t>TORNILLO 4.2X18/UNIVERSAL</t>
  </si>
  <si>
    <t>TORNILLO 5X16/UNIVERSAL</t>
  </si>
  <si>
    <t>CABLE ASCELERADOR / VARIOS</t>
  </si>
  <si>
    <t>CABLE ACCIONAMIENTO ROJO / PLM4628N</t>
  </si>
  <si>
    <t>CABLE EMBRAGUE /PLM5600N2</t>
  </si>
  <si>
    <t>CABLE EMBRAGUE/ VARIOS</t>
  </si>
  <si>
    <t>TAPA RUEDA TRASERA/ VARIOS</t>
  </si>
  <si>
    <t>SOPORTE DE MANIJA DERECHA / VARIOS</t>
  </si>
  <si>
    <t>ESTRUCTURA ACERO / PLM4628N</t>
  </si>
  <si>
    <t>ESTRUCTURA ACERO / PLM5600N2</t>
  </si>
  <si>
    <t>BASE DE POLEA/ VARIOS</t>
  </si>
  <si>
    <t>ARANDELA PRESION  /UNIVERSAL</t>
  </si>
  <si>
    <t>BASE DE CABLE VARIOS</t>
  </si>
  <si>
    <t>TUBO TOPE VARIOS</t>
  </si>
  <si>
    <t>PLACA ACERO /VARIOS</t>
  </si>
  <si>
    <t>EJE LARGO /VARIOS</t>
  </si>
  <si>
    <t>PLANCHA METAL. / VARIOS</t>
  </si>
  <si>
    <t>PALANCA DE ALTURA /VARIOS</t>
  </si>
  <si>
    <t>PLACA  FIJACION /VARIOS</t>
  </si>
  <si>
    <t>PLATO FIJO /VARIOS</t>
  </si>
  <si>
    <t>TORNILLO 6X12/UNIVERSAL</t>
  </si>
  <si>
    <t>RUEDA TRASERA./ VARIOS</t>
  </si>
  <si>
    <t>SOPORTE DE RODAMIENTO /VARIOS</t>
  </si>
  <si>
    <t>TORNILLO 6X14/UNIVERSAL</t>
  </si>
  <si>
    <t>CUBIERTA PARA EJE /VARIOS</t>
  </si>
  <si>
    <t>FAJA V 10MMX6MM / VARIOS</t>
  </si>
  <si>
    <t>ARANDELA PLANA  /VARIOS</t>
  </si>
  <si>
    <t>ESPACIADOR  /VARIOS</t>
  </si>
  <si>
    <t>SOPORTE DE CUCHILLA</t>
  </si>
  <si>
    <t>TORNILLO ESPECIAL/ UNIVERSAL</t>
  </si>
  <si>
    <t>RODAMIENTO 6001RS  /UNIVERSAL</t>
  </si>
  <si>
    <t>POLEA EN V / VARIOS</t>
  </si>
  <si>
    <t>TAPA PLASTICA  /VARIOS</t>
  </si>
  <si>
    <t>TUERCA HEX. 8M  /UNIVERSAL</t>
  </si>
  <si>
    <t>TUERCA HEX. 5M  /UNIVERSAL</t>
  </si>
  <si>
    <t>BOLSA DESPERDICIO /VARIOS</t>
  </si>
  <si>
    <t>PERNO HEX. 6X40MM /UNIVERSAL</t>
  </si>
  <si>
    <t>PERNO HEX. 3/8 - 24 UNF /UNIVERSAL</t>
  </si>
  <si>
    <t>PERNO HEX. 6X25MM /UNIVERSAL</t>
  </si>
  <si>
    <t>PERNO HEX. 5X55MM /UNIVERSAL</t>
  </si>
  <si>
    <t>ARANDELA PRESION 5 /UNIVERSAL</t>
  </si>
  <si>
    <t>ANILLO TOPE E-6 / VARIOS</t>
  </si>
  <si>
    <t>ANILLO SEGURO / VARIOS</t>
  </si>
  <si>
    <t>RUEDA VARIABLE /VARIOS</t>
  </si>
  <si>
    <t>TORNILLO 4.2X25MM / UNIVERSAL</t>
  </si>
  <si>
    <t>TORNILLO 4X12MM / UNIVERSAL</t>
  </si>
  <si>
    <t>RESORTE COMPRESION / VARIOS</t>
  </si>
  <si>
    <t>RESORTE TORSION / VARIOS</t>
  </si>
  <si>
    <t>RESORTE EXTENSION / VARIOS</t>
  </si>
  <si>
    <t>RESORTE  / UNIVERSAL</t>
  </si>
  <si>
    <t>CONJUNTO DE ACELERACION / PLM4628N</t>
  </si>
  <si>
    <t>BOLSA RECOLECTOR / PLM4628N</t>
  </si>
  <si>
    <t>BASE DE CUCHILLA / VARIOS</t>
  </si>
  <si>
    <t>SOPORTE IZQUIERDO / VARIOS</t>
  </si>
  <si>
    <t>SOPORTE DERECHO / VARIOS</t>
  </si>
  <si>
    <t>TORNILLO PRISIONERO 6X8MM / UNIVERSAL</t>
  </si>
  <si>
    <t>PIN /PLM5113N2</t>
  </si>
  <si>
    <t>ANILLO TOPE / VARIOS</t>
  </si>
  <si>
    <t>TAPA LLANTA DELANTERA / VARIOS</t>
  </si>
  <si>
    <t>RESORTE CUBIERTA DE CARGADOR / VARIOS</t>
  </si>
  <si>
    <t>RECOLECTOR DE CESPED / PLM5600N - PLM5600N2</t>
  </si>
  <si>
    <t>EMPAQUE GOMA MOTOR / VARIOS</t>
  </si>
  <si>
    <t>ANILLO DE ENGRANAJE / VARIOS</t>
  </si>
  <si>
    <t>TORNILLO 5X10MM / UNIVERSAL</t>
  </si>
  <si>
    <t>CUBIERTA DE RUEDA TRASERA/ VARIOS</t>
  </si>
  <si>
    <t>TAPA DE SALIDA / VARIOS</t>
  </si>
  <si>
    <t>BOTON DE BLOQUEO /VARIOS</t>
  </si>
  <si>
    <t>BASE  BLOQUEO /VARIOS</t>
  </si>
  <si>
    <t>GUIA DE DESCARGA /VARIOS</t>
  </si>
  <si>
    <t>TAPA DE DESCARGA /VARIOS</t>
  </si>
  <si>
    <t>ASA DE TAPA  /VARIOS</t>
  </si>
  <si>
    <t>VISOR DE TAPA  / VARIOS</t>
  </si>
  <si>
    <t>CAJA DE CESPED / VARIOS</t>
  </si>
  <si>
    <t>CUBIERTA DE BOLSA DESPERDICIO /VARIOS</t>
  </si>
  <si>
    <t>CAJA DE AJUSTE INFERIOR /VARIOS</t>
  </si>
  <si>
    <t>CAJA DE AJUSTE  SUPERIOR /VARIOS</t>
  </si>
  <si>
    <t>CAJA DE ENGRANAJE /PLM4628L</t>
  </si>
  <si>
    <t>CAJA DE ENGRANAJE /PLM5113N2</t>
  </si>
  <si>
    <t>CAJA DE TRACCION / PLM56002</t>
  </si>
  <si>
    <t>TAPA LATERAL / PLM5113</t>
  </si>
  <si>
    <t>CUBIERTA DE FAJA / VARIOS</t>
  </si>
  <si>
    <t>GUARDA DE FAJA / PLM56002</t>
  </si>
  <si>
    <t>679032-4</t>
  </si>
  <si>
    <t>SELENOIDE / DTR180</t>
  </si>
  <si>
    <t>680398-7</t>
  </si>
  <si>
    <t>HOJA DE POLICARBONATO / PDC01</t>
  </si>
  <si>
    <t>681002-1</t>
  </si>
  <si>
    <t>ARANDELA DE PAPEL / 1805N - HM1201</t>
  </si>
  <si>
    <t>681025-9</t>
  </si>
  <si>
    <t>681623-9</t>
  </si>
  <si>
    <t>ARANDELA DE AISLAMIENTO / 2012NB</t>
  </si>
  <si>
    <t>681625-5</t>
  </si>
  <si>
    <t>681630-2</t>
  </si>
  <si>
    <t>681631-0</t>
  </si>
  <si>
    <t>ARANDELA DE AISLAMIENTO / RP2301FC</t>
  </si>
  <si>
    <t>681635-2</t>
  </si>
  <si>
    <t>ARANDELA DE AISLAMIENTO / HM1304B</t>
  </si>
  <si>
    <t>681636-0</t>
  </si>
  <si>
    <t>681640-9</t>
  </si>
  <si>
    <t>681642-5</t>
  </si>
  <si>
    <t>681644-1</t>
  </si>
  <si>
    <t>681646-7</t>
  </si>
  <si>
    <t>ARANDELA DE AISLAMIENTO / HM1810</t>
  </si>
  <si>
    <t>681649-1</t>
  </si>
  <si>
    <t>ARANDELA DE AISLAMIENTO / M9400</t>
  </si>
  <si>
    <t>681650-6</t>
  </si>
  <si>
    <t>681652-2</t>
  </si>
  <si>
    <t>681653-0</t>
  </si>
  <si>
    <t>GOLILLA DE AISLACION / VARIOS</t>
  </si>
  <si>
    <t>681656-4</t>
  </si>
  <si>
    <t>681658-0</t>
  </si>
  <si>
    <t>ARANDELA DE AISLAMIENTO / 9911</t>
  </si>
  <si>
    <t>681659-8</t>
  </si>
  <si>
    <t>681660-3</t>
  </si>
  <si>
    <t>681666-1</t>
  </si>
  <si>
    <t>681668-7</t>
  </si>
  <si>
    <t>AISLAMIENTO ELECTRICO / VARIOS</t>
  </si>
  <si>
    <t>681670-0</t>
  </si>
  <si>
    <t>681672-6</t>
  </si>
  <si>
    <t>ARANDELA DE AISLAMIENTO / M1902 - M9100</t>
  </si>
  <si>
    <t>681675-0</t>
  </si>
  <si>
    <t>682095-1</t>
  </si>
  <si>
    <t>PROTECTOR DE CABLE / BAP182</t>
  </si>
  <si>
    <t>682096-9</t>
  </si>
  <si>
    <t>PROTECTOR DE CABLE / M9800</t>
  </si>
  <si>
    <t>682098-5</t>
  </si>
  <si>
    <t>682099-3</t>
  </si>
  <si>
    <t>682100-4</t>
  </si>
  <si>
    <t>682103-8</t>
  </si>
  <si>
    <t>OJAL / 2704</t>
  </si>
  <si>
    <t>682211-5</t>
  </si>
  <si>
    <t>PROTECTOR DE GOMA / UC4041A</t>
  </si>
  <si>
    <t>REMACHE DE BLOQUEO / RBL500</t>
  </si>
  <si>
    <t>682502-4</t>
  </si>
  <si>
    <t>PROTECTOR DE CABLE 8-85 / VARIOS</t>
  </si>
  <si>
    <t>682503-2</t>
  </si>
  <si>
    <t>CABLE DE ALIMENTACION 8-90 / VARIOS</t>
  </si>
  <si>
    <t>682504-0</t>
  </si>
  <si>
    <t>682505-8</t>
  </si>
  <si>
    <t>PROTECTOR DE CABLE 10-90 / VARIOS</t>
  </si>
  <si>
    <t>682516-3</t>
  </si>
  <si>
    <t>682540-6</t>
  </si>
  <si>
    <t>PROTECTOR DE CABLE 9.3-9. / VARIOS</t>
  </si>
  <si>
    <t>682546-4</t>
  </si>
  <si>
    <t>PROTECTOR DE CABLE / HM1810</t>
  </si>
  <si>
    <t>682549-8</t>
  </si>
  <si>
    <t>PROTECTOR DE CABLE 8-85 / HP1640</t>
  </si>
  <si>
    <t>682559-5</t>
  </si>
  <si>
    <t>PROTECTOR DE CABLE 8 / VARIOS</t>
  </si>
  <si>
    <t>682560-0</t>
  </si>
  <si>
    <t>PROTECTOR DE CABLE 10 / VARIOS</t>
  </si>
  <si>
    <t>682564-2</t>
  </si>
  <si>
    <t>GUARDA DE CABLE / VARIOS</t>
  </si>
  <si>
    <t>682566-8</t>
  </si>
  <si>
    <t>682569-2</t>
  </si>
  <si>
    <t>682572-3</t>
  </si>
  <si>
    <t>PROTECTOR DE CABLE 8  / VARIOS</t>
  </si>
  <si>
    <t>682573-1</t>
  </si>
  <si>
    <t>682574-9</t>
  </si>
  <si>
    <t>682575-7</t>
  </si>
  <si>
    <t>682582-0</t>
  </si>
  <si>
    <t>682583-8</t>
  </si>
  <si>
    <t>PROTECTOR DE CABLE / M9510 - M9507</t>
  </si>
  <si>
    <t>682584-6</t>
  </si>
  <si>
    <t>PROTECTOR DE CABLE / DVC860</t>
  </si>
  <si>
    <t>684670-9</t>
  </si>
  <si>
    <t>TUBO BARNIZADO / HM1812 - HM1802</t>
  </si>
  <si>
    <t>684900-8</t>
  </si>
  <si>
    <t>TUBO DE VINIL / VARIOS</t>
  </si>
  <si>
    <t>684970-7</t>
  </si>
  <si>
    <t>TUBO DE TELA DE VIDRIO 3.5-45 / HM1812 - HM1802</t>
  </si>
  <si>
    <t>685756-2</t>
  </si>
  <si>
    <t>686023-8</t>
  </si>
  <si>
    <t>MANGUITO RECEPTOR / VARIOS</t>
  </si>
  <si>
    <t>686035-1</t>
  </si>
  <si>
    <t>686038-5</t>
  </si>
  <si>
    <t>687000-3</t>
  </si>
  <si>
    <t>PROTECTOR DE CORDON ELECTRICO</t>
  </si>
  <si>
    <t>687010-0</t>
  </si>
  <si>
    <t>687049-3</t>
  </si>
  <si>
    <t>SUJETADOR DE CABLE / 2704</t>
  </si>
  <si>
    <t>687051-6</t>
  </si>
  <si>
    <t>687052-4</t>
  </si>
  <si>
    <t>687053-2</t>
  </si>
  <si>
    <t>687054-0</t>
  </si>
  <si>
    <t>687123-7</t>
  </si>
  <si>
    <t>PRENSA DE CABLE / VARIOS</t>
  </si>
  <si>
    <t>687124-5</t>
  </si>
  <si>
    <t>687139-2</t>
  </si>
  <si>
    <t>SOPORTE / DA3010F</t>
  </si>
  <si>
    <t>687140-7</t>
  </si>
  <si>
    <t>PRENSA CABLE / VARIOS</t>
  </si>
  <si>
    <t>687169-3</t>
  </si>
  <si>
    <t>687260-7</t>
  </si>
  <si>
    <t>687464-1</t>
  </si>
  <si>
    <t>687681-3</t>
  </si>
  <si>
    <t>687682-1</t>
  </si>
  <si>
    <t>687849-1</t>
  </si>
  <si>
    <t>ABRAZADERA / DCU180</t>
  </si>
  <si>
    <t>687877-6</t>
  </si>
  <si>
    <t>TAPON / DHR400</t>
  </si>
  <si>
    <t>687B69-9</t>
  </si>
  <si>
    <t>LIMITADOR / VARIOS</t>
  </si>
  <si>
    <t>688110-9</t>
  </si>
  <si>
    <t>IMAN / 9237CB - 9227CB</t>
  </si>
  <si>
    <t>688117-5</t>
  </si>
  <si>
    <t>IMAN / VARIOS</t>
  </si>
  <si>
    <t>688189-0</t>
  </si>
  <si>
    <t>SUJETADOR DE MAGNETO / VARIOS</t>
  </si>
  <si>
    <t>688233-3</t>
  </si>
  <si>
    <t>FILTRO DE LINEA / VARIOS</t>
  </si>
  <si>
    <t>689070-8</t>
  </si>
  <si>
    <t>DISIPADOR DE CALOR / VARIOS</t>
  </si>
  <si>
    <t>689111-0</t>
  </si>
  <si>
    <t>689150-0</t>
  </si>
  <si>
    <t>689170-4</t>
  </si>
  <si>
    <t>689176-2</t>
  </si>
  <si>
    <t>DISIPADOR DE CALOR / DHP458 - DDF458</t>
  </si>
  <si>
    <t>689204-3</t>
  </si>
  <si>
    <t>PLACA DE CALOR / DJR186</t>
  </si>
  <si>
    <t>SELLO MECANICO / EF1550RH</t>
  </si>
  <si>
    <t>TANQUE QUIMICO /EF1550 RH</t>
  </si>
  <si>
    <t>EMPAQUE GOMA / EVH2000</t>
  </si>
  <si>
    <t>MALLA DE TANQUE  /DVF104</t>
  </si>
  <si>
    <t>CABLEADO / EVH2000</t>
  </si>
  <si>
    <t>TORNILLO /UNIVERSAL</t>
  </si>
  <si>
    <t>MANGUERA ALTA / EVH2000</t>
  </si>
  <si>
    <t>GANCHO DE TUBO / EVH2000</t>
  </si>
  <si>
    <t>TUBO ROCIADOR / VARIOS</t>
  </si>
  <si>
    <t>ETIQUETA DE MODELO / EF1550RH -EVH2000</t>
  </si>
  <si>
    <t>CABLE DE ACERO/ VARIOS</t>
  </si>
  <si>
    <t>ALAMBRE DE ACERO/ VARIOS</t>
  </si>
  <si>
    <t>MECANISMO DE FRENO/ VARIOS</t>
  </si>
  <si>
    <t>TORNILLO HEX. / UNIVERSAL</t>
  </si>
  <si>
    <t>BUJIA/ PLM5113N2- PLM5600N2</t>
  </si>
  <si>
    <t>BUJIA /VARIOS</t>
  </si>
  <si>
    <t>693917-0</t>
  </si>
  <si>
    <t>CABLE DE ALIMENTACION 0.75-2-2.0 / 4329</t>
  </si>
  <si>
    <t>EMPAQUE / EVH2000</t>
  </si>
  <si>
    <t>693993-4</t>
  </si>
  <si>
    <t>CABLE DE ALIMENTACION 1.5-2-0.35 / UC4020C</t>
  </si>
  <si>
    <t>SOPORTE / EF1550RH</t>
  </si>
  <si>
    <t>TAPA  / EVH2000</t>
  </si>
  <si>
    <t>MALLA / EVH2000</t>
  </si>
  <si>
    <t>PLATINA/ EVH2000</t>
  </si>
  <si>
    <t>LIMITADOR DE PRESION /DVF104</t>
  </si>
  <si>
    <t>NIPLE CONEXIÓN /DVF104</t>
  </si>
  <si>
    <t>EMPAQUE /DVF104</t>
  </si>
  <si>
    <t>TUERCA DE NIPLE /DVF104</t>
  </si>
  <si>
    <t>695107-1</t>
  </si>
  <si>
    <t>CABLE DE ALIMENTACION 1.5-2-2.5 / VARIOS</t>
  </si>
  <si>
    <t>695111-0</t>
  </si>
  <si>
    <t>CABLE DE ALIMENTACION 1.5-2-3.0 / LW1401</t>
  </si>
  <si>
    <t>695123-3</t>
  </si>
  <si>
    <t>CABLE DE ALIMENTACION 1.5-2-4.0 / HM1101C - HM1111C</t>
  </si>
  <si>
    <t>695137-2</t>
  </si>
  <si>
    <t>CABLE DE ALIMENTACION 1.5-2.-5.0 / VARIOS</t>
  </si>
  <si>
    <t>695144-5</t>
  </si>
  <si>
    <t>CABLE DE ALIMENTACION 1.5-2-2.0 / VARIOS</t>
  </si>
  <si>
    <t>695268-7</t>
  </si>
  <si>
    <t>CABLE DE ALIMENTACION 1.0-2-2.5 / LS1221</t>
  </si>
  <si>
    <t>695330-8</t>
  </si>
  <si>
    <t>CABLE DE ALIMENTACION 1.0-2-0.6 / UC4041A</t>
  </si>
  <si>
    <t>695349-7</t>
  </si>
  <si>
    <t>CABLE DE ALIMENTACION 1.0-2-5.7 / VARIOS</t>
  </si>
  <si>
    <t>695350-2</t>
  </si>
  <si>
    <t>CABLE DE ALIMENTACION 1.5-3-5.0 / VARIOS</t>
  </si>
  <si>
    <t>ALMOHADILLA /DVF104</t>
  </si>
  <si>
    <t>ETIQUETA DE CONTROL/DVF104</t>
  </si>
  <si>
    <t>MALLA  /DVF104</t>
  </si>
  <si>
    <t>EMPAQUE GOMA  /DVF104</t>
  </si>
  <si>
    <t>PERILLA REGULADOR  /DVF104</t>
  </si>
  <si>
    <t>PULVERIZADOR CPL / VARIOS</t>
  </si>
  <si>
    <t>LLAVE CPL / VARIOS</t>
  </si>
  <si>
    <t>TUBO /DVF104</t>
  </si>
  <si>
    <t>696314-9</t>
  </si>
  <si>
    <t>RETENEDOR</t>
  </si>
  <si>
    <t>LUBRICADOR - GOBERNADOR</t>
  </si>
  <si>
    <t>TUBO FLEXIBLE  / RBL500</t>
  </si>
  <si>
    <t>699027-1</t>
  </si>
  <si>
    <t>UNIDAD CABLE DE ALIMENTACION / PW5001C</t>
  </si>
  <si>
    <t>699070-0</t>
  </si>
  <si>
    <t>CABLE DE ALIMENTACION / DUP361</t>
  </si>
  <si>
    <t>699077-6</t>
  </si>
  <si>
    <t>CABLE DE ALIMENTACION / DVC260 - DVC261</t>
  </si>
  <si>
    <t>699084-9</t>
  </si>
  <si>
    <t>CABLE DE ALIMENTACION / DUR187U - DUR188U</t>
  </si>
  <si>
    <t>699085-7</t>
  </si>
  <si>
    <t>CABLE DE ALIMENTACION / DUR187L</t>
  </si>
  <si>
    <t>699086-5</t>
  </si>
  <si>
    <t>699090-4</t>
  </si>
  <si>
    <t>699095-4</t>
  </si>
  <si>
    <t>CABLE DE CONEXIÓN / DCU180</t>
  </si>
  <si>
    <t>699096-2</t>
  </si>
  <si>
    <t>699107-3</t>
  </si>
  <si>
    <t>CABLE DE ALIMENTACION / VR1000 - PK5011C</t>
  </si>
  <si>
    <t>699113-8</t>
  </si>
  <si>
    <t>CABLE DE ALIMENTACION / UR100D</t>
  </si>
  <si>
    <t>699114-6</t>
  </si>
  <si>
    <t>CABLE DE ALIMENTACION / DUR189</t>
  </si>
  <si>
    <t>699115-4</t>
  </si>
  <si>
    <t>UNIDAD DE CABLE / DLM460</t>
  </si>
  <si>
    <t>699116-2</t>
  </si>
  <si>
    <t>CABLE DE ALIMENTACION / DVC265</t>
  </si>
  <si>
    <t>699118-8</t>
  </si>
  <si>
    <t>699129-3</t>
  </si>
  <si>
    <t>CABLE DE CONEXION / DSL800</t>
  </si>
  <si>
    <t>699132-4</t>
  </si>
  <si>
    <t>CABLE DE ALIMENTACION/UR101</t>
  </si>
  <si>
    <t>699135-8</t>
  </si>
  <si>
    <t>699136-6</t>
  </si>
  <si>
    <t>699137-4</t>
  </si>
  <si>
    <t>699142-1</t>
  </si>
  <si>
    <t>UNION CABLE DE ALIMENTACION / DLM465</t>
  </si>
  <si>
    <t>699143-9</t>
  </si>
  <si>
    <t>699144-7</t>
  </si>
  <si>
    <t>699146-3</t>
  </si>
  <si>
    <t>699148-9</t>
  </si>
  <si>
    <t>CABLE DE ALIMENTACION / DUR190U - DUR191U</t>
  </si>
  <si>
    <t>699157-8</t>
  </si>
  <si>
    <t>CABLE DE ALIMENTACION</t>
  </si>
  <si>
    <t>699159-4</t>
  </si>
  <si>
    <t>CABLE DE ALIMENTACION / UR002G - UR003G</t>
  </si>
  <si>
    <t>699165-9</t>
  </si>
  <si>
    <t>CABLE DE ALIMENTACIÓN/UR006G</t>
  </si>
  <si>
    <t>699167-5</t>
  </si>
  <si>
    <t>CABLE DE ALIMENTACION/DUN461W</t>
  </si>
  <si>
    <t>699171-4</t>
  </si>
  <si>
    <t>CABLE CONEXIÓN /UR012G</t>
  </si>
  <si>
    <t>699184-5</t>
  </si>
  <si>
    <t>CABLE DE ALIMENTACION / DLM480</t>
  </si>
  <si>
    <t>699202-9</t>
  </si>
  <si>
    <t>CABLE DE ALIMENTACION / UB002C</t>
  </si>
  <si>
    <t>699224-9</t>
  </si>
  <si>
    <t>725184-0</t>
  </si>
  <si>
    <t>HOJA DE CORTE / EN5950SH</t>
  </si>
  <si>
    <t>743025-8</t>
  </si>
  <si>
    <t>BASE DE GOMA / GV5010 - GV6000</t>
  </si>
  <si>
    <t>743053-3</t>
  </si>
  <si>
    <t>VELCRO 165 / 9237CB - 9227CB</t>
  </si>
  <si>
    <t>743340-0</t>
  </si>
  <si>
    <t>CEPILLO A / PC5001C</t>
  </si>
  <si>
    <t>743341-8</t>
  </si>
  <si>
    <t>CEPILLO B / PC5001C</t>
  </si>
  <si>
    <t>763011-3</t>
  </si>
  <si>
    <t>MANDRIL S16 / 6016</t>
  </si>
  <si>
    <t>763066-8</t>
  </si>
  <si>
    <t>MANDRIL S16 / HP2070F</t>
  </si>
  <si>
    <t>763067-6</t>
  </si>
  <si>
    <t>MANDRIL S10  / NHP1031</t>
  </si>
  <si>
    <t>763077-3</t>
  </si>
  <si>
    <t>MANDRIL S 6.5 / DP2010</t>
  </si>
  <si>
    <t>763115-1</t>
  </si>
  <si>
    <t>MANDRIL S13 / VARIOS</t>
  </si>
  <si>
    <t>763161-4</t>
  </si>
  <si>
    <t>MANDRIL S13 / HP1630K - M8100K</t>
  </si>
  <si>
    <t>763170-3</t>
  </si>
  <si>
    <t>MANDRIL S 6.5 / VARIOS</t>
  </si>
  <si>
    <t>763172-9</t>
  </si>
  <si>
    <t>MANDRIL S16 / DS5000 - 6016BR</t>
  </si>
  <si>
    <t>763174-5</t>
  </si>
  <si>
    <t>MANDRIL S10 / DA3010F</t>
  </si>
  <si>
    <t>763180-0</t>
  </si>
  <si>
    <t>MANDRIL CIERRE RAPIDO S10 / VARIOS</t>
  </si>
  <si>
    <t>763187-6</t>
  </si>
  <si>
    <t>MANDRIL CIERRE RAPIDO S10 / 8270D - 8280D</t>
  </si>
  <si>
    <t>763191-5</t>
  </si>
  <si>
    <t>763228-8</t>
  </si>
  <si>
    <t>MANDRIL CIERRE RAPIDO S10 / DF331D</t>
  </si>
  <si>
    <t>763229-6</t>
  </si>
  <si>
    <t>MANDRIL CIERRE RAPIDO S10 / HP331D - HP330</t>
  </si>
  <si>
    <t>763236-9</t>
  </si>
  <si>
    <t>TUERCA DE PINZA / GD0603</t>
  </si>
  <si>
    <t>763238-5</t>
  </si>
  <si>
    <t>MANDRIL CIERRE RAPIDO S10 / HP332D - HP333D</t>
  </si>
  <si>
    <t>763241-6</t>
  </si>
  <si>
    <t>MANDRIL CIERRE RAPIDO S13 / DDF483 - DHP483</t>
  </si>
  <si>
    <t>763248-2</t>
  </si>
  <si>
    <t>763250-5</t>
  </si>
  <si>
    <t>MANDRIL S13 / DDA460</t>
  </si>
  <si>
    <t>763252-1</t>
  </si>
  <si>
    <t>763256-3</t>
  </si>
  <si>
    <t>MANDRIL S13 / DHP487 - HP002G</t>
  </si>
  <si>
    <t>763261-0</t>
  </si>
  <si>
    <t>MANDRIL CIERRE RAPIDO S13 / DHP458</t>
  </si>
  <si>
    <t>763615-1</t>
  </si>
  <si>
    <t>TUERCA DE PINZA / VARIOS</t>
  </si>
  <si>
    <t>763629-0</t>
  </si>
  <si>
    <t>TUERCA DE SUJECION / VARIOS</t>
  </si>
  <si>
    <t>763636-3</t>
  </si>
  <si>
    <t>PINZA 6MM / VARIOS</t>
  </si>
  <si>
    <t>763660-6</t>
  </si>
  <si>
    <t>PINZA 3.18 / VARIOS</t>
  </si>
  <si>
    <t>763662-2</t>
  </si>
  <si>
    <t>PINZA 6 / VARIOS</t>
  </si>
  <si>
    <t>763664-8</t>
  </si>
  <si>
    <t>TUERCA DE PINZA 6 / GD0600 - M9100</t>
  </si>
  <si>
    <t>763674-5</t>
  </si>
  <si>
    <t>TUERCA DE PINZA / RP2301FC</t>
  </si>
  <si>
    <t>763679-5</t>
  </si>
  <si>
    <t>PINZA 3.0 / VARIOS</t>
  </si>
  <si>
    <t>765024-0</t>
  </si>
  <si>
    <t>LLAVE DE AJUSTE / VARIOS</t>
  </si>
  <si>
    <t>766002-3</t>
  </si>
  <si>
    <t>766003-1</t>
  </si>
  <si>
    <t>MANDRIL CIERRE RAPIDO S10 / HP330</t>
  </si>
  <si>
    <t>766007-3</t>
  </si>
  <si>
    <t>MANDRIL CIERRE RAPIDO S10 / DA331D - DF330D</t>
  </si>
  <si>
    <t>766008-1</t>
  </si>
  <si>
    <t>766012-0</t>
  </si>
  <si>
    <t>766016-2</t>
  </si>
  <si>
    <t>MANDRIL S13 / HP1640</t>
  </si>
  <si>
    <t>766017-0</t>
  </si>
  <si>
    <t>MANDRIL S16</t>
  </si>
  <si>
    <t>766021-9</t>
  </si>
  <si>
    <t>MANDRIL 6.5 / M6501</t>
  </si>
  <si>
    <t>766023-5</t>
  </si>
  <si>
    <t>766027-7</t>
  </si>
  <si>
    <t>781036-5</t>
  </si>
  <si>
    <t>LLAVE HEX. 10 / VARIOS</t>
  </si>
  <si>
    <t>781037-3</t>
  </si>
  <si>
    <t>LLAVE 17 / M3700 - 3709</t>
  </si>
  <si>
    <t>781038-1</t>
  </si>
  <si>
    <t>LLAVE 19 / 2704</t>
  </si>
  <si>
    <t>781039-9</t>
  </si>
  <si>
    <t>LLAVE 13 / VARIOS</t>
  </si>
  <si>
    <t>781044-6</t>
  </si>
  <si>
    <t>LLAVE HEX. / VARIOS</t>
  </si>
  <si>
    <t>782024-5</t>
  </si>
  <si>
    <t>LLAVE POLIGONAL 13-22 / 2704</t>
  </si>
  <si>
    <t>782232-8</t>
  </si>
  <si>
    <t>LLAVE FIJA 13 / LS1016</t>
  </si>
  <si>
    <t>782233-6</t>
  </si>
  <si>
    <t>LLAVE PHILLIPS 10 - 16 / EM4351UH</t>
  </si>
  <si>
    <t>782235-2</t>
  </si>
  <si>
    <t>LLAVE 17-19 / EM3400U</t>
  </si>
  <si>
    <t>782238-6</t>
  </si>
  <si>
    <t>LLAVE FIJA 17 / VARIOS</t>
  </si>
  <si>
    <t>782401-1</t>
  </si>
  <si>
    <t>LLAVE DE CONTRA TUERCA 20 / VARIOS</t>
  </si>
  <si>
    <t>782412-6</t>
  </si>
  <si>
    <t>LLAVE DE CONTRATUERCA / VARIOS</t>
  </si>
  <si>
    <t>782423-1</t>
  </si>
  <si>
    <t>LLAVE BLOQUEO DE TUERCA / VARIOS</t>
  </si>
  <si>
    <t>783023-0</t>
  </si>
  <si>
    <t>LLAVE HEX. 8 / UNIVERSAL</t>
  </si>
  <si>
    <t>783217-7</t>
  </si>
  <si>
    <t>LLAVE ALLEN 5 / UNIVERSAL</t>
  </si>
  <si>
    <t>783232-1</t>
  </si>
  <si>
    <t>LLAVE HEX. 5 / EM4351UH - RBC411U</t>
  </si>
  <si>
    <t>784402-5</t>
  </si>
  <si>
    <t>PUNTA MAGNETICA M4 7 X 55MM.</t>
  </si>
  <si>
    <t>MANGUERA DE COMBUSTIBLE</t>
  </si>
  <si>
    <t>792728-1</t>
  </si>
  <si>
    <t>PUNZON / JN3200 - JN3201</t>
  </si>
  <si>
    <t>PERNO</t>
  </si>
  <si>
    <t>TUERCA-MARCA: BRIGGS</t>
  </si>
  <si>
    <t>ENGRANAJE DE CIGUEÑAL/PLM4628N- PLM4627N</t>
  </si>
  <si>
    <t>FILTRO DE AIRE /PLM4628N- PLM4627N</t>
  </si>
  <si>
    <t>LIMPIADOR DE AIRE JUNTA</t>
  </si>
  <si>
    <t>ANILLO GOMA / PLM4628N- PLM4627N</t>
  </si>
  <si>
    <t>BOBINA/PLM560N2,PLM5113N2</t>
  </si>
  <si>
    <t>8004U3-3</t>
  </si>
  <si>
    <t>ETIQUETA DE INDICACION L / ADP10</t>
  </si>
  <si>
    <t>8004U4-1</t>
  </si>
  <si>
    <t>ETIQUETA DE INDICACION R / ADP10</t>
  </si>
  <si>
    <t>8005T5-8</t>
  </si>
  <si>
    <t>LOGO XGT / VARIOS</t>
  </si>
  <si>
    <t>8007R2-2</t>
  </si>
  <si>
    <t>ETIQUETA XGT / VARIOS</t>
  </si>
  <si>
    <t>800E23-6</t>
  </si>
  <si>
    <t>ETIQUETA DE PRECAUCION / EK7651H</t>
  </si>
  <si>
    <t>800F73-7</t>
  </si>
  <si>
    <t>ETIQUETA DE OPERACION / EN5950SH</t>
  </si>
  <si>
    <t>800K01-2</t>
  </si>
  <si>
    <t>ETIQUETA DE MODELO / EA3203S</t>
  </si>
  <si>
    <t>8012S9-8</t>
  </si>
  <si>
    <t>ETIQUETA INDICADOR /VARIOS</t>
  </si>
  <si>
    <t>8012U4-2</t>
  </si>
  <si>
    <t>LOGO XGT / HR005G</t>
  </si>
  <si>
    <t>CONDENSADOR / GB801</t>
  </si>
  <si>
    <t>803K79-4</t>
  </si>
  <si>
    <t>ETIQUETA DE PRECAUCION / EY2650H</t>
  </si>
  <si>
    <t>803T51-0</t>
  </si>
  <si>
    <t>ETIQUETA / EB7650TH</t>
  </si>
  <si>
    <t>804270-1</t>
  </si>
  <si>
    <t>ETIQUETA MAKITA</t>
  </si>
  <si>
    <t>807302-3</t>
  </si>
  <si>
    <t>CAJA DE CARTON</t>
  </si>
  <si>
    <t>807A60-7</t>
  </si>
  <si>
    <t>807B57-2</t>
  </si>
  <si>
    <t>ETIQUETA DE CONDICION DE CARGA / DC10WD</t>
  </si>
  <si>
    <t>807B60-3</t>
  </si>
  <si>
    <t>ETIQUETA DE CONDICION DE CARGA / DC10SB</t>
  </si>
  <si>
    <t>807G77-6</t>
  </si>
  <si>
    <t>ETIQUETA / GD0603</t>
  </si>
  <si>
    <t>808D12-9</t>
  </si>
  <si>
    <t>ETIQUETA LOGO MAKITA / EY2650H - EY2650HG</t>
  </si>
  <si>
    <t>809N37-6</t>
  </si>
  <si>
    <t>ETIQUETA DE REGULACION / M1902</t>
  </si>
  <si>
    <t>809R02-9</t>
  </si>
  <si>
    <t>810100-6</t>
  </si>
  <si>
    <t>ETIQUETA DE PRECAUCION / VARIOS</t>
  </si>
  <si>
    <t>810450-9</t>
  </si>
  <si>
    <t>ETIQUETA DE PRECAUCION / BHX2500</t>
  </si>
  <si>
    <t>810451-7</t>
  </si>
  <si>
    <t>810455-9</t>
  </si>
  <si>
    <t>PLACA DE PRECAUCION / VARIOS</t>
  </si>
  <si>
    <t>810495-7</t>
  </si>
  <si>
    <t>EMPAQUE / LS1016</t>
  </si>
  <si>
    <t>810965-6</t>
  </si>
  <si>
    <t>812P94-7</t>
  </si>
  <si>
    <t>ETIQUETA DE CONDICION DE CARGA / DC18RE</t>
  </si>
  <si>
    <t>814E64-6</t>
  </si>
  <si>
    <t>PLACA DE CARACTERISTICAS / EB5300TH - RBC411U</t>
  </si>
  <si>
    <t>814K97-7</t>
  </si>
  <si>
    <t>ETIQUETA DE NUMERO DE SERIE / EM4351UH</t>
  </si>
  <si>
    <t>814S44-6</t>
  </si>
  <si>
    <t>PLACA DE CARACTERISTICAS / HM1203C</t>
  </si>
  <si>
    <t>815W21-5</t>
  </si>
  <si>
    <t>PLACA DE CARACTERISTICAS / HR5212C</t>
  </si>
  <si>
    <t>815W32-0</t>
  </si>
  <si>
    <t>PLACA DE CARACTERISTICAS / HR5202C</t>
  </si>
  <si>
    <t>816128-2</t>
  </si>
  <si>
    <t>816311-1</t>
  </si>
  <si>
    <t>PLACA DE ESCALA / LS1040 - LS1040F</t>
  </si>
  <si>
    <t>816329-2</t>
  </si>
  <si>
    <t>ETIQUETA DE INDICACION / HR5001C</t>
  </si>
  <si>
    <t>816358-5</t>
  </si>
  <si>
    <t>ETIQUETA DE LA ESCALA / 2012NB</t>
  </si>
  <si>
    <t>816504-0</t>
  </si>
  <si>
    <t>ETIQUETA DE OPERACION / 9564PCV - 9564CV</t>
  </si>
  <si>
    <t>816601-2</t>
  </si>
  <si>
    <t>816773-3</t>
  </si>
  <si>
    <t>816835-7</t>
  </si>
  <si>
    <t>ESCALA P/2704</t>
  </si>
  <si>
    <t>817667-5</t>
  </si>
  <si>
    <t>818L12-9</t>
  </si>
  <si>
    <t>ETIQUETA DE PRECAUCION / EA3203S</t>
  </si>
  <si>
    <t>818R90-5</t>
  </si>
  <si>
    <t>ETIQUETA LOGO MAKITA / DC18SH</t>
  </si>
  <si>
    <t>819064-1</t>
  </si>
  <si>
    <t>ETIQUETA LOGO MAKITA / VARIOS</t>
  </si>
  <si>
    <t>819084-5</t>
  </si>
  <si>
    <t>LOGO MAKITA / HR5001C</t>
  </si>
  <si>
    <t>819948-3</t>
  </si>
  <si>
    <t>ETIQUETA DE PRECAUCION/UM164D - UM600D</t>
  </si>
  <si>
    <t>820D95-9</t>
  </si>
  <si>
    <t>CAJA DE CARTON HS0600</t>
  </si>
  <si>
    <t>820E42-6</t>
  </si>
  <si>
    <t>CAJA DE CARTON PARA HERRAMIENTA DUR187LZ</t>
  </si>
  <si>
    <t>821549-5</t>
  </si>
  <si>
    <t>MALETIN MAKPAC / VARIOS</t>
  </si>
  <si>
    <t>821552-6</t>
  </si>
  <si>
    <t>CONECTOR PLASTICO / VARIOS</t>
  </si>
  <si>
    <t>821D08-3</t>
  </si>
  <si>
    <t>CARTON R/P</t>
  </si>
  <si>
    <t>822J14-7</t>
  </si>
  <si>
    <t>CAJA CARTON P/HP0300</t>
  </si>
  <si>
    <t>824002-0</t>
  </si>
  <si>
    <t>CAJA PLASTICA / 2012NB</t>
  </si>
  <si>
    <t>824898-9</t>
  </si>
  <si>
    <t>MALETIN DE PLASTICO / HM1317CB - HM1307CB</t>
  </si>
  <si>
    <t>8250A1-2</t>
  </si>
  <si>
    <t>CAJA DE CARTON PARA HERRAMIENTA HP333DWYX3</t>
  </si>
  <si>
    <t>831277-4</t>
  </si>
  <si>
    <t>BOLSA DE LA HERRAMIENTA / TD022D</t>
  </si>
  <si>
    <t>831304-7</t>
  </si>
  <si>
    <t>BOLSA DE ACC. / VARIOS</t>
  </si>
  <si>
    <t>839559-8</t>
  </si>
  <si>
    <t>PLASTICO INTERIOR DE MAKPAC / DHR280</t>
  </si>
  <si>
    <t>BRIDA INTERIOR</t>
  </si>
  <si>
    <t>847186-7</t>
  </si>
  <si>
    <t>CARTON 2705</t>
  </si>
  <si>
    <t>847737-6</t>
  </si>
  <si>
    <t>848472-9</t>
  </si>
  <si>
    <t>CAJA DE CARTON GA5020</t>
  </si>
  <si>
    <t>850406-0</t>
  </si>
  <si>
    <t>PLACA DE CARACTERISTICAS / HM1304B</t>
  </si>
  <si>
    <t>850V85-6</t>
  </si>
  <si>
    <t>PLACA DE CARACTERISTICAS / M6600</t>
  </si>
  <si>
    <t>851A94-2</t>
  </si>
  <si>
    <t>PLACA DE CARACTERISTICAS / M0801K</t>
  </si>
  <si>
    <t>851J81-702</t>
  </si>
  <si>
    <t>PLACA DESCRIPTIVA DE HERRAMIENTA</t>
  </si>
  <si>
    <t>852C41-8</t>
  </si>
  <si>
    <t>PLACA DE CARACTERISTICAS / EA4301F</t>
  </si>
  <si>
    <t>853J61-7</t>
  </si>
  <si>
    <t>PLACA DE CARACTERISTICAS / DGA700</t>
  </si>
  <si>
    <t>853J70-6</t>
  </si>
  <si>
    <t>PLACA DE NUMERO DE SERIE / DGA700</t>
  </si>
  <si>
    <t>853J89-5</t>
  </si>
  <si>
    <t>PLACA DE CARACTERISTICAS / DGA900</t>
  </si>
  <si>
    <t>853J94-2</t>
  </si>
  <si>
    <t>PLACA DE NUMERO DE SERIE / DGA900</t>
  </si>
  <si>
    <t>854J01-8</t>
  </si>
  <si>
    <t>PLACA DE NUMERO DE SERIE / DHR280</t>
  </si>
  <si>
    <t>856D71-7</t>
  </si>
  <si>
    <t>856H88-4</t>
  </si>
  <si>
    <t>PLACA DE CARACTERISTICAS / DUR369A</t>
  </si>
  <si>
    <t>856H96-5</t>
  </si>
  <si>
    <t>ETIQUETA  NUMERO DE SERIE / DUR369A</t>
  </si>
  <si>
    <t>856R28-2</t>
  </si>
  <si>
    <t>PLACA DE CARACTERISTICAS / DUH604S</t>
  </si>
  <si>
    <t>856R31-3</t>
  </si>
  <si>
    <t>ETIQUETA NUMERO DE SERIE / DUH604S</t>
  </si>
  <si>
    <t>856R38-9</t>
  </si>
  <si>
    <t>PLACA DE CARACTERISTICAS / DUH754S</t>
  </si>
  <si>
    <t>856R41-0</t>
  </si>
  <si>
    <t>ETIQUETA NUMERO DE SERIE / DUH754S</t>
  </si>
  <si>
    <t>856S53-9</t>
  </si>
  <si>
    <t>ETIQUETA NUMERO DE SERIE / DUB363</t>
  </si>
  <si>
    <t>857C69-1</t>
  </si>
  <si>
    <t>PLACA DE CARACTERISTICAS / DPB183</t>
  </si>
  <si>
    <t>857C76-4</t>
  </si>
  <si>
    <t>ETIQUETA NUMERO DE SERIE / DPB183</t>
  </si>
  <si>
    <t>857M03-1</t>
  </si>
  <si>
    <t>PLACA DE CARACTERISTICAS / DTW700</t>
  </si>
  <si>
    <t>857N43-5</t>
  </si>
  <si>
    <t>PLACA DE CARACTERISTICAS / DCL184</t>
  </si>
  <si>
    <t>857N50-8</t>
  </si>
  <si>
    <t>ETIQUETA NUMERO DE SERIE / DCL184</t>
  </si>
  <si>
    <t>857P28-3</t>
  </si>
  <si>
    <t>PLACA DE CARACTERISTICAS / TW005G</t>
  </si>
  <si>
    <t>857P33-0</t>
  </si>
  <si>
    <t>ETIQUETA NUMERO DE SERIE / TW005G</t>
  </si>
  <si>
    <t>859316-8</t>
  </si>
  <si>
    <t>PLACA DE CARACTERISTICAS / 1805N</t>
  </si>
  <si>
    <t>861094-8</t>
  </si>
  <si>
    <t>PLACA DE CARACTERISTICAS / JR3050T</t>
  </si>
  <si>
    <t>861373-4</t>
  </si>
  <si>
    <t>863305-006</t>
  </si>
  <si>
    <t>TABLA DE INDICACIONES / SJ401</t>
  </si>
  <si>
    <t>863353-6</t>
  </si>
  <si>
    <t>PLACA DE CARACTERISTICA / HR5211C</t>
  </si>
  <si>
    <t>863359-4</t>
  </si>
  <si>
    <t>PLACA DE CARACTERISTICAS / HR5201C</t>
  </si>
  <si>
    <t>870234-7</t>
  </si>
  <si>
    <t>CAJA DE CARTON P/FS2700</t>
  </si>
  <si>
    <t>876770-1</t>
  </si>
  <si>
    <t>879344-7</t>
  </si>
  <si>
    <t>CAJA DE CARTON LW1401</t>
  </si>
  <si>
    <t>880084-000</t>
  </si>
  <si>
    <t>ROTOR 220V / SJ401</t>
  </si>
  <si>
    <t>885432-024</t>
  </si>
  <si>
    <t>MANUAL DE INSTRUCCION</t>
  </si>
  <si>
    <t>886117A1</t>
  </si>
  <si>
    <t>TARJETA DE GARANTIA</t>
  </si>
  <si>
    <t>889944B5</t>
  </si>
  <si>
    <t>890029-2</t>
  </si>
  <si>
    <t>ETIQUETA DE ESCALA / M1100</t>
  </si>
  <si>
    <t>893121-3</t>
  </si>
  <si>
    <t>ETIQUETA DE MODELO / EK7651H</t>
  </si>
  <si>
    <t>897220-3</t>
  </si>
  <si>
    <t>898351-1</t>
  </si>
  <si>
    <t>ETIQUETA DE OPERACION / PM7650H</t>
  </si>
  <si>
    <t>898842-2</t>
  </si>
  <si>
    <t>ETIQUETA DE APROBACION DE EMISION DE GAS / EM4351UH</t>
  </si>
  <si>
    <t>ARANDELA PLANA/DPC7301</t>
  </si>
  <si>
    <t>ESPACIADOR /DPC7301</t>
  </si>
  <si>
    <t>PROTECTOR MANO / 5002</t>
  </si>
  <si>
    <t>900313-003</t>
  </si>
  <si>
    <t>900403-000</t>
  </si>
  <si>
    <t>PERILLA DE INCLINACION CPL / SJ401</t>
  </si>
  <si>
    <t>900573-002</t>
  </si>
  <si>
    <t>CUBIERTA DE PLACA 220V / SJ401</t>
  </si>
  <si>
    <t>900625-002</t>
  </si>
  <si>
    <t>TARJETA DE CONTROL 110V/ SJ401</t>
  </si>
  <si>
    <t>900625-004</t>
  </si>
  <si>
    <t>CONTROLADOR 220V / SJ401</t>
  </si>
  <si>
    <t>TORNILLO TORX 4 X 40MM /UNIVERSAL</t>
  </si>
  <si>
    <t>PERNO HEX. TORX 5X16MM /UNIVERSAL</t>
  </si>
  <si>
    <t>TORNILLO TORX 6X14/ UNIVERSAL</t>
  </si>
  <si>
    <t>TORNILLO TORX 6X25/ UNIVERSAL</t>
  </si>
  <si>
    <t>PERNO HEX. TORX 5X12MM/ UNIVERSAL</t>
  </si>
  <si>
    <t>PERNO HEX. TORXS 5X20MM / UNIVERSAL</t>
  </si>
  <si>
    <t>TORNILLO TORX 4 X 55MM /UNIVERSAL</t>
  </si>
  <si>
    <t>TORNILLO TORX 5X65/ UNIVERSAL</t>
  </si>
  <si>
    <t>TORNILLO TORX 5X25MM/ UNIVERSAL</t>
  </si>
  <si>
    <t>TORNILLO TORX 5X40/ UNIVERSAL</t>
  </si>
  <si>
    <t>TORNILLO TORX 5X20/ UNIVERSAL</t>
  </si>
  <si>
    <t>TORNILLO TORX 5X25/ UNIVERSAL</t>
  </si>
  <si>
    <t>PERNO HEX. 5X14MM/ UNIVERSAL</t>
  </si>
  <si>
    <t>PERNO HEX. 5X20MM/ UNIVERSAL</t>
  </si>
  <si>
    <t>PERNO HEX. TORX 5X20MM /UNIVERSAL</t>
  </si>
  <si>
    <t>PERNO HEX. TORX 5X23MM/ UNIVERSAL</t>
  </si>
  <si>
    <t>PERNO HEX. TORX 5X10MM/ UNIVERSAL</t>
  </si>
  <si>
    <t>911003-8</t>
  </si>
  <si>
    <t>TORNILLO ESTRELLA M3X6 / UNIVERSAL</t>
  </si>
  <si>
    <t>911011-9</t>
  </si>
  <si>
    <t>TORNILLO M3X10 / UNIVERSAL</t>
  </si>
  <si>
    <t>911013-5</t>
  </si>
  <si>
    <t>TORNILLO M3X10WR / UNIVERSAL</t>
  </si>
  <si>
    <t>911018-5</t>
  </si>
  <si>
    <t>TORNILLO M3X12 / UNIVERSAL</t>
  </si>
  <si>
    <t>911103-4</t>
  </si>
  <si>
    <t>TORNILLO M4X16 WR / VARIOS</t>
  </si>
  <si>
    <t>911106-8</t>
  </si>
  <si>
    <t>TORNILLO M4X8 W / UNIVERSAL</t>
  </si>
  <si>
    <t>911108-4</t>
  </si>
  <si>
    <t>TORNILLO CABEZA PLANA M4X8 WR / VARIOS</t>
  </si>
  <si>
    <t>911111-5</t>
  </si>
  <si>
    <t>911113-1</t>
  </si>
  <si>
    <t>911114-9</t>
  </si>
  <si>
    <t>TORNILLO M4X10 WG / UNIVERSAL</t>
  </si>
  <si>
    <t>911116-5</t>
  </si>
  <si>
    <t>911118-1</t>
  </si>
  <si>
    <t>TORNILLO PLANO M4X12 WR / UNIVERSAL</t>
  </si>
  <si>
    <t>911121-2</t>
  </si>
  <si>
    <t>911123-8</t>
  </si>
  <si>
    <t>TORNILLO PLANO M4X14 WR / UNIVERSAL</t>
  </si>
  <si>
    <t>911128-8</t>
  </si>
  <si>
    <t>TORNILLO PLANO M4X16 WR / UNIVERSAL</t>
  </si>
  <si>
    <t>911133-5</t>
  </si>
  <si>
    <t>TORNILLO ESTRELLA M4X18WR / UNIVERSAL</t>
  </si>
  <si>
    <t>911136-9</t>
  </si>
  <si>
    <t>TORNILLO DE CABEZA PLANA M4X20W / UNIVERSAL</t>
  </si>
  <si>
    <t>911138-5</t>
  </si>
  <si>
    <t>TORNILLO M4X20 WR / UNIVERSAL</t>
  </si>
  <si>
    <t>911148-2</t>
  </si>
  <si>
    <t>911156-3</t>
  </si>
  <si>
    <t>TORNILLO M4X30 / UNIVERSAL</t>
  </si>
  <si>
    <t>911158-9</t>
  </si>
  <si>
    <t>911159-7</t>
  </si>
  <si>
    <t>SUJETADOR ANGULO/ DUN500W</t>
  </si>
  <si>
    <t>911173-3</t>
  </si>
  <si>
    <t>TORNILLO M4X45 WR / UNIVERSAL</t>
  </si>
  <si>
    <t>911188-0</t>
  </si>
  <si>
    <t>TORNILLO M4X60 WR / UNIVERSAL</t>
  </si>
  <si>
    <t>911206-4</t>
  </si>
  <si>
    <t>BANDA  FRENO/ VARIOS</t>
  </si>
  <si>
    <t>911211-1</t>
  </si>
  <si>
    <t>911213-7</t>
  </si>
  <si>
    <t>TORNILLO M5X12/UNIVERSAL</t>
  </si>
  <si>
    <t>911216-1</t>
  </si>
  <si>
    <t>911218-7</t>
  </si>
  <si>
    <t>911221-8</t>
  </si>
  <si>
    <t>911223-4</t>
  </si>
  <si>
    <t>TORNILLO DE CABEZA PLANA M5X16 WR / VARIOS</t>
  </si>
  <si>
    <t>911225-0</t>
  </si>
  <si>
    <t>TORNILLO M5X16WM / VARIOS</t>
  </si>
  <si>
    <t>911228-4</t>
  </si>
  <si>
    <t>TORNILLO M5X18 WR / UNIVERSAL</t>
  </si>
  <si>
    <t>911233-1</t>
  </si>
  <si>
    <t>TORNILLO PLANO M5X20 WR / UNIVERSAL</t>
  </si>
  <si>
    <t>911238-1</t>
  </si>
  <si>
    <t>TORNILLO M5X22 WR / UNIVERSAL</t>
  </si>
  <si>
    <t>911241-2</t>
  </si>
  <si>
    <t>TORNILLO M5X25 / 1805N</t>
  </si>
  <si>
    <t>911242-0</t>
  </si>
  <si>
    <t>911243-8</t>
  </si>
  <si>
    <t>TORNILLO M5X25 WR / UNIVERSAL</t>
  </si>
  <si>
    <t>911251-9</t>
  </si>
  <si>
    <t>911252-7</t>
  </si>
  <si>
    <t>TORNILLO M5X30 / 9911</t>
  </si>
  <si>
    <t>911253-5</t>
  </si>
  <si>
    <t>TORNILLO M5X30 / UNIVERSAL</t>
  </si>
  <si>
    <t>911256-9</t>
  </si>
  <si>
    <t>TORNILLO M5X35W / VARIOS</t>
  </si>
  <si>
    <t>911258-5</t>
  </si>
  <si>
    <t>TORNILLO PLANO M5X35 WR / UNIVERSAL</t>
  </si>
  <si>
    <t>911263-2</t>
  </si>
  <si>
    <t>TORNILLO M5X40 WR / UNIVERSAL</t>
  </si>
  <si>
    <t>911267-4</t>
  </si>
  <si>
    <t>TORNILLO CABEZA PLANA M5*45 / 5007NK</t>
  </si>
  <si>
    <t>911268-2</t>
  </si>
  <si>
    <t>TORNILLO PLANO M5*45 WR / 5007NK - M3600</t>
  </si>
  <si>
    <t>911271-3</t>
  </si>
  <si>
    <t>TORNILLO M5X50 W / UNIVERSAL</t>
  </si>
  <si>
    <t>911273-9</t>
  </si>
  <si>
    <t>TORNILLO PLANO M5X50 WR / UNIVERSAL</t>
  </si>
  <si>
    <t>911288-6</t>
  </si>
  <si>
    <t>TORNILLO M5X65 WR / VARIOS</t>
  </si>
  <si>
    <t>911293-3</t>
  </si>
  <si>
    <t>TORNILLO M5X70 WR / UNIVERSAL</t>
  </si>
  <si>
    <t>911313-3</t>
  </si>
  <si>
    <t>TORNILLO M6 X 12 / PM7650H</t>
  </si>
  <si>
    <t>911323-0</t>
  </si>
  <si>
    <t>TORNILLO M6X16 WR / UNIVERSAL</t>
  </si>
  <si>
    <t>911324-8</t>
  </si>
  <si>
    <t>TORNILLO M6X16 WG / 1805N</t>
  </si>
  <si>
    <t>911333-7</t>
  </si>
  <si>
    <t>TORNILLO M6X20 WR / UNIVERSAL</t>
  </si>
  <si>
    <t>911344-2</t>
  </si>
  <si>
    <t>TORNILLO M6X25 / UNIVERSAL</t>
  </si>
  <si>
    <t>911353-1</t>
  </si>
  <si>
    <t>TORNILLO M6X8 / UNIVERSAL</t>
  </si>
  <si>
    <t>911368-8</t>
  </si>
  <si>
    <t>TORNILLO M6X45 / UNIVERSAL</t>
  </si>
  <si>
    <t>911383-2</t>
  </si>
  <si>
    <t>TORNILLO M6X60 / UNIVERSAL</t>
  </si>
  <si>
    <t>911451-1</t>
  </si>
  <si>
    <t>911511-9</t>
  </si>
  <si>
    <t>TORNILLO PLANO M4X10WRM / UNIVERSAL</t>
  </si>
  <si>
    <t>911516-9</t>
  </si>
  <si>
    <t>911546-0</t>
  </si>
  <si>
    <t>TORNILLO M4X25 WRM / UNIVERSAL</t>
  </si>
  <si>
    <t>911566-4</t>
  </si>
  <si>
    <t>TORNILLO M4X40 WRM / UNIVERSAL</t>
  </si>
  <si>
    <t>912012-0</t>
  </si>
  <si>
    <t>912112-6</t>
  </si>
  <si>
    <t>TORNILLO CABEZA AVELLANADA M4X10 / UNIVERSAL</t>
  </si>
  <si>
    <t>912117-6</t>
  </si>
  <si>
    <t>TORNILLO AVELLANADO M4X12 / BO4556 - 1805N</t>
  </si>
  <si>
    <t>912207-5</t>
  </si>
  <si>
    <t>912212-2</t>
  </si>
  <si>
    <t>TORNILLO CABEZA AVELLANADA M5X12 / VARIOS</t>
  </si>
  <si>
    <t>912222-9</t>
  </si>
  <si>
    <t>TORNILLO AVELLANADO M5X16 / VARIOS</t>
  </si>
  <si>
    <t>912342-9</t>
  </si>
  <si>
    <t>TORNILLO CABEZA AVELLANADA M6*25 / LS1040 - LS1040F</t>
  </si>
  <si>
    <t>912357-6</t>
  </si>
  <si>
    <t>TORNILLO AVELLANADO M6X35 / LS1221</t>
  </si>
  <si>
    <t>913002-000</t>
  </si>
  <si>
    <t>SOPORTE DE CABLE / SJ401</t>
  </si>
  <si>
    <t>PERNO HEX. TORX 4X20MM /UNIVERSAL</t>
  </si>
  <si>
    <t>913416-9</t>
  </si>
  <si>
    <t>TORNILLO HEX. M8X12 / UNIVERSAL</t>
  </si>
  <si>
    <t>TORNILLO TORX 4.7X13/ UNIVERSAL</t>
  </si>
  <si>
    <t>PERNO HEX. TORX 5.5X16MM/ UNIVERSAL</t>
  </si>
  <si>
    <t>PERNO HEX. TORX 5.5X20MM/ UNIVERSAL</t>
  </si>
  <si>
    <t>TORNILLO TORX 5X30MM/ UNIVERSAL</t>
  </si>
  <si>
    <t>PERNO HEX. TORX 5.5X45MM/ DCS7301</t>
  </si>
  <si>
    <t>TORNILLO TORX 6.7X25MM/ UNIVERSAL</t>
  </si>
  <si>
    <t>TORNILLO 6.7X30 / UNIVERSAL</t>
  </si>
  <si>
    <t>TORNILLO  5X25MM/ UNIVERSAL</t>
  </si>
  <si>
    <t>914019-000</t>
  </si>
  <si>
    <t>ESPONJA / SJ401</t>
  </si>
  <si>
    <t>915101-0</t>
  </si>
  <si>
    <t>TORNILLO M4X6 / DFN350 - DPT353</t>
  </si>
  <si>
    <t>915106-0</t>
  </si>
  <si>
    <t>TORNILLO DE CABEZAL FIJADOR / UC4020C - EA3203S</t>
  </si>
  <si>
    <t>915116-7</t>
  </si>
  <si>
    <t>TORNILLO  3.5X13MM/ UNIVERSAL</t>
  </si>
  <si>
    <t>915211-3</t>
  </si>
  <si>
    <t>TORNILLO  3.5X9.5MM/ UNIVERSAL</t>
  </si>
  <si>
    <t>TORNILLO  3.5X10MM/ UNIVERSAL</t>
  </si>
  <si>
    <t>TORNILLO TORX 5X20MM / UNIVERSAL</t>
  </si>
  <si>
    <t>TUERCA HEX. 5MM/ UNIVERSAL</t>
  </si>
  <si>
    <t>TUERCA HEX. M8 /UNIVERSAL</t>
  </si>
  <si>
    <t>TUERCA HEX. 8X1MM/ UNIVERSAL</t>
  </si>
  <si>
    <t>921351-7</t>
  </si>
  <si>
    <t>921362-2</t>
  </si>
  <si>
    <t>PERNO LISO /UNIVERSAL</t>
  </si>
  <si>
    <t>921387-6</t>
  </si>
  <si>
    <t>921451-3</t>
  </si>
  <si>
    <t>PERNO HEX. M8X30 / DLM465</t>
  </si>
  <si>
    <t>921452-1</t>
  </si>
  <si>
    <t>921462-8</t>
  </si>
  <si>
    <t>TUERCA CUADRADA 4MM/ UNIVERSAL</t>
  </si>
  <si>
    <t>TUERCA CUADRADA 6MM/ UNIVERSAL</t>
  </si>
  <si>
    <t>921919-9</t>
  </si>
  <si>
    <t>921923-8</t>
  </si>
  <si>
    <t>PERNO HEX. M8X120 / UNIVERSAL</t>
  </si>
  <si>
    <t>922102-1</t>
  </si>
  <si>
    <t>PERNO HEX. M4X6 / VARIOS</t>
  </si>
  <si>
    <t>922107-1</t>
  </si>
  <si>
    <t>PERNO HEX. M4X8 / UNIVERSAL</t>
  </si>
  <si>
    <t>922111-0</t>
  </si>
  <si>
    <t>PERNO HEX. M4X10W / UNIVERSAL</t>
  </si>
  <si>
    <t>922116-0</t>
  </si>
  <si>
    <t>922118-6</t>
  </si>
  <si>
    <t>922122-5</t>
  </si>
  <si>
    <t>922126-7</t>
  </si>
  <si>
    <t>922127-5</t>
  </si>
  <si>
    <t>PERNO M16 / UNIVERSAL</t>
  </si>
  <si>
    <t>922128-3</t>
  </si>
  <si>
    <t>PERNO HUECO HEX. M4X16 / UNIVERSAL</t>
  </si>
  <si>
    <t>922132-2</t>
  </si>
  <si>
    <t>PERNO HEX. M4X18 / UNIVERSAL</t>
  </si>
  <si>
    <t>922133-0</t>
  </si>
  <si>
    <t>922146-1</t>
  </si>
  <si>
    <t>922147-9</t>
  </si>
  <si>
    <t>922148-7</t>
  </si>
  <si>
    <t>PERNO HEX. M4X25 WR / UNIVERSAL</t>
  </si>
  <si>
    <t>922149-5</t>
  </si>
  <si>
    <t>PERNO HEX. M4X25 / UIVERSAL</t>
  </si>
  <si>
    <t>922201-9</t>
  </si>
  <si>
    <t>PERNO HEX. M5X8 W / UNIVERSAL</t>
  </si>
  <si>
    <t>922206-9</t>
  </si>
  <si>
    <t>922207-7</t>
  </si>
  <si>
    <t>922211-6</t>
  </si>
  <si>
    <t>922212-4</t>
  </si>
  <si>
    <t>922216-6</t>
  </si>
  <si>
    <t>PERNO HEX M5X14 / UNIVERSAL</t>
  </si>
  <si>
    <t>922217-4</t>
  </si>
  <si>
    <t>PERNO HEX. M5X14 / BHX2500</t>
  </si>
  <si>
    <t>922218-2</t>
  </si>
  <si>
    <t>PERNO HEX. M5X14 WR / DCU180 - RBC411U</t>
  </si>
  <si>
    <t>922221-3</t>
  </si>
  <si>
    <t>922222-1</t>
  </si>
  <si>
    <t>PERNO HEX. M5X16 / EBH340U</t>
  </si>
  <si>
    <t>922223-9</t>
  </si>
  <si>
    <t>922224-7</t>
  </si>
  <si>
    <t>922226-3</t>
  </si>
  <si>
    <t>922227-1</t>
  </si>
  <si>
    <t>PERNO HEX. M5X18 / JS3201</t>
  </si>
  <si>
    <t>922228-9</t>
  </si>
  <si>
    <t>922231-0</t>
  </si>
  <si>
    <t>922232-8</t>
  </si>
  <si>
    <t>922233-6</t>
  </si>
  <si>
    <t>TORNILLO M5X20 / UNIVERSAL</t>
  </si>
  <si>
    <t>922236-0</t>
  </si>
  <si>
    <t>PERNO HEX. M5X22 / UNIVERSAL</t>
  </si>
  <si>
    <t>922241-7</t>
  </si>
  <si>
    <t>PERNO CABEZA HEX. M5X25 / UNIVERSAL</t>
  </si>
  <si>
    <t>922242-5</t>
  </si>
  <si>
    <t>922243-3</t>
  </si>
  <si>
    <t>922248-3</t>
  </si>
  <si>
    <t>922253-0</t>
  </si>
  <si>
    <t>PERNO HEX. M5X30 WR / UNIVERSAL</t>
  </si>
  <si>
    <t>922256-4</t>
  </si>
  <si>
    <t>PERNO HEX. M5X35 W / UNIVERSAL</t>
  </si>
  <si>
    <t>922258-0</t>
  </si>
  <si>
    <t>922261-1</t>
  </si>
  <si>
    <t>922262-9</t>
  </si>
  <si>
    <t>922311-2</t>
  </si>
  <si>
    <t>PERNO HEX. M6X12 W / UNIVERSAL</t>
  </si>
  <si>
    <t>922312-0</t>
  </si>
  <si>
    <t>922317-0</t>
  </si>
  <si>
    <t>922323-5</t>
  </si>
  <si>
    <t>PERNO HEX. M6X16 WR / UNIVERSAL</t>
  </si>
  <si>
    <t>922326-9</t>
  </si>
  <si>
    <t>922331-6</t>
  </si>
  <si>
    <t>PERNO HEX. M6X20 W / UNIVERSAL</t>
  </si>
  <si>
    <t>922332-4</t>
  </si>
  <si>
    <t>922333-2</t>
  </si>
  <si>
    <t>922341-3</t>
  </si>
  <si>
    <t>922343-9</t>
  </si>
  <si>
    <t>PERNO HEX. M6X25 WR / VARIOS</t>
  </si>
  <si>
    <t>922351-0</t>
  </si>
  <si>
    <t>922352-8</t>
  </si>
  <si>
    <t>922353-6</t>
  </si>
  <si>
    <t>922357-8</t>
  </si>
  <si>
    <t>922359-4</t>
  </si>
  <si>
    <t>TORNILLO DE CABEZA HUECA M6*35 WG / VARIOS</t>
  </si>
  <si>
    <t>922361-7</t>
  </si>
  <si>
    <t>922364-1</t>
  </si>
  <si>
    <t>922366-7</t>
  </si>
  <si>
    <t>PERNO HEX. M6X45 / UNIVERSAL</t>
  </si>
  <si>
    <t>922438-8</t>
  </si>
  <si>
    <t>PERNO HEX. M8X22 WR / UNIVERSAL</t>
  </si>
  <si>
    <t>922451-6</t>
  </si>
  <si>
    <t>922453-2</t>
  </si>
  <si>
    <t>PERNO HEX. M8X30 WR / DDA460</t>
  </si>
  <si>
    <t>922456-6</t>
  </si>
  <si>
    <t>TORNILLO HEX. M8X35W / VARIOS</t>
  </si>
  <si>
    <t>922458-2</t>
  </si>
  <si>
    <t>PERNO HEX. M8X35 WR / UNIVERSAL</t>
  </si>
  <si>
    <t>922496-4</t>
  </si>
  <si>
    <t>PERNO HEX. M8X75 / UNIVERSAL</t>
  </si>
  <si>
    <t>TUERCA HEX. 6MM/ UNIVERSAL</t>
  </si>
  <si>
    <t>922677-0</t>
  </si>
  <si>
    <t>PERNO HEX. M12X55 / UNIVERSAL</t>
  </si>
  <si>
    <t>TUERCA HEX. 8MM/ UNIVERSAL</t>
  </si>
  <si>
    <t>ARANDELA / DCS5200</t>
  </si>
  <si>
    <t>924206-5</t>
  </si>
  <si>
    <t>PERNO MARIPOSA / 3612</t>
  </si>
  <si>
    <t>924306-1</t>
  </si>
  <si>
    <t>TORNILLO MARIPOSA M6X10 / N5900B</t>
  </si>
  <si>
    <t>924341-9</t>
  </si>
  <si>
    <t>PERNO MARIPOSA / VARIOS</t>
  </si>
  <si>
    <t>925146-0</t>
  </si>
  <si>
    <t>ARANDELA OVALADA 8M/ UNIVERSAL</t>
  </si>
  <si>
    <t>SEGURO TOPE E-4/ UNIVERSAL</t>
  </si>
  <si>
    <t>SEGURO TOPE E-8/ UNIVERSAL</t>
  </si>
  <si>
    <t>ARANDELA 5 / UNIVERSAL</t>
  </si>
  <si>
    <t>ANILLO RESORTE 16 / UNIVERSAL</t>
  </si>
  <si>
    <t>931102-0</t>
  </si>
  <si>
    <t>TUERCA HEX. M4/ UNIVERSAL</t>
  </si>
  <si>
    <t>931201-8</t>
  </si>
  <si>
    <t>TUERCA HEX. M5 / UNIVERSAL</t>
  </si>
  <si>
    <t>931202-6</t>
  </si>
  <si>
    <t>TUERCA HEX. M5 /UNIVERSAL</t>
  </si>
  <si>
    <t>931203-4</t>
  </si>
  <si>
    <t>TUERCA HEX. M5 / VARIOS</t>
  </si>
  <si>
    <t>931302-2</t>
  </si>
  <si>
    <t>TUERCA HEX. M6 / UNIVERSAL</t>
  </si>
  <si>
    <t>931303-0</t>
  </si>
  <si>
    <t>TUERCA M6  / VARIOS</t>
  </si>
  <si>
    <t>931402-8</t>
  </si>
  <si>
    <t>931403-6</t>
  </si>
  <si>
    <t>931501-6</t>
  </si>
  <si>
    <t>931503-2</t>
  </si>
  <si>
    <t>931601-2</t>
  </si>
  <si>
    <t>934301-3</t>
  </si>
  <si>
    <t>TUERCA MARIPOSA / VARIOS</t>
  </si>
  <si>
    <t>PIN RESORTE 6X24MM/ UNIVERSAL</t>
  </si>
  <si>
    <t>PIN  3X16MM/ UNIVERSAL</t>
  </si>
  <si>
    <t>REMACHE / UNIVERSAL</t>
  </si>
  <si>
    <t>941001-8</t>
  </si>
  <si>
    <t>941051-3</t>
  </si>
  <si>
    <t>941101-4</t>
  </si>
  <si>
    <t>941102-2</t>
  </si>
  <si>
    <t>941151-9</t>
  </si>
  <si>
    <t>941152-7</t>
  </si>
  <si>
    <t>941201-0</t>
  </si>
  <si>
    <t>941202-8</t>
  </si>
  <si>
    <t>941251-5</t>
  </si>
  <si>
    <t>941302-4</t>
  </si>
  <si>
    <t>942101-7</t>
  </si>
  <si>
    <t>942151-2</t>
  </si>
  <si>
    <t>942201-3</t>
  </si>
  <si>
    <t>ARANDELA DE PRESION 8 / UNIVERSAL</t>
  </si>
  <si>
    <t>942251-8</t>
  </si>
  <si>
    <t>ARANDELA DE PRESION 10 / UNIVERSAL</t>
  </si>
  <si>
    <t>942301-9</t>
  </si>
  <si>
    <t>ARANDELA DE PRESION 12 / HM1812 - HM1802</t>
  </si>
  <si>
    <t>HERRAMIENTA ESPECIAL ADAPTADOR 3/8 A 1/4</t>
  </si>
  <si>
    <t>HERRAMIENTA ESPECIAL DADO DE 3 PINES</t>
  </si>
  <si>
    <t>HERRAMIENTA ESPECIAL PIN DE GOLPE PARA VOLANTE</t>
  </si>
  <si>
    <t>HERRAMIENTA ESPECIAL LAMINA ESPACIADOR BOBINA</t>
  </si>
  <si>
    <t>HERRAMIENTA ESPECIAL EXTRACTOR DE SELLOS ACEITE</t>
  </si>
  <si>
    <t>HERRAMIENTA ESPECIAL TOPE DE PISTON EJE ACERO</t>
  </si>
  <si>
    <t>HERRAMIENTA ESPECIAL TOPE DE PISTON NYLON</t>
  </si>
  <si>
    <t>HERRAMIENTA ESPECIAL CHAPA ACERO CON 1 CONECTOR</t>
  </si>
  <si>
    <t>HERRAMIENTA ESPECIAL CHAPA ACERO CON BOCINA</t>
  </si>
  <si>
    <t>HERRAMIENTA ESPECIAL CHAPA ACERO</t>
  </si>
  <si>
    <t>HERRAMIENTA ESPECIAL BOCINA BRONCE</t>
  </si>
  <si>
    <t>GANCHO PARA DESMONTAR / VARIOS</t>
  </si>
  <si>
    <t>951051-5</t>
  </si>
  <si>
    <t>PASADOR ELASTICO 3-8 / GB801</t>
  </si>
  <si>
    <t>951057-3</t>
  </si>
  <si>
    <t>PASADOR / HR2641 - DJR360</t>
  </si>
  <si>
    <t>951060-4</t>
  </si>
  <si>
    <t>PASADOR ELASTICO 3-14 / 3707</t>
  </si>
  <si>
    <t>951063-8</t>
  </si>
  <si>
    <t>PASADOR 3-16 / LC1230</t>
  </si>
  <si>
    <t>951066-2</t>
  </si>
  <si>
    <t>PASADOR 3-18 / 2414NB</t>
  </si>
  <si>
    <t>951110-5</t>
  </si>
  <si>
    <t>PASADOR 4-16 / LW1401 - M2401</t>
  </si>
  <si>
    <t>951116-3</t>
  </si>
  <si>
    <t>PASADOR 4-20 / VARIOS</t>
  </si>
  <si>
    <t>951122-8</t>
  </si>
  <si>
    <t>PASADOR 4-28 / VARIOS</t>
  </si>
  <si>
    <t>951163-4</t>
  </si>
  <si>
    <t>PASADOR 5-20 /  / 2414NB</t>
  </si>
  <si>
    <t>951166-8</t>
  </si>
  <si>
    <t>PASADOR ELASTICO 5-24 / VARIOS</t>
  </si>
  <si>
    <t>951175-7</t>
  </si>
  <si>
    <t>PASADOR 5-36 / LW1401 - M2401</t>
  </si>
  <si>
    <t>951272-9</t>
  </si>
  <si>
    <t>PASADOR 8-40 / VARIOS</t>
  </si>
  <si>
    <t>953106-2</t>
  </si>
  <si>
    <t>REMACHE 0-5 / VARIOS</t>
  </si>
  <si>
    <t>HERRAMIENTAS CPL / DCS7301</t>
  </si>
  <si>
    <t>HERRAMIENTAS CPL / EK7651</t>
  </si>
  <si>
    <t>VALVULA DE VENTILACION/ DBC4510</t>
  </si>
  <si>
    <t>PISTON 42 CPL /EA4301</t>
  </si>
  <si>
    <t>PISTON 40 CPL / DBC4510</t>
  </si>
  <si>
    <t>PISTON 43MM CPL / DBC4510</t>
  </si>
  <si>
    <t>VOLANTE MAGNETICO / DCS7301</t>
  </si>
  <si>
    <t>BOBINA DE ENCENDIDO CPL / DCS9010</t>
  </si>
  <si>
    <t>JUEGO MEMBRANAS CPL / DCS9010</t>
  </si>
  <si>
    <t>JGO AGUJAS DE CARBURADOR/ DCS5200</t>
  </si>
  <si>
    <t>JGO AGUJAS DE CARBURADOR/ DCS9010</t>
  </si>
  <si>
    <t>KIT DE MEMBRANA BOMBA / DBC4510</t>
  </si>
  <si>
    <t>KIT DE MEMBRANA/ DBC4510</t>
  </si>
  <si>
    <t>CARBURADOR/DBC 4510</t>
  </si>
  <si>
    <t>JGO REPARACION DE CARBURADOR/ DCS7301</t>
  </si>
  <si>
    <t>CAJA DE CARBURADOR/ DPC7301</t>
  </si>
  <si>
    <t>TENSOR DE CADENA CPL / DCS7301</t>
  </si>
  <si>
    <t>TORNILLO TENSOR DE CADENA CPL / DCS7301</t>
  </si>
  <si>
    <t>CAMPANA CPL / DCS7301</t>
  </si>
  <si>
    <t>MANGO TUBULAR /EA4301</t>
  </si>
  <si>
    <t>LIMITADOR DE PROFUNDIDAD P.ESPADA / VARIOS</t>
  </si>
  <si>
    <t>TAPA BUJIA CPL / VARIOS</t>
  </si>
  <si>
    <t>RODAMIENTO 6201ZZ / UNIVERSAL</t>
  </si>
  <si>
    <t>RODAMIENTO 6202 / UNIVERSAL</t>
  </si>
  <si>
    <t>RODAMIENTO 6203 / UNIVERSAL</t>
  </si>
  <si>
    <t>961002-0</t>
  </si>
  <si>
    <t>ANILLO DE RETENCION S-6 / VARIOS</t>
  </si>
  <si>
    <t>961003-8</t>
  </si>
  <si>
    <t>ANILLO DE RETENCION S-7 / VARIOS</t>
  </si>
  <si>
    <t>961004-6</t>
  </si>
  <si>
    <t>ANILLO DE RETENCION S-8 / VARIOS</t>
  </si>
  <si>
    <t>961005-4</t>
  </si>
  <si>
    <t>ANILLO DE RETENCION 9 / VARIOS</t>
  </si>
  <si>
    <t>961006-2</t>
  </si>
  <si>
    <t>ANILLO DE RETENCION S-10 / VARIOS</t>
  </si>
  <si>
    <t>961008-8</t>
  </si>
  <si>
    <t>ANILLO DE RETENCION S-5 / VARIOS</t>
  </si>
  <si>
    <t>961011-9</t>
  </si>
  <si>
    <t>ANILLO DE RETENCION E-4 / VARIOS</t>
  </si>
  <si>
    <t>961012-7</t>
  </si>
  <si>
    <t>ANILLO DE RETENCION 6 / VARIOS</t>
  </si>
  <si>
    <t>961013-5</t>
  </si>
  <si>
    <t>ANILLO DE SEGURIDAD E-7 / VARIOS</t>
  </si>
  <si>
    <t>961014-3</t>
  </si>
  <si>
    <t>961016-9</t>
  </si>
  <si>
    <t>ANILLO DE TOPE E-10 / VARIOS</t>
  </si>
  <si>
    <t>961017-7</t>
  </si>
  <si>
    <t>ANILLO DE RETENCION E-3 / VARIOS</t>
  </si>
  <si>
    <t>961018-5</t>
  </si>
  <si>
    <t>961034-7</t>
  </si>
  <si>
    <t>ANILLO DE RETENCION 8 / HR2810</t>
  </si>
  <si>
    <t>961036-3</t>
  </si>
  <si>
    <t>ANILLO DE RETENCION 10 / HR3210C</t>
  </si>
  <si>
    <t>961052-5</t>
  </si>
  <si>
    <t>961054-1</t>
  </si>
  <si>
    <t>961055-9</t>
  </si>
  <si>
    <t>961056-7</t>
  </si>
  <si>
    <t>SEGURO S16        P/5016</t>
  </si>
  <si>
    <t>961057-5</t>
  </si>
  <si>
    <t>ANILLO SEGURO 17 / VARIOS</t>
  </si>
  <si>
    <t>961058-3</t>
  </si>
  <si>
    <t>ANILLO DE RETENCION S-18 / DDA460</t>
  </si>
  <si>
    <t>961059-1</t>
  </si>
  <si>
    <t>ANILLO DE RETENCION S-19 / DBN500</t>
  </si>
  <si>
    <t>961060-6</t>
  </si>
  <si>
    <t>ANILLO DE RETENCION S-20 / VARIOS</t>
  </si>
  <si>
    <t>961062-2</t>
  </si>
  <si>
    <t>ANILLO DE TOPE (EXT) E-12 P/VC3211H</t>
  </si>
  <si>
    <t>961072-9</t>
  </si>
  <si>
    <t>ANILLO DE RETENCION S-12 / TD022D</t>
  </si>
  <si>
    <t>961082-6</t>
  </si>
  <si>
    <t>ANILLO DE RETENCION WR-12 / DHR263</t>
  </si>
  <si>
    <t>961090-7</t>
  </si>
  <si>
    <t>ANILLO DE RETENCION WR-20 / EM4351UH</t>
  </si>
  <si>
    <t>961102-6</t>
  </si>
  <si>
    <t>961104-2</t>
  </si>
  <si>
    <t>ANILLO SEGURO S-24 /VARIOS</t>
  </si>
  <si>
    <t>961108-4</t>
  </si>
  <si>
    <t>961140-8</t>
  </si>
  <si>
    <t>ANILLO DE RETENCION WR-30 / HR2810</t>
  </si>
  <si>
    <t>961151-3</t>
  </si>
  <si>
    <t>ANILLO DE RETENCION S-32 / EM3400U</t>
  </si>
  <si>
    <t>961155-5</t>
  </si>
  <si>
    <t>961201-4</t>
  </si>
  <si>
    <t>ANILLO DE RETENCION 42 / VARIOS</t>
  </si>
  <si>
    <t>961202-2</t>
  </si>
  <si>
    <t>ANILLO DE RETENCION 45 / N5900B - HS0600</t>
  </si>
  <si>
    <t>961232-3</t>
  </si>
  <si>
    <t>ANILLO DE RETENCION 45 / VARIOS</t>
  </si>
  <si>
    <t>962062-5</t>
  </si>
  <si>
    <t>SEGURO R-12 / 3612</t>
  </si>
  <si>
    <t>962063-3</t>
  </si>
  <si>
    <t>RETAINING RING R-13</t>
  </si>
  <si>
    <t>962065-9</t>
  </si>
  <si>
    <t>ANILLO DE RETENCION R-15 / RP0900 - M3601</t>
  </si>
  <si>
    <t>962068-3</t>
  </si>
  <si>
    <t>ANILLO DE RETENCION REDONDO R-18 / 4350FCT</t>
  </si>
  <si>
    <t>962105-3</t>
  </si>
  <si>
    <t>ANILLO DE RETENCION R-26 / VARIOS</t>
  </si>
  <si>
    <t>962106-1</t>
  </si>
  <si>
    <t>ANILLO DE RETENCION R-28 / VARIOS</t>
  </si>
  <si>
    <t>962107-9</t>
  </si>
  <si>
    <t>ANILLO DE RETENCION R-30 / VARIOS</t>
  </si>
  <si>
    <t>962112-6</t>
  </si>
  <si>
    <t>ANILLO RETENEDOR 22 / VARIOS</t>
  </si>
  <si>
    <t>962116-8</t>
  </si>
  <si>
    <t>ANILLO DE RETENCION 28 / VR1000 - TL065D</t>
  </si>
  <si>
    <t>962151-6</t>
  </si>
  <si>
    <t>RETEN R-32 / VARIOS</t>
  </si>
  <si>
    <t>962153-2</t>
  </si>
  <si>
    <t>962157-4</t>
  </si>
  <si>
    <t>ANILLO DE RETENCION 40 / VARIOS</t>
  </si>
  <si>
    <t>962163-9</t>
  </si>
  <si>
    <t>ANILLO DE RETENCION / EK7651H</t>
  </si>
  <si>
    <t>962201-7</t>
  </si>
  <si>
    <t>ANILLO SEGURO (INT) R-42 / VARIOS</t>
  </si>
  <si>
    <t>RODAMIENTO DE AGUJA 12X16X13 / UNIVERSAL</t>
  </si>
  <si>
    <t>RODAMIENTO DE AGUJA 10X16X12 / UNIVERSAL</t>
  </si>
  <si>
    <t>RODAMIENTO DE AGUJA 12X17X13 / UNIVERSAL</t>
  </si>
  <si>
    <t>RODAMIENTO DE AGUJA  / UNIVERSAL</t>
  </si>
  <si>
    <t>962211-4</t>
  </si>
  <si>
    <t>RODAMIENTO DE AGUJA 10X13X14 / UNIVERSAL</t>
  </si>
  <si>
    <t>962251-2</t>
  </si>
  <si>
    <t>ANILLO DE RETENCION R-52 / HM1201</t>
  </si>
  <si>
    <t>RODAMIENTO DE AGUJA 10X14X12 / UNIVERSAL</t>
  </si>
  <si>
    <t>RODAMIENTO DE AGUJAS 15X21X16 / VARIOS</t>
  </si>
  <si>
    <t>962351-8</t>
  </si>
  <si>
    <t>962352-6</t>
  </si>
  <si>
    <t>ANILLO DE RETENCION R-75 / 6906</t>
  </si>
  <si>
    <t>962354-2</t>
  </si>
  <si>
    <t>ANILLO DE RETENCION S-20 / HM1810</t>
  </si>
  <si>
    <t>SELLO DE ACEITE 17 / DCS9010</t>
  </si>
  <si>
    <t>SELLO DE ACEITE 12 / DBC4510</t>
  </si>
  <si>
    <t>SELLO DE ACEITE 12 DBC4510</t>
  </si>
  <si>
    <t>SELLO DE ACEITE 17 / DCS7301</t>
  </si>
  <si>
    <t>ANILLO FLEXIBLE 4X1.5 / DCS9010</t>
  </si>
  <si>
    <t>ANILLO FLEXIBLE 11.5X2  / EA4301</t>
  </si>
  <si>
    <t>ANILLO FLEXIBLE 22X2.5 / DCS9010</t>
  </si>
  <si>
    <t>FILTRO DE ACEITE / DCS9010</t>
  </si>
  <si>
    <t>NIPLE ANGULAR / DCS9010</t>
  </si>
  <si>
    <t>FAJA DENTADA/ EK8100</t>
  </si>
  <si>
    <t>ANILLO FLEXIBLE  / DCS7301</t>
  </si>
  <si>
    <t>ANILLO FLEXIBLE / EA6100P</t>
  </si>
  <si>
    <t>ANILLO FLEXIBLE  / DCS9010</t>
  </si>
  <si>
    <t>TIRADOR DE ARRANQUE  / DCS9010</t>
  </si>
  <si>
    <t>TOPE DE GOMA / DCS7301</t>
  </si>
  <si>
    <t>TOPE DE GOMA / DCS9010</t>
  </si>
  <si>
    <t>AMORTIGUADOR GOMA  / DBC4510</t>
  </si>
  <si>
    <t>AMORTIGUADOR DE GOMA / DCS9010</t>
  </si>
  <si>
    <t>AMORTIGUADOR DE GOMA / EK8100</t>
  </si>
  <si>
    <t>TAPON DE GOMA / EA4301F</t>
  </si>
  <si>
    <t>TAPA DE ENCHUFE / DBC4010</t>
  </si>
  <si>
    <t>EMPAQUE GOMA / DCS5200L</t>
  </si>
  <si>
    <t>EMPAQUE ESPUMA / DCS9010</t>
  </si>
  <si>
    <t>LINEA DE GASOLINA / DCS9010</t>
  </si>
  <si>
    <t>PROTECTOR FLEXIBLE / DCS9010</t>
  </si>
  <si>
    <t>TAPA PLASTICA / DCS9010</t>
  </si>
  <si>
    <t>GUIA DESPERDICIO / DCS9010</t>
  </si>
  <si>
    <t>PROTECTOR DE ESPONJA / DCS9010</t>
  </si>
  <si>
    <t>LINEA DE GASOLINA / DCS7301</t>
  </si>
  <si>
    <t>BOTON DE SEGURIDAD / DCS9010</t>
  </si>
  <si>
    <t>TAPA DE GASOLINA / DCS9010</t>
  </si>
  <si>
    <t>LINEA DE GASOLINA / EA4301F</t>
  </si>
  <si>
    <t>JUNTA / EK7651</t>
  </si>
  <si>
    <t>EMPAQUE  / EA4301F</t>
  </si>
  <si>
    <t>EMPAQUE  DE ESCAPE/ DCS9010</t>
  </si>
  <si>
    <t>EMPAQUE / DBC4510</t>
  </si>
  <si>
    <t>EMPAQUETADURA DE ADMISION / VARIOS</t>
  </si>
  <si>
    <t>EMPAQUE DE ESCAPE / DBC4510</t>
  </si>
  <si>
    <t>EMPAQUE DE FILTRO AIRE / DBC4510</t>
  </si>
  <si>
    <t>EMPAQUE DE CILINDRO / DCS7301</t>
  </si>
  <si>
    <t>RESORTE</t>
  </si>
  <si>
    <t>COPA METALICA / DCS9010</t>
  </si>
  <si>
    <t>ABRAZADERA DE GARGANTA / DCS9010</t>
  </si>
  <si>
    <t>RESORTE DE CONTACTO / DCS9010</t>
  </si>
  <si>
    <t>TERMINAL / DBC4510</t>
  </si>
  <si>
    <t>ABRAZADERA / DBC4510</t>
  </si>
  <si>
    <t>CABLE DE ALTO VOLTAJE / DBC4510</t>
  </si>
  <si>
    <t>CABLE NEGRO / UC4001</t>
  </si>
  <si>
    <t>CABLE AMARILLO / UC4001</t>
  </si>
  <si>
    <t>FUNDA AISLANTE / DCS9010</t>
  </si>
  <si>
    <t>ESTATOR 220V CPL / UC4000</t>
  </si>
  <si>
    <t>ARANDELA SEPARADOR / UC4001</t>
  </si>
  <si>
    <t>INTERRUPTOR DE APAGADO / PS5105</t>
  </si>
  <si>
    <t>INTERRUPTOR APAGADO/ DCS7301</t>
  </si>
  <si>
    <t>CAPERUZA / VARIOS</t>
  </si>
  <si>
    <t>ETIQUETA / EA4301F</t>
  </si>
  <si>
    <t>CORDON ARRANQUE 3.5MM X 100M / EA4301</t>
  </si>
  <si>
    <t>CORDON ARRANQUE 4MM/ X 100M / DCS9010</t>
  </si>
  <si>
    <t>ARRANCADOR CPL</t>
  </si>
  <si>
    <t>990026-000</t>
  </si>
  <si>
    <t>MOTOR DC 220V / SJ401</t>
  </si>
  <si>
    <t>PERNO SOCKET 8X25MM / EK8100</t>
  </si>
  <si>
    <t>A-83951</t>
  </si>
  <si>
    <t>PUNZON / VARIOS</t>
  </si>
  <si>
    <t>A-90233</t>
  </si>
  <si>
    <t>FOCO DE LAMPARA 14.4V / VARIOS</t>
  </si>
  <si>
    <t>A-90261</t>
  </si>
  <si>
    <t>FOCO 18V / DML185</t>
  </si>
  <si>
    <t>AL00000003</t>
  </si>
  <si>
    <t>TUERCA HEX. M12 LH / GB601</t>
  </si>
  <si>
    <t>AL00000004</t>
  </si>
  <si>
    <t>BRIDA EXTERNA / GB601</t>
  </si>
  <si>
    <t>AL00000005</t>
  </si>
  <si>
    <t>BRIDA INTERNA 60 / GB601</t>
  </si>
  <si>
    <t>AL00000009</t>
  </si>
  <si>
    <t>TUERCA HEX. M10 / GB801 - GB601</t>
  </si>
  <si>
    <t>AL00000010</t>
  </si>
  <si>
    <t>BASE DE AJUSTE / GB801 - GB601</t>
  </si>
  <si>
    <t>AL00000011</t>
  </si>
  <si>
    <t>CUBIERTA DE LAMPARA / GB801 - GB601</t>
  </si>
  <si>
    <t>AL00000012</t>
  </si>
  <si>
    <t>LAMPARA S-25 / GB601</t>
  </si>
  <si>
    <t>AL00000013</t>
  </si>
  <si>
    <t>FOCO S-25 12V 10W / GB801 - GB601</t>
  </si>
  <si>
    <t>AL00000014</t>
  </si>
  <si>
    <t>TORNILLO DE BASE M4X12 / GB801 - GB601</t>
  </si>
  <si>
    <t>AL00000015</t>
  </si>
  <si>
    <t>BRAZO PROTECTOR IZQUIERDO / GB801 - GB601</t>
  </si>
  <si>
    <t>AL00000016</t>
  </si>
  <si>
    <t>PROTECTOR DE OCULAR IZQUIERDO / GB801 - GB601</t>
  </si>
  <si>
    <t>AL00000022</t>
  </si>
  <si>
    <t>GUIA DE CABLE / GB801 - GB601</t>
  </si>
  <si>
    <t>AL00000026</t>
  </si>
  <si>
    <t>GUIA CON ALIVIO DE TENSION / GB801 - GB601</t>
  </si>
  <si>
    <t>AL00000029</t>
  </si>
  <si>
    <t>SOPORTE DE CONDENSADOR / GB801 - GB601</t>
  </si>
  <si>
    <t>AL00000031</t>
  </si>
  <si>
    <t>AL00000032</t>
  </si>
  <si>
    <t>AL00000033</t>
  </si>
  <si>
    <t>AL00000037</t>
  </si>
  <si>
    <t>PROTECTOR OCULAR CON LUPA / GB801 - GB601</t>
  </si>
  <si>
    <t>AL00000038</t>
  </si>
  <si>
    <t>AL00000057</t>
  </si>
  <si>
    <t>CUBIERTA DE GUARDA IZQUIERDA / GB801</t>
  </si>
  <si>
    <t>AL00000058</t>
  </si>
  <si>
    <t>TUERCA HEX. M16L / UNIVERSAL</t>
  </si>
  <si>
    <t>AL00000059</t>
  </si>
  <si>
    <t>TORNILLO M5X6 / UNIVERSAL</t>
  </si>
  <si>
    <t>AL00000060</t>
  </si>
  <si>
    <t>PLACA DE EQUILIBRIO / GB801</t>
  </si>
  <si>
    <t>AL00000061</t>
  </si>
  <si>
    <t>CONTRA PESO / GB801</t>
  </si>
  <si>
    <t>AL00000062</t>
  </si>
  <si>
    <t>BRIDA EXTERNA 84 / GB801</t>
  </si>
  <si>
    <t>AL00000063</t>
  </si>
  <si>
    <t>BRIDA INTERNA / VARIOS</t>
  </si>
  <si>
    <t>AL00000064</t>
  </si>
  <si>
    <t>PROTECTOR INTERNO IZQ. DE DISCO / GB801</t>
  </si>
  <si>
    <t>AL00000067</t>
  </si>
  <si>
    <t>GUIA DE APOYO IZQUIERDO</t>
  </si>
  <si>
    <t>AL00000068</t>
  </si>
  <si>
    <t>TORNILLO M5X142 / UNIVERSAL</t>
  </si>
  <si>
    <t>AL00000069</t>
  </si>
  <si>
    <t>TAPA FINAL DERECHA / GB801</t>
  </si>
  <si>
    <t>AL00000070</t>
  </si>
  <si>
    <t>ROTOR 220V / GB801</t>
  </si>
  <si>
    <t>AL00000072</t>
  </si>
  <si>
    <t>CAJA MOTOR / GB801</t>
  </si>
  <si>
    <t>AL00000073</t>
  </si>
  <si>
    <t>ARANDELA ONDULADA 39 / GB801</t>
  </si>
  <si>
    <t>AL00000074</t>
  </si>
  <si>
    <t>CUBIERTA DE MOTOR IZQUIERDO / GB801</t>
  </si>
  <si>
    <t>AL00000075</t>
  </si>
  <si>
    <t>AL00000076</t>
  </si>
  <si>
    <t>BASE / GB801</t>
  </si>
  <si>
    <t>AL00000077</t>
  </si>
  <si>
    <t>CUBIERTA DE GUARDA DERECHA / GB801</t>
  </si>
  <si>
    <t>AL00000078</t>
  </si>
  <si>
    <t>TUERCA HEX. M16 / UNIVERSAL</t>
  </si>
  <si>
    <t>AL00000080</t>
  </si>
  <si>
    <t>BANDEJA REFRIGERANTE / GB801</t>
  </si>
  <si>
    <t>AL00000081</t>
  </si>
  <si>
    <t>CUBIERTA DE BANDEJA / GB801</t>
  </si>
  <si>
    <t>AL00000083</t>
  </si>
  <si>
    <t>PIE DE GOMA / GB801</t>
  </si>
  <si>
    <t>AL00000084</t>
  </si>
  <si>
    <t>GUARDA DERECHA / GB801</t>
  </si>
  <si>
    <t>AL00000085</t>
  </si>
  <si>
    <t>GUIA DE APOYO DERECHO / GB801</t>
  </si>
  <si>
    <t>AL00000095</t>
  </si>
  <si>
    <t>CONDENSADOR 4 MICRO F/450V / GB601</t>
  </si>
  <si>
    <t>AL00000099</t>
  </si>
  <si>
    <t>CONDENSADOR 10 MICRO F/450V / GB801</t>
  </si>
  <si>
    <t>AL00000105</t>
  </si>
  <si>
    <t>TORNILLO M4X30/ UNIVERSAL</t>
  </si>
  <si>
    <t>AL00000118</t>
  </si>
  <si>
    <t>PERNO HEXAGONAL M8X10/ UNIVERSAL</t>
  </si>
  <si>
    <t>AL00000119</t>
  </si>
  <si>
    <t>PERNO HEXAGONAL M6X30/ UNIVERSAL</t>
  </si>
  <si>
    <t>AL00000127</t>
  </si>
  <si>
    <t>ARANDEL PLANA 6/ UNIVERSAL</t>
  </si>
  <si>
    <t>AL00000128</t>
  </si>
  <si>
    <t>ARANDEL PLANA 8/ UNIVERSAL</t>
  </si>
  <si>
    <t>AL00000133</t>
  </si>
  <si>
    <t>ARANDELA DE PRESION 6 / VARIOS</t>
  </si>
  <si>
    <t>AL00000134</t>
  </si>
  <si>
    <t>ARANDELA DENTADA 4 / GB801 - GB601</t>
  </si>
  <si>
    <t>AL00000138</t>
  </si>
  <si>
    <t>LAMPARA S-25 / GB801</t>
  </si>
  <si>
    <t>AL00000168</t>
  </si>
  <si>
    <t>AL00000176</t>
  </si>
  <si>
    <t>CABLE DE ALIMENTACION IMQ3P / GB801</t>
  </si>
  <si>
    <t>AL00000185</t>
  </si>
  <si>
    <t>ESTATOR / GB602</t>
  </si>
  <si>
    <t>AL00000190</t>
  </si>
  <si>
    <t>ESTATOR 220V / GB801</t>
  </si>
  <si>
    <t>AL00000194</t>
  </si>
  <si>
    <t>BASE CUBIERTA DE LAMPARA / GB801</t>
  </si>
  <si>
    <t>AL00000236</t>
  </si>
  <si>
    <t>ESTATOR DE 220V 50HZ / GB801</t>
  </si>
  <si>
    <t>AL00000241</t>
  </si>
  <si>
    <t>AN02010C00</t>
  </si>
  <si>
    <t>RESORTE 9 / EM3400U</t>
  </si>
  <si>
    <t>AS000AI158</t>
  </si>
  <si>
    <t>EMPAQUE DE MANGUERA / DVP180</t>
  </si>
  <si>
    <t>AS000VP009</t>
  </si>
  <si>
    <t>TAPON DE DRENADO / DVP180</t>
  </si>
  <si>
    <t>AS000VP010</t>
  </si>
  <si>
    <t>ANILLO DE GOMA 10X2.5 / DVP180</t>
  </si>
  <si>
    <t>AS000VP011</t>
  </si>
  <si>
    <t>AS000VP012</t>
  </si>
  <si>
    <t>DEPOSITO DE ACEITE / DVP180</t>
  </si>
  <si>
    <t>AS000VP013</t>
  </si>
  <si>
    <t>ANILLO DE GOMA 26X2.2 / DVP180</t>
  </si>
  <si>
    <t>AS000VP014</t>
  </si>
  <si>
    <t>ANILLO DE GOMA 95X3.1 / DVP180</t>
  </si>
  <si>
    <t>AS000VP016</t>
  </si>
  <si>
    <t>VALVULA DE ADMISION / DVP180</t>
  </si>
  <si>
    <t>AS000VP017</t>
  </si>
  <si>
    <t>TAPA DE PUERTO DE ENTRADA / DVP180</t>
  </si>
  <si>
    <t>AS000VP018</t>
  </si>
  <si>
    <t>EMPUÑADURA / DVP180</t>
  </si>
  <si>
    <t>AS000VP019</t>
  </si>
  <si>
    <t>AS000VP020</t>
  </si>
  <si>
    <t>TAPA LATERAL / DVP180</t>
  </si>
  <si>
    <t>AS000VP022</t>
  </si>
  <si>
    <t>BASE / DVP180</t>
  </si>
  <si>
    <t>AS000VP023</t>
  </si>
  <si>
    <t>BASE DE GOMA / DVP180</t>
  </si>
  <si>
    <t>AS000VP024</t>
  </si>
  <si>
    <t>ARANDELA 4.5X12X1.0 / DVP180</t>
  </si>
  <si>
    <t>AS000VP025</t>
  </si>
  <si>
    <t>PERNO LISO / DVP180</t>
  </si>
  <si>
    <t>AS000VP026</t>
  </si>
  <si>
    <t>AS000VP027</t>
  </si>
  <si>
    <t>ARANDELA DE PRESION M5 / DVP180</t>
  </si>
  <si>
    <t>AS000VP028</t>
  </si>
  <si>
    <t>TORNILLO M5X100 / UNIVERSAL</t>
  </si>
  <si>
    <t>AS000VP029</t>
  </si>
  <si>
    <t>MUELLE DE COMPRESION / DVP180</t>
  </si>
  <si>
    <t>AS000VP030</t>
  </si>
  <si>
    <t>PORTA BATERIA / DVP180</t>
  </si>
  <si>
    <t>AS000VP031</t>
  </si>
  <si>
    <t>ROTOR 18V / DVP180</t>
  </si>
  <si>
    <t>AS000VP032</t>
  </si>
  <si>
    <t>CUBIERTA TRASERA DE MOTOR / DVP180</t>
  </si>
  <si>
    <t>AS000VP033</t>
  </si>
  <si>
    <t>AS000VP034</t>
  </si>
  <si>
    <t>PLACA DE CONTROL / DVP180</t>
  </si>
  <si>
    <t>AS000VP035</t>
  </si>
  <si>
    <t>AS000VP036</t>
  </si>
  <si>
    <t>INTERRUPTOR / DVP180</t>
  </si>
  <si>
    <t>AS000VP037</t>
  </si>
  <si>
    <t>CABLE CONDUCTOR / DVP180</t>
  </si>
  <si>
    <t>AS000VP042</t>
  </si>
  <si>
    <t>BANDA / DVP180</t>
  </si>
  <si>
    <t>AS00SS0305</t>
  </si>
  <si>
    <t>ETIQUETA PRECAUCION DE CALOR / DVP180</t>
  </si>
  <si>
    <t>AS00SS0306</t>
  </si>
  <si>
    <t>ETIQUETA DE PRECAUCION DE ACEITE / DVP180</t>
  </si>
  <si>
    <t>AS00VP015M</t>
  </si>
  <si>
    <t>BOMBA / DVP180</t>
  </si>
  <si>
    <t>AS00VP021M</t>
  </si>
  <si>
    <t>CARCASA DE MOTOR  / DVP180</t>
  </si>
  <si>
    <t>AS00VP039K</t>
  </si>
  <si>
    <t>AS00XP808M</t>
  </si>
  <si>
    <t>CALIBRADOR DE ASPIRACION / DVP180</t>
  </si>
  <si>
    <t>AS0AI154MK</t>
  </si>
  <si>
    <t>AS0VP007MK</t>
  </si>
  <si>
    <t>CAJA DE ALUMINIO / DVP180</t>
  </si>
  <si>
    <t>AS0VP008MK</t>
  </si>
  <si>
    <t>TANQUE DE ACEITE / DVP180</t>
  </si>
  <si>
    <t>AS0Y06110K</t>
  </si>
  <si>
    <t>ADAPTADOR / DVP180</t>
  </si>
  <si>
    <t>BD029</t>
  </si>
  <si>
    <t>TUBO DE ACEITE / HB500</t>
  </si>
  <si>
    <t>BD046</t>
  </si>
  <si>
    <t>SOPORTE / HB500</t>
  </si>
  <si>
    <t>BD062</t>
  </si>
  <si>
    <t>MANDRIL WELDON / HB500</t>
  </si>
  <si>
    <t>BD068</t>
  </si>
  <si>
    <t>PERILLA M5X10 / HB500</t>
  </si>
  <si>
    <t>C03220120</t>
  </si>
  <si>
    <t>C07850050</t>
  </si>
  <si>
    <t>ENCHUFE</t>
  </si>
  <si>
    <t>DA00000062</t>
  </si>
  <si>
    <t>ARRANCADOR / EM2500U</t>
  </si>
  <si>
    <t>DA00000063</t>
  </si>
  <si>
    <t>POLEA / EM2500U</t>
  </si>
  <si>
    <t>DA00000064</t>
  </si>
  <si>
    <t>DA00000065</t>
  </si>
  <si>
    <t>CAJA DE CIGUEÑAL / EM2500U</t>
  </si>
  <si>
    <t>DA00000066</t>
  </si>
  <si>
    <t>RODAJE 6001C3 / EM2500U</t>
  </si>
  <si>
    <t>DA00000068</t>
  </si>
  <si>
    <t>TUBO DE ESCAPE / EM2500U</t>
  </si>
  <si>
    <t>DA00000069</t>
  </si>
  <si>
    <t>EMPAQUETADURA DE SILENCIADOR / EM2500U</t>
  </si>
  <si>
    <t>DA00000071</t>
  </si>
  <si>
    <t>SEGURO DE PISTON / VARIOS</t>
  </si>
  <si>
    <t>DA00000072</t>
  </si>
  <si>
    <t>PASADOR DE PISTON / EM2500U</t>
  </si>
  <si>
    <t>DA00000073</t>
  </si>
  <si>
    <t>RODAJE DE AGUJA 8 / VARIOS</t>
  </si>
  <si>
    <t>DA00000074</t>
  </si>
  <si>
    <t>PISTON / EM2500U</t>
  </si>
  <si>
    <t>DA00000075</t>
  </si>
  <si>
    <t>ANILLO DE PISTON / EM2500U</t>
  </si>
  <si>
    <t>DA00000076</t>
  </si>
  <si>
    <t>CIGUEÑAL CPL / EM2500U</t>
  </si>
  <si>
    <t>DA00000078</t>
  </si>
  <si>
    <t>EMPAQUETADURA DE CILINDRO / EM2500U</t>
  </si>
  <si>
    <t>DA00000079</t>
  </si>
  <si>
    <t>CILINDRO / EM2500U</t>
  </si>
  <si>
    <t>DA00000080</t>
  </si>
  <si>
    <t>PERNO M5X20 / VARIOS</t>
  </si>
  <si>
    <t>DA00000081</t>
  </si>
  <si>
    <t>CUBIERTA DE CILINDRO / EM2500U</t>
  </si>
  <si>
    <t>DA00000083</t>
  </si>
  <si>
    <t>BOBINA DE ENCENDIDO / EM2500U</t>
  </si>
  <si>
    <t>DA00000086</t>
  </si>
  <si>
    <t>JUNTA DE LA CAJA DE CIGUEÑAL / EM2500U</t>
  </si>
  <si>
    <t>DA00000087</t>
  </si>
  <si>
    <t>DA00000090</t>
  </si>
  <si>
    <t>EMBRAGUE / EM2500U</t>
  </si>
  <si>
    <t>DA00000091</t>
  </si>
  <si>
    <t>TAMBOR DE EMBRAGUE / EM2500U</t>
  </si>
  <si>
    <t>DA00000095</t>
  </si>
  <si>
    <t>CAJA DE EMBRAGUE / EM2500U</t>
  </si>
  <si>
    <t>DA00000096</t>
  </si>
  <si>
    <t>DA00000099</t>
  </si>
  <si>
    <t>SOPORTE DE TUBO 1 / EM2500U</t>
  </si>
  <si>
    <t>DA00000100</t>
  </si>
  <si>
    <t>SOPORTE DE TUBO 2 / EM2500U</t>
  </si>
  <si>
    <t>DA00000105</t>
  </si>
  <si>
    <t>FILTRO DE AIRE / EM2500U</t>
  </si>
  <si>
    <t>DA00000111</t>
  </si>
  <si>
    <t>PLACA AISLANTE DE CARBURADOR / EM2500U</t>
  </si>
  <si>
    <t>DA00000112</t>
  </si>
  <si>
    <t>AISLADOR CPL / EM2500U</t>
  </si>
  <si>
    <t>DA00000115</t>
  </si>
  <si>
    <t>CARBURADOR / EM2500U</t>
  </si>
  <si>
    <t>DA00000117</t>
  </si>
  <si>
    <t>TUBO L / VARIOS</t>
  </si>
  <si>
    <t>DA00000118</t>
  </si>
  <si>
    <t>DA00000121</t>
  </si>
  <si>
    <t>DA00000124</t>
  </si>
  <si>
    <t>DA00000128</t>
  </si>
  <si>
    <t>EJE / EM2500U</t>
  </si>
  <si>
    <t>DA00000129</t>
  </si>
  <si>
    <t>SUSPENSION DE COLGADOR / EM2600U - EM2500U</t>
  </si>
  <si>
    <t>DA00000130</t>
  </si>
  <si>
    <t>TUERCA M5 / VARIOS</t>
  </si>
  <si>
    <t>DA00000131</t>
  </si>
  <si>
    <t>SUSPENSION / EM2600U</t>
  </si>
  <si>
    <t>DA00000132</t>
  </si>
  <si>
    <t>TUBO DE EJE / EM2500U</t>
  </si>
  <si>
    <t>DA00000133</t>
  </si>
  <si>
    <t>SOPORTE DE MANGO 3 / EM2600U - EM2500U</t>
  </si>
  <si>
    <t>DA00000134</t>
  </si>
  <si>
    <t>PERNO HEX. M5X30 / VARIOS</t>
  </si>
  <si>
    <t>DA00000135</t>
  </si>
  <si>
    <t>SOPORTE DE MANGO 2 / EM2600U - EM2500U</t>
  </si>
  <si>
    <t>DA00000136</t>
  </si>
  <si>
    <t>SOPORTE DE MANGO 1 / EM2600U - EM2500U</t>
  </si>
  <si>
    <t>DA00000137</t>
  </si>
  <si>
    <t>PERNO M5X25 / VARIOS</t>
  </si>
  <si>
    <t>DA00000138</t>
  </si>
  <si>
    <t>MANGO L / EM2600U - EM2500U</t>
  </si>
  <si>
    <t>DA00000139</t>
  </si>
  <si>
    <t>AGARRE / EM2600U - EM2500U</t>
  </si>
  <si>
    <t>DA00000140</t>
  </si>
  <si>
    <t>MANGO R / EM2600U - EM2500U</t>
  </si>
  <si>
    <t>DA00000141</t>
  </si>
  <si>
    <t>PALANCA DE CONTROL / EM2500U</t>
  </si>
  <si>
    <t>DA00000150</t>
  </si>
  <si>
    <t>ANILLO DE RESORTE INTERIOR / EM2600U - EM2500U</t>
  </si>
  <si>
    <t>DA00000151</t>
  </si>
  <si>
    <t>ANILLO DE RESORTE EXTERIOR / EM2600U - EM2500U</t>
  </si>
  <si>
    <t>DA00000152</t>
  </si>
  <si>
    <t>RODAJE 609ZZ / UNIVERSAL</t>
  </si>
  <si>
    <t>DA00000153</t>
  </si>
  <si>
    <t>ENGRANAJE / EM2500U</t>
  </si>
  <si>
    <t>DA00000154</t>
  </si>
  <si>
    <t>PERNO DE ACEITE M6X8 / EM2600U - EM2500U</t>
  </si>
  <si>
    <t>DA00000155</t>
  </si>
  <si>
    <t>CAJA DE ENGRANAJE / EM2600U - EM2500U</t>
  </si>
  <si>
    <t>DA00000156</t>
  </si>
  <si>
    <t>GUARDA / EM2600U - EM2500U</t>
  </si>
  <si>
    <t>DA00000157</t>
  </si>
  <si>
    <t>PERNO M5X12 / EM2600U - EM2500U</t>
  </si>
  <si>
    <t>DA00000158</t>
  </si>
  <si>
    <t>DA00000159</t>
  </si>
  <si>
    <t>EJE DE CABEZAL / EM2500U</t>
  </si>
  <si>
    <t>DA00000160</t>
  </si>
  <si>
    <t>RODAJE 6000DDU / UNIVERSAL</t>
  </si>
  <si>
    <t>DA00000161</t>
  </si>
  <si>
    <t>DA00000162</t>
  </si>
  <si>
    <t>ARANDELA / EM2600U</t>
  </si>
  <si>
    <t>DA00000163</t>
  </si>
  <si>
    <t>DISPENSADOR DE NYLON / EM2600U - EM2500U</t>
  </si>
  <si>
    <t>DA00000164</t>
  </si>
  <si>
    <t>ASIENTO DE RESORTE / EM2600U - EM2500U</t>
  </si>
  <si>
    <t>DA00000165</t>
  </si>
  <si>
    <t>DA00000166</t>
  </si>
  <si>
    <t>RIEL / EM2600U - EM2500U</t>
  </si>
  <si>
    <t>DA00000167</t>
  </si>
  <si>
    <t>NYLON / EM2600U - EM2500U</t>
  </si>
  <si>
    <t>DA00000168</t>
  </si>
  <si>
    <t>CUBIERTA DE DISPENSADOR / EM2600U - EM2500U</t>
  </si>
  <si>
    <t>DA00000170</t>
  </si>
  <si>
    <t>ARANDELA / EM2600U - EM2500U</t>
  </si>
  <si>
    <t>DA00000171</t>
  </si>
  <si>
    <t>ARANDELA DE PRESION / EM2600U - EM2500U</t>
  </si>
  <si>
    <t>DA00000172</t>
  </si>
  <si>
    <t>TUERCA / EM2600U - EM2500U</t>
  </si>
  <si>
    <t>DA00000180</t>
  </si>
  <si>
    <t>CABEZAL PORTA NYLON</t>
  </si>
  <si>
    <t>DA00000198</t>
  </si>
  <si>
    <t>ARANDELA DE PRESION 5 / VARIOS</t>
  </si>
  <si>
    <t>DA00000324</t>
  </si>
  <si>
    <t>CAJA DE ENGRANAJE / EM2500U</t>
  </si>
  <si>
    <t>DA00000384</t>
  </si>
  <si>
    <t>DA00000386</t>
  </si>
  <si>
    <t>CIGUEÑAL / EM2600U - ER2600L</t>
  </si>
  <si>
    <t>DA00000387</t>
  </si>
  <si>
    <t>PISTON / EM2600U - ER2600L</t>
  </si>
  <si>
    <t>DA00000388</t>
  </si>
  <si>
    <t>ANILLO DE PISTON / EM2600U - ER2600L</t>
  </si>
  <si>
    <t>DA00000390</t>
  </si>
  <si>
    <t>EMPAQUETADURA DE LA CAJA DE TRANSMISION / EM2600U - ER2600L</t>
  </si>
  <si>
    <t>DA00000391</t>
  </si>
  <si>
    <t>EMPAQUETADURA DE CILINDRO / EM2600U - ER2600L</t>
  </si>
  <si>
    <t>DA00000399</t>
  </si>
  <si>
    <t>EMBRAGUE / EM2600U - ER2600L</t>
  </si>
  <si>
    <t>DA00000406</t>
  </si>
  <si>
    <t>PORTATUBO / EM2600U - ER2600L</t>
  </si>
  <si>
    <t>DA00000407</t>
  </si>
  <si>
    <t>DA00000417</t>
  </si>
  <si>
    <t>CARBURADOR / EM2600U - ER2600L</t>
  </si>
  <si>
    <t>DA00000433</t>
  </si>
  <si>
    <t>CUBIERTA DE CILINDRO / EM2600U - ER2600L</t>
  </si>
  <si>
    <t>DA00000454</t>
  </si>
  <si>
    <t>CORDON DE NYLON / EM2500U</t>
  </si>
  <si>
    <t>DA00000473</t>
  </si>
  <si>
    <t>CABLE DE CONTROL / ER2600L</t>
  </si>
  <si>
    <t>DA00000485</t>
  </si>
  <si>
    <t>CAJA DE EMBRAGUE / ER2600L</t>
  </si>
  <si>
    <t>DA00000487</t>
  </si>
  <si>
    <t>ANILLO DE RESORTE EXTERIOR / ER2600L</t>
  </si>
  <si>
    <t>DA00000491</t>
  </si>
  <si>
    <t>ETIQUETA / ER2600L</t>
  </si>
  <si>
    <t>DA00000523</t>
  </si>
  <si>
    <t>FILTRO DE GASOLINA / EM2600U - ER2600L</t>
  </si>
  <si>
    <t>DA00000528</t>
  </si>
  <si>
    <t>PERNO DE APRIETE DE HOJA 3/8 - UNF / VARIOS</t>
  </si>
  <si>
    <t>DA00000529</t>
  </si>
  <si>
    <t>ARANDELA / PLM5600N2</t>
  </si>
  <si>
    <t>DA00000535</t>
  </si>
  <si>
    <t>LLAVE PLANA / PLM5600N2</t>
  </si>
  <si>
    <t>DA00000537</t>
  </si>
  <si>
    <t>DA00000538</t>
  </si>
  <si>
    <t>DA00000542</t>
  </si>
  <si>
    <t>RETENEDOR DE EJE / VARIOS</t>
  </si>
  <si>
    <t>DA00000543</t>
  </si>
  <si>
    <t>DA00000549</t>
  </si>
  <si>
    <t>DA00000562</t>
  </si>
  <si>
    <t>PERNO M8X16 / UNIVERSAL</t>
  </si>
  <si>
    <t>DA00000563</t>
  </si>
  <si>
    <t>DA00000564</t>
  </si>
  <si>
    <t>MANDO / DLM460 - PLM5600N2</t>
  </si>
  <si>
    <t>DA00000574</t>
  </si>
  <si>
    <t>ARANDELA 6 / VARIOS</t>
  </si>
  <si>
    <t>DA00000575</t>
  </si>
  <si>
    <t>DA00000576</t>
  </si>
  <si>
    <t>RESORTE DE ARANDELA / VARIOS</t>
  </si>
  <si>
    <t>DA00000577</t>
  </si>
  <si>
    <t>PERNO BRIDA M6X35 / VARIOS</t>
  </si>
  <si>
    <t>DA00000586</t>
  </si>
  <si>
    <t>DA00000597</t>
  </si>
  <si>
    <t>PASADOR 5X21 / VARIOS</t>
  </si>
  <si>
    <t>DA00000598</t>
  </si>
  <si>
    <t>DA00000603</t>
  </si>
  <si>
    <t>TORNILLO ST4X16 / UNIVERSAL</t>
  </si>
  <si>
    <t>DA00000604</t>
  </si>
  <si>
    <t>ANILLO DE TOPE E-12 / VARIOS</t>
  </si>
  <si>
    <t>DA00000612</t>
  </si>
  <si>
    <t>ANILLO DE TOPE E-19 / VARIOS</t>
  </si>
  <si>
    <t>DA00000614</t>
  </si>
  <si>
    <t>TORNILLO DE ROSCA ST4.8X19 / UNIVERSAL</t>
  </si>
  <si>
    <t>DA00000617</t>
  </si>
  <si>
    <t>DA00000626</t>
  </si>
  <si>
    <t>TAMBOR / ER2600L</t>
  </si>
  <si>
    <t>DA00000627</t>
  </si>
  <si>
    <t>TUBO CPL / ER2600L</t>
  </si>
  <si>
    <t>DA00000628</t>
  </si>
  <si>
    <t>LIMITE DE MANGAS / ER2600L</t>
  </si>
  <si>
    <t>DA00000629</t>
  </si>
  <si>
    <t>EJE FLEXIBLE / ER2600L</t>
  </si>
  <si>
    <t>DA00000630</t>
  </si>
  <si>
    <t>PROTECTOR / ER2600L</t>
  </si>
  <si>
    <t>DA00000631</t>
  </si>
  <si>
    <t>CORTADOR / ER2600L</t>
  </si>
  <si>
    <t>DA00000632</t>
  </si>
  <si>
    <t>TORNILLO DE ROSCA ST5X20 / ER2600L</t>
  </si>
  <si>
    <t>DA00000633</t>
  </si>
  <si>
    <t>PROTECTOR DE ABRAZADERA / ER2600L</t>
  </si>
  <si>
    <t>DA00000634</t>
  </si>
  <si>
    <t>PERNO M6X30 / ER2600L</t>
  </si>
  <si>
    <t>DA00000635</t>
  </si>
  <si>
    <t>CAJA DE ENGRANAJE / ER2600L</t>
  </si>
  <si>
    <t>DA00000636</t>
  </si>
  <si>
    <t>EJE / ER2600L</t>
  </si>
  <si>
    <t>DA00000637</t>
  </si>
  <si>
    <t>RODAJE 608RS / UNIVERSAL</t>
  </si>
  <si>
    <t>DA00000638</t>
  </si>
  <si>
    <t>RODAJE 608ZT / UNIVERSAL</t>
  </si>
  <si>
    <t>DA00000639</t>
  </si>
  <si>
    <t>BASE DE CARRETE / ER2600L</t>
  </si>
  <si>
    <t>DA00000640</t>
  </si>
  <si>
    <t>BOCINA / ER2600L</t>
  </si>
  <si>
    <t>DA00000641</t>
  </si>
  <si>
    <t>SEGURO / ER2600L</t>
  </si>
  <si>
    <t>DA00000642</t>
  </si>
  <si>
    <t>ARANDELA 16X8.3X2.2 / ER2600L</t>
  </si>
  <si>
    <t>DA00000643</t>
  </si>
  <si>
    <t>ARANDELA DE PRESION / ER2600L</t>
  </si>
  <si>
    <t>DA00000644</t>
  </si>
  <si>
    <t>PERNO CUERPO DE CORTE / ER2600L</t>
  </si>
  <si>
    <t>DA00000645</t>
  </si>
  <si>
    <t>CARRETE / ER2600L</t>
  </si>
  <si>
    <t>DA00000646</t>
  </si>
  <si>
    <t>CUBIERTA DE CABEZAL / ER2600L</t>
  </si>
  <si>
    <t>DA00000647</t>
  </si>
  <si>
    <t>ARANDELA 39.5X27.2X0.8 / ER2600L</t>
  </si>
  <si>
    <t>DA00000648</t>
  </si>
  <si>
    <t>RESORTE / ER2600L</t>
  </si>
  <si>
    <t>DA00000649</t>
  </si>
  <si>
    <t>EJE DE CABEZAL CPL / ER2600L</t>
  </si>
  <si>
    <t>DA00000654</t>
  </si>
  <si>
    <t>CUERPO DE CORTE / ER2600L</t>
  </si>
  <si>
    <t>DA00000656</t>
  </si>
  <si>
    <t>DA00000657</t>
  </si>
  <si>
    <t>DA00000663</t>
  </si>
  <si>
    <t>CUBIERTA DE EMBRAGUE / ER2600L</t>
  </si>
  <si>
    <t>DA00000665</t>
  </si>
  <si>
    <t>SOPORTE DE MANGO / ER2600L</t>
  </si>
  <si>
    <t>DA00000715</t>
  </si>
  <si>
    <t>NYLON PA66 / ER2600L</t>
  </si>
  <si>
    <t>DA00000788</t>
  </si>
  <si>
    <t>DA00000832</t>
  </si>
  <si>
    <t>ARANDELA DE PRESION / VARIOS</t>
  </si>
  <si>
    <t>DA00000857</t>
  </si>
  <si>
    <t>GUIA DE CUCHILLA INFERIOR / PLM5600N2</t>
  </si>
  <si>
    <t>DA00000860</t>
  </si>
  <si>
    <t>TORNILLO DE ROSCA ST3X10 / UNIVERSAL</t>
  </si>
  <si>
    <t>DA00000869</t>
  </si>
  <si>
    <t>MANGO DE AJUSTE DE VELOCIDAD VARIABLE A / PLM5600N2</t>
  </si>
  <si>
    <t>DA00000870</t>
  </si>
  <si>
    <t>MANGO DE AJUSTE DE VELOCIDAD VARIABLE B / PLM5600N2</t>
  </si>
  <si>
    <t>DA00000873</t>
  </si>
  <si>
    <t>TORNILLO ST4.2X15 / UNIVERSAL</t>
  </si>
  <si>
    <t>DA00000879</t>
  </si>
  <si>
    <t>MANIJA DE AJUSTE DE ALTURA / PLM5600N2</t>
  </si>
  <si>
    <t>DA00000897</t>
  </si>
  <si>
    <t>RESORTE DE TENSION / VARIOS</t>
  </si>
  <si>
    <t>DA00000898</t>
  </si>
  <si>
    <t>DA00000899</t>
  </si>
  <si>
    <t>MANGO CPL / PLM4627N</t>
  </si>
  <si>
    <t>DA00000900</t>
  </si>
  <si>
    <t>TAPA EXTREMO DE TUBO / VARIOS</t>
  </si>
  <si>
    <t>DA00000904</t>
  </si>
  <si>
    <t>MANIJA DE AGARRE / PLM4628N</t>
  </si>
  <si>
    <t>DA00000915</t>
  </si>
  <si>
    <t>ANGULO DE CAJA DE CAMBIO / VARIOS</t>
  </si>
  <si>
    <t>DA00000924</t>
  </si>
  <si>
    <t>DA00000968</t>
  </si>
  <si>
    <t>CORREA TRIANGULO / VARIOS</t>
  </si>
  <si>
    <t>DA00000969</t>
  </si>
  <si>
    <t>RECOLECTOR LATERAL / VARIOS</t>
  </si>
  <si>
    <t>DA00000971</t>
  </si>
  <si>
    <t>TABLERO DE FIJACION / VARIOS</t>
  </si>
  <si>
    <t>DA00000972</t>
  </si>
  <si>
    <t>CAJA DE AJUSTE DE VELOCIDADES / VARIOS</t>
  </si>
  <si>
    <t>DA00000974</t>
  </si>
  <si>
    <t>DA00000977</t>
  </si>
  <si>
    <t>CABLE DE ACERO SIST. TRACCION / PLM5113N2</t>
  </si>
  <si>
    <t>DA00001029</t>
  </si>
  <si>
    <t>RODAJE DE BOLAS R8ZZ / PLM5600N2</t>
  </si>
  <si>
    <t>DA00001058</t>
  </si>
  <si>
    <t>PERILLA DE AJUSTE / DLM460 - PLM5600N2</t>
  </si>
  <si>
    <t>DA00001090</t>
  </si>
  <si>
    <t>ENGRANAJE 14 DERECHO / PLM5600N2</t>
  </si>
  <si>
    <t>DA00001091</t>
  </si>
  <si>
    <t>ENGRANAJE DERECHO 14 / PLM5600N2</t>
  </si>
  <si>
    <t>DA00001157</t>
  </si>
  <si>
    <t>GANCHO DE CABLE / PLM5600N2</t>
  </si>
  <si>
    <t>DA00001160</t>
  </si>
  <si>
    <t>CABLE DE ACELERACION / VARIOS</t>
  </si>
  <si>
    <t>DA00001171</t>
  </si>
  <si>
    <t>CABLE DE ACERO DE  ENCENDIDO / PLM5600N2</t>
  </si>
  <si>
    <t>DA00001172</t>
  </si>
  <si>
    <t>MANGO DE ACELERADOR / PLM5600N2</t>
  </si>
  <si>
    <t>DA00001173</t>
  </si>
  <si>
    <t>CABLE EXTERIOR / VARIOS</t>
  </si>
  <si>
    <t>DA00001248</t>
  </si>
  <si>
    <t>SOPORTE DE MANGO R / DLM460</t>
  </si>
  <si>
    <t>DA00001249</t>
  </si>
  <si>
    <t>SOPORTE DE MANGO L / DLM460</t>
  </si>
  <si>
    <t>DA00001250</t>
  </si>
  <si>
    <t>CUBIERTA / DLM460</t>
  </si>
  <si>
    <t>DA00001251</t>
  </si>
  <si>
    <t>CUBIERTA FRONTAL / DLM460</t>
  </si>
  <si>
    <t>DA00001252</t>
  </si>
  <si>
    <t>SOLAPA TRASERA / DLM460</t>
  </si>
  <si>
    <t>DA00001255</t>
  </si>
  <si>
    <t>MANGO SUPERIOR + AGARRE DE GOMA / DLM460</t>
  </si>
  <si>
    <t>DA00001275</t>
  </si>
  <si>
    <t>CUCHILLA 56 / PLM5600N2</t>
  </si>
  <si>
    <t>DA00001303</t>
  </si>
  <si>
    <t>E1B101</t>
  </si>
  <si>
    <t>TORNILLO / VARIOS</t>
  </si>
  <si>
    <t>EBD001</t>
  </si>
  <si>
    <t>PORTA CARBON - UD00EBD001 / HB350</t>
  </si>
  <si>
    <t>EBD002</t>
  </si>
  <si>
    <t>CARBON - UD00EBD002 / HB350</t>
  </si>
  <si>
    <t>EBD008-B</t>
  </si>
  <si>
    <t>ESTATOR - UDEBD008-B / HB350</t>
  </si>
  <si>
    <t>EBD013-B</t>
  </si>
  <si>
    <t>ROTOR - UDEBD013-B / HB350</t>
  </si>
  <si>
    <t>EBD017</t>
  </si>
  <si>
    <t>EMPAQUE UD00EBD017 / HB350</t>
  </si>
  <si>
    <t>EBD018</t>
  </si>
  <si>
    <t>EJE INTERNO - UD00EBD018 / HB350</t>
  </si>
  <si>
    <t>EBD019</t>
  </si>
  <si>
    <t>EJE DE ENGRANAJE - UD00EBD019 / HB350</t>
  </si>
  <si>
    <t>EBD020</t>
  </si>
  <si>
    <t>SELLO DE ACEITE - UD00EB020 / HB350</t>
  </si>
  <si>
    <t>EBD025</t>
  </si>
  <si>
    <t>RODAMIENTO 6904 - UD00EBD025 / HB350</t>
  </si>
  <si>
    <t>EE7332022S</t>
  </si>
  <si>
    <t>CARBON / UT1600</t>
  </si>
  <si>
    <t>EE74010470</t>
  </si>
  <si>
    <t>ENGRANAJE / UT1400</t>
  </si>
  <si>
    <t>EE7432K430</t>
  </si>
  <si>
    <t>ENGRANAJE / UT1600</t>
  </si>
  <si>
    <t>EE7432K440</t>
  </si>
  <si>
    <t>BLOQUE DE ENGRANAJE / UT1600</t>
  </si>
  <si>
    <t>EE7432K460</t>
  </si>
  <si>
    <t>EJE / UT1600</t>
  </si>
  <si>
    <t>EE7432K470</t>
  </si>
  <si>
    <t>ENGRANAJE INTERMEDIO / UT1600</t>
  </si>
  <si>
    <t>EE7432K500</t>
  </si>
  <si>
    <t>EE77318610</t>
  </si>
  <si>
    <t>CUBIERTA DE LA CAJA DE ENGRANAJE / UT1400</t>
  </si>
  <si>
    <t>EE7731B100</t>
  </si>
  <si>
    <t>EE7731B150</t>
  </si>
  <si>
    <t>ESTATOR</t>
  </si>
  <si>
    <t>EE7731C420</t>
  </si>
  <si>
    <t>EJE DE TRABAJO / UT1400</t>
  </si>
  <si>
    <t>EE7731C430</t>
  </si>
  <si>
    <t>EE7731C490</t>
  </si>
  <si>
    <t>EJE DENTADO / UT1400</t>
  </si>
  <si>
    <t>EE77427100</t>
  </si>
  <si>
    <t>ROTOR 220V / UT1600</t>
  </si>
  <si>
    <t>EE7742A150</t>
  </si>
  <si>
    <t>ESTATOR / UT1600</t>
  </si>
  <si>
    <t>EE77796420</t>
  </si>
  <si>
    <t>EJE DE TRABAJO / UT1600</t>
  </si>
  <si>
    <t>EE77M4140U</t>
  </si>
  <si>
    <t>CAJA DE ENGRANAJE / UT1600</t>
  </si>
  <si>
    <t>EE77M4161U</t>
  </si>
  <si>
    <t>EE80200602</t>
  </si>
  <si>
    <t>CHAVETA / UT1600</t>
  </si>
  <si>
    <t>EE80200604</t>
  </si>
  <si>
    <t>EE80201199</t>
  </si>
  <si>
    <t>PORTA CARBON / UT1600</t>
  </si>
  <si>
    <t>EE80201292</t>
  </si>
  <si>
    <t>TORNILLO DE PORTA CARBON / UT1600</t>
  </si>
  <si>
    <t>EE80201305</t>
  </si>
  <si>
    <t>ANILLO DE RETENCION / UT1400</t>
  </si>
  <si>
    <t>EE80201320</t>
  </si>
  <si>
    <t>ANILLO DE RETENCION 11 / UT1600</t>
  </si>
  <si>
    <t>EE80201333</t>
  </si>
  <si>
    <t>EE80201355</t>
  </si>
  <si>
    <t>ANILLO DE RETENCION / UT1600</t>
  </si>
  <si>
    <t>EE80410021</t>
  </si>
  <si>
    <t>RODAJE DE BOLAS / UT1600</t>
  </si>
  <si>
    <t>EE80410031</t>
  </si>
  <si>
    <t>RODAJE DE BOLAS / UT1400 - UT1600</t>
  </si>
  <si>
    <t>EE80410051</t>
  </si>
  <si>
    <t>EE80500010</t>
  </si>
  <si>
    <t>CONDENSADOR / UT1400 - UT1600</t>
  </si>
  <si>
    <t>EE80500020</t>
  </si>
  <si>
    <t>POTENCIMETRO</t>
  </si>
  <si>
    <t>EE80600125</t>
  </si>
  <si>
    <t>EE80600527</t>
  </si>
  <si>
    <t>INTERRUPTOR / UT1400 - UT1600</t>
  </si>
  <si>
    <t>EE80601143</t>
  </si>
  <si>
    <t>CONTROL</t>
  </si>
  <si>
    <t>EE80700013</t>
  </si>
  <si>
    <t>CARBON / VARIOS</t>
  </si>
  <si>
    <t>EE80701005</t>
  </si>
  <si>
    <t>ADAPTADOR MAGNETICO</t>
  </si>
  <si>
    <t>EE80900082</t>
  </si>
  <si>
    <t>TAPA / UT1600</t>
  </si>
  <si>
    <t>EE80900170</t>
  </si>
  <si>
    <t>CAJA MOTOR</t>
  </si>
  <si>
    <t>EE80900403</t>
  </si>
  <si>
    <t>EE80900404</t>
  </si>
  <si>
    <t>CAJA MOTOR  / UT1600</t>
  </si>
  <si>
    <t>EE80901005</t>
  </si>
  <si>
    <t>COBERTOR DE PLACA</t>
  </si>
  <si>
    <t>EE83000031</t>
  </si>
  <si>
    <t>TAPA DE RODAJE / UT1600</t>
  </si>
  <si>
    <t>EIB017</t>
  </si>
  <si>
    <t>CAMBIADOR AUTOMATICO / HB500</t>
  </si>
  <si>
    <t>EIB034A</t>
  </si>
  <si>
    <t>CHAVETA / HB500</t>
  </si>
  <si>
    <t>EIB083</t>
  </si>
  <si>
    <t>GUIA DE ENGRANAJE / HB500</t>
  </si>
  <si>
    <t>EIB102-2</t>
  </si>
  <si>
    <t>ROTOR 220V / HB500</t>
  </si>
  <si>
    <t>EIB105</t>
  </si>
  <si>
    <t>PORTA CARBON CPL / HB500</t>
  </si>
  <si>
    <t>EIB106C</t>
  </si>
  <si>
    <t>CARBON / HB500</t>
  </si>
  <si>
    <t>EIB111</t>
  </si>
  <si>
    <t>ANILLO DE GOMA 22X2.5 / HB500</t>
  </si>
  <si>
    <t>EIB122</t>
  </si>
  <si>
    <t>EJE ROSCADO / HB500</t>
  </si>
  <si>
    <t>EIB137-B</t>
  </si>
  <si>
    <t>ESTATOR 220V / HB500</t>
  </si>
  <si>
    <t>EIB139</t>
  </si>
  <si>
    <t>CONDENSADOR / HB500</t>
  </si>
  <si>
    <t>FJ10135000</t>
  </si>
  <si>
    <t>GRIFO DE COMBUSTIBLE / EG382A</t>
  </si>
  <si>
    <t>FJ31621000</t>
  </si>
  <si>
    <t>PANEL DE CONTROL / EG382A</t>
  </si>
  <si>
    <t>FJ31673000</t>
  </si>
  <si>
    <t>TAPA DE COMBUSTIBLE / EG382A</t>
  </si>
  <si>
    <t>FJ40580000</t>
  </si>
  <si>
    <t>COLADOR DE COMBUSTIBLE / EG382A</t>
  </si>
  <si>
    <t>FJ50389000</t>
  </si>
  <si>
    <t>DIODO / EG382A</t>
  </si>
  <si>
    <t>FJ50403000</t>
  </si>
  <si>
    <t>CABLE DE BATERIA / EG382A</t>
  </si>
  <si>
    <t>FJ50406000</t>
  </si>
  <si>
    <t>INTERRUPTOR / EG382A</t>
  </si>
  <si>
    <t>FJ71951000</t>
  </si>
  <si>
    <t>CABLE / EG382A</t>
  </si>
  <si>
    <t>GB00000106</t>
  </si>
  <si>
    <t>RUEDA 180MM / DLM330</t>
  </si>
  <si>
    <t>GB00000120</t>
  </si>
  <si>
    <t>RUEDA 138MM / DLM330</t>
  </si>
  <si>
    <t>GB00000126</t>
  </si>
  <si>
    <t>CONTROLADOR / DLM330</t>
  </si>
  <si>
    <t>GB00000138</t>
  </si>
  <si>
    <t>INTERRUPTOR / DLM330</t>
  </si>
  <si>
    <t>GB00000147</t>
  </si>
  <si>
    <t>CARBON CON BOCINA / DLM330</t>
  </si>
  <si>
    <t>GB00000148</t>
  </si>
  <si>
    <t>MOTOR CPL / DLM330</t>
  </si>
  <si>
    <t>GB00000165</t>
  </si>
  <si>
    <t>GM00000100</t>
  </si>
  <si>
    <t>GM00001203</t>
  </si>
  <si>
    <t>TORNILLO 2.3X10 / UNIVERSAL</t>
  </si>
  <si>
    <t>GM00001205</t>
  </si>
  <si>
    <t>CUBIERTA DE BATERIA / MR051</t>
  </si>
  <si>
    <t>GM00001218</t>
  </si>
  <si>
    <t>TARJETA ELECTRONICA / MR051</t>
  </si>
  <si>
    <t>GM00001234</t>
  </si>
  <si>
    <t>TARJETA ELECTRONICA / BML800</t>
  </si>
  <si>
    <t>GM00001286</t>
  </si>
  <si>
    <t>TARJETA ELECTRONICA / DML801</t>
  </si>
  <si>
    <t>GM00001399</t>
  </si>
  <si>
    <t>CARCASA CPL  / DFT201</t>
  </si>
  <si>
    <t>GM00001400</t>
  </si>
  <si>
    <t>CIRCUITO PRINCIPAL / DFJ201</t>
  </si>
  <si>
    <t>GM00001401</t>
  </si>
  <si>
    <t>TAPA DE GOMA / DFT201</t>
  </si>
  <si>
    <t>GM00001402</t>
  </si>
  <si>
    <t>TORNILLO 3X12 / UNIVERSAL</t>
  </si>
  <si>
    <t>GM00001403</t>
  </si>
  <si>
    <t>INTERRUPTOR / DFT201</t>
  </si>
  <si>
    <t>GM00001404</t>
  </si>
  <si>
    <t>SOPORTE DE LED / DFT201</t>
  </si>
  <si>
    <t>GM00001408</t>
  </si>
  <si>
    <t>TORNILLO 2.6X8 / UNIVERSAL</t>
  </si>
  <si>
    <t>GM00001411</t>
  </si>
  <si>
    <t>CAJA DE VENTILADOR / DFT201</t>
  </si>
  <si>
    <t>GM00001431</t>
  </si>
  <si>
    <t>TARJETA / DML806</t>
  </si>
  <si>
    <t>GM00001439</t>
  </si>
  <si>
    <t>CABLE DE ALIMENTACION / DFT201</t>
  </si>
  <si>
    <t>GM00001440</t>
  </si>
  <si>
    <t>ETIQUETA DE INTERRUPTOR / DFT201</t>
  </si>
  <si>
    <t>GM00001442</t>
  </si>
  <si>
    <t>VENTILADOR / DFT201</t>
  </si>
  <si>
    <t>GM00001455</t>
  </si>
  <si>
    <t>SOPORTE DE VENTILADOR / DFT201</t>
  </si>
  <si>
    <t>GM00001499</t>
  </si>
  <si>
    <t>GM00001604</t>
  </si>
  <si>
    <t>SOPORTE PARA BATERIA 12V / VARIOS</t>
  </si>
  <si>
    <t>GM00001606</t>
  </si>
  <si>
    <t>SOPORTE PARA BATERIA 14.4V / VARIOS</t>
  </si>
  <si>
    <t>GM00001684</t>
  </si>
  <si>
    <t>ALOJAMIENTO CPL / ML104</t>
  </si>
  <si>
    <t>GM00001685</t>
  </si>
  <si>
    <t>CUBIERTA DE GOMA / ML104</t>
  </si>
  <si>
    <t>GM00001687</t>
  </si>
  <si>
    <t>TUERCA HEX / ML105</t>
  </si>
  <si>
    <t>GM00001688</t>
  </si>
  <si>
    <t>SOPORTE DE LA BATERIA / ML104</t>
  </si>
  <si>
    <t>GM00001689</t>
  </si>
  <si>
    <t>RESORTE DE METAL / ML104</t>
  </si>
  <si>
    <t>GM00001690</t>
  </si>
  <si>
    <t>POSTE DE INTERRUPTOR PLASTICO / ML104</t>
  </si>
  <si>
    <t>GM00001691</t>
  </si>
  <si>
    <t>TARJETA / ML104</t>
  </si>
  <si>
    <t>GM00001692</t>
  </si>
  <si>
    <t>TOMA HEMBRA / ML104</t>
  </si>
  <si>
    <t>GM00001693</t>
  </si>
  <si>
    <t>SOPORTE DE LAMPARA / ML104</t>
  </si>
  <si>
    <t>GM00001694</t>
  </si>
  <si>
    <t>TUBO DE LAMPARA LED / ML104</t>
  </si>
  <si>
    <t>GM00001695</t>
  </si>
  <si>
    <t>TAPA DIFUSOR / ML104</t>
  </si>
  <si>
    <t>GM00001696</t>
  </si>
  <si>
    <t>CONDUCTOR LED  / ML104</t>
  </si>
  <si>
    <t>GM00001700</t>
  </si>
  <si>
    <t>TARJETA LED / ML105</t>
  </si>
  <si>
    <t>GM00001701</t>
  </si>
  <si>
    <t>CONECTOR C4120105002 / VARIOS</t>
  </si>
  <si>
    <t>GM00001702</t>
  </si>
  <si>
    <t>CABEZAL DE LAMPARA / VARIOS</t>
  </si>
  <si>
    <t>GM00001703</t>
  </si>
  <si>
    <t>RESORTE DE EJE  / VARIOS</t>
  </si>
  <si>
    <t>GM00001704</t>
  </si>
  <si>
    <t>EJE DE GOLPES / VARIOS</t>
  </si>
  <si>
    <t>GM00001705</t>
  </si>
  <si>
    <t>CARCASA CPL  / ML105</t>
  </si>
  <si>
    <t>GM00001706</t>
  </si>
  <si>
    <t>GANCHO DE METAL / ML105</t>
  </si>
  <si>
    <t>GM00001707</t>
  </si>
  <si>
    <t>TARJETA ELECTRONICA / ML105</t>
  </si>
  <si>
    <t>GM00001708</t>
  </si>
  <si>
    <t>TERMINAL DE BATERIA / ML105</t>
  </si>
  <si>
    <t>GM00001709</t>
  </si>
  <si>
    <t>SOPORTE DE RESORTE / ML105</t>
  </si>
  <si>
    <t>GM00001710</t>
  </si>
  <si>
    <t>RESORTE DE INTERRUPTOR / ML105</t>
  </si>
  <si>
    <t>GM00001711</t>
  </si>
  <si>
    <t>CUBIERTA DE INTERRUPTOR / ML105</t>
  </si>
  <si>
    <t>GM00001712</t>
  </si>
  <si>
    <t>INTERRUPTOR DE BOTON USB / ML104</t>
  </si>
  <si>
    <t>GM00001956</t>
  </si>
  <si>
    <t>ALOJAMIENTO CPL / DML808</t>
  </si>
  <si>
    <t>GM00001957</t>
  </si>
  <si>
    <t>PLACA ELECTRONICA / DML808</t>
  </si>
  <si>
    <t>GM00001958</t>
  </si>
  <si>
    <t>RESORTE EJE DE GOLPE / VARIOS</t>
  </si>
  <si>
    <t>GM00001960</t>
  </si>
  <si>
    <t>CUERPO DE CABEZAL / VARIOS</t>
  </si>
  <si>
    <t>GM00001961</t>
  </si>
  <si>
    <t>TARJETA ELECTRONICA LED / VARIOS</t>
  </si>
  <si>
    <t>GM00001962</t>
  </si>
  <si>
    <t>ENFOQUE METALICO / VARIOS</t>
  </si>
  <si>
    <t>GM00001963</t>
  </si>
  <si>
    <t>LENTE SEMICONVEXA / VARIOS</t>
  </si>
  <si>
    <t>GM00001964</t>
  </si>
  <si>
    <t>BISEL DE PLASTICO / VARIOS</t>
  </si>
  <si>
    <t>GM00001965</t>
  </si>
  <si>
    <t>GM00002074</t>
  </si>
  <si>
    <t>REFLECTOR / VARIOS</t>
  </si>
  <si>
    <t>GM00002075</t>
  </si>
  <si>
    <t>GM00002076</t>
  </si>
  <si>
    <t>CARCASA DE CABEZAL  / VARIOS</t>
  </si>
  <si>
    <t>GM00002077</t>
  </si>
  <si>
    <t>RESORTE / DML815</t>
  </si>
  <si>
    <t>GM00002078</t>
  </si>
  <si>
    <t>TARJETA PRINCIPAL / DML815</t>
  </si>
  <si>
    <t>GM00002080</t>
  </si>
  <si>
    <t>CONJUNTO DE VARILLA DE METAL A</t>
  </si>
  <si>
    <t>GM00002081</t>
  </si>
  <si>
    <t>CONJUNTO DE PLACA DE CONEXIÓN DE VARILLAS</t>
  </si>
  <si>
    <t>GM00002082</t>
  </si>
  <si>
    <t>CONJUNTO DE VARILLAS DE METAL C</t>
  </si>
  <si>
    <t>GM00002083</t>
  </si>
  <si>
    <t>ENSAMBLE DE EJE</t>
  </si>
  <si>
    <t>GM00002084</t>
  </si>
  <si>
    <t>CONECTOR DE TUBO B</t>
  </si>
  <si>
    <t>GM00002085</t>
  </si>
  <si>
    <t>TORNILLO 6X18 / UNIVERSAL</t>
  </si>
  <si>
    <t>GM00002086</t>
  </si>
  <si>
    <t>CONJUNTO DE ABRAZADERA</t>
  </si>
  <si>
    <t>GM00002087</t>
  </si>
  <si>
    <t>CONECTOR DE TUBO A</t>
  </si>
  <si>
    <t>GM00002088</t>
  </si>
  <si>
    <t>GM00002089</t>
  </si>
  <si>
    <t>ARANDELA DE GOMA</t>
  </si>
  <si>
    <t>GM00002090</t>
  </si>
  <si>
    <t>ANILLO ELASTICO</t>
  </si>
  <si>
    <t>GM00002091</t>
  </si>
  <si>
    <t>CONJUNTO DE PASADOR</t>
  </si>
  <si>
    <t>GM00002092</t>
  </si>
  <si>
    <t>GM00002093</t>
  </si>
  <si>
    <t>PLACA DE SUJECION</t>
  </si>
  <si>
    <t>GM00002094</t>
  </si>
  <si>
    <t>TORNILLO 5X14 / UNIVERSAL</t>
  </si>
  <si>
    <t>GM00002095</t>
  </si>
  <si>
    <t>TORNILLO 8X20 / UNIVERSAL</t>
  </si>
  <si>
    <t>GM00002096</t>
  </si>
  <si>
    <t>ARANDELA METALICA / VARIOS</t>
  </si>
  <si>
    <t>GM00002097</t>
  </si>
  <si>
    <t>TUERCA DE METAL M8 / UNIVERSAL</t>
  </si>
  <si>
    <t>GM00002098</t>
  </si>
  <si>
    <t>TORNILLO 8X42 / UNIVERSAL</t>
  </si>
  <si>
    <t>GM00002099</t>
  </si>
  <si>
    <t>PIE DE GOMA</t>
  </si>
  <si>
    <t>GM00002100</t>
  </si>
  <si>
    <t>CONJUNTO DE CONECTOR INFERIOR</t>
  </si>
  <si>
    <t>GM00002101</t>
  </si>
  <si>
    <t>POMO LARGO</t>
  </si>
  <si>
    <t>GM00002102</t>
  </si>
  <si>
    <t>MANGA LARGA</t>
  </si>
  <si>
    <t>GM00002103</t>
  </si>
  <si>
    <t>GM00002104</t>
  </si>
  <si>
    <t>PASADOR DE METAL</t>
  </si>
  <si>
    <t>GM00002105</t>
  </si>
  <si>
    <t>CONJUNTO DE VARILLA B</t>
  </si>
  <si>
    <t>GM00002106</t>
  </si>
  <si>
    <t>CONJUNTO DE PERILLA DE TORNILLO</t>
  </si>
  <si>
    <t>GM00002107</t>
  </si>
  <si>
    <t>CONJUNTO DE CONECTOR SUPERIOR</t>
  </si>
  <si>
    <t>GM00002112</t>
  </si>
  <si>
    <t>ARANDELA PLANA + TORNILLO</t>
  </si>
  <si>
    <t>GM00002113</t>
  </si>
  <si>
    <t>ENSAMBLE DE SOPORTE CON TORNILLO</t>
  </si>
  <si>
    <t>GM00002114</t>
  </si>
  <si>
    <t>CUBIERTA FRONTAL / DML801</t>
  </si>
  <si>
    <t>GM00002115</t>
  </si>
  <si>
    <t>LENTE / DML811</t>
  </si>
  <si>
    <t>GM00002116</t>
  </si>
  <si>
    <t>EMPAQUE DE GOMA DEL LENTE / DML811</t>
  </si>
  <si>
    <t>GM00002117</t>
  </si>
  <si>
    <t>REFLECTOR / DLM811</t>
  </si>
  <si>
    <t>GM00002118</t>
  </si>
  <si>
    <t>EMPAQUETADURA DE GOMA - DISIPADOR DE CALOR / DML811</t>
  </si>
  <si>
    <t>GM00002119</t>
  </si>
  <si>
    <t>TARJETA ELECTRONICA LED / DML811</t>
  </si>
  <si>
    <t>GM00002120</t>
  </si>
  <si>
    <t>CUBIERTA MEDIA DE CUERPO / DML811</t>
  </si>
  <si>
    <t>GM00002121</t>
  </si>
  <si>
    <t>TARJETA PRINCIPAL / DML811</t>
  </si>
  <si>
    <t>GM00002128</t>
  </si>
  <si>
    <t>CABLE DE ALIMENTACION BRASIL / DML809</t>
  </si>
  <si>
    <t>GM00002130</t>
  </si>
  <si>
    <t>PLACA DE TERMINALES / DML811</t>
  </si>
  <si>
    <t>GM00002131</t>
  </si>
  <si>
    <t>EMPAQUE DE PLACA DE TERMINALES / DML811</t>
  </si>
  <si>
    <t>GM00002132</t>
  </si>
  <si>
    <t>EMPAQUE DE GOMA / DML811</t>
  </si>
  <si>
    <t>GM00002133</t>
  </si>
  <si>
    <t>GM00002134</t>
  </si>
  <si>
    <t>EVA-B / DML809</t>
  </si>
  <si>
    <t>GM00002135</t>
  </si>
  <si>
    <t>TERMINAL / DML811</t>
  </si>
  <si>
    <t>GM00002136</t>
  </si>
  <si>
    <t>CARCASA CPL  / DML811</t>
  </si>
  <si>
    <t>GM00002137</t>
  </si>
  <si>
    <t>TORNILLO INTERIOR / UNIVERSAL</t>
  </si>
  <si>
    <t>GM00002138</t>
  </si>
  <si>
    <t>SOPORTE DE INTERRUPTOR / DML809</t>
  </si>
  <si>
    <t>GM00002139</t>
  </si>
  <si>
    <t>CABLE 4 PUERTOS / DML811</t>
  </si>
  <si>
    <t>GM00002140</t>
  </si>
  <si>
    <t>INTERRUPTOR PCBA / ML005G</t>
  </si>
  <si>
    <t>GM00002141</t>
  </si>
  <si>
    <t>CONJUNTO DE INTERRUPTOR / ML005G</t>
  </si>
  <si>
    <t>GM00002142</t>
  </si>
  <si>
    <t>CONECTOR DE GOMA / DML809</t>
  </si>
  <si>
    <t>GM00002143</t>
  </si>
  <si>
    <t>GM00002144</t>
  </si>
  <si>
    <t>MANGO / DML811</t>
  </si>
  <si>
    <t>GM00002145</t>
  </si>
  <si>
    <t>DISIPADOR DE CALOR / DML811</t>
  </si>
  <si>
    <t>GM00002148</t>
  </si>
  <si>
    <t>FUENTE DE PODER / DML811</t>
  </si>
  <si>
    <t>GM00002149</t>
  </si>
  <si>
    <t>TORNILLO M3X14 / UNIVERSAL</t>
  </si>
  <si>
    <t>GM00002150</t>
  </si>
  <si>
    <t>SOPORTE DE CONECTOR DE GOMA / DML809</t>
  </si>
  <si>
    <t>GM00002151</t>
  </si>
  <si>
    <t>PLACA DE SOPORTE / DML811</t>
  </si>
  <si>
    <t>GM00002152</t>
  </si>
  <si>
    <t>PERNO M8 / UNIVERSAL</t>
  </si>
  <si>
    <t>GM00002153</t>
  </si>
  <si>
    <t>TUBO DE SOPORTE / DML811</t>
  </si>
  <si>
    <t>GM00002154</t>
  </si>
  <si>
    <t>PATAS DE GOMA / ML005G</t>
  </si>
  <si>
    <t>GM00002155</t>
  </si>
  <si>
    <t>TUERCA M5 / ML005G</t>
  </si>
  <si>
    <t>GM00002156</t>
  </si>
  <si>
    <t>TORNILLO 5X15PM / DML809</t>
  </si>
  <si>
    <t>GM00002157</t>
  </si>
  <si>
    <t>GM00002158</t>
  </si>
  <si>
    <t>TUERCA M8 / UNIVERSAL</t>
  </si>
  <si>
    <t>GM00002159</t>
  </si>
  <si>
    <t>GM00002160</t>
  </si>
  <si>
    <t>PERILLA DE CIERRE / ML005G</t>
  </si>
  <si>
    <t>GM00002161</t>
  </si>
  <si>
    <t>PARANTE DERECHO / DML809</t>
  </si>
  <si>
    <t>GM00002162</t>
  </si>
  <si>
    <t>PARANTE IZQUIERDO / DML809</t>
  </si>
  <si>
    <t>GM00002164</t>
  </si>
  <si>
    <t>TORNILLO 3X6 PWB / ML005G</t>
  </si>
  <si>
    <t>GM00002165</t>
  </si>
  <si>
    <t>TORNILLO 3X18 PT / ML005G</t>
  </si>
  <si>
    <t>GM00002166</t>
  </si>
  <si>
    <t>GUIA B / DML811</t>
  </si>
  <si>
    <t>GM00002167</t>
  </si>
  <si>
    <t>CUBIERTA FRONTAL / DML809</t>
  </si>
  <si>
    <t>GM00002168</t>
  </si>
  <si>
    <t>LENTE / DML809</t>
  </si>
  <si>
    <t>GM00002169</t>
  </si>
  <si>
    <t>LENTE DE GOMA / DML809</t>
  </si>
  <si>
    <t>GM00002170</t>
  </si>
  <si>
    <t>REFLECTOR / DML809</t>
  </si>
  <si>
    <t>GM00002171</t>
  </si>
  <si>
    <t>EMPAQUE DE GOMA - DISIPADOR DE CALOR / DML809</t>
  </si>
  <si>
    <t>GM00002172</t>
  </si>
  <si>
    <t>PLACA ELECTRONICA LED / DML809</t>
  </si>
  <si>
    <t>GM00002173</t>
  </si>
  <si>
    <t>CUBIERTA DE CUERPO / DML809</t>
  </si>
  <si>
    <t>GM00002174</t>
  </si>
  <si>
    <t>DISIPADOR DE CALOR ELECTRICO / DML809</t>
  </si>
  <si>
    <t>GM00002175</t>
  </si>
  <si>
    <t>DISIPADOR DE CALOR DE GOMA / DML809</t>
  </si>
  <si>
    <t>GM00002176</t>
  </si>
  <si>
    <t>EMPAQUE DE GOMA DE LA CUBIERTA / DML809</t>
  </si>
  <si>
    <t>GM00002178</t>
  </si>
  <si>
    <t>GM00002180</t>
  </si>
  <si>
    <t>PLACA DE TERMINAL / DML809</t>
  </si>
  <si>
    <t>GM00002181</t>
  </si>
  <si>
    <t>OBLEA 4P / DML809</t>
  </si>
  <si>
    <t>GM00002182</t>
  </si>
  <si>
    <t>INTERRUPTOR DE LA PLACA / DML809</t>
  </si>
  <si>
    <t>GM00002183</t>
  </si>
  <si>
    <t>EMPAQUE DE CUERPO MEDIO / DML809</t>
  </si>
  <si>
    <t>GM00002184</t>
  </si>
  <si>
    <t>CUERPO DE MEDIO / DML809</t>
  </si>
  <si>
    <t>GM00002185</t>
  </si>
  <si>
    <t>MANGO / DML809</t>
  </si>
  <si>
    <t>GM00002186</t>
  </si>
  <si>
    <t>CAJA DE ALIMENTACION / DML809</t>
  </si>
  <si>
    <t>GM00002187</t>
  </si>
  <si>
    <t>SOPORTE DE ANILLO / DML809</t>
  </si>
  <si>
    <t>GM00002190</t>
  </si>
  <si>
    <t>BASE METALICA / DML809</t>
  </si>
  <si>
    <t>GM00002191</t>
  </si>
  <si>
    <t>PERNO M8 / DML809</t>
  </si>
  <si>
    <t>GM00002192</t>
  </si>
  <si>
    <t>TUBO DE SOPORTE METALICO / DML809</t>
  </si>
  <si>
    <t>GM00002193</t>
  </si>
  <si>
    <t>TORNILLO 4X30PA / UNIVERSAL</t>
  </si>
  <si>
    <t>GM00002194</t>
  </si>
  <si>
    <t>VENTILADOR / DML809</t>
  </si>
  <si>
    <t>GM00002195</t>
  </si>
  <si>
    <t>GOMA DE SILICONA 15X10X5.7 / DML809</t>
  </si>
  <si>
    <t>GM00002196</t>
  </si>
  <si>
    <t>GOMA DE SILICONA 38X10X3.5 / DML809</t>
  </si>
  <si>
    <t>GM00002197</t>
  </si>
  <si>
    <t>GOMA DE SILICONA 30X30X5.7 / DML809</t>
  </si>
  <si>
    <t>GM00002198</t>
  </si>
  <si>
    <t>GOMA DE SILICONA 40X23X7.1 / DML809</t>
  </si>
  <si>
    <t>GM00002200</t>
  </si>
  <si>
    <t>SOPORTE DE LA BATERIA / DML809</t>
  </si>
  <si>
    <t>GM00002201</t>
  </si>
  <si>
    <t>ESTUCHE DE HOJA AISLADA / DML809</t>
  </si>
  <si>
    <t>GM00002202</t>
  </si>
  <si>
    <t>PLACA ELECTRONICA PRINCIPAL / DML809</t>
  </si>
  <si>
    <t>GM00002203</t>
  </si>
  <si>
    <t>CUBIERTA DE LENTE / DML812</t>
  </si>
  <si>
    <t>GM00002204</t>
  </si>
  <si>
    <t>LENTE / DML812</t>
  </si>
  <si>
    <t>GM00002205</t>
  </si>
  <si>
    <t>EMPAQUE DE LENTE / DML812</t>
  </si>
  <si>
    <t>GM00002206</t>
  </si>
  <si>
    <t>CUBIERTA DE REFLECTOR / DML812</t>
  </si>
  <si>
    <t>GM00002207</t>
  </si>
  <si>
    <t>EMPAQUE DE LED / DML812</t>
  </si>
  <si>
    <t>GM00002208</t>
  </si>
  <si>
    <t>ANILLO DE GOMA / DML812</t>
  </si>
  <si>
    <t>GM00002209</t>
  </si>
  <si>
    <t>COPA DE REFLEJO / DML812</t>
  </si>
  <si>
    <t>GM00002211</t>
  </si>
  <si>
    <t>GM00002212</t>
  </si>
  <si>
    <t>TORNILLO 3X8 / UNIVERSAL</t>
  </si>
  <si>
    <t>GM00002217</t>
  </si>
  <si>
    <t>PLACA DE CIERRE IZQUIERDO / DML812</t>
  </si>
  <si>
    <t>GM00002218</t>
  </si>
  <si>
    <t>PLACA DE CIERRE DERECHO / DML812</t>
  </si>
  <si>
    <t>GM00002219</t>
  </si>
  <si>
    <t>TORNILLO 2.6X7 KB / DML812</t>
  </si>
  <si>
    <t>GM00002220</t>
  </si>
  <si>
    <t>CUBIERTA DE CALOR LIGERO / DML812</t>
  </si>
  <si>
    <t>GM00002221</t>
  </si>
  <si>
    <t>ALOJAMIENTO / DML812</t>
  </si>
  <si>
    <t>GM00002222</t>
  </si>
  <si>
    <t>BLOQUE DE PRESION DE LINEA / DML812</t>
  </si>
  <si>
    <t>GM00002224</t>
  </si>
  <si>
    <t>RESORTE DE COMPRESION / DML812</t>
  </si>
  <si>
    <t>GM00002225</t>
  </si>
  <si>
    <t>PASADOR DE CIERRE / DML812</t>
  </si>
  <si>
    <t>GM00002226</t>
  </si>
  <si>
    <t>EMPAQUE GOMA DEL EJE / DML812</t>
  </si>
  <si>
    <t>GM00002229</t>
  </si>
  <si>
    <t>PLACA PRINCIPAL PCBA / DML812</t>
  </si>
  <si>
    <t>GM00002230</t>
  </si>
  <si>
    <t>INTERRUPTOR BLANCO / DML812</t>
  </si>
  <si>
    <t>GM00002231</t>
  </si>
  <si>
    <t>GANCHO DE CORREA / DML812</t>
  </si>
  <si>
    <t>GM00002232</t>
  </si>
  <si>
    <t>INTERRUPTOR DE GOMA / DML812</t>
  </si>
  <si>
    <t>GM00002233</t>
  </si>
  <si>
    <t>SOPORTE DE INTERRUPTOR / DML812</t>
  </si>
  <si>
    <t>GM00002235</t>
  </si>
  <si>
    <t>PLACA DE CONTROL Y TERMINAL / DML812</t>
  </si>
  <si>
    <t>GM00002237</t>
  </si>
  <si>
    <t>CUBIERTA DE CARCASA DERECHA  / DML812</t>
  </si>
  <si>
    <t>GM00002238</t>
  </si>
  <si>
    <t>GANCHO DE CARCASA / DML812</t>
  </si>
  <si>
    <t>GM00002239</t>
  </si>
  <si>
    <t>GM00002247</t>
  </si>
  <si>
    <t>LED DISIPADOR DE CALOR / DML812</t>
  </si>
  <si>
    <t>GM00002248</t>
  </si>
  <si>
    <t>CUBIERTA DE CARCASA IZQUIERDA  / DML812</t>
  </si>
  <si>
    <t>GM00002249</t>
  </si>
  <si>
    <t>RESORTE DE INTERRUPTOR / DML812</t>
  </si>
  <si>
    <t>GM00002250</t>
  </si>
  <si>
    <t>TORNILLO 2.0X5KB / UNIVERSAL</t>
  </si>
  <si>
    <t>GM00002251</t>
  </si>
  <si>
    <t>CLIP DE RESORTE 2X10X25 / DML812</t>
  </si>
  <si>
    <t>GM00002252</t>
  </si>
  <si>
    <t>SILICONA Y DISIPADOR DE CALOR / DML812</t>
  </si>
  <si>
    <t>GM00002253</t>
  </si>
  <si>
    <t>DISIPADOR DE CALOR / DML809</t>
  </si>
  <si>
    <t>GM00002254</t>
  </si>
  <si>
    <t>ARANDELA DE NYLON / DML809</t>
  </si>
  <si>
    <t>GM00002255</t>
  </si>
  <si>
    <t>EJE A / ML005G</t>
  </si>
  <si>
    <t>GM00002256</t>
  </si>
  <si>
    <t>EJE B / ML005G</t>
  </si>
  <si>
    <t>GM00002257</t>
  </si>
  <si>
    <t>BISAGRA B / ML005G</t>
  </si>
  <si>
    <t>GM00002258</t>
  </si>
  <si>
    <t>BISAGRA A / ML005G</t>
  </si>
  <si>
    <t>GM00002259</t>
  </si>
  <si>
    <t>RESORTE / DML809</t>
  </si>
  <si>
    <t>GM00002260</t>
  </si>
  <si>
    <t>TORNILLO 3X13 / DML809</t>
  </si>
  <si>
    <t>GM00002262</t>
  </si>
  <si>
    <t>ALIMENTACION AC / DML809</t>
  </si>
  <si>
    <t>GM00002264</t>
  </si>
  <si>
    <t>ALIMENTACION CPL AC / DML809</t>
  </si>
  <si>
    <t>GM00002286</t>
  </si>
  <si>
    <t>PANTALLA DE LAMPARA</t>
  </si>
  <si>
    <t>GM00002287</t>
  </si>
  <si>
    <t>GM00002291</t>
  </si>
  <si>
    <t>TARJETA PRINCIPAL / DML807</t>
  </si>
  <si>
    <t>GM00002323</t>
  </si>
  <si>
    <t>PLACA LED / VARIOS</t>
  </si>
  <si>
    <t>GM00002333</t>
  </si>
  <si>
    <t>GM00002334</t>
  </si>
  <si>
    <t>CIRCUITO LED / ML006G</t>
  </si>
  <si>
    <t>GM00002335</t>
  </si>
  <si>
    <t>GM00002358</t>
  </si>
  <si>
    <t>PANTALLA DE LAMPARA / ML005G</t>
  </si>
  <si>
    <t>GM00002359</t>
  </si>
  <si>
    <t>PELICULA ANTIDESLUNBRANTE / ML005G</t>
  </si>
  <si>
    <t>GM00002377</t>
  </si>
  <si>
    <t>PANTALLA DE LAMPARA / ML009G</t>
  </si>
  <si>
    <t>GM00002378</t>
  </si>
  <si>
    <t>TRIPODE</t>
  </si>
  <si>
    <t>GM00002488</t>
  </si>
  <si>
    <t>TARJETA ELECTRONICA COMPLETA / ML002G</t>
  </si>
  <si>
    <t>HY00000001</t>
  </si>
  <si>
    <t>TORNILLO HEX. M4X10 / UNIVERSAL</t>
  </si>
  <si>
    <t>HY00000002</t>
  </si>
  <si>
    <t>HY00000003</t>
  </si>
  <si>
    <t>CUBIERTA DE ESCAPE DE AIRE / AF505 - AF505N</t>
  </si>
  <si>
    <t>HY00000004</t>
  </si>
  <si>
    <t>ARANDELA DE GOMA 7 / VARIOS</t>
  </si>
  <si>
    <t>HY00000005</t>
  </si>
  <si>
    <t>HY00000006</t>
  </si>
  <si>
    <t>TAPA SUPERIOR / AF505 - AF505N</t>
  </si>
  <si>
    <t>HY00000007</t>
  </si>
  <si>
    <t>EMPAQUETADURA / AF505 - AF505N</t>
  </si>
  <si>
    <t>HY00000008</t>
  </si>
  <si>
    <t>HY00000009</t>
  </si>
  <si>
    <t>RESORTE 7 / AF505 - AF505N</t>
  </si>
  <si>
    <t>HY00000010</t>
  </si>
  <si>
    <t>HY00000011</t>
  </si>
  <si>
    <t>HY00000012</t>
  </si>
  <si>
    <t>VALVULA DE CABEZA / AF505 - AF505N</t>
  </si>
  <si>
    <t>HY00000013</t>
  </si>
  <si>
    <t>ANILLO DE GOMA 29 / AF505 - AF505N</t>
  </si>
  <si>
    <t>HY00000014</t>
  </si>
  <si>
    <t>HY00000015</t>
  </si>
  <si>
    <t>SEPARADOR DE CILINDRO / AF505 - AF505N</t>
  </si>
  <si>
    <t>HY00000016</t>
  </si>
  <si>
    <t>HY00000017</t>
  </si>
  <si>
    <t>ANILLO DE GOMA 24 / AF505 - AF505N</t>
  </si>
  <si>
    <t>HY00000018</t>
  </si>
  <si>
    <t>CONDUCTOR PISTON / AF505 - AF505N</t>
  </si>
  <si>
    <t>HY00000019</t>
  </si>
  <si>
    <t>CILINDRO / AF505 - AF505N</t>
  </si>
  <si>
    <t>HY00000020</t>
  </si>
  <si>
    <t>HY00000021</t>
  </si>
  <si>
    <t>HY00000022</t>
  </si>
  <si>
    <t>AMORTIGUADOR F / AF505 - AF505N</t>
  </si>
  <si>
    <t>HY00000023</t>
  </si>
  <si>
    <t>SELLO FRONTAL / VARIOS</t>
  </si>
  <si>
    <t>HY00000024</t>
  </si>
  <si>
    <t>PASADOR 3-26 / VARIOS</t>
  </si>
  <si>
    <t>HY00000025</t>
  </si>
  <si>
    <t>SOPORTE DE REGULACION / AF505 - AF505N</t>
  </si>
  <si>
    <t>HY00000026</t>
  </si>
  <si>
    <t>RESORTE 5 / AF505 - AF505N</t>
  </si>
  <si>
    <t>HY00000027</t>
  </si>
  <si>
    <t>TOPE / AF505 - AF505N</t>
  </si>
  <si>
    <t>HY00000028</t>
  </si>
  <si>
    <t>PLANCA DE ARRASTRE / AF505 - AF505N</t>
  </si>
  <si>
    <t>HY00000029</t>
  </si>
  <si>
    <t>CONTACTO DE ARRIBA / AF505</t>
  </si>
  <si>
    <t>HY00000030</t>
  </si>
  <si>
    <t>CAPUCHON / AF505</t>
  </si>
  <si>
    <t>HY00000031</t>
  </si>
  <si>
    <t>ETIQUETA DE PRECAUSION / AF505</t>
  </si>
  <si>
    <t>HY00000033</t>
  </si>
  <si>
    <t>ARANDELA DE GOMA 8 / VARIOS</t>
  </si>
  <si>
    <t>HY00000034</t>
  </si>
  <si>
    <t>HY00000035</t>
  </si>
  <si>
    <t>HY00000036</t>
  </si>
  <si>
    <t>VASTAGO DE VALVULA / AF505 - AF505N</t>
  </si>
  <si>
    <t>HY00000037</t>
  </si>
  <si>
    <t>ANILLO DE GOMA 3 / VARIOS</t>
  </si>
  <si>
    <t>HY00000038</t>
  </si>
  <si>
    <t>CUBIERTA DE GUIA DE VALVULA / VARIOS</t>
  </si>
  <si>
    <t>HY00000039</t>
  </si>
  <si>
    <t>HY00000040</t>
  </si>
  <si>
    <t>HY00000041</t>
  </si>
  <si>
    <t>PLACA DE GATILLO / AF505 - AF505N</t>
  </si>
  <si>
    <t>HY00000042</t>
  </si>
  <si>
    <t>PASADOR 2.5-16 / VARIOS</t>
  </si>
  <si>
    <t>HY00000043</t>
  </si>
  <si>
    <t>ARANDELA DE GOMA 2 / VARIOS</t>
  </si>
  <si>
    <t>HY00000045</t>
  </si>
  <si>
    <t>PASADOR 3 / AF505 - AF505N</t>
  </si>
  <si>
    <t>HY00000046</t>
  </si>
  <si>
    <t>PASADOR 2-10 / VARIOS</t>
  </si>
  <si>
    <t>HY00000047</t>
  </si>
  <si>
    <t>GUIA DE CONDUCTOR / AF505 - AF505N</t>
  </si>
  <si>
    <t>HY00000048</t>
  </si>
  <si>
    <t>PLACA / AF505 - AF505N</t>
  </si>
  <si>
    <t>HY00000049</t>
  </si>
  <si>
    <t>HY00000050</t>
  </si>
  <si>
    <t>PUERTA / AF505 - AF505N</t>
  </si>
  <si>
    <t>HY00000051</t>
  </si>
  <si>
    <t>CUBIERTA DE GOMA / VARIOS</t>
  </si>
  <si>
    <t>HY00000052</t>
  </si>
  <si>
    <t>PALANCA / AF505 - AF505N</t>
  </si>
  <si>
    <t>HY00000053</t>
  </si>
  <si>
    <t>HY00000054</t>
  </si>
  <si>
    <t>PASADOR 2.5-18 / VARIOS</t>
  </si>
  <si>
    <t>HY00000055</t>
  </si>
  <si>
    <t>PASADOR 1.5-18 / AF505 - AF505N</t>
  </si>
  <si>
    <t>HY00000057</t>
  </si>
  <si>
    <t>PLACA DE COMPRESION / AF505 - AF505N</t>
  </si>
  <si>
    <t>HY00000058</t>
  </si>
  <si>
    <t>PASADOR 7 / AF505 - AF505N</t>
  </si>
  <si>
    <t>HY00000059</t>
  </si>
  <si>
    <t>HY00000061</t>
  </si>
  <si>
    <t>CUBIERTA PUERTA DESLIZANTE / AF505 - AF505N</t>
  </si>
  <si>
    <t>HY00000062</t>
  </si>
  <si>
    <t>HY00000063</t>
  </si>
  <si>
    <t>PASADOR / AF505 - AF505N</t>
  </si>
  <si>
    <t>HY00000070</t>
  </si>
  <si>
    <t>HY00000071</t>
  </si>
  <si>
    <t>PERNO HEX. M4X6 / UNIVERSAL</t>
  </si>
  <si>
    <t>HY00000073</t>
  </si>
  <si>
    <t>HY00000074</t>
  </si>
  <si>
    <t>TORNILLO HEX. M4X8 / UNIVERSAL</t>
  </si>
  <si>
    <t>HY00000083</t>
  </si>
  <si>
    <t>GATILLO CPL / AF505 - AF505N</t>
  </si>
  <si>
    <t>HY00000084</t>
  </si>
  <si>
    <t>MONTAJE / AF505</t>
  </si>
  <si>
    <t>HY00000087</t>
  </si>
  <si>
    <t>ALOJAMIENTO CPL / AF505N</t>
  </si>
  <si>
    <t>HY00000090</t>
  </si>
  <si>
    <t>CONTENEDOR PLASTICO / AF505</t>
  </si>
  <si>
    <t>HY00000160</t>
  </si>
  <si>
    <t>ARANDELA 5 / VARIOS</t>
  </si>
  <si>
    <t>HY00000377</t>
  </si>
  <si>
    <t>TOPE DE CONTACTO / AF505N</t>
  </si>
  <si>
    <t>HY00000378</t>
  </si>
  <si>
    <t>CAPUCHON DE TOPE / VARIOS</t>
  </si>
  <si>
    <t>HY00000397</t>
  </si>
  <si>
    <t>HY00000399</t>
  </si>
  <si>
    <t>ANILLO 8.5 / VARIOS</t>
  </si>
  <si>
    <t>HY00000400</t>
  </si>
  <si>
    <t>ANILLO DE GOMA 22.5 / VARIOS</t>
  </si>
  <si>
    <t>HY00000408</t>
  </si>
  <si>
    <t>EMPAQUE DE GOMA 26.5 / AF506 - AT638A</t>
  </si>
  <si>
    <t>HY00000409</t>
  </si>
  <si>
    <t>EMPAQUE DE GOMA 30.5 / VARIOS</t>
  </si>
  <si>
    <t>HY00000411</t>
  </si>
  <si>
    <t>ANILLO DE GOMA 2 / AT638A - AF635</t>
  </si>
  <si>
    <t>HY00000413</t>
  </si>
  <si>
    <t>ANILLO GOMA 15.5 / VARIOS</t>
  </si>
  <si>
    <t>HY00000421</t>
  </si>
  <si>
    <t>RESORTE 5 / AF506 - AT638A</t>
  </si>
  <si>
    <t>HY00000444</t>
  </si>
  <si>
    <t>GUIA DEL RESORTE / AF506 - AT638A</t>
  </si>
  <si>
    <t>HY00000499</t>
  </si>
  <si>
    <t>HY00000507</t>
  </si>
  <si>
    <t>CABEZA DE VALVULA/AF506-AT638</t>
  </si>
  <si>
    <t>HY00000508</t>
  </si>
  <si>
    <t>SALIDA DE AIRE / AF506 - AT638A</t>
  </si>
  <si>
    <t>HY00000509</t>
  </si>
  <si>
    <t>TAPA SUPERIOR / AF506 - AT638A</t>
  </si>
  <si>
    <t>HY00000511</t>
  </si>
  <si>
    <t>TAPA / AF506 - AT638A</t>
  </si>
  <si>
    <t>HY00000546</t>
  </si>
  <si>
    <t>AMORTIGUADOR DELANTERO / AF506 - AT638A</t>
  </si>
  <si>
    <t>HY00000549</t>
  </si>
  <si>
    <t>CONDUCTOR CPL / AF353</t>
  </si>
  <si>
    <t>HY00000580</t>
  </si>
  <si>
    <t>ANILLO DE ESTANCAMIENTO / VARIOS</t>
  </si>
  <si>
    <t>HY00000599</t>
  </si>
  <si>
    <t>VALVULA / VARIOS</t>
  </si>
  <si>
    <t>HY00000604</t>
  </si>
  <si>
    <t>GUIA / AF353</t>
  </si>
  <si>
    <t>HY00000610</t>
  </si>
  <si>
    <t>HY00000629</t>
  </si>
  <si>
    <t>HY00000633</t>
  </si>
  <si>
    <t>BUJE / AF506 - AT638A</t>
  </si>
  <si>
    <t>HY00000649</t>
  </si>
  <si>
    <t>TORNILLO HEX. M4X4 / UNIVERSAL</t>
  </si>
  <si>
    <t>HY00000650</t>
  </si>
  <si>
    <t>TORNILLO HEX. M4X20 / UNIVERSAL</t>
  </si>
  <si>
    <t>HY00000680</t>
  </si>
  <si>
    <t>PASADOR 2.5-10 / AF353</t>
  </si>
  <si>
    <t>HY00000911</t>
  </si>
  <si>
    <t>CONDUCTOR / AF506</t>
  </si>
  <si>
    <t>HY00000912</t>
  </si>
  <si>
    <t>ESPACIADOR DE CILINDRO / AF506</t>
  </si>
  <si>
    <t>HY00000913</t>
  </si>
  <si>
    <t>CILINDRO / AF506</t>
  </si>
  <si>
    <t>HY00000914</t>
  </si>
  <si>
    <t>GUIA CONDUCTORA / AF506</t>
  </si>
  <si>
    <t>HY00000915</t>
  </si>
  <si>
    <t>PERNO DE PLACA / AF506</t>
  </si>
  <si>
    <t>HY00000916</t>
  </si>
  <si>
    <t>PLACA / AF506</t>
  </si>
  <si>
    <t>HY00000917</t>
  </si>
  <si>
    <t>SEGURO / AF506</t>
  </si>
  <si>
    <t>HY00000918</t>
  </si>
  <si>
    <t>PUERTA / AF506</t>
  </si>
  <si>
    <t>HY00000919</t>
  </si>
  <si>
    <t>CUBIERTA DE SEGURO / AF506</t>
  </si>
  <si>
    <t>HY00000923</t>
  </si>
  <si>
    <t>TOPE CONTACTO / AF506</t>
  </si>
  <si>
    <t>HY00000924</t>
  </si>
  <si>
    <t>HY00000925</t>
  </si>
  <si>
    <t>ADAPTADOR / AF506</t>
  </si>
  <si>
    <t>HY00000926</t>
  </si>
  <si>
    <t>TORNILLO HEX. M4X6 / UNIVERSAL</t>
  </si>
  <si>
    <t>HY00000927</t>
  </si>
  <si>
    <t>HY00000928</t>
  </si>
  <si>
    <t>HY00000929</t>
  </si>
  <si>
    <t>CUBIERTA / AF506</t>
  </si>
  <si>
    <t>HY00000930</t>
  </si>
  <si>
    <t>PLACA DE NOMBRE / AF506</t>
  </si>
  <si>
    <t>HY00000931</t>
  </si>
  <si>
    <t>HY00000932</t>
  </si>
  <si>
    <t>PALANCA DE GATILLO / AF506</t>
  </si>
  <si>
    <t>HY00000933</t>
  </si>
  <si>
    <t>PERNO / AF506</t>
  </si>
  <si>
    <t>HY00000934</t>
  </si>
  <si>
    <t>VALVULA DE GATILLO / AF506</t>
  </si>
  <si>
    <t>HY00000935</t>
  </si>
  <si>
    <t>IMPULSOR / AF506</t>
  </si>
  <si>
    <t>HY00000936</t>
  </si>
  <si>
    <t>PERNO 7 / UNIVERSAL</t>
  </si>
  <si>
    <t>HY00000937</t>
  </si>
  <si>
    <t>CARRIL / AF506</t>
  </si>
  <si>
    <t>HY00000938</t>
  </si>
  <si>
    <t>PUERTA CORREDIZA / AF506</t>
  </si>
  <si>
    <t>HY00000941</t>
  </si>
  <si>
    <t>PALANCA DE BLOQUEO / AF506</t>
  </si>
  <si>
    <t>HY00000942</t>
  </si>
  <si>
    <t>MANGUITO / AF506</t>
  </si>
  <si>
    <t>HY00000943</t>
  </si>
  <si>
    <t>RESORTE 5 / AF506</t>
  </si>
  <si>
    <t>HY00000944</t>
  </si>
  <si>
    <t>TAPA DE CUBIERTA / AF506</t>
  </si>
  <si>
    <t>HY00000945</t>
  </si>
  <si>
    <t>CUBIERTA INFERIOR / AF506</t>
  </si>
  <si>
    <t>HY00000946</t>
  </si>
  <si>
    <t>CARCASA CPL / AF506</t>
  </si>
  <si>
    <t>HY00000947</t>
  </si>
  <si>
    <t>RIEL ENSAMBLADA / AF506</t>
  </si>
  <si>
    <t>HY00000948</t>
  </si>
  <si>
    <t>GATILLO CPL / AF506</t>
  </si>
  <si>
    <t>HY00000950</t>
  </si>
  <si>
    <t>PERILLA DE REGULACION / AF506</t>
  </si>
  <si>
    <t>HY00001109</t>
  </si>
  <si>
    <t>CASERINA / AF505N</t>
  </si>
  <si>
    <t>I56808</t>
  </si>
  <si>
    <t>CONJUNTO DE CUBIERTA DE POLVO</t>
  </si>
  <si>
    <t>I74113</t>
  </si>
  <si>
    <t>SPARE PARTS DISPOSAL SERVICE</t>
  </si>
  <si>
    <t>JM00000009</t>
  </si>
  <si>
    <t>PLACA DE CARACTERISTICAS / MLT100N</t>
  </si>
  <si>
    <t>JM00000067</t>
  </si>
  <si>
    <t>JM00000150</t>
  </si>
  <si>
    <t>CAJA MOTOR / MLT100</t>
  </si>
  <si>
    <t>JM00000262</t>
  </si>
  <si>
    <t>MESA EXTENDIBLE POSTERIOR / MLT100</t>
  </si>
  <si>
    <t>JM00000263</t>
  </si>
  <si>
    <t>EXTENSION DE MESA DERECHA / MLT100</t>
  </si>
  <si>
    <t>JM00000267</t>
  </si>
  <si>
    <t>MESA PRINCIPAL A / MLT100</t>
  </si>
  <si>
    <t>JM00000272</t>
  </si>
  <si>
    <t>PALANCA DE INTERRUPTOR / MLS100</t>
  </si>
  <si>
    <t>JM00000287</t>
  </si>
  <si>
    <t>JM00000331</t>
  </si>
  <si>
    <t>JM00000390</t>
  </si>
  <si>
    <t>MOTOR 220V 50HZ / LB1200F</t>
  </si>
  <si>
    <t>JM00000439</t>
  </si>
  <si>
    <t>JM00000454</t>
  </si>
  <si>
    <t>SOPORTE DE PERRILA DE AJUSTE / LS1110F</t>
  </si>
  <si>
    <t>JM00000455</t>
  </si>
  <si>
    <t>JM00000457</t>
  </si>
  <si>
    <t>PLACA DEL RESORTE / LS1110F</t>
  </si>
  <si>
    <t>JM00000459</t>
  </si>
  <si>
    <t>PALANCA DE BLOQUEO / LS1110F</t>
  </si>
  <si>
    <t>JM00000476</t>
  </si>
  <si>
    <t>REGLA DE CORTE / LS1110F</t>
  </si>
  <si>
    <t>JM00000540</t>
  </si>
  <si>
    <t>CAJA DE LAMPARA LED / LS1110F</t>
  </si>
  <si>
    <t>JM00000541</t>
  </si>
  <si>
    <t>LAMPARA LED / LS1110F</t>
  </si>
  <si>
    <t>JM00000573</t>
  </si>
  <si>
    <t>CIRCUITO ELECTRONICO DE LAMPARA LED / LS1110F</t>
  </si>
  <si>
    <t>JM00000577</t>
  </si>
  <si>
    <t>INTERRUPTOR / LS1110F</t>
  </si>
  <si>
    <t>JM00000600</t>
  </si>
  <si>
    <t>JM00000601</t>
  </si>
  <si>
    <t>JM00000605</t>
  </si>
  <si>
    <t>JM00000606</t>
  </si>
  <si>
    <t>JM00000612</t>
  </si>
  <si>
    <t>JM00000613</t>
  </si>
  <si>
    <t>JM00000615</t>
  </si>
  <si>
    <t>JM00000618</t>
  </si>
  <si>
    <t>GUÍA DE POLVO / LS1110F</t>
  </si>
  <si>
    <t>JM00000623</t>
  </si>
  <si>
    <t>JM00000626</t>
  </si>
  <si>
    <t>ESTATOR 220V / LS1110F</t>
  </si>
  <si>
    <t>JM00000629</t>
  </si>
  <si>
    <t>JM00000644</t>
  </si>
  <si>
    <t>JM00000645</t>
  </si>
  <si>
    <t>ROTOR 220V / LS1110F</t>
  </si>
  <si>
    <t>JM00000647</t>
  </si>
  <si>
    <t>JM00000648</t>
  </si>
  <si>
    <t>JM00000661</t>
  </si>
  <si>
    <t>JM00000662</t>
  </si>
  <si>
    <t>UNIDAD DE ARRANQUE SUAVE / LS1110F</t>
  </si>
  <si>
    <t>JM21000004</t>
  </si>
  <si>
    <t>INTERRUPTOR / LB1200F</t>
  </si>
  <si>
    <t>JM21000015</t>
  </si>
  <si>
    <t>CABLE DE ALIMENTACION / LB1200F</t>
  </si>
  <si>
    <t>JM21000019</t>
  </si>
  <si>
    <t>ARANDELA DE MUELLE 5 P/LB1200F</t>
  </si>
  <si>
    <t>JM21000020</t>
  </si>
  <si>
    <t>JM21000029</t>
  </si>
  <si>
    <t>MICRO INTERRUPTOR / LB1200F</t>
  </si>
  <si>
    <t>JM21000032</t>
  </si>
  <si>
    <t>TUERCA HEX. M4 / LB1200F</t>
  </si>
  <si>
    <t>JM21000034</t>
  </si>
  <si>
    <t>ARANDELA DE MUELLE 6 / LB1200F</t>
  </si>
  <si>
    <t>JM21000035</t>
  </si>
  <si>
    <t>ARANDELA PLANA 6 / LB1200F</t>
  </si>
  <si>
    <t>JM21000037</t>
  </si>
  <si>
    <t>PERNO LISO / LB1200F</t>
  </si>
  <si>
    <t>JM21000043</t>
  </si>
  <si>
    <t>ANILLO DE SEGURIDAD 17 P/LB1200F</t>
  </si>
  <si>
    <t>JM21000044</t>
  </si>
  <si>
    <t>ROSAMIENTO DE BOLAS / LB1200F</t>
  </si>
  <si>
    <t>JM21000045</t>
  </si>
  <si>
    <t>ANILLO DE SEGURIDAD P/LB1200F</t>
  </si>
  <si>
    <t>JM21000046</t>
  </si>
  <si>
    <t>RUEDA DE TRANSMISION SUPERIOR / LB1200F</t>
  </si>
  <si>
    <t>JM21000047</t>
  </si>
  <si>
    <t>RUEDA DE CAUCHO / LB1200F</t>
  </si>
  <si>
    <t>JM21000050</t>
  </si>
  <si>
    <t>RUEDA DE TRANSMISION INFERIOR / LB1200F</t>
  </si>
  <si>
    <t>JM21000051</t>
  </si>
  <si>
    <t>PERILLA DE AJUSTE / LB1200F</t>
  </si>
  <si>
    <t>JM21000054</t>
  </si>
  <si>
    <t>PUNTERO / LB1200F</t>
  </si>
  <si>
    <t>JM21000056</t>
  </si>
  <si>
    <t>RESORTE 45 / LB1200F</t>
  </si>
  <si>
    <t>JM21000057</t>
  </si>
  <si>
    <t>SOPORTE FIJO / LB1200F</t>
  </si>
  <si>
    <t>JM21000058</t>
  </si>
  <si>
    <t>JM21000063</t>
  </si>
  <si>
    <t>HEX NUT M6</t>
  </si>
  <si>
    <t>JM21000069</t>
  </si>
  <si>
    <t>EJE DE LA RUEDA SUPERIOR P/LB1200F</t>
  </si>
  <si>
    <t>JM21000070</t>
  </si>
  <si>
    <t>SOPORTE DEPERNO / LB1200F</t>
  </si>
  <si>
    <t>JM21000071</t>
  </si>
  <si>
    <t>PLACA DE FIJACION / LB1200F</t>
  </si>
  <si>
    <t>JM21000072</t>
  </si>
  <si>
    <t>BARRA CONTRA EL POLVO P/LB1200F</t>
  </si>
  <si>
    <t>JM21000073</t>
  </si>
  <si>
    <t>TOPE / LB1200F</t>
  </si>
  <si>
    <t>JM21000078</t>
  </si>
  <si>
    <t>EJE DEL ENGRANAJE P/LB1200F</t>
  </si>
  <si>
    <t>JM21000079</t>
  </si>
  <si>
    <t>GUIA P/LB1200F</t>
  </si>
  <si>
    <t>JM21000080</t>
  </si>
  <si>
    <t>ENGRANAJE RECTO / LB1200F</t>
  </si>
  <si>
    <t>JM21000081</t>
  </si>
  <si>
    <t>JM21000083</t>
  </si>
  <si>
    <t>JM21000084</t>
  </si>
  <si>
    <t>JM21000085</t>
  </si>
  <si>
    <t>TUERCA</t>
  </si>
  <si>
    <t>JM21000086</t>
  </si>
  <si>
    <t>PASADOR / LB1200F</t>
  </si>
  <si>
    <t>JM21000087</t>
  </si>
  <si>
    <t>TORNILLO M6X10 / UNIVERSAL</t>
  </si>
  <si>
    <t>JM21000091</t>
  </si>
  <si>
    <t>JM21000092</t>
  </si>
  <si>
    <t>PASADOR 8 / LB1200F</t>
  </si>
  <si>
    <t>JM21000093</t>
  </si>
  <si>
    <t>RODAJE DE BOLAS / LB1200F</t>
  </si>
  <si>
    <t>JM21000094</t>
  </si>
  <si>
    <t>MANGUITO / LB1200F</t>
  </si>
  <si>
    <t>JM21000095</t>
  </si>
  <si>
    <t>JM21000096</t>
  </si>
  <si>
    <t>CUBIERTA / LB1200F</t>
  </si>
  <si>
    <t>JM21000097</t>
  </si>
  <si>
    <t>PROTECTOR DE CABLE</t>
  </si>
  <si>
    <t>JM21000102</t>
  </si>
  <si>
    <t>JM21000103</t>
  </si>
  <si>
    <t>MANGUITO P/LB1200F</t>
  </si>
  <si>
    <t>JM21000104</t>
  </si>
  <si>
    <t>JM21000105</t>
  </si>
  <si>
    <t>JM21000109</t>
  </si>
  <si>
    <t>INTERRUPTOR HY17 / LB1200F</t>
  </si>
  <si>
    <t>JM21000116</t>
  </si>
  <si>
    <t>PLACA / LB1200F</t>
  </si>
  <si>
    <t>JM21000117</t>
  </si>
  <si>
    <t>JM21000118</t>
  </si>
  <si>
    <t>TUERCA / LB1200F</t>
  </si>
  <si>
    <t>JM21000119</t>
  </si>
  <si>
    <t>CAJA RECOLECTORA / LB1200F</t>
  </si>
  <si>
    <t>JM21000131</t>
  </si>
  <si>
    <t>JM21000135</t>
  </si>
  <si>
    <t>FAJA DE TRANSMISION / LB1200F</t>
  </si>
  <si>
    <t>JM21000142</t>
  </si>
  <si>
    <t>JM21000150</t>
  </si>
  <si>
    <t>CUBIERTA INFERIOR B / LB1200F</t>
  </si>
  <si>
    <t>JM21000151</t>
  </si>
  <si>
    <t>PLACA GUIA / LB1200F</t>
  </si>
  <si>
    <t>JM21000152</t>
  </si>
  <si>
    <t>PLACA DE PROTECCION / LB1200F</t>
  </si>
  <si>
    <t>JM21000153</t>
  </si>
  <si>
    <t>PROTECTOR DE CABLE / LB1200F</t>
  </si>
  <si>
    <t>JM21000157</t>
  </si>
  <si>
    <t>CUBIERTA INFERIOR P/LB1200F</t>
  </si>
  <si>
    <t>JM21000159</t>
  </si>
  <si>
    <t>TORNILLO ST3.2X8 / LB1200F</t>
  </si>
  <si>
    <t>JM21000160</t>
  </si>
  <si>
    <t>CUBIERTA DE LAMPARA / LB1200F</t>
  </si>
  <si>
    <t>JM21000161</t>
  </si>
  <si>
    <t>CUBIERTA DE LED / LB1200F</t>
  </si>
  <si>
    <t>JM21000168</t>
  </si>
  <si>
    <t>JM21000169</t>
  </si>
  <si>
    <t>JM21000170</t>
  </si>
  <si>
    <t>JM21000171</t>
  </si>
  <si>
    <t>CUBIERTA INFERIOR DE TRANSFORMADOR / LB1200F</t>
  </si>
  <si>
    <t>JM21000172</t>
  </si>
  <si>
    <t>TRANSFORMADOR / LB1200F</t>
  </si>
  <si>
    <t>JM21000173</t>
  </si>
  <si>
    <t>TUERCA MARIPOSA / LB1200F</t>
  </si>
  <si>
    <t>JM21000174</t>
  </si>
  <si>
    <t>CUBIERTA SUPERIOR DE TRANSFORMADOR / LB1200F</t>
  </si>
  <si>
    <t>JM21000175</t>
  </si>
  <si>
    <t>JM21000176</t>
  </si>
  <si>
    <t>BASE DEL MANGO P/LB1200F</t>
  </si>
  <si>
    <t>JM21000177</t>
  </si>
  <si>
    <t>JM21000178</t>
  </si>
  <si>
    <t>MANGO DE OPERACION / LB1200F</t>
  </si>
  <si>
    <t>JM21000181</t>
  </si>
  <si>
    <t>PERILLA MARIPOSA / LB1200F</t>
  </si>
  <si>
    <t>JM21000191</t>
  </si>
  <si>
    <t>PROTECTOR DE CORTE / LB1200F</t>
  </si>
  <si>
    <t>JM21000208</t>
  </si>
  <si>
    <t>SOPORTE A / LB1200F</t>
  </si>
  <si>
    <t>JM21000210</t>
  </si>
  <si>
    <t>TORNILLO CUELLO CUADRADO M6X16</t>
  </si>
  <si>
    <t>JM21000218</t>
  </si>
  <si>
    <t>PERNO HEX. M8X50 / UNIVERSAL</t>
  </si>
  <si>
    <t>JM21000219</t>
  </si>
  <si>
    <t>ALMOHADILLAS DE SOPORTE / LB1200F</t>
  </si>
  <si>
    <t>JM21000228</t>
  </si>
  <si>
    <t>JM21000229</t>
  </si>
  <si>
    <t>LUZ LED / LB1200F</t>
  </si>
  <si>
    <t>JM21000245</t>
  </si>
  <si>
    <t>CAJA CABLE DE ALIMENTACION P/LB1200F</t>
  </si>
  <si>
    <t>JM21000248</t>
  </si>
  <si>
    <t>JM21080230</t>
  </si>
  <si>
    <t>GUIA DE CORTE / LB1200F</t>
  </si>
  <si>
    <t>JM21080260</t>
  </si>
  <si>
    <t>ESCUADRA / LB1200F</t>
  </si>
  <si>
    <t>JM21080290</t>
  </si>
  <si>
    <t>REGLA DE EMPUJE / LB1200F</t>
  </si>
  <si>
    <t>JM21080291</t>
  </si>
  <si>
    <t>LLAVE ALLEN 4 / UNIVERSAL</t>
  </si>
  <si>
    <t>JM21080292</t>
  </si>
  <si>
    <t>JM23000001</t>
  </si>
  <si>
    <t>AGARRE / MLS100</t>
  </si>
  <si>
    <t>JM23000002</t>
  </si>
  <si>
    <t>SOPORTE DE MANGO / MLS100</t>
  </si>
  <si>
    <t>JM23000003</t>
  </si>
  <si>
    <t>JM23000004</t>
  </si>
  <si>
    <t>JM23000005</t>
  </si>
  <si>
    <t>MUELLE DE GOLPE / MLS100</t>
  </si>
  <si>
    <t>JM23000007</t>
  </si>
  <si>
    <t>ETIQUETA ANGULO DE CORTE / MLS100</t>
  </si>
  <si>
    <t>JM23000008</t>
  </si>
  <si>
    <t>REMACHE / MLS100</t>
  </si>
  <si>
    <t>JM23000009</t>
  </si>
  <si>
    <t>BASE / MLS100</t>
  </si>
  <si>
    <t>JM23000012</t>
  </si>
  <si>
    <t>TORNILLO / MLS100</t>
  </si>
  <si>
    <t>JM23000013</t>
  </si>
  <si>
    <t>JM23000016</t>
  </si>
  <si>
    <t>PLACA DESLIZANTE / MLS100</t>
  </si>
  <si>
    <t>JM23000018</t>
  </si>
  <si>
    <t>TORNILLO AVELLANADO / MLS100</t>
  </si>
  <si>
    <t>JM23000021</t>
  </si>
  <si>
    <t>BASE DE GIRO / MLS100</t>
  </si>
  <si>
    <t>JM23000023</t>
  </si>
  <si>
    <t>REGLA GUIA / MLS100</t>
  </si>
  <si>
    <t>JM23000024</t>
  </si>
  <si>
    <t>JM23000026</t>
  </si>
  <si>
    <t>JM23000030</t>
  </si>
  <si>
    <t>JM23000032</t>
  </si>
  <si>
    <t>JM23000036</t>
  </si>
  <si>
    <t>JM23000039</t>
  </si>
  <si>
    <t>TORNILLO M6X16 / UNIVERSAL</t>
  </si>
  <si>
    <t>JM23000040</t>
  </si>
  <si>
    <t>JM23000041</t>
  </si>
  <si>
    <t>JM23000044</t>
  </si>
  <si>
    <t>TUERCA M12 / UNIVERSAL</t>
  </si>
  <si>
    <t>JM23000050</t>
  </si>
  <si>
    <t>RESORTE DE TENSION / MLS100</t>
  </si>
  <si>
    <t>JM23000052</t>
  </si>
  <si>
    <t>JM23000054</t>
  </si>
  <si>
    <t>PERNO DE DISCO / MLS100</t>
  </si>
  <si>
    <t>JM23000055</t>
  </si>
  <si>
    <t>TORNILLO ESCALONADO M5 / MLS100</t>
  </si>
  <si>
    <t>JM23000056</t>
  </si>
  <si>
    <t>ARANDELA / MLS100</t>
  </si>
  <si>
    <t>JM23000057</t>
  </si>
  <si>
    <t>TORNILLO ESCALONADO M6 / MLS100</t>
  </si>
  <si>
    <t>JM23000058</t>
  </si>
  <si>
    <t>ENLACE / MLS100</t>
  </si>
  <si>
    <t>JM23000060</t>
  </si>
  <si>
    <t>TORNILLO M4 / UNIVERSAL</t>
  </si>
  <si>
    <t>JM23000065</t>
  </si>
  <si>
    <t>BRIDA / MLS100</t>
  </si>
  <si>
    <t>JM23000066</t>
  </si>
  <si>
    <t>RESORTE DE TRABA / MLS100</t>
  </si>
  <si>
    <t>JM23000067</t>
  </si>
  <si>
    <t>TRABADOR / MLS100</t>
  </si>
  <si>
    <t>JM23000068</t>
  </si>
  <si>
    <t>CUBIERTA / MLS100</t>
  </si>
  <si>
    <t>JM23000069</t>
  </si>
  <si>
    <t>JM23000071</t>
  </si>
  <si>
    <t>TUERCA 16 / UNIVERSAL</t>
  </si>
  <si>
    <t>JM23000072</t>
  </si>
  <si>
    <t>GUARDA MOVIL / MLS100</t>
  </si>
  <si>
    <t>JM23000073</t>
  </si>
  <si>
    <t>RESORTE DE TORSION / MLS100</t>
  </si>
  <si>
    <t>JM23000074</t>
  </si>
  <si>
    <t>TORNILLO CABEZA CUADRADA M6X10 / MLS100</t>
  </si>
  <si>
    <t>JM23000075</t>
  </si>
  <si>
    <t>RUEDA DE GUARDA / MLS100</t>
  </si>
  <si>
    <t>JM23000076</t>
  </si>
  <si>
    <t>TUERCA DE EMPUJE / MLS100</t>
  </si>
  <si>
    <t>JM23000077</t>
  </si>
  <si>
    <t>JM23000078</t>
  </si>
  <si>
    <t>MANGUITO DE GOMA / MLS100</t>
  </si>
  <si>
    <t>JM23000079</t>
  </si>
  <si>
    <t>CUBIERTA DE GUARDA / MLS100</t>
  </si>
  <si>
    <t>JM23000080</t>
  </si>
  <si>
    <t>JM23000081</t>
  </si>
  <si>
    <t>JM23000084</t>
  </si>
  <si>
    <t>EJE / MLS100</t>
  </si>
  <si>
    <t>JM23000085</t>
  </si>
  <si>
    <t>LLAVE 5X10 / MLS100</t>
  </si>
  <si>
    <t>JM23000086</t>
  </si>
  <si>
    <t>RODAJE 6304-RZ / MLS100</t>
  </si>
  <si>
    <t>JM23000087</t>
  </si>
  <si>
    <t>ANILLO DE RETENCION 20 / MLS100</t>
  </si>
  <si>
    <t>JM23000088</t>
  </si>
  <si>
    <t>ENGRANAJE / MLS100</t>
  </si>
  <si>
    <t>JM23000090</t>
  </si>
  <si>
    <t>TORNILLO M8X12 / UNIVERSAL</t>
  </si>
  <si>
    <t>JM23000091</t>
  </si>
  <si>
    <t>CAJA DE ENGRANAJE / MLS100</t>
  </si>
  <si>
    <t>JM23000093</t>
  </si>
  <si>
    <t>JM23000094</t>
  </si>
  <si>
    <t>LIMITADORA DE GOMA / MLS100</t>
  </si>
  <si>
    <t>JM23000095</t>
  </si>
  <si>
    <t>PLACA DE AJUSTE / MLS100</t>
  </si>
  <si>
    <t>JM23000099</t>
  </si>
  <si>
    <t>RODAJE 6201Z / UNIVERSAL</t>
  </si>
  <si>
    <t>JM23000100</t>
  </si>
  <si>
    <t>ROTOR 220V / MLS100 - LS1017L</t>
  </si>
  <si>
    <t>JM23000102</t>
  </si>
  <si>
    <t>RODAJE 6001Z / MLS100</t>
  </si>
  <si>
    <t>JM23000103</t>
  </si>
  <si>
    <t>ANILLO DE GOMA / MLS100</t>
  </si>
  <si>
    <t>JM23000104</t>
  </si>
  <si>
    <t>ESTATOR 220V / MLS100</t>
  </si>
  <si>
    <t>JM23000111</t>
  </si>
  <si>
    <t>ABRAZADERA / MLS100</t>
  </si>
  <si>
    <t>JM23000112</t>
  </si>
  <si>
    <t>INTERRUPTOR CB21-B / MLS100</t>
  </si>
  <si>
    <t>JM23000114</t>
  </si>
  <si>
    <t>PALANCA DE INTERRUPTOR</t>
  </si>
  <si>
    <t>JM23000116</t>
  </si>
  <si>
    <t>BORNERA / MLS100</t>
  </si>
  <si>
    <t>JM23000118</t>
  </si>
  <si>
    <t>JM23000120</t>
  </si>
  <si>
    <t>TAPA DE CARBON / MLS100</t>
  </si>
  <si>
    <t>JM23000121</t>
  </si>
  <si>
    <t>PORTA CARBON/ MLS100</t>
  </si>
  <si>
    <t>JM23000123</t>
  </si>
  <si>
    <t>CARBON CB-500 / VARIOS</t>
  </si>
  <si>
    <t>JM23000125</t>
  </si>
  <si>
    <t>CUBIERTA DE LA CAJA MOTOR / MLS100</t>
  </si>
  <si>
    <t>JM23000141</t>
  </si>
  <si>
    <t>TABLERO DE CORTE / MLS100</t>
  </si>
  <si>
    <t>JM23000143</t>
  </si>
  <si>
    <t>PERILLA DE AJUSTE M10 / MLS100</t>
  </si>
  <si>
    <t>JM23000149</t>
  </si>
  <si>
    <t>CUBIERTA DE MANGO / MLS100</t>
  </si>
  <si>
    <t>JM23000151</t>
  </si>
  <si>
    <t>CAJA MOTOR  / MLS100</t>
  </si>
  <si>
    <t>JM23000178</t>
  </si>
  <si>
    <t>BOQUILLA DE POLVO / MLS100</t>
  </si>
  <si>
    <t>JM23000180</t>
  </si>
  <si>
    <t>GUARDA FIJA / MLS100</t>
  </si>
  <si>
    <t>JM23000200</t>
  </si>
  <si>
    <t>MUELLE DE GOLPE CPL / MLS100</t>
  </si>
  <si>
    <t>JM23100001</t>
  </si>
  <si>
    <t>ESTATOR 220V / LS1018L - LS1017L</t>
  </si>
  <si>
    <t>JM23100004</t>
  </si>
  <si>
    <t>DISCO  / L1018L - LS1017L</t>
  </si>
  <si>
    <t>JM23100006</t>
  </si>
  <si>
    <t>JM23100007</t>
  </si>
  <si>
    <t>JM23100009</t>
  </si>
  <si>
    <t>TUERCA M10 / UNIVERSAL</t>
  </si>
  <si>
    <t>JM23100010</t>
  </si>
  <si>
    <t>JM23100013</t>
  </si>
  <si>
    <t>JM23100014</t>
  </si>
  <si>
    <t>PERILLA M4X15 / LS1018L - LS1017L</t>
  </si>
  <si>
    <t>JM23100015</t>
  </si>
  <si>
    <t>ARANDELA DE PRESION 4 / UNIVERSAL</t>
  </si>
  <si>
    <t>JM23100016</t>
  </si>
  <si>
    <t>JM23100017</t>
  </si>
  <si>
    <t>GUIA DESLIZANTE / LS1018L - LS1017L</t>
  </si>
  <si>
    <t>JM23100018</t>
  </si>
  <si>
    <t>PLACA DE BLOQUEO A / LS1018L - LS1017L</t>
  </si>
  <si>
    <t>JM23100019</t>
  </si>
  <si>
    <t>PERILLA M4X18 / LS1018L - LS1017L</t>
  </si>
  <si>
    <t>JM23100020</t>
  </si>
  <si>
    <t>JM23100021</t>
  </si>
  <si>
    <t>RESORTE / LS1018L - LS1017L</t>
  </si>
  <si>
    <t>JM23100022</t>
  </si>
  <si>
    <t>PASADOR / LS1018L - LS1017L</t>
  </si>
  <si>
    <t>JM23100023</t>
  </si>
  <si>
    <t>PLACA DE PRENSA / LS1018L - LS1017L</t>
  </si>
  <si>
    <t>JM23100024</t>
  </si>
  <si>
    <t>EJE DE CIERRE B / SL1018L - LS1017L</t>
  </si>
  <si>
    <t>JM23100025</t>
  </si>
  <si>
    <t>SOPORTE DE BLOQUEO / LS1018L - LS1017L</t>
  </si>
  <si>
    <t>JM23100026</t>
  </si>
  <si>
    <t>EJE DE CIERRE A / LS1018L - LS1017L</t>
  </si>
  <si>
    <t>JM23100027</t>
  </si>
  <si>
    <t>MANGO DE AJUSTE / LS1018L - LS1017L</t>
  </si>
  <si>
    <t>JM23100029</t>
  </si>
  <si>
    <t>TABLA DE INSERCION  / LS1018L - LS1017L</t>
  </si>
  <si>
    <t>JM23100030</t>
  </si>
  <si>
    <t>PUNTERO DE MEDICION / LS1018L - LS1017L</t>
  </si>
  <si>
    <t>JM23100031</t>
  </si>
  <si>
    <t>TORNILLO M5X15 / UNIVERSAL</t>
  </si>
  <si>
    <t>JM23100033</t>
  </si>
  <si>
    <t>JM23100034</t>
  </si>
  <si>
    <t>PERNO HEX. M6X28 / UNIVERSAL</t>
  </si>
  <si>
    <t>JM23100035</t>
  </si>
  <si>
    <t>ANILLO DE AJUSTE / LS1018L - LS1017L</t>
  </si>
  <si>
    <t>JM23100037</t>
  </si>
  <si>
    <t>ANILLO DESLIZANTE / LS1018L - LS1017L</t>
  </si>
  <si>
    <t>JM23100038</t>
  </si>
  <si>
    <t>PASADOR DE GOMA 4X20 / LS1017L</t>
  </si>
  <si>
    <t>JM23100039</t>
  </si>
  <si>
    <t>VARILLA DE BLOQUEO / LS1017L</t>
  </si>
  <si>
    <t>JM23100040</t>
  </si>
  <si>
    <t>PERNO M6X20 / UNIVERSAL</t>
  </si>
  <si>
    <t>JM23100041</t>
  </si>
  <si>
    <t>JM23100047</t>
  </si>
  <si>
    <t>GUARDA FIJA / L1018L</t>
  </si>
  <si>
    <t>JM23100048</t>
  </si>
  <si>
    <t>PUNTERO / LS1018L - LS1017L</t>
  </si>
  <si>
    <t>JM23100049</t>
  </si>
  <si>
    <t>JM23100051</t>
  </si>
  <si>
    <t>PERILLA DE CALIBRACION / LS1018L - LS1017L</t>
  </si>
  <si>
    <t>JM23100052</t>
  </si>
  <si>
    <t>ANILLO GUIA / LS1018L - LS1017L</t>
  </si>
  <si>
    <t>JM23100053</t>
  </si>
  <si>
    <t>PLACA TIPO TUBO / LS1018L - LS1017L</t>
  </si>
  <si>
    <t>JM23100054</t>
  </si>
  <si>
    <t>RODAJE DE SUPERFICIE / LS1018L - LS1017L</t>
  </si>
  <si>
    <t>JM23100055</t>
  </si>
  <si>
    <t>ARANDELA 10X26X2.5 / UNIVERSAL</t>
  </si>
  <si>
    <t>JM23100056</t>
  </si>
  <si>
    <t>CUBIERTA SOPORTE DESLIZANTE / LS1018L - LS1017L</t>
  </si>
  <si>
    <t>JM23100057</t>
  </si>
  <si>
    <t>JM23100058</t>
  </si>
  <si>
    <t>PERILLA  / LS1018L - LS1017L</t>
  </si>
  <si>
    <t>JM23100059</t>
  </si>
  <si>
    <t>REGLA GUIA DE CORTE / L1018L - LS1017L</t>
  </si>
  <si>
    <t>JM23100060</t>
  </si>
  <si>
    <t>JM23100061</t>
  </si>
  <si>
    <t>JM23100062</t>
  </si>
  <si>
    <t>JM23100063</t>
  </si>
  <si>
    <t>CHAVETA / LS1018L - LS1017L</t>
  </si>
  <si>
    <t>JM23100065</t>
  </si>
  <si>
    <t>JM23100066</t>
  </si>
  <si>
    <t>TORNILLO MARIPOSA M6X20 / LS1018L</t>
  </si>
  <si>
    <t>JM23100067</t>
  </si>
  <si>
    <t>PERNO M4X12 / UNIVERSAL</t>
  </si>
  <si>
    <t>JM23100068</t>
  </si>
  <si>
    <t>PLACA DE FIJACION DE LASER / LS1018L - LS1017L</t>
  </si>
  <si>
    <t>JM23100069</t>
  </si>
  <si>
    <t>SUJETADOR DE CABLE / L1018L - LS1017L</t>
  </si>
  <si>
    <t>JM23100070</t>
  </si>
  <si>
    <t>LASER / LS1018L - LS1017L</t>
  </si>
  <si>
    <t>JM23100071</t>
  </si>
  <si>
    <t>JM23100072</t>
  </si>
  <si>
    <t>SUJETADOR DE CABLE / LS1018L - LS1017L</t>
  </si>
  <si>
    <t>JM23100073</t>
  </si>
  <si>
    <t>GUIA DE CABLE / LS1018L - LS1017L</t>
  </si>
  <si>
    <t>JM23100075</t>
  </si>
  <si>
    <t>BASE DE LASER / LS1018L - LS1017L</t>
  </si>
  <si>
    <t>JM23100076</t>
  </si>
  <si>
    <t>JM23100078</t>
  </si>
  <si>
    <t>RESORTE DE TORSION / LS1018L - LS1017L</t>
  </si>
  <si>
    <t>JM23100083</t>
  </si>
  <si>
    <t>JM23100084</t>
  </si>
  <si>
    <t>ANILLO IMPERMEABLE / LS1018L - LS1017L</t>
  </si>
  <si>
    <t>JM23100086</t>
  </si>
  <si>
    <t>JM23100088</t>
  </si>
  <si>
    <t>JM23100089</t>
  </si>
  <si>
    <t>JM23100090</t>
  </si>
  <si>
    <t>CUBIERTA TRASERA BARRA DESLIZANTE / LS1018L</t>
  </si>
  <si>
    <t>JM23100098</t>
  </si>
  <si>
    <t>ANILLO DE ENLACE / LS1018L - LS1017L</t>
  </si>
  <si>
    <t>JM23100101</t>
  </si>
  <si>
    <t>REMACHE DE GUARDA / LS1018L - LS1017L</t>
  </si>
  <si>
    <t>JM23100102</t>
  </si>
  <si>
    <t>RUEDA DE GUARDA / LS1018L - LS1017L</t>
  </si>
  <si>
    <t>JM23100103</t>
  </si>
  <si>
    <t>ANILLO RETENSION DE RUEDA / LS1018L - LS1017L</t>
  </si>
  <si>
    <t>JM23100104</t>
  </si>
  <si>
    <t>JM23100105</t>
  </si>
  <si>
    <t>GUARDA MOVIL / LS1018L - LS1017L</t>
  </si>
  <si>
    <t>JM23100106</t>
  </si>
  <si>
    <t>TORNILLO CUELLO CUADRADO M6X12 / UNIVERSAL</t>
  </si>
  <si>
    <t>JM23100107</t>
  </si>
  <si>
    <t>RESORTE DE LA GUARDA / LS1018L - LS1017L</t>
  </si>
  <si>
    <t>JM23100108</t>
  </si>
  <si>
    <t>PLACA DE PROTECTOR / LS1018L - LS1017L</t>
  </si>
  <si>
    <t>JM23100109</t>
  </si>
  <si>
    <t>PLACA DE FIJACION DE GUARDA / LS1018L - LS1017L</t>
  </si>
  <si>
    <t>JM23100110</t>
  </si>
  <si>
    <t>JM23100111</t>
  </si>
  <si>
    <t>PERNO HEX. M6X454 / UNIVERSAL</t>
  </si>
  <si>
    <t>JM23100112</t>
  </si>
  <si>
    <t>JM23100113</t>
  </si>
  <si>
    <t>TORNILLO CRUCETA PARA GUARDA / LS1018L</t>
  </si>
  <si>
    <t>JM23100114</t>
  </si>
  <si>
    <t>JM23100115</t>
  </si>
  <si>
    <t>ANILLO RETENSION 5 / LS1018L - LS1017L</t>
  </si>
  <si>
    <t>JM23100116</t>
  </si>
  <si>
    <t>PERNO M6X12 / UNIVERSAL</t>
  </si>
  <si>
    <t>JM23100117</t>
  </si>
  <si>
    <t>PUERTO DE POLVO / LS1018L - LS1017L</t>
  </si>
  <si>
    <t>JM23100123</t>
  </si>
  <si>
    <t>JM23100124</t>
  </si>
  <si>
    <t>BRIDA INTERNA / LS1018L - LS1017L</t>
  </si>
  <si>
    <t>JM23100125</t>
  </si>
  <si>
    <t>CAJA DE BATERIA / LS1018L - LS1017L</t>
  </si>
  <si>
    <t>JM23100126</t>
  </si>
  <si>
    <t>TUBO DE CORDON / LS1018L - LS1017L</t>
  </si>
  <si>
    <t>JM23100127</t>
  </si>
  <si>
    <t>CUBIERTA DE INTERRUPTOR LASER / LS1018L</t>
  </si>
  <si>
    <t>JM23100128</t>
  </si>
  <si>
    <t>CUBIERTA DE BATERIA / LS1018L - LS1017L</t>
  </si>
  <si>
    <t>JM23100129</t>
  </si>
  <si>
    <t>INTERRUPTOR LASER / LS1018L - LS1017L</t>
  </si>
  <si>
    <t>JM23100130</t>
  </si>
  <si>
    <t>TORNILLO 2.9X12 / UNIVERSAL</t>
  </si>
  <si>
    <t>JM23100131</t>
  </si>
  <si>
    <t>CONECTOR DE BATERIA / LS1018L - LS1017L</t>
  </si>
  <si>
    <t>JM23100132</t>
  </si>
  <si>
    <t>JM23100133</t>
  </si>
  <si>
    <t>TORNILLO DE CAJA DE BATERIA / LS1018L</t>
  </si>
  <si>
    <t>JM23100134</t>
  </si>
  <si>
    <t>TRABADOR DE DISCO / LS1017L</t>
  </si>
  <si>
    <t>JM23100135</t>
  </si>
  <si>
    <t>RESORTE DE TRABA / LS1017L</t>
  </si>
  <si>
    <t>JM23100137</t>
  </si>
  <si>
    <t>PERNO / LS1017L</t>
  </si>
  <si>
    <t>JM23100138</t>
  </si>
  <si>
    <t>CUBIERTA DE LA TRABA / LS1017L</t>
  </si>
  <si>
    <t>JM23100146</t>
  </si>
  <si>
    <t>PERNO M4X10 / UNIVERSAL</t>
  </si>
  <si>
    <t>JM23100147</t>
  </si>
  <si>
    <t>BUFFER / LS1018L - LS1017L</t>
  </si>
  <si>
    <t>JM23100149</t>
  </si>
  <si>
    <t>JM23100152</t>
  </si>
  <si>
    <t>TORNILLO MARIPOSA M6X10 / L1S018L - LS1017L</t>
  </si>
  <si>
    <t>JM23100153</t>
  </si>
  <si>
    <t>PERNO DE DISCO / LS1018L - LS1017L</t>
  </si>
  <si>
    <t>JM23100154</t>
  </si>
  <si>
    <t>JM23100155</t>
  </si>
  <si>
    <t>EJE / LS1017L</t>
  </si>
  <si>
    <t>JM23100156</t>
  </si>
  <si>
    <t>LLAVE 5X10 / VARIOS</t>
  </si>
  <si>
    <t>JM23100157</t>
  </si>
  <si>
    <t>RODAJE 6304 / LS1017L</t>
  </si>
  <si>
    <t>JM23100159</t>
  </si>
  <si>
    <t>ENGRANAJE / LS1017L</t>
  </si>
  <si>
    <t>JM23100160</t>
  </si>
  <si>
    <t>RETENEDOR DE RODAJE 16 / LS1017L</t>
  </si>
  <si>
    <t>JM23100161</t>
  </si>
  <si>
    <t>TORNILLO M8X12 / LS1017L</t>
  </si>
  <si>
    <t>JM23100166</t>
  </si>
  <si>
    <t>PRENSA CABLE / LS1018L - LS1017L</t>
  </si>
  <si>
    <t>JM23100167</t>
  </si>
  <si>
    <t>TORNILLO M4X16 / UNIVERSAL</t>
  </si>
  <si>
    <t>JM23100169</t>
  </si>
  <si>
    <t>CONDENSADOR / LS1018L</t>
  </si>
  <si>
    <t>JM23100172</t>
  </si>
  <si>
    <t>ANILLO DE GOMA / LS1018L</t>
  </si>
  <si>
    <t>JM23100173</t>
  </si>
  <si>
    <t>JM23100174</t>
  </si>
  <si>
    <t>GATILLO DE INTERRUPTOR / LS1018L</t>
  </si>
  <si>
    <t>JM23100175</t>
  </si>
  <si>
    <t>BLOQUEO DE INTERRUPTOR / LS1018L</t>
  </si>
  <si>
    <t>JM23100176</t>
  </si>
  <si>
    <t>RESORTE DE GATILLO / LS1018L</t>
  </si>
  <si>
    <t>JM23100177</t>
  </si>
  <si>
    <t>BOTON DE BLOQUEO / LS1018L</t>
  </si>
  <si>
    <t>JM23100178</t>
  </si>
  <si>
    <t>INTERRUPTOR DE FRENO / LS1018L - LS1017L</t>
  </si>
  <si>
    <t>JM23100179</t>
  </si>
  <si>
    <t>INTERRUPTOR / LS1018L</t>
  </si>
  <si>
    <t>JM23100180</t>
  </si>
  <si>
    <t>MANGO DERECHO / LS1017L</t>
  </si>
  <si>
    <t>JM23100182</t>
  </si>
  <si>
    <t>TAPA DE CARBON / LS1018L - LS1017L</t>
  </si>
  <si>
    <t>JM23100184</t>
  </si>
  <si>
    <t>PORTA CARBON / LS1018L</t>
  </si>
  <si>
    <t>JM23100186</t>
  </si>
  <si>
    <t>ARRANCADOR SUAVE / L1018L - LS1017L</t>
  </si>
  <si>
    <t>JM23100187</t>
  </si>
  <si>
    <t>JM23100188</t>
  </si>
  <si>
    <t>CUBIERTA TRASERA CAJA MOTOR / LS1018L - LS1017L</t>
  </si>
  <si>
    <t>JM23100191</t>
  </si>
  <si>
    <t>ANILLO 25.4 / VARIOS</t>
  </si>
  <si>
    <t>JM23100300</t>
  </si>
  <si>
    <t>BASE CPL / LS1018L</t>
  </si>
  <si>
    <t>JM23100320</t>
  </si>
  <si>
    <t>SOPORTE DE GUIA IZQUIERDO / LS1018L - LS1017L</t>
  </si>
  <si>
    <t>JM23100330</t>
  </si>
  <si>
    <t>SOPORTE DE BRAZO / LS1018L</t>
  </si>
  <si>
    <t>JM23100342</t>
  </si>
  <si>
    <t>EJES DESLIZANTE / LS1018L</t>
  </si>
  <si>
    <t>JM23100350</t>
  </si>
  <si>
    <t>JM23100370</t>
  </si>
  <si>
    <t>CAJA MOTOR / LS1017L</t>
  </si>
  <si>
    <t>JM23100390</t>
  </si>
  <si>
    <t>LASER CPL / LS1018L - LS1017L</t>
  </si>
  <si>
    <t>JM23100500</t>
  </si>
  <si>
    <t>EXTENSION / VARIOS</t>
  </si>
  <si>
    <t>JM23100501</t>
  </si>
  <si>
    <t>JM23100502</t>
  </si>
  <si>
    <t>TORNILLO DE BANCO / VARIOS</t>
  </si>
  <si>
    <t>JM23200001</t>
  </si>
  <si>
    <t>ROTOR 220V / L1S018L</t>
  </si>
  <si>
    <t>JM23200004</t>
  </si>
  <si>
    <t>ESCALA DE VISEL / LS1018L</t>
  </si>
  <si>
    <t>JM23200005</t>
  </si>
  <si>
    <t>LIMITADOR DE CALIBRACION / L1018L</t>
  </si>
  <si>
    <t>JM23200006</t>
  </si>
  <si>
    <t>PERNO M6X22 / UNIVERSAL</t>
  </si>
  <si>
    <t>JM23200007</t>
  </si>
  <si>
    <t>PASADOR DE SOPORTE DERECHO / LS1018L</t>
  </si>
  <si>
    <t>JM23200008</t>
  </si>
  <si>
    <t>SOPORTE GUIA DERECHO / LS1018L</t>
  </si>
  <si>
    <t>JM23200009</t>
  </si>
  <si>
    <t>JM23200012</t>
  </si>
  <si>
    <t>ANILLO DE EJE 15.88 / LS1018L</t>
  </si>
  <si>
    <t>JM23200013</t>
  </si>
  <si>
    <t>JM23200014</t>
  </si>
  <si>
    <t>TORNILLO AVELLANADO M6X15 / LS1018L</t>
  </si>
  <si>
    <t>JM23200015</t>
  </si>
  <si>
    <t>PLACA AJUSTE DE RODAJE / LS1018L</t>
  </si>
  <si>
    <t>JM23200016</t>
  </si>
  <si>
    <t>CUBIERTA DE RODAMIENTO / LS1018L</t>
  </si>
  <si>
    <t>JM23200017</t>
  </si>
  <si>
    <t>EJE / LS1018L</t>
  </si>
  <si>
    <t>JM23200018</t>
  </si>
  <si>
    <t>CHAVETA 4X10 / LS1018L</t>
  </si>
  <si>
    <t>JM23200019</t>
  </si>
  <si>
    <t>JM23200020</t>
  </si>
  <si>
    <t>ENGRANAJE / L1018L</t>
  </si>
  <si>
    <t>JM23200021</t>
  </si>
  <si>
    <t>ARANDELA DE EJE / LS1018L</t>
  </si>
  <si>
    <t>JM23200022</t>
  </si>
  <si>
    <t>ANILLO DE RETENCION 14 / LS1018L</t>
  </si>
  <si>
    <t>JM23200023</t>
  </si>
  <si>
    <t>CASQUILLO DE ACEITE / LS1018L</t>
  </si>
  <si>
    <t>JM23200025</t>
  </si>
  <si>
    <t>RESORTE / LS1018L</t>
  </si>
  <si>
    <t>JM23200026</t>
  </si>
  <si>
    <t>PASADOR DE TRABA / LS1018L</t>
  </si>
  <si>
    <t>JM23200027</t>
  </si>
  <si>
    <t>ANILLO DE RETENCION 10.5X1 / L1S018L</t>
  </si>
  <si>
    <t>JM23200029</t>
  </si>
  <si>
    <t>JM23200030</t>
  </si>
  <si>
    <t>ANILLO DE RETENCION 16 / LS1018L</t>
  </si>
  <si>
    <t>JM23200031</t>
  </si>
  <si>
    <t>JM23200032</t>
  </si>
  <si>
    <t>RODAJE 6001 / UNIVERSAL</t>
  </si>
  <si>
    <t>JM23200034</t>
  </si>
  <si>
    <t>MANGO DERECHO / LS1018L</t>
  </si>
  <si>
    <t>JM23200036</t>
  </si>
  <si>
    <t>MANGO IZQUIERDO / L1018L</t>
  </si>
  <si>
    <t>JM23200037</t>
  </si>
  <si>
    <t>GUIA DE CORTE / LS1018L</t>
  </si>
  <si>
    <t>JM23200110</t>
  </si>
  <si>
    <t>JM23200120</t>
  </si>
  <si>
    <t>CAJA MOTOR  / LS1018L</t>
  </si>
  <si>
    <t>JM23200130</t>
  </si>
  <si>
    <t>CAJA DE ENGRANAJE / LS1018L</t>
  </si>
  <si>
    <t>JM23200147</t>
  </si>
  <si>
    <t>JM23300001</t>
  </si>
  <si>
    <t>ROTOR 220V / LH1201FL</t>
  </si>
  <si>
    <t>JM23300003</t>
  </si>
  <si>
    <t>ESTATOR 220V / LH1201FL</t>
  </si>
  <si>
    <t>JM23300008</t>
  </si>
  <si>
    <t>GUIA PARALELA</t>
  </si>
  <si>
    <t>JM23300026</t>
  </si>
  <si>
    <t>ARANDELA PLANA 4 / LH1201FL</t>
  </si>
  <si>
    <t>JM23300028</t>
  </si>
  <si>
    <t>JM23300044</t>
  </si>
  <si>
    <t>ENGRANAJE  / LH1201FL</t>
  </si>
  <si>
    <t>JM23300050</t>
  </si>
  <si>
    <t>PERNO LISO / LH1201FL</t>
  </si>
  <si>
    <t>JM23300053</t>
  </si>
  <si>
    <t>BRIDA EXTERNA / LH1201FL</t>
  </si>
  <si>
    <t>JM23300054</t>
  </si>
  <si>
    <t>JM23300055</t>
  </si>
  <si>
    <t>PLATO CENTRO / LH1201FL</t>
  </si>
  <si>
    <t>JM23300056</t>
  </si>
  <si>
    <t>PLACA CENTRAL DE LA GUARDA / LH1201FL</t>
  </si>
  <si>
    <t>JM23300059</t>
  </si>
  <si>
    <t>ARANDELA CENTRAL / LH1201FL</t>
  </si>
  <si>
    <t>JM23300060</t>
  </si>
  <si>
    <t>RESORTE DE GUARDA / LH1201FL</t>
  </si>
  <si>
    <t>JM23300061</t>
  </si>
  <si>
    <t>SOPORTE DE GUARDA / LH1201FL</t>
  </si>
  <si>
    <t>JM23300063</t>
  </si>
  <si>
    <t>PLACA CENTRAL / LH1201FL</t>
  </si>
  <si>
    <t>JM23300064</t>
  </si>
  <si>
    <t>JM23300072</t>
  </si>
  <si>
    <t>ANILLO DE GOMA / LH1201FL</t>
  </si>
  <si>
    <t>JM23300085</t>
  </si>
  <si>
    <t>ARRANQUE SUAVE / LH1200FL - LH1201FL</t>
  </si>
  <si>
    <t>JM23300096</t>
  </si>
  <si>
    <t>INTERRUPTOR / LH1200FL - LH1201FL</t>
  </si>
  <si>
    <t>JM23300112</t>
  </si>
  <si>
    <t>CUBIERTA DE BOTON / LH1201FL</t>
  </si>
  <si>
    <t>JM23300121</t>
  </si>
  <si>
    <t>JM23300122</t>
  </si>
  <si>
    <t>PLACA DE BLOQUEO / LH1200FL</t>
  </si>
  <si>
    <t>JM23300139</t>
  </si>
  <si>
    <t>JM23300190</t>
  </si>
  <si>
    <t>REGLA GUIA / LH1201FL</t>
  </si>
  <si>
    <t>JM23300191</t>
  </si>
  <si>
    <t>JM23300192</t>
  </si>
  <si>
    <t>JM23300203</t>
  </si>
  <si>
    <t>JM23300310</t>
  </si>
  <si>
    <t>GUARDA / LH1201FL</t>
  </si>
  <si>
    <t>JM23400060</t>
  </si>
  <si>
    <t>BOCINA DE RUEDA / WST05</t>
  </si>
  <si>
    <t>JM23500137</t>
  </si>
  <si>
    <t>JM23600001</t>
  </si>
  <si>
    <t>PLACA DE FIJACION / WST06</t>
  </si>
  <si>
    <t>JM23600002</t>
  </si>
  <si>
    <t>JM23600003</t>
  </si>
  <si>
    <t>SOPORTE DE APOYO / WST06</t>
  </si>
  <si>
    <t>JM23600004</t>
  </si>
  <si>
    <t>CUBIERTA / WST06</t>
  </si>
  <si>
    <t>JM23600005</t>
  </si>
  <si>
    <t>MANGA / WST06</t>
  </si>
  <si>
    <t>JM23600006</t>
  </si>
  <si>
    <t>PERILLA DE BLOQUEO A / WST06</t>
  </si>
  <si>
    <t>JM23600007</t>
  </si>
  <si>
    <t>BRAZO GUIA / WTS06</t>
  </si>
  <si>
    <t>JM23600008</t>
  </si>
  <si>
    <t>ALMOHADILLA A / WST06</t>
  </si>
  <si>
    <t>JM23600009</t>
  </si>
  <si>
    <t>ALMOHADILLA B / WST06</t>
  </si>
  <si>
    <t>JM23600010</t>
  </si>
  <si>
    <t>PERNO HEX. M8X12 / UNIVERSAL</t>
  </si>
  <si>
    <t>JM23600011</t>
  </si>
  <si>
    <t>ASA DE TRANSPORTE / WST06</t>
  </si>
  <si>
    <t>JM23600012</t>
  </si>
  <si>
    <t>JM23600013</t>
  </si>
  <si>
    <t>PLACA DE ENLACE / WST06</t>
  </si>
  <si>
    <t>JM23600014</t>
  </si>
  <si>
    <t>JM23600015</t>
  </si>
  <si>
    <t>CUBIERTA DE RIEL / WTS06</t>
  </si>
  <si>
    <t>JM23600016</t>
  </si>
  <si>
    <t>PERILLA DE BLOQUEO B / WST06</t>
  </si>
  <si>
    <t>JM23600017</t>
  </si>
  <si>
    <t>TORNILLO AUTOPERFORANTE ST 4.2 / WTS06</t>
  </si>
  <si>
    <t>JM23600018</t>
  </si>
  <si>
    <t>PERNO HEX M6 / WTS06</t>
  </si>
  <si>
    <t>JM23600019</t>
  </si>
  <si>
    <t>ARANDELA 6 / WTS06</t>
  </si>
  <si>
    <t>JM23600020</t>
  </si>
  <si>
    <t>BLOQUEO DE CIERRE / WTS06</t>
  </si>
  <si>
    <t>JM23600021</t>
  </si>
  <si>
    <t>RESORTE / WTS06</t>
  </si>
  <si>
    <t>JM23600022</t>
  </si>
  <si>
    <t>PERNO N8 / WTS06</t>
  </si>
  <si>
    <t>JM23600025</t>
  </si>
  <si>
    <t>MANGO DE BLOQUEO / WTS06</t>
  </si>
  <si>
    <t>JM23600026</t>
  </si>
  <si>
    <t>SOPORTE / WTS06</t>
  </si>
  <si>
    <t>JM23600027</t>
  </si>
  <si>
    <t>PERNO HEX. M8 / UNIVERSAL</t>
  </si>
  <si>
    <t>JM23600028</t>
  </si>
  <si>
    <t>TUERCA DE RANURA M8 / WST06</t>
  </si>
  <si>
    <t>JM23600029</t>
  </si>
  <si>
    <t>CARRIL DESLIZANTE / WST06</t>
  </si>
  <si>
    <t>JM23600030</t>
  </si>
  <si>
    <t>ARANDELA 8 / WTS06</t>
  </si>
  <si>
    <t>JM23600031</t>
  </si>
  <si>
    <t>PERNO HEX. M8 / WTS06</t>
  </si>
  <si>
    <t>JM23600033</t>
  </si>
  <si>
    <t>TUBO / WST06</t>
  </si>
  <si>
    <t>JM23600034</t>
  </si>
  <si>
    <t>JM23600035</t>
  </si>
  <si>
    <t>SOPORTE DE RODILLO / WST06</t>
  </si>
  <si>
    <t>JM23600036</t>
  </si>
  <si>
    <t>MANIJA PARA TIRAR / WST06</t>
  </si>
  <si>
    <t>JM23600037</t>
  </si>
  <si>
    <t>JM23600038</t>
  </si>
  <si>
    <t>PASADOR / WST06</t>
  </si>
  <si>
    <t>JM23600039</t>
  </si>
  <si>
    <t>ALMOHADILLA DE FRICCION 13 / WST06</t>
  </si>
  <si>
    <t>JM23600040</t>
  </si>
  <si>
    <t>RESORTE / WST06</t>
  </si>
  <si>
    <t>JM23600041</t>
  </si>
  <si>
    <t>ALMOHADILLA DE FRICCION 8 / WST06</t>
  </si>
  <si>
    <t>JM23600042</t>
  </si>
  <si>
    <t>ANILLO E 6 / WST06</t>
  </si>
  <si>
    <t>JM23600047</t>
  </si>
  <si>
    <t>GORRA DE SOPORTE A / WTS06</t>
  </si>
  <si>
    <t>JM23600048</t>
  </si>
  <si>
    <t>GORRA DE SOPORTE B / WTS06</t>
  </si>
  <si>
    <t>JM23600049</t>
  </si>
  <si>
    <t>TUERCA / WST06</t>
  </si>
  <si>
    <t>JM23600052</t>
  </si>
  <si>
    <t>SOPORTE PRINCIPAL B / WST06</t>
  </si>
  <si>
    <t>JM23600053</t>
  </si>
  <si>
    <t>PERNO HEX. M6 / UNIVERSAL</t>
  </si>
  <si>
    <t>JM23600054</t>
  </si>
  <si>
    <t>SOPORTE ´PRINCIPAL A / WST06</t>
  </si>
  <si>
    <t>JM23600055</t>
  </si>
  <si>
    <t>SOPORTE DE RUEDA / WST06</t>
  </si>
  <si>
    <t>JM23600056</t>
  </si>
  <si>
    <t>PERNO M8 / WST06</t>
  </si>
  <si>
    <t>JM23600057</t>
  </si>
  <si>
    <t>RUEDA / WST06</t>
  </si>
  <si>
    <t>JM23600059</t>
  </si>
  <si>
    <t>JM23600060</t>
  </si>
  <si>
    <t>MUELLE IZQUIERDO / WTS06</t>
  </si>
  <si>
    <t>JM23600061</t>
  </si>
  <si>
    <t>PERNO HEX. M4 / WTS06</t>
  </si>
  <si>
    <t>JM23610001</t>
  </si>
  <si>
    <t>SOPORTE DE CERRADURA / WTS06</t>
  </si>
  <si>
    <t>JM23610002</t>
  </si>
  <si>
    <t>MARCO PRINCIPAL / WTS06</t>
  </si>
  <si>
    <t>JM23610003</t>
  </si>
  <si>
    <t>PATA A CPL / WTS06</t>
  </si>
  <si>
    <t>JM23610004</t>
  </si>
  <si>
    <t>PATA B CPL / WTS06</t>
  </si>
  <si>
    <t>JM23610005</t>
  </si>
  <si>
    <t>PATA C CPL / WST06</t>
  </si>
  <si>
    <t>JM23610051</t>
  </si>
  <si>
    <t>SERIE DE SOPORTE / WTS06</t>
  </si>
  <si>
    <t>JM2361A006</t>
  </si>
  <si>
    <t>PLACA ESPACIADORA / WTS06</t>
  </si>
  <si>
    <t>JM27000001</t>
  </si>
  <si>
    <t>PERNO HEX. M10X35 / UNIVERSAL</t>
  </si>
  <si>
    <t>JM27000002</t>
  </si>
  <si>
    <t>ARANDELA DE PRESION 10 / MLT100</t>
  </si>
  <si>
    <t>JM27000003</t>
  </si>
  <si>
    <t>ARANDELA PLANA 10 / MLT100 - LB1200F</t>
  </si>
  <si>
    <t>JM27000004</t>
  </si>
  <si>
    <t>TORNILLO ST3.9X12 / UNIVERSAL</t>
  </si>
  <si>
    <t>JM27000006</t>
  </si>
  <si>
    <t>AGARRE INTERIOR / MLT100</t>
  </si>
  <si>
    <t>JM27000007</t>
  </si>
  <si>
    <t>JM27000009</t>
  </si>
  <si>
    <t>JM27000011</t>
  </si>
  <si>
    <t>JM27000012</t>
  </si>
  <si>
    <t>TOPE DE CREMALLERA TRASERA / MLT100</t>
  </si>
  <si>
    <t>JM27000013</t>
  </si>
  <si>
    <t>JM27000014</t>
  </si>
  <si>
    <t>CARRIL DESLIZANTE CUADRADO EXTERIOR / MLT100</t>
  </si>
  <si>
    <t>JM27000015</t>
  </si>
  <si>
    <t>CARRIL PLANO DESLIZANTE / MLT100</t>
  </si>
  <si>
    <t>JM27000016</t>
  </si>
  <si>
    <t>JM27000017</t>
  </si>
  <si>
    <t>ARANDELA DE PRESION 6 / MLT100</t>
  </si>
  <si>
    <t>JM27000019</t>
  </si>
  <si>
    <t>TOPE DE CREMALLERA FRONTAL / MLT100</t>
  </si>
  <si>
    <t>JM27000020</t>
  </si>
  <si>
    <t>TAPA CUADRADA DE CARRIL / MLT100</t>
  </si>
  <si>
    <t>JM27000021</t>
  </si>
  <si>
    <t>TAPA EN V DE CARRIL / MLT100</t>
  </si>
  <si>
    <t>JM27000022</t>
  </si>
  <si>
    <t>CARRIL DESLIZANTE V EXTERIOR / MLT100</t>
  </si>
  <si>
    <t>JM27000023</t>
  </si>
  <si>
    <t>CARRIL DESLIZANTE / MLT100</t>
  </si>
  <si>
    <t>JM27000026</t>
  </si>
  <si>
    <t>REMACHE 5X9 / UNIVERSAL</t>
  </si>
  <si>
    <t>JM27000027</t>
  </si>
  <si>
    <t>JM27000028</t>
  </si>
  <si>
    <t>EJE DE PIÑON / MLT100</t>
  </si>
  <si>
    <t>JM27000029</t>
  </si>
  <si>
    <t>ANILLO DE RETENCION 6 / MLT100</t>
  </si>
  <si>
    <t>JM27000030</t>
  </si>
  <si>
    <t>PLACA LIMITE DESLIZANTE / MLT100</t>
  </si>
  <si>
    <t>JM27000032</t>
  </si>
  <si>
    <t>JM27000033</t>
  </si>
  <si>
    <t>JM27000034</t>
  </si>
  <si>
    <t>TUERCA M4 / UNIVERSAL</t>
  </si>
  <si>
    <t>JM27000035</t>
  </si>
  <si>
    <t>MESA DESLIZANTE / MLT100</t>
  </si>
  <si>
    <t>JM27000036</t>
  </si>
  <si>
    <t>CUBIERTA DE MESA DESLIZANTE / MLT100</t>
  </si>
  <si>
    <t>JM27000037</t>
  </si>
  <si>
    <t>TORNILLO ST3.9X8 / UNIVERSAL</t>
  </si>
  <si>
    <t>JM27000038</t>
  </si>
  <si>
    <t>JM27000039</t>
  </si>
  <si>
    <t>SOPORTE DE CAJA DE DISCO / MLT100</t>
  </si>
  <si>
    <t>JM27000042</t>
  </si>
  <si>
    <t>JM27000043</t>
  </si>
  <si>
    <t>PERNO DE MANDO M6X20 / MLT100</t>
  </si>
  <si>
    <t>JM27000046</t>
  </si>
  <si>
    <t>JM27000047</t>
  </si>
  <si>
    <t>ARANDELA 5 / MLT100</t>
  </si>
  <si>
    <t>JM27000048</t>
  </si>
  <si>
    <t>JM27000054</t>
  </si>
  <si>
    <t>GUARDA DE CORTE / MLT100</t>
  </si>
  <si>
    <t>JM27000066</t>
  </si>
  <si>
    <t>TORNILLO PLANO M4X8 / UNIVERSAL</t>
  </si>
  <si>
    <t>JM27000067</t>
  </si>
  <si>
    <t>TABLA DE INSERCION (PLASTICO) / MLT100</t>
  </si>
  <si>
    <t>JM27000068</t>
  </si>
  <si>
    <t>JM27000070</t>
  </si>
  <si>
    <t>JM27000071</t>
  </si>
  <si>
    <t>ARANDELA DE PRESION 8 / MLT100</t>
  </si>
  <si>
    <t>JM27000072</t>
  </si>
  <si>
    <t>ARANDELA PLANA 8 / MLT100</t>
  </si>
  <si>
    <t>JM27000073</t>
  </si>
  <si>
    <t>TORNILLO DE CUELLO CUADRADO / MLT100</t>
  </si>
  <si>
    <t>JM27000074</t>
  </si>
  <si>
    <t>TAPA DE RIEL DERECHO / MLT100</t>
  </si>
  <si>
    <t>JM27000077</t>
  </si>
  <si>
    <t>RIEL SUB FRONTAL / MLT100</t>
  </si>
  <si>
    <t>JM27000078</t>
  </si>
  <si>
    <t>TAPA DE RIEL IZQUIERDO / MLT100</t>
  </si>
  <si>
    <t>JM27000084</t>
  </si>
  <si>
    <t>RIEL FRONTAL ENSAMBLADO / MLT100</t>
  </si>
  <si>
    <t>JM27000086</t>
  </si>
  <si>
    <t>PALO DE EMPUJE / MLT100 - LH1201FL</t>
  </si>
  <si>
    <t>JM27000087</t>
  </si>
  <si>
    <t>LLAVES 24 / MLT100</t>
  </si>
  <si>
    <t>JM27000090</t>
  </si>
  <si>
    <t>ENTRADA POLVO/VARIOS</t>
  </si>
  <si>
    <t>JM27000101</t>
  </si>
  <si>
    <t>BOCINA DE DISCO 25.4 / MLT100</t>
  </si>
  <si>
    <t>JM27000104</t>
  </si>
  <si>
    <t>PERNO HEX. M10X45 / UNIVERSAL</t>
  </si>
  <si>
    <t>JM27000105</t>
  </si>
  <si>
    <t>CARCASA / MLT100</t>
  </si>
  <si>
    <t>JM27000106</t>
  </si>
  <si>
    <t>CARCASA CPL / MLT100</t>
  </si>
  <si>
    <t>JM27000108</t>
  </si>
  <si>
    <t>PANEL DE CARCASA / MLT100</t>
  </si>
  <si>
    <t>JM27000109</t>
  </si>
  <si>
    <t>JM27000110</t>
  </si>
  <si>
    <t>PANEL FRONTAL / MLT100</t>
  </si>
  <si>
    <t>JM27000111</t>
  </si>
  <si>
    <t>JM27000116</t>
  </si>
  <si>
    <t>DISPOSITIVO DE ARRANQUE SUAVE / MLT100</t>
  </si>
  <si>
    <t>JM27000123</t>
  </si>
  <si>
    <t>TUERCA PARA CIRCUITO / MLT100</t>
  </si>
  <si>
    <t>JM27000125</t>
  </si>
  <si>
    <t>INTERRUPTOR MAGNETICO B / MLT100</t>
  </si>
  <si>
    <t>JM27000130</t>
  </si>
  <si>
    <t>JM27000132</t>
  </si>
  <si>
    <t>INTERRUPTOR ENSAMBLADO 6 / MLT100</t>
  </si>
  <si>
    <t>JM27000137</t>
  </si>
  <si>
    <t>JM27000138</t>
  </si>
  <si>
    <t>MANGO DE BLOQUEO / MLT100</t>
  </si>
  <si>
    <t>JM27000140</t>
  </si>
  <si>
    <t>RESORTE / MLT100</t>
  </si>
  <si>
    <t>JM27000141</t>
  </si>
  <si>
    <t>JM27000142</t>
  </si>
  <si>
    <t>CREMALLERA / MLT100</t>
  </si>
  <si>
    <t>JM27000152</t>
  </si>
  <si>
    <t>PLACA DE RETENCION / MLT100</t>
  </si>
  <si>
    <t>JM27000153</t>
  </si>
  <si>
    <t>CAJA DE DISCO / MLT100</t>
  </si>
  <si>
    <t>JM27000155</t>
  </si>
  <si>
    <t>JM27000156</t>
  </si>
  <si>
    <t>JM27000157</t>
  </si>
  <si>
    <t>VARILLA DE REGULACION / MLT100</t>
  </si>
  <si>
    <t>JM27000158</t>
  </si>
  <si>
    <t>TORNILLO DESLIZANTE / MLT100</t>
  </si>
  <si>
    <t>JM27000159</t>
  </si>
  <si>
    <t>CHAVETA 4X8 / MLT100</t>
  </si>
  <si>
    <t>JM27000160</t>
  </si>
  <si>
    <t>SOPORTE DE TORNILLO DESLIZANTE / MLT100</t>
  </si>
  <si>
    <t>JM27000161</t>
  </si>
  <si>
    <t>JM27000162</t>
  </si>
  <si>
    <t>ENGRANAJE CONICO DE PLASTICO / MLT100</t>
  </si>
  <si>
    <t>JM27000163</t>
  </si>
  <si>
    <t>ANILLO DE RETENCION / MLT100</t>
  </si>
  <si>
    <t>JM27000164</t>
  </si>
  <si>
    <t>FIJADOR / MLT100</t>
  </si>
  <si>
    <t>JM27000165</t>
  </si>
  <si>
    <t>EJE DE PERILLA DE INCLINACION / MLT100</t>
  </si>
  <si>
    <t>JM27000166</t>
  </si>
  <si>
    <t>PERILLA DE ANGULO / MLT100</t>
  </si>
  <si>
    <t>JM27000167</t>
  </si>
  <si>
    <t>TORNILLO M5X12 / MLT100</t>
  </si>
  <si>
    <t>JM27000168</t>
  </si>
  <si>
    <t>PERILLA DE REGULACION / MLT100</t>
  </si>
  <si>
    <t>JM27000169</t>
  </si>
  <si>
    <t>TORNILLO M5X3 / MLT100</t>
  </si>
  <si>
    <t>JM27000170</t>
  </si>
  <si>
    <t>PLACA DE PROTECION / MLT100</t>
  </si>
  <si>
    <t>JM27000171</t>
  </si>
  <si>
    <t>BRIDA INTERIOR / MLT100</t>
  </si>
  <si>
    <t>JM27000172</t>
  </si>
  <si>
    <t>JM27000173</t>
  </si>
  <si>
    <t>JM27000177</t>
  </si>
  <si>
    <t>TORNILLO ST3.9X10 / UNIVERSAL</t>
  </si>
  <si>
    <t>JM27000179</t>
  </si>
  <si>
    <t>BRIDA EXTERIOR / MLT100</t>
  </si>
  <si>
    <t>JM27000180</t>
  </si>
  <si>
    <t>JM27000182</t>
  </si>
  <si>
    <t>PLACA/VARIOS</t>
  </si>
  <si>
    <t>JM27000185</t>
  </si>
  <si>
    <t>TAPA DE PERILLA / MLT100</t>
  </si>
  <si>
    <t>JM27000186</t>
  </si>
  <si>
    <t>PERILLA  / MLT100</t>
  </si>
  <si>
    <t>JM27000194</t>
  </si>
  <si>
    <t>PLACA DE GUIA DE CORTE / MLT100</t>
  </si>
  <si>
    <t>JM27000202</t>
  </si>
  <si>
    <t>GUIA DE CORTE / MLT100</t>
  </si>
  <si>
    <t>JM27000203</t>
  </si>
  <si>
    <t>TUERCA DE AJUSTE M6 / MLT100</t>
  </si>
  <si>
    <t>JM27000204</t>
  </si>
  <si>
    <t>TORNILLO CUELLO CUADRADO / MLT100</t>
  </si>
  <si>
    <t>JM27000208</t>
  </si>
  <si>
    <t>ARANDELA PLANA 3 / UNIVERSAL</t>
  </si>
  <si>
    <t>JM27000210</t>
  </si>
  <si>
    <t>TORNILLO MARIPOSA M6X13 / MLT100</t>
  </si>
  <si>
    <t>JM27000211</t>
  </si>
  <si>
    <t>JM27000216</t>
  </si>
  <si>
    <t>EJE DE PRENSADO / MLT100</t>
  </si>
  <si>
    <t>JM27000217</t>
  </si>
  <si>
    <t>TORNILLO MARIPOSA M10X92 / MLT100</t>
  </si>
  <si>
    <t>JM27000218</t>
  </si>
  <si>
    <t>BRAZO DE MORDAZA / MLT100</t>
  </si>
  <si>
    <t>JM27000219</t>
  </si>
  <si>
    <t>PLACA DE AJUSTE / MLT100</t>
  </si>
  <si>
    <t>JM27000224</t>
  </si>
  <si>
    <t>REGLA DE ANGULO CPL / MLT100</t>
  </si>
  <si>
    <t>JM27000292</t>
  </si>
  <si>
    <t>JM27000293</t>
  </si>
  <si>
    <t>TAPA METAL DE LA CAJA MOTOR / MLT100</t>
  </si>
  <si>
    <t>JM27000294</t>
  </si>
  <si>
    <t>TAPA DE CARBON / MLT100</t>
  </si>
  <si>
    <t>JM27000296</t>
  </si>
  <si>
    <t>PORTA CARBON / MLT100</t>
  </si>
  <si>
    <t>JM27000298</t>
  </si>
  <si>
    <t>CAJA MOTOR CPL / MLT100</t>
  </si>
  <si>
    <t>JM27000299</t>
  </si>
  <si>
    <t>PRENSA DE CABLE / MLT100</t>
  </si>
  <si>
    <t>JM27000302</t>
  </si>
  <si>
    <t>ESTATOR 220V / MLT100</t>
  </si>
  <si>
    <t>JM27000305</t>
  </si>
  <si>
    <t>TORNILLO ST4.8X70 / MLT100</t>
  </si>
  <si>
    <t>JM27000306</t>
  </si>
  <si>
    <t>ROTOR 220V / MLT100</t>
  </si>
  <si>
    <t>JM27000309</t>
  </si>
  <si>
    <t>JM27000313</t>
  </si>
  <si>
    <t>DEFLECTOR / MLT100</t>
  </si>
  <si>
    <t>JM27000316</t>
  </si>
  <si>
    <t>JM27000317</t>
  </si>
  <si>
    <t>TORNILLO AVELLANADO M5X16 / MLT100</t>
  </si>
  <si>
    <t>JM27000319</t>
  </si>
  <si>
    <t>RODAJE 6003RS / UNIVERSAL</t>
  </si>
  <si>
    <t>JM27000321</t>
  </si>
  <si>
    <t>EJE 16 / MLT100</t>
  </si>
  <si>
    <t>JM27000322</t>
  </si>
  <si>
    <t>CONJUNTO DE EJE / MLT100</t>
  </si>
  <si>
    <t>JM27000323</t>
  </si>
  <si>
    <t>CHAVETA 5X6.5X16 / MLT100</t>
  </si>
  <si>
    <t>JM27000324</t>
  </si>
  <si>
    <t>ENGRANAJE HELICOIDAL 43 / MLT100</t>
  </si>
  <si>
    <t>JM27000326</t>
  </si>
  <si>
    <t>BOCINA / MLT100</t>
  </si>
  <si>
    <t>JM27000327</t>
  </si>
  <si>
    <t>PLACA DE FIJACION / MLT100</t>
  </si>
  <si>
    <t>JM27000329</t>
  </si>
  <si>
    <t>LLAVE ALLEN 6 / UNIVERSAL</t>
  </si>
  <si>
    <t>JM27000330</t>
  </si>
  <si>
    <t>GANCHO  / MLT100</t>
  </si>
  <si>
    <t>JM27000339</t>
  </si>
  <si>
    <t>PRISIONER M6X20 / MLT100</t>
  </si>
  <si>
    <t>JM27000352</t>
  </si>
  <si>
    <t>JM27000361</t>
  </si>
  <si>
    <t>ANILLO DE GOMA / MLT100</t>
  </si>
  <si>
    <t>JM27000423</t>
  </si>
  <si>
    <t>CAJA DE ENGRANAJE / MLT100</t>
  </si>
  <si>
    <t>JM27000424</t>
  </si>
  <si>
    <t>JM27000430</t>
  </si>
  <si>
    <t>JM27000445</t>
  </si>
  <si>
    <t>RODAJE 6001RS / UNIVERSAL</t>
  </si>
  <si>
    <t>JM27000446</t>
  </si>
  <si>
    <t>RODAJE 6201RS / UNIVERSAL</t>
  </si>
  <si>
    <t>JM27000447</t>
  </si>
  <si>
    <t>PANEL DE INTERRUPTOR / MLT100</t>
  </si>
  <si>
    <t>JM27000452</t>
  </si>
  <si>
    <t>TABLA DE INSERCION (ALUMINIO) / MLT100</t>
  </si>
  <si>
    <t>JM27080009</t>
  </si>
  <si>
    <t>PLACA DE CARACTERISTICAS / MLT100</t>
  </si>
  <si>
    <t>JM27080020</t>
  </si>
  <si>
    <t>ETIQUETA DE PRECAUCION / MLT100</t>
  </si>
  <si>
    <t>JM27080123</t>
  </si>
  <si>
    <t>CAJA DE CARTON P/MLT100</t>
  </si>
  <si>
    <t>JM27100001</t>
  </si>
  <si>
    <t>MOTOR ENSAMBLADO / 2712</t>
  </si>
  <si>
    <t>JM27100003</t>
  </si>
  <si>
    <t>CABLE DE ALIMENTACION / 2712</t>
  </si>
  <si>
    <t>JM27100011</t>
  </si>
  <si>
    <t>TORNILLO HEX. M6 / UNIVERSAL</t>
  </si>
  <si>
    <t>JM27100015</t>
  </si>
  <si>
    <t>PATA B / 2712</t>
  </si>
  <si>
    <t>JM27100016</t>
  </si>
  <si>
    <t>TUERCA DE BLOQUEO / 2712</t>
  </si>
  <si>
    <t>JM27100017</t>
  </si>
  <si>
    <t>VIGA B / 2712</t>
  </si>
  <si>
    <t>JM27100018</t>
  </si>
  <si>
    <t>JM27100019</t>
  </si>
  <si>
    <t>VIGA A / 2712</t>
  </si>
  <si>
    <t>JM27100020</t>
  </si>
  <si>
    <t>JM27100021</t>
  </si>
  <si>
    <t>ALMOHADILLA DE CHOQUE / 2712</t>
  </si>
  <si>
    <t>JM27100022</t>
  </si>
  <si>
    <t>TORNILLO M8 / UNIVERSAL</t>
  </si>
  <si>
    <t>JM27100023</t>
  </si>
  <si>
    <t>TORNILLO ST4 / 2712</t>
  </si>
  <si>
    <t>JM27100024</t>
  </si>
  <si>
    <t>PATA A / 2712</t>
  </si>
  <si>
    <t>JM27100025</t>
  </si>
  <si>
    <t>ANILLO PRISIONERO 10 / 2712</t>
  </si>
  <si>
    <t>JM27100030</t>
  </si>
  <si>
    <t>GANCHO / 2712</t>
  </si>
  <si>
    <t>JM27100031</t>
  </si>
  <si>
    <t>JM27100032</t>
  </si>
  <si>
    <t>JM27100036</t>
  </si>
  <si>
    <t>RESORTE / 2712</t>
  </si>
  <si>
    <t>JM27100041</t>
  </si>
  <si>
    <t>JM27100042</t>
  </si>
  <si>
    <t>JM27100043</t>
  </si>
  <si>
    <t>BRIDA EXTERIOR / 2712</t>
  </si>
  <si>
    <t>JM27100044</t>
  </si>
  <si>
    <t>BRIDA INTERNA / 2712</t>
  </si>
  <si>
    <t>JM27100045</t>
  </si>
  <si>
    <t>JM27100046</t>
  </si>
  <si>
    <t>JM27100050</t>
  </si>
  <si>
    <t>JM27100051</t>
  </si>
  <si>
    <t>ANILLO DE RETENCION 8 / 2712</t>
  </si>
  <si>
    <t>JM27100052</t>
  </si>
  <si>
    <t>ARANDELA PLANA 8 / 2712</t>
  </si>
  <si>
    <t>JM27100053</t>
  </si>
  <si>
    <t>JM27100054</t>
  </si>
  <si>
    <t>JM27100055</t>
  </si>
  <si>
    <t>PASADOR DE AJUSTE / 2712</t>
  </si>
  <si>
    <t>JM27100057</t>
  </si>
  <si>
    <t>JM27100059</t>
  </si>
  <si>
    <t>PASADOR DE GOMA / 2712</t>
  </si>
  <si>
    <t>JM27100060</t>
  </si>
  <si>
    <t>E RING 15</t>
  </si>
  <si>
    <t>JM27100061</t>
  </si>
  <si>
    <t>AJUSTABLE BRACKET</t>
  </si>
  <si>
    <t>JM27100062</t>
  </si>
  <si>
    <t>JM27100063</t>
  </si>
  <si>
    <t>JM27100065</t>
  </si>
  <si>
    <t>JM27100066</t>
  </si>
  <si>
    <t>HSBOLT M8</t>
  </si>
  <si>
    <t>JM27100067</t>
  </si>
  <si>
    <t>CRANK</t>
  </si>
  <si>
    <t>JM27100068</t>
  </si>
  <si>
    <t>UNION / 2712</t>
  </si>
  <si>
    <t>JM27100069</t>
  </si>
  <si>
    <t>MANGUITO  / 2712</t>
  </si>
  <si>
    <t>JM27100070</t>
  </si>
  <si>
    <t>JM27100071</t>
  </si>
  <si>
    <t>BARRA DE ELEVACION / 2712</t>
  </si>
  <si>
    <t>JM27100072</t>
  </si>
  <si>
    <t>LIFTING FRAME</t>
  </si>
  <si>
    <t>JM27100076</t>
  </si>
  <si>
    <t>JM27100077</t>
  </si>
  <si>
    <t>JM27100079</t>
  </si>
  <si>
    <t>ANILLO PRISIONERO 5 / 2712 - LH1201FL</t>
  </si>
  <si>
    <t>JM27100082</t>
  </si>
  <si>
    <t>PUNTERO / 2712</t>
  </si>
  <si>
    <t>JM27100085</t>
  </si>
  <si>
    <t>CARRIL DE GUIA B / 2712</t>
  </si>
  <si>
    <t>JM27100086</t>
  </si>
  <si>
    <t>TORNILLO M6X12 / UNIVERSAL</t>
  </si>
  <si>
    <t>JM27100087</t>
  </si>
  <si>
    <t>PERNO AVELLANADO / 2712</t>
  </si>
  <si>
    <t>JM27100091</t>
  </si>
  <si>
    <t>JM27100092</t>
  </si>
  <si>
    <t>MESA LATERAL / 2712</t>
  </si>
  <si>
    <t>JM27100100</t>
  </si>
  <si>
    <t>ETIQUETA DE ESCALA / 2712</t>
  </si>
  <si>
    <t>JM27100101</t>
  </si>
  <si>
    <t>CARRIL DE GUIA A / 2712</t>
  </si>
  <si>
    <t>JM27100107</t>
  </si>
  <si>
    <t>JM27100108</t>
  </si>
  <si>
    <t>JM27100109</t>
  </si>
  <si>
    <t>PERNO HEX. M5 / UNIVERSAL</t>
  </si>
  <si>
    <t>JM27100110</t>
  </si>
  <si>
    <t>TORNILLO HEX. M4 / UNIVERSAL</t>
  </si>
  <si>
    <t>JM27100112</t>
  </si>
  <si>
    <t>INTERRUPTOR / 2712</t>
  </si>
  <si>
    <t>JM27100128</t>
  </si>
  <si>
    <t>REGLA DE EMPUJE / 2712</t>
  </si>
  <si>
    <t>JM27100131</t>
  </si>
  <si>
    <t>JM27100148</t>
  </si>
  <si>
    <t>TABLA DE INSERCION / 2712</t>
  </si>
  <si>
    <t>JM27100157</t>
  </si>
  <si>
    <t>JM27100159</t>
  </si>
  <si>
    <t>CONDENSADOR / 2712</t>
  </si>
  <si>
    <t>JM27110001</t>
  </si>
  <si>
    <t>COBERTOR  / 2712</t>
  </si>
  <si>
    <t>JM27110002</t>
  </si>
  <si>
    <t>MARCO CPL / 2712</t>
  </si>
  <si>
    <t>JM27110003</t>
  </si>
  <si>
    <t>MESA DE TRABAJO / 2712</t>
  </si>
  <si>
    <t>JM27110004</t>
  </si>
  <si>
    <t>GUARDA CPL / 2712</t>
  </si>
  <si>
    <t>JM27110005</t>
  </si>
  <si>
    <t>CALIBRADOR / 2712</t>
  </si>
  <si>
    <t>JM27170002</t>
  </si>
  <si>
    <t>LLAVE CERRADA / 2712</t>
  </si>
  <si>
    <t>JM27170003</t>
  </si>
  <si>
    <t>LLAVE ABIERTA / 2712</t>
  </si>
  <si>
    <t>JM27170004</t>
  </si>
  <si>
    <t>LLAVE DE BRIDA EXTERIOR / 2712</t>
  </si>
  <si>
    <t>JM27170005</t>
  </si>
  <si>
    <t>DISCO SIERRA 315 / 2712</t>
  </si>
  <si>
    <t>KF00000001</t>
  </si>
  <si>
    <t>CONJUNTO DE BASE / DCM501</t>
  </si>
  <si>
    <t>KF00000002</t>
  </si>
  <si>
    <t>TORNILLO DE ROSCA ST3X12 / DCM501</t>
  </si>
  <si>
    <t>KF00000003</t>
  </si>
  <si>
    <t>CUERPO PRINCIPAL / DCM501</t>
  </si>
  <si>
    <t>KF00000005</t>
  </si>
  <si>
    <t>BOTON DE PCB / DCM501</t>
  </si>
  <si>
    <t>KF00000006</t>
  </si>
  <si>
    <t>TAPA DESLIZANTE DE BATERIA / DCM501</t>
  </si>
  <si>
    <t>KF00000007</t>
  </si>
  <si>
    <t>KF00000008</t>
  </si>
  <si>
    <t>PLACA PRINCIPAL / DCM501</t>
  </si>
  <si>
    <t>KF00000009</t>
  </si>
  <si>
    <t>TUBO DE CALENTAMIENTO / DCM501</t>
  </si>
  <si>
    <t>KF00000010</t>
  </si>
  <si>
    <t>GRUPO DE CUBIERTA SUPERIOR Y MEDIO/ DCM501</t>
  </si>
  <si>
    <t>KF00000012</t>
  </si>
  <si>
    <t>CAJON DEPOSITO DE CAFE / DCM501</t>
  </si>
  <si>
    <t>KF00000013</t>
  </si>
  <si>
    <t>FILTRO / DCM501</t>
  </si>
  <si>
    <t>KF00000014</t>
  </si>
  <si>
    <t>TAPA DE CAJON / DCM501</t>
  </si>
  <si>
    <t>KF00000017</t>
  </si>
  <si>
    <t>MANGO / DCM501</t>
  </si>
  <si>
    <t>KF00000019</t>
  </si>
  <si>
    <t>TANQUE DE AGUA / DCM501</t>
  </si>
  <si>
    <t>KF00000020</t>
  </si>
  <si>
    <t>COPA INOXIDABLE / DCM501</t>
  </si>
  <si>
    <t>KF00000021</t>
  </si>
  <si>
    <t>CUBIERTA DE COPA / DCM501</t>
  </si>
  <si>
    <t>KF00000029</t>
  </si>
  <si>
    <t>CAJA DE BATERIA / DCM501</t>
  </si>
  <si>
    <t>KF00000031</t>
  </si>
  <si>
    <t>TERMINAL DE BATERIAS / DCM501</t>
  </si>
  <si>
    <t>KF00000032</t>
  </si>
  <si>
    <t>CARCASA DE BATERIAS / DCM501</t>
  </si>
  <si>
    <t>KF00000033</t>
  </si>
  <si>
    <t>CUCHARA / DCM501</t>
  </si>
  <si>
    <t>KF00000034</t>
  </si>
  <si>
    <t>CUBIERTA TANQUE DE AGUA / DCM501</t>
  </si>
  <si>
    <t>KF00000076</t>
  </si>
  <si>
    <t>KF00000122</t>
  </si>
  <si>
    <t>KF00000130</t>
  </si>
  <si>
    <t>PLACA PRINCIPAL /VARIOS</t>
  </si>
  <si>
    <t>KK00000006</t>
  </si>
  <si>
    <t>SOPORTE DE COLUMNA / TB131</t>
  </si>
  <si>
    <t>KK00000007</t>
  </si>
  <si>
    <t>ETIQUETA INDICADORA / TB131</t>
  </si>
  <si>
    <t>KK00000011</t>
  </si>
  <si>
    <t>MOTOR</t>
  </si>
  <si>
    <t>KK00000027</t>
  </si>
  <si>
    <t>EJE DE LA POLEA / TB131</t>
  </si>
  <si>
    <t>KK00000030</t>
  </si>
  <si>
    <t>KK00000031</t>
  </si>
  <si>
    <t>KK00000032</t>
  </si>
  <si>
    <t>POLEA / TB131</t>
  </si>
  <si>
    <t>KK00000034</t>
  </si>
  <si>
    <t>KK00000037</t>
  </si>
  <si>
    <t>BASE DE INTERRUPTOR / TB131</t>
  </si>
  <si>
    <t>KK00000039</t>
  </si>
  <si>
    <t>INTERRUPTOR / TB131</t>
  </si>
  <si>
    <t>KK00000045</t>
  </si>
  <si>
    <t>CAJA RESORTE / TB131</t>
  </si>
  <si>
    <t>KK00000060</t>
  </si>
  <si>
    <t>MANDRIL / TB131</t>
  </si>
  <si>
    <t>KK00000061</t>
  </si>
  <si>
    <t>LLAVE DE MANDRIL / TB131</t>
  </si>
  <si>
    <t>LC210070-3</t>
  </si>
  <si>
    <t>LC231875-8</t>
  </si>
  <si>
    <t>RESORTE 16 / VARIOS</t>
  </si>
  <si>
    <t>LC252145-2</t>
  </si>
  <si>
    <t>LC961018-5</t>
  </si>
  <si>
    <t>ANILLO DE TOPE / VARIOS</t>
  </si>
  <si>
    <t>LE00813966</t>
  </si>
  <si>
    <t>CONJUNTO PRINCIPAL 813966 / SKR200</t>
  </si>
  <si>
    <t>LE00813968</t>
  </si>
  <si>
    <t>CARCASA PRINCIPAL  / SKR200</t>
  </si>
  <si>
    <t>LE00813970</t>
  </si>
  <si>
    <t>CUBIERTA SUPERIOR / SKR200</t>
  </si>
  <si>
    <t>LE00813971</t>
  </si>
  <si>
    <t>CUBIERTA INFERIOR / SKR200</t>
  </si>
  <si>
    <t>LE00813972</t>
  </si>
  <si>
    <t>JAULA  / SKR200</t>
  </si>
  <si>
    <t>LE00813973</t>
  </si>
  <si>
    <t>LE00813975</t>
  </si>
  <si>
    <t>PATAS DE GOMA / SKR200</t>
  </si>
  <si>
    <t>M0034</t>
  </si>
  <si>
    <t>BASE MAGNETICA / HB500</t>
  </si>
  <si>
    <t>M0042</t>
  </si>
  <si>
    <t>PIÑON LARGO / HB500</t>
  </si>
  <si>
    <t>M0050-1</t>
  </si>
  <si>
    <t>SELLO DE ACEITE INTEGRAL / HB500</t>
  </si>
  <si>
    <t>M0050-2</t>
  </si>
  <si>
    <t>M0401</t>
  </si>
  <si>
    <t>PUENTE RECTIFICADOR - UD000M0401 / HB350</t>
  </si>
  <si>
    <t>M0443</t>
  </si>
  <si>
    <t>CONDUCTO LARGO 12MM / HB500</t>
  </si>
  <si>
    <t>M0521</t>
  </si>
  <si>
    <t>CASQUILLO FIJO / HB500</t>
  </si>
  <si>
    <t>M1020</t>
  </si>
  <si>
    <t>BASE MAGNETICA - UD000M1020 / HB350</t>
  </si>
  <si>
    <t>ME00200486</t>
  </si>
  <si>
    <t>ME08122015</t>
  </si>
  <si>
    <t>MM1-1</t>
  </si>
  <si>
    <t>BOTON MAGNETICO AMARILLO  / HB500</t>
  </si>
  <si>
    <t>MM1-10</t>
  </si>
  <si>
    <t>BOTON DE POTENCIA ROJO / HB500</t>
  </si>
  <si>
    <t>MM1-17</t>
  </si>
  <si>
    <t>PLACA TRASERA / HB500</t>
  </si>
  <si>
    <t>MM1-22</t>
  </si>
  <si>
    <t>BOTON DE ENCENDIDO VERDE / HB500</t>
  </si>
  <si>
    <t>MM1-5G</t>
  </si>
  <si>
    <t>TARJETA ELECTRONICA 220V / HB500</t>
  </si>
  <si>
    <t>MR00013977</t>
  </si>
  <si>
    <t>ANILLO DE GOMA / EVH2000</t>
  </si>
  <si>
    <t>MR00015848</t>
  </si>
  <si>
    <t>ARANDELA DE PRESION M5 / EVH2000</t>
  </si>
  <si>
    <t>MR00021549</t>
  </si>
  <si>
    <t>MR00022023</t>
  </si>
  <si>
    <t>TAPON DE VALVULA DE SUCCION / EVH2000</t>
  </si>
  <si>
    <t>MR00023172</t>
  </si>
  <si>
    <t>MR00023357</t>
  </si>
  <si>
    <t>COLLARIN DE VALVULA DE SUCCION / EVH2000</t>
  </si>
  <si>
    <t>MR00043426</t>
  </si>
  <si>
    <t>VALVULA DE SUCCION / EVH2000</t>
  </si>
  <si>
    <t>MR00043723</t>
  </si>
  <si>
    <t>VALVULA / EVH2000</t>
  </si>
  <si>
    <t>MR00100441</t>
  </si>
  <si>
    <t>EMPAQUE DE PISTON / EVH2000</t>
  </si>
  <si>
    <t>MR00102358</t>
  </si>
  <si>
    <t>SELLO / EVH2000</t>
  </si>
  <si>
    <t>MR00102680</t>
  </si>
  <si>
    <t>RODAMIENTO / EVH2000</t>
  </si>
  <si>
    <t>MR00102683</t>
  </si>
  <si>
    <t>SELLO DE ACEITE / EVH2000</t>
  </si>
  <si>
    <t>MR00103130</t>
  </si>
  <si>
    <t>CILINDRO / EVH2000</t>
  </si>
  <si>
    <t>MR00103575</t>
  </si>
  <si>
    <t>MR00106190</t>
  </si>
  <si>
    <t>COLLAR / EVH2000</t>
  </si>
  <si>
    <t>MR00112252</t>
  </si>
  <si>
    <t>EMPAQUE DE ACEITE / EVH2000</t>
  </si>
  <si>
    <t>MR00118018</t>
  </si>
  <si>
    <t>ASIENTO DE VALVULA / EVH2000</t>
  </si>
  <si>
    <t>MR00118055</t>
  </si>
  <si>
    <t>MANGA / EVH2000</t>
  </si>
  <si>
    <t>MR00118357</t>
  </si>
  <si>
    <t>PERNO HEX. M5X45X22 / UNIVERSAL</t>
  </si>
  <si>
    <t>MR00122013</t>
  </si>
  <si>
    <t>CAJA DE ENGRANAJE / EVH2000</t>
  </si>
  <si>
    <t>NC00000019</t>
  </si>
  <si>
    <t>NC00000021</t>
  </si>
  <si>
    <t>TERMINAL DE CARGA</t>
  </si>
  <si>
    <t>NCP002</t>
  </si>
  <si>
    <t>INTERRUPTOR - UD00NCP002 / HB350</t>
  </si>
  <si>
    <t>NCP006</t>
  </si>
  <si>
    <t>INTERRUPTOR - UD00NCP006  / HB350</t>
  </si>
  <si>
    <t>OL00000192</t>
  </si>
  <si>
    <t>OL00000200</t>
  </si>
  <si>
    <t>TUERCA HEX. / KR0700H</t>
  </si>
  <si>
    <t>OL00000577</t>
  </si>
  <si>
    <t>RUEDA 3.5-X7 / KR0700H</t>
  </si>
  <si>
    <t>OL00000578</t>
  </si>
  <si>
    <t>TUBO DE RUEDA 3.50-7 / KR0700H</t>
  </si>
  <si>
    <t>OL00000579</t>
  </si>
  <si>
    <t>ARO DE LLANTA 3.50-7 / KR0700H</t>
  </si>
  <si>
    <t>OL00000581</t>
  </si>
  <si>
    <t>PASADOR CON CABEZA 9X45 / KR0700H</t>
  </si>
  <si>
    <t>OL00000585</t>
  </si>
  <si>
    <t>ASPAS / KR0700H</t>
  </si>
  <si>
    <t>OL00000586</t>
  </si>
  <si>
    <t>EJE DE ASPAS INTERIOR L / KR0700H</t>
  </si>
  <si>
    <t>OL00000587</t>
  </si>
  <si>
    <t>EJE DE ASPAS EXTERIOR L / KR0700H</t>
  </si>
  <si>
    <t>OL00000588</t>
  </si>
  <si>
    <t>EJE DE ASPAS INTERIOR R / KR0700H</t>
  </si>
  <si>
    <t>OL00000589</t>
  </si>
  <si>
    <t>OL00000591</t>
  </si>
  <si>
    <t>PASADOR CON CABEZA 8X45 / KR0700H</t>
  </si>
  <si>
    <t>OL00000596</t>
  </si>
  <si>
    <t>FAJA EN V SA-33 / KR0700H</t>
  </si>
  <si>
    <t>OL00000609</t>
  </si>
  <si>
    <t>BANDA DE ALAMBRE / KR0700H</t>
  </si>
  <si>
    <t>OL00000614</t>
  </si>
  <si>
    <t>NIVEL DE EMBRAGUE / KR0700H</t>
  </si>
  <si>
    <t>OL00000617</t>
  </si>
  <si>
    <t>PALANCA DE ACELERACION / KR0700H</t>
  </si>
  <si>
    <t>OL00000618</t>
  </si>
  <si>
    <t>CABLE DE EMBRAGUE / KR0700H</t>
  </si>
  <si>
    <t>OL00000619</t>
  </si>
  <si>
    <t>CABLE DE ACELERACION / KR0700H</t>
  </si>
  <si>
    <t>OL00000675</t>
  </si>
  <si>
    <t>SELLO DE ACEITE 20 / KR0700H</t>
  </si>
  <si>
    <t>OL00000679</t>
  </si>
  <si>
    <t>PLACA RESISTENTE / KR0700H</t>
  </si>
  <si>
    <t>OL00000680</t>
  </si>
  <si>
    <t>SELLO DE ACEITE 30 / KR0700H</t>
  </si>
  <si>
    <t>OL00000729</t>
  </si>
  <si>
    <t>BAZO DE TENSION / KR0700H</t>
  </si>
  <si>
    <t>PR00000001</t>
  </si>
  <si>
    <t>CARCASA IZQUIERDA / HG5030</t>
  </si>
  <si>
    <t>PR00000003</t>
  </si>
  <si>
    <t>CARCASA DERECHA / HG5030</t>
  </si>
  <si>
    <t>PR00000004</t>
  </si>
  <si>
    <t>TORNILLO / HG5030 - HG6530</t>
  </si>
  <si>
    <t>PR00000005</t>
  </si>
  <si>
    <t>TAPA DE INTERRUPTOR / HG5030</t>
  </si>
  <si>
    <t>PR00000006</t>
  </si>
  <si>
    <t>PRENSA CABLE / HG5030 - HG6530</t>
  </si>
  <si>
    <t>PR00000007</t>
  </si>
  <si>
    <t>TORNILLO ST2.9X15 / UNIVERSAL</t>
  </si>
  <si>
    <t>PR00000008</t>
  </si>
  <si>
    <t>PROTECTOR DE CABLE / HG5030 - HG6530</t>
  </si>
  <si>
    <t>PR00000010</t>
  </si>
  <si>
    <t>CUBIERTA FRONTAL / HG5030 - HG6530</t>
  </si>
  <si>
    <t>PR00000011</t>
  </si>
  <si>
    <t>ANILLO DE SOPORTE / HG5030</t>
  </si>
  <si>
    <t>PR00000012</t>
  </si>
  <si>
    <t>SISTEMA DE CALENTAMIENTO / HG5030</t>
  </si>
  <si>
    <t>PR00000015</t>
  </si>
  <si>
    <t>CARCAZA IZQUIERDA / HG6530</t>
  </si>
  <si>
    <t>PR00000016</t>
  </si>
  <si>
    <t>CUBIERTA TRASERA / HG6031V</t>
  </si>
  <si>
    <t>PR00000017</t>
  </si>
  <si>
    <t>DISCO DE RESISTENCIA / HG6031V</t>
  </si>
  <si>
    <t>PR00000018</t>
  </si>
  <si>
    <t>CARCASA TRASERA / HG6031V</t>
  </si>
  <si>
    <t>PR00000019</t>
  </si>
  <si>
    <t>CONTROLADOR 220V / HG6031V</t>
  </si>
  <si>
    <t>PR00000020</t>
  </si>
  <si>
    <t>TORNILLO / HG6530</t>
  </si>
  <si>
    <t>PR00000021</t>
  </si>
  <si>
    <t>MOTOR 220V / HG6031V</t>
  </si>
  <si>
    <t>PR00000023</t>
  </si>
  <si>
    <t>CARCAZA DERECHA / HG6530</t>
  </si>
  <si>
    <t>PR00000024</t>
  </si>
  <si>
    <t>CALENTADOR E INTERRUPTOR / HG6031V</t>
  </si>
  <si>
    <t>PR00000026</t>
  </si>
  <si>
    <t>CUBIERTA DE INTERRUPTOR / HG6530</t>
  </si>
  <si>
    <t>PR00000068</t>
  </si>
  <si>
    <t>CUBIERTA TRASERA / HG6530</t>
  </si>
  <si>
    <t>PR00000069</t>
  </si>
  <si>
    <t>BOTON DE AIRE / HG6530</t>
  </si>
  <si>
    <t>PR00000070</t>
  </si>
  <si>
    <t>ESPONJA / HG6530</t>
  </si>
  <si>
    <t>PR00000071</t>
  </si>
  <si>
    <t>CUBIERTA INTERIOR / HG6530</t>
  </si>
  <si>
    <t>PR00000073</t>
  </si>
  <si>
    <t>CONTROLADOR / HG6530</t>
  </si>
  <si>
    <t>PR00000075</t>
  </si>
  <si>
    <t>MOTOR  30V / HG6530</t>
  </si>
  <si>
    <t>PR00000078</t>
  </si>
  <si>
    <t>RESISTENCIA / HG6530</t>
  </si>
  <si>
    <t>PR00000128</t>
  </si>
  <si>
    <t>PR00000130</t>
  </si>
  <si>
    <t>PR00000132</t>
  </si>
  <si>
    <t>TORNILLO ST0.4X12 / UNIVERSAL</t>
  </si>
  <si>
    <t>PR00000136</t>
  </si>
  <si>
    <t>PR00000137</t>
  </si>
  <si>
    <t>CABEZAL DE AEROSOL / VARIOS</t>
  </si>
  <si>
    <t>PR00000138</t>
  </si>
  <si>
    <t>SOPORTE DE BOQUILLA / DUS054 - US053D</t>
  </si>
  <si>
    <t>PR00000139</t>
  </si>
  <si>
    <t>JUNTA DE VARILLA / DUS054 - US053D</t>
  </si>
  <si>
    <t>PR00000140</t>
  </si>
  <si>
    <t>TAPA FINAL / DUS054 - USD053D</t>
  </si>
  <si>
    <t>PR00000141</t>
  </si>
  <si>
    <t>PERILLA DE AJUSTE / DUS054 - USD053D</t>
  </si>
  <si>
    <t>PR00000142</t>
  </si>
  <si>
    <t>PR00000143</t>
  </si>
  <si>
    <t>SELLO DE ALMOHADILLA / DUS054 - US053D</t>
  </si>
  <si>
    <t>PR00000144</t>
  </si>
  <si>
    <t>GANCHO / DUS054 - US053D</t>
  </si>
  <si>
    <t>PR00000145</t>
  </si>
  <si>
    <t>VARITA DE ROCEADOR / DUS054 - US053D</t>
  </si>
  <si>
    <t>PR00000146</t>
  </si>
  <si>
    <t>SELLO DE GOMA / DUS054 - US053D</t>
  </si>
  <si>
    <t>PR00000147</t>
  </si>
  <si>
    <t>PR00000148</t>
  </si>
  <si>
    <t>PR00000149</t>
  </si>
  <si>
    <t>PR00000150</t>
  </si>
  <si>
    <t>PR00000151</t>
  </si>
  <si>
    <t>VARILLA DE VALVULA / VARIOS</t>
  </si>
  <si>
    <t>PR00000152</t>
  </si>
  <si>
    <t>CUBIERTA DE CERRADURA / VARIOS</t>
  </si>
  <si>
    <t>PR00000153</t>
  </si>
  <si>
    <t>PR00000154</t>
  </si>
  <si>
    <t>PR00000155</t>
  </si>
  <si>
    <t>MANGUERA DELROSEADOR / VARIOS</t>
  </si>
  <si>
    <t>PR00000159</t>
  </si>
  <si>
    <t>BOTON DE CUBIERTA DE BATERIA / VARIOS</t>
  </si>
  <si>
    <t>PR00000160</t>
  </si>
  <si>
    <t>PR00000162</t>
  </si>
  <si>
    <t>BOTON / VARIOS</t>
  </si>
  <si>
    <t>PR00000163</t>
  </si>
  <si>
    <t>EJES / DUS054 - US053D</t>
  </si>
  <si>
    <t>PR00000164</t>
  </si>
  <si>
    <t>BLOQUE FIJO DE MOTOR / DUS054 - US053D</t>
  </si>
  <si>
    <t>PR00000165</t>
  </si>
  <si>
    <t>ANILLO AMORTIGUADOR / DUS054 - US053D</t>
  </si>
  <si>
    <t>PR00000166</t>
  </si>
  <si>
    <t>CONECCION DE ENTRADA / DUS054 - US053D</t>
  </si>
  <si>
    <t>PR00000167</t>
  </si>
  <si>
    <t>RESORTE / DUS054 - US053D</t>
  </si>
  <si>
    <t>PR00000169</t>
  </si>
  <si>
    <t>VALVULA DE RETENCION / DUS054 - US053D</t>
  </si>
  <si>
    <t>PR00000170</t>
  </si>
  <si>
    <t>BASE / DUS054 - US053D</t>
  </si>
  <si>
    <t>PR00000172</t>
  </si>
  <si>
    <t>TABLERO BASE  / DUS054 - US053D</t>
  </si>
  <si>
    <t>PR00000173</t>
  </si>
  <si>
    <t>ANILLO DE GOMA  / DUS054 - US053D</t>
  </si>
  <si>
    <t>PR00000174</t>
  </si>
  <si>
    <t>TAPA DE BLOQUEO DE PERILLA  / DUS054 - US053D</t>
  </si>
  <si>
    <t>PR00000175</t>
  </si>
  <si>
    <t>ALMOHADILLA DE SELLADO DE TANQUE  / DUS054 - US053D</t>
  </si>
  <si>
    <t>PR00000176</t>
  </si>
  <si>
    <t>TUBO DE SUCCION / VARIOS</t>
  </si>
  <si>
    <t>PR00000177</t>
  </si>
  <si>
    <t>FILTRO / DUS054 - US053D</t>
  </si>
  <si>
    <t>PR00000178</t>
  </si>
  <si>
    <t>TANQUE / VARIOS</t>
  </si>
  <si>
    <t>PR00000179</t>
  </si>
  <si>
    <t>ANILLO DE GOMA 34X3.5 / VARIOS</t>
  </si>
  <si>
    <t>PR00000180</t>
  </si>
  <si>
    <t>TAZA MEDIDORA / VARIOS</t>
  </si>
  <si>
    <t>PR00000181</t>
  </si>
  <si>
    <t>CARTUCHO DE FILTRO / DUS054 - US053</t>
  </si>
  <si>
    <t>PR00000182</t>
  </si>
  <si>
    <t>TORNILLO 2.9X12 / VARIOS</t>
  </si>
  <si>
    <t>PR00000183</t>
  </si>
  <si>
    <t>TORNILLO 4.0X16 / VARIOS</t>
  </si>
  <si>
    <t>PR00000184</t>
  </si>
  <si>
    <t>PR00000186</t>
  </si>
  <si>
    <t>ANILLO DE GOMA 6X2 / VARIOS</t>
  </si>
  <si>
    <t>PR00000187</t>
  </si>
  <si>
    <t>TUBO DE ENTYREGA / VARIOS</t>
  </si>
  <si>
    <t>PR00000188</t>
  </si>
  <si>
    <t>PR00000190</t>
  </si>
  <si>
    <t>PR00000191</t>
  </si>
  <si>
    <t>POSEEDORA / VARIOS</t>
  </si>
  <si>
    <t>PR00000192</t>
  </si>
  <si>
    <t>CONJUNTO DE ALOJAMIENTO / VARIOS</t>
  </si>
  <si>
    <t>PR00000193</t>
  </si>
  <si>
    <t>CARCASA DE BATERIA  / VARIOS</t>
  </si>
  <si>
    <t>PR00000194</t>
  </si>
  <si>
    <t>PR00000195</t>
  </si>
  <si>
    <t>PR00000196</t>
  </si>
  <si>
    <t>PLACA ELECTRONICA PCB / DUS054</t>
  </si>
  <si>
    <t>PR00000198</t>
  </si>
  <si>
    <t>EMPAQUE DE GOMA DE CARCASA / DUS054</t>
  </si>
  <si>
    <t>PR00000199</t>
  </si>
  <si>
    <t>CUBIERTA DE BATERIA / DUS054</t>
  </si>
  <si>
    <t>PR00000200</t>
  </si>
  <si>
    <t>BOMBA DE AGUA / DUS054</t>
  </si>
  <si>
    <t>PR00000201</t>
  </si>
  <si>
    <t>BOMBA / DUS054</t>
  </si>
  <si>
    <t>PR00000204</t>
  </si>
  <si>
    <t>ANILLO DE GOMA 6X2 / DUS054 - US053D</t>
  </si>
  <si>
    <t>PR00000205</t>
  </si>
  <si>
    <t>ANILLO DE GOMA 3X1 / VARIOS</t>
  </si>
  <si>
    <t>PR00000246</t>
  </si>
  <si>
    <t>PLACA CPL / HG6530</t>
  </si>
  <si>
    <t>RD43118</t>
  </si>
  <si>
    <t>SC00000057</t>
  </si>
  <si>
    <t>SC00000066</t>
  </si>
  <si>
    <t>SC00000067</t>
  </si>
  <si>
    <t>SC00000098</t>
  </si>
  <si>
    <t>PERNO HEX. 5X15 / UNIVERSAL</t>
  </si>
  <si>
    <t>SC00000134</t>
  </si>
  <si>
    <t>PERNO HEX. / UNIVERSAL</t>
  </si>
  <si>
    <t>SC03104210</t>
  </si>
  <si>
    <t>CABEZAL DE CORTADOR / DSC121</t>
  </si>
  <si>
    <t>SC03111710</t>
  </si>
  <si>
    <t>VARIILA DE CORTADOR / DSC121</t>
  </si>
  <si>
    <t>SC032076100</t>
  </si>
  <si>
    <t>BOMBA PRINCIPAL</t>
  </si>
  <si>
    <t>SC03210040</t>
  </si>
  <si>
    <t>CUBIERTA DE BOMBA / DSC121</t>
  </si>
  <si>
    <t>SC03301860</t>
  </si>
  <si>
    <t>FILTRO / DSC121</t>
  </si>
  <si>
    <t>SC03500140</t>
  </si>
  <si>
    <t>VALVULA DE ESCAPE / DSC121</t>
  </si>
  <si>
    <t>SC03500380</t>
  </si>
  <si>
    <t>PISTON / DSC121</t>
  </si>
  <si>
    <t>SC03500750</t>
  </si>
  <si>
    <t>GUIA DE ANILLO DE GOMA / DSC121</t>
  </si>
  <si>
    <t>SC03503900</t>
  </si>
  <si>
    <t>VALVULA DE RETORNO / DSC121</t>
  </si>
  <si>
    <t>SC03505790</t>
  </si>
  <si>
    <t>PROTECTOR / DSC191 - DSC191R</t>
  </si>
  <si>
    <t>SC03515230</t>
  </si>
  <si>
    <t>BRIDA PARA CABEZAL DE CORTE / DSC121</t>
  </si>
  <si>
    <t>SC03700080</t>
  </si>
  <si>
    <t>CHAVETA / DSC121</t>
  </si>
  <si>
    <t>SC04000400</t>
  </si>
  <si>
    <t>RESORTE DE RETORNO / DSC121</t>
  </si>
  <si>
    <t>SC04500680</t>
  </si>
  <si>
    <t>TAPA NIVEL DE ACEITE / DSC121</t>
  </si>
  <si>
    <t>SC04500690</t>
  </si>
  <si>
    <t>CUBIERTA DE PALANCA / DSC121</t>
  </si>
  <si>
    <t>SC04500710</t>
  </si>
  <si>
    <t>EQUILIBRIO DE SOPORTE / DSC121</t>
  </si>
  <si>
    <t>SC04601550</t>
  </si>
  <si>
    <t>EMPAQUETADURA / DSC121</t>
  </si>
  <si>
    <t>SC06500170</t>
  </si>
  <si>
    <t>RETEN / DSC121</t>
  </si>
  <si>
    <t>SC06503580</t>
  </si>
  <si>
    <t>ANILLO DE RESPALDO P6 / DSC121</t>
  </si>
  <si>
    <t>SC06503590</t>
  </si>
  <si>
    <t>ANILLO DE RESPALDO 26X34X1 / DSC121</t>
  </si>
  <si>
    <t>SC06503600</t>
  </si>
  <si>
    <t>ANILLO RESPALDO G45 / DSC121</t>
  </si>
  <si>
    <t>SC06504050</t>
  </si>
  <si>
    <t>SELLO DE ACEITE / DPP200Z</t>
  </si>
  <si>
    <t>SC06505460</t>
  </si>
  <si>
    <t>ANILLO DE GOMA G45</t>
  </si>
  <si>
    <t>SC06505570</t>
  </si>
  <si>
    <t>ANILLO DE GOMA 31.5 / DSC121</t>
  </si>
  <si>
    <t>SC06505590</t>
  </si>
  <si>
    <t>ANILLO DE GOMA 8 / DPP200Z</t>
  </si>
  <si>
    <t>SC06602190</t>
  </si>
  <si>
    <t>PERNO 605X25 / DSC121</t>
  </si>
  <si>
    <t>SC06602200</t>
  </si>
  <si>
    <t>PERNO / DSC121</t>
  </si>
  <si>
    <t>SC07100030</t>
  </si>
  <si>
    <t>RODAJE 625 / UNIVERSAL</t>
  </si>
  <si>
    <t>SC07410110</t>
  </si>
  <si>
    <t>ANILLO DE TOPE / DSC121</t>
  </si>
  <si>
    <t>SC07511010</t>
  </si>
  <si>
    <t>PERNO 4X8 / UNIVERSAL</t>
  </si>
  <si>
    <t>SC07511080</t>
  </si>
  <si>
    <t>PERNO HB4X12 / DSC121</t>
  </si>
  <si>
    <t>SC07512010</t>
  </si>
  <si>
    <t>TORNILLO HB5X5 / UNIVERSAL</t>
  </si>
  <si>
    <t>SC07512050</t>
  </si>
  <si>
    <t>PERNO HB5X18 / DSC121</t>
  </si>
  <si>
    <t>SC07521010</t>
  </si>
  <si>
    <t>PERNO HS4XA / DPP200Z</t>
  </si>
  <si>
    <t>SC07523020</t>
  </si>
  <si>
    <t>PERNO HS6X8 / DSC121</t>
  </si>
  <si>
    <t>SC07550100</t>
  </si>
  <si>
    <t>TORNILLO DE BOTON HEX. HHB10X / DSC121</t>
  </si>
  <si>
    <t>SC07610030</t>
  </si>
  <si>
    <t>ARANDELA SW5 / DSC121</t>
  </si>
  <si>
    <t>SC07900000</t>
  </si>
  <si>
    <t>BOLA DE ACERO / DPP200Z</t>
  </si>
  <si>
    <t>SC07900070</t>
  </si>
  <si>
    <t>BOLA DE ACERO D3/16 / DSC121</t>
  </si>
  <si>
    <t>SC09002030</t>
  </si>
  <si>
    <t>PORTA CUCHILLA / DSC191 - DSC191R</t>
  </si>
  <si>
    <t>SC09002730</t>
  </si>
  <si>
    <t>CORTADOR W3/8 / DSC121</t>
  </si>
  <si>
    <t>SC09003260</t>
  </si>
  <si>
    <t>CUCHILLA / DSC250</t>
  </si>
  <si>
    <t>SC09004210</t>
  </si>
  <si>
    <t>JUEGO DE MANGO / DSC121</t>
  </si>
  <si>
    <t>SC09004230</t>
  </si>
  <si>
    <t>EJE PASADOR / DSC251</t>
  </si>
  <si>
    <t>SC09030550</t>
  </si>
  <si>
    <t>BRIDA ESPACIADORA / DCS250</t>
  </si>
  <si>
    <t>SC510BUT</t>
  </si>
  <si>
    <t>PERNO 5X16 / UNIVERSAL</t>
  </si>
  <si>
    <t>SC615CAP</t>
  </si>
  <si>
    <t>TAPON DE ROSCA M6X15 / HB500</t>
  </si>
  <si>
    <t>SC630CAP</t>
  </si>
  <si>
    <t>TAPON DE ROSCA M6X30 / HB500</t>
  </si>
  <si>
    <t>SE00000195</t>
  </si>
  <si>
    <t>CINTILLO 100MM / VARIOS</t>
  </si>
  <si>
    <t>SE00000505</t>
  </si>
  <si>
    <t>PLACA ELECTRONICA / ADP06</t>
  </si>
  <si>
    <t>SE00000506</t>
  </si>
  <si>
    <t>TORNILLO 2.6X10 / ADP06</t>
  </si>
  <si>
    <t>SE00000507</t>
  </si>
  <si>
    <t>CUBIERTA CPL / ADP06</t>
  </si>
  <si>
    <t>SE00000509</t>
  </si>
  <si>
    <t>PERILLA DESLIZANTE / ADP06</t>
  </si>
  <si>
    <t>SE00000510</t>
  </si>
  <si>
    <t>CUBIERTA DE GOMA / ADP06</t>
  </si>
  <si>
    <t>SE00000511</t>
  </si>
  <si>
    <t>TERMINAL 10.8V / ADP06</t>
  </si>
  <si>
    <t>SE00000517</t>
  </si>
  <si>
    <t>ADAPTADOR AC / VARIOS</t>
  </si>
  <si>
    <t>SE00000519</t>
  </si>
  <si>
    <t>TARJETA DE LUCES B / DMR200</t>
  </si>
  <si>
    <t>SE00000520</t>
  </si>
  <si>
    <t>TORNILLO 2X6 / UNIVERSAL</t>
  </si>
  <si>
    <t>SE00000521</t>
  </si>
  <si>
    <t>TORNILLO PTB 3X8 / UNIVERSAL</t>
  </si>
  <si>
    <t>SE00000522</t>
  </si>
  <si>
    <t>PROTECTOR DE GOMA / DMR200</t>
  </si>
  <si>
    <t>SE00000523</t>
  </si>
  <si>
    <t>TARJETA DE LUCES LED A / DMR200</t>
  </si>
  <si>
    <t>SE00000524</t>
  </si>
  <si>
    <t>LENTE LED / DMR200 - DMR201</t>
  </si>
  <si>
    <t>SE00000525</t>
  </si>
  <si>
    <t>CUBIERTA DE LENTE LED / DMR200 - DMR201</t>
  </si>
  <si>
    <t>SE00000526</t>
  </si>
  <si>
    <t>SE00000527</t>
  </si>
  <si>
    <t>CUBIERTA FRONTAL / DMR200</t>
  </si>
  <si>
    <t>SE00000529</t>
  </si>
  <si>
    <t>PARRILLA DE ALTAVOZ / DMR200</t>
  </si>
  <si>
    <t>SE00000530</t>
  </si>
  <si>
    <t>TORNILLO PTHE6X37 / UNIVERSAL</t>
  </si>
  <si>
    <t>SE00000531</t>
  </si>
  <si>
    <t>AMORTIGUADOR R / VARIOS</t>
  </si>
  <si>
    <t>SE00000532</t>
  </si>
  <si>
    <t>AMORTIGUADOR L / VARIOS</t>
  </si>
  <si>
    <t>SE00000533</t>
  </si>
  <si>
    <t>PASADOR D2X88 / VARIOS</t>
  </si>
  <si>
    <t>SE00000534</t>
  </si>
  <si>
    <t>CUBIERTA DE SONIDO / VARIOS</t>
  </si>
  <si>
    <t>SE00000535</t>
  </si>
  <si>
    <t>GANCHO DE CIERRE / VARIOS</t>
  </si>
  <si>
    <t>SE00000536</t>
  </si>
  <si>
    <t>BISAGRA DE GANCHO / VARIOS</t>
  </si>
  <si>
    <t>SE00000537</t>
  </si>
  <si>
    <t>CUBIERTA DE BATERIAS / VARIOS</t>
  </si>
  <si>
    <t>SE00000539</t>
  </si>
  <si>
    <t>PASADOR D2X77 / VARIOS</t>
  </si>
  <si>
    <t>SE00000540</t>
  </si>
  <si>
    <t>AMORTIGUADOR TRASERO L / VARIOS</t>
  </si>
  <si>
    <t>SE00000541</t>
  </si>
  <si>
    <t>AMORTIGUADOR TRASERO R / VARIOS</t>
  </si>
  <si>
    <t>SE00000542</t>
  </si>
  <si>
    <t>EMPAQUETADURA DE GOMA / VARIOS</t>
  </si>
  <si>
    <t>SE00000543</t>
  </si>
  <si>
    <t>SE00000545</t>
  </si>
  <si>
    <t>CUBIERTA ELECTRONICA CPL / DMR200</t>
  </si>
  <si>
    <t>SE00000547</t>
  </si>
  <si>
    <t>CUBIERTA DE GOMA / DMR200 - DMR201</t>
  </si>
  <si>
    <t>SE00000548</t>
  </si>
  <si>
    <t>TORNILLO PTB 3X20 / UNIVERSAL</t>
  </si>
  <si>
    <t>SE00000549</t>
  </si>
  <si>
    <t>PASADOR DE CUBIERTA DE LAS BATERIAS / DMR203</t>
  </si>
  <si>
    <t>SE00000552</t>
  </si>
  <si>
    <t>TARJETA ELECTRONICA / DMR200</t>
  </si>
  <si>
    <t>SE00000553</t>
  </si>
  <si>
    <t>PUERTOS USB / DMR200</t>
  </si>
  <si>
    <t>SE00000555</t>
  </si>
  <si>
    <t>CAJA REPRODUCTORA / VARIOS</t>
  </si>
  <si>
    <t>SE00000556</t>
  </si>
  <si>
    <t>SE00000557</t>
  </si>
  <si>
    <t>TORNILLO PTPW 3X10 / UNIVERSAL</t>
  </si>
  <si>
    <t>SE00000589</t>
  </si>
  <si>
    <t>CUBIERTA  CPL / ADP08</t>
  </si>
  <si>
    <t>SE00000642</t>
  </si>
  <si>
    <t>CIRCUITO IMPRESO / DMR201</t>
  </si>
  <si>
    <t>SE00000643</t>
  </si>
  <si>
    <t>CUBIERTA DE GOMA / DMR201</t>
  </si>
  <si>
    <t>SE00000644</t>
  </si>
  <si>
    <t>CIRCUITO IMPRESO LED / DMR201</t>
  </si>
  <si>
    <t>SE00000645</t>
  </si>
  <si>
    <t>CABINA FRONTAL CPL / DMR201</t>
  </si>
  <si>
    <t>SE00000647</t>
  </si>
  <si>
    <t>SE00000648</t>
  </si>
  <si>
    <t>PARILLA DE ALTAVOZ / DMR201</t>
  </si>
  <si>
    <t>SE00000649</t>
  </si>
  <si>
    <t>CABINA TRASERA / DMR201</t>
  </si>
  <si>
    <t>SE00000651</t>
  </si>
  <si>
    <t>TERMINAL 10.8 / DMR203 - DMR201</t>
  </si>
  <si>
    <t>SE00000652</t>
  </si>
  <si>
    <t>TERMINAL / DMR203 - DMR201</t>
  </si>
  <si>
    <t>SE00000653</t>
  </si>
  <si>
    <t>SE00000654</t>
  </si>
  <si>
    <t>ENTRADA USB / DMR203 - DMR201</t>
  </si>
  <si>
    <t>SE00000796</t>
  </si>
  <si>
    <t>CIRCUITO IMPRESO / DMR203</t>
  </si>
  <si>
    <t>SE00000797</t>
  </si>
  <si>
    <t>LLAVE DE GOMA / DMR203</t>
  </si>
  <si>
    <t>SE00000798</t>
  </si>
  <si>
    <t>PANTALLA / DMR203</t>
  </si>
  <si>
    <t>SE00000799</t>
  </si>
  <si>
    <t>CABINA DELANTERA / DMR203</t>
  </si>
  <si>
    <t>SE00000801</t>
  </si>
  <si>
    <t>ALTAVOZ B / DMR203</t>
  </si>
  <si>
    <t>SE00000802</t>
  </si>
  <si>
    <t>PARLANTE / DMR203</t>
  </si>
  <si>
    <t>SE00000803</t>
  </si>
  <si>
    <t>ALTAVOZ A / DMR203</t>
  </si>
  <si>
    <t>SE00000804</t>
  </si>
  <si>
    <t>ALTAVOZ PRINCIPAL / DMR203</t>
  </si>
  <si>
    <t>SE00000805</t>
  </si>
  <si>
    <t>PARRILLA DE ALTAVOZ / DMR203</t>
  </si>
  <si>
    <t>SE00000806</t>
  </si>
  <si>
    <t>CABINA FRONTAL CPL / DMR203</t>
  </si>
  <si>
    <t>SE00000808</t>
  </si>
  <si>
    <t>CABINA TRASERA CPL / DMR203</t>
  </si>
  <si>
    <t>SE00000810</t>
  </si>
  <si>
    <t>SE00000812</t>
  </si>
  <si>
    <t>SE024PC040</t>
  </si>
  <si>
    <t>SE09176166</t>
  </si>
  <si>
    <t>TORNILLO M6X16 / VARIOS</t>
  </si>
  <si>
    <t>SG00000013</t>
  </si>
  <si>
    <t>TORNILLO M6X20 / EM4351UH - RBC411U</t>
  </si>
  <si>
    <t>SG00000014</t>
  </si>
  <si>
    <t>RESORTE ESPIRAL / EM4351UH</t>
  </si>
  <si>
    <t>SG00000015</t>
  </si>
  <si>
    <t>POLEA / EK7651H</t>
  </si>
  <si>
    <t>SG00000028</t>
  </si>
  <si>
    <t>CARRETE CPL / VARIOS</t>
  </si>
  <si>
    <t>SG00000059</t>
  </si>
  <si>
    <t>CUERDA DE ARRANQUE / EK7651H</t>
  </si>
  <si>
    <t>SG00000060</t>
  </si>
  <si>
    <t>PERILLA DE ARRANQUE / EK7651H</t>
  </si>
  <si>
    <t>SG00000061</t>
  </si>
  <si>
    <t>TOPE DE CUERDA / EK7651H</t>
  </si>
  <si>
    <t>SH00000005</t>
  </si>
  <si>
    <t>CUERPO INTERIOR / DCL500 - DCL501</t>
  </si>
  <si>
    <t>SH00000066</t>
  </si>
  <si>
    <t>CUBIERTA / DCR200</t>
  </si>
  <si>
    <t>SH00000069</t>
  </si>
  <si>
    <t>SH00000070</t>
  </si>
  <si>
    <t>TORNILLO SUJETADOR / DCR200</t>
  </si>
  <si>
    <t>SH00000071</t>
  </si>
  <si>
    <t>SH00000072</t>
  </si>
  <si>
    <t>CUERPO INFERIOR / DCR200</t>
  </si>
  <si>
    <t>SH00000073</t>
  </si>
  <si>
    <t>CONTROL PWB / DCR200</t>
  </si>
  <si>
    <t>SH00000075</t>
  </si>
  <si>
    <t>SOPORTE RF / DCR200</t>
  </si>
  <si>
    <t>SH00000076</t>
  </si>
  <si>
    <t>CONTROL DE SOPORTE / DCR200</t>
  </si>
  <si>
    <t>SH00000077</t>
  </si>
  <si>
    <t>SENSOR DE IMAGEN / DCR200</t>
  </si>
  <si>
    <t>SH00000078</t>
  </si>
  <si>
    <t>JUNTA INTEGRADA AS PWB / DCR200</t>
  </si>
  <si>
    <t>SH00000079</t>
  </si>
  <si>
    <t>BATERIA PWB / DCR200</t>
  </si>
  <si>
    <t>SH00000080</t>
  </si>
  <si>
    <t>HOJA AISLANTE / DCR200</t>
  </si>
  <si>
    <t>SH00000081</t>
  </si>
  <si>
    <t>SOPORTE TERMINAL IZQUIERDO / DCR200</t>
  </si>
  <si>
    <t>SH00000082</t>
  </si>
  <si>
    <t>SOPORTE TERMINAL DERECHO / DCR200</t>
  </si>
  <si>
    <t>SH00000083</t>
  </si>
  <si>
    <t>PIN DE GOMA FRONTAL / DCR200</t>
  </si>
  <si>
    <t>SH00000084</t>
  </si>
  <si>
    <t>EJE DE RODILLO FRONTAL / DCR200</t>
  </si>
  <si>
    <t>SH00000085</t>
  </si>
  <si>
    <t>RODILLO FRONTAL / DCR200</t>
  </si>
  <si>
    <t>SH00000086</t>
  </si>
  <si>
    <t>SENSOR IR C / DCR200</t>
  </si>
  <si>
    <t>SH00000087</t>
  </si>
  <si>
    <t>SENSOR IR S / DCR200</t>
  </si>
  <si>
    <t>SH00000088</t>
  </si>
  <si>
    <t>SENDOR BL / DCR200</t>
  </si>
  <si>
    <t>SH00000090</t>
  </si>
  <si>
    <t>AMORTIGUADOR ANGULAR IZQUIERDO / DCR200</t>
  </si>
  <si>
    <t>SH00000091</t>
  </si>
  <si>
    <t>AMORTIGUADOR ANGULAR DERECHO / DCR200</t>
  </si>
  <si>
    <t>SH00000092</t>
  </si>
  <si>
    <t>RESORTE AMORTIGUADOR / DCR200</t>
  </si>
  <si>
    <t>SH00000093</t>
  </si>
  <si>
    <t>CONJUNTO DE LA UNIDAD SB IZQUIERDO / DCR200</t>
  </si>
  <si>
    <t>SH00000094</t>
  </si>
  <si>
    <t>CONJUNTO DE LA UNIDAD SB DERECHO / DCR200</t>
  </si>
  <si>
    <t>SH00000095</t>
  </si>
  <si>
    <t>SOPORTE S PB / DCR200</t>
  </si>
  <si>
    <t>SH00000096</t>
  </si>
  <si>
    <t>RUEDA PRINCIPAL L / DCR200</t>
  </si>
  <si>
    <t>SH00000097</t>
  </si>
  <si>
    <t>RUEDA DERECHA PRINCIPAL / DCR200</t>
  </si>
  <si>
    <t>SH00000098</t>
  </si>
  <si>
    <t>RESORTE DE RUEDA / DCR200</t>
  </si>
  <si>
    <t>SH00000099</t>
  </si>
  <si>
    <t>UNIDAD DUCTO DE AIRE / DCR200</t>
  </si>
  <si>
    <t>SH00000101</t>
  </si>
  <si>
    <t>CABLE AMORTIGUADOR SW / DCR200</t>
  </si>
  <si>
    <t>SH00000104</t>
  </si>
  <si>
    <t>CABLE IZQUIERDO DE LA BATERIA / DCR200</t>
  </si>
  <si>
    <t>SH00000105</t>
  </si>
  <si>
    <t>CABLE DERECHO DE BATERIA / DCR200</t>
  </si>
  <si>
    <t>SH00000106</t>
  </si>
  <si>
    <t>CABLE PS DE BATERIA / DCR200</t>
  </si>
  <si>
    <t>SH00000107</t>
  </si>
  <si>
    <t>CABLE DE SEÑAL DE BATERIA / DCR200</t>
  </si>
  <si>
    <t>SH00000108</t>
  </si>
  <si>
    <t>CABLE TIERRA DE BATERIA / DCR200</t>
  </si>
  <si>
    <t>SH00000109</t>
  </si>
  <si>
    <t>CABLE AS / DCR200</t>
  </si>
  <si>
    <t>SH00000110</t>
  </si>
  <si>
    <t>TORNILLO M3X8 CON ARANDELA 8 / DCR200</t>
  </si>
  <si>
    <t>SH00000111</t>
  </si>
  <si>
    <t>SH00000112</t>
  </si>
  <si>
    <t>ARANDELA 4.5X13XT1 / DCR200</t>
  </si>
  <si>
    <t>SH00000113</t>
  </si>
  <si>
    <t>TORNILLO M5X10 CON ARANDELA 16 / DCR200</t>
  </si>
  <si>
    <t>SH00000114</t>
  </si>
  <si>
    <t>MOTOR / DCR200</t>
  </si>
  <si>
    <t>SH00000115</t>
  </si>
  <si>
    <t>SOPORTE DE MOTOR IZQUIERDO / DCR200</t>
  </si>
  <si>
    <t>SH00000116</t>
  </si>
  <si>
    <t>CUBIERTA DE MOTOR / DCR200</t>
  </si>
  <si>
    <t>SH00000117</t>
  </si>
  <si>
    <t>METAL SB / DCR200</t>
  </si>
  <si>
    <t>SH00000118</t>
  </si>
  <si>
    <t>ENGRANAJE 4 / DCR200</t>
  </si>
  <si>
    <t>SH00000119</t>
  </si>
  <si>
    <t>ENGRANAJE 3 / DCR200</t>
  </si>
  <si>
    <t>SH00000120</t>
  </si>
  <si>
    <t>ENGRANAJE 2 / DCR200</t>
  </si>
  <si>
    <t>SH00000121</t>
  </si>
  <si>
    <t>EJE COMUN1 / DCR200</t>
  </si>
  <si>
    <t>SH00000122</t>
  </si>
  <si>
    <t>ENGRANAJE DE EJE 1 / DCR200</t>
  </si>
  <si>
    <t>SH00000123</t>
  </si>
  <si>
    <t>TORNILLO M2 6X4 / UNIVERSAL</t>
  </si>
  <si>
    <t>SH00000124</t>
  </si>
  <si>
    <t>CABLE DE CARBON LATERAL / DCR200</t>
  </si>
  <si>
    <t>SH00000125</t>
  </si>
  <si>
    <t>SOPORTE DERECHO MINOTOR / DCR200</t>
  </si>
  <si>
    <t>SH00000126</t>
  </si>
  <si>
    <t>MOTOR D PB / DCR200</t>
  </si>
  <si>
    <t>SH00000127</t>
  </si>
  <si>
    <t>SOPORTE CUBIERTA K / DCR200</t>
  </si>
  <si>
    <t>SH00000129</t>
  </si>
  <si>
    <t>CORREA DE ENGRANAJE 2 / DCR200</t>
  </si>
  <si>
    <t>SH00000130</t>
  </si>
  <si>
    <t>EJE CORREA ENGRANAJE / DCR200</t>
  </si>
  <si>
    <t>SH00000131</t>
  </si>
  <si>
    <t>CORREA DEENGRANAJE 3 / DCR200</t>
  </si>
  <si>
    <t>SH00000132</t>
  </si>
  <si>
    <t>SOPORTE PB / DCR200</t>
  </si>
  <si>
    <t>SH00000133</t>
  </si>
  <si>
    <t>COJINETE / DCR200</t>
  </si>
  <si>
    <t>SH00000134</t>
  </si>
  <si>
    <t>ARANDELA 050 / DCR200</t>
  </si>
  <si>
    <t>SH00000135</t>
  </si>
  <si>
    <t>ANILLO DE GOMA U / DCR200</t>
  </si>
  <si>
    <t>SH00000136</t>
  </si>
  <si>
    <t>CORREA DE DISTRIBUCION / DCR200</t>
  </si>
  <si>
    <t>SH00000137</t>
  </si>
  <si>
    <t>CABLE MOTOR PB / DCR200</t>
  </si>
  <si>
    <t>SH00000139</t>
  </si>
  <si>
    <t>UNIDAD DE RUEDA PRINCIPAL IZQUIERE / DCR200</t>
  </si>
  <si>
    <t>SH00000140</t>
  </si>
  <si>
    <t>CAJA DE ENGRANAJE RUEDA IZQUIERDA / DCR200</t>
  </si>
  <si>
    <t>SH00000141</t>
  </si>
  <si>
    <t>CUBIERTA ENGRANAJE RUEDA IZQUIERDA / DCR200</t>
  </si>
  <si>
    <t>SH00000142</t>
  </si>
  <si>
    <t>MOTOR S MW 18V / DCR200</t>
  </si>
  <si>
    <t>SH00000143</t>
  </si>
  <si>
    <t>ANILLO DE METAL / DCR200</t>
  </si>
  <si>
    <t>SH00000144</t>
  </si>
  <si>
    <t>ENGRANAJE RUEDA 2 / DCR200</t>
  </si>
  <si>
    <t>SH00000145</t>
  </si>
  <si>
    <t>ENGRANAJE RUEDA 3 / DCR200</t>
  </si>
  <si>
    <t>SH00000146</t>
  </si>
  <si>
    <t>ENGRANAJE RUEDA 4 / DCR200</t>
  </si>
  <si>
    <t>SH00000147</t>
  </si>
  <si>
    <t>EMGRANAJE RUEDA 5 / DCR200</t>
  </si>
  <si>
    <t>SH00000148</t>
  </si>
  <si>
    <t>ENGRANAJE DE EJE 1 DE RUEDA / DCR200</t>
  </si>
  <si>
    <t>SH00000150</t>
  </si>
  <si>
    <t>RUEDA L / DCR200</t>
  </si>
  <si>
    <t>SH00000151</t>
  </si>
  <si>
    <t>CUBIERTA DE UNIDAD / DCR200</t>
  </si>
  <si>
    <t>SH00000152</t>
  </si>
  <si>
    <t>EJE RUEDA PRINCIPAL / DCR200</t>
  </si>
  <si>
    <t>SH00000153</t>
  </si>
  <si>
    <t>CABLE DE RUEDA / DCR200</t>
  </si>
  <si>
    <t>SH00000154</t>
  </si>
  <si>
    <t>UNIDAD PRINCIPAL RUEDA DERECHA / DCR200</t>
  </si>
  <si>
    <t>SH00000155</t>
  </si>
  <si>
    <t>CAJA DE ENGRANAJE RUEDA DERECHA / DCR200</t>
  </si>
  <si>
    <t>SH00000156</t>
  </si>
  <si>
    <t>CUBIERTA ENGRANAJE RUEDA DERECHA / DCR200</t>
  </si>
  <si>
    <t>SH00000157</t>
  </si>
  <si>
    <t>RUEDA R / DCR200</t>
  </si>
  <si>
    <t>SH00000158</t>
  </si>
  <si>
    <t>UNIDAD DE CUBIERTA RUEDA DERECHA / DCR200</t>
  </si>
  <si>
    <t>SH00000159</t>
  </si>
  <si>
    <t>DUCTO DE AIRE FRONTAL / DCR200</t>
  </si>
  <si>
    <t>SH00000160</t>
  </si>
  <si>
    <t>DUCTO DE AIRE POSTERIOR / DCR200</t>
  </si>
  <si>
    <t>SH00000161</t>
  </si>
  <si>
    <t>UNIDAD DE VENTILADOR DE MOTOR / DCR200</t>
  </si>
  <si>
    <t>SH00000162</t>
  </si>
  <si>
    <t>COJIN DE VENTILADOR / DCR200</t>
  </si>
  <si>
    <t>SH00000163</t>
  </si>
  <si>
    <t>SELLO DE ADMISION / DCR200</t>
  </si>
  <si>
    <t>SH00000164</t>
  </si>
  <si>
    <t>SH00000165</t>
  </si>
  <si>
    <t>CABLE VENTILADOR DE MOTOR / DCR200</t>
  </si>
  <si>
    <t>SH00000166</t>
  </si>
  <si>
    <t>MARCO POSTERIOR / DCR200</t>
  </si>
  <si>
    <t>SH00000167</t>
  </si>
  <si>
    <t>EJE POSTERIOR / DCR200</t>
  </si>
  <si>
    <t>SH00000168</t>
  </si>
  <si>
    <t>ANGULO DE AVANCE / DCR200</t>
  </si>
  <si>
    <t>SH00000169</t>
  </si>
  <si>
    <t>AMORTIGUADOR / DCR200</t>
  </si>
  <si>
    <t>SH00000170</t>
  </si>
  <si>
    <t>SH00000171</t>
  </si>
  <si>
    <t>SOPORTE C / DCR200</t>
  </si>
  <si>
    <t>SH00000172</t>
  </si>
  <si>
    <t>SOPORTE L1 / DCR200</t>
  </si>
  <si>
    <t>SH00000173</t>
  </si>
  <si>
    <t>SOPORTE L2 / DCR200</t>
  </si>
  <si>
    <t>SH00000174</t>
  </si>
  <si>
    <t>SOPORTE L3 / DCR200</t>
  </si>
  <si>
    <t>SH00000175</t>
  </si>
  <si>
    <t>SOPORTE R1 / DCR200</t>
  </si>
  <si>
    <t>SH00000176</t>
  </si>
  <si>
    <t>SOPORTE R2 / DCR200</t>
  </si>
  <si>
    <t>SH00000177</t>
  </si>
  <si>
    <t>SOPORTE R3 / DCR200</t>
  </si>
  <si>
    <t>SH00000179</t>
  </si>
  <si>
    <t>CABLE 1 / DCR200</t>
  </si>
  <si>
    <t>SH00000180</t>
  </si>
  <si>
    <t>CABLE 2 / DCR200</t>
  </si>
  <si>
    <t>SH00000181</t>
  </si>
  <si>
    <t>CABLE 3 / DCR200</t>
  </si>
  <si>
    <t>SH00000182</t>
  </si>
  <si>
    <t>CABLE A TIERRA / DCR200</t>
  </si>
  <si>
    <t>SH00000183</t>
  </si>
  <si>
    <t>ARANDELA 4.5/25/T1 / DCR200</t>
  </si>
  <si>
    <t>SH00000184</t>
  </si>
  <si>
    <t>SH00000185</t>
  </si>
  <si>
    <t>CUERPO SUPERIOR / DCR200</t>
  </si>
  <si>
    <t>SH00000187</t>
  </si>
  <si>
    <t>MANGO / DCR200</t>
  </si>
  <si>
    <t>SH00000188</t>
  </si>
  <si>
    <t>PROTECTOR DE LA EMPUÑADURA / DCR200</t>
  </si>
  <si>
    <t>SH00000189</t>
  </si>
  <si>
    <t>BOTON / DCR200</t>
  </si>
  <si>
    <t>SH00000190</t>
  </si>
  <si>
    <t>SH00000191</t>
  </si>
  <si>
    <t>SOPORTE PWB / DCR200</t>
  </si>
  <si>
    <t>SH00000192</t>
  </si>
  <si>
    <t>LED DE LENTE IZQUIERDO / DCR200</t>
  </si>
  <si>
    <t>SH00000193</t>
  </si>
  <si>
    <t>SELLO DE LED DE LENTE / DCR200</t>
  </si>
  <si>
    <t>SH00000194</t>
  </si>
  <si>
    <t>REFLECTOR DE LED / DCR200</t>
  </si>
  <si>
    <t>SH00000195</t>
  </si>
  <si>
    <t>LED / DCR200</t>
  </si>
  <si>
    <t>SH00000196</t>
  </si>
  <si>
    <t>ZUMBADOR / DCR200</t>
  </si>
  <si>
    <t>SH00000197</t>
  </si>
  <si>
    <t>BOTON DE FILTRO / DCR200</t>
  </si>
  <si>
    <t>SH00000198</t>
  </si>
  <si>
    <t>SH00000199</t>
  </si>
  <si>
    <t>SOPORTE DE BOTON DE FILTRO / DCR200</t>
  </si>
  <si>
    <t>SH00000200</t>
  </si>
  <si>
    <t>PARADOR DE ADMISION / DCR200</t>
  </si>
  <si>
    <t>SH00000201</t>
  </si>
  <si>
    <t>BOQUILLA DE PARADOR / DCR200</t>
  </si>
  <si>
    <t>SH00000202</t>
  </si>
  <si>
    <t>SELLO DE BOQUILLA / DCR200</t>
  </si>
  <si>
    <t>SH00000204</t>
  </si>
  <si>
    <t>LED DE LENTE S / DCR200</t>
  </si>
  <si>
    <t>SH00000205</t>
  </si>
  <si>
    <t>FILTRO DE ESCAPE / DCR200</t>
  </si>
  <si>
    <t>SH00000206</t>
  </si>
  <si>
    <t>PESTILO DE ENGANCHE / DCR200</t>
  </si>
  <si>
    <t>SH00000208</t>
  </si>
  <si>
    <t>CABLE LED / DCR200</t>
  </si>
  <si>
    <t>SH00000209</t>
  </si>
  <si>
    <t>CAJA DE POLVO INFERIOR / DCR200</t>
  </si>
  <si>
    <t>SH00000210</t>
  </si>
  <si>
    <t>CAJA DE POLVO / DCR200</t>
  </si>
  <si>
    <t>SH00000211</t>
  </si>
  <si>
    <t>SELLO DE ANILLO DE GOMA DE POLVO / DCR200</t>
  </si>
  <si>
    <t>SH00000212</t>
  </si>
  <si>
    <t>CAJA DE POLVO SUPERIOR / DCR200</t>
  </si>
  <si>
    <t>SH00000214</t>
  </si>
  <si>
    <t>CUBIERTA DE CAJA DE POLVO / DCR200</t>
  </si>
  <si>
    <t>SH00000215</t>
  </si>
  <si>
    <t>PALANCA DESLIZANTE DE POLVO / DCR200</t>
  </si>
  <si>
    <t>SH00000216</t>
  </si>
  <si>
    <t>PASADOR DE CAJA DE POLVO / DCR200</t>
  </si>
  <si>
    <t>SH00000221</t>
  </si>
  <si>
    <t>SH00000222</t>
  </si>
  <si>
    <t>LENTE DE SENSOR / DCR200</t>
  </si>
  <si>
    <t>SH00000223</t>
  </si>
  <si>
    <t>VENTILADOR DE ENFRIAMIENTO S / DCR200</t>
  </si>
  <si>
    <t>SH00000224</t>
  </si>
  <si>
    <t>SELLO DE VENTILADOR DE ENFRIAMIENTO / DCR200</t>
  </si>
  <si>
    <t>SH00000225</t>
  </si>
  <si>
    <t>CINTA DE TELA ACETATO</t>
  </si>
  <si>
    <t>SH00000226</t>
  </si>
  <si>
    <t>ARANDELA PC / DCR200</t>
  </si>
  <si>
    <t>SH00000227</t>
  </si>
  <si>
    <t>SELLO MOTOR / DCR200</t>
  </si>
  <si>
    <t>SH00000228</t>
  </si>
  <si>
    <t>ANILLO DE GOMA E / DCR200</t>
  </si>
  <si>
    <t>SH00000229</t>
  </si>
  <si>
    <t>SH00000231</t>
  </si>
  <si>
    <t>CINTA SENSOR DE PARED / DRC200</t>
  </si>
  <si>
    <t>SH00000234</t>
  </si>
  <si>
    <t>GRASA FLOIL G-602SK 50G</t>
  </si>
  <si>
    <t>SH00000236</t>
  </si>
  <si>
    <t>SELLO DE SENSOR / DCR200</t>
  </si>
  <si>
    <t>SH00000237</t>
  </si>
  <si>
    <t>SH00000241</t>
  </si>
  <si>
    <t>MODULO RF / DCR200</t>
  </si>
  <si>
    <t>SH00000242</t>
  </si>
  <si>
    <t>SH00000243</t>
  </si>
  <si>
    <t>SH00000244</t>
  </si>
  <si>
    <t>NUCLEO DE FERRITA / DCR200</t>
  </si>
  <si>
    <t>SH00000245</t>
  </si>
  <si>
    <t>CABLE C / DCR200</t>
  </si>
  <si>
    <t>SH00000246</t>
  </si>
  <si>
    <t>CUBIERTA DE CAJA / DRC200</t>
  </si>
  <si>
    <t>SH00000247</t>
  </si>
  <si>
    <t>FUNDA PROTECTORA K / DCR200</t>
  </si>
  <si>
    <t>SH00000248</t>
  </si>
  <si>
    <t>HOJA DE LLAVE / DCR200</t>
  </si>
  <si>
    <t>SH00000249</t>
  </si>
  <si>
    <t>CABLE / DCR200</t>
  </si>
  <si>
    <t>SH00000267</t>
  </si>
  <si>
    <t>CUBIERTA CABLE DERECHO / DCR200</t>
  </si>
  <si>
    <t>SH00000268</t>
  </si>
  <si>
    <t>PROTECTOR DE CABLE IZQUIERDO / DCR200</t>
  </si>
  <si>
    <t>SH00000404</t>
  </si>
  <si>
    <t>UNIDAD DE EQUIPO ELECTRICO / DCL500 - DCL501</t>
  </si>
  <si>
    <t>SY00000633</t>
  </si>
  <si>
    <t>ENGRANAJE SOLAR B / EM407MP</t>
  </si>
  <si>
    <t>SY00000637</t>
  </si>
  <si>
    <t>PERNO M8 / EM407MP</t>
  </si>
  <si>
    <t>SY00146002</t>
  </si>
  <si>
    <t>CAJA A / EM407MP</t>
  </si>
  <si>
    <t>SY00146008</t>
  </si>
  <si>
    <t>ENGRANAJE PLANETARIO / EM407MP</t>
  </si>
  <si>
    <t>SY00146010</t>
  </si>
  <si>
    <t>COLLAR / EM407MP</t>
  </si>
  <si>
    <t>SY00146013</t>
  </si>
  <si>
    <t>CUCHILLA SUPERIOR / EM407MP</t>
  </si>
  <si>
    <t>SY00146014</t>
  </si>
  <si>
    <t>CUCHILLA INFERIOR / EM407MP</t>
  </si>
  <si>
    <t>SY00146015</t>
  </si>
  <si>
    <t>COBERTURA DE SUELO / EM407MP</t>
  </si>
  <si>
    <t>TC00000001</t>
  </si>
  <si>
    <t>BARRA FRONTAL / DMR300</t>
  </si>
  <si>
    <t>TC00000002</t>
  </si>
  <si>
    <t>PERILLA DE VOLUMEN / DMR300</t>
  </si>
  <si>
    <t>TC00000003</t>
  </si>
  <si>
    <t>SOPORTE DE CUBIERTA USB / DMR300</t>
  </si>
  <si>
    <t>TC00000004</t>
  </si>
  <si>
    <t>CUBIERTA USB / DMR300</t>
  </si>
  <si>
    <t>TC00000005</t>
  </si>
  <si>
    <t>TC00000006</t>
  </si>
  <si>
    <t>CUBIERTA FRONTAL  / DMR300</t>
  </si>
  <si>
    <t>TC00000009</t>
  </si>
  <si>
    <t>TORNILLO M4X15 / UNIVERSAL</t>
  </si>
  <si>
    <t>TC00000010</t>
  </si>
  <si>
    <t>ABRAZADERA DE ALAMBRE / DMR300</t>
  </si>
  <si>
    <t>TC00000011</t>
  </si>
  <si>
    <t>TC00000012</t>
  </si>
  <si>
    <t>CUBIERTA DE VOLUMEN / DMR300</t>
  </si>
  <si>
    <t>TC00000013</t>
  </si>
  <si>
    <t>TECLADO/ DMR300</t>
  </si>
  <si>
    <t>TC00000014</t>
  </si>
  <si>
    <t>LLAVE DE TECLADO / DMR300</t>
  </si>
  <si>
    <t>TC00000015</t>
  </si>
  <si>
    <t>TORNILLO M1.7X5 / UNIVERSAL</t>
  </si>
  <si>
    <t>TC00000016</t>
  </si>
  <si>
    <t>TECLADO SUPERIOR / DMR300</t>
  </si>
  <si>
    <t>TC00000017</t>
  </si>
  <si>
    <t>LLAVE DE TECLADO SUPERIOR / DMR300</t>
  </si>
  <si>
    <t>TC00000019</t>
  </si>
  <si>
    <t>CUBIERTA PCB / DMR300</t>
  </si>
  <si>
    <t>TC00000020</t>
  </si>
  <si>
    <t>PANTALLA PCBA / DMR300</t>
  </si>
  <si>
    <t>TC00000022</t>
  </si>
  <si>
    <t>PANTALLA PRINCIPAL PCBA / DMR300</t>
  </si>
  <si>
    <t>TC00000026</t>
  </si>
  <si>
    <t>TC00000027</t>
  </si>
  <si>
    <t>BLINDAJE / DMR300</t>
  </si>
  <si>
    <t>TC00000029</t>
  </si>
  <si>
    <t>TC00000030</t>
  </si>
  <si>
    <t>CARGADOR DE PLACA / DMR300</t>
  </si>
  <si>
    <t>TC00000031</t>
  </si>
  <si>
    <t>BATERIA CXT DE LA PLACA / DMR300</t>
  </si>
  <si>
    <t>TC00000032</t>
  </si>
  <si>
    <t>TC00000033</t>
  </si>
  <si>
    <t>INTERRUPTOR DE LA PLACA / DMR300</t>
  </si>
  <si>
    <t>TC00000034</t>
  </si>
  <si>
    <t>SOPORTE DE TERMINALES  / DMR300</t>
  </si>
  <si>
    <t>TC00000036</t>
  </si>
  <si>
    <t>BATERIA LXT DE LA PLACA / DMR300</t>
  </si>
  <si>
    <t>TC00000037</t>
  </si>
  <si>
    <t>TERMINAL CXT / DMR300</t>
  </si>
  <si>
    <t>TC00000038</t>
  </si>
  <si>
    <t>BOTON DE INTERRUPTOR / DMR300</t>
  </si>
  <si>
    <t>TC00000040</t>
  </si>
  <si>
    <t>RESORTE LXT / DMR300</t>
  </si>
  <si>
    <t>TC00000041</t>
  </si>
  <si>
    <t>TERMINAL LXT / DMR300</t>
  </si>
  <si>
    <t>TC00000042</t>
  </si>
  <si>
    <t>EMPAQUE DE GOMA / DMR300</t>
  </si>
  <si>
    <t>TC00000045</t>
  </si>
  <si>
    <t>SOPORTE DE ALTAVOCES / DMR300</t>
  </si>
  <si>
    <t>TC00000047</t>
  </si>
  <si>
    <t>EMPAQUE DE ALTAVOZ / DMR300</t>
  </si>
  <si>
    <t>TC00000048</t>
  </si>
  <si>
    <t>ALTAVOZ L / DMR300</t>
  </si>
  <si>
    <t>TC00000049</t>
  </si>
  <si>
    <t>CUBIERTA SPK / DMR300</t>
  </si>
  <si>
    <t>TC00000050</t>
  </si>
  <si>
    <t>TC00000051</t>
  </si>
  <si>
    <t>ANILLO DE GOMA / DMR300</t>
  </si>
  <si>
    <t>TC00000052</t>
  </si>
  <si>
    <t>TC00000053</t>
  </si>
  <si>
    <t>ANTENA FM / DMR300</t>
  </si>
  <si>
    <t>TC00000054</t>
  </si>
  <si>
    <t>TC00000055</t>
  </si>
  <si>
    <t>PLACA DE CONECTOR DC JACK / DMR300</t>
  </si>
  <si>
    <t>TC00000056</t>
  </si>
  <si>
    <t>SOPORTE DE CONECTOR DC JACK / DMR300</t>
  </si>
  <si>
    <t>TC00000058</t>
  </si>
  <si>
    <t>EJE DE GABINETE TRASERO / DMR300</t>
  </si>
  <si>
    <t>TC00000059</t>
  </si>
  <si>
    <t>CUBIERTA DE CONECTOR DC JACK / DMR300</t>
  </si>
  <si>
    <t>TC00000060</t>
  </si>
  <si>
    <t>TC00000061</t>
  </si>
  <si>
    <t>PLACA DE BATERIA PLUS / DMR300</t>
  </si>
  <si>
    <t>TC00000062</t>
  </si>
  <si>
    <t>PLACA DE BATERIA MINUS / DMR300</t>
  </si>
  <si>
    <t>TC00000063</t>
  </si>
  <si>
    <t>PLACA DE BATERIA PLUS Y MINUS / DMR300</t>
  </si>
  <si>
    <t>TC00000064</t>
  </si>
  <si>
    <t>CUBIERTA  DE BATERIA / DMR300</t>
  </si>
  <si>
    <t>TC00000066</t>
  </si>
  <si>
    <t>TORNILLO T15 3X45 / UNIVERSAL</t>
  </si>
  <si>
    <t>TC00000067</t>
  </si>
  <si>
    <t>EMPAQUE GOMA DE GABINETE / DMR300</t>
  </si>
  <si>
    <t>TC00000068</t>
  </si>
  <si>
    <t>TORNILLO M6X19 / UNIVERSAL</t>
  </si>
  <si>
    <t>TC00000069</t>
  </si>
  <si>
    <t>RESORTE DE COMPRESION / DMR300</t>
  </si>
  <si>
    <t>TC00000070</t>
  </si>
  <si>
    <t>BOLA DE ACERO / DMR300</t>
  </si>
  <si>
    <t>TC00000071</t>
  </si>
  <si>
    <t>PLACA DE MANGO R / DMR300</t>
  </si>
  <si>
    <t>TC00000072</t>
  </si>
  <si>
    <t>PLACA DE MANGO L / DMR300</t>
  </si>
  <si>
    <t>TC00000073</t>
  </si>
  <si>
    <t>MANGO L  / DMR300</t>
  </si>
  <si>
    <t>TC00000075</t>
  </si>
  <si>
    <t>AGARRE / DMR300</t>
  </si>
  <si>
    <t>TC00000076</t>
  </si>
  <si>
    <t>MANGO R  / DMR300</t>
  </si>
  <si>
    <t>TC00000078</t>
  </si>
  <si>
    <t>TC00000080</t>
  </si>
  <si>
    <t>CUBIERTA TRASERA  DE DESTAPADOR / DMR300</t>
  </si>
  <si>
    <t>TC00000082</t>
  </si>
  <si>
    <t>TC00000085</t>
  </si>
  <si>
    <t>DESTAPADOR / DMR300</t>
  </si>
  <si>
    <t>TC00000086</t>
  </si>
  <si>
    <t>SOPORTE DE DESTAPADOR / DMR300</t>
  </si>
  <si>
    <t>TC00000087</t>
  </si>
  <si>
    <t>BOLSILLO  PARA TELEFONO / DMR300</t>
  </si>
  <si>
    <t>TC00000089</t>
  </si>
  <si>
    <t>TC00000090</t>
  </si>
  <si>
    <t>TC00000091</t>
  </si>
  <si>
    <t>GABINETE TRASERO  / DMR300</t>
  </si>
  <si>
    <t>TC00000093</t>
  </si>
  <si>
    <t>EJE CORTO / DMR300</t>
  </si>
  <si>
    <t>TC00000094</t>
  </si>
  <si>
    <t>BISAGRA  / DMR300</t>
  </si>
  <si>
    <t>TC00000096</t>
  </si>
  <si>
    <t>EJE LARGO / DMR300</t>
  </si>
  <si>
    <t>TC00000097</t>
  </si>
  <si>
    <t>GANCHO  / DMR300</t>
  </si>
  <si>
    <t>TC00000099</t>
  </si>
  <si>
    <t>GANCHO / DMR300</t>
  </si>
  <si>
    <t>TC00000100</t>
  </si>
  <si>
    <t>SOPORTE DE GABINETE L  / DMR300</t>
  </si>
  <si>
    <t>TC00000102</t>
  </si>
  <si>
    <t>SOPORTE DE GABINETE R  / DMR300</t>
  </si>
  <si>
    <t>TC00000104</t>
  </si>
  <si>
    <t>SOPORTE DE GABINETE  / DMR300</t>
  </si>
  <si>
    <t>TC00000136</t>
  </si>
  <si>
    <t>ADAPTADOR D / DMR300</t>
  </si>
  <si>
    <t>TC00000145</t>
  </si>
  <si>
    <t>CABLE D / DMR300</t>
  </si>
  <si>
    <t>TC00000162</t>
  </si>
  <si>
    <t>GABINETE INTERIOR DELANTERO / DMR300</t>
  </si>
  <si>
    <t>TC00000163</t>
  </si>
  <si>
    <t>USB1 / DMR300</t>
  </si>
  <si>
    <t>TC00000164</t>
  </si>
  <si>
    <t>TC00000165</t>
  </si>
  <si>
    <t>TERMINAL  LXT / DMR300</t>
  </si>
  <si>
    <t>TC00000168</t>
  </si>
  <si>
    <t>GABINETE DE MEDIO  / DMR300</t>
  </si>
  <si>
    <t>TC00000169</t>
  </si>
  <si>
    <t>UNIDAD PRINCIPAL / DMR300</t>
  </si>
  <si>
    <t>TC00000172</t>
  </si>
  <si>
    <t>CONECTOR DC JACK  / DMR300</t>
  </si>
  <si>
    <t>TC00000174</t>
  </si>
  <si>
    <t>ALTAVOZ R / DMR300</t>
  </si>
  <si>
    <t>TC00000175</t>
  </si>
  <si>
    <t>ALMOHADILLA DE GOMA DE LA BATERIA / DMR300</t>
  </si>
  <si>
    <t>TC00000176</t>
  </si>
  <si>
    <t>TC00000178</t>
  </si>
  <si>
    <t>CABLE PLANO / DMR300</t>
  </si>
  <si>
    <t>TC00000179</t>
  </si>
  <si>
    <t>CABLE 4P / DMR300</t>
  </si>
  <si>
    <t>TC00000180</t>
  </si>
  <si>
    <t>CABLE 8P / DMR300</t>
  </si>
  <si>
    <t>TC00000181</t>
  </si>
  <si>
    <t>CABLE 2P-4P / DMR300</t>
  </si>
  <si>
    <t>TC00000186</t>
  </si>
  <si>
    <t>TD00000015</t>
  </si>
  <si>
    <t>TD00000016</t>
  </si>
  <si>
    <t>BASE POSTERIOR/DML814</t>
  </si>
  <si>
    <t>TD00000023</t>
  </si>
  <si>
    <t>EJE B/DML813 - DML814</t>
  </si>
  <si>
    <t>TD00000025</t>
  </si>
  <si>
    <t>EJE A/DML813 - DML814</t>
  </si>
  <si>
    <t>TD00000026</t>
  </si>
  <si>
    <t>PIE/DML814</t>
  </si>
  <si>
    <t>TD00000036</t>
  </si>
  <si>
    <t>CUERPO/DML813 - DML814</t>
  </si>
  <si>
    <t>TD00000039</t>
  </si>
  <si>
    <t>CAJA DE BATERIA/DML814</t>
  </si>
  <si>
    <t>TD00000049</t>
  </si>
  <si>
    <t>CIRCUITO PRINCIPAL/DML814</t>
  </si>
  <si>
    <t>TD00000059</t>
  </si>
  <si>
    <t>LLAVE DE PBC/DML814</t>
  </si>
  <si>
    <t>TD00000060</t>
  </si>
  <si>
    <t>BOTON ON /DML814</t>
  </si>
  <si>
    <t>TD00000061</t>
  </si>
  <si>
    <t>BOTON MODO /DML814</t>
  </si>
  <si>
    <t>TD00000083</t>
  </si>
  <si>
    <t>SOPORTE /DML814</t>
  </si>
  <si>
    <t>TD00000085</t>
  </si>
  <si>
    <t>MANUBRIO /DML814</t>
  </si>
  <si>
    <t>TD00000094</t>
  </si>
  <si>
    <t>TD00000095</t>
  </si>
  <si>
    <t>CABLE CONEXIÓN /DML814</t>
  </si>
  <si>
    <t>TD00000096</t>
  </si>
  <si>
    <t>CAJA DE LAMPARA /DML814</t>
  </si>
  <si>
    <t>TD00000104</t>
  </si>
  <si>
    <t>TAPA DE LED /DML814</t>
  </si>
  <si>
    <t>TD00000105</t>
  </si>
  <si>
    <t>LENTE/DML814</t>
  </si>
  <si>
    <t>TD00000106</t>
  </si>
  <si>
    <t>TAPA FRONTAL /DML814</t>
  </si>
  <si>
    <t>TD00000107</t>
  </si>
  <si>
    <t>LAMPARA LED A/DML814</t>
  </si>
  <si>
    <t>TD00000108</t>
  </si>
  <si>
    <t>LAMPARA LED B/DML814</t>
  </si>
  <si>
    <t>TD00000109</t>
  </si>
  <si>
    <t>JUEGO MANIJA/DML814</t>
  </si>
  <si>
    <t>TE00000011</t>
  </si>
  <si>
    <t>TE00000028</t>
  </si>
  <si>
    <t>TE00000052</t>
  </si>
  <si>
    <t>TE00000177</t>
  </si>
  <si>
    <t>CUBIERTA FRONTAL / CF100D</t>
  </si>
  <si>
    <t>TE00000178</t>
  </si>
  <si>
    <t>CUBIERTA TRASERA / CF100D</t>
  </si>
  <si>
    <t>TE00000179</t>
  </si>
  <si>
    <t>CUBIERTA DE BATERIA / CF100D</t>
  </si>
  <si>
    <t>TE00000180</t>
  </si>
  <si>
    <t>TE00000181</t>
  </si>
  <si>
    <t>CUBIERTA FRONTAL DE SOPORTE / CF100D</t>
  </si>
  <si>
    <t>TE00000182</t>
  </si>
  <si>
    <t>CUBIERTA TRASERA DE SOPORTE / CF100D</t>
  </si>
  <si>
    <t>TE00000183</t>
  </si>
  <si>
    <t>CUBIERTA SUPERIOR DE LA BASE / CF100D</t>
  </si>
  <si>
    <t>TE00000184</t>
  </si>
  <si>
    <t>CUBIERTA INFERIOR DE LA BASE / CF100D</t>
  </si>
  <si>
    <t>TE00000185</t>
  </si>
  <si>
    <t>GANCHO Y ASA / CF100D</t>
  </si>
  <si>
    <t>TE00000186</t>
  </si>
  <si>
    <t>ASPA DE VENTILADOR / CF100D</t>
  </si>
  <si>
    <t>TE00000187</t>
  </si>
  <si>
    <t>MOTOR 12V / CF100D</t>
  </si>
  <si>
    <t>TE00000188</t>
  </si>
  <si>
    <t>CONECTOR  / CF100D</t>
  </si>
  <si>
    <t>TE00000189</t>
  </si>
  <si>
    <t>SOPORTE TAPON / CF100D</t>
  </si>
  <si>
    <t>TE00000190</t>
  </si>
  <si>
    <t>TAPON / CF100D</t>
  </si>
  <si>
    <t>TE00000191</t>
  </si>
  <si>
    <t>SOPORTE DE GANCHO / CF100D</t>
  </si>
  <si>
    <t>TE00000192</t>
  </si>
  <si>
    <t>TOMA DE CARGA / CF100D</t>
  </si>
  <si>
    <t>TE00000193</t>
  </si>
  <si>
    <t>ARANDELA 48 / CF100D</t>
  </si>
  <si>
    <t>TE00000194</t>
  </si>
  <si>
    <t>PLACA DE CIRCUITO IMPRESO / CF100D</t>
  </si>
  <si>
    <t>TE00000195</t>
  </si>
  <si>
    <t>ETIQUETA DE INTERRUPTOR / CF100D</t>
  </si>
  <si>
    <t>TE00000196</t>
  </si>
  <si>
    <t>TE00000197</t>
  </si>
  <si>
    <t>RESORTE 1 / CF100D</t>
  </si>
  <si>
    <t>TE00000198</t>
  </si>
  <si>
    <t>RESORTE 2 / CF100D</t>
  </si>
  <si>
    <t>TE00000199</t>
  </si>
  <si>
    <t>CIRCUITO / CF100D</t>
  </si>
  <si>
    <t>TE00000201</t>
  </si>
  <si>
    <t>TE00000202</t>
  </si>
  <si>
    <t>TE00000203</t>
  </si>
  <si>
    <t>TORNILLO 2.5X8 / CF100D</t>
  </si>
  <si>
    <t>TE00000204</t>
  </si>
  <si>
    <t>TE00000205</t>
  </si>
  <si>
    <t>TORNILLO 4X10 / UNIVERSAL</t>
  </si>
  <si>
    <t>TE00000206</t>
  </si>
  <si>
    <t>TORNILLO M3X5 / UNIVERSAL</t>
  </si>
  <si>
    <t>TE00000211</t>
  </si>
  <si>
    <t>ADAPTADOR / CF100D</t>
  </si>
  <si>
    <t>TE00000248</t>
  </si>
  <si>
    <t>CUBIERTA FRONTAL DE CUERPO / CF101D</t>
  </si>
  <si>
    <t>TE00000249</t>
  </si>
  <si>
    <t>CUBIERTA FRONTAL DE STAND / CF101D</t>
  </si>
  <si>
    <t>TE00000250</t>
  </si>
  <si>
    <t>CUBIERTA TRASERA DE CUERPO / CF101D</t>
  </si>
  <si>
    <t>TE00000251</t>
  </si>
  <si>
    <t>CUBIERTA TRASERA DE SOPORTE / CF101D</t>
  </si>
  <si>
    <t>TE00000252</t>
  </si>
  <si>
    <t>RESORTE LARGO / CF101D</t>
  </si>
  <si>
    <t>TE00000253</t>
  </si>
  <si>
    <t>CUBIERTA SUPERIOR DE LA BASE / CF101D</t>
  </si>
  <si>
    <t>TE00000254</t>
  </si>
  <si>
    <t>TARJETA ELECTRONICA PCBA / CF101D</t>
  </si>
  <si>
    <t>TE00000255</t>
  </si>
  <si>
    <t>CUBIERTA INFERIOR DE LA BASE / CF101D</t>
  </si>
  <si>
    <t>TE00000256</t>
  </si>
  <si>
    <t>TE00000258</t>
  </si>
  <si>
    <t>CUBIERTA FRONTAL DE CUERPO / DCF102</t>
  </si>
  <si>
    <t>TE00000259</t>
  </si>
  <si>
    <t>CUBIERTA FRONTAL DE STAND / DCF102</t>
  </si>
  <si>
    <t>TE00000260</t>
  </si>
  <si>
    <t>CUBIERTA TRASERA DE CUERPO / DCF102</t>
  </si>
  <si>
    <t>TE00000261</t>
  </si>
  <si>
    <t>CUBIERTA TRASERA DE EL SOPORTE / DCF102</t>
  </si>
  <si>
    <t>TE00000262</t>
  </si>
  <si>
    <t>MOTOR PRINCIPAL  /DCF102</t>
  </si>
  <si>
    <t>TE00000263</t>
  </si>
  <si>
    <t>TERMINAL /DCF102</t>
  </si>
  <si>
    <t>TE00000264</t>
  </si>
  <si>
    <t>BASE DE BATERIA /DCF102</t>
  </si>
  <si>
    <t>TE00000265</t>
  </si>
  <si>
    <t>GANCHO /DCF102</t>
  </si>
  <si>
    <t>TE00000266</t>
  </si>
  <si>
    <t>BOTON  ALUMINIO 1 /DCF102</t>
  </si>
  <si>
    <t>TE00000267</t>
  </si>
  <si>
    <t>RESORTE LARGO / DCF102</t>
  </si>
  <si>
    <t>TE00000268</t>
  </si>
  <si>
    <t>BOTON  ALUMINIO 2 /DCF102</t>
  </si>
  <si>
    <t>TE00000269</t>
  </si>
  <si>
    <t>BOTON DE BLOQUEO /DCF102</t>
  </si>
  <si>
    <t>TE00000270</t>
  </si>
  <si>
    <t>RESORTE / DCF102</t>
  </si>
  <si>
    <t>TE00000271</t>
  </si>
  <si>
    <t>EJE PRINCIPAL /VARIOS</t>
  </si>
  <si>
    <t>TE00000272</t>
  </si>
  <si>
    <t>MECANISMO A PRESION /VARIOS</t>
  </si>
  <si>
    <t>TE00000273</t>
  </si>
  <si>
    <t>CUBIERTA SUPERIOR / DCF102</t>
  </si>
  <si>
    <t>TE00000274</t>
  </si>
  <si>
    <t>MECANISMO DE GIRO /VARIOS</t>
  </si>
  <si>
    <t>TE00000275</t>
  </si>
  <si>
    <t>CONTROLADOR /DCF102</t>
  </si>
  <si>
    <t>TE00000276</t>
  </si>
  <si>
    <t>TUERCA M8 /UNIVERSAL</t>
  </si>
  <si>
    <t>TE00000277</t>
  </si>
  <si>
    <t>PLATINA DE ACERO /VARIOS</t>
  </si>
  <si>
    <t>TE00000278</t>
  </si>
  <si>
    <t>SOPORTE INFERIOR/DCF102</t>
  </si>
  <si>
    <t>TE00000279</t>
  </si>
  <si>
    <t>TORNILLO M3X8 /UNIVERSAL</t>
  </si>
  <si>
    <t>TE00000280</t>
  </si>
  <si>
    <t>MOTOR SEGUNDARIO /DCF102</t>
  </si>
  <si>
    <t>TE00000281</t>
  </si>
  <si>
    <t>TUERCA M3 /UNIVERSAL</t>
  </si>
  <si>
    <t>TE00000282</t>
  </si>
  <si>
    <t>MECANISMO INTERNO /CF001G</t>
  </si>
  <si>
    <t>TE00000283</t>
  </si>
  <si>
    <t>BASE DE CONEXION /CF001G</t>
  </si>
  <si>
    <t>TE00000284</t>
  </si>
  <si>
    <t>CABLE DE CONEXION /CF001G</t>
  </si>
  <si>
    <t>TE00000313</t>
  </si>
  <si>
    <t>SOPORTE INTERNO /DCF102</t>
  </si>
  <si>
    <t>TE00000324</t>
  </si>
  <si>
    <t>TORNILLO 3X14 / MP100D</t>
  </si>
  <si>
    <t>TE00000326</t>
  </si>
  <si>
    <t>PANTALLA DIGITAL / MP100D</t>
  </si>
  <si>
    <t>TE00000327</t>
  </si>
  <si>
    <t>TE00000328</t>
  </si>
  <si>
    <t>CLAVIJA DE ACCIONAMIENTO / DMP180 - MP100D</t>
  </si>
  <si>
    <t>TE00000329</t>
  </si>
  <si>
    <t>INTERRUPTOR / DMP180 - MP100D</t>
  </si>
  <si>
    <t>TE00000330</t>
  </si>
  <si>
    <t>RESORTE / UNIVERSAL</t>
  </si>
  <si>
    <t>TE00000331</t>
  </si>
  <si>
    <t>GATILLO DE INTERRUPTOR / DMP180 - MP100D</t>
  </si>
  <si>
    <t>TE00000332</t>
  </si>
  <si>
    <t>SOPORTE FIJO / MP100D</t>
  </si>
  <si>
    <t>TE00000333</t>
  </si>
  <si>
    <t>ADAPTADOR DE ANILLO / DMP180 - MP100D</t>
  </si>
  <si>
    <t>TE00000334</t>
  </si>
  <si>
    <t>ADAPTADOR FRANCES / DMP180 - MP100D</t>
  </si>
  <si>
    <t>TE00000335</t>
  </si>
  <si>
    <t>ADAPTADOR DE BOLA / DMP180 - MP100D</t>
  </si>
  <si>
    <t>TE00000336</t>
  </si>
  <si>
    <t>PLACA DE CIRCUITO IMPRESO / MP100D</t>
  </si>
  <si>
    <t>TE00000337</t>
  </si>
  <si>
    <t>TERMINAL DE BATERIA / MP100D</t>
  </si>
  <si>
    <t>TE00000338</t>
  </si>
  <si>
    <t>SOPORTE / DMP180 - MP100D</t>
  </si>
  <si>
    <t>TE00000340</t>
  </si>
  <si>
    <t>MOTOR CPL / MP100D</t>
  </si>
  <si>
    <t>TE00000341</t>
  </si>
  <si>
    <t>TE00000342</t>
  </si>
  <si>
    <t>LED / DMP180 - MP100D</t>
  </si>
  <si>
    <t>TE00000343</t>
  </si>
  <si>
    <t>PROTECTOR DE TERMINAL / DMP180 - MP100D</t>
  </si>
  <si>
    <t>TE00000351</t>
  </si>
  <si>
    <t>CARCASA CPL  / MP100D</t>
  </si>
  <si>
    <t>TE00000365</t>
  </si>
  <si>
    <t>ETIQUETA DE INTERRUPTOR /CF001G</t>
  </si>
  <si>
    <t>TE00000375</t>
  </si>
  <si>
    <t>SOPORTE DE VENTILADOR DELANTERO/CF001G</t>
  </si>
  <si>
    <t>TE00000381</t>
  </si>
  <si>
    <t>SOPORTE DE VENTILADOR TRASERO/CF001G</t>
  </si>
  <si>
    <t>TE00000384</t>
  </si>
  <si>
    <t>INTERRUPTOR   /CF001G</t>
  </si>
  <si>
    <t>TE00000386</t>
  </si>
  <si>
    <t>MOTOR SEGUNDARIO /CF001G</t>
  </si>
  <si>
    <t>TE00000387</t>
  </si>
  <si>
    <t>CONTROLADOR /CF001G</t>
  </si>
  <si>
    <t>TE00000390</t>
  </si>
  <si>
    <t>TERMINAL DE CARGA /CF001G</t>
  </si>
  <si>
    <t>TE00000420</t>
  </si>
  <si>
    <t>CARCASA CPL  / DMP180</t>
  </si>
  <si>
    <t>TE00000421</t>
  </si>
  <si>
    <t>PANTALLA DIGITAL / DMP180</t>
  </si>
  <si>
    <t>TE00000422</t>
  </si>
  <si>
    <t>SOPORTE FIJO / DMP180</t>
  </si>
  <si>
    <t>TE00000423</t>
  </si>
  <si>
    <t>TARJETA / DMP180</t>
  </si>
  <si>
    <t>TE00000424</t>
  </si>
  <si>
    <t>TERMINAL DE BATERIA / DMP180</t>
  </si>
  <si>
    <t>TE00000425</t>
  </si>
  <si>
    <t>MOTOR CPL 18V / DMP180</t>
  </si>
  <si>
    <t>TE00000426</t>
  </si>
  <si>
    <t>ETIQUETA INTERRUPTOR / DMP180</t>
  </si>
  <si>
    <t>TE00000445</t>
  </si>
  <si>
    <t>GUARDA DELANTERA /CF001G</t>
  </si>
  <si>
    <t>TE00000446</t>
  </si>
  <si>
    <t>ASPAS DE VENTILADOR /CF001G</t>
  </si>
  <si>
    <t>TE00000447</t>
  </si>
  <si>
    <t>GUARDA TRASERA /CF001G</t>
  </si>
  <si>
    <t>TE00000448</t>
  </si>
  <si>
    <t>MOTOR DC 40V /CF001G</t>
  </si>
  <si>
    <t>TE00000449</t>
  </si>
  <si>
    <t>CARCASA SUPERIOR  / CF001G</t>
  </si>
  <si>
    <t>TE00000450</t>
  </si>
  <si>
    <t>TE00000452</t>
  </si>
  <si>
    <t>TERMINAL /VARIOS</t>
  </si>
  <si>
    <t>TE00000454</t>
  </si>
  <si>
    <t>CARCASA INFERIOR  / CF001G</t>
  </si>
  <si>
    <t>TE00000464</t>
  </si>
  <si>
    <t>TE00000475</t>
  </si>
  <si>
    <t>TE00000479</t>
  </si>
  <si>
    <t>TE00000485</t>
  </si>
  <si>
    <t>TE00000524</t>
  </si>
  <si>
    <t>HELICE P/DCF301</t>
  </si>
  <si>
    <t>TE00000574</t>
  </si>
  <si>
    <t>TARJETA PCB P/CF002G</t>
  </si>
  <si>
    <t>TE00000591</t>
  </si>
  <si>
    <t>CARCASA  / MP001G</t>
  </si>
  <si>
    <t>TE00000592</t>
  </si>
  <si>
    <t>ADAPTADOR PARA  PELOTA / DMP180 - MP100D</t>
  </si>
  <si>
    <t>TE00000593</t>
  </si>
  <si>
    <t>SOPORTE FIJO /MP001G</t>
  </si>
  <si>
    <t>TE00000594</t>
  </si>
  <si>
    <t>TE00000595</t>
  </si>
  <si>
    <t>AMORTIGUADOR INTERIOR / MP001G</t>
  </si>
  <si>
    <t>TE00000596</t>
  </si>
  <si>
    <t>CARCASA INTERNA / MP001G</t>
  </si>
  <si>
    <t>TE00000597</t>
  </si>
  <si>
    <t>ADAPTADOR / DMP180 - MP100D</t>
  </si>
  <si>
    <t>TE00000598</t>
  </si>
  <si>
    <t>MANGUERA CPL / MP001G</t>
  </si>
  <si>
    <t>TE00000599</t>
  </si>
  <si>
    <t>MOTOR CPL /MP001G</t>
  </si>
  <si>
    <t>TE00000600</t>
  </si>
  <si>
    <t>BOTON DE VALVULA / MP001G</t>
  </si>
  <si>
    <t>TE00000601</t>
  </si>
  <si>
    <t>BOTON / MP001G</t>
  </si>
  <si>
    <t>TE00000603</t>
  </si>
  <si>
    <t>CONTROLADOR  40V /MP001G</t>
  </si>
  <si>
    <t>TE00000605</t>
  </si>
  <si>
    <t>PANTALLA /MP001G</t>
  </si>
  <si>
    <t>TE00000606</t>
  </si>
  <si>
    <t>AMORTIGUADOR / MP001G</t>
  </si>
  <si>
    <t>TE00000607</t>
  </si>
  <si>
    <t>PROTECTOR TERMICO / MP001G</t>
  </si>
  <si>
    <t>TE00000608</t>
  </si>
  <si>
    <t>INTERRUPTOR ENCENDIDO / MP001G</t>
  </si>
  <si>
    <t>TE00000609</t>
  </si>
  <si>
    <t>PROTECTOR / MP001G</t>
  </si>
  <si>
    <t>TE00000610</t>
  </si>
  <si>
    <t>CIRCUITO LED / MP001G</t>
  </si>
  <si>
    <t>TE00000614</t>
  </si>
  <si>
    <t>CARCASA EXTERNA / DMP181</t>
  </si>
  <si>
    <t>TE00000615</t>
  </si>
  <si>
    <t>MOTOR DC  18V/ DMP181</t>
  </si>
  <si>
    <t>TE00000616</t>
  </si>
  <si>
    <t>CONTROLADOR / DMP182</t>
  </si>
  <si>
    <t>TE00000617</t>
  </si>
  <si>
    <t>PANTALLA DIGITAL / DMP181</t>
  </si>
  <si>
    <t>TE00000625</t>
  </si>
  <si>
    <t>CILINDRO CPL / MP001G</t>
  </si>
  <si>
    <t>TF119F0840</t>
  </si>
  <si>
    <t>PERNO HEX /UNIVERSAL</t>
  </si>
  <si>
    <t>TF120S0510</t>
  </si>
  <si>
    <t>TF120S0625</t>
  </si>
  <si>
    <t>TF244F0408</t>
  </si>
  <si>
    <t>TF2616001A</t>
  </si>
  <si>
    <t>PORTA ACCESORIO /VARIOS</t>
  </si>
  <si>
    <t>TF290Q0506</t>
  </si>
  <si>
    <t>TF3312328A</t>
  </si>
  <si>
    <t>TUBO TELESCOPICO CPL /EYE2650H</t>
  </si>
  <si>
    <t>TF3318145A</t>
  </si>
  <si>
    <t>TUBO CPL /EYE2650H</t>
  </si>
  <si>
    <t>TF3318145B</t>
  </si>
  <si>
    <t>TF3651008A</t>
  </si>
  <si>
    <t>EJE INTERNO /EYE2650H</t>
  </si>
  <si>
    <t>TF4117027A</t>
  </si>
  <si>
    <t>RECEPTOR LASER /VARIOS</t>
  </si>
  <si>
    <t>TF411M0800</t>
  </si>
  <si>
    <t>TF4613005B</t>
  </si>
  <si>
    <t>JUEGO DE TOPE / VARIOS</t>
  </si>
  <si>
    <t>TF480J1200</t>
  </si>
  <si>
    <t>ANILLO SEGURO S-12 / VARIOS</t>
  </si>
  <si>
    <t>TF5313012A</t>
  </si>
  <si>
    <t>RESORTE DE COMPRESION / VARIOS</t>
  </si>
  <si>
    <t>TF6116068B</t>
  </si>
  <si>
    <t>MARIPOSA /VARIOS</t>
  </si>
  <si>
    <t>TF6126008A</t>
  </si>
  <si>
    <t>SEPARADOR /VARIOS</t>
  </si>
  <si>
    <t>TF6126009A</t>
  </si>
  <si>
    <t>TOPE INTERNO / VARIOS</t>
  </si>
  <si>
    <t>TF6126010A</t>
  </si>
  <si>
    <t>BOCINA/VARIOS</t>
  </si>
  <si>
    <t>TF6362070A</t>
  </si>
  <si>
    <t>TG00000001</t>
  </si>
  <si>
    <t>BOMBA CPL / HW1300 - HW1200</t>
  </si>
  <si>
    <t>TG00000002</t>
  </si>
  <si>
    <t>PASADOR TIPO U 3 / HW1300 - HW1200</t>
  </si>
  <si>
    <t>TG00000003</t>
  </si>
  <si>
    <t>PERNO TIPO U / VARIOS</t>
  </si>
  <si>
    <t>TG00000004</t>
  </si>
  <si>
    <t>TG00000005</t>
  </si>
  <si>
    <t>INTERRUPTOR DE PRESION / HW1200 - HW1300</t>
  </si>
  <si>
    <t>TG00000006</t>
  </si>
  <si>
    <t>ANILLO GOMA 62 / VARIOS</t>
  </si>
  <si>
    <t>TG00000007</t>
  </si>
  <si>
    <t>EMPAQUETADURA DE DESCARGA / HW1200</t>
  </si>
  <si>
    <t>TG00000008</t>
  </si>
  <si>
    <t>TG00000009</t>
  </si>
  <si>
    <t>TG00000010</t>
  </si>
  <si>
    <t>EMPAQUETADURA DE BOBINA / HW1300</t>
  </si>
  <si>
    <t>TG00000011</t>
  </si>
  <si>
    <t>TG00000012</t>
  </si>
  <si>
    <t>TORNILLO ST 3.5X19 / UNIVERSAL</t>
  </si>
  <si>
    <t>TG00000013</t>
  </si>
  <si>
    <t>MANUBRIO CPL / HW1300</t>
  </si>
  <si>
    <t>TG00000024</t>
  </si>
  <si>
    <t>ANILLO DE GOMA / HW1300 - HW1200</t>
  </si>
  <si>
    <t>TG00000025</t>
  </si>
  <si>
    <t>ENGRANAJE / HW1300 - HW1200</t>
  </si>
  <si>
    <t>TG00000026</t>
  </si>
  <si>
    <t>BIELA / HW1300 - HW1200</t>
  </si>
  <si>
    <t>TG00000037</t>
  </si>
  <si>
    <t>TG00000038</t>
  </si>
  <si>
    <t>TG00000039</t>
  </si>
  <si>
    <t>TG00000041</t>
  </si>
  <si>
    <t>SELLO DE ACEITE / HW1300 - HW1200</t>
  </si>
  <si>
    <t>TG00000042</t>
  </si>
  <si>
    <t>SELLO / HW1300 - HW1200</t>
  </si>
  <si>
    <t>TG00000044</t>
  </si>
  <si>
    <t>TG00000047</t>
  </si>
  <si>
    <t>TG00000048</t>
  </si>
  <si>
    <t>TG00000059</t>
  </si>
  <si>
    <t>MANGUERA DE ALTA PRESION 10M / HW1300</t>
  </si>
  <si>
    <t>TK0LDG501F</t>
  </si>
  <si>
    <t>RODAMIENTO DE AGUJAS / UNIVERSAL</t>
  </si>
  <si>
    <t>TL00000001</t>
  </si>
  <si>
    <t>MOTOR DC /6722DW</t>
  </si>
  <si>
    <t>TL00000005</t>
  </si>
  <si>
    <t>INTERRUPTOR / 6723DW</t>
  </si>
  <si>
    <t>TL00000006</t>
  </si>
  <si>
    <t>CLIP DE RESORTE / 6723DW</t>
  </si>
  <si>
    <t>TL00000007</t>
  </si>
  <si>
    <t>TL00000011</t>
  </si>
  <si>
    <t>PLACA DE CIRCUITO / 6723DW</t>
  </si>
  <si>
    <t>TL00000014</t>
  </si>
  <si>
    <t>TORNILLO 3.0X10MM / UNIVERSAL</t>
  </si>
  <si>
    <t>TL00000016</t>
  </si>
  <si>
    <t>TORNILLO 3.5X26MM / 6723DW</t>
  </si>
  <si>
    <t>TL00000018</t>
  </si>
  <si>
    <t>TL00000020</t>
  </si>
  <si>
    <t>CONECTOR / 6723DW</t>
  </si>
  <si>
    <t>TL00000021</t>
  </si>
  <si>
    <t>TL00000022</t>
  </si>
  <si>
    <t>TL00000023</t>
  </si>
  <si>
    <t>CARGADOR / 6723DW</t>
  </si>
  <si>
    <t>TL00000026</t>
  </si>
  <si>
    <t>NUCLEO / 6723DW</t>
  </si>
  <si>
    <t>TL00000027</t>
  </si>
  <si>
    <t>CONDENSADOR DE CERAMICA / 6723DW</t>
  </si>
  <si>
    <t>TL00000028</t>
  </si>
  <si>
    <t>TL00000029</t>
  </si>
  <si>
    <t>TL00000030</t>
  </si>
  <si>
    <t>TL00000031</t>
  </si>
  <si>
    <t>TORX01</t>
  </si>
  <si>
    <t>TORNILLO TORX SEGURIDAD M5X12 /UNIVERSAL</t>
  </si>
  <si>
    <t>TP00000084</t>
  </si>
  <si>
    <t>RESORTE / DUB182</t>
  </si>
  <si>
    <t>TP00000095</t>
  </si>
  <si>
    <t>MOTOR / 6723DW</t>
  </si>
  <si>
    <t>TP00000096</t>
  </si>
  <si>
    <t>TP00000097</t>
  </si>
  <si>
    <t>CUBIERTA DE BOTON / 6723DW</t>
  </si>
  <si>
    <t>TP00000098</t>
  </si>
  <si>
    <t>TP00000099</t>
  </si>
  <si>
    <t>TP00000101</t>
  </si>
  <si>
    <t>TP00000112</t>
  </si>
  <si>
    <t>CARCASA DE VENTILADOR / DUB182</t>
  </si>
  <si>
    <t>TP00000113</t>
  </si>
  <si>
    <t>MOTOR DE 18V / DUB182</t>
  </si>
  <si>
    <t>TP00000209</t>
  </si>
  <si>
    <t>INTERRUPTOR AS-890SW05A-MK-R / DUB182</t>
  </si>
  <si>
    <t>TP00000211</t>
  </si>
  <si>
    <t>CAJA MOTOR CPL  / DUB182</t>
  </si>
  <si>
    <t>UDC004</t>
  </si>
  <si>
    <t>RODAMIENTO 6003 - UD00UDC004 / HB350</t>
  </si>
  <si>
    <t>UDC014</t>
  </si>
  <si>
    <t>RODAMIENTO 6203RS / UNIVERSAL</t>
  </si>
  <si>
    <t>UDC020</t>
  </si>
  <si>
    <t>UDC022</t>
  </si>
  <si>
    <t>INTERRUPTOR / HB500</t>
  </si>
  <si>
    <t>UDC023</t>
  </si>
  <si>
    <t>RODAMIENTO 6001ZZ / HB500</t>
  </si>
  <si>
    <t>VISO15</t>
  </si>
  <si>
    <t>PROTECCIÓN DE PERFORACION /HB500</t>
  </si>
  <si>
    <t>WJ00008282</t>
  </si>
  <si>
    <t>AGUJA INTERNA CARBURADOR/ VARIOS</t>
  </si>
  <si>
    <t>WJ00009589</t>
  </si>
  <si>
    <t>EMPAQUE DE  BOMBA / VARIOS</t>
  </si>
  <si>
    <t>WJ00009599</t>
  </si>
  <si>
    <t>MEMBRANA DE BOMBA/ VARIOS</t>
  </si>
  <si>
    <t>WJ00014070</t>
  </si>
  <si>
    <t>MALLA DE CARBURADOR/ VARIOS</t>
  </si>
  <si>
    <t>WJ00016104</t>
  </si>
  <si>
    <t>ANILLO DE CHICLER / VARIOS</t>
  </si>
  <si>
    <t>WJ00092225</t>
  </si>
  <si>
    <t>EMPAQUE DE BOMBA/ VARIOS</t>
  </si>
  <si>
    <t>WJ00092228</t>
  </si>
  <si>
    <t>WJ00095586</t>
  </si>
  <si>
    <t>MEMBRANA DE DIAFRAGMA/ VARIOS</t>
  </si>
  <si>
    <t>WJ00098404</t>
  </si>
  <si>
    <t>WJ00963279</t>
  </si>
  <si>
    <t>WJ00983160</t>
  </si>
  <si>
    <t>RESORTE DE CARBURADOR / VARIOS</t>
  </si>
  <si>
    <t>WL00000002</t>
  </si>
  <si>
    <t>ENCENDEDOR DC 12-24V / DCW180</t>
  </si>
  <si>
    <t>WL00000004</t>
  </si>
  <si>
    <t>CUBIERTA SUPERIOR / DCW180</t>
  </si>
  <si>
    <t>WL00000005</t>
  </si>
  <si>
    <t>CANDADO / DCW180</t>
  </si>
  <si>
    <t>WL00000006</t>
  </si>
  <si>
    <t>EMPAQUE / DCW180</t>
  </si>
  <si>
    <t>WL00000007</t>
  </si>
  <si>
    <t>CUBIERTA DE BATERIA / DCW180</t>
  </si>
  <si>
    <t>WL00000008</t>
  </si>
  <si>
    <t>WL00000011</t>
  </si>
  <si>
    <t>ETIQUETA DE INDICACION / DCW180</t>
  </si>
  <si>
    <t>WL00000012</t>
  </si>
  <si>
    <t>BOTONERA / DCW180</t>
  </si>
  <si>
    <t>WL00000014</t>
  </si>
  <si>
    <t>PANEL DE CONTROL / DCW180</t>
  </si>
  <si>
    <t>WL00000016</t>
  </si>
  <si>
    <t>CONTROLADOR / DCW180</t>
  </si>
  <si>
    <t>WL00000020</t>
  </si>
  <si>
    <t>TARJETA DE LUZ  / DCW180</t>
  </si>
  <si>
    <t>WL00000021</t>
  </si>
  <si>
    <t>INTERRUPTOR MAGNETICO / DCW180</t>
  </si>
  <si>
    <t>WL00000026</t>
  </si>
  <si>
    <t>ASA DE TRANSPORTE / DCW180</t>
  </si>
  <si>
    <t>WL00000027</t>
  </si>
  <si>
    <t>TARJETA USB / DCW180</t>
  </si>
  <si>
    <t>WL00000028</t>
  </si>
  <si>
    <t>VENTILADOR (SALIDA AIRE) / DCW180</t>
  </si>
  <si>
    <t>WL00000030</t>
  </si>
  <si>
    <t>VENTILADOR (ENTRADA AIRE) / DCW180</t>
  </si>
  <si>
    <t>WL00000031</t>
  </si>
  <si>
    <t>TAPA DE RUEDA / DCW180</t>
  </si>
  <si>
    <t>WL00000033</t>
  </si>
  <si>
    <t>RUEDAS CPL / DCW180</t>
  </si>
  <si>
    <t>WL00000034</t>
  </si>
  <si>
    <t>RODAMIENTO / UNIVERSAL</t>
  </si>
  <si>
    <t>WL00000037</t>
  </si>
  <si>
    <t>TAPA DE RUEDA IZQUIERDA /  DCW180</t>
  </si>
  <si>
    <t>WL00000038</t>
  </si>
  <si>
    <t>TAPA DE RUEDA DERECHA  / DCW180</t>
  </si>
  <si>
    <t>WL00000042</t>
  </si>
  <si>
    <t>CONTROLADOR PRINCIPAL / DCW180</t>
  </si>
  <si>
    <t>WL00000043</t>
  </si>
  <si>
    <t>CUBIERTA TRASERA / DCW180</t>
  </si>
  <si>
    <t>WL00000046</t>
  </si>
  <si>
    <t>ASA SUPERIOR / DCW180</t>
  </si>
  <si>
    <t>WL00000048</t>
  </si>
  <si>
    <t>ENTRADA DC / DCW180</t>
  </si>
  <si>
    <t>WL00000050</t>
  </si>
  <si>
    <t>TAPA FILTRO DE AIRE / DCW180</t>
  </si>
  <si>
    <t>WL00000051</t>
  </si>
  <si>
    <t>FILTRO DE AIRE / DCW180</t>
  </si>
  <si>
    <t>WL00000063</t>
  </si>
  <si>
    <t>CABLE DE ALIMENTACION / DCW180</t>
  </si>
  <si>
    <t>WL00000069</t>
  </si>
  <si>
    <t>CABLE DE PLACA DE CIRCUITO IMPRESO / DCW180</t>
  </si>
  <si>
    <t>WL00000070</t>
  </si>
  <si>
    <t>WL00000087</t>
  </si>
  <si>
    <t>CABLE ALIMENTACION MOTOR/ CW001G</t>
  </si>
  <si>
    <t>WL00000093</t>
  </si>
  <si>
    <t>PANEL DE CONTROL / CW002G</t>
  </si>
  <si>
    <t>WL00000096</t>
  </si>
  <si>
    <t>TARJETA DE CONTROL/ CW001G</t>
  </si>
  <si>
    <t>WL00000099</t>
  </si>
  <si>
    <t>WL00000102</t>
  </si>
  <si>
    <t>TARJETA DE USB/ CW001G</t>
  </si>
  <si>
    <t>WL00000103</t>
  </si>
  <si>
    <t>VENTILADOR (SALIDA AIRE) / CW002G</t>
  </si>
  <si>
    <t>WL00000108</t>
  </si>
  <si>
    <t>TARJETA DE PODER/ CW001G</t>
  </si>
  <si>
    <t>WL00000112</t>
  </si>
  <si>
    <t>TAPA RANURADA/ CW001G</t>
  </si>
  <si>
    <t>WL00000122</t>
  </si>
  <si>
    <t>ADAPTADOR  CORRIENTE 220V/ CW001G</t>
  </si>
  <si>
    <t>WL00000240</t>
  </si>
  <si>
    <t>SELLO / CW002G</t>
  </si>
  <si>
    <t>WL00000261</t>
  </si>
  <si>
    <t>CIRCUITO CONTROL DE PANTALLA / CW002G</t>
  </si>
  <si>
    <t>WL00000264</t>
  </si>
  <si>
    <t>VENTILADOR / CW002G</t>
  </si>
  <si>
    <t>WL00000266</t>
  </si>
  <si>
    <t>RUEDA / CW002G</t>
  </si>
  <si>
    <t>X655000271</t>
  </si>
  <si>
    <t>TAPA DE BUJIA/ VARIOS</t>
  </si>
  <si>
    <t>XMR0121179</t>
  </si>
  <si>
    <t>IMPULSOR/ EVH2000</t>
  </si>
  <si>
    <t>XMT0000477</t>
  </si>
  <si>
    <t>BUJIA / KR0700H</t>
  </si>
  <si>
    <t>XMT0000602</t>
  </si>
  <si>
    <t>EMPAQUE TEMPERATURA / KR0751H</t>
  </si>
  <si>
    <t>XMT0001316</t>
  </si>
  <si>
    <t>FILTRO DE GASOLINA/ KR0700H</t>
  </si>
  <si>
    <t>XMT0005018</t>
  </si>
  <si>
    <t>ARRANCADOR CPL / KR0700H</t>
  </si>
  <si>
    <t>XMT0005386</t>
  </si>
  <si>
    <t>CONJUNTO DE CUCHILLAS / KR0751H</t>
  </si>
  <si>
    <t>XMT0005767</t>
  </si>
  <si>
    <t>JUEGO ANILLOS  STD / KR0700H</t>
  </si>
  <si>
    <t>XMT0005902</t>
  </si>
  <si>
    <t>LLAVE DE GASOLINA / KR0700H</t>
  </si>
  <si>
    <t>XMT0005917</t>
  </si>
  <si>
    <t>PISTON STD / KR0700H</t>
  </si>
  <si>
    <t>XMT0007127</t>
  </si>
  <si>
    <t>EMPAQUE EXTERNO CARBURADOR / KR0700H</t>
  </si>
  <si>
    <t>XMT0007128</t>
  </si>
  <si>
    <t>XMT0007133</t>
  </si>
  <si>
    <t>FILTRO DE AIRE / KR0700H</t>
  </si>
  <si>
    <t>XMT0007144</t>
  </si>
  <si>
    <t>CARBURADOR / KR0700H</t>
  </si>
  <si>
    <t>XMT0007263</t>
  </si>
  <si>
    <t>BOBINA CPL / KR0700H</t>
  </si>
  <si>
    <t>XNR0000309</t>
  </si>
  <si>
    <t>EJE FLEXIBLE / EBH340R</t>
  </si>
  <si>
    <t>XNR0000489</t>
  </si>
  <si>
    <t>CAJA DE ENGRANAJE / EBH340R</t>
  </si>
  <si>
    <t>XNR0000515</t>
  </si>
  <si>
    <t>XNR0000516</t>
  </si>
  <si>
    <t>TUERCA /UNIVERSAL</t>
  </si>
  <si>
    <t>XNR0000517</t>
  </si>
  <si>
    <t>PERNO SOCKET  M6X45 /UNIVERSAL</t>
  </si>
  <si>
    <t>XNR0000518</t>
  </si>
  <si>
    <t>XNR0000519</t>
  </si>
  <si>
    <t>XNR0000520</t>
  </si>
  <si>
    <t>RODAJE 6301LL / UNIVERSAL</t>
  </si>
  <si>
    <t>XNR0000521</t>
  </si>
  <si>
    <t>SIN FIN / VARIOS</t>
  </si>
  <si>
    <t>XNR0000522</t>
  </si>
  <si>
    <t>INSERTO/ VARIOS</t>
  </si>
  <si>
    <t>XNR0000525</t>
  </si>
  <si>
    <t>CORONA / VARIOS</t>
  </si>
  <si>
    <t>XNR0000527</t>
  </si>
  <si>
    <t>PERNO SOCKET HEAGONAL M6X20 /UNIVERSAL</t>
  </si>
  <si>
    <t>XNR0000528</t>
  </si>
  <si>
    <t>PERNO SOCKET HEAGONAL M5X10 /UNIVERSAL</t>
  </si>
  <si>
    <t>XNR0000529</t>
  </si>
  <si>
    <t>PERNO SOCKET HEAGONAL M5X15 /UNIVERSAL</t>
  </si>
  <si>
    <t>XNR0000530</t>
  </si>
  <si>
    <t>PASADOR R / VARIOS</t>
  </si>
  <si>
    <t>XNR0000531</t>
  </si>
  <si>
    <t>XNR0000532</t>
  </si>
  <si>
    <t>CUCHILLA IZQUIERDA/ VARIOS</t>
  </si>
  <si>
    <t>XNR0000533</t>
  </si>
  <si>
    <t>PERNO SOCKET HEAGONAL M6X10 /UNIVERSAL</t>
  </si>
  <si>
    <t>XNR0000534</t>
  </si>
  <si>
    <t>XNR0000535</t>
  </si>
  <si>
    <t>CUCHILLA DERECHA / VARIOS</t>
  </si>
  <si>
    <t>XNR0000536</t>
  </si>
  <si>
    <t>CAJA DE SIN FIN A / VARIOS</t>
  </si>
  <si>
    <t>XNR0000537</t>
  </si>
  <si>
    <t>CAJA DE SIN FIN B / VARIOS</t>
  </si>
  <si>
    <t>XTM0000001</t>
  </si>
  <si>
    <t>XTM0000004</t>
  </si>
  <si>
    <t>JUEGO DE ENGRANAJE / VARIOS</t>
  </si>
  <si>
    <t>XTM0000011</t>
  </si>
  <si>
    <t>PERNO HEAGONAL 6X8M /UNIVERSAL</t>
  </si>
  <si>
    <t>XTM0000014</t>
  </si>
  <si>
    <t>PIÑON DE ARRASTRE/ VARIOS</t>
  </si>
  <si>
    <t>XTM0000015</t>
  </si>
  <si>
    <t>XTM0000016</t>
  </si>
  <si>
    <t>TORNILLO M6X15 /UNIVERSAL</t>
  </si>
  <si>
    <t>XTM0000017</t>
  </si>
  <si>
    <t>TORNILLO DE AJUSTE/ VARIOS</t>
  </si>
  <si>
    <t>XTM0000018</t>
  </si>
  <si>
    <t>PIN DE AJUSTE/ VARIOS</t>
  </si>
  <si>
    <t>XTM0000020</t>
  </si>
  <si>
    <t>TAPA DE TANQUE ACEITE/ VARIOS</t>
  </si>
  <si>
    <t>XTM0000022</t>
  </si>
  <si>
    <t>PROTECTOR DE CADENA EY2650H</t>
  </si>
  <si>
    <t>XTM0000023</t>
  </si>
  <si>
    <t>TUERCA 6M /UNIVERSAL</t>
  </si>
  <si>
    <t>Z74145-2</t>
  </si>
  <si>
    <t>CARCASA / BATERIA BL1813G</t>
  </si>
  <si>
    <t>Z74146-2</t>
  </si>
  <si>
    <t>CARCASA DE BATERIA BL1016</t>
  </si>
  <si>
    <t>Z74147-2</t>
  </si>
  <si>
    <t>CARCASA / BATERIA BL1021</t>
  </si>
  <si>
    <t>Z74148-2</t>
  </si>
  <si>
    <t>CARCASA / BATERIA BL1041B</t>
  </si>
  <si>
    <t>Z86058-0</t>
  </si>
  <si>
    <t>CARCASA DE BATERIA/ BL1840</t>
  </si>
  <si>
    <t>ZJ00000011</t>
  </si>
  <si>
    <t>EMPAQUE DE DIAFRAGMA/ VARIOS</t>
  </si>
  <si>
    <t>ZJ00000013</t>
  </si>
  <si>
    <t>ZJ00000016</t>
  </si>
  <si>
    <t>ZJ00000029</t>
  </si>
  <si>
    <t>ZJ00000082</t>
  </si>
  <si>
    <t>JUEGO DE MEMBRANAS / VARIOS</t>
  </si>
  <si>
    <t>137109-6</t>
  </si>
  <si>
    <t>141A46-4</t>
  </si>
  <si>
    <t>CAJA PARA POLVO COMPLETA / DRC300</t>
  </si>
  <si>
    <t>413500-5</t>
  </si>
  <si>
    <t>TANQUE SUPERIOR / DCR300</t>
  </si>
  <si>
    <t>CARCASA SUPERIOR / RM350D</t>
  </si>
  <si>
    <t>CARCASA INFERIOR / RM350D</t>
  </si>
  <si>
    <t>RUEDA TRASERA / RM350D</t>
  </si>
  <si>
    <t>CAJA DE ENGRANAJE / VC010G</t>
  </si>
  <si>
    <t>TUBO ENSAMBLADO / DVC560 - VC010G</t>
  </si>
  <si>
    <t>CARCASA INFERIOR / VC010G</t>
  </si>
  <si>
    <t>CUBIERTA DEL MOTOR / VC010G</t>
  </si>
  <si>
    <t>PLACA DEL INTERRUPTOR / VC010G</t>
  </si>
  <si>
    <t>MANGUERA COMPLETA 28-0.1 / VC010G</t>
  </si>
  <si>
    <t>MANGUERA COMPLETA 28-0.7 / VC010G</t>
  </si>
  <si>
    <t>CUBIERTA SUPERIOR COMPLETA / RM350D</t>
  </si>
  <si>
    <t>BASE DE ESTACION COMPLETA / RM350D</t>
  </si>
  <si>
    <t>GUIA DEL ALAMBRE B / DTR180</t>
  </si>
  <si>
    <t>CARCASA EXTERIOR / DRT52</t>
  </si>
  <si>
    <t>PLACA DEL INTERRUPTOR / DRT52</t>
  </si>
  <si>
    <t>TOPE TRASERO / RM350D</t>
  </si>
  <si>
    <t>CUBIERTA FRONTAL COMPLETA/ RM350D</t>
  </si>
  <si>
    <t>TAPA DEL TANQUE COMPLETA / VARIOS</t>
  </si>
  <si>
    <t>CAJA MOTOR / BO5010</t>
  </si>
  <si>
    <t>CAJA MOTOR COMPLETA / VC010G</t>
  </si>
  <si>
    <t>CAJA MOTOR COMPLETO / DRT52</t>
  </si>
  <si>
    <t>MANGO COMPLETO / VC560D - VC010G</t>
  </si>
  <si>
    <t>MANGO COMPLETO / VARIOS</t>
  </si>
  <si>
    <t>INTERRUPTOR DE FOTO / DRC300 - RM350D</t>
  </si>
  <si>
    <t>JUEGO COMPLETO DE CEPILLO / VC010G</t>
  </si>
  <si>
    <t>CONTROLADOR / RM350D</t>
  </si>
  <si>
    <t>CONTROLADOR UI / RM350D</t>
  </si>
  <si>
    <t>CARBON CB-318 / VARIOS</t>
  </si>
  <si>
    <t>RODAMIENTO 688LL / UNIVERSAL</t>
  </si>
  <si>
    <t>VENTILADOR 80 / RM350D</t>
  </si>
  <si>
    <t>ANILLO 4 / 2704</t>
  </si>
  <si>
    <t>BOTON 46 / 1902 - 1932H</t>
  </si>
  <si>
    <t>TUBO A / VC560D - VC010G</t>
  </si>
  <si>
    <t>RESORTE DE CONTACTO / EA4301F</t>
  </si>
  <si>
    <t>CABLE DE CONTROL / EBH340U</t>
  </si>
  <si>
    <t>CUBIERTA DE CAJA DE POLVO / VC010G</t>
  </si>
  <si>
    <t>CUBIERTA DE CAJA DE POLVO LATERAL / VC010G</t>
  </si>
  <si>
    <t>CUBIERTA DE PANTALLA A / RM350D</t>
  </si>
  <si>
    <t>BOTON DE PARADA / RM350D</t>
  </si>
  <si>
    <t>TAPA USB / RM350D</t>
  </si>
  <si>
    <t>CUBIERTA / RM350D</t>
  </si>
  <si>
    <t>CUBIERTA DE RUEDA DELANTERA / RM350D</t>
  </si>
  <si>
    <t>CUBIERTA DE RUEDA TRASERA / RM350D</t>
  </si>
  <si>
    <t>CARCASA DE ESTACION / RM350D</t>
  </si>
  <si>
    <t>CUBIERTA SUPERIOR / RM350D</t>
  </si>
  <si>
    <t>CUBIERTA SUPERIOR A / RM350D</t>
  </si>
  <si>
    <t>CUBIERTA SUPERIOR B / RM350D</t>
  </si>
  <si>
    <t>CUBIERTA SUPERIOR / BO6030</t>
  </si>
  <si>
    <t>TOPE / VC010G</t>
  </si>
  <si>
    <t>ANILLO DE GOMA A / VC010G</t>
  </si>
  <si>
    <t>ANILLO DE GOMA B / VC010G</t>
  </si>
  <si>
    <t>CEPILLO / VC010G</t>
  </si>
  <si>
    <t>MANGUERA / VC010G</t>
  </si>
  <si>
    <t>UNION DE TRANSMISION / VC010G</t>
  </si>
  <si>
    <t>LLANTA DELANTERA / RM350D</t>
  </si>
  <si>
    <t>SELLO / RM350D</t>
  </si>
  <si>
    <t>BASE DE TORNILLO DE FIJACION / EA4301F - UC012G</t>
  </si>
  <si>
    <t>453365-3</t>
  </si>
  <si>
    <t>GUIA DE CALIBRACION / EA4301F</t>
  </si>
  <si>
    <t>PALANCA DE CHOKE / EA4301F</t>
  </si>
  <si>
    <t>ROTOR 220V / BO3710 - BO3711</t>
  </si>
  <si>
    <t>ROTOR 220V / SP6000</t>
  </si>
  <si>
    <t>ROTOR 220V / LW1401 - LW1400</t>
  </si>
  <si>
    <t>ROTOR 40V / UH008G - UH009G</t>
  </si>
  <si>
    <t>ROTOR 18V / DRT52</t>
  </si>
  <si>
    <t>CIRCUITO DE DETECCION DE CABLE / RM350D</t>
  </si>
  <si>
    <t>CIRCUITO LED / RM350D</t>
  </si>
  <si>
    <t>CIRCUITO LED / VC010G</t>
  </si>
  <si>
    <t>CONTROLADOR / VC010G</t>
  </si>
  <si>
    <t>CONTROLADOR / UH008G - UH009G</t>
  </si>
  <si>
    <t>CONTROLADOR / DRT52</t>
  </si>
  <si>
    <t>INTERRUPTOR / DRT52</t>
  </si>
  <si>
    <t>PROTECTOR DE CUCHILLA / VARIOS</t>
  </si>
  <si>
    <t>ESTATOR COMPLETO / DDF486 - DHP486</t>
  </si>
  <si>
    <t>MOTOR DC 18V / RM350D</t>
  </si>
  <si>
    <t>ESTATOR 40V / VC010G</t>
  </si>
  <si>
    <t>ESTATOR 18V / DRT52</t>
  </si>
  <si>
    <t>CONTROLADOR / DF010D - DF012D</t>
  </si>
  <si>
    <t>CABLE CIRCUITO DE ARRANQUE / EA4301F</t>
  </si>
  <si>
    <t>UNIDAD DEL INTERRUPTOR RM350D</t>
  </si>
  <si>
    <t>INTERRUPTOR DRH-03S-DDK32-02R / RM350D</t>
  </si>
  <si>
    <t>INTERRUPTOR TG72B-1 / LS1016 - LS1216</t>
  </si>
  <si>
    <t>ETIQUETA DE ESCALA / 1923H</t>
  </si>
  <si>
    <t>PERNO HEX M4X12 W / 2704 - DLM460</t>
  </si>
  <si>
    <t>PERNO HEX. M6X30 WR / VARIOS</t>
  </si>
  <si>
    <t>GUIA DEL INTERRUPTOR / VARIOS</t>
  </si>
  <si>
    <t>PROTECTOR DEL INTERRUPTOR / VARIOS</t>
  </si>
  <si>
    <t>INTERRUPTOR / M2300 - MLS100</t>
  </si>
  <si>
    <t>REGLA DE ANGULOS A / LS1110F</t>
  </si>
  <si>
    <t>PLACA DE BLOQUEO / LS1110F</t>
  </si>
  <si>
    <t>BASE COMPLETA / LS1110F</t>
  </si>
  <si>
    <t>REGLA DE APOYO / LS1110F</t>
  </si>
  <si>
    <t>MESA GIRATORIA COMPLETA / LS1110F</t>
  </si>
  <si>
    <t>REGLA DE ANGULOS B / LS1110F</t>
  </si>
  <si>
    <t>BRAZO DESLIZANTE / LS1110F</t>
  </si>
  <si>
    <t>GUARDA MOVIL COMPLETA / LS1110F</t>
  </si>
  <si>
    <t>GUARDA MOVIL / LS1110F</t>
  </si>
  <si>
    <t>GUARDA FIJA / LS1110F</t>
  </si>
  <si>
    <t>CAJA MOTOR / LS1110F</t>
  </si>
  <si>
    <t>TRABADOR DE DISCO / LS1110F</t>
  </si>
  <si>
    <t>MANGO DERECHO / LS1110F</t>
  </si>
  <si>
    <t>MANGO IZQUIERDO / LS1110F</t>
  </si>
  <si>
    <t>CUBIERTA TRASERA DE LA CAJA MOTOR / LS1110F</t>
  </si>
  <si>
    <t>M1104</t>
  </si>
  <si>
    <t>140K70-4</t>
  </si>
  <si>
    <t>PALANCA COMPLETA / DWR180, WR100D</t>
  </si>
  <si>
    <t>187833-1</t>
  </si>
  <si>
    <t>CARCASA COMPLETA / DHR263, DHR264</t>
  </si>
  <si>
    <t>256963-0</t>
  </si>
  <si>
    <t>PIN 3 / DWR180, WR100D</t>
  </si>
  <si>
    <t>310954-6</t>
  </si>
  <si>
    <t>ANILLO DEL RETEN / DWR180, WR100D</t>
  </si>
  <si>
    <t>143704-2</t>
  </si>
  <si>
    <t>187998-9</t>
  </si>
  <si>
    <t>196687-5</t>
  </si>
  <si>
    <t>199633-7</t>
  </si>
  <si>
    <t>323923-8</t>
  </si>
  <si>
    <t>413848-5</t>
  </si>
  <si>
    <t>TANQUE DE COMBUSTIBLE / BHX2500</t>
  </si>
  <si>
    <t>191R54-7</t>
  </si>
  <si>
    <t>CONJUNTO DE CUCHILLAS DE CIZALLAS 750 / DUH751</t>
  </si>
  <si>
    <t>1R211-A</t>
  </si>
  <si>
    <t>MEDIDOR PSI / HW1200, HW1300</t>
  </si>
  <si>
    <t>1R311</t>
  </si>
  <si>
    <t>EXTRACTOR DE SEGURO CURVO-EXTERIOR</t>
  </si>
  <si>
    <t>1R316</t>
  </si>
  <si>
    <t>LLAVE FRANCESA CON PIN AJUSTABLE</t>
  </si>
  <si>
    <t>1R474</t>
  </si>
  <si>
    <t>MEDIDOR DE VACIO / DVP181</t>
  </si>
  <si>
    <t>1R474-B</t>
  </si>
  <si>
    <t>ADAPTADOR 1/4"  / DVP181</t>
  </si>
  <si>
    <t>1R483</t>
  </si>
  <si>
    <t>MEDIDOR DE PRESION / ENGRASADORA</t>
  </si>
  <si>
    <t>1R493</t>
  </si>
  <si>
    <t>EXTRACTOR DE SEGURO-INTERIOR</t>
  </si>
  <si>
    <t>1R494</t>
  </si>
  <si>
    <t>510450-6</t>
  </si>
  <si>
    <t>1830A6-1</t>
  </si>
  <si>
    <t>629369-9</t>
  </si>
  <si>
    <t>227B04-1</t>
  </si>
  <si>
    <t>312E61-1</t>
  </si>
  <si>
    <t>327D58-1</t>
  </si>
  <si>
    <t>413U68-7</t>
  </si>
  <si>
    <t>413U69-5</t>
  </si>
  <si>
    <t>620M10-5</t>
  </si>
  <si>
    <t>763668-0</t>
  </si>
  <si>
    <t>TUERCA DE SUJECION / DGD800, DGD801</t>
  </si>
  <si>
    <t>763673-7</t>
  </si>
  <si>
    <t>PINZA 1/4" / DGD800, DGD801</t>
  </si>
  <si>
    <t>141M72-5</t>
  </si>
  <si>
    <t>ADAPTADOR DE TUBO / PM001G</t>
  </si>
  <si>
    <t>BOLSA PARA POLVO ASPIRADORA - DVC560/VC010</t>
  </si>
  <si>
    <t>327A93-1</t>
  </si>
  <si>
    <t>BOQUILLA 4.5 / PM001G</t>
  </si>
  <si>
    <t>699215-0</t>
  </si>
  <si>
    <t>QY00000255</t>
  </si>
  <si>
    <t>TARJETA PRINCIPAL / BAC01</t>
  </si>
  <si>
    <t>266849-0</t>
  </si>
  <si>
    <t>141D62-4</t>
  </si>
  <si>
    <t>EJE COMPLETO / VARIOS</t>
  </si>
  <si>
    <t>142081-9</t>
  </si>
  <si>
    <t>CAJA MOTOR / 9237C, 9237CB</t>
  </si>
  <si>
    <t>310942-3</t>
  </si>
  <si>
    <t>GUIA DE CLAVIJA / DFN350</t>
  </si>
  <si>
    <t>511A28-4</t>
  </si>
  <si>
    <t>ROTOR / VARIOS</t>
  </si>
  <si>
    <t>620F58-5</t>
  </si>
  <si>
    <t>CONTROLADOR  / DUA301</t>
  </si>
  <si>
    <t>621943-9</t>
  </si>
  <si>
    <t>ESTATOR / VARIOS</t>
  </si>
  <si>
    <t>629C15-2</t>
  </si>
  <si>
    <t>ESTATOR / DUA301</t>
  </si>
  <si>
    <t>210195-3</t>
  </si>
  <si>
    <t>227B03-3</t>
  </si>
  <si>
    <t>227B08-3</t>
  </si>
  <si>
    <t>413H41-9</t>
  </si>
  <si>
    <t>422A90-3</t>
  </si>
  <si>
    <t>1830J9-8</t>
  </si>
  <si>
    <t>1830N2-0</t>
  </si>
  <si>
    <t>210194-5</t>
  </si>
  <si>
    <t>312F26-9</t>
  </si>
  <si>
    <t>312F27-7</t>
  </si>
  <si>
    <t>312F28-5</t>
  </si>
  <si>
    <t>347C47-4</t>
  </si>
  <si>
    <t>4130D2-9</t>
  </si>
  <si>
    <t>413M02-9</t>
  </si>
  <si>
    <t>422768-2</t>
  </si>
  <si>
    <t>452500-0</t>
  </si>
  <si>
    <t>620N82-6</t>
  </si>
  <si>
    <t>620N88-4</t>
  </si>
  <si>
    <t>632F74-5</t>
  </si>
  <si>
    <t>620H29-4</t>
  </si>
  <si>
    <t>CONTROLADOR / GA4593</t>
  </si>
  <si>
    <t>141U36-7</t>
  </si>
  <si>
    <t>CAJA DE ENGRANAJE / TW007G, TW008G</t>
  </si>
  <si>
    <t>222197-7</t>
  </si>
  <si>
    <t>POLEA EN V 7-34.6 / DCE090</t>
  </si>
  <si>
    <t>225104-9</t>
  </si>
  <si>
    <t>CORREA EN V 7-454 / DCE090</t>
  </si>
  <si>
    <t>233531-6</t>
  </si>
  <si>
    <t>RESORTE DE TORSION 3 / DST221</t>
  </si>
  <si>
    <t>422678-3</t>
  </si>
  <si>
    <t>COJIN R / DTM52, TM001G</t>
  </si>
  <si>
    <t>422B02-2</t>
  </si>
  <si>
    <t>ANILLO DE GOMA 35 / DTM52, TM001G</t>
  </si>
  <si>
    <t>424030-1</t>
  </si>
  <si>
    <t>COJIN / DST221</t>
  </si>
  <si>
    <t>251489-7</t>
  </si>
  <si>
    <t>629C97-4</t>
  </si>
  <si>
    <t>137149-4</t>
  </si>
  <si>
    <t>137154-1</t>
  </si>
  <si>
    <t>137187-6</t>
  </si>
  <si>
    <t>141S76-3</t>
  </si>
  <si>
    <t>141T31-1</t>
  </si>
  <si>
    <t>141V72-9</t>
  </si>
  <si>
    <t>227792-8</t>
  </si>
  <si>
    <t>ENGRANAJE HELICOIDAL 35 / M8600</t>
  </si>
  <si>
    <t>326420-3</t>
  </si>
  <si>
    <t>CIGUEÑAL / M8600</t>
  </si>
  <si>
    <t>141V77-9</t>
  </si>
  <si>
    <t>1830V9-2</t>
  </si>
  <si>
    <t>455965-5</t>
  </si>
  <si>
    <t>511B08-6</t>
  </si>
  <si>
    <t>638B00-8</t>
  </si>
  <si>
    <t>638B01-6</t>
  </si>
  <si>
    <t>638B02-4</t>
  </si>
  <si>
    <t>1830V7-6</t>
  </si>
  <si>
    <t>1830V8-4</t>
  </si>
  <si>
    <t>1830X0-4</t>
  </si>
  <si>
    <t>210274-7</t>
  </si>
  <si>
    <t>319090-5</t>
  </si>
  <si>
    <t>327D94-7</t>
  </si>
  <si>
    <t>4130R3-5</t>
  </si>
  <si>
    <t>4130R4-3</t>
  </si>
  <si>
    <t>4130R9-3</t>
  </si>
  <si>
    <t>632V49-0</t>
  </si>
  <si>
    <t>632V50-5</t>
  </si>
  <si>
    <t>634848-4</t>
  </si>
  <si>
    <t>682585-4</t>
  </si>
  <si>
    <t>PROTECTOR DE CABLE / MT92A</t>
  </si>
  <si>
    <t>687G57-6</t>
  </si>
  <si>
    <t>122C65-1</t>
  </si>
  <si>
    <t>CAJA DE ENGRANAJE CPL / GA7082</t>
  </si>
  <si>
    <t>227954-8</t>
  </si>
  <si>
    <t>ENGRANAJE ESPIRAL 15 / GA7082</t>
  </si>
  <si>
    <t>267423-7</t>
  </si>
  <si>
    <t>ARANDELA PLANA 40 / HM1101C, HM1111C</t>
  </si>
  <si>
    <t>326886-7</t>
  </si>
  <si>
    <t>PORTAHERRAMIENTAS / VARIOS</t>
  </si>
  <si>
    <t>451838-0</t>
  </si>
  <si>
    <t>TAPA DE CAJA DE ENGRANAJE / HM1101C, HM1111C</t>
  </si>
  <si>
    <t>JM27000112</t>
  </si>
  <si>
    <t>SOPORTE B / MLT100</t>
  </si>
  <si>
    <t>629A98-0</t>
  </si>
  <si>
    <t>136278-0</t>
  </si>
  <si>
    <t>162B63-7</t>
  </si>
  <si>
    <t>PALANCA DE INTERRUPTOR / GA4593, GA4595</t>
  </si>
  <si>
    <t>413367-1</t>
  </si>
  <si>
    <t>BOQUILLA DELANTERA / UB001G</t>
  </si>
  <si>
    <t>413G87-9</t>
  </si>
  <si>
    <t>PLACA DE INTERRUPTOR / GA4593</t>
  </si>
  <si>
    <t>210281-0</t>
  </si>
  <si>
    <t>213A05-9</t>
  </si>
  <si>
    <t>ORING 16</t>
  </si>
  <si>
    <t>227B67-7</t>
  </si>
  <si>
    <t>327D96-3</t>
  </si>
  <si>
    <t>4130P7-3</t>
  </si>
  <si>
    <t>422B78-9</t>
  </si>
  <si>
    <t>452502-6</t>
  </si>
  <si>
    <t>510598-4</t>
  </si>
  <si>
    <t>ROTOR 220V / UN001G</t>
  </si>
  <si>
    <t>763251-3</t>
  </si>
  <si>
    <t>LLAVE MANDRIL S13 / DG001G</t>
  </si>
  <si>
    <t>137163-0</t>
  </si>
  <si>
    <t>213A70-8</t>
  </si>
  <si>
    <t>413X16-4</t>
  </si>
  <si>
    <t>519862-0</t>
  </si>
  <si>
    <t>620P22-6</t>
  </si>
  <si>
    <t>650060-8</t>
  </si>
  <si>
    <t>SE00001259</t>
  </si>
  <si>
    <t>SE00001265</t>
  </si>
  <si>
    <t>SE00001266</t>
  </si>
  <si>
    <t>SE00001267</t>
  </si>
  <si>
    <t>SE00001268</t>
  </si>
  <si>
    <t>SE00001269</t>
  </si>
  <si>
    <t>SE00001270</t>
  </si>
  <si>
    <t>SE00001274</t>
  </si>
  <si>
    <t>SE00001277</t>
  </si>
  <si>
    <t>SE00001280</t>
  </si>
  <si>
    <t>SE00001282</t>
  </si>
  <si>
    <t>SE00001283</t>
  </si>
  <si>
    <t>SE00001284</t>
  </si>
  <si>
    <t>SE00001288</t>
  </si>
  <si>
    <t>SE00001291</t>
  </si>
  <si>
    <t>141F95-1</t>
  </si>
  <si>
    <t>MANGUERA COMPLETA 28-0.7 / DVC560</t>
  </si>
  <si>
    <t>227998-8</t>
  </si>
  <si>
    <t>ENGRANAJE ESPIRAL 53 / VARIOS</t>
  </si>
  <si>
    <t>620R37-5</t>
  </si>
  <si>
    <t>162B36-0</t>
  </si>
  <si>
    <t>ARNES  / VC008G</t>
  </si>
  <si>
    <t>699193-4</t>
  </si>
  <si>
    <t>UNIDAD CABLE DE ALIMENTACION / VC008G</t>
  </si>
  <si>
    <t>AB45127080</t>
  </si>
  <si>
    <t>216055-7</t>
  </si>
  <si>
    <t>4131D9-1</t>
  </si>
  <si>
    <t>413400-9</t>
  </si>
  <si>
    <t>619875-2</t>
  </si>
  <si>
    <t>ROTOR FOR UA200D</t>
  </si>
  <si>
    <t>620P39-9</t>
  </si>
  <si>
    <t>620P59-3</t>
  </si>
  <si>
    <t>413H21-5</t>
  </si>
  <si>
    <t>127098-3</t>
  </si>
  <si>
    <t>127521-8</t>
  </si>
  <si>
    <t>MONTAJE DE PLACA DE FONDO / DVC560</t>
  </si>
  <si>
    <t>140S32-0</t>
  </si>
  <si>
    <t>TAPA DEL MOTOR COMPLETA / DVC560</t>
  </si>
  <si>
    <t>140U72-0</t>
  </si>
  <si>
    <t>CUBIERTA SUPERIOR COMPLETA / DVC560</t>
  </si>
  <si>
    <t>140W03-1</t>
  </si>
  <si>
    <t>CARCASA INFERIOR COMPLETO / DVC560</t>
  </si>
  <si>
    <t>141F94-3</t>
  </si>
  <si>
    <t>MANGUERA COMPLETA 28-0.2 / DVC560</t>
  </si>
  <si>
    <t>161804-6</t>
  </si>
  <si>
    <t>TAPA DEL VENTILADOR / VARIOS</t>
  </si>
  <si>
    <t>162533-4</t>
  </si>
  <si>
    <t>183R14-3</t>
  </si>
  <si>
    <t>CONJUNTO DE ESTUCHE TERMINAL / DVC560</t>
  </si>
  <si>
    <t>1912B1-6</t>
  </si>
  <si>
    <t>CONJUNTO DEL MONTAJE DE EMPUÑADURA / DVC560</t>
  </si>
  <si>
    <t>232627-0</t>
  </si>
  <si>
    <t>RESORTE DE TORSIÓN 9 / DVC560 - VC010G</t>
  </si>
  <si>
    <t>252268-6</t>
  </si>
  <si>
    <t>TUERCA HEXAGONAL M6 / VARIOS</t>
  </si>
  <si>
    <t>256954-1</t>
  </si>
  <si>
    <t>EJE DE RODILLO DELANTERO / DVC560 - VC010G</t>
  </si>
  <si>
    <t>256965-6</t>
  </si>
  <si>
    <t>PIN 4 / DVC560 - VC010G</t>
  </si>
  <si>
    <t>313062-2</t>
  </si>
  <si>
    <t>322407-3</t>
  </si>
  <si>
    <t>347719-3</t>
  </si>
  <si>
    <t>SUJETADOR DE LA PARTE ARTICULANTE / DVC560 - VC010G</t>
  </si>
  <si>
    <t>412420-0</t>
  </si>
  <si>
    <t>CARCASA SUPERIOR / DVC560</t>
  </si>
  <si>
    <t>412433-1</t>
  </si>
  <si>
    <t>SUJETADOR DE RODILLO DELANTERO / DVC560</t>
  </si>
  <si>
    <t>412435-7</t>
  </si>
  <si>
    <t>PLACA DE LEVA / DVC560</t>
  </si>
  <si>
    <t>412437-3</t>
  </si>
  <si>
    <t>TAPA DE BATERÍA / DVC560</t>
  </si>
  <si>
    <t>412438-1</t>
  </si>
  <si>
    <t>PALANCA DE CAMBIO DE ALTURA / DVC560 - VC010G</t>
  </si>
  <si>
    <t>412439-9</t>
  </si>
  <si>
    <t>LEVA / DVC560</t>
  </si>
  <si>
    <t>412440-4</t>
  </si>
  <si>
    <t>PALANCA DE BLOQUEO B / DVC560</t>
  </si>
  <si>
    <t>412444-6</t>
  </si>
  <si>
    <t>SUJETA BOQUILLAS / DVC560 - VC010G</t>
  </si>
  <si>
    <t>412445-4</t>
  </si>
  <si>
    <t>CUBIERTA DE LA CAJA PARA POLVO / DVC560</t>
  </si>
  <si>
    <t>412446-2</t>
  </si>
  <si>
    <t>PESTILLO / DVC560 - VC010G</t>
  </si>
  <si>
    <t>412449-6</t>
  </si>
  <si>
    <t>CUBIERTA DE LA CAJA PARA POLVO LATERAL / DVC560</t>
  </si>
  <si>
    <t>412455-1</t>
  </si>
  <si>
    <t>ENTRADA DE AIRE / DVC560 - VC010G</t>
  </si>
  <si>
    <t>412463-2</t>
  </si>
  <si>
    <t>POSICIONADOR / DVC560 - VC010G</t>
  </si>
  <si>
    <t>412464-0</t>
  </si>
  <si>
    <t>PALANCA DE BLOQUEO A / DVC560 - VC010G</t>
  </si>
  <si>
    <t>412465-8</t>
  </si>
  <si>
    <t>PLACA DE TOPE / DVC560</t>
  </si>
  <si>
    <t>413R43-5</t>
  </si>
  <si>
    <t>TOPE DE PEDAL / DVC560 - VC020G</t>
  </si>
  <si>
    <t>422383-2</t>
  </si>
  <si>
    <t>422574-5</t>
  </si>
  <si>
    <t>TOPE / DVC560</t>
  </si>
  <si>
    <t>422577-9</t>
  </si>
  <si>
    <t>CEPILLO LATERAL / DVC560 - VC010G</t>
  </si>
  <si>
    <t>422578-7</t>
  </si>
  <si>
    <t>ANILLO DE SELLADO A / DVC560</t>
  </si>
  <si>
    <t>422580-0</t>
  </si>
  <si>
    <t>ANILLO DE SELLADO B / DVC560</t>
  </si>
  <si>
    <t>422582-6</t>
  </si>
  <si>
    <t>ENTUBADO / DVC560</t>
  </si>
  <si>
    <t>422583-4</t>
  </si>
  <si>
    <t>JUNTA DEL ENTUBADO / DVC560</t>
  </si>
  <si>
    <t>632R22-6</t>
  </si>
  <si>
    <t>UNIDAD PRINCIPAL / DVC560 - VC010G</t>
  </si>
  <si>
    <t>632R23-4</t>
  </si>
  <si>
    <t>632R24-2</t>
  </si>
  <si>
    <t>632R30-7</t>
  </si>
  <si>
    <t>UNIDAD DE INTERRUPTOR / DVC560 - VC010G</t>
  </si>
  <si>
    <t>857N02-9</t>
  </si>
  <si>
    <t>PLACA DE CARACTERÍSTICAS / DVC560</t>
  </si>
  <si>
    <t>857N09-5</t>
  </si>
  <si>
    <t>ETIQUETA DE NUMERO DE SERIE / DVC560</t>
  </si>
  <si>
    <t>JM21000052</t>
  </si>
  <si>
    <t>SELLO DE GOMA / LB1200F</t>
  </si>
  <si>
    <t>JM21000053</t>
  </si>
  <si>
    <t>VARILLA DE TENSION ROSCADA / LB1200F</t>
  </si>
  <si>
    <t>JM21000055</t>
  </si>
  <si>
    <t>SOPORTE DEL RESORTE / LB1200F</t>
  </si>
  <si>
    <t>JM21000059</t>
  </si>
  <si>
    <t>ARANDELA DE SEGURIDAD 8 / LB1200F</t>
  </si>
  <si>
    <t>JM21000060</t>
  </si>
  <si>
    <t>ARANDELA PLANA 8 / LB1200F</t>
  </si>
  <si>
    <t>JM21000067</t>
  </si>
  <si>
    <t>TUERCA  / LB1200F</t>
  </si>
  <si>
    <t>JM21000138</t>
  </si>
  <si>
    <t>TUERCA DEL PROTECTOR DE CABLE  / LB1200F</t>
  </si>
  <si>
    <t>JM21000139</t>
  </si>
  <si>
    <t>JM21000195</t>
  </si>
  <si>
    <t>PALANCA DE OPERACION / LB1200F</t>
  </si>
  <si>
    <t>JM21000196</t>
  </si>
  <si>
    <t>PERNO ROSCADO /LB1200F</t>
  </si>
  <si>
    <t>JM21000198</t>
  </si>
  <si>
    <t>PERNO / LB1200F</t>
  </si>
  <si>
    <t>JM21000202</t>
  </si>
  <si>
    <t>EJE DEL ENGRANAJE / LB1200F</t>
  </si>
  <si>
    <t>161872-9</t>
  </si>
  <si>
    <t>BRAZO DE ESLABON A / DTR180, DTR181</t>
  </si>
  <si>
    <t>227892-4</t>
  </si>
  <si>
    <t>ENGRANAJE INTERNO 65 / TW007G, TW008G</t>
  </si>
  <si>
    <t>347772-9</t>
  </si>
  <si>
    <t>PLACA GUIA A / DTR180, DTR181</t>
  </si>
  <si>
    <t>137120-8</t>
  </si>
  <si>
    <t>140G19-0-SAMPLE</t>
  </si>
  <si>
    <t>141025-6</t>
  </si>
  <si>
    <t>1830W2-3</t>
  </si>
  <si>
    <t>1831A6-7</t>
  </si>
  <si>
    <t>629C79-6</t>
  </si>
  <si>
    <t>650046-2</t>
  </si>
  <si>
    <t>197901-2</t>
  </si>
  <si>
    <t>BOQUILLA FLEXIBLE / VARIOS</t>
  </si>
  <si>
    <t>222206-2</t>
  </si>
  <si>
    <t>POLEA 14-33.2 / VS001G</t>
  </si>
  <si>
    <t>222207-0</t>
  </si>
  <si>
    <t>POLEA 17-26 / VS001G</t>
  </si>
  <si>
    <t>225109-9</t>
  </si>
  <si>
    <t>FAJA 12-699 / VS001G</t>
  </si>
  <si>
    <t>KK00000024</t>
  </si>
  <si>
    <t>EJE / TB131</t>
  </si>
  <si>
    <t>413U44-1</t>
  </si>
  <si>
    <t>620P57-7</t>
  </si>
  <si>
    <t>CAJA DE ENGRANAJE COMPLETA / GA9090, GA7090</t>
  </si>
  <si>
    <t>CAJA DE ENGRANAJE / UN001G</t>
  </si>
  <si>
    <t>ENGRANAJE / UN001G</t>
  </si>
  <si>
    <t>CAJA MOTOR / GA9090, GA7090</t>
  </si>
  <si>
    <t>EJE / GA9090, GA7090</t>
  </si>
  <si>
    <t>PALANCA DE BLOQUEO / UN001G</t>
  </si>
  <si>
    <t>INTERRUPTOR / UN001G</t>
  </si>
  <si>
    <t>MANGO COMPLETO / GA9090, GA7090</t>
  </si>
  <si>
    <t>CAJA MOTOR / UN001G</t>
  </si>
  <si>
    <t>CARCASA COMPLETA / DUA200</t>
  </si>
  <si>
    <t>CAJA MOTOR / DUA200</t>
  </si>
  <si>
    <t>CARCASA COMPLETA / UN001G</t>
  </si>
  <si>
    <t>SOPORTE DE TUBO / DUA200</t>
  </si>
  <si>
    <t>RODAMIENTO 629DDW / UNIVERSAL</t>
  </si>
  <si>
    <t>RODAMIENTO 6201DDW / UNIVERSAL</t>
  </si>
  <si>
    <t>RODAMIENTO 6000DW / UNIVERSAL</t>
  </si>
  <si>
    <t>ENGRANAJE 55 / GA7090</t>
  </si>
  <si>
    <t>ENGRANAJE 54 / GA9090</t>
  </si>
  <si>
    <t>CAJA DE RODAMIENTO / GA7090, GA9090</t>
  </si>
  <si>
    <t>SOPORTE DE TUPO 24 / UN001G</t>
  </si>
  <si>
    <t>CUBIERTA DE SOPORTE 24 / UN001G</t>
  </si>
  <si>
    <t>CUBIERTA FRONTAL /  UN001G</t>
  </si>
  <si>
    <t>CAJA DE RODAMIENTO / M0901</t>
  </si>
  <si>
    <t>PIN TRABADOR / UN001G</t>
  </si>
  <si>
    <t>TUBO A / DUA200</t>
  </si>
  <si>
    <t>SOPORTE ANGULAR / UN001G</t>
  </si>
  <si>
    <t>GATILLO /  UN001G</t>
  </si>
  <si>
    <t>ANILLO DE BLOQUEO / UA200D</t>
  </si>
  <si>
    <t>UNION ROSCADO / UA200D</t>
  </si>
  <si>
    <t>MANGO DE TUBO / UA200D</t>
  </si>
  <si>
    <t>TOPE DEL TENSADOR / VARIOS</t>
  </si>
  <si>
    <t>DEFLECTOR / GA7090, GA9090</t>
  </si>
  <si>
    <t>DIFUSOR / GA7090, GA9090</t>
  </si>
  <si>
    <t>ANILLO DE GOMA 33 / GA7090, GA9090</t>
  </si>
  <si>
    <t>CUBIERTA TRASERA / M0901</t>
  </si>
  <si>
    <t>CAJA MOTOR / M0901</t>
  </si>
  <si>
    <t>ROTOR / GA7090, GA9090</t>
  </si>
  <si>
    <t>CONTROLADOR / GA4600, GA5100</t>
  </si>
  <si>
    <t>CONTROLADOR B / UN001G</t>
  </si>
  <si>
    <t>CONTROLADOR /  UN001G</t>
  </si>
  <si>
    <t>INTERRUPTOR / GA7090, GA9090</t>
  </si>
  <si>
    <t>GUIA A / DUA200</t>
  </si>
  <si>
    <t>629C85-1</t>
  </si>
  <si>
    <t>821550-0</t>
  </si>
  <si>
    <t>510568-3</t>
  </si>
  <si>
    <t>ROTOR 220V / 9864PC, 9564PCV</t>
  </si>
  <si>
    <t>632V75-9</t>
  </si>
  <si>
    <t>WL00000178</t>
  </si>
  <si>
    <t>TORNILLO DE CABEZA HUECO HEX / CW003G</t>
  </si>
  <si>
    <t>WL00000179</t>
  </si>
  <si>
    <t>BOCINA / CW003G</t>
  </si>
  <si>
    <t>WL00000180</t>
  </si>
  <si>
    <t>ASA DE TRANSPORTE / CW003G</t>
  </si>
  <si>
    <t>WL00000181</t>
  </si>
  <si>
    <t>ANILLO DE SILICONA / CW003G</t>
  </si>
  <si>
    <t>413J88-5</t>
  </si>
  <si>
    <t>BOTON DE DESBLOQUEO/VARIOS</t>
  </si>
  <si>
    <t>137057-9</t>
  </si>
  <si>
    <t>162699-0</t>
  </si>
  <si>
    <t>162C86-1</t>
  </si>
  <si>
    <t>1830F8-2</t>
  </si>
  <si>
    <t>413U01-9</t>
  </si>
  <si>
    <t>413U02-7</t>
  </si>
  <si>
    <t>413U08-5</t>
  </si>
  <si>
    <t>413U40-9</t>
  </si>
  <si>
    <t>413U58-0</t>
  </si>
  <si>
    <t>413U60-3</t>
  </si>
  <si>
    <t>422A71-7</t>
  </si>
  <si>
    <t>422A72-5</t>
  </si>
  <si>
    <t>141U59-5</t>
  </si>
  <si>
    <t>141U65-0</t>
  </si>
  <si>
    <t>1830P5-8</t>
  </si>
  <si>
    <t>213A01-7</t>
  </si>
  <si>
    <t>O-RING 50 /PS001G</t>
  </si>
  <si>
    <t>252351-9</t>
  </si>
  <si>
    <t>327D05-2</t>
  </si>
  <si>
    <t>327D22-2</t>
  </si>
  <si>
    <t>519870-1</t>
  </si>
  <si>
    <t>620N29-0</t>
  </si>
  <si>
    <t>629C77-0</t>
  </si>
  <si>
    <t>629C80-1</t>
  </si>
  <si>
    <t>122G86-7</t>
  </si>
  <si>
    <t>137207-6</t>
  </si>
  <si>
    <t>1410A7-5</t>
  </si>
  <si>
    <t>1410B1-4</t>
  </si>
  <si>
    <t>1830Y1-9</t>
  </si>
  <si>
    <t>1830Y6-9</t>
  </si>
  <si>
    <t>1831C1-1</t>
  </si>
  <si>
    <t>224310-3</t>
  </si>
  <si>
    <t>231826-1</t>
  </si>
  <si>
    <t>232904-0</t>
  </si>
  <si>
    <t>257230-6</t>
  </si>
  <si>
    <t>265D87-5</t>
  </si>
  <si>
    <t>312H45-7</t>
  </si>
  <si>
    <t>327E32-5</t>
  </si>
  <si>
    <t>344890-4</t>
  </si>
  <si>
    <t>422B90-9</t>
  </si>
  <si>
    <t>620N27-4</t>
  </si>
  <si>
    <t>632V96-1</t>
  </si>
  <si>
    <t>699233-8</t>
  </si>
  <si>
    <t>122F51-0</t>
  </si>
  <si>
    <t>137059-5</t>
  </si>
  <si>
    <t>137158-3</t>
  </si>
  <si>
    <t>141S68-2</t>
  </si>
  <si>
    <t>141Y92-1</t>
  </si>
  <si>
    <t>162C89-5</t>
  </si>
  <si>
    <t>162C92-6</t>
  </si>
  <si>
    <t>1830G6-3</t>
  </si>
  <si>
    <t>1830S5-9</t>
  </si>
  <si>
    <t>1830S6-7</t>
  </si>
  <si>
    <t>1830W1-5</t>
  </si>
  <si>
    <t>1914P1-6</t>
  </si>
  <si>
    <t>213A11-4</t>
  </si>
  <si>
    <t>O-RING 25 /UC254D</t>
  </si>
  <si>
    <t>225110-4</t>
  </si>
  <si>
    <t>347C69-4</t>
  </si>
  <si>
    <t>4130N3-7</t>
  </si>
  <si>
    <t>4130N4-5</t>
  </si>
  <si>
    <t>4130R8-5</t>
  </si>
  <si>
    <t>4131C4-4</t>
  </si>
  <si>
    <t>413U00-1</t>
  </si>
  <si>
    <t>413U03-5</t>
  </si>
  <si>
    <t>413U57-2</t>
  </si>
  <si>
    <t>422543-6</t>
  </si>
  <si>
    <t>620J57-1</t>
  </si>
  <si>
    <t>620P40-4</t>
  </si>
  <si>
    <t>621C88-1</t>
  </si>
  <si>
    <t>LX00000043</t>
  </si>
  <si>
    <t>1410H6-6</t>
  </si>
  <si>
    <t>151753-5</t>
  </si>
  <si>
    <t>162217-4</t>
  </si>
  <si>
    <t>1830W6-5</t>
  </si>
  <si>
    <t>1830Y9-3</t>
  </si>
  <si>
    <t>1831A0-9</t>
  </si>
  <si>
    <t>1831A3-3</t>
  </si>
  <si>
    <t>1831B7-2</t>
  </si>
  <si>
    <t>1831F0-4</t>
  </si>
  <si>
    <t>1911W5-9</t>
  </si>
  <si>
    <t>CONJUNTO DE LA PIEZA DENTADA 7 / UC029G</t>
  </si>
  <si>
    <t>193199-9</t>
  </si>
  <si>
    <t>210035-5</t>
  </si>
  <si>
    <t>RODAMIENTO DE BALINES 625DDW / BO007CGZ</t>
  </si>
  <si>
    <t>210125-4</t>
  </si>
  <si>
    <t>210325-6</t>
  </si>
  <si>
    <t>211329-1</t>
  </si>
  <si>
    <t>RODAMIENTO DE BALINES 6204DDW / HS013GZ</t>
  </si>
  <si>
    <t>225115-4</t>
  </si>
  <si>
    <t>226520-8</t>
  </si>
  <si>
    <t>227B85-5</t>
  </si>
  <si>
    <t>232908-2</t>
  </si>
  <si>
    <t>252349-6</t>
  </si>
  <si>
    <t>257A52-0</t>
  </si>
  <si>
    <t>257A53-8</t>
  </si>
  <si>
    <t>312H48-1</t>
  </si>
  <si>
    <t>312H53-8</t>
  </si>
  <si>
    <t>BASE / BO007CGZ</t>
  </si>
  <si>
    <t>313592-3</t>
  </si>
  <si>
    <t>317378-7</t>
  </si>
  <si>
    <t>CAJA DE RODAMIENTO / HS013GZ</t>
  </si>
  <si>
    <t>323938-5</t>
  </si>
  <si>
    <t>HUSILLO / HS013GZ</t>
  </si>
  <si>
    <t>327E42-2</t>
  </si>
  <si>
    <t>347480-2</t>
  </si>
  <si>
    <t>PROTECTOR DE DISCO 125 / GA029G</t>
  </si>
  <si>
    <t>4131C0-2</t>
  </si>
  <si>
    <t>4131C2-8</t>
  </si>
  <si>
    <t>4131C3-6</t>
  </si>
  <si>
    <t>4131C5-2</t>
  </si>
  <si>
    <t>4131C6-0</t>
  </si>
  <si>
    <t>4131E8-0</t>
  </si>
  <si>
    <t>4131F0-3</t>
  </si>
  <si>
    <t>4131F1-1</t>
  </si>
  <si>
    <t>4131K3-2</t>
  </si>
  <si>
    <t>422B95-9</t>
  </si>
  <si>
    <t>510614-2</t>
  </si>
  <si>
    <t>ROTOR ASS'Y / GA029G</t>
  </si>
  <si>
    <t>519864-6</t>
  </si>
  <si>
    <t>519883-2</t>
  </si>
  <si>
    <t>519885-8</t>
  </si>
  <si>
    <t>619881-7</t>
  </si>
  <si>
    <t>ROTOR / UC029G</t>
  </si>
  <si>
    <t>620H67-6</t>
  </si>
  <si>
    <t>620R04-0</t>
  </si>
  <si>
    <t>620R16-3</t>
  </si>
  <si>
    <t>620R28-6</t>
  </si>
  <si>
    <t>629C62-3</t>
  </si>
  <si>
    <t>629C86-9</t>
  </si>
  <si>
    <t>629C88-5</t>
  </si>
  <si>
    <t>632T08-2</t>
  </si>
  <si>
    <t>UNIDAD DEL TERMINAL / HS013GZ</t>
  </si>
  <si>
    <t>632V97-9</t>
  </si>
  <si>
    <t>LX00000012</t>
  </si>
  <si>
    <t>LX00000013</t>
  </si>
  <si>
    <t>LX00000015</t>
  </si>
  <si>
    <t>LX00000018</t>
  </si>
  <si>
    <t>LX00000019</t>
  </si>
  <si>
    <t>LX00000021</t>
  </si>
  <si>
    <t>LX00000027</t>
  </si>
  <si>
    <t>O-RING 12X1.7 / HW180D</t>
  </si>
  <si>
    <t>LX00000028</t>
  </si>
  <si>
    <t>O-RING 5.3X1.8 / HW180D</t>
  </si>
  <si>
    <t>LX00000032</t>
  </si>
  <si>
    <t>O-RING 4.5X2 / HW180D</t>
  </si>
  <si>
    <t>LX00000035</t>
  </si>
  <si>
    <t>LX00000040</t>
  </si>
  <si>
    <t>LX00000044</t>
  </si>
  <si>
    <t>LX00000046</t>
  </si>
  <si>
    <t>LX00000049</t>
  </si>
  <si>
    <t>LX00000050</t>
  </si>
  <si>
    <t>LX00000051</t>
  </si>
  <si>
    <t>LX00000052</t>
  </si>
  <si>
    <t>LX00000053</t>
  </si>
  <si>
    <t>O-RING 7.5X2.5 / HW180D</t>
  </si>
  <si>
    <t>LX00000054</t>
  </si>
  <si>
    <t>O-RING 10.5X1.8 / HW180D</t>
  </si>
  <si>
    <t>LX00000056</t>
  </si>
  <si>
    <t>LX00000060</t>
  </si>
  <si>
    <t>LX00000071</t>
  </si>
  <si>
    <t>LX00000073</t>
  </si>
  <si>
    <t>LX00000076</t>
  </si>
  <si>
    <t>O-RING 9.5X2.65 / HW180D</t>
  </si>
  <si>
    <t>LX00000078</t>
  </si>
  <si>
    <t>LX00000079</t>
  </si>
  <si>
    <t>620964-8</t>
  </si>
  <si>
    <t>CONTROLADOR / DHP485, DDF485</t>
  </si>
  <si>
    <t>001131150</t>
  </si>
  <si>
    <t>001161020</t>
  </si>
  <si>
    <t>001173060</t>
  </si>
  <si>
    <t>001182042</t>
  </si>
  <si>
    <t>001213160</t>
  </si>
  <si>
    <t>001213170</t>
  </si>
  <si>
    <t>0023705000</t>
  </si>
  <si>
    <t>0043606200</t>
  </si>
  <si>
    <t>010038143</t>
  </si>
  <si>
    <t>010114039</t>
  </si>
  <si>
    <t>010114050</t>
  </si>
  <si>
    <t>010114150</t>
  </si>
  <si>
    <t>010155011</t>
  </si>
  <si>
    <t>010180110</t>
  </si>
  <si>
    <t>010181000</t>
  </si>
  <si>
    <t>010213021</t>
  </si>
  <si>
    <t>010245010</t>
  </si>
  <si>
    <t>010245030</t>
  </si>
  <si>
    <t>010261010</t>
  </si>
  <si>
    <t>010261020</t>
  </si>
  <si>
    <t>010341612</t>
  </si>
  <si>
    <t>0110080240</t>
  </si>
  <si>
    <t>0119059490</t>
  </si>
  <si>
    <t>0119069670</t>
  </si>
  <si>
    <t>0140059430</t>
  </si>
  <si>
    <t>020111082</t>
  </si>
  <si>
    <t>020163031</t>
  </si>
  <si>
    <t>020173061</t>
  </si>
  <si>
    <t>021224011</t>
  </si>
  <si>
    <t>021245007</t>
  </si>
  <si>
    <t>024111050</t>
  </si>
  <si>
    <t>024111623</t>
  </si>
  <si>
    <t>024111640</t>
  </si>
  <si>
    <t>024111645</t>
  </si>
  <si>
    <t>024112630</t>
  </si>
  <si>
    <t>024114612</t>
  </si>
  <si>
    <t>024118032</t>
  </si>
  <si>
    <t>024118112</t>
  </si>
  <si>
    <t>024118160</t>
  </si>
  <si>
    <t>024120024</t>
  </si>
  <si>
    <t>024130300</t>
  </si>
  <si>
    <t>024131022</t>
  </si>
  <si>
    <t>024131032</t>
  </si>
  <si>
    <t>024132020</t>
  </si>
  <si>
    <t>024141210</t>
  </si>
  <si>
    <t>024143051</t>
  </si>
  <si>
    <t>024150020</t>
  </si>
  <si>
    <t>024150031</t>
  </si>
  <si>
    <t>024150470</t>
  </si>
  <si>
    <t>024150510</t>
  </si>
  <si>
    <t>024162084</t>
  </si>
  <si>
    <t>024173081</t>
  </si>
  <si>
    <t>024173190</t>
  </si>
  <si>
    <t>024173200</t>
  </si>
  <si>
    <t>024173230</t>
  </si>
  <si>
    <t>024173611</t>
  </si>
  <si>
    <t>024174020</t>
  </si>
  <si>
    <t>024174153</t>
  </si>
  <si>
    <t>024174171</t>
  </si>
  <si>
    <t>024213101</t>
  </si>
  <si>
    <t>024213180</t>
  </si>
  <si>
    <t>024213351</t>
  </si>
  <si>
    <t>024213680</t>
  </si>
  <si>
    <t>024232030</t>
  </si>
  <si>
    <t>024245101</t>
  </si>
  <si>
    <t>024245200</t>
  </si>
  <si>
    <t>024250031</t>
  </si>
  <si>
    <t>024310040</t>
  </si>
  <si>
    <t>024310041</t>
  </si>
  <si>
    <t>026224010</t>
  </si>
  <si>
    <t>027120010</t>
  </si>
  <si>
    <t>027132050</t>
  </si>
  <si>
    <t>027150010</t>
  </si>
  <si>
    <t>028150740</t>
  </si>
  <si>
    <t>030245070</t>
  </si>
  <si>
    <t>031166010</t>
  </si>
  <si>
    <t>0323049950</t>
  </si>
  <si>
    <t>038111030</t>
  </si>
  <si>
    <t>038111043</t>
  </si>
  <si>
    <t>038111050</t>
  </si>
  <si>
    <t>038111060</t>
  </si>
  <si>
    <t>038111171</t>
  </si>
  <si>
    <t>038111641</t>
  </si>
  <si>
    <t>038111660</t>
  </si>
  <si>
    <t>038112020</t>
  </si>
  <si>
    <t>038114052</t>
  </si>
  <si>
    <t>038114130</t>
  </si>
  <si>
    <t>038114141</t>
  </si>
  <si>
    <t>038114191</t>
  </si>
  <si>
    <t>038117020</t>
  </si>
  <si>
    <t>038117030</t>
  </si>
  <si>
    <t>038117041</t>
  </si>
  <si>
    <t>038117050</t>
  </si>
  <si>
    <t>038118050</t>
  </si>
  <si>
    <t>038118080</t>
  </si>
  <si>
    <t>038118100</t>
  </si>
  <si>
    <t>038118180</t>
  </si>
  <si>
    <t>038118622</t>
  </si>
  <si>
    <t>038118670</t>
  </si>
  <si>
    <t>038118690</t>
  </si>
  <si>
    <t>038120101</t>
  </si>
  <si>
    <t>038130910</t>
  </si>
  <si>
    <t>038131011</t>
  </si>
  <si>
    <t>038131031</t>
  </si>
  <si>
    <t>038132070</t>
  </si>
  <si>
    <t>038132080</t>
  </si>
  <si>
    <t>038141000</t>
  </si>
  <si>
    <t>038143030</t>
  </si>
  <si>
    <t>038143042</t>
  </si>
  <si>
    <t>038146030</t>
  </si>
  <si>
    <t>038153040</t>
  </si>
  <si>
    <t>038153070</t>
  </si>
  <si>
    <t>038153242</t>
  </si>
  <si>
    <t>038153270</t>
  </si>
  <si>
    <t>038153410</t>
  </si>
  <si>
    <t>038153511</t>
  </si>
  <si>
    <t>038153550</t>
  </si>
  <si>
    <t>038155012</t>
  </si>
  <si>
    <t>038155013</t>
  </si>
  <si>
    <t>038155052</t>
  </si>
  <si>
    <t>038155060</t>
  </si>
  <si>
    <t>038160610</t>
  </si>
  <si>
    <t>038162024</t>
  </si>
  <si>
    <t>038166050</t>
  </si>
  <si>
    <t>038171031</t>
  </si>
  <si>
    <t>038171041</t>
  </si>
  <si>
    <t>038173011</t>
  </si>
  <si>
    <t>038173101</t>
  </si>
  <si>
    <t>038174023</t>
  </si>
  <si>
    <t>038174030</t>
  </si>
  <si>
    <t>038174200</t>
  </si>
  <si>
    <t>038174451</t>
  </si>
  <si>
    <t>038180014</t>
  </si>
  <si>
    <t>038213010</t>
  </si>
  <si>
    <t>038213130</t>
  </si>
  <si>
    <t>038213152</t>
  </si>
  <si>
    <t>038213160</t>
  </si>
  <si>
    <t>038213190</t>
  </si>
  <si>
    <t>038213200</t>
  </si>
  <si>
    <t>038213221</t>
  </si>
  <si>
    <t>038213230</t>
  </si>
  <si>
    <t>038213635</t>
  </si>
  <si>
    <t>038213641</t>
  </si>
  <si>
    <t>038224021</t>
  </si>
  <si>
    <t>038232011</t>
  </si>
  <si>
    <t>038245011</t>
  </si>
  <si>
    <t>038245020</t>
  </si>
  <si>
    <t>038245031</t>
  </si>
  <si>
    <t>038245061</t>
  </si>
  <si>
    <t>038250021</t>
  </si>
  <si>
    <t>038310062</t>
  </si>
  <si>
    <t>038310070</t>
  </si>
  <si>
    <t>038310111</t>
  </si>
  <si>
    <t>039130022</t>
  </si>
  <si>
    <t>039130910</t>
  </si>
  <si>
    <t>0440250210</t>
  </si>
  <si>
    <t>0561100030</t>
  </si>
  <si>
    <t>0561769990</t>
  </si>
  <si>
    <t>0610129940</t>
  </si>
  <si>
    <t>0630039751</t>
  </si>
  <si>
    <t>0650140150</t>
  </si>
  <si>
    <t>0650149661</t>
  </si>
  <si>
    <t>0655000270</t>
  </si>
  <si>
    <t>0732004430</t>
  </si>
  <si>
    <t>0851339960</t>
  </si>
  <si>
    <t>10081</t>
  </si>
  <si>
    <t>10082</t>
  </si>
  <si>
    <t>10215</t>
  </si>
  <si>
    <t>102337200</t>
  </si>
  <si>
    <t>102730400</t>
  </si>
  <si>
    <t>103154700</t>
  </si>
  <si>
    <t>103155300</t>
  </si>
  <si>
    <t>103566601</t>
  </si>
  <si>
    <t>103938305</t>
  </si>
  <si>
    <t>104212200</t>
  </si>
  <si>
    <t>108031801</t>
  </si>
  <si>
    <t>108031900</t>
  </si>
  <si>
    <t>108095900</t>
  </si>
  <si>
    <t>108096200</t>
  </si>
  <si>
    <t>108164020</t>
  </si>
  <si>
    <t>108166051</t>
  </si>
  <si>
    <t>108460700</t>
  </si>
  <si>
    <t>108462301</t>
  </si>
  <si>
    <t>109764100</t>
  </si>
  <si>
    <t>110022120</t>
  </si>
  <si>
    <t>113150261</t>
  </si>
  <si>
    <t>119.253</t>
  </si>
  <si>
    <t>119.256</t>
  </si>
  <si>
    <t>119.654</t>
  </si>
  <si>
    <t>119069670</t>
  </si>
  <si>
    <t>119132030</t>
  </si>
  <si>
    <t>119132060</t>
  </si>
  <si>
    <t>119224070</t>
  </si>
  <si>
    <t>125.723</t>
  </si>
  <si>
    <t>128.147</t>
  </si>
  <si>
    <t>130.415</t>
  </si>
  <si>
    <t>130.416</t>
  </si>
  <si>
    <t>130.417</t>
  </si>
  <si>
    <t>130.418</t>
  </si>
  <si>
    <t>130.420</t>
  </si>
  <si>
    <t>130.421</t>
  </si>
  <si>
    <t>130.426</t>
  </si>
  <si>
    <t>130.430</t>
  </si>
  <si>
    <t>130114685</t>
  </si>
  <si>
    <t>130118040</t>
  </si>
  <si>
    <t>130118070</t>
  </si>
  <si>
    <t>130131070</t>
  </si>
  <si>
    <t>130131150</t>
  </si>
  <si>
    <t>130131161</t>
  </si>
  <si>
    <t>130131996</t>
  </si>
  <si>
    <t>130143100</t>
  </si>
  <si>
    <t>130148021</t>
  </si>
  <si>
    <t>130148100</t>
  </si>
  <si>
    <t>130148650</t>
  </si>
  <si>
    <t>130153130</t>
  </si>
  <si>
    <t>130153201</t>
  </si>
  <si>
    <t>130153500</t>
  </si>
  <si>
    <t>130160600</t>
  </si>
  <si>
    <t>130160602</t>
  </si>
  <si>
    <t>130173010</t>
  </si>
  <si>
    <t>130173060</t>
  </si>
  <si>
    <t>130213150</t>
  </si>
  <si>
    <t>130213190</t>
  </si>
  <si>
    <t>130213242</t>
  </si>
  <si>
    <t>130310200</t>
  </si>
  <si>
    <t>131132100</t>
  </si>
  <si>
    <t>133132050</t>
  </si>
  <si>
    <t>133224010</t>
  </si>
  <si>
    <t>139.079</t>
  </si>
  <si>
    <t>139.080</t>
  </si>
  <si>
    <t>165114150</t>
  </si>
  <si>
    <t>165174030</t>
  </si>
  <si>
    <t>165250010</t>
  </si>
  <si>
    <t>170175010</t>
  </si>
  <si>
    <t>175131300</t>
  </si>
  <si>
    <t>175155082</t>
  </si>
  <si>
    <t>179245204</t>
  </si>
  <si>
    <t>179245205</t>
  </si>
  <si>
    <t>181111050</t>
  </si>
  <si>
    <t>181114202</t>
  </si>
  <si>
    <t>181114401</t>
  </si>
  <si>
    <t>181132063</t>
  </si>
  <si>
    <t>181132064</t>
  </si>
  <si>
    <t>181141105</t>
  </si>
  <si>
    <t>181163080</t>
  </si>
  <si>
    <t>181163090</t>
  </si>
  <si>
    <t>181180300</t>
  </si>
  <si>
    <t>181184020</t>
  </si>
  <si>
    <t>181213011</t>
  </si>
  <si>
    <t>181213100</t>
  </si>
  <si>
    <t>181213320</t>
  </si>
  <si>
    <t>181223200</t>
  </si>
  <si>
    <t>181224081</t>
  </si>
  <si>
    <t>181245090</t>
  </si>
  <si>
    <t>181245120</t>
  </si>
  <si>
    <t>181245300</t>
  </si>
  <si>
    <t>185131020</t>
  </si>
  <si>
    <t>185166100</t>
  </si>
  <si>
    <t>195111065</t>
  </si>
  <si>
    <t>195111633</t>
  </si>
  <si>
    <t>195111662</t>
  </si>
  <si>
    <t>195114060</t>
  </si>
  <si>
    <t>195114070</t>
  </si>
  <si>
    <t>195114150</t>
  </si>
  <si>
    <t>195117110</t>
  </si>
  <si>
    <t>195131040</t>
  </si>
  <si>
    <t>195131090</t>
  </si>
  <si>
    <t>195131130</t>
  </si>
  <si>
    <t>195131301</t>
  </si>
  <si>
    <t>195132020</t>
  </si>
  <si>
    <t>195143020</t>
  </si>
  <si>
    <t>195143031</t>
  </si>
  <si>
    <t>195143200</t>
  </si>
  <si>
    <t>195147010</t>
  </si>
  <si>
    <t>195151520</t>
  </si>
  <si>
    <t>195153101</t>
  </si>
  <si>
    <t>195153201</t>
  </si>
  <si>
    <t>195153500</t>
  </si>
  <si>
    <t>195153510</t>
  </si>
  <si>
    <t>195155051</t>
  </si>
  <si>
    <t>195160020</t>
  </si>
  <si>
    <t>195160030</t>
  </si>
  <si>
    <t>195160040</t>
  </si>
  <si>
    <t>195160110</t>
  </si>
  <si>
    <t>195160601</t>
  </si>
  <si>
    <t>195166100</t>
  </si>
  <si>
    <t>195173050</t>
  </si>
  <si>
    <t>195173150</t>
  </si>
  <si>
    <t>195173210</t>
  </si>
  <si>
    <t>195174500</t>
  </si>
  <si>
    <t>195213300</t>
  </si>
  <si>
    <t>195213500</t>
  </si>
  <si>
    <t>195213602</t>
  </si>
  <si>
    <t>195232010</t>
  </si>
  <si>
    <t>195245010</t>
  </si>
  <si>
    <t>195250010</t>
  </si>
  <si>
    <t>2146245008</t>
  </si>
  <si>
    <t>2146254008</t>
  </si>
  <si>
    <t>225145010</t>
  </si>
  <si>
    <t>225223112</t>
  </si>
  <si>
    <t>2266241108</t>
  </si>
  <si>
    <t>2371420203</t>
  </si>
  <si>
    <t>2771100131</t>
  </si>
  <si>
    <t>2771300211</t>
  </si>
  <si>
    <t>2771600113</t>
  </si>
  <si>
    <t>2771601001</t>
  </si>
  <si>
    <t>2772353107</t>
  </si>
  <si>
    <t>2773260408</t>
  </si>
  <si>
    <t>2773266117</t>
  </si>
  <si>
    <t>2773272230</t>
  </si>
  <si>
    <t>2773600107</t>
  </si>
  <si>
    <t>2774220133</t>
  </si>
  <si>
    <t>2774270123</t>
  </si>
  <si>
    <t>2774280123</t>
  </si>
  <si>
    <t>2775500121</t>
  </si>
  <si>
    <t>2776230440</t>
  </si>
  <si>
    <t>2776239200</t>
  </si>
  <si>
    <t>2776240308</t>
  </si>
  <si>
    <t>2776244008</t>
  </si>
  <si>
    <t>2776250008</t>
  </si>
  <si>
    <t>2781300211</t>
  </si>
  <si>
    <t>2786231410</t>
  </si>
  <si>
    <t>2793268308</t>
  </si>
  <si>
    <t>2795030130</t>
  </si>
  <si>
    <t>2795120211</t>
  </si>
  <si>
    <t>2796236420</t>
  </si>
  <si>
    <t>2796240808</t>
  </si>
  <si>
    <t>2796242208</t>
  </si>
  <si>
    <t>2797943001</t>
  </si>
  <si>
    <t>2912350117</t>
  </si>
  <si>
    <t>315132020</t>
  </si>
  <si>
    <t>315132200</t>
  </si>
  <si>
    <t>315153691</t>
  </si>
  <si>
    <t>315162020</t>
  </si>
  <si>
    <t>326118070</t>
  </si>
  <si>
    <t>370341410</t>
  </si>
  <si>
    <t>370341450</t>
  </si>
  <si>
    <t>385118060</t>
  </si>
  <si>
    <t>385132030</t>
  </si>
  <si>
    <t>385132040</t>
  </si>
  <si>
    <t>385143032</t>
  </si>
  <si>
    <t>385147100</t>
  </si>
  <si>
    <t>385150020</t>
  </si>
  <si>
    <t>385150030</t>
  </si>
  <si>
    <t>385154011</t>
  </si>
  <si>
    <t>385160303</t>
  </si>
  <si>
    <t>385160304</t>
  </si>
  <si>
    <t>385173100</t>
  </si>
  <si>
    <t>385176010</t>
  </si>
  <si>
    <t>385200203</t>
  </si>
  <si>
    <t>385217000</t>
  </si>
  <si>
    <t>385218020</t>
  </si>
  <si>
    <t>385224411</t>
  </si>
  <si>
    <t>385224521</t>
  </si>
  <si>
    <t>385228030</t>
  </si>
  <si>
    <t>385341080</t>
  </si>
  <si>
    <t>386131011</t>
  </si>
  <si>
    <t>386132010</t>
  </si>
  <si>
    <t>394114281</t>
  </si>
  <si>
    <t>394117011</t>
  </si>
  <si>
    <t>394118010</t>
  </si>
  <si>
    <t>394131210</t>
  </si>
  <si>
    <t>394143030</t>
  </si>
  <si>
    <t>394146013</t>
  </si>
  <si>
    <t>394150042</t>
  </si>
  <si>
    <t>394150570</t>
  </si>
  <si>
    <t>394151052</t>
  </si>
  <si>
    <t>394171052</t>
  </si>
  <si>
    <t>394182020</t>
  </si>
  <si>
    <t>394228022</t>
  </si>
  <si>
    <t>394228101</t>
  </si>
  <si>
    <t>394245010</t>
  </si>
  <si>
    <t>394342120</t>
  </si>
  <si>
    <t>394342211</t>
  </si>
  <si>
    <t>394365250</t>
  </si>
  <si>
    <t>395132051</t>
  </si>
  <si>
    <t>395160600</t>
  </si>
  <si>
    <t>395171072</t>
  </si>
  <si>
    <t>395174110</t>
  </si>
  <si>
    <t>395174120</t>
  </si>
  <si>
    <t>395211620</t>
  </si>
  <si>
    <t>445050651</t>
  </si>
  <si>
    <t>5231016000</t>
  </si>
  <si>
    <t>5233504200</t>
  </si>
  <si>
    <t>5317010020</t>
  </si>
  <si>
    <t>5317500700</t>
  </si>
  <si>
    <t>5412500700</t>
  </si>
  <si>
    <t>5412505301</t>
  </si>
  <si>
    <t>5413507101</t>
  </si>
  <si>
    <t>5416043110</t>
  </si>
  <si>
    <t>5416043120</t>
  </si>
  <si>
    <t>5416043260</t>
  </si>
  <si>
    <t>5416043310</t>
  </si>
  <si>
    <t>5416504302</t>
  </si>
  <si>
    <t>5417024021</t>
  </si>
  <si>
    <t>5602500900</t>
  </si>
  <si>
    <t>590512</t>
  </si>
  <si>
    <t>590514</t>
  </si>
  <si>
    <t>590515</t>
  </si>
  <si>
    <t>590518</t>
  </si>
  <si>
    <t>590520</t>
  </si>
  <si>
    <t>590522</t>
  </si>
  <si>
    <t>590526</t>
  </si>
  <si>
    <t>590527</t>
  </si>
  <si>
    <t>590532</t>
  </si>
  <si>
    <t>590547</t>
  </si>
  <si>
    <t>590549</t>
  </si>
  <si>
    <t>590554</t>
  </si>
  <si>
    <t>590558</t>
  </si>
  <si>
    <t>590562</t>
  </si>
  <si>
    <t>590589</t>
  </si>
  <si>
    <t>590740</t>
  </si>
  <si>
    <t>591103</t>
  </si>
  <si>
    <t>591104</t>
  </si>
  <si>
    <t>591108</t>
  </si>
  <si>
    <t>591120</t>
  </si>
  <si>
    <t>591292</t>
  </si>
  <si>
    <t>591492</t>
  </si>
  <si>
    <t>591975</t>
  </si>
  <si>
    <t>592048</t>
  </si>
  <si>
    <t>5921041000</t>
  </si>
  <si>
    <t>5921042000</t>
  </si>
  <si>
    <t>5921500700</t>
  </si>
  <si>
    <t>5923008001</t>
  </si>
  <si>
    <t>5923503200</t>
  </si>
  <si>
    <t>5925002001</t>
  </si>
  <si>
    <t>5925005001</t>
  </si>
  <si>
    <t>5925006010</t>
  </si>
  <si>
    <t>5925022000</t>
  </si>
  <si>
    <t>5925500800</t>
  </si>
  <si>
    <t>5926007002</t>
  </si>
  <si>
    <t>5926500400</t>
  </si>
  <si>
    <t>592968</t>
  </si>
  <si>
    <t>5931500800</t>
  </si>
  <si>
    <t>593235</t>
  </si>
  <si>
    <t>593260</t>
  </si>
  <si>
    <t>5935008001</t>
  </si>
  <si>
    <t>5936500400</t>
  </si>
  <si>
    <t>5936500600</t>
  </si>
  <si>
    <t>593872</t>
  </si>
  <si>
    <t>593960</t>
  </si>
  <si>
    <t>594054</t>
  </si>
  <si>
    <t>594058</t>
  </si>
  <si>
    <t>594060</t>
  </si>
  <si>
    <t>594062</t>
  </si>
  <si>
    <t>594087</t>
  </si>
  <si>
    <t>594089</t>
  </si>
  <si>
    <t>594090</t>
  </si>
  <si>
    <t>594092</t>
  </si>
  <si>
    <t>594093</t>
  </si>
  <si>
    <t>594094</t>
  </si>
  <si>
    <t>594095</t>
  </si>
  <si>
    <t>594096</t>
  </si>
  <si>
    <t>594097</t>
  </si>
  <si>
    <t>594098</t>
  </si>
  <si>
    <t>594099</t>
  </si>
  <si>
    <t>594100</t>
  </si>
  <si>
    <t>594101</t>
  </si>
  <si>
    <t>594102</t>
  </si>
  <si>
    <t>594103</t>
  </si>
  <si>
    <t>594105</t>
  </si>
  <si>
    <t>594106</t>
  </si>
  <si>
    <t>594107</t>
  </si>
  <si>
    <t>594108</t>
  </si>
  <si>
    <t>594109</t>
  </si>
  <si>
    <t>594114</t>
  </si>
  <si>
    <t>594115</t>
  </si>
  <si>
    <t>594581</t>
  </si>
  <si>
    <t>595009</t>
  </si>
  <si>
    <t>595180</t>
  </si>
  <si>
    <t>595191</t>
  </si>
  <si>
    <t>595342</t>
  </si>
  <si>
    <t>595350</t>
  </si>
  <si>
    <t>595382</t>
  </si>
  <si>
    <t>595656</t>
  </si>
  <si>
    <t>5971500900</t>
  </si>
  <si>
    <t>5973001003</t>
  </si>
  <si>
    <t>5973501200</t>
  </si>
  <si>
    <t>5973501800</t>
  </si>
  <si>
    <t>5975001000</t>
  </si>
  <si>
    <t>5975500000</t>
  </si>
  <si>
    <t>5976001000</t>
  </si>
  <si>
    <t>5976500100</t>
  </si>
  <si>
    <t>5977001010</t>
  </si>
  <si>
    <t>5977001020</t>
  </si>
  <si>
    <t>6254501300</t>
  </si>
  <si>
    <t>6255059000</t>
  </si>
  <si>
    <t>6258060002</t>
  </si>
  <si>
    <t>6271009000</t>
  </si>
  <si>
    <t>6273001008</t>
  </si>
  <si>
    <t>6277002000</t>
  </si>
  <si>
    <t>6304501000</t>
  </si>
  <si>
    <t>6343006010</t>
  </si>
  <si>
    <t>6343006020</t>
  </si>
  <si>
    <t>6343007000</t>
  </si>
  <si>
    <t>6344005000</t>
  </si>
  <si>
    <t>6413003000</t>
  </si>
  <si>
    <t>6414005001</t>
  </si>
  <si>
    <t>650008668</t>
  </si>
  <si>
    <t>6622010001</t>
  </si>
  <si>
    <t>6623003001</t>
  </si>
  <si>
    <t>6625001003</t>
  </si>
  <si>
    <t>6628002002</t>
  </si>
  <si>
    <t>6653500000</t>
  </si>
  <si>
    <t>6672500300</t>
  </si>
  <si>
    <t>6676005000</t>
  </si>
  <si>
    <t>6676500201</t>
  </si>
  <si>
    <t>6679001000</t>
  </si>
  <si>
    <t>6679500703</t>
  </si>
  <si>
    <t>671001019</t>
  </si>
  <si>
    <t>671001032</t>
  </si>
  <si>
    <t>671001037</t>
  </si>
  <si>
    <t>671001056</t>
  </si>
  <si>
    <t>671001082</t>
  </si>
  <si>
    <t>671001191</t>
  </si>
  <si>
    <t>671001222</t>
  </si>
  <si>
    <t>671001242</t>
  </si>
  <si>
    <t>671001243</t>
  </si>
  <si>
    <t>671001258</t>
  </si>
  <si>
    <t>671001322</t>
  </si>
  <si>
    <t>671001325</t>
  </si>
  <si>
    <t>671001381</t>
  </si>
  <si>
    <t>671001382</t>
  </si>
  <si>
    <t>671001433</t>
  </si>
  <si>
    <t>671001455</t>
  </si>
  <si>
    <t>671001457</t>
  </si>
  <si>
    <t>671001511</t>
  </si>
  <si>
    <t>671001513</t>
  </si>
  <si>
    <t>671001514</t>
  </si>
  <si>
    <t>671001518</t>
  </si>
  <si>
    <t>671001533</t>
  </si>
  <si>
    <t>671001539</t>
  </si>
  <si>
    <t>671001570</t>
  </si>
  <si>
    <t>671001571</t>
  </si>
  <si>
    <t>671001717</t>
  </si>
  <si>
    <t>671002019</t>
  </si>
  <si>
    <t>671002021</t>
  </si>
  <si>
    <t>671002024</t>
  </si>
  <si>
    <t>671002030</t>
  </si>
  <si>
    <t>671002038</t>
  </si>
  <si>
    <t>671002065</t>
  </si>
  <si>
    <t>671002075</t>
  </si>
  <si>
    <t>671002093</t>
  </si>
  <si>
    <t>671002351</t>
  </si>
  <si>
    <t>671002977</t>
  </si>
  <si>
    <t>671003042</t>
  </si>
  <si>
    <t>671004013</t>
  </si>
  <si>
    <t>671004015</t>
  </si>
  <si>
    <t>671004019</t>
  </si>
  <si>
    <t>671004613</t>
  </si>
  <si>
    <t>671005008</t>
  </si>
  <si>
    <t>671005011</t>
  </si>
  <si>
    <t>671005139</t>
  </si>
  <si>
    <t>671006063</t>
  </si>
  <si>
    <t>671006065</t>
  </si>
  <si>
    <t>671006066</t>
  </si>
  <si>
    <t>671006123</t>
  </si>
  <si>
    <t>671007007</t>
  </si>
  <si>
    <t>671008011</t>
  </si>
  <si>
    <t>671009017</t>
  </si>
  <si>
    <t>671009020</t>
  </si>
  <si>
    <t>671010540</t>
  </si>
  <si>
    <t>671010630</t>
  </si>
  <si>
    <t>671010710</t>
  </si>
  <si>
    <t>671011005</t>
  </si>
  <si>
    <t>671011021</t>
  </si>
  <si>
    <t>671011101</t>
  </si>
  <si>
    <t>671011122</t>
  </si>
  <si>
    <t>671011123</t>
  </si>
  <si>
    <t>671011136</t>
  </si>
  <si>
    <t>671011156</t>
  </si>
  <si>
    <t>671011174</t>
  </si>
  <si>
    <t>671012720</t>
  </si>
  <si>
    <t>671013260</t>
  </si>
  <si>
    <t>671013783</t>
  </si>
  <si>
    <t>671015252</t>
  </si>
  <si>
    <t>671018260</t>
  </si>
  <si>
    <t>671018280</t>
  </si>
  <si>
    <t>671030050</t>
  </si>
  <si>
    <t>671080040</t>
  </si>
  <si>
    <t>671090001</t>
  </si>
  <si>
    <t>671090002</t>
  </si>
  <si>
    <t>671090020</t>
  </si>
  <si>
    <t>671105103</t>
  </si>
  <si>
    <t>671111300</t>
  </si>
  <si>
    <t>671137909</t>
  </si>
  <si>
    <t>671144701</t>
  </si>
  <si>
    <t>671200010</t>
  </si>
  <si>
    <t>671201501</t>
  </si>
  <si>
    <t>671251800</t>
  </si>
  <si>
    <t>671315001</t>
  </si>
  <si>
    <t>671316004</t>
  </si>
  <si>
    <t>671317001</t>
  </si>
  <si>
    <t>671381001</t>
  </si>
  <si>
    <t>671382001</t>
  </si>
  <si>
    <t>671384001</t>
  </si>
  <si>
    <t>671385001</t>
  </si>
  <si>
    <t>671409001</t>
  </si>
  <si>
    <t>671455001</t>
  </si>
  <si>
    <t>671470001</t>
  </si>
  <si>
    <t>671470002</t>
  </si>
  <si>
    <t>671501028</t>
  </si>
  <si>
    <t>671501031</t>
  </si>
  <si>
    <t>671502027</t>
  </si>
  <si>
    <t>671514001</t>
  </si>
  <si>
    <t>671522001</t>
  </si>
  <si>
    <t>671560001</t>
  </si>
  <si>
    <t>6822500200</t>
  </si>
  <si>
    <t>6901501400</t>
  </si>
  <si>
    <t>6904021001</t>
  </si>
  <si>
    <t>6904500300</t>
  </si>
  <si>
    <t>6904503601</t>
  </si>
  <si>
    <t>6906503600</t>
  </si>
  <si>
    <t>690661</t>
  </si>
  <si>
    <t>6909039001</t>
  </si>
  <si>
    <t>6909511104</t>
  </si>
  <si>
    <t>6909511501</t>
  </si>
  <si>
    <t>6909539200</t>
  </si>
  <si>
    <t>691025</t>
  </si>
  <si>
    <t>691026</t>
  </si>
  <si>
    <t>691027</t>
  </si>
  <si>
    <t>691031</t>
  </si>
  <si>
    <t>691487</t>
  </si>
  <si>
    <t>691664</t>
  </si>
  <si>
    <t>691876</t>
  </si>
  <si>
    <t>6919501100</t>
  </si>
  <si>
    <t>692051</t>
  </si>
  <si>
    <t>692076</t>
  </si>
  <si>
    <t>692551</t>
  </si>
  <si>
    <t>6939507000</t>
  </si>
  <si>
    <t>6941500301</t>
  </si>
  <si>
    <t>6949001010</t>
  </si>
  <si>
    <t>6949001020</t>
  </si>
  <si>
    <t>6949001030</t>
  </si>
  <si>
    <t>6949001040</t>
  </si>
  <si>
    <t>6949001050</t>
  </si>
  <si>
    <t>6951021001</t>
  </si>
  <si>
    <t>6951022000</t>
  </si>
  <si>
    <t>6951023000</t>
  </si>
  <si>
    <t>6951024001</t>
  </si>
  <si>
    <t>6954025000</t>
  </si>
  <si>
    <t>6954513100</t>
  </si>
  <si>
    <t>6957025040</t>
  </si>
  <si>
    <t>6957025050</t>
  </si>
  <si>
    <t>6957025060</t>
  </si>
  <si>
    <t>6957029001</t>
  </si>
  <si>
    <t>6957029010</t>
  </si>
  <si>
    <t>6959505801</t>
  </si>
  <si>
    <t>697478</t>
  </si>
  <si>
    <t>697799</t>
  </si>
  <si>
    <t>6989506900</t>
  </si>
  <si>
    <t>791766</t>
  </si>
  <si>
    <t>793514</t>
  </si>
  <si>
    <t>793515</t>
  </si>
  <si>
    <t>796210</t>
  </si>
  <si>
    <t>799579</t>
  </si>
  <si>
    <t>799580</t>
  </si>
  <si>
    <t>799581</t>
  </si>
  <si>
    <t>799934</t>
  </si>
  <si>
    <t>8033</t>
  </si>
  <si>
    <t>8467991000</t>
  </si>
  <si>
    <t>900005076</t>
  </si>
  <si>
    <t>900005078</t>
  </si>
  <si>
    <t>900006179</t>
  </si>
  <si>
    <t>900020</t>
  </si>
  <si>
    <t>908004406</t>
  </si>
  <si>
    <t>908005165</t>
  </si>
  <si>
    <t>908005205</t>
  </si>
  <si>
    <t>908006145</t>
  </si>
  <si>
    <t>908006255</t>
  </si>
  <si>
    <t>908105126</t>
  </si>
  <si>
    <t>908105204</t>
  </si>
  <si>
    <t>908204555</t>
  </si>
  <si>
    <t>908205658</t>
  </si>
  <si>
    <t>908305255</t>
  </si>
  <si>
    <t>908305405</t>
  </si>
  <si>
    <t>908405205</t>
  </si>
  <si>
    <t>908405255</t>
  </si>
  <si>
    <t>908505555</t>
  </si>
  <si>
    <t>908605145</t>
  </si>
  <si>
    <t>908605205</t>
  </si>
  <si>
    <t>908705125</t>
  </si>
  <si>
    <t>908805205</t>
  </si>
  <si>
    <t>908805235</t>
  </si>
  <si>
    <t>909005105</t>
  </si>
  <si>
    <t>913340204</t>
  </si>
  <si>
    <t>913447134</t>
  </si>
  <si>
    <t>913455164</t>
  </si>
  <si>
    <t>913455204</t>
  </si>
  <si>
    <t>913455304</t>
  </si>
  <si>
    <t>913455454</t>
  </si>
  <si>
    <t>913467254</t>
  </si>
  <si>
    <t>913467304</t>
  </si>
  <si>
    <t>913550255</t>
  </si>
  <si>
    <t>915135130</t>
  </si>
  <si>
    <t>915535100</t>
  </si>
  <si>
    <t>915735100</t>
  </si>
  <si>
    <t>915835100</t>
  </si>
  <si>
    <t>917105205</t>
  </si>
  <si>
    <t>920205000</t>
  </si>
  <si>
    <t>920208024</t>
  </si>
  <si>
    <t>920308024</t>
  </si>
  <si>
    <t>921804004</t>
  </si>
  <si>
    <t>921906004</t>
  </si>
  <si>
    <t>922606000</t>
  </si>
  <si>
    <t>923208004</t>
  </si>
  <si>
    <t>924105300</t>
  </si>
  <si>
    <t>924605510</t>
  </si>
  <si>
    <t>926208001</t>
  </si>
  <si>
    <t>927304000</t>
  </si>
  <si>
    <t>927308000</t>
  </si>
  <si>
    <t>928014000</t>
  </si>
  <si>
    <t>928105000</t>
  </si>
  <si>
    <t>928405000</t>
  </si>
  <si>
    <t>930916160</t>
  </si>
  <si>
    <t>934660250</t>
  </si>
  <si>
    <t>936430160</t>
  </si>
  <si>
    <t>938650062</t>
  </si>
  <si>
    <t>944500864</t>
  </si>
  <si>
    <t>944500871</t>
  </si>
  <si>
    <t>944500880</t>
  </si>
  <si>
    <t>944500891</t>
  </si>
  <si>
    <t>944500900</t>
  </si>
  <si>
    <t>944601030</t>
  </si>
  <si>
    <t>944602000</t>
  </si>
  <si>
    <t>944602001</t>
  </si>
  <si>
    <t>944603020</t>
  </si>
  <si>
    <t>944603130</t>
  </si>
  <si>
    <t>944603140</t>
  </si>
  <si>
    <t>944603410</t>
  </si>
  <si>
    <t>946101010</t>
  </si>
  <si>
    <t>946101020</t>
  </si>
  <si>
    <t>950203020</t>
  </si>
  <si>
    <t>950237000</t>
  </si>
  <si>
    <t>957004002</t>
  </si>
  <si>
    <t>957004006</t>
  </si>
  <si>
    <t>957114011</t>
  </si>
  <si>
    <t>957132020</t>
  </si>
  <si>
    <t>957132385</t>
  </si>
  <si>
    <t>957132386</t>
  </si>
  <si>
    <t>957141003</t>
  </si>
  <si>
    <t>957143010</t>
  </si>
  <si>
    <t>957150100</t>
  </si>
  <si>
    <t>957150150</t>
  </si>
  <si>
    <t>957150190</t>
  </si>
  <si>
    <t>957151010</t>
  </si>
  <si>
    <t>957151020</t>
  </si>
  <si>
    <t>957151110</t>
  </si>
  <si>
    <t>957151220</t>
  </si>
  <si>
    <t>957151230</t>
  </si>
  <si>
    <t>957153070</t>
  </si>
  <si>
    <t>957171394</t>
  </si>
  <si>
    <t>957213023</t>
  </si>
  <si>
    <t>957213031</t>
  </si>
  <si>
    <t>957213040</t>
  </si>
  <si>
    <t>957223092</t>
  </si>
  <si>
    <t>957310027</t>
  </si>
  <si>
    <t>957415040</t>
  </si>
  <si>
    <t>957604240</t>
  </si>
  <si>
    <t>957604260</t>
  </si>
  <si>
    <t>960102124</t>
  </si>
  <si>
    <t>960102152</t>
  </si>
  <si>
    <t>960102171</t>
  </si>
  <si>
    <t>960123129</t>
  </si>
  <si>
    <t>962210019</t>
  </si>
  <si>
    <t>962210024</t>
  </si>
  <si>
    <t>962210028</t>
  </si>
  <si>
    <t>962210092</t>
  </si>
  <si>
    <t>962210121</t>
  </si>
  <si>
    <t>962211030</t>
  </si>
  <si>
    <t>962300009</t>
  </si>
  <si>
    <t>962300017</t>
  </si>
  <si>
    <t>962900052</t>
  </si>
  <si>
    <t>962900054</t>
  </si>
  <si>
    <t>962900057</t>
  </si>
  <si>
    <t>962900060</t>
  </si>
  <si>
    <t>962900061</t>
  </si>
  <si>
    <t>963204015</t>
  </si>
  <si>
    <t>963211020</t>
  </si>
  <si>
    <t>963230031</t>
  </si>
  <si>
    <t>963601100</t>
  </si>
  <si>
    <t>963601150</t>
  </si>
  <si>
    <t>963608100</t>
  </si>
  <si>
    <t>965300470</t>
  </si>
  <si>
    <t>965401011</t>
  </si>
  <si>
    <t>965401014</t>
  </si>
  <si>
    <t>965401016</t>
  </si>
  <si>
    <t>965401021</t>
  </si>
  <si>
    <t>965401035</t>
  </si>
  <si>
    <t>965402262</t>
  </si>
  <si>
    <t>965402870</t>
  </si>
  <si>
    <t>965403370</t>
  </si>
  <si>
    <t>965403380</t>
  </si>
  <si>
    <t>965403430</t>
  </si>
  <si>
    <t>965403462</t>
  </si>
  <si>
    <t>965403535</t>
  </si>
  <si>
    <t>965404230</t>
  </si>
  <si>
    <t>965404240</t>
  </si>
  <si>
    <t>965404341</t>
  </si>
  <si>
    <t>965404430</t>
  </si>
  <si>
    <t>965404521</t>
  </si>
  <si>
    <t>965404700</t>
  </si>
  <si>
    <t>965404720</t>
  </si>
  <si>
    <t>965404740</t>
  </si>
  <si>
    <t>965404761</t>
  </si>
  <si>
    <t>965404800</t>
  </si>
  <si>
    <t>965404913</t>
  </si>
  <si>
    <t>965451750</t>
  </si>
  <si>
    <t>965451901</t>
  </si>
  <si>
    <t>965452090</t>
  </si>
  <si>
    <t>965452382</t>
  </si>
  <si>
    <t>965452660</t>
  </si>
  <si>
    <t>965518121</t>
  </si>
  <si>
    <t>965524023</t>
  </si>
  <si>
    <t>965525060</t>
  </si>
  <si>
    <t>965525070</t>
  </si>
  <si>
    <t>965525101</t>
  </si>
  <si>
    <t>965527020</t>
  </si>
  <si>
    <t>965527030</t>
  </si>
  <si>
    <t>965527040</t>
  </si>
  <si>
    <t>965527060</t>
  </si>
  <si>
    <t>965531121</t>
  </si>
  <si>
    <t>965551160</t>
  </si>
  <si>
    <t>965551251</t>
  </si>
  <si>
    <t>965603050</t>
  </si>
  <si>
    <t>965604180</t>
  </si>
  <si>
    <t>965605411</t>
  </si>
  <si>
    <t>965725041</t>
  </si>
  <si>
    <t>965903062</t>
  </si>
  <si>
    <t>970310200</t>
  </si>
  <si>
    <t>970311310</t>
  </si>
  <si>
    <t>970311330</t>
  </si>
  <si>
    <t>970311380</t>
  </si>
  <si>
    <t>970502050</t>
  </si>
  <si>
    <t>970502110</t>
  </si>
  <si>
    <t>970802250</t>
  </si>
  <si>
    <t>970802610</t>
  </si>
  <si>
    <t>975001230</t>
  </si>
  <si>
    <t>975001241</t>
  </si>
  <si>
    <t>975001260</t>
  </si>
  <si>
    <t>980115738</t>
  </si>
  <si>
    <t>985000155</t>
  </si>
  <si>
    <t>985000165</t>
  </si>
  <si>
    <t>988001111</t>
  </si>
  <si>
    <t>994290251</t>
  </si>
  <si>
    <t>995707572</t>
  </si>
  <si>
    <t>191V96-5</t>
  </si>
  <si>
    <t>344538-8</t>
  </si>
  <si>
    <t>PLACA DE BLOQUEO / LS1221</t>
  </si>
  <si>
    <t>620H25-2</t>
  </si>
  <si>
    <t>CARCASA MOTOR/ VARIOS</t>
  </si>
  <si>
    <t>620H30-9</t>
  </si>
  <si>
    <t>CONTROLADOR / VC008G</t>
  </si>
  <si>
    <t>632R94-1</t>
  </si>
  <si>
    <t>CONTROLADOR / CL107FD, CL108FD</t>
  </si>
  <si>
    <t>PR00000270</t>
  </si>
  <si>
    <t>BOMBA CON MOTOR / DUS108, DUS158</t>
  </si>
  <si>
    <t>253571-8</t>
  </si>
  <si>
    <t>265A40-3</t>
  </si>
  <si>
    <t>TORNILLO DE CABEZA SEGMENTADA M5X20 / VARIOS</t>
  </si>
  <si>
    <t>JM00000351</t>
  </si>
  <si>
    <t>VENTILADOR / 2712</t>
  </si>
  <si>
    <t>JM00000352</t>
  </si>
  <si>
    <t>CUBIERTA DEL VENTILADOR / 2712</t>
  </si>
  <si>
    <t>743129-6</t>
  </si>
  <si>
    <t>743130-1</t>
  </si>
  <si>
    <t>168827-5</t>
  </si>
  <si>
    <t>POLEA / EBH340U</t>
  </si>
  <si>
    <t>232445-6</t>
  </si>
  <si>
    <t>RESORTE TORSION / DTR180</t>
  </si>
  <si>
    <t>347329-6</t>
  </si>
  <si>
    <t>PLACA EMPUJE P/DTR180</t>
  </si>
  <si>
    <t>122B68-9</t>
  </si>
  <si>
    <t>1830X3-8</t>
  </si>
  <si>
    <t>183K68-8</t>
  </si>
  <si>
    <t>319234-7</t>
  </si>
  <si>
    <t>518504-3</t>
  </si>
  <si>
    <t>620L08-6</t>
  </si>
  <si>
    <t>620P47-0</t>
  </si>
  <si>
    <t>CONTROLADOR / UC016G</t>
  </si>
  <si>
    <t>621B48-7</t>
  </si>
  <si>
    <t>782023-7</t>
  </si>
  <si>
    <t>LLAVE MIXTA 13-16 / VARIOS</t>
  </si>
  <si>
    <t>M1100</t>
  </si>
  <si>
    <t>Morado</t>
  </si>
  <si>
    <t>De 1 a 10 und</t>
  </si>
  <si>
    <t>De 11 a 50 und</t>
  </si>
  <si>
    <t>Azul</t>
  </si>
  <si>
    <t>De 51 a 100 und</t>
  </si>
  <si>
    <t>De 101 a más und</t>
  </si>
  <si>
    <t>513988-0</t>
  </si>
  <si>
    <t>ROTOR / HR1840, HR1841F</t>
  </si>
  <si>
    <t>629372-0</t>
  </si>
  <si>
    <t>ESTATOR P/ DHP485F002</t>
  </si>
  <si>
    <t>633993-2</t>
  </si>
  <si>
    <t>ESTATOR / HR1840, HR1841F</t>
  </si>
  <si>
    <t>650005-6</t>
  </si>
  <si>
    <t>INTERRUPTOR TGRK1-1 FOR DHP487SF</t>
  </si>
  <si>
    <t>650006-4</t>
  </si>
  <si>
    <t>INTERRUPTOR TGRK2-1 FOR DHP485F002</t>
  </si>
  <si>
    <t>140L60-3</t>
  </si>
  <si>
    <t>TAPA DE TANQUE / DUC252, DUC302</t>
  </si>
  <si>
    <t>345205-8</t>
  </si>
  <si>
    <t>GARRA / VARIOS</t>
  </si>
  <si>
    <t>620J22-0</t>
  </si>
  <si>
    <t>CIRCUITO COMPLETO / UC016G, UC012G</t>
  </si>
  <si>
    <t>650024-2</t>
  </si>
  <si>
    <t>INTERRUPTOR / UC016G, UC012G</t>
  </si>
  <si>
    <t>312C10-6</t>
  </si>
  <si>
    <t>CAJA DE RODAMIENTOS / VARIOS</t>
  </si>
  <si>
    <t>511B03-6</t>
  </si>
  <si>
    <t>609024678</t>
  </si>
  <si>
    <t>ESTATOR 220V / PF0800</t>
  </si>
  <si>
    <t>629B21-1</t>
  </si>
  <si>
    <t>1R512</t>
  </si>
  <si>
    <t>127824-0</t>
  </si>
  <si>
    <t>CAJA DE ENGRANAJE</t>
  </si>
  <si>
    <t>194990-8</t>
  </si>
  <si>
    <t>199144-2</t>
  </si>
  <si>
    <t>KIT EXTRACTOR DE POLVO</t>
  </si>
  <si>
    <t>629246-5</t>
  </si>
  <si>
    <t>DC MOTOR</t>
  </si>
  <si>
    <t>YA00001318</t>
  </si>
  <si>
    <t>YA00001328</t>
  </si>
  <si>
    <t>YA00001332</t>
  </si>
  <si>
    <t>YA00001334</t>
  </si>
  <si>
    <t>YA00001340</t>
  </si>
  <si>
    <t>YA00001341</t>
  </si>
  <si>
    <t>YA00001342</t>
  </si>
  <si>
    <t>YA00001343</t>
  </si>
  <si>
    <t>YA00001344</t>
  </si>
  <si>
    <t>YA00001346</t>
  </si>
  <si>
    <t>YA00001349</t>
  </si>
  <si>
    <t>YA00001354</t>
  </si>
  <si>
    <t>YA00001356</t>
  </si>
  <si>
    <t>YA00001360</t>
  </si>
  <si>
    <t>YA00001363</t>
  </si>
  <si>
    <t>YA00001367</t>
  </si>
  <si>
    <t>YA00001376</t>
  </si>
  <si>
    <t>YA00001381</t>
  </si>
  <si>
    <t>YA00001383</t>
  </si>
  <si>
    <t>YA00001385</t>
  </si>
  <si>
    <t>YA00001387</t>
  </si>
  <si>
    <t>YA00001388</t>
  </si>
  <si>
    <t>YA00001389</t>
  </si>
  <si>
    <t>YA00001391</t>
  </si>
  <si>
    <t>YA00001393</t>
  </si>
  <si>
    <t>YA00001394</t>
  </si>
  <si>
    <t>YA00001395</t>
  </si>
  <si>
    <t>YA00001396</t>
  </si>
  <si>
    <t>YA00001408</t>
  </si>
  <si>
    <t>YA00001410</t>
  </si>
  <si>
    <t>YA00001411</t>
  </si>
  <si>
    <t>197129-2</t>
  </si>
  <si>
    <t>226796-7</t>
  </si>
  <si>
    <t>PIÑON P/ PK5001C</t>
  </si>
  <si>
    <t>227568-3</t>
  </si>
  <si>
    <t>ENGRANAJE P/ KP5001C</t>
  </si>
  <si>
    <t>267034-8</t>
  </si>
  <si>
    <t>ARANDELA P/ PK5001</t>
  </si>
  <si>
    <t>620951-7</t>
  </si>
  <si>
    <t>CONTROLADOR P/ GA4551R</t>
  </si>
  <si>
    <t>TG00000065</t>
  </si>
  <si>
    <t>1911H3-8</t>
  </si>
  <si>
    <t>222208-8</t>
  </si>
  <si>
    <t>632514-7</t>
  </si>
  <si>
    <t>W18XC521</t>
  </si>
  <si>
    <t>318179-6</t>
  </si>
  <si>
    <t>BASE P/ SP6000</t>
  </si>
  <si>
    <t>122D53-4</t>
  </si>
  <si>
    <t>CORREA DERECHA / PM001G</t>
  </si>
  <si>
    <t>122E16-6</t>
  </si>
  <si>
    <t>FILTRO COMPLETO / PM001G</t>
  </si>
  <si>
    <t>136042-9</t>
  </si>
  <si>
    <t>ARBOL DE LEVAS COMPLETO</t>
  </si>
  <si>
    <t>140253-0</t>
  </si>
  <si>
    <t>162D40-1</t>
  </si>
  <si>
    <t>162D41-9</t>
  </si>
  <si>
    <t>CORREA IZQUIERDA / PM001G</t>
  </si>
  <si>
    <t>183X86-4</t>
  </si>
  <si>
    <t>JUEGO DE CARCASA DE CONTROL / PM001G</t>
  </si>
  <si>
    <t>325904-8</t>
  </si>
  <si>
    <t>ANILLO DE BLOQUEO PARA BARREL / HM1111C</t>
  </si>
  <si>
    <t>TUBO DE MALLA / CL003G - DCL286F</t>
  </si>
  <si>
    <t>413M65-5</t>
  </si>
  <si>
    <t>ALETA DE COLADOR / PM001G</t>
  </si>
  <si>
    <t>431005-3</t>
  </si>
  <si>
    <t>VIDRIO TERMICO / 4131 - CS002G</t>
  </si>
  <si>
    <t>451841-1</t>
  </si>
  <si>
    <t>CUBIERTA DE MANGO / HM1111C</t>
  </si>
  <si>
    <t>451842-9</t>
  </si>
  <si>
    <t>CUBIERTA DE ANILLO DE CAMBIO / HM1111C</t>
  </si>
  <si>
    <t>620E81-4</t>
  </si>
  <si>
    <t>CONTROLADOR / DTD172</t>
  </si>
  <si>
    <t>620H33-3</t>
  </si>
  <si>
    <t>CIRCUITO INTERRUPTOR / VC008G</t>
  </si>
  <si>
    <t>629346-1</t>
  </si>
  <si>
    <t>MOTOR 18V</t>
  </si>
  <si>
    <t>651067-7</t>
  </si>
  <si>
    <t>INTERRUPTOR / M2401 - M2403</t>
  </si>
  <si>
    <t>222199-3</t>
  </si>
  <si>
    <t>POLEA 7,5-20,3 / DBO480 - DBO481</t>
  </si>
  <si>
    <t>222200-4</t>
  </si>
  <si>
    <t>POLEA 7,5-15,5 / DBO480 - DBO481</t>
  </si>
  <si>
    <t>451844-5</t>
  </si>
  <si>
    <t>GB00000035</t>
  </si>
  <si>
    <t>EJE DE RUEDA / DUB187</t>
  </si>
  <si>
    <t>GB00000166</t>
  </si>
  <si>
    <t>RUEDA 61 / DUB187</t>
  </si>
  <si>
    <t>GB00000167</t>
  </si>
  <si>
    <t>SOPORTE DE RUEDA / DUB187</t>
  </si>
  <si>
    <t>154346-7</t>
  </si>
  <si>
    <t>191D92-5</t>
  </si>
  <si>
    <t>331562-0</t>
  </si>
  <si>
    <t>417117-6</t>
  </si>
  <si>
    <t>LLAVE DE PASO / PM001G</t>
  </si>
  <si>
    <t>1831C5-3</t>
  </si>
  <si>
    <t>347D61-6-SAMPLE</t>
  </si>
  <si>
    <t>413C06-1</t>
  </si>
  <si>
    <t>413C08-7</t>
  </si>
  <si>
    <t>PLACA DEFLECTORA B / VARIOS</t>
  </si>
  <si>
    <t>122H74-0</t>
  </si>
  <si>
    <t>122H00-9</t>
  </si>
  <si>
    <t>140H97-6</t>
  </si>
  <si>
    <t>RUEDA MAGNETICA / DTR180</t>
  </si>
  <si>
    <t>141N79-7</t>
  </si>
  <si>
    <t>620K79-7</t>
  </si>
  <si>
    <t>621C48-3</t>
  </si>
  <si>
    <t>629D26-3</t>
  </si>
  <si>
    <t>137166-4</t>
  </si>
  <si>
    <t>137222-0</t>
  </si>
  <si>
    <t>141W46-6</t>
  </si>
  <si>
    <t>141W48-2</t>
  </si>
  <si>
    <t>141W51-3</t>
  </si>
  <si>
    <t>1831H5-8</t>
  </si>
  <si>
    <t>194074-2</t>
  </si>
  <si>
    <t>219036-0</t>
  </si>
  <si>
    <t>227350-0</t>
  </si>
  <si>
    <t>227935-2</t>
  </si>
  <si>
    <t>227B57-0</t>
  </si>
  <si>
    <t>232911-3</t>
  </si>
  <si>
    <t>327D74-3</t>
  </si>
  <si>
    <t>327D75-1</t>
  </si>
  <si>
    <t>327D81-6</t>
  </si>
  <si>
    <t>327E50-3</t>
  </si>
  <si>
    <t>327E53-7</t>
  </si>
  <si>
    <t>4130H6-9</t>
  </si>
  <si>
    <t>4130H8-5</t>
  </si>
  <si>
    <t>4130H9-3</t>
  </si>
  <si>
    <t>4130J0-5</t>
  </si>
  <si>
    <t>4131N7-5</t>
  </si>
  <si>
    <t>4132C1-6</t>
  </si>
  <si>
    <t>4132C2-4</t>
  </si>
  <si>
    <t>4133H6-7</t>
  </si>
  <si>
    <t>510612-6</t>
  </si>
  <si>
    <t>619899-8</t>
  </si>
  <si>
    <t>620R27-8</t>
  </si>
  <si>
    <t>629C87-7</t>
  </si>
  <si>
    <t>632V64-4</t>
  </si>
  <si>
    <t>634863-8</t>
  </si>
  <si>
    <t>651087-1</t>
  </si>
  <si>
    <t>654938-7</t>
  </si>
  <si>
    <t>763260-2</t>
  </si>
  <si>
    <t>137272-5</t>
  </si>
  <si>
    <t>137273-3</t>
  </si>
  <si>
    <t>1411C9-1</t>
  </si>
  <si>
    <t>1411D0-6</t>
  </si>
  <si>
    <t>1412M5-5</t>
  </si>
  <si>
    <t>216068-8</t>
  </si>
  <si>
    <t>520203-5</t>
  </si>
  <si>
    <t>620R88-8</t>
  </si>
  <si>
    <t>EJE DE TRANSMISIÓN</t>
  </si>
  <si>
    <t>122C64-3</t>
  </si>
  <si>
    <t>CONJUNTO LIMITADOR DE TORQUE / VARIOS</t>
  </si>
  <si>
    <t>136880-9</t>
  </si>
  <si>
    <t>CUBIERTA DE BATERIA / VARIOS</t>
  </si>
  <si>
    <t>157661-8</t>
  </si>
  <si>
    <t>CAJA MOTOR / 1923H</t>
  </si>
  <si>
    <t>213011-8</t>
  </si>
  <si>
    <t>ORING 7 / VARIOS</t>
  </si>
  <si>
    <t>213767-3</t>
  </si>
  <si>
    <t>ORING 75 / DHR242</t>
  </si>
  <si>
    <t>213A64-3</t>
  </si>
  <si>
    <t>ORING 4 / HW001G</t>
  </si>
  <si>
    <t>227A81-7</t>
  </si>
  <si>
    <t>ENGRANAJE COMPLETO 7-41 / DS5000</t>
  </si>
  <si>
    <t>251812-6</t>
  </si>
  <si>
    <t>TORNILLO MARIPOSA M5X10</t>
  </si>
  <si>
    <t>256217-5</t>
  </si>
  <si>
    <t>265D13-4</t>
  </si>
  <si>
    <t>PERNO DE CABEZA HUECA HEXAGONAL M5X35 / DTW1001</t>
  </si>
  <si>
    <t>327536-7</t>
  </si>
  <si>
    <t>331598-9</t>
  </si>
  <si>
    <t>PASADOR DE PISTON / HR4510C</t>
  </si>
  <si>
    <t>346694-0</t>
  </si>
  <si>
    <t>413L35-8</t>
  </si>
  <si>
    <t>CUBIERTA INFERIOR DELANTERA / VARIOS</t>
  </si>
  <si>
    <t>413T04-7</t>
  </si>
  <si>
    <t>PASADOR DE PRESION / HW001G</t>
  </si>
  <si>
    <t>450025-8</t>
  </si>
  <si>
    <t>PISTON / HR4510C</t>
  </si>
  <si>
    <t>450026-6</t>
  </si>
  <si>
    <t>BIELA / HR4510C</t>
  </si>
  <si>
    <t>459852-0</t>
  </si>
  <si>
    <t>629233-4</t>
  </si>
  <si>
    <t>ESTATOR 18V / DTD155</t>
  </si>
  <si>
    <t>911226-8</t>
  </si>
  <si>
    <t>TORNILLO ESTRELLA M5X18 / VARIOS</t>
  </si>
  <si>
    <t>951054-9</t>
  </si>
  <si>
    <t>PASADOR 3-10 / VARIOS</t>
  </si>
  <si>
    <t>JM27000121</t>
  </si>
  <si>
    <t>INTERRUPTOR DE SOBRECARGA / MLT100</t>
  </si>
  <si>
    <t>162C13-8</t>
  </si>
  <si>
    <t>413C05-3</t>
  </si>
  <si>
    <t>510621-5</t>
  </si>
  <si>
    <t>619343-5</t>
  </si>
  <si>
    <t>INDUCIDO P/ DTD148</t>
  </si>
  <si>
    <t>TUERCA HEXAGONAL  / VARIOS</t>
  </si>
  <si>
    <t>0140059480</t>
  </si>
  <si>
    <t>TORNILLO 5X14 / VARIOS</t>
  </si>
  <si>
    <t>TORNILLO ESTRELLA / JS401</t>
  </si>
  <si>
    <t>TORNILLO HEXAGONAL / SJ401</t>
  </si>
  <si>
    <t>ARANDELA PLANA /JS401</t>
  </si>
  <si>
    <t>ARANDELA PLANA / JS401</t>
  </si>
  <si>
    <t>TUERCA HEXAGONAL  / SJ401</t>
  </si>
  <si>
    <t>TUBO DE ESCAPE / DCS9010</t>
  </si>
  <si>
    <t>EMPAQUE DE MONOBLOCK / DCS7301</t>
  </si>
  <si>
    <t>MEMBRANA DE BOMBA / DCS7301</t>
  </si>
  <si>
    <t>PERNO DE ESPADA / VARIOS</t>
  </si>
  <si>
    <t>MANGO PERILLA / HB500</t>
  </si>
  <si>
    <t>ESTANTE / HB500</t>
  </si>
  <si>
    <t>GUARDA  230MM / VARIOS</t>
  </si>
  <si>
    <t>CAJA ENGRANAJE / DVC560</t>
  </si>
  <si>
    <t>122A77-2</t>
  </si>
  <si>
    <t>122B72-8</t>
  </si>
  <si>
    <t>PUNTA 6.4 S / DRV250</t>
  </si>
  <si>
    <t>122C95-2</t>
  </si>
  <si>
    <t>EMPUÑADURA / DHR183 - HR010G</t>
  </si>
  <si>
    <t>CAJA DE ENGRANAJE / DHP489</t>
  </si>
  <si>
    <t>CAJA DE ENGRANAJE / DDF489</t>
  </si>
  <si>
    <t>CAJA ENGRANES / UR013G</t>
  </si>
  <si>
    <t>122F16-2</t>
  </si>
  <si>
    <t>BOMBA CPL / HW001G</t>
  </si>
  <si>
    <t>PALANCA AJUSTE / VS001G</t>
  </si>
  <si>
    <t>122F80-3</t>
  </si>
  <si>
    <t>MOTOR COMPACTO 18V RM350D</t>
  </si>
  <si>
    <t>CAJA ENGRANES / PS001G</t>
  </si>
  <si>
    <t>122J18-2</t>
  </si>
  <si>
    <t>122J57-2</t>
  </si>
  <si>
    <t>122K72-2</t>
  </si>
  <si>
    <t>CAJA ENGRANES / TR001G</t>
  </si>
  <si>
    <t>GUARDA 115MM / VARIOS</t>
  </si>
  <si>
    <t>PORTAHERRAMIENTA COMPLETO / VARIOS</t>
  </si>
  <si>
    <t>GUARDA  / VARIOS</t>
  </si>
  <si>
    <t>PORTAHERRAMIENTA / HR2810</t>
  </si>
  <si>
    <t>GUARDA CPL 125MM / GS5000</t>
  </si>
  <si>
    <t>123636-9</t>
  </si>
  <si>
    <t>FILTRO / DVC260L</t>
  </si>
  <si>
    <t>CAJA DE ENGRANAJE / UR101</t>
  </si>
  <si>
    <t>125259-9</t>
  </si>
  <si>
    <t>CAJA ENGRANES / 8270D - 8280</t>
  </si>
  <si>
    <t>125429-0</t>
  </si>
  <si>
    <t>ENGRANAJE / 8444D</t>
  </si>
  <si>
    <t>MOTO COMPLETO / DCL182</t>
  </si>
  <si>
    <t>ENGRANAJE / HP480D</t>
  </si>
  <si>
    <t>126406-5</t>
  </si>
  <si>
    <t>MONTAJE DE GANCHO / HR2641</t>
  </si>
  <si>
    <t>PALANCA DE CONTROL CPL / RBC414U</t>
  </si>
  <si>
    <t>VALVULA DE APERTURA / DHW080</t>
  </si>
  <si>
    <t>SOPORTE ADMISION / VARIOS</t>
  </si>
  <si>
    <t>BOLSA RECOLECTORA/ VARIOS</t>
  </si>
  <si>
    <t>127457-1</t>
  </si>
  <si>
    <t>CAJA ENGRANES / DDF484</t>
  </si>
  <si>
    <t>DIFUSOR AIRE / EA6100</t>
  </si>
  <si>
    <t>PORTACUCHILLA CPL / 4350FCT</t>
  </si>
  <si>
    <t>135086-6</t>
  </si>
  <si>
    <t>LIMITADOR DE TORQUE HR4011C</t>
  </si>
  <si>
    <t>LIMITADOR TORQUE / VARIOS</t>
  </si>
  <si>
    <t>PORTAHERRAMIENTA CPL / HM1812 - HM1802</t>
  </si>
  <si>
    <t>SUJETADOR CUCHILLA / DJV184 - JV102</t>
  </si>
  <si>
    <t>TUBO ALUMINIO / DUR189</t>
  </si>
  <si>
    <t>TUBO DESLIZANTE / VARIOS</t>
  </si>
  <si>
    <t>CAJA ENGRANES /VARIOS</t>
  </si>
  <si>
    <t>PORTAHERRAMIENTA COMPLETA / DHR182</t>
  </si>
  <si>
    <t>136217-0</t>
  </si>
  <si>
    <t>CUBIERTA DELANTERA CON BOQUILLA-TRANSPARENTE / DCL281F</t>
  </si>
  <si>
    <t>TAPA DE CAJA DE ENGRANAJE / UR101</t>
  </si>
  <si>
    <t>EJE DE CAJA / UR101</t>
  </si>
  <si>
    <t>ENGRANAJE CONICO / UR101</t>
  </si>
  <si>
    <t>CAJA DE RODAMIENTO CPL / GA015G</t>
  </si>
  <si>
    <t>EJE / DTW701</t>
  </si>
  <si>
    <t>CAJA DE ENGRANAJE CPL / DTW700 - DTW701</t>
  </si>
  <si>
    <t>TAPA INFERIOR CPL / GA037G - GA038G</t>
  </si>
  <si>
    <t>TAPA SUPERIOR CPL / GA037G - GA038G</t>
  </si>
  <si>
    <t>CAJA DE ENGRANAJE CPL / GA037G - GA038G</t>
  </si>
  <si>
    <t>YUNQUE / HP488D</t>
  </si>
  <si>
    <t>BASE DE EMBRAGUE / UR012G</t>
  </si>
  <si>
    <t>136612-4</t>
  </si>
  <si>
    <t>CARCASA INTERNA / UC016</t>
  </si>
  <si>
    <t>136656-4</t>
  </si>
  <si>
    <t>CARCASA EXTERNA / HS012G</t>
  </si>
  <si>
    <t>CUBIERTA ENGRANE / DCU101</t>
  </si>
  <si>
    <t>YUNQUE COMPLETO / TD002G</t>
  </si>
  <si>
    <t>136948-1</t>
  </si>
  <si>
    <t>GUIA DE BRAZO CPL / DTR181</t>
  </si>
  <si>
    <t>ENGRANE CONICO 14 / UR016G - UR017G</t>
  </si>
  <si>
    <t>CARCASA ENGRANE / DHR183</t>
  </si>
  <si>
    <t>PORTAHERRAMIENTA COMPLETA / DHR183</t>
  </si>
  <si>
    <t>136965-1</t>
  </si>
  <si>
    <t>CUBIERTA DELANTERA CON BOQUILLA-TRANSPARENTE / DCL283 - DCL284</t>
  </si>
  <si>
    <t>137024-4</t>
  </si>
  <si>
    <t>CARCASA IZQUIERDA / UC012 - UC016</t>
  </si>
  <si>
    <t>SOPORTE FILTRO AIRE / VS001G</t>
  </si>
  <si>
    <t>CONTENEDOR POLVO / VS001G</t>
  </si>
  <si>
    <t>137110-1</t>
  </si>
  <si>
    <t>CAJA ENGRANES / TM001 - DTM52</t>
  </si>
  <si>
    <t>137152-5</t>
  </si>
  <si>
    <t>YUNQUE / TW002G</t>
  </si>
  <si>
    <t>SOPORTE DE POLEAS / BS001G</t>
  </si>
  <si>
    <t>MICRO INTERRUPTOR / VARIOS</t>
  </si>
  <si>
    <t>TAPA BATERIAS / PS001G</t>
  </si>
  <si>
    <t>137216-5</t>
  </si>
  <si>
    <t>CARCASA DERECHA / UC012 - UC016</t>
  </si>
  <si>
    <t>137253-9</t>
  </si>
  <si>
    <t>YUNQUE  / DTW300</t>
  </si>
  <si>
    <t>137262-8</t>
  </si>
  <si>
    <t>137290-3</t>
  </si>
  <si>
    <t>137292-9</t>
  </si>
  <si>
    <t>137306-4</t>
  </si>
  <si>
    <t>137312-9</t>
  </si>
  <si>
    <t>137318-7</t>
  </si>
  <si>
    <t>137322-6</t>
  </si>
  <si>
    <t>CAJA ENGRANES CON MANDRIL / HP001G</t>
  </si>
  <si>
    <t>137328-4</t>
  </si>
  <si>
    <t>MONTAJE DEL 21 ENGRANAJE RECTO</t>
  </si>
  <si>
    <t>137335-7</t>
  </si>
  <si>
    <t>137368-2</t>
  </si>
  <si>
    <t>137376-3</t>
  </si>
  <si>
    <t>137389-4</t>
  </si>
  <si>
    <t>137396-7</t>
  </si>
  <si>
    <t>CONTROLADOR / HR011G - HR012G</t>
  </si>
  <si>
    <t>137398-3</t>
  </si>
  <si>
    <t>137409-4</t>
  </si>
  <si>
    <t>PISTON / DBN620</t>
  </si>
  <si>
    <t>137411-7</t>
  </si>
  <si>
    <t>137412-5</t>
  </si>
  <si>
    <t>137413-3</t>
  </si>
  <si>
    <t>137414-1</t>
  </si>
  <si>
    <t>PREFILTRO / VARIOS</t>
  </si>
  <si>
    <t>PREFILTRO / VC3210L</t>
  </si>
  <si>
    <t>140536-8</t>
  </si>
  <si>
    <t>ENGRANAJE COMPLETO / DUH551</t>
  </si>
  <si>
    <t>140929-9</t>
  </si>
  <si>
    <t>CAJA DE MARTILLO COMPLETO P/ TW100D</t>
  </si>
  <si>
    <t>CAJA MOTOR / M1902</t>
  </si>
  <si>
    <t>ARANDELA DENTADA / UR016G - UR017G</t>
  </si>
  <si>
    <t>TUBO TELESCOPICO / VARIOS</t>
  </si>
  <si>
    <t>TUBO CURVO / VARIOS</t>
  </si>
  <si>
    <t>GUARDA FIJA / 5007N</t>
  </si>
  <si>
    <t>140P57-6</t>
  </si>
  <si>
    <t>CONTROLADOR COMPLETO / DUC254</t>
  </si>
  <si>
    <t>140V18-2</t>
  </si>
  <si>
    <t>TUBO 24 / DUA301 - UA004G</t>
  </si>
  <si>
    <t>140W22-7</t>
  </si>
  <si>
    <t>INTERRUPTOR CPL / VARIOS</t>
  </si>
  <si>
    <t>CAJA ENGRANES / M0901</t>
  </si>
  <si>
    <t>141068-8</t>
  </si>
  <si>
    <t>PORTAHERRAMIENTAS / M8700</t>
  </si>
  <si>
    <t>ABRAZADERA 50 / PS001G</t>
  </si>
  <si>
    <t>CIRCUITO INDICADOR / PS001G</t>
  </si>
  <si>
    <t>RESPALDO / BO007</t>
  </si>
  <si>
    <t>1410T0-2</t>
  </si>
  <si>
    <t>1410V5-6</t>
  </si>
  <si>
    <t>1411B8-6</t>
  </si>
  <si>
    <t>CONTROLADOR COMPLETO</t>
  </si>
  <si>
    <t>1411G5-7</t>
  </si>
  <si>
    <t>CORTADORA COMPLETA</t>
  </si>
  <si>
    <t>1411X1-4</t>
  </si>
  <si>
    <t>1412B7-4</t>
  </si>
  <si>
    <t>1412C4-7</t>
  </si>
  <si>
    <t>SUJETADOR DE LA CUCHILLA COMPLETO</t>
  </si>
  <si>
    <t>1412C8-9</t>
  </si>
  <si>
    <t>1412D2-8</t>
  </si>
  <si>
    <t>TAPA DEL CARGADOR COMPLETA</t>
  </si>
  <si>
    <t>1412E3-3</t>
  </si>
  <si>
    <t>1412F4-8</t>
  </si>
  <si>
    <t>1412G6-1</t>
  </si>
  <si>
    <t>BASE RODAMIENTO / TW011G</t>
  </si>
  <si>
    <t>1412R5-0</t>
  </si>
  <si>
    <t>CAJA IMPULSORA / UB403</t>
  </si>
  <si>
    <t>1412S1-5</t>
  </si>
  <si>
    <t>TUBO ALUMINIO / UB403</t>
  </si>
  <si>
    <t>1412T8-8</t>
  </si>
  <si>
    <t>1413A6-5</t>
  </si>
  <si>
    <t>1413C0-1</t>
  </si>
  <si>
    <t>1413D6-6</t>
  </si>
  <si>
    <t>TAPA SUPERIOR / VC3211</t>
  </si>
  <si>
    <t>141D23-4</t>
  </si>
  <si>
    <t>EJE DE CORTE / DTR181</t>
  </si>
  <si>
    <t>141G78-7</t>
  </si>
  <si>
    <t>RUEDA COMPLETA A / PB002G</t>
  </si>
  <si>
    <t>141G99-9</t>
  </si>
  <si>
    <t>CONJUNTO DE LLANTA DE 330 DERECHA / VARIOS</t>
  </si>
  <si>
    <t>141H00-0</t>
  </si>
  <si>
    <t>CONJUNTO DE LLANTA DE 330 IZQUIERDA / VARIOS</t>
  </si>
  <si>
    <t>ENGRANE PRINCIPAL / DJV184 - DJV185</t>
  </si>
  <si>
    <t>BASE RODAMIENTO / TD002G</t>
  </si>
  <si>
    <t>CAJA DE ENGRANES / TD002G</t>
  </si>
  <si>
    <t>141J69-6</t>
  </si>
  <si>
    <t>PALANCA DE FRENO / UC012G - UC016G</t>
  </si>
  <si>
    <t>GUARDA MANO / DCU101 - UC100D</t>
  </si>
  <si>
    <t>MANILLAR B / VARIOS</t>
  </si>
  <si>
    <t>141N84-4</t>
  </si>
  <si>
    <t>CUBIERTA DELANTERA DE LA CUCHILLA  / PB002G</t>
  </si>
  <si>
    <t>141N85-2</t>
  </si>
  <si>
    <t>TAPA DE RUEDA TRASERA COMPLETA / PB002G</t>
  </si>
  <si>
    <t>141S15-3</t>
  </si>
  <si>
    <t>141S58-5</t>
  </si>
  <si>
    <t>141S59-3</t>
  </si>
  <si>
    <t>MOTOR AUXILIAR / VS001G</t>
  </si>
  <si>
    <t>141T68-8</t>
  </si>
  <si>
    <t>CARCASA MOTRIZ COMPLETO / 5007N - 5008 MG</t>
  </si>
  <si>
    <t>IMPULSOR / BN001G - DBN900</t>
  </si>
  <si>
    <t>BASE CILINDRO / VARIOS</t>
  </si>
  <si>
    <t>141V13-5</t>
  </si>
  <si>
    <t>141V21-6</t>
  </si>
  <si>
    <t>CIRCUITO DE INTERRUPTOR COMPLETO</t>
  </si>
  <si>
    <t>141V82-6</t>
  </si>
  <si>
    <t>141Y59-9</t>
  </si>
  <si>
    <t>141Y71-9</t>
  </si>
  <si>
    <t>SOPORTE TRASERO / DBN620</t>
  </si>
  <si>
    <t>141Y74-3</t>
  </si>
  <si>
    <t>ENGRANE HELICOIDAL 39 / BS001G</t>
  </si>
  <si>
    <t>CUBIERTA CAJA ENGRANES / VARIOS</t>
  </si>
  <si>
    <t>PROTECTOR DE MANO / UC4051 - UC4551C</t>
  </si>
  <si>
    <t>SUBCONTROLADOR / DUR364L</t>
  </si>
  <si>
    <t>SUBCONTROLADOR / DUR365U</t>
  </si>
  <si>
    <t>VOLANTE / EA6100P</t>
  </si>
  <si>
    <t>143718-1</t>
  </si>
  <si>
    <t>CAJA DE MARTILLO COMPLETO P/ DTD170</t>
  </si>
  <si>
    <t>PORTAHERRAMIENTA / M8701</t>
  </si>
  <si>
    <t>PORTAHERRAMIENTA / M8700</t>
  </si>
  <si>
    <t>SUBCONTROLADOR / DCU180</t>
  </si>
  <si>
    <t>151113-1</t>
  </si>
  <si>
    <t>RODILLO 9924DB</t>
  </si>
  <si>
    <t>151232-3</t>
  </si>
  <si>
    <t>BASE COMPLETA BO4510</t>
  </si>
  <si>
    <t>RODILLO TENSION / VARIOS</t>
  </si>
  <si>
    <t>151886-6</t>
  </si>
  <si>
    <t>TAPA LATERAL / 2012NB</t>
  </si>
  <si>
    <t>152362-3</t>
  </si>
  <si>
    <t>REPISA 1911B</t>
  </si>
  <si>
    <t>152529-3</t>
  </si>
  <si>
    <t>CAJA PERCUTORA COMPLETA HP15</t>
  </si>
  <si>
    <t>153882-0</t>
  </si>
  <si>
    <t>ENGRANE PRINCIPAL / VARIOS</t>
  </si>
  <si>
    <t>154481-1</t>
  </si>
  <si>
    <t>CAJA INTERNA COMPLETA P/ HP160</t>
  </si>
  <si>
    <t>154841-7</t>
  </si>
  <si>
    <t>CAJA ENGRANAJE CPL. P/HR1830</t>
  </si>
  <si>
    <t>154973-0</t>
  </si>
  <si>
    <t>ENGRANAJE COMPLETO CPL / VARIOS</t>
  </si>
  <si>
    <t>CAJA MOTOR / HM1202</t>
  </si>
  <si>
    <t>157669-2</t>
  </si>
  <si>
    <t>TAPAS DE MOTOR 9901</t>
  </si>
  <si>
    <t>158149-1</t>
  </si>
  <si>
    <t>SOPORTE P/ KP0810C</t>
  </si>
  <si>
    <t>158581-9</t>
  </si>
  <si>
    <t>CAJA DE MOTOR COMPLETO P/HM1202C</t>
  </si>
  <si>
    <t>PORTACUCHILLA / KP0800 - DKP180</t>
  </si>
  <si>
    <t>161468-6</t>
  </si>
  <si>
    <t>PLACA DE SEGURIDAD / DST221</t>
  </si>
  <si>
    <t>DESLIZADOR / M4500 - MJR300</t>
  </si>
  <si>
    <t>RODILLO ARRASTRE / VARIOS</t>
  </si>
  <si>
    <t>162242-5</t>
  </si>
  <si>
    <t>PALANCA DE CAMBIO COMPLETA</t>
  </si>
  <si>
    <t>162315-4</t>
  </si>
  <si>
    <t>FILTRO AIRE / VS001G</t>
  </si>
  <si>
    <t>162979-4</t>
  </si>
  <si>
    <t>162B39-4</t>
  </si>
  <si>
    <t>CAMARA 330 / VARIOS</t>
  </si>
  <si>
    <t>162C34-0</t>
  </si>
  <si>
    <t>162C35-8</t>
  </si>
  <si>
    <t>RUEDA LOCA / VS001G</t>
  </si>
  <si>
    <t>PREFILTRO / VS001G</t>
  </si>
  <si>
    <t>162E02-5</t>
  </si>
  <si>
    <t>163535-3</t>
  </si>
  <si>
    <t>EJE FLEXIBLE / DVR850</t>
  </si>
  <si>
    <t>BOBINA ARRANQUE / VARIOS</t>
  </si>
  <si>
    <t>181019-9</t>
  </si>
  <si>
    <t>CARBON CB-1</t>
  </si>
  <si>
    <t>182470-6</t>
  </si>
  <si>
    <t>1830B4-2</t>
  </si>
  <si>
    <t>PORTABATERIA / VS001G</t>
  </si>
  <si>
    <t>CLAVIJAS / VS001G</t>
  </si>
  <si>
    <t>1830J3-0</t>
  </si>
  <si>
    <t>1830N5-4</t>
  </si>
  <si>
    <t>1830R8-6</t>
  </si>
  <si>
    <t>1830S3-3</t>
  </si>
  <si>
    <t>CONJUNTO DEL CARCASA</t>
  </si>
  <si>
    <t>CEPILLO PRINCIPAL / VS001G</t>
  </si>
  <si>
    <t>CEPILLO LATERAL / VS001G</t>
  </si>
  <si>
    <t>CARCASA EXTERNA / BS001G</t>
  </si>
  <si>
    <t>CARCASA INTERIOR / TM001G</t>
  </si>
  <si>
    <t>EMPUÑADURA COMPLETA / BS001G</t>
  </si>
  <si>
    <t>CARCASA EMPUÑADURA / PS001G</t>
  </si>
  <si>
    <t>CAJA MOTOR / PS001G</t>
  </si>
  <si>
    <t>SOPORTE PRINCIPAL / PS001G</t>
  </si>
  <si>
    <t>CARCASA AUXILIAR / PS001G</t>
  </si>
  <si>
    <t>CARCASA EXTERNA / UC029G</t>
  </si>
  <si>
    <t>CARCASA EXTERNA / TM001G</t>
  </si>
  <si>
    <t>CARCASA EXTERNA / BO007C</t>
  </si>
  <si>
    <t>CARCASA MOTOR / PS001G</t>
  </si>
  <si>
    <t>1831D4-2</t>
  </si>
  <si>
    <t>1831D9-2</t>
  </si>
  <si>
    <t>TAPA ENGRANE / UC029</t>
  </si>
  <si>
    <t>1831F3-8</t>
  </si>
  <si>
    <t>1831J4-4</t>
  </si>
  <si>
    <t>1831J8-6</t>
  </si>
  <si>
    <t>1831K5-9</t>
  </si>
  <si>
    <t>1831K6-7</t>
  </si>
  <si>
    <t>1831L9-8</t>
  </si>
  <si>
    <t>CONJUNTO DE CARCASA MOTRIZ P/ GD002G</t>
  </si>
  <si>
    <t>1831M0-3</t>
  </si>
  <si>
    <t>1831N9-2</t>
  </si>
  <si>
    <t>1831S1-3</t>
  </si>
  <si>
    <t>1831S4-7</t>
  </si>
  <si>
    <t>1831T0-2</t>
  </si>
  <si>
    <t>1831U4-1</t>
  </si>
  <si>
    <t>1831V3-0</t>
  </si>
  <si>
    <t>CAJA MOTOR / DTM53</t>
  </si>
  <si>
    <t>1831V5-6</t>
  </si>
  <si>
    <t>1831X3-4</t>
  </si>
  <si>
    <t>1831Y1-5</t>
  </si>
  <si>
    <t>CAJA MOTOR / UH023G</t>
  </si>
  <si>
    <t>183232-5</t>
  </si>
  <si>
    <t>CAJA MOTOR BO3700</t>
  </si>
  <si>
    <t>1832A0-5</t>
  </si>
  <si>
    <t>1832B1-0</t>
  </si>
  <si>
    <t>1832B2-8</t>
  </si>
  <si>
    <t>1832D8-0</t>
  </si>
  <si>
    <t>CUVIERTA ENGRANAJES / VARIOS</t>
  </si>
  <si>
    <t>CARCASA EXTERIOR / DUB362</t>
  </si>
  <si>
    <t>183K32-9</t>
  </si>
  <si>
    <t>CAJA MOTOR / DHP485 - DDF485</t>
  </si>
  <si>
    <t>183L71-5</t>
  </si>
  <si>
    <t>183V55-3</t>
  </si>
  <si>
    <t>CARCASA EXTERNA / TD002G</t>
  </si>
  <si>
    <t>183X80-6</t>
  </si>
  <si>
    <t>CAJA MOTOR / UR016G - UR017G</t>
  </si>
  <si>
    <t>CARCASA EXTERNA / DJV185</t>
  </si>
  <si>
    <t>CARCASA EXTERNA / DUC101</t>
  </si>
  <si>
    <t>183w23-2</t>
  </si>
  <si>
    <t>CONJUNTO DE CUBIERTA DE RUEDA DENTADA / UC016G</t>
  </si>
  <si>
    <t>SELECTOR FUNCION / VARIOS</t>
  </si>
  <si>
    <t>CARCASA EXTERNA / DGA454</t>
  </si>
  <si>
    <t>188502-7</t>
  </si>
  <si>
    <t>CARCASA EXTERNA / MBO370</t>
  </si>
  <si>
    <t>188856-2</t>
  </si>
  <si>
    <t>CAJA MOTOR COMPLETO</t>
  </si>
  <si>
    <t>CARBON CB-262 / VARIOS</t>
  </si>
  <si>
    <t>1912E4-1</t>
  </si>
  <si>
    <t>CARBON CB-51</t>
  </si>
  <si>
    <t>1913C1-9</t>
  </si>
  <si>
    <t>CARBON CB-100 / VARIOS</t>
  </si>
  <si>
    <t>1913C4-3</t>
  </si>
  <si>
    <t>1913C6-9</t>
  </si>
  <si>
    <t>CARBON CB-85</t>
  </si>
  <si>
    <t>1913C7-7</t>
  </si>
  <si>
    <t>1913C8-5</t>
  </si>
  <si>
    <t>CARBON CB-350</t>
  </si>
  <si>
    <t>CORTADORA VERTICAL COMPLETA / UV001G</t>
  </si>
  <si>
    <t>1913P3-6</t>
  </si>
  <si>
    <t>1913P4-4</t>
  </si>
  <si>
    <t>EMPUÑADURA / DP4020</t>
  </si>
  <si>
    <t>1914D1-2</t>
  </si>
  <si>
    <t>GRASA 30G / VARIOS</t>
  </si>
  <si>
    <t>CARBON CB-475 / DP4020</t>
  </si>
  <si>
    <t>CARTUCHO EXTENDIDO / BN001G - DBN900</t>
  </si>
  <si>
    <t>1916X3-0</t>
  </si>
  <si>
    <t>CUCHILLA CORTE / EN425MP</t>
  </si>
  <si>
    <t>PORTACARBONES CON CARBON CB-417 / HR2400</t>
  </si>
  <si>
    <t>192546-1</t>
  </si>
  <si>
    <t>BOBILLA INCANDECENTE / ML902 - ML903</t>
  </si>
  <si>
    <t>PLANCHA DE CORCHO / VARIOS</t>
  </si>
  <si>
    <t>CARBON CB-203 / VARIOS</t>
  </si>
  <si>
    <t>CARBON CB-173 / VARIOS</t>
  </si>
  <si>
    <t>196485-7</t>
  </si>
  <si>
    <t>CUCHILLA CIZALLA / VARIOS</t>
  </si>
  <si>
    <t>CARBON CB-218 / VARIOS</t>
  </si>
  <si>
    <t>RECOLECTOR DE ASTILLAS / VARIOS</t>
  </si>
  <si>
    <t>RECOLECCION DE POLVO COMPLETA</t>
  </si>
  <si>
    <t>TUBO TELECOPICO / VARIOS</t>
  </si>
  <si>
    <t>TERMINAL COCODRILO / VARIOS</t>
  </si>
  <si>
    <t>210016-9</t>
  </si>
  <si>
    <t>210020-8</t>
  </si>
  <si>
    <t>RODAMIENTO P/BO5010</t>
  </si>
  <si>
    <t>210108-4</t>
  </si>
  <si>
    <t>RODAMIENTO DE BOLAS</t>
  </si>
  <si>
    <t>RODAMIENTO 629 DDW / UNIVERSAL</t>
  </si>
  <si>
    <t>RODAMIENTO 609 ZZ / UNIVERSAL</t>
  </si>
  <si>
    <t>210164-4</t>
  </si>
  <si>
    <t>RODAMIENTO 696 ZZ / UNIVERSAL</t>
  </si>
  <si>
    <t>210231-5</t>
  </si>
  <si>
    <t>210245-4</t>
  </si>
  <si>
    <t>210258-5</t>
  </si>
  <si>
    <t>210278-9</t>
  </si>
  <si>
    <t>RODAMIENTO 695 DDW / UNIVERSAL</t>
  </si>
  <si>
    <t>210310-9</t>
  </si>
  <si>
    <t>210311-7</t>
  </si>
  <si>
    <t>RODAMIENTO 627 DDW / UNIVERSAL</t>
  </si>
  <si>
    <t>RODAMIENTO 6200 LLB / UNIVERSAL</t>
  </si>
  <si>
    <t>RODAMIENTO 6001 LLU / UNIVERSAL</t>
  </si>
  <si>
    <t>211256-2</t>
  </si>
  <si>
    <t>211289-7</t>
  </si>
  <si>
    <t>RODAJE 6000DDW / HM1213C</t>
  </si>
  <si>
    <t>211361-5</t>
  </si>
  <si>
    <t>RODAMIENTO 6305 LLB P/ HM1810</t>
  </si>
  <si>
    <t>RODAMIENTO 6205 DDW / UNIVERSAL</t>
  </si>
  <si>
    <t>RODAMIENTO 62/32 / UNIVERSAL</t>
  </si>
  <si>
    <t>212047-4</t>
  </si>
  <si>
    <t>RODAMIENTO POLIN 821 6821</t>
  </si>
  <si>
    <t>RODAMIENTO DE AGUJA 1816 / VARIOS</t>
  </si>
  <si>
    <t>212265-4</t>
  </si>
  <si>
    <t>213054-0</t>
  </si>
  <si>
    <t>213102-5</t>
  </si>
  <si>
    <t>GUARDAPOLVO RODAMIENTO 5900B</t>
  </si>
  <si>
    <t>213265-7</t>
  </si>
  <si>
    <t>ANILLO DE FLURETANO 20 / VARIOS</t>
  </si>
  <si>
    <t>ANILLO DE FLURETANO 25 / VARIOS</t>
  </si>
  <si>
    <t>ANILLO GOMA X 28 /VARIOS</t>
  </si>
  <si>
    <t>ANILLO DE GOMA 35 / HM1800</t>
  </si>
  <si>
    <t>SELLO DE ACEITE 42 / VARIOS</t>
  </si>
  <si>
    <t>ANILLO DE GOMA 72 /VARIOS</t>
  </si>
  <si>
    <t>213910-4</t>
  </si>
  <si>
    <t>ANILLO O-RING 11 P/ VARIOS</t>
  </si>
  <si>
    <t>ANILLO DE GOMA X 40 / VARIOS</t>
  </si>
  <si>
    <t>213A79-0</t>
  </si>
  <si>
    <t>213A93-6</t>
  </si>
  <si>
    <t>213A96-0</t>
  </si>
  <si>
    <t>BOCINA 4 / VARIOS</t>
  </si>
  <si>
    <t>214101-0</t>
  </si>
  <si>
    <t>SOPORTE DE METAL / VARIOS</t>
  </si>
  <si>
    <t>BOLA DE ACERO 2.4 / VARIOS</t>
  </si>
  <si>
    <t>RODAMIENTO AXIAL DE AGUJA 1024 / DTM52 - TM001G</t>
  </si>
  <si>
    <t>ROTULA / HR2670</t>
  </si>
  <si>
    <t>221070-8</t>
  </si>
  <si>
    <t>ENGRANAJE HELICOIDAL 48 / VARIOS</t>
  </si>
  <si>
    <t>221356-0</t>
  </si>
  <si>
    <t>ENGRANAJE 36 P/3901</t>
  </si>
  <si>
    <t>221357-8</t>
  </si>
  <si>
    <t>221437-0</t>
  </si>
  <si>
    <t>ENGRANAJE RECTO 17 / VARIOS</t>
  </si>
  <si>
    <t>ENGRANAJE HELICOIDAL 43 / VARIOS</t>
  </si>
  <si>
    <t>221880-3</t>
  </si>
  <si>
    <t>ENGRANAJE 44 JN3200</t>
  </si>
  <si>
    <t>222010-9</t>
  </si>
  <si>
    <t>POLEA 5-25L 9924DB</t>
  </si>
  <si>
    <t>222011-7</t>
  </si>
  <si>
    <t>POLEA 5-45 9924DB</t>
  </si>
  <si>
    <t>222050-7</t>
  </si>
  <si>
    <t>POLEA EN V 4-24 / 1911B</t>
  </si>
  <si>
    <t>222063-8</t>
  </si>
  <si>
    <t>POLEA EN V 4-38 / 1911B</t>
  </si>
  <si>
    <t>222144-8</t>
  </si>
  <si>
    <t>POLEA EN V 5-95.8 / VARIOS</t>
  </si>
  <si>
    <t>POLEA 17.5-33.6 / VS001G</t>
  </si>
  <si>
    <t>222212-7</t>
  </si>
  <si>
    <t>222213-5</t>
  </si>
  <si>
    <t>224280-6</t>
  </si>
  <si>
    <t>BRIDA INTERNA P/ PJ7000</t>
  </si>
  <si>
    <t>BRIDA INTERNA 69 / LC1210 - LC1230</t>
  </si>
  <si>
    <t>BRIDA EXTERNA 65 / HS013G - LS1440</t>
  </si>
  <si>
    <t>224428-0</t>
  </si>
  <si>
    <t>BRIDA INTERNA 46 / VARIOS</t>
  </si>
  <si>
    <t>225008-5</t>
  </si>
  <si>
    <t>CORREA P/9924DB</t>
  </si>
  <si>
    <t>CORREA EN V 4 - 241 / VARIOS MKP080</t>
  </si>
  <si>
    <t>CORREA 15-880 / CE002G</t>
  </si>
  <si>
    <t>225111-2</t>
  </si>
  <si>
    <t>CORREA 20-500 / CE003G</t>
  </si>
  <si>
    <t>CORREA 6-264 / BS001G</t>
  </si>
  <si>
    <t>226058-3</t>
  </si>
  <si>
    <t>ENGRANAJE COMPLETO JS3200</t>
  </si>
  <si>
    <t>ENGRANJE RECTO COMPLETO 16-38 / 6905H</t>
  </si>
  <si>
    <t>226157-1</t>
  </si>
  <si>
    <t>ENGRANAJE COMPLETO P/ FS2700</t>
  </si>
  <si>
    <t>226737-3</t>
  </si>
  <si>
    <t>226738-1</t>
  </si>
  <si>
    <t>ENGRANAJE ELICOIDAL 9057</t>
  </si>
  <si>
    <t>ENGRANAJE HELICOIDAL 35 / PC5000 PC5001</t>
  </si>
  <si>
    <t>227588-7</t>
  </si>
  <si>
    <t>ENGRANAJE HELICOIDAL 40 / VARIOS</t>
  </si>
  <si>
    <t>RUEDA DENTADA 7 / VARIOS</t>
  </si>
  <si>
    <t>ENGRANAJE RECTO 24 / TD002G</t>
  </si>
  <si>
    <t>ENGRANAJE RECTO INTERNO 56 / TD002G</t>
  </si>
  <si>
    <t>227A61-3</t>
  </si>
  <si>
    <t>227A88-3</t>
  </si>
  <si>
    <t>ENGRANAJE ESPIRAL 11</t>
  </si>
  <si>
    <t>ENGRANAJE CONICO 17 / GA7090</t>
  </si>
  <si>
    <t>227B18-0</t>
  </si>
  <si>
    <t>ENGRANAJE CONICO 9 / DUP180</t>
  </si>
  <si>
    <t>227B43-1</t>
  </si>
  <si>
    <t>227B44-9</t>
  </si>
  <si>
    <t>227B45-7</t>
  </si>
  <si>
    <t>ENGRANAJE RECTO 40 / HR2670</t>
  </si>
  <si>
    <t>ENGRANAJE HELICOIDAL 71 / DUA200</t>
  </si>
  <si>
    <t>ENGRANAJE HELICOIDAL 61 / HS013</t>
  </si>
  <si>
    <t>227B90-2</t>
  </si>
  <si>
    <t>227C33-0</t>
  </si>
  <si>
    <t>ENGRANAJE RECTO 40 / HR011G - HR012G</t>
  </si>
  <si>
    <t>227C36-4</t>
  </si>
  <si>
    <t>227C40-3</t>
  </si>
  <si>
    <t>227C41-1</t>
  </si>
  <si>
    <t>227C43-7</t>
  </si>
  <si>
    <t>227C44-5</t>
  </si>
  <si>
    <t>227C47-9</t>
  </si>
  <si>
    <t>RESORTE TENSION 6 / HS013G</t>
  </si>
  <si>
    <t>RESORTE TENSION 4 / VARIOS</t>
  </si>
  <si>
    <t>232357-3</t>
  </si>
  <si>
    <t>RESORTE DE COMPRESION 10A / DHR182</t>
  </si>
  <si>
    <t>RESORTE ONDULADO / VARIOS</t>
  </si>
  <si>
    <t>RESORTE COMPRESION 14 / UNIVERSAL</t>
  </si>
  <si>
    <t>232765-8</t>
  </si>
  <si>
    <t>RESORTE COMPRESION 4 / VARIOS</t>
  </si>
  <si>
    <t>232850-7</t>
  </si>
  <si>
    <t>RESORTE DE TORSION 10 / VARIOS</t>
  </si>
  <si>
    <t>RESORTE COMPRESION 8 / PS001G</t>
  </si>
  <si>
    <t>RESORTE TORSION 13 / PS001G</t>
  </si>
  <si>
    <t>RESORTE COMPRESION 12 / HM1800</t>
  </si>
  <si>
    <t>RESORTE COMPRESION 7 / UNIVERSAL</t>
  </si>
  <si>
    <t>233477-6</t>
  </si>
  <si>
    <t>RESORTE COMPRESION HELICOIDAL</t>
  </si>
  <si>
    <t>RESORTE ANILLO 21 / HR2810</t>
  </si>
  <si>
    <t>233957-2</t>
  </si>
  <si>
    <t>RESORTE 16 P/ GA5020 (234356-1)</t>
  </si>
  <si>
    <t>RESORTE ANILLO 59 / VARIOS</t>
  </si>
  <si>
    <t>CONTRAPESO / SJ401</t>
  </si>
  <si>
    <t>VENTILADOR 76 / HM0870 - HM0871</t>
  </si>
  <si>
    <t>240258-1</t>
  </si>
  <si>
    <t>VENTILADOR 149 P/ UB403MP</t>
  </si>
  <si>
    <t>240265-4</t>
  </si>
  <si>
    <t>VENTILADOR 160 / UB003G</t>
  </si>
  <si>
    <t>VENTILADOR 68 / VARIOS</t>
  </si>
  <si>
    <t>VENTILADOR 72 / 3620</t>
  </si>
  <si>
    <t>TORNILLO CON TOPE 5X15 / UNIVERSAL</t>
  </si>
  <si>
    <t>TORNILLO AUTORROSCANTE 5X30 / UNIVERSAL</t>
  </si>
  <si>
    <t>PERNO HEXAGONAL M8X75 / UNIVERSAL</t>
  </si>
  <si>
    <t>251896-4</t>
  </si>
  <si>
    <t>TUERCA HEXAGONAL 8MX14 / UNIVERSAL</t>
  </si>
  <si>
    <t>TUERCA HEXAGONAL 8MX13/ UNIVERSAL</t>
  </si>
  <si>
    <t>TUERCA HEXAGONAL 4MX7 / UNIVERSAL</t>
  </si>
  <si>
    <t>TUERCA HEXAGONAL 8M / UNIVERSAL</t>
  </si>
  <si>
    <t>TUERCA HEXAGONAL 10MX17 / UNIVERSAL</t>
  </si>
  <si>
    <t>TUERCA HEXAGONAL 4X16M / UNIVERSAL</t>
  </si>
  <si>
    <t>252321-8</t>
  </si>
  <si>
    <t>PERILLA M8 / VARIOS</t>
  </si>
  <si>
    <t>TUERCA HEXAGONAL 6M / UNIVERSAL</t>
  </si>
  <si>
    <t>252360-8</t>
  </si>
  <si>
    <t>ARANDELA PLANA 6M / UNIVERSAL</t>
  </si>
  <si>
    <t>253578-4</t>
  </si>
  <si>
    <t>253612-0</t>
  </si>
  <si>
    <t>ARANDELA PLANA 12M / UNIVERSAL</t>
  </si>
  <si>
    <t>253794-8</t>
  </si>
  <si>
    <t>GOLILLA P/HM1303B</t>
  </si>
  <si>
    <t>PASADOR TRABA 4M / UNIVERSAL</t>
  </si>
  <si>
    <t>ANILLO METAL 20 /VARIOS</t>
  </si>
  <si>
    <t>257250-0</t>
  </si>
  <si>
    <t>257268-1</t>
  </si>
  <si>
    <t>ANILLO 33 P/HR4001C</t>
  </si>
  <si>
    <t>ANILLO METAL 45 /VARIOS</t>
  </si>
  <si>
    <t>ARANDELA METALICA 23 /HR5212C</t>
  </si>
  <si>
    <t>BOCINA ACERO 5 /VARIOS</t>
  </si>
  <si>
    <t>257494-2</t>
  </si>
  <si>
    <t>ARANDELA 8 / DGP180</t>
  </si>
  <si>
    <t>BOCINA ACERO 8 /VARIOS</t>
  </si>
  <si>
    <t>BOCINA ACERO 6 /PS001G</t>
  </si>
  <si>
    <t>259093-6</t>
  </si>
  <si>
    <t>ARANDELA URETANO 8 / FS2200 FS2700</t>
  </si>
  <si>
    <t>262068-6</t>
  </si>
  <si>
    <t>ANILLO URETANO 59 /VARIOS</t>
  </si>
  <si>
    <t>ANILLO URETANO 57 /VARIOS</t>
  </si>
  <si>
    <t>ANILLO URETANO 32 /VARIOS</t>
  </si>
  <si>
    <t>ANILLO GOMA 24 /VARIOS</t>
  </si>
  <si>
    <t>262543-2</t>
  </si>
  <si>
    <t>ANILLO URETANO 50 /VARIOS</t>
  </si>
  <si>
    <t>262547-4</t>
  </si>
  <si>
    <t>ANILLO DE FIELTRO 20 / 9046</t>
  </si>
  <si>
    <t>TOPE DE GOMA /VARIOS</t>
  </si>
  <si>
    <t>TUERCA HEXAGONAL 8MX13 / UNIVERSAL</t>
  </si>
  <si>
    <t>TUERCA CUADRADA 5M /UNIVERSAL</t>
  </si>
  <si>
    <t>TORNILLO CABEZA AVELLANADA 6MX20/UNIVERSAL</t>
  </si>
  <si>
    <t>TORNILLO CABEZA AVELLANADA 5MX8/UNIVERSAL</t>
  </si>
  <si>
    <t>TORNILLO CABEZA AVELLANADA 4MX16/UNIVERSAL</t>
  </si>
  <si>
    <t>PERNO SOCKET 6MX8M /UNIVERSAL</t>
  </si>
  <si>
    <t>PERNO SOCKET 5MX16M /UNIVERSAL</t>
  </si>
  <si>
    <t>265580-5</t>
  </si>
  <si>
    <t>PERNO HEXAGONAL M8X120 P78419B/8422</t>
  </si>
  <si>
    <t>PERNO SOCKET 6MX30M /UNIVERSAL</t>
  </si>
  <si>
    <t>TORNILLO AUTORROSCANTE 4X18 / UNIVERSAL</t>
  </si>
  <si>
    <t>TORNILLO MARIPOSA 5MX10 /UNIVERSAL</t>
  </si>
  <si>
    <t>265908-7</t>
  </si>
  <si>
    <t>PERNO HM1810</t>
  </si>
  <si>
    <t>PERNO SOCKET 12MX45M /UNIVERSAL</t>
  </si>
  <si>
    <t>PERNO PRISIONERO 5MX20/ UNIVERSAL</t>
  </si>
  <si>
    <t>PERNO SOCKET 8MX20M /UNIVERSAL</t>
  </si>
  <si>
    <t>PERNO HEXAGONAL M10X95 / UNIVERSAL</t>
  </si>
  <si>
    <t>PERNO SOCKET 10MX50M /UNIVERSAL</t>
  </si>
  <si>
    <t>TORNILLO MARIPOSA 6MX27 /UNIVERSAL</t>
  </si>
  <si>
    <t>265C56-0</t>
  </si>
  <si>
    <t>PERNO HEXAGONAL M10 / UNIVERSAL</t>
  </si>
  <si>
    <t>265D07-9</t>
  </si>
  <si>
    <t>PERNO HEXAGONAL M8X150M / UNIVERSAL</t>
  </si>
  <si>
    <t>265E30-0</t>
  </si>
  <si>
    <t>265E38-4</t>
  </si>
  <si>
    <t>TORNILLO DE CABEZA SEGMENTADA M3X12</t>
  </si>
  <si>
    <t>PERNO PRISIONERO 8MX10/ UNIVERSAL</t>
  </si>
  <si>
    <t>PERNO COCHE 8MX28M/ UNIVERSAL</t>
  </si>
  <si>
    <t>PERNO SOCKET 10MX40M /UNIVERSAL</t>
  </si>
  <si>
    <t>PERNO SOCKET 8MX35M /UNIVERSAL</t>
  </si>
  <si>
    <t>PERNO SOCKET 6MX18M /UNIVERSAL</t>
  </si>
  <si>
    <t>PERNO HEXAGONAL 10X122M / VARIOS</t>
  </si>
  <si>
    <t>266320-4</t>
  </si>
  <si>
    <t>PERNO CUADRADO 8MX80M / VARIOS</t>
  </si>
  <si>
    <t>PERNO COCHE 6MX16M/ UNIVERSAL</t>
  </si>
  <si>
    <t>TORNILLO AUTORROSCANTE 3X60 / UNIVERSAL</t>
  </si>
  <si>
    <t>TORNILLO AUTORROSCANTE 3X6 / UNIVERSAL</t>
  </si>
  <si>
    <t>PERNO HEXAGONAL 8M / VARIOS</t>
  </si>
  <si>
    <t>PERNO SOCKET 5MX8M /UNIVERSAL</t>
  </si>
  <si>
    <t>TORNILLO TORX AUTORROSCANTE 5.5MX20M / UNIVERSAL</t>
  </si>
  <si>
    <t>TORNILLO TORX 5MX20M / UNIVERSAL</t>
  </si>
  <si>
    <t>TORNILLO TORX AVELLANADO 5MX12M / UNIVERSAL</t>
  </si>
  <si>
    <t>TORNILLO 6MX14M / UNIVERSAL</t>
  </si>
  <si>
    <t>TORNILLO 6MX4M /VARIOS</t>
  </si>
  <si>
    <t>TORNILLO 5MX8M /VARIOS</t>
  </si>
  <si>
    <t>PERNO SOCKET 5MX33M /UNIVERSAL</t>
  </si>
  <si>
    <t>PERNO SOCKET 5MX30M /UNIVERSAL</t>
  </si>
  <si>
    <t>TORNILLO TORX 5MX10M / UNIVERSAL</t>
  </si>
  <si>
    <t>TORNILLO 4MX8M /VARIOS</t>
  </si>
  <si>
    <t>TORNILLO 5MX12M /VARIOS</t>
  </si>
  <si>
    <t>TORNILLO TORX AUTORROSCANTE 5.5MX45M / UNIVERSAL</t>
  </si>
  <si>
    <t>PERNO HEXAGONAL M8 / UNIVERSAL</t>
  </si>
  <si>
    <t>PERNO SOCKET 8MX25M /UNIVERSAL</t>
  </si>
  <si>
    <t>TORNILLO DE TENSION M6 /VARIOS</t>
  </si>
  <si>
    <t>TORNILLO TORX 6MX20M / UNIVERSAL</t>
  </si>
  <si>
    <t>TORNILLO MARIPOSA 8MX35M /UNIVERSAL</t>
  </si>
  <si>
    <t>PERNO HEXAGONAL M10X25M / UNIVERSAL</t>
  </si>
  <si>
    <t>PERNO HEXAGONAL M6X16M / UNIVERSAL</t>
  </si>
  <si>
    <t>PERNO HEXAGONAL M8X24M / UNIVERSAL</t>
  </si>
  <si>
    <t>PERNO HEXAGONAL M6X18M / UNIVERSAL</t>
  </si>
  <si>
    <t>267146-7</t>
  </si>
  <si>
    <t>ANILLO METAL 58 P/1302</t>
  </si>
  <si>
    <t>ARANDELA PLANA 7 /UNIVERSAL</t>
  </si>
  <si>
    <t>267336-2</t>
  </si>
  <si>
    <t>ARANDELA PLANA 45 P/HR4011C</t>
  </si>
  <si>
    <t>ARANDELA ONDULADA 15 /VARIOS</t>
  </si>
  <si>
    <t>267735-8</t>
  </si>
  <si>
    <t>BOCINA 45 / VARIOS</t>
  </si>
  <si>
    <t>271070-8</t>
  </si>
  <si>
    <t>PERILLA / VARIOS</t>
  </si>
  <si>
    <t>27733501H3</t>
  </si>
  <si>
    <t>RETEN / VARIOS</t>
  </si>
  <si>
    <t>310056-8</t>
  </si>
  <si>
    <t>REGULADOR / AN611 - AN901</t>
  </si>
  <si>
    <t>PORTAHERRAMIENTA / VARIOS</t>
  </si>
  <si>
    <t>PLACA DE BLOQUEO / DHR182</t>
  </si>
  <si>
    <t>GUARDA MOVIL / HS012G</t>
  </si>
  <si>
    <t>312F00-7</t>
  </si>
  <si>
    <t>MARCO / PS001G</t>
  </si>
  <si>
    <t>GUARDA MOVIL / HS013G</t>
  </si>
  <si>
    <t>312J32-8</t>
  </si>
  <si>
    <t>CILINDRO PISTON / HR011G - HR012G</t>
  </si>
  <si>
    <t>PLACA ACCIONADOR DE ACC / VARIOS</t>
  </si>
  <si>
    <t>313278-9</t>
  </si>
  <si>
    <t>BASE DE GANCHO / HR2641</t>
  </si>
  <si>
    <t>313316-7</t>
  </si>
  <si>
    <t>GUIA DEL EJE DESLIZADOR / JR3061T</t>
  </si>
  <si>
    <t>313354-9</t>
  </si>
  <si>
    <t>313436-7</t>
  </si>
  <si>
    <t>ESPACIADOR</t>
  </si>
  <si>
    <t>EQUILIBRADOR / BO007CG</t>
  </si>
  <si>
    <t>313593-1</t>
  </si>
  <si>
    <t>PLACA CENTRAL / DBN620</t>
  </si>
  <si>
    <t>313606-8</t>
  </si>
  <si>
    <t>GUIA DE CORTE / TR001G</t>
  </si>
  <si>
    <t>313610-7</t>
  </si>
  <si>
    <t>GUIA DE RESORTE / TR001G</t>
  </si>
  <si>
    <t>313613-1</t>
  </si>
  <si>
    <t>DOBLADOR DE ALAMBRE</t>
  </si>
  <si>
    <t>313672-5</t>
  </si>
  <si>
    <t>315131020</t>
  </si>
  <si>
    <t>JUNTA</t>
  </si>
  <si>
    <t>GUARDA MOVIL / LC1230</t>
  </si>
  <si>
    <t>317285-4</t>
  </si>
  <si>
    <t>BASE BO3700</t>
  </si>
  <si>
    <t>317389-2</t>
  </si>
  <si>
    <t>CAJA DE ENGRANJE / 9046</t>
  </si>
  <si>
    <t>317663-8</t>
  </si>
  <si>
    <t>CAJA ENGRANAJES</t>
  </si>
  <si>
    <t>317902-6</t>
  </si>
  <si>
    <t>BARREL / VARIOS</t>
  </si>
  <si>
    <t>BASE DELANTERA / M1901 - MKP082</t>
  </si>
  <si>
    <t>BASE INFERIOR / VARIOS</t>
  </si>
  <si>
    <t>SUJETADOR DE TROQUEL / VARIOS</t>
  </si>
  <si>
    <t>323910-7</t>
  </si>
  <si>
    <t>GOLPEADOR / HM1202C</t>
  </si>
  <si>
    <t>PORTAHERRAMIENTA / HR3000C</t>
  </si>
  <si>
    <t>323928-8</t>
  </si>
  <si>
    <t>TAMBOR PORTACUCHILLAS / 2012NB</t>
  </si>
  <si>
    <t>PORTAHERRAMIENTA / HM1202C</t>
  </si>
  <si>
    <t>ANILLO DE TRABA / HM1202C</t>
  </si>
  <si>
    <t>PALANCA DE RETENCION / VARIOS</t>
  </si>
  <si>
    <t>324290-4</t>
  </si>
  <si>
    <t>EJE 6824N</t>
  </si>
  <si>
    <t>PORTAHERRAMIENTA / HM1801 - HM1810</t>
  </si>
  <si>
    <t>PASADOR DE BLOQUEO / VARIOS</t>
  </si>
  <si>
    <t>325318-1</t>
  </si>
  <si>
    <t>MARTILLO / 6906</t>
  </si>
  <si>
    <t>EJE 270J / FS2700</t>
  </si>
  <si>
    <t>GOLPEADOR / HM1213C - HM1203C</t>
  </si>
  <si>
    <t>CONTRAPESO / VARIOS</t>
  </si>
  <si>
    <t>PORTAHERRAMIENTA A / HR5212C - HR5202C</t>
  </si>
  <si>
    <t>PESO DE EQUILIBRIO INFERIOR / VARIOS</t>
  </si>
  <si>
    <t>PASADOR 9-418 / VARIOS</t>
  </si>
  <si>
    <t>327177-9</t>
  </si>
  <si>
    <t>PERNO DE IMPACTO / HR5212C - HR5202C</t>
  </si>
  <si>
    <t>327415-9</t>
  </si>
  <si>
    <t>327609-6</t>
  </si>
  <si>
    <t>TUBO 28 / DUA301 - UA004G</t>
  </si>
  <si>
    <t>CONTRAPESO / HM1511 - HM1512</t>
  </si>
  <si>
    <t>CIGUEÑAL 18.5 / HM001G</t>
  </si>
  <si>
    <t>PORTAHERRAMIENTA A / HR006G</t>
  </si>
  <si>
    <t>PORTAHERRAMIENTA / HM001G</t>
  </si>
  <si>
    <t>327900-2</t>
  </si>
  <si>
    <t>PORTAHERRAMIENTA ESPECIAL / HR5212C - HR5202C</t>
  </si>
  <si>
    <t>327932-9</t>
  </si>
  <si>
    <t>MANGO DELANTERO / UC016G - UC012G</t>
  </si>
  <si>
    <t>EJE / TD002G</t>
  </si>
  <si>
    <t>MARTILLO / TD002G</t>
  </si>
  <si>
    <t>EMBRAGUE / DHR183</t>
  </si>
  <si>
    <t>327C06-4</t>
  </si>
  <si>
    <t>HUSILLO</t>
  </si>
  <si>
    <t>327C07-2</t>
  </si>
  <si>
    <t>MANIVELA</t>
  </si>
  <si>
    <t>DESCOMPRESOR / VARIOS</t>
  </si>
  <si>
    <t>CILINDRO PISTON / HR2670</t>
  </si>
  <si>
    <t>TUBO C / DUA200</t>
  </si>
  <si>
    <t>327E07-4</t>
  </si>
  <si>
    <t>TUBO 28 / PS001G</t>
  </si>
  <si>
    <t>ALAMBRE DE TIERRA / BO007CG</t>
  </si>
  <si>
    <t>MARTILLO / TD004G</t>
  </si>
  <si>
    <t>327E57-9</t>
  </si>
  <si>
    <t>327E98-5</t>
  </si>
  <si>
    <t>327F45-2</t>
  </si>
  <si>
    <t>UNIÓN A</t>
  </si>
  <si>
    <t>327F66-4</t>
  </si>
  <si>
    <t>327F70-3</t>
  </si>
  <si>
    <t>GOLPEADOR / HR011G - HR012G</t>
  </si>
  <si>
    <t>327F71-1</t>
  </si>
  <si>
    <t>PERNO DE IMPACTO / HR011G</t>
  </si>
  <si>
    <t>327F73-7</t>
  </si>
  <si>
    <t>327F77-9</t>
  </si>
  <si>
    <t>EMBRAGUE / HR011G - HR012G</t>
  </si>
  <si>
    <t>327F92-3</t>
  </si>
  <si>
    <t>331194-3</t>
  </si>
  <si>
    <t>SUPLE P/HM0810</t>
  </si>
  <si>
    <t>331416-1</t>
  </si>
  <si>
    <t>DISTANCIADOR 25 P/HM1810</t>
  </si>
  <si>
    <t>331531-1</t>
  </si>
  <si>
    <t>ANILLO HR5001C</t>
  </si>
  <si>
    <t>331707-0</t>
  </si>
  <si>
    <t>ENGRANAJE RECTO 46 P/ DHR165</t>
  </si>
  <si>
    <t>CILINDRO 40 / HM1213C - HM1203C</t>
  </si>
  <si>
    <t>CILINDRO 40 / HR5212C - HR5202C</t>
  </si>
  <si>
    <t>341079-5</t>
  </si>
  <si>
    <t>PLACA PERFORADA / 9401</t>
  </si>
  <si>
    <t>341601-8</t>
  </si>
  <si>
    <t>PLACA P/1002BA</t>
  </si>
  <si>
    <t>PUNTERO / 2012NB</t>
  </si>
  <si>
    <t>344419-6</t>
  </si>
  <si>
    <t>TRABADOR DE EJE / HS013G</t>
  </si>
  <si>
    <t>PLACA DE TOPE / 4131 - CS002G</t>
  </si>
  <si>
    <t>345399-9</t>
  </si>
  <si>
    <t>CARCAZA P/ HP1640</t>
  </si>
  <si>
    <t>345744-8</t>
  </si>
  <si>
    <t>PLACA DE TUERCA / VARIOS</t>
  </si>
  <si>
    <t>PLACA DE METAL / N5900B</t>
  </si>
  <si>
    <t>PLACA DEL ENGRANAJE DE LEVA / VARIOS</t>
  </si>
  <si>
    <t>347027-2</t>
  </si>
  <si>
    <t>PLACA CENTRAL / DLS600 - LS002G</t>
  </si>
  <si>
    <t>TOPE / DPT353 - PT354</t>
  </si>
  <si>
    <t>PLACA GUIA / DH660 - DHS661</t>
  </si>
  <si>
    <t>347569-6</t>
  </si>
  <si>
    <t>PLACA GUIA / DUN500W - DUN600L</t>
  </si>
  <si>
    <t>TEMPLADOR DE CADENA / VARIOS</t>
  </si>
  <si>
    <t>ARANDELA DE SUJECION / VARIOS</t>
  </si>
  <si>
    <t>TRABADOR DEL EJE / DCC500 - DCC501</t>
  </si>
  <si>
    <t>347922-6</t>
  </si>
  <si>
    <t>347924-2</t>
  </si>
  <si>
    <t>DESLIZADOR / DJV184 - DJV185</t>
  </si>
  <si>
    <t>PLACA DE TENSAR CADENA / VARIOS</t>
  </si>
  <si>
    <t>347B49-4</t>
  </si>
  <si>
    <t>PLACA DEL LADO INFERIOR</t>
  </si>
  <si>
    <t>EMPUÑADURA C / BS001G</t>
  </si>
  <si>
    <t>347D29-2</t>
  </si>
  <si>
    <t>BASE DE CORTADORA</t>
  </si>
  <si>
    <t>347D30-7</t>
  </si>
  <si>
    <t>BASE DE TOPE</t>
  </si>
  <si>
    <t>347D34-9</t>
  </si>
  <si>
    <t>GUIA DE AMARRE C / TR001G</t>
  </si>
  <si>
    <t>347D38-1</t>
  </si>
  <si>
    <t>GUIA DE PLACA DESLIZANTE / TR001G</t>
  </si>
  <si>
    <t>LAMINA</t>
  </si>
  <si>
    <t>347E08-6</t>
  </si>
  <si>
    <t>PLACA DE CAMBIO A / HR011G - HR012G</t>
  </si>
  <si>
    <t>347E09-4</t>
  </si>
  <si>
    <t>PLACA DE CAMBIO B / HR011G - HR012G</t>
  </si>
  <si>
    <t>347E16-7</t>
  </si>
  <si>
    <t>347E17-5</t>
  </si>
  <si>
    <t>347E21-4</t>
  </si>
  <si>
    <t>347E26-4</t>
  </si>
  <si>
    <t>347E27-2</t>
  </si>
  <si>
    <t>CONTROLADOR / EG382</t>
  </si>
  <si>
    <t>VARILLA DE ESTARNGULAMIENTO</t>
  </si>
  <si>
    <t>DISPOSITIVO DE ARRAMQUE COMPLETO / VARIOS</t>
  </si>
  <si>
    <t>411594-4</t>
  </si>
  <si>
    <t>ZAPATA</t>
  </si>
  <si>
    <t>412573-5</t>
  </si>
  <si>
    <t>412754-1</t>
  </si>
  <si>
    <t>DISCO DE INTERRUPTOR / VARIOS</t>
  </si>
  <si>
    <t>412755-9</t>
  </si>
  <si>
    <t>PALANCA DE CONTROL / UB001</t>
  </si>
  <si>
    <t>412912-9</t>
  </si>
  <si>
    <t>PROTECTOR DE CUCHILLA 750 P/ DUH751Z</t>
  </si>
  <si>
    <t>4130H2-7</t>
  </si>
  <si>
    <t>CAJA MOTOR / HR2670</t>
  </si>
  <si>
    <t>CUBIERTA TRASERA / HR2670</t>
  </si>
  <si>
    <t>CUBIERTA DE RODILLO / BS001G</t>
  </si>
  <si>
    <t>CUBIERTA DE CORREA /BS001G</t>
  </si>
  <si>
    <t>CUBIERTA DERECHA / DUA200</t>
  </si>
  <si>
    <t>PALANCA DEL INTERRUPTOR / DUA200</t>
  </si>
  <si>
    <t>4130S1A6-SAMPLE</t>
  </si>
  <si>
    <t>CUBIERTA INFERIOR</t>
  </si>
  <si>
    <t>4130S3A2-SAMPLE</t>
  </si>
  <si>
    <t>CARRETE</t>
  </si>
  <si>
    <t>4130U7-8</t>
  </si>
  <si>
    <t>ANILLO DESLIZANTE / VARIOS</t>
  </si>
  <si>
    <t>4130X6-1</t>
  </si>
  <si>
    <t>ADAPTADOR / PS001G</t>
  </si>
  <si>
    <t>MANGO DELANTERO / PS001G</t>
  </si>
  <si>
    <t>CUBIERTA DEL GANCHO / PS001G</t>
  </si>
  <si>
    <t>GANCHO A / PS001G</t>
  </si>
  <si>
    <t>GANCHO B / PS001G</t>
  </si>
  <si>
    <t>PALANCA DEL INTERRUPTOR A / TM001G</t>
  </si>
  <si>
    <t>CAJA MOTOR / HS013G</t>
  </si>
  <si>
    <t>MANGO DELANTERO / HS013G</t>
  </si>
  <si>
    <t>PALANCA DE PROFUNDIDAD / HS013G</t>
  </si>
  <si>
    <t>CUBIERTA DERECHA / UC029G</t>
  </si>
  <si>
    <t>CUBIERTA TRASERA / TD004G</t>
  </si>
  <si>
    <t>4131T2-7-SAMPLE</t>
  </si>
  <si>
    <t>BANDA</t>
  </si>
  <si>
    <t>4131T9-3</t>
  </si>
  <si>
    <t>BLOQUEO DE LA CUBIERTA DEL CARTUCHO</t>
  </si>
  <si>
    <t>4131W9-4</t>
  </si>
  <si>
    <t>4131X0-9</t>
  </si>
  <si>
    <t>4131X4-1</t>
  </si>
  <si>
    <t>4131X7-5</t>
  </si>
  <si>
    <t>COPA DE AJUSTE / VARIOS</t>
  </si>
  <si>
    <t>4132A0-4</t>
  </si>
  <si>
    <t>ADAPTADOR P/ UB403MP</t>
  </si>
  <si>
    <t>4132A2-0</t>
  </si>
  <si>
    <t>PALANCA DE CAMBIO / DDF490 - DHP490</t>
  </si>
  <si>
    <t>4132F2-5</t>
  </si>
  <si>
    <t>4132W4-0</t>
  </si>
  <si>
    <t>4132W8-2</t>
  </si>
  <si>
    <t>TAPA AISLANTE P/ GD002G</t>
  </si>
  <si>
    <t>BOTON DE BLOQUEO / GA7070 - GA9070</t>
  </si>
  <si>
    <t>4133E9-0</t>
  </si>
  <si>
    <t>CUBIERTA INFERIOR DEL CABEZAL / DTM53</t>
  </si>
  <si>
    <t>4133F1-3</t>
  </si>
  <si>
    <t>PALANCA DEL INTERRUPTOR / DTM53</t>
  </si>
  <si>
    <t>4133F2-1</t>
  </si>
  <si>
    <t>PERILLA DEL INTERRUPTOR / DTM53</t>
  </si>
  <si>
    <t>4133F4-7</t>
  </si>
  <si>
    <t>CUBIERTA DE CABEZAL / DTM53</t>
  </si>
  <si>
    <t>4133G0-2</t>
  </si>
  <si>
    <t>4133G1-0</t>
  </si>
  <si>
    <t>4133G5-2</t>
  </si>
  <si>
    <t>4133H0-9</t>
  </si>
  <si>
    <t>4133H5-9</t>
  </si>
  <si>
    <t>4133N0-1</t>
  </si>
  <si>
    <t>MANGO IZQUIERDO / UB003G</t>
  </si>
  <si>
    <t>4133N3-5</t>
  </si>
  <si>
    <t>4133P3-9</t>
  </si>
  <si>
    <t>CUBIERTA DEL VENTILADOR / UB003G</t>
  </si>
  <si>
    <t>4133T0-3</t>
  </si>
  <si>
    <t>4133T1-1</t>
  </si>
  <si>
    <t>4133U1-8</t>
  </si>
  <si>
    <t>GUIA DE LUZ LED / DTM52 - TM001G</t>
  </si>
  <si>
    <t>4134A3-0</t>
  </si>
  <si>
    <t>PALANCA DE FRENO / DUC258</t>
  </si>
  <si>
    <t>4134A4-8</t>
  </si>
  <si>
    <t>4134A7-2</t>
  </si>
  <si>
    <t>MANGO LATERAL / DUC258</t>
  </si>
  <si>
    <t>CAJA MOTOR / HP2070F</t>
  </si>
  <si>
    <t>DUCTO DE AIRE / HR007G</t>
  </si>
  <si>
    <t>413C95-6</t>
  </si>
  <si>
    <t>413D96-0</t>
  </si>
  <si>
    <t>413F24-7</t>
  </si>
  <si>
    <t>413F25-5</t>
  </si>
  <si>
    <t>413F28-9</t>
  </si>
  <si>
    <t>413F29-7</t>
  </si>
  <si>
    <t>TAPA DE LA CUBIERTA / DUC407; UC016G</t>
  </si>
  <si>
    <t>413G96-8</t>
  </si>
  <si>
    <t>ENLACE DEL INTERRUPTOR / VARIOS</t>
  </si>
  <si>
    <t>413J86-9</t>
  </si>
  <si>
    <t>PLACA DEFLECTORA / VARIOS</t>
  </si>
  <si>
    <t>CUBIERTA DE CAJA DE ENGRANAJE / TD002G</t>
  </si>
  <si>
    <t>CUBIERTA DERECHA / VARIOS</t>
  </si>
  <si>
    <t>PROTECTOR MOVIL / DUC101 - UC100D</t>
  </si>
  <si>
    <t>413T68-1</t>
  </si>
  <si>
    <t>PROTECTOR MOVIL / DUC150 - UC029G</t>
  </si>
  <si>
    <t>FALDON DELANTERO / VS001G</t>
  </si>
  <si>
    <t>FALDON LATERAL DERECHO / VS001G</t>
  </si>
  <si>
    <t>FALDON LATERAL IZQUIERDO / VS001G</t>
  </si>
  <si>
    <t>FALDON TRASERO / VS001G</t>
  </si>
  <si>
    <t>LLANTA TRASERA / VS001G</t>
  </si>
  <si>
    <t>EMPUÑADURA B / VS001G</t>
  </si>
  <si>
    <t>SELECTOR DEL INTERRUPTOR / VS001G</t>
  </si>
  <si>
    <t>CUBIERTA DE BATERIA / VS001G</t>
  </si>
  <si>
    <t>PESTILLO / VS001G</t>
  </si>
  <si>
    <t>SELECTOR DE ESCOBILLA / VS001G</t>
  </si>
  <si>
    <t>413U97-0</t>
  </si>
  <si>
    <t>413X92-8</t>
  </si>
  <si>
    <t>PALANCA INTERRUPTORA</t>
  </si>
  <si>
    <t>413X98-6</t>
  </si>
  <si>
    <t>413X99-4</t>
  </si>
  <si>
    <t>413Y02-1</t>
  </si>
  <si>
    <t>413Y06-3</t>
  </si>
  <si>
    <t>PALANCA</t>
  </si>
  <si>
    <t>413Y07-1</t>
  </si>
  <si>
    <t>413Y19-4</t>
  </si>
  <si>
    <t>416357-3</t>
  </si>
  <si>
    <t>INTERRUPTOR DE NIVEL P/LF1000</t>
  </si>
  <si>
    <t>SOPORTE DE EMPUÑADURA / VARIOS</t>
  </si>
  <si>
    <t>BOTON DE DESBLOQUEO / HS0600 - N5900B</t>
  </si>
  <si>
    <t>417911-6</t>
  </si>
  <si>
    <t>417981-5</t>
  </si>
  <si>
    <t>SOPORTE DEL PASADOR / HR3000</t>
  </si>
  <si>
    <t>418888-8</t>
  </si>
  <si>
    <t>PLACA DEFLECTORA / 5007NB</t>
  </si>
  <si>
    <t>419227-5</t>
  </si>
  <si>
    <t>419411-2</t>
  </si>
  <si>
    <t>419706-3</t>
  </si>
  <si>
    <t>PIE P/K0810</t>
  </si>
  <si>
    <t>421815-6</t>
  </si>
  <si>
    <t>MANGUERA 3-190 / VARIOS</t>
  </si>
  <si>
    <t>AMORTIGUADOR GOMA / VARIOS</t>
  </si>
  <si>
    <t>422823-0</t>
  </si>
  <si>
    <t>PATA</t>
  </si>
  <si>
    <t>422832-9</t>
  </si>
  <si>
    <t>422835-3</t>
  </si>
  <si>
    <t>422836-1</t>
  </si>
  <si>
    <t>422850-7</t>
  </si>
  <si>
    <t>SELLO / VC008G; VC009G</t>
  </si>
  <si>
    <t>422857-3</t>
  </si>
  <si>
    <t>LAMINA ESPONJA / TD002G</t>
  </si>
  <si>
    <t>LAMINA ESPONJA 62 / CL003G - DCL286</t>
  </si>
  <si>
    <t>422A12-3</t>
  </si>
  <si>
    <t>CUBIERTA CONTRA EL POLVO P/ GD002G</t>
  </si>
  <si>
    <t>422A36-9</t>
  </si>
  <si>
    <t>422A37-7</t>
  </si>
  <si>
    <t>GUARDA CONTRA POLVO</t>
  </si>
  <si>
    <t>422A55-5</t>
  </si>
  <si>
    <t>GOMA DE COJÍN / TW011G</t>
  </si>
  <si>
    <t>SELLO GOMA A / VS001G</t>
  </si>
  <si>
    <t>SELLO GOMA B / VS001G</t>
  </si>
  <si>
    <t>422A85-6</t>
  </si>
  <si>
    <t>422B44-6</t>
  </si>
  <si>
    <t>DUCTO ACEITE / DUA200</t>
  </si>
  <si>
    <t>422B85-2</t>
  </si>
  <si>
    <t>422B86-0</t>
  </si>
  <si>
    <t>PROTECTOR GOMA / PS001G</t>
  </si>
  <si>
    <t>EMPAQUETADURA / UC029G</t>
  </si>
  <si>
    <t>422C07-8</t>
  </si>
  <si>
    <t>422C08-6</t>
  </si>
  <si>
    <t>422C19-1</t>
  </si>
  <si>
    <t>422C25-6</t>
  </si>
  <si>
    <t>422C31-1</t>
  </si>
  <si>
    <t>422C82-4</t>
  </si>
  <si>
    <t>422D01-6</t>
  </si>
  <si>
    <t>422D02-4</t>
  </si>
  <si>
    <t>SELLO GOMA / VARIOS</t>
  </si>
  <si>
    <t>TAPA 28 / VARIOS</t>
  </si>
  <si>
    <t>TAPA CLAVIJA / VARIOS</t>
  </si>
  <si>
    <t>AMORTIGUADOR TANQUE / VARIOS</t>
  </si>
  <si>
    <t>424721-4</t>
  </si>
  <si>
    <t>ANILLO DE GOMA 115</t>
  </si>
  <si>
    <t>424978-7</t>
  </si>
  <si>
    <t>TOPE</t>
  </si>
  <si>
    <t>EMPAQUETADURA / FS2200 - FS2700</t>
  </si>
  <si>
    <t>EMPAQUETADURA CABEZAL / VARIOS</t>
  </si>
  <si>
    <t>EMPAQUETADURA CILINDRO / VARIOS</t>
  </si>
  <si>
    <t>CABLE ALTO VOLTAJE / VARIOS</t>
  </si>
  <si>
    <t>450029-0</t>
  </si>
  <si>
    <t>CLAVIJA GUIA / VARIOS</t>
  </si>
  <si>
    <t>450146-6</t>
  </si>
  <si>
    <t>CLAVIJA INTERRUPTOR / VARIOS</t>
  </si>
  <si>
    <t>450880-8</t>
  </si>
  <si>
    <t>CUVIERTA BARRIL / HM1213C</t>
  </si>
  <si>
    <t>451099-2</t>
  </si>
  <si>
    <t>SEPARADOR PLASTICO  7 / VARIOS</t>
  </si>
  <si>
    <t>451344-5</t>
  </si>
  <si>
    <t>CUBIERTA TRASERA DE AVT / HM1111C</t>
  </si>
  <si>
    <t>TAPA PASADOR / M0901</t>
  </si>
  <si>
    <t>453219-4</t>
  </si>
  <si>
    <t>MANGO / DPJ140 - DPJ180</t>
  </si>
  <si>
    <t>CUVIERTA TRASERA / GA4540 - GA5040</t>
  </si>
  <si>
    <t>CUERPOR MEZCLADOR / PM7650</t>
  </si>
  <si>
    <t>TAPON DE MANGUERA / PM7650H</t>
  </si>
  <si>
    <t>454742-2</t>
  </si>
  <si>
    <t>EMPUÑADURA DELANTERA / UC4051A - UC4551A</t>
  </si>
  <si>
    <t>GUIA AIRE / HS7600 - HS6600</t>
  </si>
  <si>
    <t>MANGO A / HM1802 - HM1812</t>
  </si>
  <si>
    <t>TAPA INFERIOR CARCAGOR / VARIOS</t>
  </si>
  <si>
    <t>CUVIERTA MANDRIL / VARIOS</t>
  </si>
  <si>
    <t>LIMITADOR PRESION / DHW080</t>
  </si>
  <si>
    <t>458671-1</t>
  </si>
  <si>
    <t>SELECTOR DE VELOCIDAD / DHP485 - DDF485</t>
  </si>
  <si>
    <t>CLAVIJA TOPE / DHR182</t>
  </si>
  <si>
    <t>458974-3</t>
  </si>
  <si>
    <t>459282-5</t>
  </si>
  <si>
    <t>FILTRO ALTO RENDIMIENTO / DCL283</t>
  </si>
  <si>
    <t>459753-2</t>
  </si>
  <si>
    <t>ROTOR 240V / M9501</t>
  </si>
  <si>
    <t>ROTOR 220V / GA4540</t>
  </si>
  <si>
    <t>510601-1</t>
  </si>
  <si>
    <t>510604-5</t>
  </si>
  <si>
    <t>ROTOR 220V / HR2670</t>
  </si>
  <si>
    <t>ROTOR 220V / GA4600 - GA5100</t>
  </si>
  <si>
    <t>512758-4</t>
  </si>
  <si>
    <t>ROTOR P/JN3200</t>
  </si>
  <si>
    <t>513683-2</t>
  </si>
  <si>
    <t>INDUCIDO P/ KP0810</t>
  </si>
  <si>
    <t>513768-4</t>
  </si>
  <si>
    <t>ROTOR 220V / 4100NSX</t>
  </si>
  <si>
    <t>515158-7</t>
  </si>
  <si>
    <t>ROTOR 220V / 6802</t>
  </si>
  <si>
    <t>515504-4</t>
  </si>
  <si>
    <t>ROTOR 220V / 903</t>
  </si>
  <si>
    <t>515603-2</t>
  </si>
  <si>
    <t>ROTOR 220V / MDP201</t>
  </si>
  <si>
    <t>516083-5</t>
  </si>
  <si>
    <t>ROTOR P/1911B</t>
  </si>
  <si>
    <t>516088-5</t>
  </si>
  <si>
    <t>ROTOR P/ 4100NB</t>
  </si>
  <si>
    <t>516703-1</t>
  </si>
  <si>
    <t>ROTOR HM1303B</t>
  </si>
  <si>
    <t>516868-9</t>
  </si>
  <si>
    <t>ROTOR 220V / 4112S - 4114S</t>
  </si>
  <si>
    <t>516888-3</t>
  </si>
  <si>
    <t>ROTOR 220-240V P/4112SH</t>
  </si>
  <si>
    <t>517308-0</t>
  </si>
  <si>
    <t>ROTOR 9526PB</t>
  </si>
  <si>
    <t>517323-4</t>
  </si>
  <si>
    <t>ROTOR P/ 6824N</t>
  </si>
  <si>
    <t>517478-5</t>
  </si>
  <si>
    <t>INDUCIDO P/ MDP302</t>
  </si>
  <si>
    <t>517503-2</t>
  </si>
  <si>
    <t>ROTOR 220V / 9521</t>
  </si>
  <si>
    <t>517633-9</t>
  </si>
  <si>
    <t>ROTOR 220V / MBO450</t>
  </si>
  <si>
    <t>517653-3</t>
  </si>
  <si>
    <t>ROTOR 220V / HR2300</t>
  </si>
  <si>
    <t>518161-7</t>
  </si>
  <si>
    <t>ROTOR 115V / PK5001</t>
  </si>
  <si>
    <t>519732-3</t>
  </si>
  <si>
    <t>ROTOR / UC016G</t>
  </si>
  <si>
    <t>ROTOR MAGNETICO / UR013G</t>
  </si>
  <si>
    <t>ROTOR MAGNETICO / UR016G</t>
  </si>
  <si>
    <t>ROTOR MAGNETICO / DJV185</t>
  </si>
  <si>
    <t>519847-6</t>
  </si>
  <si>
    <t>ROTOR MAGNETICO / DBN900</t>
  </si>
  <si>
    <t>ROTOR MAGNETICO / BS001G</t>
  </si>
  <si>
    <t>519865-4</t>
  </si>
  <si>
    <t>ROTOR MAGNETICO / PS001G</t>
  </si>
  <si>
    <t>ROTOR MAGNETICO / HS013G</t>
  </si>
  <si>
    <t>ROTOR MAGNETICO / BO007C</t>
  </si>
  <si>
    <t>519915-5</t>
  </si>
  <si>
    <t>519917-1</t>
  </si>
  <si>
    <t>MONTAJE DEL ROTOR P/ GD002G</t>
  </si>
  <si>
    <t>519922-8</t>
  </si>
  <si>
    <t>519923-6</t>
  </si>
  <si>
    <t>519929-4</t>
  </si>
  <si>
    <t>520039-2</t>
  </si>
  <si>
    <t>ESTATOR P/4100NB</t>
  </si>
  <si>
    <t>ESTATOR 36V / TW011G</t>
  </si>
  <si>
    <t>520211-6</t>
  </si>
  <si>
    <t>ESTATOR 18V / DUC258</t>
  </si>
  <si>
    <t>521628-6</t>
  </si>
  <si>
    <t>ESTATOR 9526PB</t>
  </si>
  <si>
    <t>522225-1</t>
  </si>
  <si>
    <t>ESTATOR 9218SB</t>
  </si>
  <si>
    <t>525748-8</t>
  </si>
  <si>
    <t>ESTATOR 220-240V P/KP0810</t>
  </si>
  <si>
    <t>525753-5</t>
  </si>
  <si>
    <t>ESTATOR 220V P/KP0810C</t>
  </si>
  <si>
    <t>529082-8</t>
  </si>
  <si>
    <t>ESTATOR MT811</t>
  </si>
  <si>
    <t>529D23-8</t>
  </si>
  <si>
    <t>INTERRUPTOR C3BC-01 / 6093</t>
  </si>
  <si>
    <t>EMPAQUE DIFRAGMA / RBL500</t>
  </si>
  <si>
    <t>590103-3</t>
  </si>
  <si>
    <t>ESTATOR 220V / UC4041A</t>
  </si>
  <si>
    <t>5921501000</t>
  </si>
  <si>
    <t>VALVULA DE BLOQUEO P/HR5211C</t>
  </si>
  <si>
    <t>5923502200</t>
  </si>
  <si>
    <t>AHOGADOR P/ EM4340</t>
  </si>
  <si>
    <t>5923502301</t>
  </si>
  <si>
    <t>5926016000</t>
  </si>
  <si>
    <t>BONETE DE TANQUE DE COMBUSTIBLE P/E</t>
  </si>
  <si>
    <t>5926500100</t>
  </si>
  <si>
    <t>EMPAQUETADURA P/MEM 425</t>
  </si>
  <si>
    <t>593178-1</t>
  </si>
  <si>
    <t>ESTATOR HP1320S</t>
  </si>
  <si>
    <t>593593-9</t>
  </si>
  <si>
    <t>596218-4</t>
  </si>
  <si>
    <t>ESTATOR 5007NH</t>
  </si>
  <si>
    <t>612798-3</t>
  </si>
  <si>
    <t>ROTOR PARA HR2510</t>
  </si>
  <si>
    <t>619415-6</t>
  </si>
  <si>
    <t>ROTOR / DTD155</t>
  </si>
  <si>
    <t>ROTOR MAGNETICO / BHR242</t>
  </si>
  <si>
    <t>619896-4</t>
  </si>
  <si>
    <t>619897-2</t>
  </si>
  <si>
    <t>619907-5</t>
  </si>
  <si>
    <t>619911-4</t>
  </si>
  <si>
    <t>619919-8</t>
  </si>
  <si>
    <t>619925-3</t>
  </si>
  <si>
    <t>620507-6</t>
  </si>
  <si>
    <t>620G72-7</t>
  </si>
  <si>
    <t>CONTROLADOR / DSS611</t>
  </si>
  <si>
    <t>620H42-2</t>
  </si>
  <si>
    <t>CONTROLADOR / DLS111</t>
  </si>
  <si>
    <t>REGULADOR DE VELOCIDAD / BS001G - HM001G</t>
  </si>
  <si>
    <t>620H75-7</t>
  </si>
  <si>
    <t>CONTROLADOR / TD002G</t>
  </si>
  <si>
    <t>620J54-7</t>
  </si>
  <si>
    <t>CONTROLADOR / DUH506 - DUH606</t>
  </si>
  <si>
    <t>CIRCUITO DE INTERRUPTOR / VS001G</t>
  </si>
  <si>
    <t>620J73-3</t>
  </si>
  <si>
    <t>620K13-7</t>
  </si>
  <si>
    <t>CONTROLADOR P/DGA455 - DGA505</t>
  </si>
  <si>
    <t>620K34-9</t>
  </si>
  <si>
    <t>620K68-2</t>
  </si>
  <si>
    <t>620L09-4</t>
  </si>
  <si>
    <t>CONTROLADOR B / DRT50</t>
  </si>
  <si>
    <t>CONTROLADOR / DCL283F</t>
  </si>
  <si>
    <t>CONTROLADOR / DHR183</t>
  </si>
  <si>
    <t>INTERRUPTOR / DJV185</t>
  </si>
  <si>
    <t>CONTROLADOR / DJV185</t>
  </si>
  <si>
    <t>CONTROLADOR / UR016G</t>
  </si>
  <si>
    <t>CONTROLADOR / DUC101 - DUC150</t>
  </si>
  <si>
    <t>CONTROLADOR / PS001G</t>
  </si>
  <si>
    <t>CONTROLADOR B / PS001G</t>
  </si>
  <si>
    <t>620N41-0</t>
  </si>
  <si>
    <t>620N42-8</t>
  </si>
  <si>
    <t>620N53-3</t>
  </si>
  <si>
    <t>CONTROLADOR B / DBS180 - DTM53</t>
  </si>
  <si>
    <t>620N68-0</t>
  </si>
  <si>
    <t>620N85-0</t>
  </si>
  <si>
    <t>CIRCUITO LED / TW002G - TW011G</t>
  </si>
  <si>
    <t>620N97-3</t>
  </si>
  <si>
    <t>620N99-9</t>
  </si>
  <si>
    <t>620P10-3</t>
  </si>
  <si>
    <t>620P20-0</t>
  </si>
  <si>
    <t>CONTROLADOR / DBN620</t>
  </si>
  <si>
    <t>CIRCUITO DE INTERRUPTOR / DBN900 - DBN901</t>
  </si>
  <si>
    <t>620P38-1</t>
  </si>
  <si>
    <t>CONTROLADOR / BS001G</t>
  </si>
  <si>
    <t>620P43-8</t>
  </si>
  <si>
    <t>CONTROLADOR / TM001G</t>
  </si>
  <si>
    <t>620P60-8</t>
  </si>
  <si>
    <t>620P94-1</t>
  </si>
  <si>
    <t>620P97-5</t>
  </si>
  <si>
    <t>CONTROLADOR / HS013G</t>
  </si>
  <si>
    <t>620R06-6</t>
  </si>
  <si>
    <t>CONTROLADOR / UC029G</t>
  </si>
  <si>
    <t>CONTROLADOR / TD004G</t>
  </si>
  <si>
    <t>CONTROLADOR / BO007CG</t>
  </si>
  <si>
    <t>620R29-4</t>
  </si>
  <si>
    <t>620R57-9</t>
  </si>
  <si>
    <t>CONTROLADOR / DTW1005</t>
  </si>
  <si>
    <t>620R91-9</t>
  </si>
  <si>
    <t>620R96-9</t>
  </si>
  <si>
    <t>CONTROLADOR / CL004G</t>
  </si>
  <si>
    <t>620R97-7</t>
  </si>
  <si>
    <t>620S08-8</t>
  </si>
  <si>
    <t>CONTROLADOR P/ GD002G</t>
  </si>
  <si>
    <t>620S09-6</t>
  </si>
  <si>
    <t>CIRCUITO DE DIAL P/ GD002G</t>
  </si>
  <si>
    <t>620S10-1</t>
  </si>
  <si>
    <t>CIRCUITO LED P/ GD002G</t>
  </si>
  <si>
    <t>620S12-7</t>
  </si>
  <si>
    <t>CIRCUITO LED / HR011G - HR012G</t>
  </si>
  <si>
    <t>620S22-4</t>
  </si>
  <si>
    <t>CIRCUITO DE INTERRUPTOR</t>
  </si>
  <si>
    <t>620S34-7</t>
  </si>
  <si>
    <t>620S35-5</t>
  </si>
  <si>
    <t>620S36-3</t>
  </si>
  <si>
    <t>620S44-4</t>
  </si>
  <si>
    <t>CONTROLADOR / DTM53</t>
  </si>
  <si>
    <t>620S52-5</t>
  </si>
  <si>
    <t>CONTROLADOR / UB003G</t>
  </si>
  <si>
    <t>620S58-3</t>
  </si>
  <si>
    <t>CONTROLADOR / DUC258</t>
  </si>
  <si>
    <t>620S81-8</t>
  </si>
  <si>
    <t>620T12-3</t>
  </si>
  <si>
    <t>CONTROLADOR / UH023G</t>
  </si>
  <si>
    <t>626043-0</t>
  </si>
  <si>
    <t>ESTATOR P/HM1303B</t>
  </si>
  <si>
    <t>626128-2</t>
  </si>
  <si>
    <t>ESTATOR 220V / 4112S - 4114S</t>
  </si>
  <si>
    <t>MOTOR DC 18V / VARIOS</t>
  </si>
  <si>
    <t>629B00-9</t>
  </si>
  <si>
    <t>ESTATOR 18V / DJV184</t>
  </si>
  <si>
    <t>629B72-4</t>
  </si>
  <si>
    <t>ESTATOR  / DRT50</t>
  </si>
  <si>
    <t>MOTOR COMPLETO / VARIOS</t>
  </si>
  <si>
    <t>ESTATOR 40V / UR013G</t>
  </si>
  <si>
    <t>ESTATOR 18V / DHR183</t>
  </si>
  <si>
    <t>629C35-6</t>
  </si>
  <si>
    <t>ESTATOR 40V / BO005G</t>
  </si>
  <si>
    <t>629C63-1</t>
  </si>
  <si>
    <t>629C70-4</t>
  </si>
  <si>
    <t>CONTROLADO Y ESTATOR / DBN900</t>
  </si>
  <si>
    <t>ESTATOR 40V / TM001G</t>
  </si>
  <si>
    <t>ESTATOR 40V / PS001G</t>
  </si>
  <si>
    <t>ESTATOR 40V / HS013G</t>
  </si>
  <si>
    <t>ESTATOR 40V / TD004G</t>
  </si>
  <si>
    <t>ESTATOR 40V / UC029G</t>
  </si>
  <si>
    <t>629C99-0</t>
  </si>
  <si>
    <t>629D06-9</t>
  </si>
  <si>
    <t>629D10-8</t>
  </si>
  <si>
    <t>629D11-6</t>
  </si>
  <si>
    <t>629D18-2</t>
  </si>
  <si>
    <t>629D24-7</t>
  </si>
  <si>
    <t>629D39-4</t>
  </si>
  <si>
    <t>629D40-9</t>
  </si>
  <si>
    <t>629D50-6</t>
  </si>
  <si>
    <t>ESTATOR 40V / UB003G</t>
  </si>
  <si>
    <t>629D51-4</t>
  </si>
  <si>
    <t>ESTATOR 40V / UH023G</t>
  </si>
  <si>
    <t>629D58-0</t>
  </si>
  <si>
    <t>ESTATOR 18V / DTM53</t>
  </si>
  <si>
    <t>630E23-0</t>
  </si>
  <si>
    <t>ADAPTADOR CON CABLE / DUP180</t>
  </si>
  <si>
    <t>631267-5</t>
  </si>
  <si>
    <t>CONTROL 4323</t>
  </si>
  <si>
    <t>631590-8</t>
  </si>
  <si>
    <t>CONTROL PARA HR4000C</t>
  </si>
  <si>
    <t>631737-4</t>
  </si>
  <si>
    <t>CONTROLADOR P/KPO810C</t>
  </si>
  <si>
    <t>631777-2</t>
  </si>
  <si>
    <t>CONTROLADOR P/4327/4329</t>
  </si>
  <si>
    <t>SOPORTE ESTATOR / 9046</t>
  </si>
  <si>
    <t>632P76-1</t>
  </si>
  <si>
    <t>TERMINAL / UR016G - UR017G</t>
  </si>
  <si>
    <t>632T07-4</t>
  </si>
  <si>
    <t>632T50-3</t>
  </si>
  <si>
    <t>MICROINTERRUPTOR / VARIOS</t>
  </si>
  <si>
    <t>632V08-4</t>
  </si>
  <si>
    <t>INTERRUPTOR DE PRESION / HW001G</t>
  </si>
  <si>
    <t>632V23-8</t>
  </si>
  <si>
    <t>632V43-2</t>
  </si>
  <si>
    <t>UNIDAD DE INTERRUPTOR</t>
  </si>
  <si>
    <t>632V44-0</t>
  </si>
  <si>
    <t>MICROINTERRUPTOR / UN001G</t>
  </si>
  <si>
    <t>632V61-0</t>
  </si>
  <si>
    <t>MICROINTERRUPTOR / BS001G</t>
  </si>
  <si>
    <t>MICROINTERRUPTOR / PS001G</t>
  </si>
  <si>
    <t>INTERRUPTOR / UC029G</t>
  </si>
  <si>
    <t>632W19-5</t>
  </si>
  <si>
    <t>632W36-5</t>
  </si>
  <si>
    <t>INTERRUPTOR / DJV186</t>
  </si>
  <si>
    <t>632W57-7</t>
  </si>
  <si>
    <t>632W63-2</t>
  </si>
  <si>
    <t>632W66-6</t>
  </si>
  <si>
    <t>632W77-1</t>
  </si>
  <si>
    <t>632W78-9</t>
  </si>
  <si>
    <t>632W81-0</t>
  </si>
  <si>
    <t>632W82-8</t>
  </si>
  <si>
    <t>632W87-8</t>
  </si>
  <si>
    <t>PORTACARBON / BHR240</t>
  </si>
  <si>
    <t>PORTACARBON / VARIOS</t>
  </si>
  <si>
    <t>633408-9</t>
  </si>
  <si>
    <t>ESTATOR 4323</t>
  </si>
  <si>
    <t>633578-4</t>
  </si>
  <si>
    <t>ROTOR MT603 MDP301</t>
  </si>
  <si>
    <t>633658-6</t>
  </si>
  <si>
    <t>ESTATOR P/4327</t>
  </si>
  <si>
    <t>634298-3</t>
  </si>
  <si>
    <t>ESTATOR 220V HR4000C</t>
  </si>
  <si>
    <t>634483-8</t>
  </si>
  <si>
    <t>PORTACARBON / BHR242</t>
  </si>
  <si>
    <t>PORTACARBON / BHR243</t>
  </si>
  <si>
    <t>635013-8</t>
  </si>
  <si>
    <t>ESTATOR JN1601</t>
  </si>
  <si>
    <t>636058-9</t>
  </si>
  <si>
    <t>ESTATOR P/3612</t>
  </si>
  <si>
    <t>636103-0</t>
  </si>
  <si>
    <t>ESTATOR HM1302</t>
  </si>
  <si>
    <t>638143-4</t>
  </si>
  <si>
    <t>INTERRUPTOR P/6347D</t>
  </si>
  <si>
    <t>INTERRUPTOR / DF010D-DF012D</t>
  </si>
  <si>
    <t>PRINCIPAL / DA001G</t>
  </si>
  <si>
    <t>GUIA B / DUA200</t>
  </si>
  <si>
    <t>GUIA C / DUA200</t>
  </si>
  <si>
    <t>639094-4</t>
  </si>
  <si>
    <t>ESTATOR P/ HW1300</t>
  </si>
  <si>
    <t>TAPA CARBON / VARIOS</t>
  </si>
  <si>
    <t>TAPA DEL SUJETADOR P/ 4100NH2</t>
  </si>
  <si>
    <t>INTERRUPTOR / GA4600-GA5100</t>
  </si>
  <si>
    <t>650049-6</t>
  </si>
  <si>
    <t>650056-9</t>
  </si>
  <si>
    <t>650057-7</t>
  </si>
  <si>
    <t>INTERRUPTOR C3JR-5BM-PAND-2 / VARIOS</t>
  </si>
  <si>
    <t>650065-8</t>
  </si>
  <si>
    <t>650066-6</t>
  </si>
  <si>
    <t>650077-1</t>
  </si>
  <si>
    <t>650232-5</t>
  </si>
  <si>
    <t>650531-5</t>
  </si>
  <si>
    <t>INTERRUPTOR / DS4012</t>
  </si>
  <si>
    <t>651146-1</t>
  </si>
  <si>
    <t>INTERRUPTOR 9047</t>
  </si>
  <si>
    <t>651416-8</t>
  </si>
  <si>
    <t>INTERRUPTOR 3612</t>
  </si>
  <si>
    <t>651568-5</t>
  </si>
  <si>
    <t>INTERRUPTOR P/ 2703</t>
  </si>
  <si>
    <t>651989-1</t>
  </si>
  <si>
    <t>INTERRUPTOR P/6227D</t>
  </si>
  <si>
    <t>TORNILLO M2X6 / UNIVERSAL</t>
  </si>
  <si>
    <t>654588-8</t>
  </si>
  <si>
    <t>FAJA V / VARIOS</t>
  </si>
  <si>
    <t>687063-9</t>
  </si>
  <si>
    <t>ABRAZADERA CORDON (687123-7)</t>
  </si>
  <si>
    <t>SOPORTE DE ESTATOR / VARIOS</t>
  </si>
  <si>
    <t>RETENEDOR C / DUA200</t>
  </si>
  <si>
    <t>693930-8</t>
  </si>
  <si>
    <t>CORDON DE ALIMENTACION (667014-8) (693903-1)</t>
  </si>
  <si>
    <t>696304-2</t>
  </si>
  <si>
    <t>CABLE DE ALIMENTACION / UR016G</t>
  </si>
  <si>
    <t>CABLE DE ALIMENTACION / VS001G</t>
  </si>
  <si>
    <t>699239-6</t>
  </si>
  <si>
    <t>763266-0</t>
  </si>
  <si>
    <t>763269-4</t>
  </si>
  <si>
    <t>782034-2</t>
  </si>
  <si>
    <t>794187-5</t>
  </si>
  <si>
    <t>PLATO DE GOMA 4 (100MM)EJE 5/8</t>
  </si>
  <si>
    <t>8085F3-8</t>
  </si>
  <si>
    <t>ETIQUETA DE PRECAUCION / MLS100</t>
  </si>
  <si>
    <t>815088-5</t>
  </si>
  <si>
    <t>PLACA DE CARACTERISTICAS / 6906</t>
  </si>
  <si>
    <t>MALETIN MACKPAC TIPO 2 / VARIOS</t>
  </si>
  <si>
    <t>855024-9</t>
  </si>
  <si>
    <t>PLACA DE CARACTERISTICAS / HM1201</t>
  </si>
  <si>
    <t>TORNILLO / DCS6400</t>
  </si>
  <si>
    <t>EXTRACTOR DE ANILLO / VARIOS</t>
  </si>
  <si>
    <t>JUEGO REPACION DE CARBURADOR/ EA4301F</t>
  </si>
  <si>
    <t>TAPA DE BUJIA / DCS6400</t>
  </si>
  <si>
    <t>962102-9</t>
  </si>
  <si>
    <t>ANILLO DE RETENCIÓN (INT) R-22</t>
  </si>
  <si>
    <t>962301-3</t>
  </si>
  <si>
    <t>SEGURO R-62 P/HM1800</t>
  </si>
  <si>
    <t>ANILLO DE RETENCION R-72 / HR5001C</t>
  </si>
  <si>
    <t>963601240</t>
  </si>
  <si>
    <t>EMPAQUE DE CILINDRO/ DCS9010</t>
  </si>
  <si>
    <t>EMPAQUE DE MONOBLOC / EA4301F</t>
  </si>
  <si>
    <t>CABLE DE ACELERADOR / DCS9010</t>
  </si>
  <si>
    <t>MANUAL DE INSTRUCCIONES / VARIOS</t>
  </si>
  <si>
    <t>OQUILLA DE DESHIERBADO CON TAPA / US053D</t>
  </si>
  <si>
    <t>CUBIERTA DE INTERRUPTOR / GB602-GB801</t>
  </si>
  <si>
    <t>BRAZO DE PROTECTOR DERECHO / GB801 - GB601</t>
  </si>
  <si>
    <t>AL00000150</t>
  </si>
  <si>
    <t>ESTATOR P/GB801 (COD. AL00000190)</t>
  </si>
  <si>
    <t>BRIDA DEL MOTOR</t>
  </si>
  <si>
    <t>CE00000034</t>
  </si>
  <si>
    <t>CONTROLADOR / CW004G</t>
  </si>
  <si>
    <t>CE00000054</t>
  </si>
  <si>
    <t>VENTILADOR / CW004G</t>
  </si>
  <si>
    <t>CE00000127</t>
  </si>
  <si>
    <t>CONTROLADOR PRINCIPAL / CW004G</t>
  </si>
  <si>
    <t>CU00000009</t>
  </si>
  <si>
    <t>RUEDA</t>
  </si>
  <si>
    <t>CU00000048</t>
  </si>
  <si>
    <t>MANIJA PLEGABLE</t>
  </si>
  <si>
    <t>CU00000053</t>
  </si>
  <si>
    <t>PESTILLO DE BAJO PERFIL</t>
  </si>
  <si>
    <t>TUERCA HEXAGONAL / UNIVERSAL</t>
  </si>
  <si>
    <t>TUERCA HEXAGONAL M6 / UNIVERSAL</t>
  </si>
  <si>
    <t>PLACA FIJA DE RUEDA GUIA / PLM5113</t>
  </si>
  <si>
    <t>CUBIERTA DE LA CAJA DE ENGRANAJE / UT1600</t>
  </si>
  <si>
    <t>ANILLO DE RETENCION / UT1400 - UT1600</t>
  </si>
  <si>
    <t>CAJA MOTOR / UT1400-UT1401</t>
  </si>
  <si>
    <t>GM00001291</t>
  </si>
  <si>
    <t>MEMBRANA DE INTERRUPTOR / DML815</t>
  </si>
  <si>
    <t>TARJETA ELECTRONICA / ML106</t>
  </si>
  <si>
    <t>CUBIERTA DE PLASTICO / VARIOS</t>
  </si>
  <si>
    <t>GM00002243</t>
  </si>
  <si>
    <t>CIRCUITO LED / DML815</t>
  </si>
  <si>
    <t>ANILLO CUBIERTA DE ESCAPE / VARIOS</t>
  </si>
  <si>
    <t>HY00000079</t>
  </si>
  <si>
    <t>NIPLE DE CONEXION RAPIDA / VARIOS</t>
  </si>
  <si>
    <t>HY00000403</t>
  </si>
  <si>
    <t>ORING 43 / AF601</t>
  </si>
  <si>
    <t>HY00000404</t>
  </si>
  <si>
    <t>ORING 18 / AF601</t>
  </si>
  <si>
    <t>HY00000410</t>
  </si>
  <si>
    <t>ORING 33.5 / AF601</t>
  </si>
  <si>
    <t>TARJETA SENSOR / AF506</t>
  </si>
  <si>
    <t>ETIQUETA DE PRECAUCION 1 / AF506</t>
  </si>
  <si>
    <t>ETIQUETA DE PRECAUCION 2 / AF506</t>
  </si>
  <si>
    <t>TORNILLO 9X9 / UNIVERSAL</t>
  </si>
  <si>
    <t>JM00000418</t>
  </si>
  <si>
    <t>PLACA DE FIJACION/ MLT100</t>
  </si>
  <si>
    <t>ESCOBILLA / LB1200F</t>
  </si>
  <si>
    <t>EJE / LB1200F</t>
  </si>
  <si>
    <t>PERILLA / LB1200F</t>
  </si>
  <si>
    <t>CAJA DE TERMINALES / LB1200F</t>
  </si>
  <si>
    <t>CONDENSADOR DE ALTO VOLTAGE / LB1200F</t>
  </si>
  <si>
    <t>BRAZO DE INCLINACION / MLS100</t>
  </si>
  <si>
    <t>PLACA LIMITADORA / MLS100</t>
  </si>
  <si>
    <t>PLACA DE BLOQUEO / LS1018L - LS1017L</t>
  </si>
  <si>
    <t>LIMITADOR DE SOPORTE / LS1018L - LS1017L</t>
  </si>
  <si>
    <t>JM23100099</t>
  </si>
  <si>
    <t>PERNO HEXAGONAL / VARIOS</t>
  </si>
  <si>
    <t>PLACA DE CONEXION / LS1018L - LS1017L</t>
  </si>
  <si>
    <t>PRISIONERO M6X10 / LS1018L</t>
  </si>
  <si>
    <t>TUERCA AVELLANADA M4X10 / LS1018L</t>
  </si>
  <si>
    <t>GUARDA FIJA / LS1018L</t>
  </si>
  <si>
    <t>LAMPARA / LH1200FL</t>
  </si>
  <si>
    <t>JM27000115</t>
  </si>
  <si>
    <t>TAPA AUXILIAR / MLT100</t>
  </si>
  <si>
    <t>PERNO HEXAGONAL M5X20 / UNIVERSAL</t>
  </si>
  <si>
    <t>PRISIONERO M6X12 / MLT100</t>
  </si>
  <si>
    <t>PLACA DE AJUSTE / 2712</t>
  </si>
  <si>
    <t>SOPORTE DE VARILLA / 2712</t>
  </si>
  <si>
    <t>CONDUCTOR DE POLVO / 2712</t>
  </si>
  <si>
    <t>PERILLA / 2712</t>
  </si>
  <si>
    <t>INTERRUPTOR / DKT360</t>
  </si>
  <si>
    <t>POLEA DEL MOTOR / TB131</t>
  </si>
  <si>
    <t>FAJA V / TB131</t>
  </si>
  <si>
    <t>CUBIERTA DE BATERIA / SKR200Z</t>
  </si>
  <si>
    <t>ANILLO DE GOMA 15.5X2 / DHW180</t>
  </si>
  <si>
    <t>PASADOR TIPO U 2.5X18.5 / HW180D</t>
  </si>
  <si>
    <t>CONJUNTO DE MOTOR Y BOMBA / HW180D</t>
  </si>
  <si>
    <t>INTERRUPTOR / HW180D</t>
  </si>
  <si>
    <t>UNIDAD DE CONTROL / HW180D</t>
  </si>
  <si>
    <t>PASADOR TIPO U 2.5X11.5 / HW180D</t>
  </si>
  <si>
    <t>GATILLO / HW180D</t>
  </si>
  <si>
    <t>SELECTOR DE VELOCIDAD / HW180D</t>
  </si>
  <si>
    <t>ANILLO SELLO DE CAJA DE BATERIA / HW180D</t>
  </si>
  <si>
    <t>SEGURO DE CAJA DE BATERÍA / HW180D</t>
  </si>
  <si>
    <t>CAJA DE BATERÍA / HW180D</t>
  </si>
  <si>
    <t>TUBO EXTENSIÓN 350MM / HW180D</t>
  </si>
  <si>
    <t>BOQUILLA ROCIADORA DE 5 PATRONE / HW180D</t>
  </si>
  <si>
    <t>RESORTE DE COMPRESION 5.2X12 INOX / HW180D</t>
  </si>
  <si>
    <t>BOLA DE ACERO 7/32 PULGADAS / HW180D</t>
  </si>
  <si>
    <t>CONECTOR DE ABSORCION / HW180D</t>
  </si>
  <si>
    <t>FILTRO / DHW180</t>
  </si>
  <si>
    <t>CARCASA COMPLETA / HW180D</t>
  </si>
  <si>
    <t>VÁLVULA DE ENTRADA COMPLETA / HW180D</t>
  </si>
  <si>
    <t>MANGUITO DE PLASTICO 6 / HW180D</t>
  </si>
  <si>
    <t>MANGUERA CONJUNTO 8MMX6M / HW180D</t>
  </si>
  <si>
    <t>CONJUNTO DE CONECTOR DE CARGA / PDC1200</t>
  </si>
  <si>
    <t>BRIDA MINI HEXAGONAL / KR0700H</t>
  </si>
  <si>
    <t>EJE DE ASPAS EXTERIOR DERECHO / KR0700H</t>
  </si>
  <si>
    <t>PR00000498</t>
  </si>
  <si>
    <t>CONJUNTO DEL CALENTADOR CL / DHG181</t>
  </si>
  <si>
    <t>PS00000032</t>
  </si>
  <si>
    <t>SEGURO PERFIL BAJO / T-90059</t>
  </si>
  <si>
    <t>PS00000037</t>
  </si>
  <si>
    <t>ASA PLEGABLE ESTÁNDAR / T-90037</t>
  </si>
  <si>
    <t>PS00000038</t>
  </si>
  <si>
    <t>ASA PLEGABLE COMPACTA / T-90065</t>
  </si>
  <si>
    <t>CAPACITOR UD0RD43118 / HB350</t>
  </si>
  <si>
    <t>PLACA COMPLETA PCB C / MR014G</t>
  </si>
  <si>
    <t>CARCASA FRONTAL / MR014G</t>
  </si>
  <si>
    <t>EMPAQUETADURA DE ALTAVOZ / MR014G</t>
  </si>
  <si>
    <t>ALTAVOZ COMPLETO / MR014G</t>
  </si>
  <si>
    <t>CUBIERTA FRONTAL OPTICA / MR014G</t>
  </si>
  <si>
    <t>REJILLA DE ALTAVOZ / MR014G</t>
  </si>
  <si>
    <t>SEGURO DE CUBIERTA / MR014G</t>
  </si>
  <si>
    <t>CUBIERTA DE BATERÍA / MR014G</t>
  </si>
  <si>
    <t>EMPAQUETADURA DE CUBIERTA / MR014G</t>
  </si>
  <si>
    <t>CUBIERTA TRASERA / MR014G</t>
  </si>
  <si>
    <t>REJILLA DE AUDIO / MR014G</t>
  </si>
  <si>
    <t>TARJETA ELECTRONICA D / MR014G</t>
  </si>
  <si>
    <t>EMPAQUETADURA TRASERA PARA MR014G</t>
  </si>
  <si>
    <t>CONJUNTO DE PLACA PCB B PARA MR014G</t>
  </si>
  <si>
    <t>CONJUNTO DE PLACA PCB A PARA MR014G</t>
  </si>
  <si>
    <t>CABLE DEL SENSOR DE COPA / DCR200</t>
  </si>
  <si>
    <t>CONJUNTO PWB (PLACA DE CIRCUITO IMPRESO) / DCR200</t>
  </si>
  <si>
    <t>CONTROLADOR RF (RADIOFRECUENCIA) / DCR200</t>
  </si>
  <si>
    <t>CABLE DE SENSOR IZQUIERDO / DCR200</t>
  </si>
  <si>
    <t>CABLE DE SENSOR DERECHO / DCR200</t>
  </si>
  <si>
    <t>SH00000457</t>
  </si>
  <si>
    <t>CONJUNTO DE RODILLO FRONTAL / DCR200</t>
  </si>
  <si>
    <t>SH00000458</t>
  </si>
  <si>
    <t>CONJUNTO DE RUEDA PRINCIPAL IZQUIERDA / DCR200</t>
  </si>
  <si>
    <t>SH00000461</t>
  </si>
  <si>
    <t>CONJUNTO DE RUEDA IZQUIERDA / DRC200</t>
  </si>
  <si>
    <t>T-92069</t>
  </si>
  <si>
    <t>CONJUNTO DE SEGURO, MEDIANO / VARIOS</t>
  </si>
  <si>
    <t>T-92097</t>
  </si>
  <si>
    <t>CONJUNTO DE EJE / T-90009</t>
  </si>
  <si>
    <t>T-92302</t>
  </si>
  <si>
    <t>CONJUNTO DE TAPA GRANDE / T-90015</t>
  </si>
  <si>
    <t>T-92318</t>
  </si>
  <si>
    <t>CONJUNTO DE TAPA EXTRA GRANDE / T-90021</t>
  </si>
  <si>
    <t>USB2 / DMR300</t>
  </si>
  <si>
    <t>ASPA DEL VENTILADOR</t>
  </si>
  <si>
    <t>BOTÓN DE INSERCIÓN / CF100D</t>
  </si>
  <si>
    <t>CONECTOR JACK HEMBRA PARA PCB / CF100D</t>
  </si>
  <si>
    <t>INTERRUPTOR PCB</t>
  </si>
  <si>
    <t>GRUPO PCBA (CONJUNTO DE PLACA DE CIRCUITO IMPRESO)</t>
  </si>
  <si>
    <t>TE00000638</t>
  </si>
  <si>
    <t>MANGUERA DE AIRE CPL/DMP180</t>
  </si>
  <si>
    <t>PERNO DE CASQUILLO M5X10 /UNIVERSAL</t>
  </si>
  <si>
    <t>PERNO DE CASQUILLO M6X25 /UNIVERSAL</t>
  </si>
  <si>
    <t>PERNO DE CASQUILLO /UNIVERSAL</t>
  </si>
  <si>
    <t>JUNTA DE MANGUERA DE ALTA PRESIÓN / HW1300</t>
  </si>
  <si>
    <t>MANGUERA DE ALTA PRESIÓN 10M / HW1300</t>
  </si>
  <si>
    <t>ANILLO / HW1200 - HW1300</t>
  </si>
  <si>
    <t>TP00000069</t>
  </si>
  <si>
    <t>CAJA MOTOR P/6722DW</t>
  </si>
  <si>
    <t>RESORTE DE AGUJA EXTERNA / VARIOS</t>
  </si>
  <si>
    <t>TERMINAL DE BATERÍA/ CW001G</t>
  </si>
  <si>
    <t>CABLE DE FRENO / DUV320</t>
  </si>
  <si>
    <t>CUBIERTA SUPERIOR / DUV320</t>
  </si>
  <si>
    <t>136373-6</t>
  </si>
  <si>
    <t>TAPA DE RUEDA DENTADA / VARIOS</t>
  </si>
  <si>
    <t>136989-7</t>
  </si>
  <si>
    <t>137017-1</t>
  </si>
  <si>
    <t>CAJA DE ENGRANAJES / VARIOS</t>
  </si>
  <si>
    <t>PALANCA DE CAMBIO / HR2670</t>
  </si>
  <si>
    <t>CAJA DE ENGRANAJE / HR2670</t>
  </si>
  <si>
    <t>DEPOSITO DE POLVO / CL004G</t>
  </si>
  <si>
    <t>CARCASA DE FILTRO / CL004G</t>
  </si>
  <si>
    <t>ENTRADA DE AIRE COMPLETO / CL004G</t>
  </si>
  <si>
    <t>137338-1</t>
  </si>
  <si>
    <t>137385-2</t>
  </si>
  <si>
    <t>137404-4</t>
  </si>
  <si>
    <t>CUBIERTA DE CARCASA / DUP180</t>
  </si>
  <si>
    <t>1410Y9-9</t>
  </si>
  <si>
    <t>141J37-9</t>
  </si>
  <si>
    <t>GATILLO / DUP180</t>
  </si>
  <si>
    <t>CAJA DE TRANSMISION / HR2670</t>
  </si>
  <si>
    <t>PORTAHERRAMIENTA / HR2670</t>
  </si>
  <si>
    <t>ENGRANAJE HELICOIDAL 30 / HR2670</t>
  </si>
  <si>
    <t>PLACA DEL INTERRUPTOR / DUP180 - UP100D</t>
  </si>
  <si>
    <t>TORNILLO CON REBAJE M8 / DUP180 - UP100D</t>
  </si>
  <si>
    <t>RECIPIENTE PARA ACEITE / VARIOS</t>
  </si>
  <si>
    <t>CARCASA COMPLETA / DUP180</t>
  </si>
  <si>
    <t>CARCASA COMPLETA / DBN900 - DBN901</t>
  </si>
  <si>
    <t>CARCASA COMPLETA / TD004G</t>
  </si>
  <si>
    <t>CARCASA COMPLETA / DDF490 - DHP490</t>
  </si>
  <si>
    <t>CARCASA DEL TERMINAL / VC013GL - VC014GL</t>
  </si>
  <si>
    <t>CARCASA COMPLETA / DJV186</t>
  </si>
  <si>
    <t>1831L8-0</t>
  </si>
  <si>
    <t>183P83-2</t>
  </si>
  <si>
    <t>183R91-5</t>
  </si>
  <si>
    <t>183W44-4</t>
  </si>
  <si>
    <t>CABEZAL DE LA RECORTADORA / DUR189 - DUR364L</t>
  </si>
  <si>
    <t>CALIBRADOR LASER DE ANGULO DE INGLETEADORA</t>
  </si>
  <si>
    <t>210214-5</t>
  </si>
  <si>
    <t>210324-8</t>
  </si>
  <si>
    <t>210332-9</t>
  </si>
  <si>
    <t>CAJA DE ENGRANAJES / DUP180 - UP100D</t>
  </si>
  <si>
    <t>232624-6</t>
  </si>
  <si>
    <t>232626-2</t>
  </si>
  <si>
    <t>ARANDELA CONICA M14 / VARIOS</t>
  </si>
  <si>
    <t>RESORTE DE COMPRESION 3 / DUP180 - UP100D</t>
  </si>
  <si>
    <t>252291-1</t>
  </si>
  <si>
    <t>TUERCA HEXAGONAL M8 / UNIVERSAL</t>
  </si>
  <si>
    <t>PIÑON DE BLOQUEO / DUP180 - UP100D</t>
  </si>
  <si>
    <t>327599-3</t>
  </si>
  <si>
    <t>PASADOR M6 / VARIOS</t>
  </si>
  <si>
    <t>347705-4</t>
  </si>
  <si>
    <t>347708-8</t>
  </si>
  <si>
    <t>412623-6</t>
  </si>
  <si>
    <t>412624-4</t>
  </si>
  <si>
    <t>412625-2</t>
  </si>
  <si>
    <t>412626-0</t>
  </si>
  <si>
    <t>412627-8</t>
  </si>
  <si>
    <t>412629-4</t>
  </si>
  <si>
    <t>412630-9</t>
  </si>
  <si>
    <t>412631-7</t>
  </si>
  <si>
    <t>412632-5</t>
  </si>
  <si>
    <t>412633-3</t>
  </si>
  <si>
    <t>412634-1</t>
  </si>
  <si>
    <t>CUBIERTA DEL MANDRIL / HR011G - HR2670</t>
  </si>
  <si>
    <t>CUBIERTA DEL TAMQUE / VC013GL - VC014GL</t>
  </si>
  <si>
    <t>TANQUE / VC013GL - VC014GL</t>
  </si>
  <si>
    <t>DUCTO DE AIRE / VC013GL - VCG014GL</t>
  </si>
  <si>
    <t>MANGO / VC013GL - VC014GL</t>
  </si>
  <si>
    <t>4132B5-1</t>
  </si>
  <si>
    <t>PREFILTRO - CL004G</t>
  </si>
  <si>
    <t>4132X2-1</t>
  </si>
  <si>
    <t>417810-2</t>
  </si>
  <si>
    <t>422600-0</t>
  </si>
  <si>
    <t>422601-8</t>
  </si>
  <si>
    <t>422833-7</t>
  </si>
  <si>
    <t>LLANTA 330 / VARIOS</t>
  </si>
  <si>
    <t>SELLO DE GOMA / VC013GL - VC014GL</t>
  </si>
  <si>
    <t>ANILLO DE SOPORTE / VC013GL - VC014GL</t>
  </si>
  <si>
    <t>SOPORTE DE MOTOR F / CL004G</t>
  </si>
  <si>
    <t>FILTRO DE ESPONJA / CL004G</t>
  </si>
  <si>
    <t>422C57-3</t>
  </si>
  <si>
    <t>SELECTOR DEL INTERRUPTOR / VARIOS</t>
  </si>
  <si>
    <t>452666-6</t>
  </si>
  <si>
    <t>455446-9</t>
  </si>
  <si>
    <t>519890-5</t>
  </si>
  <si>
    <t>ROTOR ASS'Y</t>
  </si>
  <si>
    <t>ROTOR 18V / DDF490 - DHP490</t>
  </si>
  <si>
    <t>CONTROLADOR / DUP180</t>
  </si>
  <si>
    <t>CONTROLADOR / VC013GL</t>
  </si>
  <si>
    <t>620S07-0</t>
  </si>
  <si>
    <t>MOTOR DC 18V / DUP180</t>
  </si>
  <si>
    <t>629D01-9</t>
  </si>
  <si>
    <t>MOTOR COMPLETO 40V / CL004G</t>
  </si>
  <si>
    <t>CONTROLADOR B / VC003GL - VC004GL</t>
  </si>
  <si>
    <t>ESTATOR 220V / HR2670</t>
  </si>
  <si>
    <t>MANDRIL 13 DE CIERRE RAPIDO / VARIOS</t>
  </si>
  <si>
    <t>JM23300047</t>
  </si>
  <si>
    <t>JM23300067</t>
  </si>
  <si>
    <t>JM23300071</t>
  </si>
  <si>
    <t>UD000M1085</t>
  </si>
  <si>
    <t>137286-4</t>
  </si>
  <si>
    <t>1831E0-7</t>
  </si>
  <si>
    <t>327E19-7</t>
  </si>
  <si>
    <t>CILINDRO / DST630</t>
  </si>
  <si>
    <t>347C93-7</t>
  </si>
  <si>
    <t>VARILLA DE CONTACTO / DST630</t>
  </si>
  <si>
    <t>422B82-8</t>
  </si>
  <si>
    <t>620P18-7</t>
  </si>
  <si>
    <t>CONTROLADOR / DST630</t>
  </si>
  <si>
    <t>137233-5</t>
  </si>
  <si>
    <t>137356-9</t>
  </si>
  <si>
    <t>137357-7</t>
  </si>
  <si>
    <t>137358-5</t>
  </si>
  <si>
    <t>1410S6-3</t>
  </si>
  <si>
    <t>1411P3-4</t>
  </si>
  <si>
    <t>1831F5-4</t>
  </si>
  <si>
    <t>1831G4-3</t>
  </si>
  <si>
    <t>1831M9-5</t>
  </si>
  <si>
    <t>213007-9</t>
  </si>
  <si>
    <t>213A33-4</t>
  </si>
  <si>
    <t>232823-0</t>
  </si>
  <si>
    <t>313597-3</t>
  </si>
  <si>
    <t>DESLIZADOR / GP001G</t>
  </si>
  <si>
    <t>313598-1</t>
  </si>
  <si>
    <t>327F38-9</t>
  </si>
  <si>
    <t>327F39-7</t>
  </si>
  <si>
    <t>4132X5-5</t>
  </si>
  <si>
    <t>422C04-4</t>
  </si>
  <si>
    <t>422C56-5</t>
  </si>
  <si>
    <t>519887-4</t>
  </si>
  <si>
    <t>619906-7</t>
  </si>
  <si>
    <t>620R17-1</t>
  </si>
  <si>
    <t>CONTROLADOR / GP001G</t>
  </si>
  <si>
    <t>620S46-0</t>
  </si>
  <si>
    <t>620S54-1</t>
  </si>
  <si>
    <t>629D61-1</t>
  </si>
  <si>
    <t>650075-5</t>
  </si>
  <si>
    <t>122G77-8</t>
  </si>
  <si>
    <t>122J04-3</t>
  </si>
  <si>
    <t>122J19-0</t>
  </si>
  <si>
    <t>137287-2</t>
  </si>
  <si>
    <t>MAGAZINE ASSEMBLY</t>
  </si>
  <si>
    <t>137347-0</t>
  </si>
  <si>
    <t>137349-6</t>
  </si>
  <si>
    <t>137380-2</t>
  </si>
  <si>
    <t>BLADE CASE ASSEMBLY</t>
  </si>
  <si>
    <t>137386-0</t>
  </si>
  <si>
    <t>137391-7</t>
  </si>
  <si>
    <t>137392-5</t>
  </si>
  <si>
    <t>137399-1</t>
  </si>
  <si>
    <t>1412K1-9</t>
  </si>
  <si>
    <t>BASE COMPLETE</t>
  </si>
  <si>
    <t>1412K2-7</t>
  </si>
  <si>
    <t>ARM COMPLETE</t>
  </si>
  <si>
    <t>1412K4-3</t>
  </si>
  <si>
    <t>TABLE COMPLETE</t>
  </si>
  <si>
    <t>1412K5-1</t>
  </si>
  <si>
    <t>HANDLE COMPLETE</t>
  </si>
  <si>
    <t>1412K6-9</t>
  </si>
  <si>
    <t>COVER COMPLETE</t>
  </si>
  <si>
    <t>1413R8-0</t>
  </si>
  <si>
    <t>141419-5</t>
  </si>
  <si>
    <t>141H09-2</t>
  </si>
  <si>
    <t>1831P4-6</t>
  </si>
  <si>
    <t>1831V1-4</t>
  </si>
  <si>
    <t>HOUSING SET</t>
  </si>
  <si>
    <t>183W45-2</t>
  </si>
  <si>
    <t>187360-8</t>
  </si>
  <si>
    <t>187423-0</t>
  </si>
  <si>
    <t>211391-6</t>
  </si>
  <si>
    <t>213A78-2</t>
  </si>
  <si>
    <t>222176-5</t>
  </si>
  <si>
    <t>224641-0</t>
  </si>
  <si>
    <t>225095-4</t>
  </si>
  <si>
    <t>227B71-6</t>
  </si>
  <si>
    <t>227C53-4</t>
  </si>
  <si>
    <t>HELICAL GEAR 45</t>
  </si>
  <si>
    <t>227C68-1</t>
  </si>
  <si>
    <t>232952-9</t>
  </si>
  <si>
    <t>240136-5</t>
  </si>
  <si>
    <t>259092-8</t>
  </si>
  <si>
    <t>312H79-0</t>
  </si>
  <si>
    <t>312H83-9</t>
  </si>
  <si>
    <t>312J60-3</t>
  </si>
  <si>
    <t>TURN BASE</t>
  </si>
  <si>
    <t>312J61-1</t>
  </si>
  <si>
    <t>GUIDE FENCE</t>
  </si>
  <si>
    <t>313503-8</t>
  </si>
  <si>
    <t>327B60-2</t>
  </si>
  <si>
    <t>4130T8-9</t>
  </si>
  <si>
    <t>4132D2-1</t>
  </si>
  <si>
    <t>4132D3-9</t>
  </si>
  <si>
    <t>4133R2-5</t>
  </si>
  <si>
    <t>4133R3-3</t>
  </si>
  <si>
    <t>4134D8-1</t>
  </si>
  <si>
    <t>FRONT GUARD</t>
  </si>
  <si>
    <t>4134E2-0</t>
  </si>
  <si>
    <t>SWITCH BUTTON ON</t>
  </si>
  <si>
    <t>4134E5-4</t>
  </si>
  <si>
    <t>SAFETY COVER</t>
  </si>
  <si>
    <t>413L86-1</t>
  </si>
  <si>
    <t>418617-9</t>
  </si>
  <si>
    <t>422A03-4</t>
  </si>
  <si>
    <t>422B14-5</t>
  </si>
  <si>
    <t>422B15-3</t>
  </si>
  <si>
    <t>422B94-1</t>
  </si>
  <si>
    <t>422C97-1</t>
  </si>
  <si>
    <t>453632-6</t>
  </si>
  <si>
    <t>519892-1</t>
  </si>
  <si>
    <t>519932-5</t>
  </si>
  <si>
    <t>519945-6</t>
  </si>
  <si>
    <t>619877-8</t>
  </si>
  <si>
    <t>620115-3</t>
  </si>
  <si>
    <t>620P30-7</t>
  </si>
  <si>
    <t>620R02-4</t>
  </si>
  <si>
    <t>620R94-3</t>
  </si>
  <si>
    <t>620S71-1</t>
  </si>
  <si>
    <t>620S74-5</t>
  </si>
  <si>
    <t>620S84-2</t>
  </si>
  <si>
    <t>620S90-7</t>
  </si>
  <si>
    <t>620S91-5</t>
  </si>
  <si>
    <t>CONTROLLER</t>
  </si>
  <si>
    <t>620S92-3</t>
  </si>
  <si>
    <t>LED CIRCUIT</t>
  </si>
  <si>
    <t>620T37-7</t>
  </si>
  <si>
    <t>629952-2</t>
  </si>
  <si>
    <t>629D00-1</t>
  </si>
  <si>
    <t>629D03-5</t>
  </si>
  <si>
    <t>629D60-3</t>
  </si>
  <si>
    <t>629D67-9</t>
  </si>
  <si>
    <t>629D70-0</t>
  </si>
  <si>
    <t>632V93-7</t>
  </si>
  <si>
    <t>650082-8</t>
  </si>
  <si>
    <t>SWITCH DRH-03S-DDK32-03R</t>
  </si>
  <si>
    <t>654908-6</t>
  </si>
  <si>
    <t>8149C6-5</t>
  </si>
  <si>
    <t>SE00001253</t>
  </si>
  <si>
    <t>TD00000150</t>
  </si>
  <si>
    <t>TD00000153</t>
  </si>
  <si>
    <t>TD00000155</t>
  </si>
  <si>
    <t>TD00000157</t>
  </si>
  <si>
    <t>TD00000168</t>
  </si>
  <si>
    <t>TD00000174</t>
  </si>
  <si>
    <t>TD00000177</t>
  </si>
  <si>
    <t>TD00000178</t>
  </si>
  <si>
    <t>TD00000179</t>
  </si>
  <si>
    <t>TD00000180</t>
  </si>
  <si>
    <t>TD00000184</t>
  </si>
  <si>
    <t>TD00000185</t>
  </si>
  <si>
    <t>TD00000187</t>
  </si>
  <si>
    <t>TD00000189</t>
  </si>
  <si>
    <t>TD00000190</t>
  </si>
  <si>
    <t>TD00000192</t>
  </si>
  <si>
    <t>TD00000193</t>
  </si>
  <si>
    <t>TD00000195</t>
  </si>
  <si>
    <t>TD00000196</t>
  </si>
  <si>
    <t>TD00000199</t>
  </si>
  <si>
    <t>TD00000200</t>
  </si>
  <si>
    <t>TD00000207</t>
  </si>
  <si>
    <t>TD00000217</t>
  </si>
  <si>
    <t>1412E5-9</t>
  </si>
  <si>
    <t>1832B0-2</t>
  </si>
  <si>
    <t>620G68-8</t>
  </si>
  <si>
    <t>CONTROLADOR / DHR242</t>
  </si>
  <si>
    <t>1412U1-9</t>
  </si>
  <si>
    <t>1832G6-5</t>
  </si>
  <si>
    <t>327G34-3</t>
  </si>
  <si>
    <t>327G36-9</t>
  </si>
  <si>
    <t>4134N6-5</t>
  </si>
  <si>
    <t>4134N7-3</t>
  </si>
  <si>
    <t>458787-2</t>
  </si>
  <si>
    <t>619933-4</t>
  </si>
  <si>
    <t>620T58-9</t>
  </si>
  <si>
    <t>347F39-1</t>
  </si>
  <si>
    <t>CAJA DE ENGRANAJES / HP333D</t>
  </si>
  <si>
    <t>CAJA DE ENGRANAJES / DHP490</t>
  </si>
  <si>
    <t>CUBIERTA DE BATERIA / VC013GL</t>
  </si>
  <si>
    <t>MARTILLO / DTW1005 - TW011G</t>
  </si>
  <si>
    <t>CUBIERTA SUPERIOR / VC013GL - VC014GL</t>
  </si>
  <si>
    <t>CUBIERTA DEL INTERRUPTOR / VC013GL</t>
  </si>
  <si>
    <t>PLACA DE FUNCIONES / DTW1005</t>
  </si>
  <si>
    <t>BASE COMPLETA / 3620</t>
  </si>
  <si>
    <t>CARCASA COMPLETA / CL004G</t>
  </si>
  <si>
    <t>RODAMIENTO 698ZZ / UNIVERSAL</t>
  </si>
  <si>
    <t>RESORTE 12 / TD004G</t>
  </si>
  <si>
    <t>PERNO DE IMPACTO / HR2670</t>
  </si>
  <si>
    <t>SOPORTE 20 / 2012NB</t>
  </si>
  <si>
    <t>CUBIERTA DE PALANCA DE CAMBIO / HR2670</t>
  </si>
  <si>
    <t>SELECTOR DE VELOCIDADES / DDF490 - DHP490</t>
  </si>
  <si>
    <t>CUBIERTA DE OJAL / UC016G</t>
  </si>
  <si>
    <t>GUIA DE VIRUTA / UC012G - UC016G</t>
  </si>
  <si>
    <t>CONTROLADOR COMPLETO / DDF490 - DHP490</t>
  </si>
  <si>
    <t>CIRCUITO DE INDICACION / VC013GL - VC014GL</t>
  </si>
  <si>
    <t>PORTACARBON / HR2670</t>
  </si>
  <si>
    <t>INTERRUPTOR / VC013GL</t>
  </si>
  <si>
    <t>TERMINAL / DDF490 - DHP490</t>
  </si>
  <si>
    <t>VARISTOR DE ALTA TENSION 20MM / HB350</t>
  </si>
  <si>
    <t>PERILLA M8 / DUV320</t>
  </si>
  <si>
    <t>ARANDELA AXIAL 4-25 / DUV320</t>
  </si>
  <si>
    <t>TERMINAL / DUV320</t>
  </si>
  <si>
    <t>RODAMIENTO 608 / UNIVERSAL</t>
  </si>
  <si>
    <t>RODAMIENTO 6001 / UNIVERSAL</t>
  </si>
  <si>
    <t>RODAMIENTO 6200ZZ / UNIVERSAL</t>
  </si>
  <si>
    <t>RODAMIENTO 6904 / UNIVERSAL</t>
  </si>
  <si>
    <t>ANILLO DE RETENCION 9 / DUV320</t>
  </si>
  <si>
    <t>PASADOR 3X14 / DUV320</t>
  </si>
  <si>
    <t>TORNILLO 4X16 / UNIVERSAL</t>
  </si>
  <si>
    <t>CUBIERTA INFERIOR / DUV320</t>
  </si>
  <si>
    <t>RUEDA 6 / DUV320</t>
  </si>
  <si>
    <t>CUBIERTA TRASERA / DUV320</t>
  </si>
  <si>
    <t>CORREA DENTADA 435-5M / DUV320</t>
  </si>
  <si>
    <t>EJE DE RUEDAS / DUV320</t>
  </si>
  <si>
    <t>POLEA GRANDE / DUV320</t>
  </si>
  <si>
    <t>MOTOR COMPLETO / DUV320</t>
  </si>
  <si>
    <t>SOPORTE INFERIOR / DUV320</t>
  </si>
  <si>
    <t>CUBIERTA DE BATERIA / DUV320</t>
  </si>
  <si>
    <t>CONTROLADOR/ DUV320</t>
  </si>
  <si>
    <t>ARANDELA 8-28 / UNIVERSAL</t>
  </si>
  <si>
    <t>INTERRUPTOR / DUV320</t>
  </si>
  <si>
    <t>CUBIERTA DE CAJA DE TRANSMISION / DUV320</t>
  </si>
  <si>
    <t>BOCINA 10.5X6 / DUV320</t>
  </si>
  <si>
    <t>MOTOR DE TRANSMISION DE CORREAS / DUV320</t>
  </si>
  <si>
    <t>PALANCA / DUV320</t>
  </si>
  <si>
    <t>136224-3</t>
  </si>
  <si>
    <t>DESLIZADOR COMPLETO / JR001G</t>
  </si>
  <si>
    <t>413P68-7</t>
  </si>
  <si>
    <t>629292-8</t>
  </si>
  <si>
    <t>163542-6</t>
  </si>
  <si>
    <t>PLACA DE ANGULO / 5007N</t>
  </si>
  <si>
    <t>629D46-7</t>
  </si>
  <si>
    <t>ESTATOR COMPLETO / DHP486</t>
  </si>
  <si>
    <t>POLEA PEQUEÑA / DUV320</t>
  </si>
  <si>
    <t>TUBO DE LIBERACION / JR001G</t>
  </si>
  <si>
    <t>620G02-8</t>
  </si>
  <si>
    <t>620G22-2</t>
  </si>
  <si>
    <t>1412U9-3</t>
  </si>
  <si>
    <t>122J00-1</t>
  </si>
  <si>
    <t>1830P6-6</t>
  </si>
  <si>
    <t>1831P2-0</t>
  </si>
  <si>
    <t>312E81-5</t>
  </si>
  <si>
    <t>313643-2</t>
  </si>
  <si>
    <t>DRIVER GUIDE</t>
  </si>
  <si>
    <t>620R67-6</t>
  </si>
  <si>
    <t>620S72-9</t>
  </si>
  <si>
    <t>SE00001336</t>
  </si>
  <si>
    <t>SE00001337</t>
  </si>
  <si>
    <t>SE00001338</t>
  </si>
  <si>
    <t>SE00001339</t>
  </si>
  <si>
    <t>SE00001341</t>
  </si>
  <si>
    <t>SE00001342</t>
  </si>
  <si>
    <t>SE00001343</t>
  </si>
  <si>
    <t>SE00001344</t>
  </si>
  <si>
    <t>CARCASA COMPLETA / DCL281F</t>
  </si>
  <si>
    <t>413C42-7</t>
  </si>
  <si>
    <t>419288-5</t>
  </si>
  <si>
    <t>454226-0</t>
  </si>
  <si>
    <t>629C11-0</t>
  </si>
  <si>
    <t>GM00001461</t>
  </si>
  <si>
    <t>LLANTA TRASERA COMPLETA / VARIOS</t>
  </si>
  <si>
    <t>CAMPANA DE FRENO / VARIOS</t>
  </si>
  <si>
    <t>CARCASA COMPLETA / MRP090</t>
  </si>
  <si>
    <t>POLEA 8.5 - 44.1 / 9910 - 9911</t>
  </si>
  <si>
    <t>ENGRANAJE ESPIRAL 32 / DHR242</t>
  </si>
  <si>
    <t>TORNILLO M10 / UNIVERSAL</t>
  </si>
  <si>
    <t>CUBIERTA TRASERA / UB403MP</t>
  </si>
  <si>
    <t>CUBIERTA DE FRENO / UC012G - UC016G</t>
  </si>
  <si>
    <t>CARCASA DE TENSADOR DE CADENA / UC016G</t>
  </si>
  <si>
    <t>CARCASA DE TUERCA / UC016G</t>
  </si>
  <si>
    <t>SELLO DE POLVO 8 / VARIOS</t>
  </si>
  <si>
    <t>MANGUERA DE ACEITE 3-117 / UC012G - UC016G</t>
  </si>
  <si>
    <t>MANGUERA DE ACEITE 3-108 / UC012G - UC016G</t>
  </si>
  <si>
    <t>ROTOR 220V / TD0100 - TD0101</t>
  </si>
  <si>
    <t>INTERRUPTOR / UC012G - UC016G</t>
  </si>
  <si>
    <t>650087-8</t>
  </si>
  <si>
    <t>LLAVE DE BRIDA / VARIOS</t>
  </si>
  <si>
    <t>ENLACE / LS1017L - LS1018L</t>
  </si>
  <si>
    <t>122700-3</t>
  </si>
  <si>
    <t>142308-7</t>
  </si>
  <si>
    <t>195562-2</t>
  </si>
  <si>
    <t>232706-4</t>
  </si>
  <si>
    <t>RESORTE DE HOJA / DTM52</t>
  </si>
  <si>
    <t>413G11-2</t>
  </si>
  <si>
    <t>763810-3</t>
  </si>
  <si>
    <t>Arnés Desbrozadora - UR002 - UR013G</t>
  </si>
  <si>
    <t>Bolsa Recolectora / LM004J - LM002G</t>
  </si>
  <si>
    <t>Cable de enlace B /VS001G</t>
  </si>
  <si>
    <t>Placa de enlace completa</t>
  </si>
  <si>
    <t>Piedra de Afilado - UP100 - DUP180Z</t>
  </si>
  <si>
    <t>Rodillo Escarificador - UV001G</t>
  </si>
  <si>
    <t>Set Cuchillas RM350 (9 cuchillas)</t>
  </si>
  <si>
    <t>Conjunto de reparación de Alambre - RM350D</t>
  </si>
  <si>
    <t>Set 50 pz estacas plásticas RM350</t>
  </si>
  <si>
    <t>Set de terminales RM350</t>
  </si>
  <si>
    <t>Cuchilla Cizalla L - UP100 - DUP180Z</t>
  </si>
  <si>
    <t>Cuchilla Cizalla U - UP100 - DUP180Z</t>
  </si>
  <si>
    <t>Espada 14" - 3/8"LP 1.3 mm - UC004</t>
  </si>
  <si>
    <t>Cuchillas Cortasetos 460 mm - DUN461WZ</t>
  </si>
  <si>
    <t>Piñon de Cadena 6 Dientes 3/8" LP - UC004G</t>
  </si>
  <si>
    <t>Cuchilla 21" 530 mm LM002G</t>
  </si>
  <si>
    <t>Lentes de Seguridad / Varios</t>
  </si>
  <si>
    <t>Cuchilla 3 Puntas (230 mm) - UR012G</t>
  </si>
  <si>
    <t>Nylon 2.0 mm (Redondo) 30 m - DUR192 - UR002 - UR006</t>
  </si>
  <si>
    <t>DADO 8mm LARGO / VARIOS</t>
  </si>
  <si>
    <t>DADO 6mm LARGO / VARIOS</t>
  </si>
  <si>
    <t>EXTRACTOR RODAMIENTO 100 mm / VARIOS</t>
  </si>
  <si>
    <t>EXTRACTOR RODAMIENTO 50mm / VARIOS</t>
  </si>
  <si>
    <t>Rodamiento de balines 625ZZ</t>
  </si>
  <si>
    <t>Banda redonda 6-860 /VS001G</t>
  </si>
  <si>
    <t>PASADOR 6 / varios</t>
  </si>
  <si>
    <t>Guarda de Espada 20" - UC030G</t>
  </si>
  <si>
    <t>CUBIERTA DE CIGUEÑAL / HM1203Cv</t>
  </si>
  <si>
    <t>Rejilla Difusora Nube - PM001G</t>
  </si>
  <si>
    <t>Controlador / UB002C</t>
  </si>
  <si>
    <t>Controlador / UA200D</t>
  </si>
  <si>
    <t>Receptor de llave de seguridad / DML431</t>
  </si>
  <si>
    <t>Batería CXT 12Vmax 2.0Ah - BL1020B</t>
  </si>
  <si>
    <t>CUCHILLA 410mm./ VARIOS</t>
  </si>
  <si>
    <t>Felpa A</t>
  </si>
  <si>
    <t>Felpa B</t>
  </si>
  <si>
    <t>Mandril de cierre rápido 10</t>
  </si>
  <si>
    <t>Placa de características / DUB184</t>
  </si>
  <si>
    <t>Boquilla de Aspiración con Ruedas - DUB187Z</t>
  </si>
  <si>
    <t>Palanca de bloqueo / LH1200FL - LH1201FL</t>
  </si>
  <si>
    <t>Placa de corte derecha / LH1200FL - LH1201FL</t>
  </si>
  <si>
    <t>Placa de corte Izquierdo / LH1200FL - LH1201FL</t>
  </si>
  <si>
    <t>Botón de bloqueó / LH1200FL - LH1201FL</t>
  </si>
  <si>
    <t>Arnés de Hombro - DUS054Z</t>
  </si>
  <si>
    <t>Boquilla Doble Salida / DUS054Z</t>
  </si>
  <si>
    <t>TORNILLO 3.5 X 14mm/DML813 - DML814</t>
  </si>
  <si>
    <t>227A68-9</t>
  </si>
  <si>
    <t>413U95-4</t>
  </si>
  <si>
    <t>CARCASA DEL MOTOR / M9507</t>
  </si>
  <si>
    <t>632S41-8</t>
  </si>
  <si>
    <t>763262-8</t>
  </si>
  <si>
    <t>JH00000127</t>
  </si>
  <si>
    <t>SELLO MECANICO / VARIOS</t>
  </si>
  <si>
    <t>140X54-0</t>
  </si>
  <si>
    <t>CONTROLADOR / DTR181</t>
  </si>
  <si>
    <t>232201-4</t>
  </si>
  <si>
    <t>326902-5</t>
  </si>
  <si>
    <t>331872-5</t>
  </si>
  <si>
    <t>PORTAHERRAMIENTA / HM1307CB - HM1317CB</t>
  </si>
  <si>
    <t>424247-6</t>
  </si>
  <si>
    <t>609024658</t>
  </si>
  <si>
    <t>609024660</t>
  </si>
  <si>
    <t>JH00000103</t>
  </si>
  <si>
    <t>PR00000263</t>
  </si>
  <si>
    <t>PR00000264</t>
  </si>
  <si>
    <t>PR00000314</t>
  </si>
  <si>
    <t>GANCHO DE VARILLA / DUS108 - DUS158</t>
  </si>
  <si>
    <t>PR00000575</t>
  </si>
  <si>
    <t>PR00000515</t>
  </si>
  <si>
    <t>TE00000641</t>
  </si>
  <si>
    <t>226044-4</t>
  </si>
  <si>
    <t>ENGRANAJE 7-46 / DP4700</t>
  </si>
  <si>
    <t>256165-8</t>
  </si>
  <si>
    <t>313483-8</t>
  </si>
  <si>
    <t>327051-1</t>
  </si>
  <si>
    <t>327095-1</t>
  </si>
  <si>
    <t>EXTENSION 200 / VARIOS</t>
  </si>
  <si>
    <t>345469-4</t>
  </si>
  <si>
    <t>417040-5</t>
  </si>
  <si>
    <t>CUBIERTA LATERAL / 2012NB</t>
  </si>
  <si>
    <t>515113-9</t>
  </si>
  <si>
    <t>609024613</t>
  </si>
  <si>
    <t>609024615</t>
  </si>
  <si>
    <t>609024659</t>
  </si>
  <si>
    <t>609026213</t>
  </si>
  <si>
    <t>HY00000060</t>
  </si>
  <si>
    <t>JH00000114</t>
  </si>
  <si>
    <t>JH00000155</t>
  </si>
  <si>
    <t>MOTOR COMPLETO / PF1010</t>
  </si>
  <si>
    <t>JM27000044</t>
  </si>
  <si>
    <t>8229B4-8</t>
  </si>
  <si>
    <t>826F89-4</t>
  </si>
  <si>
    <t>188633-2</t>
  </si>
  <si>
    <t>NEW - CONJUNTO DE CARCASA /BTD144</t>
  </si>
  <si>
    <t>609050953</t>
  </si>
  <si>
    <t>BOMBA DE AGUA / HW101</t>
  </si>
  <si>
    <t>162B50-6</t>
  </si>
  <si>
    <t>NEW - ARNES / VARIOS</t>
  </si>
  <si>
    <t>136765-9</t>
  </si>
  <si>
    <t>NEW WHEEL B ASSEMBLY</t>
  </si>
  <si>
    <t>137424-8</t>
  </si>
  <si>
    <t>NEW WHEEL A ASSY</t>
  </si>
  <si>
    <t>141N38-1</t>
  </si>
  <si>
    <t>NEW - MOTOR HOUSING COMPLETE / 9403</t>
  </si>
  <si>
    <t>1832C5-9</t>
  </si>
  <si>
    <t>NEW HANDLE SET</t>
  </si>
  <si>
    <t>1832D4-8</t>
  </si>
  <si>
    <t>NEW MOTOR HOUSING SET</t>
  </si>
  <si>
    <t>210338-7</t>
  </si>
  <si>
    <t>NEW - BALL BEARING 688LLU / 9031</t>
  </si>
  <si>
    <t>265E87-1</t>
  </si>
  <si>
    <t>NEW HEX.BOLT M5X15</t>
  </si>
  <si>
    <t>271490-6</t>
  </si>
  <si>
    <t>NEW LEVER 40</t>
  </si>
  <si>
    <t>413241-3</t>
  </si>
  <si>
    <t>4137J5-7</t>
  </si>
  <si>
    <t>NEW LOCK OFF BUTTON</t>
  </si>
  <si>
    <t>620T32-7</t>
  </si>
  <si>
    <t>NEW CONTROLLER</t>
  </si>
  <si>
    <t>620T33-5</t>
  </si>
  <si>
    <t>NEW DIAL CIRCUIT</t>
  </si>
  <si>
    <t>629D69-5</t>
  </si>
  <si>
    <t>NEW STATOR</t>
  </si>
  <si>
    <t>122K55-2</t>
  </si>
  <si>
    <t>NEW - CONJUNTO DE ENGRANAJES P/ DDF491</t>
  </si>
  <si>
    <t>1411W4-1</t>
  </si>
  <si>
    <t>CAJA CIGUEÑAL / HM1317C - HM1317CB</t>
  </si>
  <si>
    <t>265353-6</t>
  </si>
  <si>
    <t>TORNILLO DE CABEZA HUECA M4X12 / VARIOS</t>
  </si>
  <si>
    <t>620234-5</t>
  </si>
  <si>
    <t>CONTROLADOR / TM3010C</t>
  </si>
  <si>
    <t>122540-9</t>
  </si>
  <si>
    <t>134890-0</t>
  </si>
  <si>
    <t>MANGO TIPO D / HM1111C</t>
  </si>
  <si>
    <t>137426-4</t>
  </si>
  <si>
    <t>NEW - HANDLE 22 LOWER ASS'Y</t>
  </si>
  <si>
    <t>137466-2</t>
  </si>
  <si>
    <t>NEW - HANDLE 22 UPPER ASS'Y</t>
  </si>
  <si>
    <t>1413D1-6</t>
  </si>
  <si>
    <t>NEW - TIRE 300 COMPLETE</t>
  </si>
  <si>
    <t>1413D3-2</t>
  </si>
  <si>
    <t>NEW - SHAFT PIPE COMPLETE A</t>
  </si>
  <si>
    <t>142747-1</t>
  </si>
  <si>
    <t>CAJA DE ENGRANJE / 9237C - 9237CB</t>
  </si>
  <si>
    <t>1832G1-5</t>
  </si>
  <si>
    <t>NEW - HOUSING SET</t>
  </si>
  <si>
    <t>1832G3-1</t>
  </si>
  <si>
    <t>NEW - GRIP SET</t>
  </si>
  <si>
    <t>232325-6</t>
  </si>
  <si>
    <t>RESORTE DE TORSION 20 / M2403 - M2401</t>
  </si>
  <si>
    <t>3082280</t>
  </si>
  <si>
    <t>PISTOLA / HW101</t>
  </si>
  <si>
    <t>327C53-5</t>
  </si>
  <si>
    <t>EJE DE AJUSTES DE ALTURA / VS001G</t>
  </si>
  <si>
    <t>327G55-5</t>
  </si>
  <si>
    <t>NEW - SHAFT A</t>
  </si>
  <si>
    <t>4135D5-3</t>
  </si>
  <si>
    <t>NEW - WHEEL 180</t>
  </si>
  <si>
    <t>50955</t>
  </si>
  <si>
    <t>LANZA CON BOQILLA REGULABLE / HW101</t>
  </si>
  <si>
    <t>519940-6</t>
  </si>
  <si>
    <t>NEW - ROTOR ASS'Y</t>
  </si>
  <si>
    <t>620T54-7</t>
  </si>
  <si>
    <t>NEW - CONTROLADOR</t>
  </si>
  <si>
    <t>632W79-7</t>
  </si>
  <si>
    <t>NEW - UNIDAD DEL TERMINAL</t>
  </si>
  <si>
    <t>699260-5</t>
  </si>
  <si>
    <t>NEW - POWER SUPPLY CORD UNIT</t>
  </si>
  <si>
    <t>HY00000139</t>
  </si>
  <si>
    <t>ORING 35 / VARIOS</t>
  </si>
  <si>
    <t>HY00000141</t>
  </si>
  <si>
    <t>ORING 45 / VARIOS</t>
  </si>
  <si>
    <t>HY00001087</t>
  </si>
  <si>
    <t>AMORTIGUADOR DELANTERO / AN613</t>
  </si>
  <si>
    <t>HY00001102</t>
  </si>
  <si>
    <t>VALVULA SUPERIOR / AN613</t>
  </si>
  <si>
    <t>609024603</t>
  </si>
  <si>
    <t>NEW - RODAMIENTO 6201Z</t>
  </si>
  <si>
    <t>609024634</t>
  </si>
  <si>
    <t>NEW - ANILLO SEGURIDAD / VARIOS</t>
  </si>
  <si>
    <t>609024682</t>
  </si>
  <si>
    <t>NEW - BOMBA PRINCIPAL / VARIOS</t>
  </si>
  <si>
    <t>JH00000005</t>
  </si>
  <si>
    <t>NEW - OUTLET CONNECTOR KIT / VARIOS</t>
  </si>
  <si>
    <t>JH00000100</t>
  </si>
  <si>
    <t>NEW - ROTOR / VARIOS</t>
  </si>
  <si>
    <t>JH00000110</t>
  </si>
  <si>
    <t>JH00000112</t>
  </si>
  <si>
    <t>NEW - O-RING / VARIOS</t>
  </si>
  <si>
    <t>JH00000113</t>
  </si>
  <si>
    <t>JH00000176</t>
  </si>
  <si>
    <t>NEW - POWERCORD W PLUG / VARIOS</t>
  </si>
  <si>
    <t>JH00000186</t>
  </si>
  <si>
    <t>JH00000198</t>
  </si>
  <si>
    <t>NEW - FLOAT SWITCH BLUE / VARIOS</t>
  </si>
  <si>
    <t>JH00000199</t>
  </si>
  <si>
    <t>NEW - HANDLE KIT / VARIOS</t>
  </si>
  <si>
    <t>141E58-1</t>
  </si>
  <si>
    <t>NEW - PROTECTOR DE MANO DELANTERO COMPLETO</t>
  </si>
  <si>
    <t>162E41-5</t>
  </si>
  <si>
    <t>NEW - DUST BAG COMPLETE</t>
  </si>
  <si>
    <t>1832C1-7</t>
  </si>
  <si>
    <t>1832D3-0</t>
  </si>
  <si>
    <t>240268-8</t>
  </si>
  <si>
    <t>NEW - FAN 115</t>
  </si>
  <si>
    <t>413907-5</t>
  </si>
  <si>
    <t>NEW - POSICIONADOR DEL PROTECTOR DE MANO DELANTERO</t>
  </si>
  <si>
    <t>413981-3</t>
  </si>
  <si>
    <t>NEW - CUBIERTA DE LA CARCASA R</t>
  </si>
  <si>
    <t>519943-0</t>
  </si>
  <si>
    <t>620P51-9</t>
  </si>
  <si>
    <t>620T38-5</t>
  </si>
  <si>
    <t>NEW - CONTROLLER</t>
  </si>
  <si>
    <t>620T39-3</t>
  </si>
  <si>
    <t>NEW - LED CIRCUIT</t>
  </si>
  <si>
    <t>629D68-7</t>
  </si>
  <si>
    <t>NEW - STATOR</t>
  </si>
  <si>
    <t>650085-2</t>
  </si>
  <si>
    <t>NEW - SWITCH C3JR-1AV-PAXD3-3</t>
  </si>
  <si>
    <t>SOPORTE DE GUIA / VARIOS</t>
  </si>
  <si>
    <t>122D22-5</t>
  </si>
  <si>
    <t>ENGRANAJE DIFERENCIAL COMPLETO  / VARIOS</t>
  </si>
  <si>
    <t>CAJA DE ENGRANAJE / DBN501 - DST630</t>
  </si>
  <si>
    <t>RODILLO / BS002G</t>
  </si>
  <si>
    <t>CAJA DE ENGRANAJE / HP003G</t>
  </si>
  <si>
    <t>CAJA DE ENGRANJE / DF003G</t>
  </si>
  <si>
    <t>127458-9</t>
  </si>
  <si>
    <t>PALANCA DE FRENO COMPLETA  / VARIOS</t>
  </si>
  <si>
    <t>CAJA DE ENGRANAJE / GP001G</t>
  </si>
  <si>
    <t>PISTON / DST630</t>
  </si>
  <si>
    <t>CARTUCHO COMPLETO / DST630</t>
  </si>
  <si>
    <t>CAJA DE RODAJE / GD001G - GD002G</t>
  </si>
  <si>
    <t>CAJA DE FILTRO / CL200FD</t>
  </si>
  <si>
    <t>TUBO DE ASPIRADO COMPLETO / CL200FD</t>
  </si>
  <si>
    <t>EJE COMPLETO A / DTL300</t>
  </si>
  <si>
    <t>EJE COMPLETO B / DTL300</t>
  </si>
  <si>
    <t>YUNQUE / DTL300</t>
  </si>
  <si>
    <t>TENSADOR DE CADENA COMPLETA / UC013G</t>
  </si>
  <si>
    <t>CAJA DE ENGRANAJE / GA055G - GA056G</t>
  </si>
  <si>
    <t>YUNQUE / DTD201</t>
  </si>
  <si>
    <t>SISTEMA DE EMBRAGUE / HR011G - HR012G</t>
  </si>
  <si>
    <t>CAJA DE TRANSMISION / HR011G -HR012G</t>
  </si>
  <si>
    <t>CAJA MOTOR / CL200FD</t>
  </si>
  <si>
    <t>BOTON DE TRABA / GA055G - GA056G</t>
  </si>
  <si>
    <t>CUBIERTA DEL INTERRUPTOR / GP001G</t>
  </si>
  <si>
    <t>GUARDA 125 / GA055G - GA056G</t>
  </si>
  <si>
    <t>CUBIERTA DE CAJA DE ENGRANAJE / DTL300</t>
  </si>
  <si>
    <t>SUJETADOR DE CUCHILLA / DUP180 - DUP181</t>
  </si>
  <si>
    <t>CUBIERTA DE CUCHILLA / DUP181</t>
  </si>
  <si>
    <t>CAJA DE TRANSMISION / DTD201</t>
  </si>
  <si>
    <t>ESTATOR 40V / UC031G</t>
  </si>
  <si>
    <t>CAJA DE TRANSMISION / DTD158</t>
  </si>
  <si>
    <t>TAPA DE GUARDA / PB003G</t>
  </si>
  <si>
    <t>BOTON DE INTERRUPTOR / DUC258 - UC031G</t>
  </si>
  <si>
    <t>BRAZO COMPLETO / BS002G</t>
  </si>
  <si>
    <t>BOTON DEL INTERRUPTOR / VARIOS</t>
  </si>
  <si>
    <t>141H01-8</t>
  </si>
  <si>
    <t>LLANTA 210  / VARIOS</t>
  </si>
  <si>
    <t>TUBO DE ALUMINIO COMPLETO 38 / VARIOS</t>
  </si>
  <si>
    <t>SELECTOR DE VELOCIDAD / DF003G - HP003G</t>
  </si>
  <si>
    <t>CAJA MOTOR COMPLETO / VARIOS</t>
  </si>
  <si>
    <t>CAJA MOTOR COMPLETO / UB002G</t>
  </si>
  <si>
    <t>CARCASA COMPLETA / DST630</t>
  </si>
  <si>
    <t>CARCASA DEL TERMINAL / GP001G</t>
  </si>
  <si>
    <t>CARCASA COMPLETA / GP001G</t>
  </si>
  <si>
    <t>CARCASA DEL VENTILADOR COMPLETO / UB002G</t>
  </si>
  <si>
    <t>CARCASA COMPLETA / GD001G</t>
  </si>
  <si>
    <t>CARCASA COMPLETA / DTL300</t>
  </si>
  <si>
    <t>CARCASA COMPLETA / VARIOS</t>
  </si>
  <si>
    <t>CARCASA COMPLETA / BN001G - BN002G</t>
  </si>
  <si>
    <t>CARCASA COMPLETA / UC031G</t>
  </si>
  <si>
    <t>CARCASA COMPLETA / CL200FD</t>
  </si>
  <si>
    <t>CARCASA COMPLETA / DF003G - HP003G</t>
  </si>
  <si>
    <t>CARCASA COMPLETA / DUP181</t>
  </si>
  <si>
    <t>CARCASA COMPLETA / DTD201</t>
  </si>
  <si>
    <t>CUCHILLA IZQUIERDA / DUP181</t>
  </si>
  <si>
    <t>CUCHILLA DERECHA / DUP181</t>
  </si>
  <si>
    <t>CARCASA DE CAJA DE ENGRANAJES / VARIOS</t>
  </si>
  <si>
    <t>ABRAZADERA COMPLETA / VARIOS</t>
  </si>
  <si>
    <t>183V58-7</t>
  </si>
  <si>
    <t>NEW - HOUSING SET BLUE P/ M3601</t>
  </si>
  <si>
    <t>TUBO DE ASPIRADO / VARIOS</t>
  </si>
  <si>
    <t>BASE DE EJE DESPLAZADO / VARIOS</t>
  </si>
  <si>
    <t>RODAMIENTO 6900DDW / UNIVERSAL</t>
  </si>
  <si>
    <t>RODAMIENTO 6808LLB / UNIVERSAL</t>
  </si>
  <si>
    <t>RODAMIENTO 6900LLU / UNIVERSAL</t>
  </si>
  <si>
    <t>ANILLO DE GOMA 8 / VARIOS</t>
  </si>
  <si>
    <t>ANILLO DE GOMA 12.5 / GP001G</t>
  </si>
  <si>
    <t>213A73-2</t>
  </si>
  <si>
    <t>ORING 15  / VARIOS</t>
  </si>
  <si>
    <t>ANILLO X 23 / DBN501 - DST630</t>
  </si>
  <si>
    <t>POLEA 7.5-40.3 / VARIOS</t>
  </si>
  <si>
    <t>TUERCA INTERNA 45 / GA055G - GA056G</t>
  </si>
  <si>
    <t>CORREA 6-174 / VARIOS</t>
  </si>
  <si>
    <t>ENGRANAJE RECTO 14 / DBN501 - DST630</t>
  </si>
  <si>
    <t>ENGRANAJE CONICO ZEROL 9 / DUP180 - DUP181</t>
  </si>
  <si>
    <t>CAJA DE ENGRANAJE / DUP181</t>
  </si>
  <si>
    <t>ENGRANAJE RECTO 15 / DUP181</t>
  </si>
  <si>
    <t>ENGRANAJE RECTO 14 / DUP181</t>
  </si>
  <si>
    <t>ENGRANAJE HELICOIDAL 11 / UC031G</t>
  </si>
  <si>
    <t>ENGRANAJE 48 / BS002G</t>
  </si>
  <si>
    <t>RESORTE 28 / VARIOS</t>
  </si>
  <si>
    <t>ANILLO DE RETENCION 11 / DTL300</t>
  </si>
  <si>
    <t>RESORTE 31 / HR011G - HR012G</t>
  </si>
  <si>
    <t>VENTILADOR 88 / VARIOS</t>
  </si>
  <si>
    <t>TORNILLO M6X2 / UNIVERSAL</t>
  </si>
  <si>
    <t>TUERCA HEXAGONAL DENTADO M8 / DUP181</t>
  </si>
  <si>
    <t>257498-4</t>
  </si>
  <si>
    <t>BOCINA 20  / VARIOS</t>
  </si>
  <si>
    <t>ANILLO DE RETENCION 36 / DBN500 - DST630</t>
  </si>
  <si>
    <t>TORNILLO AVELLANADO M8X22 / DF003G - HP003G</t>
  </si>
  <si>
    <t>CAJA DE RODAMIENTO / GA055G - GA056G</t>
  </si>
  <si>
    <t>BRAZO B / BS002G</t>
  </si>
  <si>
    <t>GUIA DEL CLAVO / BN001G - DBN900</t>
  </si>
  <si>
    <t>GUIA DEL DESLIZADOR / GP001G</t>
  </si>
  <si>
    <t>GUIA DE PALANCA DE FRENO / DUC258 - UC031G</t>
  </si>
  <si>
    <t>327646-0</t>
  </si>
  <si>
    <t>EJE 20  / VARIOS</t>
  </si>
  <si>
    <t>ENGRANAJE / DTL300</t>
  </si>
  <si>
    <t>MARTILLO / DTL300</t>
  </si>
  <si>
    <t>CABEZAL / DUP181</t>
  </si>
  <si>
    <t>YUNQUE / DTD158</t>
  </si>
  <si>
    <t>EJE / DTD158</t>
  </si>
  <si>
    <t>ANILLO SEPARADOR / VARIOS</t>
  </si>
  <si>
    <t>PLACA GUIA DERECHA / VARIOS</t>
  </si>
  <si>
    <t>PLACA DE BLOQUEO / DUP181</t>
  </si>
  <si>
    <t>BANDA DE FRENO / DUC258 - UC031G</t>
  </si>
  <si>
    <t>TUBO PLASTICO INTERNO 15 / DUA301 - UA004G</t>
  </si>
  <si>
    <t>GUIA DE RODAMIENTO A / DUA301 - UA004G</t>
  </si>
  <si>
    <t>GUIA DEL EJE / DUA301 - UA004G</t>
  </si>
  <si>
    <t>MANGUITO GUIA 28 / DUA301 - UA004G</t>
  </si>
  <si>
    <t>GUIA DE RODAMIENTO B / DUA301 - UA004G</t>
  </si>
  <si>
    <t>UNION / DUA301 - UA004G</t>
  </si>
  <si>
    <t>UNION DE BLOQUEO / DUA301 - UA004G</t>
  </si>
  <si>
    <t>TUERCA DE BLOQUEO / DUA301 - UA004G</t>
  </si>
  <si>
    <t>MANGUITO DE BLOQUEO / DUA301 - UA004G</t>
  </si>
  <si>
    <t>GUIA DE RODAMIENTO 24 / DUA301 - UA004G</t>
  </si>
  <si>
    <t>ANILLO DESLIZANTE / DBN501 - DST630</t>
  </si>
  <si>
    <t>TAPA DEL TRABADOR / GA055G - GA056G</t>
  </si>
  <si>
    <t>RODILLO GUIA A / BS002G</t>
  </si>
  <si>
    <t>RODILLO GUIA B / BS002G</t>
  </si>
  <si>
    <t>CUBIERTA TRASERA / DF003G - HP003G</t>
  </si>
  <si>
    <t>BOTON DE TRABA / GD001G - GD002G</t>
  </si>
  <si>
    <t>CUBIERTA INFERIOR / DTL300</t>
  </si>
  <si>
    <t>DEPOSITO DE POLVO / CL200FD</t>
  </si>
  <si>
    <t>PREFILTRO / CL200FD</t>
  </si>
  <si>
    <t>PALANCA DE FRENO / UC031G</t>
  </si>
  <si>
    <t>SOPORTE DE PALANCA DE FRENO / UC031G</t>
  </si>
  <si>
    <t>CAJA DE RODAMIENTO / DTD158</t>
  </si>
  <si>
    <t>PALANCA DE CAMBIO / DTD158</t>
  </si>
  <si>
    <t>MANGO / UA003G - UA004G</t>
  </si>
  <si>
    <t>BASE INFERIOR DEL INTERRUPTOR / DTM52</t>
  </si>
  <si>
    <t>CUBIERTA TRASERA / DTD201 - TD003G</t>
  </si>
  <si>
    <t>422554-1</t>
  </si>
  <si>
    <t>MANGUERA M3-70 / VARIOS</t>
  </si>
  <si>
    <t>TUBO DE LUBRICACION / VARIOS</t>
  </si>
  <si>
    <t>ANILLO DE GOMA / DBN500 - DST630</t>
  </si>
  <si>
    <t>PROTECTOR DE PUNTA / DST630</t>
  </si>
  <si>
    <t>ANILLO DE GOMA / GP001G</t>
  </si>
  <si>
    <t>SOPORTE DE GOMA / UB002G</t>
  </si>
  <si>
    <t>EMPAQUETADURA / DTL300</t>
  </si>
  <si>
    <t>ESPACIADOR / GA055G - GA056G</t>
  </si>
  <si>
    <t>ESPONJA / CL200FD</t>
  </si>
  <si>
    <t>MANGUERA DE ACEITE 3-106 / UC031G</t>
  </si>
  <si>
    <t>MANGUERA DE ACEITE 3-56 / DUC258 - UC031G</t>
  </si>
  <si>
    <t>CUBIERTA DE POLVO / HM0871C</t>
  </si>
  <si>
    <t>FILTRO DE ACEITE / VARIOS</t>
  </si>
  <si>
    <t>PALANCA DEL INTERRUPTOR / VARIOS</t>
  </si>
  <si>
    <t>CUBIERTA DEL INTERRUPTOR / VARIOS</t>
  </si>
  <si>
    <t>ROTOR 220V / DP4700</t>
  </si>
  <si>
    <t>ROTOR 40V / GP001G</t>
  </si>
  <si>
    <t>ROTOR 40V / GA055G - GA056G</t>
  </si>
  <si>
    <t>ROTOR 40V / BN001G - BN002G</t>
  </si>
  <si>
    <t>ESTATOR COMPLETO 40 / DF003G - HP003G</t>
  </si>
  <si>
    <t>BASE / PF0410 - PF1010</t>
  </si>
  <si>
    <t>TORNILLO AUTOROSCANTE / UNIVERSAL</t>
  </si>
  <si>
    <t>PLACA INFERIOR / PF0410 - PF1010</t>
  </si>
  <si>
    <t>TORNILLO INOXIDABLE 4.2X13 / PF0410 - PF1010</t>
  </si>
  <si>
    <t>ROTOR 18V - 40V / DTD201 - TD003G</t>
  </si>
  <si>
    <t>ROTOR 18 / DTL300</t>
  </si>
  <si>
    <t>ROTOR 40V / HP003G - DF003G</t>
  </si>
  <si>
    <t>ROTOR 40V / UC031G</t>
  </si>
  <si>
    <t>ROTOR 18V / DTD158</t>
  </si>
  <si>
    <t>UNIDAD DE SENSOR / LH001G - RP001G</t>
  </si>
  <si>
    <t>CONTROLADOR / BN001G - BN002G</t>
  </si>
  <si>
    <t>CONTROLADOR / GD001G</t>
  </si>
  <si>
    <t>CONTROLADOR / UC031G</t>
  </si>
  <si>
    <t>CIRCUITO LED / DTL300</t>
  </si>
  <si>
    <t>CONTROLADOR COMPLETO / DTL300</t>
  </si>
  <si>
    <t>INTERRUPTOR / DBN640</t>
  </si>
  <si>
    <t>CONTROLADOR / DTD201</t>
  </si>
  <si>
    <t>CONTROLADOR COMPLETO / DUP181</t>
  </si>
  <si>
    <t>CONTROLADOR / CL200FD</t>
  </si>
  <si>
    <t>UNIDAD DE SENSOR / VARIOS</t>
  </si>
  <si>
    <t>REGULADOR DE VELOCIDAD / BS002G</t>
  </si>
  <si>
    <t>INTERRUPTOR COMPLETO / DTD158</t>
  </si>
  <si>
    <t>621A33-4</t>
  </si>
  <si>
    <t>NEW - ESTATOR 220V / HP1630K - M8100K</t>
  </si>
  <si>
    <t>ESTATOR 18V / DJR188 - DUB184</t>
  </si>
  <si>
    <t>MOTOR CC 18V / BBO180 - DBO180</t>
  </si>
  <si>
    <t>ESTATOR 40V / GA049G - GA050G</t>
  </si>
  <si>
    <t>ESTATOR 40V COMPLETO / GA056G</t>
  </si>
  <si>
    <t>ESTATOR 40V COMPLETO / GA055G</t>
  </si>
  <si>
    <t>ESTATOR 40V / BN001G - BN002G</t>
  </si>
  <si>
    <t>MOTOR CC 40V / UB002G</t>
  </si>
  <si>
    <t>MOTOR CC 18V / DUP181</t>
  </si>
  <si>
    <t>ESTATOR 18V / DTD201</t>
  </si>
  <si>
    <t>ESTATOR 18V / DTL300</t>
  </si>
  <si>
    <t>MOTOR CC 12V / CL200FD</t>
  </si>
  <si>
    <t>ESTATOR 40V COMPLETO / BS002G</t>
  </si>
  <si>
    <t>CONTROLADOR / BBO180 - DBO180</t>
  </si>
  <si>
    <t>CONTROLADOR / UB002G</t>
  </si>
  <si>
    <t>INTERRUPTOR / UB002G</t>
  </si>
  <si>
    <t>INTERRUPTOR / DTL300</t>
  </si>
  <si>
    <t>MANDRIL DE CIERRE RAPIDO 13 / DF003G - HP003G</t>
  </si>
  <si>
    <t>PINZA 3/8 / VARIOS</t>
  </si>
  <si>
    <t>ETIQUETA DE PRECAUCION / UB002G</t>
  </si>
  <si>
    <t>PLACA DE CARACTERISTICAS / DST630</t>
  </si>
  <si>
    <t>ES00000001</t>
  </si>
  <si>
    <t>NEW - AUTO CUT-OFF CARBON BRUSH PAIR</t>
  </si>
  <si>
    <t>ES00000002</t>
  </si>
  <si>
    <t>NEW - BRUSH HOLDER ASSY</t>
  </si>
  <si>
    <t>ES00000008</t>
  </si>
  <si>
    <t>NEW - BRUSH HOLDER COVER</t>
  </si>
  <si>
    <t>ES00000009</t>
  </si>
  <si>
    <t>NEW - MOTOR HOUSING</t>
  </si>
  <si>
    <t>ES00000010</t>
  </si>
  <si>
    <t>NEW - STATOR ASSY 220-240V</t>
  </si>
  <si>
    <t>ES00000014</t>
  </si>
  <si>
    <t>NEW - BALL BEARING 608ZZ</t>
  </si>
  <si>
    <t>ES00000016</t>
  </si>
  <si>
    <t>NEW - ARMATURE ASSY 220-240V</t>
  </si>
  <si>
    <t>ES00000018</t>
  </si>
  <si>
    <t>NEW - BALL BEARING 6001ZZ</t>
  </si>
  <si>
    <t>ES00000021</t>
  </si>
  <si>
    <t>NEW - GASKET</t>
  </si>
  <si>
    <t>ES00000023</t>
  </si>
  <si>
    <t>NEW - GEAR BOX ASSY</t>
  </si>
  <si>
    <t>PLACA DE CARTUCHO / AF505 - AF505N</t>
  </si>
  <si>
    <t>IMPULSOR / PF1010 - PF1110</t>
  </si>
  <si>
    <t>RODAMIENTO 6204 / UNIVERSAL</t>
  </si>
  <si>
    <t>RODAMIENTO 6202RS / UNIVERSAL</t>
  </si>
  <si>
    <t>RODAMIENTO 6201RS / UNIVERSAL</t>
  </si>
  <si>
    <t>VARILLA B / MLT100</t>
  </si>
  <si>
    <t>TAPA DE GOMA / DUS108 - DUS158</t>
  </si>
  <si>
    <t>ADAPTADOR CON ROSCA / DUS108 - DUS158</t>
  </si>
  <si>
    <t>MOTOR COMPLETO / DHG180 - DHG181</t>
  </si>
  <si>
    <t>INTERRUPTOR / DUS108 - DUS158</t>
  </si>
  <si>
    <t>ADAPTADOR DE CORRIENTE ALTERNA / MR014G</t>
  </si>
  <si>
    <t>CARCASA COMPLETA / ADP002G</t>
  </si>
  <si>
    <t>BOTON DEL INTERRUPTOR / ADP002G</t>
  </si>
  <si>
    <t>TARJETA ELECTRONICA / ADP002G</t>
  </si>
  <si>
    <t>TERMINAL / ADP002G</t>
  </si>
  <si>
    <t>CUBIERTA DE TERMINAL USB / ADP002G</t>
  </si>
  <si>
    <t>CARCASA COMPLETA / ADP15</t>
  </si>
  <si>
    <t>BOTON DEL INTERRUPTOR / ADP15</t>
  </si>
  <si>
    <t>TARJETA ELECTRONICA / ADP15</t>
  </si>
  <si>
    <t>LED COMPLETO / ML013G</t>
  </si>
  <si>
    <t>TARJETA ELECTRONICA / ML013G</t>
  </si>
  <si>
    <t>CUBIERTA DE TERMINAL / ML013G</t>
  </si>
  <si>
    <t>TERMINAL / ML013G</t>
  </si>
  <si>
    <t>CARCASA TRASERA DE LED / DML819 - ML013G</t>
  </si>
  <si>
    <t>CARCASA FRONTAL DE LED / DML819 - ML013G</t>
  </si>
  <si>
    <t>CARCASA DE CIRCUITO / DML819 - ML013G</t>
  </si>
  <si>
    <t>TARJETA ELECTRONICA / DML819</t>
  </si>
  <si>
    <t>SELLO DE GOMA / DML819 - ML013G</t>
  </si>
  <si>
    <t>MANGO / DML819 - ML013G</t>
  </si>
  <si>
    <t>CUBIERTA DEL INTERRUPTOR / DML819 - ML013G</t>
  </si>
  <si>
    <t>INTERRUPTOR / DML819 - ML013G</t>
  </si>
  <si>
    <t>FUNDA DE GOMA / DML819 - ML013G</t>
  </si>
  <si>
    <t>CUBIERTA DE TERMINAL / DML819</t>
  </si>
  <si>
    <t>TERMINAL / DML819</t>
  </si>
  <si>
    <t>PLACA IMANTADA / DML819 - ML013G</t>
  </si>
  <si>
    <t>ESPONJA / DML819 - ML013G</t>
  </si>
  <si>
    <t>SOPORTE DE GANCHO / DML819 - ML013G</t>
  </si>
  <si>
    <t>CUBIERTA INFERIOR DEL TERMINAL / DML819 - ML013G</t>
  </si>
  <si>
    <t>CUBIERTA DE CARCASA DE CIRCUITO / DML819 - ML013G</t>
  </si>
  <si>
    <t>LED COMPLETO 18V / DML819</t>
  </si>
  <si>
    <t>MOTOR COMPLETO / DMP180</t>
  </si>
  <si>
    <t>CONTROLADOR / HB500</t>
  </si>
  <si>
    <t>158362-1</t>
  </si>
  <si>
    <t>455360-9</t>
  </si>
  <si>
    <t>NEW FUEL TANK</t>
  </si>
  <si>
    <t>CAJA DE CARTON P/BL1850B</t>
  </si>
  <si>
    <t>CAJA DE CARTON P/BL1830B</t>
  </si>
  <si>
    <t>UD000M0066</t>
  </si>
  <si>
    <t>NEW 6mm PUSH FIT FITTING</t>
  </si>
  <si>
    <t>UD000M0516</t>
  </si>
  <si>
    <t>NEW SOPORTE DE EJE PARA HB500</t>
  </si>
  <si>
    <t>122F46-3</t>
  </si>
  <si>
    <t>CAJA DE ENGRANAJE / VS001G</t>
  </si>
  <si>
    <t>136692-0</t>
  </si>
  <si>
    <t>NEW MONTAJE DEL ROTOR</t>
  </si>
  <si>
    <t>141K76-5</t>
  </si>
  <si>
    <t>NEW EJE COMPLETO</t>
  </si>
  <si>
    <t>162E14-8</t>
  </si>
  <si>
    <t>NEW TAMBOR DE FRENO</t>
  </si>
  <si>
    <t>210217-9</t>
  </si>
  <si>
    <t>NEW RODAMIENTO 609Z</t>
  </si>
  <si>
    <t>222209-6</t>
  </si>
  <si>
    <t>POLEA REDONDA 6.2-45.7 / VS001G</t>
  </si>
  <si>
    <t>222211-9</t>
  </si>
  <si>
    <t>POLEA GUIA  6.2-19.7 / VS001G</t>
  </si>
  <si>
    <t>232839-5</t>
  </si>
  <si>
    <t>RESORTE DE TENSION 9 / VS001G</t>
  </si>
  <si>
    <t>422910-5</t>
  </si>
  <si>
    <t>NEW ANILLO DE GOMA</t>
  </si>
  <si>
    <t>422966-8</t>
  </si>
  <si>
    <t>NEW TAPA DEL INTERRUPTOR</t>
  </si>
  <si>
    <t>422A68-6</t>
  </si>
  <si>
    <t>ANILLO DE SELLADO B / VS001G</t>
  </si>
  <si>
    <t>422A69-4</t>
  </si>
  <si>
    <t>ANILLO DE SELLADA A / VS001G</t>
  </si>
  <si>
    <t>651493-0</t>
  </si>
  <si>
    <t>NEW INTERRUPTOR C3JW-4CM-1L</t>
  </si>
  <si>
    <t>141J91-3</t>
  </si>
  <si>
    <t>NEW CAJA MOTOR COMPLETO GRIS / MCC401</t>
  </si>
  <si>
    <t>183U00-2</t>
  </si>
  <si>
    <t>NEW CUBIERTA TRASERA / 9557HP - GD0600</t>
  </si>
  <si>
    <t>763254-7</t>
  </si>
  <si>
    <t>NEW MANDRIL S16 / DS5000 - 6016BR</t>
  </si>
  <si>
    <t>1831F6-2</t>
  </si>
  <si>
    <t>CARCAZA COMPLETO / DHP486 - DDF486</t>
  </si>
  <si>
    <t>4132E1-0</t>
  </si>
  <si>
    <t>SELECTOR DE VELOCIDAD / DHP486 - DDF486</t>
  </si>
  <si>
    <t>CE00000150</t>
  </si>
  <si>
    <t>NEW CONTROL PANEL OVERSEAS</t>
  </si>
  <si>
    <t>122C30-0</t>
  </si>
  <si>
    <t>UNIDAD BLOQUEO / VARIOS</t>
  </si>
  <si>
    <t>140P23-3</t>
  </si>
  <si>
    <t>CABLE 1590/ UNIVERSAL</t>
  </si>
  <si>
    <t>140P25-9</t>
  </si>
  <si>
    <t>CABLE 370/ UNIVERSAL</t>
  </si>
  <si>
    <t>1410F8-8</t>
  </si>
  <si>
    <t>232616-5</t>
  </si>
  <si>
    <t>RESORTE TORSION 14/ VARIOS</t>
  </si>
  <si>
    <t>253430-6</t>
  </si>
  <si>
    <t>265465-5</t>
  </si>
  <si>
    <t>PERNO HEXAGONAL M6/ UNIVERSAL</t>
  </si>
  <si>
    <t>265B16-6</t>
  </si>
  <si>
    <t>PERNO SOCKET HEXAGONAL M6X16 /UNIVERSAL</t>
  </si>
  <si>
    <t>265C85-3</t>
  </si>
  <si>
    <t>PERNO SOCKET HEXAGONAL M6X12 /UNIVERSAL</t>
  </si>
  <si>
    <t>265C86-1</t>
  </si>
  <si>
    <t>PERNO SOCKET HEXAGONAL M6X22 /UNIVERSAL</t>
  </si>
  <si>
    <t>327470-1</t>
  </si>
  <si>
    <t>VARILLA 5 /VARIOS</t>
  </si>
  <si>
    <t>347628-6</t>
  </si>
  <si>
    <t>SUJETADOR /VARIOS</t>
  </si>
  <si>
    <t>347697-7</t>
  </si>
  <si>
    <t>SUJETADOR PALANCA /VARIOS</t>
  </si>
  <si>
    <t>347698-5</t>
  </si>
  <si>
    <t>ABRAZADERA DIFERENCIAL /VARIOS</t>
  </si>
  <si>
    <t>347A16-3</t>
  </si>
  <si>
    <t>PALANCA NEUTRAL INT/VARIOS</t>
  </si>
  <si>
    <t>412197-7</t>
  </si>
  <si>
    <t>BOTON PVC /VARIOS</t>
  </si>
  <si>
    <t>413D41-5</t>
  </si>
  <si>
    <t>PALANCA NEUTRAL EXT/VARIOS</t>
  </si>
  <si>
    <t>632T13-9</t>
  </si>
  <si>
    <t>1914M2-3</t>
  </si>
  <si>
    <t>BATERIA INTERNA / RM350</t>
  </si>
  <si>
    <t>PRENSA VERTICAL / LS1221</t>
  </si>
  <si>
    <t>122D17-8</t>
  </si>
  <si>
    <t>DEPOSITO B / DGP180</t>
  </si>
  <si>
    <t>136868-9</t>
  </si>
  <si>
    <t>MORDAZA DERECHA DEL FRENO / VARIOS</t>
  </si>
  <si>
    <t>136869-7</t>
  </si>
  <si>
    <t>MORDAZA IZQUIERDA DEL FRENO / VARIOS</t>
  </si>
  <si>
    <t>232800-2</t>
  </si>
  <si>
    <t>RESORTE DE LA HOJA / VARIOS</t>
  </si>
  <si>
    <t>253575-0</t>
  </si>
  <si>
    <t>ARANDELA PLANA 13 / VARIOS</t>
  </si>
  <si>
    <t>632T19-7</t>
  </si>
  <si>
    <t>NEW UNIDAD PRINCIPAL / VARIOS</t>
  </si>
  <si>
    <t>BOQUILLA DELANTERA / UB003G</t>
  </si>
  <si>
    <t>CARCASA DE TRANSMISION / UC030G</t>
  </si>
  <si>
    <t>TENSADOR DE CADENA / UC030G</t>
  </si>
  <si>
    <t>CUBIERTA FRONTAL / UB003G</t>
  </si>
  <si>
    <t>TENSADOR DE CADENA / DUC258</t>
  </si>
  <si>
    <t>CAJA DE RODAMIENTO / UH02G</t>
  </si>
  <si>
    <t>ENGRANAJE / H023G</t>
  </si>
  <si>
    <t>CAJA DE ENGRANAJES / DTM53</t>
  </si>
  <si>
    <t>SOPORTE / UB003G</t>
  </si>
  <si>
    <t>PLACA DE ENLACE / UC030G - UC033G</t>
  </si>
  <si>
    <t>BOMBA DE ACEITE / DUC258</t>
  </si>
  <si>
    <t>GUARDA / UH023G</t>
  </si>
  <si>
    <t>TUBO DEL EJE / EN425MP</t>
  </si>
  <si>
    <t>CUBIERTA INFERIOR / UH023G</t>
  </si>
  <si>
    <t>TUBO COMPLETO / UB004C - UB004G</t>
  </si>
  <si>
    <t>CARCASA COMPLETA / UB004C</t>
  </si>
  <si>
    <t>CARCASA COMPLETA / DBN610 - DBN620</t>
  </si>
  <si>
    <t>CARCASA COMPLETA / HR011G - HR012G</t>
  </si>
  <si>
    <t>CARCASA DEL TERMINAL / DTM53</t>
  </si>
  <si>
    <t>CARCASA COMPLETA / UB003G</t>
  </si>
  <si>
    <t>CARCASA COMPLETA / DUC258</t>
  </si>
  <si>
    <t>RODAMIENTO 706 / VARIOS</t>
  </si>
  <si>
    <t>RODAMIENTO 6801LLU / UNIVERSAL</t>
  </si>
  <si>
    <t>RODAMIENTO 695DDW / UNIVERSAL</t>
  </si>
  <si>
    <t>RODAMIENTO 626DDW / UNIVERSAL</t>
  </si>
  <si>
    <t>RODAMIENTO 6203ZZ / UNIVERSAL</t>
  </si>
  <si>
    <t>ENGRANAJE ESPIRAL 11 / 3901</t>
  </si>
  <si>
    <t>POLEA 21-30.7 / CE003G</t>
  </si>
  <si>
    <t>POLEA 21-27.5 / CE003G</t>
  </si>
  <si>
    <t>ENGRANAJE RECTO 17 / CE003G</t>
  </si>
  <si>
    <t>ENGRANAJE RECTO 18 / CE003G</t>
  </si>
  <si>
    <t>ENGRANAJE 55 / CE003G</t>
  </si>
  <si>
    <t>233189-1</t>
  </si>
  <si>
    <t>RESORTE DE COMPRESION 6 / CS002G</t>
  </si>
  <si>
    <t>TRABADOR DE CUCHILLA / DTM51 - DTM53</t>
  </si>
  <si>
    <t>327957-3</t>
  </si>
  <si>
    <t>EJE / CS002G</t>
  </si>
  <si>
    <t>327F17-7</t>
  </si>
  <si>
    <t>NEW CLAVIJA DE RETENCIÓN / DUN500W</t>
  </si>
  <si>
    <t>PLACA DE TENSAR / DUC254 - DUC258</t>
  </si>
  <si>
    <t>PLACA DE TENSAR / UC030G - UC033G</t>
  </si>
  <si>
    <t>BANDA DE FRENO / UC030G - UC033G</t>
  </si>
  <si>
    <t>GANCHO / DUC258 - UC031G</t>
  </si>
  <si>
    <t>NEW MONTAJE DEL YUNQUE “A”</t>
  </si>
  <si>
    <t>CUBIERTA DEL ENGRANAJE / UC030G - UC033G</t>
  </si>
  <si>
    <t>CUBIERTA DEL SISTEMA DE FRENO / UC030G - UC033G</t>
  </si>
  <si>
    <t>CAJA MOTOR / UB003G</t>
  </si>
  <si>
    <t>TAPON / EN424MP - EN425MP</t>
  </si>
  <si>
    <t>RUEDA 130 / EN424MP - EN425MP</t>
  </si>
  <si>
    <t>TUBO FLEXIBLE 118 / UB004C - UB004G</t>
  </si>
  <si>
    <t>TUBO BOQUILLA / UB004C - UB004G</t>
  </si>
  <si>
    <t>TORNILLO MARIPOSA M5X45 / UB004C - UB004G</t>
  </si>
  <si>
    <t>422309-4</t>
  </si>
  <si>
    <t>ANILLO DE GOMA 25 / JR001G - JR3061T</t>
  </si>
  <si>
    <t>GUIA DE VIRUTA / UC030G - UC033G</t>
  </si>
  <si>
    <t>ROTOR 40V / CE003G</t>
  </si>
  <si>
    <t>ROTOR 36V / UB004C</t>
  </si>
  <si>
    <t>ROTOR 40V / UC030G</t>
  </si>
  <si>
    <t>ROTOR 40V / UB003G</t>
  </si>
  <si>
    <t>ROTOR 40V / UH023G</t>
  </si>
  <si>
    <t>ROTOR 18V / DTM53</t>
  </si>
  <si>
    <t>ROTOR 18V / DUC258</t>
  </si>
  <si>
    <t>CONTROLADOR / UB004C</t>
  </si>
  <si>
    <t>CONTROLADOR / CE003G</t>
  </si>
  <si>
    <t>TARJETA SENSOR / CE003G</t>
  </si>
  <si>
    <t>CONTROLADOR B / UC030G - UC033G</t>
  </si>
  <si>
    <t>CONTROLADOR / UC030G</t>
  </si>
  <si>
    <t>INTERRUPTOR / DUC258 - UC031G</t>
  </si>
  <si>
    <t>CONTROLADOR B / DUC258 - UC031G</t>
  </si>
  <si>
    <t>ESTATOR 36V / UB004C</t>
  </si>
  <si>
    <t>ESTATOR 40V / CE003G - LH001G</t>
  </si>
  <si>
    <t>ESTATOR 40V / HR011G - HR012G</t>
  </si>
  <si>
    <t>INTERRUPTOR / DTM53</t>
  </si>
  <si>
    <t>INTERRUPTOR / UB003G</t>
  </si>
  <si>
    <t>INTERRUPTOR / UB004C</t>
  </si>
  <si>
    <t>CABLE DE ALIMENTACION / UB004C</t>
  </si>
  <si>
    <t>JM00000643</t>
  </si>
  <si>
    <t>CAJA DE ENGRANAJE / LS1110F</t>
  </si>
  <si>
    <t>CAPACITOR / HB350</t>
  </si>
  <si>
    <t>VARISTOR / HB350</t>
  </si>
  <si>
    <t>ENGRANAJE PIÑON / 9047 -9057</t>
  </si>
  <si>
    <t>TORNILLO SINFIN / DUC254 - DUC258</t>
  </si>
  <si>
    <t>EMPUÑADURA 38 / DUA301 - UA004G</t>
  </si>
  <si>
    <t>CUBIERTA DEL PIÑON / VARIOS</t>
  </si>
  <si>
    <t>136804-5</t>
  </si>
  <si>
    <t>413R14-2</t>
  </si>
  <si>
    <t>PERILLA DEL INTERRUPTOR / GA4600 - GA5100</t>
  </si>
  <si>
    <t>TD00000220</t>
  </si>
  <si>
    <t>NEW LIGHT HOUSING LED SIDE</t>
  </si>
  <si>
    <t>TD00000225</t>
  </si>
  <si>
    <t>NEW LAMP BASE UPPER SIDE</t>
  </si>
  <si>
    <t>TD00000231</t>
  </si>
  <si>
    <t>NEW LAMP BASE HINGE</t>
  </si>
  <si>
    <t>TD00000234</t>
  </si>
  <si>
    <t>NEW SPIRAL CABLE</t>
  </si>
  <si>
    <t>TD00000235</t>
  </si>
  <si>
    <t>NEW UPPER PIPE</t>
  </si>
  <si>
    <t>TD00000250</t>
  </si>
  <si>
    <t>NEW SWITCH HOUSING UPPER SIDE ASSY</t>
  </si>
  <si>
    <t>TD00000251</t>
  </si>
  <si>
    <t>NEW LENZ</t>
  </si>
  <si>
    <t>TD00000253</t>
  </si>
  <si>
    <t>NEW SWITCH PCB</t>
  </si>
  <si>
    <t>TD00000254</t>
  </si>
  <si>
    <t>NEW SWITCH PCB SECTION GASKET</t>
  </si>
  <si>
    <t>TD00000256</t>
  </si>
  <si>
    <t>NEW SWITCH HOUSING LOWER SIDE</t>
  </si>
  <si>
    <t>122K65-9</t>
  </si>
  <si>
    <t>NEW REAR HOUSING ASSEMBLY</t>
  </si>
  <si>
    <t>137425-6</t>
  </si>
  <si>
    <t>NEW UPPER HOUSING ASSEMBLY</t>
  </si>
  <si>
    <t>137428-0</t>
  </si>
  <si>
    <t>NEW SPROCKET COVER ASS'Y P/ UC033G</t>
  </si>
  <si>
    <t>137431-1</t>
  </si>
  <si>
    <t>NEW INDICATION PLATE ASS'Y P/ VL001G</t>
  </si>
  <si>
    <t>137433-7</t>
  </si>
  <si>
    <t>NEW UNBALANCER ASSY P/ VL001G</t>
  </si>
  <si>
    <t>137464-6</t>
  </si>
  <si>
    <t>NEW CAP B ASS'Y</t>
  </si>
  <si>
    <t>137475-1</t>
  </si>
  <si>
    <t>NEW TYPE T JOINT ASS'Y</t>
  </si>
  <si>
    <t>137476-9</t>
  </si>
  <si>
    <t>NEW ONE-TOUCH JOINT ASS'Y</t>
  </si>
  <si>
    <t>137477-7</t>
  </si>
  <si>
    <t>NEW VALVE ASS'Y</t>
  </si>
  <si>
    <t>137489-0</t>
  </si>
  <si>
    <t>NEW BEARING BOX ASSY P/ CS004G</t>
  </si>
  <si>
    <t>1412Y2-5</t>
  </si>
  <si>
    <t>NEW TUBO COMPLETO P/ VL001G</t>
  </si>
  <si>
    <t>1413K0-7</t>
  </si>
  <si>
    <t>NEW BOTTOM COVER COMPLETE</t>
  </si>
  <si>
    <t>1413K1-5</t>
  </si>
  <si>
    <t>NEW SWITCH BASE COMPLETE</t>
  </si>
  <si>
    <t>1413K2-3</t>
  </si>
  <si>
    <t>NEW TOP COVER COMPLETE</t>
  </si>
  <si>
    <t>1413K3-1</t>
  </si>
  <si>
    <t>NEW PUMP HOLDER COMPLETE</t>
  </si>
  <si>
    <t>1413K4-9</t>
  </si>
  <si>
    <t>NEW LOWER HOUSING COMPLETE</t>
  </si>
  <si>
    <t>1413K5-7</t>
  </si>
  <si>
    <t>NEW MOTOR COVER R COMPLETE</t>
  </si>
  <si>
    <t>1413K6-5</t>
  </si>
  <si>
    <t>NEW CASTER 120 COMPLETE</t>
  </si>
  <si>
    <t>1413L8-8</t>
  </si>
  <si>
    <t>NEW HOSE COMPLETE 32-2.5</t>
  </si>
  <si>
    <t>1413R0-6</t>
  </si>
  <si>
    <t>NEW TUBO COMPLETO 27 P/ VL001G</t>
  </si>
  <si>
    <t>162E36-8</t>
  </si>
  <si>
    <t>NEW BAND COMPLETE</t>
  </si>
  <si>
    <t>162E37-6</t>
  </si>
  <si>
    <t>NEW CUSHION PAD COMPLETE</t>
  </si>
  <si>
    <t>162E55-4</t>
  </si>
  <si>
    <t>NEW LATCH COMPLETE</t>
  </si>
  <si>
    <t>1832G4-9</t>
  </si>
  <si>
    <t>NEW HOUSING SET P/ VARIOS</t>
  </si>
  <si>
    <t>1832G5-7</t>
  </si>
  <si>
    <t>NEW TERMINAL BOX SET</t>
  </si>
  <si>
    <t>1832H0-4</t>
  </si>
  <si>
    <t>NEW HANDLE ST</t>
  </si>
  <si>
    <t>1832J1-6</t>
  </si>
  <si>
    <t>1832K7-1</t>
  </si>
  <si>
    <t>NEW LEVER CASE SET</t>
  </si>
  <si>
    <t>1832L8-6</t>
  </si>
  <si>
    <t>NEW TERMINAL CASE SET</t>
  </si>
  <si>
    <t>213B03-9</t>
  </si>
  <si>
    <t>NEW O-RING 7</t>
  </si>
  <si>
    <t>232980-4</t>
  </si>
  <si>
    <t>NEW TORSION SPRING 12</t>
  </si>
  <si>
    <t>245073-8</t>
  </si>
  <si>
    <t>NEW HOSE 26-360</t>
  </si>
  <si>
    <t>245074-6</t>
  </si>
  <si>
    <t>NEW HOSE 6-150</t>
  </si>
  <si>
    <t>245076-2</t>
  </si>
  <si>
    <t>NEW HOSE 6-300</t>
  </si>
  <si>
    <t>265F07-1</t>
  </si>
  <si>
    <t>NEW FLAT FILLISTER HEAD SCREW M5</t>
  </si>
  <si>
    <t>265F11-0</t>
  </si>
  <si>
    <t>NEW TAPPING SCREW 4X18</t>
  </si>
  <si>
    <t>273044-5</t>
  </si>
  <si>
    <t>NEW EMPUÑADURA P/ VL001G</t>
  </si>
  <si>
    <t>312J87-3</t>
  </si>
  <si>
    <t>NEW SUJETADOR DEL TUBO 25 P/ VL001G</t>
  </si>
  <si>
    <t>327G45-8</t>
  </si>
  <si>
    <t>NEW EJE P/ VL001G</t>
  </si>
  <si>
    <t>327G48-2</t>
  </si>
  <si>
    <t>327G71-7</t>
  </si>
  <si>
    <t>NEW MANGUITO ADAPTADOR DE BIT</t>
  </si>
  <si>
    <t>327G73-3</t>
  </si>
  <si>
    <t>NEW SPINDLE M</t>
  </si>
  <si>
    <t>327G77-5</t>
  </si>
  <si>
    <t>NEW MANGO DELANTERO P/ UC033G</t>
  </si>
  <si>
    <t>347E81-6</t>
  </si>
  <si>
    <t>NEW PLACA DE LA PROTECCIÓN P/ CS004G</t>
  </si>
  <si>
    <t>4134P2-7</t>
  </si>
  <si>
    <t>NEW MOTOR HOUSING</t>
  </si>
  <si>
    <t>4134P3-5</t>
  </si>
  <si>
    <t>NEW ELBOW</t>
  </si>
  <si>
    <t>4134P6-9</t>
  </si>
  <si>
    <t>NEW TERMINAL BOX COVER</t>
  </si>
  <si>
    <t>4134P9-3</t>
  </si>
  <si>
    <t>NEW LOCK COVER</t>
  </si>
  <si>
    <t>4134R0-5</t>
  </si>
  <si>
    <t>NEW SWITCH PLATE</t>
  </si>
  <si>
    <t>4134R1-3</t>
  </si>
  <si>
    <t>NEW SWITCH LEVER</t>
  </si>
  <si>
    <t>4134R2-1</t>
  </si>
  <si>
    <t>NEW ELBOW SUPPORT</t>
  </si>
  <si>
    <t>4134R3-9</t>
  </si>
  <si>
    <t>NEW HOSE CLAMP 120</t>
  </si>
  <si>
    <t>4134R4-7</t>
  </si>
  <si>
    <t>NEW END NOZZLE 71</t>
  </si>
  <si>
    <t>4134R5-5</t>
  </si>
  <si>
    <t>NEW SWITCH COVER</t>
  </si>
  <si>
    <t>4134R6-3</t>
  </si>
  <si>
    <t>NEW HOSE CLAMP PLATE</t>
  </si>
  <si>
    <t>4135N5-3</t>
  </si>
  <si>
    <t>NEW UPPER HOUSING</t>
  </si>
  <si>
    <t>4135N6-1</t>
  </si>
  <si>
    <t>NEW FRONT HOUSING</t>
  </si>
  <si>
    <t>4135N9-5</t>
  </si>
  <si>
    <t>NEW BATTERY COVER</t>
  </si>
  <si>
    <t>4135P0-7</t>
  </si>
  <si>
    <t>NEW JOINT PIPE A</t>
  </si>
  <si>
    <t>4135P1-5</t>
  </si>
  <si>
    <t>NEW JOINT PIPE B</t>
  </si>
  <si>
    <t>4135P2-3</t>
  </si>
  <si>
    <t>NEW JOINT PIPE C</t>
  </si>
  <si>
    <t>4135P3-1</t>
  </si>
  <si>
    <t>NEW INLET</t>
  </si>
  <si>
    <t>4135P4-9</t>
  </si>
  <si>
    <t>NEW SOLUTION TANK</t>
  </si>
  <si>
    <t>4135P5-7</t>
  </si>
  <si>
    <t>NEW CAP 68</t>
  </si>
  <si>
    <t>4135P8-1</t>
  </si>
  <si>
    <t>NEW RECOVERY TANK</t>
  </si>
  <si>
    <t>4135P9-9</t>
  </si>
  <si>
    <t>NEW RECOVERY TANK COVER</t>
  </si>
  <si>
    <t>4135R0-1</t>
  </si>
  <si>
    <t>NEW FLOAT</t>
  </si>
  <si>
    <t>4135R1-9</t>
  </si>
  <si>
    <t>NEW SWITCH BUTTON</t>
  </si>
  <si>
    <t>4135R2-7</t>
  </si>
  <si>
    <t>NEW BATTERY COVER HOOK</t>
  </si>
  <si>
    <t>4135R3-5</t>
  </si>
  <si>
    <t>NEW GUIDE</t>
  </si>
  <si>
    <t>4135R4-3</t>
  </si>
  <si>
    <t>NEW GRIP B</t>
  </si>
  <si>
    <t>4135R5-1</t>
  </si>
  <si>
    <t>NEW FILTER</t>
  </si>
  <si>
    <t>4135R6-9</t>
  </si>
  <si>
    <t>NEW GRIP A</t>
  </si>
  <si>
    <t>4135R7-7</t>
  </si>
  <si>
    <t>NEW LATCH</t>
  </si>
  <si>
    <t>4135R8-5</t>
  </si>
  <si>
    <t>4135R9-3</t>
  </si>
  <si>
    <t>NEW STRAINER</t>
  </si>
  <si>
    <t>4135S0-8</t>
  </si>
  <si>
    <t>NEW MOTOR COVER F</t>
  </si>
  <si>
    <t>4135S1-6</t>
  </si>
  <si>
    <t>NEW FLOAT CAGE</t>
  </si>
  <si>
    <t>422D22-8</t>
  </si>
  <si>
    <t>NEW SELLO CONTRA POLVO P/ UC033G</t>
  </si>
  <si>
    <t>422D44-8</t>
  </si>
  <si>
    <t>NEW SUPPORT RING</t>
  </si>
  <si>
    <t>422D45-6</t>
  </si>
  <si>
    <t>NEW CAP VALVE</t>
  </si>
  <si>
    <t>422D46-4</t>
  </si>
  <si>
    <t>NEW SEAL RING</t>
  </si>
  <si>
    <t>422D48-0</t>
  </si>
  <si>
    <t>NEW RUBBER RING</t>
  </si>
  <si>
    <t>422D50-3</t>
  </si>
  <si>
    <t>NEW NOZZLE HOLDER</t>
  </si>
  <si>
    <t>422D51-1</t>
  </si>
  <si>
    <t>NEW CUSHION</t>
  </si>
  <si>
    <t>422D52-9</t>
  </si>
  <si>
    <t>NEW HOSE BAND</t>
  </si>
  <si>
    <t>422D53-7</t>
  </si>
  <si>
    <t>NEW SPONGE 87</t>
  </si>
  <si>
    <t>422D54-5</t>
  </si>
  <si>
    <t>NEW SPONGE 37</t>
  </si>
  <si>
    <t>422D56-1</t>
  </si>
  <si>
    <t>NEW GASKET</t>
  </si>
  <si>
    <t>510436-0</t>
  </si>
  <si>
    <t>NEW MONTAJE DEL ROTOR P/ CS004G</t>
  </si>
  <si>
    <t>519938-3</t>
  </si>
  <si>
    <t>NEW ROTOR ASS'Y</t>
  </si>
  <si>
    <t>519941-4</t>
  </si>
  <si>
    <t>NEW ROTOR ASS'Y P/ UC033G</t>
  </si>
  <si>
    <t>620T27-0</t>
  </si>
  <si>
    <t>620T28-8</t>
  </si>
  <si>
    <t>NEW CONTROLLER  B</t>
  </si>
  <si>
    <t>620T29-6</t>
  </si>
  <si>
    <t>NEW SWITCH CIRCUIT</t>
  </si>
  <si>
    <t>620T30-1</t>
  </si>
  <si>
    <t>NEW INDICATION CIRCUIT</t>
  </si>
  <si>
    <t>620T51-3</t>
  </si>
  <si>
    <t>NEW CONTROLADOR P/ UC033G</t>
  </si>
  <si>
    <t>620T52-1</t>
  </si>
  <si>
    <t>NEW CIRCUITO DE INTERRUPTOR P/ UC033G</t>
  </si>
  <si>
    <t>620T64-4</t>
  </si>
  <si>
    <t>NEW CONTROLADOR P/ VL001G</t>
  </si>
  <si>
    <t>620T90-3</t>
  </si>
  <si>
    <t>620T91-1</t>
  </si>
  <si>
    <t>629D77-6</t>
  </si>
  <si>
    <t>NEW DC MOTOR</t>
  </si>
  <si>
    <t>629D81-5</t>
  </si>
  <si>
    <t>699262-1</t>
  </si>
  <si>
    <t>NEW POWER SUPPLY CORD UNIT</t>
  </si>
  <si>
    <t>TD00000269</t>
  </si>
  <si>
    <t>NEW LEG</t>
  </si>
  <si>
    <t>TD00000273</t>
  </si>
  <si>
    <t>NEW BATTERY BOX HANDLE</t>
  </si>
  <si>
    <t>TD00000276</t>
  </si>
  <si>
    <t>NEW BATTERY BOX</t>
  </si>
  <si>
    <t>TD00000292</t>
  </si>
  <si>
    <t>NEW BATTERY TERMINAL LXT</t>
  </si>
  <si>
    <t>TD00000297</t>
  </si>
  <si>
    <t>NEW MAIN CONTROLLER PCB</t>
  </si>
  <si>
    <t>TD00000304</t>
  </si>
  <si>
    <t>NEW LIGHT UNIT ASSY SAME L &amp; R</t>
  </si>
  <si>
    <t>TD00000305</t>
  </si>
  <si>
    <t>NEW LIGHT UNIT ASSY FRONT SIDE</t>
  </si>
  <si>
    <t>TD00000311</t>
  </si>
  <si>
    <t>NEW BATTERY BOX LID ASSY</t>
  </si>
  <si>
    <t>TD00000322</t>
  </si>
  <si>
    <t>NEW CABLE ASSY FOR LIGHT 7PIN</t>
  </si>
  <si>
    <t>TD00000323</t>
  </si>
  <si>
    <t>NEW THERMAL CONDUCTIVE SH. 43.5X26</t>
  </si>
  <si>
    <t>ES00000031</t>
  </si>
  <si>
    <t>NEW ELECTROMAGNETIC BASE ASSY</t>
  </si>
  <si>
    <t>ES00000032</t>
  </si>
  <si>
    <t>NEW HANDLE LEVER</t>
  </si>
  <si>
    <t>ES00000036</t>
  </si>
  <si>
    <t>NEW SWITCH FOR MAGNET</t>
  </si>
  <si>
    <t>ES00000037</t>
  </si>
  <si>
    <t>NEW SWITCH FOR DRILL</t>
  </si>
  <si>
    <t>ES00000050</t>
  </si>
  <si>
    <t>NEW CABLE GLAND PG9</t>
  </si>
  <si>
    <t>ES00000051</t>
  </si>
  <si>
    <t>NEW COOLANT BOTTLE ASSY</t>
  </si>
  <si>
    <t>ES00000057</t>
  </si>
  <si>
    <t>NEW GUIDE GIB PLATE BRASS</t>
  </si>
  <si>
    <t>ES00000063</t>
  </si>
  <si>
    <t>NEW BRIDGE RECTIFIER</t>
  </si>
  <si>
    <t>ES00000081</t>
  </si>
  <si>
    <t>NEW BRUSH HOLDER COVER</t>
  </si>
  <si>
    <t>ES00000082</t>
  </si>
  <si>
    <t>ES00000083</t>
  </si>
  <si>
    <t>NEW STATOR ASSY 220-240V</t>
  </si>
  <si>
    <t>ES00000086</t>
  </si>
  <si>
    <t>NEW ARMATURE ASSY 220-240V</t>
  </si>
  <si>
    <t>ES00000088</t>
  </si>
  <si>
    <t>NEW GEAR HOUSING COVER ASSY</t>
  </si>
  <si>
    <t>ES00000095</t>
  </si>
  <si>
    <t>NEW GEAR HOUSING ASSY</t>
  </si>
  <si>
    <t>ES00000102</t>
  </si>
  <si>
    <t>NEW HEAR HOUSING GASKET</t>
  </si>
  <si>
    <t>ES00000104</t>
  </si>
  <si>
    <t>NEW SLEEVE</t>
  </si>
  <si>
    <t>ES00000122</t>
  </si>
  <si>
    <t>NEW NBR BRACKET ASSY</t>
  </si>
  <si>
    <t>ES00000130</t>
  </si>
  <si>
    <t>ES00000132</t>
  </si>
  <si>
    <t>NEW BALL BEARING 6000ZZ</t>
  </si>
  <si>
    <t>ES00000133</t>
  </si>
  <si>
    <t>NEW BEARING CAP</t>
  </si>
  <si>
    <t>ES00000134</t>
  </si>
  <si>
    <t>ES00000136</t>
  </si>
  <si>
    <t>ES00000137</t>
  </si>
  <si>
    <t>ES00000139</t>
  </si>
  <si>
    <t>NEW BRUSH HOLDER ASSY</t>
  </si>
  <si>
    <t>ES00000140</t>
  </si>
  <si>
    <t>NEW AUTO CUT-OFF CARBON BRUSH PAIR</t>
  </si>
  <si>
    <t>ES00000142</t>
  </si>
  <si>
    <t>NEW BALL BEARING 6001RS</t>
  </si>
  <si>
    <t>ES00000172</t>
  </si>
  <si>
    <t>ES00000178</t>
  </si>
  <si>
    <t>ES00000190</t>
  </si>
  <si>
    <t>ES00000193</t>
  </si>
  <si>
    <t>ES00000219</t>
  </si>
  <si>
    <t>162B92-0</t>
  </si>
  <si>
    <t>232965-0</t>
  </si>
  <si>
    <t>NEW RESPORTE DE COMPRESIÓN 15 / HP1640 - HP1641</t>
  </si>
  <si>
    <t>413E90-8</t>
  </si>
  <si>
    <t>NEW CUBIERTA SUPERIOR AZUL /VARIOS</t>
  </si>
  <si>
    <t>137434-5</t>
  </si>
  <si>
    <t>413V01-5</t>
  </si>
  <si>
    <t>NEW PALANCA INTERRUPTORA / M9510</t>
  </si>
  <si>
    <t>137016-3</t>
  </si>
  <si>
    <t>327H92-5</t>
  </si>
  <si>
    <t>183U29-8</t>
  </si>
  <si>
    <t>NEW MOTOR HOUSING ASSEMBLY P/ UB004G</t>
  </si>
  <si>
    <t>411234-4</t>
  </si>
  <si>
    <t>NEW GUIA DEL VENTILADOR P/ VARIOS</t>
  </si>
  <si>
    <t>JM00000704</t>
  </si>
  <si>
    <t>NEW UP BLADE GUARD COMPLETE P/ LS1018L</t>
  </si>
  <si>
    <t>122L33-8</t>
  </si>
  <si>
    <t>1412V6-6</t>
  </si>
  <si>
    <t>4134X2-3</t>
  </si>
  <si>
    <t>NEW DUST BOX ASSEMBLY P/ CS004G</t>
  </si>
  <si>
    <t>137038-3</t>
  </si>
  <si>
    <t>YUNQUE</t>
  </si>
  <si>
    <t>NEW GEAR HOUSING COMPLETE P/ CS004G</t>
  </si>
  <si>
    <t>1832R4-6</t>
  </si>
  <si>
    <t>NEW MOTOR HOUSING SET P/ CS004G</t>
  </si>
  <si>
    <t>327B23-8</t>
  </si>
  <si>
    <t>NEW BAFFLE PLATE P/ CS004G</t>
  </si>
  <si>
    <t>4134X3-1</t>
  </si>
  <si>
    <t>NEW BLADE COVER P/ CS004G</t>
  </si>
  <si>
    <t>4134X4-9</t>
  </si>
  <si>
    <t>NEW BLADE CASE P/ CS004G</t>
  </si>
  <si>
    <t>620T43-2</t>
  </si>
  <si>
    <t>NEW CONTROLLER P/ CS004G</t>
  </si>
  <si>
    <t>620T57-1</t>
  </si>
  <si>
    <t>NEW LED CIRCUIT P/ CS004G</t>
  </si>
  <si>
    <t>CUBIERTA DE CORREA</t>
  </si>
  <si>
    <t>SOPORTE DE TRABA</t>
  </si>
  <si>
    <t>CUBIERTA DE CORREA / CE003G</t>
  </si>
  <si>
    <t>137321-8</t>
  </si>
  <si>
    <t>NEW MONTAJE DEL SUJETADOR DE LA HERRAMIENTA P/ HR2670</t>
  </si>
  <si>
    <t>CAJA DE ENGRANAJE / HR011G - HR012G</t>
  </si>
  <si>
    <t>PORTAHERRAMIENTA / HR011G</t>
  </si>
  <si>
    <t>CIRCUITO DE INTERRUPTOR / CE003G</t>
  </si>
  <si>
    <t>CAJA DE TRANSMISION / DBN620</t>
  </si>
  <si>
    <t>CARCASA DEL INTERRUPTOR COMPLETO / UB004C</t>
  </si>
  <si>
    <t>CAJA MOTOR COMPLETO / CE003G</t>
  </si>
  <si>
    <t>CARCASA DEL INTERRUPTOR COMPLETO / HR011G - HR012G</t>
  </si>
  <si>
    <t>ANILLO DE GOMA X 28 / VARIOS</t>
  </si>
  <si>
    <t>PIÑON 8 / UC030G - UC033G</t>
  </si>
  <si>
    <t>CAJA DE RODAMIENTO / CE003G</t>
  </si>
  <si>
    <t>EJE / CE003G</t>
  </si>
  <si>
    <t>CARTUCHO / DBN620</t>
  </si>
  <si>
    <t>PALANCA DE FRENO / UC030G - UC033G</t>
  </si>
  <si>
    <t>SOPORTE DE PALANCA DE FRENO / UC030G - UC033G</t>
  </si>
  <si>
    <t>PROTECTOR DE CAMARA DE ACEITE / UC030G - UC033G</t>
  </si>
  <si>
    <t>SOPORTE DE PALANCA DE FRENO / DUC258</t>
  </si>
  <si>
    <t>413R11-8</t>
  </si>
  <si>
    <t>CAJA MOTOR / GA4600 - GA5100</t>
  </si>
  <si>
    <t>413R12-6</t>
  </si>
  <si>
    <t>PALANCA DEL INTERRUPTOR / GA4600 - GA5100</t>
  </si>
  <si>
    <t>CAJA MOTOR / CE003G</t>
  </si>
  <si>
    <t>AMORTIGUADOR A / CE003G</t>
  </si>
  <si>
    <t>BOQUILLA DE GOMA / VARIOS</t>
  </si>
  <si>
    <t>CUBIERTA AWS / VARIOS</t>
  </si>
  <si>
    <t>ROTOR 40V / HR011G - HR012G</t>
  </si>
  <si>
    <t>620N71-1</t>
  </si>
  <si>
    <t>CONTROLADOR / VS001G</t>
  </si>
  <si>
    <t>CIRCUITO LED / CE003G</t>
  </si>
  <si>
    <t>INTERRUPTOR / CE003G</t>
  </si>
  <si>
    <t>125867-6</t>
  </si>
  <si>
    <t>MOTOR DC 18V / DCL180</t>
  </si>
  <si>
    <t>140C81-1</t>
  </si>
  <si>
    <t>SOPORTE DE SELLO / JR3061T</t>
  </si>
  <si>
    <t>ORING 9 / VARIOS</t>
  </si>
  <si>
    <t>213918-8</t>
  </si>
  <si>
    <t>ORING 12.5 / DGP180</t>
  </si>
  <si>
    <t>213A00-9</t>
  </si>
  <si>
    <t>ORING 60 / DGP180</t>
  </si>
  <si>
    <t>265C21-9</t>
  </si>
  <si>
    <t>PERNO M4X35 WG / VARIOS</t>
  </si>
  <si>
    <t>266948-8</t>
  </si>
  <si>
    <t>PERNO M4X20 WR CON LOCTITE / VARIOS</t>
  </si>
  <si>
    <t>285048-5</t>
  </si>
  <si>
    <t>RETENEDOR DE RODAMIENTO 27-46 / VARIOS</t>
  </si>
  <si>
    <t>327652-5</t>
  </si>
  <si>
    <t>DESLIZADOR / JR3061T - JR001G</t>
  </si>
  <si>
    <t>327C20-0</t>
  </si>
  <si>
    <t>MANGO DELANTERO 26 / CE001G - CE002G</t>
  </si>
  <si>
    <t>346948-5</t>
  </si>
  <si>
    <t>ARANDELA 25 / VARIOS</t>
  </si>
  <si>
    <t>347773-7</t>
  </si>
  <si>
    <t>PLACA SUPERIOR / DTR181</t>
  </si>
  <si>
    <t>347909-8</t>
  </si>
  <si>
    <t>PALANCA A / VARIOS</t>
  </si>
  <si>
    <t>419410-4</t>
  </si>
  <si>
    <t>422667-8</t>
  </si>
  <si>
    <t>EMPAQUE DE GOMA / DGP180</t>
  </si>
  <si>
    <t>620H49-8</t>
  </si>
  <si>
    <t>CONTROLADOR / CE001G</t>
  </si>
  <si>
    <t>911163-6</t>
  </si>
  <si>
    <t>TORNILLO M4X35 WR / VARIOS</t>
  </si>
  <si>
    <t>1830N0-4</t>
  </si>
  <si>
    <t>CARCASA MOTOR INTERNA / UN001G</t>
  </si>
  <si>
    <t>141H42-4</t>
  </si>
  <si>
    <t>NEW CUBIERTA DEL CARCASA DEL ENGRANAJE COMPLETO / VARIOS</t>
  </si>
  <si>
    <t>122E51-4</t>
  </si>
  <si>
    <t>141H20-4</t>
  </si>
  <si>
    <t>265A96-6</t>
  </si>
  <si>
    <t>PERNO HEXAGONAL M5X14 / UNIVERSAL</t>
  </si>
  <si>
    <t>265B11-6</t>
  </si>
  <si>
    <t>PERNO DE CABEZA HEXAGONAL M8X20 / UNIVERSAL</t>
  </si>
  <si>
    <t>265B14-0</t>
  </si>
  <si>
    <t>PERNO HEXAGONAL M6X20 / UNIVERSAL</t>
  </si>
  <si>
    <t>265C76-4</t>
  </si>
  <si>
    <t>PERNO DE CABEZA HEXAGONAL M5X35 / UNIVERSAL</t>
  </si>
  <si>
    <t>265D23-1</t>
  </si>
  <si>
    <t>PERNO HEXAGONAL M6X22 / UNIVERSAL</t>
  </si>
  <si>
    <t>319906-4</t>
  </si>
  <si>
    <t>ECUALIZADOR DE FRENO DERECHA / VARIOS</t>
  </si>
  <si>
    <t>347621-0</t>
  </si>
  <si>
    <t>ABRAZADERA 57 / VARIOS</t>
  </si>
  <si>
    <t>347629-4</t>
  </si>
  <si>
    <t>ABRAZADERA DEL CABLE / VARIOS</t>
  </si>
  <si>
    <t>347994-1</t>
  </si>
  <si>
    <t>ABRAZADERA IZQUIERDA / VARIOS</t>
  </si>
  <si>
    <t>347995-9</t>
  </si>
  <si>
    <t>ABRAZADERA DERECHA / VARIOS</t>
  </si>
  <si>
    <t>422556-7</t>
  </si>
  <si>
    <t>001118100</t>
  </si>
  <si>
    <t>122C28-7</t>
  </si>
  <si>
    <t>FRENO DE GIRO IZQUIERDO</t>
  </si>
  <si>
    <t>122C29-5</t>
  </si>
  <si>
    <t>FRENO DE GIRO DERECHO</t>
  </si>
  <si>
    <t>122F35-8</t>
  </si>
  <si>
    <t>ABRAZADERA 110 / PM001G</t>
  </si>
  <si>
    <t>141W75-9</t>
  </si>
  <si>
    <t>PALANCA DE CAMBIO / TW010G - TW009G</t>
  </si>
  <si>
    <t>183V95-1</t>
  </si>
  <si>
    <t>CAJA MOTOR INTERNA / DUH606 - DUH506</t>
  </si>
  <si>
    <t>187901-0</t>
  </si>
  <si>
    <t>MANGO INTERRUPTOR / UC4551A - UC4051A</t>
  </si>
  <si>
    <t>232872-7</t>
  </si>
  <si>
    <t>RESORTE DE HOJA / TW010G - TW009G</t>
  </si>
  <si>
    <t>265C46-3</t>
  </si>
  <si>
    <t>PERNO CABEZA HEXAGONAL M4X12</t>
  </si>
  <si>
    <t>327D89-0</t>
  </si>
  <si>
    <t>MARTILLO / TW010G - TW009G</t>
  </si>
  <si>
    <t>413M58-2</t>
  </si>
  <si>
    <t>ABRAZADERA / PM001G</t>
  </si>
  <si>
    <t>422904-0</t>
  </si>
  <si>
    <t>CONTRAPOLVO / VARIOS</t>
  </si>
  <si>
    <t>422980-4</t>
  </si>
  <si>
    <t>TUBO 10-100 / PM001G</t>
  </si>
  <si>
    <t>422982-0</t>
  </si>
  <si>
    <t>TUBO 10-370 / PM001G</t>
  </si>
  <si>
    <t>519764-0</t>
  </si>
  <si>
    <t>620P41-2</t>
  </si>
  <si>
    <t>TARJETA / RP001G</t>
  </si>
  <si>
    <t>643715-2</t>
  </si>
  <si>
    <t>CABLE DE ALIMENTACION 8.5 / VARIOS</t>
  </si>
  <si>
    <t>JM23300025</t>
  </si>
  <si>
    <t>PLACA DE ELEVACION / LH1201FL - LH1200FL</t>
  </si>
  <si>
    <t>JM23300057</t>
  </si>
  <si>
    <t>PERNO DE CABEZA HEXAGONAL M8X12 / UNIVERSAL</t>
  </si>
  <si>
    <t>JM23300058</t>
  </si>
  <si>
    <t>TORNILLO GUIA / LH1201FL - LH1200FL</t>
  </si>
  <si>
    <t>JM23300153</t>
  </si>
  <si>
    <t>RESORTE DE COMPRESION / LH1201FL - LH1200FL</t>
  </si>
  <si>
    <t>127689-0</t>
  </si>
  <si>
    <t>Montaje de la pieza frontal 4.8 / DRV150 - DRV250</t>
  </si>
  <si>
    <t>162744-1</t>
  </si>
  <si>
    <t>Tubo completo 4.2 / DRV250</t>
  </si>
  <si>
    <t>312A82-9</t>
  </si>
  <si>
    <t>SUJETADOR DE RESORTE / FN001G</t>
  </si>
  <si>
    <t>312B52-4</t>
  </si>
  <si>
    <t>Tuerca para tornillos 6.4S / DRV250</t>
  </si>
  <si>
    <t>319905-6</t>
  </si>
  <si>
    <t>ECUALIZADOR DE FRENO IZQUIERDA / VARIOS</t>
  </si>
  <si>
    <t>327754-7</t>
  </si>
  <si>
    <t>TUBO GUIA / FN001G</t>
  </si>
  <si>
    <t>327757-1</t>
  </si>
  <si>
    <t>GUIA DE RESORTE / FN001G</t>
  </si>
  <si>
    <t>327830-7</t>
  </si>
  <si>
    <t>Cabezal 6.4S / DRV250</t>
  </si>
  <si>
    <t>327831-5</t>
  </si>
  <si>
    <t>Carcasa de las mordazas 6.4S / DRV250</t>
  </si>
  <si>
    <t>347793-1</t>
  </si>
  <si>
    <t>RIEL / FN001G</t>
  </si>
  <si>
    <t>347799-9</t>
  </si>
  <si>
    <t>TRABADOR DE CLAVOS / FN001G</t>
  </si>
  <si>
    <t>347993-3</t>
  </si>
  <si>
    <t>CLAVIJA BASE / VARIOS</t>
  </si>
  <si>
    <t>422664-4</t>
  </si>
  <si>
    <t>COJIN / FN001G</t>
  </si>
  <si>
    <t>CAPACITOR 35 MICRO F /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</si>
</sst>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-&quot;S/&quot;* #,##0.00_-;\-&quot;S/&quot;* #,##0.00_-;_-&quot;S/&quot;* &quot;-&quot;??_-;_-@_-"/>
    <numFmt numFmtId="166" formatCode="0.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color theme="0"/>
      <name val="Arial"/>
      <family val="2"/>
    </font>
    <font>
      <sz val="9"/>
      <color rgb="FF008396"/>
      <name val="Arial"/>
      <family val="2"/>
    </font>
    <font>
      <sz val="9"/>
      <color theme="1"/>
      <name val="Arial"/>
      <family val="2"/>
    </font>
    <font>
      <b/>
      <sz val="22"/>
      <color theme="0"/>
      <name val="Arial"/>
      <family val="2"/>
    </font>
    <font>
      <sz val="9"/>
      <color theme="0" tint="-0.1499984740745262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b/>
      <sz val="10"/>
      <name val="Arial"/>
      <family val="2"/>
    </font>
    <font>
      <b/>
      <i/>
      <sz val="9"/>
      <color rgb="FFC00000"/>
      <name val="Arial"/>
      <family val="2"/>
    </font>
    <font>
      <i/>
      <sz val="9"/>
      <color rgb="FFC00000"/>
      <name val="Arial"/>
      <family val="2"/>
    </font>
    <font>
      <i/>
      <sz val="11"/>
      <color rgb="FFC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i/>
      <sz val="8"/>
      <color rgb="FFC00000"/>
      <name val="Arial"/>
      <family val="2"/>
    </font>
    <font>
      <b/>
      <u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theme="0" tint="-0.14999847407452621"/>
      <name val="Arial"/>
      <family val="2"/>
    </font>
    <font>
      <sz val="8"/>
      <color theme="0" tint="-0.14999847407452621"/>
      <name val="Arial"/>
      <family val="2"/>
    </font>
    <font>
      <b/>
      <sz val="10"/>
      <color theme="1"/>
      <name val="Calibri"/>
      <family val="2"/>
      <scheme val="minor"/>
    </font>
    <font>
      <b/>
      <u val="singleAccounting"/>
      <sz val="8"/>
      <color theme="0"/>
      <name val="Arial"/>
      <family val="2"/>
    </font>
    <font>
      <b/>
      <sz val="8"/>
      <color rgb="FF009999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i/>
      <sz val="8"/>
      <color theme="1" tint="0.499984740745262"/>
      <name val="Arial"/>
      <family val="2"/>
    </font>
    <font>
      <b/>
      <i/>
      <sz val="7"/>
      <color theme="1" tint="0.499984740745262"/>
      <name val="Arial"/>
      <family val="2"/>
    </font>
    <font>
      <b/>
      <sz val="10"/>
      <color rgb="FF009999"/>
      <name val="Arial"/>
      <family val="2"/>
    </font>
    <font>
      <sz val="10"/>
      <color theme="1"/>
      <name val="Arial"/>
      <family val="2"/>
    </font>
    <font>
      <b/>
      <sz val="12"/>
      <color rgb="FF00999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8396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C829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 applyProtection="1">
      <alignment horizontal="right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4" fontId="7" fillId="0" borderId="0" xfId="0" applyNumberFormat="1" applyFont="1" applyAlignment="1" applyProtection="1">
      <alignment horizontal="right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0" fontId="10" fillId="3" borderId="1" xfId="0" applyFont="1" applyFill="1" applyBorder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horizontal="right" vertical="center"/>
      <protection locked="0"/>
    </xf>
    <xf numFmtId="0" fontId="10" fillId="4" borderId="2" xfId="0" applyFont="1" applyFill="1" applyBorder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5" fillId="3" borderId="0" xfId="0" applyFont="1" applyFill="1" applyAlignment="1" applyProtection="1">
      <alignment horizontal="left" vertical="center"/>
      <protection locked="0"/>
    </xf>
    <xf numFmtId="0" fontId="4" fillId="0" borderId="2" xfId="0" applyFont="1" applyBorder="1" applyAlignment="1">
      <alignment vertical="center"/>
    </xf>
    <xf numFmtId="0" fontId="16" fillId="0" borderId="3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16" fillId="0" borderId="7" xfId="0" applyFont="1" applyBorder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  <xf numFmtId="0" fontId="16" fillId="0" borderId="9" xfId="0" applyFont="1" applyBorder="1" applyAlignment="1" applyProtection="1">
      <alignment vertical="center"/>
      <protection locked="0"/>
    </xf>
    <xf numFmtId="0" fontId="16" fillId="0" borderId="10" xfId="0" applyFont="1" applyBorder="1" applyAlignment="1" applyProtection="1">
      <alignment vertical="center"/>
      <protection locked="0"/>
    </xf>
    <xf numFmtId="0" fontId="17" fillId="0" borderId="10" xfId="0" applyFont="1" applyBorder="1" applyAlignment="1" applyProtection="1">
      <alignment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1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24" fillId="5" borderId="0" xfId="0" applyFont="1" applyFill="1" applyAlignment="1" applyProtection="1">
      <alignment horizontal="left" vertical="center"/>
      <protection locked="0"/>
    </xf>
    <xf numFmtId="0" fontId="24" fillId="5" borderId="0" xfId="0" applyFont="1" applyFill="1" applyAlignment="1" applyProtection="1">
      <alignment horizontal="right" vertical="center"/>
      <protection locked="0"/>
    </xf>
    <xf numFmtId="0" fontId="24" fillId="3" borderId="12" xfId="0" applyFont="1" applyFill="1" applyBorder="1" applyAlignment="1" applyProtection="1">
      <alignment vertical="center"/>
      <protection locked="0"/>
    </xf>
    <xf numFmtId="0" fontId="24" fillId="3" borderId="13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25" fillId="5" borderId="0" xfId="0" applyFont="1" applyFill="1" applyAlignment="1" applyProtection="1">
      <alignment horizontal="left" vertical="center"/>
      <protection locked="0"/>
    </xf>
    <xf numFmtId="0" fontId="24" fillId="0" borderId="13" xfId="0" applyFont="1" applyBorder="1" applyAlignment="1" applyProtection="1">
      <alignment horizontal="left" vertical="center"/>
      <protection locked="0"/>
    </xf>
    <xf numFmtId="0" fontId="25" fillId="5" borderId="0" xfId="0" applyFont="1" applyFill="1" applyAlignment="1" applyProtection="1">
      <alignment horizontal="right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24" fillId="3" borderId="14" xfId="0" applyFont="1" applyFill="1" applyBorder="1" applyAlignment="1" applyProtection="1">
      <alignment horizontal="center" vertical="center" textRotation="90"/>
      <protection locked="0"/>
    </xf>
    <xf numFmtId="0" fontId="27" fillId="2" borderId="14" xfId="0" applyFont="1" applyFill="1" applyBorder="1" applyAlignment="1" applyProtection="1">
      <alignment horizontal="left" vertical="center" wrapText="1"/>
      <protection locked="0"/>
    </xf>
    <xf numFmtId="0" fontId="27" fillId="2" borderId="14" xfId="0" applyFont="1" applyFill="1" applyBorder="1" applyAlignment="1" applyProtection="1">
      <alignment horizontal="center" vertical="center" wrapText="1"/>
      <protection locked="0"/>
    </xf>
    <xf numFmtId="165" fontId="27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14" xfId="0" applyFont="1" applyFill="1" applyBorder="1" applyAlignment="1">
      <alignment horizontal="center" vertical="center" wrapText="1"/>
    </xf>
    <xf numFmtId="165" fontId="27" fillId="2" borderId="14" xfId="0" applyNumberFormat="1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165" fontId="28" fillId="0" borderId="14" xfId="0" applyNumberFormat="1" applyFont="1" applyBorder="1" applyAlignment="1">
      <alignment horizontal="center" vertical="center" wrapText="1"/>
    </xf>
    <xf numFmtId="165" fontId="24" fillId="4" borderId="14" xfId="0" applyNumberFormat="1" applyFont="1" applyFill="1" applyBorder="1" applyAlignment="1" applyProtection="1">
      <alignment horizontal="center" vertical="center" wrapText="1"/>
      <protection locked="0"/>
    </xf>
    <xf numFmtId="165" fontId="24" fillId="3" borderId="14" xfId="0" applyNumberFormat="1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3" borderId="14" xfId="0" applyFont="1" applyFill="1" applyBorder="1" applyAlignment="1" applyProtection="1">
      <alignment horizontal="center" vertical="center"/>
      <protection locked="0"/>
    </xf>
    <xf numFmtId="0" fontId="25" fillId="0" borderId="14" xfId="0" applyFont="1" applyBorder="1" applyAlignment="1">
      <alignment horizontal="left" vertical="center"/>
    </xf>
    <xf numFmtId="165" fontId="25" fillId="0" borderId="14" xfId="0" applyNumberFormat="1" applyFont="1" applyBorder="1" applyAlignment="1">
      <alignment horizontal="center" vertical="center"/>
    </xf>
    <xf numFmtId="0" fontId="24" fillId="0" borderId="14" xfId="0" applyFont="1" applyBorder="1" applyAlignment="1" applyProtection="1">
      <alignment horizontal="center" vertical="center"/>
      <protection locked="0"/>
    </xf>
    <xf numFmtId="2" fontId="24" fillId="0" borderId="14" xfId="0" applyNumberFormat="1" applyFont="1" applyBorder="1" applyAlignment="1" applyProtection="1">
      <alignment horizontal="center" vertical="center"/>
      <protection locked="0"/>
    </xf>
    <xf numFmtId="166" fontId="24" fillId="3" borderId="14" xfId="0" applyNumberFormat="1" applyFont="1" applyFill="1" applyBorder="1" applyAlignment="1">
      <alignment horizontal="center" vertical="center"/>
    </xf>
    <xf numFmtId="165" fontId="24" fillId="3" borderId="14" xfId="0" applyNumberFormat="1" applyFont="1" applyFill="1" applyBorder="1" applyAlignment="1">
      <alignment horizontal="center" vertical="center"/>
    </xf>
    <xf numFmtId="165" fontId="29" fillId="0" borderId="14" xfId="0" applyNumberFormat="1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/>
    </xf>
    <xf numFmtId="165" fontId="25" fillId="0" borderId="14" xfId="2" applyNumberFormat="1" applyFont="1" applyFill="1" applyBorder="1" applyAlignment="1" applyProtection="1">
      <alignment horizontal="left" vertical="center" wrapText="1"/>
      <protection locked="0"/>
    </xf>
    <xf numFmtId="49" fontId="30" fillId="0" borderId="15" xfId="0" applyNumberFormat="1" applyFont="1" applyBorder="1" applyAlignment="1">
      <alignment vertical="center"/>
    </xf>
    <xf numFmtId="165" fontId="32" fillId="7" borderId="16" xfId="0" applyNumberFormat="1" applyFont="1" applyFill="1" applyBorder="1" applyAlignment="1">
      <alignment vertical="center"/>
    </xf>
    <xf numFmtId="165" fontId="32" fillId="7" borderId="17" xfId="0" applyNumberFormat="1" applyFont="1" applyFill="1" applyBorder="1" applyAlignment="1">
      <alignment vertical="center"/>
    </xf>
    <xf numFmtId="164" fontId="32" fillId="7" borderId="18" xfId="0" applyNumberFormat="1" applyFont="1" applyFill="1" applyBorder="1" applyAlignment="1">
      <alignment horizontal="right" vertical="center" wrapText="1"/>
    </xf>
    <xf numFmtId="0" fontId="33" fillId="5" borderId="0" xfId="0" applyFont="1" applyFill="1" applyAlignment="1" applyProtection="1">
      <alignment horizontal="left" vertical="center" wrapText="1"/>
      <protection locked="0"/>
    </xf>
    <xf numFmtId="0" fontId="33" fillId="5" borderId="0" xfId="0" applyFont="1" applyFill="1" applyAlignment="1" applyProtection="1">
      <alignment vertical="center" wrapText="1"/>
      <protection locked="0"/>
    </xf>
    <xf numFmtId="165" fontId="27" fillId="8" borderId="19" xfId="0" applyNumberFormat="1" applyFont="1" applyFill="1" applyBorder="1" applyAlignment="1">
      <alignment horizontal="center" vertical="center" wrapText="1"/>
    </xf>
    <xf numFmtId="165" fontId="27" fillId="8" borderId="0" xfId="0" applyNumberFormat="1" applyFont="1" applyFill="1" applyAlignment="1">
      <alignment vertical="center" wrapText="1"/>
    </xf>
    <xf numFmtId="165" fontId="27" fillId="8" borderId="0" xfId="0" applyNumberFormat="1" applyFont="1" applyFill="1" applyAlignment="1">
      <alignment horizontal="center" vertical="center" wrapText="1"/>
    </xf>
    <xf numFmtId="165" fontId="32" fillId="7" borderId="20" xfId="0" applyNumberFormat="1" applyFont="1" applyFill="1" applyBorder="1" applyAlignment="1">
      <alignment vertical="center"/>
    </xf>
    <xf numFmtId="165" fontId="32" fillId="7" borderId="0" xfId="0" applyNumberFormat="1" applyFont="1" applyFill="1" applyAlignment="1">
      <alignment vertical="center"/>
    </xf>
    <xf numFmtId="164" fontId="32" fillId="7" borderId="21" xfId="0" applyNumberFormat="1" applyFont="1" applyFill="1" applyBorder="1" applyAlignment="1">
      <alignment horizontal="right" vertical="center" wrapText="1"/>
    </xf>
    <xf numFmtId="165" fontId="24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34" fillId="5" borderId="23" xfId="0" applyFont="1" applyFill="1" applyBorder="1" applyAlignment="1" applyProtection="1">
      <alignment vertical="center" wrapText="1"/>
      <protection locked="0"/>
    </xf>
    <xf numFmtId="0" fontId="35" fillId="9" borderId="14" xfId="0" applyFont="1" applyFill="1" applyBorder="1" applyAlignment="1" applyProtection="1">
      <alignment horizontal="center" vertical="center"/>
      <protection locked="0"/>
    </xf>
    <xf numFmtId="0" fontId="24" fillId="9" borderId="14" xfId="0" applyFont="1" applyFill="1" applyBorder="1" applyAlignment="1" applyProtection="1">
      <alignment horizontal="center" vertical="center"/>
      <protection locked="0"/>
    </xf>
    <xf numFmtId="10" fontId="27" fillId="6" borderId="0" xfId="1" applyNumberFormat="1" applyFont="1" applyFill="1" applyBorder="1" applyAlignment="1" applyProtection="1">
      <alignment horizontal="center" vertical="center" wrapText="1"/>
    </xf>
    <xf numFmtId="0" fontId="36" fillId="10" borderId="7" xfId="0" applyFont="1" applyFill="1" applyBorder="1" applyAlignment="1" applyProtection="1">
      <alignment horizontal="left" vertical="center" wrapText="1"/>
      <protection locked="0"/>
    </xf>
    <xf numFmtId="0" fontId="36" fillId="5" borderId="8" xfId="0" applyFont="1" applyFill="1" applyBorder="1" applyAlignment="1" applyProtection="1">
      <alignment vertical="center" wrapText="1"/>
      <protection locked="0"/>
    </xf>
    <xf numFmtId="0" fontId="36" fillId="5" borderId="8" xfId="0" applyFont="1" applyFill="1" applyBorder="1" applyAlignment="1" applyProtection="1">
      <alignment horizontal="left" vertical="center" wrapText="1"/>
      <protection locked="0"/>
    </xf>
    <xf numFmtId="0" fontId="36" fillId="4" borderId="7" xfId="0" applyFont="1" applyFill="1" applyBorder="1" applyAlignment="1" applyProtection="1">
      <alignment horizontal="left" vertical="center" wrapText="1"/>
      <protection locked="0"/>
    </xf>
    <xf numFmtId="0" fontId="34" fillId="5" borderId="9" xfId="0" applyFont="1" applyFill="1" applyBorder="1" applyAlignment="1" applyProtection="1">
      <alignment horizontal="left" vertical="center"/>
      <protection locked="0"/>
    </xf>
    <xf numFmtId="0" fontId="33" fillId="5" borderId="11" xfId="0" applyFont="1" applyFill="1" applyBorder="1" applyAlignment="1" applyProtection="1">
      <alignment vertical="center" wrapText="1"/>
      <protection locked="0"/>
    </xf>
    <xf numFmtId="0" fontId="38" fillId="5" borderId="0" xfId="0" applyFont="1" applyFill="1" applyAlignment="1" applyProtection="1">
      <alignment vertical="center"/>
      <protection locked="0"/>
    </xf>
    <xf numFmtId="0" fontId="39" fillId="5" borderId="0" xfId="0" applyFont="1" applyFill="1" applyAlignment="1" applyProtection="1">
      <alignment vertical="center"/>
      <protection locked="0"/>
    </xf>
    <xf numFmtId="4" fontId="15" fillId="9" borderId="5" xfId="0" applyNumberFormat="1" applyFont="1" applyFill="1" applyBorder="1" applyAlignment="1">
      <alignment horizontal="center" vertical="center" wrapText="1"/>
    </xf>
    <xf numFmtId="4" fontId="15" fillId="9" borderId="8" xfId="0" applyNumberFormat="1" applyFont="1" applyFill="1" applyBorder="1" applyAlignment="1">
      <alignment horizontal="center" vertical="center" wrapText="1"/>
    </xf>
    <xf numFmtId="4" fontId="15" fillId="9" borderId="11" xfId="0" applyNumberFormat="1" applyFont="1" applyFill="1" applyBorder="1" applyAlignment="1">
      <alignment horizontal="center" vertical="center" wrapText="1"/>
    </xf>
    <xf numFmtId="0" fontId="41" fillId="0" borderId="0" xfId="0" applyFont="1" applyAlignment="1" applyProtection="1">
      <alignment vertical="center"/>
      <protection locked="0"/>
    </xf>
    <xf numFmtId="4" fontId="40" fillId="3" borderId="18" xfId="0" applyNumberFormat="1" applyFont="1" applyFill="1" applyBorder="1" applyAlignment="1" applyProtection="1">
      <alignment horizontal="center" vertical="center" wrapText="1"/>
      <protection locked="0"/>
    </xf>
    <xf numFmtId="4" fontId="42" fillId="3" borderId="26" xfId="0" applyNumberFormat="1" applyFont="1" applyFill="1" applyBorder="1" applyAlignment="1">
      <alignment horizontal="center" vertical="center" wrapText="1"/>
    </xf>
    <xf numFmtId="0" fontId="36" fillId="12" borderId="7" xfId="0" applyFont="1" applyFill="1" applyBorder="1" applyAlignment="1" applyProtection="1">
      <alignment horizontal="left" vertical="center" wrapText="1"/>
      <protection locked="0"/>
    </xf>
    <xf numFmtId="0" fontId="36" fillId="13" borderId="7" xfId="0" applyFont="1" applyFill="1" applyBorder="1" applyAlignment="1" applyProtection="1">
      <alignment horizontal="left" vertical="center" wrapText="1"/>
      <protection locked="0"/>
    </xf>
    <xf numFmtId="0" fontId="36" fillId="11" borderId="9" xfId="0" applyFont="1" applyFill="1" applyBorder="1" applyAlignment="1" applyProtection="1">
      <alignment horizontal="left" vertical="center" wrapText="1"/>
      <protection locked="0"/>
    </xf>
    <xf numFmtId="0" fontId="36" fillId="5" borderId="1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/>
    </xf>
    <xf numFmtId="0" fontId="0" fillId="0" borderId="33" xfId="0" applyBorder="1"/>
    <xf numFmtId="0" fontId="0" fillId="0" borderId="32" xfId="0" applyBorder="1"/>
    <xf numFmtId="4" fontId="0" fillId="0" borderId="1" xfId="0" applyNumberFormat="1" applyBorder="1"/>
    <xf numFmtId="0" fontId="38" fillId="5" borderId="0" xfId="0" applyFont="1" applyFill="1" applyAlignment="1" applyProtection="1">
      <alignment horizontal="left" vertical="center" wrapText="1"/>
      <protection locked="0"/>
    </xf>
    <xf numFmtId="165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165" fontId="15" fillId="3" borderId="25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165" fontId="31" fillId="2" borderId="0" xfId="0" applyNumberFormat="1" applyFont="1" applyFill="1" applyAlignment="1" applyProtection="1">
      <alignment horizontal="center" vertical="center" wrapText="1"/>
      <protection locked="0"/>
    </xf>
    <xf numFmtId="165" fontId="15" fillId="9" borderId="3" xfId="0" applyNumberFormat="1" applyFont="1" applyFill="1" applyBorder="1" applyAlignment="1">
      <alignment horizontal="center" vertical="center"/>
    </xf>
    <xf numFmtId="165" fontId="15" fillId="9" borderId="4" xfId="0" applyNumberFormat="1" applyFont="1" applyFill="1" applyBorder="1" applyAlignment="1">
      <alignment horizontal="center" vertical="center"/>
    </xf>
    <xf numFmtId="165" fontId="15" fillId="9" borderId="7" xfId="0" applyNumberFormat="1" applyFont="1" applyFill="1" applyBorder="1" applyAlignment="1">
      <alignment horizontal="center" vertical="center"/>
    </xf>
    <xf numFmtId="165" fontId="15" fillId="9" borderId="0" xfId="0" applyNumberFormat="1" applyFont="1" applyFill="1" applyAlignment="1">
      <alignment horizontal="center" vertical="center"/>
    </xf>
    <xf numFmtId="165" fontId="15" fillId="9" borderId="9" xfId="0" applyNumberFormat="1" applyFont="1" applyFill="1" applyBorder="1" applyAlignment="1">
      <alignment horizontal="center" vertical="center"/>
    </xf>
    <xf numFmtId="165" fontId="15" fillId="9" borderId="10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15" fillId="3" borderId="16" xfId="0" applyNumberFormat="1" applyFont="1" applyFill="1" applyBorder="1" applyAlignment="1" applyProtection="1">
      <alignment horizontal="center" vertical="center" wrapText="1"/>
      <protection locked="0"/>
    </xf>
    <xf numFmtId="165" fontId="15" fillId="3" borderId="17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Millares 5" xfId="2" xr:uid="{8318185C-1E05-4BF1-86B5-05E7C9CEED1B}"/>
    <cellStyle name="Normal" xfId="0" builtinId="0"/>
    <cellStyle name="Porcentaje" xfId="1" builtinId="5"/>
  </cellStyles>
  <dxfs count="19"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70C0"/>
      </font>
      <fill>
        <patternFill>
          <bgColor rgb="FF0070C0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63489</xdr:colOff>
      <xdr:row>1</xdr:row>
      <xdr:rowOff>102690</xdr:rowOff>
    </xdr:from>
    <xdr:to>
      <xdr:col>2</xdr:col>
      <xdr:colOff>144780</xdr:colOff>
      <xdr:row>4</xdr:row>
      <xdr:rowOff>15240</xdr:rowOff>
    </xdr:to>
    <xdr:grpSp>
      <xdr:nvGrpSpPr>
        <xdr:cNvPr id="804" name="Grupo 803">
          <a:extLst>
            <a:ext uri="{FF2B5EF4-FFF2-40B4-BE49-F238E27FC236}">
              <a16:creationId xmlns:a16="http://schemas.microsoft.com/office/drawing/2014/main" id="{1FE6D51D-AF09-4EAC-B785-4F6BC8ED6C7A}"/>
            </a:ext>
          </a:extLst>
        </xdr:cNvPr>
        <xdr:cNvGrpSpPr/>
      </xdr:nvGrpSpPr>
      <xdr:grpSpPr>
        <a:xfrm>
          <a:off x="63489" y="459878"/>
          <a:ext cx="2200604" cy="626925"/>
          <a:chOff x="145445" y="77674"/>
          <a:chExt cx="1120853" cy="664767"/>
        </a:xfrm>
      </xdr:grpSpPr>
      <xdr:pic>
        <xdr:nvPicPr>
          <xdr:cNvPr id="805" name="Imagen 21" descr="Resultado de imagen para makita logo">
            <a:extLst>
              <a:ext uri="{FF2B5EF4-FFF2-40B4-BE49-F238E27FC236}">
                <a16:creationId xmlns:a16="http://schemas.microsoft.com/office/drawing/2014/main" id="{6A34C356-06D6-EE74-B7B2-FC81F4C7DA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65555" y="77674"/>
            <a:ext cx="1058483" cy="5126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06" name="Rectangle 5">
            <a:extLst>
              <a:ext uri="{FF2B5EF4-FFF2-40B4-BE49-F238E27FC236}">
                <a16:creationId xmlns:a16="http://schemas.microsoft.com/office/drawing/2014/main" id="{F5F3FA33-9DFD-7C85-1365-CFC9032C981B}"/>
              </a:ext>
            </a:extLst>
          </xdr:cNvPr>
          <xdr:cNvSpPr>
            <a:spLocks noChangeArrowheads="1"/>
          </xdr:cNvSpPr>
        </xdr:nvSpPr>
        <xdr:spPr bwMode="auto">
          <a:xfrm>
            <a:off x="145445" y="539711"/>
            <a:ext cx="1120853" cy="2027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>
            <a:noAutofit/>
          </a:bodyPr>
          <a:lstStyle/>
          <a:p>
            <a:pPr algn="ctr" rtl="0">
              <a:defRPr sz="1000"/>
            </a:pPr>
            <a:r>
              <a:rPr lang="es-US" sz="700" b="1" i="1" u="none" strike="noStrike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Variedad, servicio y confianza</a:t>
            </a:r>
          </a:p>
        </xdr:txBody>
      </xdr:sp>
    </xdr:grpSp>
    <xdr:clientData/>
  </xdr:two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07" name="Imagen 3">
          <a:extLst>
            <a:ext uri="{FF2B5EF4-FFF2-40B4-BE49-F238E27FC236}">
              <a16:creationId xmlns:a16="http://schemas.microsoft.com/office/drawing/2014/main" id="{1D2F5931-BA55-4CD2-BEB3-B1CE1BA6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08" name="Imagen 3">
          <a:extLst>
            <a:ext uri="{FF2B5EF4-FFF2-40B4-BE49-F238E27FC236}">
              <a16:creationId xmlns:a16="http://schemas.microsoft.com/office/drawing/2014/main" id="{8B5DCCD6-FCE8-4B05-9685-998142AD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09" name="Imagen 3">
          <a:extLst>
            <a:ext uri="{FF2B5EF4-FFF2-40B4-BE49-F238E27FC236}">
              <a16:creationId xmlns:a16="http://schemas.microsoft.com/office/drawing/2014/main" id="{EBDAA932-6959-4FBD-9311-9332F158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0" name="Imagen 3">
          <a:extLst>
            <a:ext uri="{FF2B5EF4-FFF2-40B4-BE49-F238E27FC236}">
              <a16:creationId xmlns:a16="http://schemas.microsoft.com/office/drawing/2014/main" id="{4506DB97-EDCF-4CAE-85FF-0A3D6DAF1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1" name="Imagen 3">
          <a:extLst>
            <a:ext uri="{FF2B5EF4-FFF2-40B4-BE49-F238E27FC236}">
              <a16:creationId xmlns:a16="http://schemas.microsoft.com/office/drawing/2014/main" id="{4B6398AB-19E5-4495-9A7C-61AE8E31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2" name="Imagen 3">
          <a:extLst>
            <a:ext uri="{FF2B5EF4-FFF2-40B4-BE49-F238E27FC236}">
              <a16:creationId xmlns:a16="http://schemas.microsoft.com/office/drawing/2014/main" id="{1DCB032C-D366-431E-A426-670D48388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3" name="Imagen 3">
          <a:extLst>
            <a:ext uri="{FF2B5EF4-FFF2-40B4-BE49-F238E27FC236}">
              <a16:creationId xmlns:a16="http://schemas.microsoft.com/office/drawing/2014/main" id="{92C65F19-B492-47EC-807D-BF080C30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4" name="Imagen 3">
          <a:extLst>
            <a:ext uri="{FF2B5EF4-FFF2-40B4-BE49-F238E27FC236}">
              <a16:creationId xmlns:a16="http://schemas.microsoft.com/office/drawing/2014/main" id="{1D3C5DCE-8A9A-40EF-9AA1-917AD4065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5" name="Imagen 3">
          <a:extLst>
            <a:ext uri="{FF2B5EF4-FFF2-40B4-BE49-F238E27FC236}">
              <a16:creationId xmlns:a16="http://schemas.microsoft.com/office/drawing/2014/main" id="{9D07D275-25FD-4B80-AAFF-702E623B9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6" name="Imagen 3">
          <a:extLst>
            <a:ext uri="{FF2B5EF4-FFF2-40B4-BE49-F238E27FC236}">
              <a16:creationId xmlns:a16="http://schemas.microsoft.com/office/drawing/2014/main" id="{02EC29DC-AF6D-4C12-802F-5BE12142C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7" name="Imagen 3">
          <a:extLst>
            <a:ext uri="{FF2B5EF4-FFF2-40B4-BE49-F238E27FC236}">
              <a16:creationId xmlns:a16="http://schemas.microsoft.com/office/drawing/2014/main" id="{773D53D9-773A-42E7-A4F0-3462F722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8" name="Imagen 3">
          <a:extLst>
            <a:ext uri="{FF2B5EF4-FFF2-40B4-BE49-F238E27FC236}">
              <a16:creationId xmlns:a16="http://schemas.microsoft.com/office/drawing/2014/main" id="{2BD5E95C-31A5-4610-829F-939FF990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19" name="Imagen 3">
          <a:extLst>
            <a:ext uri="{FF2B5EF4-FFF2-40B4-BE49-F238E27FC236}">
              <a16:creationId xmlns:a16="http://schemas.microsoft.com/office/drawing/2014/main" id="{49F7CFE2-1064-4900-807D-3E0AD8C00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0" name="Imagen 3">
          <a:extLst>
            <a:ext uri="{FF2B5EF4-FFF2-40B4-BE49-F238E27FC236}">
              <a16:creationId xmlns:a16="http://schemas.microsoft.com/office/drawing/2014/main" id="{33CCFE25-C4C8-4619-BF83-53CD2B5E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1" name="Imagen 3">
          <a:extLst>
            <a:ext uri="{FF2B5EF4-FFF2-40B4-BE49-F238E27FC236}">
              <a16:creationId xmlns:a16="http://schemas.microsoft.com/office/drawing/2014/main" id="{77106A53-D6E0-4269-943D-A29D9FA3D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2" name="Imagen 3">
          <a:extLst>
            <a:ext uri="{FF2B5EF4-FFF2-40B4-BE49-F238E27FC236}">
              <a16:creationId xmlns:a16="http://schemas.microsoft.com/office/drawing/2014/main" id="{BD456DF7-D126-4167-A1DB-125512D0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3" name="Imagen 3">
          <a:extLst>
            <a:ext uri="{FF2B5EF4-FFF2-40B4-BE49-F238E27FC236}">
              <a16:creationId xmlns:a16="http://schemas.microsoft.com/office/drawing/2014/main" id="{26FBC181-0743-4C7C-BB6B-E65A35E12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4" name="Imagen 3">
          <a:extLst>
            <a:ext uri="{FF2B5EF4-FFF2-40B4-BE49-F238E27FC236}">
              <a16:creationId xmlns:a16="http://schemas.microsoft.com/office/drawing/2014/main" id="{0305A161-0286-424B-A577-44BE7CDD1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5" name="Imagen 3">
          <a:extLst>
            <a:ext uri="{FF2B5EF4-FFF2-40B4-BE49-F238E27FC236}">
              <a16:creationId xmlns:a16="http://schemas.microsoft.com/office/drawing/2014/main" id="{EE353D61-7A86-41BF-A158-761C52C7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6" name="Imagen 3">
          <a:extLst>
            <a:ext uri="{FF2B5EF4-FFF2-40B4-BE49-F238E27FC236}">
              <a16:creationId xmlns:a16="http://schemas.microsoft.com/office/drawing/2014/main" id="{87C54D7E-5096-4C2C-801D-02FB7D017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7" name="Imagen 3">
          <a:extLst>
            <a:ext uri="{FF2B5EF4-FFF2-40B4-BE49-F238E27FC236}">
              <a16:creationId xmlns:a16="http://schemas.microsoft.com/office/drawing/2014/main" id="{E8846EE9-A3F1-4188-859C-35E2AB998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8" name="Imagen 3">
          <a:extLst>
            <a:ext uri="{FF2B5EF4-FFF2-40B4-BE49-F238E27FC236}">
              <a16:creationId xmlns:a16="http://schemas.microsoft.com/office/drawing/2014/main" id="{13C0EB4B-A7A8-44A9-9669-0639C1E98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29" name="Imagen 3">
          <a:extLst>
            <a:ext uri="{FF2B5EF4-FFF2-40B4-BE49-F238E27FC236}">
              <a16:creationId xmlns:a16="http://schemas.microsoft.com/office/drawing/2014/main" id="{87B25B98-67C5-466A-B905-613CFA5F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0" name="Imagen 3">
          <a:extLst>
            <a:ext uri="{FF2B5EF4-FFF2-40B4-BE49-F238E27FC236}">
              <a16:creationId xmlns:a16="http://schemas.microsoft.com/office/drawing/2014/main" id="{D1D9B0E4-DE33-4A1D-9CE8-A04EE587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1" name="Imagen 3">
          <a:extLst>
            <a:ext uri="{FF2B5EF4-FFF2-40B4-BE49-F238E27FC236}">
              <a16:creationId xmlns:a16="http://schemas.microsoft.com/office/drawing/2014/main" id="{690E2E9C-D5D1-451C-B4AA-03C4BCCE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2" name="Imagen 3">
          <a:extLst>
            <a:ext uri="{FF2B5EF4-FFF2-40B4-BE49-F238E27FC236}">
              <a16:creationId xmlns:a16="http://schemas.microsoft.com/office/drawing/2014/main" id="{542668F3-B730-4033-8446-95C6FEB5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3" name="Imagen 3">
          <a:extLst>
            <a:ext uri="{FF2B5EF4-FFF2-40B4-BE49-F238E27FC236}">
              <a16:creationId xmlns:a16="http://schemas.microsoft.com/office/drawing/2014/main" id="{8676862F-6222-4518-A324-3399BD1C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4" name="Imagen 3">
          <a:extLst>
            <a:ext uri="{FF2B5EF4-FFF2-40B4-BE49-F238E27FC236}">
              <a16:creationId xmlns:a16="http://schemas.microsoft.com/office/drawing/2014/main" id="{AB44BD36-2CDE-4015-9C59-C218B072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5" name="Imagen 3">
          <a:extLst>
            <a:ext uri="{FF2B5EF4-FFF2-40B4-BE49-F238E27FC236}">
              <a16:creationId xmlns:a16="http://schemas.microsoft.com/office/drawing/2014/main" id="{289488CD-C22A-4D44-AA03-572F5919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6" name="Imagen 3">
          <a:extLst>
            <a:ext uri="{FF2B5EF4-FFF2-40B4-BE49-F238E27FC236}">
              <a16:creationId xmlns:a16="http://schemas.microsoft.com/office/drawing/2014/main" id="{4FCCC1E4-98C5-47F5-A7A9-1E7199F6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7" name="Imagen 3">
          <a:extLst>
            <a:ext uri="{FF2B5EF4-FFF2-40B4-BE49-F238E27FC236}">
              <a16:creationId xmlns:a16="http://schemas.microsoft.com/office/drawing/2014/main" id="{22F20E5A-847E-4DE3-B506-9934E986B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8" name="Imagen 3">
          <a:extLst>
            <a:ext uri="{FF2B5EF4-FFF2-40B4-BE49-F238E27FC236}">
              <a16:creationId xmlns:a16="http://schemas.microsoft.com/office/drawing/2014/main" id="{BF224948-4656-4A64-88C9-B684E0D4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39" name="Imagen 3">
          <a:extLst>
            <a:ext uri="{FF2B5EF4-FFF2-40B4-BE49-F238E27FC236}">
              <a16:creationId xmlns:a16="http://schemas.microsoft.com/office/drawing/2014/main" id="{2C218F7B-9B57-43CD-AFC6-B1EE9DEF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0" name="Imagen 3">
          <a:extLst>
            <a:ext uri="{FF2B5EF4-FFF2-40B4-BE49-F238E27FC236}">
              <a16:creationId xmlns:a16="http://schemas.microsoft.com/office/drawing/2014/main" id="{616571A0-1347-4A24-972A-27750ED4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1" name="Imagen 3">
          <a:extLst>
            <a:ext uri="{FF2B5EF4-FFF2-40B4-BE49-F238E27FC236}">
              <a16:creationId xmlns:a16="http://schemas.microsoft.com/office/drawing/2014/main" id="{BFC06425-D179-4B9B-869F-978C6422B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2" name="Imagen 3">
          <a:extLst>
            <a:ext uri="{FF2B5EF4-FFF2-40B4-BE49-F238E27FC236}">
              <a16:creationId xmlns:a16="http://schemas.microsoft.com/office/drawing/2014/main" id="{C6D6F25D-7148-4A89-9E9C-979077A8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3" name="Imagen 3">
          <a:extLst>
            <a:ext uri="{FF2B5EF4-FFF2-40B4-BE49-F238E27FC236}">
              <a16:creationId xmlns:a16="http://schemas.microsoft.com/office/drawing/2014/main" id="{DD429251-81ED-4999-BC7C-804CC194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4" name="Imagen 3">
          <a:extLst>
            <a:ext uri="{FF2B5EF4-FFF2-40B4-BE49-F238E27FC236}">
              <a16:creationId xmlns:a16="http://schemas.microsoft.com/office/drawing/2014/main" id="{90D9104E-1550-4E58-A138-779362D7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5" name="Imagen 3">
          <a:extLst>
            <a:ext uri="{FF2B5EF4-FFF2-40B4-BE49-F238E27FC236}">
              <a16:creationId xmlns:a16="http://schemas.microsoft.com/office/drawing/2014/main" id="{6F5479DD-FEC1-4483-AF65-E59AD818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6" name="Imagen 3">
          <a:extLst>
            <a:ext uri="{FF2B5EF4-FFF2-40B4-BE49-F238E27FC236}">
              <a16:creationId xmlns:a16="http://schemas.microsoft.com/office/drawing/2014/main" id="{917D2120-6C91-41E9-A132-397A54B96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7" name="Imagen 3">
          <a:extLst>
            <a:ext uri="{FF2B5EF4-FFF2-40B4-BE49-F238E27FC236}">
              <a16:creationId xmlns:a16="http://schemas.microsoft.com/office/drawing/2014/main" id="{ED3B9A5F-DCEA-4789-AB68-5CEC9C6E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8" name="Imagen 3">
          <a:extLst>
            <a:ext uri="{FF2B5EF4-FFF2-40B4-BE49-F238E27FC236}">
              <a16:creationId xmlns:a16="http://schemas.microsoft.com/office/drawing/2014/main" id="{FB17BE83-D2C1-4269-AA85-0F2963EEB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49" name="Imagen 3">
          <a:extLst>
            <a:ext uri="{FF2B5EF4-FFF2-40B4-BE49-F238E27FC236}">
              <a16:creationId xmlns:a16="http://schemas.microsoft.com/office/drawing/2014/main" id="{54824630-28EB-4F65-9CF1-2BF90830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0" name="Imagen 3">
          <a:extLst>
            <a:ext uri="{FF2B5EF4-FFF2-40B4-BE49-F238E27FC236}">
              <a16:creationId xmlns:a16="http://schemas.microsoft.com/office/drawing/2014/main" id="{D1B4E76A-B3E6-4C21-A16D-EE7E1192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1" name="Imagen 3">
          <a:extLst>
            <a:ext uri="{FF2B5EF4-FFF2-40B4-BE49-F238E27FC236}">
              <a16:creationId xmlns:a16="http://schemas.microsoft.com/office/drawing/2014/main" id="{11B43806-E1F5-4E15-9C59-3AA9DA7E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2" name="Imagen 3">
          <a:extLst>
            <a:ext uri="{FF2B5EF4-FFF2-40B4-BE49-F238E27FC236}">
              <a16:creationId xmlns:a16="http://schemas.microsoft.com/office/drawing/2014/main" id="{8FF3C2CF-464C-4018-A383-F5618A08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3" name="Imagen 3">
          <a:extLst>
            <a:ext uri="{FF2B5EF4-FFF2-40B4-BE49-F238E27FC236}">
              <a16:creationId xmlns:a16="http://schemas.microsoft.com/office/drawing/2014/main" id="{36635D26-6C1F-43F7-BC81-0DAB61C5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4" name="Imagen 3">
          <a:extLst>
            <a:ext uri="{FF2B5EF4-FFF2-40B4-BE49-F238E27FC236}">
              <a16:creationId xmlns:a16="http://schemas.microsoft.com/office/drawing/2014/main" id="{462161FD-589A-4ECC-A4B9-AAC30A68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5" name="Imagen 3">
          <a:extLst>
            <a:ext uri="{FF2B5EF4-FFF2-40B4-BE49-F238E27FC236}">
              <a16:creationId xmlns:a16="http://schemas.microsoft.com/office/drawing/2014/main" id="{96871CDA-9E56-4755-A112-F447DA80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6" name="Imagen 3">
          <a:extLst>
            <a:ext uri="{FF2B5EF4-FFF2-40B4-BE49-F238E27FC236}">
              <a16:creationId xmlns:a16="http://schemas.microsoft.com/office/drawing/2014/main" id="{A67E2239-7E89-4E3A-B772-69888C8D6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7" name="Imagen 3">
          <a:extLst>
            <a:ext uri="{FF2B5EF4-FFF2-40B4-BE49-F238E27FC236}">
              <a16:creationId xmlns:a16="http://schemas.microsoft.com/office/drawing/2014/main" id="{235A0454-BB8B-4BB9-B15B-A13C6F17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8" name="Imagen 3">
          <a:extLst>
            <a:ext uri="{FF2B5EF4-FFF2-40B4-BE49-F238E27FC236}">
              <a16:creationId xmlns:a16="http://schemas.microsoft.com/office/drawing/2014/main" id="{50B79B83-D994-45D1-89D5-089EF4E13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59" name="Imagen 3">
          <a:extLst>
            <a:ext uri="{FF2B5EF4-FFF2-40B4-BE49-F238E27FC236}">
              <a16:creationId xmlns:a16="http://schemas.microsoft.com/office/drawing/2014/main" id="{BBB542D5-E0BE-4027-A6FA-013B7362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0" name="Imagen 3">
          <a:extLst>
            <a:ext uri="{FF2B5EF4-FFF2-40B4-BE49-F238E27FC236}">
              <a16:creationId xmlns:a16="http://schemas.microsoft.com/office/drawing/2014/main" id="{28992FFC-2DC9-4578-9AB8-7D7553E0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1" name="Imagen 3">
          <a:extLst>
            <a:ext uri="{FF2B5EF4-FFF2-40B4-BE49-F238E27FC236}">
              <a16:creationId xmlns:a16="http://schemas.microsoft.com/office/drawing/2014/main" id="{EE668B0C-20F9-47E1-BFFA-66BD4F5F4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2" name="Imagen 3">
          <a:extLst>
            <a:ext uri="{FF2B5EF4-FFF2-40B4-BE49-F238E27FC236}">
              <a16:creationId xmlns:a16="http://schemas.microsoft.com/office/drawing/2014/main" id="{433557B3-64F9-4677-9544-88D5DFD7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3" name="Imagen 3">
          <a:extLst>
            <a:ext uri="{FF2B5EF4-FFF2-40B4-BE49-F238E27FC236}">
              <a16:creationId xmlns:a16="http://schemas.microsoft.com/office/drawing/2014/main" id="{1D71AFC9-C705-4881-A747-19296C99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4" name="Imagen 3">
          <a:extLst>
            <a:ext uri="{FF2B5EF4-FFF2-40B4-BE49-F238E27FC236}">
              <a16:creationId xmlns:a16="http://schemas.microsoft.com/office/drawing/2014/main" id="{39A80D4D-81AE-408D-865E-BE5A06E0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5" name="Imagen 3">
          <a:extLst>
            <a:ext uri="{FF2B5EF4-FFF2-40B4-BE49-F238E27FC236}">
              <a16:creationId xmlns:a16="http://schemas.microsoft.com/office/drawing/2014/main" id="{D82FCE02-E366-4C4A-8E5F-A708FDB6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6" name="Imagen 3">
          <a:extLst>
            <a:ext uri="{FF2B5EF4-FFF2-40B4-BE49-F238E27FC236}">
              <a16:creationId xmlns:a16="http://schemas.microsoft.com/office/drawing/2014/main" id="{4B75EFAA-CBD9-482F-9E53-0572F901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7" name="Imagen 3">
          <a:extLst>
            <a:ext uri="{FF2B5EF4-FFF2-40B4-BE49-F238E27FC236}">
              <a16:creationId xmlns:a16="http://schemas.microsoft.com/office/drawing/2014/main" id="{CE207D4B-8AB7-4F25-80FD-E45CD600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8" name="Imagen 3">
          <a:extLst>
            <a:ext uri="{FF2B5EF4-FFF2-40B4-BE49-F238E27FC236}">
              <a16:creationId xmlns:a16="http://schemas.microsoft.com/office/drawing/2014/main" id="{67515D60-98A7-4FED-9D02-0964BB93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69" name="Imagen 3">
          <a:extLst>
            <a:ext uri="{FF2B5EF4-FFF2-40B4-BE49-F238E27FC236}">
              <a16:creationId xmlns:a16="http://schemas.microsoft.com/office/drawing/2014/main" id="{EB92090F-3A85-4650-B3EE-A939690C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0" name="Imagen 3">
          <a:extLst>
            <a:ext uri="{FF2B5EF4-FFF2-40B4-BE49-F238E27FC236}">
              <a16:creationId xmlns:a16="http://schemas.microsoft.com/office/drawing/2014/main" id="{CD560B1B-9F5A-4AED-A7C1-E438BF30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1" name="Imagen 3">
          <a:extLst>
            <a:ext uri="{FF2B5EF4-FFF2-40B4-BE49-F238E27FC236}">
              <a16:creationId xmlns:a16="http://schemas.microsoft.com/office/drawing/2014/main" id="{F3687CB4-A37A-4EB7-AF30-3868B739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2" name="Imagen 3">
          <a:extLst>
            <a:ext uri="{FF2B5EF4-FFF2-40B4-BE49-F238E27FC236}">
              <a16:creationId xmlns:a16="http://schemas.microsoft.com/office/drawing/2014/main" id="{D61DA9EC-7D4D-4996-8A63-07098AFD3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3" name="Imagen 3">
          <a:extLst>
            <a:ext uri="{FF2B5EF4-FFF2-40B4-BE49-F238E27FC236}">
              <a16:creationId xmlns:a16="http://schemas.microsoft.com/office/drawing/2014/main" id="{8155F53F-2904-455A-80AA-04EE61828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4" name="Imagen 3">
          <a:extLst>
            <a:ext uri="{FF2B5EF4-FFF2-40B4-BE49-F238E27FC236}">
              <a16:creationId xmlns:a16="http://schemas.microsoft.com/office/drawing/2014/main" id="{E25902CD-1DCD-41AC-BF86-2209CB75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5" name="Imagen 3">
          <a:extLst>
            <a:ext uri="{FF2B5EF4-FFF2-40B4-BE49-F238E27FC236}">
              <a16:creationId xmlns:a16="http://schemas.microsoft.com/office/drawing/2014/main" id="{EC4A411B-A6CE-4A0B-BA71-310625450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6" name="Imagen 3">
          <a:extLst>
            <a:ext uri="{FF2B5EF4-FFF2-40B4-BE49-F238E27FC236}">
              <a16:creationId xmlns:a16="http://schemas.microsoft.com/office/drawing/2014/main" id="{31F380D7-2316-42C9-AF20-2F11BF65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7" name="Imagen 3">
          <a:extLst>
            <a:ext uri="{FF2B5EF4-FFF2-40B4-BE49-F238E27FC236}">
              <a16:creationId xmlns:a16="http://schemas.microsoft.com/office/drawing/2014/main" id="{B1607574-0B27-4EE0-B17B-7D156FBA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8" name="Imagen 3">
          <a:extLst>
            <a:ext uri="{FF2B5EF4-FFF2-40B4-BE49-F238E27FC236}">
              <a16:creationId xmlns:a16="http://schemas.microsoft.com/office/drawing/2014/main" id="{47010E5D-7622-4199-8D2D-74013F4A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79" name="Imagen 3">
          <a:extLst>
            <a:ext uri="{FF2B5EF4-FFF2-40B4-BE49-F238E27FC236}">
              <a16:creationId xmlns:a16="http://schemas.microsoft.com/office/drawing/2014/main" id="{5EC5DB3E-0E0C-406F-923A-A6D121CA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0" name="Imagen 3">
          <a:extLst>
            <a:ext uri="{FF2B5EF4-FFF2-40B4-BE49-F238E27FC236}">
              <a16:creationId xmlns:a16="http://schemas.microsoft.com/office/drawing/2014/main" id="{0FE447B7-6BB2-41C8-AC69-6F4969D6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1" name="Imagen 3">
          <a:extLst>
            <a:ext uri="{FF2B5EF4-FFF2-40B4-BE49-F238E27FC236}">
              <a16:creationId xmlns:a16="http://schemas.microsoft.com/office/drawing/2014/main" id="{72391A84-74EB-406A-82CA-6364067D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2" name="Imagen 3">
          <a:extLst>
            <a:ext uri="{FF2B5EF4-FFF2-40B4-BE49-F238E27FC236}">
              <a16:creationId xmlns:a16="http://schemas.microsoft.com/office/drawing/2014/main" id="{7E735511-D1A7-453C-99D8-55E25772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3" name="Imagen 3">
          <a:extLst>
            <a:ext uri="{FF2B5EF4-FFF2-40B4-BE49-F238E27FC236}">
              <a16:creationId xmlns:a16="http://schemas.microsoft.com/office/drawing/2014/main" id="{6B367ECC-AF2B-46BD-8140-1CB9022D4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4" name="Imagen 3">
          <a:extLst>
            <a:ext uri="{FF2B5EF4-FFF2-40B4-BE49-F238E27FC236}">
              <a16:creationId xmlns:a16="http://schemas.microsoft.com/office/drawing/2014/main" id="{41D6072E-0BBB-47A3-80E6-F0897370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5" name="Imagen 3">
          <a:extLst>
            <a:ext uri="{FF2B5EF4-FFF2-40B4-BE49-F238E27FC236}">
              <a16:creationId xmlns:a16="http://schemas.microsoft.com/office/drawing/2014/main" id="{4A1FF969-5370-4C2A-A115-F5B73B4C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6" name="Imagen 3">
          <a:extLst>
            <a:ext uri="{FF2B5EF4-FFF2-40B4-BE49-F238E27FC236}">
              <a16:creationId xmlns:a16="http://schemas.microsoft.com/office/drawing/2014/main" id="{D5B511D2-0544-47CF-A7A0-91D720E4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7" name="Imagen 3">
          <a:extLst>
            <a:ext uri="{FF2B5EF4-FFF2-40B4-BE49-F238E27FC236}">
              <a16:creationId xmlns:a16="http://schemas.microsoft.com/office/drawing/2014/main" id="{DFD610F0-22A6-4CCE-9AA7-39E0EFC5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8" name="Imagen 3">
          <a:extLst>
            <a:ext uri="{FF2B5EF4-FFF2-40B4-BE49-F238E27FC236}">
              <a16:creationId xmlns:a16="http://schemas.microsoft.com/office/drawing/2014/main" id="{5BD23610-D8FC-4CBB-BD9E-F929384EC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89" name="Imagen 3">
          <a:extLst>
            <a:ext uri="{FF2B5EF4-FFF2-40B4-BE49-F238E27FC236}">
              <a16:creationId xmlns:a16="http://schemas.microsoft.com/office/drawing/2014/main" id="{72657022-8353-4ABD-8F13-B1965542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0" name="Imagen 3">
          <a:extLst>
            <a:ext uri="{FF2B5EF4-FFF2-40B4-BE49-F238E27FC236}">
              <a16:creationId xmlns:a16="http://schemas.microsoft.com/office/drawing/2014/main" id="{854137EC-BB4F-4E0F-BD6B-134AB963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1" name="Imagen 3">
          <a:extLst>
            <a:ext uri="{FF2B5EF4-FFF2-40B4-BE49-F238E27FC236}">
              <a16:creationId xmlns:a16="http://schemas.microsoft.com/office/drawing/2014/main" id="{97F3118D-AB7A-490E-8485-7A6418E6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2" name="Imagen 3">
          <a:extLst>
            <a:ext uri="{FF2B5EF4-FFF2-40B4-BE49-F238E27FC236}">
              <a16:creationId xmlns:a16="http://schemas.microsoft.com/office/drawing/2014/main" id="{A7AB665A-BA5E-48A3-A51E-7F81E4B2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3" name="Imagen 3">
          <a:extLst>
            <a:ext uri="{FF2B5EF4-FFF2-40B4-BE49-F238E27FC236}">
              <a16:creationId xmlns:a16="http://schemas.microsoft.com/office/drawing/2014/main" id="{5A0A9E90-4AC5-48CD-8A93-113F5662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4" name="Imagen 3">
          <a:extLst>
            <a:ext uri="{FF2B5EF4-FFF2-40B4-BE49-F238E27FC236}">
              <a16:creationId xmlns:a16="http://schemas.microsoft.com/office/drawing/2014/main" id="{7C8EE906-0D8A-414D-84D4-1AF350BE1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5" name="Imagen 3">
          <a:extLst>
            <a:ext uri="{FF2B5EF4-FFF2-40B4-BE49-F238E27FC236}">
              <a16:creationId xmlns:a16="http://schemas.microsoft.com/office/drawing/2014/main" id="{566927BB-0792-43CD-9DF4-E2BAA884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6" name="Imagen 3">
          <a:extLst>
            <a:ext uri="{FF2B5EF4-FFF2-40B4-BE49-F238E27FC236}">
              <a16:creationId xmlns:a16="http://schemas.microsoft.com/office/drawing/2014/main" id="{6CA72853-21B5-48DD-A74A-AB11359BC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7" name="Imagen 3">
          <a:extLst>
            <a:ext uri="{FF2B5EF4-FFF2-40B4-BE49-F238E27FC236}">
              <a16:creationId xmlns:a16="http://schemas.microsoft.com/office/drawing/2014/main" id="{FFF4FF6A-E5AB-4DF4-92A0-513E10C7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8" name="Imagen 3">
          <a:extLst>
            <a:ext uri="{FF2B5EF4-FFF2-40B4-BE49-F238E27FC236}">
              <a16:creationId xmlns:a16="http://schemas.microsoft.com/office/drawing/2014/main" id="{D3020C9B-008C-4616-8C0B-B4F11EE5C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899" name="Imagen 3">
          <a:extLst>
            <a:ext uri="{FF2B5EF4-FFF2-40B4-BE49-F238E27FC236}">
              <a16:creationId xmlns:a16="http://schemas.microsoft.com/office/drawing/2014/main" id="{F8EEB261-6650-4B8E-B9D0-F3667349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0" name="Imagen 3">
          <a:extLst>
            <a:ext uri="{FF2B5EF4-FFF2-40B4-BE49-F238E27FC236}">
              <a16:creationId xmlns:a16="http://schemas.microsoft.com/office/drawing/2014/main" id="{03712F49-ADD7-4523-A5E9-0DC69859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1" name="Imagen 3">
          <a:extLst>
            <a:ext uri="{FF2B5EF4-FFF2-40B4-BE49-F238E27FC236}">
              <a16:creationId xmlns:a16="http://schemas.microsoft.com/office/drawing/2014/main" id="{E0677FF0-C00B-4FDB-B08E-75B79260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2" name="Imagen 3">
          <a:extLst>
            <a:ext uri="{FF2B5EF4-FFF2-40B4-BE49-F238E27FC236}">
              <a16:creationId xmlns:a16="http://schemas.microsoft.com/office/drawing/2014/main" id="{43FF1B57-7A40-4C58-8E10-98874A9D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3" name="Imagen 3">
          <a:extLst>
            <a:ext uri="{FF2B5EF4-FFF2-40B4-BE49-F238E27FC236}">
              <a16:creationId xmlns:a16="http://schemas.microsoft.com/office/drawing/2014/main" id="{515FCCCF-B10F-4822-8EFD-4A48941F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4" name="Imagen 3">
          <a:extLst>
            <a:ext uri="{FF2B5EF4-FFF2-40B4-BE49-F238E27FC236}">
              <a16:creationId xmlns:a16="http://schemas.microsoft.com/office/drawing/2014/main" id="{AD05EAE3-298C-4778-BB1B-C6FEC6BE0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5" name="Imagen 3">
          <a:extLst>
            <a:ext uri="{FF2B5EF4-FFF2-40B4-BE49-F238E27FC236}">
              <a16:creationId xmlns:a16="http://schemas.microsoft.com/office/drawing/2014/main" id="{09C44E75-1C7D-4C8E-A15B-77B392DBF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6" name="Imagen 3">
          <a:extLst>
            <a:ext uri="{FF2B5EF4-FFF2-40B4-BE49-F238E27FC236}">
              <a16:creationId xmlns:a16="http://schemas.microsoft.com/office/drawing/2014/main" id="{85ED63B0-47F1-4DA9-8BAD-8C89E5F7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7" name="Imagen 3">
          <a:extLst>
            <a:ext uri="{FF2B5EF4-FFF2-40B4-BE49-F238E27FC236}">
              <a16:creationId xmlns:a16="http://schemas.microsoft.com/office/drawing/2014/main" id="{03207BD9-5842-44CD-84F2-0B1B8337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8" name="Imagen 3">
          <a:extLst>
            <a:ext uri="{FF2B5EF4-FFF2-40B4-BE49-F238E27FC236}">
              <a16:creationId xmlns:a16="http://schemas.microsoft.com/office/drawing/2014/main" id="{52FFB446-2F8F-4BB3-9C7F-E00F4F3A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09" name="Imagen 3">
          <a:extLst>
            <a:ext uri="{FF2B5EF4-FFF2-40B4-BE49-F238E27FC236}">
              <a16:creationId xmlns:a16="http://schemas.microsoft.com/office/drawing/2014/main" id="{207E4C2C-5B93-44F6-8DDA-6D4D6415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0" name="Imagen 3">
          <a:extLst>
            <a:ext uri="{FF2B5EF4-FFF2-40B4-BE49-F238E27FC236}">
              <a16:creationId xmlns:a16="http://schemas.microsoft.com/office/drawing/2014/main" id="{710AD88E-7473-4FE7-96F0-7F600A13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1" name="Imagen 3">
          <a:extLst>
            <a:ext uri="{FF2B5EF4-FFF2-40B4-BE49-F238E27FC236}">
              <a16:creationId xmlns:a16="http://schemas.microsoft.com/office/drawing/2014/main" id="{9E629269-7339-401E-ADB3-17FDD592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2" name="Imagen 3">
          <a:extLst>
            <a:ext uri="{FF2B5EF4-FFF2-40B4-BE49-F238E27FC236}">
              <a16:creationId xmlns:a16="http://schemas.microsoft.com/office/drawing/2014/main" id="{1C1980EB-ACF2-49DE-863E-AB5D592C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3" name="Imagen 3">
          <a:extLst>
            <a:ext uri="{FF2B5EF4-FFF2-40B4-BE49-F238E27FC236}">
              <a16:creationId xmlns:a16="http://schemas.microsoft.com/office/drawing/2014/main" id="{228DEC66-FCDC-45E2-9409-29AFE7699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4" name="Imagen 3">
          <a:extLst>
            <a:ext uri="{FF2B5EF4-FFF2-40B4-BE49-F238E27FC236}">
              <a16:creationId xmlns:a16="http://schemas.microsoft.com/office/drawing/2014/main" id="{44C2D1B4-72A6-4C02-8159-279A5798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5" name="Imagen 3">
          <a:extLst>
            <a:ext uri="{FF2B5EF4-FFF2-40B4-BE49-F238E27FC236}">
              <a16:creationId xmlns:a16="http://schemas.microsoft.com/office/drawing/2014/main" id="{E6460D28-2083-4481-8011-9F10B8C3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6" name="Imagen 3">
          <a:extLst>
            <a:ext uri="{FF2B5EF4-FFF2-40B4-BE49-F238E27FC236}">
              <a16:creationId xmlns:a16="http://schemas.microsoft.com/office/drawing/2014/main" id="{CE16175F-4A0C-49E5-B8CA-19422CE9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7" name="Imagen 3">
          <a:extLst>
            <a:ext uri="{FF2B5EF4-FFF2-40B4-BE49-F238E27FC236}">
              <a16:creationId xmlns:a16="http://schemas.microsoft.com/office/drawing/2014/main" id="{8854A57A-E25B-4E19-9ABD-FB8C5E73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18" name="Imagen 3">
          <a:extLst>
            <a:ext uri="{FF2B5EF4-FFF2-40B4-BE49-F238E27FC236}">
              <a16:creationId xmlns:a16="http://schemas.microsoft.com/office/drawing/2014/main" id="{1930B320-EFC1-41E0-BFAF-2CFB166BC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19" name="Imagen 3">
          <a:extLst>
            <a:ext uri="{FF2B5EF4-FFF2-40B4-BE49-F238E27FC236}">
              <a16:creationId xmlns:a16="http://schemas.microsoft.com/office/drawing/2014/main" id="{DEB3B73B-72D5-4BB4-A2CA-255DFC98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0" name="Imagen 3">
          <a:extLst>
            <a:ext uri="{FF2B5EF4-FFF2-40B4-BE49-F238E27FC236}">
              <a16:creationId xmlns:a16="http://schemas.microsoft.com/office/drawing/2014/main" id="{10D69AB0-B90E-4CCE-86E8-C08277A9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1" name="Imagen 3">
          <a:extLst>
            <a:ext uri="{FF2B5EF4-FFF2-40B4-BE49-F238E27FC236}">
              <a16:creationId xmlns:a16="http://schemas.microsoft.com/office/drawing/2014/main" id="{70C5ADD7-4045-44E6-8C2F-07F2FA2F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2" name="Imagen 3">
          <a:extLst>
            <a:ext uri="{FF2B5EF4-FFF2-40B4-BE49-F238E27FC236}">
              <a16:creationId xmlns:a16="http://schemas.microsoft.com/office/drawing/2014/main" id="{2483EDBD-87E9-4DAB-861B-99210C15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3" name="Imagen 3">
          <a:extLst>
            <a:ext uri="{FF2B5EF4-FFF2-40B4-BE49-F238E27FC236}">
              <a16:creationId xmlns:a16="http://schemas.microsoft.com/office/drawing/2014/main" id="{D8997895-D47D-44AF-8B3A-252994A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4" name="Imagen 3">
          <a:extLst>
            <a:ext uri="{FF2B5EF4-FFF2-40B4-BE49-F238E27FC236}">
              <a16:creationId xmlns:a16="http://schemas.microsoft.com/office/drawing/2014/main" id="{A1514A34-074A-48EF-8CF4-D1EBA895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5" name="Imagen 3">
          <a:extLst>
            <a:ext uri="{FF2B5EF4-FFF2-40B4-BE49-F238E27FC236}">
              <a16:creationId xmlns:a16="http://schemas.microsoft.com/office/drawing/2014/main" id="{BF72780F-2AD6-4430-9098-81545363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6" name="Imagen 3">
          <a:extLst>
            <a:ext uri="{FF2B5EF4-FFF2-40B4-BE49-F238E27FC236}">
              <a16:creationId xmlns:a16="http://schemas.microsoft.com/office/drawing/2014/main" id="{3E3D6DA9-E87E-4763-97B6-A21C350A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7" name="Imagen 3">
          <a:extLst>
            <a:ext uri="{FF2B5EF4-FFF2-40B4-BE49-F238E27FC236}">
              <a16:creationId xmlns:a16="http://schemas.microsoft.com/office/drawing/2014/main" id="{602FCD9E-CA3D-4A1F-AC87-FABF0341C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8" name="Imagen 3">
          <a:extLst>
            <a:ext uri="{FF2B5EF4-FFF2-40B4-BE49-F238E27FC236}">
              <a16:creationId xmlns:a16="http://schemas.microsoft.com/office/drawing/2014/main" id="{5706A067-6630-4E2C-8E8F-7245D1151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29" name="Imagen 3">
          <a:extLst>
            <a:ext uri="{FF2B5EF4-FFF2-40B4-BE49-F238E27FC236}">
              <a16:creationId xmlns:a16="http://schemas.microsoft.com/office/drawing/2014/main" id="{58CC4CCB-1C40-4437-A2F6-CBAA5AF5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0" name="Imagen 3">
          <a:extLst>
            <a:ext uri="{FF2B5EF4-FFF2-40B4-BE49-F238E27FC236}">
              <a16:creationId xmlns:a16="http://schemas.microsoft.com/office/drawing/2014/main" id="{8C69D90A-5663-4409-9D08-C17089F34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1" name="Imagen 3">
          <a:extLst>
            <a:ext uri="{FF2B5EF4-FFF2-40B4-BE49-F238E27FC236}">
              <a16:creationId xmlns:a16="http://schemas.microsoft.com/office/drawing/2014/main" id="{DAE63883-FD05-41FF-B7D4-4F8F7172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2" name="Imagen 3">
          <a:extLst>
            <a:ext uri="{FF2B5EF4-FFF2-40B4-BE49-F238E27FC236}">
              <a16:creationId xmlns:a16="http://schemas.microsoft.com/office/drawing/2014/main" id="{1E5C8D4E-3C58-4196-8D5C-4A81488E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3" name="Imagen 3">
          <a:extLst>
            <a:ext uri="{FF2B5EF4-FFF2-40B4-BE49-F238E27FC236}">
              <a16:creationId xmlns:a16="http://schemas.microsoft.com/office/drawing/2014/main" id="{73859C5D-E4C3-4B38-ACB0-C848D960A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4" name="Imagen 3">
          <a:extLst>
            <a:ext uri="{FF2B5EF4-FFF2-40B4-BE49-F238E27FC236}">
              <a16:creationId xmlns:a16="http://schemas.microsoft.com/office/drawing/2014/main" id="{E7155FC9-E331-4ADF-A4D0-DFC282E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5" name="Imagen 3">
          <a:extLst>
            <a:ext uri="{FF2B5EF4-FFF2-40B4-BE49-F238E27FC236}">
              <a16:creationId xmlns:a16="http://schemas.microsoft.com/office/drawing/2014/main" id="{BA838CD2-8A2D-4F97-B3EA-F68C2604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6" name="Imagen 3">
          <a:extLst>
            <a:ext uri="{FF2B5EF4-FFF2-40B4-BE49-F238E27FC236}">
              <a16:creationId xmlns:a16="http://schemas.microsoft.com/office/drawing/2014/main" id="{1E8B385B-3C3D-4290-8670-81EE9084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7" name="Imagen 3">
          <a:extLst>
            <a:ext uri="{FF2B5EF4-FFF2-40B4-BE49-F238E27FC236}">
              <a16:creationId xmlns:a16="http://schemas.microsoft.com/office/drawing/2014/main" id="{3C64DFB2-97E0-4C80-AEA1-D6816D27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8" name="Imagen 3">
          <a:extLst>
            <a:ext uri="{FF2B5EF4-FFF2-40B4-BE49-F238E27FC236}">
              <a16:creationId xmlns:a16="http://schemas.microsoft.com/office/drawing/2014/main" id="{776E2EA6-F191-40CB-AA71-DE796AD0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39" name="Imagen 3">
          <a:extLst>
            <a:ext uri="{FF2B5EF4-FFF2-40B4-BE49-F238E27FC236}">
              <a16:creationId xmlns:a16="http://schemas.microsoft.com/office/drawing/2014/main" id="{D51F2C27-EFCF-421F-B68B-EA22CF3E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0" name="Imagen 3">
          <a:extLst>
            <a:ext uri="{FF2B5EF4-FFF2-40B4-BE49-F238E27FC236}">
              <a16:creationId xmlns:a16="http://schemas.microsoft.com/office/drawing/2014/main" id="{AB124104-9076-4137-80AF-8DD0AF16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1" name="Imagen 3">
          <a:extLst>
            <a:ext uri="{FF2B5EF4-FFF2-40B4-BE49-F238E27FC236}">
              <a16:creationId xmlns:a16="http://schemas.microsoft.com/office/drawing/2014/main" id="{40E18544-1FD1-4F33-81EB-41F253A0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2" name="Imagen 3">
          <a:extLst>
            <a:ext uri="{FF2B5EF4-FFF2-40B4-BE49-F238E27FC236}">
              <a16:creationId xmlns:a16="http://schemas.microsoft.com/office/drawing/2014/main" id="{1FEAFF7B-ACB4-4D2F-A3B0-9AB69B55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3" name="Imagen 3">
          <a:extLst>
            <a:ext uri="{FF2B5EF4-FFF2-40B4-BE49-F238E27FC236}">
              <a16:creationId xmlns:a16="http://schemas.microsoft.com/office/drawing/2014/main" id="{2271B4EF-8380-4AAA-B4DA-6FC263923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4" name="Imagen 3">
          <a:extLst>
            <a:ext uri="{FF2B5EF4-FFF2-40B4-BE49-F238E27FC236}">
              <a16:creationId xmlns:a16="http://schemas.microsoft.com/office/drawing/2014/main" id="{A5D2D2E8-6A5F-49E9-A542-4D456D75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5" name="Imagen 3">
          <a:extLst>
            <a:ext uri="{FF2B5EF4-FFF2-40B4-BE49-F238E27FC236}">
              <a16:creationId xmlns:a16="http://schemas.microsoft.com/office/drawing/2014/main" id="{88ACB81D-61FA-4F99-97AE-9DDED164C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6" name="Imagen 3">
          <a:extLst>
            <a:ext uri="{FF2B5EF4-FFF2-40B4-BE49-F238E27FC236}">
              <a16:creationId xmlns:a16="http://schemas.microsoft.com/office/drawing/2014/main" id="{EF06D498-DF54-4DCD-8B87-E7C0CAEA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7" name="Imagen 3">
          <a:extLst>
            <a:ext uri="{FF2B5EF4-FFF2-40B4-BE49-F238E27FC236}">
              <a16:creationId xmlns:a16="http://schemas.microsoft.com/office/drawing/2014/main" id="{9F6CB076-5EBF-40B6-B89A-B5DBABB0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8" name="Imagen 3">
          <a:extLst>
            <a:ext uri="{FF2B5EF4-FFF2-40B4-BE49-F238E27FC236}">
              <a16:creationId xmlns:a16="http://schemas.microsoft.com/office/drawing/2014/main" id="{0C534AFE-53DA-4D51-90D9-AE0066979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49" name="Imagen 3">
          <a:extLst>
            <a:ext uri="{FF2B5EF4-FFF2-40B4-BE49-F238E27FC236}">
              <a16:creationId xmlns:a16="http://schemas.microsoft.com/office/drawing/2014/main" id="{6EA4BC65-F738-4599-A8EE-EE3214B0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0" name="Imagen 3">
          <a:extLst>
            <a:ext uri="{FF2B5EF4-FFF2-40B4-BE49-F238E27FC236}">
              <a16:creationId xmlns:a16="http://schemas.microsoft.com/office/drawing/2014/main" id="{BF0A19C8-12CC-4F29-92C2-2D4D47F6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1" name="Imagen 3">
          <a:extLst>
            <a:ext uri="{FF2B5EF4-FFF2-40B4-BE49-F238E27FC236}">
              <a16:creationId xmlns:a16="http://schemas.microsoft.com/office/drawing/2014/main" id="{47925B9E-5333-4777-B3A9-AABF157D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2" name="Imagen 3">
          <a:extLst>
            <a:ext uri="{FF2B5EF4-FFF2-40B4-BE49-F238E27FC236}">
              <a16:creationId xmlns:a16="http://schemas.microsoft.com/office/drawing/2014/main" id="{90713B2E-729F-4BB0-A0F4-91049D98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3" name="Imagen 3">
          <a:extLst>
            <a:ext uri="{FF2B5EF4-FFF2-40B4-BE49-F238E27FC236}">
              <a16:creationId xmlns:a16="http://schemas.microsoft.com/office/drawing/2014/main" id="{43D2E3FC-8DD1-45D2-92E3-15F3B110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4" name="Imagen 3">
          <a:extLst>
            <a:ext uri="{FF2B5EF4-FFF2-40B4-BE49-F238E27FC236}">
              <a16:creationId xmlns:a16="http://schemas.microsoft.com/office/drawing/2014/main" id="{D4B9D584-5CF0-40CB-9629-935491D4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5" name="Imagen 3">
          <a:extLst>
            <a:ext uri="{FF2B5EF4-FFF2-40B4-BE49-F238E27FC236}">
              <a16:creationId xmlns:a16="http://schemas.microsoft.com/office/drawing/2014/main" id="{A99DBE7E-DA51-4DAC-9EF9-55A141CA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6" name="Imagen 3">
          <a:extLst>
            <a:ext uri="{FF2B5EF4-FFF2-40B4-BE49-F238E27FC236}">
              <a16:creationId xmlns:a16="http://schemas.microsoft.com/office/drawing/2014/main" id="{C501CDF0-70CF-4D52-9E27-23F5D2A3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7" name="Imagen 3">
          <a:extLst>
            <a:ext uri="{FF2B5EF4-FFF2-40B4-BE49-F238E27FC236}">
              <a16:creationId xmlns:a16="http://schemas.microsoft.com/office/drawing/2014/main" id="{69EBA82D-F711-490E-8752-EAA6FE2C7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8" name="Imagen 3">
          <a:extLst>
            <a:ext uri="{FF2B5EF4-FFF2-40B4-BE49-F238E27FC236}">
              <a16:creationId xmlns:a16="http://schemas.microsoft.com/office/drawing/2014/main" id="{654C7FE6-2C46-4FD3-A8D3-6E38F0EC4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59" name="Imagen 3">
          <a:extLst>
            <a:ext uri="{FF2B5EF4-FFF2-40B4-BE49-F238E27FC236}">
              <a16:creationId xmlns:a16="http://schemas.microsoft.com/office/drawing/2014/main" id="{00C014A8-E35A-468B-B9F8-8520B9F7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0" name="Imagen 3">
          <a:extLst>
            <a:ext uri="{FF2B5EF4-FFF2-40B4-BE49-F238E27FC236}">
              <a16:creationId xmlns:a16="http://schemas.microsoft.com/office/drawing/2014/main" id="{9F16579B-F444-4D3B-ABCB-1F856C5F4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1" name="Imagen 3">
          <a:extLst>
            <a:ext uri="{FF2B5EF4-FFF2-40B4-BE49-F238E27FC236}">
              <a16:creationId xmlns:a16="http://schemas.microsoft.com/office/drawing/2014/main" id="{A662EFFC-E47C-4FC9-A179-6A14FF9AB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2" name="Imagen 3">
          <a:extLst>
            <a:ext uri="{FF2B5EF4-FFF2-40B4-BE49-F238E27FC236}">
              <a16:creationId xmlns:a16="http://schemas.microsoft.com/office/drawing/2014/main" id="{456393F1-8ADC-41F1-9C93-1425E92A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3" name="Imagen 3">
          <a:extLst>
            <a:ext uri="{FF2B5EF4-FFF2-40B4-BE49-F238E27FC236}">
              <a16:creationId xmlns:a16="http://schemas.microsoft.com/office/drawing/2014/main" id="{1CCF97A9-A4EF-4AD1-BFF3-F0FC5E583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4" name="Imagen 3">
          <a:extLst>
            <a:ext uri="{FF2B5EF4-FFF2-40B4-BE49-F238E27FC236}">
              <a16:creationId xmlns:a16="http://schemas.microsoft.com/office/drawing/2014/main" id="{A30B9CCA-8258-457F-A5DE-1C9914CA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5" name="Imagen 3">
          <a:extLst>
            <a:ext uri="{FF2B5EF4-FFF2-40B4-BE49-F238E27FC236}">
              <a16:creationId xmlns:a16="http://schemas.microsoft.com/office/drawing/2014/main" id="{60B86D82-E3AF-4EBC-92CA-CE49E7E5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6" name="Imagen 3">
          <a:extLst>
            <a:ext uri="{FF2B5EF4-FFF2-40B4-BE49-F238E27FC236}">
              <a16:creationId xmlns:a16="http://schemas.microsoft.com/office/drawing/2014/main" id="{ED324B84-B18A-4F12-A853-DB8C0EB9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7" name="Imagen 3">
          <a:extLst>
            <a:ext uri="{FF2B5EF4-FFF2-40B4-BE49-F238E27FC236}">
              <a16:creationId xmlns:a16="http://schemas.microsoft.com/office/drawing/2014/main" id="{C3516AA2-4203-418C-9776-B5FDECDF6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8" name="Imagen 3">
          <a:extLst>
            <a:ext uri="{FF2B5EF4-FFF2-40B4-BE49-F238E27FC236}">
              <a16:creationId xmlns:a16="http://schemas.microsoft.com/office/drawing/2014/main" id="{4FA20117-876B-4B97-B175-D966C8CF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69" name="Imagen 3">
          <a:extLst>
            <a:ext uri="{FF2B5EF4-FFF2-40B4-BE49-F238E27FC236}">
              <a16:creationId xmlns:a16="http://schemas.microsoft.com/office/drawing/2014/main" id="{F097FD23-ED3D-46E3-850A-897BCFF0E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70" name="Imagen 3">
          <a:extLst>
            <a:ext uri="{FF2B5EF4-FFF2-40B4-BE49-F238E27FC236}">
              <a16:creationId xmlns:a16="http://schemas.microsoft.com/office/drawing/2014/main" id="{2DCB9C35-04FE-4884-88E6-A3C19316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71" name="Imagen 3">
          <a:extLst>
            <a:ext uri="{FF2B5EF4-FFF2-40B4-BE49-F238E27FC236}">
              <a16:creationId xmlns:a16="http://schemas.microsoft.com/office/drawing/2014/main" id="{7C58726D-B270-4DB5-857B-672F1148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72" name="Imagen 3">
          <a:extLst>
            <a:ext uri="{FF2B5EF4-FFF2-40B4-BE49-F238E27FC236}">
              <a16:creationId xmlns:a16="http://schemas.microsoft.com/office/drawing/2014/main" id="{E2977634-60B6-4740-8AE1-14949CAC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73" name="Imagen 3">
          <a:extLst>
            <a:ext uri="{FF2B5EF4-FFF2-40B4-BE49-F238E27FC236}">
              <a16:creationId xmlns:a16="http://schemas.microsoft.com/office/drawing/2014/main" id="{DBCC06C4-FB12-42D2-8E73-927E6A34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974" name="Imagen 3">
          <a:extLst>
            <a:ext uri="{FF2B5EF4-FFF2-40B4-BE49-F238E27FC236}">
              <a16:creationId xmlns:a16="http://schemas.microsoft.com/office/drawing/2014/main" id="{B82DA813-841E-40AA-8BDE-25CEA1BC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75" name="Imagen 3">
          <a:extLst>
            <a:ext uri="{FF2B5EF4-FFF2-40B4-BE49-F238E27FC236}">
              <a16:creationId xmlns:a16="http://schemas.microsoft.com/office/drawing/2014/main" id="{E56583B1-9C1B-4FC1-B3E6-6A1F04F4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76" name="Imagen 3">
          <a:extLst>
            <a:ext uri="{FF2B5EF4-FFF2-40B4-BE49-F238E27FC236}">
              <a16:creationId xmlns:a16="http://schemas.microsoft.com/office/drawing/2014/main" id="{3D92DB69-EC08-4F2A-961F-71B76FD7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77" name="Imagen 3">
          <a:extLst>
            <a:ext uri="{FF2B5EF4-FFF2-40B4-BE49-F238E27FC236}">
              <a16:creationId xmlns:a16="http://schemas.microsoft.com/office/drawing/2014/main" id="{7D36900D-4778-4217-9EAF-91A6FBF4B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78" name="Imagen 3">
          <a:extLst>
            <a:ext uri="{FF2B5EF4-FFF2-40B4-BE49-F238E27FC236}">
              <a16:creationId xmlns:a16="http://schemas.microsoft.com/office/drawing/2014/main" id="{62DEE630-EBF1-4E79-B257-E2D771AEA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79" name="Imagen 3">
          <a:extLst>
            <a:ext uri="{FF2B5EF4-FFF2-40B4-BE49-F238E27FC236}">
              <a16:creationId xmlns:a16="http://schemas.microsoft.com/office/drawing/2014/main" id="{442BE1FB-6A5D-4519-B6C5-A98614C2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0" name="Imagen 3">
          <a:extLst>
            <a:ext uri="{FF2B5EF4-FFF2-40B4-BE49-F238E27FC236}">
              <a16:creationId xmlns:a16="http://schemas.microsoft.com/office/drawing/2014/main" id="{5A8C85D6-10F3-4003-B002-31BC28AE6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1" name="Imagen 3">
          <a:extLst>
            <a:ext uri="{FF2B5EF4-FFF2-40B4-BE49-F238E27FC236}">
              <a16:creationId xmlns:a16="http://schemas.microsoft.com/office/drawing/2014/main" id="{42019777-88F7-45DC-8526-9FF3440B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2" name="Imagen 3">
          <a:extLst>
            <a:ext uri="{FF2B5EF4-FFF2-40B4-BE49-F238E27FC236}">
              <a16:creationId xmlns:a16="http://schemas.microsoft.com/office/drawing/2014/main" id="{FC4D0592-3538-4E3B-9D19-0275B5EC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3" name="Imagen 3">
          <a:extLst>
            <a:ext uri="{FF2B5EF4-FFF2-40B4-BE49-F238E27FC236}">
              <a16:creationId xmlns:a16="http://schemas.microsoft.com/office/drawing/2014/main" id="{D04E99A2-EA5A-46E6-B2CD-8B786DB0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4" name="Imagen 3">
          <a:extLst>
            <a:ext uri="{FF2B5EF4-FFF2-40B4-BE49-F238E27FC236}">
              <a16:creationId xmlns:a16="http://schemas.microsoft.com/office/drawing/2014/main" id="{D0F7494D-067A-4D89-83DF-006241019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5" name="Imagen 3">
          <a:extLst>
            <a:ext uri="{FF2B5EF4-FFF2-40B4-BE49-F238E27FC236}">
              <a16:creationId xmlns:a16="http://schemas.microsoft.com/office/drawing/2014/main" id="{BC103D69-66FE-40A3-904E-30EDBE84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6" name="Imagen 3">
          <a:extLst>
            <a:ext uri="{FF2B5EF4-FFF2-40B4-BE49-F238E27FC236}">
              <a16:creationId xmlns:a16="http://schemas.microsoft.com/office/drawing/2014/main" id="{8AADCD78-3E7C-472B-871B-6175E090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7" name="Imagen 3">
          <a:extLst>
            <a:ext uri="{FF2B5EF4-FFF2-40B4-BE49-F238E27FC236}">
              <a16:creationId xmlns:a16="http://schemas.microsoft.com/office/drawing/2014/main" id="{9268B26A-DADC-4635-B52A-E433F68EC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8" name="Imagen 3">
          <a:extLst>
            <a:ext uri="{FF2B5EF4-FFF2-40B4-BE49-F238E27FC236}">
              <a16:creationId xmlns:a16="http://schemas.microsoft.com/office/drawing/2014/main" id="{32D77B29-642F-4F5D-9A43-84E037195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89" name="Imagen 3">
          <a:extLst>
            <a:ext uri="{FF2B5EF4-FFF2-40B4-BE49-F238E27FC236}">
              <a16:creationId xmlns:a16="http://schemas.microsoft.com/office/drawing/2014/main" id="{5238E037-2034-47C3-A069-D388F95A4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0" name="Imagen 3">
          <a:extLst>
            <a:ext uri="{FF2B5EF4-FFF2-40B4-BE49-F238E27FC236}">
              <a16:creationId xmlns:a16="http://schemas.microsoft.com/office/drawing/2014/main" id="{0E21D574-D709-43A5-A758-B3DFE04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1" name="Imagen 3">
          <a:extLst>
            <a:ext uri="{FF2B5EF4-FFF2-40B4-BE49-F238E27FC236}">
              <a16:creationId xmlns:a16="http://schemas.microsoft.com/office/drawing/2014/main" id="{7AEEC292-8966-47D2-9FD2-65004F29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2" name="Imagen 3">
          <a:extLst>
            <a:ext uri="{FF2B5EF4-FFF2-40B4-BE49-F238E27FC236}">
              <a16:creationId xmlns:a16="http://schemas.microsoft.com/office/drawing/2014/main" id="{8EBD630D-27CF-478E-8A44-CD6E66041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3" name="Imagen 3">
          <a:extLst>
            <a:ext uri="{FF2B5EF4-FFF2-40B4-BE49-F238E27FC236}">
              <a16:creationId xmlns:a16="http://schemas.microsoft.com/office/drawing/2014/main" id="{1A5236CD-D28D-49E5-8862-1FAA39F1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4" name="Imagen 3">
          <a:extLst>
            <a:ext uri="{FF2B5EF4-FFF2-40B4-BE49-F238E27FC236}">
              <a16:creationId xmlns:a16="http://schemas.microsoft.com/office/drawing/2014/main" id="{3D6CBEC7-ADD8-4D64-BF49-7F154099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5" name="Imagen 3">
          <a:extLst>
            <a:ext uri="{FF2B5EF4-FFF2-40B4-BE49-F238E27FC236}">
              <a16:creationId xmlns:a16="http://schemas.microsoft.com/office/drawing/2014/main" id="{5C5ECF42-67B4-4B89-84BF-79A62718D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6" name="Imagen 3">
          <a:extLst>
            <a:ext uri="{FF2B5EF4-FFF2-40B4-BE49-F238E27FC236}">
              <a16:creationId xmlns:a16="http://schemas.microsoft.com/office/drawing/2014/main" id="{67FF985C-E098-44D3-9ED4-5F9C7929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7" name="Imagen 3">
          <a:extLst>
            <a:ext uri="{FF2B5EF4-FFF2-40B4-BE49-F238E27FC236}">
              <a16:creationId xmlns:a16="http://schemas.microsoft.com/office/drawing/2014/main" id="{D37B2985-57C8-4C49-A244-DC818531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8" name="Imagen 3">
          <a:extLst>
            <a:ext uri="{FF2B5EF4-FFF2-40B4-BE49-F238E27FC236}">
              <a16:creationId xmlns:a16="http://schemas.microsoft.com/office/drawing/2014/main" id="{111A4C11-4DA8-45D4-87F1-31DEC881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999" name="Imagen 3">
          <a:extLst>
            <a:ext uri="{FF2B5EF4-FFF2-40B4-BE49-F238E27FC236}">
              <a16:creationId xmlns:a16="http://schemas.microsoft.com/office/drawing/2014/main" id="{2BFCA077-0724-42AF-97A2-5106D2C3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0" name="Imagen 3">
          <a:extLst>
            <a:ext uri="{FF2B5EF4-FFF2-40B4-BE49-F238E27FC236}">
              <a16:creationId xmlns:a16="http://schemas.microsoft.com/office/drawing/2014/main" id="{531F42C7-9E03-41E6-9049-4286A37A9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1" name="Imagen 3">
          <a:extLst>
            <a:ext uri="{FF2B5EF4-FFF2-40B4-BE49-F238E27FC236}">
              <a16:creationId xmlns:a16="http://schemas.microsoft.com/office/drawing/2014/main" id="{BC45A99D-8FB4-4E09-AFF9-0BAD0534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2" name="Imagen 3">
          <a:extLst>
            <a:ext uri="{FF2B5EF4-FFF2-40B4-BE49-F238E27FC236}">
              <a16:creationId xmlns:a16="http://schemas.microsoft.com/office/drawing/2014/main" id="{C4DE7FBA-B808-4D13-AE42-28E3CFA40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3" name="Imagen 3">
          <a:extLst>
            <a:ext uri="{FF2B5EF4-FFF2-40B4-BE49-F238E27FC236}">
              <a16:creationId xmlns:a16="http://schemas.microsoft.com/office/drawing/2014/main" id="{CA9F3643-42C0-45A0-9F63-2FBE87543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4" name="Imagen 3">
          <a:extLst>
            <a:ext uri="{FF2B5EF4-FFF2-40B4-BE49-F238E27FC236}">
              <a16:creationId xmlns:a16="http://schemas.microsoft.com/office/drawing/2014/main" id="{D26A6BCE-B3FB-49FA-B6A5-FACD12A2F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5" name="Imagen 3">
          <a:extLst>
            <a:ext uri="{FF2B5EF4-FFF2-40B4-BE49-F238E27FC236}">
              <a16:creationId xmlns:a16="http://schemas.microsoft.com/office/drawing/2014/main" id="{E078A2F4-AA29-424D-9A84-6E7564135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6" name="Imagen 3">
          <a:extLst>
            <a:ext uri="{FF2B5EF4-FFF2-40B4-BE49-F238E27FC236}">
              <a16:creationId xmlns:a16="http://schemas.microsoft.com/office/drawing/2014/main" id="{E20BA03A-FFFE-43EC-AFD6-D0BB46C3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7" name="Imagen 3">
          <a:extLst>
            <a:ext uri="{FF2B5EF4-FFF2-40B4-BE49-F238E27FC236}">
              <a16:creationId xmlns:a16="http://schemas.microsoft.com/office/drawing/2014/main" id="{BF1B90F9-3D5D-4311-89ED-0C54DFBA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8" name="Imagen 3">
          <a:extLst>
            <a:ext uri="{FF2B5EF4-FFF2-40B4-BE49-F238E27FC236}">
              <a16:creationId xmlns:a16="http://schemas.microsoft.com/office/drawing/2014/main" id="{AF4C5292-58FB-4771-8562-9074AED9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09" name="Imagen 3">
          <a:extLst>
            <a:ext uri="{FF2B5EF4-FFF2-40B4-BE49-F238E27FC236}">
              <a16:creationId xmlns:a16="http://schemas.microsoft.com/office/drawing/2014/main" id="{6809E2E2-A5D8-492B-9402-0D172734D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0" name="Imagen 3">
          <a:extLst>
            <a:ext uri="{FF2B5EF4-FFF2-40B4-BE49-F238E27FC236}">
              <a16:creationId xmlns:a16="http://schemas.microsoft.com/office/drawing/2014/main" id="{9CE0C619-7C27-4536-BA68-DCFE16C6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1" name="Imagen 3">
          <a:extLst>
            <a:ext uri="{FF2B5EF4-FFF2-40B4-BE49-F238E27FC236}">
              <a16:creationId xmlns:a16="http://schemas.microsoft.com/office/drawing/2014/main" id="{9C1005F0-E1B4-4155-97BE-B39DEFA2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2" name="Imagen 3">
          <a:extLst>
            <a:ext uri="{FF2B5EF4-FFF2-40B4-BE49-F238E27FC236}">
              <a16:creationId xmlns:a16="http://schemas.microsoft.com/office/drawing/2014/main" id="{8BB33184-67AA-4E7C-BB58-4401F87E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3" name="Imagen 3">
          <a:extLst>
            <a:ext uri="{FF2B5EF4-FFF2-40B4-BE49-F238E27FC236}">
              <a16:creationId xmlns:a16="http://schemas.microsoft.com/office/drawing/2014/main" id="{A676770D-AE85-4BA7-8068-CC48454E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4" name="Imagen 3">
          <a:extLst>
            <a:ext uri="{FF2B5EF4-FFF2-40B4-BE49-F238E27FC236}">
              <a16:creationId xmlns:a16="http://schemas.microsoft.com/office/drawing/2014/main" id="{A4E7A456-B8AB-4C04-A032-5D2B3218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5" name="Imagen 3">
          <a:extLst>
            <a:ext uri="{FF2B5EF4-FFF2-40B4-BE49-F238E27FC236}">
              <a16:creationId xmlns:a16="http://schemas.microsoft.com/office/drawing/2014/main" id="{C1490A23-3773-4B9A-A7A8-F58DBF9A5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6" name="Imagen 3">
          <a:extLst>
            <a:ext uri="{FF2B5EF4-FFF2-40B4-BE49-F238E27FC236}">
              <a16:creationId xmlns:a16="http://schemas.microsoft.com/office/drawing/2014/main" id="{8252ADB4-C9BC-4A16-BC99-0723499A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7" name="Imagen 3">
          <a:extLst>
            <a:ext uri="{FF2B5EF4-FFF2-40B4-BE49-F238E27FC236}">
              <a16:creationId xmlns:a16="http://schemas.microsoft.com/office/drawing/2014/main" id="{D9B85650-8B3E-48BA-B757-DC5392EC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8" name="Imagen 3">
          <a:extLst>
            <a:ext uri="{FF2B5EF4-FFF2-40B4-BE49-F238E27FC236}">
              <a16:creationId xmlns:a16="http://schemas.microsoft.com/office/drawing/2014/main" id="{DBB9F000-AAD6-4990-A9E7-2ECE1710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19" name="Imagen 3">
          <a:extLst>
            <a:ext uri="{FF2B5EF4-FFF2-40B4-BE49-F238E27FC236}">
              <a16:creationId xmlns:a16="http://schemas.microsoft.com/office/drawing/2014/main" id="{033FCDA0-E0E6-4EF2-A989-AD61FE79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0" name="Imagen 3">
          <a:extLst>
            <a:ext uri="{FF2B5EF4-FFF2-40B4-BE49-F238E27FC236}">
              <a16:creationId xmlns:a16="http://schemas.microsoft.com/office/drawing/2014/main" id="{C8BF1A78-1D40-4C98-8B01-EB0E131C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1" name="Imagen 3">
          <a:extLst>
            <a:ext uri="{FF2B5EF4-FFF2-40B4-BE49-F238E27FC236}">
              <a16:creationId xmlns:a16="http://schemas.microsoft.com/office/drawing/2014/main" id="{7E40CB55-BEB7-4510-BB9A-E3E60BD1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2" name="Imagen 3">
          <a:extLst>
            <a:ext uri="{FF2B5EF4-FFF2-40B4-BE49-F238E27FC236}">
              <a16:creationId xmlns:a16="http://schemas.microsoft.com/office/drawing/2014/main" id="{7E2365E5-2C4C-4958-8F06-2655C017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3" name="Imagen 3">
          <a:extLst>
            <a:ext uri="{FF2B5EF4-FFF2-40B4-BE49-F238E27FC236}">
              <a16:creationId xmlns:a16="http://schemas.microsoft.com/office/drawing/2014/main" id="{F3E4C5E8-BEDA-4E6E-A306-5691A2F6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4" name="Imagen 3">
          <a:extLst>
            <a:ext uri="{FF2B5EF4-FFF2-40B4-BE49-F238E27FC236}">
              <a16:creationId xmlns:a16="http://schemas.microsoft.com/office/drawing/2014/main" id="{CCB5CA09-378E-4AC8-9C40-8DCC45E69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5" name="Imagen 3">
          <a:extLst>
            <a:ext uri="{FF2B5EF4-FFF2-40B4-BE49-F238E27FC236}">
              <a16:creationId xmlns:a16="http://schemas.microsoft.com/office/drawing/2014/main" id="{62AA7B2F-8D22-49E1-B913-65BC0A851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6" name="Imagen 3">
          <a:extLst>
            <a:ext uri="{FF2B5EF4-FFF2-40B4-BE49-F238E27FC236}">
              <a16:creationId xmlns:a16="http://schemas.microsoft.com/office/drawing/2014/main" id="{50A15937-1817-41BE-81E8-F5788000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7" name="Imagen 3">
          <a:extLst>
            <a:ext uri="{FF2B5EF4-FFF2-40B4-BE49-F238E27FC236}">
              <a16:creationId xmlns:a16="http://schemas.microsoft.com/office/drawing/2014/main" id="{D711382A-66CE-4935-9EEB-AE0EB9FA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8" name="Imagen 3">
          <a:extLst>
            <a:ext uri="{FF2B5EF4-FFF2-40B4-BE49-F238E27FC236}">
              <a16:creationId xmlns:a16="http://schemas.microsoft.com/office/drawing/2014/main" id="{F72512D9-4554-4BB3-9D57-505BB356B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29" name="Imagen 3">
          <a:extLst>
            <a:ext uri="{FF2B5EF4-FFF2-40B4-BE49-F238E27FC236}">
              <a16:creationId xmlns:a16="http://schemas.microsoft.com/office/drawing/2014/main" id="{24657C45-8E63-40CA-937F-7A0B0A7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030" name="Imagen 3">
          <a:extLst>
            <a:ext uri="{FF2B5EF4-FFF2-40B4-BE49-F238E27FC236}">
              <a16:creationId xmlns:a16="http://schemas.microsoft.com/office/drawing/2014/main" id="{DAD47B20-25C7-4B6F-ABBA-FE1CC9A8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1" name="Imagen 3">
          <a:extLst>
            <a:ext uri="{FF2B5EF4-FFF2-40B4-BE49-F238E27FC236}">
              <a16:creationId xmlns:a16="http://schemas.microsoft.com/office/drawing/2014/main" id="{928F4DAB-C205-489D-9E5F-24AAD3F7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2" name="Imagen 3">
          <a:extLst>
            <a:ext uri="{FF2B5EF4-FFF2-40B4-BE49-F238E27FC236}">
              <a16:creationId xmlns:a16="http://schemas.microsoft.com/office/drawing/2014/main" id="{EDE50897-1AA3-4635-957E-2AA4C89B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3" name="Imagen 3">
          <a:extLst>
            <a:ext uri="{FF2B5EF4-FFF2-40B4-BE49-F238E27FC236}">
              <a16:creationId xmlns:a16="http://schemas.microsoft.com/office/drawing/2014/main" id="{CCB6BEEA-EC10-4E56-8B27-51AC391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4" name="Imagen 3">
          <a:extLst>
            <a:ext uri="{FF2B5EF4-FFF2-40B4-BE49-F238E27FC236}">
              <a16:creationId xmlns:a16="http://schemas.microsoft.com/office/drawing/2014/main" id="{F79A7991-632D-4DC0-8DCD-CE781C62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5" name="Imagen 3">
          <a:extLst>
            <a:ext uri="{FF2B5EF4-FFF2-40B4-BE49-F238E27FC236}">
              <a16:creationId xmlns:a16="http://schemas.microsoft.com/office/drawing/2014/main" id="{176B161F-4DD2-45ED-A49E-438291C00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6" name="Imagen 3">
          <a:extLst>
            <a:ext uri="{FF2B5EF4-FFF2-40B4-BE49-F238E27FC236}">
              <a16:creationId xmlns:a16="http://schemas.microsoft.com/office/drawing/2014/main" id="{4DB0E622-3139-4FF1-83C5-BB87104A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7" name="Imagen 3">
          <a:extLst>
            <a:ext uri="{FF2B5EF4-FFF2-40B4-BE49-F238E27FC236}">
              <a16:creationId xmlns:a16="http://schemas.microsoft.com/office/drawing/2014/main" id="{21921C57-DC31-46AE-9539-637CAF5D6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8" name="Imagen 3">
          <a:extLst>
            <a:ext uri="{FF2B5EF4-FFF2-40B4-BE49-F238E27FC236}">
              <a16:creationId xmlns:a16="http://schemas.microsoft.com/office/drawing/2014/main" id="{C96A0DFB-C951-4670-AE98-3F6E9079B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39" name="Imagen 3">
          <a:extLst>
            <a:ext uri="{FF2B5EF4-FFF2-40B4-BE49-F238E27FC236}">
              <a16:creationId xmlns:a16="http://schemas.microsoft.com/office/drawing/2014/main" id="{8872F985-EA58-41D5-92E9-3BCF08A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0" name="Imagen 3">
          <a:extLst>
            <a:ext uri="{FF2B5EF4-FFF2-40B4-BE49-F238E27FC236}">
              <a16:creationId xmlns:a16="http://schemas.microsoft.com/office/drawing/2014/main" id="{1D2B7A23-DFB9-43F3-A6E6-98BBAE70E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1" name="Imagen 3">
          <a:extLst>
            <a:ext uri="{FF2B5EF4-FFF2-40B4-BE49-F238E27FC236}">
              <a16:creationId xmlns:a16="http://schemas.microsoft.com/office/drawing/2014/main" id="{67FCDFE7-9372-4C33-979B-ED3F7048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2" name="Imagen 3">
          <a:extLst>
            <a:ext uri="{FF2B5EF4-FFF2-40B4-BE49-F238E27FC236}">
              <a16:creationId xmlns:a16="http://schemas.microsoft.com/office/drawing/2014/main" id="{8C9300AF-70CC-479A-999D-DF431F81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3" name="Imagen 3">
          <a:extLst>
            <a:ext uri="{FF2B5EF4-FFF2-40B4-BE49-F238E27FC236}">
              <a16:creationId xmlns:a16="http://schemas.microsoft.com/office/drawing/2014/main" id="{564A7311-0231-45AC-AB32-5474F7BA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4" name="Imagen 3">
          <a:extLst>
            <a:ext uri="{FF2B5EF4-FFF2-40B4-BE49-F238E27FC236}">
              <a16:creationId xmlns:a16="http://schemas.microsoft.com/office/drawing/2014/main" id="{5CF9823F-E9B8-43F8-8E42-77CE49C83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5" name="Imagen 3">
          <a:extLst>
            <a:ext uri="{FF2B5EF4-FFF2-40B4-BE49-F238E27FC236}">
              <a16:creationId xmlns:a16="http://schemas.microsoft.com/office/drawing/2014/main" id="{3557892D-1D29-400C-BD13-89F00960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6" name="Imagen 3">
          <a:extLst>
            <a:ext uri="{FF2B5EF4-FFF2-40B4-BE49-F238E27FC236}">
              <a16:creationId xmlns:a16="http://schemas.microsoft.com/office/drawing/2014/main" id="{C0E64E26-004D-430C-B324-30F97773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7" name="Imagen 3">
          <a:extLst>
            <a:ext uri="{FF2B5EF4-FFF2-40B4-BE49-F238E27FC236}">
              <a16:creationId xmlns:a16="http://schemas.microsoft.com/office/drawing/2014/main" id="{8084D8D1-3FEF-4BFE-9CB8-55B5EEDD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8" name="Imagen 3">
          <a:extLst>
            <a:ext uri="{FF2B5EF4-FFF2-40B4-BE49-F238E27FC236}">
              <a16:creationId xmlns:a16="http://schemas.microsoft.com/office/drawing/2014/main" id="{50934B51-E469-4C24-91B6-212F03F7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49" name="Imagen 3">
          <a:extLst>
            <a:ext uri="{FF2B5EF4-FFF2-40B4-BE49-F238E27FC236}">
              <a16:creationId xmlns:a16="http://schemas.microsoft.com/office/drawing/2014/main" id="{DB81CE73-012F-4F22-969F-D8931222D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0" name="Imagen 3">
          <a:extLst>
            <a:ext uri="{FF2B5EF4-FFF2-40B4-BE49-F238E27FC236}">
              <a16:creationId xmlns:a16="http://schemas.microsoft.com/office/drawing/2014/main" id="{63829415-5864-4F94-BF5F-81F206CF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1" name="Imagen 3">
          <a:extLst>
            <a:ext uri="{FF2B5EF4-FFF2-40B4-BE49-F238E27FC236}">
              <a16:creationId xmlns:a16="http://schemas.microsoft.com/office/drawing/2014/main" id="{629AF1F5-5988-4473-BCD1-91AC8305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2" name="Imagen 3">
          <a:extLst>
            <a:ext uri="{FF2B5EF4-FFF2-40B4-BE49-F238E27FC236}">
              <a16:creationId xmlns:a16="http://schemas.microsoft.com/office/drawing/2014/main" id="{5D389498-EB1F-4A86-8208-58AB7F5F3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3" name="Imagen 3">
          <a:extLst>
            <a:ext uri="{FF2B5EF4-FFF2-40B4-BE49-F238E27FC236}">
              <a16:creationId xmlns:a16="http://schemas.microsoft.com/office/drawing/2014/main" id="{3B65170B-6518-4B3B-8068-194D9F75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4" name="Imagen 3">
          <a:extLst>
            <a:ext uri="{FF2B5EF4-FFF2-40B4-BE49-F238E27FC236}">
              <a16:creationId xmlns:a16="http://schemas.microsoft.com/office/drawing/2014/main" id="{519A863B-557C-47A3-B89B-80E6AD4C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5" name="Imagen 3">
          <a:extLst>
            <a:ext uri="{FF2B5EF4-FFF2-40B4-BE49-F238E27FC236}">
              <a16:creationId xmlns:a16="http://schemas.microsoft.com/office/drawing/2014/main" id="{BFC0654E-A07C-44A9-ADBD-A852BAEE3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6" name="Imagen 3">
          <a:extLst>
            <a:ext uri="{FF2B5EF4-FFF2-40B4-BE49-F238E27FC236}">
              <a16:creationId xmlns:a16="http://schemas.microsoft.com/office/drawing/2014/main" id="{CF821951-B71B-4ECA-B672-0790CCA6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7" name="Imagen 3">
          <a:extLst>
            <a:ext uri="{FF2B5EF4-FFF2-40B4-BE49-F238E27FC236}">
              <a16:creationId xmlns:a16="http://schemas.microsoft.com/office/drawing/2014/main" id="{F075D5ED-9277-41E4-AD8B-F2DEAF558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8" name="Imagen 3">
          <a:extLst>
            <a:ext uri="{FF2B5EF4-FFF2-40B4-BE49-F238E27FC236}">
              <a16:creationId xmlns:a16="http://schemas.microsoft.com/office/drawing/2014/main" id="{0DDB2FA0-BD15-46C0-B7A2-A02671F7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59" name="Imagen 3">
          <a:extLst>
            <a:ext uri="{FF2B5EF4-FFF2-40B4-BE49-F238E27FC236}">
              <a16:creationId xmlns:a16="http://schemas.microsoft.com/office/drawing/2014/main" id="{02FEA524-C3FA-4BC7-8B74-F791D109C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0" name="Imagen 3">
          <a:extLst>
            <a:ext uri="{FF2B5EF4-FFF2-40B4-BE49-F238E27FC236}">
              <a16:creationId xmlns:a16="http://schemas.microsoft.com/office/drawing/2014/main" id="{AABE5758-2070-4C08-9FF4-77778D0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1" name="Imagen 3">
          <a:extLst>
            <a:ext uri="{FF2B5EF4-FFF2-40B4-BE49-F238E27FC236}">
              <a16:creationId xmlns:a16="http://schemas.microsoft.com/office/drawing/2014/main" id="{FAF33BBE-41EE-432E-9F2A-68BCC8D20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2" name="Imagen 3">
          <a:extLst>
            <a:ext uri="{FF2B5EF4-FFF2-40B4-BE49-F238E27FC236}">
              <a16:creationId xmlns:a16="http://schemas.microsoft.com/office/drawing/2014/main" id="{8C1B92C9-CD86-4D61-8CC0-2130C023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3" name="Imagen 3">
          <a:extLst>
            <a:ext uri="{FF2B5EF4-FFF2-40B4-BE49-F238E27FC236}">
              <a16:creationId xmlns:a16="http://schemas.microsoft.com/office/drawing/2014/main" id="{70ADF596-5833-4257-988C-5E0762F0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4" name="Imagen 3">
          <a:extLst>
            <a:ext uri="{FF2B5EF4-FFF2-40B4-BE49-F238E27FC236}">
              <a16:creationId xmlns:a16="http://schemas.microsoft.com/office/drawing/2014/main" id="{B87931C5-581D-4796-8207-13358FE9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5" name="Imagen 3">
          <a:extLst>
            <a:ext uri="{FF2B5EF4-FFF2-40B4-BE49-F238E27FC236}">
              <a16:creationId xmlns:a16="http://schemas.microsoft.com/office/drawing/2014/main" id="{BECB9062-8DCE-46BB-A70F-F2CE72EF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6" name="Imagen 3">
          <a:extLst>
            <a:ext uri="{FF2B5EF4-FFF2-40B4-BE49-F238E27FC236}">
              <a16:creationId xmlns:a16="http://schemas.microsoft.com/office/drawing/2014/main" id="{6AA81E5C-276A-4FDD-921C-B23B3A9BB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7" name="Imagen 3">
          <a:extLst>
            <a:ext uri="{FF2B5EF4-FFF2-40B4-BE49-F238E27FC236}">
              <a16:creationId xmlns:a16="http://schemas.microsoft.com/office/drawing/2014/main" id="{DEFBA110-25B4-4955-8A05-1CC024CF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8" name="Imagen 3">
          <a:extLst>
            <a:ext uri="{FF2B5EF4-FFF2-40B4-BE49-F238E27FC236}">
              <a16:creationId xmlns:a16="http://schemas.microsoft.com/office/drawing/2014/main" id="{39219FBA-C5EA-443E-A92C-41A3FBC0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69" name="Imagen 3">
          <a:extLst>
            <a:ext uri="{FF2B5EF4-FFF2-40B4-BE49-F238E27FC236}">
              <a16:creationId xmlns:a16="http://schemas.microsoft.com/office/drawing/2014/main" id="{E390CEC1-D53B-4E9E-A30E-E026E182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0" name="Imagen 3">
          <a:extLst>
            <a:ext uri="{FF2B5EF4-FFF2-40B4-BE49-F238E27FC236}">
              <a16:creationId xmlns:a16="http://schemas.microsoft.com/office/drawing/2014/main" id="{72CB919D-494D-49F5-B681-E6F93463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1" name="Imagen 3">
          <a:extLst>
            <a:ext uri="{FF2B5EF4-FFF2-40B4-BE49-F238E27FC236}">
              <a16:creationId xmlns:a16="http://schemas.microsoft.com/office/drawing/2014/main" id="{D91B307C-0EAF-4C04-855A-8526CB73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2" name="Imagen 3">
          <a:extLst>
            <a:ext uri="{FF2B5EF4-FFF2-40B4-BE49-F238E27FC236}">
              <a16:creationId xmlns:a16="http://schemas.microsoft.com/office/drawing/2014/main" id="{FDDA4263-0443-4AF0-BD2C-83812AAE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3" name="Imagen 3">
          <a:extLst>
            <a:ext uri="{FF2B5EF4-FFF2-40B4-BE49-F238E27FC236}">
              <a16:creationId xmlns:a16="http://schemas.microsoft.com/office/drawing/2014/main" id="{B8AD2550-0B59-44C1-873E-54313477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4" name="Imagen 3">
          <a:extLst>
            <a:ext uri="{FF2B5EF4-FFF2-40B4-BE49-F238E27FC236}">
              <a16:creationId xmlns:a16="http://schemas.microsoft.com/office/drawing/2014/main" id="{894F2561-C8C1-4852-A87C-35D5B420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5" name="Imagen 3">
          <a:extLst>
            <a:ext uri="{FF2B5EF4-FFF2-40B4-BE49-F238E27FC236}">
              <a16:creationId xmlns:a16="http://schemas.microsoft.com/office/drawing/2014/main" id="{AD1CE6A7-E86A-496E-BF39-5DE263621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6" name="Imagen 3">
          <a:extLst>
            <a:ext uri="{FF2B5EF4-FFF2-40B4-BE49-F238E27FC236}">
              <a16:creationId xmlns:a16="http://schemas.microsoft.com/office/drawing/2014/main" id="{3733CA77-8D91-415F-905E-624A8DA1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7" name="Imagen 3">
          <a:extLst>
            <a:ext uri="{FF2B5EF4-FFF2-40B4-BE49-F238E27FC236}">
              <a16:creationId xmlns:a16="http://schemas.microsoft.com/office/drawing/2014/main" id="{D075F3A1-53E3-49BB-B728-56F154C8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8" name="Imagen 3">
          <a:extLst>
            <a:ext uri="{FF2B5EF4-FFF2-40B4-BE49-F238E27FC236}">
              <a16:creationId xmlns:a16="http://schemas.microsoft.com/office/drawing/2014/main" id="{AC0E7BBB-4164-45B8-BEE5-4724C866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79" name="Imagen 3">
          <a:extLst>
            <a:ext uri="{FF2B5EF4-FFF2-40B4-BE49-F238E27FC236}">
              <a16:creationId xmlns:a16="http://schemas.microsoft.com/office/drawing/2014/main" id="{23F48371-99F7-4420-81B1-EA139A63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0" name="Imagen 3">
          <a:extLst>
            <a:ext uri="{FF2B5EF4-FFF2-40B4-BE49-F238E27FC236}">
              <a16:creationId xmlns:a16="http://schemas.microsoft.com/office/drawing/2014/main" id="{28332146-7296-431A-9764-31878653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1" name="Imagen 3">
          <a:extLst>
            <a:ext uri="{FF2B5EF4-FFF2-40B4-BE49-F238E27FC236}">
              <a16:creationId xmlns:a16="http://schemas.microsoft.com/office/drawing/2014/main" id="{701DC268-33EE-49E5-A17D-9EBA9146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2" name="Imagen 3">
          <a:extLst>
            <a:ext uri="{FF2B5EF4-FFF2-40B4-BE49-F238E27FC236}">
              <a16:creationId xmlns:a16="http://schemas.microsoft.com/office/drawing/2014/main" id="{62DA7E69-3DDD-4459-A7A8-1A93CED1D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3" name="Imagen 3">
          <a:extLst>
            <a:ext uri="{FF2B5EF4-FFF2-40B4-BE49-F238E27FC236}">
              <a16:creationId xmlns:a16="http://schemas.microsoft.com/office/drawing/2014/main" id="{1F575A15-E56A-49EE-9BAA-EAC7F2A22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4" name="Imagen 3">
          <a:extLst>
            <a:ext uri="{FF2B5EF4-FFF2-40B4-BE49-F238E27FC236}">
              <a16:creationId xmlns:a16="http://schemas.microsoft.com/office/drawing/2014/main" id="{5BCE5871-3DE0-4383-9FD6-DA707D218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5" name="Imagen 3">
          <a:extLst>
            <a:ext uri="{FF2B5EF4-FFF2-40B4-BE49-F238E27FC236}">
              <a16:creationId xmlns:a16="http://schemas.microsoft.com/office/drawing/2014/main" id="{149FFC19-BB56-4563-9B53-55E334E1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6" name="Imagen 3">
          <a:extLst>
            <a:ext uri="{FF2B5EF4-FFF2-40B4-BE49-F238E27FC236}">
              <a16:creationId xmlns:a16="http://schemas.microsoft.com/office/drawing/2014/main" id="{DD0629D4-869F-41EE-9C56-7007826A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7" name="Imagen 3">
          <a:extLst>
            <a:ext uri="{FF2B5EF4-FFF2-40B4-BE49-F238E27FC236}">
              <a16:creationId xmlns:a16="http://schemas.microsoft.com/office/drawing/2014/main" id="{06D29C26-6755-42E2-93AE-E4D464341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8" name="Imagen 3">
          <a:extLst>
            <a:ext uri="{FF2B5EF4-FFF2-40B4-BE49-F238E27FC236}">
              <a16:creationId xmlns:a16="http://schemas.microsoft.com/office/drawing/2014/main" id="{CFBECC0D-62D3-42DB-A54E-C04B2E14B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89" name="Imagen 3">
          <a:extLst>
            <a:ext uri="{FF2B5EF4-FFF2-40B4-BE49-F238E27FC236}">
              <a16:creationId xmlns:a16="http://schemas.microsoft.com/office/drawing/2014/main" id="{CDEA477E-3464-467B-AEEC-C9570BC1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0" name="Imagen 3">
          <a:extLst>
            <a:ext uri="{FF2B5EF4-FFF2-40B4-BE49-F238E27FC236}">
              <a16:creationId xmlns:a16="http://schemas.microsoft.com/office/drawing/2014/main" id="{52145F03-4D69-4011-81E4-78A75741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1" name="Imagen 3">
          <a:extLst>
            <a:ext uri="{FF2B5EF4-FFF2-40B4-BE49-F238E27FC236}">
              <a16:creationId xmlns:a16="http://schemas.microsoft.com/office/drawing/2014/main" id="{20306A6D-10DC-45B1-BFFB-ADB4086F4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2" name="Imagen 3">
          <a:extLst>
            <a:ext uri="{FF2B5EF4-FFF2-40B4-BE49-F238E27FC236}">
              <a16:creationId xmlns:a16="http://schemas.microsoft.com/office/drawing/2014/main" id="{7F55D3F3-AD0C-453B-B497-AEA873DE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3" name="Imagen 3">
          <a:extLst>
            <a:ext uri="{FF2B5EF4-FFF2-40B4-BE49-F238E27FC236}">
              <a16:creationId xmlns:a16="http://schemas.microsoft.com/office/drawing/2014/main" id="{674FB47B-A3CA-4F21-BD79-3E34EA041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4" name="Imagen 3">
          <a:extLst>
            <a:ext uri="{FF2B5EF4-FFF2-40B4-BE49-F238E27FC236}">
              <a16:creationId xmlns:a16="http://schemas.microsoft.com/office/drawing/2014/main" id="{3BB1CFB6-E9C4-4665-8138-4EDCCEA6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5" name="Imagen 3">
          <a:extLst>
            <a:ext uri="{FF2B5EF4-FFF2-40B4-BE49-F238E27FC236}">
              <a16:creationId xmlns:a16="http://schemas.microsoft.com/office/drawing/2014/main" id="{75E31535-FF18-4582-80CC-075FB7D7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6" name="Imagen 3">
          <a:extLst>
            <a:ext uri="{FF2B5EF4-FFF2-40B4-BE49-F238E27FC236}">
              <a16:creationId xmlns:a16="http://schemas.microsoft.com/office/drawing/2014/main" id="{D93BCBD9-1327-4D6D-8A1E-1FD196FF0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7" name="Imagen 3">
          <a:extLst>
            <a:ext uri="{FF2B5EF4-FFF2-40B4-BE49-F238E27FC236}">
              <a16:creationId xmlns:a16="http://schemas.microsoft.com/office/drawing/2014/main" id="{65976449-9EB6-4045-AF94-AC84ADE5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8" name="Imagen 3">
          <a:extLst>
            <a:ext uri="{FF2B5EF4-FFF2-40B4-BE49-F238E27FC236}">
              <a16:creationId xmlns:a16="http://schemas.microsoft.com/office/drawing/2014/main" id="{1DA21F05-A596-42FC-8CE5-5F188A73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099" name="Imagen 3">
          <a:extLst>
            <a:ext uri="{FF2B5EF4-FFF2-40B4-BE49-F238E27FC236}">
              <a16:creationId xmlns:a16="http://schemas.microsoft.com/office/drawing/2014/main" id="{93705978-6C11-47CC-A8F5-3C650786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0" name="Imagen 3">
          <a:extLst>
            <a:ext uri="{FF2B5EF4-FFF2-40B4-BE49-F238E27FC236}">
              <a16:creationId xmlns:a16="http://schemas.microsoft.com/office/drawing/2014/main" id="{D835F0E4-4800-483A-AB00-7FACAE9A7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1" name="Imagen 3">
          <a:extLst>
            <a:ext uri="{FF2B5EF4-FFF2-40B4-BE49-F238E27FC236}">
              <a16:creationId xmlns:a16="http://schemas.microsoft.com/office/drawing/2014/main" id="{51801027-3190-4BDB-89D0-1FBD2A8FE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2" name="Imagen 3">
          <a:extLst>
            <a:ext uri="{FF2B5EF4-FFF2-40B4-BE49-F238E27FC236}">
              <a16:creationId xmlns:a16="http://schemas.microsoft.com/office/drawing/2014/main" id="{885ABA8D-5DCA-43BB-8E2F-2DD9DC03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3" name="Imagen 3">
          <a:extLst>
            <a:ext uri="{FF2B5EF4-FFF2-40B4-BE49-F238E27FC236}">
              <a16:creationId xmlns:a16="http://schemas.microsoft.com/office/drawing/2014/main" id="{4C6A0559-0074-4803-BDAE-8B979D3F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4" name="Imagen 3">
          <a:extLst>
            <a:ext uri="{FF2B5EF4-FFF2-40B4-BE49-F238E27FC236}">
              <a16:creationId xmlns:a16="http://schemas.microsoft.com/office/drawing/2014/main" id="{E7B944F9-57F4-4C56-A311-64E310613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5" name="Imagen 3">
          <a:extLst>
            <a:ext uri="{FF2B5EF4-FFF2-40B4-BE49-F238E27FC236}">
              <a16:creationId xmlns:a16="http://schemas.microsoft.com/office/drawing/2014/main" id="{06A71AF4-BC63-4F85-A99F-398043F6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6" name="Imagen 3">
          <a:extLst>
            <a:ext uri="{FF2B5EF4-FFF2-40B4-BE49-F238E27FC236}">
              <a16:creationId xmlns:a16="http://schemas.microsoft.com/office/drawing/2014/main" id="{7BE6DF6B-8CA6-47DA-A77B-CFC59FB6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7" name="Imagen 3">
          <a:extLst>
            <a:ext uri="{FF2B5EF4-FFF2-40B4-BE49-F238E27FC236}">
              <a16:creationId xmlns:a16="http://schemas.microsoft.com/office/drawing/2014/main" id="{C03BD595-E5D9-4D49-A507-A6FDFCC56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8" name="Imagen 3">
          <a:extLst>
            <a:ext uri="{FF2B5EF4-FFF2-40B4-BE49-F238E27FC236}">
              <a16:creationId xmlns:a16="http://schemas.microsoft.com/office/drawing/2014/main" id="{B897875D-37DF-4273-AD60-36F1BCD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09" name="Imagen 3">
          <a:extLst>
            <a:ext uri="{FF2B5EF4-FFF2-40B4-BE49-F238E27FC236}">
              <a16:creationId xmlns:a16="http://schemas.microsoft.com/office/drawing/2014/main" id="{0EDC6C75-4BA8-4DC5-8F1D-A8508846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0" name="Imagen 3">
          <a:extLst>
            <a:ext uri="{FF2B5EF4-FFF2-40B4-BE49-F238E27FC236}">
              <a16:creationId xmlns:a16="http://schemas.microsoft.com/office/drawing/2014/main" id="{8C93A775-9AB5-4CF6-84D4-0E8F301E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1" name="Imagen 3">
          <a:extLst>
            <a:ext uri="{FF2B5EF4-FFF2-40B4-BE49-F238E27FC236}">
              <a16:creationId xmlns:a16="http://schemas.microsoft.com/office/drawing/2014/main" id="{238A53DE-8546-4EED-BFC4-574D9615B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2" name="Imagen 3">
          <a:extLst>
            <a:ext uri="{FF2B5EF4-FFF2-40B4-BE49-F238E27FC236}">
              <a16:creationId xmlns:a16="http://schemas.microsoft.com/office/drawing/2014/main" id="{764D72C8-36CA-44DB-BA07-AB2940026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3" name="Imagen 3">
          <a:extLst>
            <a:ext uri="{FF2B5EF4-FFF2-40B4-BE49-F238E27FC236}">
              <a16:creationId xmlns:a16="http://schemas.microsoft.com/office/drawing/2014/main" id="{9559CFFA-955D-409A-B571-F20321BB8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4" name="Imagen 3">
          <a:extLst>
            <a:ext uri="{FF2B5EF4-FFF2-40B4-BE49-F238E27FC236}">
              <a16:creationId xmlns:a16="http://schemas.microsoft.com/office/drawing/2014/main" id="{E1A97898-124C-4D5E-8D5E-DADEE737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5" name="Imagen 3">
          <a:extLst>
            <a:ext uri="{FF2B5EF4-FFF2-40B4-BE49-F238E27FC236}">
              <a16:creationId xmlns:a16="http://schemas.microsoft.com/office/drawing/2014/main" id="{04FFFE99-568F-485A-ABF7-DDF3C758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6" name="Imagen 3">
          <a:extLst>
            <a:ext uri="{FF2B5EF4-FFF2-40B4-BE49-F238E27FC236}">
              <a16:creationId xmlns:a16="http://schemas.microsoft.com/office/drawing/2014/main" id="{6EC23919-512A-43DB-A0FF-5433CD54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7" name="Imagen 3">
          <a:extLst>
            <a:ext uri="{FF2B5EF4-FFF2-40B4-BE49-F238E27FC236}">
              <a16:creationId xmlns:a16="http://schemas.microsoft.com/office/drawing/2014/main" id="{26D45058-5FC6-48AB-9ED7-4482F476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8" name="Imagen 3">
          <a:extLst>
            <a:ext uri="{FF2B5EF4-FFF2-40B4-BE49-F238E27FC236}">
              <a16:creationId xmlns:a16="http://schemas.microsoft.com/office/drawing/2014/main" id="{6B913BEC-9186-402E-B3C7-8C004891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19" name="Imagen 3">
          <a:extLst>
            <a:ext uri="{FF2B5EF4-FFF2-40B4-BE49-F238E27FC236}">
              <a16:creationId xmlns:a16="http://schemas.microsoft.com/office/drawing/2014/main" id="{FB292A89-670F-4033-AC91-9D5BDD45F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0" name="Imagen 3">
          <a:extLst>
            <a:ext uri="{FF2B5EF4-FFF2-40B4-BE49-F238E27FC236}">
              <a16:creationId xmlns:a16="http://schemas.microsoft.com/office/drawing/2014/main" id="{4981F227-94D0-4116-B016-599FC261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1" name="Imagen 3">
          <a:extLst>
            <a:ext uri="{FF2B5EF4-FFF2-40B4-BE49-F238E27FC236}">
              <a16:creationId xmlns:a16="http://schemas.microsoft.com/office/drawing/2014/main" id="{54E32BD7-69D2-4C99-9FCB-896D84CA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2" name="Imagen 3">
          <a:extLst>
            <a:ext uri="{FF2B5EF4-FFF2-40B4-BE49-F238E27FC236}">
              <a16:creationId xmlns:a16="http://schemas.microsoft.com/office/drawing/2014/main" id="{DE345C79-D98C-48A5-B025-982EFF4C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3" name="Imagen 3">
          <a:extLst>
            <a:ext uri="{FF2B5EF4-FFF2-40B4-BE49-F238E27FC236}">
              <a16:creationId xmlns:a16="http://schemas.microsoft.com/office/drawing/2014/main" id="{34054689-23C3-4991-B43D-22F2DE80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4" name="Imagen 3">
          <a:extLst>
            <a:ext uri="{FF2B5EF4-FFF2-40B4-BE49-F238E27FC236}">
              <a16:creationId xmlns:a16="http://schemas.microsoft.com/office/drawing/2014/main" id="{D018A433-862A-4C62-A6BD-AFC744BE0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5" name="Imagen 3">
          <a:extLst>
            <a:ext uri="{FF2B5EF4-FFF2-40B4-BE49-F238E27FC236}">
              <a16:creationId xmlns:a16="http://schemas.microsoft.com/office/drawing/2014/main" id="{E83E3C1A-FC76-444D-9E6D-5B41431F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6" name="Imagen 3">
          <a:extLst>
            <a:ext uri="{FF2B5EF4-FFF2-40B4-BE49-F238E27FC236}">
              <a16:creationId xmlns:a16="http://schemas.microsoft.com/office/drawing/2014/main" id="{0C0FCE01-F098-4B18-8504-B3CCF007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7" name="Imagen 3">
          <a:extLst>
            <a:ext uri="{FF2B5EF4-FFF2-40B4-BE49-F238E27FC236}">
              <a16:creationId xmlns:a16="http://schemas.microsoft.com/office/drawing/2014/main" id="{B1A8D021-A70C-4FB7-984C-B7C6EFFE6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8" name="Imagen 3">
          <a:extLst>
            <a:ext uri="{FF2B5EF4-FFF2-40B4-BE49-F238E27FC236}">
              <a16:creationId xmlns:a16="http://schemas.microsoft.com/office/drawing/2014/main" id="{90123D69-3E14-4F67-80DA-6D4393CA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29" name="Imagen 3">
          <a:extLst>
            <a:ext uri="{FF2B5EF4-FFF2-40B4-BE49-F238E27FC236}">
              <a16:creationId xmlns:a16="http://schemas.microsoft.com/office/drawing/2014/main" id="{57EFD98B-B58D-4B9E-B1EC-2AF71A25B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0" name="Imagen 3">
          <a:extLst>
            <a:ext uri="{FF2B5EF4-FFF2-40B4-BE49-F238E27FC236}">
              <a16:creationId xmlns:a16="http://schemas.microsoft.com/office/drawing/2014/main" id="{546B14A6-08E3-4CED-B9BE-089419EA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1" name="Imagen 3">
          <a:extLst>
            <a:ext uri="{FF2B5EF4-FFF2-40B4-BE49-F238E27FC236}">
              <a16:creationId xmlns:a16="http://schemas.microsoft.com/office/drawing/2014/main" id="{481CAAD2-8F96-427A-89EF-68FA4FC68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2" name="Imagen 3">
          <a:extLst>
            <a:ext uri="{FF2B5EF4-FFF2-40B4-BE49-F238E27FC236}">
              <a16:creationId xmlns:a16="http://schemas.microsoft.com/office/drawing/2014/main" id="{1E0A732F-D55B-4951-94AC-D3C2B4DCA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3" name="Imagen 3">
          <a:extLst>
            <a:ext uri="{FF2B5EF4-FFF2-40B4-BE49-F238E27FC236}">
              <a16:creationId xmlns:a16="http://schemas.microsoft.com/office/drawing/2014/main" id="{51E2E87B-1EFD-460D-99AC-F35A166F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4" name="Imagen 3">
          <a:extLst>
            <a:ext uri="{FF2B5EF4-FFF2-40B4-BE49-F238E27FC236}">
              <a16:creationId xmlns:a16="http://schemas.microsoft.com/office/drawing/2014/main" id="{277105E5-1016-40FA-BACB-66CBAD39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5" name="Imagen 3">
          <a:extLst>
            <a:ext uri="{FF2B5EF4-FFF2-40B4-BE49-F238E27FC236}">
              <a16:creationId xmlns:a16="http://schemas.microsoft.com/office/drawing/2014/main" id="{E021C0F9-AC2E-42AC-B843-F7216871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6" name="Imagen 3">
          <a:extLst>
            <a:ext uri="{FF2B5EF4-FFF2-40B4-BE49-F238E27FC236}">
              <a16:creationId xmlns:a16="http://schemas.microsoft.com/office/drawing/2014/main" id="{54CD661B-1A2F-4942-A494-80566D1E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7" name="Imagen 3">
          <a:extLst>
            <a:ext uri="{FF2B5EF4-FFF2-40B4-BE49-F238E27FC236}">
              <a16:creationId xmlns:a16="http://schemas.microsoft.com/office/drawing/2014/main" id="{F1591083-D933-4878-87A6-4DE744C7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8" name="Imagen 3">
          <a:extLst>
            <a:ext uri="{FF2B5EF4-FFF2-40B4-BE49-F238E27FC236}">
              <a16:creationId xmlns:a16="http://schemas.microsoft.com/office/drawing/2014/main" id="{5B89449A-175F-440B-B605-491953F0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39" name="Imagen 3">
          <a:extLst>
            <a:ext uri="{FF2B5EF4-FFF2-40B4-BE49-F238E27FC236}">
              <a16:creationId xmlns:a16="http://schemas.microsoft.com/office/drawing/2014/main" id="{019C0BB4-CE6D-4283-A872-0F1AB8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40" name="Imagen 3">
          <a:extLst>
            <a:ext uri="{FF2B5EF4-FFF2-40B4-BE49-F238E27FC236}">
              <a16:creationId xmlns:a16="http://schemas.microsoft.com/office/drawing/2014/main" id="{2D7AC156-E47D-45A9-9234-73BC659E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41" name="Imagen 3">
          <a:extLst>
            <a:ext uri="{FF2B5EF4-FFF2-40B4-BE49-F238E27FC236}">
              <a16:creationId xmlns:a16="http://schemas.microsoft.com/office/drawing/2014/main" id="{37BF0669-86DF-4440-B74F-B237F2580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42" name="Imagen 3">
          <a:extLst>
            <a:ext uri="{FF2B5EF4-FFF2-40B4-BE49-F238E27FC236}">
              <a16:creationId xmlns:a16="http://schemas.microsoft.com/office/drawing/2014/main" id="{DDE28D05-D291-4291-8561-509D66C3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3" name="Imagen 3">
          <a:extLst>
            <a:ext uri="{FF2B5EF4-FFF2-40B4-BE49-F238E27FC236}">
              <a16:creationId xmlns:a16="http://schemas.microsoft.com/office/drawing/2014/main" id="{5BF3CB18-2DB8-4FB9-9058-CCD3421D0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4" name="Imagen 3">
          <a:extLst>
            <a:ext uri="{FF2B5EF4-FFF2-40B4-BE49-F238E27FC236}">
              <a16:creationId xmlns:a16="http://schemas.microsoft.com/office/drawing/2014/main" id="{B0B9C0C7-8BD7-4132-9BF6-CE44809C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5" name="Imagen 3">
          <a:extLst>
            <a:ext uri="{FF2B5EF4-FFF2-40B4-BE49-F238E27FC236}">
              <a16:creationId xmlns:a16="http://schemas.microsoft.com/office/drawing/2014/main" id="{10EEEBC5-1A31-471F-9606-1A476432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6" name="Imagen 3">
          <a:extLst>
            <a:ext uri="{FF2B5EF4-FFF2-40B4-BE49-F238E27FC236}">
              <a16:creationId xmlns:a16="http://schemas.microsoft.com/office/drawing/2014/main" id="{FE0A6F02-41FC-498E-995A-E1D5D3B23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7" name="Imagen 3">
          <a:extLst>
            <a:ext uri="{FF2B5EF4-FFF2-40B4-BE49-F238E27FC236}">
              <a16:creationId xmlns:a16="http://schemas.microsoft.com/office/drawing/2014/main" id="{491783DD-46E6-4C29-B45C-47C35166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8" name="Imagen 3">
          <a:extLst>
            <a:ext uri="{FF2B5EF4-FFF2-40B4-BE49-F238E27FC236}">
              <a16:creationId xmlns:a16="http://schemas.microsoft.com/office/drawing/2014/main" id="{868C2BFD-7100-4178-AD1D-F5FC35C94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49" name="Imagen 3">
          <a:extLst>
            <a:ext uri="{FF2B5EF4-FFF2-40B4-BE49-F238E27FC236}">
              <a16:creationId xmlns:a16="http://schemas.microsoft.com/office/drawing/2014/main" id="{033380A9-DB9C-4B06-BE10-747632C57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0" name="Imagen 3">
          <a:extLst>
            <a:ext uri="{FF2B5EF4-FFF2-40B4-BE49-F238E27FC236}">
              <a16:creationId xmlns:a16="http://schemas.microsoft.com/office/drawing/2014/main" id="{0F2FBB80-E157-4B6C-85CF-97D22F780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1" name="Imagen 3">
          <a:extLst>
            <a:ext uri="{FF2B5EF4-FFF2-40B4-BE49-F238E27FC236}">
              <a16:creationId xmlns:a16="http://schemas.microsoft.com/office/drawing/2014/main" id="{382BD869-E40A-4A4C-8E85-B3B22D2B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2" name="Imagen 3">
          <a:extLst>
            <a:ext uri="{FF2B5EF4-FFF2-40B4-BE49-F238E27FC236}">
              <a16:creationId xmlns:a16="http://schemas.microsoft.com/office/drawing/2014/main" id="{5CC56E6F-CF19-47B8-8F09-5E189F07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3" name="Imagen 3">
          <a:extLst>
            <a:ext uri="{FF2B5EF4-FFF2-40B4-BE49-F238E27FC236}">
              <a16:creationId xmlns:a16="http://schemas.microsoft.com/office/drawing/2014/main" id="{C78788C1-4AD0-4399-8450-31C615B6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4" name="Imagen 3">
          <a:extLst>
            <a:ext uri="{FF2B5EF4-FFF2-40B4-BE49-F238E27FC236}">
              <a16:creationId xmlns:a16="http://schemas.microsoft.com/office/drawing/2014/main" id="{75989221-24F5-450D-9390-DA4128EC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5" name="Imagen 3">
          <a:extLst>
            <a:ext uri="{FF2B5EF4-FFF2-40B4-BE49-F238E27FC236}">
              <a16:creationId xmlns:a16="http://schemas.microsoft.com/office/drawing/2014/main" id="{D5DF953C-2A8E-4302-99D0-3093206CB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6" name="Imagen 3">
          <a:extLst>
            <a:ext uri="{FF2B5EF4-FFF2-40B4-BE49-F238E27FC236}">
              <a16:creationId xmlns:a16="http://schemas.microsoft.com/office/drawing/2014/main" id="{CD50F3D8-A06C-4ECE-9207-672DCE51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7" name="Imagen 3">
          <a:extLst>
            <a:ext uri="{FF2B5EF4-FFF2-40B4-BE49-F238E27FC236}">
              <a16:creationId xmlns:a16="http://schemas.microsoft.com/office/drawing/2014/main" id="{03BFA210-5A1C-4A8B-A420-127834BE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8" name="Imagen 3">
          <a:extLst>
            <a:ext uri="{FF2B5EF4-FFF2-40B4-BE49-F238E27FC236}">
              <a16:creationId xmlns:a16="http://schemas.microsoft.com/office/drawing/2014/main" id="{0F807F78-23CB-43E7-AE0D-0294F2B2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59" name="Imagen 3">
          <a:extLst>
            <a:ext uri="{FF2B5EF4-FFF2-40B4-BE49-F238E27FC236}">
              <a16:creationId xmlns:a16="http://schemas.microsoft.com/office/drawing/2014/main" id="{25CF0BC3-EB0C-4082-A87E-B1C92D5F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0" name="Imagen 3">
          <a:extLst>
            <a:ext uri="{FF2B5EF4-FFF2-40B4-BE49-F238E27FC236}">
              <a16:creationId xmlns:a16="http://schemas.microsoft.com/office/drawing/2014/main" id="{B886EA34-20B8-48C9-BF79-6DA2A4F0D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1" name="Imagen 3">
          <a:extLst>
            <a:ext uri="{FF2B5EF4-FFF2-40B4-BE49-F238E27FC236}">
              <a16:creationId xmlns:a16="http://schemas.microsoft.com/office/drawing/2014/main" id="{FC454FD3-BACA-41AA-A6F7-E9DFA242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2" name="Imagen 3">
          <a:extLst>
            <a:ext uri="{FF2B5EF4-FFF2-40B4-BE49-F238E27FC236}">
              <a16:creationId xmlns:a16="http://schemas.microsoft.com/office/drawing/2014/main" id="{CEA442B5-B59F-4DD2-8E2E-9447427C3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3" name="Imagen 3">
          <a:extLst>
            <a:ext uri="{FF2B5EF4-FFF2-40B4-BE49-F238E27FC236}">
              <a16:creationId xmlns:a16="http://schemas.microsoft.com/office/drawing/2014/main" id="{E863EFAE-03E9-4293-AC10-332A863A1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4" name="Imagen 3">
          <a:extLst>
            <a:ext uri="{FF2B5EF4-FFF2-40B4-BE49-F238E27FC236}">
              <a16:creationId xmlns:a16="http://schemas.microsoft.com/office/drawing/2014/main" id="{5BB8FAD7-0287-4132-9C71-81C79034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5" name="Imagen 3">
          <a:extLst>
            <a:ext uri="{FF2B5EF4-FFF2-40B4-BE49-F238E27FC236}">
              <a16:creationId xmlns:a16="http://schemas.microsoft.com/office/drawing/2014/main" id="{163B7F25-4C17-4DEB-821E-514E9C17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6" name="Imagen 3">
          <a:extLst>
            <a:ext uri="{FF2B5EF4-FFF2-40B4-BE49-F238E27FC236}">
              <a16:creationId xmlns:a16="http://schemas.microsoft.com/office/drawing/2014/main" id="{2D3C2679-A229-4D6B-B839-6641ACC7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7" name="Imagen 3">
          <a:extLst>
            <a:ext uri="{FF2B5EF4-FFF2-40B4-BE49-F238E27FC236}">
              <a16:creationId xmlns:a16="http://schemas.microsoft.com/office/drawing/2014/main" id="{1197FF05-5FE1-4825-AB48-8F06B1A4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8" name="Imagen 3">
          <a:extLst>
            <a:ext uri="{FF2B5EF4-FFF2-40B4-BE49-F238E27FC236}">
              <a16:creationId xmlns:a16="http://schemas.microsoft.com/office/drawing/2014/main" id="{82FD8837-8A06-43B9-978E-9ABE06540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69" name="Imagen 3">
          <a:extLst>
            <a:ext uri="{FF2B5EF4-FFF2-40B4-BE49-F238E27FC236}">
              <a16:creationId xmlns:a16="http://schemas.microsoft.com/office/drawing/2014/main" id="{41BAF54E-089A-4086-BBD4-1A017ECFB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0" name="Imagen 3">
          <a:extLst>
            <a:ext uri="{FF2B5EF4-FFF2-40B4-BE49-F238E27FC236}">
              <a16:creationId xmlns:a16="http://schemas.microsoft.com/office/drawing/2014/main" id="{4D2C74CE-C925-4D6E-A745-432C7EB6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1" name="Imagen 3">
          <a:extLst>
            <a:ext uri="{FF2B5EF4-FFF2-40B4-BE49-F238E27FC236}">
              <a16:creationId xmlns:a16="http://schemas.microsoft.com/office/drawing/2014/main" id="{731DCFA7-8BF7-4784-A8D0-9A0350ADE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2" name="Imagen 3">
          <a:extLst>
            <a:ext uri="{FF2B5EF4-FFF2-40B4-BE49-F238E27FC236}">
              <a16:creationId xmlns:a16="http://schemas.microsoft.com/office/drawing/2014/main" id="{5B5474FD-9BE4-4289-9E55-D8189553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3" name="Imagen 3">
          <a:extLst>
            <a:ext uri="{FF2B5EF4-FFF2-40B4-BE49-F238E27FC236}">
              <a16:creationId xmlns:a16="http://schemas.microsoft.com/office/drawing/2014/main" id="{4486BFC0-B88F-4C47-89C9-322A7DAC2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4" name="Imagen 3">
          <a:extLst>
            <a:ext uri="{FF2B5EF4-FFF2-40B4-BE49-F238E27FC236}">
              <a16:creationId xmlns:a16="http://schemas.microsoft.com/office/drawing/2014/main" id="{00EE6D06-5342-4E9B-8CA7-538FCF0F6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5" name="Imagen 3">
          <a:extLst>
            <a:ext uri="{FF2B5EF4-FFF2-40B4-BE49-F238E27FC236}">
              <a16:creationId xmlns:a16="http://schemas.microsoft.com/office/drawing/2014/main" id="{A429B355-FE37-4597-B8CC-2C87572E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6" name="Imagen 3">
          <a:extLst>
            <a:ext uri="{FF2B5EF4-FFF2-40B4-BE49-F238E27FC236}">
              <a16:creationId xmlns:a16="http://schemas.microsoft.com/office/drawing/2014/main" id="{7727F381-0400-4507-B2F9-69E0B5FEA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7" name="Imagen 3">
          <a:extLst>
            <a:ext uri="{FF2B5EF4-FFF2-40B4-BE49-F238E27FC236}">
              <a16:creationId xmlns:a16="http://schemas.microsoft.com/office/drawing/2014/main" id="{9808F171-6C75-46CC-8C3E-ECC4D85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8" name="Imagen 3">
          <a:extLst>
            <a:ext uri="{FF2B5EF4-FFF2-40B4-BE49-F238E27FC236}">
              <a16:creationId xmlns:a16="http://schemas.microsoft.com/office/drawing/2014/main" id="{0A0D9C64-64A7-44EC-85FC-3F916CA4C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79" name="Imagen 3">
          <a:extLst>
            <a:ext uri="{FF2B5EF4-FFF2-40B4-BE49-F238E27FC236}">
              <a16:creationId xmlns:a16="http://schemas.microsoft.com/office/drawing/2014/main" id="{C0E1DC89-3EED-465D-8C1E-A2DA1D5B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0" name="Imagen 3">
          <a:extLst>
            <a:ext uri="{FF2B5EF4-FFF2-40B4-BE49-F238E27FC236}">
              <a16:creationId xmlns:a16="http://schemas.microsoft.com/office/drawing/2014/main" id="{E090DDC9-7D5B-4FD0-BFE1-794C27D88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1" name="Imagen 3">
          <a:extLst>
            <a:ext uri="{FF2B5EF4-FFF2-40B4-BE49-F238E27FC236}">
              <a16:creationId xmlns:a16="http://schemas.microsoft.com/office/drawing/2014/main" id="{1251D380-86B9-4C25-882E-82073D34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2" name="Imagen 3">
          <a:extLst>
            <a:ext uri="{FF2B5EF4-FFF2-40B4-BE49-F238E27FC236}">
              <a16:creationId xmlns:a16="http://schemas.microsoft.com/office/drawing/2014/main" id="{81C5BCE1-3AAB-4F2A-8996-E5EDBF0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3" name="Imagen 3">
          <a:extLst>
            <a:ext uri="{FF2B5EF4-FFF2-40B4-BE49-F238E27FC236}">
              <a16:creationId xmlns:a16="http://schemas.microsoft.com/office/drawing/2014/main" id="{B95A607F-2112-4AFA-9BC8-469DA6FA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4" name="Imagen 3">
          <a:extLst>
            <a:ext uri="{FF2B5EF4-FFF2-40B4-BE49-F238E27FC236}">
              <a16:creationId xmlns:a16="http://schemas.microsoft.com/office/drawing/2014/main" id="{24D7A02F-13AF-4F07-BFDB-FEE24B77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5" name="Imagen 3">
          <a:extLst>
            <a:ext uri="{FF2B5EF4-FFF2-40B4-BE49-F238E27FC236}">
              <a16:creationId xmlns:a16="http://schemas.microsoft.com/office/drawing/2014/main" id="{901C7C54-B3BC-4B7D-85E0-FAF39A8A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6" name="Imagen 3">
          <a:extLst>
            <a:ext uri="{FF2B5EF4-FFF2-40B4-BE49-F238E27FC236}">
              <a16:creationId xmlns:a16="http://schemas.microsoft.com/office/drawing/2014/main" id="{2EBF93B9-1CDC-46B4-9921-318FAE433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7" name="Imagen 3">
          <a:extLst>
            <a:ext uri="{FF2B5EF4-FFF2-40B4-BE49-F238E27FC236}">
              <a16:creationId xmlns:a16="http://schemas.microsoft.com/office/drawing/2014/main" id="{4FF9304F-FB26-4F18-89C0-A966B94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8" name="Imagen 3">
          <a:extLst>
            <a:ext uri="{FF2B5EF4-FFF2-40B4-BE49-F238E27FC236}">
              <a16:creationId xmlns:a16="http://schemas.microsoft.com/office/drawing/2014/main" id="{E0753E18-1437-4BCC-AB4B-393FC6F7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89" name="Imagen 3">
          <a:extLst>
            <a:ext uri="{FF2B5EF4-FFF2-40B4-BE49-F238E27FC236}">
              <a16:creationId xmlns:a16="http://schemas.microsoft.com/office/drawing/2014/main" id="{70A15350-3147-4E6B-9713-BEA70480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0" name="Imagen 3">
          <a:extLst>
            <a:ext uri="{FF2B5EF4-FFF2-40B4-BE49-F238E27FC236}">
              <a16:creationId xmlns:a16="http://schemas.microsoft.com/office/drawing/2014/main" id="{AE93C88E-3CC4-4C5A-8550-F2D648F2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1" name="Imagen 3">
          <a:extLst>
            <a:ext uri="{FF2B5EF4-FFF2-40B4-BE49-F238E27FC236}">
              <a16:creationId xmlns:a16="http://schemas.microsoft.com/office/drawing/2014/main" id="{9E9F9315-F061-4F87-9E04-FE05911F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2" name="Imagen 3">
          <a:extLst>
            <a:ext uri="{FF2B5EF4-FFF2-40B4-BE49-F238E27FC236}">
              <a16:creationId xmlns:a16="http://schemas.microsoft.com/office/drawing/2014/main" id="{72CCBBFA-1C14-4E01-9836-B51FD61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3" name="Imagen 3">
          <a:extLst>
            <a:ext uri="{FF2B5EF4-FFF2-40B4-BE49-F238E27FC236}">
              <a16:creationId xmlns:a16="http://schemas.microsoft.com/office/drawing/2014/main" id="{9DB53D62-0B7F-4226-9E63-B134186A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4" name="Imagen 3">
          <a:extLst>
            <a:ext uri="{FF2B5EF4-FFF2-40B4-BE49-F238E27FC236}">
              <a16:creationId xmlns:a16="http://schemas.microsoft.com/office/drawing/2014/main" id="{635FBEBE-53BE-427E-9D0A-B9B710FE4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5" name="Imagen 3">
          <a:extLst>
            <a:ext uri="{FF2B5EF4-FFF2-40B4-BE49-F238E27FC236}">
              <a16:creationId xmlns:a16="http://schemas.microsoft.com/office/drawing/2014/main" id="{C1544E9E-3F43-428D-BEB6-A3AB184A6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6" name="Imagen 3">
          <a:extLst>
            <a:ext uri="{FF2B5EF4-FFF2-40B4-BE49-F238E27FC236}">
              <a16:creationId xmlns:a16="http://schemas.microsoft.com/office/drawing/2014/main" id="{14C9E6F4-B6B6-4881-B416-8FD2C3831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7" name="Imagen 3">
          <a:extLst>
            <a:ext uri="{FF2B5EF4-FFF2-40B4-BE49-F238E27FC236}">
              <a16:creationId xmlns:a16="http://schemas.microsoft.com/office/drawing/2014/main" id="{4E1DF63C-A06C-4F23-BE68-DCAD6F99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198" name="Imagen 3">
          <a:extLst>
            <a:ext uri="{FF2B5EF4-FFF2-40B4-BE49-F238E27FC236}">
              <a16:creationId xmlns:a16="http://schemas.microsoft.com/office/drawing/2014/main" id="{2FC76C65-31F6-44CB-B317-0516D79C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199" name="Imagen 3">
          <a:extLst>
            <a:ext uri="{FF2B5EF4-FFF2-40B4-BE49-F238E27FC236}">
              <a16:creationId xmlns:a16="http://schemas.microsoft.com/office/drawing/2014/main" id="{C084556A-7551-4811-9833-D55071149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0" name="Imagen 3">
          <a:extLst>
            <a:ext uri="{FF2B5EF4-FFF2-40B4-BE49-F238E27FC236}">
              <a16:creationId xmlns:a16="http://schemas.microsoft.com/office/drawing/2014/main" id="{41943A4F-EF0A-4EC1-B149-43897A5B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1" name="Imagen 3">
          <a:extLst>
            <a:ext uri="{FF2B5EF4-FFF2-40B4-BE49-F238E27FC236}">
              <a16:creationId xmlns:a16="http://schemas.microsoft.com/office/drawing/2014/main" id="{F6C61759-0102-43CA-A0D9-DB33B0018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2" name="Imagen 3">
          <a:extLst>
            <a:ext uri="{FF2B5EF4-FFF2-40B4-BE49-F238E27FC236}">
              <a16:creationId xmlns:a16="http://schemas.microsoft.com/office/drawing/2014/main" id="{069C2745-C48E-4D3D-BFA9-A4E1BFAB4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3" name="Imagen 3">
          <a:extLst>
            <a:ext uri="{FF2B5EF4-FFF2-40B4-BE49-F238E27FC236}">
              <a16:creationId xmlns:a16="http://schemas.microsoft.com/office/drawing/2014/main" id="{5D87943E-9AF4-4248-846D-63608C03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4" name="Imagen 3">
          <a:extLst>
            <a:ext uri="{FF2B5EF4-FFF2-40B4-BE49-F238E27FC236}">
              <a16:creationId xmlns:a16="http://schemas.microsoft.com/office/drawing/2014/main" id="{9666133B-0511-472F-9CB3-93C62F10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5" name="Imagen 3">
          <a:extLst>
            <a:ext uri="{FF2B5EF4-FFF2-40B4-BE49-F238E27FC236}">
              <a16:creationId xmlns:a16="http://schemas.microsoft.com/office/drawing/2014/main" id="{F76DBE75-F733-4A5E-9B0C-6BCD9756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6" name="Imagen 3">
          <a:extLst>
            <a:ext uri="{FF2B5EF4-FFF2-40B4-BE49-F238E27FC236}">
              <a16:creationId xmlns:a16="http://schemas.microsoft.com/office/drawing/2014/main" id="{591200B1-FCCC-48FA-9DB1-79545396B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7" name="Imagen 3">
          <a:extLst>
            <a:ext uri="{FF2B5EF4-FFF2-40B4-BE49-F238E27FC236}">
              <a16:creationId xmlns:a16="http://schemas.microsoft.com/office/drawing/2014/main" id="{69F446D8-4646-4389-B61E-F41515501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8" name="Imagen 3">
          <a:extLst>
            <a:ext uri="{FF2B5EF4-FFF2-40B4-BE49-F238E27FC236}">
              <a16:creationId xmlns:a16="http://schemas.microsoft.com/office/drawing/2014/main" id="{7F125B86-B504-4234-9C9D-711C35692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09" name="Imagen 3">
          <a:extLst>
            <a:ext uri="{FF2B5EF4-FFF2-40B4-BE49-F238E27FC236}">
              <a16:creationId xmlns:a16="http://schemas.microsoft.com/office/drawing/2014/main" id="{8B238A2A-9F57-49FD-B484-50A529F58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0" name="Imagen 3">
          <a:extLst>
            <a:ext uri="{FF2B5EF4-FFF2-40B4-BE49-F238E27FC236}">
              <a16:creationId xmlns:a16="http://schemas.microsoft.com/office/drawing/2014/main" id="{DFC6ECCF-4DC7-4A20-8260-92D3B254F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1" name="Imagen 3">
          <a:extLst>
            <a:ext uri="{FF2B5EF4-FFF2-40B4-BE49-F238E27FC236}">
              <a16:creationId xmlns:a16="http://schemas.microsoft.com/office/drawing/2014/main" id="{053C12BD-09BD-4A9F-91AC-733D4F71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2" name="Imagen 3">
          <a:extLst>
            <a:ext uri="{FF2B5EF4-FFF2-40B4-BE49-F238E27FC236}">
              <a16:creationId xmlns:a16="http://schemas.microsoft.com/office/drawing/2014/main" id="{61F5F37F-005D-409E-8516-EFB6FD61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3" name="Imagen 3">
          <a:extLst>
            <a:ext uri="{FF2B5EF4-FFF2-40B4-BE49-F238E27FC236}">
              <a16:creationId xmlns:a16="http://schemas.microsoft.com/office/drawing/2014/main" id="{D39CD136-2C89-4D84-8B96-3A831E8F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4" name="Imagen 3">
          <a:extLst>
            <a:ext uri="{FF2B5EF4-FFF2-40B4-BE49-F238E27FC236}">
              <a16:creationId xmlns:a16="http://schemas.microsoft.com/office/drawing/2014/main" id="{E506D5C6-142F-4BDD-914A-9A4E0AFD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5" name="Imagen 3">
          <a:extLst>
            <a:ext uri="{FF2B5EF4-FFF2-40B4-BE49-F238E27FC236}">
              <a16:creationId xmlns:a16="http://schemas.microsoft.com/office/drawing/2014/main" id="{0D3693CA-6F01-4373-9C4F-B7D9CF43D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6" name="Imagen 3">
          <a:extLst>
            <a:ext uri="{FF2B5EF4-FFF2-40B4-BE49-F238E27FC236}">
              <a16:creationId xmlns:a16="http://schemas.microsoft.com/office/drawing/2014/main" id="{708E07E3-1B43-4F2A-AB12-D0226F63B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7" name="Imagen 3">
          <a:extLst>
            <a:ext uri="{FF2B5EF4-FFF2-40B4-BE49-F238E27FC236}">
              <a16:creationId xmlns:a16="http://schemas.microsoft.com/office/drawing/2014/main" id="{E8461454-663C-4534-A313-EE491920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8" name="Imagen 3">
          <a:extLst>
            <a:ext uri="{FF2B5EF4-FFF2-40B4-BE49-F238E27FC236}">
              <a16:creationId xmlns:a16="http://schemas.microsoft.com/office/drawing/2014/main" id="{5B6AF367-BFE9-4AD5-A805-38244B0E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19" name="Imagen 3">
          <a:extLst>
            <a:ext uri="{FF2B5EF4-FFF2-40B4-BE49-F238E27FC236}">
              <a16:creationId xmlns:a16="http://schemas.microsoft.com/office/drawing/2014/main" id="{CC6B368B-E156-4A44-B0CF-DC3FA860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0" name="Imagen 3">
          <a:extLst>
            <a:ext uri="{FF2B5EF4-FFF2-40B4-BE49-F238E27FC236}">
              <a16:creationId xmlns:a16="http://schemas.microsoft.com/office/drawing/2014/main" id="{4C4B4EA1-3B21-4743-A6DF-A75F8232D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1" name="Imagen 3">
          <a:extLst>
            <a:ext uri="{FF2B5EF4-FFF2-40B4-BE49-F238E27FC236}">
              <a16:creationId xmlns:a16="http://schemas.microsoft.com/office/drawing/2014/main" id="{95312D92-51F6-4C2A-8811-F4B405B7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2" name="Imagen 3">
          <a:extLst>
            <a:ext uri="{FF2B5EF4-FFF2-40B4-BE49-F238E27FC236}">
              <a16:creationId xmlns:a16="http://schemas.microsoft.com/office/drawing/2014/main" id="{14A83E77-D3B5-4A47-902A-01A3D37F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3" name="Imagen 3">
          <a:extLst>
            <a:ext uri="{FF2B5EF4-FFF2-40B4-BE49-F238E27FC236}">
              <a16:creationId xmlns:a16="http://schemas.microsoft.com/office/drawing/2014/main" id="{1C7DC0E1-02E1-41B8-8BE1-ECD68F54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4" name="Imagen 3">
          <a:extLst>
            <a:ext uri="{FF2B5EF4-FFF2-40B4-BE49-F238E27FC236}">
              <a16:creationId xmlns:a16="http://schemas.microsoft.com/office/drawing/2014/main" id="{697523F9-E256-497F-8870-7D2C1BF5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5" name="Imagen 3">
          <a:extLst>
            <a:ext uri="{FF2B5EF4-FFF2-40B4-BE49-F238E27FC236}">
              <a16:creationId xmlns:a16="http://schemas.microsoft.com/office/drawing/2014/main" id="{0B7F62DA-370C-4B52-BC32-99A1F34E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6" name="Imagen 3">
          <a:extLst>
            <a:ext uri="{FF2B5EF4-FFF2-40B4-BE49-F238E27FC236}">
              <a16:creationId xmlns:a16="http://schemas.microsoft.com/office/drawing/2014/main" id="{F78F6BC5-4868-4E86-AC96-635285E0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7" name="Imagen 3">
          <a:extLst>
            <a:ext uri="{FF2B5EF4-FFF2-40B4-BE49-F238E27FC236}">
              <a16:creationId xmlns:a16="http://schemas.microsoft.com/office/drawing/2014/main" id="{9726EF63-33BC-4D03-831D-692B8141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8" name="Imagen 3">
          <a:extLst>
            <a:ext uri="{FF2B5EF4-FFF2-40B4-BE49-F238E27FC236}">
              <a16:creationId xmlns:a16="http://schemas.microsoft.com/office/drawing/2014/main" id="{B9B2647D-A0CB-4ED1-BB28-FF86DD292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29" name="Imagen 3">
          <a:extLst>
            <a:ext uri="{FF2B5EF4-FFF2-40B4-BE49-F238E27FC236}">
              <a16:creationId xmlns:a16="http://schemas.microsoft.com/office/drawing/2014/main" id="{4F19F3C5-D6CF-4A24-A012-FE2E8827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0" name="Imagen 3">
          <a:extLst>
            <a:ext uri="{FF2B5EF4-FFF2-40B4-BE49-F238E27FC236}">
              <a16:creationId xmlns:a16="http://schemas.microsoft.com/office/drawing/2014/main" id="{13CFC951-3D5F-45BD-B3D0-A645FE6C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1" name="Imagen 3">
          <a:extLst>
            <a:ext uri="{FF2B5EF4-FFF2-40B4-BE49-F238E27FC236}">
              <a16:creationId xmlns:a16="http://schemas.microsoft.com/office/drawing/2014/main" id="{44FC104F-EB85-4F93-9815-71DED024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2" name="Imagen 3">
          <a:extLst>
            <a:ext uri="{FF2B5EF4-FFF2-40B4-BE49-F238E27FC236}">
              <a16:creationId xmlns:a16="http://schemas.microsoft.com/office/drawing/2014/main" id="{536C2BF7-E953-4D58-904D-BF28C877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3" name="Imagen 3">
          <a:extLst>
            <a:ext uri="{FF2B5EF4-FFF2-40B4-BE49-F238E27FC236}">
              <a16:creationId xmlns:a16="http://schemas.microsoft.com/office/drawing/2014/main" id="{623B965A-811F-402E-B635-4DD03408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4" name="Imagen 3">
          <a:extLst>
            <a:ext uri="{FF2B5EF4-FFF2-40B4-BE49-F238E27FC236}">
              <a16:creationId xmlns:a16="http://schemas.microsoft.com/office/drawing/2014/main" id="{01CD9EC7-D83A-45D6-8B99-16751775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5" name="Imagen 3">
          <a:extLst>
            <a:ext uri="{FF2B5EF4-FFF2-40B4-BE49-F238E27FC236}">
              <a16:creationId xmlns:a16="http://schemas.microsoft.com/office/drawing/2014/main" id="{36C95F4B-BBAA-4EE8-B37C-ED3097078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6" name="Imagen 3">
          <a:extLst>
            <a:ext uri="{FF2B5EF4-FFF2-40B4-BE49-F238E27FC236}">
              <a16:creationId xmlns:a16="http://schemas.microsoft.com/office/drawing/2014/main" id="{0504DDFA-7F5F-48B8-AB47-1A2F92372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7" name="Imagen 3">
          <a:extLst>
            <a:ext uri="{FF2B5EF4-FFF2-40B4-BE49-F238E27FC236}">
              <a16:creationId xmlns:a16="http://schemas.microsoft.com/office/drawing/2014/main" id="{A86864F4-F3A3-4D00-8612-C232C1D97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8" name="Imagen 3">
          <a:extLst>
            <a:ext uri="{FF2B5EF4-FFF2-40B4-BE49-F238E27FC236}">
              <a16:creationId xmlns:a16="http://schemas.microsoft.com/office/drawing/2014/main" id="{5BD06C03-2BC6-475D-849D-14342A9BE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39" name="Imagen 3">
          <a:extLst>
            <a:ext uri="{FF2B5EF4-FFF2-40B4-BE49-F238E27FC236}">
              <a16:creationId xmlns:a16="http://schemas.microsoft.com/office/drawing/2014/main" id="{11E99EDB-9541-426E-800D-55B9B6A5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0" name="Imagen 3">
          <a:extLst>
            <a:ext uri="{FF2B5EF4-FFF2-40B4-BE49-F238E27FC236}">
              <a16:creationId xmlns:a16="http://schemas.microsoft.com/office/drawing/2014/main" id="{92D6B914-2EF9-4677-8580-C1D8FEA45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1" name="Imagen 3">
          <a:extLst>
            <a:ext uri="{FF2B5EF4-FFF2-40B4-BE49-F238E27FC236}">
              <a16:creationId xmlns:a16="http://schemas.microsoft.com/office/drawing/2014/main" id="{3B895084-F8BB-4F0F-9C91-AECEE440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2" name="Imagen 3">
          <a:extLst>
            <a:ext uri="{FF2B5EF4-FFF2-40B4-BE49-F238E27FC236}">
              <a16:creationId xmlns:a16="http://schemas.microsoft.com/office/drawing/2014/main" id="{5CAEE312-C16A-4EE9-BE67-C07C1CA5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3" name="Imagen 3">
          <a:extLst>
            <a:ext uri="{FF2B5EF4-FFF2-40B4-BE49-F238E27FC236}">
              <a16:creationId xmlns:a16="http://schemas.microsoft.com/office/drawing/2014/main" id="{4A49F7AC-44A5-4328-8CB1-937EE4E7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4" name="Imagen 3">
          <a:extLst>
            <a:ext uri="{FF2B5EF4-FFF2-40B4-BE49-F238E27FC236}">
              <a16:creationId xmlns:a16="http://schemas.microsoft.com/office/drawing/2014/main" id="{EA7643E0-4923-4732-80C1-2604FCBF5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5" name="Imagen 3">
          <a:extLst>
            <a:ext uri="{FF2B5EF4-FFF2-40B4-BE49-F238E27FC236}">
              <a16:creationId xmlns:a16="http://schemas.microsoft.com/office/drawing/2014/main" id="{4500A593-8293-49C0-84AC-9B1DDE24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6" name="Imagen 3">
          <a:extLst>
            <a:ext uri="{FF2B5EF4-FFF2-40B4-BE49-F238E27FC236}">
              <a16:creationId xmlns:a16="http://schemas.microsoft.com/office/drawing/2014/main" id="{079F9279-768D-44A8-9630-D8AB72C5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7" name="Imagen 3">
          <a:extLst>
            <a:ext uri="{FF2B5EF4-FFF2-40B4-BE49-F238E27FC236}">
              <a16:creationId xmlns:a16="http://schemas.microsoft.com/office/drawing/2014/main" id="{4332191E-C97C-4576-ADDF-9A95D537E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8" name="Imagen 3">
          <a:extLst>
            <a:ext uri="{FF2B5EF4-FFF2-40B4-BE49-F238E27FC236}">
              <a16:creationId xmlns:a16="http://schemas.microsoft.com/office/drawing/2014/main" id="{58C989FD-D2C7-464C-95B2-75E47A5C3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49" name="Imagen 3">
          <a:extLst>
            <a:ext uri="{FF2B5EF4-FFF2-40B4-BE49-F238E27FC236}">
              <a16:creationId xmlns:a16="http://schemas.microsoft.com/office/drawing/2014/main" id="{1B3B693F-F4F1-44FC-A119-9DC80A2B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0" name="Imagen 3">
          <a:extLst>
            <a:ext uri="{FF2B5EF4-FFF2-40B4-BE49-F238E27FC236}">
              <a16:creationId xmlns:a16="http://schemas.microsoft.com/office/drawing/2014/main" id="{237752FC-A304-4A84-8A49-A51F27BAF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1" name="Imagen 3">
          <a:extLst>
            <a:ext uri="{FF2B5EF4-FFF2-40B4-BE49-F238E27FC236}">
              <a16:creationId xmlns:a16="http://schemas.microsoft.com/office/drawing/2014/main" id="{DBC153AF-B9C5-4689-9B40-67CDE959E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2" name="Imagen 3">
          <a:extLst>
            <a:ext uri="{FF2B5EF4-FFF2-40B4-BE49-F238E27FC236}">
              <a16:creationId xmlns:a16="http://schemas.microsoft.com/office/drawing/2014/main" id="{2C936BE9-F529-4B2C-B4F1-CDEE2DAE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3" name="Imagen 3">
          <a:extLst>
            <a:ext uri="{FF2B5EF4-FFF2-40B4-BE49-F238E27FC236}">
              <a16:creationId xmlns:a16="http://schemas.microsoft.com/office/drawing/2014/main" id="{93A36FA3-3F11-4129-8F4A-84D4029C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4" name="Imagen 3">
          <a:extLst>
            <a:ext uri="{FF2B5EF4-FFF2-40B4-BE49-F238E27FC236}">
              <a16:creationId xmlns:a16="http://schemas.microsoft.com/office/drawing/2014/main" id="{DE638F54-D398-4AA2-B2CB-4E8EF7EA7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5" name="Imagen 3">
          <a:extLst>
            <a:ext uri="{FF2B5EF4-FFF2-40B4-BE49-F238E27FC236}">
              <a16:creationId xmlns:a16="http://schemas.microsoft.com/office/drawing/2014/main" id="{6CDD9BCB-1B29-4589-8A61-77311104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6" name="Imagen 3">
          <a:extLst>
            <a:ext uri="{FF2B5EF4-FFF2-40B4-BE49-F238E27FC236}">
              <a16:creationId xmlns:a16="http://schemas.microsoft.com/office/drawing/2014/main" id="{127A1801-0A00-4217-93E2-066C1DB3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7" name="Imagen 3">
          <a:extLst>
            <a:ext uri="{FF2B5EF4-FFF2-40B4-BE49-F238E27FC236}">
              <a16:creationId xmlns:a16="http://schemas.microsoft.com/office/drawing/2014/main" id="{D6DEC767-1635-47B5-AC47-66830399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8" name="Imagen 3">
          <a:extLst>
            <a:ext uri="{FF2B5EF4-FFF2-40B4-BE49-F238E27FC236}">
              <a16:creationId xmlns:a16="http://schemas.microsoft.com/office/drawing/2014/main" id="{C4AB2B7D-F9C2-408E-B9C7-B87F0C6D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59" name="Imagen 3">
          <a:extLst>
            <a:ext uri="{FF2B5EF4-FFF2-40B4-BE49-F238E27FC236}">
              <a16:creationId xmlns:a16="http://schemas.microsoft.com/office/drawing/2014/main" id="{087544E9-14CC-4289-A658-2826039F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0" name="Imagen 3">
          <a:extLst>
            <a:ext uri="{FF2B5EF4-FFF2-40B4-BE49-F238E27FC236}">
              <a16:creationId xmlns:a16="http://schemas.microsoft.com/office/drawing/2014/main" id="{392A654A-6E70-40A5-B4B7-D0DDE329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1" name="Imagen 3">
          <a:extLst>
            <a:ext uri="{FF2B5EF4-FFF2-40B4-BE49-F238E27FC236}">
              <a16:creationId xmlns:a16="http://schemas.microsoft.com/office/drawing/2014/main" id="{54CFCC3D-8A6D-4553-98DC-EC6C1C26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2" name="Imagen 3">
          <a:extLst>
            <a:ext uri="{FF2B5EF4-FFF2-40B4-BE49-F238E27FC236}">
              <a16:creationId xmlns:a16="http://schemas.microsoft.com/office/drawing/2014/main" id="{31604877-CA10-4B30-9115-1838BB56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3" name="Imagen 3">
          <a:extLst>
            <a:ext uri="{FF2B5EF4-FFF2-40B4-BE49-F238E27FC236}">
              <a16:creationId xmlns:a16="http://schemas.microsoft.com/office/drawing/2014/main" id="{D13FE779-0AAD-4957-BD95-186442420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4" name="Imagen 3">
          <a:extLst>
            <a:ext uri="{FF2B5EF4-FFF2-40B4-BE49-F238E27FC236}">
              <a16:creationId xmlns:a16="http://schemas.microsoft.com/office/drawing/2014/main" id="{27365A7D-CA4B-4F4E-9F99-CACC2302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5" name="Imagen 3">
          <a:extLst>
            <a:ext uri="{FF2B5EF4-FFF2-40B4-BE49-F238E27FC236}">
              <a16:creationId xmlns:a16="http://schemas.microsoft.com/office/drawing/2014/main" id="{C5315259-BE17-4A67-95EC-638F9FF6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6" name="Imagen 3">
          <a:extLst>
            <a:ext uri="{FF2B5EF4-FFF2-40B4-BE49-F238E27FC236}">
              <a16:creationId xmlns:a16="http://schemas.microsoft.com/office/drawing/2014/main" id="{75726791-F82E-41EB-AA7C-1844B31E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7" name="Imagen 3">
          <a:extLst>
            <a:ext uri="{FF2B5EF4-FFF2-40B4-BE49-F238E27FC236}">
              <a16:creationId xmlns:a16="http://schemas.microsoft.com/office/drawing/2014/main" id="{877BF794-E89E-4314-A991-29EBF4BDC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8" name="Imagen 3">
          <a:extLst>
            <a:ext uri="{FF2B5EF4-FFF2-40B4-BE49-F238E27FC236}">
              <a16:creationId xmlns:a16="http://schemas.microsoft.com/office/drawing/2014/main" id="{A2859361-1746-4F40-AE5D-21D4227A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69" name="Imagen 3">
          <a:extLst>
            <a:ext uri="{FF2B5EF4-FFF2-40B4-BE49-F238E27FC236}">
              <a16:creationId xmlns:a16="http://schemas.microsoft.com/office/drawing/2014/main" id="{FA4AD72C-2268-4483-9436-D229F196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0" name="Imagen 3">
          <a:extLst>
            <a:ext uri="{FF2B5EF4-FFF2-40B4-BE49-F238E27FC236}">
              <a16:creationId xmlns:a16="http://schemas.microsoft.com/office/drawing/2014/main" id="{9A90B0C4-527C-485C-81F6-82F2869D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1" name="Imagen 3">
          <a:extLst>
            <a:ext uri="{FF2B5EF4-FFF2-40B4-BE49-F238E27FC236}">
              <a16:creationId xmlns:a16="http://schemas.microsoft.com/office/drawing/2014/main" id="{8477F131-E6EA-4A3C-9D3D-06040208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2" name="Imagen 3">
          <a:extLst>
            <a:ext uri="{FF2B5EF4-FFF2-40B4-BE49-F238E27FC236}">
              <a16:creationId xmlns:a16="http://schemas.microsoft.com/office/drawing/2014/main" id="{F037DA4E-B738-4439-8C8A-20CE1CD99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3" name="Imagen 3">
          <a:extLst>
            <a:ext uri="{FF2B5EF4-FFF2-40B4-BE49-F238E27FC236}">
              <a16:creationId xmlns:a16="http://schemas.microsoft.com/office/drawing/2014/main" id="{EFD4C67E-8AE8-4467-98B9-54472DD4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4" name="Imagen 3">
          <a:extLst>
            <a:ext uri="{FF2B5EF4-FFF2-40B4-BE49-F238E27FC236}">
              <a16:creationId xmlns:a16="http://schemas.microsoft.com/office/drawing/2014/main" id="{9631DCC0-D657-4540-95E2-216A22DD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5" name="Imagen 3">
          <a:extLst>
            <a:ext uri="{FF2B5EF4-FFF2-40B4-BE49-F238E27FC236}">
              <a16:creationId xmlns:a16="http://schemas.microsoft.com/office/drawing/2014/main" id="{034C5163-E85E-4498-B10B-3FDE0BFD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6" name="Imagen 3">
          <a:extLst>
            <a:ext uri="{FF2B5EF4-FFF2-40B4-BE49-F238E27FC236}">
              <a16:creationId xmlns:a16="http://schemas.microsoft.com/office/drawing/2014/main" id="{02D0E408-AA55-42D0-8ECE-BCC751252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7" name="Imagen 3">
          <a:extLst>
            <a:ext uri="{FF2B5EF4-FFF2-40B4-BE49-F238E27FC236}">
              <a16:creationId xmlns:a16="http://schemas.microsoft.com/office/drawing/2014/main" id="{E065B29A-B6F0-4F8A-A988-8F9782A7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8" name="Imagen 3">
          <a:extLst>
            <a:ext uri="{FF2B5EF4-FFF2-40B4-BE49-F238E27FC236}">
              <a16:creationId xmlns:a16="http://schemas.microsoft.com/office/drawing/2014/main" id="{7FBA8B93-DF99-4967-8D24-AAB63139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79" name="Imagen 3">
          <a:extLst>
            <a:ext uri="{FF2B5EF4-FFF2-40B4-BE49-F238E27FC236}">
              <a16:creationId xmlns:a16="http://schemas.microsoft.com/office/drawing/2014/main" id="{F151861A-0DCE-4881-88C0-BCCF0707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0" name="Imagen 3">
          <a:extLst>
            <a:ext uri="{FF2B5EF4-FFF2-40B4-BE49-F238E27FC236}">
              <a16:creationId xmlns:a16="http://schemas.microsoft.com/office/drawing/2014/main" id="{B70167CE-6C0A-4D1A-9969-D377E1A7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1" name="Imagen 3">
          <a:extLst>
            <a:ext uri="{FF2B5EF4-FFF2-40B4-BE49-F238E27FC236}">
              <a16:creationId xmlns:a16="http://schemas.microsoft.com/office/drawing/2014/main" id="{01308676-707B-4492-BEE3-196A923A6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2" name="Imagen 3">
          <a:extLst>
            <a:ext uri="{FF2B5EF4-FFF2-40B4-BE49-F238E27FC236}">
              <a16:creationId xmlns:a16="http://schemas.microsoft.com/office/drawing/2014/main" id="{C2F6106B-7A75-4FCE-B782-FF88A460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3" name="Imagen 3">
          <a:extLst>
            <a:ext uri="{FF2B5EF4-FFF2-40B4-BE49-F238E27FC236}">
              <a16:creationId xmlns:a16="http://schemas.microsoft.com/office/drawing/2014/main" id="{CB47C6D0-520C-461E-8A52-6E808673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4" name="Imagen 3">
          <a:extLst>
            <a:ext uri="{FF2B5EF4-FFF2-40B4-BE49-F238E27FC236}">
              <a16:creationId xmlns:a16="http://schemas.microsoft.com/office/drawing/2014/main" id="{66CE75F4-8446-4E5F-8361-7D3A4A1F0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5" name="Imagen 3">
          <a:extLst>
            <a:ext uri="{FF2B5EF4-FFF2-40B4-BE49-F238E27FC236}">
              <a16:creationId xmlns:a16="http://schemas.microsoft.com/office/drawing/2014/main" id="{C97EF205-7151-47FD-93E1-E1E789823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6" name="Imagen 3">
          <a:extLst>
            <a:ext uri="{FF2B5EF4-FFF2-40B4-BE49-F238E27FC236}">
              <a16:creationId xmlns:a16="http://schemas.microsoft.com/office/drawing/2014/main" id="{E4F89B62-EC39-46EE-A978-7A8F70835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7" name="Imagen 3">
          <a:extLst>
            <a:ext uri="{FF2B5EF4-FFF2-40B4-BE49-F238E27FC236}">
              <a16:creationId xmlns:a16="http://schemas.microsoft.com/office/drawing/2014/main" id="{CC1E74AA-16C0-4B62-B847-8744B2D8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8" name="Imagen 3">
          <a:extLst>
            <a:ext uri="{FF2B5EF4-FFF2-40B4-BE49-F238E27FC236}">
              <a16:creationId xmlns:a16="http://schemas.microsoft.com/office/drawing/2014/main" id="{64E875D6-3BFD-4346-9D49-69D99B2B7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89" name="Imagen 3">
          <a:extLst>
            <a:ext uri="{FF2B5EF4-FFF2-40B4-BE49-F238E27FC236}">
              <a16:creationId xmlns:a16="http://schemas.microsoft.com/office/drawing/2014/main" id="{A22370DF-A547-4EBE-B288-3655FDCC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0" name="Imagen 3">
          <a:extLst>
            <a:ext uri="{FF2B5EF4-FFF2-40B4-BE49-F238E27FC236}">
              <a16:creationId xmlns:a16="http://schemas.microsoft.com/office/drawing/2014/main" id="{392C6F05-38A0-4002-B93A-3C6111C2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1" name="Imagen 3">
          <a:extLst>
            <a:ext uri="{FF2B5EF4-FFF2-40B4-BE49-F238E27FC236}">
              <a16:creationId xmlns:a16="http://schemas.microsoft.com/office/drawing/2014/main" id="{6665BE0C-CD63-433F-8E00-2963A22C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2" name="Imagen 3">
          <a:extLst>
            <a:ext uri="{FF2B5EF4-FFF2-40B4-BE49-F238E27FC236}">
              <a16:creationId xmlns:a16="http://schemas.microsoft.com/office/drawing/2014/main" id="{9DC57013-4B11-4C92-8332-9DEA42FA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3" name="Imagen 3">
          <a:extLst>
            <a:ext uri="{FF2B5EF4-FFF2-40B4-BE49-F238E27FC236}">
              <a16:creationId xmlns:a16="http://schemas.microsoft.com/office/drawing/2014/main" id="{BAC03AD4-5EED-4AE4-85F1-4D02CE46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4" name="Imagen 3">
          <a:extLst>
            <a:ext uri="{FF2B5EF4-FFF2-40B4-BE49-F238E27FC236}">
              <a16:creationId xmlns:a16="http://schemas.microsoft.com/office/drawing/2014/main" id="{802D15B8-C02D-4D3A-9538-EA5B0D26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5" name="Imagen 3">
          <a:extLst>
            <a:ext uri="{FF2B5EF4-FFF2-40B4-BE49-F238E27FC236}">
              <a16:creationId xmlns:a16="http://schemas.microsoft.com/office/drawing/2014/main" id="{424C8A7C-B815-454E-8505-6DC740CE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6" name="Imagen 3">
          <a:extLst>
            <a:ext uri="{FF2B5EF4-FFF2-40B4-BE49-F238E27FC236}">
              <a16:creationId xmlns:a16="http://schemas.microsoft.com/office/drawing/2014/main" id="{D532F06D-DBEC-445A-B3D4-C3EEE680D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7" name="Imagen 3">
          <a:extLst>
            <a:ext uri="{FF2B5EF4-FFF2-40B4-BE49-F238E27FC236}">
              <a16:creationId xmlns:a16="http://schemas.microsoft.com/office/drawing/2014/main" id="{973ECD3C-DF3F-4BB3-8A75-2899592B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8" name="Imagen 3">
          <a:extLst>
            <a:ext uri="{FF2B5EF4-FFF2-40B4-BE49-F238E27FC236}">
              <a16:creationId xmlns:a16="http://schemas.microsoft.com/office/drawing/2014/main" id="{FAB87B46-07DB-4AC1-AF82-4E81E2B3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299" name="Imagen 3">
          <a:extLst>
            <a:ext uri="{FF2B5EF4-FFF2-40B4-BE49-F238E27FC236}">
              <a16:creationId xmlns:a16="http://schemas.microsoft.com/office/drawing/2014/main" id="{3275A5AC-93AE-4322-9CF2-26BD671F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0" name="Imagen 3">
          <a:extLst>
            <a:ext uri="{FF2B5EF4-FFF2-40B4-BE49-F238E27FC236}">
              <a16:creationId xmlns:a16="http://schemas.microsoft.com/office/drawing/2014/main" id="{DF08756B-1974-47CC-8FEC-166E9E27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1" name="Imagen 3">
          <a:extLst>
            <a:ext uri="{FF2B5EF4-FFF2-40B4-BE49-F238E27FC236}">
              <a16:creationId xmlns:a16="http://schemas.microsoft.com/office/drawing/2014/main" id="{0637C36B-34AB-473C-B627-DE5BC01A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2" name="Imagen 3">
          <a:extLst>
            <a:ext uri="{FF2B5EF4-FFF2-40B4-BE49-F238E27FC236}">
              <a16:creationId xmlns:a16="http://schemas.microsoft.com/office/drawing/2014/main" id="{C04095F8-ED79-4A5B-A08A-DC86BFA4C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3" name="Imagen 3">
          <a:extLst>
            <a:ext uri="{FF2B5EF4-FFF2-40B4-BE49-F238E27FC236}">
              <a16:creationId xmlns:a16="http://schemas.microsoft.com/office/drawing/2014/main" id="{146AB556-81B0-44A9-AF59-977119F0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4" name="Imagen 3">
          <a:extLst>
            <a:ext uri="{FF2B5EF4-FFF2-40B4-BE49-F238E27FC236}">
              <a16:creationId xmlns:a16="http://schemas.microsoft.com/office/drawing/2014/main" id="{518C4AF6-0AA4-43BB-8C8D-B222A1F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5" name="Imagen 3">
          <a:extLst>
            <a:ext uri="{FF2B5EF4-FFF2-40B4-BE49-F238E27FC236}">
              <a16:creationId xmlns:a16="http://schemas.microsoft.com/office/drawing/2014/main" id="{085EBEA2-B140-45DA-9E01-C9AB5756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6" name="Imagen 3">
          <a:extLst>
            <a:ext uri="{FF2B5EF4-FFF2-40B4-BE49-F238E27FC236}">
              <a16:creationId xmlns:a16="http://schemas.microsoft.com/office/drawing/2014/main" id="{45395D86-2466-4B4A-BA47-1F25E6BD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7" name="Imagen 3">
          <a:extLst>
            <a:ext uri="{FF2B5EF4-FFF2-40B4-BE49-F238E27FC236}">
              <a16:creationId xmlns:a16="http://schemas.microsoft.com/office/drawing/2014/main" id="{9A5A8C28-DF07-4028-9572-AB297A45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8" name="Imagen 3">
          <a:extLst>
            <a:ext uri="{FF2B5EF4-FFF2-40B4-BE49-F238E27FC236}">
              <a16:creationId xmlns:a16="http://schemas.microsoft.com/office/drawing/2014/main" id="{E25FDEA0-1C28-48F1-A451-00432B21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09" name="Imagen 3">
          <a:extLst>
            <a:ext uri="{FF2B5EF4-FFF2-40B4-BE49-F238E27FC236}">
              <a16:creationId xmlns:a16="http://schemas.microsoft.com/office/drawing/2014/main" id="{EF488129-782D-42DC-9F2F-17A1CD59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0" name="Imagen 3">
          <a:extLst>
            <a:ext uri="{FF2B5EF4-FFF2-40B4-BE49-F238E27FC236}">
              <a16:creationId xmlns:a16="http://schemas.microsoft.com/office/drawing/2014/main" id="{5DA75152-9527-4879-B63B-970D943A8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1" name="Imagen 3">
          <a:extLst>
            <a:ext uri="{FF2B5EF4-FFF2-40B4-BE49-F238E27FC236}">
              <a16:creationId xmlns:a16="http://schemas.microsoft.com/office/drawing/2014/main" id="{D562949F-2109-49CC-B559-5230D3A0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2" name="Imagen 3">
          <a:extLst>
            <a:ext uri="{FF2B5EF4-FFF2-40B4-BE49-F238E27FC236}">
              <a16:creationId xmlns:a16="http://schemas.microsoft.com/office/drawing/2014/main" id="{E5060FAD-0C8C-48BF-A876-26B06C9D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3" name="Imagen 3">
          <a:extLst>
            <a:ext uri="{FF2B5EF4-FFF2-40B4-BE49-F238E27FC236}">
              <a16:creationId xmlns:a16="http://schemas.microsoft.com/office/drawing/2014/main" id="{F39D67CC-A93A-43A1-8B84-C60C03F5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4" name="Imagen 3">
          <a:extLst>
            <a:ext uri="{FF2B5EF4-FFF2-40B4-BE49-F238E27FC236}">
              <a16:creationId xmlns:a16="http://schemas.microsoft.com/office/drawing/2014/main" id="{00E7A37E-418F-4E0C-B818-E150C7CD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5" name="Imagen 3">
          <a:extLst>
            <a:ext uri="{FF2B5EF4-FFF2-40B4-BE49-F238E27FC236}">
              <a16:creationId xmlns:a16="http://schemas.microsoft.com/office/drawing/2014/main" id="{36C446EB-3435-47C5-BF47-218E84509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6" name="Imagen 3">
          <a:extLst>
            <a:ext uri="{FF2B5EF4-FFF2-40B4-BE49-F238E27FC236}">
              <a16:creationId xmlns:a16="http://schemas.microsoft.com/office/drawing/2014/main" id="{8AAE9F1B-698F-4077-A7B6-A4D666690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7" name="Imagen 3">
          <a:extLst>
            <a:ext uri="{FF2B5EF4-FFF2-40B4-BE49-F238E27FC236}">
              <a16:creationId xmlns:a16="http://schemas.microsoft.com/office/drawing/2014/main" id="{C60E0DD7-1129-4CBE-9410-49FC88E9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8" name="Imagen 3">
          <a:extLst>
            <a:ext uri="{FF2B5EF4-FFF2-40B4-BE49-F238E27FC236}">
              <a16:creationId xmlns:a16="http://schemas.microsoft.com/office/drawing/2014/main" id="{6E8374CB-287E-4C25-9B7D-9CD3CAF04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19" name="Imagen 3">
          <a:extLst>
            <a:ext uri="{FF2B5EF4-FFF2-40B4-BE49-F238E27FC236}">
              <a16:creationId xmlns:a16="http://schemas.microsoft.com/office/drawing/2014/main" id="{9CC40CC8-8786-4225-9247-6D4EDC95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0" name="Imagen 3">
          <a:extLst>
            <a:ext uri="{FF2B5EF4-FFF2-40B4-BE49-F238E27FC236}">
              <a16:creationId xmlns:a16="http://schemas.microsoft.com/office/drawing/2014/main" id="{D31C74BC-1ACD-445E-A4D6-751EA2CC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1" name="Imagen 3">
          <a:extLst>
            <a:ext uri="{FF2B5EF4-FFF2-40B4-BE49-F238E27FC236}">
              <a16:creationId xmlns:a16="http://schemas.microsoft.com/office/drawing/2014/main" id="{9CA47436-E671-4A7B-A11A-A5DE1E80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2" name="Imagen 3">
          <a:extLst>
            <a:ext uri="{FF2B5EF4-FFF2-40B4-BE49-F238E27FC236}">
              <a16:creationId xmlns:a16="http://schemas.microsoft.com/office/drawing/2014/main" id="{078687F5-0BEE-4B25-829F-99FBB741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3" name="Imagen 3">
          <a:extLst>
            <a:ext uri="{FF2B5EF4-FFF2-40B4-BE49-F238E27FC236}">
              <a16:creationId xmlns:a16="http://schemas.microsoft.com/office/drawing/2014/main" id="{895AEBDD-D898-45D0-9A1F-1FF63642B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4" name="Imagen 3">
          <a:extLst>
            <a:ext uri="{FF2B5EF4-FFF2-40B4-BE49-F238E27FC236}">
              <a16:creationId xmlns:a16="http://schemas.microsoft.com/office/drawing/2014/main" id="{C6D4C63C-6469-4F58-89F6-D387C78F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5" name="Imagen 3">
          <a:extLst>
            <a:ext uri="{FF2B5EF4-FFF2-40B4-BE49-F238E27FC236}">
              <a16:creationId xmlns:a16="http://schemas.microsoft.com/office/drawing/2014/main" id="{3B5364B2-8AB3-4007-B6F8-D6108968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6" name="Imagen 3">
          <a:extLst>
            <a:ext uri="{FF2B5EF4-FFF2-40B4-BE49-F238E27FC236}">
              <a16:creationId xmlns:a16="http://schemas.microsoft.com/office/drawing/2014/main" id="{C89328ED-1021-4D6D-BF71-F1FA8F27C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7" name="Imagen 3">
          <a:extLst>
            <a:ext uri="{FF2B5EF4-FFF2-40B4-BE49-F238E27FC236}">
              <a16:creationId xmlns:a16="http://schemas.microsoft.com/office/drawing/2014/main" id="{0A057196-DFE8-4AEB-822B-031D450EF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8" name="Imagen 3">
          <a:extLst>
            <a:ext uri="{FF2B5EF4-FFF2-40B4-BE49-F238E27FC236}">
              <a16:creationId xmlns:a16="http://schemas.microsoft.com/office/drawing/2014/main" id="{B8E4F297-9C05-47B3-9F09-17B6A0EF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29" name="Imagen 3">
          <a:extLst>
            <a:ext uri="{FF2B5EF4-FFF2-40B4-BE49-F238E27FC236}">
              <a16:creationId xmlns:a16="http://schemas.microsoft.com/office/drawing/2014/main" id="{607A27E0-C70A-4B6A-981A-091B7F2A4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0" name="Imagen 3">
          <a:extLst>
            <a:ext uri="{FF2B5EF4-FFF2-40B4-BE49-F238E27FC236}">
              <a16:creationId xmlns:a16="http://schemas.microsoft.com/office/drawing/2014/main" id="{3D3BB93C-20A1-4C22-8B60-71912CBC6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1" name="Imagen 3">
          <a:extLst>
            <a:ext uri="{FF2B5EF4-FFF2-40B4-BE49-F238E27FC236}">
              <a16:creationId xmlns:a16="http://schemas.microsoft.com/office/drawing/2014/main" id="{EB3386F0-A629-40E7-AC0A-D88CDECF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2" name="Imagen 3">
          <a:extLst>
            <a:ext uri="{FF2B5EF4-FFF2-40B4-BE49-F238E27FC236}">
              <a16:creationId xmlns:a16="http://schemas.microsoft.com/office/drawing/2014/main" id="{24C03213-F269-4388-BF84-51E98BDE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3" name="Imagen 3">
          <a:extLst>
            <a:ext uri="{FF2B5EF4-FFF2-40B4-BE49-F238E27FC236}">
              <a16:creationId xmlns:a16="http://schemas.microsoft.com/office/drawing/2014/main" id="{187ED0B6-558E-4F7B-BBD8-4B7F92BD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4" name="Imagen 3">
          <a:extLst>
            <a:ext uri="{FF2B5EF4-FFF2-40B4-BE49-F238E27FC236}">
              <a16:creationId xmlns:a16="http://schemas.microsoft.com/office/drawing/2014/main" id="{8909D4CE-CE68-4C11-AC16-158FDC6A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5" name="Imagen 3">
          <a:extLst>
            <a:ext uri="{FF2B5EF4-FFF2-40B4-BE49-F238E27FC236}">
              <a16:creationId xmlns:a16="http://schemas.microsoft.com/office/drawing/2014/main" id="{47B3075A-F76C-4303-AE8B-F736ED91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6" name="Imagen 3">
          <a:extLst>
            <a:ext uri="{FF2B5EF4-FFF2-40B4-BE49-F238E27FC236}">
              <a16:creationId xmlns:a16="http://schemas.microsoft.com/office/drawing/2014/main" id="{D8267ADF-9DFA-4728-915E-0E8DE4A1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7" name="Imagen 3">
          <a:extLst>
            <a:ext uri="{FF2B5EF4-FFF2-40B4-BE49-F238E27FC236}">
              <a16:creationId xmlns:a16="http://schemas.microsoft.com/office/drawing/2014/main" id="{DB5BD6EF-AAFA-43A0-B076-9C9F5128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8" name="Imagen 3">
          <a:extLst>
            <a:ext uri="{FF2B5EF4-FFF2-40B4-BE49-F238E27FC236}">
              <a16:creationId xmlns:a16="http://schemas.microsoft.com/office/drawing/2014/main" id="{EF3594D8-5C33-4563-ADD2-EFA72CC7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39" name="Imagen 3">
          <a:extLst>
            <a:ext uri="{FF2B5EF4-FFF2-40B4-BE49-F238E27FC236}">
              <a16:creationId xmlns:a16="http://schemas.microsoft.com/office/drawing/2014/main" id="{7049D0D8-1697-40D8-9A8E-36807F28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0" name="Imagen 3">
          <a:extLst>
            <a:ext uri="{FF2B5EF4-FFF2-40B4-BE49-F238E27FC236}">
              <a16:creationId xmlns:a16="http://schemas.microsoft.com/office/drawing/2014/main" id="{F34EFC7A-5E26-45DF-AB11-A9A65DCA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1" name="Imagen 3">
          <a:extLst>
            <a:ext uri="{FF2B5EF4-FFF2-40B4-BE49-F238E27FC236}">
              <a16:creationId xmlns:a16="http://schemas.microsoft.com/office/drawing/2014/main" id="{646765E7-C81A-4722-A96B-38E69E80D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2" name="Imagen 3">
          <a:extLst>
            <a:ext uri="{FF2B5EF4-FFF2-40B4-BE49-F238E27FC236}">
              <a16:creationId xmlns:a16="http://schemas.microsoft.com/office/drawing/2014/main" id="{CDF9FF16-A557-49E5-83A0-475A26BC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3" name="Imagen 3">
          <a:extLst>
            <a:ext uri="{FF2B5EF4-FFF2-40B4-BE49-F238E27FC236}">
              <a16:creationId xmlns:a16="http://schemas.microsoft.com/office/drawing/2014/main" id="{FD4AB2AD-846F-4DA8-B5E7-2BC0F35E7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4" name="Imagen 3">
          <a:extLst>
            <a:ext uri="{FF2B5EF4-FFF2-40B4-BE49-F238E27FC236}">
              <a16:creationId xmlns:a16="http://schemas.microsoft.com/office/drawing/2014/main" id="{66A6AF50-205E-4DFE-BF74-285B0898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5" name="Imagen 3">
          <a:extLst>
            <a:ext uri="{FF2B5EF4-FFF2-40B4-BE49-F238E27FC236}">
              <a16:creationId xmlns:a16="http://schemas.microsoft.com/office/drawing/2014/main" id="{547757A6-2C42-4E22-A2A7-4F651B0A7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6" name="Imagen 3">
          <a:extLst>
            <a:ext uri="{FF2B5EF4-FFF2-40B4-BE49-F238E27FC236}">
              <a16:creationId xmlns:a16="http://schemas.microsoft.com/office/drawing/2014/main" id="{861263A5-B728-469E-BA98-48BDDD8E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7" name="Imagen 3">
          <a:extLst>
            <a:ext uri="{FF2B5EF4-FFF2-40B4-BE49-F238E27FC236}">
              <a16:creationId xmlns:a16="http://schemas.microsoft.com/office/drawing/2014/main" id="{C4E7C6C1-6E2F-4D14-B685-838289093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8" name="Imagen 3">
          <a:extLst>
            <a:ext uri="{FF2B5EF4-FFF2-40B4-BE49-F238E27FC236}">
              <a16:creationId xmlns:a16="http://schemas.microsoft.com/office/drawing/2014/main" id="{567F9309-09A8-4A78-ADF3-A87628F88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49" name="Imagen 3">
          <a:extLst>
            <a:ext uri="{FF2B5EF4-FFF2-40B4-BE49-F238E27FC236}">
              <a16:creationId xmlns:a16="http://schemas.microsoft.com/office/drawing/2014/main" id="{9B6CDA32-BEE5-4317-B473-6F40A837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0" name="Imagen 3">
          <a:extLst>
            <a:ext uri="{FF2B5EF4-FFF2-40B4-BE49-F238E27FC236}">
              <a16:creationId xmlns:a16="http://schemas.microsoft.com/office/drawing/2014/main" id="{E9D8FE21-90A0-4C29-8D8E-6882B043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1" name="Imagen 3">
          <a:extLst>
            <a:ext uri="{FF2B5EF4-FFF2-40B4-BE49-F238E27FC236}">
              <a16:creationId xmlns:a16="http://schemas.microsoft.com/office/drawing/2014/main" id="{D8BCCD56-0E69-4C89-8A0A-F9DBE2A5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2" name="Imagen 3">
          <a:extLst>
            <a:ext uri="{FF2B5EF4-FFF2-40B4-BE49-F238E27FC236}">
              <a16:creationId xmlns:a16="http://schemas.microsoft.com/office/drawing/2014/main" id="{750D2460-2B11-4C90-BDD2-71A769B4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3" name="Imagen 3">
          <a:extLst>
            <a:ext uri="{FF2B5EF4-FFF2-40B4-BE49-F238E27FC236}">
              <a16:creationId xmlns:a16="http://schemas.microsoft.com/office/drawing/2014/main" id="{1CE24262-3A0B-4626-88EE-0221389FF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4" name="Imagen 3">
          <a:extLst>
            <a:ext uri="{FF2B5EF4-FFF2-40B4-BE49-F238E27FC236}">
              <a16:creationId xmlns:a16="http://schemas.microsoft.com/office/drawing/2014/main" id="{9365BA74-2567-4CD6-9759-2876A50A8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5" name="Imagen 3">
          <a:extLst>
            <a:ext uri="{FF2B5EF4-FFF2-40B4-BE49-F238E27FC236}">
              <a16:creationId xmlns:a16="http://schemas.microsoft.com/office/drawing/2014/main" id="{802CF1D2-5F8A-430A-9497-31BD819DD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6" name="Imagen 3">
          <a:extLst>
            <a:ext uri="{FF2B5EF4-FFF2-40B4-BE49-F238E27FC236}">
              <a16:creationId xmlns:a16="http://schemas.microsoft.com/office/drawing/2014/main" id="{1776904C-E894-4EBE-8AC3-FDC4D377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7" name="Imagen 3">
          <a:extLst>
            <a:ext uri="{FF2B5EF4-FFF2-40B4-BE49-F238E27FC236}">
              <a16:creationId xmlns:a16="http://schemas.microsoft.com/office/drawing/2014/main" id="{0FC7F535-6E70-47C9-9DCB-152CD926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8" name="Imagen 3">
          <a:extLst>
            <a:ext uri="{FF2B5EF4-FFF2-40B4-BE49-F238E27FC236}">
              <a16:creationId xmlns:a16="http://schemas.microsoft.com/office/drawing/2014/main" id="{B4DD4F52-8560-49C4-BA21-9C8436DC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59" name="Imagen 3">
          <a:extLst>
            <a:ext uri="{FF2B5EF4-FFF2-40B4-BE49-F238E27FC236}">
              <a16:creationId xmlns:a16="http://schemas.microsoft.com/office/drawing/2014/main" id="{B642B283-7AFD-48DF-9719-D609213B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0" name="Imagen 3">
          <a:extLst>
            <a:ext uri="{FF2B5EF4-FFF2-40B4-BE49-F238E27FC236}">
              <a16:creationId xmlns:a16="http://schemas.microsoft.com/office/drawing/2014/main" id="{036C4851-A4A1-4C88-B4B1-4F8AE39A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1" name="Imagen 3">
          <a:extLst>
            <a:ext uri="{FF2B5EF4-FFF2-40B4-BE49-F238E27FC236}">
              <a16:creationId xmlns:a16="http://schemas.microsoft.com/office/drawing/2014/main" id="{312915B5-2A4C-4EAB-B6FF-0172290A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2" name="Imagen 3">
          <a:extLst>
            <a:ext uri="{FF2B5EF4-FFF2-40B4-BE49-F238E27FC236}">
              <a16:creationId xmlns:a16="http://schemas.microsoft.com/office/drawing/2014/main" id="{6DCBB866-A01B-4D01-8FAF-72763B01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3" name="Imagen 3">
          <a:extLst>
            <a:ext uri="{FF2B5EF4-FFF2-40B4-BE49-F238E27FC236}">
              <a16:creationId xmlns:a16="http://schemas.microsoft.com/office/drawing/2014/main" id="{138B3714-8808-4F50-BDC5-3F541106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4" name="Imagen 3">
          <a:extLst>
            <a:ext uri="{FF2B5EF4-FFF2-40B4-BE49-F238E27FC236}">
              <a16:creationId xmlns:a16="http://schemas.microsoft.com/office/drawing/2014/main" id="{BE5D4934-EF9A-4647-A54E-D95A3432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5" name="Imagen 3">
          <a:extLst>
            <a:ext uri="{FF2B5EF4-FFF2-40B4-BE49-F238E27FC236}">
              <a16:creationId xmlns:a16="http://schemas.microsoft.com/office/drawing/2014/main" id="{3B31B216-89E0-4048-BD60-4D8BB7C27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366" name="Imagen 3">
          <a:extLst>
            <a:ext uri="{FF2B5EF4-FFF2-40B4-BE49-F238E27FC236}">
              <a16:creationId xmlns:a16="http://schemas.microsoft.com/office/drawing/2014/main" id="{2F2286CC-C231-4FBF-BAC6-29CC238D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67" name="Imagen 3">
          <a:extLst>
            <a:ext uri="{FF2B5EF4-FFF2-40B4-BE49-F238E27FC236}">
              <a16:creationId xmlns:a16="http://schemas.microsoft.com/office/drawing/2014/main" id="{31A2B3A7-8B95-4358-9D7A-31FECC42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68" name="Imagen 3">
          <a:extLst>
            <a:ext uri="{FF2B5EF4-FFF2-40B4-BE49-F238E27FC236}">
              <a16:creationId xmlns:a16="http://schemas.microsoft.com/office/drawing/2014/main" id="{9E1850F3-3799-43A2-8663-E45AB639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69" name="Imagen 3">
          <a:extLst>
            <a:ext uri="{FF2B5EF4-FFF2-40B4-BE49-F238E27FC236}">
              <a16:creationId xmlns:a16="http://schemas.microsoft.com/office/drawing/2014/main" id="{C74F8B9B-2262-4DBD-8AC1-A271E2EB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0" name="Imagen 3">
          <a:extLst>
            <a:ext uri="{FF2B5EF4-FFF2-40B4-BE49-F238E27FC236}">
              <a16:creationId xmlns:a16="http://schemas.microsoft.com/office/drawing/2014/main" id="{643A1873-04DD-46E4-BB56-8447DBDD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1" name="Imagen 3">
          <a:extLst>
            <a:ext uri="{FF2B5EF4-FFF2-40B4-BE49-F238E27FC236}">
              <a16:creationId xmlns:a16="http://schemas.microsoft.com/office/drawing/2014/main" id="{1C35BA13-463B-43C4-92D2-965F47A4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2" name="Imagen 3">
          <a:extLst>
            <a:ext uri="{FF2B5EF4-FFF2-40B4-BE49-F238E27FC236}">
              <a16:creationId xmlns:a16="http://schemas.microsoft.com/office/drawing/2014/main" id="{CC7A57E8-02FD-4DBA-8B31-8EC300352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3" name="Imagen 3">
          <a:extLst>
            <a:ext uri="{FF2B5EF4-FFF2-40B4-BE49-F238E27FC236}">
              <a16:creationId xmlns:a16="http://schemas.microsoft.com/office/drawing/2014/main" id="{1EC7DDE6-7334-436A-AECC-67C3AD80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4" name="Imagen 3">
          <a:extLst>
            <a:ext uri="{FF2B5EF4-FFF2-40B4-BE49-F238E27FC236}">
              <a16:creationId xmlns:a16="http://schemas.microsoft.com/office/drawing/2014/main" id="{8CB028C2-EADC-4756-B91E-221F9DFE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5" name="Imagen 3">
          <a:extLst>
            <a:ext uri="{FF2B5EF4-FFF2-40B4-BE49-F238E27FC236}">
              <a16:creationId xmlns:a16="http://schemas.microsoft.com/office/drawing/2014/main" id="{BD31F323-9775-456A-A69A-81D59742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6" name="Imagen 3">
          <a:extLst>
            <a:ext uri="{FF2B5EF4-FFF2-40B4-BE49-F238E27FC236}">
              <a16:creationId xmlns:a16="http://schemas.microsoft.com/office/drawing/2014/main" id="{2CB8829B-9589-4EC3-971A-2DCC18BA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7" name="Imagen 3">
          <a:extLst>
            <a:ext uri="{FF2B5EF4-FFF2-40B4-BE49-F238E27FC236}">
              <a16:creationId xmlns:a16="http://schemas.microsoft.com/office/drawing/2014/main" id="{6DB21E9E-D506-4643-9656-18CAAE23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8" name="Imagen 3">
          <a:extLst>
            <a:ext uri="{FF2B5EF4-FFF2-40B4-BE49-F238E27FC236}">
              <a16:creationId xmlns:a16="http://schemas.microsoft.com/office/drawing/2014/main" id="{A1DF5FD5-2D5A-4589-9AC6-CEAFCE3B4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79" name="Imagen 3">
          <a:extLst>
            <a:ext uri="{FF2B5EF4-FFF2-40B4-BE49-F238E27FC236}">
              <a16:creationId xmlns:a16="http://schemas.microsoft.com/office/drawing/2014/main" id="{D48AAC0F-58DC-4909-916C-CF2EF3CF0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0" name="Imagen 3">
          <a:extLst>
            <a:ext uri="{FF2B5EF4-FFF2-40B4-BE49-F238E27FC236}">
              <a16:creationId xmlns:a16="http://schemas.microsoft.com/office/drawing/2014/main" id="{F0B79088-6D5A-4452-9DE9-CE8E648E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1" name="Imagen 3">
          <a:extLst>
            <a:ext uri="{FF2B5EF4-FFF2-40B4-BE49-F238E27FC236}">
              <a16:creationId xmlns:a16="http://schemas.microsoft.com/office/drawing/2014/main" id="{00F9DF1B-4C2A-4909-B652-79927FCB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2" name="Imagen 3">
          <a:extLst>
            <a:ext uri="{FF2B5EF4-FFF2-40B4-BE49-F238E27FC236}">
              <a16:creationId xmlns:a16="http://schemas.microsoft.com/office/drawing/2014/main" id="{EE5D7F7B-8EF1-49FE-81C6-F130E85D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3" name="Imagen 3">
          <a:extLst>
            <a:ext uri="{FF2B5EF4-FFF2-40B4-BE49-F238E27FC236}">
              <a16:creationId xmlns:a16="http://schemas.microsoft.com/office/drawing/2014/main" id="{FBD144BC-F2B7-48C3-8C26-3B48A6C4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4" name="Imagen 3">
          <a:extLst>
            <a:ext uri="{FF2B5EF4-FFF2-40B4-BE49-F238E27FC236}">
              <a16:creationId xmlns:a16="http://schemas.microsoft.com/office/drawing/2014/main" id="{AE8C7974-7FCC-43AA-ACD5-3871A50A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5" name="Imagen 3">
          <a:extLst>
            <a:ext uri="{FF2B5EF4-FFF2-40B4-BE49-F238E27FC236}">
              <a16:creationId xmlns:a16="http://schemas.microsoft.com/office/drawing/2014/main" id="{BD8D2D8D-A241-4318-BD5C-F0341CEE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6" name="Imagen 3">
          <a:extLst>
            <a:ext uri="{FF2B5EF4-FFF2-40B4-BE49-F238E27FC236}">
              <a16:creationId xmlns:a16="http://schemas.microsoft.com/office/drawing/2014/main" id="{7BE2AAB6-4FEE-4200-AF9E-0025C5E55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7" name="Imagen 3">
          <a:extLst>
            <a:ext uri="{FF2B5EF4-FFF2-40B4-BE49-F238E27FC236}">
              <a16:creationId xmlns:a16="http://schemas.microsoft.com/office/drawing/2014/main" id="{9BD85045-A38A-41D3-92CB-BE11FA27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8" name="Imagen 3">
          <a:extLst>
            <a:ext uri="{FF2B5EF4-FFF2-40B4-BE49-F238E27FC236}">
              <a16:creationId xmlns:a16="http://schemas.microsoft.com/office/drawing/2014/main" id="{7CB4ADE2-F835-4E3B-A2C3-44B7CD2E1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89" name="Imagen 3">
          <a:extLst>
            <a:ext uri="{FF2B5EF4-FFF2-40B4-BE49-F238E27FC236}">
              <a16:creationId xmlns:a16="http://schemas.microsoft.com/office/drawing/2014/main" id="{E16C2958-756F-43A9-BA61-97D29189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0" name="Imagen 3">
          <a:extLst>
            <a:ext uri="{FF2B5EF4-FFF2-40B4-BE49-F238E27FC236}">
              <a16:creationId xmlns:a16="http://schemas.microsoft.com/office/drawing/2014/main" id="{ED2180DB-DE5D-40DA-8931-958C13A72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1" name="Imagen 3">
          <a:extLst>
            <a:ext uri="{FF2B5EF4-FFF2-40B4-BE49-F238E27FC236}">
              <a16:creationId xmlns:a16="http://schemas.microsoft.com/office/drawing/2014/main" id="{06E30CD6-6457-4E57-A4CE-F389B7F6A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2" name="Imagen 3">
          <a:extLst>
            <a:ext uri="{FF2B5EF4-FFF2-40B4-BE49-F238E27FC236}">
              <a16:creationId xmlns:a16="http://schemas.microsoft.com/office/drawing/2014/main" id="{E20C6C5A-8CCD-4D2A-A4B3-4124BDAC6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3" name="Imagen 3">
          <a:extLst>
            <a:ext uri="{FF2B5EF4-FFF2-40B4-BE49-F238E27FC236}">
              <a16:creationId xmlns:a16="http://schemas.microsoft.com/office/drawing/2014/main" id="{40CA5EF3-1D17-467E-BD97-3086C8E58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4" name="Imagen 3">
          <a:extLst>
            <a:ext uri="{FF2B5EF4-FFF2-40B4-BE49-F238E27FC236}">
              <a16:creationId xmlns:a16="http://schemas.microsoft.com/office/drawing/2014/main" id="{848CC7B6-8260-4215-BBE8-AD4E80F8B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5" name="Imagen 3">
          <a:extLst>
            <a:ext uri="{FF2B5EF4-FFF2-40B4-BE49-F238E27FC236}">
              <a16:creationId xmlns:a16="http://schemas.microsoft.com/office/drawing/2014/main" id="{1DF25D89-1601-4B86-A0FF-27DB6051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6" name="Imagen 3">
          <a:extLst>
            <a:ext uri="{FF2B5EF4-FFF2-40B4-BE49-F238E27FC236}">
              <a16:creationId xmlns:a16="http://schemas.microsoft.com/office/drawing/2014/main" id="{C3983AC2-BC0C-4E5D-9753-473FF510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7" name="Imagen 3">
          <a:extLst>
            <a:ext uri="{FF2B5EF4-FFF2-40B4-BE49-F238E27FC236}">
              <a16:creationId xmlns:a16="http://schemas.microsoft.com/office/drawing/2014/main" id="{8FC4CDE0-713B-49F5-ACD2-019C46B1D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8" name="Imagen 3">
          <a:extLst>
            <a:ext uri="{FF2B5EF4-FFF2-40B4-BE49-F238E27FC236}">
              <a16:creationId xmlns:a16="http://schemas.microsoft.com/office/drawing/2014/main" id="{C5DDDFC8-AAA6-4625-9663-477A691B7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399" name="Imagen 3">
          <a:extLst>
            <a:ext uri="{FF2B5EF4-FFF2-40B4-BE49-F238E27FC236}">
              <a16:creationId xmlns:a16="http://schemas.microsoft.com/office/drawing/2014/main" id="{90AB7918-6B69-4845-BA2E-9352D845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0" name="Imagen 3">
          <a:extLst>
            <a:ext uri="{FF2B5EF4-FFF2-40B4-BE49-F238E27FC236}">
              <a16:creationId xmlns:a16="http://schemas.microsoft.com/office/drawing/2014/main" id="{D99F35B9-E06A-4C9F-A0C8-758EFF4C3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1" name="Imagen 3">
          <a:extLst>
            <a:ext uri="{FF2B5EF4-FFF2-40B4-BE49-F238E27FC236}">
              <a16:creationId xmlns:a16="http://schemas.microsoft.com/office/drawing/2014/main" id="{310A2A94-982D-4983-8ACD-AEBB6A87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2" name="Imagen 3">
          <a:extLst>
            <a:ext uri="{FF2B5EF4-FFF2-40B4-BE49-F238E27FC236}">
              <a16:creationId xmlns:a16="http://schemas.microsoft.com/office/drawing/2014/main" id="{FC9FE324-3AEC-4107-9352-2B8156F0E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3" name="Imagen 3">
          <a:extLst>
            <a:ext uri="{FF2B5EF4-FFF2-40B4-BE49-F238E27FC236}">
              <a16:creationId xmlns:a16="http://schemas.microsoft.com/office/drawing/2014/main" id="{1F6AE170-B961-4E43-8AC9-47ABFB5F3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4" name="Imagen 3">
          <a:extLst>
            <a:ext uri="{FF2B5EF4-FFF2-40B4-BE49-F238E27FC236}">
              <a16:creationId xmlns:a16="http://schemas.microsoft.com/office/drawing/2014/main" id="{4CFF136F-02C2-484D-8139-F50E426D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5" name="Imagen 3">
          <a:extLst>
            <a:ext uri="{FF2B5EF4-FFF2-40B4-BE49-F238E27FC236}">
              <a16:creationId xmlns:a16="http://schemas.microsoft.com/office/drawing/2014/main" id="{FCBFB9EB-EBB4-4D5D-9F7D-414E6511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6" name="Imagen 3">
          <a:extLst>
            <a:ext uri="{FF2B5EF4-FFF2-40B4-BE49-F238E27FC236}">
              <a16:creationId xmlns:a16="http://schemas.microsoft.com/office/drawing/2014/main" id="{433BA3FF-7150-4DD3-A8B3-8BED9B1B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7" name="Imagen 3">
          <a:extLst>
            <a:ext uri="{FF2B5EF4-FFF2-40B4-BE49-F238E27FC236}">
              <a16:creationId xmlns:a16="http://schemas.microsoft.com/office/drawing/2014/main" id="{2DC5CC27-EFEC-4DEC-A3EC-7CA6B46A6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8" name="Imagen 3">
          <a:extLst>
            <a:ext uri="{FF2B5EF4-FFF2-40B4-BE49-F238E27FC236}">
              <a16:creationId xmlns:a16="http://schemas.microsoft.com/office/drawing/2014/main" id="{8E8167C8-8A4F-4A93-8E68-BE3F88C4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09" name="Imagen 3">
          <a:extLst>
            <a:ext uri="{FF2B5EF4-FFF2-40B4-BE49-F238E27FC236}">
              <a16:creationId xmlns:a16="http://schemas.microsoft.com/office/drawing/2014/main" id="{E313B254-345F-4454-A79D-BC98A2D1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0" name="Imagen 3">
          <a:extLst>
            <a:ext uri="{FF2B5EF4-FFF2-40B4-BE49-F238E27FC236}">
              <a16:creationId xmlns:a16="http://schemas.microsoft.com/office/drawing/2014/main" id="{0C5FB531-03CC-4430-870E-BA34AFE4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1" name="Imagen 3">
          <a:extLst>
            <a:ext uri="{FF2B5EF4-FFF2-40B4-BE49-F238E27FC236}">
              <a16:creationId xmlns:a16="http://schemas.microsoft.com/office/drawing/2014/main" id="{694918B5-A9C2-437C-8E19-2B5757C3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2" name="Imagen 3">
          <a:extLst>
            <a:ext uri="{FF2B5EF4-FFF2-40B4-BE49-F238E27FC236}">
              <a16:creationId xmlns:a16="http://schemas.microsoft.com/office/drawing/2014/main" id="{AD1FCEB4-142E-40CF-9A40-555203185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3" name="Imagen 3">
          <a:extLst>
            <a:ext uri="{FF2B5EF4-FFF2-40B4-BE49-F238E27FC236}">
              <a16:creationId xmlns:a16="http://schemas.microsoft.com/office/drawing/2014/main" id="{F1AF5D9C-BFC4-4363-A234-A1603E72C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4" name="Imagen 3">
          <a:extLst>
            <a:ext uri="{FF2B5EF4-FFF2-40B4-BE49-F238E27FC236}">
              <a16:creationId xmlns:a16="http://schemas.microsoft.com/office/drawing/2014/main" id="{881BBBE8-4332-40B6-816A-256E1884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5" name="Imagen 3">
          <a:extLst>
            <a:ext uri="{FF2B5EF4-FFF2-40B4-BE49-F238E27FC236}">
              <a16:creationId xmlns:a16="http://schemas.microsoft.com/office/drawing/2014/main" id="{CEFA5145-706D-45D8-B7B7-EB1A63B0E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6" name="Imagen 3">
          <a:extLst>
            <a:ext uri="{FF2B5EF4-FFF2-40B4-BE49-F238E27FC236}">
              <a16:creationId xmlns:a16="http://schemas.microsoft.com/office/drawing/2014/main" id="{6B305FC9-9F02-4A4E-84D6-3A42FE17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7" name="Imagen 3">
          <a:extLst>
            <a:ext uri="{FF2B5EF4-FFF2-40B4-BE49-F238E27FC236}">
              <a16:creationId xmlns:a16="http://schemas.microsoft.com/office/drawing/2014/main" id="{B30F982D-0D7D-4252-8A52-1FE6D88C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8" name="Imagen 3">
          <a:extLst>
            <a:ext uri="{FF2B5EF4-FFF2-40B4-BE49-F238E27FC236}">
              <a16:creationId xmlns:a16="http://schemas.microsoft.com/office/drawing/2014/main" id="{C24D3062-30D8-4C05-AD9A-7B6C72AE1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19" name="Imagen 3">
          <a:extLst>
            <a:ext uri="{FF2B5EF4-FFF2-40B4-BE49-F238E27FC236}">
              <a16:creationId xmlns:a16="http://schemas.microsoft.com/office/drawing/2014/main" id="{3EA063EF-37CD-4A4E-8F77-D7BF9A7E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0" name="Imagen 3">
          <a:extLst>
            <a:ext uri="{FF2B5EF4-FFF2-40B4-BE49-F238E27FC236}">
              <a16:creationId xmlns:a16="http://schemas.microsoft.com/office/drawing/2014/main" id="{8F775DBE-35F9-4847-B7D2-2D2316715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1" name="Imagen 3">
          <a:extLst>
            <a:ext uri="{FF2B5EF4-FFF2-40B4-BE49-F238E27FC236}">
              <a16:creationId xmlns:a16="http://schemas.microsoft.com/office/drawing/2014/main" id="{11211004-2870-4991-918C-850439EE9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2" name="Imagen 3">
          <a:extLst>
            <a:ext uri="{FF2B5EF4-FFF2-40B4-BE49-F238E27FC236}">
              <a16:creationId xmlns:a16="http://schemas.microsoft.com/office/drawing/2014/main" id="{3FA357AD-6F7B-41ED-BDF9-0D68D233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3" name="Imagen 3">
          <a:extLst>
            <a:ext uri="{FF2B5EF4-FFF2-40B4-BE49-F238E27FC236}">
              <a16:creationId xmlns:a16="http://schemas.microsoft.com/office/drawing/2014/main" id="{B7B4CEC9-46FF-434C-BBF2-587B40BF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4" name="Imagen 3">
          <a:extLst>
            <a:ext uri="{FF2B5EF4-FFF2-40B4-BE49-F238E27FC236}">
              <a16:creationId xmlns:a16="http://schemas.microsoft.com/office/drawing/2014/main" id="{CA0C3E28-B8B7-4F9F-B560-A1F81D8A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5" name="Imagen 3">
          <a:extLst>
            <a:ext uri="{FF2B5EF4-FFF2-40B4-BE49-F238E27FC236}">
              <a16:creationId xmlns:a16="http://schemas.microsoft.com/office/drawing/2014/main" id="{06BA58E4-5512-4EFC-8BC0-AE84A4E6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6" name="Imagen 3">
          <a:extLst>
            <a:ext uri="{FF2B5EF4-FFF2-40B4-BE49-F238E27FC236}">
              <a16:creationId xmlns:a16="http://schemas.microsoft.com/office/drawing/2014/main" id="{220E19D0-C5DD-405F-9361-4EE593DC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7" name="Imagen 3">
          <a:extLst>
            <a:ext uri="{FF2B5EF4-FFF2-40B4-BE49-F238E27FC236}">
              <a16:creationId xmlns:a16="http://schemas.microsoft.com/office/drawing/2014/main" id="{243A21FB-804D-45B3-8121-77AB2023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8" name="Imagen 3">
          <a:extLst>
            <a:ext uri="{FF2B5EF4-FFF2-40B4-BE49-F238E27FC236}">
              <a16:creationId xmlns:a16="http://schemas.microsoft.com/office/drawing/2014/main" id="{C42D4E51-AB55-4CFF-A2B9-CE14ADA4D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29" name="Imagen 3">
          <a:extLst>
            <a:ext uri="{FF2B5EF4-FFF2-40B4-BE49-F238E27FC236}">
              <a16:creationId xmlns:a16="http://schemas.microsoft.com/office/drawing/2014/main" id="{4A600360-4AC4-4AA9-B22C-79167A88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0" name="Imagen 3">
          <a:extLst>
            <a:ext uri="{FF2B5EF4-FFF2-40B4-BE49-F238E27FC236}">
              <a16:creationId xmlns:a16="http://schemas.microsoft.com/office/drawing/2014/main" id="{D885C2C2-1CA3-492F-9050-5C2A33FD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1" name="Imagen 3">
          <a:extLst>
            <a:ext uri="{FF2B5EF4-FFF2-40B4-BE49-F238E27FC236}">
              <a16:creationId xmlns:a16="http://schemas.microsoft.com/office/drawing/2014/main" id="{5870DA4C-5883-4086-A0D5-435891EE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2" name="Imagen 3">
          <a:extLst>
            <a:ext uri="{FF2B5EF4-FFF2-40B4-BE49-F238E27FC236}">
              <a16:creationId xmlns:a16="http://schemas.microsoft.com/office/drawing/2014/main" id="{DB6F424C-0BBE-429A-B692-CF65CD0E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3" name="Imagen 3">
          <a:extLst>
            <a:ext uri="{FF2B5EF4-FFF2-40B4-BE49-F238E27FC236}">
              <a16:creationId xmlns:a16="http://schemas.microsoft.com/office/drawing/2014/main" id="{DE7B7B83-5EC3-4D88-B96E-3DB563A8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4" name="Imagen 3">
          <a:extLst>
            <a:ext uri="{FF2B5EF4-FFF2-40B4-BE49-F238E27FC236}">
              <a16:creationId xmlns:a16="http://schemas.microsoft.com/office/drawing/2014/main" id="{9CB0ACBC-AC07-4132-BF8F-982D3FFC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5" name="Imagen 3">
          <a:extLst>
            <a:ext uri="{FF2B5EF4-FFF2-40B4-BE49-F238E27FC236}">
              <a16:creationId xmlns:a16="http://schemas.microsoft.com/office/drawing/2014/main" id="{8941BE41-9491-4EC6-976B-67579E51A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6" name="Imagen 3">
          <a:extLst>
            <a:ext uri="{FF2B5EF4-FFF2-40B4-BE49-F238E27FC236}">
              <a16:creationId xmlns:a16="http://schemas.microsoft.com/office/drawing/2014/main" id="{54B85612-2EA7-480F-831B-D2877D20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7" name="Imagen 3">
          <a:extLst>
            <a:ext uri="{FF2B5EF4-FFF2-40B4-BE49-F238E27FC236}">
              <a16:creationId xmlns:a16="http://schemas.microsoft.com/office/drawing/2014/main" id="{0CE7246A-4063-49F4-9B67-9D1EC08A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8" name="Imagen 3">
          <a:extLst>
            <a:ext uri="{FF2B5EF4-FFF2-40B4-BE49-F238E27FC236}">
              <a16:creationId xmlns:a16="http://schemas.microsoft.com/office/drawing/2014/main" id="{8305EEAC-E481-4C26-9C0C-001BCD3C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39" name="Imagen 3">
          <a:extLst>
            <a:ext uri="{FF2B5EF4-FFF2-40B4-BE49-F238E27FC236}">
              <a16:creationId xmlns:a16="http://schemas.microsoft.com/office/drawing/2014/main" id="{02595B3A-48D3-4D49-B625-CC51FD29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0" name="Imagen 3">
          <a:extLst>
            <a:ext uri="{FF2B5EF4-FFF2-40B4-BE49-F238E27FC236}">
              <a16:creationId xmlns:a16="http://schemas.microsoft.com/office/drawing/2014/main" id="{0C5F64B2-AC15-42FC-A678-685A83A2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1" name="Imagen 3">
          <a:extLst>
            <a:ext uri="{FF2B5EF4-FFF2-40B4-BE49-F238E27FC236}">
              <a16:creationId xmlns:a16="http://schemas.microsoft.com/office/drawing/2014/main" id="{660E3421-403B-4B91-9788-B44FFBB1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2" name="Imagen 3">
          <a:extLst>
            <a:ext uri="{FF2B5EF4-FFF2-40B4-BE49-F238E27FC236}">
              <a16:creationId xmlns:a16="http://schemas.microsoft.com/office/drawing/2014/main" id="{6B33FB5B-EA55-4FBF-A890-05A8C6DE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3" name="Imagen 3">
          <a:extLst>
            <a:ext uri="{FF2B5EF4-FFF2-40B4-BE49-F238E27FC236}">
              <a16:creationId xmlns:a16="http://schemas.microsoft.com/office/drawing/2014/main" id="{4692F4D1-8778-4DF6-B2C9-76DBF708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4" name="Imagen 3">
          <a:extLst>
            <a:ext uri="{FF2B5EF4-FFF2-40B4-BE49-F238E27FC236}">
              <a16:creationId xmlns:a16="http://schemas.microsoft.com/office/drawing/2014/main" id="{6F75CFED-39C0-4964-A856-CAAE0631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5" name="Imagen 3">
          <a:extLst>
            <a:ext uri="{FF2B5EF4-FFF2-40B4-BE49-F238E27FC236}">
              <a16:creationId xmlns:a16="http://schemas.microsoft.com/office/drawing/2014/main" id="{F20F5055-0E4C-447E-BEFD-10082BAB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6" name="Imagen 3">
          <a:extLst>
            <a:ext uri="{FF2B5EF4-FFF2-40B4-BE49-F238E27FC236}">
              <a16:creationId xmlns:a16="http://schemas.microsoft.com/office/drawing/2014/main" id="{A0C825DF-19CA-41F8-AD3B-98C460B3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7" name="Imagen 3">
          <a:extLst>
            <a:ext uri="{FF2B5EF4-FFF2-40B4-BE49-F238E27FC236}">
              <a16:creationId xmlns:a16="http://schemas.microsoft.com/office/drawing/2014/main" id="{B821E851-7929-4FE8-885B-B0B98539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8" name="Imagen 3">
          <a:extLst>
            <a:ext uri="{FF2B5EF4-FFF2-40B4-BE49-F238E27FC236}">
              <a16:creationId xmlns:a16="http://schemas.microsoft.com/office/drawing/2014/main" id="{4CE1F584-55A4-47F2-B5B8-1E9CD49D4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49" name="Imagen 3">
          <a:extLst>
            <a:ext uri="{FF2B5EF4-FFF2-40B4-BE49-F238E27FC236}">
              <a16:creationId xmlns:a16="http://schemas.microsoft.com/office/drawing/2014/main" id="{99E1A470-6815-44E5-9E0E-66174186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0" name="Imagen 3">
          <a:extLst>
            <a:ext uri="{FF2B5EF4-FFF2-40B4-BE49-F238E27FC236}">
              <a16:creationId xmlns:a16="http://schemas.microsoft.com/office/drawing/2014/main" id="{1C7080CC-AF63-4BFC-9644-93BF187A1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1" name="Imagen 3">
          <a:extLst>
            <a:ext uri="{FF2B5EF4-FFF2-40B4-BE49-F238E27FC236}">
              <a16:creationId xmlns:a16="http://schemas.microsoft.com/office/drawing/2014/main" id="{0E34CDD8-4AF8-4D65-A4FC-A7737B2E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2" name="Imagen 3">
          <a:extLst>
            <a:ext uri="{FF2B5EF4-FFF2-40B4-BE49-F238E27FC236}">
              <a16:creationId xmlns:a16="http://schemas.microsoft.com/office/drawing/2014/main" id="{C09EFD02-338B-40B7-8802-784B71C2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3" name="Imagen 3">
          <a:extLst>
            <a:ext uri="{FF2B5EF4-FFF2-40B4-BE49-F238E27FC236}">
              <a16:creationId xmlns:a16="http://schemas.microsoft.com/office/drawing/2014/main" id="{F64A14E1-CD68-446A-8CDA-0507483E9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4" name="Imagen 3">
          <a:extLst>
            <a:ext uri="{FF2B5EF4-FFF2-40B4-BE49-F238E27FC236}">
              <a16:creationId xmlns:a16="http://schemas.microsoft.com/office/drawing/2014/main" id="{BC33CF6D-9C0C-4B1D-9C08-58856484A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5" name="Imagen 3">
          <a:extLst>
            <a:ext uri="{FF2B5EF4-FFF2-40B4-BE49-F238E27FC236}">
              <a16:creationId xmlns:a16="http://schemas.microsoft.com/office/drawing/2014/main" id="{532D9E90-30AF-4F6B-94F8-6F0CC915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6" name="Imagen 3">
          <a:extLst>
            <a:ext uri="{FF2B5EF4-FFF2-40B4-BE49-F238E27FC236}">
              <a16:creationId xmlns:a16="http://schemas.microsoft.com/office/drawing/2014/main" id="{9AE868E5-6164-4511-AE48-CF90EAFA2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7" name="Imagen 3">
          <a:extLst>
            <a:ext uri="{FF2B5EF4-FFF2-40B4-BE49-F238E27FC236}">
              <a16:creationId xmlns:a16="http://schemas.microsoft.com/office/drawing/2014/main" id="{774A4586-1974-4A56-86C4-0CF1D923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8" name="Imagen 3">
          <a:extLst>
            <a:ext uri="{FF2B5EF4-FFF2-40B4-BE49-F238E27FC236}">
              <a16:creationId xmlns:a16="http://schemas.microsoft.com/office/drawing/2014/main" id="{13B8B06B-8EBC-4AA6-99F3-8BAB427C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59" name="Imagen 3">
          <a:extLst>
            <a:ext uri="{FF2B5EF4-FFF2-40B4-BE49-F238E27FC236}">
              <a16:creationId xmlns:a16="http://schemas.microsoft.com/office/drawing/2014/main" id="{100315D4-5717-429C-9E2E-CE8BA8189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60" name="Imagen 3">
          <a:extLst>
            <a:ext uri="{FF2B5EF4-FFF2-40B4-BE49-F238E27FC236}">
              <a16:creationId xmlns:a16="http://schemas.microsoft.com/office/drawing/2014/main" id="{C31D73DF-D9AE-4B97-9C5D-818A13FC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30480" cy="7620"/>
    <xdr:pic>
      <xdr:nvPicPr>
        <xdr:cNvPr id="1461" name="Imagen 3">
          <a:extLst>
            <a:ext uri="{FF2B5EF4-FFF2-40B4-BE49-F238E27FC236}">
              <a16:creationId xmlns:a16="http://schemas.microsoft.com/office/drawing/2014/main" id="{001F6E0A-CF36-4FE1-A5B8-F6C378A8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45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2" name="Imagen 3">
          <a:extLst>
            <a:ext uri="{FF2B5EF4-FFF2-40B4-BE49-F238E27FC236}">
              <a16:creationId xmlns:a16="http://schemas.microsoft.com/office/drawing/2014/main" id="{7E7FC973-5B22-4702-A822-01D21965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3" name="Imagen 3">
          <a:extLst>
            <a:ext uri="{FF2B5EF4-FFF2-40B4-BE49-F238E27FC236}">
              <a16:creationId xmlns:a16="http://schemas.microsoft.com/office/drawing/2014/main" id="{3E46477C-4E7C-4CFE-8675-A7216AEB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4" name="Imagen 3">
          <a:extLst>
            <a:ext uri="{FF2B5EF4-FFF2-40B4-BE49-F238E27FC236}">
              <a16:creationId xmlns:a16="http://schemas.microsoft.com/office/drawing/2014/main" id="{37C8ACE4-9B8C-4CAB-9E72-C1817BFB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5" name="Imagen 3">
          <a:extLst>
            <a:ext uri="{FF2B5EF4-FFF2-40B4-BE49-F238E27FC236}">
              <a16:creationId xmlns:a16="http://schemas.microsoft.com/office/drawing/2014/main" id="{BD1002C4-DA13-44DF-8B7B-1EFD5DF6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6" name="Imagen 3">
          <a:extLst>
            <a:ext uri="{FF2B5EF4-FFF2-40B4-BE49-F238E27FC236}">
              <a16:creationId xmlns:a16="http://schemas.microsoft.com/office/drawing/2014/main" id="{FB15D8C5-96C9-46FE-A5EA-5CE8F491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7" name="Imagen 3">
          <a:extLst>
            <a:ext uri="{FF2B5EF4-FFF2-40B4-BE49-F238E27FC236}">
              <a16:creationId xmlns:a16="http://schemas.microsoft.com/office/drawing/2014/main" id="{70B6268C-0538-45D6-B912-8C83EFF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8" name="Imagen 3">
          <a:extLst>
            <a:ext uri="{FF2B5EF4-FFF2-40B4-BE49-F238E27FC236}">
              <a16:creationId xmlns:a16="http://schemas.microsoft.com/office/drawing/2014/main" id="{FA525C7B-16EC-45FA-B63C-A5F3271B0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69" name="Imagen 3">
          <a:extLst>
            <a:ext uri="{FF2B5EF4-FFF2-40B4-BE49-F238E27FC236}">
              <a16:creationId xmlns:a16="http://schemas.microsoft.com/office/drawing/2014/main" id="{D2A391E0-B17D-4846-B580-45667FF4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0" name="Imagen 3">
          <a:extLst>
            <a:ext uri="{FF2B5EF4-FFF2-40B4-BE49-F238E27FC236}">
              <a16:creationId xmlns:a16="http://schemas.microsoft.com/office/drawing/2014/main" id="{1B5C27FD-76DF-44B1-B65B-D2A24BB8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1" name="Imagen 3">
          <a:extLst>
            <a:ext uri="{FF2B5EF4-FFF2-40B4-BE49-F238E27FC236}">
              <a16:creationId xmlns:a16="http://schemas.microsoft.com/office/drawing/2014/main" id="{0D6EF8D5-759D-4E87-8F89-20A3B2B5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2" name="Imagen 3">
          <a:extLst>
            <a:ext uri="{FF2B5EF4-FFF2-40B4-BE49-F238E27FC236}">
              <a16:creationId xmlns:a16="http://schemas.microsoft.com/office/drawing/2014/main" id="{665CAFE9-3622-425A-B837-7FF23F18D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3" name="Imagen 3">
          <a:extLst>
            <a:ext uri="{FF2B5EF4-FFF2-40B4-BE49-F238E27FC236}">
              <a16:creationId xmlns:a16="http://schemas.microsoft.com/office/drawing/2014/main" id="{DFC68B42-ED32-4F17-9D61-349E9A7A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4" name="Imagen 3">
          <a:extLst>
            <a:ext uri="{FF2B5EF4-FFF2-40B4-BE49-F238E27FC236}">
              <a16:creationId xmlns:a16="http://schemas.microsoft.com/office/drawing/2014/main" id="{D1E89CDC-52E0-4960-AB61-4FF894BC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5" name="Imagen 3">
          <a:extLst>
            <a:ext uri="{FF2B5EF4-FFF2-40B4-BE49-F238E27FC236}">
              <a16:creationId xmlns:a16="http://schemas.microsoft.com/office/drawing/2014/main" id="{7523B5B3-A839-45AA-A9E3-431019AA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6" name="Imagen 3">
          <a:extLst>
            <a:ext uri="{FF2B5EF4-FFF2-40B4-BE49-F238E27FC236}">
              <a16:creationId xmlns:a16="http://schemas.microsoft.com/office/drawing/2014/main" id="{B045545A-72D6-4D8A-815D-45E1A71C2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7" name="Imagen 3">
          <a:extLst>
            <a:ext uri="{FF2B5EF4-FFF2-40B4-BE49-F238E27FC236}">
              <a16:creationId xmlns:a16="http://schemas.microsoft.com/office/drawing/2014/main" id="{4AD04173-1F85-436C-BEBD-5DE943FE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8" name="Imagen 3">
          <a:extLst>
            <a:ext uri="{FF2B5EF4-FFF2-40B4-BE49-F238E27FC236}">
              <a16:creationId xmlns:a16="http://schemas.microsoft.com/office/drawing/2014/main" id="{381B3D48-FBA5-45F5-B2BB-A5F565BC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79" name="Imagen 3">
          <a:extLst>
            <a:ext uri="{FF2B5EF4-FFF2-40B4-BE49-F238E27FC236}">
              <a16:creationId xmlns:a16="http://schemas.microsoft.com/office/drawing/2014/main" id="{0AC7F172-B57C-4F1D-AFCE-6EB71425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0" name="Imagen 3">
          <a:extLst>
            <a:ext uri="{FF2B5EF4-FFF2-40B4-BE49-F238E27FC236}">
              <a16:creationId xmlns:a16="http://schemas.microsoft.com/office/drawing/2014/main" id="{4DDBC9C3-2AE8-4E54-8C67-61898AA7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1" name="Imagen 3">
          <a:extLst>
            <a:ext uri="{FF2B5EF4-FFF2-40B4-BE49-F238E27FC236}">
              <a16:creationId xmlns:a16="http://schemas.microsoft.com/office/drawing/2014/main" id="{0DF35EBA-824F-4866-81E9-36831B89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2" name="Imagen 3">
          <a:extLst>
            <a:ext uri="{FF2B5EF4-FFF2-40B4-BE49-F238E27FC236}">
              <a16:creationId xmlns:a16="http://schemas.microsoft.com/office/drawing/2014/main" id="{641E4317-660C-4CA4-950A-753456CB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3" name="Imagen 3">
          <a:extLst>
            <a:ext uri="{FF2B5EF4-FFF2-40B4-BE49-F238E27FC236}">
              <a16:creationId xmlns:a16="http://schemas.microsoft.com/office/drawing/2014/main" id="{7C37C529-66DA-4BA0-A5E8-BF7EDA1E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4" name="Imagen 3">
          <a:extLst>
            <a:ext uri="{FF2B5EF4-FFF2-40B4-BE49-F238E27FC236}">
              <a16:creationId xmlns:a16="http://schemas.microsoft.com/office/drawing/2014/main" id="{0171A23C-B0EA-44FC-A99D-82C8F90F6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5" name="Imagen 3">
          <a:extLst>
            <a:ext uri="{FF2B5EF4-FFF2-40B4-BE49-F238E27FC236}">
              <a16:creationId xmlns:a16="http://schemas.microsoft.com/office/drawing/2014/main" id="{5FCB9CAA-4399-4B5E-B5A0-B974649B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6" name="Imagen 3">
          <a:extLst>
            <a:ext uri="{FF2B5EF4-FFF2-40B4-BE49-F238E27FC236}">
              <a16:creationId xmlns:a16="http://schemas.microsoft.com/office/drawing/2014/main" id="{90A90FEE-2B46-4358-914E-512C650E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7" name="Imagen 3">
          <a:extLst>
            <a:ext uri="{FF2B5EF4-FFF2-40B4-BE49-F238E27FC236}">
              <a16:creationId xmlns:a16="http://schemas.microsoft.com/office/drawing/2014/main" id="{1CD02F64-3F42-457C-8390-17165BA79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8" name="Imagen 3">
          <a:extLst>
            <a:ext uri="{FF2B5EF4-FFF2-40B4-BE49-F238E27FC236}">
              <a16:creationId xmlns:a16="http://schemas.microsoft.com/office/drawing/2014/main" id="{A10A8CD2-058E-4633-A6B9-D40A097F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89" name="Imagen 3">
          <a:extLst>
            <a:ext uri="{FF2B5EF4-FFF2-40B4-BE49-F238E27FC236}">
              <a16:creationId xmlns:a16="http://schemas.microsoft.com/office/drawing/2014/main" id="{4395A0C7-5053-493B-832D-A52F75DF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0" name="Imagen 3">
          <a:extLst>
            <a:ext uri="{FF2B5EF4-FFF2-40B4-BE49-F238E27FC236}">
              <a16:creationId xmlns:a16="http://schemas.microsoft.com/office/drawing/2014/main" id="{66098D08-4540-469F-BF68-63F82575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1" name="Imagen 3">
          <a:extLst>
            <a:ext uri="{FF2B5EF4-FFF2-40B4-BE49-F238E27FC236}">
              <a16:creationId xmlns:a16="http://schemas.microsoft.com/office/drawing/2014/main" id="{1359F788-A371-4093-91C2-0003762E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2" name="Imagen 3">
          <a:extLst>
            <a:ext uri="{FF2B5EF4-FFF2-40B4-BE49-F238E27FC236}">
              <a16:creationId xmlns:a16="http://schemas.microsoft.com/office/drawing/2014/main" id="{FC81EAA4-C4B9-470F-BE89-E5B913E5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3" name="Imagen 3">
          <a:extLst>
            <a:ext uri="{FF2B5EF4-FFF2-40B4-BE49-F238E27FC236}">
              <a16:creationId xmlns:a16="http://schemas.microsoft.com/office/drawing/2014/main" id="{70FB9E66-7482-4000-AC6A-A82D47FC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4" name="Imagen 3">
          <a:extLst>
            <a:ext uri="{FF2B5EF4-FFF2-40B4-BE49-F238E27FC236}">
              <a16:creationId xmlns:a16="http://schemas.microsoft.com/office/drawing/2014/main" id="{3BFF7136-863E-4C97-8AF0-7F44911BD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5" name="Imagen 3">
          <a:extLst>
            <a:ext uri="{FF2B5EF4-FFF2-40B4-BE49-F238E27FC236}">
              <a16:creationId xmlns:a16="http://schemas.microsoft.com/office/drawing/2014/main" id="{99583B09-5AC8-4AAB-AA7C-4ACF07B5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6" name="Imagen 3">
          <a:extLst>
            <a:ext uri="{FF2B5EF4-FFF2-40B4-BE49-F238E27FC236}">
              <a16:creationId xmlns:a16="http://schemas.microsoft.com/office/drawing/2014/main" id="{405327FF-DED1-4549-A842-287C0D20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7" name="Imagen 3">
          <a:extLst>
            <a:ext uri="{FF2B5EF4-FFF2-40B4-BE49-F238E27FC236}">
              <a16:creationId xmlns:a16="http://schemas.microsoft.com/office/drawing/2014/main" id="{7F1BAED1-6C03-4FFC-BFC2-CE79ACC33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8" name="Imagen 3">
          <a:extLst>
            <a:ext uri="{FF2B5EF4-FFF2-40B4-BE49-F238E27FC236}">
              <a16:creationId xmlns:a16="http://schemas.microsoft.com/office/drawing/2014/main" id="{7C2C007D-C097-4933-AA01-B450DA0F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499" name="Imagen 3">
          <a:extLst>
            <a:ext uri="{FF2B5EF4-FFF2-40B4-BE49-F238E27FC236}">
              <a16:creationId xmlns:a16="http://schemas.microsoft.com/office/drawing/2014/main" id="{138653FD-7CA6-45AD-B5A2-EB4E9C519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0" name="Imagen 3">
          <a:extLst>
            <a:ext uri="{FF2B5EF4-FFF2-40B4-BE49-F238E27FC236}">
              <a16:creationId xmlns:a16="http://schemas.microsoft.com/office/drawing/2014/main" id="{08561FB0-B9CD-46A2-B4B7-07EA00E6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1" name="Imagen 3">
          <a:extLst>
            <a:ext uri="{FF2B5EF4-FFF2-40B4-BE49-F238E27FC236}">
              <a16:creationId xmlns:a16="http://schemas.microsoft.com/office/drawing/2014/main" id="{74D44AAB-EE3B-4BFA-B5C4-A35ECED7F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2" name="Imagen 3">
          <a:extLst>
            <a:ext uri="{FF2B5EF4-FFF2-40B4-BE49-F238E27FC236}">
              <a16:creationId xmlns:a16="http://schemas.microsoft.com/office/drawing/2014/main" id="{64F61136-D621-44A3-A3CB-F54FF85A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3" name="Imagen 3">
          <a:extLst>
            <a:ext uri="{FF2B5EF4-FFF2-40B4-BE49-F238E27FC236}">
              <a16:creationId xmlns:a16="http://schemas.microsoft.com/office/drawing/2014/main" id="{C311DD3E-89D2-46FF-BBF3-C73CD6F8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4" name="Imagen 3">
          <a:extLst>
            <a:ext uri="{FF2B5EF4-FFF2-40B4-BE49-F238E27FC236}">
              <a16:creationId xmlns:a16="http://schemas.microsoft.com/office/drawing/2014/main" id="{ED7A6DD5-5963-4C31-B4A1-1BE9526F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5" name="Imagen 3">
          <a:extLst>
            <a:ext uri="{FF2B5EF4-FFF2-40B4-BE49-F238E27FC236}">
              <a16:creationId xmlns:a16="http://schemas.microsoft.com/office/drawing/2014/main" id="{46217933-24CF-4A82-8A05-E2CA7BDBE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6" name="Imagen 3">
          <a:extLst>
            <a:ext uri="{FF2B5EF4-FFF2-40B4-BE49-F238E27FC236}">
              <a16:creationId xmlns:a16="http://schemas.microsoft.com/office/drawing/2014/main" id="{E449C64B-3474-45EF-8FE3-88972EE1A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7" name="Imagen 3">
          <a:extLst>
            <a:ext uri="{FF2B5EF4-FFF2-40B4-BE49-F238E27FC236}">
              <a16:creationId xmlns:a16="http://schemas.microsoft.com/office/drawing/2014/main" id="{0FD3370A-7D08-4EB8-8A3A-D27CE172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8" name="Imagen 3">
          <a:extLst>
            <a:ext uri="{FF2B5EF4-FFF2-40B4-BE49-F238E27FC236}">
              <a16:creationId xmlns:a16="http://schemas.microsoft.com/office/drawing/2014/main" id="{AC66CE16-2D17-4D7F-928A-BBEA4F6D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09" name="Imagen 3">
          <a:extLst>
            <a:ext uri="{FF2B5EF4-FFF2-40B4-BE49-F238E27FC236}">
              <a16:creationId xmlns:a16="http://schemas.microsoft.com/office/drawing/2014/main" id="{0807C6EC-6001-4201-944D-720923E3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0" name="Imagen 3">
          <a:extLst>
            <a:ext uri="{FF2B5EF4-FFF2-40B4-BE49-F238E27FC236}">
              <a16:creationId xmlns:a16="http://schemas.microsoft.com/office/drawing/2014/main" id="{2D0B9A78-37C7-4461-83BF-48D7821D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1" name="Imagen 3">
          <a:extLst>
            <a:ext uri="{FF2B5EF4-FFF2-40B4-BE49-F238E27FC236}">
              <a16:creationId xmlns:a16="http://schemas.microsoft.com/office/drawing/2014/main" id="{28694360-D311-4FC6-8839-60334674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2" name="Imagen 3">
          <a:extLst>
            <a:ext uri="{FF2B5EF4-FFF2-40B4-BE49-F238E27FC236}">
              <a16:creationId xmlns:a16="http://schemas.microsoft.com/office/drawing/2014/main" id="{56596BD4-75AB-4421-B1D9-A02F7BCE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3" name="Imagen 3">
          <a:extLst>
            <a:ext uri="{FF2B5EF4-FFF2-40B4-BE49-F238E27FC236}">
              <a16:creationId xmlns:a16="http://schemas.microsoft.com/office/drawing/2014/main" id="{F6145117-53F8-4BF4-B397-EFCB9AC3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4" name="Imagen 3">
          <a:extLst>
            <a:ext uri="{FF2B5EF4-FFF2-40B4-BE49-F238E27FC236}">
              <a16:creationId xmlns:a16="http://schemas.microsoft.com/office/drawing/2014/main" id="{123D447E-B390-406C-9049-97EF5A94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5" name="Imagen 3">
          <a:extLst>
            <a:ext uri="{FF2B5EF4-FFF2-40B4-BE49-F238E27FC236}">
              <a16:creationId xmlns:a16="http://schemas.microsoft.com/office/drawing/2014/main" id="{E570249A-5CFE-4DBC-8AED-D061CE10C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6" name="Imagen 3">
          <a:extLst>
            <a:ext uri="{FF2B5EF4-FFF2-40B4-BE49-F238E27FC236}">
              <a16:creationId xmlns:a16="http://schemas.microsoft.com/office/drawing/2014/main" id="{C16D36E8-F0DD-4F32-9EC4-3FABF58B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7" name="Imagen 3">
          <a:extLst>
            <a:ext uri="{FF2B5EF4-FFF2-40B4-BE49-F238E27FC236}">
              <a16:creationId xmlns:a16="http://schemas.microsoft.com/office/drawing/2014/main" id="{BA65D3BC-33D4-4DF6-86E3-7D4CA05C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8" name="Imagen 3">
          <a:extLst>
            <a:ext uri="{FF2B5EF4-FFF2-40B4-BE49-F238E27FC236}">
              <a16:creationId xmlns:a16="http://schemas.microsoft.com/office/drawing/2014/main" id="{178880F8-C780-44A6-83EB-89BB37C43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19" name="Imagen 3">
          <a:extLst>
            <a:ext uri="{FF2B5EF4-FFF2-40B4-BE49-F238E27FC236}">
              <a16:creationId xmlns:a16="http://schemas.microsoft.com/office/drawing/2014/main" id="{A71EB89F-26AF-44E9-B8C9-1BAD66038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0" name="Imagen 3">
          <a:extLst>
            <a:ext uri="{FF2B5EF4-FFF2-40B4-BE49-F238E27FC236}">
              <a16:creationId xmlns:a16="http://schemas.microsoft.com/office/drawing/2014/main" id="{0E3EFADA-098C-45C5-AC15-BDFCB5B7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1" name="Imagen 3">
          <a:extLst>
            <a:ext uri="{FF2B5EF4-FFF2-40B4-BE49-F238E27FC236}">
              <a16:creationId xmlns:a16="http://schemas.microsoft.com/office/drawing/2014/main" id="{5F69E91B-E536-4C91-9A13-84CE83B1A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2" name="Imagen 3">
          <a:extLst>
            <a:ext uri="{FF2B5EF4-FFF2-40B4-BE49-F238E27FC236}">
              <a16:creationId xmlns:a16="http://schemas.microsoft.com/office/drawing/2014/main" id="{EF1D93F5-6DD7-4574-B450-53E415C0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3" name="Imagen 3">
          <a:extLst>
            <a:ext uri="{FF2B5EF4-FFF2-40B4-BE49-F238E27FC236}">
              <a16:creationId xmlns:a16="http://schemas.microsoft.com/office/drawing/2014/main" id="{12233329-FBC5-47A8-BA33-EDB8F97A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4" name="Imagen 3">
          <a:extLst>
            <a:ext uri="{FF2B5EF4-FFF2-40B4-BE49-F238E27FC236}">
              <a16:creationId xmlns:a16="http://schemas.microsoft.com/office/drawing/2014/main" id="{B51AA2A3-D83D-461F-9188-60C075FB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5" name="Imagen 3">
          <a:extLst>
            <a:ext uri="{FF2B5EF4-FFF2-40B4-BE49-F238E27FC236}">
              <a16:creationId xmlns:a16="http://schemas.microsoft.com/office/drawing/2014/main" id="{609730F3-50E2-4DDD-AD4B-B8503275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6" name="Imagen 3">
          <a:extLst>
            <a:ext uri="{FF2B5EF4-FFF2-40B4-BE49-F238E27FC236}">
              <a16:creationId xmlns:a16="http://schemas.microsoft.com/office/drawing/2014/main" id="{12E5D363-4631-4A4F-B377-05F6A484C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7" name="Imagen 3">
          <a:extLst>
            <a:ext uri="{FF2B5EF4-FFF2-40B4-BE49-F238E27FC236}">
              <a16:creationId xmlns:a16="http://schemas.microsoft.com/office/drawing/2014/main" id="{56AB10CC-55B3-45E2-840F-FC98456B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8" name="Imagen 3">
          <a:extLst>
            <a:ext uri="{FF2B5EF4-FFF2-40B4-BE49-F238E27FC236}">
              <a16:creationId xmlns:a16="http://schemas.microsoft.com/office/drawing/2014/main" id="{0CC2BF6E-DF83-4AA9-A056-C620E4545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29" name="Imagen 3">
          <a:extLst>
            <a:ext uri="{FF2B5EF4-FFF2-40B4-BE49-F238E27FC236}">
              <a16:creationId xmlns:a16="http://schemas.microsoft.com/office/drawing/2014/main" id="{05D60087-7F49-4EB5-9181-75D90225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0" name="Imagen 3">
          <a:extLst>
            <a:ext uri="{FF2B5EF4-FFF2-40B4-BE49-F238E27FC236}">
              <a16:creationId xmlns:a16="http://schemas.microsoft.com/office/drawing/2014/main" id="{DCAACB62-4854-48A6-BFC3-EFEBCEEE9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1" name="Imagen 3">
          <a:extLst>
            <a:ext uri="{FF2B5EF4-FFF2-40B4-BE49-F238E27FC236}">
              <a16:creationId xmlns:a16="http://schemas.microsoft.com/office/drawing/2014/main" id="{F801993F-124D-4193-BD97-3E2E5434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2" name="Imagen 3">
          <a:extLst>
            <a:ext uri="{FF2B5EF4-FFF2-40B4-BE49-F238E27FC236}">
              <a16:creationId xmlns:a16="http://schemas.microsoft.com/office/drawing/2014/main" id="{4818D348-CC72-4A06-A820-E8020DEB4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3" name="Imagen 3">
          <a:extLst>
            <a:ext uri="{FF2B5EF4-FFF2-40B4-BE49-F238E27FC236}">
              <a16:creationId xmlns:a16="http://schemas.microsoft.com/office/drawing/2014/main" id="{59CED9A4-F246-4FA7-B7A8-011257B0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4" name="Imagen 3">
          <a:extLst>
            <a:ext uri="{FF2B5EF4-FFF2-40B4-BE49-F238E27FC236}">
              <a16:creationId xmlns:a16="http://schemas.microsoft.com/office/drawing/2014/main" id="{2D5FF05B-720A-4863-861C-F0CF9795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5" name="Imagen 3">
          <a:extLst>
            <a:ext uri="{FF2B5EF4-FFF2-40B4-BE49-F238E27FC236}">
              <a16:creationId xmlns:a16="http://schemas.microsoft.com/office/drawing/2014/main" id="{35B6F99B-A84C-42E2-A241-3400E39E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6" name="Imagen 3">
          <a:extLst>
            <a:ext uri="{FF2B5EF4-FFF2-40B4-BE49-F238E27FC236}">
              <a16:creationId xmlns:a16="http://schemas.microsoft.com/office/drawing/2014/main" id="{E3D73124-1774-4069-9D59-2A8B66B3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7" name="Imagen 3">
          <a:extLst>
            <a:ext uri="{FF2B5EF4-FFF2-40B4-BE49-F238E27FC236}">
              <a16:creationId xmlns:a16="http://schemas.microsoft.com/office/drawing/2014/main" id="{36FA831D-FE7C-4F04-8F09-02666DAE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8" name="Imagen 3">
          <a:extLst>
            <a:ext uri="{FF2B5EF4-FFF2-40B4-BE49-F238E27FC236}">
              <a16:creationId xmlns:a16="http://schemas.microsoft.com/office/drawing/2014/main" id="{59952869-2C0D-4816-9940-A0854BD3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39" name="Imagen 3">
          <a:extLst>
            <a:ext uri="{FF2B5EF4-FFF2-40B4-BE49-F238E27FC236}">
              <a16:creationId xmlns:a16="http://schemas.microsoft.com/office/drawing/2014/main" id="{77EE45C8-9A06-4170-8393-E3E8496D9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0" name="Imagen 3">
          <a:extLst>
            <a:ext uri="{FF2B5EF4-FFF2-40B4-BE49-F238E27FC236}">
              <a16:creationId xmlns:a16="http://schemas.microsoft.com/office/drawing/2014/main" id="{CC8B80D7-7AF7-4DB3-9542-365CADEEB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1" name="Imagen 3">
          <a:extLst>
            <a:ext uri="{FF2B5EF4-FFF2-40B4-BE49-F238E27FC236}">
              <a16:creationId xmlns:a16="http://schemas.microsoft.com/office/drawing/2014/main" id="{6C8520CE-1E58-41B7-8E56-14963BBC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2" name="Imagen 3">
          <a:extLst>
            <a:ext uri="{FF2B5EF4-FFF2-40B4-BE49-F238E27FC236}">
              <a16:creationId xmlns:a16="http://schemas.microsoft.com/office/drawing/2014/main" id="{99166B60-2C60-4E90-B08D-5C9E46CEC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3" name="Imagen 3">
          <a:extLst>
            <a:ext uri="{FF2B5EF4-FFF2-40B4-BE49-F238E27FC236}">
              <a16:creationId xmlns:a16="http://schemas.microsoft.com/office/drawing/2014/main" id="{4FE1F85D-805F-43C3-81C0-5D48AC14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4" name="Imagen 3">
          <a:extLst>
            <a:ext uri="{FF2B5EF4-FFF2-40B4-BE49-F238E27FC236}">
              <a16:creationId xmlns:a16="http://schemas.microsoft.com/office/drawing/2014/main" id="{F8CDCD28-EC60-405C-8443-2D2E82442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5" name="Imagen 3">
          <a:extLst>
            <a:ext uri="{FF2B5EF4-FFF2-40B4-BE49-F238E27FC236}">
              <a16:creationId xmlns:a16="http://schemas.microsoft.com/office/drawing/2014/main" id="{6AE54617-83C0-4FC8-A183-476124624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6" name="Imagen 3">
          <a:extLst>
            <a:ext uri="{FF2B5EF4-FFF2-40B4-BE49-F238E27FC236}">
              <a16:creationId xmlns:a16="http://schemas.microsoft.com/office/drawing/2014/main" id="{38458A8B-F996-4336-BD66-7BEBC8301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7" name="Imagen 3">
          <a:extLst>
            <a:ext uri="{FF2B5EF4-FFF2-40B4-BE49-F238E27FC236}">
              <a16:creationId xmlns:a16="http://schemas.microsoft.com/office/drawing/2014/main" id="{1459D8AF-261B-4882-88C4-62EB8FA46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8" name="Imagen 3">
          <a:extLst>
            <a:ext uri="{FF2B5EF4-FFF2-40B4-BE49-F238E27FC236}">
              <a16:creationId xmlns:a16="http://schemas.microsoft.com/office/drawing/2014/main" id="{F674C96E-184F-48C4-9D59-EB6C27239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49" name="Imagen 3">
          <a:extLst>
            <a:ext uri="{FF2B5EF4-FFF2-40B4-BE49-F238E27FC236}">
              <a16:creationId xmlns:a16="http://schemas.microsoft.com/office/drawing/2014/main" id="{0A10BFE0-AD12-4160-A3AF-9768E0DA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0" name="Imagen 3">
          <a:extLst>
            <a:ext uri="{FF2B5EF4-FFF2-40B4-BE49-F238E27FC236}">
              <a16:creationId xmlns:a16="http://schemas.microsoft.com/office/drawing/2014/main" id="{A12405CC-5D84-4BD3-9BCF-7ACD570E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1" name="Imagen 3">
          <a:extLst>
            <a:ext uri="{FF2B5EF4-FFF2-40B4-BE49-F238E27FC236}">
              <a16:creationId xmlns:a16="http://schemas.microsoft.com/office/drawing/2014/main" id="{A83D9B60-C0DC-4321-BB60-BF948572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2" name="Imagen 3">
          <a:extLst>
            <a:ext uri="{FF2B5EF4-FFF2-40B4-BE49-F238E27FC236}">
              <a16:creationId xmlns:a16="http://schemas.microsoft.com/office/drawing/2014/main" id="{8EEF81EA-EDF4-419F-AE50-C2AE038B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3" name="Imagen 3">
          <a:extLst>
            <a:ext uri="{FF2B5EF4-FFF2-40B4-BE49-F238E27FC236}">
              <a16:creationId xmlns:a16="http://schemas.microsoft.com/office/drawing/2014/main" id="{19E0488E-AF3B-4CAE-B016-CC3AA94FC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4" name="Imagen 3">
          <a:extLst>
            <a:ext uri="{FF2B5EF4-FFF2-40B4-BE49-F238E27FC236}">
              <a16:creationId xmlns:a16="http://schemas.microsoft.com/office/drawing/2014/main" id="{44E79E2B-AB5D-480D-B57B-AC21E49F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5" name="Imagen 3">
          <a:extLst>
            <a:ext uri="{FF2B5EF4-FFF2-40B4-BE49-F238E27FC236}">
              <a16:creationId xmlns:a16="http://schemas.microsoft.com/office/drawing/2014/main" id="{5C19BD38-2C79-4A77-B71F-263598D5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6" name="Imagen 3">
          <a:extLst>
            <a:ext uri="{FF2B5EF4-FFF2-40B4-BE49-F238E27FC236}">
              <a16:creationId xmlns:a16="http://schemas.microsoft.com/office/drawing/2014/main" id="{B1F725F7-9325-4FB3-A487-0755E913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7" name="Imagen 3">
          <a:extLst>
            <a:ext uri="{FF2B5EF4-FFF2-40B4-BE49-F238E27FC236}">
              <a16:creationId xmlns:a16="http://schemas.microsoft.com/office/drawing/2014/main" id="{CE7DBCA0-41CC-4D4F-8875-2DDA8915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8" name="Imagen 3">
          <a:extLst>
            <a:ext uri="{FF2B5EF4-FFF2-40B4-BE49-F238E27FC236}">
              <a16:creationId xmlns:a16="http://schemas.microsoft.com/office/drawing/2014/main" id="{E7FD34E4-5E5F-4626-9969-2CF11817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59" name="Imagen 3">
          <a:extLst>
            <a:ext uri="{FF2B5EF4-FFF2-40B4-BE49-F238E27FC236}">
              <a16:creationId xmlns:a16="http://schemas.microsoft.com/office/drawing/2014/main" id="{C42A0307-CE9C-4687-9FB6-07EA9215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0" name="Imagen 3">
          <a:extLst>
            <a:ext uri="{FF2B5EF4-FFF2-40B4-BE49-F238E27FC236}">
              <a16:creationId xmlns:a16="http://schemas.microsoft.com/office/drawing/2014/main" id="{810942D3-6F8A-4959-8E9D-020C3D12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1" name="Imagen 3">
          <a:extLst>
            <a:ext uri="{FF2B5EF4-FFF2-40B4-BE49-F238E27FC236}">
              <a16:creationId xmlns:a16="http://schemas.microsoft.com/office/drawing/2014/main" id="{FA8D7738-CD67-4FB6-9540-29E502AD1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2" name="Imagen 3">
          <a:extLst>
            <a:ext uri="{FF2B5EF4-FFF2-40B4-BE49-F238E27FC236}">
              <a16:creationId xmlns:a16="http://schemas.microsoft.com/office/drawing/2014/main" id="{28EA5EFB-CB44-44D6-89B1-44F01881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3" name="Imagen 3">
          <a:extLst>
            <a:ext uri="{FF2B5EF4-FFF2-40B4-BE49-F238E27FC236}">
              <a16:creationId xmlns:a16="http://schemas.microsoft.com/office/drawing/2014/main" id="{75C15ADD-5ED8-4DD4-A6A1-3E298B52C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4" name="Imagen 3">
          <a:extLst>
            <a:ext uri="{FF2B5EF4-FFF2-40B4-BE49-F238E27FC236}">
              <a16:creationId xmlns:a16="http://schemas.microsoft.com/office/drawing/2014/main" id="{8BDB1D97-E4E5-4A36-8364-43EF5D6FC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5" name="Imagen 3">
          <a:extLst>
            <a:ext uri="{FF2B5EF4-FFF2-40B4-BE49-F238E27FC236}">
              <a16:creationId xmlns:a16="http://schemas.microsoft.com/office/drawing/2014/main" id="{60565E88-4E53-46A5-A47E-B83359EC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6" name="Imagen 3">
          <a:extLst>
            <a:ext uri="{FF2B5EF4-FFF2-40B4-BE49-F238E27FC236}">
              <a16:creationId xmlns:a16="http://schemas.microsoft.com/office/drawing/2014/main" id="{B94B3766-0AF7-415F-9716-71B10CE3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7" name="Imagen 3">
          <a:extLst>
            <a:ext uri="{FF2B5EF4-FFF2-40B4-BE49-F238E27FC236}">
              <a16:creationId xmlns:a16="http://schemas.microsoft.com/office/drawing/2014/main" id="{6F683990-CAA1-411A-A695-7BF2580DA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8" name="Imagen 3">
          <a:extLst>
            <a:ext uri="{FF2B5EF4-FFF2-40B4-BE49-F238E27FC236}">
              <a16:creationId xmlns:a16="http://schemas.microsoft.com/office/drawing/2014/main" id="{33813F4B-4583-43AC-B452-FF3AB04E6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69" name="Imagen 3">
          <a:extLst>
            <a:ext uri="{FF2B5EF4-FFF2-40B4-BE49-F238E27FC236}">
              <a16:creationId xmlns:a16="http://schemas.microsoft.com/office/drawing/2014/main" id="{9BABB7A2-6BD1-4DFA-B508-0731E43B1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0" name="Imagen 3">
          <a:extLst>
            <a:ext uri="{FF2B5EF4-FFF2-40B4-BE49-F238E27FC236}">
              <a16:creationId xmlns:a16="http://schemas.microsoft.com/office/drawing/2014/main" id="{E4D7B99D-4E09-4127-9222-7A1588231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1" name="Imagen 3">
          <a:extLst>
            <a:ext uri="{FF2B5EF4-FFF2-40B4-BE49-F238E27FC236}">
              <a16:creationId xmlns:a16="http://schemas.microsoft.com/office/drawing/2014/main" id="{5818A150-CE9F-4293-9A6E-494BED77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2" name="Imagen 3">
          <a:extLst>
            <a:ext uri="{FF2B5EF4-FFF2-40B4-BE49-F238E27FC236}">
              <a16:creationId xmlns:a16="http://schemas.microsoft.com/office/drawing/2014/main" id="{72A7516F-4502-44E6-B666-499FE847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3" name="Imagen 3">
          <a:extLst>
            <a:ext uri="{FF2B5EF4-FFF2-40B4-BE49-F238E27FC236}">
              <a16:creationId xmlns:a16="http://schemas.microsoft.com/office/drawing/2014/main" id="{5D2B5F4B-54DB-473D-9722-F39A124B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4" name="Imagen 3">
          <a:extLst>
            <a:ext uri="{FF2B5EF4-FFF2-40B4-BE49-F238E27FC236}">
              <a16:creationId xmlns:a16="http://schemas.microsoft.com/office/drawing/2014/main" id="{F1AD6E9A-8473-41CE-A6ED-A0F45040C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5" name="Imagen 3">
          <a:extLst>
            <a:ext uri="{FF2B5EF4-FFF2-40B4-BE49-F238E27FC236}">
              <a16:creationId xmlns:a16="http://schemas.microsoft.com/office/drawing/2014/main" id="{F946DA73-B290-4DBF-9FA1-F039404A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6" name="Imagen 3">
          <a:extLst>
            <a:ext uri="{FF2B5EF4-FFF2-40B4-BE49-F238E27FC236}">
              <a16:creationId xmlns:a16="http://schemas.microsoft.com/office/drawing/2014/main" id="{61EB955B-D03F-4AB9-B254-ADC7293B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7" name="Imagen 3">
          <a:extLst>
            <a:ext uri="{FF2B5EF4-FFF2-40B4-BE49-F238E27FC236}">
              <a16:creationId xmlns:a16="http://schemas.microsoft.com/office/drawing/2014/main" id="{42571A29-812A-42C6-AC15-38D6696F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8" name="Imagen 3">
          <a:extLst>
            <a:ext uri="{FF2B5EF4-FFF2-40B4-BE49-F238E27FC236}">
              <a16:creationId xmlns:a16="http://schemas.microsoft.com/office/drawing/2014/main" id="{53419750-E7F8-47AB-9713-B3483916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79" name="Imagen 3">
          <a:extLst>
            <a:ext uri="{FF2B5EF4-FFF2-40B4-BE49-F238E27FC236}">
              <a16:creationId xmlns:a16="http://schemas.microsoft.com/office/drawing/2014/main" id="{739E6E9D-AD43-4BAF-A51B-63895DE6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0" name="Imagen 3">
          <a:extLst>
            <a:ext uri="{FF2B5EF4-FFF2-40B4-BE49-F238E27FC236}">
              <a16:creationId xmlns:a16="http://schemas.microsoft.com/office/drawing/2014/main" id="{21815096-5981-4106-B64B-0E9AE67D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1" name="Imagen 3">
          <a:extLst>
            <a:ext uri="{FF2B5EF4-FFF2-40B4-BE49-F238E27FC236}">
              <a16:creationId xmlns:a16="http://schemas.microsoft.com/office/drawing/2014/main" id="{73F3B64A-C256-4B67-99B0-60F25157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2" name="Imagen 3">
          <a:extLst>
            <a:ext uri="{FF2B5EF4-FFF2-40B4-BE49-F238E27FC236}">
              <a16:creationId xmlns:a16="http://schemas.microsoft.com/office/drawing/2014/main" id="{6E00A384-4310-4715-B03A-5412DA1E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3" name="Imagen 3">
          <a:extLst>
            <a:ext uri="{FF2B5EF4-FFF2-40B4-BE49-F238E27FC236}">
              <a16:creationId xmlns:a16="http://schemas.microsoft.com/office/drawing/2014/main" id="{F90C7738-AFBE-496B-A3E0-A0A74656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4" name="Imagen 3">
          <a:extLst>
            <a:ext uri="{FF2B5EF4-FFF2-40B4-BE49-F238E27FC236}">
              <a16:creationId xmlns:a16="http://schemas.microsoft.com/office/drawing/2014/main" id="{6CB1B517-1049-4EF0-908E-6355EAD5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5" name="Imagen 3">
          <a:extLst>
            <a:ext uri="{FF2B5EF4-FFF2-40B4-BE49-F238E27FC236}">
              <a16:creationId xmlns:a16="http://schemas.microsoft.com/office/drawing/2014/main" id="{35D404A8-A4CF-4358-9CEB-40BAF12E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6" name="Imagen 3">
          <a:extLst>
            <a:ext uri="{FF2B5EF4-FFF2-40B4-BE49-F238E27FC236}">
              <a16:creationId xmlns:a16="http://schemas.microsoft.com/office/drawing/2014/main" id="{48A1AEB4-4BC1-412A-A35E-AA949B67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7" name="Imagen 3">
          <a:extLst>
            <a:ext uri="{FF2B5EF4-FFF2-40B4-BE49-F238E27FC236}">
              <a16:creationId xmlns:a16="http://schemas.microsoft.com/office/drawing/2014/main" id="{86518E3B-C00D-4AA2-80A4-44208F80B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8" name="Imagen 3">
          <a:extLst>
            <a:ext uri="{FF2B5EF4-FFF2-40B4-BE49-F238E27FC236}">
              <a16:creationId xmlns:a16="http://schemas.microsoft.com/office/drawing/2014/main" id="{1DFD8E4B-2133-4161-84D4-0F05EF0AE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89" name="Imagen 3">
          <a:extLst>
            <a:ext uri="{FF2B5EF4-FFF2-40B4-BE49-F238E27FC236}">
              <a16:creationId xmlns:a16="http://schemas.microsoft.com/office/drawing/2014/main" id="{4402C674-EEF3-499B-B291-63D3F2DF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0" name="Imagen 3">
          <a:extLst>
            <a:ext uri="{FF2B5EF4-FFF2-40B4-BE49-F238E27FC236}">
              <a16:creationId xmlns:a16="http://schemas.microsoft.com/office/drawing/2014/main" id="{2512107C-4A40-4F39-BBD0-FAEBDD9FA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1" name="Imagen 3">
          <a:extLst>
            <a:ext uri="{FF2B5EF4-FFF2-40B4-BE49-F238E27FC236}">
              <a16:creationId xmlns:a16="http://schemas.microsoft.com/office/drawing/2014/main" id="{91608E00-99BE-4E0A-A621-B1111BF2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2" name="Imagen 3">
          <a:extLst>
            <a:ext uri="{FF2B5EF4-FFF2-40B4-BE49-F238E27FC236}">
              <a16:creationId xmlns:a16="http://schemas.microsoft.com/office/drawing/2014/main" id="{21C87CCA-430F-48A3-A100-98C630741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3" name="Imagen 3">
          <a:extLst>
            <a:ext uri="{FF2B5EF4-FFF2-40B4-BE49-F238E27FC236}">
              <a16:creationId xmlns:a16="http://schemas.microsoft.com/office/drawing/2014/main" id="{0D8FC544-DB75-4169-8C18-1996B2CA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4" name="Imagen 3">
          <a:extLst>
            <a:ext uri="{FF2B5EF4-FFF2-40B4-BE49-F238E27FC236}">
              <a16:creationId xmlns:a16="http://schemas.microsoft.com/office/drawing/2014/main" id="{D8008BE6-A0E7-4F55-9CC5-EB7397B4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5" name="Imagen 3">
          <a:extLst>
            <a:ext uri="{FF2B5EF4-FFF2-40B4-BE49-F238E27FC236}">
              <a16:creationId xmlns:a16="http://schemas.microsoft.com/office/drawing/2014/main" id="{E780C254-EE25-45F0-A1EF-8BB56037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6" name="Imagen 3">
          <a:extLst>
            <a:ext uri="{FF2B5EF4-FFF2-40B4-BE49-F238E27FC236}">
              <a16:creationId xmlns:a16="http://schemas.microsoft.com/office/drawing/2014/main" id="{A41C8684-463F-4C63-A2FF-9001091C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7" name="Imagen 3">
          <a:extLst>
            <a:ext uri="{FF2B5EF4-FFF2-40B4-BE49-F238E27FC236}">
              <a16:creationId xmlns:a16="http://schemas.microsoft.com/office/drawing/2014/main" id="{FBBD5868-2D20-4E54-85B8-27493B104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8" name="Imagen 3">
          <a:extLst>
            <a:ext uri="{FF2B5EF4-FFF2-40B4-BE49-F238E27FC236}">
              <a16:creationId xmlns:a16="http://schemas.microsoft.com/office/drawing/2014/main" id="{733B77F5-0060-4353-BEEB-EC20B695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599" name="Imagen 3">
          <a:extLst>
            <a:ext uri="{FF2B5EF4-FFF2-40B4-BE49-F238E27FC236}">
              <a16:creationId xmlns:a16="http://schemas.microsoft.com/office/drawing/2014/main" id="{D93526D7-AA24-4948-874F-BE51AA31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0" name="Imagen 3">
          <a:extLst>
            <a:ext uri="{FF2B5EF4-FFF2-40B4-BE49-F238E27FC236}">
              <a16:creationId xmlns:a16="http://schemas.microsoft.com/office/drawing/2014/main" id="{03F2DE1C-654E-4872-A57E-D905B6ED6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1" name="Imagen 3">
          <a:extLst>
            <a:ext uri="{FF2B5EF4-FFF2-40B4-BE49-F238E27FC236}">
              <a16:creationId xmlns:a16="http://schemas.microsoft.com/office/drawing/2014/main" id="{1B6966F1-9195-4EE1-8C35-4834972B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2" name="Imagen 3">
          <a:extLst>
            <a:ext uri="{FF2B5EF4-FFF2-40B4-BE49-F238E27FC236}">
              <a16:creationId xmlns:a16="http://schemas.microsoft.com/office/drawing/2014/main" id="{FE361980-26BB-4815-AA04-F2441BC2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3" name="Imagen 3">
          <a:extLst>
            <a:ext uri="{FF2B5EF4-FFF2-40B4-BE49-F238E27FC236}">
              <a16:creationId xmlns:a16="http://schemas.microsoft.com/office/drawing/2014/main" id="{0AEF45A1-B906-49A8-B4D5-C46356E1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4" name="Imagen 3">
          <a:extLst>
            <a:ext uri="{FF2B5EF4-FFF2-40B4-BE49-F238E27FC236}">
              <a16:creationId xmlns:a16="http://schemas.microsoft.com/office/drawing/2014/main" id="{61E9D585-A711-46D0-A706-EC0A23556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" cy="7620"/>
    <xdr:pic>
      <xdr:nvPicPr>
        <xdr:cNvPr id="1605" name="Imagen 3">
          <a:extLst>
            <a:ext uri="{FF2B5EF4-FFF2-40B4-BE49-F238E27FC236}">
              <a16:creationId xmlns:a16="http://schemas.microsoft.com/office/drawing/2014/main" id="{9EE2EBE3-B1C6-4FD8-BF36-6047A438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16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3214688</xdr:colOff>
      <xdr:row>1</xdr:row>
      <xdr:rowOff>120930</xdr:rowOff>
    </xdr:from>
    <xdr:to>
      <xdr:col>6</xdr:col>
      <xdr:colOff>740049</xdr:colOff>
      <xdr:row>9</xdr:row>
      <xdr:rowOff>189002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C1791D-6CD1-4CE3-BC7F-7033F9F0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5274">
          <a:off x="5334001" y="478118"/>
          <a:ext cx="2966517" cy="1746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83533C-E0AA-43EA-926E-E29451068D24}" autoFormatId="16" applyNumberFormats="0" applyBorderFormats="0" applyFontFormats="0" applyPatternFormats="0" applyAlignmentFormats="0" applyWidthHeightFormats="0">
  <queryTableRefresh nextId="151">
    <queryTableFields count="7">
      <queryTableField id="1" name="COD. ARTICULO" tableColumnId="1"/>
      <queryTableField id="2" name="DESCRIPCION" tableColumnId="2"/>
      <queryTableField id="3" name="FAMILIA SAP" tableColumnId="3"/>
      <queryTableField id="4" name="CATEGORIA SAP" tableColumnId="4"/>
      <queryTableField id="5" name="CATEGORIA" tableColumnId="5"/>
      <queryTableField id="27" dataBound="0" tableColumnId="7"/>
      <queryTableField id="15" name="LISTA GENERAL" tableColumnId="15"/>
    </queryTableFields>
    <queryTableDeletedFields count="3">
      <deletedField name="DISPONIBLE"/>
      <deletedField name="DISPONIBLE"/>
      <deletedField name="DISPONIB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4D909-1A76-4C5D-8AC7-B60BD91A20D9}" name="Tabla_Hoja_1" displayName="Tabla_Hoja_1" ref="A1:G16906" tableType="queryTable" totalsRowShown="0" headerRowDxfId="18">
  <tableColumns count="7">
    <tableColumn id="1" xr3:uid="{590B4A77-5876-4E8E-890A-23B2146B7F35}" uniqueName="1" name="COD. ARTICULO" queryTableFieldId="1" dataDxfId="12"/>
    <tableColumn id="2" xr3:uid="{A6684B06-711E-4C94-9B21-5D6FF551C63B}" uniqueName="2" name="DESCRIPCION" queryTableFieldId="2" dataDxfId="11"/>
    <tableColumn id="3" xr3:uid="{AC10AD80-472D-4AC8-9F5A-820FEA75A0B2}" uniqueName="3" name="FAMILIA SAP" queryTableFieldId="3" dataDxfId="17"/>
    <tableColumn id="4" xr3:uid="{C09A8749-2C48-4C92-9D00-6295EB7336EC}" uniqueName="4" name="CATEGORIA SAP" queryTableFieldId="4" dataDxfId="16"/>
    <tableColumn id="5" xr3:uid="{111A8310-DBDF-45A4-820F-FF9003DD1F30}" uniqueName="5" name="CATEGORIA" queryTableFieldId="5" dataDxfId="15"/>
    <tableColumn id="7" xr3:uid="{18F99D9A-899B-4C46-BE6C-471591C4B0FC}" uniqueName="7" name="Status" queryTableFieldId="27" dataDxfId="14"/>
    <tableColumn id="15" xr3:uid="{C0F63C21-EACB-4277-A964-44E32B981C23}" uniqueName="15" name="LISTA GENERAL" queryTableFieldId="15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A237-49B4-41D8-80D5-2ACA58EEACC7}">
  <sheetPr codeName="Hoja1">
    <pageSetUpPr fitToPage="1"/>
  </sheetPr>
  <dimension ref="A1:P61"/>
  <sheetViews>
    <sheetView showGridLines="0" tabSelected="1" zoomScale="80" zoomScaleNormal="80" workbookViewId="0">
      <selection activeCell="C4" sqref="C4"/>
    </sheetView>
  </sheetViews>
  <sheetFormatPr baseColWidth="10" defaultColWidth="11.42578125" defaultRowHeight="15" x14ac:dyDescent="0.25"/>
  <cols>
    <col min="1" max="1" width="4.28515625" style="7" customWidth="1"/>
    <col min="2" max="2" width="27.42578125" style="7" customWidth="1"/>
    <col min="3" max="3" width="49" style="7" customWidth="1"/>
    <col min="4" max="4" width="13.85546875" style="7" customWidth="1"/>
    <col min="5" max="5" width="7.140625" style="7" customWidth="1"/>
    <col min="6" max="6" width="11.5703125" style="7" customWidth="1"/>
    <col min="7" max="7" width="14.85546875" style="7" customWidth="1"/>
    <col min="8" max="8" width="11.5703125" style="7" customWidth="1"/>
    <col min="9" max="9" width="18.5703125" style="7" customWidth="1"/>
    <col min="10" max="11" width="11.5703125" style="8" hidden="1"/>
    <col min="12" max="12" width="9.28515625" style="8" hidden="1"/>
    <col min="13" max="13" width="12.85546875" style="8" customWidth="1"/>
    <col min="14" max="14" width="19.7109375" style="22" customWidth="1"/>
    <col min="15" max="15" width="21.85546875" style="7" customWidth="1"/>
    <col min="16" max="16" width="3.42578125" style="7" customWidth="1"/>
  </cols>
  <sheetData>
    <row r="1" spans="1:16" ht="27.75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 t="s">
        <v>0</v>
      </c>
      <c r="P1" s="6"/>
    </row>
    <row r="2" spans="1:16" x14ac:dyDescent="0.25">
      <c r="N2" s="9" t="s">
        <v>1</v>
      </c>
      <c r="O2" s="10">
        <f ca="1">TODAY()</f>
        <v>46220</v>
      </c>
    </row>
    <row r="3" spans="1:16" ht="20.25" x14ac:dyDescent="0.25">
      <c r="E3" s="11"/>
      <c r="N3" s="12" t="s">
        <v>2</v>
      </c>
      <c r="O3" s="13"/>
    </row>
    <row r="4" spans="1:16" ht="20.25" x14ac:dyDescent="0.25">
      <c r="N4" s="14" t="s">
        <v>3</v>
      </c>
      <c r="O4" s="15"/>
    </row>
    <row r="5" spans="1:16" x14ac:dyDescent="0.25">
      <c r="N5" s="16"/>
      <c r="O5" s="17"/>
    </row>
    <row r="6" spans="1:16" x14ac:dyDescent="0.25">
      <c r="A6" s="18" t="s">
        <v>4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9"/>
      <c r="O6" s="20"/>
    </row>
    <row r="7" spans="1:16" x14ac:dyDescent="0.25">
      <c r="A7" s="21"/>
    </row>
    <row r="8" spans="1:16" ht="15.75" thickBot="1" x14ac:dyDescent="0.3">
      <c r="B8" s="23" t="s">
        <v>5</v>
      </c>
      <c r="C8" s="24"/>
    </row>
    <row r="9" spans="1:16" x14ac:dyDescent="0.25">
      <c r="B9" s="23" t="s">
        <v>6</v>
      </c>
      <c r="C9" s="25"/>
      <c r="F9" s="26" t="s">
        <v>7</v>
      </c>
      <c r="G9" s="27"/>
      <c r="H9" s="28" t="s">
        <v>8</v>
      </c>
      <c r="I9" s="28"/>
      <c r="J9" s="28"/>
      <c r="K9" s="28"/>
      <c r="L9" s="28"/>
      <c r="M9" s="28"/>
      <c r="N9" s="29"/>
    </row>
    <row r="10" spans="1:16" x14ac:dyDescent="0.25">
      <c r="B10" s="23" t="s">
        <v>9</v>
      </c>
      <c r="C10" s="30"/>
      <c r="F10" s="31" t="s">
        <v>10</v>
      </c>
      <c r="G10" s="32"/>
      <c r="H10" s="33" t="s">
        <v>8</v>
      </c>
      <c r="I10" s="33"/>
      <c r="J10" s="33"/>
      <c r="K10" s="33"/>
      <c r="L10" s="33"/>
      <c r="M10" s="33"/>
      <c r="N10" s="34"/>
    </row>
    <row r="11" spans="1:16" x14ac:dyDescent="0.25">
      <c r="A11" s="21"/>
      <c r="B11" s="22"/>
      <c r="F11" s="31" t="s">
        <v>11</v>
      </c>
      <c r="G11" s="35"/>
      <c r="H11" s="33" t="s">
        <v>8</v>
      </c>
      <c r="I11" s="33"/>
      <c r="J11" s="33"/>
      <c r="K11" s="33"/>
      <c r="L11" s="33"/>
      <c r="M11" s="33"/>
      <c r="N11" s="34"/>
    </row>
    <row r="12" spans="1:16" ht="15.75" thickBot="1" x14ac:dyDescent="0.3">
      <c r="B12" s="36" t="s">
        <v>12</v>
      </c>
      <c r="D12" s="127"/>
      <c r="E12" s="37"/>
      <c r="F12" s="38" t="s">
        <v>13</v>
      </c>
      <c r="G12" s="39"/>
      <c r="H12" s="40" t="s">
        <v>8</v>
      </c>
      <c r="I12"/>
      <c r="J12" s="40"/>
      <c r="K12" s="40"/>
      <c r="L12" s="40"/>
      <c r="M12" s="40"/>
      <c r="N12" s="41"/>
      <c r="O12" s="37"/>
    </row>
    <row r="13" spans="1:16" x14ac:dyDescent="0.25">
      <c r="B13" s="42" t="s">
        <v>14</v>
      </c>
      <c r="C13" s="42"/>
      <c r="D13" s="127"/>
      <c r="E13" s="43"/>
      <c r="F13" s="43"/>
      <c r="G13" s="43"/>
      <c r="H13" s="43"/>
      <c r="I13" s="43"/>
      <c r="J13" s="44"/>
      <c r="K13" s="44"/>
      <c r="L13" s="44"/>
      <c r="M13" s="44"/>
      <c r="N13" s="43"/>
      <c r="O13" s="43"/>
    </row>
    <row r="14" spans="1:16" x14ac:dyDescent="0.25">
      <c r="B14" s="36"/>
      <c r="N14" s="45"/>
    </row>
    <row r="15" spans="1:16" x14ac:dyDescent="0.25">
      <c r="A15" s="18" t="s">
        <v>15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9"/>
      <c r="O15" s="20"/>
    </row>
    <row r="16" spans="1:16" x14ac:dyDescent="0.25">
      <c r="B16" s="46"/>
    </row>
    <row r="17" spans="1:16" x14ac:dyDescent="0.25">
      <c r="B17" s="47" t="s">
        <v>16</v>
      </c>
      <c r="C17" s="48"/>
      <c r="E17" s="47" t="s">
        <v>17</v>
      </c>
      <c r="N17" s="36"/>
    </row>
    <row r="18" spans="1:16" x14ac:dyDescent="0.25">
      <c r="B18" s="49" t="s">
        <v>18</v>
      </c>
      <c r="C18" s="30"/>
      <c r="F18" s="50" t="s">
        <v>19</v>
      </c>
      <c r="G18" s="51"/>
      <c r="H18" s="51"/>
      <c r="I18" s="51"/>
      <c r="N18" s="36"/>
    </row>
    <row r="19" spans="1:16" x14ac:dyDescent="0.25">
      <c r="B19" s="49" t="s">
        <v>20</v>
      </c>
      <c r="C19" s="52"/>
      <c r="F19" s="50" t="s">
        <v>21</v>
      </c>
      <c r="G19" s="52"/>
      <c r="H19" s="52"/>
      <c r="I19" s="52"/>
      <c r="N19" s="53"/>
    </row>
    <row r="20" spans="1:16" x14ac:dyDescent="0.25">
      <c r="B20" s="54" t="s">
        <v>22</v>
      </c>
      <c r="C20" s="55"/>
      <c r="F20" s="56" t="s">
        <v>23</v>
      </c>
      <c r="G20" s="55"/>
      <c r="H20" s="55"/>
      <c r="I20" s="55"/>
      <c r="N20" s="36"/>
    </row>
    <row r="21" spans="1:16" x14ac:dyDescent="0.25">
      <c r="B21" s="46"/>
      <c r="C21" s="57"/>
    </row>
    <row r="22" spans="1:16" x14ac:dyDescent="0.25">
      <c r="A22" s="24" t="s">
        <v>24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/>
      <c r="O22" s="20"/>
    </row>
    <row r="24" spans="1:16" ht="39.6" customHeight="1" x14ac:dyDescent="0.25">
      <c r="A24" s="58" t="s">
        <v>25</v>
      </c>
      <c r="B24" s="59" t="s">
        <v>26</v>
      </c>
      <c r="C24" s="60" t="s">
        <v>27</v>
      </c>
      <c r="D24" s="61" t="s">
        <v>28</v>
      </c>
      <c r="E24" s="60" t="s">
        <v>29</v>
      </c>
      <c r="F24" s="60" t="s">
        <v>30</v>
      </c>
      <c r="G24" s="60" t="s">
        <v>31</v>
      </c>
      <c r="H24" s="62" t="s">
        <v>32</v>
      </c>
      <c r="I24" s="63" t="s">
        <v>33</v>
      </c>
      <c r="J24" s="64" t="s">
        <v>34</v>
      </c>
      <c r="K24" s="65" t="s">
        <v>35</v>
      </c>
      <c r="L24" s="65" t="s">
        <v>36</v>
      </c>
      <c r="M24" s="66" t="s">
        <v>37</v>
      </c>
      <c r="N24" s="67" t="s">
        <v>38</v>
      </c>
      <c r="O24" s="67" t="s">
        <v>39</v>
      </c>
      <c r="P24" s="68"/>
    </row>
    <row r="25" spans="1:16" ht="14.25" customHeight="1" x14ac:dyDescent="0.25">
      <c r="A25" s="69">
        <v>1</v>
      </c>
      <c r="B25" s="122"/>
      <c r="C25" s="70" t="str">
        <f>IFERROR(VLOOKUP(B25,'Lista de Productos'!A:B,2,FALSE)," ")</f>
        <v xml:space="preserve"> </v>
      </c>
      <c r="D25" s="71" t="str">
        <f>IFERROR(VLOOKUP(B25,Tabla_Hoja_1[#All],7,0),"")</f>
        <v/>
      </c>
      <c r="E25" s="72"/>
      <c r="F25" s="73"/>
      <c r="G25" s="73"/>
      <c r="H25" s="74" t="str">
        <f>IFERROR(FIXED(((1-((1-F25%)*(1-G25%)))*100),2)," ")</f>
        <v>0.00</v>
      </c>
      <c r="I25" s="75" t="str">
        <f t="shared" ref="I25:I49" si="0">IFERROR((E25*(D25*(1-H25%)))," ")</f>
        <v xml:space="preserve"> </v>
      </c>
      <c r="J25" s="76" t="str">
        <f>IFERROR((D25*E25), " ")</f>
        <v xml:space="preserve"> </v>
      </c>
      <c r="K25" s="76" t="str">
        <f>IFERROR((D25*F25%)*E25," ")</f>
        <v xml:space="preserve"> </v>
      </c>
      <c r="L25" s="76" t="str">
        <f>IFERROR(((J25-K25)*G25%), " ")</f>
        <v xml:space="preserve"> </v>
      </c>
      <c r="M25" s="77" t="str">
        <f>IFERROR(VLOOKUP(B25,Tabla_Hoja_1[#All],6,0)," ")</f>
        <v xml:space="preserve"> </v>
      </c>
      <c r="N25" s="70" t="str">
        <f>IFERROR(VLOOKUP(B25,'Lista de Productos'!A:C,3,FALSE)," ")</f>
        <v xml:space="preserve"> </v>
      </c>
      <c r="O25" s="78"/>
      <c r="P25" s="48"/>
    </row>
    <row r="26" spans="1:16" x14ac:dyDescent="0.25">
      <c r="A26" s="69">
        <v>2</v>
      </c>
      <c r="B26" s="121"/>
      <c r="C26" s="70" t="str">
        <f>IFERROR(VLOOKUP(B26,'Lista de Productos'!A:B,2,FALSE)," ")</f>
        <v xml:space="preserve"> </v>
      </c>
      <c r="D26" s="71" t="str">
        <f>IFERROR(VLOOKUP(B26,Tabla_Hoja_1[#All],7,0),"")</f>
        <v/>
      </c>
      <c r="E26" s="72"/>
      <c r="F26" s="73"/>
      <c r="G26" s="73"/>
      <c r="H26" s="74" t="str">
        <f t="shared" ref="H26:H49" si="1">IFERROR(FIXED(((1-((1-F26%)*(1-G26%)))*100),2)," ")</f>
        <v>0.00</v>
      </c>
      <c r="I26" s="75" t="str">
        <f t="shared" si="0"/>
        <v xml:space="preserve"> </v>
      </c>
      <c r="J26" s="76" t="str">
        <f t="shared" ref="J26:J49" si="2">IFERROR((D26*E26), " ")</f>
        <v xml:space="preserve"> </v>
      </c>
      <c r="K26" s="76" t="str">
        <f t="shared" ref="K26:K49" si="3">IFERROR((D26*F26%)*E26," ")</f>
        <v xml:space="preserve"> </v>
      </c>
      <c r="L26" s="76" t="str">
        <f t="shared" ref="L26:L49" si="4">IFERROR(((J26-K26)*G26%), " ")</f>
        <v xml:space="preserve"> </v>
      </c>
      <c r="M26" s="77" t="str">
        <f>IFERROR(VLOOKUP(B26,Tabla_Hoja_1[#All],6,0)," ")</f>
        <v xml:space="preserve"> </v>
      </c>
      <c r="N26" s="70" t="str">
        <f>IFERROR(VLOOKUP(B26,'Lista de Productos'!A:C,3,FALSE)," ")</f>
        <v xml:space="preserve"> </v>
      </c>
      <c r="O26" s="78"/>
      <c r="P26" s="48"/>
    </row>
    <row r="27" spans="1:16" x14ac:dyDescent="0.25">
      <c r="A27" s="69">
        <v>3</v>
      </c>
      <c r="B27" s="121"/>
      <c r="C27" s="70" t="str">
        <f>IFERROR(VLOOKUP(B27,'Lista de Productos'!A:B,2,FALSE)," ")</f>
        <v xml:space="preserve"> </v>
      </c>
      <c r="D27" s="71" t="str">
        <f>IFERROR(VLOOKUP(B27,Tabla_Hoja_1[#All],7,0),"")</f>
        <v/>
      </c>
      <c r="E27" s="72"/>
      <c r="F27" s="73"/>
      <c r="G27" s="73"/>
      <c r="H27" s="74" t="str">
        <f t="shared" si="1"/>
        <v>0.00</v>
      </c>
      <c r="I27" s="75" t="str">
        <f t="shared" si="0"/>
        <v xml:space="preserve"> </v>
      </c>
      <c r="J27" s="76" t="str">
        <f t="shared" si="2"/>
        <v xml:space="preserve"> </v>
      </c>
      <c r="K27" s="76" t="str">
        <f t="shared" si="3"/>
        <v xml:space="preserve"> </v>
      </c>
      <c r="L27" s="76" t="str">
        <f t="shared" si="4"/>
        <v xml:space="preserve"> </v>
      </c>
      <c r="M27" s="77" t="str">
        <f>IFERROR(VLOOKUP(B27,Tabla_Hoja_1[#All],6,0)," ")</f>
        <v xml:space="preserve"> </v>
      </c>
      <c r="N27" s="70" t="str">
        <f>IFERROR(VLOOKUP(B27,'Lista de Productos'!A:C,3,FALSE)," ")</f>
        <v xml:space="preserve"> </v>
      </c>
      <c r="O27" s="78"/>
      <c r="P27" s="48"/>
    </row>
    <row r="28" spans="1:16" x14ac:dyDescent="0.25">
      <c r="A28" s="69">
        <v>4</v>
      </c>
      <c r="B28" s="121"/>
      <c r="C28" s="70" t="str">
        <f>IFERROR(VLOOKUP(B28,'Lista de Productos'!A:B,2,FALSE)," ")</f>
        <v xml:space="preserve"> </v>
      </c>
      <c r="D28" s="71" t="str">
        <f>IFERROR(VLOOKUP(B28,Tabla_Hoja_1[#All],7,0),"")</f>
        <v/>
      </c>
      <c r="E28" s="72"/>
      <c r="F28" s="73"/>
      <c r="G28" s="73"/>
      <c r="H28" s="74" t="str">
        <f t="shared" si="1"/>
        <v>0.00</v>
      </c>
      <c r="I28" s="75" t="str">
        <f t="shared" si="0"/>
        <v xml:space="preserve"> </v>
      </c>
      <c r="J28" s="76" t="str">
        <f t="shared" si="2"/>
        <v xml:space="preserve"> </v>
      </c>
      <c r="K28" s="76" t="str">
        <f t="shared" si="3"/>
        <v xml:space="preserve"> </v>
      </c>
      <c r="L28" s="76" t="str">
        <f t="shared" si="4"/>
        <v xml:space="preserve"> </v>
      </c>
      <c r="M28" s="77" t="str">
        <f>IFERROR(VLOOKUP(B28,Tabla_Hoja_1[#All],6,0)," ")</f>
        <v xml:space="preserve"> </v>
      </c>
      <c r="N28" s="70" t="str">
        <f>IFERROR(VLOOKUP(B28,'Lista de Productos'!A:C,3,FALSE)," ")</f>
        <v xml:space="preserve"> </v>
      </c>
      <c r="O28" s="78"/>
      <c r="P28" s="48"/>
    </row>
    <row r="29" spans="1:16" x14ac:dyDescent="0.25">
      <c r="A29" s="69">
        <v>5</v>
      </c>
      <c r="B29" s="121"/>
      <c r="C29" s="70" t="str">
        <f>IFERROR(VLOOKUP(B29,'Lista de Productos'!A:B,2,FALSE)," ")</f>
        <v xml:space="preserve"> </v>
      </c>
      <c r="D29" s="71" t="str">
        <f>IFERROR(VLOOKUP(B29,Tabla_Hoja_1[#All],7,0),"")</f>
        <v/>
      </c>
      <c r="E29" s="72"/>
      <c r="F29" s="73"/>
      <c r="G29" s="73"/>
      <c r="H29" s="74" t="str">
        <f t="shared" si="1"/>
        <v>0.00</v>
      </c>
      <c r="I29" s="75" t="str">
        <f t="shared" si="0"/>
        <v xml:space="preserve"> </v>
      </c>
      <c r="J29" s="76" t="str">
        <f t="shared" si="2"/>
        <v xml:space="preserve"> </v>
      </c>
      <c r="K29" s="76" t="str">
        <f t="shared" si="3"/>
        <v xml:space="preserve"> </v>
      </c>
      <c r="L29" s="76" t="str">
        <f t="shared" si="4"/>
        <v xml:space="preserve"> </v>
      </c>
      <c r="M29" s="77" t="str">
        <f>IFERROR(VLOOKUP(B29,Tabla_Hoja_1[#All],6,0)," ")</f>
        <v xml:space="preserve"> </v>
      </c>
      <c r="N29" s="70" t="str">
        <f>IFERROR(VLOOKUP(B29,'Lista de Productos'!A:C,3,FALSE)," ")</f>
        <v xml:space="preserve"> </v>
      </c>
      <c r="O29" s="78"/>
      <c r="P29" s="48"/>
    </row>
    <row r="30" spans="1:16" x14ac:dyDescent="0.25">
      <c r="A30" s="69">
        <v>6</v>
      </c>
      <c r="B30" s="121"/>
      <c r="C30" s="70" t="str">
        <f>IFERROR(VLOOKUP(B30,'Lista de Productos'!A:B,2,FALSE)," ")</f>
        <v xml:space="preserve"> </v>
      </c>
      <c r="D30" s="71" t="str">
        <f>IFERROR(VLOOKUP(B30,Tabla_Hoja_1[#All],7,0),"")</f>
        <v/>
      </c>
      <c r="E30" s="72"/>
      <c r="F30" s="73"/>
      <c r="G30" s="73"/>
      <c r="H30" s="74" t="str">
        <f t="shared" si="1"/>
        <v>0.00</v>
      </c>
      <c r="I30" s="75" t="str">
        <f t="shared" si="0"/>
        <v xml:space="preserve"> </v>
      </c>
      <c r="J30" s="76" t="str">
        <f t="shared" si="2"/>
        <v xml:space="preserve"> </v>
      </c>
      <c r="K30" s="76" t="str">
        <f t="shared" si="3"/>
        <v xml:space="preserve"> </v>
      </c>
      <c r="L30" s="76" t="str">
        <f t="shared" si="4"/>
        <v xml:space="preserve"> </v>
      </c>
      <c r="M30" s="77" t="str">
        <f>IFERROR(VLOOKUP(B30,Tabla_Hoja_1[#All],6,0)," ")</f>
        <v xml:space="preserve"> </v>
      </c>
      <c r="N30" s="70" t="str">
        <f>IFERROR(VLOOKUP(B30,'Lista de Productos'!A:C,3,FALSE)," ")</f>
        <v xml:space="preserve"> </v>
      </c>
      <c r="O30" s="78"/>
      <c r="P30" s="48"/>
    </row>
    <row r="31" spans="1:16" x14ac:dyDescent="0.25">
      <c r="A31" s="69">
        <v>7</v>
      </c>
      <c r="B31" s="121"/>
      <c r="C31" s="70" t="str">
        <f>IFERROR(VLOOKUP(B31,'Lista de Productos'!A:B,2,FALSE)," ")</f>
        <v xml:space="preserve"> </v>
      </c>
      <c r="D31" s="71" t="str">
        <f>IFERROR(VLOOKUP(B31,Tabla_Hoja_1[#All],7,0),"")</f>
        <v/>
      </c>
      <c r="E31" s="72"/>
      <c r="F31" s="73"/>
      <c r="G31" s="73"/>
      <c r="H31" s="74" t="str">
        <f t="shared" si="1"/>
        <v>0.00</v>
      </c>
      <c r="I31" s="75" t="str">
        <f t="shared" si="0"/>
        <v xml:space="preserve"> </v>
      </c>
      <c r="J31" s="76" t="str">
        <f t="shared" si="2"/>
        <v xml:space="preserve"> </v>
      </c>
      <c r="K31" s="76" t="str">
        <f t="shared" si="3"/>
        <v xml:space="preserve"> </v>
      </c>
      <c r="L31" s="76" t="str">
        <f t="shared" si="4"/>
        <v xml:space="preserve"> </v>
      </c>
      <c r="M31" s="77" t="str">
        <f>IFERROR(VLOOKUP(B31,Tabla_Hoja_1[#All],6,0)," ")</f>
        <v xml:space="preserve"> </v>
      </c>
      <c r="N31" s="70" t="str">
        <f>IFERROR(VLOOKUP(B31,'Lista de Productos'!A:C,3,FALSE)," ")</f>
        <v xml:space="preserve"> </v>
      </c>
      <c r="O31" s="78"/>
      <c r="P31" s="48"/>
    </row>
    <row r="32" spans="1:16" x14ac:dyDescent="0.25">
      <c r="A32" s="69">
        <v>8</v>
      </c>
      <c r="B32" s="121"/>
      <c r="C32" s="70" t="str">
        <f>IFERROR(VLOOKUP(B32,'Lista de Productos'!A:B,2,FALSE)," ")</f>
        <v xml:space="preserve"> </v>
      </c>
      <c r="D32" s="71" t="str">
        <f>IFERROR(VLOOKUP(B32,Tabla_Hoja_1[#All],7,0),"")</f>
        <v/>
      </c>
      <c r="E32" s="72"/>
      <c r="F32" s="73"/>
      <c r="G32" s="73"/>
      <c r="H32" s="74" t="str">
        <f t="shared" si="1"/>
        <v>0.00</v>
      </c>
      <c r="I32" s="75" t="str">
        <f t="shared" si="0"/>
        <v xml:space="preserve"> </v>
      </c>
      <c r="J32" s="76" t="str">
        <f t="shared" si="2"/>
        <v xml:space="preserve"> </v>
      </c>
      <c r="K32" s="76" t="str">
        <f t="shared" si="3"/>
        <v xml:space="preserve"> </v>
      </c>
      <c r="L32" s="76" t="str">
        <f t="shared" si="4"/>
        <v xml:space="preserve"> </v>
      </c>
      <c r="M32" s="77" t="str">
        <f>IFERROR(VLOOKUP(B32,Tabla_Hoja_1[#All],6,0)," ")</f>
        <v xml:space="preserve"> </v>
      </c>
      <c r="N32" s="70" t="str">
        <f>IFERROR(VLOOKUP(B32,'Lista de Productos'!A:C,3,FALSE)," ")</f>
        <v xml:space="preserve"> </v>
      </c>
      <c r="O32" s="78"/>
      <c r="P32" s="48"/>
    </row>
    <row r="33" spans="1:16" x14ac:dyDescent="0.25">
      <c r="A33" s="69">
        <v>9</v>
      </c>
      <c r="B33" s="121"/>
      <c r="C33" s="70" t="str">
        <f>IFERROR(VLOOKUP(B33,'Lista de Productos'!A:B,2,FALSE)," ")</f>
        <v xml:space="preserve"> </v>
      </c>
      <c r="D33" s="71" t="str">
        <f>IFERROR(VLOOKUP(B33,Tabla_Hoja_1[#All],7,0),"")</f>
        <v/>
      </c>
      <c r="E33" s="72"/>
      <c r="F33" s="73"/>
      <c r="G33" s="73"/>
      <c r="H33" s="74" t="str">
        <f t="shared" si="1"/>
        <v>0.00</v>
      </c>
      <c r="I33" s="75" t="str">
        <f t="shared" si="0"/>
        <v xml:space="preserve"> </v>
      </c>
      <c r="J33" s="76" t="str">
        <f t="shared" si="2"/>
        <v xml:space="preserve"> </v>
      </c>
      <c r="K33" s="76" t="str">
        <f t="shared" si="3"/>
        <v xml:space="preserve"> </v>
      </c>
      <c r="L33" s="76" t="str">
        <f t="shared" si="4"/>
        <v xml:space="preserve"> </v>
      </c>
      <c r="M33" s="77" t="str">
        <f>IFERROR(VLOOKUP(B33,Tabla_Hoja_1[#All],6,0)," ")</f>
        <v xml:space="preserve"> </v>
      </c>
      <c r="N33" s="70" t="str">
        <f>IFERROR(VLOOKUP(B33,'Lista de Productos'!A:C,3,FALSE)," ")</f>
        <v xml:space="preserve"> </v>
      </c>
      <c r="O33" s="78"/>
      <c r="P33" s="48"/>
    </row>
    <row r="34" spans="1:16" x14ac:dyDescent="0.25">
      <c r="A34" s="69">
        <v>10</v>
      </c>
      <c r="B34" s="121"/>
      <c r="C34" s="70" t="str">
        <f>IFERROR(VLOOKUP(B34,'Lista de Productos'!A:B,2,FALSE)," ")</f>
        <v xml:space="preserve"> </v>
      </c>
      <c r="D34" s="71" t="str">
        <f>IFERROR(VLOOKUP(B34,Tabla_Hoja_1[#All],7,0),"")</f>
        <v/>
      </c>
      <c r="E34" s="72"/>
      <c r="F34" s="73"/>
      <c r="G34" s="73"/>
      <c r="H34" s="74" t="str">
        <f t="shared" si="1"/>
        <v>0.00</v>
      </c>
      <c r="I34" s="75" t="str">
        <f t="shared" si="0"/>
        <v xml:space="preserve"> </v>
      </c>
      <c r="J34" s="76" t="str">
        <f t="shared" si="2"/>
        <v xml:space="preserve"> </v>
      </c>
      <c r="K34" s="76" t="str">
        <f t="shared" si="3"/>
        <v xml:space="preserve"> </v>
      </c>
      <c r="L34" s="76" t="str">
        <f t="shared" si="4"/>
        <v xml:space="preserve"> </v>
      </c>
      <c r="M34" s="77" t="str">
        <f>IFERROR(VLOOKUP(B34,Tabla_Hoja_1[#All],6,0)," ")</f>
        <v xml:space="preserve"> </v>
      </c>
      <c r="N34" s="70" t="str">
        <f>IFERROR(VLOOKUP(B34,'Lista de Productos'!A:C,3,FALSE)," ")</f>
        <v xml:space="preserve"> </v>
      </c>
      <c r="O34" s="78"/>
      <c r="P34" s="48"/>
    </row>
    <row r="35" spans="1:16" x14ac:dyDescent="0.25">
      <c r="A35" s="69">
        <v>11</v>
      </c>
      <c r="B35" s="79"/>
      <c r="C35" s="70" t="str">
        <f>IFERROR(VLOOKUP(B35,'Lista de Productos'!A:B,2,FALSE)," ")</f>
        <v xml:space="preserve"> </v>
      </c>
      <c r="D35" s="71" t="str">
        <f>IFERROR(VLOOKUP(B35,Tabla_Hoja_1[#All],7,0),"")</f>
        <v/>
      </c>
      <c r="E35" s="72"/>
      <c r="F35" s="73"/>
      <c r="G35" s="73"/>
      <c r="H35" s="74" t="str">
        <f t="shared" si="1"/>
        <v>0.00</v>
      </c>
      <c r="I35" s="75" t="str">
        <f t="shared" si="0"/>
        <v xml:space="preserve"> </v>
      </c>
      <c r="J35" s="76" t="str">
        <f t="shared" si="2"/>
        <v xml:space="preserve"> </v>
      </c>
      <c r="K35" s="76" t="str">
        <f t="shared" si="3"/>
        <v xml:space="preserve"> </v>
      </c>
      <c r="L35" s="76" t="str">
        <f t="shared" si="4"/>
        <v xml:space="preserve"> </v>
      </c>
      <c r="M35" s="77" t="str">
        <f>IFERROR(VLOOKUP(B35,Tabla_Hoja_1[#All],6,0)," ")</f>
        <v xml:space="preserve"> </v>
      </c>
      <c r="N35" s="70" t="str">
        <f>IFERROR(VLOOKUP(B35,'Lista de Productos'!A:C,3,FALSE)," ")</f>
        <v xml:space="preserve"> </v>
      </c>
      <c r="O35" s="78"/>
      <c r="P35" s="48"/>
    </row>
    <row r="36" spans="1:16" x14ac:dyDescent="0.25">
      <c r="A36" s="69">
        <v>12</v>
      </c>
      <c r="B36" s="79"/>
      <c r="C36" s="70" t="str">
        <f>IFERROR(VLOOKUP(B36,'Lista de Productos'!A:B,2,FALSE)," ")</f>
        <v xml:space="preserve"> </v>
      </c>
      <c r="D36" s="71" t="str">
        <f>IFERROR(VLOOKUP(B36,Tabla_Hoja_1[#All],7,0),"")</f>
        <v/>
      </c>
      <c r="E36" s="72"/>
      <c r="F36" s="73"/>
      <c r="G36" s="73"/>
      <c r="H36" s="74" t="str">
        <f t="shared" si="1"/>
        <v>0.00</v>
      </c>
      <c r="I36" s="75" t="str">
        <f t="shared" si="0"/>
        <v xml:space="preserve"> </v>
      </c>
      <c r="J36" s="76" t="str">
        <f t="shared" si="2"/>
        <v xml:space="preserve"> </v>
      </c>
      <c r="K36" s="76" t="str">
        <f t="shared" si="3"/>
        <v xml:space="preserve"> </v>
      </c>
      <c r="L36" s="76" t="str">
        <f t="shared" si="4"/>
        <v xml:space="preserve"> </v>
      </c>
      <c r="M36" s="77" t="str">
        <f>IFERROR(VLOOKUP(B36,Tabla_Hoja_1[#All],6,0)," ")</f>
        <v xml:space="preserve"> </v>
      </c>
      <c r="N36" s="70" t="str">
        <f>IFERROR(VLOOKUP(B36,'Lista de Productos'!A:C,3,FALSE)," ")</f>
        <v xml:space="preserve"> </v>
      </c>
      <c r="O36" s="78"/>
      <c r="P36" s="48"/>
    </row>
    <row r="37" spans="1:16" x14ac:dyDescent="0.25">
      <c r="A37" s="69">
        <v>13</v>
      </c>
      <c r="B37" s="79"/>
      <c r="C37" s="70" t="str">
        <f>IFERROR(VLOOKUP(B37,'Lista de Productos'!A:B,2,FALSE)," ")</f>
        <v xml:space="preserve"> </v>
      </c>
      <c r="D37" s="71" t="str">
        <f>IFERROR(VLOOKUP(B37,Tabla_Hoja_1[#All],7,0),"")</f>
        <v/>
      </c>
      <c r="E37" s="72"/>
      <c r="F37" s="73"/>
      <c r="G37" s="73"/>
      <c r="H37" s="74" t="str">
        <f t="shared" si="1"/>
        <v>0.00</v>
      </c>
      <c r="I37" s="75" t="str">
        <f t="shared" si="0"/>
        <v xml:space="preserve"> </v>
      </c>
      <c r="J37" s="76" t="str">
        <f t="shared" si="2"/>
        <v xml:space="preserve"> </v>
      </c>
      <c r="K37" s="76" t="str">
        <f t="shared" si="3"/>
        <v xml:space="preserve"> </v>
      </c>
      <c r="L37" s="76" t="str">
        <f t="shared" si="4"/>
        <v xml:space="preserve"> </v>
      </c>
      <c r="M37" s="77" t="str">
        <f>IFERROR(VLOOKUP(B37,Tabla_Hoja_1[#All],6,0)," ")</f>
        <v xml:space="preserve"> </v>
      </c>
      <c r="N37" s="70" t="str">
        <f>IFERROR(VLOOKUP(B37,'Lista de Productos'!A:C,3,FALSE)," ")</f>
        <v xml:space="preserve"> </v>
      </c>
      <c r="O37" s="78"/>
      <c r="P37" s="48"/>
    </row>
    <row r="38" spans="1:16" x14ac:dyDescent="0.25">
      <c r="A38" s="69">
        <v>14</v>
      </c>
      <c r="B38" s="79"/>
      <c r="C38" s="70" t="str">
        <f>IFERROR(VLOOKUP(B38,'Lista de Productos'!A:B,2,FALSE)," ")</f>
        <v xml:space="preserve"> </v>
      </c>
      <c r="D38" s="71" t="str">
        <f>IFERROR(VLOOKUP(B38,Tabla_Hoja_1[#All],7,0),"")</f>
        <v/>
      </c>
      <c r="E38" s="72"/>
      <c r="F38" s="73"/>
      <c r="G38" s="73"/>
      <c r="H38" s="74" t="str">
        <f t="shared" si="1"/>
        <v>0.00</v>
      </c>
      <c r="I38" s="75" t="str">
        <f t="shared" si="0"/>
        <v xml:space="preserve"> </v>
      </c>
      <c r="J38" s="76" t="str">
        <f t="shared" si="2"/>
        <v xml:space="preserve"> </v>
      </c>
      <c r="K38" s="76" t="str">
        <f t="shared" si="3"/>
        <v xml:space="preserve"> </v>
      </c>
      <c r="L38" s="76" t="str">
        <f t="shared" si="4"/>
        <v xml:space="preserve"> </v>
      </c>
      <c r="M38" s="77" t="str">
        <f>IFERROR(VLOOKUP(B38,Tabla_Hoja_1[#All],6,0)," ")</f>
        <v xml:space="preserve"> </v>
      </c>
      <c r="N38" s="70" t="str">
        <f>IFERROR(VLOOKUP(B38,'Lista de Productos'!A:C,3,FALSE)," ")</f>
        <v xml:space="preserve"> </v>
      </c>
      <c r="O38" s="78"/>
      <c r="P38" s="48"/>
    </row>
    <row r="39" spans="1:16" x14ac:dyDescent="0.25">
      <c r="A39" s="69">
        <v>15</v>
      </c>
      <c r="B39" s="79"/>
      <c r="C39" s="70" t="str">
        <f>IFERROR(VLOOKUP(B39,'Lista de Productos'!A:B,2,FALSE)," ")</f>
        <v xml:space="preserve"> </v>
      </c>
      <c r="D39" s="71" t="str">
        <f>IFERROR(VLOOKUP(B39,Tabla_Hoja_1[#All],7,0),"")</f>
        <v/>
      </c>
      <c r="E39" s="72"/>
      <c r="F39" s="73"/>
      <c r="G39" s="73"/>
      <c r="H39" s="74" t="str">
        <f t="shared" si="1"/>
        <v>0.00</v>
      </c>
      <c r="I39" s="75" t="str">
        <f t="shared" si="0"/>
        <v xml:space="preserve"> </v>
      </c>
      <c r="J39" s="76" t="str">
        <f t="shared" si="2"/>
        <v xml:space="preserve"> </v>
      </c>
      <c r="K39" s="76" t="str">
        <f t="shared" si="3"/>
        <v xml:space="preserve"> </v>
      </c>
      <c r="L39" s="76" t="str">
        <f t="shared" si="4"/>
        <v xml:space="preserve"> </v>
      </c>
      <c r="M39" s="77" t="str">
        <f>IFERROR(VLOOKUP(B39,Tabla_Hoja_1[#All],6,0)," ")</f>
        <v xml:space="preserve"> </v>
      </c>
      <c r="N39" s="70" t="str">
        <f>IFERROR(VLOOKUP(B39,'Lista de Productos'!A:C,3,FALSE)," ")</f>
        <v xml:space="preserve"> </v>
      </c>
      <c r="O39" s="78"/>
      <c r="P39" s="48"/>
    </row>
    <row r="40" spans="1:16" x14ac:dyDescent="0.25">
      <c r="A40" s="69">
        <v>16</v>
      </c>
      <c r="B40" s="79"/>
      <c r="C40" s="70" t="str">
        <f>IFERROR(VLOOKUP(B40,'Lista de Productos'!A:B,2,FALSE)," ")</f>
        <v xml:space="preserve"> </v>
      </c>
      <c r="D40" s="71" t="str">
        <f>IFERROR(VLOOKUP(B40,Tabla_Hoja_1[#All],7,0),"")</f>
        <v/>
      </c>
      <c r="E40" s="72"/>
      <c r="F40" s="73"/>
      <c r="G40" s="73"/>
      <c r="H40" s="74" t="str">
        <f t="shared" si="1"/>
        <v>0.00</v>
      </c>
      <c r="I40" s="75" t="str">
        <f t="shared" si="0"/>
        <v xml:space="preserve"> </v>
      </c>
      <c r="J40" s="76" t="str">
        <f t="shared" si="2"/>
        <v xml:space="preserve"> </v>
      </c>
      <c r="K40" s="76" t="str">
        <f t="shared" si="3"/>
        <v xml:space="preserve"> </v>
      </c>
      <c r="L40" s="76" t="str">
        <f t="shared" si="4"/>
        <v xml:space="preserve"> </v>
      </c>
      <c r="M40" s="77" t="str">
        <f>IFERROR(VLOOKUP(B40,Tabla_Hoja_1[#All],6,0)," ")</f>
        <v xml:space="preserve"> </v>
      </c>
      <c r="N40" s="70" t="str">
        <f>IFERROR(VLOOKUP(B40,'Lista de Productos'!A:C,3,FALSE)," ")</f>
        <v xml:space="preserve"> </v>
      </c>
      <c r="O40" s="78"/>
      <c r="P40" s="48"/>
    </row>
    <row r="41" spans="1:16" x14ac:dyDescent="0.25">
      <c r="A41" s="69">
        <v>17</v>
      </c>
      <c r="B41" s="79"/>
      <c r="C41" s="70" t="str">
        <f>IFERROR(VLOOKUP(B41,'Lista de Productos'!A:B,2,FALSE)," ")</f>
        <v xml:space="preserve"> </v>
      </c>
      <c r="D41" s="71" t="str">
        <f>IFERROR(VLOOKUP(B41,Tabla_Hoja_1[#All],7,0),"")</f>
        <v/>
      </c>
      <c r="E41" s="72"/>
      <c r="F41" s="73"/>
      <c r="G41" s="73"/>
      <c r="H41" s="74" t="str">
        <f t="shared" si="1"/>
        <v>0.00</v>
      </c>
      <c r="I41" s="75" t="str">
        <f t="shared" si="0"/>
        <v xml:space="preserve"> </v>
      </c>
      <c r="J41" s="76" t="str">
        <f t="shared" si="2"/>
        <v xml:space="preserve"> </v>
      </c>
      <c r="K41" s="76" t="str">
        <f t="shared" si="3"/>
        <v xml:space="preserve"> </v>
      </c>
      <c r="L41" s="76" t="str">
        <f t="shared" si="4"/>
        <v xml:space="preserve"> </v>
      </c>
      <c r="M41" s="77" t="str">
        <f>IFERROR(VLOOKUP(B41,Tabla_Hoja_1[#All],6,0)," ")</f>
        <v xml:space="preserve"> </v>
      </c>
      <c r="N41" s="70" t="str">
        <f>IFERROR(VLOOKUP(B41,'Lista de Productos'!A:C,3,FALSE)," ")</f>
        <v xml:space="preserve"> </v>
      </c>
      <c r="O41" s="78"/>
      <c r="P41" s="48"/>
    </row>
    <row r="42" spans="1:16" x14ac:dyDescent="0.25">
      <c r="A42" s="69">
        <v>18</v>
      </c>
      <c r="B42" s="79"/>
      <c r="C42" s="70" t="str">
        <f>IFERROR(VLOOKUP(B42,'Lista de Productos'!A:B,2,FALSE)," ")</f>
        <v xml:space="preserve"> </v>
      </c>
      <c r="D42" s="71" t="str">
        <f>IFERROR(VLOOKUP(B42,Tabla_Hoja_1[#All],7,0),"")</f>
        <v/>
      </c>
      <c r="E42" s="72"/>
      <c r="F42" s="73"/>
      <c r="G42" s="73"/>
      <c r="H42" s="74" t="str">
        <f t="shared" si="1"/>
        <v>0.00</v>
      </c>
      <c r="I42" s="75" t="str">
        <f t="shared" si="0"/>
        <v xml:space="preserve"> </v>
      </c>
      <c r="J42" s="76" t="str">
        <f t="shared" si="2"/>
        <v xml:space="preserve"> </v>
      </c>
      <c r="K42" s="76" t="str">
        <f t="shared" si="3"/>
        <v xml:space="preserve"> </v>
      </c>
      <c r="L42" s="76" t="str">
        <f t="shared" si="4"/>
        <v xml:space="preserve"> </v>
      </c>
      <c r="M42" s="77" t="str">
        <f>IFERROR(VLOOKUP(B42,Tabla_Hoja_1[#All],6,0)," ")</f>
        <v xml:space="preserve"> </v>
      </c>
      <c r="N42" s="70" t="str">
        <f>IFERROR(VLOOKUP(B42,'Lista de Productos'!A:C,3,FALSE)," ")</f>
        <v xml:space="preserve"> </v>
      </c>
      <c r="O42" s="78"/>
      <c r="P42" s="48"/>
    </row>
    <row r="43" spans="1:16" x14ac:dyDescent="0.25">
      <c r="A43" s="69">
        <v>19</v>
      </c>
      <c r="B43" s="79"/>
      <c r="C43" s="70" t="str">
        <f>IFERROR(VLOOKUP(B43,'Lista de Productos'!A:B,2,FALSE)," ")</f>
        <v xml:space="preserve"> </v>
      </c>
      <c r="D43" s="71" t="str">
        <f>IFERROR(VLOOKUP(B43,Tabla_Hoja_1[#All],7,0),"")</f>
        <v/>
      </c>
      <c r="E43" s="72"/>
      <c r="F43" s="73"/>
      <c r="G43" s="73"/>
      <c r="H43" s="74" t="str">
        <f t="shared" si="1"/>
        <v>0.00</v>
      </c>
      <c r="I43" s="75" t="str">
        <f t="shared" si="0"/>
        <v xml:space="preserve"> </v>
      </c>
      <c r="J43" s="76" t="str">
        <f t="shared" si="2"/>
        <v xml:space="preserve"> </v>
      </c>
      <c r="K43" s="76" t="str">
        <f t="shared" si="3"/>
        <v xml:space="preserve"> </v>
      </c>
      <c r="L43" s="76" t="str">
        <f t="shared" si="4"/>
        <v xml:space="preserve"> </v>
      </c>
      <c r="M43" s="77" t="str">
        <f>IFERROR(VLOOKUP(B43,Tabla_Hoja_1[#All],6,0)," ")</f>
        <v xml:space="preserve"> </v>
      </c>
      <c r="N43" s="70" t="str">
        <f>IFERROR(VLOOKUP(B43,'Lista de Productos'!A:C,3,FALSE)," ")</f>
        <v xml:space="preserve"> </v>
      </c>
      <c r="O43" s="78"/>
      <c r="P43" s="48"/>
    </row>
    <row r="44" spans="1:16" x14ac:dyDescent="0.25">
      <c r="A44" s="69">
        <v>20</v>
      </c>
      <c r="B44" s="79"/>
      <c r="C44" s="70" t="str">
        <f>IFERROR(VLOOKUP(B44,'Lista de Productos'!A:B,2,FALSE)," ")</f>
        <v xml:space="preserve"> </v>
      </c>
      <c r="D44" s="71" t="str">
        <f>IFERROR(VLOOKUP(B44,Tabla_Hoja_1[#All],7,0),"")</f>
        <v/>
      </c>
      <c r="E44" s="72"/>
      <c r="F44" s="73"/>
      <c r="G44" s="73"/>
      <c r="H44" s="74" t="str">
        <f t="shared" si="1"/>
        <v>0.00</v>
      </c>
      <c r="I44" s="75" t="str">
        <f t="shared" si="0"/>
        <v xml:space="preserve"> </v>
      </c>
      <c r="J44" s="76" t="str">
        <f t="shared" si="2"/>
        <v xml:space="preserve"> </v>
      </c>
      <c r="K44" s="76" t="str">
        <f t="shared" si="3"/>
        <v xml:space="preserve"> </v>
      </c>
      <c r="L44" s="76" t="str">
        <f t="shared" si="4"/>
        <v xml:space="preserve"> </v>
      </c>
      <c r="M44" s="77" t="str">
        <f>IFERROR(VLOOKUP(B44,Tabla_Hoja_1[#All],6,0)," ")</f>
        <v xml:space="preserve"> </v>
      </c>
      <c r="N44" s="70" t="str">
        <f>IFERROR(VLOOKUP(B44,'Lista de Productos'!A:C,3,FALSE)," ")</f>
        <v xml:space="preserve"> </v>
      </c>
      <c r="O44" s="78"/>
      <c r="P44" s="48"/>
    </row>
    <row r="45" spans="1:16" x14ac:dyDescent="0.25">
      <c r="A45" s="69">
        <v>21</v>
      </c>
      <c r="B45" s="79"/>
      <c r="C45" s="70" t="str">
        <f>IFERROR(VLOOKUP(B45,'Lista de Productos'!A:B,2,FALSE)," ")</f>
        <v xml:space="preserve"> </v>
      </c>
      <c r="D45" s="71" t="str">
        <f>IFERROR(VLOOKUP(B45,Tabla_Hoja_1[#All],7,0),"")</f>
        <v/>
      </c>
      <c r="E45" s="72"/>
      <c r="F45" s="73"/>
      <c r="G45" s="73"/>
      <c r="H45" s="74" t="str">
        <f t="shared" si="1"/>
        <v>0.00</v>
      </c>
      <c r="I45" s="75" t="str">
        <f t="shared" si="0"/>
        <v xml:space="preserve"> </v>
      </c>
      <c r="J45" s="76" t="str">
        <f t="shared" si="2"/>
        <v xml:space="preserve"> </v>
      </c>
      <c r="K45" s="76" t="str">
        <f t="shared" si="3"/>
        <v xml:space="preserve"> </v>
      </c>
      <c r="L45" s="76" t="str">
        <f t="shared" si="4"/>
        <v xml:space="preserve"> </v>
      </c>
      <c r="M45" s="77" t="str">
        <f>IFERROR(VLOOKUP(B45,Tabla_Hoja_1[#All],6,0)," ")</f>
        <v xml:space="preserve"> </v>
      </c>
      <c r="N45" s="70" t="str">
        <f>IFERROR(VLOOKUP(B45,'Lista de Productos'!A:C,3,FALSE)," ")</f>
        <v xml:space="preserve"> </v>
      </c>
      <c r="O45" s="78"/>
      <c r="P45" s="48"/>
    </row>
    <row r="46" spans="1:16" x14ac:dyDescent="0.25">
      <c r="A46" s="69">
        <v>22</v>
      </c>
      <c r="B46" s="79"/>
      <c r="C46" s="70" t="str">
        <f>IFERROR(VLOOKUP(B46,'Lista de Productos'!A:B,2,FALSE)," ")</f>
        <v xml:space="preserve"> </v>
      </c>
      <c r="D46" s="71" t="str">
        <f>IFERROR(VLOOKUP(B46,Tabla_Hoja_1[#All],7,0),"")</f>
        <v/>
      </c>
      <c r="E46" s="72"/>
      <c r="F46" s="73"/>
      <c r="G46" s="73"/>
      <c r="H46" s="74" t="str">
        <f t="shared" si="1"/>
        <v>0.00</v>
      </c>
      <c r="I46" s="75" t="str">
        <f t="shared" si="0"/>
        <v xml:space="preserve"> </v>
      </c>
      <c r="J46" s="76" t="str">
        <f t="shared" si="2"/>
        <v xml:space="preserve"> </v>
      </c>
      <c r="K46" s="76" t="str">
        <f t="shared" si="3"/>
        <v xml:space="preserve"> </v>
      </c>
      <c r="L46" s="76" t="str">
        <f t="shared" si="4"/>
        <v xml:space="preserve"> </v>
      </c>
      <c r="M46" s="77" t="str">
        <f>IFERROR(VLOOKUP(B46,Tabla_Hoja_1[#All],6,0)," ")</f>
        <v xml:space="preserve"> </v>
      </c>
      <c r="N46" s="70" t="str">
        <f>IFERROR(VLOOKUP(B46,'Lista de Productos'!A:C,3,FALSE)," ")</f>
        <v xml:space="preserve"> </v>
      </c>
      <c r="O46" s="78"/>
      <c r="P46" s="48"/>
    </row>
    <row r="47" spans="1:16" x14ac:dyDescent="0.25">
      <c r="A47" s="69">
        <v>23</v>
      </c>
      <c r="B47" s="79"/>
      <c r="C47" s="70" t="str">
        <f>IFERROR(VLOOKUP(B47,'Lista de Productos'!A:B,2,FALSE)," ")</f>
        <v xml:space="preserve"> </v>
      </c>
      <c r="D47" s="71" t="str">
        <f>IFERROR(VLOOKUP(B47,Tabla_Hoja_1[#All],7,0),"")</f>
        <v/>
      </c>
      <c r="E47" s="72"/>
      <c r="F47" s="73"/>
      <c r="G47" s="73"/>
      <c r="H47" s="74" t="str">
        <f t="shared" si="1"/>
        <v>0.00</v>
      </c>
      <c r="I47" s="75" t="str">
        <f t="shared" si="0"/>
        <v xml:space="preserve"> </v>
      </c>
      <c r="J47" s="76" t="str">
        <f t="shared" si="2"/>
        <v xml:space="preserve"> </v>
      </c>
      <c r="K47" s="76" t="str">
        <f t="shared" si="3"/>
        <v xml:space="preserve"> </v>
      </c>
      <c r="L47" s="76" t="str">
        <f t="shared" si="4"/>
        <v xml:space="preserve"> </v>
      </c>
      <c r="M47" s="77" t="str">
        <f>IFERROR(VLOOKUP(B47,Tabla_Hoja_1[#All],6,0)," ")</f>
        <v xml:space="preserve"> </v>
      </c>
      <c r="N47" s="70" t="str">
        <f>IFERROR(VLOOKUP(B47,'Lista de Productos'!A:C,3,FALSE)," ")</f>
        <v xml:space="preserve"> </v>
      </c>
      <c r="O47" s="78"/>
      <c r="P47" s="48"/>
    </row>
    <row r="48" spans="1:16" x14ac:dyDescent="0.25">
      <c r="A48" s="69">
        <v>24</v>
      </c>
      <c r="B48" s="79"/>
      <c r="C48" s="70" t="str">
        <f>IFERROR(VLOOKUP(B48,'Lista de Productos'!A:B,2,FALSE)," ")</f>
        <v xml:space="preserve"> </v>
      </c>
      <c r="D48" s="71" t="str">
        <f>IFERROR(VLOOKUP(B48,Tabla_Hoja_1[#All],7,0),"")</f>
        <v/>
      </c>
      <c r="E48" s="72"/>
      <c r="F48" s="73"/>
      <c r="G48" s="73"/>
      <c r="H48" s="74" t="str">
        <f t="shared" si="1"/>
        <v>0.00</v>
      </c>
      <c r="I48" s="75" t="str">
        <f t="shared" si="0"/>
        <v xml:space="preserve"> </v>
      </c>
      <c r="J48" s="76" t="str">
        <f t="shared" si="2"/>
        <v xml:space="preserve"> </v>
      </c>
      <c r="K48" s="76" t="str">
        <f t="shared" si="3"/>
        <v xml:space="preserve"> </v>
      </c>
      <c r="L48" s="76" t="str">
        <f t="shared" si="4"/>
        <v xml:space="preserve"> </v>
      </c>
      <c r="M48" s="77" t="str">
        <f>IFERROR(VLOOKUP(B48,Tabla_Hoja_1[#All],6,0)," ")</f>
        <v xml:space="preserve"> </v>
      </c>
      <c r="N48" s="70" t="str">
        <f>IFERROR(VLOOKUP(B48,'Lista de Productos'!A:C,3,FALSE)," ")</f>
        <v xml:space="preserve"> </v>
      </c>
      <c r="O48" s="78"/>
      <c r="P48" s="48"/>
    </row>
    <row r="49" spans="1:16" x14ac:dyDescent="0.25">
      <c r="A49" s="69">
        <v>25</v>
      </c>
      <c r="B49" s="79"/>
      <c r="C49" s="70" t="str">
        <f>IFERROR(VLOOKUP(B49,'Lista de Productos'!A:B,2,FALSE)," ")</f>
        <v xml:space="preserve"> </v>
      </c>
      <c r="D49" s="71" t="str">
        <f>IFERROR(VLOOKUP(B49,Tabla_Hoja_1[#All],7,0),"")</f>
        <v/>
      </c>
      <c r="E49" s="72"/>
      <c r="F49" s="73"/>
      <c r="G49" s="73"/>
      <c r="H49" s="74" t="str">
        <f t="shared" si="1"/>
        <v>0.00</v>
      </c>
      <c r="I49" s="75" t="str">
        <f t="shared" si="0"/>
        <v xml:space="preserve"> </v>
      </c>
      <c r="J49" s="76" t="str">
        <f t="shared" si="2"/>
        <v xml:space="preserve"> </v>
      </c>
      <c r="K49" s="76" t="str">
        <f t="shared" si="3"/>
        <v xml:space="preserve"> </v>
      </c>
      <c r="L49" s="76" t="str">
        <f t="shared" si="4"/>
        <v xml:space="preserve"> </v>
      </c>
      <c r="M49" s="77" t="str">
        <f>IFERROR(VLOOKUP(B49,Tabla_Hoja_1[#All],6,0)," ")</f>
        <v xml:space="preserve"> </v>
      </c>
      <c r="N49" s="70" t="str">
        <f>IFERROR(VLOOKUP(B49,'Lista de Productos'!A:C,3,FALSE)," ")</f>
        <v xml:space="preserve"> </v>
      </c>
      <c r="O49" s="78"/>
      <c r="P49" s="48"/>
    </row>
    <row r="50" spans="1:16" x14ac:dyDescent="0.25">
      <c r="B50" s="79"/>
    </row>
    <row r="51" spans="1:16" ht="15.75" thickBot="1" x14ac:dyDescent="0.3">
      <c r="B51" s="128" t="s">
        <v>40</v>
      </c>
      <c r="C51" s="128"/>
      <c r="D51" s="128"/>
      <c r="F51" s="80" t="s">
        <v>41</v>
      </c>
      <c r="G51" s="81"/>
      <c r="H51" s="81"/>
      <c r="I51" s="82">
        <f>+SUM(J25:J49)</f>
        <v>0</v>
      </c>
      <c r="N51" s="83"/>
      <c r="O51" s="84"/>
    </row>
    <row r="52" spans="1:16" ht="15.75" thickBot="1" x14ac:dyDescent="0.3">
      <c r="B52" s="85" t="s">
        <v>26</v>
      </c>
      <c r="C52" s="86" t="s">
        <v>27</v>
      </c>
      <c r="D52" s="87" t="s">
        <v>29</v>
      </c>
      <c r="F52" s="88" t="s">
        <v>42</v>
      </c>
      <c r="G52" s="89"/>
      <c r="H52" s="89"/>
      <c r="I52" s="90">
        <f>+SUM(K25:K49)</f>
        <v>0</v>
      </c>
      <c r="N52" s="91" t="s">
        <v>37</v>
      </c>
      <c r="O52" s="92"/>
    </row>
    <row r="53" spans="1:16" ht="15.75" thickBot="1" x14ac:dyDescent="0.3">
      <c r="B53" s="93"/>
      <c r="C53" s="70"/>
      <c r="D53" s="94" t="s">
        <v>43</v>
      </c>
      <c r="F53" s="88" t="s">
        <v>44</v>
      </c>
      <c r="G53" s="89"/>
      <c r="H53" s="95" t="str">
        <f>IFERROR((I53/(I51-I52)),"")</f>
        <v/>
      </c>
      <c r="I53" s="90">
        <f>+SUM(L25:L49)</f>
        <v>0</v>
      </c>
      <c r="N53" s="96" t="s">
        <v>45</v>
      </c>
      <c r="O53" s="97" t="s">
        <v>46</v>
      </c>
    </row>
    <row r="54" spans="1:16" x14ac:dyDescent="0.25">
      <c r="B54" s="93"/>
      <c r="C54" s="70"/>
      <c r="D54" s="94" t="s">
        <v>43</v>
      </c>
      <c r="F54" s="129" t="s">
        <v>47</v>
      </c>
      <c r="G54" s="130"/>
      <c r="H54" s="130"/>
      <c r="I54" s="104">
        <f>SUM(I25:I49)</f>
        <v>0</v>
      </c>
      <c r="N54" s="110" t="s">
        <v>27987</v>
      </c>
      <c r="O54" s="98" t="s">
        <v>27988</v>
      </c>
    </row>
    <row r="55" spans="1:16" x14ac:dyDescent="0.25">
      <c r="B55" s="93"/>
      <c r="C55" s="70"/>
      <c r="D55" s="94" t="s">
        <v>43</v>
      </c>
      <c r="F55" s="131" t="s">
        <v>48</v>
      </c>
      <c r="G55" s="132"/>
      <c r="H55" s="132"/>
      <c r="I55" s="105">
        <f>I54*0.18</f>
        <v>0</v>
      </c>
      <c r="N55" s="99" t="s">
        <v>49</v>
      </c>
      <c r="O55" s="98" t="s">
        <v>27989</v>
      </c>
    </row>
    <row r="56" spans="1:16" ht="15.75" thickBot="1" x14ac:dyDescent="0.3">
      <c r="B56" s="93"/>
      <c r="C56" s="70"/>
      <c r="D56" s="94" t="s">
        <v>43</v>
      </c>
      <c r="F56" s="133" t="s">
        <v>50</v>
      </c>
      <c r="G56" s="134"/>
      <c r="H56" s="134"/>
      <c r="I56" s="106">
        <f>+I54+I55</f>
        <v>0</v>
      </c>
      <c r="N56" s="111" t="s">
        <v>27990</v>
      </c>
      <c r="O56" s="98" t="s">
        <v>27991</v>
      </c>
    </row>
    <row r="57" spans="1:16" ht="15.75" thickBot="1" x14ac:dyDescent="0.3">
      <c r="F57" s="107"/>
      <c r="G57" s="107"/>
      <c r="H57" s="107"/>
      <c r="I57" s="107"/>
      <c r="N57" s="112" t="s">
        <v>51</v>
      </c>
      <c r="O57" s="113" t="s">
        <v>27992</v>
      </c>
    </row>
    <row r="58" spans="1:16" ht="15.75" thickBot="1" x14ac:dyDescent="0.3">
      <c r="B58" s="135" t="s">
        <v>52</v>
      </c>
      <c r="C58" s="135"/>
      <c r="D58" s="135"/>
      <c r="F58" s="136" t="s">
        <v>53</v>
      </c>
      <c r="G58" s="137" t="s">
        <v>54</v>
      </c>
      <c r="H58" s="137"/>
      <c r="I58" s="108">
        <v>0</v>
      </c>
      <c r="N58" s="100" t="s">
        <v>55</v>
      </c>
      <c r="O58" s="101"/>
    </row>
    <row r="59" spans="1:16" ht="15.75" x14ac:dyDescent="0.25">
      <c r="A59" s="124" t="s">
        <v>56</v>
      </c>
      <c r="B59" s="124"/>
      <c r="C59" s="124"/>
      <c r="D59" s="124"/>
      <c r="F59" s="125" t="s">
        <v>57</v>
      </c>
      <c r="G59" s="126" t="s">
        <v>54</v>
      </c>
      <c r="H59" s="126"/>
      <c r="I59" s="109">
        <f>I56-I58</f>
        <v>0</v>
      </c>
      <c r="N59" s="83"/>
      <c r="O59" s="84"/>
    </row>
    <row r="60" spans="1:16" x14ac:dyDescent="0.25">
      <c r="A60" s="102" t="s">
        <v>58</v>
      </c>
    </row>
    <row r="61" spans="1:16" x14ac:dyDescent="0.25">
      <c r="A61" s="103"/>
    </row>
  </sheetData>
  <mergeCells count="9">
    <mergeCell ref="A59:D59"/>
    <mergeCell ref="F59:H59"/>
    <mergeCell ref="D12:D13"/>
    <mergeCell ref="B51:D51"/>
    <mergeCell ref="F54:H54"/>
    <mergeCell ref="F55:H55"/>
    <mergeCell ref="F56:H56"/>
    <mergeCell ref="B58:D58"/>
    <mergeCell ref="F58:H58"/>
  </mergeCells>
  <conditionalFormatting sqref="M25:M49">
    <cfRule type="containsText" dxfId="10" priority="1" operator="containsText" text="Azul">
      <formula>NOT(ISERROR(SEARCH("Azul",M25)))</formula>
    </cfRule>
    <cfRule type="containsText" dxfId="9" priority="2" operator="containsText" text="Morado">
      <formula>NOT(ISERROR(SEARCH("Morado",M25)))</formula>
    </cfRule>
    <cfRule type="containsText" dxfId="8" priority="3" operator="containsText" text="verde">
      <formula>NOT(ISERROR(SEARCH("verde",M25)))</formula>
    </cfRule>
    <cfRule type="containsText" dxfId="7" priority="4" operator="containsText" text="amarillo">
      <formula>NOT(ISERROR(SEARCH("amarillo",M25)))</formula>
    </cfRule>
    <cfRule type="containsText" dxfId="6" priority="6" operator="containsText" text="rojo">
      <formula>NOT(ISERROR(SEARCH("rojo",M25)))</formula>
    </cfRule>
  </conditionalFormatting>
  <pageMargins left="0.7" right="0.7" top="0.75" bottom="0.75" header="0.3" footer="0.3"/>
  <pageSetup paperSize="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D771-96FE-455A-A098-D08C16075F78}">
  <sheetPr codeName="Hoja2"/>
  <dimension ref="A1:G16906"/>
  <sheetViews>
    <sheetView zoomScale="80" zoomScaleNormal="80" workbookViewId="0">
      <selection activeCell="H1" sqref="H1:H1048576"/>
    </sheetView>
  </sheetViews>
  <sheetFormatPr baseColWidth="10" defaultColWidth="11.42578125" defaultRowHeight="15" x14ac:dyDescent="0.25"/>
  <cols>
    <col min="1" max="1" width="17.140625" bestFit="1" customWidth="1"/>
    <col min="2" max="2" width="54.28515625" customWidth="1"/>
    <col min="3" max="3" width="14.7109375" bestFit="1" customWidth="1"/>
    <col min="4" max="4" width="17.42578125" bestFit="1" customWidth="1"/>
    <col min="5" max="5" width="17.5703125" customWidth="1"/>
    <col min="6" max="6" width="12.5703125" customWidth="1"/>
    <col min="7" max="7" width="18.5703125" customWidth="1"/>
  </cols>
  <sheetData>
    <row r="1" spans="1:7" x14ac:dyDescent="0.25">
      <c r="A1" s="120" t="s">
        <v>59</v>
      </c>
      <c r="B1" s="120" t="s">
        <v>60</v>
      </c>
      <c r="C1" s="120" t="s">
        <v>61</v>
      </c>
      <c r="D1" s="120" t="s">
        <v>62</v>
      </c>
      <c r="E1" s="120" t="s">
        <v>63</v>
      </c>
      <c r="F1" s="120" t="s">
        <v>64</v>
      </c>
      <c r="G1" s="120" t="s">
        <v>65</v>
      </c>
    </row>
    <row r="2" spans="1:7" x14ac:dyDescent="0.25">
      <c r="A2" s="114" t="s">
        <v>31207</v>
      </c>
      <c r="B2" s="115" t="s">
        <v>66</v>
      </c>
      <c r="C2" t="s">
        <v>67</v>
      </c>
      <c r="D2" t="s">
        <v>67</v>
      </c>
      <c r="E2" t="s">
        <v>67</v>
      </c>
      <c r="F2" t="s">
        <v>27987</v>
      </c>
      <c r="G2" s="115">
        <v>6.14</v>
      </c>
    </row>
    <row r="3" spans="1:7" x14ac:dyDescent="0.25">
      <c r="A3" s="116" t="s">
        <v>27103</v>
      </c>
      <c r="B3" s="117" t="s">
        <v>68</v>
      </c>
      <c r="C3" t="s">
        <v>67</v>
      </c>
      <c r="D3" t="s">
        <v>67</v>
      </c>
      <c r="E3" t="s">
        <v>67</v>
      </c>
      <c r="F3" t="s">
        <v>45</v>
      </c>
      <c r="G3" s="117">
        <v>85.33</v>
      </c>
    </row>
    <row r="4" spans="1:7" x14ac:dyDescent="0.25">
      <c r="A4" s="116" t="s">
        <v>27104</v>
      </c>
      <c r="B4" s="117" t="s">
        <v>69</v>
      </c>
      <c r="C4" t="s">
        <v>67</v>
      </c>
      <c r="D4" t="s">
        <v>67</v>
      </c>
      <c r="E4" t="s">
        <v>67</v>
      </c>
      <c r="F4" t="s">
        <v>27987</v>
      </c>
      <c r="G4" s="117">
        <v>17.7</v>
      </c>
    </row>
    <row r="5" spans="1:7" x14ac:dyDescent="0.25">
      <c r="A5" s="116" t="s">
        <v>27105</v>
      </c>
      <c r="B5" s="117" t="s">
        <v>28220</v>
      </c>
      <c r="C5" t="s">
        <v>67</v>
      </c>
      <c r="D5" t="s">
        <v>67</v>
      </c>
      <c r="E5" t="s">
        <v>67</v>
      </c>
      <c r="F5" t="s">
        <v>45</v>
      </c>
      <c r="G5" s="117">
        <v>7.56</v>
      </c>
    </row>
    <row r="6" spans="1:7" x14ac:dyDescent="0.25">
      <c r="A6" s="116" t="s">
        <v>27106</v>
      </c>
      <c r="B6" s="117" t="s">
        <v>71</v>
      </c>
      <c r="C6" t="s">
        <v>67</v>
      </c>
      <c r="D6" t="s">
        <v>67</v>
      </c>
      <c r="E6" t="s">
        <v>67</v>
      </c>
      <c r="F6" t="s">
        <v>27987</v>
      </c>
      <c r="G6" s="117">
        <v>13.26</v>
      </c>
    </row>
    <row r="7" spans="1:7" x14ac:dyDescent="0.25">
      <c r="A7" s="116" t="s">
        <v>27107</v>
      </c>
      <c r="B7" s="117" t="s">
        <v>72</v>
      </c>
      <c r="C7" t="s">
        <v>67</v>
      </c>
      <c r="D7" t="s">
        <v>67</v>
      </c>
      <c r="E7" t="s">
        <v>67</v>
      </c>
      <c r="F7" t="s">
        <v>27987</v>
      </c>
      <c r="G7" s="117">
        <v>50.63</v>
      </c>
    </row>
    <row r="8" spans="1:7" x14ac:dyDescent="0.25">
      <c r="A8" s="116" t="s">
        <v>27108</v>
      </c>
      <c r="B8" s="117" t="s">
        <v>73</v>
      </c>
      <c r="C8" t="s">
        <v>67</v>
      </c>
      <c r="D8" t="s">
        <v>67</v>
      </c>
      <c r="E8" t="s">
        <v>67</v>
      </c>
      <c r="F8" t="s">
        <v>27987</v>
      </c>
      <c r="G8" s="117">
        <v>48.5</v>
      </c>
    </row>
    <row r="9" spans="1:7" x14ac:dyDescent="0.25">
      <c r="A9" s="116" t="s">
        <v>27109</v>
      </c>
      <c r="B9" s="117" t="s">
        <v>74</v>
      </c>
      <c r="C9" t="s">
        <v>67</v>
      </c>
      <c r="D9" t="s">
        <v>67</v>
      </c>
      <c r="E9" t="s">
        <v>67</v>
      </c>
      <c r="F9" t="s">
        <v>45</v>
      </c>
      <c r="G9" s="117">
        <v>2.58</v>
      </c>
    </row>
    <row r="10" spans="1:7" x14ac:dyDescent="0.25">
      <c r="A10" s="116" t="s">
        <v>27110</v>
      </c>
      <c r="B10" s="117" t="s">
        <v>75</v>
      </c>
      <c r="C10" t="s">
        <v>67</v>
      </c>
      <c r="D10" t="s">
        <v>67</v>
      </c>
      <c r="E10" t="s">
        <v>67</v>
      </c>
      <c r="F10" t="s">
        <v>27987</v>
      </c>
      <c r="G10" s="117">
        <v>12.82</v>
      </c>
    </row>
    <row r="11" spans="1:7" x14ac:dyDescent="0.25">
      <c r="A11" s="116" t="s">
        <v>27111</v>
      </c>
      <c r="B11" s="117" t="s">
        <v>76</v>
      </c>
      <c r="C11" t="s">
        <v>67</v>
      </c>
      <c r="D11" t="s">
        <v>67</v>
      </c>
      <c r="E11" t="s">
        <v>67</v>
      </c>
      <c r="F11" t="s">
        <v>27987</v>
      </c>
      <c r="G11" s="117">
        <v>657.5</v>
      </c>
    </row>
    <row r="12" spans="1:7" x14ac:dyDescent="0.25">
      <c r="A12" s="116" t="s">
        <v>27112</v>
      </c>
      <c r="B12" s="117" t="s">
        <v>77</v>
      </c>
      <c r="C12" t="s">
        <v>67</v>
      </c>
      <c r="D12" t="s">
        <v>67</v>
      </c>
      <c r="E12" t="s">
        <v>67</v>
      </c>
      <c r="F12" t="s">
        <v>27987</v>
      </c>
      <c r="G12" s="117">
        <v>113.81</v>
      </c>
    </row>
    <row r="13" spans="1:7" x14ac:dyDescent="0.25">
      <c r="A13" s="116" t="s">
        <v>27113</v>
      </c>
      <c r="B13" s="117" t="s">
        <v>78</v>
      </c>
      <c r="C13" t="s">
        <v>67</v>
      </c>
      <c r="D13" t="s">
        <v>67</v>
      </c>
      <c r="E13" t="s">
        <v>67</v>
      </c>
      <c r="F13" t="s">
        <v>45</v>
      </c>
      <c r="G13" s="117">
        <v>27.14</v>
      </c>
    </row>
    <row r="14" spans="1:7" x14ac:dyDescent="0.25">
      <c r="A14" s="116" t="s">
        <v>27114</v>
      </c>
      <c r="B14" s="117" t="s">
        <v>79</v>
      </c>
      <c r="C14" t="s">
        <v>67</v>
      </c>
      <c r="D14" t="s">
        <v>67</v>
      </c>
      <c r="E14" t="s">
        <v>67</v>
      </c>
      <c r="F14" t="s">
        <v>45</v>
      </c>
      <c r="G14" s="117">
        <v>27.14</v>
      </c>
    </row>
    <row r="15" spans="1:7" x14ac:dyDescent="0.25">
      <c r="A15" s="116" t="s">
        <v>27115</v>
      </c>
      <c r="B15" s="117" t="s">
        <v>80</v>
      </c>
      <c r="C15" t="s">
        <v>67</v>
      </c>
      <c r="D15" t="s">
        <v>67</v>
      </c>
      <c r="E15" t="s">
        <v>67</v>
      </c>
      <c r="F15" t="s">
        <v>49</v>
      </c>
      <c r="G15" s="117">
        <v>23.94</v>
      </c>
    </row>
    <row r="16" spans="1:7" x14ac:dyDescent="0.25">
      <c r="A16" s="116" t="s">
        <v>27116</v>
      </c>
      <c r="B16" s="117" t="s">
        <v>81</v>
      </c>
      <c r="C16" t="s">
        <v>67</v>
      </c>
      <c r="D16" t="s">
        <v>67</v>
      </c>
      <c r="E16" t="s">
        <v>67</v>
      </c>
      <c r="F16" t="s">
        <v>27987</v>
      </c>
      <c r="G16" s="117">
        <v>263.83</v>
      </c>
    </row>
    <row r="17" spans="1:7" x14ac:dyDescent="0.25">
      <c r="A17" s="116" t="s">
        <v>27117</v>
      </c>
      <c r="B17" s="117" t="s">
        <v>82</v>
      </c>
      <c r="C17" t="s">
        <v>67</v>
      </c>
      <c r="D17" t="s">
        <v>67</v>
      </c>
      <c r="E17" t="s">
        <v>67</v>
      </c>
      <c r="F17" t="s">
        <v>27987</v>
      </c>
      <c r="G17" s="117">
        <v>191.23</v>
      </c>
    </row>
    <row r="18" spans="1:7" x14ac:dyDescent="0.25">
      <c r="A18" s="116" t="s">
        <v>27118</v>
      </c>
      <c r="B18" s="117" t="s">
        <v>83</v>
      </c>
      <c r="C18" t="s">
        <v>67</v>
      </c>
      <c r="D18" t="s">
        <v>67</v>
      </c>
      <c r="E18" t="s">
        <v>67</v>
      </c>
      <c r="F18" t="s">
        <v>45</v>
      </c>
      <c r="G18" s="117">
        <v>209.92</v>
      </c>
    </row>
    <row r="19" spans="1:7" x14ac:dyDescent="0.25">
      <c r="A19" s="116" t="s">
        <v>27119</v>
      </c>
      <c r="B19" s="117" t="s">
        <v>84</v>
      </c>
      <c r="C19" t="s">
        <v>67</v>
      </c>
      <c r="D19" t="s">
        <v>67</v>
      </c>
      <c r="E19" t="s">
        <v>67</v>
      </c>
      <c r="F19" t="s">
        <v>45</v>
      </c>
      <c r="G19" s="117">
        <v>26.25</v>
      </c>
    </row>
    <row r="20" spans="1:7" x14ac:dyDescent="0.25">
      <c r="A20" s="116" t="s">
        <v>27120</v>
      </c>
      <c r="B20" s="117" t="s">
        <v>85</v>
      </c>
      <c r="C20" t="s">
        <v>67</v>
      </c>
      <c r="D20" t="s">
        <v>67</v>
      </c>
      <c r="E20" t="s">
        <v>67</v>
      </c>
      <c r="F20" t="s">
        <v>45</v>
      </c>
      <c r="G20" s="117">
        <v>12.01</v>
      </c>
    </row>
    <row r="21" spans="1:7" x14ac:dyDescent="0.25">
      <c r="A21" s="116" t="s">
        <v>27121</v>
      </c>
      <c r="B21" s="117" t="s">
        <v>86</v>
      </c>
      <c r="C21" t="s">
        <v>67</v>
      </c>
      <c r="D21" t="s">
        <v>67</v>
      </c>
      <c r="E21" t="s">
        <v>67</v>
      </c>
      <c r="F21" t="s">
        <v>27987</v>
      </c>
      <c r="G21" s="117">
        <v>791.78</v>
      </c>
    </row>
    <row r="22" spans="1:7" x14ac:dyDescent="0.25">
      <c r="A22" s="116" t="s">
        <v>27122</v>
      </c>
      <c r="B22" s="117" t="s">
        <v>87</v>
      </c>
      <c r="C22" t="s">
        <v>67</v>
      </c>
      <c r="D22" t="s">
        <v>67</v>
      </c>
      <c r="E22" t="s">
        <v>67</v>
      </c>
      <c r="F22" t="s">
        <v>45</v>
      </c>
      <c r="G22" s="117">
        <v>623.67999999999995</v>
      </c>
    </row>
    <row r="23" spans="1:7" x14ac:dyDescent="0.25">
      <c r="A23" s="116" t="s">
        <v>27123</v>
      </c>
      <c r="B23" s="117" t="s">
        <v>88</v>
      </c>
      <c r="C23" t="s">
        <v>67</v>
      </c>
      <c r="D23" t="s">
        <v>67</v>
      </c>
      <c r="E23" t="s">
        <v>67</v>
      </c>
      <c r="F23" t="s">
        <v>27987</v>
      </c>
      <c r="G23" s="117">
        <v>281.10000000000002</v>
      </c>
    </row>
    <row r="24" spans="1:7" x14ac:dyDescent="0.25">
      <c r="A24" s="116" t="s">
        <v>27124</v>
      </c>
      <c r="B24" s="117" t="s">
        <v>89</v>
      </c>
      <c r="C24" t="s">
        <v>67</v>
      </c>
      <c r="D24" t="s">
        <v>67</v>
      </c>
      <c r="E24" t="s">
        <v>67</v>
      </c>
      <c r="F24" t="s">
        <v>45</v>
      </c>
      <c r="G24" s="117">
        <v>10.58</v>
      </c>
    </row>
    <row r="25" spans="1:7" x14ac:dyDescent="0.25">
      <c r="A25" s="116" t="s">
        <v>27125</v>
      </c>
      <c r="B25" s="117" t="s">
        <v>90</v>
      </c>
      <c r="C25" t="s">
        <v>67</v>
      </c>
      <c r="D25" t="s">
        <v>67</v>
      </c>
      <c r="E25" t="s">
        <v>67</v>
      </c>
      <c r="F25" t="s">
        <v>45</v>
      </c>
      <c r="G25" s="117">
        <v>3.48</v>
      </c>
    </row>
    <row r="26" spans="1:7" x14ac:dyDescent="0.25">
      <c r="A26" s="116" t="s">
        <v>27126</v>
      </c>
      <c r="B26" s="117" t="s">
        <v>91</v>
      </c>
      <c r="C26" t="s">
        <v>67</v>
      </c>
      <c r="D26" t="s">
        <v>67</v>
      </c>
      <c r="E26" t="s">
        <v>67</v>
      </c>
      <c r="F26" t="s">
        <v>45</v>
      </c>
      <c r="G26" s="117">
        <v>1.33</v>
      </c>
    </row>
    <row r="27" spans="1:7" x14ac:dyDescent="0.25">
      <c r="A27" s="116" t="s">
        <v>27127</v>
      </c>
      <c r="B27" s="117" t="s">
        <v>92</v>
      </c>
      <c r="C27" t="s">
        <v>67</v>
      </c>
      <c r="D27" t="s">
        <v>67</v>
      </c>
      <c r="E27" t="s">
        <v>67</v>
      </c>
      <c r="F27" t="s">
        <v>45</v>
      </c>
      <c r="G27" s="117">
        <v>2.58</v>
      </c>
    </row>
    <row r="28" spans="1:7" x14ac:dyDescent="0.25">
      <c r="A28" s="116" t="s">
        <v>28221</v>
      </c>
      <c r="B28" s="117" t="s">
        <v>28222</v>
      </c>
      <c r="C28" t="s">
        <v>67</v>
      </c>
      <c r="D28" t="s">
        <v>67</v>
      </c>
      <c r="E28" t="s">
        <v>67</v>
      </c>
      <c r="F28" t="s">
        <v>45</v>
      </c>
      <c r="G28" s="117">
        <v>0</v>
      </c>
    </row>
    <row r="29" spans="1:7" x14ac:dyDescent="0.25">
      <c r="A29" s="116" t="s">
        <v>93</v>
      </c>
      <c r="B29" s="117" t="s">
        <v>94</v>
      </c>
      <c r="C29" t="s">
        <v>67</v>
      </c>
      <c r="D29" t="s">
        <v>67</v>
      </c>
      <c r="E29" t="s">
        <v>67</v>
      </c>
      <c r="F29" t="s">
        <v>27987</v>
      </c>
      <c r="G29" s="117">
        <v>10.58</v>
      </c>
    </row>
    <row r="30" spans="1:7" x14ac:dyDescent="0.25">
      <c r="A30" s="116" t="s">
        <v>95</v>
      </c>
      <c r="B30" s="117" t="s">
        <v>96</v>
      </c>
      <c r="C30" t="s">
        <v>67</v>
      </c>
      <c r="D30" t="s">
        <v>67</v>
      </c>
      <c r="E30" t="s">
        <v>67</v>
      </c>
      <c r="F30" t="s">
        <v>49</v>
      </c>
      <c r="G30" s="117">
        <v>0.44</v>
      </c>
    </row>
    <row r="31" spans="1:7" x14ac:dyDescent="0.25">
      <c r="A31" s="116" t="s">
        <v>97</v>
      </c>
      <c r="B31" s="117" t="s">
        <v>28223</v>
      </c>
      <c r="C31" t="s">
        <v>67</v>
      </c>
      <c r="D31" t="s">
        <v>67</v>
      </c>
      <c r="E31" t="s">
        <v>67</v>
      </c>
      <c r="F31" t="s">
        <v>45</v>
      </c>
      <c r="G31" s="117">
        <v>0.2</v>
      </c>
    </row>
    <row r="32" spans="1:7" x14ac:dyDescent="0.25">
      <c r="A32" s="116" t="s">
        <v>27128</v>
      </c>
      <c r="B32" s="117" t="s">
        <v>98</v>
      </c>
      <c r="C32" t="s">
        <v>67</v>
      </c>
      <c r="D32" t="s">
        <v>67</v>
      </c>
      <c r="E32" t="s">
        <v>67</v>
      </c>
      <c r="F32" t="s">
        <v>45</v>
      </c>
      <c r="G32" s="117">
        <v>8.4499999999999993</v>
      </c>
    </row>
    <row r="33" spans="1:7" x14ac:dyDescent="0.25">
      <c r="A33" s="116" t="s">
        <v>27129</v>
      </c>
      <c r="B33" s="117" t="s">
        <v>99</v>
      </c>
      <c r="C33" t="s">
        <v>67</v>
      </c>
      <c r="D33" t="s">
        <v>67</v>
      </c>
      <c r="E33" t="s">
        <v>67</v>
      </c>
      <c r="F33" t="s">
        <v>49</v>
      </c>
      <c r="G33" s="117">
        <v>51.17</v>
      </c>
    </row>
    <row r="34" spans="1:7" x14ac:dyDescent="0.25">
      <c r="A34" s="116" t="s">
        <v>27130</v>
      </c>
      <c r="B34" s="117" t="s">
        <v>100</v>
      </c>
      <c r="C34" t="s">
        <v>67</v>
      </c>
      <c r="D34" t="s">
        <v>67</v>
      </c>
      <c r="E34" t="s">
        <v>67</v>
      </c>
      <c r="F34" t="s">
        <v>45</v>
      </c>
      <c r="G34" s="117">
        <v>17</v>
      </c>
    </row>
    <row r="35" spans="1:7" x14ac:dyDescent="0.25">
      <c r="A35" s="116" t="s">
        <v>101</v>
      </c>
      <c r="B35" s="117" t="s">
        <v>96</v>
      </c>
      <c r="C35" t="s">
        <v>67</v>
      </c>
      <c r="D35" t="s">
        <v>67</v>
      </c>
      <c r="E35" t="s">
        <v>67</v>
      </c>
      <c r="F35" t="s">
        <v>27987</v>
      </c>
      <c r="G35" s="117">
        <v>0.44</v>
      </c>
    </row>
    <row r="36" spans="1:7" x14ac:dyDescent="0.25">
      <c r="A36" s="116" t="s">
        <v>102</v>
      </c>
      <c r="B36" s="117" t="s">
        <v>96</v>
      </c>
      <c r="C36" t="s">
        <v>67</v>
      </c>
      <c r="D36" t="s">
        <v>67</v>
      </c>
      <c r="E36" t="s">
        <v>67</v>
      </c>
      <c r="F36" t="s">
        <v>49</v>
      </c>
      <c r="G36" s="117">
        <v>0.44</v>
      </c>
    </row>
    <row r="37" spans="1:7" x14ac:dyDescent="0.25">
      <c r="A37" s="116" t="s">
        <v>103</v>
      </c>
      <c r="B37" s="117" t="s">
        <v>96</v>
      </c>
      <c r="C37" t="s">
        <v>67</v>
      </c>
      <c r="D37" t="s">
        <v>67</v>
      </c>
      <c r="E37" t="s">
        <v>67</v>
      </c>
      <c r="F37" t="s">
        <v>49</v>
      </c>
      <c r="G37" s="117">
        <v>0.44</v>
      </c>
    </row>
    <row r="38" spans="1:7" x14ac:dyDescent="0.25">
      <c r="A38" s="116" t="s">
        <v>104</v>
      </c>
      <c r="B38" s="117" t="s">
        <v>96</v>
      </c>
      <c r="C38" t="s">
        <v>67</v>
      </c>
      <c r="D38" t="s">
        <v>67</v>
      </c>
      <c r="E38" t="s">
        <v>67</v>
      </c>
      <c r="F38" t="s">
        <v>49</v>
      </c>
      <c r="G38" s="117">
        <v>0.44</v>
      </c>
    </row>
    <row r="39" spans="1:7" x14ac:dyDescent="0.25">
      <c r="A39" s="116" t="s">
        <v>105</v>
      </c>
      <c r="B39" s="117" t="s">
        <v>106</v>
      </c>
      <c r="C39" t="s">
        <v>67</v>
      </c>
      <c r="D39" t="s">
        <v>67</v>
      </c>
      <c r="E39" t="s">
        <v>67</v>
      </c>
      <c r="F39" t="s">
        <v>49</v>
      </c>
      <c r="G39" s="117">
        <v>1.33</v>
      </c>
    </row>
    <row r="40" spans="1:7" x14ac:dyDescent="0.25">
      <c r="A40" s="116" t="s">
        <v>107</v>
      </c>
      <c r="B40" s="117" t="s">
        <v>108</v>
      </c>
      <c r="C40" t="s">
        <v>67</v>
      </c>
      <c r="D40" t="s">
        <v>67</v>
      </c>
      <c r="E40" t="s">
        <v>67</v>
      </c>
      <c r="F40" t="s">
        <v>45</v>
      </c>
      <c r="G40" s="117">
        <v>1.69</v>
      </c>
    </row>
    <row r="41" spans="1:7" x14ac:dyDescent="0.25">
      <c r="A41" s="116" t="s">
        <v>109</v>
      </c>
      <c r="B41" s="117" t="s">
        <v>28224</v>
      </c>
      <c r="C41" t="s">
        <v>67</v>
      </c>
      <c r="D41" t="s">
        <v>67</v>
      </c>
      <c r="E41" t="s">
        <v>67</v>
      </c>
      <c r="F41" t="s">
        <v>27987</v>
      </c>
      <c r="G41" s="117">
        <v>1.33</v>
      </c>
    </row>
    <row r="42" spans="1:7" x14ac:dyDescent="0.25">
      <c r="A42" s="116" t="s">
        <v>110</v>
      </c>
      <c r="B42" s="117" t="s">
        <v>96</v>
      </c>
      <c r="C42" t="s">
        <v>67</v>
      </c>
      <c r="D42" t="s">
        <v>67</v>
      </c>
      <c r="E42" t="s">
        <v>67</v>
      </c>
      <c r="F42" t="s">
        <v>49</v>
      </c>
      <c r="G42" s="117">
        <v>1.33</v>
      </c>
    </row>
    <row r="43" spans="1:7" x14ac:dyDescent="0.25">
      <c r="A43" s="116" t="s">
        <v>111</v>
      </c>
      <c r="B43" s="117" t="s">
        <v>28224</v>
      </c>
      <c r="C43" t="s">
        <v>67</v>
      </c>
      <c r="D43" t="s">
        <v>67</v>
      </c>
      <c r="E43" t="s">
        <v>67</v>
      </c>
      <c r="F43" t="s">
        <v>49</v>
      </c>
      <c r="G43" s="117">
        <v>1.33</v>
      </c>
    </row>
    <row r="44" spans="1:7" x14ac:dyDescent="0.25">
      <c r="A44" s="116" t="s">
        <v>112</v>
      </c>
      <c r="B44" s="117" t="s">
        <v>28224</v>
      </c>
      <c r="C44" t="s">
        <v>67</v>
      </c>
      <c r="D44" t="s">
        <v>67</v>
      </c>
      <c r="E44" t="s">
        <v>67</v>
      </c>
      <c r="F44" t="s">
        <v>49</v>
      </c>
      <c r="G44" s="117">
        <v>3.56</v>
      </c>
    </row>
    <row r="45" spans="1:7" x14ac:dyDescent="0.25">
      <c r="A45" s="116" t="s">
        <v>113</v>
      </c>
      <c r="B45" s="117" t="s">
        <v>108</v>
      </c>
      <c r="C45" t="s">
        <v>67</v>
      </c>
      <c r="D45" t="s">
        <v>67</v>
      </c>
      <c r="E45" t="s">
        <v>67</v>
      </c>
      <c r="F45" t="s">
        <v>27987</v>
      </c>
      <c r="G45" s="117">
        <v>4.3600000000000003</v>
      </c>
    </row>
    <row r="46" spans="1:7" x14ac:dyDescent="0.25">
      <c r="A46" s="116" t="s">
        <v>114</v>
      </c>
      <c r="B46" s="117" t="s">
        <v>96</v>
      </c>
      <c r="C46" t="s">
        <v>67</v>
      </c>
      <c r="D46" t="s">
        <v>67</v>
      </c>
      <c r="E46" t="s">
        <v>67</v>
      </c>
      <c r="F46" t="s">
        <v>45</v>
      </c>
      <c r="G46" s="117">
        <v>0.44</v>
      </c>
    </row>
    <row r="47" spans="1:7" x14ac:dyDescent="0.25">
      <c r="A47" s="116" t="s">
        <v>115</v>
      </c>
      <c r="B47" s="117" t="s">
        <v>28224</v>
      </c>
      <c r="C47" t="s">
        <v>67</v>
      </c>
      <c r="D47" t="s">
        <v>67</v>
      </c>
      <c r="E47" t="s">
        <v>67</v>
      </c>
      <c r="F47" t="s">
        <v>45</v>
      </c>
      <c r="G47" s="117">
        <v>1.33</v>
      </c>
    </row>
    <row r="48" spans="1:7" x14ac:dyDescent="0.25">
      <c r="A48" s="116" t="s">
        <v>116</v>
      </c>
      <c r="B48" s="117" t="s">
        <v>28224</v>
      </c>
      <c r="C48" t="s">
        <v>67</v>
      </c>
      <c r="D48" t="s">
        <v>67</v>
      </c>
      <c r="E48" t="s">
        <v>67</v>
      </c>
      <c r="F48" t="s">
        <v>45</v>
      </c>
      <c r="G48" s="117">
        <v>0.89</v>
      </c>
    </row>
    <row r="49" spans="1:7" x14ac:dyDescent="0.25">
      <c r="A49" s="116" t="s">
        <v>117</v>
      </c>
      <c r="B49" s="117" t="s">
        <v>118</v>
      </c>
      <c r="C49" t="s">
        <v>67</v>
      </c>
      <c r="D49" t="s">
        <v>67</v>
      </c>
      <c r="E49" t="s">
        <v>67</v>
      </c>
      <c r="F49" t="s">
        <v>49</v>
      </c>
      <c r="G49" s="117">
        <v>0.44</v>
      </c>
    </row>
    <row r="50" spans="1:7" x14ac:dyDescent="0.25">
      <c r="A50" s="116" t="s">
        <v>119</v>
      </c>
      <c r="B50" s="117" t="s">
        <v>28225</v>
      </c>
      <c r="C50" t="s">
        <v>67</v>
      </c>
      <c r="D50" t="s">
        <v>67</v>
      </c>
      <c r="E50" t="s">
        <v>67</v>
      </c>
      <c r="F50" t="s">
        <v>45</v>
      </c>
      <c r="G50" s="117">
        <v>0.3</v>
      </c>
    </row>
    <row r="51" spans="1:7" x14ac:dyDescent="0.25">
      <c r="A51" s="116" t="s">
        <v>120</v>
      </c>
      <c r="B51" s="117" t="s">
        <v>118</v>
      </c>
      <c r="C51" t="s">
        <v>67</v>
      </c>
      <c r="D51" t="s">
        <v>67</v>
      </c>
      <c r="E51" t="s">
        <v>67</v>
      </c>
      <c r="F51" t="s">
        <v>27987</v>
      </c>
      <c r="G51" s="117">
        <v>0.8</v>
      </c>
    </row>
    <row r="52" spans="1:7" x14ac:dyDescent="0.25">
      <c r="A52" s="116" t="s">
        <v>121</v>
      </c>
      <c r="B52" s="117" t="s">
        <v>118</v>
      </c>
      <c r="C52" t="s">
        <v>67</v>
      </c>
      <c r="D52" t="s">
        <v>67</v>
      </c>
      <c r="E52" t="s">
        <v>67</v>
      </c>
      <c r="F52" t="s">
        <v>27987</v>
      </c>
      <c r="G52" s="117">
        <v>0.8</v>
      </c>
    </row>
    <row r="53" spans="1:7" x14ac:dyDescent="0.25">
      <c r="A53" s="116" t="s">
        <v>122</v>
      </c>
      <c r="B53" s="117" t="s">
        <v>123</v>
      </c>
      <c r="C53" t="s">
        <v>67</v>
      </c>
      <c r="D53" t="s">
        <v>67</v>
      </c>
      <c r="E53" t="s">
        <v>67</v>
      </c>
      <c r="F53" t="s">
        <v>27987</v>
      </c>
      <c r="G53" s="117">
        <v>0.44</v>
      </c>
    </row>
    <row r="54" spans="1:7" x14ac:dyDescent="0.25">
      <c r="A54" s="116" t="s">
        <v>124</v>
      </c>
      <c r="B54" s="117" t="s">
        <v>123</v>
      </c>
      <c r="C54" t="s">
        <v>67</v>
      </c>
      <c r="D54" t="s">
        <v>67</v>
      </c>
      <c r="E54" t="s">
        <v>67</v>
      </c>
      <c r="F54" t="s">
        <v>49</v>
      </c>
      <c r="G54" s="117">
        <v>3.12</v>
      </c>
    </row>
    <row r="55" spans="1:7" x14ac:dyDescent="0.25">
      <c r="A55" s="116" t="s">
        <v>27131</v>
      </c>
      <c r="B55" s="117" t="s">
        <v>125</v>
      </c>
      <c r="C55" t="s">
        <v>67</v>
      </c>
      <c r="D55" t="s">
        <v>67</v>
      </c>
      <c r="E55" t="s">
        <v>67</v>
      </c>
      <c r="F55" t="s">
        <v>27987</v>
      </c>
      <c r="G55" s="117">
        <v>8.4499999999999993</v>
      </c>
    </row>
    <row r="56" spans="1:7" x14ac:dyDescent="0.25">
      <c r="A56" s="116" t="s">
        <v>27132</v>
      </c>
      <c r="B56" s="117" t="s">
        <v>126</v>
      </c>
      <c r="C56" t="s">
        <v>67</v>
      </c>
      <c r="D56" t="s">
        <v>67</v>
      </c>
      <c r="E56" t="s">
        <v>67</v>
      </c>
      <c r="F56" t="s">
        <v>45</v>
      </c>
      <c r="G56" s="117">
        <v>117.01</v>
      </c>
    </row>
    <row r="57" spans="1:7" x14ac:dyDescent="0.25">
      <c r="A57" s="116" t="s">
        <v>127</v>
      </c>
      <c r="B57" s="117" t="s">
        <v>28226</v>
      </c>
      <c r="C57" t="s">
        <v>67</v>
      </c>
      <c r="D57" t="s">
        <v>67</v>
      </c>
      <c r="E57" t="s">
        <v>67</v>
      </c>
      <c r="F57" t="s">
        <v>27987</v>
      </c>
      <c r="G57" s="117">
        <v>1.5</v>
      </c>
    </row>
    <row r="58" spans="1:7" x14ac:dyDescent="0.25">
      <c r="A58" s="116" t="s">
        <v>128</v>
      </c>
      <c r="B58" s="117" t="s">
        <v>129</v>
      </c>
      <c r="C58" t="s">
        <v>67</v>
      </c>
      <c r="D58" t="s">
        <v>67</v>
      </c>
      <c r="E58" t="s">
        <v>67</v>
      </c>
      <c r="F58" t="s">
        <v>45</v>
      </c>
      <c r="G58" s="117">
        <v>1.26</v>
      </c>
    </row>
    <row r="59" spans="1:7" x14ac:dyDescent="0.25">
      <c r="A59" s="116" t="s">
        <v>130</v>
      </c>
      <c r="B59" s="117" t="s">
        <v>28227</v>
      </c>
      <c r="C59" t="s">
        <v>67</v>
      </c>
      <c r="D59" t="s">
        <v>67</v>
      </c>
      <c r="E59" t="s">
        <v>67</v>
      </c>
      <c r="F59" t="s">
        <v>49</v>
      </c>
      <c r="G59" s="117">
        <v>0.44</v>
      </c>
    </row>
    <row r="60" spans="1:7" x14ac:dyDescent="0.25">
      <c r="A60" s="116" t="s">
        <v>131</v>
      </c>
      <c r="B60" s="117" t="s">
        <v>28227</v>
      </c>
      <c r="C60" t="s">
        <v>67</v>
      </c>
      <c r="D60" t="s">
        <v>67</v>
      </c>
      <c r="E60" t="s">
        <v>67</v>
      </c>
      <c r="F60" t="s">
        <v>49</v>
      </c>
      <c r="G60" s="117">
        <v>1.77</v>
      </c>
    </row>
    <row r="61" spans="1:7" x14ac:dyDescent="0.25">
      <c r="A61" s="116" t="s">
        <v>27133</v>
      </c>
      <c r="B61" s="117" t="s">
        <v>132</v>
      </c>
      <c r="C61" t="s">
        <v>67</v>
      </c>
      <c r="D61" t="s">
        <v>67</v>
      </c>
      <c r="E61" t="s">
        <v>67</v>
      </c>
      <c r="F61" t="s">
        <v>45</v>
      </c>
      <c r="G61" s="117">
        <v>22.69</v>
      </c>
    </row>
    <row r="62" spans="1:7" x14ac:dyDescent="0.25">
      <c r="A62" s="116" t="s">
        <v>27134</v>
      </c>
      <c r="B62" s="117" t="s">
        <v>133</v>
      </c>
      <c r="C62" t="s">
        <v>67</v>
      </c>
      <c r="D62" t="s">
        <v>67</v>
      </c>
      <c r="E62" t="s">
        <v>67</v>
      </c>
      <c r="F62" t="s">
        <v>45</v>
      </c>
      <c r="G62" s="117">
        <v>745.58</v>
      </c>
    </row>
    <row r="63" spans="1:7" x14ac:dyDescent="0.25">
      <c r="A63" s="116" t="s">
        <v>27135</v>
      </c>
      <c r="B63" s="117" t="s">
        <v>134</v>
      </c>
      <c r="C63" t="s">
        <v>67</v>
      </c>
      <c r="D63" t="s">
        <v>67</v>
      </c>
      <c r="E63" t="s">
        <v>67</v>
      </c>
      <c r="F63" t="s">
        <v>45</v>
      </c>
      <c r="G63" s="117">
        <v>707.86</v>
      </c>
    </row>
    <row r="64" spans="1:7" x14ac:dyDescent="0.25">
      <c r="A64" s="116" t="s">
        <v>27136</v>
      </c>
      <c r="B64" s="117" t="s">
        <v>135</v>
      </c>
      <c r="C64" t="s">
        <v>67</v>
      </c>
      <c r="D64" t="s">
        <v>67</v>
      </c>
      <c r="E64" t="s">
        <v>67</v>
      </c>
      <c r="F64" t="s">
        <v>45</v>
      </c>
      <c r="G64" s="117">
        <v>717.5</v>
      </c>
    </row>
    <row r="65" spans="1:7" x14ac:dyDescent="0.25">
      <c r="A65" s="116" t="s">
        <v>27137</v>
      </c>
      <c r="B65" s="117" t="s">
        <v>136</v>
      </c>
      <c r="C65" t="s">
        <v>67</v>
      </c>
      <c r="D65" t="s">
        <v>67</v>
      </c>
      <c r="E65" t="s">
        <v>67</v>
      </c>
      <c r="F65" t="s">
        <v>27987</v>
      </c>
      <c r="G65" s="117">
        <v>561.92999999999995</v>
      </c>
    </row>
    <row r="66" spans="1:7" x14ac:dyDescent="0.25">
      <c r="A66" s="116" t="s">
        <v>27138</v>
      </c>
      <c r="B66" s="117" t="s">
        <v>137</v>
      </c>
      <c r="C66" t="s">
        <v>67</v>
      </c>
      <c r="D66" t="s">
        <v>67</v>
      </c>
      <c r="E66" t="s">
        <v>67</v>
      </c>
      <c r="F66" t="s">
        <v>27987</v>
      </c>
      <c r="G66" s="117">
        <v>572.07000000000005</v>
      </c>
    </row>
    <row r="67" spans="1:7" x14ac:dyDescent="0.25">
      <c r="A67" s="116" t="s">
        <v>27139</v>
      </c>
      <c r="B67" s="117" t="s">
        <v>138</v>
      </c>
      <c r="C67" t="s">
        <v>67</v>
      </c>
      <c r="D67" t="s">
        <v>67</v>
      </c>
      <c r="E67" t="s">
        <v>67</v>
      </c>
      <c r="F67" t="s">
        <v>45</v>
      </c>
      <c r="G67" s="117">
        <v>202.44</v>
      </c>
    </row>
    <row r="68" spans="1:7" x14ac:dyDescent="0.25">
      <c r="A68" s="116" t="s">
        <v>27140</v>
      </c>
      <c r="B68" s="117" t="s">
        <v>139</v>
      </c>
      <c r="C68" t="s">
        <v>67</v>
      </c>
      <c r="D68" t="s">
        <v>67</v>
      </c>
      <c r="E68" t="s">
        <v>67</v>
      </c>
      <c r="F68" t="s">
        <v>45</v>
      </c>
      <c r="G68" s="117">
        <v>45.3</v>
      </c>
    </row>
    <row r="69" spans="1:7" x14ac:dyDescent="0.25">
      <c r="A69" s="116" t="s">
        <v>27141</v>
      </c>
      <c r="B69" s="117" t="s">
        <v>140</v>
      </c>
      <c r="C69" t="s">
        <v>67</v>
      </c>
      <c r="D69" t="s">
        <v>67</v>
      </c>
      <c r="E69" t="s">
        <v>67</v>
      </c>
      <c r="F69" t="s">
        <v>45</v>
      </c>
      <c r="G69" s="117">
        <v>36.93</v>
      </c>
    </row>
    <row r="70" spans="1:7" x14ac:dyDescent="0.25">
      <c r="A70" s="116" t="s">
        <v>27142</v>
      </c>
      <c r="B70" s="117" t="s">
        <v>141</v>
      </c>
      <c r="C70" t="s">
        <v>67</v>
      </c>
      <c r="D70" t="s">
        <v>67</v>
      </c>
      <c r="E70" t="s">
        <v>67</v>
      </c>
      <c r="F70" t="s">
        <v>27987</v>
      </c>
      <c r="G70" s="117">
        <v>1011.3</v>
      </c>
    </row>
    <row r="71" spans="1:7" x14ac:dyDescent="0.25">
      <c r="A71" s="116" t="s">
        <v>27143</v>
      </c>
      <c r="B71" s="117" t="s">
        <v>142</v>
      </c>
      <c r="C71" t="s">
        <v>67</v>
      </c>
      <c r="D71" t="s">
        <v>67</v>
      </c>
      <c r="E71" t="s">
        <v>67</v>
      </c>
      <c r="F71" t="s">
        <v>27987</v>
      </c>
      <c r="G71" s="117">
        <v>1112.2</v>
      </c>
    </row>
    <row r="72" spans="1:7" x14ac:dyDescent="0.25">
      <c r="A72" s="116" t="s">
        <v>27144</v>
      </c>
      <c r="B72" s="117" t="s">
        <v>143</v>
      </c>
      <c r="C72" t="s">
        <v>67</v>
      </c>
      <c r="D72" t="s">
        <v>67</v>
      </c>
      <c r="E72" t="s">
        <v>67</v>
      </c>
      <c r="F72" t="s">
        <v>27987</v>
      </c>
      <c r="G72" s="117">
        <v>100.46</v>
      </c>
    </row>
    <row r="73" spans="1:7" x14ac:dyDescent="0.25">
      <c r="A73" s="116" t="s">
        <v>27145</v>
      </c>
      <c r="B73" s="117" t="s">
        <v>144</v>
      </c>
      <c r="C73" t="s">
        <v>67</v>
      </c>
      <c r="D73" t="s">
        <v>67</v>
      </c>
      <c r="E73" t="s">
        <v>67</v>
      </c>
      <c r="F73" t="s">
        <v>45</v>
      </c>
      <c r="G73" s="117">
        <v>39.06</v>
      </c>
    </row>
    <row r="74" spans="1:7" x14ac:dyDescent="0.25">
      <c r="A74" s="116" t="s">
        <v>27146</v>
      </c>
      <c r="B74" s="117" t="s">
        <v>145</v>
      </c>
      <c r="C74" t="s">
        <v>67</v>
      </c>
      <c r="D74" t="s">
        <v>67</v>
      </c>
      <c r="E74" t="s">
        <v>67</v>
      </c>
      <c r="F74" t="s">
        <v>45</v>
      </c>
      <c r="G74" s="117">
        <v>225.04</v>
      </c>
    </row>
    <row r="75" spans="1:7" x14ac:dyDescent="0.25">
      <c r="A75" s="116" t="s">
        <v>27147</v>
      </c>
      <c r="B75" s="117" t="s">
        <v>146</v>
      </c>
      <c r="C75" t="s">
        <v>67</v>
      </c>
      <c r="D75" t="s">
        <v>67</v>
      </c>
      <c r="E75" t="s">
        <v>67</v>
      </c>
      <c r="F75" t="s">
        <v>27987</v>
      </c>
      <c r="G75" s="117">
        <v>648.6</v>
      </c>
    </row>
    <row r="76" spans="1:7" x14ac:dyDescent="0.25">
      <c r="A76" s="116" t="s">
        <v>27148</v>
      </c>
      <c r="B76" s="117" t="s">
        <v>147</v>
      </c>
      <c r="C76" t="s">
        <v>67</v>
      </c>
      <c r="D76" t="s">
        <v>67</v>
      </c>
      <c r="E76" t="s">
        <v>67</v>
      </c>
      <c r="F76" t="s">
        <v>45</v>
      </c>
      <c r="G76" s="117">
        <v>436.82</v>
      </c>
    </row>
    <row r="77" spans="1:7" x14ac:dyDescent="0.25">
      <c r="A77" s="116" t="s">
        <v>27149</v>
      </c>
      <c r="B77" s="117" t="s">
        <v>148</v>
      </c>
      <c r="C77" t="s">
        <v>67</v>
      </c>
      <c r="D77" t="s">
        <v>67</v>
      </c>
      <c r="E77" t="s">
        <v>67</v>
      </c>
      <c r="F77" t="s">
        <v>27987</v>
      </c>
      <c r="G77" s="117">
        <v>22.69</v>
      </c>
    </row>
    <row r="78" spans="1:7" x14ac:dyDescent="0.25">
      <c r="A78" s="116" t="s">
        <v>27150</v>
      </c>
      <c r="B78" s="117" t="s">
        <v>149</v>
      </c>
      <c r="C78" t="s">
        <v>67</v>
      </c>
      <c r="D78" t="s">
        <v>67</v>
      </c>
      <c r="E78" t="s">
        <v>67</v>
      </c>
      <c r="F78" t="s">
        <v>27987</v>
      </c>
      <c r="G78" s="117">
        <v>854.14</v>
      </c>
    </row>
    <row r="79" spans="1:7" x14ac:dyDescent="0.25">
      <c r="A79" s="116" t="s">
        <v>27151</v>
      </c>
      <c r="B79" s="117" t="s">
        <v>150</v>
      </c>
      <c r="C79" t="s">
        <v>67</v>
      </c>
      <c r="D79" t="s">
        <v>67</v>
      </c>
      <c r="E79" t="s">
        <v>67</v>
      </c>
      <c r="F79" t="s">
        <v>27987</v>
      </c>
      <c r="G79" s="117">
        <v>104.92</v>
      </c>
    </row>
    <row r="80" spans="1:7" x14ac:dyDescent="0.25">
      <c r="A80" s="116" t="s">
        <v>27152</v>
      </c>
      <c r="B80" s="117" t="s">
        <v>151</v>
      </c>
      <c r="C80" t="s">
        <v>67</v>
      </c>
      <c r="D80" t="s">
        <v>67</v>
      </c>
      <c r="E80" t="s">
        <v>67</v>
      </c>
      <c r="F80" t="s">
        <v>45</v>
      </c>
      <c r="G80" s="117">
        <v>104.92</v>
      </c>
    </row>
    <row r="81" spans="1:7" x14ac:dyDescent="0.25">
      <c r="A81" s="116" t="s">
        <v>27153</v>
      </c>
      <c r="B81" s="117" t="s">
        <v>152</v>
      </c>
      <c r="C81" t="s">
        <v>67</v>
      </c>
      <c r="D81" t="s">
        <v>67</v>
      </c>
      <c r="E81" t="s">
        <v>67</v>
      </c>
      <c r="F81" t="s">
        <v>45</v>
      </c>
      <c r="G81" s="117">
        <v>118.26</v>
      </c>
    </row>
    <row r="82" spans="1:7" x14ac:dyDescent="0.25">
      <c r="A82" s="116" t="s">
        <v>27154</v>
      </c>
      <c r="B82" s="117" t="s">
        <v>153</v>
      </c>
      <c r="C82" t="s">
        <v>67</v>
      </c>
      <c r="D82" t="s">
        <v>67</v>
      </c>
      <c r="E82" t="s">
        <v>67</v>
      </c>
      <c r="F82" t="s">
        <v>45</v>
      </c>
      <c r="G82" s="117">
        <v>14.14</v>
      </c>
    </row>
    <row r="83" spans="1:7" x14ac:dyDescent="0.25">
      <c r="A83" s="116" t="s">
        <v>27155</v>
      </c>
      <c r="B83" s="117" t="s">
        <v>154</v>
      </c>
      <c r="C83" t="s">
        <v>67</v>
      </c>
      <c r="D83" t="s">
        <v>67</v>
      </c>
      <c r="E83" t="s">
        <v>67</v>
      </c>
      <c r="F83" t="s">
        <v>27987</v>
      </c>
      <c r="G83" s="117">
        <v>166.31</v>
      </c>
    </row>
    <row r="84" spans="1:7" x14ac:dyDescent="0.25">
      <c r="A84" s="116" t="s">
        <v>27156</v>
      </c>
      <c r="B84" s="117" t="s">
        <v>155</v>
      </c>
      <c r="C84" t="s">
        <v>67</v>
      </c>
      <c r="D84" t="s">
        <v>67</v>
      </c>
      <c r="E84" t="s">
        <v>67</v>
      </c>
      <c r="F84" t="s">
        <v>27987</v>
      </c>
      <c r="G84" s="117">
        <v>16.82</v>
      </c>
    </row>
    <row r="85" spans="1:7" x14ac:dyDescent="0.25">
      <c r="A85" s="116" t="s">
        <v>27157</v>
      </c>
      <c r="B85" s="117" t="s">
        <v>154</v>
      </c>
      <c r="C85" t="s">
        <v>67</v>
      </c>
      <c r="D85" t="s">
        <v>67</v>
      </c>
      <c r="E85" t="s">
        <v>67</v>
      </c>
      <c r="F85" t="s">
        <v>49</v>
      </c>
      <c r="G85" s="117">
        <v>165.95</v>
      </c>
    </row>
    <row r="86" spans="1:7" x14ac:dyDescent="0.25">
      <c r="A86" s="116" t="s">
        <v>27158</v>
      </c>
      <c r="B86" s="117" t="s">
        <v>156</v>
      </c>
      <c r="C86" t="s">
        <v>67</v>
      </c>
      <c r="D86" t="s">
        <v>67</v>
      </c>
      <c r="E86" t="s">
        <v>67</v>
      </c>
      <c r="F86" t="s">
        <v>45</v>
      </c>
      <c r="G86" s="117">
        <v>79.11</v>
      </c>
    </row>
    <row r="87" spans="1:7" x14ac:dyDescent="0.25">
      <c r="A87" s="116" t="s">
        <v>27159</v>
      </c>
      <c r="B87" s="117" t="s">
        <v>157</v>
      </c>
      <c r="C87" t="s">
        <v>67</v>
      </c>
      <c r="D87" t="s">
        <v>67</v>
      </c>
      <c r="E87" t="s">
        <v>67</v>
      </c>
      <c r="F87" t="s">
        <v>27987</v>
      </c>
      <c r="G87" s="117">
        <v>21.26</v>
      </c>
    </row>
    <row r="88" spans="1:7" x14ac:dyDescent="0.25">
      <c r="A88" s="116" t="s">
        <v>27160</v>
      </c>
      <c r="B88" s="117" t="s">
        <v>28228</v>
      </c>
      <c r="C88" t="s">
        <v>67</v>
      </c>
      <c r="D88" t="s">
        <v>67</v>
      </c>
      <c r="E88" t="s">
        <v>67</v>
      </c>
      <c r="F88" t="s">
        <v>45</v>
      </c>
      <c r="G88" s="117">
        <v>955.24</v>
      </c>
    </row>
    <row r="89" spans="1:7" x14ac:dyDescent="0.25">
      <c r="A89" s="116" t="s">
        <v>27161</v>
      </c>
      <c r="B89" s="117" t="s">
        <v>158</v>
      </c>
      <c r="C89" t="s">
        <v>67</v>
      </c>
      <c r="D89" t="s">
        <v>67</v>
      </c>
      <c r="E89" t="s">
        <v>67</v>
      </c>
      <c r="F89" t="s">
        <v>45</v>
      </c>
      <c r="G89" s="117">
        <v>35.5</v>
      </c>
    </row>
    <row r="90" spans="1:7" x14ac:dyDescent="0.25">
      <c r="A90" s="116" t="s">
        <v>159</v>
      </c>
      <c r="B90" s="117" t="s">
        <v>160</v>
      </c>
      <c r="C90" t="s">
        <v>67</v>
      </c>
      <c r="D90" t="s">
        <v>67</v>
      </c>
      <c r="E90" t="s">
        <v>67</v>
      </c>
      <c r="F90" t="s">
        <v>45</v>
      </c>
      <c r="G90" s="117">
        <v>0.8</v>
      </c>
    </row>
    <row r="91" spans="1:7" x14ac:dyDescent="0.25">
      <c r="A91" s="116" t="s">
        <v>27162</v>
      </c>
      <c r="B91" s="117" t="s">
        <v>161</v>
      </c>
      <c r="C91" t="s">
        <v>67</v>
      </c>
      <c r="D91" t="s">
        <v>67</v>
      </c>
      <c r="E91" t="s">
        <v>67</v>
      </c>
      <c r="F91" t="s">
        <v>45</v>
      </c>
      <c r="G91" s="117">
        <v>46.71</v>
      </c>
    </row>
    <row r="92" spans="1:7" x14ac:dyDescent="0.25">
      <c r="A92" s="116" t="s">
        <v>27163</v>
      </c>
      <c r="B92" s="117" t="s">
        <v>162</v>
      </c>
      <c r="C92" t="s">
        <v>67</v>
      </c>
      <c r="D92" t="s">
        <v>67</v>
      </c>
      <c r="E92" t="s">
        <v>67</v>
      </c>
      <c r="F92" t="s">
        <v>27987</v>
      </c>
      <c r="G92" s="117">
        <v>153.5</v>
      </c>
    </row>
    <row r="93" spans="1:7" x14ac:dyDescent="0.25">
      <c r="A93" s="116" t="s">
        <v>27164</v>
      </c>
      <c r="B93" s="117" t="s">
        <v>163</v>
      </c>
      <c r="C93" t="s">
        <v>67</v>
      </c>
      <c r="D93" t="s">
        <v>67</v>
      </c>
      <c r="E93" t="s">
        <v>67</v>
      </c>
      <c r="F93" t="s">
        <v>27987</v>
      </c>
      <c r="G93" s="117">
        <v>104.92</v>
      </c>
    </row>
    <row r="94" spans="1:7" x14ac:dyDescent="0.25">
      <c r="A94" s="116" t="s">
        <v>27165</v>
      </c>
      <c r="B94" s="117" t="s">
        <v>164</v>
      </c>
      <c r="C94" t="s">
        <v>67</v>
      </c>
      <c r="D94" t="s">
        <v>67</v>
      </c>
      <c r="E94" t="s">
        <v>67</v>
      </c>
      <c r="F94" t="s">
        <v>27987</v>
      </c>
      <c r="G94" s="117">
        <v>338.58</v>
      </c>
    </row>
    <row r="95" spans="1:7" x14ac:dyDescent="0.25">
      <c r="A95" s="116" t="s">
        <v>27166</v>
      </c>
      <c r="B95" s="117" t="s">
        <v>165</v>
      </c>
      <c r="C95" t="s">
        <v>67</v>
      </c>
      <c r="D95" t="s">
        <v>67</v>
      </c>
      <c r="E95" t="s">
        <v>67</v>
      </c>
      <c r="F95" t="s">
        <v>49</v>
      </c>
      <c r="G95" s="117">
        <v>38.700000000000003</v>
      </c>
    </row>
    <row r="96" spans="1:7" x14ac:dyDescent="0.25">
      <c r="A96" s="116" t="s">
        <v>27167</v>
      </c>
      <c r="B96" s="117" t="s">
        <v>166</v>
      </c>
      <c r="C96" t="s">
        <v>67</v>
      </c>
      <c r="D96" t="s">
        <v>67</v>
      </c>
      <c r="E96" t="s">
        <v>67</v>
      </c>
      <c r="F96" t="s">
        <v>27987</v>
      </c>
      <c r="G96" s="117">
        <v>561.92999999999995</v>
      </c>
    </row>
    <row r="97" spans="1:7" x14ac:dyDescent="0.25">
      <c r="A97" s="116" t="s">
        <v>27168</v>
      </c>
      <c r="B97" s="117" t="s">
        <v>167</v>
      </c>
      <c r="C97" t="s">
        <v>67</v>
      </c>
      <c r="D97" t="s">
        <v>67</v>
      </c>
      <c r="E97" t="s">
        <v>67</v>
      </c>
      <c r="F97" t="s">
        <v>45</v>
      </c>
      <c r="G97" s="117">
        <v>84.08</v>
      </c>
    </row>
    <row r="98" spans="1:7" x14ac:dyDescent="0.25">
      <c r="A98" s="116" t="s">
        <v>27169</v>
      </c>
      <c r="B98" s="117" t="s">
        <v>168</v>
      </c>
      <c r="C98" t="s">
        <v>67</v>
      </c>
      <c r="D98" t="s">
        <v>67</v>
      </c>
      <c r="E98" t="s">
        <v>67</v>
      </c>
      <c r="F98" t="s">
        <v>45</v>
      </c>
      <c r="G98" s="117">
        <v>79.64</v>
      </c>
    </row>
    <row r="99" spans="1:7" x14ac:dyDescent="0.25">
      <c r="A99" s="116" t="s">
        <v>27170</v>
      </c>
      <c r="B99" s="117" t="s">
        <v>169</v>
      </c>
      <c r="C99" t="s">
        <v>67</v>
      </c>
      <c r="D99" t="s">
        <v>67</v>
      </c>
      <c r="E99" t="s">
        <v>67</v>
      </c>
      <c r="F99" t="s">
        <v>45</v>
      </c>
      <c r="G99" s="117">
        <v>362.11</v>
      </c>
    </row>
    <row r="100" spans="1:7" x14ac:dyDescent="0.25">
      <c r="A100" s="116" t="s">
        <v>27171</v>
      </c>
      <c r="B100" s="117" t="s">
        <v>170</v>
      </c>
      <c r="C100" t="s">
        <v>67</v>
      </c>
      <c r="D100" t="s">
        <v>67</v>
      </c>
      <c r="E100" t="s">
        <v>67</v>
      </c>
      <c r="F100" t="s">
        <v>27987</v>
      </c>
      <c r="G100" s="117">
        <v>363.5</v>
      </c>
    </row>
    <row r="101" spans="1:7" x14ac:dyDescent="0.25">
      <c r="A101" s="116" t="s">
        <v>171</v>
      </c>
      <c r="B101" s="117" t="s">
        <v>173</v>
      </c>
      <c r="C101" t="s">
        <v>67</v>
      </c>
      <c r="D101" t="s">
        <v>67</v>
      </c>
      <c r="E101" t="s">
        <v>67</v>
      </c>
      <c r="F101" t="s">
        <v>27987</v>
      </c>
      <c r="G101" s="117">
        <v>0.8</v>
      </c>
    </row>
    <row r="102" spans="1:7" x14ac:dyDescent="0.25">
      <c r="A102" s="116" t="s">
        <v>172</v>
      </c>
      <c r="B102" s="117" t="s">
        <v>173</v>
      </c>
      <c r="C102" t="s">
        <v>67</v>
      </c>
      <c r="D102" t="s">
        <v>67</v>
      </c>
      <c r="E102" t="s">
        <v>67</v>
      </c>
      <c r="F102" t="s">
        <v>27987</v>
      </c>
      <c r="G102" s="117">
        <v>0.8</v>
      </c>
    </row>
    <row r="103" spans="1:7" x14ac:dyDescent="0.25">
      <c r="A103" s="116" t="s">
        <v>174</v>
      </c>
      <c r="B103" s="117" t="s">
        <v>173</v>
      </c>
      <c r="C103" t="s">
        <v>67</v>
      </c>
      <c r="D103" t="s">
        <v>67</v>
      </c>
      <c r="E103" t="s">
        <v>67</v>
      </c>
      <c r="F103" t="s">
        <v>27987</v>
      </c>
      <c r="G103" s="117">
        <v>0.44</v>
      </c>
    </row>
    <row r="104" spans="1:7" x14ac:dyDescent="0.25">
      <c r="A104" s="116" t="s">
        <v>175</v>
      </c>
      <c r="B104" s="117" t="s">
        <v>176</v>
      </c>
      <c r="C104" t="s">
        <v>67</v>
      </c>
      <c r="D104" t="s">
        <v>67</v>
      </c>
      <c r="E104" t="s">
        <v>67</v>
      </c>
      <c r="F104" t="s">
        <v>27987</v>
      </c>
      <c r="G104" s="117">
        <v>0.8</v>
      </c>
    </row>
    <row r="105" spans="1:7" x14ac:dyDescent="0.25">
      <c r="A105" s="116" t="s">
        <v>177</v>
      </c>
      <c r="B105" s="117" t="s">
        <v>176</v>
      </c>
      <c r="C105" t="s">
        <v>67</v>
      </c>
      <c r="D105" t="s">
        <v>67</v>
      </c>
      <c r="E105" t="s">
        <v>67</v>
      </c>
      <c r="F105" t="s">
        <v>27987</v>
      </c>
      <c r="G105" s="117">
        <v>1.77</v>
      </c>
    </row>
    <row r="106" spans="1:7" x14ac:dyDescent="0.25">
      <c r="A106" s="116" t="s">
        <v>27172</v>
      </c>
      <c r="B106" s="117" t="s">
        <v>178</v>
      </c>
      <c r="C106" t="s">
        <v>67</v>
      </c>
      <c r="D106" t="s">
        <v>67</v>
      </c>
      <c r="E106" t="s">
        <v>67</v>
      </c>
      <c r="F106" t="s">
        <v>27987</v>
      </c>
      <c r="G106" s="117">
        <v>46.71</v>
      </c>
    </row>
    <row r="107" spans="1:7" x14ac:dyDescent="0.25">
      <c r="A107" s="116" t="s">
        <v>27173</v>
      </c>
      <c r="B107" s="117" t="s">
        <v>179</v>
      </c>
      <c r="C107" t="s">
        <v>67</v>
      </c>
      <c r="D107" t="s">
        <v>67</v>
      </c>
      <c r="E107" t="s">
        <v>67</v>
      </c>
      <c r="F107" t="s">
        <v>45</v>
      </c>
      <c r="G107" s="117">
        <v>889.38</v>
      </c>
    </row>
    <row r="108" spans="1:7" x14ac:dyDescent="0.25">
      <c r="A108" s="116" t="s">
        <v>27174</v>
      </c>
      <c r="B108" s="117" t="s">
        <v>180</v>
      </c>
      <c r="C108" t="s">
        <v>67</v>
      </c>
      <c r="D108" t="s">
        <v>67</v>
      </c>
      <c r="E108" t="s">
        <v>67</v>
      </c>
      <c r="F108" t="s">
        <v>45</v>
      </c>
      <c r="G108" s="117">
        <v>260.27</v>
      </c>
    </row>
    <row r="109" spans="1:7" x14ac:dyDescent="0.25">
      <c r="A109" s="116" t="s">
        <v>27175</v>
      </c>
      <c r="B109" s="117" t="s">
        <v>181</v>
      </c>
      <c r="C109" t="s">
        <v>67</v>
      </c>
      <c r="D109" t="s">
        <v>67</v>
      </c>
      <c r="E109" t="s">
        <v>67</v>
      </c>
      <c r="F109" t="s">
        <v>45</v>
      </c>
      <c r="G109" s="117">
        <v>520.11</v>
      </c>
    </row>
    <row r="110" spans="1:7" x14ac:dyDescent="0.25">
      <c r="A110" s="116" t="s">
        <v>27176</v>
      </c>
      <c r="B110" s="117" t="s">
        <v>182</v>
      </c>
      <c r="C110" t="s">
        <v>67</v>
      </c>
      <c r="D110" t="s">
        <v>67</v>
      </c>
      <c r="E110" t="s">
        <v>67</v>
      </c>
      <c r="F110" t="s">
        <v>27987</v>
      </c>
      <c r="G110" s="117">
        <v>10.58</v>
      </c>
    </row>
    <row r="111" spans="1:7" x14ac:dyDescent="0.25">
      <c r="A111" s="116" t="s">
        <v>183</v>
      </c>
      <c r="B111" s="117" t="s">
        <v>184</v>
      </c>
      <c r="C111" t="s">
        <v>67</v>
      </c>
      <c r="D111" t="s">
        <v>67</v>
      </c>
      <c r="E111" t="s">
        <v>67</v>
      </c>
      <c r="F111" t="s">
        <v>49</v>
      </c>
      <c r="G111" s="117">
        <v>3.56</v>
      </c>
    </row>
    <row r="112" spans="1:7" x14ac:dyDescent="0.25">
      <c r="A112" s="116" t="s">
        <v>185</v>
      </c>
      <c r="B112" s="117" t="s">
        <v>186</v>
      </c>
      <c r="C112" t="s">
        <v>67</v>
      </c>
      <c r="D112" t="s">
        <v>67</v>
      </c>
      <c r="E112" t="s">
        <v>67</v>
      </c>
      <c r="F112" t="s">
        <v>27987</v>
      </c>
      <c r="G112" s="117">
        <v>0.8</v>
      </c>
    </row>
    <row r="113" spans="1:7" x14ac:dyDescent="0.25">
      <c r="A113" s="116" t="s">
        <v>187</v>
      </c>
      <c r="B113" s="117" t="s">
        <v>186</v>
      </c>
      <c r="C113" t="s">
        <v>67</v>
      </c>
      <c r="D113" t="s">
        <v>67</v>
      </c>
      <c r="E113" t="s">
        <v>67</v>
      </c>
      <c r="F113" t="s">
        <v>27987</v>
      </c>
      <c r="G113" s="117">
        <v>1.33</v>
      </c>
    </row>
    <row r="114" spans="1:7" x14ac:dyDescent="0.25">
      <c r="A114" s="116" t="s">
        <v>27177</v>
      </c>
      <c r="B114" s="117" t="s">
        <v>188</v>
      </c>
      <c r="C114" t="s">
        <v>67</v>
      </c>
      <c r="D114" t="s">
        <v>67</v>
      </c>
      <c r="E114" t="s">
        <v>67</v>
      </c>
      <c r="F114" t="s">
        <v>45</v>
      </c>
      <c r="G114" s="117">
        <v>67.180000000000007</v>
      </c>
    </row>
    <row r="115" spans="1:7" x14ac:dyDescent="0.25">
      <c r="A115" s="116" t="s">
        <v>27178</v>
      </c>
      <c r="B115" s="117" t="s">
        <v>189</v>
      </c>
      <c r="C115" t="s">
        <v>67</v>
      </c>
      <c r="D115" t="s">
        <v>67</v>
      </c>
      <c r="E115" t="s">
        <v>67</v>
      </c>
      <c r="F115" t="s">
        <v>45</v>
      </c>
      <c r="G115" s="117">
        <v>64.87</v>
      </c>
    </row>
    <row r="116" spans="1:7" x14ac:dyDescent="0.25">
      <c r="A116" s="116" t="s">
        <v>27179</v>
      </c>
      <c r="B116" s="117" t="s">
        <v>190</v>
      </c>
      <c r="C116" t="s">
        <v>67</v>
      </c>
      <c r="D116" t="s">
        <v>67</v>
      </c>
      <c r="E116" t="s">
        <v>67</v>
      </c>
      <c r="F116" t="s">
        <v>45</v>
      </c>
      <c r="G116" s="117">
        <v>17.7</v>
      </c>
    </row>
    <row r="117" spans="1:7" x14ac:dyDescent="0.25">
      <c r="A117" s="116" t="s">
        <v>27180</v>
      </c>
      <c r="B117" s="117" t="s">
        <v>191</v>
      </c>
      <c r="C117" t="s">
        <v>67</v>
      </c>
      <c r="D117" t="s">
        <v>67</v>
      </c>
      <c r="E117" t="s">
        <v>67</v>
      </c>
      <c r="F117" t="s">
        <v>45</v>
      </c>
      <c r="G117" s="117">
        <v>15.04</v>
      </c>
    </row>
    <row r="118" spans="1:7" x14ac:dyDescent="0.25">
      <c r="A118" s="116" t="s">
        <v>27181</v>
      </c>
      <c r="B118" s="117" t="s">
        <v>28229</v>
      </c>
      <c r="C118" t="s">
        <v>67</v>
      </c>
      <c r="D118" t="s">
        <v>67</v>
      </c>
      <c r="E118" t="s">
        <v>67</v>
      </c>
      <c r="F118" t="s">
        <v>45</v>
      </c>
      <c r="G118" s="117">
        <v>27.14</v>
      </c>
    </row>
    <row r="119" spans="1:7" x14ac:dyDescent="0.25">
      <c r="A119" s="116" t="s">
        <v>27182</v>
      </c>
      <c r="B119" s="117" t="s">
        <v>192</v>
      </c>
      <c r="C119" t="s">
        <v>67</v>
      </c>
      <c r="D119" t="s">
        <v>67</v>
      </c>
      <c r="E119" t="s">
        <v>67</v>
      </c>
      <c r="F119" t="s">
        <v>45</v>
      </c>
      <c r="G119" s="117">
        <v>9.6999999999999993</v>
      </c>
    </row>
    <row r="120" spans="1:7" x14ac:dyDescent="0.25">
      <c r="A120" s="116" t="s">
        <v>27183</v>
      </c>
      <c r="B120" s="117" t="s">
        <v>193</v>
      </c>
      <c r="C120" t="s">
        <v>67</v>
      </c>
      <c r="D120" t="s">
        <v>67</v>
      </c>
      <c r="E120" t="s">
        <v>67</v>
      </c>
      <c r="F120" t="s">
        <v>49</v>
      </c>
      <c r="G120" s="117">
        <v>3.48</v>
      </c>
    </row>
    <row r="121" spans="1:7" x14ac:dyDescent="0.25">
      <c r="A121" s="116" t="s">
        <v>27184</v>
      </c>
      <c r="B121" s="117" t="s">
        <v>194</v>
      </c>
      <c r="C121" t="s">
        <v>67</v>
      </c>
      <c r="D121" t="s">
        <v>67</v>
      </c>
      <c r="E121" t="s">
        <v>67</v>
      </c>
      <c r="F121" t="s">
        <v>45</v>
      </c>
      <c r="G121" s="117">
        <v>9</v>
      </c>
    </row>
    <row r="122" spans="1:7" x14ac:dyDescent="0.25">
      <c r="A122" s="116" t="s">
        <v>27185</v>
      </c>
      <c r="B122" s="117" t="s">
        <v>195</v>
      </c>
      <c r="C122" t="s">
        <v>67</v>
      </c>
      <c r="D122" t="s">
        <v>67</v>
      </c>
      <c r="E122" t="s">
        <v>67</v>
      </c>
      <c r="F122" t="s">
        <v>27987</v>
      </c>
      <c r="G122" s="117">
        <v>404.79</v>
      </c>
    </row>
    <row r="123" spans="1:7" x14ac:dyDescent="0.25">
      <c r="A123" s="116" t="s">
        <v>27186</v>
      </c>
      <c r="B123" s="117" t="s">
        <v>196</v>
      </c>
      <c r="C123" t="s">
        <v>67</v>
      </c>
      <c r="D123" t="s">
        <v>67</v>
      </c>
      <c r="E123" t="s">
        <v>67</v>
      </c>
      <c r="F123" t="s">
        <v>45</v>
      </c>
      <c r="G123" s="117">
        <v>400.02</v>
      </c>
    </row>
    <row r="124" spans="1:7" x14ac:dyDescent="0.25">
      <c r="A124" s="116" t="s">
        <v>27187</v>
      </c>
      <c r="B124" s="117" t="s">
        <v>197</v>
      </c>
      <c r="C124" t="s">
        <v>67</v>
      </c>
      <c r="D124" t="s">
        <v>67</v>
      </c>
      <c r="E124" t="s">
        <v>67</v>
      </c>
      <c r="F124" t="s">
        <v>45</v>
      </c>
      <c r="G124" s="117">
        <v>29.81</v>
      </c>
    </row>
    <row r="125" spans="1:7" x14ac:dyDescent="0.25">
      <c r="A125" s="116" t="s">
        <v>27188</v>
      </c>
      <c r="B125" s="117" t="s">
        <v>198</v>
      </c>
      <c r="C125" t="s">
        <v>67</v>
      </c>
      <c r="D125" t="s">
        <v>67</v>
      </c>
      <c r="E125" t="s">
        <v>67</v>
      </c>
      <c r="F125" t="s">
        <v>45</v>
      </c>
      <c r="G125" s="117">
        <v>56.5</v>
      </c>
    </row>
    <row r="126" spans="1:7" x14ac:dyDescent="0.25">
      <c r="A126" s="116" t="s">
        <v>27189</v>
      </c>
      <c r="B126" s="117" t="s">
        <v>199</v>
      </c>
      <c r="C126" t="s">
        <v>67</v>
      </c>
      <c r="D126" t="s">
        <v>67</v>
      </c>
      <c r="E126" t="s">
        <v>67</v>
      </c>
      <c r="F126" t="s">
        <v>27987</v>
      </c>
      <c r="G126" s="117">
        <v>14.68</v>
      </c>
    </row>
    <row r="127" spans="1:7" x14ac:dyDescent="0.25">
      <c r="A127" s="116" t="s">
        <v>27190</v>
      </c>
      <c r="B127" s="117" t="s">
        <v>199</v>
      </c>
      <c r="C127" t="s">
        <v>67</v>
      </c>
      <c r="D127" t="s">
        <v>67</v>
      </c>
      <c r="E127" t="s">
        <v>67</v>
      </c>
      <c r="F127" t="s">
        <v>27987</v>
      </c>
      <c r="G127" s="117">
        <v>45.3</v>
      </c>
    </row>
    <row r="128" spans="1:7" x14ac:dyDescent="0.25">
      <c r="A128" s="116" t="s">
        <v>27191</v>
      </c>
      <c r="B128" s="117" t="s">
        <v>200</v>
      </c>
      <c r="C128" t="s">
        <v>67</v>
      </c>
      <c r="D128" t="s">
        <v>67</v>
      </c>
      <c r="E128" t="s">
        <v>67</v>
      </c>
      <c r="F128" t="s">
        <v>45</v>
      </c>
      <c r="G128" s="117">
        <v>34.26</v>
      </c>
    </row>
    <row r="129" spans="1:7" x14ac:dyDescent="0.25">
      <c r="A129" s="116" t="s">
        <v>27192</v>
      </c>
      <c r="B129" s="117" t="s">
        <v>201</v>
      </c>
      <c r="C129" t="s">
        <v>67</v>
      </c>
      <c r="D129" t="s">
        <v>67</v>
      </c>
      <c r="E129" t="s">
        <v>67</v>
      </c>
      <c r="F129" t="s">
        <v>27987</v>
      </c>
      <c r="G129" s="117">
        <v>9.35</v>
      </c>
    </row>
    <row r="130" spans="1:7" x14ac:dyDescent="0.25">
      <c r="A130" s="116" t="s">
        <v>27193</v>
      </c>
      <c r="B130" s="117" t="s">
        <v>202</v>
      </c>
      <c r="C130" t="s">
        <v>67</v>
      </c>
      <c r="D130" t="s">
        <v>67</v>
      </c>
      <c r="E130" t="s">
        <v>67</v>
      </c>
      <c r="F130" t="s">
        <v>27987</v>
      </c>
      <c r="G130" s="117">
        <v>8.4499999999999993</v>
      </c>
    </row>
    <row r="131" spans="1:7" x14ac:dyDescent="0.25">
      <c r="A131" s="116" t="s">
        <v>27194</v>
      </c>
      <c r="B131" s="117" t="s">
        <v>203</v>
      </c>
      <c r="C131" t="s">
        <v>67</v>
      </c>
      <c r="D131" t="s">
        <v>67</v>
      </c>
      <c r="E131" t="s">
        <v>67</v>
      </c>
      <c r="F131" t="s">
        <v>27987</v>
      </c>
      <c r="G131" s="117">
        <v>75.55</v>
      </c>
    </row>
    <row r="132" spans="1:7" x14ac:dyDescent="0.25">
      <c r="A132" s="116" t="s">
        <v>27195</v>
      </c>
      <c r="B132" s="117" t="s">
        <v>204</v>
      </c>
      <c r="C132" t="s">
        <v>67</v>
      </c>
      <c r="D132" t="s">
        <v>67</v>
      </c>
      <c r="E132" t="s">
        <v>67</v>
      </c>
      <c r="F132" t="s">
        <v>45</v>
      </c>
      <c r="G132" s="117">
        <v>6.14</v>
      </c>
    </row>
    <row r="133" spans="1:7" x14ac:dyDescent="0.25">
      <c r="A133" s="116" t="s">
        <v>27196</v>
      </c>
      <c r="B133" s="117" t="s">
        <v>205</v>
      </c>
      <c r="C133" t="s">
        <v>67</v>
      </c>
      <c r="D133" t="s">
        <v>67</v>
      </c>
      <c r="E133" t="s">
        <v>67</v>
      </c>
      <c r="F133" t="s">
        <v>45</v>
      </c>
      <c r="G133" s="117">
        <v>101.88</v>
      </c>
    </row>
    <row r="134" spans="1:7" x14ac:dyDescent="0.25">
      <c r="A134" s="116" t="s">
        <v>27197</v>
      </c>
      <c r="B134" s="117" t="s">
        <v>206</v>
      </c>
      <c r="C134" t="s">
        <v>67</v>
      </c>
      <c r="D134" t="s">
        <v>67</v>
      </c>
      <c r="E134" t="s">
        <v>67</v>
      </c>
      <c r="F134" t="s">
        <v>45</v>
      </c>
      <c r="G134" s="117">
        <v>15.57</v>
      </c>
    </row>
    <row r="135" spans="1:7" x14ac:dyDescent="0.25">
      <c r="A135" s="116" t="s">
        <v>27198</v>
      </c>
      <c r="B135" s="117" t="s">
        <v>207</v>
      </c>
      <c r="C135" t="s">
        <v>67</v>
      </c>
      <c r="D135" t="s">
        <v>67</v>
      </c>
      <c r="E135" t="s">
        <v>67</v>
      </c>
      <c r="F135" t="s">
        <v>45</v>
      </c>
      <c r="G135" s="117">
        <v>7.92</v>
      </c>
    </row>
    <row r="136" spans="1:7" x14ac:dyDescent="0.25">
      <c r="A136" s="116" t="s">
        <v>27199</v>
      </c>
      <c r="B136" s="117" t="s">
        <v>208</v>
      </c>
      <c r="C136" t="s">
        <v>67</v>
      </c>
      <c r="D136" t="s">
        <v>67</v>
      </c>
      <c r="E136" t="s">
        <v>67</v>
      </c>
      <c r="F136" t="s">
        <v>27987</v>
      </c>
      <c r="G136" s="117">
        <v>68.430000000000007</v>
      </c>
    </row>
    <row r="137" spans="1:7" x14ac:dyDescent="0.25">
      <c r="A137" s="116" t="s">
        <v>27200</v>
      </c>
      <c r="B137" s="117" t="s">
        <v>209</v>
      </c>
      <c r="C137" t="s">
        <v>67</v>
      </c>
      <c r="D137" t="s">
        <v>67</v>
      </c>
      <c r="E137" t="s">
        <v>67</v>
      </c>
      <c r="F137" t="s">
        <v>45</v>
      </c>
      <c r="G137" s="117">
        <v>68.430000000000007</v>
      </c>
    </row>
    <row r="138" spans="1:7" x14ac:dyDescent="0.25">
      <c r="A138" s="116" t="s">
        <v>27201</v>
      </c>
      <c r="B138" s="117" t="s">
        <v>210</v>
      </c>
      <c r="C138" t="s">
        <v>67</v>
      </c>
      <c r="D138" t="s">
        <v>67</v>
      </c>
      <c r="E138" t="s">
        <v>67</v>
      </c>
      <c r="F138" t="s">
        <v>45</v>
      </c>
      <c r="G138" s="117">
        <v>155.63</v>
      </c>
    </row>
    <row r="139" spans="1:7" x14ac:dyDescent="0.25">
      <c r="A139" s="116" t="s">
        <v>27202</v>
      </c>
      <c r="B139" s="117" t="s">
        <v>211</v>
      </c>
      <c r="C139" t="s">
        <v>67</v>
      </c>
      <c r="D139" t="s">
        <v>67</v>
      </c>
      <c r="E139" t="s">
        <v>67</v>
      </c>
      <c r="F139" t="s">
        <v>45</v>
      </c>
      <c r="G139" s="117">
        <v>51.17</v>
      </c>
    </row>
    <row r="140" spans="1:7" x14ac:dyDescent="0.25">
      <c r="A140" s="116" t="s">
        <v>27203</v>
      </c>
      <c r="B140" s="117" t="s">
        <v>212</v>
      </c>
      <c r="C140" t="s">
        <v>67</v>
      </c>
      <c r="D140" t="s">
        <v>67</v>
      </c>
      <c r="E140" t="s">
        <v>67</v>
      </c>
      <c r="F140" t="s">
        <v>27987</v>
      </c>
      <c r="G140" s="117">
        <v>269.52</v>
      </c>
    </row>
    <row r="141" spans="1:7" x14ac:dyDescent="0.25">
      <c r="A141" s="116" t="s">
        <v>27204</v>
      </c>
      <c r="B141" s="117" t="s">
        <v>213</v>
      </c>
      <c r="C141" t="s">
        <v>67</v>
      </c>
      <c r="D141" t="s">
        <v>67</v>
      </c>
      <c r="E141" t="s">
        <v>67</v>
      </c>
      <c r="F141" t="s">
        <v>45</v>
      </c>
      <c r="G141" s="117">
        <v>1239.08</v>
      </c>
    </row>
    <row r="142" spans="1:7" x14ac:dyDescent="0.25">
      <c r="A142" s="116" t="s">
        <v>27205</v>
      </c>
      <c r="B142" s="117" t="s">
        <v>214</v>
      </c>
      <c r="C142" t="s">
        <v>67</v>
      </c>
      <c r="D142" t="s">
        <v>67</v>
      </c>
      <c r="E142" t="s">
        <v>67</v>
      </c>
      <c r="F142" t="s">
        <v>27987</v>
      </c>
      <c r="G142" s="117">
        <v>56.86</v>
      </c>
    </row>
    <row r="143" spans="1:7" x14ac:dyDescent="0.25">
      <c r="A143" s="116" t="s">
        <v>27206</v>
      </c>
      <c r="B143" s="117" t="s">
        <v>215</v>
      </c>
      <c r="C143" t="s">
        <v>67</v>
      </c>
      <c r="D143" t="s">
        <v>67</v>
      </c>
      <c r="E143" t="s">
        <v>67</v>
      </c>
      <c r="F143" t="s">
        <v>49</v>
      </c>
      <c r="G143" s="117">
        <v>5.79</v>
      </c>
    </row>
    <row r="144" spans="1:7" x14ac:dyDescent="0.25">
      <c r="A144" s="116" t="s">
        <v>27207</v>
      </c>
      <c r="B144" s="117" t="s">
        <v>216</v>
      </c>
      <c r="C144" t="s">
        <v>67</v>
      </c>
      <c r="D144" t="s">
        <v>67</v>
      </c>
      <c r="E144" t="s">
        <v>67</v>
      </c>
      <c r="F144" t="s">
        <v>45</v>
      </c>
      <c r="G144" s="117">
        <v>342.14</v>
      </c>
    </row>
    <row r="145" spans="1:7" x14ac:dyDescent="0.25">
      <c r="A145" s="116" t="s">
        <v>27208</v>
      </c>
      <c r="B145" s="117" t="s">
        <v>217</v>
      </c>
      <c r="C145" t="s">
        <v>67</v>
      </c>
      <c r="D145" t="s">
        <v>67</v>
      </c>
      <c r="E145" t="s">
        <v>67</v>
      </c>
      <c r="F145" t="s">
        <v>45</v>
      </c>
      <c r="G145" s="117">
        <v>189.1</v>
      </c>
    </row>
    <row r="146" spans="1:7" x14ac:dyDescent="0.25">
      <c r="A146" s="116" t="s">
        <v>27209</v>
      </c>
      <c r="B146" s="117" t="s">
        <v>218</v>
      </c>
      <c r="C146" t="s">
        <v>67</v>
      </c>
      <c r="D146" t="s">
        <v>67</v>
      </c>
      <c r="E146" t="s">
        <v>67</v>
      </c>
      <c r="F146" t="s">
        <v>45</v>
      </c>
      <c r="G146" s="117">
        <v>388.14</v>
      </c>
    </row>
    <row r="147" spans="1:7" x14ac:dyDescent="0.25">
      <c r="A147" s="116" t="s">
        <v>27210</v>
      </c>
      <c r="B147" s="117" t="s">
        <v>219</v>
      </c>
      <c r="C147" t="s">
        <v>67</v>
      </c>
      <c r="D147" t="s">
        <v>67</v>
      </c>
      <c r="E147" t="s">
        <v>67</v>
      </c>
      <c r="F147" t="s">
        <v>27987</v>
      </c>
      <c r="G147" s="117">
        <v>39.58</v>
      </c>
    </row>
    <row r="148" spans="1:7" x14ac:dyDescent="0.25">
      <c r="A148" s="116" t="s">
        <v>27211</v>
      </c>
      <c r="B148" s="117" t="s">
        <v>220</v>
      </c>
      <c r="C148" t="s">
        <v>67</v>
      </c>
      <c r="D148" t="s">
        <v>67</v>
      </c>
      <c r="E148" t="s">
        <v>67</v>
      </c>
      <c r="F148" t="s">
        <v>27987</v>
      </c>
      <c r="G148" s="117">
        <v>471.97</v>
      </c>
    </row>
    <row r="149" spans="1:7" x14ac:dyDescent="0.25">
      <c r="A149" s="116" t="s">
        <v>27212</v>
      </c>
      <c r="B149" s="117" t="s">
        <v>221</v>
      </c>
      <c r="C149" t="s">
        <v>67</v>
      </c>
      <c r="D149" t="s">
        <v>67</v>
      </c>
      <c r="E149" t="s">
        <v>67</v>
      </c>
      <c r="F149" t="s">
        <v>45</v>
      </c>
      <c r="G149" s="117">
        <v>7.12</v>
      </c>
    </row>
    <row r="150" spans="1:7" x14ac:dyDescent="0.25">
      <c r="A150" s="116" t="s">
        <v>27213</v>
      </c>
      <c r="B150" s="117" t="s">
        <v>222</v>
      </c>
      <c r="C150" t="s">
        <v>67</v>
      </c>
      <c r="D150" t="s">
        <v>67</v>
      </c>
      <c r="E150" t="s">
        <v>67</v>
      </c>
      <c r="F150" t="s">
        <v>45</v>
      </c>
      <c r="G150" s="117">
        <v>37.82</v>
      </c>
    </row>
    <row r="151" spans="1:7" x14ac:dyDescent="0.25">
      <c r="A151" s="116" t="s">
        <v>27214</v>
      </c>
      <c r="B151" s="117" t="s">
        <v>28230</v>
      </c>
      <c r="C151" t="s">
        <v>67</v>
      </c>
      <c r="D151" t="s">
        <v>67</v>
      </c>
      <c r="E151" t="s">
        <v>67</v>
      </c>
      <c r="F151" t="s">
        <v>45</v>
      </c>
      <c r="G151" s="117">
        <v>31.58</v>
      </c>
    </row>
    <row r="152" spans="1:7" x14ac:dyDescent="0.25">
      <c r="A152" s="116" t="s">
        <v>27215</v>
      </c>
      <c r="B152" s="117" t="s">
        <v>223</v>
      </c>
      <c r="C152" t="s">
        <v>67</v>
      </c>
      <c r="D152" t="s">
        <v>67</v>
      </c>
      <c r="E152" t="s">
        <v>67</v>
      </c>
      <c r="F152" t="s">
        <v>45</v>
      </c>
      <c r="G152" s="117">
        <v>40.49</v>
      </c>
    </row>
    <row r="153" spans="1:7" x14ac:dyDescent="0.25">
      <c r="A153" s="116" t="s">
        <v>27216</v>
      </c>
      <c r="B153" s="117" t="s">
        <v>224</v>
      </c>
      <c r="C153" t="s">
        <v>67</v>
      </c>
      <c r="D153" t="s">
        <v>67</v>
      </c>
      <c r="E153" t="s">
        <v>67</v>
      </c>
      <c r="F153" t="s">
        <v>45</v>
      </c>
      <c r="G153" s="117">
        <v>23.94</v>
      </c>
    </row>
    <row r="154" spans="1:7" x14ac:dyDescent="0.25">
      <c r="A154" s="116" t="s">
        <v>27217</v>
      </c>
      <c r="B154" s="117" t="s">
        <v>225</v>
      </c>
      <c r="C154" t="s">
        <v>67</v>
      </c>
      <c r="D154" t="s">
        <v>67</v>
      </c>
      <c r="E154" t="s">
        <v>67</v>
      </c>
      <c r="F154" t="s">
        <v>27987</v>
      </c>
      <c r="G154" s="117">
        <v>71.099999999999994</v>
      </c>
    </row>
    <row r="155" spans="1:7" x14ac:dyDescent="0.25">
      <c r="A155" s="116" t="s">
        <v>27218</v>
      </c>
      <c r="B155" s="117" t="s">
        <v>226</v>
      </c>
      <c r="C155" t="s">
        <v>67</v>
      </c>
      <c r="D155" t="s">
        <v>67</v>
      </c>
      <c r="E155" t="s">
        <v>67</v>
      </c>
      <c r="F155" t="s">
        <v>27987</v>
      </c>
      <c r="G155" s="117">
        <v>354.06</v>
      </c>
    </row>
    <row r="156" spans="1:7" x14ac:dyDescent="0.25">
      <c r="A156" s="116" t="s">
        <v>27219</v>
      </c>
      <c r="B156" s="117" t="s">
        <v>225</v>
      </c>
      <c r="C156" t="s">
        <v>67</v>
      </c>
      <c r="D156" t="s">
        <v>67</v>
      </c>
      <c r="E156" t="s">
        <v>67</v>
      </c>
      <c r="F156" t="s">
        <v>49</v>
      </c>
      <c r="G156" s="117">
        <v>81.77</v>
      </c>
    </row>
    <row r="157" spans="1:7" x14ac:dyDescent="0.25">
      <c r="A157" s="116" t="s">
        <v>27220</v>
      </c>
      <c r="B157" s="117" t="s">
        <v>234</v>
      </c>
      <c r="C157" t="s">
        <v>67</v>
      </c>
      <c r="D157" t="s">
        <v>67</v>
      </c>
      <c r="E157" t="s">
        <v>67</v>
      </c>
      <c r="F157" t="s">
        <v>49</v>
      </c>
      <c r="G157" s="117">
        <v>7.02</v>
      </c>
    </row>
    <row r="158" spans="1:7" x14ac:dyDescent="0.25">
      <c r="A158" s="116" t="s">
        <v>27221</v>
      </c>
      <c r="B158" s="117" t="s">
        <v>227</v>
      </c>
      <c r="C158" t="s">
        <v>67</v>
      </c>
      <c r="D158" t="s">
        <v>67</v>
      </c>
      <c r="E158" t="s">
        <v>67</v>
      </c>
      <c r="F158" t="s">
        <v>45</v>
      </c>
      <c r="G158" s="117">
        <v>7.12</v>
      </c>
    </row>
    <row r="159" spans="1:7" x14ac:dyDescent="0.25">
      <c r="A159" s="116" t="s">
        <v>27222</v>
      </c>
      <c r="B159" s="117" t="s">
        <v>228</v>
      </c>
      <c r="C159" t="s">
        <v>67</v>
      </c>
      <c r="D159" t="s">
        <v>67</v>
      </c>
      <c r="E159" t="s">
        <v>67</v>
      </c>
      <c r="F159" t="s">
        <v>45</v>
      </c>
      <c r="G159" s="117">
        <v>16.82</v>
      </c>
    </row>
    <row r="160" spans="1:7" x14ac:dyDescent="0.25">
      <c r="A160" s="116" t="s">
        <v>27223</v>
      </c>
      <c r="B160" s="117" t="s">
        <v>229</v>
      </c>
      <c r="C160" t="s">
        <v>67</v>
      </c>
      <c r="D160" t="s">
        <v>67</v>
      </c>
      <c r="E160" t="s">
        <v>67</v>
      </c>
      <c r="F160" t="s">
        <v>49</v>
      </c>
      <c r="G160" s="117">
        <v>14.14</v>
      </c>
    </row>
    <row r="161" spans="1:7" x14ac:dyDescent="0.25">
      <c r="A161" s="116" t="s">
        <v>27224</v>
      </c>
      <c r="B161" s="117" t="s">
        <v>230</v>
      </c>
      <c r="C161" t="s">
        <v>67</v>
      </c>
      <c r="D161" t="s">
        <v>67</v>
      </c>
      <c r="E161" t="s">
        <v>67</v>
      </c>
      <c r="F161" t="s">
        <v>45</v>
      </c>
      <c r="G161" s="117">
        <v>411.55</v>
      </c>
    </row>
    <row r="162" spans="1:7" x14ac:dyDescent="0.25">
      <c r="A162" s="116" t="s">
        <v>27225</v>
      </c>
      <c r="B162" s="117" t="s">
        <v>231</v>
      </c>
      <c r="C162" t="s">
        <v>67</v>
      </c>
      <c r="D162" t="s">
        <v>67</v>
      </c>
      <c r="E162" t="s">
        <v>67</v>
      </c>
      <c r="F162" t="s">
        <v>27987</v>
      </c>
      <c r="G162" s="117">
        <v>70.739999999999995</v>
      </c>
    </row>
    <row r="163" spans="1:7" x14ac:dyDescent="0.25">
      <c r="A163" s="116" t="s">
        <v>27226</v>
      </c>
      <c r="B163" s="117" t="s">
        <v>232</v>
      </c>
      <c r="C163" t="s">
        <v>67</v>
      </c>
      <c r="D163" t="s">
        <v>67</v>
      </c>
      <c r="E163" t="s">
        <v>67</v>
      </c>
      <c r="F163" t="s">
        <v>45</v>
      </c>
      <c r="G163" s="117">
        <v>22.69</v>
      </c>
    </row>
    <row r="164" spans="1:7" x14ac:dyDescent="0.25">
      <c r="A164" s="116" t="s">
        <v>27227</v>
      </c>
      <c r="B164" s="117" t="s">
        <v>233</v>
      </c>
      <c r="C164" t="s">
        <v>67</v>
      </c>
      <c r="D164" t="s">
        <v>67</v>
      </c>
      <c r="E164" t="s">
        <v>67</v>
      </c>
      <c r="F164" t="s">
        <v>45</v>
      </c>
      <c r="G164" s="117">
        <v>4</v>
      </c>
    </row>
    <row r="165" spans="1:7" x14ac:dyDescent="0.25">
      <c r="A165" s="116" t="s">
        <v>27228</v>
      </c>
      <c r="B165" s="117" t="s">
        <v>234</v>
      </c>
      <c r="C165" t="s">
        <v>67</v>
      </c>
      <c r="D165" t="s">
        <v>67</v>
      </c>
      <c r="E165" t="s">
        <v>67</v>
      </c>
      <c r="F165" t="s">
        <v>49</v>
      </c>
      <c r="G165" s="117">
        <v>21.71</v>
      </c>
    </row>
    <row r="166" spans="1:7" x14ac:dyDescent="0.25">
      <c r="A166" s="116" t="s">
        <v>27229</v>
      </c>
      <c r="B166" s="117" t="s">
        <v>235</v>
      </c>
      <c r="C166" t="s">
        <v>67</v>
      </c>
      <c r="D166" t="s">
        <v>67</v>
      </c>
      <c r="E166" t="s">
        <v>67</v>
      </c>
      <c r="F166" t="s">
        <v>49</v>
      </c>
      <c r="G166" s="117">
        <v>101.88</v>
      </c>
    </row>
    <row r="167" spans="1:7" x14ac:dyDescent="0.25">
      <c r="A167" s="116" t="s">
        <v>27230</v>
      </c>
      <c r="B167" s="117" t="s">
        <v>236</v>
      </c>
      <c r="C167" t="s">
        <v>67</v>
      </c>
      <c r="D167" t="s">
        <v>67</v>
      </c>
      <c r="E167" t="s">
        <v>67</v>
      </c>
      <c r="F167" t="s">
        <v>27987</v>
      </c>
      <c r="G167" s="117">
        <v>101.88</v>
      </c>
    </row>
    <row r="168" spans="1:7" x14ac:dyDescent="0.25">
      <c r="A168" s="116" t="s">
        <v>27231</v>
      </c>
      <c r="B168" s="117" t="s">
        <v>237</v>
      </c>
      <c r="C168" t="s">
        <v>67</v>
      </c>
      <c r="D168" t="s">
        <v>67</v>
      </c>
      <c r="E168" t="s">
        <v>67</v>
      </c>
      <c r="F168" t="s">
        <v>45</v>
      </c>
      <c r="G168" s="117">
        <v>6.63</v>
      </c>
    </row>
    <row r="169" spans="1:7" x14ac:dyDescent="0.25">
      <c r="A169" s="116" t="s">
        <v>27232</v>
      </c>
      <c r="B169" s="117" t="s">
        <v>238</v>
      </c>
      <c r="C169" t="s">
        <v>67</v>
      </c>
      <c r="D169" t="s">
        <v>67</v>
      </c>
      <c r="E169" t="s">
        <v>67</v>
      </c>
      <c r="F169" t="s">
        <v>27987</v>
      </c>
      <c r="G169" s="117">
        <v>116.84</v>
      </c>
    </row>
    <row r="170" spans="1:7" x14ac:dyDescent="0.25">
      <c r="A170" s="116" t="s">
        <v>27233</v>
      </c>
      <c r="B170" s="117" t="s">
        <v>239</v>
      </c>
      <c r="C170" t="s">
        <v>67</v>
      </c>
      <c r="D170" t="s">
        <v>67</v>
      </c>
      <c r="E170" t="s">
        <v>67</v>
      </c>
      <c r="F170" t="s">
        <v>27987</v>
      </c>
      <c r="G170" s="117">
        <v>236.25</v>
      </c>
    </row>
    <row r="171" spans="1:7" x14ac:dyDescent="0.25">
      <c r="A171" s="116" t="s">
        <v>27234</v>
      </c>
      <c r="B171" s="117" t="s">
        <v>240</v>
      </c>
      <c r="C171" t="s">
        <v>67</v>
      </c>
      <c r="D171" t="s">
        <v>67</v>
      </c>
      <c r="E171" t="s">
        <v>67</v>
      </c>
      <c r="F171" t="s">
        <v>45</v>
      </c>
      <c r="G171" s="117">
        <v>3.56</v>
      </c>
    </row>
    <row r="172" spans="1:7" x14ac:dyDescent="0.25">
      <c r="A172" s="116" t="s">
        <v>27235</v>
      </c>
      <c r="B172" s="117" t="s">
        <v>874</v>
      </c>
      <c r="C172" t="s">
        <v>67</v>
      </c>
      <c r="D172" t="s">
        <v>67</v>
      </c>
      <c r="E172" t="s">
        <v>67</v>
      </c>
      <c r="F172" t="s">
        <v>49</v>
      </c>
      <c r="G172" s="117">
        <v>70.2</v>
      </c>
    </row>
    <row r="173" spans="1:7" x14ac:dyDescent="0.25">
      <c r="A173" s="116" t="s">
        <v>27236</v>
      </c>
      <c r="B173" s="117" t="s">
        <v>241</v>
      </c>
      <c r="C173" t="s">
        <v>67</v>
      </c>
      <c r="D173" t="s">
        <v>67</v>
      </c>
      <c r="E173" t="s">
        <v>67</v>
      </c>
      <c r="F173" t="s">
        <v>27987</v>
      </c>
      <c r="G173" s="117">
        <v>76.98</v>
      </c>
    </row>
    <row r="174" spans="1:7" x14ac:dyDescent="0.25">
      <c r="A174" s="116" t="s">
        <v>27237</v>
      </c>
      <c r="B174" s="117" t="s">
        <v>242</v>
      </c>
      <c r="C174" t="s">
        <v>67</v>
      </c>
      <c r="D174" t="s">
        <v>67</v>
      </c>
      <c r="E174" t="s">
        <v>67</v>
      </c>
      <c r="F174" t="s">
        <v>45</v>
      </c>
      <c r="G174" s="117">
        <v>21.26</v>
      </c>
    </row>
    <row r="175" spans="1:7" x14ac:dyDescent="0.25">
      <c r="A175" s="116" t="s">
        <v>27238</v>
      </c>
      <c r="B175" s="117" t="s">
        <v>243</v>
      </c>
      <c r="C175" t="s">
        <v>67</v>
      </c>
      <c r="D175" t="s">
        <v>67</v>
      </c>
      <c r="E175" t="s">
        <v>67</v>
      </c>
      <c r="F175" t="s">
        <v>45</v>
      </c>
      <c r="G175" s="117">
        <v>17.7</v>
      </c>
    </row>
    <row r="176" spans="1:7" x14ac:dyDescent="0.25">
      <c r="A176" s="116" t="s">
        <v>27239</v>
      </c>
      <c r="B176" s="117" t="s">
        <v>244</v>
      </c>
      <c r="C176" t="s">
        <v>67</v>
      </c>
      <c r="D176" t="s">
        <v>67</v>
      </c>
      <c r="E176" t="s">
        <v>67</v>
      </c>
      <c r="F176" t="s">
        <v>27987</v>
      </c>
      <c r="G176" s="117">
        <v>9.6999999999999993</v>
      </c>
    </row>
    <row r="177" spans="1:7" x14ac:dyDescent="0.25">
      <c r="A177" s="116" t="s">
        <v>245</v>
      </c>
      <c r="B177" s="117" t="s">
        <v>246</v>
      </c>
      <c r="C177" t="s">
        <v>67</v>
      </c>
      <c r="D177" t="s">
        <v>67</v>
      </c>
      <c r="E177" t="s">
        <v>67</v>
      </c>
      <c r="F177" t="s">
        <v>45</v>
      </c>
      <c r="G177" s="117">
        <v>0</v>
      </c>
    </row>
    <row r="178" spans="1:7" x14ac:dyDescent="0.25">
      <c r="A178" s="116" t="s">
        <v>27240</v>
      </c>
      <c r="B178" s="117" t="s">
        <v>247</v>
      </c>
      <c r="C178" t="s">
        <v>67</v>
      </c>
      <c r="D178" t="s">
        <v>67</v>
      </c>
      <c r="E178" t="s">
        <v>67</v>
      </c>
      <c r="F178" t="s">
        <v>45</v>
      </c>
      <c r="G178" s="117">
        <v>14.68</v>
      </c>
    </row>
    <row r="179" spans="1:7" x14ac:dyDescent="0.25">
      <c r="A179" s="116" t="s">
        <v>27241</v>
      </c>
      <c r="B179" s="117" t="s">
        <v>248</v>
      </c>
      <c r="C179" t="s">
        <v>67</v>
      </c>
      <c r="D179" t="s">
        <v>67</v>
      </c>
      <c r="E179" t="s">
        <v>67</v>
      </c>
      <c r="F179" t="s">
        <v>27987</v>
      </c>
      <c r="G179" s="117">
        <v>7.92</v>
      </c>
    </row>
    <row r="180" spans="1:7" x14ac:dyDescent="0.25">
      <c r="A180" s="116" t="s">
        <v>27242</v>
      </c>
      <c r="B180" s="117" t="s">
        <v>249</v>
      </c>
      <c r="C180" t="s">
        <v>67</v>
      </c>
      <c r="D180" t="s">
        <v>67</v>
      </c>
      <c r="E180" t="s">
        <v>67</v>
      </c>
      <c r="F180" t="s">
        <v>45</v>
      </c>
      <c r="G180" s="117">
        <v>71.099999999999994</v>
      </c>
    </row>
    <row r="181" spans="1:7" x14ac:dyDescent="0.25">
      <c r="A181" s="116" t="s">
        <v>27243</v>
      </c>
      <c r="B181" s="117" t="s">
        <v>250</v>
      </c>
      <c r="C181" t="s">
        <v>67</v>
      </c>
      <c r="D181" t="s">
        <v>67</v>
      </c>
      <c r="E181" t="s">
        <v>67</v>
      </c>
      <c r="F181" t="s">
        <v>45</v>
      </c>
      <c r="G181" s="117">
        <v>3.56</v>
      </c>
    </row>
    <row r="182" spans="1:7" x14ac:dyDescent="0.25">
      <c r="A182" s="116" t="s">
        <v>251</v>
      </c>
      <c r="B182" s="117" t="s">
        <v>252</v>
      </c>
      <c r="C182" t="s">
        <v>67</v>
      </c>
      <c r="D182" t="s">
        <v>67</v>
      </c>
      <c r="E182" t="s">
        <v>67</v>
      </c>
      <c r="F182" t="s">
        <v>45</v>
      </c>
      <c r="G182" s="117">
        <v>0</v>
      </c>
    </row>
    <row r="183" spans="1:7" x14ac:dyDescent="0.25">
      <c r="A183" s="116" t="s">
        <v>27244</v>
      </c>
      <c r="B183" s="117" t="s">
        <v>253</v>
      </c>
      <c r="C183" t="s">
        <v>67</v>
      </c>
      <c r="D183" t="s">
        <v>67</v>
      </c>
      <c r="E183" t="s">
        <v>67</v>
      </c>
      <c r="F183" t="s">
        <v>45</v>
      </c>
      <c r="G183" s="117">
        <v>264.57</v>
      </c>
    </row>
    <row r="184" spans="1:7" x14ac:dyDescent="0.25">
      <c r="A184" s="116" t="s">
        <v>27245</v>
      </c>
      <c r="B184" s="117" t="s">
        <v>254</v>
      </c>
      <c r="C184" t="s">
        <v>67</v>
      </c>
      <c r="D184" t="s">
        <v>67</v>
      </c>
      <c r="E184" t="s">
        <v>67</v>
      </c>
      <c r="F184" t="s">
        <v>27987</v>
      </c>
      <c r="G184" s="117">
        <v>617.99</v>
      </c>
    </row>
    <row r="185" spans="1:7" x14ac:dyDescent="0.25">
      <c r="A185" s="116" t="s">
        <v>27246</v>
      </c>
      <c r="B185" s="117" t="s">
        <v>255</v>
      </c>
      <c r="C185" t="s">
        <v>67</v>
      </c>
      <c r="D185" t="s">
        <v>67</v>
      </c>
      <c r="E185" t="s">
        <v>67</v>
      </c>
      <c r="F185" t="s">
        <v>45</v>
      </c>
      <c r="G185" s="117">
        <v>6.14</v>
      </c>
    </row>
    <row r="186" spans="1:7" x14ac:dyDescent="0.25">
      <c r="A186" s="116" t="s">
        <v>27247</v>
      </c>
      <c r="B186" s="117" t="s">
        <v>28231</v>
      </c>
      <c r="C186" t="s">
        <v>67</v>
      </c>
      <c r="D186" t="s">
        <v>67</v>
      </c>
      <c r="E186" t="s">
        <v>67</v>
      </c>
      <c r="F186" t="s">
        <v>49</v>
      </c>
      <c r="G186" s="117">
        <v>15.04</v>
      </c>
    </row>
    <row r="187" spans="1:7" x14ac:dyDescent="0.25">
      <c r="A187" s="116" t="s">
        <v>27248</v>
      </c>
      <c r="B187" s="117" t="s">
        <v>256</v>
      </c>
      <c r="C187" t="s">
        <v>67</v>
      </c>
      <c r="D187" t="s">
        <v>67</v>
      </c>
      <c r="E187" t="s">
        <v>67</v>
      </c>
      <c r="F187" t="s">
        <v>27987</v>
      </c>
      <c r="G187" s="117">
        <v>289.11</v>
      </c>
    </row>
    <row r="188" spans="1:7" x14ac:dyDescent="0.25">
      <c r="A188" s="116" t="s">
        <v>27249</v>
      </c>
      <c r="B188" s="117" t="s">
        <v>257</v>
      </c>
      <c r="C188" t="s">
        <v>67</v>
      </c>
      <c r="D188" t="s">
        <v>67</v>
      </c>
      <c r="E188" t="s">
        <v>67</v>
      </c>
      <c r="F188" t="s">
        <v>27987</v>
      </c>
      <c r="G188" s="117">
        <v>168.62</v>
      </c>
    </row>
    <row r="189" spans="1:7" x14ac:dyDescent="0.25">
      <c r="A189" s="116" t="s">
        <v>27250</v>
      </c>
      <c r="B189" s="117" t="s">
        <v>258</v>
      </c>
      <c r="C189" t="s">
        <v>67</v>
      </c>
      <c r="D189" t="s">
        <v>67</v>
      </c>
      <c r="E189" t="s">
        <v>67</v>
      </c>
      <c r="F189" t="s">
        <v>49</v>
      </c>
      <c r="G189" s="117">
        <v>36.04</v>
      </c>
    </row>
    <row r="190" spans="1:7" x14ac:dyDescent="0.25">
      <c r="A190" s="116" t="s">
        <v>27251</v>
      </c>
      <c r="B190" s="117" t="s">
        <v>259</v>
      </c>
      <c r="C190" t="s">
        <v>67</v>
      </c>
      <c r="D190" t="s">
        <v>67</v>
      </c>
      <c r="E190" t="s">
        <v>67</v>
      </c>
      <c r="F190" t="s">
        <v>45</v>
      </c>
      <c r="G190" s="117">
        <v>28.38</v>
      </c>
    </row>
    <row r="191" spans="1:7" x14ac:dyDescent="0.25">
      <c r="A191" s="116" t="s">
        <v>27252</v>
      </c>
      <c r="B191" s="117" t="s">
        <v>260</v>
      </c>
      <c r="C191" t="s">
        <v>67</v>
      </c>
      <c r="D191" t="s">
        <v>67</v>
      </c>
      <c r="E191" t="s">
        <v>67</v>
      </c>
      <c r="F191" t="s">
        <v>45</v>
      </c>
      <c r="G191" s="117">
        <v>14.14</v>
      </c>
    </row>
    <row r="192" spans="1:7" x14ac:dyDescent="0.25">
      <c r="A192" s="116" t="s">
        <v>27253</v>
      </c>
      <c r="B192" s="117" t="s">
        <v>261</v>
      </c>
      <c r="C192" t="s">
        <v>67</v>
      </c>
      <c r="D192" t="s">
        <v>67</v>
      </c>
      <c r="E192" t="s">
        <v>67</v>
      </c>
      <c r="F192" t="s">
        <v>45</v>
      </c>
      <c r="G192" s="117">
        <v>24.82</v>
      </c>
    </row>
    <row r="193" spans="1:7" x14ac:dyDescent="0.25">
      <c r="A193" s="116" t="s">
        <v>27254</v>
      </c>
      <c r="B193" s="117" t="s">
        <v>262</v>
      </c>
      <c r="C193" t="s">
        <v>67</v>
      </c>
      <c r="D193" t="s">
        <v>67</v>
      </c>
      <c r="E193" t="s">
        <v>67</v>
      </c>
      <c r="F193" t="s">
        <v>45</v>
      </c>
      <c r="G193" s="117">
        <v>46.18</v>
      </c>
    </row>
    <row r="194" spans="1:7" x14ac:dyDescent="0.25">
      <c r="A194" s="116" t="s">
        <v>27255</v>
      </c>
      <c r="B194" s="117" t="s">
        <v>263</v>
      </c>
      <c r="C194" t="s">
        <v>67</v>
      </c>
      <c r="D194" t="s">
        <v>67</v>
      </c>
      <c r="E194" t="s">
        <v>67</v>
      </c>
      <c r="F194" t="s">
        <v>45</v>
      </c>
      <c r="G194" s="117">
        <v>772.29</v>
      </c>
    </row>
    <row r="195" spans="1:7" x14ac:dyDescent="0.25">
      <c r="A195" s="116" t="s">
        <v>27256</v>
      </c>
      <c r="B195" s="117" t="s">
        <v>264</v>
      </c>
      <c r="C195" t="s">
        <v>67</v>
      </c>
      <c r="D195" t="s">
        <v>67</v>
      </c>
      <c r="E195" t="s">
        <v>67</v>
      </c>
      <c r="F195" t="s">
        <v>45</v>
      </c>
      <c r="G195" s="117">
        <v>675.82</v>
      </c>
    </row>
    <row r="196" spans="1:7" x14ac:dyDescent="0.25">
      <c r="A196" s="116" t="s">
        <v>27257</v>
      </c>
      <c r="B196" s="117" t="s">
        <v>265</v>
      </c>
      <c r="C196" t="s">
        <v>67</v>
      </c>
      <c r="D196" t="s">
        <v>67</v>
      </c>
      <c r="E196" t="s">
        <v>67</v>
      </c>
      <c r="F196" t="s">
        <v>45</v>
      </c>
      <c r="G196" s="117">
        <v>1101.17</v>
      </c>
    </row>
    <row r="197" spans="1:7" x14ac:dyDescent="0.25">
      <c r="A197" s="116" t="s">
        <v>266</v>
      </c>
      <c r="B197" s="117" t="s">
        <v>267</v>
      </c>
      <c r="C197" t="s">
        <v>67</v>
      </c>
      <c r="D197" t="s">
        <v>67</v>
      </c>
      <c r="E197" t="s">
        <v>67</v>
      </c>
      <c r="F197" t="s">
        <v>45</v>
      </c>
      <c r="G197" s="117">
        <v>1.33</v>
      </c>
    </row>
    <row r="198" spans="1:7" x14ac:dyDescent="0.25">
      <c r="A198" s="116" t="s">
        <v>27258</v>
      </c>
      <c r="B198" s="117" t="s">
        <v>268</v>
      </c>
      <c r="C198" t="s">
        <v>67</v>
      </c>
      <c r="D198" t="s">
        <v>67</v>
      </c>
      <c r="E198" t="s">
        <v>67</v>
      </c>
      <c r="F198" t="s">
        <v>45</v>
      </c>
      <c r="G198" s="117">
        <v>31.94</v>
      </c>
    </row>
    <row r="199" spans="1:7" x14ac:dyDescent="0.25">
      <c r="A199" s="116" t="s">
        <v>269</v>
      </c>
      <c r="B199" s="117" t="s">
        <v>270</v>
      </c>
      <c r="C199" t="s">
        <v>67</v>
      </c>
      <c r="D199" t="s">
        <v>67</v>
      </c>
      <c r="E199" t="s">
        <v>67</v>
      </c>
      <c r="F199" t="s">
        <v>27987</v>
      </c>
      <c r="G199" s="117">
        <v>12.37</v>
      </c>
    </row>
    <row r="200" spans="1:7" x14ac:dyDescent="0.25">
      <c r="A200" s="116" t="s">
        <v>271</v>
      </c>
      <c r="B200" s="117" t="s">
        <v>272</v>
      </c>
      <c r="C200" t="s">
        <v>67</v>
      </c>
      <c r="D200" t="s">
        <v>67</v>
      </c>
      <c r="E200" t="s">
        <v>67</v>
      </c>
      <c r="F200" t="s">
        <v>27987</v>
      </c>
      <c r="G200" s="117">
        <v>22.69</v>
      </c>
    </row>
    <row r="201" spans="1:7" x14ac:dyDescent="0.25">
      <c r="A201" s="116" t="s">
        <v>273</v>
      </c>
      <c r="B201" s="117" t="s">
        <v>274</v>
      </c>
      <c r="C201" t="s">
        <v>67</v>
      </c>
      <c r="D201" t="s">
        <v>67</v>
      </c>
      <c r="E201" t="s">
        <v>67</v>
      </c>
      <c r="F201" t="s">
        <v>27987</v>
      </c>
      <c r="G201" s="117">
        <v>18.600000000000001</v>
      </c>
    </row>
    <row r="202" spans="1:7" x14ac:dyDescent="0.25">
      <c r="A202" s="116" t="s">
        <v>275</v>
      </c>
      <c r="B202" s="117" t="s">
        <v>276</v>
      </c>
      <c r="C202" t="s">
        <v>67</v>
      </c>
      <c r="D202" t="s">
        <v>67</v>
      </c>
      <c r="E202" t="s">
        <v>67</v>
      </c>
      <c r="F202" t="s">
        <v>49</v>
      </c>
      <c r="G202" s="117">
        <v>4.8899999999999997</v>
      </c>
    </row>
    <row r="203" spans="1:7" x14ac:dyDescent="0.25">
      <c r="A203" s="116" t="s">
        <v>27259</v>
      </c>
      <c r="B203" s="117" t="s">
        <v>277</v>
      </c>
      <c r="C203" t="s">
        <v>67</v>
      </c>
      <c r="D203" t="s">
        <v>67</v>
      </c>
      <c r="E203" t="s">
        <v>67</v>
      </c>
      <c r="F203" t="s">
        <v>45</v>
      </c>
      <c r="G203" s="117">
        <v>3.12</v>
      </c>
    </row>
    <row r="204" spans="1:7" x14ac:dyDescent="0.25">
      <c r="A204" s="116" t="s">
        <v>27260</v>
      </c>
      <c r="B204" s="117" t="s">
        <v>278</v>
      </c>
      <c r="C204" t="s">
        <v>67</v>
      </c>
      <c r="D204" t="s">
        <v>67</v>
      </c>
      <c r="E204" t="s">
        <v>67</v>
      </c>
      <c r="F204" t="s">
        <v>45</v>
      </c>
      <c r="G204" s="117">
        <v>8.4499999999999993</v>
      </c>
    </row>
    <row r="205" spans="1:7" x14ac:dyDescent="0.25">
      <c r="A205" s="116" t="s">
        <v>279</v>
      </c>
      <c r="B205" s="117" t="s">
        <v>280</v>
      </c>
      <c r="C205" t="s">
        <v>67</v>
      </c>
      <c r="D205" t="s">
        <v>67</v>
      </c>
      <c r="E205" t="s">
        <v>67</v>
      </c>
      <c r="F205" t="s">
        <v>45</v>
      </c>
      <c r="G205" s="117">
        <v>0.8</v>
      </c>
    </row>
    <row r="206" spans="1:7" x14ac:dyDescent="0.25">
      <c r="A206" s="116" t="s">
        <v>281</v>
      </c>
      <c r="B206" s="117" t="s">
        <v>280</v>
      </c>
      <c r="C206" t="s">
        <v>67</v>
      </c>
      <c r="D206" t="s">
        <v>67</v>
      </c>
      <c r="E206" t="s">
        <v>67</v>
      </c>
      <c r="F206" t="s">
        <v>27987</v>
      </c>
      <c r="G206" s="117">
        <v>1.33</v>
      </c>
    </row>
    <row r="207" spans="1:7" x14ac:dyDescent="0.25">
      <c r="A207" s="116" t="s">
        <v>27261</v>
      </c>
      <c r="B207" s="117" t="s">
        <v>282</v>
      </c>
      <c r="C207" t="s">
        <v>67</v>
      </c>
      <c r="D207" t="s">
        <v>67</v>
      </c>
      <c r="E207" t="s">
        <v>67</v>
      </c>
      <c r="F207" t="s">
        <v>49</v>
      </c>
      <c r="G207" s="117">
        <v>17.7</v>
      </c>
    </row>
    <row r="208" spans="1:7" x14ac:dyDescent="0.25">
      <c r="A208" s="116" t="s">
        <v>27262</v>
      </c>
      <c r="B208" s="117" t="s">
        <v>283</v>
      </c>
      <c r="C208" t="s">
        <v>67</v>
      </c>
      <c r="D208" t="s">
        <v>67</v>
      </c>
      <c r="E208" t="s">
        <v>67</v>
      </c>
      <c r="F208" t="s">
        <v>45</v>
      </c>
      <c r="G208" s="117">
        <v>35.5</v>
      </c>
    </row>
    <row r="209" spans="1:7" x14ac:dyDescent="0.25">
      <c r="A209" s="116" t="s">
        <v>27263</v>
      </c>
      <c r="B209" s="117" t="s">
        <v>284</v>
      </c>
      <c r="C209" t="s">
        <v>67</v>
      </c>
      <c r="D209" t="s">
        <v>67</v>
      </c>
      <c r="E209" t="s">
        <v>67</v>
      </c>
      <c r="F209" t="s">
        <v>45</v>
      </c>
      <c r="G209" s="117">
        <v>37.82</v>
      </c>
    </row>
    <row r="210" spans="1:7" x14ac:dyDescent="0.25">
      <c r="A210" s="116" t="s">
        <v>27264</v>
      </c>
      <c r="B210" s="117" t="s">
        <v>285</v>
      </c>
      <c r="C210" t="s">
        <v>67</v>
      </c>
      <c r="D210" t="s">
        <v>67</v>
      </c>
      <c r="E210" t="s">
        <v>67</v>
      </c>
      <c r="F210" t="s">
        <v>45</v>
      </c>
      <c r="G210" s="117">
        <v>87.14</v>
      </c>
    </row>
    <row r="211" spans="1:7" x14ac:dyDescent="0.25">
      <c r="A211" s="116" t="s">
        <v>27265</v>
      </c>
      <c r="B211" s="117" t="s">
        <v>286</v>
      </c>
      <c r="C211" t="s">
        <v>67</v>
      </c>
      <c r="D211" t="s">
        <v>67</v>
      </c>
      <c r="E211" t="s">
        <v>67</v>
      </c>
      <c r="F211" t="s">
        <v>45</v>
      </c>
      <c r="G211" s="117">
        <v>15.08</v>
      </c>
    </row>
    <row r="212" spans="1:7" x14ac:dyDescent="0.25">
      <c r="A212" s="116" t="s">
        <v>287</v>
      </c>
      <c r="B212" s="117" t="s">
        <v>137</v>
      </c>
      <c r="C212" t="s">
        <v>67</v>
      </c>
      <c r="D212" t="s">
        <v>67</v>
      </c>
      <c r="E212" t="s">
        <v>67</v>
      </c>
      <c r="F212" t="s">
        <v>45</v>
      </c>
      <c r="G212" s="117">
        <v>9.17</v>
      </c>
    </row>
    <row r="213" spans="1:7" x14ac:dyDescent="0.25">
      <c r="A213" s="116" t="s">
        <v>27266</v>
      </c>
      <c r="B213" s="117" t="s">
        <v>288</v>
      </c>
      <c r="C213" t="s">
        <v>67</v>
      </c>
      <c r="D213" t="s">
        <v>67</v>
      </c>
      <c r="E213" t="s">
        <v>67</v>
      </c>
      <c r="F213" t="s">
        <v>45</v>
      </c>
      <c r="G213" s="117">
        <v>22.69</v>
      </c>
    </row>
    <row r="214" spans="1:7" x14ac:dyDescent="0.25">
      <c r="A214" s="116" t="s">
        <v>27267</v>
      </c>
      <c r="B214" s="117" t="s">
        <v>289</v>
      </c>
      <c r="C214" t="s">
        <v>67</v>
      </c>
      <c r="D214" t="s">
        <v>67</v>
      </c>
      <c r="E214" t="s">
        <v>67</v>
      </c>
      <c r="F214" t="s">
        <v>45</v>
      </c>
      <c r="G214" s="117">
        <v>34.26</v>
      </c>
    </row>
    <row r="215" spans="1:7" x14ac:dyDescent="0.25">
      <c r="A215" s="116" t="s">
        <v>290</v>
      </c>
      <c r="B215" s="117" t="s">
        <v>291</v>
      </c>
      <c r="C215" t="s">
        <v>67</v>
      </c>
      <c r="D215" t="s">
        <v>67</v>
      </c>
      <c r="E215" t="s">
        <v>67</v>
      </c>
      <c r="F215" t="s">
        <v>27987</v>
      </c>
      <c r="G215" s="117">
        <v>31.94</v>
      </c>
    </row>
    <row r="216" spans="1:7" x14ac:dyDescent="0.25">
      <c r="A216" s="116" t="s">
        <v>292</v>
      </c>
      <c r="B216" s="117" t="s">
        <v>293</v>
      </c>
      <c r="C216" t="s">
        <v>67</v>
      </c>
      <c r="D216" t="s">
        <v>67</v>
      </c>
      <c r="E216" t="s">
        <v>67</v>
      </c>
      <c r="F216" t="s">
        <v>27987</v>
      </c>
      <c r="G216" s="117">
        <v>29.51</v>
      </c>
    </row>
    <row r="217" spans="1:7" x14ac:dyDescent="0.25">
      <c r="A217" s="116" t="s">
        <v>27268</v>
      </c>
      <c r="B217" s="117" t="s">
        <v>294</v>
      </c>
      <c r="C217" t="s">
        <v>67</v>
      </c>
      <c r="D217" t="s">
        <v>67</v>
      </c>
      <c r="E217" t="s">
        <v>67</v>
      </c>
      <c r="F217" t="s">
        <v>49</v>
      </c>
      <c r="G217" s="117">
        <v>78.75</v>
      </c>
    </row>
    <row r="218" spans="1:7" x14ac:dyDescent="0.25">
      <c r="A218" s="116" t="s">
        <v>27269</v>
      </c>
      <c r="B218" s="117" t="s">
        <v>28232</v>
      </c>
      <c r="C218" t="s">
        <v>67</v>
      </c>
      <c r="D218" t="s">
        <v>67</v>
      </c>
      <c r="E218" t="s">
        <v>67</v>
      </c>
      <c r="F218" t="s">
        <v>45</v>
      </c>
      <c r="G218" s="117">
        <v>129.94</v>
      </c>
    </row>
    <row r="219" spans="1:7" x14ac:dyDescent="0.25">
      <c r="A219" s="116" t="s">
        <v>27270</v>
      </c>
      <c r="B219" s="117" t="s">
        <v>28233</v>
      </c>
      <c r="C219" t="s">
        <v>67</v>
      </c>
      <c r="D219" t="s">
        <v>67</v>
      </c>
      <c r="E219" t="s">
        <v>67</v>
      </c>
      <c r="F219" t="s">
        <v>45</v>
      </c>
      <c r="G219" s="117">
        <v>2585.02</v>
      </c>
    </row>
    <row r="220" spans="1:7" x14ac:dyDescent="0.25">
      <c r="A220" s="116" t="s">
        <v>27271</v>
      </c>
      <c r="B220" s="117" t="s">
        <v>295</v>
      </c>
      <c r="C220" t="s">
        <v>67</v>
      </c>
      <c r="D220" t="s">
        <v>67</v>
      </c>
      <c r="E220" t="s">
        <v>67</v>
      </c>
      <c r="F220" t="s">
        <v>49</v>
      </c>
      <c r="G220" s="117">
        <v>157.84</v>
      </c>
    </row>
    <row r="221" spans="1:7" x14ac:dyDescent="0.25">
      <c r="A221" s="116" t="s">
        <v>27272</v>
      </c>
      <c r="B221" s="117" t="s">
        <v>296</v>
      </c>
      <c r="C221" t="s">
        <v>67</v>
      </c>
      <c r="D221" t="s">
        <v>67</v>
      </c>
      <c r="E221" t="s">
        <v>67</v>
      </c>
      <c r="F221" t="s">
        <v>45</v>
      </c>
      <c r="G221" s="117">
        <v>4.8899999999999997</v>
      </c>
    </row>
    <row r="222" spans="1:7" x14ac:dyDescent="0.25">
      <c r="A222" s="116" t="s">
        <v>27273</v>
      </c>
      <c r="B222" s="117" t="s">
        <v>297</v>
      </c>
      <c r="C222" t="s">
        <v>67</v>
      </c>
      <c r="D222" t="s">
        <v>67</v>
      </c>
      <c r="E222" t="s">
        <v>67</v>
      </c>
      <c r="F222" t="s">
        <v>45</v>
      </c>
      <c r="G222" s="117">
        <v>21.8</v>
      </c>
    </row>
    <row r="223" spans="1:7" x14ac:dyDescent="0.25">
      <c r="A223" s="116" t="s">
        <v>27274</v>
      </c>
      <c r="B223" s="117" t="s">
        <v>298</v>
      </c>
      <c r="C223" t="s">
        <v>67</v>
      </c>
      <c r="D223" t="s">
        <v>67</v>
      </c>
      <c r="E223" t="s">
        <v>67</v>
      </c>
      <c r="F223" t="s">
        <v>45</v>
      </c>
      <c r="G223" s="117">
        <v>57.75</v>
      </c>
    </row>
    <row r="224" spans="1:7" x14ac:dyDescent="0.25">
      <c r="A224" s="116" t="s">
        <v>27275</v>
      </c>
      <c r="B224" s="117" t="s">
        <v>299</v>
      </c>
      <c r="C224" t="s">
        <v>67</v>
      </c>
      <c r="D224" t="s">
        <v>67</v>
      </c>
      <c r="E224" t="s">
        <v>67</v>
      </c>
      <c r="F224" t="s">
        <v>45</v>
      </c>
      <c r="G224" s="117">
        <v>224.14</v>
      </c>
    </row>
    <row r="225" spans="1:7" x14ac:dyDescent="0.25">
      <c r="A225" s="116" t="s">
        <v>27276</v>
      </c>
      <c r="B225" s="117" t="s">
        <v>300</v>
      </c>
      <c r="C225" t="s">
        <v>67</v>
      </c>
      <c r="D225" t="s">
        <v>67</v>
      </c>
      <c r="E225" t="s">
        <v>67</v>
      </c>
      <c r="F225" t="s">
        <v>45</v>
      </c>
      <c r="G225" s="117">
        <v>0.13</v>
      </c>
    </row>
    <row r="226" spans="1:7" x14ac:dyDescent="0.25">
      <c r="A226" s="116" t="s">
        <v>27277</v>
      </c>
      <c r="B226" s="117" t="s">
        <v>301</v>
      </c>
      <c r="C226" t="s">
        <v>67</v>
      </c>
      <c r="D226" t="s">
        <v>67</v>
      </c>
      <c r="E226" t="s">
        <v>67</v>
      </c>
      <c r="F226" t="s">
        <v>45</v>
      </c>
      <c r="G226" s="117">
        <v>12.37</v>
      </c>
    </row>
    <row r="227" spans="1:7" x14ac:dyDescent="0.25">
      <c r="A227" s="116" t="s">
        <v>27278</v>
      </c>
      <c r="B227" s="117" t="s">
        <v>302</v>
      </c>
      <c r="C227" t="s">
        <v>67</v>
      </c>
      <c r="D227" t="s">
        <v>67</v>
      </c>
      <c r="E227" t="s">
        <v>67</v>
      </c>
      <c r="F227" t="s">
        <v>27987</v>
      </c>
      <c r="G227" s="117">
        <v>249.95</v>
      </c>
    </row>
    <row r="228" spans="1:7" x14ac:dyDescent="0.25">
      <c r="A228" s="116" t="s">
        <v>27279</v>
      </c>
      <c r="B228" s="117" t="s">
        <v>303</v>
      </c>
      <c r="C228" t="s">
        <v>67</v>
      </c>
      <c r="D228" t="s">
        <v>67</v>
      </c>
      <c r="E228" t="s">
        <v>67</v>
      </c>
      <c r="F228" t="s">
        <v>45</v>
      </c>
      <c r="G228" s="117">
        <v>41.38</v>
      </c>
    </row>
    <row r="229" spans="1:7" x14ac:dyDescent="0.25">
      <c r="A229" s="116" t="s">
        <v>27280</v>
      </c>
      <c r="B229" s="117" t="s">
        <v>304</v>
      </c>
      <c r="C229" t="s">
        <v>67</v>
      </c>
      <c r="D229" t="s">
        <v>67</v>
      </c>
      <c r="E229" t="s">
        <v>67</v>
      </c>
      <c r="F229" t="s">
        <v>27987</v>
      </c>
      <c r="G229" s="117">
        <v>16.46</v>
      </c>
    </row>
    <row r="230" spans="1:7" x14ac:dyDescent="0.25">
      <c r="A230" s="116" t="s">
        <v>27281</v>
      </c>
      <c r="B230" s="117" t="s">
        <v>305</v>
      </c>
      <c r="C230" t="s">
        <v>67</v>
      </c>
      <c r="D230" t="s">
        <v>67</v>
      </c>
      <c r="E230" t="s">
        <v>67</v>
      </c>
      <c r="F230" t="s">
        <v>27987</v>
      </c>
      <c r="G230" s="117">
        <v>130.71</v>
      </c>
    </row>
    <row r="231" spans="1:7" x14ac:dyDescent="0.25">
      <c r="A231" s="116" t="s">
        <v>27282</v>
      </c>
      <c r="B231" s="117" t="s">
        <v>306</v>
      </c>
      <c r="C231" t="s">
        <v>67</v>
      </c>
      <c r="D231" t="s">
        <v>67</v>
      </c>
      <c r="E231" t="s">
        <v>67</v>
      </c>
      <c r="F231" t="s">
        <v>45</v>
      </c>
      <c r="G231" s="117">
        <v>9.6999999999999993</v>
      </c>
    </row>
    <row r="232" spans="1:7" x14ac:dyDescent="0.25">
      <c r="A232" s="116" t="s">
        <v>27283</v>
      </c>
      <c r="B232" s="117" t="s">
        <v>307</v>
      </c>
      <c r="C232" t="s">
        <v>67</v>
      </c>
      <c r="D232" t="s">
        <v>67</v>
      </c>
      <c r="E232" t="s">
        <v>67</v>
      </c>
      <c r="F232" t="s">
        <v>45</v>
      </c>
      <c r="G232" s="117">
        <v>75.19</v>
      </c>
    </row>
    <row r="233" spans="1:7" x14ac:dyDescent="0.25">
      <c r="A233" s="116" t="s">
        <v>27284</v>
      </c>
      <c r="B233" s="117" t="s">
        <v>295</v>
      </c>
      <c r="C233" t="s">
        <v>67</v>
      </c>
      <c r="D233" t="s">
        <v>67</v>
      </c>
      <c r="E233" t="s">
        <v>67</v>
      </c>
      <c r="F233" t="s">
        <v>45</v>
      </c>
      <c r="G233" s="117">
        <v>71.099999999999994</v>
      </c>
    </row>
    <row r="234" spans="1:7" x14ac:dyDescent="0.25">
      <c r="A234" s="116" t="s">
        <v>27285</v>
      </c>
      <c r="B234" s="117" t="s">
        <v>303</v>
      </c>
      <c r="C234" t="s">
        <v>67</v>
      </c>
      <c r="D234" t="s">
        <v>67</v>
      </c>
      <c r="E234" t="s">
        <v>67</v>
      </c>
      <c r="F234" t="s">
        <v>27987</v>
      </c>
      <c r="G234" s="117">
        <v>139.26</v>
      </c>
    </row>
    <row r="235" spans="1:7" x14ac:dyDescent="0.25">
      <c r="A235" s="116" t="s">
        <v>27286</v>
      </c>
      <c r="B235" s="117" t="s">
        <v>308</v>
      </c>
      <c r="C235" t="s">
        <v>67</v>
      </c>
      <c r="D235" t="s">
        <v>67</v>
      </c>
      <c r="E235" t="s">
        <v>67</v>
      </c>
      <c r="F235" t="s">
        <v>45</v>
      </c>
      <c r="G235" s="117">
        <v>90.32</v>
      </c>
    </row>
    <row r="236" spans="1:7" x14ac:dyDescent="0.25">
      <c r="A236" s="116" t="s">
        <v>27287</v>
      </c>
      <c r="B236" s="117" t="s">
        <v>309</v>
      </c>
      <c r="C236" t="s">
        <v>67</v>
      </c>
      <c r="D236" t="s">
        <v>67</v>
      </c>
      <c r="E236" t="s">
        <v>67</v>
      </c>
      <c r="F236" t="s">
        <v>45</v>
      </c>
      <c r="G236" s="117">
        <v>71.989999999999995</v>
      </c>
    </row>
    <row r="237" spans="1:7" x14ac:dyDescent="0.25">
      <c r="A237" s="116" t="s">
        <v>27288</v>
      </c>
      <c r="B237" s="117" t="s">
        <v>310</v>
      </c>
      <c r="C237" t="s">
        <v>67</v>
      </c>
      <c r="D237" t="s">
        <v>67</v>
      </c>
      <c r="E237" t="s">
        <v>67</v>
      </c>
      <c r="F237" t="s">
        <v>45</v>
      </c>
      <c r="G237" s="117">
        <v>14.14</v>
      </c>
    </row>
    <row r="238" spans="1:7" x14ac:dyDescent="0.25">
      <c r="A238" s="116" t="s">
        <v>27289</v>
      </c>
      <c r="B238" s="117" t="s">
        <v>311</v>
      </c>
      <c r="C238" t="s">
        <v>67</v>
      </c>
      <c r="D238" t="s">
        <v>67</v>
      </c>
      <c r="E238" t="s">
        <v>67</v>
      </c>
      <c r="F238" t="s">
        <v>45</v>
      </c>
      <c r="G238" s="117">
        <v>1392.24</v>
      </c>
    </row>
    <row r="239" spans="1:7" x14ac:dyDescent="0.25">
      <c r="A239" s="116" t="s">
        <v>27290</v>
      </c>
      <c r="B239" s="117" t="s">
        <v>312</v>
      </c>
      <c r="C239" t="s">
        <v>67</v>
      </c>
      <c r="D239" t="s">
        <v>67</v>
      </c>
      <c r="E239" t="s">
        <v>67</v>
      </c>
      <c r="F239" t="s">
        <v>45</v>
      </c>
      <c r="G239" s="117">
        <v>514.16999999999996</v>
      </c>
    </row>
    <row r="240" spans="1:7" x14ac:dyDescent="0.25">
      <c r="A240" s="116" t="s">
        <v>27291</v>
      </c>
      <c r="B240" s="117" t="s">
        <v>313</v>
      </c>
      <c r="C240" t="s">
        <v>67</v>
      </c>
      <c r="D240" t="s">
        <v>67</v>
      </c>
      <c r="E240" t="s">
        <v>67</v>
      </c>
      <c r="F240" t="s">
        <v>45</v>
      </c>
      <c r="G240" s="117">
        <v>742.2</v>
      </c>
    </row>
    <row r="241" spans="1:7" x14ac:dyDescent="0.25">
      <c r="A241" s="116" t="s">
        <v>27292</v>
      </c>
      <c r="B241" s="117" t="s">
        <v>314</v>
      </c>
      <c r="C241" t="s">
        <v>67</v>
      </c>
      <c r="D241" t="s">
        <v>67</v>
      </c>
      <c r="E241" t="s">
        <v>67</v>
      </c>
      <c r="F241" t="s">
        <v>27987</v>
      </c>
      <c r="G241" s="117">
        <v>1.97</v>
      </c>
    </row>
    <row r="242" spans="1:7" x14ac:dyDescent="0.25">
      <c r="A242" s="116" t="s">
        <v>27293</v>
      </c>
      <c r="B242" s="117" t="s">
        <v>315</v>
      </c>
      <c r="C242" t="s">
        <v>67</v>
      </c>
      <c r="D242" t="s">
        <v>67</v>
      </c>
      <c r="E242" t="s">
        <v>67</v>
      </c>
      <c r="F242" t="s">
        <v>27987</v>
      </c>
      <c r="G242" s="117">
        <v>94.76</v>
      </c>
    </row>
    <row r="243" spans="1:7" x14ac:dyDescent="0.25">
      <c r="A243" s="116" t="s">
        <v>27294</v>
      </c>
      <c r="B243" s="117" t="s">
        <v>316</v>
      </c>
      <c r="C243" t="s">
        <v>67</v>
      </c>
      <c r="D243" t="s">
        <v>67</v>
      </c>
      <c r="E243" t="s">
        <v>67</v>
      </c>
      <c r="F243" t="s">
        <v>27987</v>
      </c>
      <c r="G243" s="117">
        <v>3.56</v>
      </c>
    </row>
    <row r="244" spans="1:7" x14ac:dyDescent="0.25">
      <c r="A244" s="116" t="s">
        <v>27295</v>
      </c>
      <c r="B244" s="117" t="s">
        <v>317</v>
      </c>
      <c r="C244" t="s">
        <v>67</v>
      </c>
      <c r="D244" t="s">
        <v>67</v>
      </c>
      <c r="E244" t="s">
        <v>67</v>
      </c>
      <c r="F244" t="s">
        <v>27987</v>
      </c>
      <c r="G244" s="117">
        <v>46.71</v>
      </c>
    </row>
    <row r="245" spans="1:7" x14ac:dyDescent="0.25">
      <c r="A245" s="116" t="s">
        <v>318</v>
      </c>
      <c r="B245" s="117" t="s">
        <v>319</v>
      </c>
      <c r="C245" t="s">
        <v>67</v>
      </c>
      <c r="D245" t="s">
        <v>67</v>
      </c>
      <c r="E245" t="s">
        <v>67</v>
      </c>
      <c r="F245" t="s">
        <v>45</v>
      </c>
      <c r="G245" s="117">
        <v>31.58</v>
      </c>
    </row>
    <row r="246" spans="1:7" x14ac:dyDescent="0.25">
      <c r="A246" s="116" t="s">
        <v>320</v>
      </c>
      <c r="B246" s="117" t="s">
        <v>321</v>
      </c>
      <c r="C246" t="s">
        <v>67</v>
      </c>
      <c r="D246" t="s">
        <v>67</v>
      </c>
      <c r="E246" t="s">
        <v>67</v>
      </c>
      <c r="F246" t="s">
        <v>49</v>
      </c>
      <c r="G246" s="117">
        <v>41.38</v>
      </c>
    </row>
    <row r="247" spans="1:7" x14ac:dyDescent="0.25">
      <c r="A247" s="116" t="s">
        <v>30255</v>
      </c>
      <c r="B247" s="117" t="s">
        <v>30686</v>
      </c>
      <c r="C247" t="s">
        <v>67</v>
      </c>
      <c r="D247" t="s">
        <v>67</v>
      </c>
      <c r="E247" t="s">
        <v>67</v>
      </c>
      <c r="F247" t="s">
        <v>45</v>
      </c>
      <c r="G247" s="117">
        <v>40</v>
      </c>
    </row>
    <row r="248" spans="1:7" x14ac:dyDescent="0.25">
      <c r="A248" s="116" t="s">
        <v>322</v>
      </c>
      <c r="B248" s="117" t="s">
        <v>323</v>
      </c>
      <c r="C248" t="s">
        <v>67</v>
      </c>
      <c r="D248" t="s">
        <v>67</v>
      </c>
      <c r="E248" t="s">
        <v>67</v>
      </c>
      <c r="F248" t="s">
        <v>45</v>
      </c>
      <c r="G248" s="117">
        <v>236.25</v>
      </c>
    </row>
    <row r="249" spans="1:7" x14ac:dyDescent="0.25">
      <c r="A249" s="116" t="s">
        <v>324</v>
      </c>
      <c r="B249" s="117" t="s">
        <v>325</v>
      </c>
      <c r="C249" t="s">
        <v>67</v>
      </c>
      <c r="D249" t="s">
        <v>67</v>
      </c>
      <c r="E249" t="s">
        <v>67</v>
      </c>
      <c r="F249" t="s">
        <v>45</v>
      </c>
      <c r="G249" s="117">
        <v>10.24</v>
      </c>
    </row>
    <row r="250" spans="1:7" x14ac:dyDescent="0.25">
      <c r="A250" s="116" t="s">
        <v>326</v>
      </c>
      <c r="B250" s="117" t="s">
        <v>327</v>
      </c>
      <c r="C250" t="s">
        <v>67</v>
      </c>
      <c r="D250" t="s">
        <v>67</v>
      </c>
      <c r="E250" t="s">
        <v>67</v>
      </c>
      <c r="F250" t="s">
        <v>45</v>
      </c>
      <c r="G250" s="117">
        <v>48.5</v>
      </c>
    </row>
    <row r="251" spans="1:7" x14ac:dyDescent="0.25">
      <c r="A251" s="116" t="s">
        <v>30117</v>
      </c>
      <c r="B251" s="117" t="s">
        <v>30343</v>
      </c>
      <c r="C251" t="s">
        <v>67</v>
      </c>
      <c r="D251" t="s">
        <v>67</v>
      </c>
      <c r="E251" t="s">
        <v>67</v>
      </c>
      <c r="F251" t="s">
        <v>27987</v>
      </c>
      <c r="G251" s="117">
        <v>41.27</v>
      </c>
    </row>
    <row r="252" spans="1:7" x14ac:dyDescent="0.25">
      <c r="A252" s="116" t="s">
        <v>328</v>
      </c>
      <c r="B252" s="117" t="s">
        <v>329</v>
      </c>
      <c r="C252" t="s">
        <v>67</v>
      </c>
      <c r="D252" t="s">
        <v>67</v>
      </c>
      <c r="E252" t="s">
        <v>67</v>
      </c>
      <c r="F252" t="s">
        <v>27987</v>
      </c>
      <c r="G252" s="117">
        <v>113.45</v>
      </c>
    </row>
    <row r="253" spans="1:7" x14ac:dyDescent="0.25">
      <c r="A253" s="116" t="s">
        <v>330</v>
      </c>
      <c r="B253" s="117" t="s">
        <v>331</v>
      </c>
      <c r="C253" t="s">
        <v>67</v>
      </c>
      <c r="D253" t="s">
        <v>67</v>
      </c>
      <c r="E253" t="s">
        <v>67</v>
      </c>
      <c r="F253" t="s">
        <v>45</v>
      </c>
      <c r="G253" s="117">
        <v>94.76</v>
      </c>
    </row>
    <row r="254" spans="1:7" x14ac:dyDescent="0.25">
      <c r="A254" s="116" t="s">
        <v>332</v>
      </c>
      <c r="B254" s="117" t="s">
        <v>333</v>
      </c>
      <c r="C254" t="s">
        <v>67</v>
      </c>
      <c r="D254" t="s">
        <v>67</v>
      </c>
      <c r="E254" t="s">
        <v>67</v>
      </c>
      <c r="F254" t="s">
        <v>27987</v>
      </c>
      <c r="G254" s="117">
        <v>176.99</v>
      </c>
    </row>
    <row r="255" spans="1:7" x14ac:dyDescent="0.25">
      <c r="A255" s="116" t="s">
        <v>334</v>
      </c>
      <c r="B255" s="117" t="s">
        <v>335</v>
      </c>
      <c r="C255" t="s">
        <v>67</v>
      </c>
      <c r="D255" t="s">
        <v>67</v>
      </c>
      <c r="E255" t="s">
        <v>67</v>
      </c>
      <c r="F255" t="s">
        <v>27987</v>
      </c>
      <c r="G255" s="117">
        <v>64.510000000000005</v>
      </c>
    </row>
    <row r="256" spans="1:7" x14ac:dyDescent="0.25">
      <c r="A256" s="116" t="s">
        <v>336</v>
      </c>
      <c r="B256" s="117" t="s">
        <v>337</v>
      </c>
      <c r="C256" t="s">
        <v>67</v>
      </c>
      <c r="D256" t="s">
        <v>67</v>
      </c>
      <c r="E256" t="s">
        <v>67</v>
      </c>
      <c r="F256" t="s">
        <v>27987</v>
      </c>
      <c r="G256" s="117">
        <v>141.93</v>
      </c>
    </row>
    <row r="257" spans="1:7" x14ac:dyDescent="0.25">
      <c r="A257" s="116" t="s">
        <v>338</v>
      </c>
      <c r="B257" s="117" t="s">
        <v>339</v>
      </c>
      <c r="C257" t="s">
        <v>67</v>
      </c>
      <c r="D257" t="s">
        <v>67</v>
      </c>
      <c r="E257" t="s">
        <v>67</v>
      </c>
      <c r="F257" t="s">
        <v>45</v>
      </c>
      <c r="G257" s="117">
        <v>47.61</v>
      </c>
    </row>
    <row r="258" spans="1:7" x14ac:dyDescent="0.25">
      <c r="A258" s="116" t="s">
        <v>340</v>
      </c>
      <c r="B258" s="117" t="s">
        <v>28234</v>
      </c>
      <c r="C258" t="s">
        <v>67</v>
      </c>
      <c r="D258" t="s">
        <v>67</v>
      </c>
      <c r="E258" t="s">
        <v>67</v>
      </c>
      <c r="F258" t="s">
        <v>27987</v>
      </c>
      <c r="G258" s="117">
        <v>49.74</v>
      </c>
    </row>
    <row r="259" spans="1:7" x14ac:dyDescent="0.25">
      <c r="A259" s="116" t="s">
        <v>341</v>
      </c>
      <c r="B259" s="117" t="s">
        <v>342</v>
      </c>
      <c r="C259" t="s">
        <v>67</v>
      </c>
      <c r="D259" t="s">
        <v>67</v>
      </c>
      <c r="E259" t="s">
        <v>67</v>
      </c>
      <c r="F259" t="s">
        <v>27987</v>
      </c>
      <c r="G259" s="117">
        <v>93.35</v>
      </c>
    </row>
    <row r="260" spans="1:7" x14ac:dyDescent="0.25">
      <c r="A260" s="116" t="s">
        <v>343</v>
      </c>
      <c r="B260" s="117" t="s">
        <v>344</v>
      </c>
      <c r="C260" t="s">
        <v>67</v>
      </c>
      <c r="D260" t="s">
        <v>67</v>
      </c>
      <c r="E260" t="s">
        <v>67</v>
      </c>
      <c r="F260" t="s">
        <v>27987</v>
      </c>
      <c r="G260" s="117">
        <v>39.06</v>
      </c>
    </row>
    <row r="261" spans="1:7" x14ac:dyDescent="0.25">
      <c r="A261" s="116" t="s">
        <v>345</v>
      </c>
      <c r="B261" s="117" t="s">
        <v>346</v>
      </c>
      <c r="C261" t="s">
        <v>67</v>
      </c>
      <c r="D261" t="s">
        <v>67</v>
      </c>
      <c r="E261" t="s">
        <v>67</v>
      </c>
      <c r="F261" t="s">
        <v>45</v>
      </c>
      <c r="G261" s="117">
        <v>212.58</v>
      </c>
    </row>
    <row r="262" spans="1:7" x14ac:dyDescent="0.25">
      <c r="A262" s="116" t="s">
        <v>347</v>
      </c>
      <c r="B262" s="117" t="s">
        <v>348</v>
      </c>
      <c r="C262" t="s">
        <v>67</v>
      </c>
      <c r="D262" t="s">
        <v>67</v>
      </c>
      <c r="E262" t="s">
        <v>67</v>
      </c>
      <c r="F262" t="s">
        <v>45</v>
      </c>
      <c r="G262" s="117">
        <v>42.62</v>
      </c>
    </row>
    <row r="263" spans="1:7" x14ac:dyDescent="0.25">
      <c r="A263" s="116" t="s">
        <v>349</v>
      </c>
      <c r="B263" s="117" t="s">
        <v>350</v>
      </c>
      <c r="C263" t="s">
        <v>67</v>
      </c>
      <c r="D263" t="s">
        <v>67</v>
      </c>
      <c r="E263" t="s">
        <v>67</v>
      </c>
      <c r="F263" t="s">
        <v>27987</v>
      </c>
      <c r="G263" s="117">
        <v>34.619999999999997</v>
      </c>
    </row>
    <row r="264" spans="1:7" x14ac:dyDescent="0.25">
      <c r="A264" s="116" t="s">
        <v>351</v>
      </c>
      <c r="B264" s="117" t="s">
        <v>352</v>
      </c>
      <c r="C264" t="s">
        <v>67</v>
      </c>
      <c r="D264" t="s">
        <v>67</v>
      </c>
      <c r="E264" t="s">
        <v>67</v>
      </c>
      <c r="F264" t="s">
        <v>45</v>
      </c>
      <c r="G264" s="117">
        <v>32.83</v>
      </c>
    </row>
    <row r="265" spans="1:7" x14ac:dyDescent="0.25">
      <c r="A265" s="116" t="s">
        <v>353</v>
      </c>
      <c r="B265" s="117" t="s">
        <v>28234</v>
      </c>
      <c r="C265" t="s">
        <v>67</v>
      </c>
      <c r="D265" t="s">
        <v>67</v>
      </c>
      <c r="E265" t="s">
        <v>67</v>
      </c>
      <c r="F265" t="s">
        <v>27990</v>
      </c>
      <c r="G265" s="117">
        <v>44.94</v>
      </c>
    </row>
    <row r="266" spans="1:7" x14ac:dyDescent="0.25">
      <c r="A266" s="116" t="s">
        <v>354</v>
      </c>
      <c r="B266" s="117" t="s">
        <v>355</v>
      </c>
      <c r="C266" t="s">
        <v>67</v>
      </c>
      <c r="D266" t="s">
        <v>67</v>
      </c>
      <c r="E266" t="s">
        <v>67</v>
      </c>
      <c r="F266" t="s">
        <v>45</v>
      </c>
      <c r="G266" s="117">
        <v>42.62</v>
      </c>
    </row>
    <row r="267" spans="1:7" x14ac:dyDescent="0.25">
      <c r="A267" s="116" t="s">
        <v>356</v>
      </c>
      <c r="B267" s="117" t="s">
        <v>30124</v>
      </c>
      <c r="C267" t="s">
        <v>67</v>
      </c>
      <c r="D267" t="s">
        <v>67</v>
      </c>
      <c r="E267" t="s">
        <v>67</v>
      </c>
      <c r="F267" t="s">
        <v>49</v>
      </c>
      <c r="G267" s="117">
        <v>88.89</v>
      </c>
    </row>
    <row r="268" spans="1:7" x14ac:dyDescent="0.25">
      <c r="A268" s="116" t="s">
        <v>357</v>
      </c>
      <c r="B268" s="117" t="s">
        <v>342</v>
      </c>
      <c r="C268" t="s">
        <v>67</v>
      </c>
      <c r="D268" t="s">
        <v>67</v>
      </c>
      <c r="E268" t="s">
        <v>67</v>
      </c>
      <c r="F268" t="s">
        <v>27987</v>
      </c>
      <c r="G268" s="117">
        <v>388.76</v>
      </c>
    </row>
    <row r="269" spans="1:7" x14ac:dyDescent="0.25">
      <c r="A269" s="116" t="s">
        <v>358</v>
      </c>
      <c r="B269" s="117" t="s">
        <v>28235</v>
      </c>
      <c r="C269" t="s">
        <v>67</v>
      </c>
      <c r="D269" t="s">
        <v>67</v>
      </c>
      <c r="E269" t="s">
        <v>67</v>
      </c>
      <c r="F269" t="s">
        <v>27987</v>
      </c>
      <c r="G269" s="117">
        <v>162.75</v>
      </c>
    </row>
    <row r="270" spans="1:7" x14ac:dyDescent="0.25">
      <c r="A270" s="116" t="s">
        <v>28236</v>
      </c>
      <c r="B270" s="117" t="s">
        <v>529</v>
      </c>
      <c r="C270" t="s">
        <v>67</v>
      </c>
      <c r="D270" t="s">
        <v>67</v>
      </c>
      <c r="E270" t="s">
        <v>67</v>
      </c>
      <c r="F270" t="s">
        <v>27987</v>
      </c>
      <c r="G270" s="117">
        <v>34.130000000000003</v>
      </c>
    </row>
    <row r="271" spans="1:7" x14ac:dyDescent="0.25">
      <c r="A271" s="116" t="s">
        <v>359</v>
      </c>
      <c r="B271" s="117" t="s">
        <v>360</v>
      </c>
      <c r="C271" t="s">
        <v>67</v>
      </c>
      <c r="D271" t="s">
        <v>67</v>
      </c>
      <c r="E271" t="s">
        <v>67</v>
      </c>
      <c r="F271" t="s">
        <v>27987</v>
      </c>
      <c r="G271" s="117">
        <v>31.4</v>
      </c>
    </row>
    <row r="272" spans="1:7" x14ac:dyDescent="0.25">
      <c r="A272" s="116" t="s">
        <v>361</v>
      </c>
      <c r="B272" s="117" t="s">
        <v>362</v>
      </c>
      <c r="C272" t="s">
        <v>67</v>
      </c>
      <c r="D272" t="s">
        <v>67</v>
      </c>
      <c r="E272" t="s">
        <v>67</v>
      </c>
      <c r="F272" t="s">
        <v>45</v>
      </c>
      <c r="G272" s="117">
        <v>307.93</v>
      </c>
    </row>
    <row r="273" spans="1:7" x14ac:dyDescent="0.25">
      <c r="A273" s="116" t="s">
        <v>363</v>
      </c>
      <c r="B273" s="117" t="s">
        <v>364</v>
      </c>
      <c r="C273" t="s">
        <v>67</v>
      </c>
      <c r="D273" t="s">
        <v>67</v>
      </c>
      <c r="E273" t="s">
        <v>67</v>
      </c>
      <c r="F273" t="s">
        <v>27987</v>
      </c>
      <c r="G273" s="117">
        <v>116.12</v>
      </c>
    </row>
    <row r="274" spans="1:7" x14ac:dyDescent="0.25">
      <c r="A274" s="116" t="s">
        <v>365</v>
      </c>
      <c r="B274" s="117" t="s">
        <v>366</v>
      </c>
      <c r="C274" t="s">
        <v>67</v>
      </c>
      <c r="D274" t="s">
        <v>67</v>
      </c>
      <c r="E274" t="s">
        <v>67</v>
      </c>
      <c r="F274" t="s">
        <v>27987</v>
      </c>
      <c r="G274" s="117">
        <v>9.42</v>
      </c>
    </row>
    <row r="275" spans="1:7" x14ac:dyDescent="0.25">
      <c r="A275" s="116" t="s">
        <v>27975</v>
      </c>
      <c r="B275" s="117" t="s">
        <v>362</v>
      </c>
      <c r="C275" t="s">
        <v>67</v>
      </c>
      <c r="D275" t="s">
        <v>67</v>
      </c>
      <c r="E275" t="s">
        <v>67</v>
      </c>
      <c r="F275" t="s">
        <v>45</v>
      </c>
      <c r="G275" s="117">
        <v>319</v>
      </c>
    </row>
    <row r="276" spans="1:7" x14ac:dyDescent="0.25">
      <c r="A276" s="116" t="s">
        <v>28237</v>
      </c>
      <c r="B276" s="117" t="s">
        <v>28238</v>
      </c>
      <c r="C276" t="s">
        <v>67</v>
      </c>
      <c r="D276" t="s">
        <v>67</v>
      </c>
      <c r="E276" t="s">
        <v>67</v>
      </c>
      <c r="F276" t="s">
        <v>49</v>
      </c>
      <c r="G276" s="117">
        <v>41.06</v>
      </c>
    </row>
    <row r="277" spans="1:7" x14ac:dyDescent="0.25">
      <c r="A277" s="116" t="s">
        <v>367</v>
      </c>
      <c r="B277" s="117" t="s">
        <v>368</v>
      </c>
      <c r="C277" t="s">
        <v>67</v>
      </c>
      <c r="D277" t="s">
        <v>67</v>
      </c>
      <c r="E277" t="s">
        <v>67</v>
      </c>
      <c r="F277" t="s">
        <v>27987</v>
      </c>
      <c r="G277" s="117">
        <v>1052.0899999999999</v>
      </c>
    </row>
    <row r="278" spans="1:7" x14ac:dyDescent="0.25">
      <c r="A278" s="116" t="s">
        <v>31208</v>
      </c>
      <c r="B278" s="117" t="s">
        <v>31209</v>
      </c>
      <c r="C278" t="s">
        <v>67</v>
      </c>
      <c r="D278" t="s">
        <v>67</v>
      </c>
      <c r="E278" t="s">
        <v>67</v>
      </c>
      <c r="F278" t="s">
        <v>45</v>
      </c>
      <c r="G278" s="117">
        <v>23</v>
      </c>
    </row>
    <row r="279" spans="1:7" x14ac:dyDescent="0.25">
      <c r="A279" s="116" t="s">
        <v>31210</v>
      </c>
      <c r="B279" s="117" t="s">
        <v>31211</v>
      </c>
      <c r="C279" t="s">
        <v>67</v>
      </c>
      <c r="D279" t="s">
        <v>67</v>
      </c>
      <c r="E279" t="s">
        <v>67</v>
      </c>
      <c r="F279" t="s">
        <v>45</v>
      </c>
      <c r="G279" s="117">
        <v>23</v>
      </c>
    </row>
    <row r="280" spans="1:7" x14ac:dyDescent="0.25">
      <c r="A280" s="116" t="s">
        <v>30651</v>
      </c>
      <c r="B280" s="117" t="s">
        <v>30652</v>
      </c>
      <c r="C280" t="s">
        <v>67</v>
      </c>
      <c r="D280" t="s">
        <v>67</v>
      </c>
      <c r="E280" t="s">
        <v>67</v>
      </c>
      <c r="F280" t="s">
        <v>45</v>
      </c>
      <c r="G280" s="117">
        <v>65</v>
      </c>
    </row>
    <row r="281" spans="1:7" x14ac:dyDescent="0.25">
      <c r="A281" s="116" t="s">
        <v>28175</v>
      </c>
      <c r="B281" s="117" t="s">
        <v>28176</v>
      </c>
      <c r="C281" t="s">
        <v>67</v>
      </c>
      <c r="D281" t="s">
        <v>67</v>
      </c>
      <c r="E281" t="s">
        <v>67</v>
      </c>
      <c r="F281" t="s">
        <v>27987</v>
      </c>
      <c r="G281" s="117">
        <v>130</v>
      </c>
    </row>
    <row r="282" spans="1:7" x14ac:dyDescent="0.25">
      <c r="A282" s="116" t="s">
        <v>26674</v>
      </c>
      <c r="B282" s="117" t="s">
        <v>26675</v>
      </c>
      <c r="C282" t="s">
        <v>67</v>
      </c>
      <c r="D282" t="s">
        <v>67</v>
      </c>
      <c r="E282" t="s">
        <v>67</v>
      </c>
      <c r="F282" t="s">
        <v>27987</v>
      </c>
      <c r="G282" s="117">
        <v>125</v>
      </c>
    </row>
    <row r="283" spans="1:7" x14ac:dyDescent="0.25">
      <c r="A283" s="116" t="s">
        <v>28239</v>
      </c>
      <c r="B283" s="117" t="s">
        <v>30015</v>
      </c>
      <c r="C283" t="s">
        <v>67</v>
      </c>
      <c r="D283" t="s">
        <v>67</v>
      </c>
      <c r="E283" t="s">
        <v>67</v>
      </c>
      <c r="F283" t="s">
        <v>27987</v>
      </c>
      <c r="G283" s="117">
        <v>102.59</v>
      </c>
    </row>
    <row r="284" spans="1:7" x14ac:dyDescent="0.25">
      <c r="A284" s="116" t="s">
        <v>30687</v>
      </c>
      <c r="B284" s="117" t="s">
        <v>30688</v>
      </c>
      <c r="C284" t="s">
        <v>67</v>
      </c>
      <c r="D284" t="s">
        <v>67</v>
      </c>
      <c r="E284" t="s">
        <v>67</v>
      </c>
      <c r="F284" t="s">
        <v>27987</v>
      </c>
      <c r="G284" s="117">
        <v>330</v>
      </c>
    </row>
    <row r="285" spans="1:7" x14ac:dyDescent="0.25">
      <c r="A285" s="116" t="s">
        <v>30344</v>
      </c>
      <c r="B285" s="117" t="s">
        <v>30345</v>
      </c>
      <c r="C285" t="s">
        <v>67</v>
      </c>
      <c r="D285" t="s">
        <v>67</v>
      </c>
      <c r="E285" t="s">
        <v>67</v>
      </c>
      <c r="F285" t="s">
        <v>27987</v>
      </c>
      <c r="G285" s="117">
        <v>2800</v>
      </c>
    </row>
    <row r="286" spans="1:7" x14ac:dyDescent="0.25">
      <c r="A286" s="116" t="s">
        <v>28072</v>
      </c>
      <c r="B286" s="117" t="s">
        <v>28118</v>
      </c>
      <c r="C286" t="s">
        <v>67</v>
      </c>
      <c r="D286" t="s">
        <v>67</v>
      </c>
      <c r="E286" t="s">
        <v>67</v>
      </c>
      <c r="F286" t="s">
        <v>27987</v>
      </c>
      <c r="G286" s="117">
        <v>61</v>
      </c>
    </row>
    <row r="287" spans="1:7" x14ac:dyDescent="0.25">
      <c r="A287" s="116" t="s">
        <v>369</v>
      </c>
      <c r="B287" s="117" t="s">
        <v>28240</v>
      </c>
      <c r="C287" t="s">
        <v>67</v>
      </c>
      <c r="D287" t="s">
        <v>67</v>
      </c>
      <c r="E287" t="s">
        <v>67</v>
      </c>
      <c r="F287" t="s">
        <v>27987</v>
      </c>
      <c r="G287" s="117">
        <v>46.52</v>
      </c>
    </row>
    <row r="288" spans="1:7" x14ac:dyDescent="0.25">
      <c r="A288" s="116" t="s">
        <v>370</v>
      </c>
      <c r="B288" s="117" t="s">
        <v>28241</v>
      </c>
      <c r="C288" t="s">
        <v>67</v>
      </c>
      <c r="D288" t="s">
        <v>67</v>
      </c>
      <c r="E288" t="s">
        <v>67</v>
      </c>
      <c r="F288" t="s">
        <v>27987</v>
      </c>
      <c r="G288" s="117">
        <v>320.01</v>
      </c>
    </row>
    <row r="289" spans="1:7" x14ac:dyDescent="0.25">
      <c r="A289" s="116" t="s">
        <v>371</v>
      </c>
      <c r="B289" s="117" t="s">
        <v>28242</v>
      </c>
      <c r="C289" t="s">
        <v>67</v>
      </c>
      <c r="D289" t="s">
        <v>67</v>
      </c>
      <c r="E289" t="s">
        <v>67</v>
      </c>
      <c r="F289" t="s">
        <v>27987</v>
      </c>
      <c r="G289" s="117">
        <v>302.89999999999998</v>
      </c>
    </row>
    <row r="290" spans="1:7" x14ac:dyDescent="0.25">
      <c r="A290" s="116" t="s">
        <v>372</v>
      </c>
      <c r="B290" s="117" t="s">
        <v>28243</v>
      </c>
      <c r="C290" t="s">
        <v>67</v>
      </c>
      <c r="D290" t="s">
        <v>67</v>
      </c>
      <c r="E290" t="s">
        <v>67</v>
      </c>
      <c r="F290" t="s">
        <v>27987</v>
      </c>
      <c r="G290" s="117">
        <v>161.08000000000001</v>
      </c>
    </row>
    <row r="291" spans="1:7" x14ac:dyDescent="0.25">
      <c r="A291" s="116" t="s">
        <v>28074</v>
      </c>
      <c r="B291" s="117" t="s">
        <v>28075</v>
      </c>
      <c r="C291" t="s">
        <v>67</v>
      </c>
      <c r="D291" t="s">
        <v>67</v>
      </c>
      <c r="E291" t="s">
        <v>67</v>
      </c>
      <c r="F291" t="s">
        <v>45</v>
      </c>
      <c r="G291" s="117">
        <v>70.55</v>
      </c>
    </row>
    <row r="292" spans="1:7" x14ac:dyDescent="0.25">
      <c r="A292" s="116" t="s">
        <v>31184</v>
      </c>
      <c r="B292" s="117" t="s">
        <v>29431</v>
      </c>
      <c r="C292" t="s">
        <v>67</v>
      </c>
      <c r="D292" t="s">
        <v>67</v>
      </c>
      <c r="E292" t="s">
        <v>67</v>
      </c>
      <c r="F292" t="s">
        <v>45</v>
      </c>
      <c r="G292" s="117">
        <v>5000</v>
      </c>
    </row>
    <row r="293" spans="1:7" x14ac:dyDescent="0.25">
      <c r="A293" s="116" t="s">
        <v>373</v>
      </c>
      <c r="B293" s="117" t="s">
        <v>26433</v>
      </c>
      <c r="C293" t="s">
        <v>67</v>
      </c>
      <c r="D293" t="s">
        <v>67</v>
      </c>
      <c r="E293" t="s">
        <v>67</v>
      </c>
      <c r="F293" t="s">
        <v>27987</v>
      </c>
      <c r="G293" s="117">
        <v>90</v>
      </c>
    </row>
    <row r="294" spans="1:7" x14ac:dyDescent="0.25">
      <c r="A294" s="116" t="s">
        <v>374</v>
      </c>
      <c r="B294" s="117" t="s">
        <v>26434</v>
      </c>
      <c r="C294" t="s">
        <v>67</v>
      </c>
      <c r="D294" t="s">
        <v>67</v>
      </c>
      <c r="E294" t="s">
        <v>67</v>
      </c>
      <c r="F294" t="s">
        <v>27987</v>
      </c>
      <c r="G294" s="117">
        <v>90</v>
      </c>
    </row>
    <row r="295" spans="1:7" x14ac:dyDescent="0.25">
      <c r="A295" s="116" t="s">
        <v>375</v>
      </c>
      <c r="B295" s="117" t="s">
        <v>26435</v>
      </c>
      <c r="C295" t="s">
        <v>67</v>
      </c>
      <c r="D295" t="s">
        <v>67</v>
      </c>
      <c r="E295" t="s">
        <v>67</v>
      </c>
      <c r="F295" t="s">
        <v>27987</v>
      </c>
      <c r="G295" s="117">
        <v>70</v>
      </c>
    </row>
    <row r="296" spans="1:7" x14ac:dyDescent="0.25">
      <c r="A296" s="116" t="s">
        <v>28244</v>
      </c>
      <c r="B296" s="117" t="s">
        <v>28245</v>
      </c>
      <c r="C296" t="s">
        <v>67</v>
      </c>
      <c r="D296" t="s">
        <v>67</v>
      </c>
      <c r="E296" t="s">
        <v>67</v>
      </c>
      <c r="F296" t="s">
        <v>27987</v>
      </c>
      <c r="G296" s="117">
        <v>560</v>
      </c>
    </row>
    <row r="297" spans="1:7" x14ac:dyDescent="0.25">
      <c r="A297" s="116" t="s">
        <v>31212</v>
      </c>
      <c r="B297" s="117" t="s">
        <v>31213</v>
      </c>
      <c r="C297" t="s">
        <v>67</v>
      </c>
      <c r="D297" t="s">
        <v>67</v>
      </c>
      <c r="E297" t="s">
        <v>67</v>
      </c>
      <c r="F297" t="s">
        <v>45</v>
      </c>
      <c r="G297" s="117">
        <v>12</v>
      </c>
    </row>
    <row r="298" spans="1:7" x14ac:dyDescent="0.25">
      <c r="A298" s="116" t="s">
        <v>30613</v>
      </c>
      <c r="B298" s="117" t="s">
        <v>30614</v>
      </c>
      <c r="C298" t="s">
        <v>67</v>
      </c>
      <c r="D298" t="s">
        <v>67</v>
      </c>
      <c r="E298" t="s">
        <v>67</v>
      </c>
      <c r="F298" t="s">
        <v>27987</v>
      </c>
      <c r="G298" s="117">
        <v>127.58</v>
      </c>
    </row>
    <row r="299" spans="1:7" x14ac:dyDescent="0.25">
      <c r="A299" s="116" t="s">
        <v>26978</v>
      </c>
      <c r="B299" s="117" t="s">
        <v>28246</v>
      </c>
      <c r="C299" t="s">
        <v>67</v>
      </c>
      <c r="D299" t="s">
        <v>67</v>
      </c>
      <c r="E299" t="s">
        <v>67</v>
      </c>
      <c r="F299" t="s">
        <v>27987</v>
      </c>
      <c r="G299" s="117">
        <v>20</v>
      </c>
    </row>
    <row r="300" spans="1:7" x14ac:dyDescent="0.25">
      <c r="A300" s="116" t="s">
        <v>28247</v>
      </c>
      <c r="B300" s="117" t="s">
        <v>362</v>
      </c>
      <c r="C300" t="s">
        <v>67</v>
      </c>
      <c r="D300" t="s">
        <v>67</v>
      </c>
      <c r="E300" t="s">
        <v>67</v>
      </c>
      <c r="F300" t="s">
        <v>27987</v>
      </c>
      <c r="G300" s="117">
        <v>291.06</v>
      </c>
    </row>
    <row r="301" spans="1:7" x14ac:dyDescent="0.25">
      <c r="A301" s="116" t="s">
        <v>376</v>
      </c>
      <c r="B301" s="117" t="s">
        <v>28248</v>
      </c>
      <c r="C301" t="s">
        <v>67</v>
      </c>
      <c r="D301" t="s">
        <v>67</v>
      </c>
      <c r="E301" t="s">
        <v>67</v>
      </c>
      <c r="F301" t="s">
        <v>27987</v>
      </c>
      <c r="G301" s="117">
        <v>588.59</v>
      </c>
    </row>
    <row r="302" spans="1:7" x14ac:dyDescent="0.25">
      <c r="A302" s="116" t="s">
        <v>377</v>
      </c>
      <c r="B302" s="117" t="s">
        <v>26436</v>
      </c>
      <c r="C302" t="s">
        <v>67</v>
      </c>
      <c r="D302" t="s">
        <v>67</v>
      </c>
      <c r="E302" t="s">
        <v>67</v>
      </c>
      <c r="F302" t="s">
        <v>27987</v>
      </c>
      <c r="G302" s="117">
        <v>105</v>
      </c>
    </row>
    <row r="303" spans="1:7" x14ac:dyDescent="0.25">
      <c r="A303" s="116" t="s">
        <v>29878</v>
      </c>
      <c r="B303" s="117" t="s">
        <v>30346</v>
      </c>
      <c r="C303" t="s">
        <v>67</v>
      </c>
      <c r="D303" t="s">
        <v>67</v>
      </c>
      <c r="E303" t="s">
        <v>67</v>
      </c>
      <c r="F303" t="s">
        <v>27987</v>
      </c>
      <c r="G303" s="117">
        <v>40</v>
      </c>
    </row>
    <row r="304" spans="1:7" x14ac:dyDescent="0.25">
      <c r="A304" s="116" t="s">
        <v>26959</v>
      </c>
      <c r="B304" s="117" t="s">
        <v>28249</v>
      </c>
      <c r="C304" t="s">
        <v>67</v>
      </c>
      <c r="D304" t="s">
        <v>67</v>
      </c>
      <c r="E304" t="s">
        <v>67</v>
      </c>
      <c r="F304" t="s">
        <v>27987</v>
      </c>
      <c r="G304" s="117">
        <v>225</v>
      </c>
    </row>
    <row r="305" spans="1:7" x14ac:dyDescent="0.25">
      <c r="A305" s="116" t="s">
        <v>28125</v>
      </c>
      <c r="B305" s="117" t="s">
        <v>802</v>
      </c>
      <c r="C305" t="s">
        <v>67</v>
      </c>
      <c r="D305" t="s">
        <v>67</v>
      </c>
      <c r="E305" t="s">
        <v>67</v>
      </c>
      <c r="F305" t="s">
        <v>27987</v>
      </c>
      <c r="G305" s="117">
        <v>222.37</v>
      </c>
    </row>
    <row r="306" spans="1:7" x14ac:dyDescent="0.25">
      <c r="A306" s="116" t="s">
        <v>28124</v>
      </c>
      <c r="B306" s="117" t="s">
        <v>30016</v>
      </c>
      <c r="C306" t="s">
        <v>67</v>
      </c>
      <c r="D306" t="s">
        <v>67</v>
      </c>
      <c r="E306" t="s">
        <v>67</v>
      </c>
      <c r="F306" t="s">
        <v>49</v>
      </c>
      <c r="G306" s="117">
        <v>62.27</v>
      </c>
    </row>
    <row r="307" spans="1:7" x14ac:dyDescent="0.25">
      <c r="A307" s="116" t="s">
        <v>30077</v>
      </c>
      <c r="B307" s="117" t="s">
        <v>29882</v>
      </c>
      <c r="C307" t="s">
        <v>67</v>
      </c>
      <c r="D307" t="s">
        <v>67</v>
      </c>
      <c r="E307" t="s">
        <v>67</v>
      </c>
      <c r="F307" t="s">
        <v>45</v>
      </c>
      <c r="G307" s="117">
        <v>9999</v>
      </c>
    </row>
    <row r="308" spans="1:7" x14ac:dyDescent="0.25">
      <c r="A308" s="116" t="s">
        <v>29879</v>
      </c>
      <c r="B308" s="117" t="s">
        <v>30347</v>
      </c>
      <c r="C308" t="s">
        <v>67</v>
      </c>
      <c r="D308" t="s">
        <v>67</v>
      </c>
      <c r="E308" t="s">
        <v>67</v>
      </c>
      <c r="F308" t="s">
        <v>27987</v>
      </c>
      <c r="G308" s="117">
        <v>66.150000000000006</v>
      </c>
    </row>
    <row r="309" spans="1:7" x14ac:dyDescent="0.25">
      <c r="A309" s="116" t="s">
        <v>28250</v>
      </c>
      <c r="B309" s="117" t="s">
        <v>30348</v>
      </c>
      <c r="C309" t="s">
        <v>67</v>
      </c>
      <c r="D309" t="s">
        <v>67</v>
      </c>
      <c r="E309" t="s">
        <v>67</v>
      </c>
      <c r="F309" t="s">
        <v>27987</v>
      </c>
      <c r="G309" s="117">
        <v>283.70999999999998</v>
      </c>
    </row>
    <row r="310" spans="1:7" x14ac:dyDescent="0.25">
      <c r="A310" s="116" t="s">
        <v>29880</v>
      </c>
      <c r="B310" s="117" t="s">
        <v>30349</v>
      </c>
      <c r="C310" t="s">
        <v>67</v>
      </c>
      <c r="D310" t="s">
        <v>67</v>
      </c>
      <c r="E310" t="s">
        <v>67</v>
      </c>
      <c r="F310" t="s">
        <v>27987</v>
      </c>
      <c r="G310" s="117">
        <v>263.02999999999997</v>
      </c>
    </row>
    <row r="311" spans="1:7" x14ac:dyDescent="0.25">
      <c r="A311" s="116" t="s">
        <v>28251</v>
      </c>
      <c r="B311" s="117" t="s">
        <v>30699</v>
      </c>
      <c r="C311" t="s">
        <v>67</v>
      </c>
      <c r="D311" t="s">
        <v>67</v>
      </c>
      <c r="E311" t="s">
        <v>67</v>
      </c>
      <c r="F311" t="s">
        <v>27987</v>
      </c>
      <c r="G311" s="117">
        <v>65</v>
      </c>
    </row>
    <row r="312" spans="1:7" x14ac:dyDescent="0.25">
      <c r="A312" s="116" t="s">
        <v>30247</v>
      </c>
      <c r="B312" s="117" t="s">
        <v>30248</v>
      </c>
      <c r="C312" t="s">
        <v>67</v>
      </c>
      <c r="D312" t="s">
        <v>67</v>
      </c>
      <c r="E312" t="s">
        <v>67</v>
      </c>
      <c r="F312" t="s">
        <v>45</v>
      </c>
      <c r="G312" s="117">
        <v>9999</v>
      </c>
    </row>
    <row r="313" spans="1:7" x14ac:dyDescent="0.25">
      <c r="A313" s="116" t="s">
        <v>30806</v>
      </c>
      <c r="B313" s="117" t="s">
        <v>30807</v>
      </c>
      <c r="C313" t="s">
        <v>67</v>
      </c>
      <c r="D313" t="s">
        <v>67</v>
      </c>
      <c r="E313" t="s">
        <v>67</v>
      </c>
      <c r="F313" t="s">
        <v>27987</v>
      </c>
      <c r="G313" s="117">
        <v>9999</v>
      </c>
    </row>
    <row r="314" spans="1:7" x14ac:dyDescent="0.25">
      <c r="A314" s="116" t="s">
        <v>28252</v>
      </c>
      <c r="B314" s="117" t="s">
        <v>28253</v>
      </c>
      <c r="C314" t="s">
        <v>67</v>
      </c>
      <c r="D314" t="s">
        <v>67</v>
      </c>
      <c r="E314" t="s">
        <v>67</v>
      </c>
      <c r="F314" t="s">
        <v>27987</v>
      </c>
      <c r="G314" s="117">
        <v>0</v>
      </c>
    </row>
    <row r="315" spans="1:7" x14ac:dyDescent="0.25">
      <c r="A315" s="116" t="s">
        <v>31095</v>
      </c>
      <c r="B315" s="117" t="s">
        <v>31098</v>
      </c>
      <c r="C315" t="s">
        <v>67</v>
      </c>
      <c r="D315" t="s">
        <v>67</v>
      </c>
      <c r="E315" t="s">
        <v>67</v>
      </c>
      <c r="F315" t="s">
        <v>45</v>
      </c>
      <c r="G315" s="117">
        <v>9999</v>
      </c>
    </row>
    <row r="316" spans="1:7" x14ac:dyDescent="0.25">
      <c r="A316" s="116" t="s">
        <v>378</v>
      </c>
      <c r="B316" s="117" t="s">
        <v>28254</v>
      </c>
      <c r="C316" t="s">
        <v>67</v>
      </c>
      <c r="D316" t="s">
        <v>67</v>
      </c>
      <c r="E316" t="s">
        <v>67</v>
      </c>
      <c r="F316" t="s">
        <v>45</v>
      </c>
      <c r="G316" s="117">
        <v>21.26</v>
      </c>
    </row>
    <row r="317" spans="1:7" x14ac:dyDescent="0.25">
      <c r="A317" s="116" t="s">
        <v>379</v>
      </c>
      <c r="B317" s="117" t="s">
        <v>28255</v>
      </c>
      <c r="C317" t="s">
        <v>67</v>
      </c>
      <c r="D317" t="s">
        <v>67</v>
      </c>
      <c r="E317" t="s">
        <v>67</v>
      </c>
      <c r="F317" t="s">
        <v>27987</v>
      </c>
      <c r="G317" s="117">
        <v>145.49</v>
      </c>
    </row>
    <row r="318" spans="1:7" x14ac:dyDescent="0.25">
      <c r="A318" s="116" t="s">
        <v>381</v>
      </c>
      <c r="B318" s="117" t="s">
        <v>382</v>
      </c>
      <c r="C318" t="s">
        <v>67</v>
      </c>
      <c r="D318" t="s">
        <v>67</v>
      </c>
      <c r="E318" t="s">
        <v>67</v>
      </c>
      <c r="F318" t="s">
        <v>45</v>
      </c>
      <c r="G318" s="117">
        <v>35.5</v>
      </c>
    </row>
    <row r="319" spans="1:7" x14ac:dyDescent="0.25">
      <c r="A319" s="116" t="s">
        <v>383</v>
      </c>
      <c r="B319" s="117" t="s">
        <v>28256</v>
      </c>
      <c r="C319" t="s">
        <v>67</v>
      </c>
      <c r="D319" t="s">
        <v>67</v>
      </c>
      <c r="E319" t="s">
        <v>67</v>
      </c>
      <c r="F319" t="s">
        <v>27987</v>
      </c>
      <c r="G319" s="117">
        <v>41.38</v>
      </c>
    </row>
    <row r="320" spans="1:7" x14ac:dyDescent="0.25">
      <c r="A320" s="116" t="s">
        <v>385</v>
      </c>
      <c r="B320" s="117" t="s">
        <v>386</v>
      </c>
      <c r="C320" t="s">
        <v>67</v>
      </c>
      <c r="D320" t="s">
        <v>67</v>
      </c>
      <c r="E320" t="s">
        <v>67</v>
      </c>
      <c r="F320" t="s">
        <v>27987</v>
      </c>
      <c r="G320" s="117">
        <v>70.739999999999995</v>
      </c>
    </row>
    <row r="321" spans="1:7" x14ac:dyDescent="0.25">
      <c r="A321" s="116" t="s">
        <v>387</v>
      </c>
      <c r="B321" s="117" t="s">
        <v>388</v>
      </c>
      <c r="C321" t="s">
        <v>67</v>
      </c>
      <c r="D321" t="s">
        <v>67</v>
      </c>
      <c r="E321" t="s">
        <v>67</v>
      </c>
      <c r="F321" t="s">
        <v>27987</v>
      </c>
      <c r="G321" s="117">
        <v>24.82</v>
      </c>
    </row>
    <row r="322" spans="1:7" x14ac:dyDescent="0.25">
      <c r="A322" s="116" t="s">
        <v>389</v>
      </c>
      <c r="B322" s="117" t="s">
        <v>28257</v>
      </c>
      <c r="C322" t="s">
        <v>67</v>
      </c>
      <c r="D322" t="s">
        <v>67</v>
      </c>
      <c r="E322" t="s">
        <v>67</v>
      </c>
      <c r="F322" t="s">
        <v>27987</v>
      </c>
      <c r="G322" s="117">
        <v>159.19</v>
      </c>
    </row>
    <row r="323" spans="1:7" x14ac:dyDescent="0.25">
      <c r="A323" s="116" t="s">
        <v>390</v>
      </c>
      <c r="B323" s="117" t="s">
        <v>28258</v>
      </c>
      <c r="C323" t="s">
        <v>67</v>
      </c>
      <c r="D323" t="s">
        <v>67</v>
      </c>
      <c r="E323" t="s">
        <v>67</v>
      </c>
      <c r="F323" t="s">
        <v>27987</v>
      </c>
      <c r="G323" s="117">
        <v>102.77</v>
      </c>
    </row>
    <row r="324" spans="1:7" x14ac:dyDescent="0.25">
      <c r="A324" s="116" t="s">
        <v>391</v>
      </c>
      <c r="B324" s="117" t="s">
        <v>392</v>
      </c>
      <c r="C324" t="s">
        <v>67</v>
      </c>
      <c r="D324" t="s">
        <v>67</v>
      </c>
      <c r="E324" t="s">
        <v>67</v>
      </c>
      <c r="F324" t="s">
        <v>45</v>
      </c>
      <c r="G324" s="117">
        <v>39.06</v>
      </c>
    </row>
    <row r="325" spans="1:7" x14ac:dyDescent="0.25">
      <c r="A325" s="116" t="s">
        <v>393</v>
      </c>
      <c r="B325" s="117" t="s">
        <v>394</v>
      </c>
      <c r="C325" t="s">
        <v>67</v>
      </c>
      <c r="D325" t="s">
        <v>67</v>
      </c>
      <c r="E325" t="s">
        <v>67</v>
      </c>
      <c r="F325" t="s">
        <v>27987</v>
      </c>
      <c r="G325" s="117">
        <v>60.42</v>
      </c>
    </row>
    <row r="326" spans="1:7" x14ac:dyDescent="0.25">
      <c r="A326" s="116" t="s">
        <v>395</v>
      </c>
      <c r="B326" s="117" t="s">
        <v>396</v>
      </c>
      <c r="C326" t="s">
        <v>67</v>
      </c>
      <c r="D326" t="s">
        <v>67</v>
      </c>
      <c r="E326" t="s">
        <v>67</v>
      </c>
      <c r="F326" t="s">
        <v>45</v>
      </c>
      <c r="G326" s="117">
        <v>979.26</v>
      </c>
    </row>
    <row r="327" spans="1:7" x14ac:dyDescent="0.25">
      <c r="A327" s="116" t="s">
        <v>397</v>
      </c>
      <c r="B327" s="117" t="s">
        <v>398</v>
      </c>
      <c r="C327" t="s">
        <v>67</v>
      </c>
      <c r="D327" t="s">
        <v>67</v>
      </c>
      <c r="E327" t="s">
        <v>67</v>
      </c>
      <c r="F327" t="s">
        <v>27987</v>
      </c>
      <c r="G327" s="117">
        <v>136.58000000000001</v>
      </c>
    </row>
    <row r="328" spans="1:7" x14ac:dyDescent="0.25">
      <c r="A328" s="116" t="s">
        <v>399</v>
      </c>
      <c r="B328" s="117" t="s">
        <v>400</v>
      </c>
      <c r="C328" t="s">
        <v>67</v>
      </c>
      <c r="D328" t="s">
        <v>67</v>
      </c>
      <c r="E328" t="s">
        <v>67</v>
      </c>
      <c r="F328" t="s">
        <v>45</v>
      </c>
      <c r="G328" s="117">
        <v>318.48</v>
      </c>
    </row>
    <row r="329" spans="1:7" x14ac:dyDescent="0.25">
      <c r="A329" s="116" t="s">
        <v>401</v>
      </c>
      <c r="B329" s="117" t="s">
        <v>402</v>
      </c>
      <c r="C329" t="s">
        <v>67</v>
      </c>
      <c r="D329" t="s">
        <v>67</v>
      </c>
      <c r="E329" t="s">
        <v>67</v>
      </c>
      <c r="F329" t="s">
        <v>45</v>
      </c>
      <c r="G329" s="117">
        <v>271.31</v>
      </c>
    </row>
    <row r="330" spans="1:7" x14ac:dyDescent="0.25">
      <c r="A330" s="116" t="s">
        <v>403</v>
      </c>
      <c r="B330" s="117" t="s">
        <v>404</v>
      </c>
      <c r="C330" t="s">
        <v>67</v>
      </c>
      <c r="D330" t="s">
        <v>67</v>
      </c>
      <c r="E330" t="s">
        <v>67</v>
      </c>
      <c r="F330" t="s">
        <v>27987</v>
      </c>
      <c r="G330" s="117">
        <v>302.10000000000002</v>
      </c>
    </row>
    <row r="331" spans="1:7" x14ac:dyDescent="0.25">
      <c r="A331" s="116" t="s">
        <v>405</v>
      </c>
      <c r="B331" s="117" t="s">
        <v>406</v>
      </c>
      <c r="C331" t="s">
        <v>67</v>
      </c>
      <c r="D331" t="s">
        <v>67</v>
      </c>
      <c r="E331" t="s">
        <v>67</v>
      </c>
      <c r="F331" t="s">
        <v>49</v>
      </c>
      <c r="G331" s="117">
        <v>2.58</v>
      </c>
    </row>
    <row r="332" spans="1:7" x14ac:dyDescent="0.25">
      <c r="A332" s="116" t="s">
        <v>407</v>
      </c>
      <c r="B332" s="117" t="s">
        <v>408</v>
      </c>
      <c r="C332" t="s">
        <v>67</v>
      </c>
      <c r="D332" t="s">
        <v>67</v>
      </c>
      <c r="E332" t="s">
        <v>67</v>
      </c>
      <c r="F332" t="s">
        <v>45</v>
      </c>
      <c r="G332" s="117">
        <v>144.06</v>
      </c>
    </row>
    <row r="333" spans="1:7" x14ac:dyDescent="0.25">
      <c r="A333" s="116" t="s">
        <v>409</v>
      </c>
      <c r="B333" s="117" t="s">
        <v>410</v>
      </c>
      <c r="C333" t="s">
        <v>67</v>
      </c>
      <c r="D333" t="s">
        <v>67</v>
      </c>
      <c r="E333" t="s">
        <v>67</v>
      </c>
      <c r="F333" t="s">
        <v>27987</v>
      </c>
      <c r="G333" s="117">
        <v>94.76</v>
      </c>
    </row>
    <row r="334" spans="1:7" x14ac:dyDescent="0.25">
      <c r="A334" s="116" t="s">
        <v>411</v>
      </c>
      <c r="B334" s="117" t="s">
        <v>412</v>
      </c>
      <c r="C334" t="s">
        <v>67</v>
      </c>
      <c r="D334" t="s">
        <v>67</v>
      </c>
      <c r="E334" t="s">
        <v>67</v>
      </c>
      <c r="F334" t="s">
        <v>27987</v>
      </c>
      <c r="G334" s="117">
        <v>94.76</v>
      </c>
    </row>
    <row r="335" spans="1:7" x14ac:dyDescent="0.25">
      <c r="A335" s="116" t="s">
        <v>413</v>
      </c>
      <c r="B335" s="117" t="s">
        <v>414</v>
      </c>
      <c r="C335" t="s">
        <v>67</v>
      </c>
      <c r="D335" t="s">
        <v>67</v>
      </c>
      <c r="E335" t="s">
        <v>67</v>
      </c>
      <c r="F335" t="s">
        <v>45</v>
      </c>
      <c r="G335" s="117">
        <v>23.94</v>
      </c>
    </row>
    <row r="336" spans="1:7" x14ac:dyDescent="0.25">
      <c r="A336" s="116" t="s">
        <v>415</v>
      </c>
      <c r="B336" s="117" t="s">
        <v>416</v>
      </c>
      <c r="C336" t="s">
        <v>67</v>
      </c>
      <c r="D336" t="s">
        <v>67</v>
      </c>
      <c r="E336" t="s">
        <v>67</v>
      </c>
      <c r="F336" t="s">
        <v>45</v>
      </c>
      <c r="G336" s="117">
        <v>24.82</v>
      </c>
    </row>
    <row r="337" spans="1:7" x14ac:dyDescent="0.25">
      <c r="A337" s="116" t="s">
        <v>417</v>
      </c>
      <c r="B337" s="117" t="s">
        <v>418</v>
      </c>
      <c r="C337" t="s">
        <v>67</v>
      </c>
      <c r="D337" t="s">
        <v>67</v>
      </c>
      <c r="E337" t="s">
        <v>67</v>
      </c>
      <c r="F337" t="s">
        <v>45</v>
      </c>
      <c r="G337" s="117">
        <v>1887.77</v>
      </c>
    </row>
    <row r="338" spans="1:7" x14ac:dyDescent="0.25">
      <c r="A338" s="116" t="s">
        <v>419</v>
      </c>
      <c r="B338" s="117" t="s">
        <v>420</v>
      </c>
      <c r="C338" t="s">
        <v>67</v>
      </c>
      <c r="D338" t="s">
        <v>67</v>
      </c>
      <c r="E338" t="s">
        <v>67</v>
      </c>
      <c r="F338" t="s">
        <v>45</v>
      </c>
      <c r="G338" s="117">
        <v>649.49</v>
      </c>
    </row>
    <row r="339" spans="1:7" x14ac:dyDescent="0.25">
      <c r="A339" s="116" t="s">
        <v>421</v>
      </c>
      <c r="B339" s="117" t="s">
        <v>422</v>
      </c>
      <c r="C339" t="s">
        <v>67</v>
      </c>
      <c r="D339" t="s">
        <v>67</v>
      </c>
      <c r="E339" t="s">
        <v>67</v>
      </c>
      <c r="F339" t="s">
        <v>45</v>
      </c>
      <c r="G339" s="117">
        <v>71.989999999999995</v>
      </c>
    </row>
    <row r="340" spans="1:7" x14ac:dyDescent="0.25">
      <c r="A340" s="116" t="s">
        <v>423</v>
      </c>
      <c r="B340" s="117" t="s">
        <v>424</v>
      </c>
      <c r="C340" t="s">
        <v>67</v>
      </c>
      <c r="D340" t="s">
        <v>67</v>
      </c>
      <c r="E340" t="s">
        <v>67</v>
      </c>
      <c r="F340" t="s">
        <v>45</v>
      </c>
      <c r="G340" s="117">
        <v>16.82</v>
      </c>
    </row>
    <row r="341" spans="1:7" x14ac:dyDescent="0.25">
      <c r="A341" s="116" t="s">
        <v>425</v>
      </c>
      <c r="B341" s="117" t="s">
        <v>426</v>
      </c>
      <c r="C341" t="s">
        <v>67</v>
      </c>
      <c r="D341" t="s">
        <v>67</v>
      </c>
      <c r="E341" t="s">
        <v>67</v>
      </c>
      <c r="F341" t="s">
        <v>45</v>
      </c>
      <c r="G341" s="117">
        <v>165.42</v>
      </c>
    </row>
    <row r="342" spans="1:7" x14ac:dyDescent="0.25">
      <c r="A342" s="116" t="s">
        <v>427</v>
      </c>
      <c r="B342" s="117" t="s">
        <v>428</v>
      </c>
      <c r="C342" t="s">
        <v>67</v>
      </c>
      <c r="D342" t="s">
        <v>67</v>
      </c>
      <c r="E342" t="s">
        <v>67</v>
      </c>
      <c r="F342" t="s">
        <v>45</v>
      </c>
      <c r="G342" s="117">
        <v>96.9</v>
      </c>
    </row>
    <row r="343" spans="1:7" x14ac:dyDescent="0.25">
      <c r="A343" s="116" t="s">
        <v>429</v>
      </c>
      <c r="B343" s="117" t="s">
        <v>430</v>
      </c>
      <c r="C343" t="s">
        <v>67</v>
      </c>
      <c r="D343" t="s">
        <v>67</v>
      </c>
      <c r="E343" t="s">
        <v>67</v>
      </c>
      <c r="F343" t="s">
        <v>45</v>
      </c>
      <c r="G343" s="117">
        <v>84.08</v>
      </c>
    </row>
    <row r="344" spans="1:7" x14ac:dyDescent="0.25">
      <c r="A344" s="116" t="s">
        <v>431</v>
      </c>
      <c r="B344" s="117" t="s">
        <v>432</v>
      </c>
      <c r="C344" t="s">
        <v>67</v>
      </c>
      <c r="D344" t="s">
        <v>67</v>
      </c>
      <c r="E344" t="s">
        <v>67</v>
      </c>
      <c r="F344" t="s">
        <v>45</v>
      </c>
      <c r="G344" s="117">
        <v>59.18</v>
      </c>
    </row>
    <row r="345" spans="1:7" x14ac:dyDescent="0.25">
      <c r="A345" s="116" t="s">
        <v>433</v>
      </c>
      <c r="B345" s="117" t="s">
        <v>434</v>
      </c>
      <c r="C345" t="s">
        <v>67</v>
      </c>
      <c r="D345" t="s">
        <v>67</v>
      </c>
      <c r="E345" t="s">
        <v>67</v>
      </c>
      <c r="F345" t="s">
        <v>27987</v>
      </c>
      <c r="G345" s="117">
        <v>171.01</v>
      </c>
    </row>
    <row r="346" spans="1:7" x14ac:dyDescent="0.25">
      <c r="A346" s="116" t="s">
        <v>435</v>
      </c>
      <c r="B346" s="117" t="s">
        <v>436</v>
      </c>
      <c r="C346" t="s">
        <v>67</v>
      </c>
      <c r="D346" t="s">
        <v>67</v>
      </c>
      <c r="E346" t="s">
        <v>67</v>
      </c>
      <c r="F346" t="s">
        <v>45</v>
      </c>
      <c r="G346" s="117">
        <v>88.54</v>
      </c>
    </row>
    <row r="347" spans="1:7" x14ac:dyDescent="0.25">
      <c r="A347" s="116" t="s">
        <v>437</v>
      </c>
      <c r="B347" s="117" t="s">
        <v>438</v>
      </c>
      <c r="C347" t="s">
        <v>67</v>
      </c>
      <c r="D347" t="s">
        <v>67</v>
      </c>
      <c r="E347" t="s">
        <v>67</v>
      </c>
      <c r="F347" t="s">
        <v>45</v>
      </c>
      <c r="G347" s="117">
        <v>102.77</v>
      </c>
    </row>
    <row r="348" spans="1:7" x14ac:dyDescent="0.25">
      <c r="A348" s="116" t="s">
        <v>439</v>
      </c>
      <c r="B348" s="117" t="s">
        <v>440</v>
      </c>
      <c r="C348" t="s">
        <v>67</v>
      </c>
      <c r="D348" t="s">
        <v>67</v>
      </c>
      <c r="E348" t="s">
        <v>67</v>
      </c>
      <c r="F348" t="s">
        <v>45</v>
      </c>
      <c r="G348" s="117">
        <v>191.23</v>
      </c>
    </row>
    <row r="349" spans="1:7" x14ac:dyDescent="0.25">
      <c r="A349" s="116" t="s">
        <v>441</v>
      </c>
      <c r="B349" s="117" t="s">
        <v>442</v>
      </c>
      <c r="C349" t="s">
        <v>67</v>
      </c>
      <c r="D349" t="s">
        <v>67</v>
      </c>
      <c r="E349" t="s">
        <v>67</v>
      </c>
      <c r="F349" t="s">
        <v>45</v>
      </c>
      <c r="G349" s="117">
        <v>88.54</v>
      </c>
    </row>
    <row r="350" spans="1:7" x14ac:dyDescent="0.25">
      <c r="A350" s="116" t="s">
        <v>443</v>
      </c>
      <c r="B350" s="117" t="s">
        <v>444</v>
      </c>
      <c r="C350" t="s">
        <v>67</v>
      </c>
      <c r="D350" t="s">
        <v>67</v>
      </c>
      <c r="E350" t="s">
        <v>67</v>
      </c>
      <c r="F350" t="s">
        <v>45</v>
      </c>
      <c r="G350" s="117">
        <v>34.26</v>
      </c>
    </row>
    <row r="351" spans="1:7" x14ac:dyDescent="0.25">
      <c r="A351" s="116" t="s">
        <v>445</v>
      </c>
      <c r="B351" s="117" t="s">
        <v>446</v>
      </c>
      <c r="C351" t="s">
        <v>67</v>
      </c>
      <c r="D351" t="s">
        <v>67</v>
      </c>
      <c r="E351" t="s">
        <v>67</v>
      </c>
      <c r="F351" t="s">
        <v>27987</v>
      </c>
      <c r="G351" s="117">
        <v>1509.6</v>
      </c>
    </row>
    <row r="352" spans="1:7" x14ac:dyDescent="0.25">
      <c r="A352" s="116" t="s">
        <v>447</v>
      </c>
      <c r="B352" s="117" t="s">
        <v>448</v>
      </c>
      <c r="C352" t="s">
        <v>67</v>
      </c>
      <c r="D352" t="s">
        <v>67</v>
      </c>
      <c r="E352" t="s">
        <v>67</v>
      </c>
      <c r="F352" t="s">
        <v>27987</v>
      </c>
      <c r="G352" s="117">
        <v>839.65</v>
      </c>
    </row>
    <row r="353" spans="1:7" x14ac:dyDescent="0.25">
      <c r="A353" s="116" t="s">
        <v>449</v>
      </c>
      <c r="B353" s="117" t="s">
        <v>450</v>
      </c>
      <c r="C353" t="s">
        <v>67</v>
      </c>
      <c r="D353" t="s">
        <v>67</v>
      </c>
      <c r="E353" t="s">
        <v>67</v>
      </c>
      <c r="F353" t="s">
        <v>27987</v>
      </c>
      <c r="G353" s="117">
        <v>5.25</v>
      </c>
    </row>
    <row r="354" spans="1:7" x14ac:dyDescent="0.25">
      <c r="A354" s="116" t="s">
        <v>451</v>
      </c>
      <c r="B354" s="117" t="s">
        <v>452</v>
      </c>
      <c r="C354" t="s">
        <v>67</v>
      </c>
      <c r="D354" t="s">
        <v>67</v>
      </c>
      <c r="E354" t="s">
        <v>67</v>
      </c>
      <c r="F354" t="s">
        <v>45</v>
      </c>
      <c r="G354" s="117">
        <v>2.58</v>
      </c>
    </row>
    <row r="355" spans="1:7" x14ac:dyDescent="0.25">
      <c r="A355" s="116" t="s">
        <v>28259</v>
      </c>
      <c r="B355" s="117" t="s">
        <v>28260</v>
      </c>
      <c r="C355" t="s">
        <v>67</v>
      </c>
      <c r="D355" t="s">
        <v>67</v>
      </c>
      <c r="E355" t="s">
        <v>67</v>
      </c>
      <c r="F355" t="s">
        <v>45</v>
      </c>
      <c r="G355" s="117">
        <v>0</v>
      </c>
    </row>
    <row r="356" spans="1:7" x14ac:dyDescent="0.25">
      <c r="A356" s="116" t="s">
        <v>453</v>
      </c>
      <c r="B356" s="117" t="s">
        <v>454</v>
      </c>
      <c r="C356" t="s">
        <v>67</v>
      </c>
      <c r="D356" t="s">
        <v>67</v>
      </c>
      <c r="E356" t="s">
        <v>67</v>
      </c>
      <c r="F356" t="s">
        <v>45</v>
      </c>
      <c r="G356" s="117">
        <v>20.38</v>
      </c>
    </row>
    <row r="357" spans="1:7" x14ac:dyDescent="0.25">
      <c r="A357" s="116" t="s">
        <v>455</v>
      </c>
      <c r="B357" s="117" t="s">
        <v>456</v>
      </c>
      <c r="C357" t="s">
        <v>67</v>
      </c>
      <c r="D357" t="s">
        <v>67</v>
      </c>
      <c r="E357" t="s">
        <v>67</v>
      </c>
      <c r="F357" t="s">
        <v>27987</v>
      </c>
      <c r="G357" s="117">
        <v>195.32</v>
      </c>
    </row>
    <row r="358" spans="1:7" x14ac:dyDescent="0.25">
      <c r="A358" s="116" t="s">
        <v>457</v>
      </c>
      <c r="B358" s="117" t="s">
        <v>458</v>
      </c>
      <c r="C358" t="s">
        <v>67</v>
      </c>
      <c r="D358" t="s">
        <v>67</v>
      </c>
      <c r="E358" t="s">
        <v>67</v>
      </c>
      <c r="F358" t="s">
        <v>45</v>
      </c>
      <c r="G358" s="117">
        <v>8.4499999999999993</v>
      </c>
    </row>
    <row r="359" spans="1:7" x14ac:dyDescent="0.25">
      <c r="A359" s="116" t="s">
        <v>459</v>
      </c>
      <c r="B359" s="117" t="s">
        <v>460</v>
      </c>
      <c r="C359" t="s">
        <v>67</v>
      </c>
      <c r="D359" t="s">
        <v>67</v>
      </c>
      <c r="E359" t="s">
        <v>67</v>
      </c>
      <c r="F359" t="s">
        <v>27987</v>
      </c>
      <c r="G359" s="117">
        <v>209.92</v>
      </c>
    </row>
    <row r="360" spans="1:7" x14ac:dyDescent="0.25">
      <c r="A360" s="116" t="s">
        <v>461</v>
      </c>
      <c r="B360" s="117" t="s">
        <v>460</v>
      </c>
      <c r="C360" t="s">
        <v>67</v>
      </c>
      <c r="D360" t="s">
        <v>67</v>
      </c>
      <c r="E360" t="s">
        <v>67</v>
      </c>
      <c r="F360" t="s">
        <v>27987</v>
      </c>
      <c r="G360" s="117">
        <v>154.74</v>
      </c>
    </row>
    <row r="361" spans="1:7" x14ac:dyDescent="0.25">
      <c r="A361" s="116" t="s">
        <v>462</v>
      </c>
      <c r="B361" s="117" t="s">
        <v>463</v>
      </c>
      <c r="C361" t="s">
        <v>67</v>
      </c>
      <c r="D361" t="s">
        <v>67</v>
      </c>
      <c r="E361" t="s">
        <v>67</v>
      </c>
      <c r="F361" t="s">
        <v>45</v>
      </c>
      <c r="G361" s="117">
        <v>49.74</v>
      </c>
    </row>
    <row r="362" spans="1:7" x14ac:dyDescent="0.25">
      <c r="A362" s="116" t="s">
        <v>464</v>
      </c>
      <c r="B362" s="117" t="s">
        <v>465</v>
      </c>
      <c r="C362" t="s">
        <v>67</v>
      </c>
      <c r="D362" t="s">
        <v>67</v>
      </c>
      <c r="E362" t="s">
        <v>67</v>
      </c>
      <c r="F362" t="s">
        <v>27987</v>
      </c>
      <c r="G362" s="117">
        <v>193.54</v>
      </c>
    </row>
    <row r="363" spans="1:7" x14ac:dyDescent="0.25">
      <c r="A363" s="116" t="s">
        <v>466</v>
      </c>
      <c r="B363" s="117" t="s">
        <v>465</v>
      </c>
      <c r="C363" t="s">
        <v>67</v>
      </c>
      <c r="D363" t="s">
        <v>67</v>
      </c>
      <c r="E363" t="s">
        <v>67</v>
      </c>
      <c r="F363" t="s">
        <v>49</v>
      </c>
      <c r="G363" s="117">
        <v>176.93</v>
      </c>
    </row>
    <row r="364" spans="1:7" x14ac:dyDescent="0.25">
      <c r="A364" s="116" t="s">
        <v>467</v>
      </c>
      <c r="B364" s="117" t="s">
        <v>468</v>
      </c>
      <c r="C364" t="s">
        <v>67</v>
      </c>
      <c r="D364" t="s">
        <v>67</v>
      </c>
      <c r="E364" t="s">
        <v>67</v>
      </c>
      <c r="F364" t="s">
        <v>45</v>
      </c>
      <c r="G364" s="117">
        <v>212.58</v>
      </c>
    </row>
    <row r="365" spans="1:7" x14ac:dyDescent="0.25">
      <c r="A365" s="116" t="s">
        <v>469</v>
      </c>
      <c r="B365" s="117" t="s">
        <v>470</v>
      </c>
      <c r="C365" t="s">
        <v>67</v>
      </c>
      <c r="D365" t="s">
        <v>67</v>
      </c>
      <c r="E365" t="s">
        <v>67</v>
      </c>
      <c r="F365" t="s">
        <v>49</v>
      </c>
      <c r="G365" s="117">
        <v>21.26</v>
      </c>
    </row>
    <row r="366" spans="1:7" x14ac:dyDescent="0.25">
      <c r="A366" s="116" t="s">
        <v>471</v>
      </c>
      <c r="B366" s="117" t="s">
        <v>472</v>
      </c>
      <c r="C366" t="s">
        <v>67</v>
      </c>
      <c r="D366" t="s">
        <v>67</v>
      </c>
      <c r="E366" t="s">
        <v>67</v>
      </c>
      <c r="F366" t="s">
        <v>45</v>
      </c>
      <c r="G366" s="117">
        <v>59.18</v>
      </c>
    </row>
    <row r="367" spans="1:7" x14ac:dyDescent="0.25">
      <c r="A367" s="116" t="s">
        <v>473</v>
      </c>
      <c r="B367" s="117" t="s">
        <v>28261</v>
      </c>
      <c r="C367" t="s">
        <v>67</v>
      </c>
      <c r="D367" t="s">
        <v>67</v>
      </c>
      <c r="E367" t="s">
        <v>67</v>
      </c>
      <c r="F367" t="s">
        <v>27987</v>
      </c>
      <c r="G367" s="117">
        <v>219.7</v>
      </c>
    </row>
    <row r="368" spans="1:7" x14ac:dyDescent="0.25">
      <c r="A368" s="116" t="s">
        <v>474</v>
      </c>
      <c r="B368" s="117" t="s">
        <v>475</v>
      </c>
      <c r="C368" t="s">
        <v>67</v>
      </c>
      <c r="D368" t="s">
        <v>67</v>
      </c>
      <c r="E368" t="s">
        <v>67</v>
      </c>
      <c r="F368" t="s">
        <v>45</v>
      </c>
      <c r="G368" s="117">
        <v>196.2</v>
      </c>
    </row>
    <row r="369" spans="1:7" x14ac:dyDescent="0.25">
      <c r="A369" s="116" t="s">
        <v>476</v>
      </c>
      <c r="B369" s="117" t="s">
        <v>477</v>
      </c>
      <c r="C369" t="s">
        <v>67</v>
      </c>
      <c r="D369" t="s">
        <v>67</v>
      </c>
      <c r="E369" t="s">
        <v>67</v>
      </c>
      <c r="F369" t="s">
        <v>27987</v>
      </c>
      <c r="G369" s="117">
        <v>101.36</v>
      </c>
    </row>
    <row r="370" spans="1:7" x14ac:dyDescent="0.25">
      <c r="A370" s="116" t="s">
        <v>478</v>
      </c>
      <c r="B370" s="117" t="s">
        <v>479</v>
      </c>
      <c r="C370" t="s">
        <v>67</v>
      </c>
      <c r="D370" t="s">
        <v>67</v>
      </c>
      <c r="E370" t="s">
        <v>67</v>
      </c>
      <c r="F370" t="s">
        <v>27987</v>
      </c>
      <c r="G370" s="117">
        <v>81.42</v>
      </c>
    </row>
    <row r="371" spans="1:7" x14ac:dyDescent="0.25">
      <c r="A371" s="116" t="s">
        <v>480</v>
      </c>
      <c r="B371" s="117" t="s">
        <v>481</v>
      </c>
      <c r="C371" t="s">
        <v>67</v>
      </c>
      <c r="D371" t="s">
        <v>67</v>
      </c>
      <c r="E371" t="s">
        <v>67</v>
      </c>
      <c r="F371" t="s">
        <v>27987</v>
      </c>
      <c r="G371" s="117">
        <v>62.2</v>
      </c>
    </row>
    <row r="372" spans="1:7" x14ac:dyDescent="0.25">
      <c r="A372" s="116" t="s">
        <v>482</v>
      </c>
      <c r="B372" s="117" t="s">
        <v>483</v>
      </c>
      <c r="C372" t="s">
        <v>67</v>
      </c>
      <c r="D372" t="s">
        <v>67</v>
      </c>
      <c r="E372" t="s">
        <v>67</v>
      </c>
      <c r="F372" t="s">
        <v>49</v>
      </c>
      <c r="G372" s="117">
        <v>82.24</v>
      </c>
    </row>
    <row r="373" spans="1:7" x14ac:dyDescent="0.25">
      <c r="A373" s="116" t="s">
        <v>484</v>
      </c>
      <c r="B373" s="117" t="s">
        <v>485</v>
      </c>
      <c r="C373" t="s">
        <v>67</v>
      </c>
      <c r="D373" t="s">
        <v>67</v>
      </c>
      <c r="E373" t="s">
        <v>67</v>
      </c>
      <c r="F373" t="s">
        <v>27987</v>
      </c>
      <c r="G373" s="117">
        <v>39.06</v>
      </c>
    </row>
    <row r="374" spans="1:7" x14ac:dyDescent="0.25">
      <c r="A374" s="116" t="s">
        <v>486</v>
      </c>
      <c r="B374" s="117" t="s">
        <v>487</v>
      </c>
      <c r="C374" t="s">
        <v>67</v>
      </c>
      <c r="D374" t="s">
        <v>67</v>
      </c>
      <c r="E374" t="s">
        <v>67</v>
      </c>
      <c r="F374" t="s">
        <v>45</v>
      </c>
      <c r="G374" s="117">
        <v>133.38</v>
      </c>
    </row>
    <row r="375" spans="1:7" x14ac:dyDescent="0.25">
      <c r="A375" s="116" t="s">
        <v>488</v>
      </c>
      <c r="B375" s="117" t="s">
        <v>489</v>
      </c>
      <c r="C375" t="s">
        <v>67</v>
      </c>
      <c r="D375" t="s">
        <v>67</v>
      </c>
      <c r="E375" t="s">
        <v>67</v>
      </c>
      <c r="F375" t="s">
        <v>45</v>
      </c>
      <c r="G375" s="117">
        <v>51.17</v>
      </c>
    </row>
    <row r="376" spans="1:7" x14ac:dyDescent="0.25">
      <c r="A376" s="116" t="s">
        <v>490</v>
      </c>
      <c r="B376" s="117" t="s">
        <v>491</v>
      </c>
      <c r="C376" t="s">
        <v>67</v>
      </c>
      <c r="D376" t="s">
        <v>67</v>
      </c>
      <c r="E376" t="s">
        <v>67</v>
      </c>
      <c r="F376" t="s">
        <v>45</v>
      </c>
      <c r="G376" s="117">
        <v>550.12</v>
      </c>
    </row>
    <row r="377" spans="1:7" x14ac:dyDescent="0.25">
      <c r="A377" s="116" t="s">
        <v>492</v>
      </c>
      <c r="B377" s="117" t="s">
        <v>493</v>
      </c>
      <c r="C377" t="s">
        <v>67</v>
      </c>
      <c r="D377" t="s">
        <v>67</v>
      </c>
      <c r="E377" t="s">
        <v>67</v>
      </c>
      <c r="F377" t="s">
        <v>45</v>
      </c>
      <c r="G377" s="117">
        <v>236.25</v>
      </c>
    </row>
    <row r="378" spans="1:7" x14ac:dyDescent="0.25">
      <c r="A378" s="116" t="s">
        <v>494</v>
      </c>
      <c r="B378" s="117" t="s">
        <v>495</v>
      </c>
      <c r="C378" t="s">
        <v>67</v>
      </c>
      <c r="D378" t="s">
        <v>67</v>
      </c>
      <c r="E378" t="s">
        <v>67</v>
      </c>
      <c r="F378" t="s">
        <v>49</v>
      </c>
      <c r="G378" s="117">
        <v>52.06</v>
      </c>
    </row>
    <row r="379" spans="1:7" x14ac:dyDescent="0.25">
      <c r="A379" s="116" t="s">
        <v>496</v>
      </c>
      <c r="B379" s="117" t="s">
        <v>497</v>
      </c>
      <c r="C379" t="s">
        <v>67</v>
      </c>
      <c r="D379" t="s">
        <v>67</v>
      </c>
      <c r="E379" t="s">
        <v>67</v>
      </c>
      <c r="F379" t="s">
        <v>45</v>
      </c>
      <c r="G379" s="117">
        <v>810.19</v>
      </c>
    </row>
    <row r="380" spans="1:7" x14ac:dyDescent="0.25">
      <c r="A380" s="116" t="s">
        <v>498</v>
      </c>
      <c r="B380" s="117" t="s">
        <v>499</v>
      </c>
      <c r="C380" t="s">
        <v>67</v>
      </c>
      <c r="D380" t="s">
        <v>67</v>
      </c>
      <c r="E380" t="s">
        <v>67</v>
      </c>
      <c r="F380" t="s">
        <v>45</v>
      </c>
      <c r="G380" s="117">
        <v>76.98</v>
      </c>
    </row>
    <row r="381" spans="1:7" x14ac:dyDescent="0.25">
      <c r="A381" s="116" t="s">
        <v>27296</v>
      </c>
      <c r="B381" s="117" t="s">
        <v>500</v>
      </c>
      <c r="C381" t="s">
        <v>67</v>
      </c>
      <c r="D381" t="s">
        <v>67</v>
      </c>
      <c r="E381" t="s">
        <v>67</v>
      </c>
      <c r="F381" t="s">
        <v>49</v>
      </c>
      <c r="G381" s="117">
        <v>141.93</v>
      </c>
    </row>
    <row r="382" spans="1:7" x14ac:dyDescent="0.25">
      <c r="A382" s="116" t="s">
        <v>501</v>
      </c>
      <c r="B382" s="117" t="s">
        <v>502</v>
      </c>
      <c r="C382" t="s">
        <v>67</v>
      </c>
      <c r="D382" t="s">
        <v>67</v>
      </c>
      <c r="E382" t="s">
        <v>67</v>
      </c>
      <c r="F382" t="s">
        <v>45</v>
      </c>
      <c r="G382" s="117">
        <v>3.12</v>
      </c>
    </row>
    <row r="383" spans="1:7" x14ac:dyDescent="0.25">
      <c r="A383" s="116" t="s">
        <v>503</v>
      </c>
      <c r="B383" s="117" t="s">
        <v>504</v>
      </c>
      <c r="C383" t="s">
        <v>67</v>
      </c>
      <c r="D383" t="s">
        <v>67</v>
      </c>
      <c r="E383" t="s">
        <v>67</v>
      </c>
      <c r="F383" t="s">
        <v>27987</v>
      </c>
      <c r="G383" s="117">
        <v>249.9</v>
      </c>
    </row>
    <row r="384" spans="1:7" x14ac:dyDescent="0.25">
      <c r="A384" s="116" t="s">
        <v>505</v>
      </c>
      <c r="B384" s="117" t="s">
        <v>465</v>
      </c>
      <c r="C384" t="s">
        <v>67</v>
      </c>
      <c r="D384" t="s">
        <v>67</v>
      </c>
      <c r="E384" t="s">
        <v>67</v>
      </c>
      <c r="F384" t="s">
        <v>27987</v>
      </c>
      <c r="G384" s="117">
        <v>77.86</v>
      </c>
    </row>
    <row r="385" spans="1:7" x14ac:dyDescent="0.25">
      <c r="A385" s="116" t="s">
        <v>506</v>
      </c>
      <c r="B385" s="117" t="s">
        <v>507</v>
      </c>
      <c r="C385" t="s">
        <v>67</v>
      </c>
      <c r="D385" t="s">
        <v>67</v>
      </c>
      <c r="E385" t="s">
        <v>67</v>
      </c>
      <c r="F385" t="s">
        <v>49</v>
      </c>
      <c r="G385" s="117">
        <v>157.06</v>
      </c>
    </row>
    <row r="386" spans="1:7" x14ac:dyDescent="0.25">
      <c r="A386" s="116" t="s">
        <v>508</v>
      </c>
      <c r="B386" s="117" t="s">
        <v>465</v>
      </c>
      <c r="C386" t="s">
        <v>67</v>
      </c>
      <c r="D386" t="s">
        <v>67</v>
      </c>
      <c r="E386" t="s">
        <v>67</v>
      </c>
      <c r="F386" t="s">
        <v>27987</v>
      </c>
      <c r="G386" s="117">
        <v>88.54</v>
      </c>
    </row>
    <row r="387" spans="1:7" x14ac:dyDescent="0.25">
      <c r="A387" s="116" t="s">
        <v>28262</v>
      </c>
      <c r="B387" s="117" t="s">
        <v>28263</v>
      </c>
      <c r="C387" t="s">
        <v>67</v>
      </c>
      <c r="D387" t="s">
        <v>67</v>
      </c>
      <c r="E387" t="s">
        <v>67</v>
      </c>
      <c r="F387" t="s">
        <v>45</v>
      </c>
      <c r="G387" s="117">
        <v>0</v>
      </c>
    </row>
    <row r="388" spans="1:7" x14ac:dyDescent="0.25">
      <c r="A388" s="116" t="s">
        <v>509</v>
      </c>
      <c r="B388" s="117" t="s">
        <v>510</v>
      </c>
      <c r="C388" t="s">
        <v>67</v>
      </c>
      <c r="D388" t="s">
        <v>67</v>
      </c>
      <c r="E388" t="s">
        <v>67</v>
      </c>
      <c r="F388" t="s">
        <v>27990</v>
      </c>
      <c r="G388" s="117">
        <v>13.18</v>
      </c>
    </row>
    <row r="389" spans="1:7" x14ac:dyDescent="0.25">
      <c r="A389" s="116" t="s">
        <v>511</v>
      </c>
      <c r="B389" s="117" t="s">
        <v>512</v>
      </c>
      <c r="C389" t="s">
        <v>67</v>
      </c>
      <c r="D389" t="s">
        <v>67</v>
      </c>
      <c r="E389" t="s">
        <v>67</v>
      </c>
      <c r="F389" t="s">
        <v>27987</v>
      </c>
      <c r="G389" s="117">
        <v>60.42</v>
      </c>
    </row>
    <row r="390" spans="1:7" x14ac:dyDescent="0.25">
      <c r="A390" s="116" t="s">
        <v>513</v>
      </c>
      <c r="B390" s="117" t="s">
        <v>502</v>
      </c>
      <c r="C390" t="s">
        <v>67</v>
      </c>
      <c r="D390" t="s">
        <v>67</v>
      </c>
      <c r="E390" t="s">
        <v>67</v>
      </c>
      <c r="F390" t="s">
        <v>27987</v>
      </c>
      <c r="G390" s="117">
        <v>3.12</v>
      </c>
    </row>
    <row r="391" spans="1:7" x14ac:dyDescent="0.25">
      <c r="A391" s="116" t="s">
        <v>514</v>
      </c>
      <c r="B391" s="117" t="s">
        <v>515</v>
      </c>
      <c r="C391" t="s">
        <v>67</v>
      </c>
      <c r="D391" t="s">
        <v>67</v>
      </c>
      <c r="E391" t="s">
        <v>67</v>
      </c>
      <c r="F391" t="s">
        <v>45</v>
      </c>
      <c r="G391" s="117">
        <v>14.14</v>
      </c>
    </row>
    <row r="392" spans="1:7" x14ac:dyDescent="0.25">
      <c r="A392" s="116" t="s">
        <v>516</v>
      </c>
      <c r="B392" s="117" t="s">
        <v>515</v>
      </c>
      <c r="C392" t="s">
        <v>67</v>
      </c>
      <c r="D392" t="s">
        <v>67</v>
      </c>
      <c r="E392" t="s">
        <v>67</v>
      </c>
      <c r="F392" t="s">
        <v>27987</v>
      </c>
      <c r="G392" s="117">
        <v>3.12</v>
      </c>
    </row>
    <row r="393" spans="1:7" x14ac:dyDescent="0.25">
      <c r="A393" s="116" t="s">
        <v>517</v>
      </c>
      <c r="B393" s="117" t="s">
        <v>518</v>
      </c>
      <c r="C393" t="s">
        <v>67</v>
      </c>
      <c r="D393" t="s">
        <v>67</v>
      </c>
      <c r="E393" t="s">
        <v>67</v>
      </c>
      <c r="F393" t="s">
        <v>49</v>
      </c>
      <c r="G393" s="117">
        <v>471.1</v>
      </c>
    </row>
    <row r="394" spans="1:7" x14ac:dyDescent="0.25">
      <c r="A394" s="116" t="s">
        <v>519</v>
      </c>
      <c r="B394" s="117" t="s">
        <v>520</v>
      </c>
      <c r="C394" t="s">
        <v>67</v>
      </c>
      <c r="D394" t="s">
        <v>67</v>
      </c>
      <c r="E394" t="s">
        <v>67</v>
      </c>
      <c r="F394" t="s">
        <v>27987</v>
      </c>
      <c r="G394" s="117">
        <v>101.36</v>
      </c>
    </row>
    <row r="395" spans="1:7" x14ac:dyDescent="0.25">
      <c r="A395" s="116" t="s">
        <v>521</v>
      </c>
      <c r="B395" s="117" t="s">
        <v>522</v>
      </c>
      <c r="C395" t="s">
        <v>67</v>
      </c>
      <c r="D395" t="s">
        <v>67</v>
      </c>
      <c r="E395" t="s">
        <v>67</v>
      </c>
      <c r="F395" t="s">
        <v>45</v>
      </c>
      <c r="G395" s="117">
        <v>146.38</v>
      </c>
    </row>
    <row r="396" spans="1:7" x14ac:dyDescent="0.25">
      <c r="A396" s="116" t="s">
        <v>523</v>
      </c>
      <c r="B396" s="117" t="s">
        <v>465</v>
      </c>
      <c r="C396" t="s">
        <v>67</v>
      </c>
      <c r="D396" t="s">
        <v>67</v>
      </c>
      <c r="E396" t="s">
        <v>67</v>
      </c>
      <c r="F396" t="s">
        <v>27987</v>
      </c>
      <c r="G396" s="117">
        <v>64.87</v>
      </c>
    </row>
    <row r="397" spans="1:7" x14ac:dyDescent="0.25">
      <c r="A397" s="116" t="s">
        <v>28264</v>
      </c>
      <c r="B397" s="117" t="s">
        <v>28265</v>
      </c>
      <c r="C397" t="s">
        <v>67</v>
      </c>
      <c r="D397" t="s">
        <v>67</v>
      </c>
      <c r="E397" t="s">
        <v>67</v>
      </c>
      <c r="F397" t="s">
        <v>45</v>
      </c>
      <c r="G397" s="117">
        <v>0</v>
      </c>
    </row>
    <row r="398" spans="1:7" x14ac:dyDescent="0.25">
      <c r="A398" s="116" t="s">
        <v>524</v>
      </c>
      <c r="B398" s="117" t="s">
        <v>465</v>
      </c>
      <c r="C398" t="s">
        <v>67</v>
      </c>
      <c r="D398" t="s">
        <v>67</v>
      </c>
      <c r="E398" t="s">
        <v>67</v>
      </c>
      <c r="F398" t="s">
        <v>45</v>
      </c>
      <c r="G398" s="117">
        <v>393.21</v>
      </c>
    </row>
    <row r="399" spans="1:7" x14ac:dyDescent="0.25">
      <c r="A399" s="116" t="s">
        <v>525</v>
      </c>
      <c r="B399" s="117" t="s">
        <v>412</v>
      </c>
      <c r="C399" t="s">
        <v>67</v>
      </c>
      <c r="D399" t="s">
        <v>67</v>
      </c>
      <c r="E399" t="s">
        <v>67</v>
      </c>
      <c r="F399" t="s">
        <v>27987</v>
      </c>
      <c r="G399" s="117">
        <v>54.19</v>
      </c>
    </row>
    <row r="400" spans="1:7" x14ac:dyDescent="0.25">
      <c r="A400" s="116" t="s">
        <v>526</v>
      </c>
      <c r="B400" s="117" t="s">
        <v>527</v>
      </c>
      <c r="C400" t="s">
        <v>67</v>
      </c>
      <c r="D400" t="s">
        <v>67</v>
      </c>
      <c r="E400" t="s">
        <v>67</v>
      </c>
      <c r="F400" t="s">
        <v>45</v>
      </c>
      <c r="G400" s="117">
        <v>71.989999999999995</v>
      </c>
    </row>
    <row r="401" spans="1:7" x14ac:dyDescent="0.25">
      <c r="A401" s="116" t="s">
        <v>528</v>
      </c>
      <c r="B401" s="117" t="s">
        <v>529</v>
      </c>
      <c r="C401" t="s">
        <v>67</v>
      </c>
      <c r="D401" t="s">
        <v>67</v>
      </c>
      <c r="E401" t="s">
        <v>67</v>
      </c>
      <c r="F401" t="s">
        <v>49</v>
      </c>
      <c r="G401" s="117">
        <v>23.94</v>
      </c>
    </row>
    <row r="402" spans="1:7" x14ac:dyDescent="0.25">
      <c r="A402" s="116" t="s">
        <v>530</v>
      </c>
      <c r="B402" s="117" t="s">
        <v>465</v>
      </c>
      <c r="C402" t="s">
        <v>67</v>
      </c>
      <c r="D402" t="s">
        <v>67</v>
      </c>
      <c r="E402" t="s">
        <v>67</v>
      </c>
      <c r="F402" t="s">
        <v>27987</v>
      </c>
      <c r="G402" s="117">
        <v>102.77</v>
      </c>
    </row>
    <row r="403" spans="1:7" x14ac:dyDescent="0.25">
      <c r="A403" s="116" t="s">
        <v>531</v>
      </c>
      <c r="B403" s="117" t="s">
        <v>532</v>
      </c>
      <c r="C403" t="s">
        <v>67</v>
      </c>
      <c r="D403" t="s">
        <v>67</v>
      </c>
      <c r="E403" t="s">
        <v>67</v>
      </c>
      <c r="F403" t="s">
        <v>27987</v>
      </c>
      <c r="G403" s="117">
        <v>100.46</v>
      </c>
    </row>
    <row r="404" spans="1:7" x14ac:dyDescent="0.25">
      <c r="A404" s="116" t="s">
        <v>533</v>
      </c>
      <c r="B404" s="117" t="s">
        <v>465</v>
      </c>
      <c r="C404" t="s">
        <v>67</v>
      </c>
      <c r="D404" t="s">
        <v>67</v>
      </c>
      <c r="E404" t="s">
        <v>67</v>
      </c>
      <c r="F404" t="s">
        <v>27987</v>
      </c>
      <c r="G404" s="117">
        <v>205.46</v>
      </c>
    </row>
    <row r="405" spans="1:7" x14ac:dyDescent="0.25">
      <c r="A405" s="116" t="s">
        <v>534</v>
      </c>
      <c r="B405" s="117" t="s">
        <v>535</v>
      </c>
      <c r="C405" t="s">
        <v>67</v>
      </c>
      <c r="D405" t="s">
        <v>67</v>
      </c>
      <c r="E405" t="s">
        <v>67</v>
      </c>
      <c r="F405" t="s">
        <v>49</v>
      </c>
      <c r="G405" s="117">
        <v>132.13999999999999</v>
      </c>
    </row>
    <row r="406" spans="1:7" x14ac:dyDescent="0.25">
      <c r="A406" s="116" t="s">
        <v>536</v>
      </c>
      <c r="B406" s="117" t="s">
        <v>515</v>
      </c>
      <c r="C406" t="s">
        <v>67</v>
      </c>
      <c r="D406" t="s">
        <v>67</v>
      </c>
      <c r="E406" t="s">
        <v>67</v>
      </c>
      <c r="F406" t="s">
        <v>45</v>
      </c>
      <c r="G406" s="117">
        <v>2.58</v>
      </c>
    </row>
    <row r="407" spans="1:7" x14ac:dyDescent="0.25">
      <c r="A407" s="116" t="s">
        <v>537</v>
      </c>
      <c r="B407" s="117" t="s">
        <v>538</v>
      </c>
      <c r="C407" t="s">
        <v>67</v>
      </c>
      <c r="D407" t="s">
        <v>67</v>
      </c>
      <c r="E407" t="s">
        <v>67</v>
      </c>
      <c r="F407" t="s">
        <v>27987</v>
      </c>
      <c r="G407" s="117">
        <v>13.8</v>
      </c>
    </row>
    <row r="408" spans="1:7" x14ac:dyDescent="0.25">
      <c r="A408" s="116" t="s">
        <v>539</v>
      </c>
      <c r="B408" s="117" t="s">
        <v>540</v>
      </c>
      <c r="C408" t="s">
        <v>67</v>
      </c>
      <c r="D408" t="s">
        <v>67</v>
      </c>
      <c r="E408" t="s">
        <v>67</v>
      </c>
      <c r="F408" t="s">
        <v>45</v>
      </c>
      <c r="G408" s="117">
        <v>37.82</v>
      </c>
    </row>
    <row r="409" spans="1:7" x14ac:dyDescent="0.25">
      <c r="A409" s="116" t="s">
        <v>541</v>
      </c>
      <c r="B409" s="117" t="s">
        <v>542</v>
      </c>
      <c r="C409" t="s">
        <v>67</v>
      </c>
      <c r="D409" t="s">
        <v>67</v>
      </c>
      <c r="E409" t="s">
        <v>67</v>
      </c>
      <c r="F409" t="s">
        <v>27987</v>
      </c>
      <c r="G409" s="117">
        <v>136.94</v>
      </c>
    </row>
    <row r="410" spans="1:7" x14ac:dyDescent="0.25">
      <c r="A410" s="116" t="s">
        <v>543</v>
      </c>
      <c r="B410" s="117" t="s">
        <v>544</v>
      </c>
      <c r="C410" t="s">
        <v>67</v>
      </c>
      <c r="D410" t="s">
        <v>67</v>
      </c>
      <c r="E410" t="s">
        <v>67</v>
      </c>
      <c r="F410" t="s">
        <v>27987</v>
      </c>
      <c r="G410" s="117">
        <v>115.58</v>
      </c>
    </row>
    <row r="411" spans="1:7" x14ac:dyDescent="0.25">
      <c r="A411" s="116" t="s">
        <v>545</v>
      </c>
      <c r="B411" s="117" t="s">
        <v>546</v>
      </c>
      <c r="C411" t="s">
        <v>67</v>
      </c>
      <c r="D411" t="s">
        <v>67</v>
      </c>
      <c r="E411" t="s">
        <v>67</v>
      </c>
      <c r="F411" t="s">
        <v>27987</v>
      </c>
      <c r="G411" s="117">
        <v>46.18</v>
      </c>
    </row>
    <row r="412" spans="1:7" x14ac:dyDescent="0.25">
      <c r="A412" s="116" t="s">
        <v>547</v>
      </c>
      <c r="B412" s="117" t="s">
        <v>548</v>
      </c>
      <c r="C412" t="s">
        <v>67</v>
      </c>
      <c r="D412" t="s">
        <v>67</v>
      </c>
      <c r="E412" t="s">
        <v>67</v>
      </c>
      <c r="F412" t="s">
        <v>45</v>
      </c>
      <c r="G412" s="117">
        <v>96.9</v>
      </c>
    </row>
    <row r="413" spans="1:7" x14ac:dyDescent="0.25">
      <c r="A413" s="116" t="s">
        <v>549</v>
      </c>
      <c r="B413" s="117" t="s">
        <v>398</v>
      </c>
      <c r="C413" t="s">
        <v>67</v>
      </c>
      <c r="D413" t="s">
        <v>67</v>
      </c>
      <c r="E413" t="s">
        <v>67</v>
      </c>
      <c r="F413" t="s">
        <v>27987</v>
      </c>
      <c r="G413" s="117">
        <v>67.540000000000006</v>
      </c>
    </row>
    <row r="414" spans="1:7" x14ac:dyDescent="0.25">
      <c r="A414" s="116" t="s">
        <v>550</v>
      </c>
      <c r="B414" s="117" t="s">
        <v>551</v>
      </c>
      <c r="C414" t="s">
        <v>67</v>
      </c>
      <c r="D414" t="s">
        <v>67</v>
      </c>
      <c r="E414" t="s">
        <v>67</v>
      </c>
      <c r="F414" t="s">
        <v>45</v>
      </c>
      <c r="G414" s="117">
        <v>14.14</v>
      </c>
    </row>
    <row r="415" spans="1:7" x14ac:dyDescent="0.25">
      <c r="A415" s="116" t="s">
        <v>552</v>
      </c>
      <c r="B415" s="117" t="s">
        <v>553</v>
      </c>
      <c r="C415" t="s">
        <v>67</v>
      </c>
      <c r="D415" t="s">
        <v>67</v>
      </c>
      <c r="E415" t="s">
        <v>67</v>
      </c>
      <c r="F415" t="s">
        <v>27990</v>
      </c>
      <c r="G415" s="117">
        <v>12.37</v>
      </c>
    </row>
    <row r="416" spans="1:7" x14ac:dyDescent="0.25">
      <c r="A416" s="116" t="s">
        <v>554</v>
      </c>
      <c r="B416" s="117" t="s">
        <v>465</v>
      </c>
      <c r="C416" t="s">
        <v>67</v>
      </c>
      <c r="D416" t="s">
        <v>67</v>
      </c>
      <c r="E416" t="s">
        <v>67</v>
      </c>
      <c r="F416" t="s">
        <v>27987</v>
      </c>
      <c r="G416" s="117">
        <v>295.87</v>
      </c>
    </row>
    <row r="417" spans="1:7" x14ac:dyDescent="0.25">
      <c r="A417" s="116" t="s">
        <v>555</v>
      </c>
      <c r="B417" s="117" t="s">
        <v>465</v>
      </c>
      <c r="C417" t="s">
        <v>67</v>
      </c>
      <c r="D417" t="s">
        <v>67</v>
      </c>
      <c r="E417" t="s">
        <v>67</v>
      </c>
      <c r="F417" t="s">
        <v>27987</v>
      </c>
      <c r="G417" s="117">
        <v>256.18</v>
      </c>
    </row>
    <row r="418" spans="1:7" x14ac:dyDescent="0.25">
      <c r="A418" s="116" t="s">
        <v>556</v>
      </c>
      <c r="B418" s="117" t="s">
        <v>529</v>
      </c>
      <c r="C418" t="s">
        <v>67</v>
      </c>
      <c r="D418" t="s">
        <v>67</v>
      </c>
      <c r="E418" t="s">
        <v>67</v>
      </c>
      <c r="F418" t="s">
        <v>27987</v>
      </c>
      <c r="G418" s="117">
        <v>54.19</v>
      </c>
    </row>
    <row r="419" spans="1:7" x14ac:dyDescent="0.25">
      <c r="A419" s="116" t="s">
        <v>557</v>
      </c>
      <c r="B419" s="117" t="s">
        <v>558</v>
      </c>
      <c r="C419" t="s">
        <v>67</v>
      </c>
      <c r="D419" t="s">
        <v>67</v>
      </c>
      <c r="E419" t="s">
        <v>67</v>
      </c>
      <c r="F419" t="s">
        <v>45</v>
      </c>
      <c r="G419" s="117">
        <v>88.54</v>
      </c>
    </row>
    <row r="420" spans="1:7" x14ac:dyDescent="0.25">
      <c r="A420" s="116" t="s">
        <v>559</v>
      </c>
      <c r="B420" s="117" t="s">
        <v>477</v>
      </c>
      <c r="C420" t="s">
        <v>67</v>
      </c>
      <c r="D420" t="s">
        <v>67</v>
      </c>
      <c r="E420" t="s">
        <v>67</v>
      </c>
      <c r="F420" t="s">
        <v>45</v>
      </c>
      <c r="G420" s="117">
        <v>136.94</v>
      </c>
    </row>
    <row r="421" spans="1:7" x14ac:dyDescent="0.25">
      <c r="A421" s="116" t="s">
        <v>560</v>
      </c>
      <c r="B421" s="117" t="s">
        <v>561</v>
      </c>
      <c r="C421" t="s">
        <v>67</v>
      </c>
      <c r="D421" t="s">
        <v>67</v>
      </c>
      <c r="E421" t="s">
        <v>67</v>
      </c>
      <c r="F421" t="s">
        <v>45</v>
      </c>
      <c r="G421" s="117">
        <v>384.86</v>
      </c>
    </row>
    <row r="422" spans="1:7" x14ac:dyDescent="0.25">
      <c r="A422" s="116" t="s">
        <v>562</v>
      </c>
      <c r="B422" s="117" t="s">
        <v>563</v>
      </c>
      <c r="C422" t="s">
        <v>67</v>
      </c>
      <c r="D422" t="s">
        <v>67</v>
      </c>
      <c r="E422" t="s">
        <v>67</v>
      </c>
      <c r="F422" t="s">
        <v>27987</v>
      </c>
      <c r="G422" s="117">
        <v>127.69</v>
      </c>
    </row>
    <row r="423" spans="1:7" x14ac:dyDescent="0.25">
      <c r="A423" s="116" t="s">
        <v>564</v>
      </c>
      <c r="B423" s="117" t="s">
        <v>481</v>
      </c>
      <c r="C423" t="s">
        <v>67</v>
      </c>
      <c r="D423" t="s">
        <v>67</v>
      </c>
      <c r="E423" t="s">
        <v>67</v>
      </c>
      <c r="F423" t="s">
        <v>27987</v>
      </c>
      <c r="G423" s="117">
        <v>42.62</v>
      </c>
    </row>
    <row r="424" spans="1:7" x14ac:dyDescent="0.25">
      <c r="A424" s="116" t="s">
        <v>565</v>
      </c>
      <c r="B424" s="117" t="s">
        <v>566</v>
      </c>
      <c r="C424" t="s">
        <v>67</v>
      </c>
      <c r="D424" t="s">
        <v>67</v>
      </c>
      <c r="E424" t="s">
        <v>67</v>
      </c>
      <c r="F424" t="s">
        <v>27987</v>
      </c>
      <c r="G424" s="117">
        <v>52.06</v>
      </c>
    </row>
    <row r="425" spans="1:7" x14ac:dyDescent="0.25">
      <c r="A425" s="116" t="s">
        <v>567</v>
      </c>
      <c r="B425" s="117" t="s">
        <v>568</v>
      </c>
      <c r="C425" t="s">
        <v>67</v>
      </c>
      <c r="D425" t="s">
        <v>67</v>
      </c>
      <c r="E425" t="s">
        <v>67</v>
      </c>
      <c r="F425" t="s">
        <v>45</v>
      </c>
      <c r="G425" s="117">
        <v>17.7</v>
      </c>
    </row>
    <row r="426" spans="1:7" x14ac:dyDescent="0.25">
      <c r="A426" s="116" t="s">
        <v>569</v>
      </c>
      <c r="B426" s="117" t="s">
        <v>570</v>
      </c>
      <c r="C426" t="s">
        <v>67</v>
      </c>
      <c r="D426" t="s">
        <v>67</v>
      </c>
      <c r="E426" t="s">
        <v>67</v>
      </c>
      <c r="F426" t="s">
        <v>45</v>
      </c>
      <c r="G426" s="117">
        <v>100.46</v>
      </c>
    </row>
    <row r="427" spans="1:7" x14ac:dyDescent="0.25">
      <c r="A427" s="116" t="s">
        <v>31148</v>
      </c>
      <c r="B427" s="117" t="s">
        <v>31149</v>
      </c>
      <c r="C427" t="s">
        <v>67</v>
      </c>
      <c r="D427" t="s">
        <v>67</v>
      </c>
      <c r="E427" t="s">
        <v>67</v>
      </c>
      <c r="F427" t="s">
        <v>45</v>
      </c>
      <c r="G427" s="117">
        <v>66</v>
      </c>
    </row>
    <row r="428" spans="1:7" x14ac:dyDescent="0.25">
      <c r="A428" s="116" t="s">
        <v>571</v>
      </c>
      <c r="B428" s="117" t="s">
        <v>497</v>
      </c>
      <c r="C428" t="s">
        <v>67</v>
      </c>
      <c r="D428" t="s">
        <v>67</v>
      </c>
      <c r="E428" t="s">
        <v>67</v>
      </c>
      <c r="F428" t="s">
        <v>49</v>
      </c>
      <c r="G428" s="117">
        <v>363.5</v>
      </c>
    </row>
    <row r="429" spans="1:7" x14ac:dyDescent="0.25">
      <c r="A429" s="116" t="s">
        <v>572</v>
      </c>
      <c r="B429" s="117" t="s">
        <v>497</v>
      </c>
      <c r="C429" t="s">
        <v>67</v>
      </c>
      <c r="D429" t="s">
        <v>67</v>
      </c>
      <c r="E429" t="s">
        <v>67</v>
      </c>
      <c r="F429" t="s">
        <v>45</v>
      </c>
      <c r="G429" s="117">
        <v>404.82</v>
      </c>
    </row>
    <row r="430" spans="1:7" x14ac:dyDescent="0.25">
      <c r="A430" s="116" t="s">
        <v>573</v>
      </c>
      <c r="B430" s="117" t="s">
        <v>574</v>
      </c>
      <c r="C430" t="s">
        <v>67</v>
      </c>
      <c r="D430" t="s">
        <v>67</v>
      </c>
      <c r="E430" t="s">
        <v>67</v>
      </c>
      <c r="F430" t="s">
        <v>45</v>
      </c>
      <c r="G430" s="117">
        <v>242.83</v>
      </c>
    </row>
    <row r="431" spans="1:7" x14ac:dyDescent="0.25">
      <c r="A431" s="116" t="s">
        <v>575</v>
      </c>
      <c r="B431" s="117" t="s">
        <v>576</v>
      </c>
      <c r="C431" t="s">
        <v>67</v>
      </c>
      <c r="D431" t="s">
        <v>67</v>
      </c>
      <c r="E431" t="s">
        <v>67</v>
      </c>
      <c r="F431" t="s">
        <v>45</v>
      </c>
      <c r="G431" s="117">
        <v>56.86</v>
      </c>
    </row>
    <row r="432" spans="1:7" x14ac:dyDescent="0.25">
      <c r="A432" s="116" t="s">
        <v>577</v>
      </c>
      <c r="B432" s="117" t="s">
        <v>576</v>
      </c>
      <c r="C432" t="s">
        <v>67</v>
      </c>
      <c r="D432" t="s">
        <v>67</v>
      </c>
      <c r="E432" t="s">
        <v>67</v>
      </c>
      <c r="F432" t="s">
        <v>49</v>
      </c>
      <c r="G432" s="117">
        <v>236.25</v>
      </c>
    </row>
    <row r="433" spans="1:7" x14ac:dyDescent="0.25">
      <c r="A433" s="116" t="s">
        <v>578</v>
      </c>
      <c r="B433" s="117" t="s">
        <v>579</v>
      </c>
      <c r="C433" t="s">
        <v>67</v>
      </c>
      <c r="D433" t="s">
        <v>67</v>
      </c>
      <c r="E433" t="s">
        <v>67</v>
      </c>
      <c r="F433" t="s">
        <v>27987</v>
      </c>
      <c r="G433" s="117">
        <v>205.46</v>
      </c>
    </row>
    <row r="434" spans="1:7" x14ac:dyDescent="0.25">
      <c r="A434" s="116" t="s">
        <v>580</v>
      </c>
      <c r="B434" s="117" t="s">
        <v>581</v>
      </c>
      <c r="C434" t="s">
        <v>67</v>
      </c>
      <c r="D434" t="s">
        <v>67</v>
      </c>
      <c r="E434" t="s">
        <v>67</v>
      </c>
      <c r="F434" t="s">
        <v>27987</v>
      </c>
      <c r="G434" s="117">
        <v>401.23</v>
      </c>
    </row>
    <row r="435" spans="1:7" x14ac:dyDescent="0.25">
      <c r="A435" s="116" t="s">
        <v>582</v>
      </c>
      <c r="B435" s="117" t="s">
        <v>583</v>
      </c>
      <c r="C435" t="s">
        <v>67</v>
      </c>
      <c r="D435" t="s">
        <v>67</v>
      </c>
      <c r="E435" t="s">
        <v>67</v>
      </c>
      <c r="F435" t="s">
        <v>45</v>
      </c>
      <c r="G435" s="117">
        <v>236.25</v>
      </c>
    </row>
    <row r="436" spans="1:7" x14ac:dyDescent="0.25">
      <c r="A436" s="116" t="s">
        <v>584</v>
      </c>
      <c r="B436" s="117" t="s">
        <v>585</v>
      </c>
      <c r="C436" t="s">
        <v>67</v>
      </c>
      <c r="D436" t="s">
        <v>67</v>
      </c>
      <c r="E436" t="s">
        <v>67</v>
      </c>
      <c r="F436" t="s">
        <v>45</v>
      </c>
      <c r="G436" s="117">
        <v>63.98</v>
      </c>
    </row>
    <row r="437" spans="1:7" x14ac:dyDescent="0.25">
      <c r="A437" s="116" t="s">
        <v>586</v>
      </c>
      <c r="B437" s="117" t="s">
        <v>587</v>
      </c>
      <c r="C437" t="s">
        <v>67</v>
      </c>
      <c r="D437" t="s">
        <v>67</v>
      </c>
      <c r="E437" t="s">
        <v>67</v>
      </c>
      <c r="F437" t="s">
        <v>49</v>
      </c>
      <c r="G437" s="117">
        <v>59.18</v>
      </c>
    </row>
    <row r="438" spans="1:7" x14ac:dyDescent="0.25">
      <c r="A438" s="116" t="s">
        <v>588</v>
      </c>
      <c r="B438" s="117" t="s">
        <v>28266</v>
      </c>
      <c r="C438" t="s">
        <v>67</v>
      </c>
      <c r="D438" t="s">
        <v>67</v>
      </c>
      <c r="E438" t="s">
        <v>67</v>
      </c>
      <c r="F438" t="s">
        <v>27987</v>
      </c>
      <c r="G438" s="117">
        <v>53</v>
      </c>
    </row>
    <row r="439" spans="1:7" x14ac:dyDescent="0.25">
      <c r="A439" s="116" t="s">
        <v>589</v>
      </c>
      <c r="B439" s="117" t="s">
        <v>590</v>
      </c>
      <c r="C439" t="s">
        <v>67</v>
      </c>
      <c r="D439" t="s">
        <v>67</v>
      </c>
      <c r="E439" t="s">
        <v>67</v>
      </c>
      <c r="F439" t="s">
        <v>27987</v>
      </c>
      <c r="G439" s="117">
        <v>222.01</v>
      </c>
    </row>
    <row r="440" spans="1:7" x14ac:dyDescent="0.25">
      <c r="A440" s="116" t="s">
        <v>591</v>
      </c>
      <c r="B440" s="117" t="s">
        <v>592</v>
      </c>
      <c r="C440" t="s">
        <v>67</v>
      </c>
      <c r="D440" t="s">
        <v>67</v>
      </c>
      <c r="E440" t="s">
        <v>67</v>
      </c>
      <c r="F440" t="s">
        <v>45</v>
      </c>
      <c r="G440" s="117">
        <v>0.63</v>
      </c>
    </row>
    <row r="441" spans="1:7" x14ac:dyDescent="0.25">
      <c r="A441" s="116" t="s">
        <v>593</v>
      </c>
      <c r="B441" s="117" t="s">
        <v>594</v>
      </c>
      <c r="C441" t="s">
        <v>67</v>
      </c>
      <c r="D441" t="s">
        <v>67</v>
      </c>
      <c r="E441" t="s">
        <v>67</v>
      </c>
      <c r="F441" t="s">
        <v>27987</v>
      </c>
      <c r="G441" s="117">
        <v>9.6999999999999993</v>
      </c>
    </row>
    <row r="442" spans="1:7" x14ac:dyDescent="0.25">
      <c r="A442" s="116" t="s">
        <v>595</v>
      </c>
      <c r="B442" s="117" t="s">
        <v>596</v>
      </c>
      <c r="C442" t="s">
        <v>67</v>
      </c>
      <c r="D442" t="s">
        <v>67</v>
      </c>
      <c r="E442" t="s">
        <v>67</v>
      </c>
      <c r="F442" t="s">
        <v>45</v>
      </c>
      <c r="G442" s="117">
        <v>205.46</v>
      </c>
    </row>
    <row r="443" spans="1:7" x14ac:dyDescent="0.25">
      <c r="A443" s="116" t="s">
        <v>597</v>
      </c>
      <c r="B443" s="117" t="s">
        <v>598</v>
      </c>
      <c r="C443" t="s">
        <v>67</v>
      </c>
      <c r="D443" t="s">
        <v>67</v>
      </c>
      <c r="E443" t="s">
        <v>67</v>
      </c>
      <c r="F443" t="s">
        <v>27987</v>
      </c>
      <c r="G443" s="117">
        <v>233.94</v>
      </c>
    </row>
    <row r="444" spans="1:7" x14ac:dyDescent="0.25">
      <c r="A444" s="116" t="s">
        <v>599</v>
      </c>
      <c r="B444" s="117" t="s">
        <v>600</v>
      </c>
      <c r="C444" t="s">
        <v>67</v>
      </c>
      <c r="D444" t="s">
        <v>67</v>
      </c>
      <c r="E444" t="s">
        <v>67</v>
      </c>
      <c r="F444" t="s">
        <v>49</v>
      </c>
      <c r="G444" s="117">
        <v>3.12</v>
      </c>
    </row>
    <row r="445" spans="1:7" x14ac:dyDescent="0.25">
      <c r="A445" s="116" t="s">
        <v>601</v>
      </c>
      <c r="B445" s="117" t="s">
        <v>602</v>
      </c>
      <c r="C445" t="s">
        <v>67</v>
      </c>
      <c r="D445" t="s">
        <v>67</v>
      </c>
      <c r="E445" t="s">
        <v>67</v>
      </c>
      <c r="F445" t="s">
        <v>27987</v>
      </c>
      <c r="G445" s="117">
        <v>184.11</v>
      </c>
    </row>
    <row r="446" spans="1:7" x14ac:dyDescent="0.25">
      <c r="A446" s="116" t="s">
        <v>603</v>
      </c>
      <c r="B446" s="117" t="s">
        <v>604</v>
      </c>
      <c r="C446" t="s">
        <v>67</v>
      </c>
      <c r="D446" t="s">
        <v>67</v>
      </c>
      <c r="E446" t="s">
        <v>67</v>
      </c>
      <c r="F446" t="s">
        <v>49</v>
      </c>
      <c r="G446" s="117">
        <v>6.14</v>
      </c>
    </row>
    <row r="447" spans="1:7" x14ac:dyDescent="0.25">
      <c r="A447" s="116" t="s">
        <v>605</v>
      </c>
      <c r="B447" s="117" t="s">
        <v>606</v>
      </c>
      <c r="C447" t="s">
        <v>67</v>
      </c>
      <c r="D447" t="s">
        <v>67</v>
      </c>
      <c r="E447" t="s">
        <v>67</v>
      </c>
      <c r="F447" t="s">
        <v>45</v>
      </c>
      <c r="G447" s="117">
        <v>58.64</v>
      </c>
    </row>
    <row r="448" spans="1:7" x14ac:dyDescent="0.25">
      <c r="A448" s="116" t="s">
        <v>607</v>
      </c>
      <c r="B448" s="117" t="s">
        <v>608</v>
      </c>
      <c r="C448" t="s">
        <v>67</v>
      </c>
      <c r="D448" t="s">
        <v>67</v>
      </c>
      <c r="E448" t="s">
        <v>67</v>
      </c>
      <c r="F448" t="s">
        <v>27987</v>
      </c>
      <c r="G448" s="117">
        <v>115.58</v>
      </c>
    </row>
    <row r="449" spans="1:7" x14ac:dyDescent="0.25">
      <c r="A449" s="116" t="s">
        <v>609</v>
      </c>
      <c r="B449" s="117" t="s">
        <v>563</v>
      </c>
      <c r="C449" t="s">
        <v>67</v>
      </c>
      <c r="D449" t="s">
        <v>67</v>
      </c>
      <c r="E449" t="s">
        <v>67</v>
      </c>
      <c r="F449" t="s">
        <v>27987</v>
      </c>
      <c r="G449" s="117">
        <v>378.98</v>
      </c>
    </row>
    <row r="450" spans="1:7" x14ac:dyDescent="0.25">
      <c r="A450" s="116" t="s">
        <v>610</v>
      </c>
      <c r="B450" s="117" t="s">
        <v>611</v>
      </c>
      <c r="C450" t="s">
        <v>67</v>
      </c>
      <c r="D450" t="s">
        <v>67</v>
      </c>
      <c r="E450" t="s">
        <v>67</v>
      </c>
      <c r="F450" t="s">
        <v>27987</v>
      </c>
      <c r="G450" s="117">
        <v>71.099999999999994</v>
      </c>
    </row>
    <row r="451" spans="1:7" x14ac:dyDescent="0.25">
      <c r="A451" s="116" t="s">
        <v>612</v>
      </c>
      <c r="B451" s="117" t="s">
        <v>613</v>
      </c>
      <c r="C451" t="s">
        <v>67</v>
      </c>
      <c r="D451" t="s">
        <v>67</v>
      </c>
      <c r="E451" t="s">
        <v>67</v>
      </c>
      <c r="F451" t="s">
        <v>45</v>
      </c>
      <c r="G451" s="117">
        <v>250.49</v>
      </c>
    </row>
    <row r="452" spans="1:7" x14ac:dyDescent="0.25">
      <c r="A452" s="116" t="s">
        <v>614</v>
      </c>
      <c r="B452" s="117" t="s">
        <v>392</v>
      </c>
      <c r="C452" t="s">
        <v>67</v>
      </c>
      <c r="D452" t="s">
        <v>67</v>
      </c>
      <c r="E452" t="s">
        <v>67</v>
      </c>
      <c r="F452" t="s">
        <v>27987</v>
      </c>
      <c r="G452" s="117">
        <v>35.5</v>
      </c>
    </row>
    <row r="453" spans="1:7" x14ac:dyDescent="0.25">
      <c r="A453" s="116" t="s">
        <v>615</v>
      </c>
      <c r="B453" s="117" t="s">
        <v>616</v>
      </c>
      <c r="C453" t="s">
        <v>67</v>
      </c>
      <c r="D453" t="s">
        <v>67</v>
      </c>
      <c r="E453" t="s">
        <v>67</v>
      </c>
      <c r="F453" t="s">
        <v>27987</v>
      </c>
      <c r="G453" s="117">
        <v>63.08</v>
      </c>
    </row>
    <row r="454" spans="1:7" x14ac:dyDescent="0.25">
      <c r="A454" s="116" t="s">
        <v>617</v>
      </c>
      <c r="B454" s="117" t="s">
        <v>618</v>
      </c>
      <c r="C454" t="s">
        <v>67</v>
      </c>
      <c r="D454" t="s">
        <v>67</v>
      </c>
      <c r="E454" t="s">
        <v>67</v>
      </c>
      <c r="F454" t="s">
        <v>49</v>
      </c>
      <c r="G454" s="117">
        <v>165.42</v>
      </c>
    </row>
    <row r="455" spans="1:7" x14ac:dyDescent="0.25">
      <c r="A455" s="116" t="s">
        <v>619</v>
      </c>
      <c r="B455" s="117" t="s">
        <v>620</v>
      </c>
      <c r="C455" t="s">
        <v>67</v>
      </c>
      <c r="D455" t="s">
        <v>67</v>
      </c>
      <c r="E455" t="s">
        <v>67</v>
      </c>
      <c r="F455" t="s">
        <v>45</v>
      </c>
      <c r="G455" s="117">
        <v>205.46</v>
      </c>
    </row>
    <row r="456" spans="1:7" x14ac:dyDescent="0.25">
      <c r="A456" s="116" t="s">
        <v>621</v>
      </c>
      <c r="B456" s="117" t="s">
        <v>622</v>
      </c>
      <c r="C456" t="s">
        <v>67</v>
      </c>
      <c r="D456" t="s">
        <v>67</v>
      </c>
      <c r="E456" t="s">
        <v>67</v>
      </c>
      <c r="F456" t="s">
        <v>45</v>
      </c>
      <c r="G456" s="117">
        <v>84.08</v>
      </c>
    </row>
    <row r="457" spans="1:7" x14ac:dyDescent="0.25">
      <c r="A457" s="116" t="s">
        <v>623</v>
      </c>
      <c r="B457" s="117" t="s">
        <v>624</v>
      </c>
      <c r="C457" t="s">
        <v>67</v>
      </c>
      <c r="D457" t="s">
        <v>67</v>
      </c>
      <c r="E457" t="s">
        <v>67</v>
      </c>
      <c r="F457" t="s">
        <v>27987</v>
      </c>
      <c r="G457" s="117">
        <v>151.18</v>
      </c>
    </row>
    <row r="458" spans="1:7" x14ac:dyDescent="0.25">
      <c r="A458" s="116" t="s">
        <v>625</v>
      </c>
      <c r="B458" s="117" t="s">
        <v>626</v>
      </c>
      <c r="C458" t="s">
        <v>67</v>
      </c>
      <c r="D458" t="s">
        <v>67</v>
      </c>
      <c r="E458" t="s">
        <v>67</v>
      </c>
      <c r="F458" t="s">
        <v>27987</v>
      </c>
      <c r="G458" s="117">
        <v>2.58</v>
      </c>
    </row>
    <row r="459" spans="1:7" x14ac:dyDescent="0.25">
      <c r="A459" s="116" t="s">
        <v>627</v>
      </c>
      <c r="B459" s="117" t="s">
        <v>628</v>
      </c>
      <c r="C459" t="s">
        <v>67</v>
      </c>
      <c r="D459" t="s">
        <v>67</v>
      </c>
      <c r="E459" t="s">
        <v>67</v>
      </c>
      <c r="F459" t="s">
        <v>27987</v>
      </c>
      <c r="G459" s="117">
        <v>54.19</v>
      </c>
    </row>
    <row r="460" spans="1:7" x14ac:dyDescent="0.25">
      <c r="A460" s="116" t="s">
        <v>629</v>
      </c>
      <c r="B460" s="117" t="s">
        <v>630</v>
      </c>
      <c r="C460" t="s">
        <v>67</v>
      </c>
      <c r="D460" t="s">
        <v>67</v>
      </c>
      <c r="E460" t="s">
        <v>67</v>
      </c>
      <c r="F460" t="s">
        <v>27987</v>
      </c>
      <c r="G460" s="117">
        <v>83.56</v>
      </c>
    </row>
    <row r="461" spans="1:7" x14ac:dyDescent="0.25">
      <c r="A461" s="116" t="s">
        <v>631</v>
      </c>
      <c r="B461" s="117" t="s">
        <v>632</v>
      </c>
      <c r="C461" t="s">
        <v>67</v>
      </c>
      <c r="D461" t="s">
        <v>67</v>
      </c>
      <c r="E461" t="s">
        <v>67</v>
      </c>
      <c r="F461" t="s">
        <v>27987</v>
      </c>
      <c r="G461" s="117">
        <v>850.58</v>
      </c>
    </row>
    <row r="462" spans="1:7" x14ac:dyDescent="0.25">
      <c r="A462" s="116" t="s">
        <v>633</v>
      </c>
      <c r="B462" s="117" t="s">
        <v>634</v>
      </c>
      <c r="C462" t="s">
        <v>67</v>
      </c>
      <c r="D462" t="s">
        <v>67</v>
      </c>
      <c r="E462" t="s">
        <v>67</v>
      </c>
      <c r="F462" t="s">
        <v>45</v>
      </c>
      <c r="G462" s="117">
        <v>108.48</v>
      </c>
    </row>
    <row r="463" spans="1:7" x14ac:dyDescent="0.25">
      <c r="A463" s="116" t="s">
        <v>635</v>
      </c>
      <c r="B463" s="117" t="s">
        <v>636</v>
      </c>
      <c r="C463" t="s">
        <v>67</v>
      </c>
      <c r="D463" t="s">
        <v>67</v>
      </c>
      <c r="E463" t="s">
        <v>67</v>
      </c>
      <c r="F463" t="s">
        <v>45</v>
      </c>
      <c r="G463" s="117">
        <v>60.42</v>
      </c>
    </row>
    <row r="464" spans="1:7" x14ac:dyDescent="0.25">
      <c r="A464" s="116" t="s">
        <v>637</v>
      </c>
      <c r="B464" s="117" t="s">
        <v>502</v>
      </c>
      <c r="C464" t="s">
        <v>67</v>
      </c>
      <c r="D464" t="s">
        <v>67</v>
      </c>
      <c r="E464" t="s">
        <v>67</v>
      </c>
      <c r="F464" t="s">
        <v>49</v>
      </c>
      <c r="G464" s="117">
        <v>4.3600000000000003</v>
      </c>
    </row>
    <row r="465" spans="1:7" x14ac:dyDescent="0.25">
      <c r="A465" s="116" t="s">
        <v>638</v>
      </c>
      <c r="B465" s="117" t="s">
        <v>639</v>
      </c>
      <c r="C465" t="s">
        <v>67</v>
      </c>
      <c r="D465" t="s">
        <v>67</v>
      </c>
      <c r="E465" t="s">
        <v>67</v>
      </c>
      <c r="F465" t="s">
        <v>45</v>
      </c>
      <c r="G465" s="117">
        <v>26.25</v>
      </c>
    </row>
    <row r="466" spans="1:7" x14ac:dyDescent="0.25">
      <c r="A466" s="116" t="s">
        <v>640</v>
      </c>
      <c r="B466" s="117" t="s">
        <v>641</v>
      </c>
      <c r="C466" t="s">
        <v>67</v>
      </c>
      <c r="D466" t="s">
        <v>67</v>
      </c>
      <c r="E466" t="s">
        <v>67</v>
      </c>
      <c r="F466" t="s">
        <v>27987</v>
      </c>
      <c r="G466" s="117">
        <v>334.13</v>
      </c>
    </row>
    <row r="467" spans="1:7" x14ac:dyDescent="0.25">
      <c r="A467" s="116" t="s">
        <v>642</v>
      </c>
      <c r="B467" s="117" t="s">
        <v>579</v>
      </c>
      <c r="C467" t="s">
        <v>67</v>
      </c>
      <c r="D467" t="s">
        <v>67</v>
      </c>
      <c r="E467" t="s">
        <v>67</v>
      </c>
      <c r="F467" t="s">
        <v>45</v>
      </c>
      <c r="G467" s="117">
        <v>146.38</v>
      </c>
    </row>
    <row r="468" spans="1:7" x14ac:dyDescent="0.25">
      <c r="A468" s="116" t="s">
        <v>643</v>
      </c>
      <c r="B468" s="117" t="s">
        <v>465</v>
      </c>
      <c r="C468" t="s">
        <v>67</v>
      </c>
      <c r="D468" t="s">
        <v>67</v>
      </c>
      <c r="E468" t="s">
        <v>67</v>
      </c>
      <c r="F468" t="s">
        <v>45</v>
      </c>
      <c r="G468" s="117">
        <v>332.36</v>
      </c>
    </row>
    <row r="469" spans="1:7" x14ac:dyDescent="0.25">
      <c r="A469" s="116" t="s">
        <v>644</v>
      </c>
      <c r="B469" s="117" t="s">
        <v>645</v>
      </c>
      <c r="C469" t="s">
        <v>67</v>
      </c>
      <c r="D469" t="s">
        <v>67</v>
      </c>
      <c r="E469" t="s">
        <v>67</v>
      </c>
      <c r="F469" t="s">
        <v>27987</v>
      </c>
      <c r="G469" s="117">
        <v>2.58</v>
      </c>
    </row>
    <row r="470" spans="1:7" x14ac:dyDescent="0.25">
      <c r="A470" s="116" t="s">
        <v>646</v>
      </c>
      <c r="B470" s="117" t="s">
        <v>518</v>
      </c>
      <c r="C470" t="s">
        <v>67</v>
      </c>
      <c r="D470" t="s">
        <v>67</v>
      </c>
      <c r="E470" t="s">
        <v>67</v>
      </c>
      <c r="F470" t="s">
        <v>27987</v>
      </c>
      <c r="G470" s="117">
        <v>426.14</v>
      </c>
    </row>
    <row r="471" spans="1:7" x14ac:dyDescent="0.25">
      <c r="A471" s="116" t="s">
        <v>647</v>
      </c>
      <c r="B471" s="117" t="s">
        <v>402</v>
      </c>
      <c r="C471" t="s">
        <v>67</v>
      </c>
      <c r="D471" t="s">
        <v>67</v>
      </c>
      <c r="E471" t="s">
        <v>67</v>
      </c>
      <c r="F471" t="s">
        <v>45</v>
      </c>
      <c r="G471" s="117">
        <v>271.31</v>
      </c>
    </row>
    <row r="472" spans="1:7" x14ac:dyDescent="0.25">
      <c r="A472" s="116" t="s">
        <v>648</v>
      </c>
      <c r="B472" s="117" t="s">
        <v>28267</v>
      </c>
      <c r="C472" t="s">
        <v>67</v>
      </c>
      <c r="D472" t="s">
        <v>67</v>
      </c>
      <c r="E472" t="s">
        <v>67</v>
      </c>
      <c r="F472" t="s">
        <v>45</v>
      </c>
      <c r="G472" s="117">
        <v>146.19</v>
      </c>
    </row>
    <row r="473" spans="1:7" x14ac:dyDescent="0.25">
      <c r="A473" s="116" t="s">
        <v>649</v>
      </c>
      <c r="B473" s="117" t="s">
        <v>650</v>
      </c>
      <c r="C473" t="s">
        <v>67</v>
      </c>
      <c r="D473" t="s">
        <v>67</v>
      </c>
      <c r="E473" t="s">
        <v>67</v>
      </c>
      <c r="F473" t="s">
        <v>45</v>
      </c>
      <c r="G473" s="117">
        <v>104.92</v>
      </c>
    </row>
    <row r="474" spans="1:7" x14ac:dyDescent="0.25">
      <c r="A474" s="116" t="s">
        <v>651</v>
      </c>
      <c r="B474" s="117" t="s">
        <v>652</v>
      </c>
      <c r="C474" t="s">
        <v>67</v>
      </c>
      <c r="D474" t="s">
        <v>67</v>
      </c>
      <c r="E474" t="s">
        <v>67</v>
      </c>
      <c r="F474" t="s">
        <v>27987</v>
      </c>
      <c r="G474" s="117">
        <v>52.06</v>
      </c>
    </row>
    <row r="475" spans="1:7" x14ac:dyDescent="0.25">
      <c r="A475" s="116" t="s">
        <v>653</v>
      </c>
      <c r="B475" s="117" t="s">
        <v>654</v>
      </c>
      <c r="C475" t="s">
        <v>67</v>
      </c>
      <c r="D475" t="s">
        <v>67</v>
      </c>
      <c r="E475" t="s">
        <v>67</v>
      </c>
      <c r="F475" t="s">
        <v>27987</v>
      </c>
      <c r="G475" s="117">
        <v>154.38</v>
      </c>
    </row>
    <row r="476" spans="1:7" x14ac:dyDescent="0.25">
      <c r="A476" s="116" t="s">
        <v>28268</v>
      </c>
      <c r="B476" s="117" t="s">
        <v>28269</v>
      </c>
      <c r="C476" t="s">
        <v>67</v>
      </c>
      <c r="D476" t="s">
        <v>67</v>
      </c>
      <c r="E476" t="s">
        <v>67</v>
      </c>
      <c r="F476" t="s">
        <v>45</v>
      </c>
      <c r="G476" s="117">
        <v>23</v>
      </c>
    </row>
    <row r="477" spans="1:7" x14ac:dyDescent="0.25">
      <c r="A477" s="116" t="s">
        <v>655</v>
      </c>
      <c r="B477" s="117" t="s">
        <v>656</v>
      </c>
      <c r="C477" t="s">
        <v>67</v>
      </c>
      <c r="D477" t="s">
        <v>67</v>
      </c>
      <c r="E477" t="s">
        <v>67</v>
      </c>
      <c r="F477" t="s">
        <v>49</v>
      </c>
      <c r="G477" s="117">
        <v>281.10000000000002</v>
      </c>
    </row>
    <row r="478" spans="1:7" x14ac:dyDescent="0.25">
      <c r="A478" s="116" t="s">
        <v>657</v>
      </c>
      <c r="B478" s="117" t="s">
        <v>658</v>
      </c>
      <c r="C478" t="s">
        <v>67</v>
      </c>
      <c r="D478" t="s">
        <v>67</v>
      </c>
      <c r="E478" t="s">
        <v>67</v>
      </c>
      <c r="F478" t="s">
        <v>27987</v>
      </c>
      <c r="G478" s="117">
        <v>325.58</v>
      </c>
    </row>
    <row r="479" spans="1:7" x14ac:dyDescent="0.25">
      <c r="A479" s="116" t="s">
        <v>659</v>
      </c>
      <c r="B479" s="117" t="s">
        <v>660</v>
      </c>
      <c r="C479" t="s">
        <v>67</v>
      </c>
      <c r="D479" t="s">
        <v>67</v>
      </c>
      <c r="E479" t="s">
        <v>67</v>
      </c>
      <c r="F479" t="s">
        <v>27987</v>
      </c>
      <c r="G479" s="117">
        <v>3.12</v>
      </c>
    </row>
    <row r="480" spans="1:7" x14ac:dyDescent="0.25">
      <c r="A480" s="116" t="s">
        <v>661</v>
      </c>
      <c r="B480" s="117" t="s">
        <v>662</v>
      </c>
      <c r="C480" t="s">
        <v>67</v>
      </c>
      <c r="D480" t="s">
        <v>67</v>
      </c>
      <c r="E480" t="s">
        <v>67</v>
      </c>
      <c r="F480" t="s">
        <v>27987</v>
      </c>
      <c r="G480" s="117">
        <v>227.4</v>
      </c>
    </row>
    <row r="481" spans="1:7" x14ac:dyDescent="0.25">
      <c r="A481" s="116" t="s">
        <v>663</v>
      </c>
      <c r="B481" s="117" t="s">
        <v>664</v>
      </c>
      <c r="C481" t="s">
        <v>67</v>
      </c>
      <c r="D481" t="s">
        <v>67</v>
      </c>
      <c r="E481" t="s">
        <v>67</v>
      </c>
      <c r="F481" t="s">
        <v>45</v>
      </c>
      <c r="G481" s="117">
        <v>62.74</v>
      </c>
    </row>
    <row r="482" spans="1:7" x14ac:dyDescent="0.25">
      <c r="A482" s="116" t="s">
        <v>665</v>
      </c>
      <c r="B482" s="117" t="s">
        <v>28270</v>
      </c>
      <c r="C482" t="s">
        <v>67</v>
      </c>
      <c r="D482" t="s">
        <v>67</v>
      </c>
      <c r="E482" t="s">
        <v>67</v>
      </c>
      <c r="F482" t="s">
        <v>27987</v>
      </c>
      <c r="G482" s="117">
        <v>84.98</v>
      </c>
    </row>
    <row r="483" spans="1:7" x14ac:dyDescent="0.25">
      <c r="A483" s="116" t="s">
        <v>666</v>
      </c>
      <c r="B483" s="117" t="s">
        <v>2938</v>
      </c>
      <c r="C483" t="s">
        <v>67</v>
      </c>
      <c r="D483" t="s">
        <v>67</v>
      </c>
      <c r="E483" t="s">
        <v>67</v>
      </c>
      <c r="F483" t="s">
        <v>27987</v>
      </c>
      <c r="G483" s="117">
        <v>290.52</v>
      </c>
    </row>
    <row r="484" spans="1:7" x14ac:dyDescent="0.25">
      <c r="A484" s="116" t="s">
        <v>667</v>
      </c>
      <c r="B484" s="117" t="s">
        <v>570</v>
      </c>
      <c r="C484" t="s">
        <v>67</v>
      </c>
      <c r="D484" t="s">
        <v>67</v>
      </c>
      <c r="E484" t="s">
        <v>67</v>
      </c>
      <c r="F484" t="s">
        <v>27987</v>
      </c>
      <c r="G484" s="117">
        <v>76.98</v>
      </c>
    </row>
    <row r="485" spans="1:7" x14ac:dyDescent="0.25">
      <c r="A485" s="116" t="s">
        <v>668</v>
      </c>
      <c r="B485" s="117" t="s">
        <v>465</v>
      </c>
      <c r="C485" t="s">
        <v>67</v>
      </c>
      <c r="D485" t="s">
        <v>67</v>
      </c>
      <c r="E485" t="s">
        <v>67</v>
      </c>
      <c r="F485" t="s">
        <v>27987</v>
      </c>
      <c r="G485" s="117">
        <v>126.8</v>
      </c>
    </row>
    <row r="486" spans="1:7" x14ac:dyDescent="0.25">
      <c r="A486" s="116" t="s">
        <v>669</v>
      </c>
      <c r="B486" s="117" t="s">
        <v>670</v>
      </c>
      <c r="C486" t="s">
        <v>67</v>
      </c>
      <c r="D486" t="s">
        <v>67</v>
      </c>
      <c r="E486" t="s">
        <v>67</v>
      </c>
      <c r="F486" t="s">
        <v>27990</v>
      </c>
      <c r="G486" s="117">
        <v>401.27</v>
      </c>
    </row>
    <row r="487" spans="1:7" x14ac:dyDescent="0.25">
      <c r="A487" s="116" t="s">
        <v>671</v>
      </c>
      <c r="B487" s="117" t="s">
        <v>672</v>
      </c>
      <c r="C487" t="s">
        <v>67</v>
      </c>
      <c r="D487" t="s">
        <v>67</v>
      </c>
      <c r="E487" t="s">
        <v>67</v>
      </c>
      <c r="F487" t="s">
        <v>49</v>
      </c>
      <c r="G487" s="117">
        <v>44.94</v>
      </c>
    </row>
    <row r="488" spans="1:7" x14ac:dyDescent="0.25">
      <c r="A488" s="116" t="s">
        <v>673</v>
      </c>
      <c r="B488" s="117" t="s">
        <v>674</v>
      </c>
      <c r="C488" t="s">
        <v>67</v>
      </c>
      <c r="D488" t="s">
        <v>67</v>
      </c>
      <c r="E488" t="s">
        <v>67</v>
      </c>
      <c r="F488" t="s">
        <v>45</v>
      </c>
      <c r="G488" s="117">
        <v>22.16</v>
      </c>
    </row>
    <row r="489" spans="1:7" x14ac:dyDescent="0.25">
      <c r="A489" s="116" t="s">
        <v>675</v>
      </c>
      <c r="B489" s="117" t="s">
        <v>676</v>
      </c>
      <c r="C489" t="s">
        <v>67</v>
      </c>
      <c r="D489" t="s">
        <v>67</v>
      </c>
      <c r="E489" t="s">
        <v>67</v>
      </c>
      <c r="F489" t="s">
        <v>49</v>
      </c>
      <c r="G489" s="117">
        <v>16.46</v>
      </c>
    </row>
    <row r="490" spans="1:7" x14ac:dyDescent="0.25">
      <c r="A490" s="116" t="s">
        <v>677</v>
      </c>
      <c r="B490" s="117" t="s">
        <v>678</v>
      </c>
      <c r="C490" t="s">
        <v>67</v>
      </c>
      <c r="D490" t="s">
        <v>67</v>
      </c>
      <c r="E490" t="s">
        <v>67</v>
      </c>
      <c r="F490" t="s">
        <v>45</v>
      </c>
      <c r="G490" s="117">
        <v>218.45</v>
      </c>
    </row>
    <row r="491" spans="1:7" x14ac:dyDescent="0.25">
      <c r="A491" s="116" t="s">
        <v>679</v>
      </c>
      <c r="B491" s="117" t="s">
        <v>680</v>
      </c>
      <c r="C491" t="s">
        <v>67</v>
      </c>
      <c r="D491" t="s">
        <v>67</v>
      </c>
      <c r="E491" t="s">
        <v>67</v>
      </c>
      <c r="F491" t="s">
        <v>49</v>
      </c>
      <c r="G491" s="117">
        <v>173.43</v>
      </c>
    </row>
    <row r="492" spans="1:7" x14ac:dyDescent="0.25">
      <c r="A492" s="116" t="s">
        <v>681</v>
      </c>
      <c r="B492" s="117" t="s">
        <v>682</v>
      </c>
      <c r="C492" t="s">
        <v>67</v>
      </c>
      <c r="D492" t="s">
        <v>67</v>
      </c>
      <c r="E492" t="s">
        <v>67</v>
      </c>
      <c r="F492" t="s">
        <v>27987</v>
      </c>
      <c r="G492" s="117">
        <v>365.63</v>
      </c>
    </row>
    <row r="493" spans="1:7" x14ac:dyDescent="0.25">
      <c r="A493" s="116" t="s">
        <v>683</v>
      </c>
      <c r="B493" s="117" t="s">
        <v>684</v>
      </c>
      <c r="C493" t="s">
        <v>67</v>
      </c>
      <c r="D493" t="s">
        <v>67</v>
      </c>
      <c r="E493" t="s">
        <v>67</v>
      </c>
      <c r="F493" t="s">
        <v>45</v>
      </c>
      <c r="G493" s="117">
        <v>114.7</v>
      </c>
    </row>
    <row r="494" spans="1:7" x14ac:dyDescent="0.25">
      <c r="A494" s="116" t="s">
        <v>685</v>
      </c>
      <c r="B494" s="117" t="s">
        <v>686</v>
      </c>
      <c r="C494" t="s">
        <v>67</v>
      </c>
      <c r="D494" t="s">
        <v>67</v>
      </c>
      <c r="E494" t="s">
        <v>67</v>
      </c>
      <c r="F494" t="s">
        <v>45</v>
      </c>
      <c r="G494" s="117">
        <v>233.58</v>
      </c>
    </row>
    <row r="495" spans="1:7" x14ac:dyDescent="0.25">
      <c r="A495" s="116" t="s">
        <v>687</v>
      </c>
      <c r="B495" s="117" t="s">
        <v>688</v>
      </c>
      <c r="C495" t="s">
        <v>67</v>
      </c>
      <c r="D495" t="s">
        <v>67</v>
      </c>
      <c r="E495" t="s">
        <v>67</v>
      </c>
      <c r="F495" t="s">
        <v>45</v>
      </c>
      <c r="G495" s="117">
        <v>23.94</v>
      </c>
    </row>
    <row r="496" spans="1:7" x14ac:dyDescent="0.25">
      <c r="A496" s="116" t="s">
        <v>689</v>
      </c>
      <c r="B496" s="117" t="s">
        <v>690</v>
      </c>
      <c r="C496" t="s">
        <v>67</v>
      </c>
      <c r="D496" t="s">
        <v>67</v>
      </c>
      <c r="E496" t="s">
        <v>67</v>
      </c>
      <c r="F496" t="s">
        <v>45</v>
      </c>
      <c r="G496" s="117">
        <v>389.3</v>
      </c>
    </row>
    <row r="497" spans="1:7" x14ac:dyDescent="0.25">
      <c r="A497" s="116" t="s">
        <v>691</v>
      </c>
      <c r="B497" s="117" t="s">
        <v>692</v>
      </c>
      <c r="C497" t="s">
        <v>67</v>
      </c>
      <c r="D497" t="s">
        <v>67</v>
      </c>
      <c r="E497" t="s">
        <v>67</v>
      </c>
      <c r="F497" t="s">
        <v>45</v>
      </c>
      <c r="G497" s="117">
        <v>24.23</v>
      </c>
    </row>
    <row r="498" spans="1:7" x14ac:dyDescent="0.25">
      <c r="A498" s="116" t="s">
        <v>693</v>
      </c>
      <c r="B498" s="117" t="s">
        <v>694</v>
      </c>
      <c r="C498" t="s">
        <v>67</v>
      </c>
      <c r="D498" t="s">
        <v>67</v>
      </c>
      <c r="E498" t="s">
        <v>67</v>
      </c>
      <c r="F498" t="s">
        <v>45</v>
      </c>
      <c r="G498" s="117">
        <v>59.64</v>
      </c>
    </row>
    <row r="499" spans="1:7" x14ac:dyDescent="0.25">
      <c r="A499" s="116" t="s">
        <v>695</v>
      </c>
      <c r="B499" s="117" t="s">
        <v>696</v>
      </c>
      <c r="C499" t="s">
        <v>67</v>
      </c>
      <c r="D499" t="s">
        <v>67</v>
      </c>
      <c r="E499" t="s">
        <v>67</v>
      </c>
      <c r="F499" t="s">
        <v>45</v>
      </c>
      <c r="G499" s="117">
        <v>79.23</v>
      </c>
    </row>
    <row r="500" spans="1:7" x14ac:dyDescent="0.25">
      <c r="A500" s="116" t="s">
        <v>697</v>
      </c>
      <c r="B500" s="117" t="s">
        <v>698</v>
      </c>
      <c r="C500" t="s">
        <v>67</v>
      </c>
      <c r="D500" t="s">
        <v>67</v>
      </c>
      <c r="E500" t="s">
        <v>67</v>
      </c>
      <c r="F500" t="s">
        <v>45</v>
      </c>
      <c r="G500" s="117">
        <v>62.53</v>
      </c>
    </row>
    <row r="501" spans="1:7" x14ac:dyDescent="0.25">
      <c r="A501" s="116" t="s">
        <v>699</v>
      </c>
      <c r="B501" s="117" t="s">
        <v>700</v>
      </c>
      <c r="C501" t="s">
        <v>67</v>
      </c>
      <c r="D501" t="s">
        <v>67</v>
      </c>
      <c r="E501" t="s">
        <v>67</v>
      </c>
      <c r="F501" t="s">
        <v>45</v>
      </c>
      <c r="G501" s="117">
        <v>28.88</v>
      </c>
    </row>
    <row r="502" spans="1:7" x14ac:dyDescent="0.25">
      <c r="A502" s="116" t="s">
        <v>701</v>
      </c>
      <c r="B502" s="117" t="s">
        <v>702</v>
      </c>
      <c r="C502" t="s">
        <v>67</v>
      </c>
      <c r="D502" t="s">
        <v>67</v>
      </c>
      <c r="E502" t="s">
        <v>67</v>
      </c>
      <c r="F502" t="s">
        <v>45</v>
      </c>
      <c r="G502" s="117">
        <v>89.79</v>
      </c>
    </row>
    <row r="503" spans="1:7" x14ac:dyDescent="0.25">
      <c r="A503" s="116" t="s">
        <v>703</v>
      </c>
      <c r="B503" s="117" t="s">
        <v>704</v>
      </c>
      <c r="C503" t="s">
        <v>67</v>
      </c>
      <c r="D503" t="s">
        <v>67</v>
      </c>
      <c r="E503" t="s">
        <v>67</v>
      </c>
      <c r="F503" t="s">
        <v>45</v>
      </c>
      <c r="G503" s="117">
        <v>97.19</v>
      </c>
    </row>
    <row r="504" spans="1:7" x14ac:dyDescent="0.25">
      <c r="A504" s="116" t="s">
        <v>705</v>
      </c>
      <c r="B504" s="117" t="s">
        <v>706</v>
      </c>
      <c r="C504" t="s">
        <v>67</v>
      </c>
      <c r="D504" t="s">
        <v>67</v>
      </c>
      <c r="E504" t="s">
        <v>67</v>
      </c>
      <c r="F504" t="s">
        <v>45</v>
      </c>
      <c r="G504" s="117">
        <v>84.08</v>
      </c>
    </row>
    <row r="505" spans="1:7" x14ac:dyDescent="0.25">
      <c r="A505" s="116" t="s">
        <v>707</v>
      </c>
      <c r="B505" s="117" t="s">
        <v>708</v>
      </c>
      <c r="C505" t="s">
        <v>67</v>
      </c>
      <c r="D505" t="s">
        <v>67</v>
      </c>
      <c r="E505" t="s">
        <v>67</v>
      </c>
      <c r="F505" t="s">
        <v>27987</v>
      </c>
      <c r="G505" s="117">
        <v>311.36</v>
      </c>
    </row>
    <row r="506" spans="1:7" x14ac:dyDescent="0.25">
      <c r="A506" s="116" t="s">
        <v>709</v>
      </c>
      <c r="B506" s="117" t="s">
        <v>710</v>
      </c>
      <c r="C506" t="s">
        <v>67</v>
      </c>
      <c r="D506" t="s">
        <v>67</v>
      </c>
      <c r="E506" t="s">
        <v>67</v>
      </c>
      <c r="F506" t="s">
        <v>27987</v>
      </c>
      <c r="G506" s="117">
        <v>945.44</v>
      </c>
    </row>
    <row r="507" spans="1:7" x14ac:dyDescent="0.25">
      <c r="A507" s="116" t="s">
        <v>711</v>
      </c>
      <c r="B507" s="117" t="s">
        <v>712</v>
      </c>
      <c r="C507" t="s">
        <v>67</v>
      </c>
      <c r="D507" t="s">
        <v>67</v>
      </c>
      <c r="E507" t="s">
        <v>67</v>
      </c>
      <c r="F507" t="s">
        <v>45</v>
      </c>
      <c r="G507" s="117">
        <v>85.33</v>
      </c>
    </row>
    <row r="508" spans="1:7" x14ac:dyDescent="0.25">
      <c r="A508" s="116" t="s">
        <v>713</v>
      </c>
      <c r="B508" s="117" t="s">
        <v>714</v>
      </c>
      <c r="C508" t="s">
        <v>67</v>
      </c>
      <c r="D508" t="s">
        <v>67</v>
      </c>
      <c r="E508" t="s">
        <v>67</v>
      </c>
      <c r="F508" t="s">
        <v>27987</v>
      </c>
      <c r="G508" s="117">
        <v>1384.35</v>
      </c>
    </row>
    <row r="509" spans="1:7" x14ac:dyDescent="0.25">
      <c r="A509" s="116" t="s">
        <v>715</v>
      </c>
      <c r="B509" s="117" t="s">
        <v>716</v>
      </c>
      <c r="C509" t="s">
        <v>67</v>
      </c>
      <c r="D509" t="s">
        <v>67</v>
      </c>
      <c r="E509" t="s">
        <v>67</v>
      </c>
      <c r="F509" t="s">
        <v>27987</v>
      </c>
      <c r="G509" s="117">
        <v>212.23</v>
      </c>
    </row>
    <row r="510" spans="1:7" x14ac:dyDescent="0.25">
      <c r="A510" s="116" t="s">
        <v>717</v>
      </c>
      <c r="B510" s="117" t="s">
        <v>718</v>
      </c>
      <c r="C510" t="s">
        <v>67</v>
      </c>
      <c r="D510" t="s">
        <v>67</v>
      </c>
      <c r="E510" t="s">
        <v>67</v>
      </c>
      <c r="F510" t="s">
        <v>27987</v>
      </c>
      <c r="G510" s="117">
        <v>249.06</v>
      </c>
    </row>
    <row r="511" spans="1:7" x14ac:dyDescent="0.25">
      <c r="A511" s="116" t="s">
        <v>719</v>
      </c>
      <c r="B511" s="117" t="s">
        <v>720</v>
      </c>
      <c r="C511" t="s">
        <v>67</v>
      </c>
      <c r="D511" t="s">
        <v>67</v>
      </c>
      <c r="E511" t="s">
        <v>67</v>
      </c>
      <c r="F511" t="s">
        <v>27987</v>
      </c>
      <c r="G511" s="117">
        <v>2064.86</v>
      </c>
    </row>
    <row r="512" spans="1:7" x14ac:dyDescent="0.25">
      <c r="A512" s="116" t="s">
        <v>721</v>
      </c>
      <c r="B512" s="117" t="s">
        <v>722</v>
      </c>
      <c r="C512" t="s">
        <v>67</v>
      </c>
      <c r="D512" t="s">
        <v>67</v>
      </c>
      <c r="E512" t="s">
        <v>67</v>
      </c>
      <c r="F512" t="s">
        <v>27987</v>
      </c>
      <c r="G512" s="117">
        <v>201.01</v>
      </c>
    </row>
    <row r="513" spans="1:7" x14ac:dyDescent="0.25">
      <c r="A513" s="116" t="s">
        <v>723</v>
      </c>
      <c r="B513" s="117" t="s">
        <v>724</v>
      </c>
      <c r="C513" t="s">
        <v>67</v>
      </c>
      <c r="D513" t="s">
        <v>67</v>
      </c>
      <c r="E513" t="s">
        <v>67</v>
      </c>
      <c r="F513" t="s">
        <v>45</v>
      </c>
      <c r="G513" s="117">
        <v>91.2</v>
      </c>
    </row>
    <row r="514" spans="1:7" x14ac:dyDescent="0.25">
      <c r="A514" s="116" t="s">
        <v>725</v>
      </c>
      <c r="B514" s="117" t="s">
        <v>726</v>
      </c>
      <c r="C514" t="s">
        <v>67</v>
      </c>
      <c r="D514" t="s">
        <v>67</v>
      </c>
      <c r="E514" t="s">
        <v>67</v>
      </c>
      <c r="F514" t="s">
        <v>27987</v>
      </c>
      <c r="G514" s="117">
        <v>33.369999999999997</v>
      </c>
    </row>
    <row r="515" spans="1:7" x14ac:dyDescent="0.25">
      <c r="A515" s="116" t="s">
        <v>727</v>
      </c>
      <c r="B515" s="117" t="s">
        <v>368</v>
      </c>
      <c r="C515" t="s">
        <v>67</v>
      </c>
      <c r="D515" t="s">
        <v>67</v>
      </c>
      <c r="E515" t="s">
        <v>67</v>
      </c>
      <c r="F515" t="s">
        <v>27987</v>
      </c>
      <c r="G515" s="117">
        <v>1048.67</v>
      </c>
    </row>
    <row r="516" spans="1:7" x14ac:dyDescent="0.25">
      <c r="A516" s="116" t="s">
        <v>728</v>
      </c>
      <c r="B516" s="117" t="s">
        <v>28271</v>
      </c>
      <c r="C516" t="s">
        <v>67</v>
      </c>
      <c r="D516" t="s">
        <v>67</v>
      </c>
      <c r="E516" t="s">
        <v>67</v>
      </c>
      <c r="F516" t="s">
        <v>27987</v>
      </c>
      <c r="G516" s="117">
        <v>31.94</v>
      </c>
    </row>
    <row r="517" spans="1:7" x14ac:dyDescent="0.25">
      <c r="A517" s="116" t="s">
        <v>729</v>
      </c>
      <c r="B517" s="117" t="s">
        <v>730</v>
      </c>
      <c r="C517" t="s">
        <v>67</v>
      </c>
      <c r="D517" t="s">
        <v>67</v>
      </c>
      <c r="E517" t="s">
        <v>67</v>
      </c>
      <c r="F517" t="s">
        <v>27987</v>
      </c>
      <c r="G517" s="117">
        <v>70.069999999999993</v>
      </c>
    </row>
    <row r="518" spans="1:7" x14ac:dyDescent="0.25">
      <c r="A518" s="116" t="s">
        <v>731</v>
      </c>
      <c r="B518" s="117" t="s">
        <v>732</v>
      </c>
      <c r="C518" t="s">
        <v>67</v>
      </c>
      <c r="D518" t="s">
        <v>67</v>
      </c>
      <c r="E518" t="s">
        <v>67</v>
      </c>
      <c r="F518" t="s">
        <v>49</v>
      </c>
      <c r="G518" s="117">
        <v>44.05</v>
      </c>
    </row>
    <row r="519" spans="1:7" x14ac:dyDescent="0.25">
      <c r="A519" s="116" t="s">
        <v>733</v>
      </c>
      <c r="B519" s="117" t="s">
        <v>734</v>
      </c>
      <c r="C519" t="s">
        <v>67</v>
      </c>
      <c r="D519" t="s">
        <v>67</v>
      </c>
      <c r="E519" t="s">
        <v>67</v>
      </c>
      <c r="F519" t="s">
        <v>45</v>
      </c>
      <c r="G519" s="117">
        <v>324.7</v>
      </c>
    </row>
    <row r="520" spans="1:7" x14ac:dyDescent="0.25">
      <c r="A520" s="116" t="s">
        <v>735</v>
      </c>
      <c r="B520" s="117" t="s">
        <v>736</v>
      </c>
      <c r="C520" t="s">
        <v>67</v>
      </c>
      <c r="D520" t="s">
        <v>67</v>
      </c>
      <c r="E520" t="s">
        <v>67</v>
      </c>
      <c r="F520" t="s">
        <v>27987</v>
      </c>
      <c r="G520" s="117">
        <v>211.69</v>
      </c>
    </row>
    <row r="521" spans="1:7" x14ac:dyDescent="0.25">
      <c r="A521" s="116" t="s">
        <v>737</v>
      </c>
      <c r="B521" s="117" t="s">
        <v>738</v>
      </c>
      <c r="C521" t="s">
        <v>67</v>
      </c>
      <c r="D521" t="s">
        <v>67</v>
      </c>
      <c r="E521" t="s">
        <v>67</v>
      </c>
      <c r="F521" t="s">
        <v>27987</v>
      </c>
      <c r="G521" s="117">
        <v>50.63</v>
      </c>
    </row>
    <row r="522" spans="1:7" x14ac:dyDescent="0.25">
      <c r="A522" s="116" t="s">
        <v>739</v>
      </c>
      <c r="B522" s="117" t="s">
        <v>344</v>
      </c>
      <c r="C522" t="s">
        <v>67</v>
      </c>
      <c r="D522" t="s">
        <v>67</v>
      </c>
      <c r="E522" t="s">
        <v>67</v>
      </c>
      <c r="F522" t="s">
        <v>27987</v>
      </c>
      <c r="G522" s="117">
        <v>56.86</v>
      </c>
    </row>
    <row r="523" spans="1:7" x14ac:dyDescent="0.25">
      <c r="A523" s="116" t="s">
        <v>740</v>
      </c>
      <c r="B523" s="117" t="s">
        <v>741</v>
      </c>
      <c r="C523" t="s">
        <v>67</v>
      </c>
      <c r="D523" t="s">
        <v>67</v>
      </c>
      <c r="E523" t="s">
        <v>67</v>
      </c>
      <c r="F523" t="s">
        <v>27987</v>
      </c>
      <c r="G523" s="117">
        <v>81.42</v>
      </c>
    </row>
    <row r="524" spans="1:7" x14ac:dyDescent="0.25">
      <c r="A524" s="116" t="s">
        <v>742</v>
      </c>
      <c r="B524" s="117" t="s">
        <v>743</v>
      </c>
      <c r="C524" t="s">
        <v>67</v>
      </c>
      <c r="D524" t="s">
        <v>67</v>
      </c>
      <c r="E524" t="s">
        <v>67</v>
      </c>
      <c r="F524" t="s">
        <v>27987</v>
      </c>
      <c r="G524" s="117">
        <v>81.42</v>
      </c>
    </row>
    <row r="525" spans="1:7" x14ac:dyDescent="0.25">
      <c r="A525" s="116" t="s">
        <v>744</v>
      </c>
      <c r="B525" s="117" t="s">
        <v>745</v>
      </c>
      <c r="C525" t="s">
        <v>67</v>
      </c>
      <c r="D525" t="s">
        <v>67</v>
      </c>
      <c r="E525" t="s">
        <v>67</v>
      </c>
      <c r="F525" t="s">
        <v>27987</v>
      </c>
      <c r="G525" s="117">
        <v>142.82</v>
      </c>
    </row>
    <row r="526" spans="1:7" x14ac:dyDescent="0.25">
      <c r="A526" s="116" t="s">
        <v>746</v>
      </c>
      <c r="B526" s="117" t="s">
        <v>747</v>
      </c>
      <c r="C526" t="s">
        <v>67</v>
      </c>
      <c r="D526" t="s">
        <v>67</v>
      </c>
      <c r="E526" t="s">
        <v>67</v>
      </c>
      <c r="F526" t="s">
        <v>27987</v>
      </c>
      <c r="G526" s="117">
        <v>138.37</v>
      </c>
    </row>
    <row r="527" spans="1:7" x14ac:dyDescent="0.25">
      <c r="A527" s="116" t="s">
        <v>748</v>
      </c>
      <c r="B527" s="117" t="s">
        <v>714</v>
      </c>
      <c r="C527" t="s">
        <v>67</v>
      </c>
      <c r="D527" t="s">
        <v>67</v>
      </c>
      <c r="E527" t="s">
        <v>67</v>
      </c>
      <c r="F527" t="s">
        <v>45</v>
      </c>
      <c r="G527" s="117">
        <v>103.13</v>
      </c>
    </row>
    <row r="528" spans="1:7" x14ac:dyDescent="0.25">
      <c r="A528" s="116" t="s">
        <v>749</v>
      </c>
      <c r="B528" s="117" t="s">
        <v>750</v>
      </c>
      <c r="C528" t="s">
        <v>67</v>
      </c>
      <c r="D528" t="s">
        <v>67</v>
      </c>
      <c r="E528" t="s">
        <v>67</v>
      </c>
      <c r="F528" t="s">
        <v>45</v>
      </c>
      <c r="G528" s="117">
        <v>1120.74</v>
      </c>
    </row>
    <row r="529" spans="1:7" x14ac:dyDescent="0.25">
      <c r="A529" s="116" t="s">
        <v>751</v>
      </c>
      <c r="B529" s="117" t="s">
        <v>752</v>
      </c>
      <c r="C529" t="s">
        <v>67</v>
      </c>
      <c r="D529" t="s">
        <v>67</v>
      </c>
      <c r="E529" t="s">
        <v>67</v>
      </c>
      <c r="F529" t="s">
        <v>27987</v>
      </c>
      <c r="G529" s="117">
        <v>77.86</v>
      </c>
    </row>
    <row r="530" spans="1:7" x14ac:dyDescent="0.25">
      <c r="A530" s="116" t="s">
        <v>753</v>
      </c>
      <c r="B530" s="117" t="s">
        <v>754</v>
      </c>
      <c r="C530" t="s">
        <v>67</v>
      </c>
      <c r="D530" t="s">
        <v>67</v>
      </c>
      <c r="E530" t="s">
        <v>67</v>
      </c>
      <c r="F530" t="s">
        <v>27987</v>
      </c>
      <c r="G530" s="117">
        <v>2595.5500000000002</v>
      </c>
    </row>
    <row r="531" spans="1:7" x14ac:dyDescent="0.25">
      <c r="A531" s="116" t="s">
        <v>755</v>
      </c>
      <c r="B531" s="117" t="s">
        <v>756</v>
      </c>
      <c r="C531" t="s">
        <v>67</v>
      </c>
      <c r="D531" t="s">
        <v>67</v>
      </c>
      <c r="E531" t="s">
        <v>67</v>
      </c>
      <c r="F531" t="s">
        <v>27987</v>
      </c>
      <c r="G531" s="117">
        <v>71.099999999999994</v>
      </c>
    </row>
    <row r="532" spans="1:7" x14ac:dyDescent="0.25">
      <c r="A532" s="116" t="s">
        <v>757</v>
      </c>
      <c r="B532" s="117" t="s">
        <v>758</v>
      </c>
      <c r="C532" t="s">
        <v>67</v>
      </c>
      <c r="D532" t="s">
        <v>67</v>
      </c>
      <c r="E532" t="s">
        <v>67</v>
      </c>
      <c r="F532" t="s">
        <v>45</v>
      </c>
      <c r="G532" s="117">
        <v>187.67</v>
      </c>
    </row>
    <row r="533" spans="1:7" x14ac:dyDescent="0.25">
      <c r="A533" s="116" t="s">
        <v>759</v>
      </c>
      <c r="B533" s="117" t="s">
        <v>760</v>
      </c>
      <c r="C533" t="s">
        <v>67</v>
      </c>
      <c r="D533" t="s">
        <v>67</v>
      </c>
      <c r="E533" t="s">
        <v>67</v>
      </c>
      <c r="F533" t="s">
        <v>27987</v>
      </c>
      <c r="G533" s="117">
        <v>293.56</v>
      </c>
    </row>
    <row r="534" spans="1:7" x14ac:dyDescent="0.25">
      <c r="A534" s="116" t="s">
        <v>761</v>
      </c>
      <c r="B534" s="117" t="s">
        <v>762</v>
      </c>
      <c r="C534" t="s">
        <v>67</v>
      </c>
      <c r="D534" t="s">
        <v>67</v>
      </c>
      <c r="E534" t="s">
        <v>67</v>
      </c>
      <c r="F534" t="s">
        <v>27987</v>
      </c>
      <c r="G534" s="117">
        <v>15.57</v>
      </c>
    </row>
    <row r="535" spans="1:7" x14ac:dyDescent="0.25">
      <c r="A535" s="116" t="s">
        <v>763</v>
      </c>
      <c r="B535" s="117" t="s">
        <v>764</v>
      </c>
      <c r="C535" t="s">
        <v>67</v>
      </c>
      <c r="D535" t="s">
        <v>67</v>
      </c>
      <c r="E535" t="s">
        <v>67</v>
      </c>
      <c r="F535" t="s">
        <v>49</v>
      </c>
      <c r="G535" s="117">
        <v>305.66000000000003</v>
      </c>
    </row>
    <row r="536" spans="1:7" x14ac:dyDescent="0.25">
      <c r="A536" s="116" t="s">
        <v>765</v>
      </c>
      <c r="B536" s="117" t="s">
        <v>766</v>
      </c>
      <c r="C536" t="s">
        <v>67</v>
      </c>
      <c r="D536" t="s">
        <v>67</v>
      </c>
      <c r="E536" t="s">
        <v>67</v>
      </c>
      <c r="F536" t="s">
        <v>49</v>
      </c>
      <c r="G536" s="117">
        <v>42</v>
      </c>
    </row>
    <row r="537" spans="1:7" x14ac:dyDescent="0.25">
      <c r="A537" s="116" t="s">
        <v>26745</v>
      </c>
      <c r="B537" s="117" t="s">
        <v>28272</v>
      </c>
      <c r="C537" t="s">
        <v>67</v>
      </c>
      <c r="D537" t="s">
        <v>67</v>
      </c>
      <c r="E537" t="s">
        <v>67</v>
      </c>
      <c r="F537" t="s">
        <v>27987</v>
      </c>
      <c r="G537" s="117">
        <v>150</v>
      </c>
    </row>
    <row r="538" spans="1:7" x14ac:dyDescent="0.25">
      <c r="A538" s="116" t="s">
        <v>767</v>
      </c>
      <c r="B538" s="117" t="s">
        <v>768</v>
      </c>
      <c r="C538" t="s">
        <v>67</v>
      </c>
      <c r="D538" t="s">
        <v>67</v>
      </c>
      <c r="E538" t="s">
        <v>67</v>
      </c>
      <c r="F538" t="s">
        <v>45</v>
      </c>
      <c r="G538" s="117">
        <v>76.98</v>
      </c>
    </row>
    <row r="539" spans="1:7" x14ac:dyDescent="0.25">
      <c r="A539" s="116" t="s">
        <v>769</v>
      </c>
      <c r="B539" s="117" t="s">
        <v>770</v>
      </c>
      <c r="C539" t="s">
        <v>67</v>
      </c>
      <c r="D539" t="s">
        <v>67</v>
      </c>
      <c r="E539" t="s">
        <v>67</v>
      </c>
      <c r="F539" t="s">
        <v>27987</v>
      </c>
      <c r="G539" s="117">
        <v>343.79</v>
      </c>
    </row>
    <row r="540" spans="1:7" x14ac:dyDescent="0.25">
      <c r="A540" s="116" t="s">
        <v>771</v>
      </c>
      <c r="B540" s="117" t="s">
        <v>772</v>
      </c>
      <c r="C540" t="s">
        <v>67</v>
      </c>
      <c r="D540" t="s">
        <v>67</v>
      </c>
      <c r="E540" t="s">
        <v>67</v>
      </c>
      <c r="F540" t="s">
        <v>49</v>
      </c>
      <c r="G540" s="117">
        <v>105.1</v>
      </c>
    </row>
    <row r="541" spans="1:7" x14ac:dyDescent="0.25">
      <c r="A541" s="116" t="s">
        <v>773</v>
      </c>
      <c r="B541" s="117" t="s">
        <v>774</v>
      </c>
      <c r="C541" t="s">
        <v>67</v>
      </c>
      <c r="D541" t="s">
        <v>67</v>
      </c>
      <c r="E541" t="s">
        <v>67</v>
      </c>
      <c r="F541" t="s">
        <v>27987</v>
      </c>
      <c r="G541" s="117">
        <v>80.94</v>
      </c>
    </row>
    <row r="542" spans="1:7" x14ac:dyDescent="0.25">
      <c r="A542" s="116" t="s">
        <v>775</v>
      </c>
      <c r="B542" s="117" t="s">
        <v>776</v>
      </c>
      <c r="C542" t="s">
        <v>67</v>
      </c>
      <c r="D542" t="s">
        <v>67</v>
      </c>
      <c r="E542" t="s">
        <v>67</v>
      </c>
      <c r="F542" t="s">
        <v>27987</v>
      </c>
      <c r="G542" s="117">
        <v>86.76</v>
      </c>
    </row>
    <row r="543" spans="1:7" x14ac:dyDescent="0.25">
      <c r="A543" s="116" t="s">
        <v>777</v>
      </c>
      <c r="B543" s="117" t="s">
        <v>778</v>
      </c>
      <c r="C543" t="s">
        <v>67</v>
      </c>
      <c r="D543" t="s">
        <v>67</v>
      </c>
      <c r="E543" t="s">
        <v>67</v>
      </c>
      <c r="F543" t="s">
        <v>49</v>
      </c>
      <c r="G543" s="117">
        <v>3.12</v>
      </c>
    </row>
    <row r="544" spans="1:7" x14ac:dyDescent="0.25">
      <c r="A544" s="116" t="s">
        <v>779</v>
      </c>
      <c r="B544" s="117" t="s">
        <v>780</v>
      </c>
      <c r="C544" t="s">
        <v>67</v>
      </c>
      <c r="D544" t="s">
        <v>67</v>
      </c>
      <c r="E544" t="s">
        <v>67</v>
      </c>
      <c r="F544" t="s">
        <v>27987</v>
      </c>
      <c r="G544" s="117">
        <v>2300.66</v>
      </c>
    </row>
    <row r="545" spans="1:7" x14ac:dyDescent="0.25">
      <c r="A545" s="116" t="s">
        <v>781</v>
      </c>
      <c r="B545" s="117" t="s">
        <v>782</v>
      </c>
      <c r="C545" t="s">
        <v>67</v>
      </c>
      <c r="D545" t="s">
        <v>67</v>
      </c>
      <c r="E545" t="s">
        <v>67</v>
      </c>
      <c r="F545" t="s">
        <v>27987</v>
      </c>
      <c r="G545" s="117">
        <v>1674.33</v>
      </c>
    </row>
    <row r="546" spans="1:7" x14ac:dyDescent="0.25">
      <c r="A546" s="116" t="s">
        <v>783</v>
      </c>
      <c r="B546" s="117" t="s">
        <v>784</v>
      </c>
      <c r="C546" t="s">
        <v>67</v>
      </c>
      <c r="D546" t="s">
        <v>67</v>
      </c>
      <c r="E546" t="s">
        <v>67</v>
      </c>
      <c r="F546" t="s">
        <v>27987</v>
      </c>
      <c r="G546" s="117">
        <v>80.52</v>
      </c>
    </row>
    <row r="547" spans="1:7" x14ac:dyDescent="0.25">
      <c r="A547" s="116" t="s">
        <v>785</v>
      </c>
      <c r="B547" s="117" t="s">
        <v>786</v>
      </c>
      <c r="C547" t="s">
        <v>67</v>
      </c>
      <c r="D547" t="s">
        <v>67</v>
      </c>
      <c r="E547" t="s">
        <v>67</v>
      </c>
      <c r="F547" t="s">
        <v>45</v>
      </c>
      <c r="G547" s="117">
        <v>69.319999999999993</v>
      </c>
    </row>
    <row r="548" spans="1:7" x14ac:dyDescent="0.25">
      <c r="A548" s="116" t="s">
        <v>787</v>
      </c>
      <c r="B548" s="117" t="s">
        <v>788</v>
      </c>
      <c r="C548" t="s">
        <v>67</v>
      </c>
      <c r="D548" t="s">
        <v>67</v>
      </c>
      <c r="E548" t="s">
        <v>67</v>
      </c>
      <c r="F548" t="s">
        <v>27987</v>
      </c>
      <c r="G548" s="117">
        <v>66.64</v>
      </c>
    </row>
    <row r="549" spans="1:7" x14ac:dyDescent="0.25">
      <c r="A549" s="116" t="s">
        <v>789</v>
      </c>
      <c r="B549" s="117" t="s">
        <v>790</v>
      </c>
      <c r="C549" t="s">
        <v>67</v>
      </c>
      <c r="D549" t="s">
        <v>67</v>
      </c>
      <c r="E549" t="s">
        <v>67</v>
      </c>
      <c r="F549" t="s">
        <v>27987</v>
      </c>
      <c r="G549" s="117">
        <v>56.5</v>
      </c>
    </row>
    <row r="550" spans="1:7" x14ac:dyDescent="0.25">
      <c r="A550" s="116" t="s">
        <v>791</v>
      </c>
      <c r="B550" s="117" t="s">
        <v>792</v>
      </c>
      <c r="C550" t="s">
        <v>67</v>
      </c>
      <c r="D550" t="s">
        <v>67</v>
      </c>
      <c r="E550" t="s">
        <v>67</v>
      </c>
      <c r="F550" t="s">
        <v>27987</v>
      </c>
      <c r="G550" s="117">
        <v>149.91999999999999</v>
      </c>
    </row>
    <row r="551" spans="1:7" x14ac:dyDescent="0.25">
      <c r="A551" s="116" t="s">
        <v>793</v>
      </c>
      <c r="B551" s="117" t="s">
        <v>794</v>
      </c>
      <c r="C551" t="s">
        <v>67</v>
      </c>
      <c r="D551" t="s">
        <v>67</v>
      </c>
      <c r="E551" t="s">
        <v>67</v>
      </c>
      <c r="F551" t="s">
        <v>27987</v>
      </c>
      <c r="G551" s="117">
        <v>59.18</v>
      </c>
    </row>
    <row r="552" spans="1:7" x14ac:dyDescent="0.25">
      <c r="A552" s="116" t="s">
        <v>795</v>
      </c>
      <c r="B552" s="117" t="s">
        <v>28273</v>
      </c>
      <c r="C552" t="s">
        <v>67</v>
      </c>
      <c r="D552" t="s">
        <v>67</v>
      </c>
      <c r="E552" t="s">
        <v>67</v>
      </c>
      <c r="F552" t="s">
        <v>45</v>
      </c>
      <c r="G552" s="117">
        <v>192.65</v>
      </c>
    </row>
    <row r="553" spans="1:7" x14ac:dyDescent="0.25">
      <c r="A553" s="116" t="s">
        <v>797</v>
      </c>
      <c r="B553" s="117" t="s">
        <v>798</v>
      </c>
      <c r="C553" t="s">
        <v>67</v>
      </c>
      <c r="D553" t="s">
        <v>67</v>
      </c>
      <c r="E553" t="s">
        <v>67</v>
      </c>
      <c r="F553" t="s">
        <v>27987</v>
      </c>
      <c r="G553" s="117">
        <v>28.38</v>
      </c>
    </row>
    <row r="554" spans="1:7" x14ac:dyDescent="0.25">
      <c r="A554" s="116" t="s">
        <v>799</v>
      </c>
      <c r="B554" s="117" t="s">
        <v>800</v>
      </c>
      <c r="C554" t="s">
        <v>67</v>
      </c>
      <c r="D554" t="s">
        <v>67</v>
      </c>
      <c r="E554" t="s">
        <v>67</v>
      </c>
      <c r="F554" t="s">
        <v>27987</v>
      </c>
      <c r="G554" s="117">
        <v>390.55</v>
      </c>
    </row>
    <row r="555" spans="1:7" x14ac:dyDescent="0.25">
      <c r="A555" s="116" t="s">
        <v>801</v>
      </c>
      <c r="B555" s="117" t="s">
        <v>802</v>
      </c>
      <c r="C555" t="s">
        <v>67</v>
      </c>
      <c r="D555" t="s">
        <v>67</v>
      </c>
      <c r="E555" t="s">
        <v>67</v>
      </c>
      <c r="F555" t="s">
        <v>45</v>
      </c>
      <c r="G555" s="117">
        <v>222.37</v>
      </c>
    </row>
    <row r="556" spans="1:7" x14ac:dyDescent="0.25">
      <c r="A556" s="116" t="s">
        <v>803</v>
      </c>
      <c r="B556" s="117" t="s">
        <v>804</v>
      </c>
      <c r="C556" t="s">
        <v>67</v>
      </c>
      <c r="D556" t="s">
        <v>67</v>
      </c>
      <c r="E556" t="s">
        <v>67</v>
      </c>
      <c r="F556" t="s">
        <v>45</v>
      </c>
      <c r="G556" s="117">
        <v>421.69</v>
      </c>
    </row>
    <row r="557" spans="1:7" x14ac:dyDescent="0.25">
      <c r="A557" s="116" t="s">
        <v>805</v>
      </c>
      <c r="B557" s="117" t="s">
        <v>806</v>
      </c>
      <c r="C557" t="s">
        <v>67</v>
      </c>
      <c r="D557" t="s">
        <v>67</v>
      </c>
      <c r="E557" t="s">
        <v>67</v>
      </c>
      <c r="F557" t="s">
        <v>45</v>
      </c>
      <c r="G557" s="117">
        <v>1062.01</v>
      </c>
    </row>
    <row r="558" spans="1:7" x14ac:dyDescent="0.25">
      <c r="A558" s="116" t="s">
        <v>807</v>
      </c>
      <c r="B558" s="117" t="s">
        <v>808</v>
      </c>
      <c r="C558" t="s">
        <v>67</v>
      </c>
      <c r="D558" t="s">
        <v>67</v>
      </c>
      <c r="E558" t="s">
        <v>67</v>
      </c>
      <c r="F558" t="s">
        <v>45</v>
      </c>
      <c r="G558" s="117">
        <v>431.12</v>
      </c>
    </row>
    <row r="559" spans="1:7" x14ac:dyDescent="0.25">
      <c r="A559" s="116" t="s">
        <v>809</v>
      </c>
      <c r="B559" s="117" t="s">
        <v>810</v>
      </c>
      <c r="C559" t="s">
        <v>67</v>
      </c>
      <c r="D559" t="s">
        <v>67</v>
      </c>
      <c r="E559" t="s">
        <v>67</v>
      </c>
      <c r="F559" t="s">
        <v>27987</v>
      </c>
      <c r="G559" s="117">
        <v>102.77</v>
      </c>
    </row>
    <row r="560" spans="1:7" x14ac:dyDescent="0.25">
      <c r="A560" s="116" t="s">
        <v>811</v>
      </c>
      <c r="B560" s="117" t="s">
        <v>812</v>
      </c>
      <c r="C560" t="s">
        <v>67</v>
      </c>
      <c r="D560" t="s">
        <v>67</v>
      </c>
      <c r="E560" t="s">
        <v>67</v>
      </c>
      <c r="F560" t="s">
        <v>45</v>
      </c>
      <c r="G560" s="117">
        <v>184.11</v>
      </c>
    </row>
    <row r="561" spans="1:7" x14ac:dyDescent="0.25">
      <c r="A561" s="116" t="s">
        <v>813</v>
      </c>
      <c r="B561" s="117" t="s">
        <v>814</v>
      </c>
      <c r="C561" t="s">
        <v>67</v>
      </c>
      <c r="D561" t="s">
        <v>67</v>
      </c>
      <c r="E561" t="s">
        <v>67</v>
      </c>
      <c r="F561" t="s">
        <v>27987</v>
      </c>
      <c r="G561" s="117">
        <v>50.63</v>
      </c>
    </row>
    <row r="562" spans="1:7" x14ac:dyDescent="0.25">
      <c r="A562" s="116" t="s">
        <v>815</v>
      </c>
      <c r="B562" s="117" t="s">
        <v>816</v>
      </c>
      <c r="C562" t="s">
        <v>67</v>
      </c>
      <c r="D562" t="s">
        <v>67</v>
      </c>
      <c r="E562" t="s">
        <v>67</v>
      </c>
      <c r="F562" t="s">
        <v>27987</v>
      </c>
      <c r="G562" s="117">
        <v>99.57</v>
      </c>
    </row>
    <row r="563" spans="1:7" x14ac:dyDescent="0.25">
      <c r="A563" s="116" t="s">
        <v>817</v>
      </c>
      <c r="B563" s="117" t="s">
        <v>818</v>
      </c>
      <c r="C563" t="s">
        <v>67</v>
      </c>
      <c r="D563" t="s">
        <v>67</v>
      </c>
      <c r="E563" t="s">
        <v>67</v>
      </c>
      <c r="F563" t="s">
        <v>27987</v>
      </c>
      <c r="G563" s="117">
        <v>74.66</v>
      </c>
    </row>
    <row r="564" spans="1:7" x14ac:dyDescent="0.25">
      <c r="A564" s="116" t="s">
        <v>819</v>
      </c>
      <c r="B564" s="117" t="s">
        <v>820</v>
      </c>
      <c r="C564" t="s">
        <v>67</v>
      </c>
      <c r="D564" t="s">
        <v>67</v>
      </c>
      <c r="E564" t="s">
        <v>67</v>
      </c>
      <c r="F564" t="s">
        <v>27987</v>
      </c>
      <c r="G564" s="117">
        <v>2.58</v>
      </c>
    </row>
    <row r="565" spans="1:7" x14ac:dyDescent="0.25">
      <c r="A565" s="116" t="s">
        <v>821</v>
      </c>
      <c r="B565" s="117" t="s">
        <v>822</v>
      </c>
      <c r="C565" t="s">
        <v>67</v>
      </c>
      <c r="D565" t="s">
        <v>67</v>
      </c>
      <c r="E565" t="s">
        <v>67</v>
      </c>
      <c r="F565" t="s">
        <v>45</v>
      </c>
      <c r="G565" s="117">
        <v>50.27</v>
      </c>
    </row>
    <row r="566" spans="1:7" x14ac:dyDescent="0.25">
      <c r="A566" s="116" t="s">
        <v>823</v>
      </c>
      <c r="B566" s="117" t="s">
        <v>824</v>
      </c>
      <c r="C566" t="s">
        <v>67</v>
      </c>
      <c r="D566" t="s">
        <v>67</v>
      </c>
      <c r="E566" t="s">
        <v>67</v>
      </c>
      <c r="F566" t="s">
        <v>27987</v>
      </c>
      <c r="G566" s="117">
        <v>50.27</v>
      </c>
    </row>
    <row r="567" spans="1:7" x14ac:dyDescent="0.25">
      <c r="A567" s="116" t="s">
        <v>825</v>
      </c>
      <c r="B567" s="117" t="s">
        <v>826</v>
      </c>
      <c r="C567" t="s">
        <v>67</v>
      </c>
      <c r="D567" t="s">
        <v>67</v>
      </c>
      <c r="E567" t="s">
        <v>67</v>
      </c>
      <c r="F567" t="s">
        <v>45</v>
      </c>
      <c r="G567" s="117">
        <v>94.76</v>
      </c>
    </row>
    <row r="568" spans="1:7" x14ac:dyDescent="0.25">
      <c r="A568" s="116" t="s">
        <v>827</v>
      </c>
      <c r="B568" s="117" t="s">
        <v>828</v>
      </c>
      <c r="C568" t="s">
        <v>67</v>
      </c>
      <c r="D568" t="s">
        <v>67</v>
      </c>
      <c r="E568" t="s">
        <v>67</v>
      </c>
      <c r="F568" t="s">
        <v>27987</v>
      </c>
      <c r="G568" s="117">
        <v>176.99</v>
      </c>
    </row>
    <row r="569" spans="1:7" x14ac:dyDescent="0.25">
      <c r="A569" s="116" t="s">
        <v>829</v>
      </c>
      <c r="B569" s="117" t="s">
        <v>830</v>
      </c>
      <c r="C569" t="s">
        <v>67</v>
      </c>
      <c r="D569" t="s">
        <v>67</v>
      </c>
      <c r="E569" t="s">
        <v>67</v>
      </c>
      <c r="F569" t="s">
        <v>27987</v>
      </c>
      <c r="G569" s="117">
        <v>30.17</v>
      </c>
    </row>
    <row r="570" spans="1:7" x14ac:dyDescent="0.25">
      <c r="A570" s="116" t="s">
        <v>831</v>
      </c>
      <c r="B570" s="117" t="s">
        <v>832</v>
      </c>
      <c r="C570" t="s">
        <v>67</v>
      </c>
      <c r="D570" t="s">
        <v>67</v>
      </c>
      <c r="E570" t="s">
        <v>67</v>
      </c>
      <c r="F570" t="s">
        <v>27987</v>
      </c>
      <c r="G570" s="117">
        <v>63.98</v>
      </c>
    </row>
    <row r="571" spans="1:7" x14ac:dyDescent="0.25">
      <c r="A571" s="116" t="s">
        <v>833</v>
      </c>
      <c r="B571" s="117" t="s">
        <v>834</v>
      </c>
      <c r="C571" t="s">
        <v>67</v>
      </c>
      <c r="D571" t="s">
        <v>67</v>
      </c>
      <c r="E571" t="s">
        <v>67</v>
      </c>
      <c r="F571" t="s">
        <v>27987</v>
      </c>
      <c r="G571" s="117">
        <v>214.89</v>
      </c>
    </row>
    <row r="572" spans="1:7" x14ac:dyDescent="0.25">
      <c r="A572" s="116" t="s">
        <v>835</v>
      </c>
      <c r="B572" s="117" t="s">
        <v>836</v>
      </c>
      <c r="C572" t="s">
        <v>67</v>
      </c>
      <c r="D572" t="s">
        <v>67</v>
      </c>
      <c r="E572" t="s">
        <v>67</v>
      </c>
      <c r="F572" t="s">
        <v>27987</v>
      </c>
      <c r="G572" s="117">
        <v>171.3</v>
      </c>
    </row>
    <row r="573" spans="1:7" x14ac:dyDescent="0.25">
      <c r="A573" s="116" t="s">
        <v>837</v>
      </c>
      <c r="B573" s="117" t="s">
        <v>838</v>
      </c>
      <c r="C573" t="s">
        <v>67</v>
      </c>
      <c r="D573" t="s">
        <v>67</v>
      </c>
      <c r="E573" t="s">
        <v>67</v>
      </c>
      <c r="F573" t="s">
        <v>27987</v>
      </c>
      <c r="G573" s="117">
        <v>27.5</v>
      </c>
    </row>
    <row r="574" spans="1:7" x14ac:dyDescent="0.25">
      <c r="A574" s="116" t="s">
        <v>28274</v>
      </c>
      <c r="B574" s="117" t="s">
        <v>30099</v>
      </c>
      <c r="C574" t="s">
        <v>67</v>
      </c>
      <c r="D574" t="s">
        <v>67</v>
      </c>
      <c r="E574" t="s">
        <v>67</v>
      </c>
      <c r="F574" t="s">
        <v>27987</v>
      </c>
      <c r="G574" s="117">
        <v>1155</v>
      </c>
    </row>
    <row r="575" spans="1:7" x14ac:dyDescent="0.25">
      <c r="A575" s="116" t="s">
        <v>30350</v>
      </c>
      <c r="B575" s="117" t="s">
        <v>30351</v>
      </c>
      <c r="C575" t="s">
        <v>67</v>
      </c>
      <c r="D575" t="s">
        <v>67</v>
      </c>
      <c r="E575" t="s">
        <v>67</v>
      </c>
      <c r="F575" t="s">
        <v>27987</v>
      </c>
      <c r="G575" s="117">
        <v>200</v>
      </c>
    </row>
    <row r="576" spans="1:7" x14ac:dyDescent="0.25">
      <c r="A576" s="116" t="s">
        <v>839</v>
      </c>
      <c r="B576" s="117" t="s">
        <v>840</v>
      </c>
      <c r="C576" t="s">
        <v>67</v>
      </c>
      <c r="D576" t="s">
        <v>67</v>
      </c>
      <c r="E576" t="s">
        <v>67</v>
      </c>
      <c r="F576" t="s">
        <v>49</v>
      </c>
      <c r="G576" s="117">
        <v>27.14</v>
      </c>
    </row>
    <row r="577" spans="1:7" x14ac:dyDescent="0.25">
      <c r="A577" s="116" t="s">
        <v>841</v>
      </c>
      <c r="B577" s="117" t="s">
        <v>842</v>
      </c>
      <c r="C577" t="s">
        <v>67</v>
      </c>
      <c r="D577" t="s">
        <v>67</v>
      </c>
      <c r="E577" t="s">
        <v>67</v>
      </c>
      <c r="F577" t="s">
        <v>27987</v>
      </c>
      <c r="G577" s="117">
        <v>26.25</v>
      </c>
    </row>
    <row r="578" spans="1:7" x14ac:dyDescent="0.25">
      <c r="A578" s="116" t="s">
        <v>843</v>
      </c>
      <c r="B578" s="117" t="s">
        <v>844</v>
      </c>
      <c r="C578" t="s">
        <v>67</v>
      </c>
      <c r="D578" t="s">
        <v>67</v>
      </c>
      <c r="E578" t="s">
        <v>67</v>
      </c>
      <c r="F578" t="s">
        <v>27990</v>
      </c>
      <c r="G578" s="117">
        <v>4.8899999999999997</v>
      </c>
    </row>
    <row r="579" spans="1:7" x14ac:dyDescent="0.25">
      <c r="A579" s="116" t="s">
        <v>845</v>
      </c>
      <c r="B579" s="117" t="s">
        <v>846</v>
      </c>
      <c r="C579" t="s">
        <v>67</v>
      </c>
      <c r="D579" t="s">
        <v>67</v>
      </c>
      <c r="E579" t="s">
        <v>67</v>
      </c>
      <c r="F579" t="s">
        <v>27987</v>
      </c>
      <c r="G579" s="117">
        <v>126.26</v>
      </c>
    </row>
    <row r="580" spans="1:7" x14ac:dyDescent="0.25">
      <c r="A580" s="116" t="s">
        <v>847</v>
      </c>
      <c r="B580" s="117" t="s">
        <v>848</v>
      </c>
      <c r="C580" t="s">
        <v>67</v>
      </c>
      <c r="D580" t="s">
        <v>67</v>
      </c>
      <c r="E580" t="s">
        <v>67</v>
      </c>
      <c r="F580" t="s">
        <v>27987</v>
      </c>
      <c r="G580" s="117">
        <v>4</v>
      </c>
    </row>
    <row r="581" spans="1:7" x14ac:dyDescent="0.25">
      <c r="A581" s="116" t="s">
        <v>849</v>
      </c>
      <c r="B581" s="117" t="s">
        <v>718</v>
      </c>
      <c r="C581" t="s">
        <v>67</v>
      </c>
      <c r="D581" t="s">
        <v>67</v>
      </c>
      <c r="E581" t="s">
        <v>67</v>
      </c>
      <c r="F581" t="s">
        <v>27987</v>
      </c>
      <c r="G581" s="117">
        <v>236.25</v>
      </c>
    </row>
    <row r="582" spans="1:7" x14ac:dyDescent="0.25">
      <c r="A582" s="116" t="s">
        <v>850</v>
      </c>
      <c r="B582" s="117" t="s">
        <v>28275</v>
      </c>
      <c r="C582" t="s">
        <v>67</v>
      </c>
      <c r="D582" t="s">
        <v>67</v>
      </c>
      <c r="E582" t="s">
        <v>67</v>
      </c>
      <c r="F582" t="s">
        <v>27987</v>
      </c>
      <c r="G582" s="117">
        <v>158.93</v>
      </c>
    </row>
    <row r="583" spans="1:7" x14ac:dyDescent="0.25">
      <c r="A583" s="116" t="s">
        <v>851</v>
      </c>
      <c r="B583" s="117" t="s">
        <v>852</v>
      </c>
      <c r="C583" t="s">
        <v>67</v>
      </c>
      <c r="D583" t="s">
        <v>67</v>
      </c>
      <c r="E583" t="s">
        <v>67</v>
      </c>
      <c r="F583" t="s">
        <v>27987</v>
      </c>
      <c r="G583" s="117">
        <v>63.08</v>
      </c>
    </row>
    <row r="584" spans="1:7" x14ac:dyDescent="0.25">
      <c r="A584" s="116" t="s">
        <v>853</v>
      </c>
      <c r="B584" s="117" t="s">
        <v>854</v>
      </c>
      <c r="C584" t="s">
        <v>67</v>
      </c>
      <c r="D584" t="s">
        <v>67</v>
      </c>
      <c r="E584" t="s">
        <v>67</v>
      </c>
      <c r="F584" t="s">
        <v>45</v>
      </c>
      <c r="G584" s="117">
        <v>451.06</v>
      </c>
    </row>
    <row r="585" spans="1:7" x14ac:dyDescent="0.25">
      <c r="A585" s="116" t="s">
        <v>855</v>
      </c>
      <c r="B585" s="117" t="s">
        <v>856</v>
      </c>
      <c r="C585" t="s">
        <v>67</v>
      </c>
      <c r="D585" t="s">
        <v>67</v>
      </c>
      <c r="E585" t="s">
        <v>67</v>
      </c>
      <c r="F585" t="s">
        <v>27987</v>
      </c>
      <c r="G585" s="117">
        <v>451.06</v>
      </c>
    </row>
    <row r="586" spans="1:7" x14ac:dyDescent="0.25">
      <c r="A586" s="116" t="s">
        <v>857</v>
      </c>
      <c r="B586" s="117" t="s">
        <v>858</v>
      </c>
      <c r="C586" t="s">
        <v>67</v>
      </c>
      <c r="D586" t="s">
        <v>67</v>
      </c>
      <c r="E586" t="s">
        <v>67</v>
      </c>
      <c r="F586" t="s">
        <v>27987</v>
      </c>
      <c r="G586" s="117">
        <v>80.88</v>
      </c>
    </row>
    <row r="587" spans="1:7" x14ac:dyDescent="0.25">
      <c r="A587" s="116" t="s">
        <v>859</v>
      </c>
      <c r="B587" s="117" t="s">
        <v>860</v>
      </c>
      <c r="C587" t="s">
        <v>67</v>
      </c>
      <c r="D587" t="s">
        <v>67</v>
      </c>
      <c r="E587" t="s">
        <v>67</v>
      </c>
      <c r="F587" t="s">
        <v>27987</v>
      </c>
      <c r="G587" s="117">
        <v>85.87</v>
      </c>
    </row>
    <row r="588" spans="1:7" x14ac:dyDescent="0.25">
      <c r="A588" s="116" t="s">
        <v>861</v>
      </c>
      <c r="B588" s="117" t="s">
        <v>862</v>
      </c>
      <c r="C588" t="s">
        <v>67</v>
      </c>
      <c r="D588" t="s">
        <v>67</v>
      </c>
      <c r="E588" t="s">
        <v>67</v>
      </c>
      <c r="F588" t="s">
        <v>27987</v>
      </c>
      <c r="G588" s="117">
        <v>53.3</v>
      </c>
    </row>
    <row r="589" spans="1:7" x14ac:dyDescent="0.25">
      <c r="A589" s="116" t="s">
        <v>863</v>
      </c>
      <c r="B589" s="117" t="s">
        <v>864</v>
      </c>
      <c r="C589" t="s">
        <v>67</v>
      </c>
      <c r="D589" t="s">
        <v>67</v>
      </c>
      <c r="E589" t="s">
        <v>67</v>
      </c>
      <c r="F589" t="s">
        <v>27987</v>
      </c>
      <c r="G589" s="117">
        <v>40.49</v>
      </c>
    </row>
    <row r="590" spans="1:7" x14ac:dyDescent="0.25">
      <c r="A590" s="116" t="s">
        <v>26746</v>
      </c>
      <c r="B590" s="117" t="s">
        <v>26747</v>
      </c>
      <c r="C590" t="s">
        <v>67</v>
      </c>
      <c r="D590" t="s">
        <v>67</v>
      </c>
      <c r="E590" t="s">
        <v>67</v>
      </c>
      <c r="F590" t="s">
        <v>45</v>
      </c>
      <c r="G590" s="117">
        <v>54</v>
      </c>
    </row>
    <row r="591" spans="1:7" x14ac:dyDescent="0.25">
      <c r="A591" s="116" t="s">
        <v>865</v>
      </c>
      <c r="B591" s="117" t="s">
        <v>26437</v>
      </c>
      <c r="C591" t="s">
        <v>67</v>
      </c>
      <c r="D591" t="s">
        <v>67</v>
      </c>
      <c r="E591" t="s">
        <v>67</v>
      </c>
      <c r="F591" t="s">
        <v>27987</v>
      </c>
      <c r="G591" s="117">
        <v>70.430000000000007</v>
      </c>
    </row>
    <row r="592" spans="1:7" x14ac:dyDescent="0.25">
      <c r="A592" s="116" t="s">
        <v>866</v>
      </c>
      <c r="B592" s="117" t="s">
        <v>867</v>
      </c>
      <c r="C592" t="s">
        <v>67</v>
      </c>
      <c r="D592" t="s">
        <v>67</v>
      </c>
      <c r="E592" t="s">
        <v>67</v>
      </c>
      <c r="F592" t="s">
        <v>27987</v>
      </c>
      <c r="G592" s="117">
        <v>254.52</v>
      </c>
    </row>
    <row r="593" spans="1:7" x14ac:dyDescent="0.25">
      <c r="A593" s="116" t="s">
        <v>868</v>
      </c>
      <c r="B593" s="117" t="s">
        <v>864</v>
      </c>
      <c r="C593" t="s">
        <v>67</v>
      </c>
      <c r="D593" t="s">
        <v>67</v>
      </c>
      <c r="E593" t="s">
        <v>67</v>
      </c>
      <c r="F593" t="s">
        <v>27987</v>
      </c>
      <c r="G593" s="117">
        <v>60.42</v>
      </c>
    </row>
    <row r="594" spans="1:7" x14ac:dyDescent="0.25">
      <c r="A594" s="116" t="s">
        <v>869</v>
      </c>
      <c r="B594" s="117" t="s">
        <v>870</v>
      </c>
      <c r="C594" t="s">
        <v>67</v>
      </c>
      <c r="D594" t="s">
        <v>67</v>
      </c>
      <c r="E594" t="s">
        <v>67</v>
      </c>
      <c r="F594" t="s">
        <v>27987</v>
      </c>
      <c r="G594" s="117">
        <v>33.729999999999997</v>
      </c>
    </row>
    <row r="595" spans="1:7" x14ac:dyDescent="0.25">
      <c r="A595" s="116" t="s">
        <v>871</v>
      </c>
      <c r="B595" s="117" t="s">
        <v>872</v>
      </c>
      <c r="C595" t="s">
        <v>67</v>
      </c>
      <c r="D595" t="s">
        <v>67</v>
      </c>
      <c r="E595" t="s">
        <v>67</v>
      </c>
      <c r="F595" t="s">
        <v>27987</v>
      </c>
      <c r="G595" s="117">
        <v>61.31</v>
      </c>
    </row>
    <row r="596" spans="1:7" x14ac:dyDescent="0.25">
      <c r="A596" s="116" t="s">
        <v>873</v>
      </c>
      <c r="B596" s="117" t="s">
        <v>874</v>
      </c>
      <c r="C596" t="s">
        <v>67</v>
      </c>
      <c r="D596" t="s">
        <v>67</v>
      </c>
      <c r="E596" t="s">
        <v>67</v>
      </c>
      <c r="F596" t="s">
        <v>27987</v>
      </c>
      <c r="G596" s="117">
        <v>105</v>
      </c>
    </row>
    <row r="597" spans="1:7" x14ac:dyDescent="0.25">
      <c r="A597" s="116" t="s">
        <v>875</v>
      </c>
      <c r="B597" s="117" t="s">
        <v>876</v>
      </c>
      <c r="C597" t="s">
        <v>67</v>
      </c>
      <c r="D597" t="s">
        <v>67</v>
      </c>
      <c r="E597" t="s">
        <v>67</v>
      </c>
      <c r="F597" t="s">
        <v>27987</v>
      </c>
      <c r="G597" s="117">
        <v>331.11</v>
      </c>
    </row>
    <row r="598" spans="1:7" x14ac:dyDescent="0.25">
      <c r="A598" s="116" t="s">
        <v>31247</v>
      </c>
      <c r="B598" s="117" t="s">
        <v>31248</v>
      </c>
      <c r="C598" t="s">
        <v>67</v>
      </c>
      <c r="D598" t="s">
        <v>67</v>
      </c>
      <c r="E598" t="s">
        <v>67</v>
      </c>
      <c r="F598" t="s">
        <v>45</v>
      </c>
      <c r="G598" s="117">
        <v>50</v>
      </c>
    </row>
    <row r="599" spans="1:7" x14ac:dyDescent="0.25">
      <c r="A599" s="116" t="s">
        <v>877</v>
      </c>
      <c r="B599" s="117" t="s">
        <v>878</v>
      </c>
      <c r="C599" t="s">
        <v>67</v>
      </c>
      <c r="D599" t="s">
        <v>67</v>
      </c>
      <c r="E599" t="s">
        <v>67</v>
      </c>
      <c r="F599" t="s">
        <v>27987</v>
      </c>
      <c r="G599" s="117">
        <v>288.75</v>
      </c>
    </row>
    <row r="600" spans="1:7" x14ac:dyDescent="0.25">
      <c r="A600" s="116" t="s">
        <v>879</v>
      </c>
      <c r="B600" s="117" t="s">
        <v>880</v>
      </c>
      <c r="C600" t="s">
        <v>67</v>
      </c>
      <c r="D600" t="s">
        <v>67</v>
      </c>
      <c r="E600" t="s">
        <v>67</v>
      </c>
      <c r="F600" t="s">
        <v>45</v>
      </c>
      <c r="G600" s="117">
        <v>44.94</v>
      </c>
    </row>
    <row r="601" spans="1:7" x14ac:dyDescent="0.25">
      <c r="A601" s="116" t="s">
        <v>881</v>
      </c>
      <c r="B601" s="117" t="s">
        <v>882</v>
      </c>
      <c r="C601" t="s">
        <v>67</v>
      </c>
      <c r="D601" t="s">
        <v>67</v>
      </c>
      <c r="E601" t="s">
        <v>67</v>
      </c>
      <c r="F601" t="s">
        <v>27987</v>
      </c>
      <c r="G601" s="117">
        <v>48.86</v>
      </c>
    </row>
    <row r="602" spans="1:7" x14ac:dyDescent="0.25">
      <c r="A602" s="116" t="s">
        <v>883</v>
      </c>
      <c r="B602" s="117" t="s">
        <v>884</v>
      </c>
      <c r="C602" t="s">
        <v>67</v>
      </c>
      <c r="D602" t="s">
        <v>67</v>
      </c>
      <c r="E602" t="s">
        <v>67</v>
      </c>
      <c r="F602" t="s">
        <v>27987</v>
      </c>
      <c r="G602" s="117">
        <v>12.01</v>
      </c>
    </row>
    <row r="603" spans="1:7" x14ac:dyDescent="0.25">
      <c r="A603" s="116" t="s">
        <v>885</v>
      </c>
      <c r="B603" s="117" t="s">
        <v>886</v>
      </c>
      <c r="C603" t="s">
        <v>67</v>
      </c>
      <c r="D603" t="s">
        <v>67</v>
      </c>
      <c r="E603" t="s">
        <v>67</v>
      </c>
      <c r="F603" t="s">
        <v>27987</v>
      </c>
      <c r="G603" s="117">
        <v>286.44</v>
      </c>
    </row>
    <row r="604" spans="1:7" x14ac:dyDescent="0.25">
      <c r="A604" s="116" t="s">
        <v>887</v>
      </c>
      <c r="B604" s="117" t="s">
        <v>888</v>
      </c>
      <c r="C604" t="s">
        <v>67</v>
      </c>
      <c r="D604" t="s">
        <v>67</v>
      </c>
      <c r="E604" t="s">
        <v>67</v>
      </c>
      <c r="F604" t="s">
        <v>27987</v>
      </c>
      <c r="G604" s="117">
        <v>232.69</v>
      </c>
    </row>
    <row r="605" spans="1:7" x14ac:dyDescent="0.25">
      <c r="A605" s="116" t="s">
        <v>889</v>
      </c>
      <c r="B605" s="117" t="s">
        <v>890</v>
      </c>
      <c r="C605" t="s">
        <v>67</v>
      </c>
      <c r="D605" t="s">
        <v>67</v>
      </c>
      <c r="E605" t="s">
        <v>67</v>
      </c>
      <c r="F605" t="s">
        <v>27987</v>
      </c>
      <c r="G605" s="117">
        <v>170.76</v>
      </c>
    </row>
    <row r="606" spans="1:7" x14ac:dyDescent="0.25">
      <c r="A606" s="116" t="s">
        <v>891</v>
      </c>
      <c r="B606" s="117" t="s">
        <v>892</v>
      </c>
      <c r="C606" t="s">
        <v>67</v>
      </c>
      <c r="D606" t="s">
        <v>67</v>
      </c>
      <c r="E606" t="s">
        <v>67</v>
      </c>
      <c r="F606" t="s">
        <v>27987</v>
      </c>
      <c r="G606" s="117">
        <v>4.3600000000000003</v>
      </c>
    </row>
    <row r="607" spans="1:7" x14ac:dyDescent="0.25">
      <c r="A607" s="116" t="s">
        <v>893</v>
      </c>
      <c r="B607" s="117" t="s">
        <v>894</v>
      </c>
      <c r="C607" t="s">
        <v>67</v>
      </c>
      <c r="D607" t="s">
        <v>67</v>
      </c>
      <c r="E607" t="s">
        <v>67</v>
      </c>
      <c r="F607" t="s">
        <v>27987</v>
      </c>
      <c r="G607" s="117">
        <v>103.67</v>
      </c>
    </row>
    <row r="608" spans="1:7" x14ac:dyDescent="0.25">
      <c r="A608" s="116" t="s">
        <v>895</v>
      </c>
      <c r="B608" s="117" t="s">
        <v>896</v>
      </c>
      <c r="C608" t="s">
        <v>67</v>
      </c>
      <c r="D608" t="s">
        <v>67</v>
      </c>
      <c r="E608" t="s">
        <v>67</v>
      </c>
      <c r="F608" t="s">
        <v>27987</v>
      </c>
      <c r="G608" s="117">
        <v>84.98</v>
      </c>
    </row>
    <row r="609" spans="1:7" x14ac:dyDescent="0.25">
      <c r="A609" s="116" t="s">
        <v>897</v>
      </c>
      <c r="B609" s="117" t="s">
        <v>898</v>
      </c>
      <c r="C609" t="s">
        <v>67</v>
      </c>
      <c r="D609" t="s">
        <v>67</v>
      </c>
      <c r="E609" t="s">
        <v>67</v>
      </c>
      <c r="F609" t="s">
        <v>27987</v>
      </c>
      <c r="G609" s="117">
        <v>4</v>
      </c>
    </row>
    <row r="610" spans="1:7" x14ac:dyDescent="0.25">
      <c r="A610" s="116" t="s">
        <v>899</v>
      </c>
      <c r="B610" s="117" t="s">
        <v>900</v>
      </c>
      <c r="C610" t="s">
        <v>67</v>
      </c>
      <c r="D610" t="s">
        <v>67</v>
      </c>
      <c r="E610" t="s">
        <v>67</v>
      </c>
      <c r="F610" t="s">
        <v>27987</v>
      </c>
      <c r="G610" s="117">
        <v>1.69</v>
      </c>
    </row>
    <row r="611" spans="1:7" x14ac:dyDescent="0.25">
      <c r="A611" s="116" t="s">
        <v>901</v>
      </c>
      <c r="B611" s="117" t="s">
        <v>902</v>
      </c>
      <c r="C611" t="s">
        <v>67</v>
      </c>
      <c r="D611" t="s">
        <v>67</v>
      </c>
      <c r="E611" t="s">
        <v>67</v>
      </c>
      <c r="F611" t="s">
        <v>45</v>
      </c>
      <c r="G611" s="117">
        <v>506.79</v>
      </c>
    </row>
    <row r="612" spans="1:7" x14ac:dyDescent="0.25">
      <c r="A612" s="116" t="s">
        <v>903</v>
      </c>
      <c r="B612" s="117" t="s">
        <v>904</v>
      </c>
      <c r="C612" t="s">
        <v>67</v>
      </c>
      <c r="D612" t="s">
        <v>67</v>
      </c>
      <c r="E612" t="s">
        <v>67</v>
      </c>
      <c r="F612" t="s">
        <v>27987</v>
      </c>
      <c r="G612" s="117">
        <v>24.82</v>
      </c>
    </row>
    <row r="613" spans="1:7" x14ac:dyDescent="0.25">
      <c r="A613" s="116" t="s">
        <v>905</v>
      </c>
      <c r="B613" s="117" t="s">
        <v>465</v>
      </c>
      <c r="C613" t="s">
        <v>67</v>
      </c>
      <c r="D613" t="s">
        <v>67</v>
      </c>
      <c r="E613" t="s">
        <v>67</v>
      </c>
      <c r="F613" t="s">
        <v>27987</v>
      </c>
      <c r="G613" s="117">
        <v>100</v>
      </c>
    </row>
    <row r="614" spans="1:7" x14ac:dyDescent="0.25">
      <c r="A614" s="116" t="s">
        <v>906</v>
      </c>
      <c r="B614" s="117" t="s">
        <v>907</v>
      </c>
      <c r="C614" t="s">
        <v>67</v>
      </c>
      <c r="D614" t="s">
        <v>67</v>
      </c>
      <c r="E614" t="s">
        <v>67</v>
      </c>
      <c r="F614" t="s">
        <v>27987</v>
      </c>
      <c r="G614" s="117">
        <v>407.54</v>
      </c>
    </row>
    <row r="615" spans="1:7" x14ac:dyDescent="0.25">
      <c r="A615" s="116" t="s">
        <v>28018</v>
      </c>
      <c r="B615" s="117" t="s">
        <v>28019</v>
      </c>
      <c r="C615" t="s">
        <v>67</v>
      </c>
      <c r="D615" t="s">
        <v>67</v>
      </c>
      <c r="E615" t="s">
        <v>67</v>
      </c>
      <c r="F615" t="s">
        <v>45</v>
      </c>
      <c r="G615" s="117">
        <v>9999</v>
      </c>
    </row>
    <row r="616" spans="1:7" x14ac:dyDescent="0.25">
      <c r="A616" s="116" t="s">
        <v>27297</v>
      </c>
      <c r="B616" s="117" t="s">
        <v>908</v>
      </c>
      <c r="C616" t="s">
        <v>67</v>
      </c>
      <c r="D616" t="s">
        <v>67</v>
      </c>
      <c r="E616" t="s">
        <v>67</v>
      </c>
      <c r="F616" t="s">
        <v>45</v>
      </c>
      <c r="G616" s="117">
        <v>157.94</v>
      </c>
    </row>
    <row r="617" spans="1:7" x14ac:dyDescent="0.25">
      <c r="A617" s="116" t="s">
        <v>27298</v>
      </c>
      <c r="B617" s="117" t="s">
        <v>909</v>
      </c>
      <c r="C617" t="s">
        <v>67</v>
      </c>
      <c r="D617" t="s">
        <v>67</v>
      </c>
      <c r="E617" t="s">
        <v>67</v>
      </c>
      <c r="F617" t="s">
        <v>27987</v>
      </c>
      <c r="G617" s="117">
        <v>8.81</v>
      </c>
    </row>
    <row r="618" spans="1:7" x14ac:dyDescent="0.25">
      <c r="A618" s="116" t="s">
        <v>27299</v>
      </c>
      <c r="B618" s="117" t="s">
        <v>910</v>
      </c>
      <c r="C618" t="s">
        <v>67</v>
      </c>
      <c r="D618" t="s">
        <v>67</v>
      </c>
      <c r="E618" t="s">
        <v>67</v>
      </c>
      <c r="F618" t="s">
        <v>45</v>
      </c>
      <c r="G618" s="117">
        <v>23.1</v>
      </c>
    </row>
    <row r="619" spans="1:7" x14ac:dyDescent="0.25">
      <c r="A619" s="116" t="s">
        <v>27300</v>
      </c>
      <c r="B619" s="117" t="s">
        <v>184</v>
      </c>
      <c r="C619" t="s">
        <v>67</v>
      </c>
      <c r="D619" t="s">
        <v>67</v>
      </c>
      <c r="E619" t="s">
        <v>67</v>
      </c>
      <c r="F619" t="s">
        <v>45</v>
      </c>
      <c r="G619" s="117">
        <v>8.41</v>
      </c>
    </row>
    <row r="620" spans="1:7" x14ac:dyDescent="0.25">
      <c r="A620" s="116" t="s">
        <v>27301</v>
      </c>
      <c r="B620" s="117" t="s">
        <v>911</v>
      </c>
      <c r="C620" t="s">
        <v>67</v>
      </c>
      <c r="D620" t="s">
        <v>67</v>
      </c>
      <c r="E620" t="s">
        <v>67</v>
      </c>
      <c r="F620" t="s">
        <v>45</v>
      </c>
      <c r="G620" s="117">
        <v>38.549999999999997</v>
      </c>
    </row>
    <row r="621" spans="1:7" x14ac:dyDescent="0.25">
      <c r="A621" s="116" t="s">
        <v>27302</v>
      </c>
      <c r="B621" s="117" t="s">
        <v>912</v>
      </c>
      <c r="C621" t="s">
        <v>67</v>
      </c>
      <c r="D621" t="s">
        <v>67</v>
      </c>
      <c r="E621" t="s">
        <v>67</v>
      </c>
      <c r="F621" t="s">
        <v>45</v>
      </c>
      <c r="G621" s="117">
        <v>61.15</v>
      </c>
    </row>
    <row r="622" spans="1:7" x14ac:dyDescent="0.25">
      <c r="A622" s="116" t="s">
        <v>27303</v>
      </c>
      <c r="B622" s="117" t="s">
        <v>913</v>
      </c>
      <c r="C622" t="s">
        <v>67</v>
      </c>
      <c r="D622" t="s">
        <v>67</v>
      </c>
      <c r="E622" t="s">
        <v>67</v>
      </c>
      <c r="F622" t="s">
        <v>45</v>
      </c>
      <c r="G622" s="117">
        <v>16.82</v>
      </c>
    </row>
    <row r="623" spans="1:7" x14ac:dyDescent="0.25">
      <c r="A623" s="116" t="s">
        <v>27304</v>
      </c>
      <c r="B623" s="117" t="s">
        <v>914</v>
      </c>
      <c r="C623" t="s">
        <v>67</v>
      </c>
      <c r="D623" t="s">
        <v>67</v>
      </c>
      <c r="E623" t="s">
        <v>67</v>
      </c>
      <c r="F623" t="s">
        <v>45</v>
      </c>
      <c r="G623" s="117">
        <v>64.16</v>
      </c>
    </row>
    <row r="624" spans="1:7" x14ac:dyDescent="0.25">
      <c r="A624" s="116" t="s">
        <v>27305</v>
      </c>
      <c r="B624" s="117" t="s">
        <v>915</v>
      </c>
      <c r="C624" t="s">
        <v>67</v>
      </c>
      <c r="D624" t="s">
        <v>67</v>
      </c>
      <c r="E624" t="s">
        <v>67</v>
      </c>
      <c r="F624" t="s">
        <v>45</v>
      </c>
      <c r="G624" s="117">
        <v>35.78</v>
      </c>
    </row>
    <row r="625" spans="1:7" x14ac:dyDescent="0.25">
      <c r="A625" s="116" t="s">
        <v>27306</v>
      </c>
      <c r="B625" s="117" t="s">
        <v>916</v>
      </c>
      <c r="C625" t="s">
        <v>67</v>
      </c>
      <c r="D625" t="s">
        <v>67</v>
      </c>
      <c r="E625" t="s">
        <v>67</v>
      </c>
      <c r="F625" t="s">
        <v>45</v>
      </c>
      <c r="G625" s="117">
        <v>842.58</v>
      </c>
    </row>
    <row r="626" spans="1:7" x14ac:dyDescent="0.25">
      <c r="A626" s="116" t="s">
        <v>27307</v>
      </c>
      <c r="B626" s="117" t="s">
        <v>28276</v>
      </c>
      <c r="C626" t="s">
        <v>67</v>
      </c>
      <c r="D626" t="s">
        <v>67</v>
      </c>
      <c r="E626" t="s">
        <v>67</v>
      </c>
      <c r="F626" t="s">
        <v>45</v>
      </c>
      <c r="G626" s="117">
        <v>8.73</v>
      </c>
    </row>
    <row r="627" spans="1:7" x14ac:dyDescent="0.25">
      <c r="A627" s="116" t="s">
        <v>27308</v>
      </c>
      <c r="B627" s="117" t="s">
        <v>917</v>
      </c>
      <c r="C627" t="s">
        <v>67</v>
      </c>
      <c r="D627" t="s">
        <v>67</v>
      </c>
      <c r="E627" t="s">
        <v>67</v>
      </c>
      <c r="F627" t="s">
        <v>45</v>
      </c>
      <c r="G627" s="117">
        <v>12.9</v>
      </c>
    </row>
    <row r="628" spans="1:7" x14ac:dyDescent="0.25">
      <c r="A628" s="116" t="s">
        <v>27309</v>
      </c>
      <c r="B628" s="117" t="s">
        <v>918</v>
      </c>
      <c r="C628" t="s">
        <v>67</v>
      </c>
      <c r="D628" t="s">
        <v>67</v>
      </c>
      <c r="E628" t="s">
        <v>67</v>
      </c>
      <c r="F628" t="s">
        <v>45</v>
      </c>
      <c r="G628" s="117">
        <v>49.6</v>
      </c>
    </row>
    <row r="629" spans="1:7" x14ac:dyDescent="0.25">
      <c r="A629" s="116" t="s">
        <v>27310</v>
      </c>
      <c r="B629" s="117" t="s">
        <v>919</v>
      </c>
      <c r="C629" t="s">
        <v>67</v>
      </c>
      <c r="D629" t="s">
        <v>67</v>
      </c>
      <c r="E629" t="s">
        <v>67</v>
      </c>
      <c r="F629" t="s">
        <v>27987</v>
      </c>
      <c r="G629" s="117">
        <v>602.86</v>
      </c>
    </row>
    <row r="630" spans="1:7" x14ac:dyDescent="0.25">
      <c r="A630" s="116" t="s">
        <v>27311</v>
      </c>
      <c r="B630" s="117" t="s">
        <v>920</v>
      </c>
      <c r="C630" t="s">
        <v>67</v>
      </c>
      <c r="D630" t="s">
        <v>67</v>
      </c>
      <c r="E630" t="s">
        <v>67</v>
      </c>
      <c r="F630" t="s">
        <v>45</v>
      </c>
      <c r="G630" s="117">
        <v>389.66</v>
      </c>
    </row>
    <row r="631" spans="1:7" x14ac:dyDescent="0.25">
      <c r="A631" s="116" t="s">
        <v>27312</v>
      </c>
      <c r="B631" s="117" t="s">
        <v>921</v>
      </c>
      <c r="C631" t="s">
        <v>67</v>
      </c>
      <c r="D631" t="s">
        <v>67</v>
      </c>
      <c r="E631" t="s">
        <v>67</v>
      </c>
      <c r="F631" t="s">
        <v>45</v>
      </c>
      <c r="G631" s="117">
        <v>285.55</v>
      </c>
    </row>
    <row r="632" spans="1:7" x14ac:dyDescent="0.25">
      <c r="A632" s="116" t="s">
        <v>27313</v>
      </c>
      <c r="B632" s="117" t="s">
        <v>922</v>
      </c>
      <c r="C632" t="s">
        <v>67</v>
      </c>
      <c r="D632" t="s">
        <v>67</v>
      </c>
      <c r="E632" t="s">
        <v>67</v>
      </c>
      <c r="F632" t="s">
        <v>27987</v>
      </c>
      <c r="G632" s="117">
        <v>354.06</v>
      </c>
    </row>
    <row r="633" spans="1:7" x14ac:dyDescent="0.25">
      <c r="A633" s="116" t="s">
        <v>27314</v>
      </c>
      <c r="B633" s="117" t="s">
        <v>923</v>
      </c>
      <c r="C633" t="s">
        <v>67</v>
      </c>
      <c r="D633" t="s">
        <v>67</v>
      </c>
      <c r="E633" t="s">
        <v>67</v>
      </c>
      <c r="F633" t="s">
        <v>45</v>
      </c>
      <c r="G633" s="117">
        <v>406.2</v>
      </c>
    </row>
    <row r="634" spans="1:7" x14ac:dyDescent="0.25">
      <c r="A634" s="116" t="s">
        <v>27315</v>
      </c>
      <c r="B634" s="117" t="s">
        <v>924</v>
      </c>
      <c r="C634" t="s">
        <v>67</v>
      </c>
      <c r="D634" t="s">
        <v>67</v>
      </c>
      <c r="E634" t="s">
        <v>67</v>
      </c>
      <c r="F634" t="s">
        <v>45</v>
      </c>
      <c r="G634" s="117">
        <v>448.38</v>
      </c>
    </row>
    <row r="635" spans="1:7" x14ac:dyDescent="0.25">
      <c r="A635" s="116" t="s">
        <v>27316</v>
      </c>
      <c r="B635" s="117" t="s">
        <v>925</v>
      </c>
      <c r="C635" t="s">
        <v>67</v>
      </c>
      <c r="D635" t="s">
        <v>67</v>
      </c>
      <c r="E635" t="s">
        <v>67</v>
      </c>
      <c r="F635" t="s">
        <v>45</v>
      </c>
      <c r="G635" s="117">
        <v>14.14</v>
      </c>
    </row>
    <row r="636" spans="1:7" x14ac:dyDescent="0.25">
      <c r="A636" s="116" t="s">
        <v>27317</v>
      </c>
      <c r="B636" s="117" t="s">
        <v>926</v>
      </c>
      <c r="C636" t="s">
        <v>67</v>
      </c>
      <c r="D636" t="s">
        <v>67</v>
      </c>
      <c r="E636" t="s">
        <v>67</v>
      </c>
      <c r="F636" t="s">
        <v>45</v>
      </c>
      <c r="G636" s="117">
        <v>138.37</v>
      </c>
    </row>
    <row r="637" spans="1:7" x14ac:dyDescent="0.25">
      <c r="A637" s="116" t="s">
        <v>27318</v>
      </c>
      <c r="B637" s="117" t="s">
        <v>927</v>
      </c>
      <c r="C637" t="s">
        <v>67</v>
      </c>
      <c r="D637" t="s">
        <v>67</v>
      </c>
      <c r="E637" t="s">
        <v>67</v>
      </c>
      <c r="F637" t="s">
        <v>45</v>
      </c>
      <c r="G637" s="117">
        <v>266.5</v>
      </c>
    </row>
    <row r="638" spans="1:7" x14ac:dyDescent="0.25">
      <c r="A638" s="116" t="s">
        <v>27319</v>
      </c>
      <c r="B638" s="117" t="s">
        <v>928</v>
      </c>
      <c r="C638" t="s">
        <v>67</v>
      </c>
      <c r="D638" t="s">
        <v>67</v>
      </c>
      <c r="E638" t="s">
        <v>67</v>
      </c>
      <c r="F638" t="s">
        <v>45</v>
      </c>
      <c r="G638" s="117">
        <v>54.19</v>
      </c>
    </row>
    <row r="639" spans="1:7" x14ac:dyDescent="0.25">
      <c r="A639" s="116" t="s">
        <v>27320</v>
      </c>
      <c r="B639" s="117" t="s">
        <v>929</v>
      </c>
      <c r="C639" t="s">
        <v>67</v>
      </c>
      <c r="D639" t="s">
        <v>67</v>
      </c>
      <c r="E639" t="s">
        <v>67</v>
      </c>
      <c r="F639" t="s">
        <v>45</v>
      </c>
      <c r="G639" s="117">
        <v>164.83</v>
      </c>
    </row>
    <row r="640" spans="1:7" x14ac:dyDescent="0.25">
      <c r="A640" s="116" t="s">
        <v>27321</v>
      </c>
      <c r="B640" s="117" t="s">
        <v>930</v>
      </c>
      <c r="C640" t="s">
        <v>67</v>
      </c>
      <c r="D640" t="s">
        <v>67</v>
      </c>
      <c r="E640" t="s">
        <v>67</v>
      </c>
      <c r="F640" t="s">
        <v>27987</v>
      </c>
      <c r="G640" s="117">
        <v>179.38</v>
      </c>
    </row>
    <row r="641" spans="1:7" x14ac:dyDescent="0.25">
      <c r="A641" s="116" t="s">
        <v>27322</v>
      </c>
      <c r="B641" s="117" t="s">
        <v>931</v>
      </c>
      <c r="C641" t="s">
        <v>67</v>
      </c>
      <c r="D641" t="s">
        <v>67</v>
      </c>
      <c r="E641" t="s">
        <v>67</v>
      </c>
      <c r="F641" t="s">
        <v>49</v>
      </c>
      <c r="G641" s="117">
        <v>67.180000000000007</v>
      </c>
    </row>
    <row r="642" spans="1:7" x14ac:dyDescent="0.25">
      <c r="A642" s="116" t="s">
        <v>27323</v>
      </c>
      <c r="B642" s="117" t="s">
        <v>932</v>
      </c>
      <c r="C642" t="s">
        <v>67</v>
      </c>
      <c r="D642" t="s">
        <v>67</v>
      </c>
      <c r="E642" t="s">
        <v>67</v>
      </c>
      <c r="F642" t="s">
        <v>45</v>
      </c>
      <c r="G642" s="117">
        <v>16.95</v>
      </c>
    </row>
    <row r="643" spans="1:7" x14ac:dyDescent="0.25">
      <c r="A643" s="116" t="s">
        <v>27324</v>
      </c>
      <c r="B643" s="117" t="s">
        <v>933</v>
      </c>
      <c r="C643" t="s">
        <v>67</v>
      </c>
      <c r="D643" t="s">
        <v>67</v>
      </c>
      <c r="E643" t="s">
        <v>67</v>
      </c>
      <c r="F643" t="s">
        <v>27987</v>
      </c>
      <c r="G643" s="117">
        <v>138.37</v>
      </c>
    </row>
    <row r="644" spans="1:7" x14ac:dyDescent="0.25">
      <c r="A644" s="116" t="s">
        <v>27325</v>
      </c>
      <c r="B644" s="117" t="s">
        <v>934</v>
      </c>
      <c r="C644" t="s">
        <v>67</v>
      </c>
      <c r="D644" t="s">
        <v>67</v>
      </c>
      <c r="E644" t="s">
        <v>67</v>
      </c>
      <c r="F644" t="s">
        <v>45</v>
      </c>
      <c r="G644" s="117">
        <v>13.26</v>
      </c>
    </row>
    <row r="645" spans="1:7" x14ac:dyDescent="0.25">
      <c r="A645" s="116" t="s">
        <v>27326</v>
      </c>
      <c r="B645" s="117" t="s">
        <v>935</v>
      </c>
      <c r="C645" t="s">
        <v>67</v>
      </c>
      <c r="D645" t="s">
        <v>67</v>
      </c>
      <c r="E645" t="s">
        <v>67</v>
      </c>
      <c r="F645" t="s">
        <v>45</v>
      </c>
      <c r="G645" s="117">
        <v>44.94</v>
      </c>
    </row>
    <row r="646" spans="1:7" x14ac:dyDescent="0.25">
      <c r="A646" s="116" t="s">
        <v>27327</v>
      </c>
      <c r="B646" s="117" t="s">
        <v>936</v>
      </c>
      <c r="C646" t="s">
        <v>67</v>
      </c>
      <c r="D646" t="s">
        <v>67</v>
      </c>
      <c r="E646" t="s">
        <v>67</v>
      </c>
      <c r="F646" t="s">
        <v>45</v>
      </c>
      <c r="G646" s="117">
        <v>617.99</v>
      </c>
    </row>
    <row r="647" spans="1:7" x14ac:dyDescent="0.25">
      <c r="A647" s="116" t="s">
        <v>27328</v>
      </c>
      <c r="B647" s="117" t="s">
        <v>937</v>
      </c>
      <c r="C647" t="s">
        <v>67</v>
      </c>
      <c r="D647" t="s">
        <v>67</v>
      </c>
      <c r="E647" t="s">
        <v>67</v>
      </c>
      <c r="F647" t="s">
        <v>27987</v>
      </c>
      <c r="G647" s="117">
        <v>163.29</v>
      </c>
    </row>
    <row r="648" spans="1:7" x14ac:dyDescent="0.25">
      <c r="A648" s="116" t="s">
        <v>938</v>
      </c>
      <c r="B648" s="117" t="s">
        <v>939</v>
      </c>
      <c r="C648" t="s">
        <v>67</v>
      </c>
      <c r="D648" t="s">
        <v>67</v>
      </c>
      <c r="E648" t="s">
        <v>67</v>
      </c>
      <c r="F648" t="s">
        <v>45</v>
      </c>
      <c r="G648" s="117">
        <v>4.8899999999999997</v>
      </c>
    </row>
    <row r="649" spans="1:7" x14ac:dyDescent="0.25">
      <c r="A649" s="116" t="s">
        <v>27329</v>
      </c>
      <c r="B649" s="117" t="s">
        <v>940</v>
      </c>
      <c r="C649" t="s">
        <v>67</v>
      </c>
      <c r="D649" t="s">
        <v>67</v>
      </c>
      <c r="E649" t="s">
        <v>67</v>
      </c>
      <c r="F649" t="s">
        <v>27987</v>
      </c>
      <c r="G649" s="117">
        <v>70.739999999999995</v>
      </c>
    </row>
    <row r="650" spans="1:7" x14ac:dyDescent="0.25">
      <c r="A650" s="116" t="s">
        <v>27330</v>
      </c>
      <c r="B650" s="117" t="s">
        <v>941</v>
      </c>
      <c r="C650" t="s">
        <v>67</v>
      </c>
      <c r="D650" t="s">
        <v>67</v>
      </c>
      <c r="E650" t="s">
        <v>67</v>
      </c>
      <c r="F650" t="s">
        <v>27987</v>
      </c>
      <c r="G650" s="117">
        <v>46.71</v>
      </c>
    </row>
    <row r="651" spans="1:7" x14ac:dyDescent="0.25">
      <c r="A651" s="116" t="s">
        <v>942</v>
      </c>
      <c r="B651" s="117" t="s">
        <v>943</v>
      </c>
      <c r="C651" t="s">
        <v>67</v>
      </c>
      <c r="D651" t="s">
        <v>67</v>
      </c>
      <c r="E651" t="s">
        <v>67</v>
      </c>
      <c r="F651" t="s">
        <v>45</v>
      </c>
      <c r="G651" s="117">
        <v>68.959999999999994</v>
      </c>
    </row>
    <row r="652" spans="1:7" x14ac:dyDescent="0.25">
      <c r="A652" s="116" t="s">
        <v>30256</v>
      </c>
      <c r="B652" s="117" t="s">
        <v>30257</v>
      </c>
      <c r="C652" t="s">
        <v>67</v>
      </c>
      <c r="D652" t="s">
        <v>67</v>
      </c>
      <c r="E652" t="s">
        <v>67</v>
      </c>
      <c r="F652" t="s">
        <v>45</v>
      </c>
      <c r="G652" s="117">
        <v>135</v>
      </c>
    </row>
    <row r="653" spans="1:7" x14ac:dyDescent="0.25">
      <c r="A653" s="116" t="s">
        <v>944</v>
      </c>
      <c r="B653" s="117" t="s">
        <v>945</v>
      </c>
      <c r="C653" t="s">
        <v>67</v>
      </c>
      <c r="D653" t="s">
        <v>67</v>
      </c>
      <c r="E653" t="s">
        <v>67</v>
      </c>
      <c r="F653" t="s">
        <v>45</v>
      </c>
      <c r="G653" s="117">
        <v>166.31</v>
      </c>
    </row>
    <row r="654" spans="1:7" x14ac:dyDescent="0.25">
      <c r="A654" s="116" t="s">
        <v>946</v>
      </c>
      <c r="B654" s="117" t="s">
        <v>947</v>
      </c>
      <c r="C654" t="s">
        <v>67</v>
      </c>
      <c r="D654" t="s">
        <v>67</v>
      </c>
      <c r="E654" t="s">
        <v>67</v>
      </c>
      <c r="F654" t="s">
        <v>45</v>
      </c>
      <c r="G654" s="117">
        <v>2248.16</v>
      </c>
    </row>
    <row r="655" spans="1:7" x14ac:dyDescent="0.25">
      <c r="A655" s="116" t="s">
        <v>948</v>
      </c>
      <c r="B655" s="117" t="s">
        <v>949</v>
      </c>
      <c r="C655" t="s">
        <v>67</v>
      </c>
      <c r="D655" t="s">
        <v>67</v>
      </c>
      <c r="E655" t="s">
        <v>67</v>
      </c>
      <c r="F655" t="s">
        <v>27987</v>
      </c>
      <c r="G655" s="117">
        <v>6.14</v>
      </c>
    </row>
    <row r="656" spans="1:7" x14ac:dyDescent="0.25">
      <c r="A656" s="116" t="s">
        <v>950</v>
      </c>
      <c r="B656" s="117" t="s">
        <v>951</v>
      </c>
      <c r="C656" t="s">
        <v>67</v>
      </c>
      <c r="D656" t="s">
        <v>67</v>
      </c>
      <c r="E656" t="s">
        <v>67</v>
      </c>
      <c r="F656" t="s">
        <v>49</v>
      </c>
      <c r="G656" s="117">
        <v>6.14</v>
      </c>
    </row>
    <row r="657" spans="1:7" x14ac:dyDescent="0.25">
      <c r="A657" s="116" t="s">
        <v>952</v>
      </c>
      <c r="B657" s="117" t="s">
        <v>953</v>
      </c>
      <c r="C657" t="s">
        <v>67</v>
      </c>
      <c r="D657" t="s">
        <v>67</v>
      </c>
      <c r="E657" t="s">
        <v>67</v>
      </c>
      <c r="F657" t="s">
        <v>27987</v>
      </c>
      <c r="G657" s="117">
        <v>20.92</v>
      </c>
    </row>
    <row r="658" spans="1:7" x14ac:dyDescent="0.25">
      <c r="A658" s="116" t="s">
        <v>954</v>
      </c>
      <c r="B658" s="117" t="s">
        <v>28277</v>
      </c>
      <c r="C658" t="s">
        <v>67</v>
      </c>
      <c r="D658" t="s">
        <v>67</v>
      </c>
      <c r="E658" t="s">
        <v>67</v>
      </c>
      <c r="F658" t="s">
        <v>45</v>
      </c>
      <c r="G658" s="117">
        <v>165.42</v>
      </c>
    </row>
    <row r="659" spans="1:7" x14ac:dyDescent="0.25">
      <c r="A659" s="116" t="s">
        <v>28278</v>
      </c>
      <c r="B659" s="117" t="s">
        <v>28279</v>
      </c>
      <c r="C659" t="s">
        <v>67</v>
      </c>
      <c r="D659" t="s">
        <v>67</v>
      </c>
      <c r="E659" t="s">
        <v>67</v>
      </c>
      <c r="F659" t="s">
        <v>45</v>
      </c>
      <c r="G659" s="117">
        <v>0</v>
      </c>
    </row>
    <row r="660" spans="1:7" x14ac:dyDescent="0.25">
      <c r="A660" s="116" t="s">
        <v>955</v>
      </c>
      <c r="B660" s="117" t="s">
        <v>956</v>
      </c>
      <c r="C660" t="s">
        <v>67</v>
      </c>
      <c r="D660" t="s">
        <v>67</v>
      </c>
      <c r="E660" t="s">
        <v>67</v>
      </c>
      <c r="F660" t="s">
        <v>27987</v>
      </c>
      <c r="G660" s="117">
        <v>21.26</v>
      </c>
    </row>
    <row r="661" spans="1:7" x14ac:dyDescent="0.25">
      <c r="A661" s="116" t="s">
        <v>957</v>
      </c>
      <c r="B661" s="117" t="s">
        <v>958</v>
      </c>
      <c r="C661" t="s">
        <v>67</v>
      </c>
      <c r="D661" t="s">
        <v>67</v>
      </c>
      <c r="E661" t="s">
        <v>67</v>
      </c>
      <c r="F661" t="s">
        <v>27987</v>
      </c>
      <c r="G661" s="117">
        <v>21.26</v>
      </c>
    </row>
    <row r="662" spans="1:7" x14ac:dyDescent="0.25">
      <c r="A662" s="116" t="s">
        <v>959</v>
      </c>
      <c r="B662" s="117" t="s">
        <v>960</v>
      </c>
      <c r="C662" t="s">
        <v>67</v>
      </c>
      <c r="D662" t="s">
        <v>67</v>
      </c>
      <c r="E662" t="s">
        <v>67</v>
      </c>
      <c r="F662" t="s">
        <v>27987</v>
      </c>
      <c r="G662" s="117">
        <v>127.16</v>
      </c>
    </row>
    <row r="663" spans="1:7" x14ac:dyDescent="0.25">
      <c r="A663" s="116" t="s">
        <v>961</v>
      </c>
      <c r="B663" s="117" t="s">
        <v>962</v>
      </c>
      <c r="C663" t="s">
        <v>67</v>
      </c>
      <c r="D663" t="s">
        <v>67</v>
      </c>
      <c r="E663" t="s">
        <v>67</v>
      </c>
      <c r="F663" t="s">
        <v>27987</v>
      </c>
      <c r="G663" s="117">
        <v>47.61</v>
      </c>
    </row>
    <row r="664" spans="1:7" x14ac:dyDescent="0.25">
      <c r="A664" s="116" t="s">
        <v>963</v>
      </c>
      <c r="B664" s="117" t="s">
        <v>964</v>
      </c>
      <c r="C664" t="s">
        <v>67</v>
      </c>
      <c r="D664" t="s">
        <v>67</v>
      </c>
      <c r="E664" t="s">
        <v>67</v>
      </c>
      <c r="F664" t="s">
        <v>45</v>
      </c>
      <c r="G664" s="117">
        <v>13.26</v>
      </c>
    </row>
    <row r="665" spans="1:7" x14ac:dyDescent="0.25">
      <c r="A665" s="116" t="s">
        <v>965</v>
      </c>
      <c r="B665" s="117" t="s">
        <v>966</v>
      </c>
      <c r="C665" t="s">
        <v>67</v>
      </c>
      <c r="D665" t="s">
        <v>67</v>
      </c>
      <c r="E665" t="s">
        <v>67</v>
      </c>
      <c r="F665" t="s">
        <v>49</v>
      </c>
      <c r="G665" s="117">
        <v>241.58</v>
      </c>
    </row>
    <row r="666" spans="1:7" x14ac:dyDescent="0.25">
      <c r="A666" s="116" t="s">
        <v>967</v>
      </c>
      <c r="B666" s="117" t="s">
        <v>968</v>
      </c>
      <c r="C666" t="s">
        <v>67</v>
      </c>
      <c r="D666" t="s">
        <v>67</v>
      </c>
      <c r="E666" t="s">
        <v>67</v>
      </c>
      <c r="F666" t="s">
        <v>27987</v>
      </c>
      <c r="G666" s="117">
        <v>169.87</v>
      </c>
    </row>
    <row r="667" spans="1:7" x14ac:dyDescent="0.25">
      <c r="A667" s="116" t="s">
        <v>969</v>
      </c>
      <c r="B667" s="117" t="s">
        <v>970</v>
      </c>
      <c r="C667" t="s">
        <v>67</v>
      </c>
      <c r="D667" t="s">
        <v>67</v>
      </c>
      <c r="E667" t="s">
        <v>67</v>
      </c>
      <c r="F667" t="s">
        <v>27987</v>
      </c>
      <c r="G667" s="117">
        <v>17.7</v>
      </c>
    </row>
    <row r="668" spans="1:7" x14ac:dyDescent="0.25">
      <c r="A668" s="116" t="s">
        <v>971</v>
      </c>
      <c r="B668" s="117" t="s">
        <v>563</v>
      </c>
      <c r="C668" t="s">
        <v>67</v>
      </c>
      <c r="D668" t="s">
        <v>67</v>
      </c>
      <c r="E668" t="s">
        <v>67</v>
      </c>
      <c r="F668" t="s">
        <v>45</v>
      </c>
      <c r="G668" s="117">
        <v>2.13</v>
      </c>
    </row>
    <row r="669" spans="1:7" x14ac:dyDescent="0.25">
      <c r="A669" s="116" t="s">
        <v>972</v>
      </c>
      <c r="B669" s="117" t="s">
        <v>973</v>
      </c>
      <c r="C669" t="s">
        <v>67</v>
      </c>
      <c r="D669" t="s">
        <v>67</v>
      </c>
      <c r="E669" t="s">
        <v>67</v>
      </c>
      <c r="F669" t="s">
        <v>27990</v>
      </c>
      <c r="G669" s="117">
        <v>96.55</v>
      </c>
    </row>
    <row r="670" spans="1:7" x14ac:dyDescent="0.25">
      <c r="A670" s="116" t="s">
        <v>974</v>
      </c>
      <c r="B670" s="117" t="s">
        <v>975</v>
      </c>
      <c r="C670" t="s">
        <v>67</v>
      </c>
      <c r="D670" t="s">
        <v>67</v>
      </c>
      <c r="E670" t="s">
        <v>67</v>
      </c>
      <c r="F670" t="s">
        <v>45</v>
      </c>
      <c r="G670" s="117">
        <v>27.14</v>
      </c>
    </row>
    <row r="671" spans="1:7" x14ac:dyDescent="0.25">
      <c r="A671" s="116" t="s">
        <v>976</v>
      </c>
      <c r="B671" s="117" t="s">
        <v>977</v>
      </c>
      <c r="C671" t="s">
        <v>67</v>
      </c>
      <c r="D671" t="s">
        <v>67</v>
      </c>
      <c r="E671" t="s">
        <v>67</v>
      </c>
      <c r="F671" t="s">
        <v>49</v>
      </c>
      <c r="G671" s="117">
        <v>2.58</v>
      </c>
    </row>
    <row r="672" spans="1:7" x14ac:dyDescent="0.25">
      <c r="A672" s="116" t="s">
        <v>978</v>
      </c>
      <c r="B672" s="117" t="s">
        <v>979</v>
      </c>
      <c r="C672" t="s">
        <v>67</v>
      </c>
      <c r="D672" t="s">
        <v>67</v>
      </c>
      <c r="E672" t="s">
        <v>67</v>
      </c>
      <c r="F672" t="s">
        <v>49</v>
      </c>
      <c r="G672" s="117">
        <v>166.31</v>
      </c>
    </row>
    <row r="673" spans="1:7" x14ac:dyDescent="0.25">
      <c r="A673" s="116" t="s">
        <v>980</v>
      </c>
      <c r="B673" s="117" t="s">
        <v>981</v>
      </c>
      <c r="C673" t="s">
        <v>67</v>
      </c>
      <c r="D673" t="s">
        <v>67</v>
      </c>
      <c r="E673" t="s">
        <v>67</v>
      </c>
      <c r="F673" t="s">
        <v>27987</v>
      </c>
      <c r="G673" s="117">
        <v>41.38</v>
      </c>
    </row>
    <row r="674" spans="1:7" x14ac:dyDescent="0.25">
      <c r="A674" s="116" t="s">
        <v>982</v>
      </c>
      <c r="B674" s="117" t="s">
        <v>983</v>
      </c>
      <c r="C674" t="s">
        <v>67</v>
      </c>
      <c r="D674" t="s">
        <v>67</v>
      </c>
      <c r="E674" t="s">
        <v>67</v>
      </c>
      <c r="F674" t="s">
        <v>45</v>
      </c>
      <c r="G674" s="117">
        <v>271.31</v>
      </c>
    </row>
    <row r="675" spans="1:7" x14ac:dyDescent="0.25">
      <c r="A675" s="116" t="s">
        <v>984</v>
      </c>
      <c r="B675" s="117" t="s">
        <v>985</v>
      </c>
      <c r="C675" t="s">
        <v>67</v>
      </c>
      <c r="D675" t="s">
        <v>67</v>
      </c>
      <c r="E675" t="s">
        <v>67</v>
      </c>
      <c r="F675" t="s">
        <v>49</v>
      </c>
      <c r="G675" s="117">
        <v>112.02</v>
      </c>
    </row>
    <row r="676" spans="1:7" x14ac:dyDescent="0.25">
      <c r="A676" s="116" t="s">
        <v>986</v>
      </c>
      <c r="B676" s="117" t="s">
        <v>28280</v>
      </c>
      <c r="C676" t="s">
        <v>67</v>
      </c>
      <c r="D676" t="s">
        <v>67</v>
      </c>
      <c r="E676" t="s">
        <v>67</v>
      </c>
      <c r="F676" t="s">
        <v>45</v>
      </c>
      <c r="G676" s="117">
        <v>337.2</v>
      </c>
    </row>
    <row r="677" spans="1:7" x14ac:dyDescent="0.25">
      <c r="A677" s="116" t="s">
        <v>987</v>
      </c>
      <c r="B677" s="117" t="s">
        <v>563</v>
      </c>
      <c r="C677" t="s">
        <v>67</v>
      </c>
      <c r="D677" t="s">
        <v>67</v>
      </c>
      <c r="E677" t="s">
        <v>67</v>
      </c>
      <c r="F677" t="s">
        <v>27987</v>
      </c>
      <c r="G677" s="117">
        <v>127.69</v>
      </c>
    </row>
    <row r="678" spans="1:7" x14ac:dyDescent="0.25">
      <c r="A678" s="116" t="s">
        <v>988</v>
      </c>
      <c r="B678" s="117" t="s">
        <v>989</v>
      </c>
      <c r="C678" t="s">
        <v>67</v>
      </c>
      <c r="D678" t="s">
        <v>67</v>
      </c>
      <c r="E678" t="s">
        <v>67</v>
      </c>
      <c r="F678" t="s">
        <v>27987</v>
      </c>
      <c r="G678" s="117">
        <v>17.7</v>
      </c>
    </row>
    <row r="679" spans="1:7" x14ac:dyDescent="0.25">
      <c r="A679" s="116" t="s">
        <v>990</v>
      </c>
      <c r="B679" s="117" t="s">
        <v>991</v>
      </c>
      <c r="C679" t="s">
        <v>67</v>
      </c>
      <c r="D679" t="s">
        <v>67</v>
      </c>
      <c r="E679" t="s">
        <v>67</v>
      </c>
      <c r="F679" t="s">
        <v>45</v>
      </c>
      <c r="G679" s="117">
        <v>176.99</v>
      </c>
    </row>
    <row r="680" spans="1:7" x14ac:dyDescent="0.25">
      <c r="A680" s="116" t="s">
        <v>992</v>
      </c>
      <c r="B680" s="117" t="s">
        <v>993</v>
      </c>
      <c r="C680" t="s">
        <v>67</v>
      </c>
      <c r="D680" t="s">
        <v>67</v>
      </c>
      <c r="E680" t="s">
        <v>67</v>
      </c>
      <c r="F680" t="s">
        <v>45</v>
      </c>
      <c r="G680" s="117">
        <v>260.63</v>
      </c>
    </row>
    <row r="681" spans="1:7" x14ac:dyDescent="0.25">
      <c r="A681" s="116" t="s">
        <v>994</v>
      </c>
      <c r="B681" s="117" t="s">
        <v>983</v>
      </c>
      <c r="C681" t="s">
        <v>67</v>
      </c>
      <c r="D681" t="s">
        <v>67</v>
      </c>
      <c r="E681" t="s">
        <v>67</v>
      </c>
      <c r="F681" t="s">
        <v>45</v>
      </c>
      <c r="G681" s="117">
        <v>251.74</v>
      </c>
    </row>
    <row r="682" spans="1:7" x14ac:dyDescent="0.25">
      <c r="A682" s="116" t="s">
        <v>995</v>
      </c>
      <c r="B682" s="117" t="s">
        <v>996</v>
      </c>
      <c r="C682" t="s">
        <v>67</v>
      </c>
      <c r="D682" t="s">
        <v>67</v>
      </c>
      <c r="E682" t="s">
        <v>67</v>
      </c>
      <c r="F682" t="s">
        <v>49</v>
      </c>
      <c r="G682" s="117">
        <v>46.18</v>
      </c>
    </row>
    <row r="683" spans="1:7" x14ac:dyDescent="0.25">
      <c r="A683" s="116" t="s">
        <v>997</v>
      </c>
      <c r="B683" s="117" t="s">
        <v>998</v>
      </c>
      <c r="C683" t="s">
        <v>67</v>
      </c>
      <c r="D683" t="s">
        <v>67</v>
      </c>
      <c r="E683" t="s">
        <v>67</v>
      </c>
      <c r="F683" t="s">
        <v>49</v>
      </c>
      <c r="G683" s="117">
        <v>114.35</v>
      </c>
    </row>
    <row r="684" spans="1:7" x14ac:dyDescent="0.25">
      <c r="A684" s="116" t="s">
        <v>999</v>
      </c>
      <c r="B684" s="117" t="s">
        <v>1000</v>
      </c>
      <c r="C684" t="s">
        <v>67</v>
      </c>
      <c r="D684" t="s">
        <v>67</v>
      </c>
      <c r="E684" t="s">
        <v>67</v>
      </c>
      <c r="F684" t="s">
        <v>45</v>
      </c>
      <c r="G684" s="117">
        <v>13.26</v>
      </c>
    </row>
    <row r="685" spans="1:7" x14ac:dyDescent="0.25">
      <c r="A685" s="116" t="s">
        <v>1001</v>
      </c>
      <c r="B685" s="117" t="s">
        <v>1002</v>
      </c>
      <c r="C685" t="s">
        <v>67</v>
      </c>
      <c r="D685" t="s">
        <v>67</v>
      </c>
      <c r="E685" t="s">
        <v>67</v>
      </c>
      <c r="F685" t="s">
        <v>27987</v>
      </c>
      <c r="G685" s="117">
        <v>189.08</v>
      </c>
    </row>
    <row r="686" spans="1:7" x14ac:dyDescent="0.25">
      <c r="A686" s="116" t="s">
        <v>1003</v>
      </c>
      <c r="B686" s="117" t="s">
        <v>1004</v>
      </c>
      <c r="C686" t="s">
        <v>67</v>
      </c>
      <c r="D686" t="s">
        <v>67</v>
      </c>
      <c r="E686" t="s">
        <v>67</v>
      </c>
      <c r="F686" t="s">
        <v>45</v>
      </c>
      <c r="G686" s="117">
        <v>165.42</v>
      </c>
    </row>
    <row r="687" spans="1:7" x14ac:dyDescent="0.25">
      <c r="A687" s="116" t="s">
        <v>1005</v>
      </c>
      <c r="B687" s="117" t="s">
        <v>1006</v>
      </c>
      <c r="C687" t="s">
        <v>67</v>
      </c>
      <c r="D687" t="s">
        <v>67</v>
      </c>
      <c r="E687" t="s">
        <v>67</v>
      </c>
      <c r="F687" t="s">
        <v>27987</v>
      </c>
      <c r="G687" s="117">
        <v>424.89</v>
      </c>
    </row>
    <row r="688" spans="1:7" x14ac:dyDescent="0.25">
      <c r="A688" s="116" t="s">
        <v>1007</v>
      </c>
      <c r="B688" s="117" t="s">
        <v>28281</v>
      </c>
      <c r="C688" t="s">
        <v>67</v>
      </c>
      <c r="D688" t="s">
        <v>67</v>
      </c>
      <c r="E688" t="s">
        <v>67</v>
      </c>
      <c r="F688" t="s">
        <v>27987</v>
      </c>
      <c r="G688" s="117">
        <v>2243.6999999999998</v>
      </c>
    </row>
    <row r="689" spans="1:7" x14ac:dyDescent="0.25">
      <c r="A689" s="116" t="s">
        <v>1008</v>
      </c>
      <c r="B689" s="117" t="s">
        <v>1009</v>
      </c>
      <c r="C689" t="s">
        <v>67</v>
      </c>
      <c r="D689" t="s">
        <v>67</v>
      </c>
      <c r="E689" t="s">
        <v>67</v>
      </c>
      <c r="F689" t="s">
        <v>45</v>
      </c>
      <c r="G689" s="117">
        <v>94.76</v>
      </c>
    </row>
    <row r="690" spans="1:7" x14ac:dyDescent="0.25">
      <c r="A690" s="116" t="s">
        <v>1010</v>
      </c>
      <c r="B690" s="117" t="s">
        <v>1011</v>
      </c>
      <c r="C690" t="s">
        <v>67</v>
      </c>
      <c r="D690" t="s">
        <v>67</v>
      </c>
      <c r="E690" t="s">
        <v>67</v>
      </c>
      <c r="F690" t="s">
        <v>27987</v>
      </c>
      <c r="G690" s="117">
        <v>311.64999999999998</v>
      </c>
    </row>
    <row r="691" spans="1:7" x14ac:dyDescent="0.25">
      <c r="A691" s="116" t="s">
        <v>1012</v>
      </c>
      <c r="B691" s="117" t="s">
        <v>1013</v>
      </c>
      <c r="C691" t="s">
        <v>67</v>
      </c>
      <c r="D691" t="s">
        <v>67</v>
      </c>
      <c r="E691" t="s">
        <v>67</v>
      </c>
      <c r="F691" t="s">
        <v>49</v>
      </c>
      <c r="G691" s="117">
        <v>110.25</v>
      </c>
    </row>
    <row r="692" spans="1:7" x14ac:dyDescent="0.25">
      <c r="A692" s="116" t="s">
        <v>1014</v>
      </c>
      <c r="B692" s="117" t="s">
        <v>1015</v>
      </c>
      <c r="C692" t="s">
        <v>67</v>
      </c>
      <c r="D692" t="s">
        <v>67</v>
      </c>
      <c r="E692" t="s">
        <v>67</v>
      </c>
      <c r="F692" t="s">
        <v>45</v>
      </c>
      <c r="G692" s="117">
        <v>330.57</v>
      </c>
    </row>
    <row r="693" spans="1:7" x14ac:dyDescent="0.25">
      <c r="A693" s="116" t="s">
        <v>1016</v>
      </c>
      <c r="B693" s="117" t="s">
        <v>1017</v>
      </c>
      <c r="C693" t="s">
        <v>67</v>
      </c>
      <c r="D693" t="s">
        <v>67</v>
      </c>
      <c r="E693" t="s">
        <v>67</v>
      </c>
      <c r="F693" t="s">
        <v>27987</v>
      </c>
      <c r="G693" s="117">
        <v>29.81</v>
      </c>
    </row>
    <row r="694" spans="1:7" x14ac:dyDescent="0.25">
      <c r="A694" s="116" t="s">
        <v>1018</v>
      </c>
      <c r="B694" s="117" t="s">
        <v>1019</v>
      </c>
      <c r="C694" t="s">
        <v>67</v>
      </c>
      <c r="D694" t="s">
        <v>67</v>
      </c>
      <c r="E694" t="s">
        <v>67</v>
      </c>
      <c r="F694" t="s">
        <v>27987</v>
      </c>
      <c r="G694" s="117">
        <v>29.81</v>
      </c>
    </row>
    <row r="695" spans="1:7" x14ac:dyDescent="0.25">
      <c r="A695" s="116" t="s">
        <v>1020</v>
      </c>
      <c r="B695" s="117" t="s">
        <v>1021</v>
      </c>
      <c r="C695" t="s">
        <v>67</v>
      </c>
      <c r="D695" t="s">
        <v>67</v>
      </c>
      <c r="E695" t="s">
        <v>67</v>
      </c>
      <c r="F695" t="s">
        <v>45</v>
      </c>
      <c r="G695" s="117">
        <v>896.86</v>
      </c>
    </row>
    <row r="696" spans="1:7" x14ac:dyDescent="0.25">
      <c r="A696" s="116" t="s">
        <v>1022</v>
      </c>
      <c r="B696" s="117" t="s">
        <v>1023</v>
      </c>
      <c r="C696" t="s">
        <v>67</v>
      </c>
      <c r="D696" t="s">
        <v>67</v>
      </c>
      <c r="E696" t="s">
        <v>67</v>
      </c>
      <c r="F696" t="s">
        <v>27987</v>
      </c>
      <c r="G696" s="117">
        <v>41.38</v>
      </c>
    </row>
    <row r="697" spans="1:7" x14ac:dyDescent="0.25">
      <c r="A697" s="116" t="s">
        <v>1024</v>
      </c>
      <c r="B697" s="117" t="s">
        <v>1025</v>
      </c>
      <c r="C697" t="s">
        <v>67</v>
      </c>
      <c r="D697" t="s">
        <v>67</v>
      </c>
      <c r="E697" t="s">
        <v>67</v>
      </c>
      <c r="F697" t="s">
        <v>27987</v>
      </c>
      <c r="G697" s="117">
        <v>257.61</v>
      </c>
    </row>
    <row r="698" spans="1:7" x14ac:dyDescent="0.25">
      <c r="A698" s="116" t="s">
        <v>1026</v>
      </c>
      <c r="B698" s="117" t="s">
        <v>1011</v>
      </c>
      <c r="C698" t="s">
        <v>67</v>
      </c>
      <c r="D698" t="s">
        <v>67</v>
      </c>
      <c r="E698" t="s">
        <v>67</v>
      </c>
      <c r="F698" t="s">
        <v>27987</v>
      </c>
      <c r="G698" s="117">
        <v>215.79</v>
      </c>
    </row>
    <row r="699" spans="1:7" x14ac:dyDescent="0.25">
      <c r="A699" s="116" t="s">
        <v>1027</v>
      </c>
      <c r="B699" s="117" t="s">
        <v>1028</v>
      </c>
      <c r="C699" t="s">
        <v>67</v>
      </c>
      <c r="D699" t="s">
        <v>67</v>
      </c>
      <c r="E699" t="s">
        <v>67</v>
      </c>
      <c r="F699" t="s">
        <v>27987</v>
      </c>
      <c r="G699" s="117">
        <v>140.13999999999999</v>
      </c>
    </row>
    <row r="700" spans="1:7" x14ac:dyDescent="0.25">
      <c r="A700" s="116" t="s">
        <v>1029</v>
      </c>
      <c r="B700" s="117" t="s">
        <v>1030</v>
      </c>
      <c r="C700" t="s">
        <v>67</v>
      </c>
      <c r="D700" t="s">
        <v>67</v>
      </c>
      <c r="E700" t="s">
        <v>67</v>
      </c>
      <c r="F700" t="s">
        <v>45</v>
      </c>
      <c r="G700" s="117">
        <v>44.05</v>
      </c>
    </row>
    <row r="701" spans="1:7" x14ac:dyDescent="0.25">
      <c r="A701" s="116" t="s">
        <v>1031</v>
      </c>
      <c r="B701" s="117" t="s">
        <v>1032</v>
      </c>
      <c r="C701" t="s">
        <v>67</v>
      </c>
      <c r="D701" t="s">
        <v>67</v>
      </c>
      <c r="E701" t="s">
        <v>67</v>
      </c>
      <c r="F701" t="s">
        <v>27987</v>
      </c>
      <c r="G701" s="117">
        <v>50.63</v>
      </c>
    </row>
    <row r="702" spans="1:7" x14ac:dyDescent="0.25">
      <c r="A702" s="116" t="s">
        <v>1033</v>
      </c>
      <c r="B702" s="117" t="s">
        <v>1034</v>
      </c>
      <c r="C702" t="s">
        <v>67</v>
      </c>
      <c r="D702" t="s">
        <v>67</v>
      </c>
      <c r="E702" t="s">
        <v>67</v>
      </c>
      <c r="F702" t="s">
        <v>27987</v>
      </c>
      <c r="G702" s="117">
        <v>81.42</v>
      </c>
    </row>
    <row r="703" spans="1:7" x14ac:dyDescent="0.25">
      <c r="A703" s="116" t="s">
        <v>1035</v>
      </c>
      <c r="B703" s="117" t="s">
        <v>1036</v>
      </c>
      <c r="C703" t="s">
        <v>67</v>
      </c>
      <c r="D703" t="s">
        <v>67</v>
      </c>
      <c r="E703" t="s">
        <v>67</v>
      </c>
      <c r="F703" t="s">
        <v>45</v>
      </c>
      <c r="G703" s="117">
        <v>71.989999999999995</v>
      </c>
    </row>
    <row r="704" spans="1:7" x14ac:dyDescent="0.25">
      <c r="A704" s="116" t="s">
        <v>1037</v>
      </c>
      <c r="B704" s="117" t="s">
        <v>1038</v>
      </c>
      <c r="C704" t="s">
        <v>67</v>
      </c>
      <c r="D704" t="s">
        <v>67</v>
      </c>
      <c r="E704" t="s">
        <v>67</v>
      </c>
      <c r="F704" t="s">
        <v>27987</v>
      </c>
      <c r="G704" s="117">
        <v>10.58</v>
      </c>
    </row>
    <row r="705" spans="1:7" x14ac:dyDescent="0.25">
      <c r="A705" s="116" t="s">
        <v>1039</v>
      </c>
      <c r="B705" s="117" t="s">
        <v>1040</v>
      </c>
      <c r="C705" t="s">
        <v>67</v>
      </c>
      <c r="D705" t="s">
        <v>67</v>
      </c>
      <c r="E705" t="s">
        <v>67</v>
      </c>
      <c r="F705" t="s">
        <v>27987</v>
      </c>
      <c r="G705" s="117">
        <v>379.87</v>
      </c>
    </row>
    <row r="706" spans="1:7" x14ac:dyDescent="0.25">
      <c r="A706" s="116" t="s">
        <v>1041</v>
      </c>
      <c r="B706" s="117" t="s">
        <v>1042</v>
      </c>
      <c r="C706" t="s">
        <v>67</v>
      </c>
      <c r="D706" t="s">
        <v>67</v>
      </c>
      <c r="E706" t="s">
        <v>67</v>
      </c>
      <c r="F706" t="s">
        <v>27987</v>
      </c>
      <c r="G706" s="117">
        <v>17.7</v>
      </c>
    </row>
    <row r="707" spans="1:7" x14ac:dyDescent="0.25">
      <c r="A707" s="116" t="s">
        <v>1043</v>
      </c>
      <c r="B707" s="117" t="s">
        <v>1044</v>
      </c>
      <c r="C707" t="s">
        <v>67</v>
      </c>
      <c r="D707" t="s">
        <v>67</v>
      </c>
      <c r="E707" t="s">
        <v>67</v>
      </c>
      <c r="F707" t="s">
        <v>27987</v>
      </c>
      <c r="G707" s="117">
        <v>262.06</v>
      </c>
    </row>
    <row r="708" spans="1:7" x14ac:dyDescent="0.25">
      <c r="A708" s="116" t="s">
        <v>1045</v>
      </c>
      <c r="B708" s="117" t="s">
        <v>1046</v>
      </c>
      <c r="C708" t="s">
        <v>67</v>
      </c>
      <c r="D708" t="s">
        <v>67</v>
      </c>
      <c r="E708" t="s">
        <v>67</v>
      </c>
      <c r="F708" t="s">
        <v>45</v>
      </c>
      <c r="G708" s="117">
        <v>136.06</v>
      </c>
    </row>
    <row r="709" spans="1:7" x14ac:dyDescent="0.25">
      <c r="A709" s="116" t="s">
        <v>1047</v>
      </c>
      <c r="B709" s="117" t="s">
        <v>1048</v>
      </c>
      <c r="C709" t="s">
        <v>67</v>
      </c>
      <c r="D709" t="s">
        <v>67</v>
      </c>
      <c r="E709" t="s">
        <v>67</v>
      </c>
      <c r="F709" t="s">
        <v>27987</v>
      </c>
      <c r="G709" s="117">
        <v>649.49</v>
      </c>
    </row>
    <row r="710" spans="1:7" x14ac:dyDescent="0.25">
      <c r="A710" s="116" t="s">
        <v>1049</v>
      </c>
      <c r="B710" s="117" t="s">
        <v>1050</v>
      </c>
      <c r="C710" t="s">
        <v>67</v>
      </c>
      <c r="D710" t="s">
        <v>67</v>
      </c>
      <c r="E710" t="s">
        <v>67</v>
      </c>
      <c r="F710" t="s">
        <v>27987</v>
      </c>
      <c r="G710" s="117">
        <v>669.95</v>
      </c>
    </row>
    <row r="711" spans="1:7" x14ac:dyDescent="0.25">
      <c r="A711" s="116" t="s">
        <v>1051</v>
      </c>
      <c r="B711" s="117" t="s">
        <v>1052</v>
      </c>
      <c r="C711" t="s">
        <v>67</v>
      </c>
      <c r="D711" t="s">
        <v>67</v>
      </c>
      <c r="E711" t="s">
        <v>67</v>
      </c>
      <c r="F711" t="s">
        <v>45</v>
      </c>
      <c r="G711" s="117">
        <v>23.94</v>
      </c>
    </row>
    <row r="712" spans="1:7" x14ac:dyDescent="0.25">
      <c r="A712" s="116" t="s">
        <v>1053</v>
      </c>
      <c r="B712" s="117" t="s">
        <v>1054</v>
      </c>
      <c r="C712" t="s">
        <v>67</v>
      </c>
      <c r="D712" t="s">
        <v>67</v>
      </c>
      <c r="E712" t="s">
        <v>67</v>
      </c>
      <c r="F712" t="s">
        <v>45</v>
      </c>
      <c r="G712" s="117">
        <v>24.82</v>
      </c>
    </row>
    <row r="713" spans="1:7" x14ac:dyDescent="0.25">
      <c r="A713" s="116" t="s">
        <v>1055</v>
      </c>
      <c r="B713" s="117" t="s">
        <v>1056</v>
      </c>
      <c r="C713" t="s">
        <v>67</v>
      </c>
      <c r="D713" t="s">
        <v>67</v>
      </c>
      <c r="E713" t="s">
        <v>67</v>
      </c>
      <c r="F713" t="s">
        <v>27987</v>
      </c>
      <c r="G713" s="117">
        <v>61.31</v>
      </c>
    </row>
    <row r="714" spans="1:7" x14ac:dyDescent="0.25">
      <c r="A714" s="116" t="s">
        <v>1057</v>
      </c>
      <c r="B714" s="117" t="s">
        <v>1058</v>
      </c>
      <c r="C714" t="s">
        <v>67</v>
      </c>
      <c r="D714" t="s">
        <v>67</v>
      </c>
      <c r="E714" t="s">
        <v>67</v>
      </c>
      <c r="F714" t="s">
        <v>27987</v>
      </c>
      <c r="G714" s="117">
        <v>66.3</v>
      </c>
    </row>
    <row r="715" spans="1:7" x14ac:dyDescent="0.25">
      <c r="A715" s="116" t="s">
        <v>1059</v>
      </c>
      <c r="B715" s="117" t="s">
        <v>1060</v>
      </c>
      <c r="C715" t="s">
        <v>67</v>
      </c>
      <c r="D715" t="s">
        <v>67</v>
      </c>
      <c r="E715" t="s">
        <v>67</v>
      </c>
      <c r="F715" t="s">
        <v>27987</v>
      </c>
      <c r="G715" s="117">
        <v>80.52</v>
      </c>
    </row>
    <row r="716" spans="1:7" x14ac:dyDescent="0.25">
      <c r="A716" s="116" t="s">
        <v>1061</v>
      </c>
      <c r="B716" s="117" t="s">
        <v>1062</v>
      </c>
      <c r="C716" t="s">
        <v>67</v>
      </c>
      <c r="D716" t="s">
        <v>67</v>
      </c>
      <c r="E716" t="s">
        <v>67</v>
      </c>
      <c r="F716" t="s">
        <v>45</v>
      </c>
      <c r="G716" s="117">
        <v>59.18</v>
      </c>
    </row>
    <row r="717" spans="1:7" x14ac:dyDescent="0.25">
      <c r="A717" s="116" t="s">
        <v>1063</v>
      </c>
      <c r="B717" s="117" t="s">
        <v>465</v>
      </c>
      <c r="C717" t="s">
        <v>67</v>
      </c>
      <c r="D717" t="s">
        <v>67</v>
      </c>
      <c r="E717" t="s">
        <v>67</v>
      </c>
      <c r="F717" t="s">
        <v>45</v>
      </c>
      <c r="G717" s="117">
        <v>40.49</v>
      </c>
    </row>
    <row r="718" spans="1:7" x14ac:dyDescent="0.25">
      <c r="A718" s="116" t="s">
        <v>1064</v>
      </c>
      <c r="B718" s="117" t="s">
        <v>1065</v>
      </c>
      <c r="C718" t="s">
        <v>67</v>
      </c>
      <c r="D718" t="s">
        <v>67</v>
      </c>
      <c r="E718" t="s">
        <v>67</v>
      </c>
      <c r="F718" t="s">
        <v>27987</v>
      </c>
      <c r="G718" s="117">
        <v>16.82</v>
      </c>
    </row>
    <row r="719" spans="1:7" x14ac:dyDescent="0.25">
      <c r="A719" s="116" t="s">
        <v>1066</v>
      </c>
      <c r="B719" s="117" t="s">
        <v>1067</v>
      </c>
      <c r="C719" t="s">
        <v>67</v>
      </c>
      <c r="D719" t="s">
        <v>67</v>
      </c>
      <c r="E719" t="s">
        <v>67</v>
      </c>
      <c r="F719" t="s">
        <v>27987</v>
      </c>
      <c r="G719" s="117">
        <v>22.69</v>
      </c>
    </row>
    <row r="720" spans="1:7" x14ac:dyDescent="0.25">
      <c r="A720" s="116" t="s">
        <v>1068</v>
      </c>
      <c r="B720" s="117" t="s">
        <v>1069</v>
      </c>
      <c r="C720" t="s">
        <v>67</v>
      </c>
      <c r="D720" t="s">
        <v>67</v>
      </c>
      <c r="E720" t="s">
        <v>67</v>
      </c>
      <c r="F720" t="s">
        <v>27987</v>
      </c>
      <c r="G720" s="117">
        <v>68.430000000000007</v>
      </c>
    </row>
    <row r="721" spans="1:7" x14ac:dyDescent="0.25">
      <c r="A721" s="116" t="s">
        <v>1070</v>
      </c>
      <c r="B721" s="117" t="s">
        <v>1071</v>
      </c>
      <c r="C721" t="s">
        <v>67</v>
      </c>
      <c r="D721" t="s">
        <v>67</v>
      </c>
      <c r="E721" t="s">
        <v>67</v>
      </c>
      <c r="F721" t="s">
        <v>27987</v>
      </c>
      <c r="G721" s="117">
        <v>578.29999999999995</v>
      </c>
    </row>
    <row r="722" spans="1:7" x14ac:dyDescent="0.25">
      <c r="A722" s="116" t="s">
        <v>1072</v>
      </c>
      <c r="B722" s="117" t="s">
        <v>28282</v>
      </c>
      <c r="C722" t="s">
        <v>67</v>
      </c>
      <c r="D722" t="s">
        <v>67</v>
      </c>
      <c r="E722" t="s">
        <v>67</v>
      </c>
      <c r="F722" t="s">
        <v>27987</v>
      </c>
      <c r="G722" s="117">
        <v>100.45</v>
      </c>
    </row>
    <row r="723" spans="1:7" x14ac:dyDescent="0.25">
      <c r="A723" s="116" t="s">
        <v>1073</v>
      </c>
      <c r="B723" s="117" t="s">
        <v>1074</v>
      </c>
      <c r="C723" t="s">
        <v>67</v>
      </c>
      <c r="D723" t="s">
        <v>67</v>
      </c>
      <c r="E723" t="s">
        <v>67</v>
      </c>
      <c r="F723" t="s">
        <v>27987</v>
      </c>
      <c r="G723" s="117">
        <v>311</v>
      </c>
    </row>
    <row r="724" spans="1:7" x14ac:dyDescent="0.25">
      <c r="A724" s="116" t="s">
        <v>1075</v>
      </c>
      <c r="B724" s="117" t="s">
        <v>1076</v>
      </c>
      <c r="C724" t="s">
        <v>67</v>
      </c>
      <c r="D724" t="s">
        <v>67</v>
      </c>
      <c r="E724" t="s">
        <v>67</v>
      </c>
      <c r="F724" t="s">
        <v>27987</v>
      </c>
      <c r="G724" s="117">
        <v>21.26</v>
      </c>
    </row>
    <row r="725" spans="1:7" x14ac:dyDescent="0.25">
      <c r="A725" s="116" t="s">
        <v>1077</v>
      </c>
      <c r="B725" s="117" t="s">
        <v>1078</v>
      </c>
      <c r="C725" t="s">
        <v>67</v>
      </c>
      <c r="D725" t="s">
        <v>67</v>
      </c>
      <c r="E725" t="s">
        <v>67</v>
      </c>
      <c r="F725" t="s">
        <v>27987</v>
      </c>
      <c r="G725" s="117">
        <v>12.01</v>
      </c>
    </row>
    <row r="726" spans="1:7" x14ac:dyDescent="0.25">
      <c r="A726" s="116" t="s">
        <v>1079</v>
      </c>
      <c r="B726" s="117" t="s">
        <v>1080</v>
      </c>
      <c r="C726" t="s">
        <v>67</v>
      </c>
      <c r="D726" t="s">
        <v>67</v>
      </c>
      <c r="E726" t="s">
        <v>67</v>
      </c>
      <c r="F726" t="s">
        <v>45</v>
      </c>
      <c r="G726" s="117">
        <v>14.14</v>
      </c>
    </row>
    <row r="727" spans="1:7" x14ac:dyDescent="0.25">
      <c r="A727" s="116" t="s">
        <v>1081</v>
      </c>
      <c r="B727" s="117" t="s">
        <v>1082</v>
      </c>
      <c r="C727" t="s">
        <v>67</v>
      </c>
      <c r="D727" t="s">
        <v>67</v>
      </c>
      <c r="E727" t="s">
        <v>67</v>
      </c>
      <c r="F727" t="s">
        <v>27987</v>
      </c>
      <c r="G727" s="117">
        <v>18.600000000000001</v>
      </c>
    </row>
    <row r="728" spans="1:7" x14ac:dyDescent="0.25">
      <c r="A728" s="116" t="s">
        <v>1083</v>
      </c>
      <c r="B728" s="117" t="s">
        <v>1084</v>
      </c>
      <c r="C728" t="s">
        <v>67</v>
      </c>
      <c r="D728" t="s">
        <v>67</v>
      </c>
      <c r="E728" t="s">
        <v>67</v>
      </c>
      <c r="F728" t="s">
        <v>45</v>
      </c>
      <c r="G728" s="117">
        <v>23.94</v>
      </c>
    </row>
    <row r="729" spans="1:7" x14ac:dyDescent="0.25">
      <c r="A729" s="116" t="s">
        <v>1085</v>
      </c>
      <c r="B729" s="117" t="s">
        <v>1086</v>
      </c>
      <c r="C729" t="s">
        <v>67</v>
      </c>
      <c r="D729" t="s">
        <v>67</v>
      </c>
      <c r="E729" t="s">
        <v>67</v>
      </c>
      <c r="F729" t="s">
        <v>45</v>
      </c>
      <c r="G729" s="117">
        <v>36.93</v>
      </c>
    </row>
    <row r="730" spans="1:7" x14ac:dyDescent="0.25">
      <c r="A730" s="116" t="s">
        <v>1087</v>
      </c>
      <c r="B730" s="117" t="s">
        <v>28283</v>
      </c>
      <c r="C730" t="s">
        <v>67</v>
      </c>
      <c r="D730" t="s">
        <v>67</v>
      </c>
      <c r="E730" t="s">
        <v>67</v>
      </c>
      <c r="F730" t="s">
        <v>45</v>
      </c>
      <c r="G730" s="117">
        <v>100.46</v>
      </c>
    </row>
    <row r="731" spans="1:7" x14ac:dyDescent="0.25">
      <c r="A731" s="116" t="s">
        <v>1088</v>
      </c>
      <c r="B731" s="117" t="s">
        <v>15717</v>
      </c>
      <c r="C731" t="s">
        <v>67</v>
      </c>
      <c r="D731" t="s">
        <v>67</v>
      </c>
      <c r="E731" t="s">
        <v>67</v>
      </c>
      <c r="F731" t="s">
        <v>27987</v>
      </c>
      <c r="G731" s="117">
        <v>19.13</v>
      </c>
    </row>
    <row r="732" spans="1:7" x14ac:dyDescent="0.25">
      <c r="A732" s="116" t="s">
        <v>1089</v>
      </c>
      <c r="B732" s="117" t="s">
        <v>28284</v>
      </c>
      <c r="C732" t="s">
        <v>67</v>
      </c>
      <c r="D732" t="s">
        <v>67</v>
      </c>
      <c r="E732" t="s">
        <v>67</v>
      </c>
      <c r="F732" t="s">
        <v>45</v>
      </c>
      <c r="G732" s="117">
        <v>92.1</v>
      </c>
    </row>
    <row r="733" spans="1:7" x14ac:dyDescent="0.25">
      <c r="A733" s="116" t="s">
        <v>1090</v>
      </c>
      <c r="B733" s="117" t="s">
        <v>1091</v>
      </c>
      <c r="C733" t="s">
        <v>67</v>
      </c>
      <c r="D733" t="s">
        <v>67</v>
      </c>
      <c r="E733" t="s">
        <v>67</v>
      </c>
      <c r="F733" t="s">
        <v>27987</v>
      </c>
      <c r="G733" s="117">
        <v>4.8899999999999997</v>
      </c>
    </row>
    <row r="734" spans="1:7" x14ac:dyDescent="0.25">
      <c r="A734" s="116" t="s">
        <v>1092</v>
      </c>
      <c r="B734" s="117" t="s">
        <v>1093</v>
      </c>
      <c r="C734" t="s">
        <v>67</v>
      </c>
      <c r="D734" t="s">
        <v>67</v>
      </c>
      <c r="E734" t="s">
        <v>67</v>
      </c>
      <c r="F734" t="s">
        <v>27987</v>
      </c>
      <c r="G734" s="117">
        <v>106.33</v>
      </c>
    </row>
    <row r="735" spans="1:7" x14ac:dyDescent="0.25">
      <c r="A735" s="116" t="s">
        <v>1094</v>
      </c>
      <c r="B735" s="117" t="s">
        <v>1095</v>
      </c>
      <c r="C735" t="s">
        <v>67</v>
      </c>
      <c r="D735" t="s">
        <v>67</v>
      </c>
      <c r="E735" t="s">
        <v>67</v>
      </c>
      <c r="F735" t="s">
        <v>45</v>
      </c>
      <c r="G735" s="117">
        <v>15.57</v>
      </c>
    </row>
    <row r="736" spans="1:7" x14ac:dyDescent="0.25">
      <c r="A736" s="116" t="s">
        <v>1096</v>
      </c>
      <c r="B736" s="117" t="s">
        <v>380</v>
      </c>
      <c r="C736" t="s">
        <v>67</v>
      </c>
      <c r="D736" t="s">
        <v>67</v>
      </c>
      <c r="E736" t="s">
        <v>67</v>
      </c>
      <c r="F736" t="s">
        <v>45</v>
      </c>
      <c r="G736" s="117">
        <v>122.36</v>
      </c>
    </row>
    <row r="737" spans="1:7" x14ac:dyDescent="0.25">
      <c r="A737" s="116" t="s">
        <v>1097</v>
      </c>
      <c r="B737" s="117" t="s">
        <v>1098</v>
      </c>
      <c r="C737" t="s">
        <v>67</v>
      </c>
      <c r="D737" t="s">
        <v>67</v>
      </c>
      <c r="E737" t="s">
        <v>67</v>
      </c>
      <c r="F737" t="s">
        <v>27987</v>
      </c>
      <c r="G737" s="117">
        <v>144.6</v>
      </c>
    </row>
    <row r="738" spans="1:7" x14ac:dyDescent="0.25">
      <c r="A738" s="116" t="s">
        <v>1099</v>
      </c>
      <c r="B738" s="117" t="s">
        <v>1100</v>
      </c>
      <c r="C738" t="s">
        <v>67</v>
      </c>
      <c r="D738" t="s">
        <v>67</v>
      </c>
      <c r="E738" t="s">
        <v>67</v>
      </c>
      <c r="F738" t="s">
        <v>45</v>
      </c>
      <c r="G738" s="117">
        <v>15.04</v>
      </c>
    </row>
    <row r="739" spans="1:7" x14ac:dyDescent="0.25">
      <c r="A739" s="116" t="s">
        <v>1101</v>
      </c>
      <c r="B739" s="117" t="s">
        <v>1102</v>
      </c>
      <c r="C739" t="s">
        <v>67</v>
      </c>
      <c r="D739" t="s">
        <v>67</v>
      </c>
      <c r="E739" t="s">
        <v>67</v>
      </c>
      <c r="F739" t="s">
        <v>27987</v>
      </c>
      <c r="G739" s="117">
        <v>1062.01</v>
      </c>
    </row>
    <row r="740" spans="1:7" x14ac:dyDescent="0.25">
      <c r="A740" s="116" t="s">
        <v>1103</v>
      </c>
      <c r="B740" s="117" t="s">
        <v>1104</v>
      </c>
      <c r="C740" t="s">
        <v>67</v>
      </c>
      <c r="D740" t="s">
        <v>67</v>
      </c>
      <c r="E740" t="s">
        <v>67</v>
      </c>
      <c r="F740" t="s">
        <v>27987</v>
      </c>
      <c r="G740" s="117">
        <v>380.76</v>
      </c>
    </row>
    <row r="741" spans="1:7" x14ac:dyDescent="0.25">
      <c r="A741" s="116" t="s">
        <v>1105</v>
      </c>
      <c r="B741" s="117" t="s">
        <v>1106</v>
      </c>
      <c r="C741" t="s">
        <v>67</v>
      </c>
      <c r="D741" t="s">
        <v>67</v>
      </c>
      <c r="E741" t="s">
        <v>67</v>
      </c>
      <c r="F741" t="s">
        <v>27987</v>
      </c>
      <c r="G741" s="117">
        <v>34.619999999999997</v>
      </c>
    </row>
    <row r="742" spans="1:7" x14ac:dyDescent="0.25">
      <c r="A742" s="116" t="s">
        <v>1107</v>
      </c>
      <c r="B742" s="117" t="s">
        <v>1108</v>
      </c>
      <c r="C742" t="s">
        <v>67</v>
      </c>
      <c r="D742" t="s">
        <v>67</v>
      </c>
      <c r="E742" t="s">
        <v>67</v>
      </c>
      <c r="F742" t="s">
        <v>49</v>
      </c>
      <c r="G742" s="117">
        <v>15.57</v>
      </c>
    </row>
    <row r="743" spans="1:7" x14ac:dyDescent="0.25">
      <c r="A743" s="116" t="s">
        <v>1109</v>
      </c>
      <c r="B743" s="117" t="s">
        <v>465</v>
      </c>
      <c r="C743" t="s">
        <v>67</v>
      </c>
      <c r="D743" t="s">
        <v>67</v>
      </c>
      <c r="E743" t="s">
        <v>67</v>
      </c>
      <c r="F743" t="s">
        <v>49</v>
      </c>
      <c r="G743" s="117">
        <v>52.42</v>
      </c>
    </row>
    <row r="744" spans="1:7" x14ac:dyDescent="0.25">
      <c r="A744" s="116" t="s">
        <v>1110</v>
      </c>
      <c r="B744" s="117" t="s">
        <v>1111</v>
      </c>
      <c r="C744" t="s">
        <v>67</v>
      </c>
      <c r="D744" t="s">
        <v>67</v>
      </c>
      <c r="E744" t="s">
        <v>67</v>
      </c>
      <c r="F744" t="s">
        <v>27987</v>
      </c>
      <c r="G744" s="117">
        <v>12.01</v>
      </c>
    </row>
    <row r="745" spans="1:7" x14ac:dyDescent="0.25">
      <c r="A745" s="116" t="s">
        <v>1112</v>
      </c>
      <c r="B745" s="117" t="s">
        <v>1113</v>
      </c>
      <c r="C745" t="s">
        <v>67</v>
      </c>
      <c r="D745" t="s">
        <v>67</v>
      </c>
      <c r="E745" t="s">
        <v>67</v>
      </c>
      <c r="F745" t="s">
        <v>27987</v>
      </c>
      <c r="G745" s="117">
        <v>39.06</v>
      </c>
    </row>
    <row r="746" spans="1:7" x14ac:dyDescent="0.25">
      <c r="A746" s="116" t="s">
        <v>1114</v>
      </c>
      <c r="B746" s="117" t="s">
        <v>1115</v>
      </c>
      <c r="C746" t="s">
        <v>67</v>
      </c>
      <c r="D746" t="s">
        <v>67</v>
      </c>
      <c r="E746" t="s">
        <v>67</v>
      </c>
      <c r="F746" t="s">
        <v>27987</v>
      </c>
      <c r="G746" s="117">
        <v>21.8</v>
      </c>
    </row>
    <row r="747" spans="1:7" x14ac:dyDescent="0.25">
      <c r="A747" s="116" t="s">
        <v>1116</v>
      </c>
      <c r="B747" s="117" t="s">
        <v>28284</v>
      </c>
      <c r="C747" t="s">
        <v>67</v>
      </c>
      <c r="D747" t="s">
        <v>67</v>
      </c>
      <c r="E747" t="s">
        <v>67</v>
      </c>
      <c r="F747" t="s">
        <v>27987</v>
      </c>
      <c r="G747" s="117">
        <v>68.430000000000007</v>
      </c>
    </row>
    <row r="748" spans="1:7" x14ac:dyDescent="0.25">
      <c r="A748" s="116" t="s">
        <v>1117</v>
      </c>
      <c r="B748" s="117" t="s">
        <v>1118</v>
      </c>
      <c r="C748" t="s">
        <v>67</v>
      </c>
      <c r="D748" t="s">
        <v>67</v>
      </c>
      <c r="E748" t="s">
        <v>67</v>
      </c>
      <c r="F748" t="s">
        <v>49</v>
      </c>
      <c r="G748" s="117">
        <v>5.79</v>
      </c>
    </row>
    <row r="749" spans="1:7" x14ac:dyDescent="0.25">
      <c r="A749" s="116" t="s">
        <v>28076</v>
      </c>
      <c r="B749" s="117" t="s">
        <v>28077</v>
      </c>
      <c r="C749" t="s">
        <v>67</v>
      </c>
      <c r="D749" t="s">
        <v>67</v>
      </c>
      <c r="E749" t="s">
        <v>67</v>
      </c>
      <c r="F749" t="s">
        <v>45</v>
      </c>
      <c r="G749" s="117">
        <v>110</v>
      </c>
    </row>
    <row r="750" spans="1:7" x14ac:dyDescent="0.25">
      <c r="A750" s="116" t="s">
        <v>1119</v>
      </c>
      <c r="B750" s="117" t="s">
        <v>1120</v>
      </c>
      <c r="C750" t="s">
        <v>67</v>
      </c>
      <c r="D750" t="s">
        <v>67</v>
      </c>
      <c r="E750" t="s">
        <v>67</v>
      </c>
      <c r="F750" t="s">
        <v>27987</v>
      </c>
      <c r="G750" s="117">
        <v>96.9</v>
      </c>
    </row>
    <row r="751" spans="1:7" x14ac:dyDescent="0.25">
      <c r="A751" s="116" t="s">
        <v>1121</v>
      </c>
      <c r="B751" s="117" t="s">
        <v>1122</v>
      </c>
      <c r="C751" t="s">
        <v>67</v>
      </c>
      <c r="D751" t="s">
        <v>67</v>
      </c>
      <c r="E751" t="s">
        <v>67</v>
      </c>
      <c r="F751" t="s">
        <v>27987</v>
      </c>
      <c r="G751" s="117">
        <v>275</v>
      </c>
    </row>
    <row r="752" spans="1:7" x14ac:dyDescent="0.25">
      <c r="A752" s="116" t="s">
        <v>1123</v>
      </c>
      <c r="B752" s="117" t="s">
        <v>1124</v>
      </c>
      <c r="C752" t="s">
        <v>67</v>
      </c>
      <c r="D752" t="s">
        <v>67</v>
      </c>
      <c r="E752" t="s">
        <v>67</v>
      </c>
      <c r="F752" t="s">
        <v>27987</v>
      </c>
      <c r="G752" s="117">
        <v>13.26</v>
      </c>
    </row>
    <row r="753" spans="1:7" x14ac:dyDescent="0.25">
      <c r="A753" s="116" t="s">
        <v>1125</v>
      </c>
      <c r="B753" s="117" t="s">
        <v>1126</v>
      </c>
      <c r="C753" t="s">
        <v>67</v>
      </c>
      <c r="D753" t="s">
        <v>67</v>
      </c>
      <c r="E753" t="s">
        <v>67</v>
      </c>
      <c r="F753" t="s">
        <v>27987</v>
      </c>
      <c r="G753" s="117">
        <v>25.71</v>
      </c>
    </row>
    <row r="754" spans="1:7" x14ac:dyDescent="0.25">
      <c r="A754" s="116" t="s">
        <v>1127</v>
      </c>
      <c r="B754" s="117" t="s">
        <v>1128</v>
      </c>
      <c r="C754" t="s">
        <v>67</v>
      </c>
      <c r="D754" t="s">
        <v>67</v>
      </c>
      <c r="E754" t="s">
        <v>67</v>
      </c>
      <c r="F754" t="s">
        <v>27987</v>
      </c>
      <c r="G754" s="117">
        <v>26.61</v>
      </c>
    </row>
    <row r="755" spans="1:7" x14ac:dyDescent="0.25">
      <c r="A755" s="116" t="s">
        <v>1129</v>
      </c>
      <c r="B755" s="117" t="s">
        <v>1130</v>
      </c>
      <c r="C755" t="s">
        <v>67</v>
      </c>
      <c r="D755" t="s">
        <v>67</v>
      </c>
      <c r="E755" t="s">
        <v>67</v>
      </c>
      <c r="F755" t="s">
        <v>27987</v>
      </c>
      <c r="G755" s="117">
        <v>70.739999999999995</v>
      </c>
    </row>
    <row r="756" spans="1:7" x14ac:dyDescent="0.25">
      <c r="A756" s="116" t="s">
        <v>1131</v>
      </c>
      <c r="B756" s="117" t="s">
        <v>1132</v>
      </c>
      <c r="C756" t="s">
        <v>67</v>
      </c>
      <c r="D756" t="s">
        <v>67</v>
      </c>
      <c r="E756" t="s">
        <v>67</v>
      </c>
      <c r="F756" t="s">
        <v>27987</v>
      </c>
      <c r="G756" s="117">
        <v>139.26</v>
      </c>
    </row>
    <row r="757" spans="1:7" x14ac:dyDescent="0.25">
      <c r="A757" s="116" t="s">
        <v>1133</v>
      </c>
      <c r="B757" s="117" t="s">
        <v>1134</v>
      </c>
      <c r="C757" t="s">
        <v>67</v>
      </c>
      <c r="D757" t="s">
        <v>67</v>
      </c>
      <c r="E757" t="s">
        <v>67</v>
      </c>
      <c r="F757" t="s">
        <v>27987</v>
      </c>
      <c r="G757" s="117">
        <v>151.71</v>
      </c>
    </row>
    <row r="758" spans="1:7" x14ac:dyDescent="0.25">
      <c r="A758" s="116" t="s">
        <v>1135</v>
      </c>
      <c r="B758" s="117" t="s">
        <v>1136</v>
      </c>
      <c r="C758" t="s">
        <v>67</v>
      </c>
      <c r="D758" t="s">
        <v>67</v>
      </c>
      <c r="E758" t="s">
        <v>67</v>
      </c>
      <c r="F758" t="s">
        <v>27987</v>
      </c>
      <c r="G758" s="117">
        <v>36.93</v>
      </c>
    </row>
    <row r="759" spans="1:7" x14ac:dyDescent="0.25">
      <c r="A759" s="116" t="s">
        <v>1137</v>
      </c>
      <c r="B759" s="117" t="s">
        <v>1138</v>
      </c>
      <c r="C759" t="s">
        <v>67</v>
      </c>
      <c r="D759" t="s">
        <v>67</v>
      </c>
      <c r="E759" t="s">
        <v>67</v>
      </c>
      <c r="F759" t="s">
        <v>27987</v>
      </c>
      <c r="G759" s="117">
        <v>34.799999999999997</v>
      </c>
    </row>
    <row r="760" spans="1:7" x14ac:dyDescent="0.25">
      <c r="A760" s="116" t="s">
        <v>1139</v>
      </c>
      <c r="B760" s="117" t="s">
        <v>28285</v>
      </c>
      <c r="C760" t="s">
        <v>67</v>
      </c>
      <c r="D760" t="s">
        <v>67</v>
      </c>
      <c r="E760" t="s">
        <v>67</v>
      </c>
      <c r="F760" t="s">
        <v>27987</v>
      </c>
      <c r="G760" s="117">
        <v>58.72</v>
      </c>
    </row>
    <row r="761" spans="1:7" x14ac:dyDescent="0.25">
      <c r="A761" s="116" t="s">
        <v>1140</v>
      </c>
      <c r="B761" s="117" t="s">
        <v>28286</v>
      </c>
      <c r="C761" t="s">
        <v>67</v>
      </c>
      <c r="D761" t="s">
        <v>67</v>
      </c>
      <c r="E761" t="s">
        <v>67</v>
      </c>
      <c r="F761" t="s">
        <v>45</v>
      </c>
      <c r="G761" s="117">
        <v>104.84</v>
      </c>
    </row>
    <row r="762" spans="1:7" x14ac:dyDescent="0.25">
      <c r="A762" s="116" t="s">
        <v>1141</v>
      </c>
      <c r="B762" s="117" t="s">
        <v>1142</v>
      </c>
      <c r="C762" t="s">
        <v>67</v>
      </c>
      <c r="D762" t="s">
        <v>67</v>
      </c>
      <c r="E762" t="s">
        <v>67</v>
      </c>
      <c r="F762" t="s">
        <v>27987</v>
      </c>
      <c r="G762" s="117">
        <v>13.26</v>
      </c>
    </row>
    <row r="763" spans="1:7" x14ac:dyDescent="0.25">
      <c r="A763" s="116" t="s">
        <v>1143</v>
      </c>
      <c r="B763" s="117" t="s">
        <v>1144</v>
      </c>
      <c r="C763" t="s">
        <v>67</v>
      </c>
      <c r="D763" t="s">
        <v>67</v>
      </c>
      <c r="E763" t="s">
        <v>67</v>
      </c>
      <c r="F763" t="s">
        <v>27987</v>
      </c>
      <c r="G763" s="117">
        <v>7.56</v>
      </c>
    </row>
    <row r="764" spans="1:7" x14ac:dyDescent="0.25">
      <c r="A764" s="116" t="s">
        <v>1145</v>
      </c>
      <c r="B764" s="117" t="s">
        <v>1146</v>
      </c>
      <c r="C764" t="s">
        <v>67</v>
      </c>
      <c r="D764" t="s">
        <v>67</v>
      </c>
      <c r="E764" t="s">
        <v>67</v>
      </c>
      <c r="F764" t="s">
        <v>27987</v>
      </c>
      <c r="G764" s="117">
        <v>20.02</v>
      </c>
    </row>
    <row r="765" spans="1:7" x14ac:dyDescent="0.25">
      <c r="A765" s="116" t="s">
        <v>1147</v>
      </c>
      <c r="B765" s="117" t="s">
        <v>1148</v>
      </c>
      <c r="C765" t="s">
        <v>67</v>
      </c>
      <c r="D765" t="s">
        <v>67</v>
      </c>
      <c r="E765" t="s">
        <v>67</v>
      </c>
      <c r="F765" t="s">
        <v>27987</v>
      </c>
      <c r="G765" s="117">
        <v>14.14</v>
      </c>
    </row>
    <row r="766" spans="1:7" x14ac:dyDescent="0.25">
      <c r="A766" s="116" t="s">
        <v>1149</v>
      </c>
      <c r="B766" s="117" t="s">
        <v>1150</v>
      </c>
      <c r="C766" t="s">
        <v>67</v>
      </c>
      <c r="D766" t="s">
        <v>67</v>
      </c>
      <c r="E766" t="s">
        <v>67</v>
      </c>
      <c r="F766" t="s">
        <v>27987</v>
      </c>
      <c r="G766" s="117">
        <v>96.9</v>
      </c>
    </row>
    <row r="767" spans="1:7" x14ac:dyDescent="0.25">
      <c r="A767" s="116" t="s">
        <v>1151</v>
      </c>
      <c r="B767" s="117" t="s">
        <v>1152</v>
      </c>
      <c r="C767" t="s">
        <v>67</v>
      </c>
      <c r="D767" t="s">
        <v>67</v>
      </c>
      <c r="E767" t="s">
        <v>67</v>
      </c>
      <c r="F767" t="s">
        <v>27987</v>
      </c>
      <c r="G767" s="117">
        <v>49.38</v>
      </c>
    </row>
    <row r="768" spans="1:7" x14ac:dyDescent="0.25">
      <c r="A768" s="116" t="s">
        <v>1153</v>
      </c>
      <c r="B768" s="117" t="s">
        <v>1082</v>
      </c>
      <c r="C768" t="s">
        <v>67</v>
      </c>
      <c r="D768" t="s">
        <v>67</v>
      </c>
      <c r="E768" t="s">
        <v>67</v>
      </c>
      <c r="F768" t="s">
        <v>27987</v>
      </c>
      <c r="G768" s="117">
        <v>17.7</v>
      </c>
    </row>
    <row r="769" spans="1:7" x14ac:dyDescent="0.25">
      <c r="A769" s="116" t="s">
        <v>1154</v>
      </c>
      <c r="B769" s="117" t="s">
        <v>1155</v>
      </c>
      <c r="C769" t="s">
        <v>67</v>
      </c>
      <c r="D769" t="s">
        <v>67</v>
      </c>
      <c r="E769" t="s">
        <v>67</v>
      </c>
      <c r="F769" t="s">
        <v>27987</v>
      </c>
      <c r="G769" s="117">
        <v>26.25</v>
      </c>
    </row>
    <row r="770" spans="1:7" x14ac:dyDescent="0.25">
      <c r="A770" s="116" t="s">
        <v>1156</v>
      </c>
      <c r="B770" s="117" t="s">
        <v>1157</v>
      </c>
      <c r="C770" t="s">
        <v>67</v>
      </c>
      <c r="D770" t="s">
        <v>67</v>
      </c>
      <c r="E770" t="s">
        <v>67</v>
      </c>
      <c r="F770" t="s">
        <v>27987</v>
      </c>
      <c r="G770" s="117">
        <v>75.55</v>
      </c>
    </row>
    <row r="771" spans="1:7" x14ac:dyDescent="0.25">
      <c r="A771" s="116" t="s">
        <v>28287</v>
      </c>
      <c r="B771" s="117" t="s">
        <v>28288</v>
      </c>
      <c r="C771" t="s">
        <v>67</v>
      </c>
      <c r="D771" t="s">
        <v>67</v>
      </c>
      <c r="E771" t="s">
        <v>67</v>
      </c>
      <c r="F771" t="s">
        <v>49</v>
      </c>
      <c r="G771" s="117">
        <v>35.5</v>
      </c>
    </row>
    <row r="772" spans="1:7" x14ac:dyDescent="0.25">
      <c r="A772" s="116" t="s">
        <v>1158</v>
      </c>
      <c r="B772" s="117" t="s">
        <v>1159</v>
      </c>
      <c r="C772" t="s">
        <v>67</v>
      </c>
      <c r="D772" t="s">
        <v>67</v>
      </c>
      <c r="E772" t="s">
        <v>67</v>
      </c>
      <c r="F772" t="s">
        <v>45</v>
      </c>
      <c r="G772" s="117">
        <v>139.26</v>
      </c>
    </row>
    <row r="773" spans="1:7" x14ac:dyDescent="0.25">
      <c r="A773" s="116" t="s">
        <v>30064</v>
      </c>
      <c r="B773" s="117" t="s">
        <v>30065</v>
      </c>
      <c r="C773" t="s">
        <v>67</v>
      </c>
      <c r="D773" t="s">
        <v>67</v>
      </c>
      <c r="E773" t="s">
        <v>67</v>
      </c>
      <c r="F773" t="s">
        <v>27987</v>
      </c>
      <c r="G773" s="117">
        <v>90</v>
      </c>
    </row>
    <row r="774" spans="1:7" x14ac:dyDescent="0.25">
      <c r="A774" s="116" t="s">
        <v>1160</v>
      </c>
      <c r="B774" s="117" t="s">
        <v>28289</v>
      </c>
      <c r="C774" t="s">
        <v>67</v>
      </c>
      <c r="D774" t="s">
        <v>67</v>
      </c>
      <c r="E774" t="s">
        <v>67</v>
      </c>
      <c r="F774" t="s">
        <v>27987</v>
      </c>
      <c r="G774" s="117">
        <v>30.7</v>
      </c>
    </row>
    <row r="775" spans="1:7" x14ac:dyDescent="0.25">
      <c r="A775" s="116" t="s">
        <v>1161</v>
      </c>
      <c r="B775" s="117" t="s">
        <v>28290</v>
      </c>
      <c r="C775" t="s">
        <v>67</v>
      </c>
      <c r="D775" t="s">
        <v>67</v>
      </c>
      <c r="E775" t="s">
        <v>67</v>
      </c>
      <c r="F775" t="s">
        <v>27987</v>
      </c>
      <c r="G775" s="117">
        <v>151.71</v>
      </c>
    </row>
    <row r="776" spans="1:7" x14ac:dyDescent="0.25">
      <c r="A776" s="116" t="s">
        <v>1162</v>
      </c>
      <c r="B776" s="117" t="s">
        <v>28291</v>
      </c>
      <c r="C776" t="s">
        <v>67</v>
      </c>
      <c r="D776" t="s">
        <v>67</v>
      </c>
      <c r="E776" t="s">
        <v>67</v>
      </c>
      <c r="F776" t="s">
        <v>27987</v>
      </c>
      <c r="G776" s="117">
        <v>86.23</v>
      </c>
    </row>
    <row r="777" spans="1:7" x14ac:dyDescent="0.25">
      <c r="A777" s="116" t="s">
        <v>1163</v>
      </c>
      <c r="B777" s="117" t="s">
        <v>1164</v>
      </c>
      <c r="C777" t="s">
        <v>67</v>
      </c>
      <c r="D777" t="s">
        <v>67</v>
      </c>
      <c r="E777" t="s">
        <v>67</v>
      </c>
      <c r="F777" t="s">
        <v>27987</v>
      </c>
      <c r="G777" s="117">
        <v>100.71</v>
      </c>
    </row>
    <row r="778" spans="1:7" x14ac:dyDescent="0.25">
      <c r="A778" s="116" t="s">
        <v>1165</v>
      </c>
      <c r="B778" s="117" t="s">
        <v>1166</v>
      </c>
      <c r="C778" t="s">
        <v>67</v>
      </c>
      <c r="D778" t="s">
        <v>67</v>
      </c>
      <c r="E778" t="s">
        <v>67</v>
      </c>
      <c r="F778" t="s">
        <v>27987</v>
      </c>
      <c r="G778" s="117">
        <v>319.89</v>
      </c>
    </row>
    <row r="779" spans="1:7" x14ac:dyDescent="0.25">
      <c r="A779" s="116" t="s">
        <v>1167</v>
      </c>
      <c r="B779" s="117" t="s">
        <v>1168</v>
      </c>
      <c r="C779" t="s">
        <v>67</v>
      </c>
      <c r="D779" t="s">
        <v>67</v>
      </c>
      <c r="E779" t="s">
        <v>67</v>
      </c>
      <c r="F779" t="s">
        <v>27987</v>
      </c>
      <c r="G779" s="117">
        <v>17.36</v>
      </c>
    </row>
    <row r="780" spans="1:7" x14ac:dyDescent="0.25">
      <c r="A780" s="116" t="s">
        <v>1169</v>
      </c>
      <c r="B780" s="117" t="s">
        <v>28292</v>
      </c>
      <c r="C780" t="s">
        <v>67</v>
      </c>
      <c r="D780" t="s">
        <v>67</v>
      </c>
      <c r="E780" t="s">
        <v>67</v>
      </c>
      <c r="F780" t="s">
        <v>27987</v>
      </c>
      <c r="G780" s="117">
        <v>29.27</v>
      </c>
    </row>
    <row r="781" spans="1:7" x14ac:dyDescent="0.25">
      <c r="A781" s="116" t="s">
        <v>1170</v>
      </c>
      <c r="B781" s="117" t="s">
        <v>1171</v>
      </c>
      <c r="C781" t="s">
        <v>67</v>
      </c>
      <c r="D781" t="s">
        <v>67</v>
      </c>
      <c r="E781" t="s">
        <v>67</v>
      </c>
      <c r="F781" t="s">
        <v>27987</v>
      </c>
      <c r="G781" s="117">
        <v>36.39</v>
      </c>
    </row>
    <row r="782" spans="1:7" x14ac:dyDescent="0.25">
      <c r="A782" s="116" t="s">
        <v>1172</v>
      </c>
      <c r="B782" s="117" t="s">
        <v>28293</v>
      </c>
      <c r="C782" t="s">
        <v>67</v>
      </c>
      <c r="D782" t="s">
        <v>67</v>
      </c>
      <c r="E782" t="s">
        <v>67</v>
      </c>
      <c r="F782" t="s">
        <v>45</v>
      </c>
      <c r="G782" s="117">
        <v>326.48</v>
      </c>
    </row>
    <row r="783" spans="1:7" x14ac:dyDescent="0.25">
      <c r="A783" s="116" t="s">
        <v>1173</v>
      </c>
      <c r="B783" s="117" t="s">
        <v>1174</v>
      </c>
      <c r="C783" t="s">
        <v>67</v>
      </c>
      <c r="D783" t="s">
        <v>67</v>
      </c>
      <c r="E783" t="s">
        <v>67</v>
      </c>
      <c r="F783" t="s">
        <v>27987</v>
      </c>
      <c r="G783" s="117">
        <v>206.88</v>
      </c>
    </row>
    <row r="784" spans="1:7" x14ac:dyDescent="0.25">
      <c r="A784" s="116" t="s">
        <v>26687</v>
      </c>
      <c r="B784" s="117" t="s">
        <v>465</v>
      </c>
      <c r="C784" t="s">
        <v>67</v>
      </c>
      <c r="D784" t="s">
        <v>67</v>
      </c>
      <c r="E784" t="s">
        <v>67</v>
      </c>
      <c r="F784" t="s">
        <v>45</v>
      </c>
      <c r="G784" s="117">
        <v>187.77</v>
      </c>
    </row>
    <row r="785" spans="1:7" x14ac:dyDescent="0.25">
      <c r="A785" s="116" t="s">
        <v>1175</v>
      </c>
      <c r="B785" s="117" t="s">
        <v>1176</v>
      </c>
      <c r="C785" t="s">
        <v>67</v>
      </c>
      <c r="D785" t="s">
        <v>67</v>
      </c>
      <c r="E785" t="s">
        <v>67</v>
      </c>
      <c r="F785" t="s">
        <v>27987</v>
      </c>
      <c r="G785" s="117">
        <v>117.37</v>
      </c>
    </row>
    <row r="786" spans="1:7" x14ac:dyDescent="0.25">
      <c r="A786" s="116" t="s">
        <v>1177</v>
      </c>
      <c r="B786" s="117" t="s">
        <v>1178</v>
      </c>
      <c r="C786" t="s">
        <v>67</v>
      </c>
      <c r="D786" t="s">
        <v>67</v>
      </c>
      <c r="E786" t="s">
        <v>67</v>
      </c>
      <c r="F786" t="s">
        <v>27987</v>
      </c>
      <c r="G786" s="117">
        <v>399.44</v>
      </c>
    </row>
    <row r="787" spans="1:7" x14ac:dyDescent="0.25">
      <c r="A787" s="116" t="s">
        <v>1179</v>
      </c>
      <c r="B787" s="117" t="s">
        <v>28294</v>
      </c>
      <c r="C787" t="s">
        <v>67</v>
      </c>
      <c r="D787" t="s">
        <v>67</v>
      </c>
      <c r="E787" t="s">
        <v>67</v>
      </c>
      <c r="F787" t="s">
        <v>27987</v>
      </c>
      <c r="G787" s="117">
        <v>44.05</v>
      </c>
    </row>
    <row r="788" spans="1:7" x14ac:dyDescent="0.25">
      <c r="A788" s="116" t="s">
        <v>1180</v>
      </c>
      <c r="B788" s="117" t="s">
        <v>1181</v>
      </c>
      <c r="C788" t="s">
        <v>67</v>
      </c>
      <c r="D788" t="s">
        <v>67</v>
      </c>
      <c r="E788" t="s">
        <v>67</v>
      </c>
      <c r="F788" t="s">
        <v>45</v>
      </c>
      <c r="G788" s="117">
        <v>194.43</v>
      </c>
    </row>
    <row r="789" spans="1:7" x14ac:dyDescent="0.25">
      <c r="A789" s="116" t="s">
        <v>1182</v>
      </c>
      <c r="B789" s="117" t="s">
        <v>28295</v>
      </c>
      <c r="C789" t="s">
        <v>67</v>
      </c>
      <c r="D789" t="s">
        <v>67</v>
      </c>
      <c r="E789" t="s">
        <v>67</v>
      </c>
      <c r="F789" t="s">
        <v>27987</v>
      </c>
      <c r="G789" s="117">
        <v>22.69</v>
      </c>
    </row>
    <row r="790" spans="1:7" x14ac:dyDescent="0.25">
      <c r="A790" s="116" t="s">
        <v>1183</v>
      </c>
      <c r="B790" s="117" t="s">
        <v>28296</v>
      </c>
      <c r="C790" t="s">
        <v>67</v>
      </c>
      <c r="D790" t="s">
        <v>67</v>
      </c>
      <c r="E790" t="s">
        <v>67</v>
      </c>
      <c r="F790" t="s">
        <v>27987</v>
      </c>
      <c r="G790" s="117">
        <v>23.05</v>
      </c>
    </row>
    <row r="791" spans="1:7" x14ac:dyDescent="0.25">
      <c r="A791" s="116" t="s">
        <v>1184</v>
      </c>
      <c r="B791" s="117" t="s">
        <v>28297</v>
      </c>
      <c r="C791" t="s">
        <v>67</v>
      </c>
      <c r="D791" t="s">
        <v>67</v>
      </c>
      <c r="E791" t="s">
        <v>67</v>
      </c>
      <c r="F791" t="s">
        <v>27987</v>
      </c>
      <c r="G791" s="117">
        <v>78.209999999999994</v>
      </c>
    </row>
    <row r="792" spans="1:7" x14ac:dyDescent="0.25">
      <c r="A792" s="116" t="s">
        <v>1185</v>
      </c>
      <c r="B792" s="117" t="s">
        <v>1288</v>
      </c>
      <c r="C792" t="s">
        <v>67</v>
      </c>
      <c r="D792" t="s">
        <v>67</v>
      </c>
      <c r="E792" t="s">
        <v>67</v>
      </c>
      <c r="F792" t="s">
        <v>27987</v>
      </c>
      <c r="G792" s="117">
        <v>32.83</v>
      </c>
    </row>
    <row r="793" spans="1:7" x14ac:dyDescent="0.25">
      <c r="A793" s="116" t="s">
        <v>1186</v>
      </c>
      <c r="B793" s="117" t="s">
        <v>1187</v>
      </c>
      <c r="C793" t="s">
        <v>67</v>
      </c>
      <c r="D793" t="s">
        <v>67</v>
      </c>
      <c r="E793" t="s">
        <v>67</v>
      </c>
      <c r="F793" t="s">
        <v>45</v>
      </c>
      <c r="G793" s="117">
        <v>124.43</v>
      </c>
    </row>
    <row r="794" spans="1:7" x14ac:dyDescent="0.25">
      <c r="A794" s="116" t="s">
        <v>29743</v>
      </c>
      <c r="B794" s="117" t="s">
        <v>29744</v>
      </c>
      <c r="C794" t="s">
        <v>67</v>
      </c>
      <c r="D794" t="s">
        <v>67</v>
      </c>
      <c r="E794" t="s">
        <v>67</v>
      </c>
      <c r="F794" t="s">
        <v>45</v>
      </c>
      <c r="G794" s="117">
        <v>55.97</v>
      </c>
    </row>
    <row r="795" spans="1:7" x14ac:dyDescent="0.25">
      <c r="A795" s="116" t="s">
        <v>1188</v>
      </c>
      <c r="B795" s="117" t="s">
        <v>1189</v>
      </c>
      <c r="C795" t="s">
        <v>67</v>
      </c>
      <c r="D795" t="s">
        <v>67</v>
      </c>
      <c r="E795" t="s">
        <v>67</v>
      </c>
      <c r="F795" t="s">
        <v>27987</v>
      </c>
      <c r="G795" s="117">
        <v>126.19</v>
      </c>
    </row>
    <row r="796" spans="1:7" x14ac:dyDescent="0.25">
      <c r="A796" s="116" t="s">
        <v>1190</v>
      </c>
      <c r="B796" s="117" t="s">
        <v>1191</v>
      </c>
      <c r="C796" t="s">
        <v>67</v>
      </c>
      <c r="D796" t="s">
        <v>67</v>
      </c>
      <c r="E796" t="s">
        <v>67</v>
      </c>
      <c r="F796" t="s">
        <v>27987</v>
      </c>
      <c r="G796" s="117">
        <v>233.81</v>
      </c>
    </row>
    <row r="797" spans="1:7" x14ac:dyDescent="0.25">
      <c r="A797" s="116" t="s">
        <v>1192</v>
      </c>
      <c r="B797" s="117" t="s">
        <v>28298</v>
      </c>
      <c r="C797" t="s">
        <v>67</v>
      </c>
      <c r="D797" t="s">
        <v>67</v>
      </c>
      <c r="E797" t="s">
        <v>67</v>
      </c>
      <c r="F797" t="s">
        <v>27987</v>
      </c>
      <c r="G797" s="117">
        <v>25.71</v>
      </c>
    </row>
    <row r="798" spans="1:7" x14ac:dyDescent="0.25">
      <c r="A798" s="116" t="s">
        <v>1193</v>
      </c>
      <c r="B798" s="117" t="s">
        <v>1194</v>
      </c>
      <c r="C798" t="s">
        <v>67</v>
      </c>
      <c r="D798" t="s">
        <v>67</v>
      </c>
      <c r="E798" t="s">
        <v>67</v>
      </c>
      <c r="F798" t="s">
        <v>45</v>
      </c>
      <c r="G798" s="117">
        <v>287.95999999999998</v>
      </c>
    </row>
    <row r="799" spans="1:7" x14ac:dyDescent="0.25">
      <c r="A799" s="116" t="s">
        <v>1195</v>
      </c>
      <c r="B799" s="117" t="s">
        <v>1196</v>
      </c>
      <c r="C799" t="s">
        <v>67</v>
      </c>
      <c r="D799" t="s">
        <v>67</v>
      </c>
      <c r="E799" t="s">
        <v>67</v>
      </c>
      <c r="F799" t="s">
        <v>27987</v>
      </c>
      <c r="G799" s="117">
        <v>191.57</v>
      </c>
    </row>
    <row r="800" spans="1:7" x14ac:dyDescent="0.25">
      <c r="A800" s="116" t="s">
        <v>1197</v>
      </c>
      <c r="B800" s="117" t="s">
        <v>1198</v>
      </c>
      <c r="C800" t="s">
        <v>67</v>
      </c>
      <c r="D800" t="s">
        <v>67</v>
      </c>
      <c r="E800" t="s">
        <v>67</v>
      </c>
      <c r="F800" t="s">
        <v>45</v>
      </c>
      <c r="G800" s="117">
        <v>377.74</v>
      </c>
    </row>
    <row r="801" spans="1:7" x14ac:dyDescent="0.25">
      <c r="A801" s="116" t="s">
        <v>1199</v>
      </c>
      <c r="B801" s="117" t="s">
        <v>1200</v>
      </c>
      <c r="C801" t="s">
        <v>67</v>
      </c>
      <c r="D801" t="s">
        <v>67</v>
      </c>
      <c r="E801" t="s">
        <v>67</v>
      </c>
      <c r="F801" t="s">
        <v>27987</v>
      </c>
      <c r="G801" s="117">
        <v>348.37</v>
      </c>
    </row>
    <row r="802" spans="1:7" x14ac:dyDescent="0.25">
      <c r="A802" s="116" t="s">
        <v>1201</v>
      </c>
      <c r="B802" s="117" t="s">
        <v>1202</v>
      </c>
      <c r="C802" t="s">
        <v>67</v>
      </c>
      <c r="D802" t="s">
        <v>67</v>
      </c>
      <c r="E802" t="s">
        <v>67</v>
      </c>
      <c r="F802" t="s">
        <v>27987</v>
      </c>
      <c r="G802" s="117">
        <v>57.39</v>
      </c>
    </row>
    <row r="803" spans="1:7" x14ac:dyDescent="0.25">
      <c r="A803" s="116" t="s">
        <v>1203</v>
      </c>
      <c r="B803" s="117" t="s">
        <v>1204</v>
      </c>
      <c r="C803" t="s">
        <v>67</v>
      </c>
      <c r="D803" t="s">
        <v>67</v>
      </c>
      <c r="E803" t="s">
        <v>67</v>
      </c>
      <c r="F803" t="s">
        <v>27987</v>
      </c>
      <c r="G803" s="117">
        <v>190.59</v>
      </c>
    </row>
    <row r="804" spans="1:7" x14ac:dyDescent="0.25">
      <c r="A804" s="116" t="s">
        <v>1205</v>
      </c>
      <c r="B804" s="117" t="s">
        <v>1206</v>
      </c>
      <c r="C804" t="s">
        <v>67</v>
      </c>
      <c r="D804" t="s">
        <v>67</v>
      </c>
      <c r="E804" t="s">
        <v>67</v>
      </c>
      <c r="F804" t="s">
        <v>45</v>
      </c>
      <c r="G804" s="117">
        <v>35.5</v>
      </c>
    </row>
    <row r="805" spans="1:7" x14ac:dyDescent="0.25">
      <c r="A805" s="116" t="s">
        <v>1207</v>
      </c>
      <c r="B805" s="117" t="s">
        <v>28299</v>
      </c>
      <c r="C805" t="s">
        <v>67</v>
      </c>
      <c r="D805" t="s">
        <v>67</v>
      </c>
      <c r="E805" t="s">
        <v>67</v>
      </c>
      <c r="F805" t="s">
        <v>27987</v>
      </c>
      <c r="G805" s="117">
        <v>58.77</v>
      </c>
    </row>
    <row r="806" spans="1:7" x14ac:dyDescent="0.25">
      <c r="A806" s="116" t="s">
        <v>1208</v>
      </c>
      <c r="B806" s="117" t="s">
        <v>1209</v>
      </c>
      <c r="C806" t="s">
        <v>67</v>
      </c>
      <c r="D806" t="s">
        <v>67</v>
      </c>
      <c r="E806" t="s">
        <v>67</v>
      </c>
      <c r="F806" t="s">
        <v>27987</v>
      </c>
      <c r="G806" s="117">
        <v>60</v>
      </c>
    </row>
    <row r="807" spans="1:7" x14ac:dyDescent="0.25">
      <c r="A807" s="116" t="s">
        <v>1210</v>
      </c>
      <c r="B807" s="117" t="s">
        <v>1211</v>
      </c>
      <c r="C807" t="s">
        <v>67</v>
      </c>
      <c r="D807" t="s">
        <v>67</v>
      </c>
      <c r="E807" t="s">
        <v>67</v>
      </c>
      <c r="F807" t="s">
        <v>27987</v>
      </c>
      <c r="G807" s="117">
        <v>41.81</v>
      </c>
    </row>
    <row r="808" spans="1:7" x14ac:dyDescent="0.25">
      <c r="A808" s="116" t="s">
        <v>1212</v>
      </c>
      <c r="B808" s="117" t="s">
        <v>1213</v>
      </c>
      <c r="C808" t="s">
        <v>67</v>
      </c>
      <c r="D808" t="s">
        <v>67</v>
      </c>
      <c r="E808" t="s">
        <v>67</v>
      </c>
      <c r="F808" t="s">
        <v>45</v>
      </c>
      <c r="G808" s="117">
        <v>155.94</v>
      </c>
    </row>
    <row r="809" spans="1:7" x14ac:dyDescent="0.25">
      <c r="A809" s="116" t="s">
        <v>28300</v>
      </c>
      <c r="B809" s="117" t="s">
        <v>28301</v>
      </c>
      <c r="C809" t="s">
        <v>67</v>
      </c>
      <c r="D809" t="s">
        <v>67</v>
      </c>
      <c r="E809" t="s">
        <v>67</v>
      </c>
      <c r="F809" t="s">
        <v>27987</v>
      </c>
      <c r="G809" s="117">
        <v>183.54</v>
      </c>
    </row>
    <row r="810" spans="1:7" x14ac:dyDescent="0.25">
      <c r="A810" s="116" t="s">
        <v>1214</v>
      </c>
      <c r="B810" s="117" t="s">
        <v>1215</v>
      </c>
      <c r="C810" t="s">
        <v>67</v>
      </c>
      <c r="D810" t="s">
        <v>67</v>
      </c>
      <c r="E810" t="s">
        <v>67</v>
      </c>
      <c r="F810" t="s">
        <v>27987</v>
      </c>
      <c r="G810" s="117">
        <v>139</v>
      </c>
    </row>
    <row r="811" spans="1:7" x14ac:dyDescent="0.25">
      <c r="A811" s="116" t="s">
        <v>1216</v>
      </c>
      <c r="B811" s="117" t="s">
        <v>1217</v>
      </c>
      <c r="C811" t="s">
        <v>67</v>
      </c>
      <c r="D811" t="s">
        <v>67</v>
      </c>
      <c r="E811" t="s">
        <v>67</v>
      </c>
      <c r="F811" t="s">
        <v>27987</v>
      </c>
      <c r="G811" s="117">
        <v>165.24</v>
      </c>
    </row>
    <row r="812" spans="1:7" x14ac:dyDescent="0.25">
      <c r="A812" s="116" t="s">
        <v>1218</v>
      </c>
      <c r="B812" s="117" t="s">
        <v>1219</v>
      </c>
      <c r="C812" t="s">
        <v>67</v>
      </c>
      <c r="D812" t="s">
        <v>67</v>
      </c>
      <c r="E812" t="s">
        <v>67</v>
      </c>
      <c r="F812" t="s">
        <v>27987</v>
      </c>
      <c r="G812" s="117">
        <v>49.35</v>
      </c>
    </row>
    <row r="813" spans="1:7" x14ac:dyDescent="0.25">
      <c r="A813" s="116" t="s">
        <v>1220</v>
      </c>
      <c r="B813" s="117" t="s">
        <v>1221</v>
      </c>
      <c r="C813" t="s">
        <v>67</v>
      </c>
      <c r="D813" t="s">
        <v>67</v>
      </c>
      <c r="E813" t="s">
        <v>67</v>
      </c>
      <c r="F813" t="s">
        <v>27987</v>
      </c>
      <c r="G813" s="117">
        <v>194.25</v>
      </c>
    </row>
    <row r="814" spans="1:7" x14ac:dyDescent="0.25">
      <c r="A814" s="116" t="s">
        <v>28302</v>
      </c>
      <c r="B814" s="117" t="s">
        <v>1206</v>
      </c>
      <c r="C814" t="s">
        <v>67</v>
      </c>
      <c r="D814" t="s">
        <v>67</v>
      </c>
      <c r="E814" t="s">
        <v>67</v>
      </c>
      <c r="F814" t="s">
        <v>27987</v>
      </c>
      <c r="G814" s="117">
        <v>35.5</v>
      </c>
    </row>
    <row r="815" spans="1:7" x14ac:dyDescent="0.25">
      <c r="A815" s="116" t="s">
        <v>30615</v>
      </c>
      <c r="B815" s="117" t="s">
        <v>30616</v>
      </c>
      <c r="C815" t="s">
        <v>67</v>
      </c>
      <c r="D815" t="s">
        <v>67</v>
      </c>
      <c r="E815" t="s">
        <v>67</v>
      </c>
      <c r="F815" t="s">
        <v>27987</v>
      </c>
      <c r="G815" s="117">
        <v>9999</v>
      </c>
    </row>
    <row r="816" spans="1:7" x14ac:dyDescent="0.25">
      <c r="A816" s="116" t="s">
        <v>1222</v>
      </c>
      <c r="B816" s="117" t="s">
        <v>1111</v>
      </c>
      <c r="C816" t="s">
        <v>67</v>
      </c>
      <c r="D816" t="s">
        <v>67</v>
      </c>
      <c r="E816" t="s">
        <v>67</v>
      </c>
      <c r="F816" t="s">
        <v>27987</v>
      </c>
      <c r="G816" s="117">
        <v>66.3</v>
      </c>
    </row>
    <row r="817" spans="1:7" x14ac:dyDescent="0.25">
      <c r="A817" s="116" t="s">
        <v>1223</v>
      </c>
      <c r="B817" s="117" t="s">
        <v>1224</v>
      </c>
      <c r="C817" t="s">
        <v>67</v>
      </c>
      <c r="D817" t="s">
        <v>67</v>
      </c>
      <c r="E817" t="s">
        <v>67</v>
      </c>
      <c r="F817" t="s">
        <v>27987</v>
      </c>
      <c r="G817" s="117">
        <v>34.28</v>
      </c>
    </row>
    <row r="818" spans="1:7" x14ac:dyDescent="0.25">
      <c r="A818" s="116" t="s">
        <v>30222</v>
      </c>
      <c r="B818" s="117" t="s">
        <v>30223</v>
      </c>
      <c r="C818" t="s">
        <v>67</v>
      </c>
      <c r="D818" t="s">
        <v>67</v>
      </c>
      <c r="E818" t="s">
        <v>67</v>
      </c>
      <c r="F818" t="s">
        <v>27987</v>
      </c>
      <c r="G818" s="117">
        <v>9999</v>
      </c>
    </row>
    <row r="819" spans="1:7" x14ac:dyDescent="0.25">
      <c r="A819" s="116" t="s">
        <v>1225</v>
      </c>
      <c r="B819" s="117" t="s">
        <v>1111</v>
      </c>
      <c r="C819" t="s">
        <v>67</v>
      </c>
      <c r="D819" t="s">
        <v>67</v>
      </c>
      <c r="E819" t="s">
        <v>67</v>
      </c>
      <c r="F819" t="s">
        <v>49</v>
      </c>
      <c r="G819" s="117">
        <v>52.74</v>
      </c>
    </row>
    <row r="820" spans="1:7" x14ac:dyDescent="0.25">
      <c r="A820" s="116" t="s">
        <v>1226</v>
      </c>
      <c r="B820" s="117" t="s">
        <v>1227</v>
      </c>
      <c r="C820" t="s">
        <v>67</v>
      </c>
      <c r="D820" t="s">
        <v>67</v>
      </c>
      <c r="E820" t="s">
        <v>67</v>
      </c>
      <c r="F820" t="s">
        <v>27987</v>
      </c>
      <c r="G820" s="117">
        <v>18.46</v>
      </c>
    </row>
    <row r="821" spans="1:7" x14ac:dyDescent="0.25">
      <c r="A821" s="116" t="s">
        <v>1228</v>
      </c>
      <c r="B821" s="117" t="s">
        <v>1229</v>
      </c>
      <c r="C821" t="s">
        <v>67</v>
      </c>
      <c r="D821" t="s">
        <v>67</v>
      </c>
      <c r="E821" t="s">
        <v>67</v>
      </c>
      <c r="F821" t="s">
        <v>49</v>
      </c>
      <c r="G821" s="117">
        <v>57.13</v>
      </c>
    </row>
    <row r="822" spans="1:7" x14ac:dyDescent="0.25">
      <c r="A822" s="116" t="s">
        <v>30783</v>
      </c>
      <c r="B822" s="117" t="s">
        <v>30742</v>
      </c>
      <c r="C822" t="s">
        <v>67</v>
      </c>
      <c r="D822" t="s">
        <v>67</v>
      </c>
      <c r="E822" t="s">
        <v>67</v>
      </c>
      <c r="F822" t="s">
        <v>45</v>
      </c>
      <c r="G822" s="117">
        <v>9999</v>
      </c>
    </row>
    <row r="823" spans="1:7" x14ac:dyDescent="0.25">
      <c r="A823" s="116" t="s">
        <v>1230</v>
      </c>
      <c r="B823" s="117" t="s">
        <v>1231</v>
      </c>
      <c r="C823" t="s">
        <v>67</v>
      </c>
      <c r="D823" t="s">
        <v>67</v>
      </c>
      <c r="E823" t="s">
        <v>67</v>
      </c>
      <c r="F823" t="s">
        <v>27987</v>
      </c>
      <c r="G823" s="117">
        <v>45.2</v>
      </c>
    </row>
    <row r="824" spans="1:7" x14ac:dyDescent="0.25">
      <c r="A824" s="116" t="s">
        <v>1232</v>
      </c>
      <c r="B824" s="117" t="s">
        <v>28303</v>
      </c>
      <c r="C824" t="s">
        <v>67</v>
      </c>
      <c r="D824" t="s">
        <v>67</v>
      </c>
      <c r="E824" t="s">
        <v>67</v>
      </c>
      <c r="F824" t="s">
        <v>27987</v>
      </c>
      <c r="G824" s="117">
        <v>27.27</v>
      </c>
    </row>
    <row r="825" spans="1:7" x14ac:dyDescent="0.25">
      <c r="A825" s="116" t="s">
        <v>1233</v>
      </c>
      <c r="B825" s="117" t="s">
        <v>1234</v>
      </c>
      <c r="C825" t="s">
        <v>67</v>
      </c>
      <c r="D825" t="s">
        <v>67</v>
      </c>
      <c r="E825" t="s">
        <v>67</v>
      </c>
      <c r="F825" t="s">
        <v>27987</v>
      </c>
      <c r="G825" s="117">
        <v>136.24</v>
      </c>
    </row>
    <row r="826" spans="1:7" x14ac:dyDescent="0.25">
      <c r="A826" s="116" t="s">
        <v>30689</v>
      </c>
      <c r="B826" s="117" t="s">
        <v>30690</v>
      </c>
      <c r="C826" t="s">
        <v>67</v>
      </c>
      <c r="D826" t="s">
        <v>67</v>
      </c>
      <c r="E826" t="s">
        <v>67</v>
      </c>
      <c r="F826" t="s">
        <v>27987</v>
      </c>
      <c r="G826" s="117">
        <v>135</v>
      </c>
    </row>
    <row r="827" spans="1:7" x14ac:dyDescent="0.25">
      <c r="A827" s="116" t="s">
        <v>30691</v>
      </c>
      <c r="B827" s="117" t="s">
        <v>30692</v>
      </c>
      <c r="C827" t="s">
        <v>67</v>
      </c>
      <c r="D827" t="s">
        <v>67</v>
      </c>
      <c r="E827" t="s">
        <v>67</v>
      </c>
      <c r="F827" t="s">
        <v>27987</v>
      </c>
      <c r="G827" s="117">
        <v>135</v>
      </c>
    </row>
    <row r="828" spans="1:7" x14ac:dyDescent="0.25">
      <c r="A828" s="116" t="s">
        <v>28177</v>
      </c>
      <c r="B828" s="117" t="s">
        <v>28178</v>
      </c>
      <c r="C828" t="s">
        <v>67</v>
      </c>
      <c r="D828" t="s">
        <v>67</v>
      </c>
      <c r="E828" t="s">
        <v>67</v>
      </c>
      <c r="F828" t="s">
        <v>27987</v>
      </c>
      <c r="G828" s="117">
        <v>50</v>
      </c>
    </row>
    <row r="829" spans="1:7" x14ac:dyDescent="0.25">
      <c r="A829" s="116" t="s">
        <v>1235</v>
      </c>
      <c r="B829" s="117" t="s">
        <v>28304</v>
      </c>
      <c r="C829" t="s">
        <v>67</v>
      </c>
      <c r="D829" t="s">
        <v>67</v>
      </c>
      <c r="E829" t="s">
        <v>67</v>
      </c>
      <c r="F829" t="s">
        <v>27987</v>
      </c>
      <c r="G829" s="117">
        <v>29.78</v>
      </c>
    </row>
    <row r="830" spans="1:7" x14ac:dyDescent="0.25">
      <c r="A830" s="116" t="s">
        <v>1236</v>
      </c>
      <c r="B830" s="117" t="s">
        <v>28305</v>
      </c>
      <c r="C830" t="s">
        <v>67</v>
      </c>
      <c r="D830" t="s">
        <v>67</v>
      </c>
      <c r="E830" t="s">
        <v>67</v>
      </c>
      <c r="F830" t="s">
        <v>27987</v>
      </c>
      <c r="G830" s="117">
        <v>276.83999999999997</v>
      </c>
    </row>
    <row r="831" spans="1:7" x14ac:dyDescent="0.25">
      <c r="A831" s="116" t="s">
        <v>28306</v>
      </c>
      <c r="B831" s="117" t="s">
        <v>28307</v>
      </c>
      <c r="C831" t="s">
        <v>67</v>
      </c>
      <c r="D831" t="s">
        <v>67</v>
      </c>
      <c r="E831" t="s">
        <v>67</v>
      </c>
      <c r="F831" t="s">
        <v>27987</v>
      </c>
      <c r="G831" s="117">
        <v>1140.8</v>
      </c>
    </row>
    <row r="832" spans="1:7" x14ac:dyDescent="0.25">
      <c r="A832" s="116" t="s">
        <v>1237</v>
      </c>
      <c r="B832" s="117" t="s">
        <v>28308</v>
      </c>
      <c r="C832" t="s">
        <v>67</v>
      </c>
      <c r="D832" t="s">
        <v>67</v>
      </c>
      <c r="E832" t="s">
        <v>67</v>
      </c>
      <c r="F832" t="s">
        <v>27987</v>
      </c>
      <c r="G832" s="117">
        <v>14.47</v>
      </c>
    </row>
    <row r="833" spans="1:7" x14ac:dyDescent="0.25">
      <c r="A833" s="116" t="s">
        <v>1238</v>
      </c>
      <c r="B833" s="117" t="s">
        <v>28309</v>
      </c>
      <c r="C833" t="s">
        <v>67</v>
      </c>
      <c r="D833" t="s">
        <v>67</v>
      </c>
      <c r="E833" t="s">
        <v>67</v>
      </c>
      <c r="F833" t="s">
        <v>27987</v>
      </c>
      <c r="G833" s="117">
        <v>52.86</v>
      </c>
    </row>
    <row r="834" spans="1:7" x14ac:dyDescent="0.25">
      <c r="A834" s="116" t="s">
        <v>1239</v>
      </c>
      <c r="B834" s="117" t="s">
        <v>28310</v>
      </c>
      <c r="C834" t="s">
        <v>67</v>
      </c>
      <c r="D834" t="s">
        <v>67</v>
      </c>
      <c r="E834" t="s">
        <v>67</v>
      </c>
      <c r="F834" t="s">
        <v>27987</v>
      </c>
      <c r="G834" s="117">
        <v>90.64</v>
      </c>
    </row>
    <row r="835" spans="1:7" x14ac:dyDescent="0.25">
      <c r="A835" s="116" t="s">
        <v>28311</v>
      </c>
      <c r="B835" s="117" t="s">
        <v>28312</v>
      </c>
      <c r="C835" t="s">
        <v>67</v>
      </c>
      <c r="D835" t="s">
        <v>67</v>
      </c>
      <c r="E835" t="s">
        <v>67</v>
      </c>
      <c r="F835" t="s">
        <v>27987</v>
      </c>
      <c r="G835" s="117">
        <v>35.5</v>
      </c>
    </row>
    <row r="836" spans="1:7" x14ac:dyDescent="0.25">
      <c r="A836" s="116" t="s">
        <v>29745</v>
      </c>
      <c r="B836" s="117" t="s">
        <v>1148</v>
      </c>
      <c r="C836" t="s">
        <v>67</v>
      </c>
      <c r="D836" t="s">
        <v>67</v>
      </c>
      <c r="E836" t="s">
        <v>67</v>
      </c>
      <c r="F836" t="s">
        <v>27987</v>
      </c>
      <c r="G836" s="117">
        <v>28</v>
      </c>
    </row>
    <row r="837" spans="1:7" x14ac:dyDescent="0.25">
      <c r="A837" s="116" t="s">
        <v>31087</v>
      </c>
      <c r="B837" s="117" t="s">
        <v>1187</v>
      </c>
      <c r="C837" t="s">
        <v>67</v>
      </c>
      <c r="D837" t="s">
        <v>67</v>
      </c>
      <c r="E837" t="s">
        <v>67</v>
      </c>
      <c r="F837" t="s">
        <v>27987</v>
      </c>
      <c r="G837" s="117">
        <v>9999</v>
      </c>
    </row>
    <row r="838" spans="1:7" x14ac:dyDescent="0.25">
      <c r="A838" s="116" t="s">
        <v>29746</v>
      </c>
      <c r="B838" s="117" t="s">
        <v>29747</v>
      </c>
      <c r="C838" t="s">
        <v>67</v>
      </c>
      <c r="D838" t="s">
        <v>67</v>
      </c>
      <c r="E838" t="s">
        <v>67</v>
      </c>
      <c r="F838" t="s">
        <v>27987</v>
      </c>
      <c r="G838" s="117">
        <v>67.41</v>
      </c>
    </row>
    <row r="839" spans="1:7" x14ac:dyDescent="0.25">
      <c r="A839" s="116" t="s">
        <v>28313</v>
      </c>
      <c r="B839" s="117" t="s">
        <v>28314</v>
      </c>
      <c r="C839" t="s">
        <v>67</v>
      </c>
      <c r="D839" t="s">
        <v>67</v>
      </c>
      <c r="E839" t="s">
        <v>67</v>
      </c>
      <c r="F839" t="s">
        <v>27987</v>
      </c>
      <c r="G839" s="117">
        <v>95.34</v>
      </c>
    </row>
    <row r="840" spans="1:7" x14ac:dyDescent="0.25">
      <c r="A840" s="116" t="s">
        <v>31099</v>
      </c>
      <c r="B840" s="117" t="s">
        <v>31100</v>
      </c>
      <c r="C840" t="s">
        <v>67</v>
      </c>
      <c r="D840" t="s">
        <v>67</v>
      </c>
      <c r="E840" t="s">
        <v>67</v>
      </c>
      <c r="F840" t="s">
        <v>45</v>
      </c>
      <c r="G840" s="117">
        <v>35</v>
      </c>
    </row>
    <row r="841" spans="1:7" x14ac:dyDescent="0.25">
      <c r="A841" s="116" t="s">
        <v>26935</v>
      </c>
      <c r="B841" s="117" t="s">
        <v>28315</v>
      </c>
      <c r="C841" t="s">
        <v>67</v>
      </c>
      <c r="D841" t="s">
        <v>67</v>
      </c>
      <c r="E841" t="s">
        <v>67</v>
      </c>
      <c r="F841" t="s">
        <v>27987</v>
      </c>
      <c r="G841" s="117">
        <v>128</v>
      </c>
    </row>
    <row r="842" spans="1:7" x14ac:dyDescent="0.25">
      <c r="A842" s="116" t="s">
        <v>26979</v>
      </c>
      <c r="B842" s="117" t="s">
        <v>28316</v>
      </c>
      <c r="C842" t="s">
        <v>67</v>
      </c>
      <c r="D842" t="s">
        <v>67</v>
      </c>
      <c r="E842" t="s">
        <v>67</v>
      </c>
      <c r="F842" t="s">
        <v>27987</v>
      </c>
      <c r="G842" s="117">
        <v>215</v>
      </c>
    </row>
    <row r="843" spans="1:7" x14ac:dyDescent="0.25">
      <c r="A843" s="116" t="s">
        <v>26428</v>
      </c>
      <c r="B843" s="117" t="s">
        <v>1213</v>
      </c>
      <c r="C843" t="s">
        <v>67</v>
      </c>
      <c r="D843" t="s">
        <v>67</v>
      </c>
      <c r="E843" t="s">
        <v>67</v>
      </c>
      <c r="F843" t="s">
        <v>45</v>
      </c>
      <c r="G843" s="117">
        <v>155.94</v>
      </c>
    </row>
    <row r="844" spans="1:7" x14ac:dyDescent="0.25">
      <c r="A844" s="116" t="s">
        <v>28317</v>
      </c>
      <c r="B844" s="117" t="s">
        <v>31116</v>
      </c>
      <c r="C844" t="s">
        <v>67</v>
      </c>
      <c r="D844" t="s">
        <v>67</v>
      </c>
      <c r="E844" t="s">
        <v>67</v>
      </c>
      <c r="F844" t="s">
        <v>27987</v>
      </c>
      <c r="G844" s="117">
        <v>45</v>
      </c>
    </row>
    <row r="845" spans="1:7" x14ac:dyDescent="0.25">
      <c r="A845" s="116" t="s">
        <v>26859</v>
      </c>
      <c r="B845" s="117" t="s">
        <v>28318</v>
      </c>
      <c r="C845" t="s">
        <v>67</v>
      </c>
      <c r="D845" t="s">
        <v>67</v>
      </c>
      <c r="E845" t="s">
        <v>67</v>
      </c>
      <c r="F845" t="s">
        <v>27987</v>
      </c>
      <c r="G845" s="117">
        <v>445.81</v>
      </c>
    </row>
    <row r="846" spans="1:7" x14ac:dyDescent="0.25">
      <c r="A846" s="116" t="s">
        <v>26642</v>
      </c>
      <c r="B846" s="117" t="s">
        <v>26878</v>
      </c>
      <c r="C846" t="s">
        <v>67</v>
      </c>
      <c r="D846" t="s">
        <v>67</v>
      </c>
      <c r="E846" t="s">
        <v>67</v>
      </c>
      <c r="F846" t="s">
        <v>27987</v>
      </c>
      <c r="G846" s="117">
        <v>67.88</v>
      </c>
    </row>
    <row r="847" spans="1:7" x14ac:dyDescent="0.25">
      <c r="A847" s="116" t="s">
        <v>28319</v>
      </c>
      <c r="B847" s="117" t="s">
        <v>28320</v>
      </c>
      <c r="C847" t="s">
        <v>67</v>
      </c>
      <c r="D847" t="s">
        <v>67</v>
      </c>
      <c r="E847" t="s">
        <v>67</v>
      </c>
      <c r="F847" t="s">
        <v>45</v>
      </c>
      <c r="G847" s="117">
        <v>201.74</v>
      </c>
    </row>
    <row r="848" spans="1:7" x14ac:dyDescent="0.25">
      <c r="A848" s="116" t="s">
        <v>26643</v>
      </c>
      <c r="B848" s="117" t="s">
        <v>26879</v>
      </c>
      <c r="C848" t="s">
        <v>67</v>
      </c>
      <c r="D848" t="s">
        <v>67</v>
      </c>
      <c r="E848" t="s">
        <v>67</v>
      </c>
      <c r="F848" t="s">
        <v>27987</v>
      </c>
      <c r="G848" s="117">
        <v>99.37</v>
      </c>
    </row>
    <row r="849" spans="1:7" x14ac:dyDescent="0.25">
      <c r="A849" s="116" t="s">
        <v>26980</v>
      </c>
      <c r="B849" s="117" t="s">
        <v>28321</v>
      </c>
      <c r="C849" t="s">
        <v>67</v>
      </c>
      <c r="D849" t="s">
        <v>67</v>
      </c>
      <c r="E849" t="s">
        <v>67</v>
      </c>
      <c r="F849" t="s">
        <v>27987</v>
      </c>
      <c r="G849" s="117">
        <v>28</v>
      </c>
    </row>
    <row r="850" spans="1:7" x14ac:dyDescent="0.25">
      <c r="A850" s="116" t="s">
        <v>26706</v>
      </c>
      <c r="B850" s="117" t="s">
        <v>28322</v>
      </c>
      <c r="C850" t="s">
        <v>67</v>
      </c>
      <c r="D850" t="s">
        <v>67</v>
      </c>
      <c r="E850" t="s">
        <v>67</v>
      </c>
      <c r="F850" t="s">
        <v>27987</v>
      </c>
      <c r="G850" s="117">
        <v>53</v>
      </c>
    </row>
    <row r="851" spans="1:7" x14ac:dyDescent="0.25">
      <c r="A851" s="116" t="s">
        <v>28132</v>
      </c>
      <c r="B851" s="117" t="s">
        <v>29748</v>
      </c>
      <c r="C851" t="s">
        <v>67</v>
      </c>
      <c r="D851" t="s">
        <v>67</v>
      </c>
      <c r="E851" t="s">
        <v>67</v>
      </c>
      <c r="F851" t="s">
        <v>27987</v>
      </c>
      <c r="G851" s="117">
        <v>2</v>
      </c>
    </row>
    <row r="852" spans="1:7" x14ac:dyDescent="0.25">
      <c r="A852" s="116" t="s">
        <v>26644</v>
      </c>
      <c r="B852" s="117" t="s">
        <v>26880</v>
      </c>
      <c r="C852" t="s">
        <v>67</v>
      </c>
      <c r="D852" t="s">
        <v>67</v>
      </c>
      <c r="E852" t="s">
        <v>67</v>
      </c>
      <c r="F852" t="s">
        <v>27987</v>
      </c>
      <c r="G852" s="117">
        <v>67.209999999999994</v>
      </c>
    </row>
    <row r="853" spans="1:7" x14ac:dyDescent="0.25">
      <c r="A853" s="116" t="s">
        <v>26960</v>
      </c>
      <c r="B853" s="117" t="s">
        <v>28323</v>
      </c>
      <c r="C853" t="s">
        <v>67</v>
      </c>
      <c r="D853" t="s">
        <v>67</v>
      </c>
      <c r="E853" t="s">
        <v>67</v>
      </c>
      <c r="F853" t="s">
        <v>27987</v>
      </c>
      <c r="G853" s="117">
        <v>60</v>
      </c>
    </row>
    <row r="854" spans="1:7" x14ac:dyDescent="0.25">
      <c r="A854" s="116" t="s">
        <v>28324</v>
      </c>
      <c r="B854" s="117" t="s">
        <v>28325</v>
      </c>
      <c r="C854" t="s">
        <v>67</v>
      </c>
      <c r="D854" t="s">
        <v>67</v>
      </c>
      <c r="E854" t="s">
        <v>67</v>
      </c>
      <c r="F854" t="s">
        <v>27987</v>
      </c>
      <c r="G854" s="117">
        <v>137.87</v>
      </c>
    </row>
    <row r="855" spans="1:7" x14ac:dyDescent="0.25">
      <c r="A855" s="116" t="s">
        <v>28133</v>
      </c>
      <c r="B855" s="117" t="s">
        <v>29749</v>
      </c>
      <c r="C855" t="s">
        <v>67</v>
      </c>
      <c r="D855" t="s">
        <v>67</v>
      </c>
      <c r="E855" t="s">
        <v>67</v>
      </c>
      <c r="F855" t="s">
        <v>27987</v>
      </c>
      <c r="G855" s="117">
        <v>44.21</v>
      </c>
    </row>
    <row r="856" spans="1:7" x14ac:dyDescent="0.25">
      <c r="A856" s="116" t="s">
        <v>29850</v>
      </c>
      <c r="B856" s="117" t="s">
        <v>30352</v>
      </c>
      <c r="C856" t="s">
        <v>67</v>
      </c>
      <c r="D856" t="s">
        <v>67</v>
      </c>
      <c r="E856" t="s">
        <v>67</v>
      </c>
      <c r="F856" t="s">
        <v>27987</v>
      </c>
      <c r="G856" s="117">
        <v>140</v>
      </c>
    </row>
    <row r="857" spans="1:7" x14ac:dyDescent="0.25">
      <c r="A857" s="116" t="s">
        <v>28326</v>
      </c>
      <c r="B857" s="117" t="s">
        <v>28327</v>
      </c>
      <c r="C857" t="s">
        <v>67</v>
      </c>
      <c r="D857" t="s">
        <v>67</v>
      </c>
      <c r="E857" t="s">
        <v>67</v>
      </c>
      <c r="F857" t="s">
        <v>49</v>
      </c>
      <c r="G857" s="117">
        <v>139.26</v>
      </c>
    </row>
    <row r="858" spans="1:7" x14ac:dyDescent="0.25">
      <c r="A858" s="116" t="s">
        <v>28328</v>
      </c>
      <c r="B858" s="117" t="s">
        <v>30017</v>
      </c>
      <c r="C858" t="s">
        <v>67</v>
      </c>
      <c r="D858" t="s">
        <v>67</v>
      </c>
      <c r="E858" t="s">
        <v>67</v>
      </c>
      <c r="F858" t="s">
        <v>27987</v>
      </c>
      <c r="G858" s="117">
        <v>24.89</v>
      </c>
    </row>
    <row r="859" spans="1:7" x14ac:dyDescent="0.25">
      <c r="A859" s="116" t="s">
        <v>28166</v>
      </c>
      <c r="B859" s="117" t="s">
        <v>1082</v>
      </c>
      <c r="C859" t="s">
        <v>67</v>
      </c>
      <c r="D859" t="s">
        <v>67</v>
      </c>
      <c r="E859" t="s">
        <v>67</v>
      </c>
      <c r="F859" t="s">
        <v>27987</v>
      </c>
      <c r="G859" s="117">
        <v>52.82</v>
      </c>
    </row>
    <row r="860" spans="1:7" x14ac:dyDescent="0.25">
      <c r="A860" s="116" t="s">
        <v>28167</v>
      </c>
      <c r="B860" s="117" t="s">
        <v>30018</v>
      </c>
      <c r="C860" t="s">
        <v>67</v>
      </c>
      <c r="D860" t="s">
        <v>67</v>
      </c>
      <c r="E860" t="s">
        <v>67</v>
      </c>
      <c r="F860" t="s">
        <v>27987</v>
      </c>
      <c r="G860" s="117">
        <v>256.83</v>
      </c>
    </row>
    <row r="861" spans="1:7" x14ac:dyDescent="0.25">
      <c r="A861" s="116" t="s">
        <v>29841</v>
      </c>
      <c r="B861" s="117" t="s">
        <v>30353</v>
      </c>
      <c r="C861" t="s">
        <v>67</v>
      </c>
      <c r="D861" t="s">
        <v>67</v>
      </c>
      <c r="E861" t="s">
        <v>67</v>
      </c>
      <c r="F861" t="s">
        <v>45</v>
      </c>
      <c r="G861" s="117">
        <v>229.95</v>
      </c>
    </row>
    <row r="862" spans="1:7" x14ac:dyDescent="0.25">
      <c r="A862" s="116" t="s">
        <v>29881</v>
      </c>
      <c r="B862" s="117" t="s">
        <v>30354</v>
      </c>
      <c r="C862" t="s">
        <v>67</v>
      </c>
      <c r="D862" t="s">
        <v>67</v>
      </c>
      <c r="E862" t="s">
        <v>67</v>
      </c>
      <c r="F862" t="s">
        <v>27987</v>
      </c>
      <c r="G862" s="117">
        <v>235.2</v>
      </c>
    </row>
    <row r="863" spans="1:7" x14ac:dyDescent="0.25">
      <c r="A863" s="116" t="s">
        <v>28329</v>
      </c>
      <c r="B863" s="117" t="s">
        <v>29750</v>
      </c>
      <c r="C863" t="s">
        <v>67</v>
      </c>
      <c r="D863" t="s">
        <v>67</v>
      </c>
      <c r="E863" t="s">
        <v>67</v>
      </c>
      <c r="F863" t="s">
        <v>27987</v>
      </c>
      <c r="G863" s="117">
        <v>20</v>
      </c>
    </row>
    <row r="864" spans="1:7" x14ac:dyDescent="0.25">
      <c r="A864" s="116" t="s">
        <v>28330</v>
      </c>
      <c r="B864" s="117" t="s">
        <v>29751</v>
      </c>
      <c r="C864" t="s">
        <v>67</v>
      </c>
      <c r="D864" t="s">
        <v>67</v>
      </c>
      <c r="E864" t="s">
        <v>67</v>
      </c>
      <c r="F864" t="s">
        <v>27987</v>
      </c>
      <c r="G864" s="117">
        <v>13.86</v>
      </c>
    </row>
    <row r="865" spans="1:7" x14ac:dyDescent="0.25">
      <c r="A865" s="116" t="s">
        <v>28331</v>
      </c>
      <c r="B865" s="117" t="s">
        <v>29752</v>
      </c>
      <c r="C865" t="s">
        <v>67</v>
      </c>
      <c r="D865" t="s">
        <v>67</v>
      </c>
      <c r="E865" t="s">
        <v>67</v>
      </c>
      <c r="F865" t="s">
        <v>27987</v>
      </c>
      <c r="G865" s="117">
        <v>35.39</v>
      </c>
    </row>
    <row r="866" spans="1:7" x14ac:dyDescent="0.25">
      <c r="A866" s="116" t="s">
        <v>28332</v>
      </c>
      <c r="B866" s="117" t="s">
        <v>30019</v>
      </c>
      <c r="C866" t="s">
        <v>67</v>
      </c>
      <c r="D866" t="s">
        <v>67</v>
      </c>
      <c r="E866" t="s">
        <v>67</v>
      </c>
      <c r="F866" t="s">
        <v>27987</v>
      </c>
      <c r="G866" s="117">
        <v>50</v>
      </c>
    </row>
    <row r="867" spans="1:7" x14ac:dyDescent="0.25">
      <c r="A867" s="116" t="s">
        <v>28333</v>
      </c>
      <c r="B867" s="117" t="s">
        <v>30700</v>
      </c>
      <c r="C867" t="s">
        <v>67</v>
      </c>
      <c r="D867" t="s">
        <v>67</v>
      </c>
      <c r="E867" t="s">
        <v>67</v>
      </c>
      <c r="F867" t="s">
        <v>27987</v>
      </c>
      <c r="G867" s="117">
        <v>170</v>
      </c>
    </row>
    <row r="868" spans="1:7" x14ac:dyDescent="0.25">
      <c r="A868" s="116" t="s">
        <v>31117</v>
      </c>
      <c r="B868" s="117" t="s">
        <v>31118</v>
      </c>
      <c r="C868" t="s">
        <v>67</v>
      </c>
      <c r="D868" t="s">
        <v>67</v>
      </c>
      <c r="E868" t="s">
        <v>67</v>
      </c>
      <c r="F868" t="s">
        <v>45</v>
      </c>
      <c r="G868" s="117">
        <v>9999</v>
      </c>
    </row>
    <row r="869" spans="1:7" x14ac:dyDescent="0.25">
      <c r="A869" s="116" t="s">
        <v>28334</v>
      </c>
      <c r="B869" s="117" t="s">
        <v>28335</v>
      </c>
      <c r="C869" t="s">
        <v>67</v>
      </c>
      <c r="D869" t="s">
        <v>67</v>
      </c>
      <c r="E869" t="s">
        <v>67</v>
      </c>
      <c r="F869" t="s">
        <v>45</v>
      </c>
      <c r="G869" s="117">
        <v>380</v>
      </c>
    </row>
    <row r="870" spans="1:7" x14ac:dyDescent="0.25">
      <c r="A870" s="116" t="s">
        <v>28336</v>
      </c>
      <c r="B870" s="117" t="s">
        <v>28337</v>
      </c>
      <c r="C870" t="s">
        <v>67</v>
      </c>
      <c r="D870" t="s">
        <v>67</v>
      </c>
      <c r="E870" t="s">
        <v>67</v>
      </c>
      <c r="F870" t="s">
        <v>27987</v>
      </c>
      <c r="G870" s="117">
        <v>0</v>
      </c>
    </row>
    <row r="871" spans="1:7" x14ac:dyDescent="0.25">
      <c r="A871" s="116" t="s">
        <v>28338</v>
      </c>
      <c r="B871" s="117" t="s">
        <v>30701</v>
      </c>
      <c r="C871" t="s">
        <v>67</v>
      </c>
      <c r="D871" t="s">
        <v>67</v>
      </c>
      <c r="E871" t="s">
        <v>67</v>
      </c>
      <c r="F871" t="s">
        <v>27987</v>
      </c>
      <c r="G871" s="117">
        <v>70</v>
      </c>
    </row>
    <row r="872" spans="1:7" x14ac:dyDescent="0.25">
      <c r="A872" s="116" t="s">
        <v>29753</v>
      </c>
      <c r="B872" s="117" t="s">
        <v>30355</v>
      </c>
      <c r="C872" t="s">
        <v>67</v>
      </c>
      <c r="D872" t="s">
        <v>67</v>
      </c>
      <c r="E872" t="s">
        <v>67</v>
      </c>
      <c r="F872" t="s">
        <v>27987</v>
      </c>
      <c r="G872" s="117">
        <v>40</v>
      </c>
    </row>
    <row r="873" spans="1:7" x14ac:dyDescent="0.25">
      <c r="A873" s="116" t="s">
        <v>29883</v>
      </c>
      <c r="B873" s="117" t="s">
        <v>30356</v>
      </c>
      <c r="C873" t="s">
        <v>67</v>
      </c>
      <c r="D873" t="s">
        <v>67</v>
      </c>
      <c r="E873" t="s">
        <v>67</v>
      </c>
      <c r="F873" t="s">
        <v>27987</v>
      </c>
      <c r="G873" s="117">
        <v>15</v>
      </c>
    </row>
    <row r="874" spans="1:7" x14ac:dyDescent="0.25">
      <c r="A874" s="116" t="s">
        <v>29884</v>
      </c>
      <c r="B874" s="117" t="s">
        <v>30357</v>
      </c>
      <c r="C874" t="s">
        <v>67</v>
      </c>
      <c r="D874" t="s">
        <v>67</v>
      </c>
      <c r="E874" t="s">
        <v>67</v>
      </c>
      <c r="F874" t="s">
        <v>27987</v>
      </c>
      <c r="G874" s="117">
        <v>15</v>
      </c>
    </row>
    <row r="875" spans="1:7" x14ac:dyDescent="0.25">
      <c r="A875" s="116" t="s">
        <v>29851</v>
      </c>
      <c r="B875" s="117" t="s">
        <v>30358</v>
      </c>
      <c r="C875" t="s">
        <v>67</v>
      </c>
      <c r="D875" t="s">
        <v>67</v>
      </c>
      <c r="E875" t="s">
        <v>67</v>
      </c>
      <c r="F875" t="s">
        <v>27987</v>
      </c>
      <c r="G875" s="117">
        <v>30</v>
      </c>
    </row>
    <row r="876" spans="1:7" x14ac:dyDescent="0.25">
      <c r="A876" s="116" t="s">
        <v>29852</v>
      </c>
      <c r="B876" s="117" t="s">
        <v>30359</v>
      </c>
      <c r="C876" t="s">
        <v>67</v>
      </c>
      <c r="D876" t="s">
        <v>67</v>
      </c>
      <c r="E876" t="s">
        <v>67</v>
      </c>
      <c r="F876" t="s">
        <v>27987</v>
      </c>
      <c r="G876" s="117">
        <v>30</v>
      </c>
    </row>
    <row r="877" spans="1:7" x14ac:dyDescent="0.25">
      <c r="A877" s="116" t="s">
        <v>29853</v>
      </c>
      <c r="B877" s="117" t="s">
        <v>30360</v>
      </c>
      <c r="C877" t="s">
        <v>67</v>
      </c>
      <c r="D877" t="s">
        <v>67</v>
      </c>
      <c r="E877" t="s">
        <v>67</v>
      </c>
      <c r="F877" t="s">
        <v>45</v>
      </c>
      <c r="G877" s="117">
        <v>120</v>
      </c>
    </row>
    <row r="878" spans="1:7" x14ac:dyDescent="0.25">
      <c r="A878" s="116" t="s">
        <v>28339</v>
      </c>
      <c r="B878" s="117" t="s">
        <v>30702</v>
      </c>
      <c r="C878" t="s">
        <v>67</v>
      </c>
      <c r="D878" t="s">
        <v>67</v>
      </c>
      <c r="E878" t="s">
        <v>67</v>
      </c>
      <c r="F878" t="s">
        <v>27987</v>
      </c>
      <c r="G878" s="117">
        <v>32</v>
      </c>
    </row>
    <row r="879" spans="1:7" x14ac:dyDescent="0.25">
      <c r="A879" s="116" t="s">
        <v>28340</v>
      </c>
      <c r="B879" s="117" t="s">
        <v>30361</v>
      </c>
      <c r="C879" t="s">
        <v>67</v>
      </c>
      <c r="D879" t="s">
        <v>67</v>
      </c>
      <c r="E879" t="s">
        <v>67</v>
      </c>
      <c r="F879" t="s">
        <v>27987</v>
      </c>
      <c r="G879" s="117">
        <v>40</v>
      </c>
    </row>
    <row r="880" spans="1:7" x14ac:dyDescent="0.25">
      <c r="A880" s="116" t="s">
        <v>29885</v>
      </c>
      <c r="B880" s="117" t="s">
        <v>29886</v>
      </c>
      <c r="C880" t="s">
        <v>67</v>
      </c>
      <c r="D880" t="s">
        <v>67</v>
      </c>
      <c r="E880" t="s">
        <v>67</v>
      </c>
      <c r="F880" t="s">
        <v>27987</v>
      </c>
      <c r="G880" s="117">
        <v>9999</v>
      </c>
    </row>
    <row r="881" spans="1:7" x14ac:dyDescent="0.25">
      <c r="A881" s="116" t="s">
        <v>29754</v>
      </c>
      <c r="B881" s="117" t="s">
        <v>30362</v>
      </c>
      <c r="C881" t="s">
        <v>67</v>
      </c>
      <c r="D881" t="s">
        <v>67</v>
      </c>
      <c r="E881" t="s">
        <v>67</v>
      </c>
      <c r="F881" t="s">
        <v>27987</v>
      </c>
      <c r="G881" s="117">
        <v>65</v>
      </c>
    </row>
    <row r="882" spans="1:7" x14ac:dyDescent="0.25">
      <c r="A882" s="116" t="s">
        <v>29887</v>
      </c>
      <c r="B882" s="117" t="s">
        <v>30363</v>
      </c>
      <c r="C882" t="s">
        <v>67</v>
      </c>
      <c r="D882" t="s">
        <v>67</v>
      </c>
      <c r="E882" t="s">
        <v>67</v>
      </c>
      <c r="F882" t="s">
        <v>27987</v>
      </c>
      <c r="G882" s="117">
        <v>20.9</v>
      </c>
    </row>
    <row r="883" spans="1:7" x14ac:dyDescent="0.25">
      <c r="A883" s="116" t="s">
        <v>28341</v>
      </c>
      <c r="B883" s="117" t="s">
        <v>31119</v>
      </c>
      <c r="C883" t="s">
        <v>67</v>
      </c>
      <c r="D883" t="s">
        <v>67</v>
      </c>
      <c r="E883" t="s">
        <v>67</v>
      </c>
      <c r="F883" t="s">
        <v>27987</v>
      </c>
      <c r="G883" s="117">
        <v>45</v>
      </c>
    </row>
    <row r="884" spans="1:7" x14ac:dyDescent="0.25">
      <c r="A884" s="116" t="s">
        <v>29888</v>
      </c>
      <c r="B884" s="117" t="s">
        <v>30364</v>
      </c>
      <c r="C884" t="s">
        <v>67</v>
      </c>
      <c r="D884" t="s">
        <v>67</v>
      </c>
      <c r="E884" t="s">
        <v>67</v>
      </c>
      <c r="F884" t="s">
        <v>27987</v>
      </c>
      <c r="G884" s="117">
        <v>133.56</v>
      </c>
    </row>
    <row r="885" spans="1:7" x14ac:dyDescent="0.25">
      <c r="A885" s="116" t="s">
        <v>29889</v>
      </c>
      <c r="B885" s="117" t="s">
        <v>30365</v>
      </c>
      <c r="C885" t="s">
        <v>67</v>
      </c>
      <c r="D885" t="s">
        <v>67</v>
      </c>
      <c r="E885" t="s">
        <v>67</v>
      </c>
      <c r="F885" t="s">
        <v>27987</v>
      </c>
      <c r="G885" s="117">
        <v>39.590000000000003</v>
      </c>
    </row>
    <row r="886" spans="1:7" x14ac:dyDescent="0.25">
      <c r="A886" s="116" t="s">
        <v>28342</v>
      </c>
      <c r="B886" s="117" t="s">
        <v>28343</v>
      </c>
      <c r="C886" t="s">
        <v>67</v>
      </c>
      <c r="D886" t="s">
        <v>67</v>
      </c>
      <c r="E886" t="s">
        <v>67</v>
      </c>
      <c r="F886" t="s">
        <v>49</v>
      </c>
      <c r="G886" s="117">
        <v>584.01</v>
      </c>
    </row>
    <row r="887" spans="1:7" x14ac:dyDescent="0.25">
      <c r="A887" s="116" t="s">
        <v>28344</v>
      </c>
      <c r="B887" s="117" t="s">
        <v>30703</v>
      </c>
      <c r="C887" t="s">
        <v>67</v>
      </c>
      <c r="D887" t="s">
        <v>67</v>
      </c>
      <c r="E887" t="s">
        <v>67</v>
      </c>
      <c r="F887" t="s">
        <v>27987</v>
      </c>
      <c r="G887" s="117">
        <v>33</v>
      </c>
    </row>
    <row r="888" spans="1:7" x14ac:dyDescent="0.25">
      <c r="A888" s="116" t="s">
        <v>29890</v>
      </c>
      <c r="B888" s="117" t="s">
        <v>30366</v>
      </c>
      <c r="C888" t="s">
        <v>67</v>
      </c>
      <c r="D888" t="s">
        <v>67</v>
      </c>
      <c r="E888" t="s">
        <v>67</v>
      </c>
      <c r="F888" t="s">
        <v>27987</v>
      </c>
      <c r="G888" s="117">
        <v>15</v>
      </c>
    </row>
    <row r="889" spans="1:7" x14ac:dyDescent="0.25">
      <c r="A889" s="116" t="s">
        <v>29755</v>
      </c>
      <c r="B889" s="117" t="s">
        <v>30367</v>
      </c>
      <c r="C889" t="s">
        <v>67</v>
      </c>
      <c r="D889" t="s">
        <v>67</v>
      </c>
      <c r="E889" t="s">
        <v>67</v>
      </c>
      <c r="F889" t="s">
        <v>27987</v>
      </c>
      <c r="G889" s="117">
        <v>8</v>
      </c>
    </row>
    <row r="890" spans="1:7" x14ac:dyDescent="0.25">
      <c r="A890" s="116" t="s">
        <v>28345</v>
      </c>
      <c r="B890" s="117" t="s">
        <v>28346</v>
      </c>
      <c r="C890" t="s">
        <v>67</v>
      </c>
      <c r="D890" t="s">
        <v>67</v>
      </c>
      <c r="E890" t="s">
        <v>67</v>
      </c>
      <c r="F890" t="s">
        <v>27987</v>
      </c>
      <c r="G890" s="117">
        <v>189.95</v>
      </c>
    </row>
    <row r="891" spans="1:7" x14ac:dyDescent="0.25">
      <c r="A891" s="116" t="s">
        <v>28347</v>
      </c>
      <c r="B891" s="117" t="s">
        <v>30704</v>
      </c>
      <c r="C891" t="s">
        <v>67</v>
      </c>
      <c r="D891" t="s">
        <v>67</v>
      </c>
      <c r="E891" t="s">
        <v>67</v>
      </c>
      <c r="F891" t="s">
        <v>27987</v>
      </c>
      <c r="G891" s="117">
        <v>50</v>
      </c>
    </row>
    <row r="892" spans="1:7" x14ac:dyDescent="0.25">
      <c r="A892" s="116" t="s">
        <v>28348</v>
      </c>
      <c r="B892" s="117" t="s">
        <v>30705</v>
      </c>
      <c r="C892" t="s">
        <v>67</v>
      </c>
      <c r="D892" t="s">
        <v>67</v>
      </c>
      <c r="E892" t="s">
        <v>67</v>
      </c>
      <c r="F892" t="s">
        <v>27987</v>
      </c>
      <c r="G892" s="117">
        <v>70</v>
      </c>
    </row>
    <row r="893" spans="1:7" x14ac:dyDescent="0.25">
      <c r="A893" s="116" t="s">
        <v>28349</v>
      </c>
      <c r="B893" s="117" t="s">
        <v>30706</v>
      </c>
      <c r="C893" t="s">
        <v>67</v>
      </c>
      <c r="D893" t="s">
        <v>67</v>
      </c>
      <c r="E893" t="s">
        <v>67</v>
      </c>
      <c r="F893" t="s">
        <v>27987</v>
      </c>
      <c r="G893" s="117">
        <v>210.63</v>
      </c>
    </row>
    <row r="894" spans="1:7" x14ac:dyDescent="0.25">
      <c r="A894" s="116" t="s">
        <v>28350</v>
      </c>
      <c r="B894" s="117" t="s">
        <v>30707</v>
      </c>
      <c r="C894" t="s">
        <v>67</v>
      </c>
      <c r="D894" t="s">
        <v>67</v>
      </c>
      <c r="E894" t="s">
        <v>67</v>
      </c>
      <c r="F894" t="s">
        <v>27987</v>
      </c>
      <c r="G894" s="117">
        <v>42</v>
      </c>
    </row>
    <row r="895" spans="1:7" x14ac:dyDescent="0.25">
      <c r="A895" s="116" t="s">
        <v>30224</v>
      </c>
      <c r="B895" s="117" t="s">
        <v>30225</v>
      </c>
      <c r="C895" t="s">
        <v>67</v>
      </c>
      <c r="D895" t="s">
        <v>67</v>
      </c>
      <c r="E895" t="s">
        <v>67</v>
      </c>
      <c r="F895" t="s">
        <v>27987</v>
      </c>
      <c r="G895" s="117">
        <v>9999</v>
      </c>
    </row>
    <row r="896" spans="1:7" x14ac:dyDescent="0.25">
      <c r="A896" s="116" t="s">
        <v>30808</v>
      </c>
      <c r="B896" s="117" t="s">
        <v>30809</v>
      </c>
      <c r="C896" t="s">
        <v>67</v>
      </c>
      <c r="D896" t="s">
        <v>67</v>
      </c>
      <c r="E896" t="s">
        <v>67</v>
      </c>
      <c r="F896" t="s">
        <v>45</v>
      </c>
      <c r="G896" s="117">
        <v>9999</v>
      </c>
    </row>
    <row r="897" spans="1:7" x14ac:dyDescent="0.25">
      <c r="A897" s="116" t="s">
        <v>30258</v>
      </c>
      <c r="B897" s="117" t="s">
        <v>30259</v>
      </c>
      <c r="C897" t="s">
        <v>67</v>
      </c>
      <c r="D897" t="s">
        <v>67</v>
      </c>
      <c r="E897" t="s">
        <v>67</v>
      </c>
      <c r="F897" t="s">
        <v>45</v>
      </c>
      <c r="G897" s="117">
        <v>9999</v>
      </c>
    </row>
    <row r="898" spans="1:7" x14ac:dyDescent="0.25">
      <c r="A898" s="116" t="s">
        <v>30810</v>
      </c>
      <c r="B898" s="117" t="s">
        <v>30811</v>
      </c>
      <c r="C898" t="s">
        <v>67</v>
      </c>
      <c r="D898" t="s">
        <v>67</v>
      </c>
      <c r="E898" t="s">
        <v>67</v>
      </c>
      <c r="F898" t="s">
        <v>45</v>
      </c>
      <c r="G898" s="117">
        <v>9999</v>
      </c>
    </row>
    <row r="899" spans="1:7" x14ac:dyDescent="0.25">
      <c r="A899" s="116" t="s">
        <v>30812</v>
      </c>
      <c r="B899" s="117" t="s">
        <v>30813</v>
      </c>
      <c r="C899" t="s">
        <v>67</v>
      </c>
      <c r="D899" t="s">
        <v>67</v>
      </c>
      <c r="E899" t="s">
        <v>67</v>
      </c>
      <c r="F899" t="s">
        <v>45</v>
      </c>
      <c r="G899" s="117">
        <v>9999</v>
      </c>
    </row>
    <row r="900" spans="1:7" x14ac:dyDescent="0.25">
      <c r="A900" s="116" t="s">
        <v>30814</v>
      </c>
      <c r="B900" s="117" t="s">
        <v>30815</v>
      </c>
      <c r="C900" t="s">
        <v>67</v>
      </c>
      <c r="D900" t="s">
        <v>67</v>
      </c>
      <c r="E900" t="s">
        <v>67</v>
      </c>
      <c r="F900" t="s">
        <v>45</v>
      </c>
      <c r="G900" s="117">
        <v>9999</v>
      </c>
    </row>
    <row r="901" spans="1:7" x14ac:dyDescent="0.25">
      <c r="A901" s="116" t="s">
        <v>31084</v>
      </c>
      <c r="B901" s="117" t="s">
        <v>31090</v>
      </c>
      <c r="C901" t="s">
        <v>67</v>
      </c>
      <c r="D901" t="s">
        <v>67</v>
      </c>
      <c r="E901" t="s">
        <v>67</v>
      </c>
      <c r="F901" t="s">
        <v>45</v>
      </c>
      <c r="G901" s="117">
        <v>9999</v>
      </c>
    </row>
    <row r="902" spans="1:7" x14ac:dyDescent="0.25">
      <c r="A902" s="116" t="s">
        <v>30816</v>
      </c>
      <c r="B902" s="117" t="s">
        <v>30817</v>
      </c>
      <c r="C902" t="s">
        <v>67</v>
      </c>
      <c r="D902" t="s">
        <v>67</v>
      </c>
      <c r="E902" t="s">
        <v>67</v>
      </c>
      <c r="F902" t="s">
        <v>45</v>
      </c>
      <c r="G902" s="117">
        <v>9999</v>
      </c>
    </row>
    <row r="903" spans="1:7" x14ac:dyDescent="0.25">
      <c r="A903" s="116" t="s">
        <v>30260</v>
      </c>
      <c r="B903" s="117" t="s">
        <v>30261</v>
      </c>
      <c r="C903" t="s">
        <v>67</v>
      </c>
      <c r="D903" t="s">
        <v>67</v>
      </c>
      <c r="E903" t="s">
        <v>67</v>
      </c>
      <c r="F903" t="s">
        <v>45</v>
      </c>
      <c r="G903" s="117">
        <v>9999</v>
      </c>
    </row>
    <row r="904" spans="1:7" x14ac:dyDescent="0.25">
      <c r="A904" s="116" t="s">
        <v>30818</v>
      </c>
      <c r="B904" s="117" t="s">
        <v>30819</v>
      </c>
      <c r="C904" t="s">
        <v>67</v>
      </c>
      <c r="D904" t="s">
        <v>67</v>
      </c>
      <c r="E904" t="s">
        <v>67</v>
      </c>
      <c r="F904" t="s">
        <v>45</v>
      </c>
      <c r="G904" s="117">
        <v>9999</v>
      </c>
    </row>
    <row r="905" spans="1:7" x14ac:dyDescent="0.25">
      <c r="A905" s="116" t="s">
        <v>30820</v>
      </c>
      <c r="B905" s="117" t="s">
        <v>30821</v>
      </c>
      <c r="C905" t="s">
        <v>67</v>
      </c>
      <c r="D905" t="s">
        <v>67</v>
      </c>
      <c r="E905" t="s">
        <v>67</v>
      </c>
      <c r="F905" t="s">
        <v>45</v>
      </c>
      <c r="G905" s="117">
        <v>9999</v>
      </c>
    </row>
    <row r="906" spans="1:7" x14ac:dyDescent="0.25">
      <c r="A906" s="116" t="s">
        <v>30822</v>
      </c>
      <c r="B906" s="117" t="s">
        <v>30823</v>
      </c>
      <c r="C906" t="s">
        <v>67</v>
      </c>
      <c r="D906" t="s">
        <v>67</v>
      </c>
      <c r="E906" t="s">
        <v>67</v>
      </c>
      <c r="F906" t="s">
        <v>45</v>
      </c>
      <c r="G906" s="117">
        <v>9999</v>
      </c>
    </row>
    <row r="907" spans="1:7" x14ac:dyDescent="0.25">
      <c r="A907" s="116" t="s">
        <v>30824</v>
      </c>
      <c r="B907" s="117" t="s">
        <v>30825</v>
      </c>
      <c r="C907" t="s">
        <v>67</v>
      </c>
      <c r="D907" t="s">
        <v>67</v>
      </c>
      <c r="E907" t="s">
        <v>67</v>
      </c>
      <c r="F907" t="s">
        <v>45</v>
      </c>
      <c r="G907" s="117">
        <v>9999</v>
      </c>
    </row>
    <row r="908" spans="1:7" x14ac:dyDescent="0.25">
      <c r="A908" s="116" t="s">
        <v>27331</v>
      </c>
      <c r="B908" s="117" t="s">
        <v>1240</v>
      </c>
      <c r="C908" t="s">
        <v>67</v>
      </c>
      <c r="D908" t="s">
        <v>67</v>
      </c>
      <c r="E908" t="s">
        <v>67</v>
      </c>
      <c r="F908" t="s">
        <v>45</v>
      </c>
      <c r="G908" s="117">
        <v>119.78</v>
      </c>
    </row>
    <row r="909" spans="1:7" x14ac:dyDescent="0.25">
      <c r="A909" s="116" t="s">
        <v>27332</v>
      </c>
      <c r="B909" s="117" t="s">
        <v>1241</v>
      </c>
      <c r="C909" t="s">
        <v>67</v>
      </c>
      <c r="D909" t="s">
        <v>67</v>
      </c>
      <c r="E909" t="s">
        <v>67</v>
      </c>
      <c r="F909" t="s">
        <v>45</v>
      </c>
      <c r="G909" s="117">
        <v>83.87</v>
      </c>
    </row>
    <row r="910" spans="1:7" x14ac:dyDescent="0.25">
      <c r="A910" s="116" t="s">
        <v>1242</v>
      </c>
      <c r="B910" s="117" t="s">
        <v>1243</v>
      </c>
      <c r="C910" t="s">
        <v>67</v>
      </c>
      <c r="D910" t="s">
        <v>67</v>
      </c>
      <c r="E910" t="s">
        <v>67</v>
      </c>
      <c r="F910" t="s">
        <v>27987</v>
      </c>
      <c r="G910" s="117">
        <v>20.38</v>
      </c>
    </row>
    <row r="911" spans="1:7" x14ac:dyDescent="0.25">
      <c r="A911" s="116" t="s">
        <v>1244</v>
      </c>
      <c r="B911" s="117" t="s">
        <v>1245</v>
      </c>
      <c r="C911" t="s">
        <v>67</v>
      </c>
      <c r="D911" t="s">
        <v>67</v>
      </c>
      <c r="E911" t="s">
        <v>67</v>
      </c>
      <c r="F911" t="s">
        <v>45</v>
      </c>
      <c r="G911" s="117">
        <v>90.32</v>
      </c>
    </row>
    <row r="912" spans="1:7" x14ac:dyDescent="0.25">
      <c r="A912" s="116" t="s">
        <v>1246</v>
      </c>
      <c r="B912" s="117" t="s">
        <v>1247</v>
      </c>
      <c r="C912" t="s">
        <v>67</v>
      </c>
      <c r="D912" t="s">
        <v>67</v>
      </c>
      <c r="E912" t="s">
        <v>67</v>
      </c>
      <c r="F912" t="s">
        <v>27987</v>
      </c>
      <c r="G912" s="117">
        <v>124.13</v>
      </c>
    </row>
    <row r="913" spans="1:7" x14ac:dyDescent="0.25">
      <c r="A913" s="116" t="s">
        <v>1248</v>
      </c>
      <c r="B913" s="117" t="s">
        <v>1249</v>
      </c>
      <c r="C913" t="s">
        <v>67</v>
      </c>
      <c r="D913" t="s">
        <v>67</v>
      </c>
      <c r="E913" t="s">
        <v>67</v>
      </c>
      <c r="F913" t="s">
        <v>27987</v>
      </c>
      <c r="G913" s="117">
        <v>957.01</v>
      </c>
    </row>
    <row r="914" spans="1:7" x14ac:dyDescent="0.25">
      <c r="A914" s="116" t="s">
        <v>1250</v>
      </c>
      <c r="B914" s="117" t="s">
        <v>1251</v>
      </c>
      <c r="C914" t="s">
        <v>67</v>
      </c>
      <c r="D914" t="s">
        <v>67</v>
      </c>
      <c r="E914" t="s">
        <v>67</v>
      </c>
      <c r="F914" t="s">
        <v>45</v>
      </c>
      <c r="G914" s="117">
        <v>29.81</v>
      </c>
    </row>
    <row r="915" spans="1:7" x14ac:dyDescent="0.25">
      <c r="A915" s="116" t="s">
        <v>1252</v>
      </c>
      <c r="B915" s="117" t="s">
        <v>1253</v>
      </c>
      <c r="C915" t="s">
        <v>67</v>
      </c>
      <c r="D915" t="s">
        <v>67</v>
      </c>
      <c r="E915" t="s">
        <v>67</v>
      </c>
      <c r="F915" t="s">
        <v>27987</v>
      </c>
      <c r="G915" s="117">
        <v>33.4</v>
      </c>
    </row>
    <row r="916" spans="1:7" x14ac:dyDescent="0.25">
      <c r="A916" s="116" t="s">
        <v>1254</v>
      </c>
      <c r="B916" s="117" t="s">
        <v>1255</v>
      </c>
      <c r="C916" t="s">
        <v>67</v>
      </c>
      <c r="D916" t="s">
        <v>67</v>
      </c>
      <c r="E916" t="s">
        <v>67</v>
      </c>
      <c r="F916" t="s">
        <v>27987</v>
      </c>
      <c r="G916" s="117">
        <v>81.42</v>
      </c>
    </row>
    <row r="917" spans="1:7" x14ac:dyDescent="0.25">
      <c r="A917" s="116" t="s">
        <v>1256</v>
      </c>
      <c r="B917" s="117" t="s">
        <v>1257</v>
      </c>
      <c r="C917" t="s">
        <v>67</v>
      </c>
      <c r="D917" t="s">
        <v>67</v>
      </c>
      <c r="E917" t="s">
        <v>67</v>
      </c>
      <c r="F917" t="s">
        <v>27987</v>
      </c>
      <c r="G917" s="117">
        <v>40.49</v>
      </c>
    </row>
    <row r="918" spans="1:7" x14ac:dyDescent="0.25">
      <c r="A918" s="116" t="s">
        <v>1258</v>
      </c>
      <c r="B918" s="117" t="s">
        <v>1259</v>
      </c>
      <c r="C918" t="s">
        <v>67</v>
      </c>
      <c r="D918" t="s">
        <v>67</v>
      </c>
      <c r="E918" t="s">
        <v>67</v>
      </c>
      <c r="F918" t="s">
        <v>27987</v>
      </c>
      <c r="G918" s="117">
        <v>176.99</v>
      </c>
    </row>
    <row r="919" spans="1:7" x14ac:dyDescent="0.25">
      <c r="A919" s="116" t="s">
        <v>1260</v>
      </c>
      <c r="B919" s="117" t="s">
        <v>1261</v>
      </c>
      <c r="C919" t="s">
        <v>67</v>
      </c>
      <c r="D919" t="s">
        <v>67</v>
      </c>
      <c r="E919" t="s">
        <v>67</v>
      </c>
      <c r="F919" t="s">
        <v>27987</v>
      </c>
      <c r="G919" s="117">
        <v>30.37</v>
      </c>
    </row>
    <row r="920" spans="1:7" x14ac:dyDescent="0.25">
      <c r="A920" s="116" t="s">
        <v>1262</v>
      </c>
      <c r="B920" s="117" t="s">
        <v>1263</v>
      </c>
      <c r="C920" t="s">
        <v>67</v>
      </c>
      <c r="D920" t="s">
        <v>67</v>
      </c>
      <c r="E920" t="s">
        <v>67</v>
      </c>
      <c r="F920" t="s">
        <v>27987</v>
      </c>
      <c r="G920" s="117">
        <v>236.25</v>
      </c>
    </row>
    <row r="921" spans="1:7" x14ac:dyDescent="0.25">
      <c r="A921" s="116" t="s">
        <v>1264</v>
      </c>
      <c r="B921" s="117" t="s">
        <v>1265</v>
      </c>
      <c r="C921" t="s">
        <v>67</v>
      </c>
      <c r="D921" t="s">
        <v>67</v>
      </c>
      <c r="E921" t="s">
        <v>67</v>
      </c>
      <c r="F921" t="s">
        <v>27987</v>
      </c>
      <c r="G921" s="117">
        <v>59.18</v>
      </c>
    </row>
    <row r="922" spans="1:7" x14ac:dyDescent="0.25">
      <c r="A922" s="116" t="s">
        <v>1266</v>
      </c>
      <c r="B922" s="117" t="s">
        <v>1267</v>
      </c>
      <c r="C922" t="s">
        <v>67</v>
      </c>
      <c r="D922" t="s">
        <v>67</v>
      </c>
      <c r="E922" t="s">
        <v>67</v>
      </c>
      <c r="F922" t="s">
        <v>27987</v>
      </c>
      <c r="G922" s="117">
        <v>51.17</v>
      </c>
    </row>
    <row r="923" spans="1:7" x14ac:dyDescent="0.25">
      <c r="A923" s="116" t="s">
        <v>1268</v>
      </c>
      <c r="B923" s="117" t="s">
        <v>1269</v>
      </c>
      <c r="C923" t="s">
        <v>67</v>
      </c>
      <c r="D923" t="s">
        <v>67</v>
      </c>
      <c r="E923" t="s">
        <v>67</v>
      </c>
      <c r="F923" t="s">
        <v>27987</v>
      </c>
      <c r="G923" s="117">
        <v>20.38</v>
      </c>
    </row>
    <row r="924" spans="1:7" x14ac:dyDescent="0.25">
      <c r="A924" s="116" t="s">
        <v>28078</v>
      </c>
      <c r="B924" s="117" t="s">
        <v>28351</v>
      </c>
      <c r="C924" t="s">
        <v>67</v>
      </c>
      <c r="D924" t="s">
        <v>67</v>
      </c>
      <c r="E924" t="s">
        <v>67</v>
      </c>
      <c r="F924" t="s">
        <v>45</v>
      </c>
      <c r="G924" s="117">
        <v>130</v>
      </c>
    </row>
    <row r="925" spans="1:7" x14ac:dyDescent="0.25">
      <c r="A925" s="116" t="s">
        <v>1270</v>
      </c>
      <c r="B925" s="117" t="s">
        <v>1271</v>
      </c>
      <c r="C925" t="s">
        <v>67</v>
      </c>
      <c r="D925" t="s">
        <v>67</v>
      </c>
      <c r="E925" t="s">
        <v>67</v>
      </c>
      <c r="F925" t="s">
        <v>27987</v>
      </c>
      <c r="G925" s="117">
        <v>39.06</v>
      </c>
    </row>
    <row r="926" spans="1:7" x14ac:dyDescent="0.25">
      <c r="A926" s="116" t="s">
        <v>1272</v>
      </c>
      <c r="B926" s="117" t="s">
        <v>1273</v>
      </c>
      <c r="C926" t="s">
        <v>67</v>
      </c>
      <c r="D926" t="s">
        <v>67</v>
      </c>
      <c r="E926" t="s">
        <v>67</v>
      </c>
      <c r="F926" t="s">
        <v>27987</v>
      </c>
      <c r="G926" s="117">
        <v>71.989999999999995</v>
      </c>
    </row>
    <row r="927" spans="1:7" x14ac:dyDescent="0.25">
      <c r="A927" s="116" t="s">
        <v>1274</v>
      </c>
      <c r="B927" s="117" t="s">
        <v>1273</v>
      </c>
      <c r="C927" t="s">
        <v>67</v>
      </c>
      <c r="D927" t="s">
        <v>67</v>
      </c>
      <c r="E927" t="s">
        <v>67</v>
      </c>
      <c r="F927" t="s">
        <v>45</v>
      </c>
      <c r="G927" s="117">
        <v>75.55</v>
      </c>
    </row>
    <row r="928" spans="1:7" x14ac:dyDescent="0.25">
      <c r="A928" s="116" t="s">
        <v>1275</v>
      </c>
      <c r="B928" s="117" t="s">
        <v>1276</v>
      </c>
      <c r="C928" t="s">
        <v>67</v>
      </c>
      <c r="D928" t="s">
        <v>67</v>
      </c>
      <c r="E928" t="s">
        <v>67</v>
      </c>
      <c r="F928" t="s">
        <v>27987</v>
      </c>
      <c r="G928" s="117">
        <v>104.92</v>
      </c>
    </row>
    <row r="929" spans="1:7" x14ac:dyDescent="0.25">
      <c r="A929" s="116" t="s">
        <v>1277</v>
      </c>
      <c r="B929" s="117" t="s">
        <v>28351</v>
      </c>
      <c r="C929" t="s">
        <v>67</v>
      </c>
      <c r="D929" t="s">
        <v>67</v>
      </c>
      <c r="E929" t="s">
        <v>67</v>
      </c>
      <c r="F929" t="s">
        <v>27987</v>
      </c>
      <c r="G929" s="117">
        <v>122.7</v>
      </c>
    </row>
    <row r="930" spans="1:7" x14ac:dyDescent="0.25">
      <c r="A930" s="116" t="s">
        <v>1278</v>
      </c>
      <c r="B930" s="117" t="s">
        <v>28352</v>
      </c>
      <c r="C930" t="s">
        <v>67</v>
      </c>
      <c r="D930" t="s">
        <v>67</v>
      </c>
      <c r="E930" t="s">
        <v>67</v>
      </c>
      <c r="F930" t="s">
        <v>45</v>
      </c>
      <c r="G930" s="117">
        <v>111.68</v>
      </c>
    </row>
    <row r="931" spans="1:7" x14ac:dyDescent="0.25">
      <c r="A931" s="116" t="s">
        <v>1279</v>
      </c>
      <c r="B931" s="117" t="s">
        <v>1280</v>
      </c>
      <c r="C931" t="s">
        <v>67</v>
      </c>
      <c r="D931" t="s">
        <v>67</v>
      </c>
      <c r="E931" t="s">
        <v>67</v>
      </c>
      <c r="F931" t="s">
        <v>27987</v>
      </c>
      <c r="G931" s="117">
        <v>18.239999999999998</v>
      </c>
    </row>
    <row r="932" spans="1:7" x14ac:dyDescent="0.25">
      <c r="A932" s="116" t="s">
        <v>1281</v>
      </c>
      <c r="B932" s="117" t="s">
        <v>1282</v>
      </c>
      <c r="C932" t="s">
        <v>67</v>
      </c>
      <c r="D932" t="s">
        <v>67</v>
      </c>
      <c r="E932" t="s">
        <v>67</v>
      </c>
      <c r="F932" t="s">
        <v>27987</v>
      </c>
      <c r="G932" s="117">
        <v>308.32</v>
      </c>
    </row>
    <row r="933" spans="1:7" x14ac:dyDescent="0.25">
      <c r="A933" s="116" t="s">
        <v>1283</v>
      </c>
      <c r="B933" s="117" t="s">
        <v>1284</v>
      </c>
      <c r="C933" t="s">
        <v>67</v>
      </c>
      <c r="D933" t="s">
        <v>67</v>
      </c>
      <c r="E933" t="s">
        <v>67</v>
      </c>
      <c r="F933" t="s">
        <v>27987</v>
      </c>
      <c r="G933" s="117">
        <v>283.42</v>
      </c>
    </row>
    <row r="934" spans="1:7" x14ac:dyDescent="0.25">
      <c r="A934" s="116" t="s">
        <v>1285</v>
      </c>
      <c r="B934" s="117" t="s">
        <v>1286</v>
      </c>
      <c r="C934" t="s">
        <v>67</v>
      </c>
      <c r="D934" t="s">
        <v>67</v>
      </c>
      <c r="E934" t="s">
        <v>67</v>
      </c>
      <c r="F934" t="s">
        <v>27987</v>
      </c>
      <c r="G934" s="117">
        <v>51.17</v>
      </c>
    </row>
    <row r="935" spans="1:7" x14ac:dyDescent="0.25">
      <c r="A935" s="116" t="s">
        <v>1287</v>
      </c>
      <c r="B935" s="117" t="s">
        <v>1288</v>
      </c>
      <c r="C935" t="s">
        <v>67</v>
      </c>
      <c r="D935" t="s">
        <v>67</v>
      </c>
      <c r="E935" t="s">
        <v>67</v>
      </c>
      <c r="F935" t="s">
        <v>27987</v>
      </c>
      <c r="G935" s="117">
        <v>41.38</v>
      </c>
    </row>
    <row r="936" spans="1:7" x14ac:dyDescent="0.25">
      <c r="A936" s="116" t="s">
        <v>1289</v>
      </c>
      <c r="B936" s="117" t="s">
        <v>1290</v>
      </c>
      <c r="C936" t="s">
        <v>67</v>
      </c>
      <c r="D936" t="s">
        <v>67</v>
      </c>
      <c r="E936" t="s">
        <v>67</v>
      </c>
      <c r="F936" t="s">
        <v>45</v>
      </c>
      <c r="G936" s="117">
        <v>17.7</v>
      </c>
    </row>
    <row r="937" spans="1:7" x14ac:dyDescent="0.25">
      <c r="A937" s="116" t="s">
        <v>1291</v>
      </c>
      <c r="B937" s="117" t="s">
        <v>1292</v>
      </c>
      <c r="C937" t="s">
        <v>67</v>
      </c>
      <c r="D937" t="s">
        <v>67</v>
      </c>
      <c r="E937" t="s">
        <v>67</v>
      </c>
      <c r="F937" t="s">
        <v>45</v>
      </c>
      <c r="G937" s="117">
        <v>14.14</v>
      </c>
    </row>
    <row r="938" spans="1:7" x14ac:dyDescent="0.25">
      <c r="A938" s="116" t="s">
        <v>1293</v>
      </c>
      <c r="B938" s="117" t="s">
        <v>1294</v>
      </c>
      <c r="C938" t="s">
        <v>67</v>
      </c>
      <c r="D938" t="s">
        <v>67</v>
      </c>
      <c r="E938" t="s">
        <v>67</v>
      </c>
      <c r="F938" t="s">
        <v>45</v>
      </c>
      <c r="G938" s="117">
        <v>35.5</v>
      </c>
    </row>
    <row r="939" spans="1:7" x14ac:dyDescent="0.25">
      <c r="A939" s="116" t="s">
        <v>1295</v>
      </c>
      <c r="B939" s="117" t="s">
        <v>1296</v>
      </c>
      <c r="C939" t="s">
        <v>67</v>
      </c>
      <c r="D939" t="s">
        <v>67</v>
      </c>
      <c r="E939" t="s">
        <v>67</v>
      </c>
      <c r="F939" t="s">
        <v>27990</v>
      </c>
      <c r="G939" s="117">
        <v>25.71</v>
      </c>
    </row>
    <row r="940" spans="1:7" x14ac:dyDescent="0.25">
      <c r="A940" s="116" t="s">
        <v>1297</v>
      </c>
      <c r="B940" s="117" t="s">
        <v>1298</v>
      </c>
      <c r="C940" t="s">
        <v>67</v>
      </c>
      <c r="D940" t="s">
        <v>67</v>
      </c>
      <c r="E940" t="s">
        <v>67</v>
      </c>
      <c r="F940" t="s">
        <v>27987</v>
      </c>
      <c r="G940" s="117">
        <v>9.35</v>
      </c>
    </row>
    <row r="941" spans="1:7" x14ac:dyDescent="0.25">
      <c r="A941" s="116" t="s">
        <v>1299</v>
      </c>
      <c r="B941" s="117" t="s">
        <v>1300</v>
      </c>
      <c r="C941" t="s">
        <v>67</v>
      </c>
      <c r="D941" t="s">
        <v>67</v>
      </c>
      <c r="E941" t="s">
        <v>67</v>
      </c>
      <c r="F941" t="s">
        <v>45</v>
      </c>
      <c r="G941" s="117">
        <v>59.18</v>
      </c>
    </row>
    <row r="942" spans="1:7" x14ac:dyDescent="0.25">
      <c r="A942" s="116" t="s">
        <v>1301</v>
      </c>
      <c r="B942" s="117" t="s">
        <v>1302</v>
      </c>
      <c r="C942" t="s">
        <v>67</v>
      </c>
      <c r="D942" t="s">
        <v>67</v>
      </c>
      <c r="E942" t="s">
        <v>67</v>
      </c>
      <c r="F942" t="s">
        <v>45</v>
      </c>
      <c r="G942" s="117">
        <v>75.55</v>
      </c>
    </row>
    <row r="943" spans="1:7" x14ac:dyDescent="0.25">
      <c r="A943" s="116" t="s">
        <v>1303</v>
      </c>
      <c r="B943" s="117" t="s">
        <v>1304</v>
      </c>
      <c r="C943" t="s">
        <v>67</v>
      </c>
      <c r="D943" t="s">
        <v>67</v>
      </c>
      <c r="E943" t="s">
        <v>67</v>
      </c>
      <c r="F943" t="s">
        <v>45</v>
      </c>
      <c r="G943" s="117">
        <v>27.14</v>
      </c>
    </row>
    <row r="944" spans="1:7" x14ac:dyDescent="0.25">
      <c r="A944" s="116" t="s">
        <v>1305</v>
      </c>
      <c r="B944" s="117" t="s">
        <v>1306</v>
      </c>
      <c r="C944" t="s">
        <v>67</v>
      </c>
      <c r="D944" t="s">
        <v>67</v>
      </c>
      <c r="E944" t="s">
        <v>67</v>
      </c>
      <c r="F944" t="s">
        <v>45</v>
      </c>
      <c r="G944" s="117">
        <v>286.44</v>
      </c>
    </row>
    <row r="945" spans="1:7" x14ac:dyDescent="0.25">
      <c r="A945" s="116" t="s">
        <v>28353</v>
      </c>
      <c r="B945" s="117" t="s">
        <v>28354</v>
      </c>
      <c r="C945" t="s">
        <v>67</v>
      </c>
      <c r="D945" t="s">
        <v>67</v>
      </c>
      <c r="E945" t="s">
        <v>67</v>
      </c>
      <c r="F945" t="s">
        <v>45</v>
      </c>
      <c r="G945" s="117">
        <v>254.71</v>
      </c>
    </row>
    <row r="946" spans="1:7" x14ac:dyDescent="0.25">
      <c r="A946" s="116" t="s">
        <v>1307</v>
      </c>
      <c r="B946" s="117" t="s">
        <v>1308</v>
      </c>
      <c r="C946" t="s">
        <v>67</v>
      </c>
      <c r="D946" t="s">
        <v>67</v>
      </c>
      <c r="E946" t="s">
        <v>67</v>
      </c>
      <c r="F946" t="s">
        <v>27987</v>
      </c>
      <c r="G946" s="117">
        <v>155.4</v>
      </c>
    </row>
    <row r="947" spans="1:7" x14ac:dyDescent="0.25">
      <c r="A947" s="116" t="s">
        <v>1309</v>
      </c>
      <c r="B947" s="117" t="s">
        <v>1310</v>
      </c>
      <c r="C947" t="s">
        <v>67</v>
      </c>
      <c r="D947" t="s">
        <v>67</v>
      </c>
      <c r="E947" t="s">
        <v>67</v>
      </c>
      <c r="F947" t="s">
        <v>27987</v>
      </c>
      <c r="G947" s="117">
        <v>96.55</v>
      </c>
    </row>
    <row r="948" spans="1:7" x14ac:dyDescent="0.25">
      <c r="A948" s="116" t="s">
        <v>1311</v>
      </c>
      <c r="B948" s="117" t="s">
        <v>1065</v>
      </c>
      <c r="C948" t="s">
        <v>67</v>
      </c>
      <c r="D948" t="s">
        <v>67</v>
      </c>
      <c r="E948" t="s">
        <v>67</v>
      </c>
      <c r="F948" t="s">
        <v>27987</v>
      </c>
      <c r="G948" s="117">
        <v>88.89</v>
      </c>
    </row>
    <row r="949" spans="1:7" x14ac:dyDescent="0.25">
      <c r="A949" s="116" t="s">
        <v>1312</v>
      </c>
      <c r="B949" s="117" t="s">
        <v>1313</v>
      </c>
      <c r="C949" t="s">
        <v>67</v>
      </c>
      <c r="D949" t="s">
        <v>67</v>
      </c>
      <c r="E949" t="s">
        <v>67</v>
      </c>
      <c r="F949" t="s">
        <v>27987</v>
      </c>
      <c r="G949" s="117">
        <v>82.67</v>
      </c>
    </row>
    <row r="950" spans="1:7" x14ac:dyDescent="0.25">
      <c r="A950" s="116" t="s">
        <v>1314</v>
      </c>
      <c r="B950" s="117" t="s">
        <v>1315</v>
      </c>
      <c r="C950" t="s">
        <v>67</v>
      </c>
      <c r="D950" t="s">
        <v>67</v>
      </c>
      <c r="E950" t="s">
        <v>67</v>
      </c>
      <c r="F950" t="s">
        <v>27987</v>
      </c>
      <c r="G950" s="117">
        <v>165.42</v>
      </c>
    </row>
    <row r="951" spans="1:7" x14ac:dyDescent="0.25">
      <c r="A951" s="116" t="s">
        <v>1316</v>
      </c>
      <c r="B951" s="117" t="s">
        <v>1317</v>
      </c>
      <c r="C951" t="s">
        <v>67</v>
      </c>
      <c r="D951" t="s">
        <v>67</v>
      </c>
      <c r="E951" t="s">
        <v>67</v>
      </c>
      <c r="F951" t="s">
        <v>45</v>
      </c>
      <c r="G951" s="117">
        <v>71.099999999999994</v>
      </c>
    </row>
    <row r="952" spans="1:7" x14ac:dyDescent="0.25">
      <c r="A952" s="116" t="s">
        <v>1318</v>
      </c>
      <c r="B952" s="117" t="s">
        <v>1319</v>
      </c>
      <c r="C952" t="s">
        <v>67</v>
      </c>
      <c r="D952" t="s">
        <v>67</v>
      </c>
      <c r="E952" t="s">
        <v>67</v>
      </c>
      <c r="F952" t="s">
        <v>27987</v>
      </c>
      <c r="G952" s="117">
        <v>84.98</v>
      </c>
    </row>
    <row r="953" spans="1:7" x14ac:dyDescent="0.25">
      <c r="A953" s="116" t="s">
        <v>1320</v>
      </c>
      <c r="B953" s="117" t="s">
        <v>1321</v>
      </c>
      <c r="C953" t="s">
        <v>67</v>
      </c>
      <c r="D953" t="s">
        <v>67</v>
      </c>
      <c r="E953" t="s">
        <v>67</v>
      </c>
      <c r="F953" t="s">
        <v>45</v>
      </c>
      <c r="G953" s="117">
        <v>27.14</v>
      </c>
    </row>
    <row r="954" spans="1:7" x14ac:dyDescent="0.25">
      <c r="A954" s="116" t="s">
        <v>1322</v>
      </c>
      <c r="B954" s="117" t="s">
        <v>1323</v>
      </c>
      <c r="C954" t="s">
        <v>67</v>
      </c>
      <c r="D954" t="s">
        <v>67</v>
      </c>
      <c r="E954" t="s">
        <v>67</v>
      </c>
      <c r="F954" t="s">
        <v>27987</v>
      </c>
      <c r="G954" s="117">
        <v>62.74</v>
      </c>
    </row>
    <row r="955" spans="1:7" x14ac:dyDescent="0.25">
      <c r="A955" s="116" t="s">
        <v>1324</v>
      </c>
      <c r="B955" s="117" t="s">
        <v>1325</v>
      </c>
      <c r="C955" t="s">
        <v>67</v>
      </c>
      <c r="D955" t="s">
        <v>67</v>
      </c>
      <c r="E955" t="s">
        <v>67</v>
      </c>
      <c r="F955" t="s">
        <v>45</v>
      </c>
      <c r="G955" s="117">
        <v>291.77</v>
      </c>
    </row>
    <row r="956" spans="1:7" x14ac:dyDescent="0.25">
      <c r="A956" s="116" t="s">
        <v>1326</v>
      </c>
      <c r="B956" s="117" t="s">
        <v>1327</v>
      </c>
      <c r="C956" t="s">
        <v>67</v>
      </c>
      <c r="D956" t="s">
        <v>67</v>
      </c>
      <c r="E956" t="s">
        <v>67</v>
      </c>
      <c r="F956" t="s">
        <v>45</v>
      </c>
      <c r="G956" s="117">
        <v>104.02</v>
      </c>
    </row>
    <row r="957" spans="1:7" x14ac:dyDescent="0.25">
      <c r="A957" s="116" t="s">
        <v>1328</v>
      </c>
      <c r="B957" s="117" t="s">
        <v>1329</v>
      </c>
      <c r="C957" t="s">
        <v>67</v>
      </c>
      <c r="D957" t="s">
        <v>67</v>
      </c>
      <c r="E957" t="s">
        <v>67</v>
      </c>
      <c r="F957" t="s">
        <v>27987</v>
      </c>
      <c r="G957" s="117">
        <v>281.10000000000002</v>
      </c>
    </row>
    <row r="958" spans="1:7" x14ac:dyDescent="0.25">
      <c r="A958" s="116" t="s">
        <v>1330</v>
      </c>
      <c r="B958" s="117" t="s">
        <v>1331</v>
      </c>
      <c r="C958" t="s">
        <v>67</v>
      </c>
      <c r="D958" t="s">
        <v>67</v>
      </c>
      <c r="E958" t="s">
        <v>67</v>
      </c>
      <c r="F958" t="s">
        <v>49</v>
      </c>
      <c r="G958" s="117">
        <v>80.52</v>
      </c>
    </row>
    <row r="959" spans="1:7" x14ac:dyDescent="0.25">
      <c r="A959" s="116" t="s">
        <v>1332</v>
      </c>
      <c r="B959" s="117" t="s">
        <v>1333</v>
      </c>
      <c r="C959" t="s">
        <v>67</v>
      </c>
      <c r="D959" t="s">
        <v>67</v>
      </c>
      <c r="E959" t="s">
        <v>67</v>
      </c>
      <c r="F959" t="s">
        <v>45</v>
      </c>
      <c r="G959" s="117">
        <v>240.7</v>
      </c>
    </row>
    <row r="960" spans="1:7" x14ac:dyDescent="0.25">
      <c r="A960" s="116" t="s">
        <v>1334</v>
      </c>
      <c r="B960" s="117" t="s">
        <v>1335</v>
      </c>
      <c r="C960" t="s">
        <v>67</v>
      </c>
      <c r="D960" t="s">
        <v>67</v>
      </c>
      <c r="E960" t="s">
        <v>67</v>
      </c>
      <c r="F960" t="s">
        <v>45</v>
      </c>
      <c r="G960" s="117">
        <v>18.239999999999998</v>
      </c>
    </row>
    <row r="961" spans="1:7" x14ac:dyDescent="0.25">
      <c r="A961" s="116" t="s">
        <v>1336</v>
      </c>
      <c r="B961" s="117" t="s">
        <v>1337</v>
      </c>
      <c r="C961" t="s">
        <v>67</v>
      </c>
      <c r="D961" t="s">
        <v>67</v>
      </c>
      <c r="E961" t="s">
        <v>67</v>
      </c>
      <c r="F961" t="s">
        <v>27987</v>
      </c>
      <c r="G961" s="117">
        <v>14.14</v>
      </c>
    </row>
    <row r="962" spans="1:7" x14ac:dyDescent="0.25">
      <c r="A962" s="116" t="s">
        <v>1338</v>
      </c>
      <c r="B962" s="117" t="s">
        <v>1339</v>
      </c>
      <c r="C962" t="s">
        <v>67</v>
      </c>
      <c r="D962" t="s">
        <v>67</v>
      </c>
      <c r="E962" t="s">
        <v>67</v>
      </c>
      <c r="F962" t="s">
        <v>45</v>
      </c>
      <c r="G962" s="117">
        <v>18.239999999999998</v>
      </c>
    </row>
    <row r="963" spans="1:7" x14ac:dyDescent="0.25">
      <c r="A963" s="116" t="s">
        <v>1340</v>
      </c>
      <c r="B963" s="117" t="s">
        <v>1341</v>
      </c>
      <c r="C963" t="s">
        <v>67</v>
      </c>
      <c r="D963" t="s">
        <v>67</v>
      </c>
      <c r="E963" t="s">
        <v>67</v>
      </c>
      <c r="F963" t="s">
        <v>45</v>
      </c>
      <c r="G963" s="117">
        <v>41.38</v>
      </c>
    </row>
    <row r="964" spans="1:7" x14ac:dyDescent="0.25">
      <c r="A964" s="116" t="s">
        <v>1342</v>
      </c>
      <c r="B964" s="117" t="s">
        <v>1343</v>
      </c>
      <c r="C964" t="s">
        <v>67</v>
      </c>
      <c r="D964" t="s">
        <v>67</v>
      </c>
      <c r="E964" t="s">
        <v>67</v>
      </c>
      <c r="F964" t="s">
        <v>27987</v>
      </c>
      <c r="G964" s="117">
        <v>9.6999999999999993</v>
      </c>
    </row>
    <row r="965" spans="1:7" x14ac:dyDescent="0.25">
      <c r="A965" s="116" t="s">
        <v>1344</v>
      </c>
      <c r="B965" s="117" t="s">
        <v>1345</v>
      </c>
      <c r="C965" t="s">
        <v>67</v>
      </c>
      <c r="D965" t="s">
        <v>67</v>
      </c>
      <c r="E965" t="s">
        <v>67</v>
      </c>
      <c r="F965" t="s">
        <v>45</v>
      </c>
      <c r="G965" s="117">
        <v>212.58</v>
      </c>
    </row>
    <row r="966" spans="1:7" x14ac:dyDescent="0.25">
      <c r="A966" s="116" t="s">
        <v>1346</v>
      </c>
      <c r="B966" s="117" t="s">
        <v>1347</v>
      </c>
      <c r="C966" t="s">
        <v>67</v>
      </c>
      <c r="D966" t="s">
        <v>67</v>
      </c>
      <c r="E966" t="s">
        <v>67</v>
      </c>
      <c r="F966" t="s">
        <v>27987</v>
      </c>
      <c r="G966" s="117">
        <v>323.81</v>
      </c>
    </row>
    <row r="967" spans="1:7" x14ac:dyDescent="0.25">
      <c r="A967" s="116" t="s">
        <v>1348</v>
      </c>
      <c r="B967" s="117" t="s">
        <v>1349</v>
      </c>
      <c r="C967" t="s">
        <v>67</v>
      </c>
      <c r="D967" t="s">
        <v>67</v>
      </c>
      <c r="E967" t="s">
        <v>67</v>
      </c>
      <c r="F967" t="s">
        <v>45</v>
      </c>
      <c r="G967" s="117">
        <v>47.61</v>
      </c>
    </row>
    <row r="968" spans="1:7" x14ac:dyDescent="0.25">
      <c r="A968" s="116" t="s">
        <v>1350</v>
      </c>
      <c r="B968" s="117" t="s">
        <v>1351</v>
      </c>
      <c r="C968" t="s">
        <v>67</v>
      </c>
      <c r="D968" t="s">
        <v>67</v>
      </c>
      <c r="E968" t="s">
        <v>67</v>
      </c>
      <c r="F968" t="s">
        <v>45</v>
      </c>
      <c r="G968" s="117">
        <v>297.64</v>
      </c>
    </row>
    <row r="969" spans="1:7" x14ac:dyDescent="0.25">
      <c r="A969" s="116" t="s">
        <v>28355</v>
      </c>
      <c r="B969" s="117" t="s">
        <v>28356</v>
      </c>
      <c r="C969" t="s">
        <v>67</v>
      </c>
      <c r="D969" t="s">
        <v>67</v>
      </c>
      <c r="E969" t="s">
        <v>67</v>
      </c>
      <c r="F969" t="s">
        <v>45</v>
      </c>
      <c r="G969" s="117">
        <v>0</v>
      </c>
    </row>
    <row r="970" spans="1:7" x14ac:dyDescent="0.25">
      <c r="A970" s="116" t="s">
        <v>1352</v>
      </c>
      <c r="B970" s="117" t="s">
        <v>1353</v>
      </c>
      <c r="C970" t="s">
        <v>67</v>
      </c>
      <c r="D970" t="s">
        <v>67</v>
      </c>
      <c r="E970" t="s">
        <v>67</v>
      </c>
      <c r="F970" t="s">
        <v>27987</v>
      </c>
      <c r="G970" s="117">
        <v>31.94</v>
      </c>
    </row>
    <row r="971" spans="1:7" x14ac:dyDescent="0.25">
      <c r="A971" s="116" t="s">
        <v>1354</v>
      </c>
      <c r="B971" s="117" t="s">
        <v>1355</v>
      </c>
      <c r="C971" t="s">
        <v>67</v>
      </c>
      <c r="D971" t="s">
        <v>67</v>
      </c>
      <c r="E971" t="s">
        <v>67</v>
      </c>
      <c r="F971" t="s">
        <v>27987</v>
      </c>
      <c r="G971" s="117">
        <v>3.12</v>
      </c>
    </row>
    <row r="972" spans="1:7" x14ac:dyDescent="0.25">
      <c r="A972" s="116" t="s">
        <v>1356</v>
      </c>
      <c r="B972" s="117" t="s">
        <v>1357</v>
      </c>
      <c r="C972" t="s">
        <v>67</v>
      </c>
      <c r="D972" t="s">
        <v>67</v>
      </c>
      <c r="E972" t="s">
        <v>67</v>
      </c>
      <c r="F972" t="s">
        <v>45</v>
      </c>
      <c r="G972" s="117">
        <v>138.37</v>
      </c>
    </row>
    <row r="973" spans="1:7" x14ac:dyDescent="0.25">
      <c r="A973" s="116" t="s">
        <v>1358</v>
      </c>
      <c r="B973" s="117" t="s">
        <v>1359</v>
      </c>
      <c r="C973" t="s">
        <v>67</v>
      </c>
      <c r="D973" t="s">
        <v>67</v>
      </c>
      <c r="E973" t="s">
        <v>67</v>
      </c>
      <c r="F973" t="s">
        <v>45</v>
      </c>
      <c r="G973" s="117">
        <v>76.08</v>
      </c>
    </row>
    <row r="974" spans="1:7" x14ac:dyDescent="0.25">
      <c r="A974" s="116" t="s">
        <v>1360</v>
      </c>
      <c r="B974" s="117" t="s">
        <v>1361</v>
      </c>
      <c r="C974" t="s">
        <v>67</v>
      </c>
      <c r="D974" t="s">
        <v>67</v>
      </c>
      <c r="E974" t="s">
        <v>67</v>
      </c>
      <c r="F974" t="s">
        <v>45</v>
      </c>
      <c r="G974" s="117">
        <v>23.05</v>
      </c>
    </row>
    <row r="975" spans="1:7" x14ac:dyDescent="0.25">
      <c r="A975" s="116" t="s">
        <v>1362</v>
      </c>
      <c r="B975" s="117" t="s">
        <v>1363</v>
      </c>
      <c r="C975" t="s">
        <v>67</v>
      </c>
      <c r="D975" t="s">
        <v>67</v>
      </c>
      <c r="E975" t="s">
        <v>67</v>
      </c>
      <c r="F975" t="s">
        <v>27987</v>
      </c>
      <c r="G975" s="117">
        <v>76.98</v>
      </c>
    </row>
    <row r="976" spans="1:7" x14ac:dyDescent="0.25">
      <c r="A976" s="116" t="s">
        <v>1364</v>
      </c>
      <c r="B976" s="117" t="s">
        <v>1365</v>
      </c>
      <c r="C976" t="s">
        <v>67</v>
      </c>
      <c r="D976" t="s">
        <v>67</v>
      </c>
      <c r="E976" t="s">
        <v>67</v>
      </c>
      <c r="F976" t="s">
        <v>45</v>
      </c>
      <c r="G976" s="117">
        <v>68.430000000000007</v>
      </c>
    </row>
    <row r="977" spans="1:7" x14ac:dyDescent="0.25">
      <c r="A977" s="116" t="s">
        <v>1366</v>
      </c>
      <c r="B977" s="117" t="s">
        <v>1367</v>
      </c>
      <c r="C977" t="s">
        <v>67</v>
      </c>
      <c r="D977" t="s">
        <v>67</v>
      </c>
      <c r="E977" t="s">
        <v>67</v>
      </c>
      <c r="F977" t="s">
        <v>45</v>
      </c>
      <c r="G977" s="117">
        <v>101.88</v>
      </c>
    </row>
    <row r="978" spans="1:7" x14ac:dyDescent="0.25">
      <c r="A978" s="116" t="s">
        <v>1368</v>
      </c>
      <c r="B978" s="117" t="s">
        <v>1369</v>
      </c>
      <c r="C978" t="s">
        <v>67</v>
      </c>
      <c r="D978" t="s">
        <v>67</v>
      </c>
      <c r="E978" t="s">
        <v>67</v>
      </c>
      <c r="F978" t="s">
        <v>27987</v>
      </c>
      <c r="G978" s="117">
        <v>47.96</v>
      </c>
    </row>
    <row r="979" spans="1:7" x14ac:dyDescent="0.25">
      <c r="A979" s="116" t="s">
        <v>1370</v>
      </c>
      <c r="B979" s="117" t="s">
        <v>1371</v>
      </c>
      <c r="C979" t="s">
        <v>67</v>
      </c>
      <c r="D979" t="s">
        <v>67</v>
      </c>
      <c r="E979" t="s">
        <v>67</v>
      </c>
      <c r="F979" t="s">
        <v>45</v>
      </c>
      <c r="G979" s="117">
        <v>36.93</v>
      </c>
    </row>
    <row r="980" spans="1:7" x14ac:dyDescent="0.25">
      <c r="A980" s="116" t="s">
        <v>1372</v>
      </c>
      <c r="B980" s="117" t="s">
        <v>1373</v>
      </c>
      <c r="C980" t="s">
        <v>67</v>
      </c>
      <c r="D980" t="s">
        <v>67</v>
      </c>
      <c r="E980" t="s">
        <v>67</v>
      </c>
      <c r="F980" t="s">
        <v>27987</v>
      </c>
      <c r="G980" s="117">
        <v>47.61</v>
      </c>
    </row>
    <row r="981" spans="1:7" x14ac:dyDescent="0.25">
      <c r="A981" s="116" t="s">
        <v>1374</v>
      </c>
      <c r="B981" s="117" t="s">
        <v>1375</v>
      </c>
      <c r="C981" t="s">
        <v>67</v>
      </c>
      <c r="D981" t="s">
        <v>67</v>
      </c>
      <c r="E981" t="s">
        <v>67</v>
      </c>
      <c r="F981" t="s">
        <v>45</v>
      </c>
      <c r="G981" s="117">
        <v>246.93</v>
      </c>
    </row>
    <row r="982" spans="1:7" x14ac:dyDescent="0.25">
      <c r="A982" s="116" t="s">
        <v>1376</v>
      </c>
      <c r="B982" s="117" t="s">
        <v>1377</v>
      </c>
      <c r="C982" t="s">
        <v>67</v>
      </c>
      <c r="D982" t="s">
        <v>67</v>
      </c>
      <c r="E982" t="s">
        <v>67</v>
      </c>
      <c r="F982" t="s">
        <v>45</v>
      </c>
      <c r="G982" s="117">
        <v>129.82</v>
      </c>
    </row>
    <row r="983" spans="1:7" x14ac:dyDescent="0.25">
      <c r="A983" s="116" t="s">
        <v>1378</v>
      </c>
      <c r="B983" s="117" t="s">
        <v>28357</v>
      </c>
      <c r="C983" t="s">
        <v>67</v>
      </c>
      <c r="D983" t="s">
        <v>67</v>
      </c>
      <c r="E983" t="s">
        <v>67</v>
      </c>
      <c r="F983" t="s">
        <v>27987</v>
      </c>
      <c r="G983" s="117">
        <v>76.98</v>
      </c>
    </row>
    <row r="984" spans="1:7" x14ac:dyDescent="0.25">
      <c r="A984" s="116" t="s">
        <v>1379</v>
      </c>
      <c r="B984" s="117" t="s">
        <v>1380</v>
      </c>
      <c r="C984" t="s">
        <v>67</v>
      </c>
      <c r="D984" t="s">
        <v>67</v>
      </c>
      <c r="E984" t="s">
        <v>67</v>
      </c>
      <c r="F984" t="s">
        <v>45</v>
      </c>
      <c r="G984" s="117">
        <v>80.86</v>
      </c>
    </row>
    <row r="985" spans="1:7" x14ac:dyDescent="0.25">
      <c r="A985" s="116" t="s">
        <v>1381</v>
      </c>
      <c r="B985" s="117" t="s">
        <v>1382</v>
      </c>
      <c r="C985" t="s">
        <v>67</v>
      </c>
      <c r="D985" t="s">
        <v>67</v>
      </c>
      <c r="E985" t="s">
        <v>67</v>
      </c>
      <c r="F985" t="s">
        <v>27987</v>
      </c>
      <c r="G985" s="117">
        <v>34.619999999999997</v>
      </c>
    </row>
    <row r="986" spans="1:7" x14ac:dyDescent="0.25">
      <c r="A986" s="116" t="s">
        <v>1383</v>
      </c>
      <c r="B986" s="117" t="s">
        <v>497</v>
      </c>
      <c r="C986" t="s">
        <v>67</v>
      </c>
      <c r="D986" t="s">
        <v>67</v>
      </c>
      <c r="E986" t="s">
        <v>67</v>
      </c>
      <c r="F986" t="s">
        <v>45</v>
      </c>
      <c r="G986" s="117">
        <v>55.62</v>
      </c>
    </row>
    <row r="987" spans="1:7" x14ac:dyDescent="0.25">
      <c r="A987" s="116" t="s">
        <v>1384</v>
      </c>
      <c r="B987" s="117" t="s">
        <v>1385</v>
      </c>
      <c r="C987" t="s">
        <v>67</v>
      </c>
      <c r="D987" t="s">
        <v>67</v>
      </c>
      <c r="E987" t="s">
        <v>67</v>
      </c>
      <c r="F987" t="s">
        <v>27987</v>
      </c>
      <c r="G987" s="117">
        <v>93.35</v>
      </c>
    </row>
    <row r="988" spans="1:7" x14ac:dyDescent="0.25">
      <c r="A988" s="116" t="s">
        <v>1386</v>
      </c>
      <c r="B988" s="117" t="s">
        <v>1387</v>
      </c>
      <c r="C988" t="s">
        <v>67</v>
      </c>
      <c r="D988" t="s">
        <v>67</v>
      </c>
      <c r="E988" t="s">
        <v>67</v>
      </c>
      <c r="F988" t="s">
        <v>27987</v>
      </c>
      <c r="G988" s="117">
        <v>15.57</v>
      </c>
    </row>
    <row r="989" spans="1:7" x14ac:dyDescent="0.25">
      <c r="A989" s="116" t="s">
        <v>1388</v>
      </c>
      <c r="B989" s="117" t="s">
        <v>1389</v>
      </c>
      <c r="C989" t="s">
        <v>67</v>
      </c>
      <c r="D989" t="s">
        <v>67</v>
      </c>
      <c r="E989" t="s">
        <v>67</v>
      </c>
      <c r="F989" t="s">
        <v>45</v>
      </c>
      <c r="G989" s="117">
        <v>15.57</v>
      </c>
    </row>
    <row r="990" spans="1:7" x14ac:dyDescent="0.25">
      <c r="A990" s="116" t="s">
        <v>1390</v>
      </c>
      <c r="B990" s="117" t="s">
        <v>1391</v>
      </c>
      <c r="C990" t="s">
        <v>67</v>
      </c>
      <c r="D990" t="s">
        <v>67</v>
      </c>
      <c r="E990" t="s">
        <v>67</v>
      </c>
      <c r="F990" t="s">
        <v>27987</v>
      </c>
      <c r="G990" s="117">
        <v>43.16</v>
      </c>
    </row>
    <row r="991" spans="1:7" x14ac:dyDescent="0.25">
      <c r="A991" s="116" t="s">
        <v>1392</v>
      </c>
      <c r="B991" s="117" t="s">
        <v>1393</v>
      </c>
      <c r="C991" t="s">
        <v>67</v>
      </c>
      <c r="D991" t="s">
        <v>67</v>
      </c>
      <c r="E991" t="s">
        <v>67</v>
      </c>
      <c r="F991" t="s">
        <v>27987</v>
      </c>
      <c r="G991" s="117">
        <v>531.14</v>
      </c>
    </row>
    <row r="992" spans="1:7" x14ac:dyDescent="0.25">
      <c r="A992" s="116" t="s">
        <v>1394</v>
      </c>
      <c r="B992" s="117" t="s">
        <v>1395</v>
      </c>
      <c r="C992" t="s">
        <v>67</v>
      </c>
      <c r="D992" t="s">
        <v>67</v>
      </c>
      <c r="E992" t="s">
        <v>67</v>
      </c>
      <c r="F992" t="s">
        <v>27987</v>
      </c>
      <c r="G992" s="117">
        <v>89.79</v>
      </c>
    </row>
    <row r="993" spans="1:7" x14ac:dyDescent="0.25">
      <c r="A993" s="116" t="s">
        <v>1396</v>
      </c>
      <c r="B993" s="117" t="s">
        <v>28358</v>
      </c>
      <c r="C993" t="s">
        <v>67</v>
      </c>
      <c r="D993" t="s">
        <v>67</v>
      </c>
      <c r="E993" t="s">
        <v>67</v>
      </c>
      <c r="F993" t="s">
        <v>27987</v>
      </c>
      <c r="G993" s="117">
        <v>13.99</v>
      </c>
    </row>
    <row r="994" spans="1:7" x14ac:dyDescent="0.25">
      <c r="A994" s="116" t="s">
        <v>1397</v>
      </c>
      <c r="B994" s="117" t="s">
        <v>1398</v>
      </c>
      <c r="C994" t="s">
        <v>67</v>
      </c>
      <c r="D994" t="s">
        <v>67</v>
      </c>
      <c r="E994" t="s">
        <v>67</v>
      </c>
      <c r="F994" t="s">
        <v>45</v>
      </c>
      <c r="G994" s="117">
        <v>33.369999999999997</v>
      </c>
    </row>
    <row r="995" spans="1:7" x14ac:dyDescent="0.25">
      <c r="A995" s="116" t="s">
        <v>1399</v>
      </c>
      <c r="B995" s="117" t="s">
        <v>1400</v>
      </c>
      <c r="C995" t="s">
        <v>67</v>
      </c>
      <c r="D995" t="s">
        <v>67</v>
      </c>
      <c r="E995" t="s">
        <v>67</v>
      </c>
      <c r="F995" t="s">
        <v>45</v>
      </c>
      <c r="G995" s="117">
        <v>18.239999999999998</v>
      </c>
    </row>
    <row r="996" spans="1:7" x14ac:dyDescent="0.25">
      <c r="A996" s="116" t="s">
        <v>1401</v>
      </c>
      <c r="B996" s="117" t="s">
        <v>1402</v>
      </c>
      <c r="C996" t="s">
        <v>67</v>
      </c>
      <c r="D996" t="s">
        <v>67</v>
      </c>
      <c r="E996" t="s">
        <v>67</v>
      </c>
      <c r="F996" t="s">
        <v>45</v>
      </c>
      <c r="G996" s="117">
        <v>28.92</v>
      </c>
    </row>
    <row r="997" spans="1:7" x14ac:dyDescent="0.25">
      <c r="A997" s="116" t="s">
        <v>1403</v>
      </c>
      <c r="B997" s="117" t="s">
        <v>19958</v>
      </c>
      <c r="C997" t="s">
        <v>67</v>
      </c>
      <c r="D997" t="s">
        <v>67</v>
      </c>
      <c r="E997" t="s">
        <v>67</v>
      </c>
      <c r="F997" t="s">
        <v>27987</v>
      </c>
      <c r="G997" s="117">
        <v>76.22</v>
      </c>
    </row>
    <row r="998" spans="1:7" x14ac:dyDescent="0.25">
      <c r="A998" s="116" t="s">
        <v>1404</v>
      </c>
      <c r="B998" s="117" t="s">
        <v>1405</v>
      </c>
      <c r="C998" t="s">
        <v>67</v>
      </c>
      <c r="D998" t="s">
        <v>67</v>
      </c>
      <c r="E998" t="s">
        <v>67</v>
      </c>
      <c r="F998" t="s">
        <v>45</v>
      </c>
      <c r="G998" s="117">
        <v>89.79</v>
      </c>
    </row>
    <row r="999" spans="1:7" x14ac:dyDescent="0.25">
      <c r="A999" s="116" t="s">
        <v>1406</v>
      </c>
      <c r="B999" s="117" t="s">
        <v>1407</v>
      </c>
      <c r="C999" t="s">
        <v>67</v>
      </c>
      <c r="D999" t="s">
        <v>67</v>
      </c>
      <c r="E999" t="s">
        <v>67</v>
      </c>
      <c r="F999" t="s">
        <v>27987</v>
      </c>
      <c r="G999" s="117">
        <v>92.99</v>
      </c>
    </row>
    <row r="1000" spans="1:7" x14ac:dyDescent="0.25">
      <c r="A1000" s="116" t="s">
        <v>1408</v>
      </c>
      <c r="B1000" s="117" t="s">
        <v>1409</v>
      </c>
      <c r="C1000" t="s">
        <v>67</v>
      </c>
      <c r="D1000" t="s">
        <v>67</v>
      </c>
      <c r="E1000" t="s">
        <v>67</v>
      </c>
      <c r="F1000" t="s">
        <v>27987</v>
      </c>
      <c r="G1000" s="117">
        <v>79.64</v>
      </c>
    </row>
    <row r="1001" spans="1:7" x14ac:dyDescent="0.25">
      <c r="A1001" s="116" t="s">
        <v>1410</v>
      </c>
      <c r="B1001" s="117" t="s">
        <v>1411</v>
      </c>
      <c r="C1001" t="s">
        <v>67</v>
      </c>
      <c r="D1001" t="s">
        <v>67</v>
      </c>
      <c r="E1001" t="s">
        <v>67</v>
      </c>
      <c r="F1001" t="s">
        <v>27987</v>
      </c>
      <c r="G1001" s="117">
        <v>24.48</v>
      </c>
    </row>
    <row r="1002" spans="1:7" x14ac:dyDescent="0.25">
      <c r="A1002" s="116" t="s">
        <v>1412</v>
      </c>
      <c r="B1002" s="117" t="s">
        <v>1413</v>
      </c>
      <c r="C1002" t="s">
        <v>67</v>
      </c>
      <c r="D1002" t="s">
        <v>67</v>
      </c>
      <c r="E1002" t="s">
        <v>67</v>
      </c>
      <c r="F1002" t="s">
        <v>27987</v>
      </c>
      <c r="G1002" s="117">
        <v>649.13</v>
      </c>
    </row>
    <row r="1003" spans="1:7" x14ac:dyDescent="0.25">
      <c r="A1003" s="116" t="s">
        <v>1414</v>
      </c>
      <c r="B1003" s="117" t="s">
        <v>1415</v>
      </c>
      <c r="C1003" t="s">
        <v>67</v>
      </c>
      <c r="D1003" t="s">
        <v>67</v>
      </c>
      <c r="E1003" t="s">
        <v>67</v>
      </c>
      <c r="F1003" t="s">
        <v>45</v>
      </c>
      <c r="G1003" s="117">
        <v>68.069999999999993</v>
      </c>
    </row>
    <row r="1004" spans="1:7" x14ac:dyDescent="0.25">
      <c r="A1004" s="116" t="s">
        <v>1416</v>
      </c>
      <c r="B1004" s="117" t="s">
        <v>1417</v>
      </c>
      <c r="C1004" t="s">
        <v>67</v>
      </c>
      <c r="D1004" t="s">
        <v>67</v>
      </c>
      <c r="E1004" t="s">
        <v>67</v>
      </c>
      <c r="F1004" t="s">
        <v>27987</v>
      </c>
      <c r="G1004" s="117">
        <v>44.94</v>
      </c>
    </row>
    <row r="1005" spans="1:7" x14ac:dyDescent="0.25">
      <c r="A1005" s="116" t="s">
        <v>1418</v>
      </c>
      <c r="B1005" s="117" t="s">
        <v>1419</v>
      </c>
      <c r="C1005" t="s">
        <v>67</v>
      </c>
      <c r="D1005" t="s">
        <v>67</v>
      </c>
      <c r="E1005" t="s">
        <v>67</v>
      </c>
      <c r="F1005" t="s">
        <v>45</v>
      </c>
      <c r="G1005" s="117">
        <v>45.3</v>
      </c>
    </row>
    <row r="1006" spans="1:7" x14ac:dyDescent="0.25">
      <c r="A1006" s="116" t="s">
        <v>1420</v>
      </c>
      <c r="B1006" s="117" t="s">
        <v>1421</v>
      </c>
      <c r="C1006" t="s">
        <v>67</v>
      </c>
      <c r="D1006" t="s">
        <v>67</v>
      </c>
      <c r="E1006" t="s">
        <v>67</v>
      </c>
      <c r="F1006" t="s">
        <v>45</v>
      </c>
      <c r="G1006" s="117">
        <v>81.42</v>
      </c>
    </row>
    <row r="1007" spans="1:7" x14ac:dyDescent="0.25">
      <c r="A1007" s="116" t="s">
        <v>31150</v>
      </c>
      <c r="B1007" s="117" t="s">
        <v>31151</v>
      </c>
      <c r="C1007" t="s">
        <v>67</v>
      </c>
      <c r="D1007" t="s">
        <v>67</v>
      </c>
      <c r="E1007" t="s">
        <v>67</v>
      </c>
      <c r="F1007" t="s">
        <v>45</v>
      </c>
      <c r="G1007" s="117">
        <v>15</v>
      </c>
    </row>
    <row r="1008" spans="1:7" x14ac:dyDescent="0.25">
      <c r="A1008" s="116" t="s">
        <v>1422</v>
      </c>
      <c r="B1008" s="117" t="s">
        <v>1423</v>
      </c>
      <c r="C1008" t="s">
        <v>67</v>
      </c>
      <c r="D1008" t="s">
        <v>67</v>
      </c>
      <c r="E1008" t="s">
        <v>67</v>
      </c>
      <c r="F1008" t="s">
        <v>27987</v>
      </c>
      <c r="G1008" s="117">
        <v>16.46</v>
      </c>
    </row>
    <row r="1009" spans="1:7" x14ac:dyDescent="0.25">
      <c r="A1009" s="116" t="s">
        <v>1424</v>
      </c>
      <c r="B1009" s="117" t="s">
        <v>1425</v>
      </c>
      <c r="C1009" t="s">
        <v>67</v>
      </c>
      <c r="D1009" t="s">
        <v>67</v>
      </c>
      <c r="E1009" t="s">
        <v>67</v>
      </c>
      <c r="F1009" t="s">
        <v>27987</v>
      </c>
      <c r="G1009" s="117">
        <v>20.02</v>
      </c>
    </row>
    <row r="1010" spans="1:7" x14ac:dyDescent="0.25">
      <c r="A1010" s="116" t="s">
        <v>1426</v>
      </c>
      <c r="B1010" s="117" t="s">
        <v>1427</v>
      </c>
      <c r="C1010" t="s">
        <v>67</v>
      </c>
      <c r="D1010" t="s">
        <v>67</v>
      </c>
      <c r="E1010" t="s">
        <v>67</v>
      </c>
      <c r="F1010" t="s">
        <v>27987</v>
      </c>
      <c r="G1010" s="117">
        <v>44.94</v>
      </c>
    </row>
    <row r="1011" spans="1:7" x14ac:dyDescent="0.25">
      <c r="A1011" s="116" t="s">
        <v>1428</v>
      </c>
      <c r="B1011" s="117" t="s">
        <v>1429</v>
      </c>
      <c r="C1011" t="s">
        <v>67</v>
      </c>
      <c r="D1011" t="s">
        <v>67</v>
      </c>
      <c r="E1011" t="s">
        <v>67</v>
      </c>
      <c r="F1011" t="s">
        <v>45</v>
      </c>
      <c r="G1011" s="117">
        <v>145.49</v>
      </c>
    </row>
    <row r="1012" spans="1:7" x14ac:dyDescent="0.25">
      <c r="A1012" s="116" t="s">
        <v>1430</v>
      </c>
      <c r="B1012" s="117" t="s">
        <v>1431</v>
      </c>
      <c r="C1012" t="s">
        <v>67</v>
      </c>
      <c r="D1012" t="s">
        <v>67</v>
      </c>
      <c r="E1012" t="s">
        <v>67</v>
      </c>
      <c r="F1012" t="s">
        <v>45</v>
      </c>
      <c r="G1012" s="117">
        <v>31.94</v>
      </c>
    </row>
    <row r="1013" spans="1:7" x14ac:dyDescent="0.25">
      <c r="A1013" s="116" t="s">
        <v>1432</v>
      </c>
      <c r="B1013" s="117" t="s">
        <v>1433</v>
      </c>
      <c r="C1013" t="s">
        <v>67</v>
      </c>
      <c r="D1013" t="s">
        <v>67</v>
      </c>
      <c r="E1013" t="s">
        <v>67</v>
      </c>
      <c r="F1013" t="s">
        <v>45</v>
      </c>
      <c r="G1013" s="117">
        <v>67.540000000000006</v>
      </c>
    </row>
    <row r="1014" spans="1:7" x14ac:dyDescent="0.25">
      <c r="A1014" s="116" t="s">
        <v>1434</v>
      </c>
      <c r="B1014" s="117" t="s">
        <v>1435</v>
      </c>
      <c r="C1014" t="s">
        <v>67</v>
      </c>
      <c r="D1014" t="s">
        <v>67</v>
      </c>
      <c r="E1014" t="s">
        <v>67</v>
      </c>
      <c r="F1014" t="s">
        <v>27987</v>
      </c>
      <c r="G1014" s="117">
        <v>122.36</v>
      </c>
    </row>
    <row r="1015" spans="1:7" x14ac:dyDescent="0.25">
      <c r="A1015" s="116" t="s">
        <v>1436</v>
      </c>
      <c r="B1015" s="117" t="s">
        <v>1437</v>
      </c>
      <c r="C1015" t="s">
        <v>67</v>
      </c>
      <c r="D1015" t="s">
        <v>67</v>
      </c>
      <c r="E1015" t="s">
        <v>67</v>
      </c>
      <c r="F1015" t="s">
        <v>27987</v>
      </c>
      <c r="G1015" s="117">
        <v>16.46</v>
      </c>
    </row>
    <row r="1016" spans="1:7" x14ac:dyDescent="0.25">
      <c r="A1016" s="116" t="s">
        <v>1438</v>
      </c>
      <c r="B1016" s="117" t="s">
        <v>1439</v>
      </c>
      <c r="C1016" t="s">
        <v>67</v>
      </c>
      <c r="D1016" t="s">
        <v>67</v>
      </c>
      <c r="E1016" t="s">
        <v>67</v>
      </c>
      <c r="F1016" t="s">
        <v>45</v>
      </c>
      <c r="G1016" s="117">
        <v>109</v>
      </c>
    </row>
    <row r="1017" spans="1:7" x14ac:dyDescent="0.25">
      <c r="A1017" s="116" t="s">
        <v>1440</v>
      </c>
      <c r="B1017" s="117" t="s">
        <v>1441</v>
      </c>
      <c r="C1017" t="s">
        <v>67</v>
      </c>
      <c r="D1017" t="s">
        <v>67</v>
      </c>
      <c r="E1017" t="s">
        <v>67</v>
      </c>
      <c r="F1017" t="s">
        <v>27987</v>
      </c>
      <c r="G1017" s="117">
        <v>115.24</v>
      </c>
    </row>
    <row r="1018" spans="1:7" x14ac:dyDescent="0.25">
      <c r="A1018" s="116" t="s">
        <v>1442</v>
      </c>
      <c r="B1018" s="117" t="s">
        <v>1443</v>
      </c>
      <c r="C1018" t="s">
        <v>67</v>
      </c>
      <c r="D1018" t="s">
        <v>67</v>
      </c>
      <c r="E1018" t="s">
        <v>67</v>
      </c>
      <c r="F1018" t="s">
        <v>27987</v>
      </c>
      <c r="G1018" s="117">
        <v>226.46</v>
      </c>
    </row>
    <row r="1019" spans="1:7" x14ac:dyDescent="0.25">
      <c r="A1019" s="116" t="s">
        <v>1444</v>
      </c>
      <c r="B1019" s="117" t="s">
        <v>1445</v>
      </c>
      <c r="C1019" t="s">
        <v>67</v>
      </c>
      <c r="D1019" t="s">
        <v>67</v>
      </c>
      <c r="E1019" t="s">
        <v>67</v>
      </c>
      <c r="F1019" t="s">
        <v>27987</v>
      </c>
      <c r="G1019" s="117">
        <v>155.63</v>
      </c>
    </row>
    <row r="1020" spans="1:7" x14ac:dyDescent="0.25">
      <c r="A1020" s="116" t="s">
        <v>1446</v>
      </c>
      <c r="B1020" s="117" t="s">
        <v>1447</v>
      </c>
      <c r="C1020" t="s">
        <v>67</v>
      </c>
      <c r="D1020" t="s">
        <v>67</v>
      </c>
      <c r="E1020" t="s">
        <v>67</v>
      </c>
      <c r="F1020" t="s">
        <v>27987</v>
      </c>
      <c r="G1020" s="117">
        <v>16.46</v>
      </c>
    </row>
    <row r="1021" spans="1:7" x14ac:dyDescent="0.25">
      <c r="A1021" s="116" t="s">
        <v>1448</v>
      </c>
      <c r="B1021" s="117" t="s">
        <v>1449</v>
      </c>
      <c r="C1021" t="s">
        <v>67</v>
      </c>
      <c r="D1021" t="s">
        <v>67</v>
      </c>
      <c r="E1021" t="s">
        <v>67</v>
      </c>
      <c r="F1021" t="s">
        <v>27987</v>
      </c>
      <c r="G1021" s="117">
        <v>30.17</v>
      </c>
    </row>
    <row r="1022" spans="1:7" x14ac:dyDescent="0.25">
      <c r="A1022" s="116" t="s">
        <v>1450</v>
      </c>
      <c r="B1022" s="117" t="s">
        <v>1451</v>
      </c>
      <c r="C1022" t="s">
        <v>67</v>
      </c>
      <c r="D1022" t="s">
        <v>67</v>
      </c>
      <c r="E1022" t="s">
        <v>67</v>
      </c>
      <c r="F1022" t="s">
        <v>45</v>
      </c>
      <c r="G1022" s="117">
        <v>15.57</v>
      </c>
    </row>
    <row r="1023" spans="1:7" x14ac:dyDescent="0.25">
      <c r="A1023" s="116" t="s">
        <v>1452</v>
      </c>
      <c r="B1023" s="117" t="s">
        <v>1453</v>
      </c>
      <c r="C1023" t="s">
        <v>67</v>
      </c>
      <c r="D1023" t="s">
        <v>67</v>
      </c>
      <c r="E1023" t="s">
        <v>67</v>
      </c>
      <c r="F1023" t="s">
        <v>45</v>
      </c>
      <c r="G1023" s="117">
        <v>26.25</v>
      </c>
    </row>
    <row r="1024" spans="1:7" x14ac:dyDescent="0.25">
      <c r="A1024" s="116" t="s">
        <v>1454</v>
      </c>
      <c r="B1024" s="117" t="s">
        <v>1455</v>
      </c>
      <c r="C1024" t="s">
        <v>67</v>
      </c>
      <c r="D1024" t="s">
        <v>67</v>
      </c>
      <c r="E1024" t="s">
        <v>67</v>
      </c>
      <c r="F1024" t="s">
        <v>45</v>
      </c>
      <c r="G1024" s="117">
        <v>91.56</v>
      </c>
    </row>
    <row r="1025" spans="1:7" x14ac:dyDescent="0.25">
      <c r="A1025" s="116" t="s">
        <v>1456</v>
      </c>
      <c r="B1025" s="117" t="s">
        <v>1457</v>
      </c>
      <c r="C1025" t="s">
        <v>67</v>
      </c>
      <c r="D1025" t="s">
        <v>67</v>
      </c>
      <c r="E1025" t="s">
        <v>67</v>
      </c>
      <c r="F1025" t="s">
        <v>45</v>
      </c>
      <c r="G1025" s="117">
        <v>29.27</v>
      </c>
    </row>
    <row r="1026" spans="1:7" x14ac:dyDescent="0.25">
      <c r="A1026" s="116" t="s">
        <v>1458</v>
      </c>
      <c r="B1026" s="117" t="s">
        <v>1459</v>
      </c>
      <c r="C1026" t="s">
        <v>67</v>
      </c>
      <c r="D1026" t="s">
        <v>67</v>
      </c>
      <c r="E1026" t="s">
        <v>67</v>
      </c>
      <c r="F1026" t="s">
        <v>45</v>
      </c>
      <c r="G1026" s="117">
        <v>59.18</v>
      </c>
    </row>
    <row r="1027" spans="1:7" x14ac:dyDescent="0.25">
      <c r="A1027" s="116" t="s">
        <v>1460</v>
      </c>
      <c r="B1027" s="117" t="s">
        <v>1461</v>
      </c>
      <c r="C1027" t="s">
        <v>67</v>
      </c>
      <c r="D1027" t="s">
        <v>67</v>
      </c>
      <c r="E1027" t="s">
        <v>67</v>
      </c>
      <c r="F1027" t="s">
        <v>45</v>
      </c>
      <c r="G1027" s="117">
        <v>40.49</v>
      </c>
    </row>
    <row r="1028" spans="1:7" x14ac:dyDescent="0.25">
      <c r="A1028" s="116" t="s">
        <v>1462</v>
      </c>
      <c r="B1028" s="117" t="s">
        <v>1461</v>
      </c>
      <c r="C1028" t="s">
        <v>67</v>
      </c>
      <c r="D1028" t="s">
        <v>67</v>
      </c>
      <c r="E1028" t="s">
        <v>67</v>
      </c>
      <c r="F1028" t="s">
        <v>45</v>
      </c>
      <c r="G1028" s="117">
        <v>38.700000000000003</v>
      </c>
    </row>
    <row r="1029" spans="1:7" x14ac:dyDescent="0.25">
      <c r="A1029" s="116" t="s">
        <v>1463</v>
      </c>
      <c r="B1029" s="117" t="s">
        <v>465</v>
      </c>
      <c r="C1029" t="s">
        <v>67</v>
      </c>
      <c r="D1029" t="s">
        <v>67</v>
      </c>
      <c r="E1029" t="s">
        <v>67</v>
      </c>
      <c r="F1029" t="s">
        <v>45</v>
      </c>
      <c r="G1029" s="117">
        <v>187.67</v>
      </c>
    </row>
    <row r="1030" spans="1:7" x14ac:dyDescent="0.25">
      <c r="A1030" s="116" t="s">
        <v>1464</v>
      </c>
      <c r="B1030" s="117" t="s">
        <v>1465</v>
      </c>
      <c r="C1030" t="s">
        <v>67</v>
      </c>
      <c r="D1030" t="s">
        <v>67</v>
      </c>
      <c r="E1030" t="s">
        <v>67</v>
      </c>
      <c r="F1030" t="s">
        <v>27987</v>
      </c>
      <c r="G1030" s="117">
        <v>29.27</v>
      </c>
    </row>
    <row r="1031" spans="1:7" x14ac:dyDescent="0.25">
      <c r="A1031" s="116" t="s">
        <v>1466</v>
      </c>
      <c r="B1031" s="117" t="s">
        <v>1467</v>
      </c>
      <c r="C1031" t="s">
        <v>67</v>
      </c>
      <c r="D1031" t="s">
        <v>67</v>
      </c>
      <c r="E1031" t="s">
        <v>67</v>
      </c>
      <c r="F1031" t="s">
        <v>45</v>
      </c>
      <c r="G1031" s="117">
        <v>25.71</v>
      </c>
    </row>
    <row r="1032" spans="1:7" x14ac:dyDescent="0.25">
      <c r="A1032" s="116" t="s">
        <v>1468</v>
      </c>
      <c r="B1032" s="117" t="s">
        <v>1469</v>
      </c>
      <c r="C1032" t="s">
        <v>67</v>
      </c>
      <c r="D1032" t="s">
        <v>67</v>
      </c>
      <c r="E1032" t="s">
        <v>67</v>
      </c>
      <c r="F1032" t="s">
        <v>45</v>
      </c>
      <c r="G1032" s="117">
        <v>22.69</v>
      </c>
    </row>
    <row r="1033" spans="1:7" x14ac:dyDescent="0.25">
      <c r="A1033" s="116" t="s">
        <v>1470</v>
      </c>
      <c r="B1033" s="117" t="s">
        <v>1471</v>
      </c>
      <c r="C1033" t="s">
        <v>67</v>
      </c>
      <c r="D1033" t="s">
        <v>67</v>
      </c>
      <c r="E1033" t="s">
        <v>67</v>
      </c>
      <c r="F1033" t="s">
        <v>45</v>
      </c>
      <c r="G1033" s="117">
        <v>70.2</v>
      </c>
    </row>
    <row r="1034" spans="1:7" x14ac:dyDescent="0.25">
      <c r="A1034" s="116" t="s">
        <v>1472</v>
      </c>
      <c r="B1034" s="117" t="s">
        <v>1473</v>
      </c>
      <c r="C1034" t="s">
        <v>67</v>
      </c>
      <c r="D1034" t="s">
        <v>67</v>
      </c>
      <c r="E1034" t="s">
        <v>67</v>
      </c>
      <c r="F1034" t="s">
        <v>27987</v>
      </c>
      <c r="G1034" s="117">
        <v>405.82</v>
      </c>
    </row>
    <row r="1035" spans="1:7" x14ac:dyDescent="0.25">
      <c r="A1035" s="116" t="s">
        <v>1474</v>
      </c>
      <c r="B1035" s="117" t="s">
        <v>1475</v>
      </c>
      <c r="C1035" t="s">
        <v>67</v>
      </c>
      <c r="D1035" t="s">
        <v>67</v>
      </c>
      <c r="E1035" t="s">
        <v>67</v>
      </c>
      <c r="F1035" t="s">
        <v>27987</v>
      </c>
      <c r="G1035" s="117">
        <v>59.18</v>
      </c>
    </row>
    <row r="1036" spans="1:7" x14ac:dyDescent="0.25">
      <c r="A1036" s="116" t="s">
        <v>1476</v>
      </c>
      <c r="B1036" s="117" t="s">
        <v>1477</v>
      </c>
      <c r="C1036" t="s">
        <v>67</v>
      </c>
      <c r="D1036" t="s">
        <v>67</v>
      </c>
      <c r="E1036" t="s">
        <v>67</v>
      </c>
      <c r="F1036" t="s">
        <v>27987</v>
      </c>
      <c r="G1036" s="117">
        <v>20.38</v>
      </c>
    </row>
    <row r="1037" spans="1:7" x14ac:dyDescent="0.25">
      <c r="A1037" s="116" t="s">
        <v>1478</v>
      </c>
      <c r="B1037" s="117" t="s">
        <v>1479</v>
      </c>
      <c r="C1037" t="s">
        <v>67</v>
      </c>
      <c r="D1037" t="s">
        <v>67</v>
      </c>
      <c r="E1037" t="s">
        <v>67</v>
      </c>
      <c r="F1037" t="s">
        <v>27987</v>
      </c>
      <c r="G1037" s="117">
        <v>14.14</v>
      </c>
    </row>
    <row r="1038" spans="1:7" x14ac:dyDescent="0.25">
      <c r="A1038" s="116" t="s">
        <v>1480</v>
      </c>
      <c r="B1038" s="117" t="s">
        <v>1481</v>
      </c>
      <c r="C1038" t="s">
        <v>67</v>
      </c>
      <c r="D1038" t="s">
        <v>67</v>
      </c>
      <c r="E1038" t="s">
        <v>67</v>
      </c>
      <c r="F1038" t="s">
        <v>27987</v>
      </c>
      <c r="G1038" s="117">
        <v>23.05</v>
      </c>
    </row>
    <row r="1039" spans="1:7" x14ac:dyDescent="0.25">
      <c r="A1039" s="116" t="s">
        <v>1482</v>
      </c>
      <c r="B1039" s="117" t="s">
        <v>1483</v>
      </c>
      <c r="C1039" t="s">
        <v>67</v>
      </c>
      <c r="D1039" t="s">
        <v>67</v>
      </c>
      <c r="E1039" t="s">
        <v>67</v>
      </c>
      <c r="F1039" t="s">
        <v>45</v>
      </c>
      <c r="G1039" s="117">
        <v>51.52</v>
      </c>
    </row>
    <row r="1040" spans="1:7" x14ac:dyDescent="0.25">
      <c r="A1040" s="116" t="s">
        <v>1484</v>
      </c>
      <c r="B1040" s="117" t="s">
        <v>1485</v>
      </c>
      <c r="C1040" t="s">
        <v>67</v>
      </c>
      <c r="D1040" t="s">
        <v>67</v>
      </c>
      <c r="E1040" t="s">
        <v>67</v>
      </c>
      <c r="F1040" t="s">
        <v>45</v>
      </c>
      <c r="G1040" s="117">
        <v>65.400000000000006</v>
      </c>
    </row>
    <row r="1041" spans="1:7" x14ac:dyDescent="0.25">
      <c r="A1041" s="116" t="s">
        <v>1486</v>
      </c>
      <c r="B1041" s="117" t="s">
        <v>1487</v>
      </c>
      <c r="C1041" t="s">
        <v>67</v>
      </c>
      <c r="D1041" t="s">
        <v>67</v>
      </c>
      <c r="E1041" t="s">
        <v>67</v>
      </c>
      <c r="F1041" t="s">
        <v>27987</v>
      </c>
      <c r="G1041" s="117">
        <v>14.14</v>
      </c>
    </row>
    <row r="1042" spans="1:7" x14ac:dyDescent="0.25">
      <c r="A1042" s="116" t="s">
        <v>1488</v>
      </c>
      <c r="B1042" s="117" t="s">
        <v>1489</v>
      </c>
      <c r="C1042" t="s">
        <v>67</v>
      </c>
      <c r="D1042" t="s">
        <v>67</v>
      </c>
      <c r="E1042" t="s">
        <v>67</v>
      </c>
      <c r="F1042" t="s">
        <v>49</v>
      </c>
      <c r="G1042" s="117">
        <v>73.5</v>
      </c>
    </row>
    <row r="1043" spans="1:7" x14ac:dyDescent="0.25">
      <c r="A1043" s="116" t="s">
        <v>26860</v>
      </c>
      <c r="B1043" s="117" t="s">
        <v>28359</v>
      </c>
      <c r="C1043" t="s">
        <v>67</v>
      </c>
      <c r="D1043" t="s">
        <v>67</v>
      </c>
      <c r="E1043" t="s">
        <v>67</v>
      </c>
      <c r="F1043" t="s">
        <v>27987</v>
      </c>
      <c r="G1043" s="117">
        <v>80</v>
      </c>
    </row>
    <row r="1044" spans="1:7" x14ac:dyDescent="0.25">
      <c r="A1044" s="116" t="s">
        <v>1490</v>
      </c>
      <c r="B1044" s="117" t="s">
        <v>1491</v>
      </c>
      <c r="C1044" t="s">
        <v>67</v>
      </c>
      <c r="D1044" t="s">
        <v>67</v>
      </c>
      <c r="E1044" t="s">
        <v>67</v>
      </c>
      <c r="F1044" t="s">
        <v>27987</v>
      </c>
      <c r="G1044" s="117">
        <v>29.81</v>
      </c>
    </row>
    <row r="1045" spans="1:7" x14ac:dyDescent="0.25">
      <c r="A1045" s="116" t="s">
        <v>1492</v>
      </c>
      <c r="B1045" s="117" t="s">
        <v>28360</v>
      </c>
      <c r="C1045" t="s">
        <v>67</v>
      </c>
      <c r="D1045" t="s">
        <v>67</v>
      </c>
      <c r="E1045" t="s">
        <v>67</v>
      </c>
      <c r="F1045" t="s">
        <v>27987</v>
      </c>
      <c r="G1045" s="117">
        <v>38.700000000000003</v>
      </c>
    </row>
    <row r="1046" spans="1:7" x14ac:dyDescent="0.25">
      <c r="A1046" s="116" t="s">
        <v>1493</v>
      </c>
      <c r="B1046" s="117" t="s">
        <v>1477</v>
      </c>
      <c r="C1046" t="s">
        <v>67</v>
      </c>
      <c r="D1046" t="s">
        <v>67</v>
      </c>
      <c r="E1046" t="s">
        <v>67</v>
      </c>
      <c r="F1046" t="s">
        <v>45</v>
      </c>
      <c r="G1046" s="117">
        <v>11.48</v>
      </c>
    </row>
    <row r="1047" spans="1:7" x14ac:dyDescent="0.25">
      <c r="A1047" s="116" t="s">
        <v>1494</v>
      </c>
      <c r="B1047" s="117" t="s">
        <v>1495</v>
      </c>
      <c r="C1047" t="s">
        <v>67</v>
      </c>
      <c r="D1047" t="s">
        <v>67</v>
      </c>
      <c r="E1047" t="s">
        <v>67</v>
      </c>
      <c r="F1047" t="s">
        <v>45</v>
      </c>
      <c r="G1047" s="117">
        <v>49.73</v>
      </c>
    </row>
    <row r="1048" spans="1:7" x14ac:dyDescent="0.25">
      <c r="A1048" s="116" t="s">
        <v>1496</v>
      </c>
      <c r="B1048" s="117" t="s">
        <v>1497</v>
      </c>
      <c r="C1048" t="s">
        <v>67</v>
      </c>
      <c r="D1048" t="s">
        <v>67</v>
      </c>
      <c r="E1048" t="s">
        <v>67</v>
      </c>
      <c r="F1048" t="s">
        <v>45</v>
      </c>
      <c r="G1048" s="117">
        <v>37.29</v>
      </c>
    </row>
    <row r="1049" spans="1:7" x14ac:dyDescent="0.25">
      <c r="A1049" s="116" t="s">
        <v>1498</v>
      </c>
      <c r="B1049" s="117" t="s">
        <v>28361</v>
      </c>
      <c r="C1049" t="s">
        <v>67</v>
      </c>
      <c r="D1049" t="s">
        <v>67</v>
      </c>
      <c r="E1049" t="s">
        <v>67</v>
      </c>
      <c r="F1049" t="s">
        <v>45</v>
      </c>
      <c r="G1049" s="117">
        <v>111.09</v>
      </c>
    </row>
    <row r="1050" spans="1:7" x14ac:dyDescent="0.25">
      <c r="A1050" s="116" t="s">
        <v>1499</v>
      </c>
      <c r="B1050" s="117" t="s">
        <v>1500</v>
      </c>
      <c r="C1050" t="s">
        <v>67</v>
      </c>
      <c r="D1050" t="s">
        <v>67</v>
      </c>
      <c r="E1050" t="s">
        <v>67</v>
      </c>
      <c r="F1050" t="s">
        <v>27987</v>
      </c>
      <c r="G1050" s="117">
        <v>72.52</v>
      </c>
    </row>
    <row r="1051" spans="1:7" x14ac:dyDescent="0.25">
      <c r="A1051" s="116" t="s">
        <v>1501</v>
      </c>
      <c r="B1051" s="117" t="s">
        <v>1435</v>
      </c>
      <c r="C1051" t="s">
        <v>67</v>
      </c>
      <c r="D1051" t="s">
        <v>67</v>
      </c>
      <c r="E1051" t="s">
        <v>67</v>
      </c>
      <c r="F1051" t="s">
        <v>45</v>
      </c>
      <c r="G1051" s="117">
        <v>139.26</v>
      </c>
    </row>
    <row r="1052" spans="1:7" x14ac:dyDescent="0.25">
      <c r="A1052" s="116" t="s">
        <v>1502</v>
      </c>
      <c r="B1052" s="117" t="s">
        <v>1503</v>
      </c>
      <c r="C1052" t="s">
        <v>67</v>
      </c>
      <c r="D1052" t="s">
        <v>67</v>
      </c>
      <c r="E1052" t="s">
        <v>67</v>
      </c>
      <c r="F1052" t="s">
        <v>27987</v>
      </c>
      <c r="G1052" s="117">
        <v>67.180000000000007</v>
      </c>
    </row>
    <row r="1053" spans="1:7" x14ac:dyDescent="0.25">
      <c r="A1053" s="116" t="s">
        <v>1504</v>
      </c>
      <c r="B1053" s="117" t="s">
        <v>1505</v>
      </c>
      <c r="C1053" t="s">
        <v>67</v>
      </c>
      <c r="D1053" t="s">
        <v>67</v>
      </c>
      <c r="E1053" t="s">
        <v>67</v>
      </c>
      <c r="F1053" t="s">
        <v>45</v>
      </c>
      <c r="G1053" s="117">
        <v>155.63</v>
      </c>
    </row>
    <row r="1054" spans="1:7" x14ac:dyDescent="0.25">
      <c r="A1054" s="116" t="s">
        <v>1506</v>
      </c>
      <c r="B1054" s="117" t="s">
        <v>1507</v>
      </c>
      <c r="C1054" t="s">
        <v>67</v>
      </c>
      <c r="D1054" t="s">
        <v>67</v>
      </c>
      <c r="E1054" t="s">
        <v>67</v>
      </c>
      <c r="F1054" t="s">
        <v>45</v>
      </c>
      <c r="G1054" s="117">
        <v>140.5</v>
      </c>
    </row>
    <row r="1055" spans="1:7" x14ac:dyDescent="0.25">
      <c r="A1055" s="116" t="s">
        <v>1508</v>
      </c>
      <c r="B1055" s="117" t="s">
        <v>1509</v>
      </c>
      <c r="C1055" t="s">
        <v>67</v>
      </c>
      <c r="D1055" t="s">
        <v>67</v>
      </c>
      <c r="E1055" t="s">
        <v>67</v>
      </c>
      <c r="F1055" t="s">
        <v>27987</v>
      </c>
      <c r="G1055" s="117">
        <v>42.26</v>
      </c>
    </row>
    <row r="1056" spans="1:7" x14ac:dyDescent="0.25">
      <c r="A1056" s="116" t="s">
        <v>1510</v>
      </c>
      <c r="B1056" s="117" t="s">
        <v>1511</v>
      </c>
      <c r="C1056" t="s">
        <v>67</v>
      </c>
      <c r="D1056" t="s">
        <v>67</v>
      </c>
      <c r="E1056" t="s">
        <v>67</v>
      </c>
      <c r="F1056" t="s">
        <v>49</v>
      </c>
      <c r="G1056" s="117">
        <v>17.7</v>
      </c>
    </row>
    <row r="1057" spans="1:7" x14ac:dyDescent="0.25">
      <c r="A1057" s="116" t="s">
        <v>28126</v>
      </c>
      <c r="B1057" s="117" t="s">
        <v>28127</v>
      </c>
      <c r="C1057" t="s">
        <v>67</v>
      </c>
      <c r="D1057" t="s">
        <v>67</v>
      </c>
      <c r="E1057" t="s">
        <v>67</v>
      </c>
      <c r="F1057" t="s">
        <v>45</v>
      </c>
      <c r="G1057" s="117">
        <v>9999</v>
      </c>
    </row>
    <row r="1058" spans="1:7" x14ac:dyDescent="0.25">
      <c r="A1058" s="116" t="s">
        <v>1512</v>
      </c>
      <c r="B1058" s="117" t="s">
        <v>1513</v>
      </c>
      <c r="C1058" t="s">
        <v>67</v>
      </c>
      <c r="D1058" t="s">
        <v>67</v>
      </c>
      <c r="E1058" t="s">
        <v>67</v>
      </c>
      <c r="F1058" t="s">
        <v>27987</v>
      </c>
      <c r="G1058" s="117">
        <v>38.18</v>
      </c>
    </row>
    <row r="1059" spans="1:7" x14ac:dyDescent="0.25">
      <c r="A1059" s="116" t="s">
        <v>1514</v>
      </c>
      <c r="B1059" s="117" t="s">
        <v>1515</v>
      </c>
      <c r="C1059" t="s">
        <v>67</v>
      </c>
      <c r="D1059" t="s">
        <v>67</v>
      </c>
      <c r="E1059" t="s">
        <v>67</v>
      </c>
      <c r="F1059" t="s">
        <v>27987</v>
      </c>
      <c r="G1059" s="117">
        <v>42.26</v>
      </c>
    </row>
    <row r="1060" spans="1:7" x14ac:dyDescent="0.25">
      <c r="A1060" s="116" t="s">
        <v>1516</v>
      </c>
      <c r="B1060" s="117" t="s">
        <v>1517</v>
      </c>
      <c r="C1060" t="s">
        <v>67</v>
      </c>
      <c r="D1060" t="s">
        <v>67</v>
      </c>
      <c r="E1060" t="s">
        <v>67</v>
      </c>
      <c r="F1060" t="s">
        <v>27987</v>
      </c>
      <c r="G1060" s="117">
        <v>222.01</v>
      </c>
    </row>
    <row r="1061" spans="1:7" x14ac:dyDescent="0.25">
      <c r="A1061" s="116" t="s">
        <v>1518</v>
      </c>
      <c r="B1061" s="117" t="s">
        <v>1519</v>
      </c>
      <c r="C1061" t="s">
        <v>67</v>
      </c>
      <c r="D1061" t="s">
        <v>67</v>
      </c>
      <c r="E1061" t="s">
        <v>67</v>
      </c>
      <c r="F1061" t="s">
        <v>27987</v>
      </c>
      <c r="G1061" s="117">
        <v>11.57</v>
      </c>
    </row>
    <row r="1062" spans="1:7" x14ac:dyDescent="0.25">
      <c r="A1062" s="116" t="s">
        <v>1520</v>
      </c>
      <c r="B1062" s="117" t="s">
        <v>1521</v>
      </c>
      <c r="C1062" t="s">
        <v>67</v>
      </c>
      <c r="D1062" t="s">
        <v>67</v>
      </c>
      <c r="E1062" t="s">
        <v>67</v>
      </c>
      <c r="F1062" t="s">
        <v>27987</v>
      </c>
      <c r="G1062" s="117">
        <v>228.6</v>
      </c>
    </row>
    <row r="1063" spans="1:7" x14ac:dyDescent="0.25">
      <c r="A1063" s="116" t="s">
        <v>1522</v>
      </c>
      <c r="B1063" s="117" t="s">
        <v>1523</v>
      </c>
      <c r="C1063" t="s">
        <v>67</v>
      </c>
      <c r="D1063" t="s">
        <v>67</v>
      </c>
      <c r="E1063" t="s">
        <v>67</v>
      </c>
      <c r="F1063" t="s">
        <v>27987</v>
      </c>
      <c r="G1063" s="117">
        <v>160.08000000000001</v>
      </c>
    </row>
    <row r="1064" spans="1:7" x14ac:dyDescent="0.25">
      <c r="A1064" s="116" t="s">
        <v>1524</v>
      </c>
      <c r="B1064" s="117" t="s">
        <v>1525</v>
      </c>
      <c r="C1064" t="s">
        <v>67</v>
      </c>
      <c r="D1064" t="s">
        <v>67</v>
      </c>
      <c r="E1064" t="s">
        <v>67</v>
      </c>
      <c r="F1064" t="s">
        <v>27987</v>
      </c>
      <c r="G1064" s="117">
        <v>81.77</v>
      </c>
    </row>
    <row r="1065" spans="1:7" x14ac:dyDescent="0.25">
      <c r="A1065" s="116" t="s">
        <v>1526</v>
      </c>
      <c r="B1065" s="117" t="s">
        <v>1527</v>
      </c>
      <c r="C1065" t="s">
        <v>67</v>
      </c>
      <c r="D1065" t="s">
        <v>67</v>
      </c>
      <c r="E1065" t="s">
        <v>67</v>
      </c>
      <c r="F1065" t="s">
        <v>45</v>
      </c>
      <c r="G1065" s="117">
        <v>554.80999999999995</v>
      </c>
    </row>
    <row r="1066" spans="1:7" x14ac:dyDescent="0.25">
      <c r="A1066" s="116" t="s">
        <v>1528</v>
      </c>
      <c r="B1066" s="117" t="s">
        <v>1529</v>
      </c>
      <c r="C1066" t="s">
        <v>67</v>
      </c>
      <c r="D1066" t="s">
        <v>67</v>
      </c>
      <c r="E1066" t="s">
        <v>67</v>
      </c>
      <c r="F1066" t="s">
        <v>27987</v>
      </c>
      <c r="G1066" s="117">
        <v>77.319999999999993</v>
      </c>
    </row>
    <row r="1067" spans="1:7" x14ac:dyDescent="0.25">
      <c r="A1067" s="116" t="s">
        <v>1530</v>
      </c>
      <c r="B1067" s="117" t="s">
        <v>1531</v>
      </c>
      <c r="C1067" t="s">
        <v>67</v>
      </c>
      <c r="D1067" t="s">
        <v>67</v>
      </c>
      <c r="E1067" t="s">
        <v>67</v>
      </c>
      <c r="F1067" t="s">
        <v>27987</v>
      </c>
      <c r="G1067" s="117">
        <v>34.619999999999997</v>
      </c>
    </row>
    <row r="1068" spans="1:7" x14ac:dyDescent="0.25">
      <c r="A1068" s="116" t="s">
        <v>1532</v>
      </c>
      <c r="B1068" s="117" t="s">
        <v>1533</v>
      </c>
      <c r="C1068" t="s">
        <v>67</v>
      </c>
      <c r="D1068" t="s">
        <v>67</v>
      </c>
      <c r="E1068" t="s">
        <v>67</v>
      </c>
      <c r="F1068" t="s">
        <v>27987</v>
      </c>
      <c r="G1068" s="117">
        <v>3.48</v>
      </c>
    </row>
    <row r="1069" spans="1:7" x14ac:dyDescent="0.25">
      <c r="A1069" s="116" t="s">
        <v>1534</v>
      </c>
      <c r="B1069" s="117" t="s">
        <v>1535</v>
      </c>
      <c r="C1069" t="s">
        <v>67</v>
      </c>
      <c r="D1069" t="s">
        <v>67</v>
      </c>
      <c r="E1069" t="s">
        <v>67</v>
      </c>
      <c r="F1069" t="s">
        <v>27987</v>
      </c>
      <c r="G1069" s="117">
        <v>4.3600000000000003</v>
      </c>
    </row>
    <row r="1070" spans="1:7" x14ac:dyDescent="0.25">
      <c r="A1070" s="116" t="s">
        <v>1536</v>
      </c>
      <c r="B1070" s="117" t="s">
        <v>1537</v>
      </c>
      <c r="C1070" t="s">
        <v>67</v>
      </c>
      <c r="D1070" t="s">
        <v>67</v>
      </c>
      <c r="E1070" t="s">
        <v>67</v>
      </c>
      <c r="F1070" t="s">
        <v>27987</v>
      </c>
      <c r="G1070" s="117">
        <v>15.57</v>
      </c>
    </row>
    <row r="1071" spans="1:7" x14ac:dyDescent="0.25">
      <c r="A1071" s="116" t="s">
        <v>1538</v>
      </c>
      <c r="B1071" s="117" t="s">
        <v>1539</v>
      </c>
      <c r="C1071" t="s">
        <v>67</v>
      </c>
      <c r="D1071" t="s">
        <v>67</v>
      </c>
      <c r="E1071" t="s">
        <v>67</v>
      </c>
      <c r="F1071" t="s">
        <v>27987</v>
      </c>
      <c r="G1071" s="117">
        <v>15.57</v>
      </c>
    </row>
    <row r="1072" spans="1:7" x14ac:dyDescent="0.25">
      <c r="A1072" s="116" t="s">
        <v>1540</v>
      </c>
      <c r="B1072" s="117" t="s">
        <v>1541</v>
      </c>
      <c r="C1072" t="s">
        <v>67</v>
      </c>
      <c r="D1072" t="s">
        <v>67</v>
      </c>
      <c r="E1072" t="s">
        <v>67</v>
      </c>
      <c r="F1072" t="s">
        <v>45</v>
      </c>
      <c r="G1072" s="117">
        <v>151.71</v>
      </c>
    </row>
    <row r="1073" spans="1:7" x14ac:dyDescent="0.25">
      <c r="A1073" s="116" t="s">
        <v>1542</v>
      </c>
      <c r="B1073" s="117" t="s">
        <v>1543</v>
      </c>
      <c r="C1073" t="s">
        <v>67</v>
      </c>
      <c r="D1073" t="s">
        <v>67</v>
      </c>
      <c r="E1073" t="s">
        <v>67</v>
      </c>
      <c r="F1073" t="s">
        <v>45</v>
      </c>
      <c r="G1073" s="117">
        <v>39.06</v>
      </c>
    </row>
    <row r="1074" spans="1:7" x14ac:dyDescent="0.25">
      <c r="A1074" s="116" t="s">
        <v>1544</v>
      </c>
      <c r="B1074" s="117" t="s">
        <v>1545</v>
      </c>
      <c r="C1074" t="s">
        <v>67</v>
      </c>
      <c r="D1074" t="s">
        <v>67</v>
      </c>
      <c r="E1074" t="s">
        <v>67</v>
      </c>
      <c r="F1074" t="s">
        <v>27987</v>
      </c>
      <c r="G1074" s="117">
        <v>359.4</v>
      </c>
    </row>
    <row r="1075" spans="1:7" x14ac:dyDescent="0.25">
      <c r="A1075" s="116" t="s">
        <v>1546</v>
      </c>
      <c r="B1075" s="117" t="s">
        <v>1547</v>
      </c>
      <c r="C1075" t="s">
        <v>67</v>
      </c>
      <c r="D1075" t="s">
        <v>67</v>
      </c>
      <c r="E1075" t="s">
        <v>67</v>
      </c>
      <c r="F1075" t="s">
        <v>27987</v>
      </c>
      <c r="G1075" s="117">
        <v>60.42</v>
      </c>
    </row>
    <row r="1076" spans="1:7" x14ac:dyDescent="0.25">
      <c r="A1076" s="116" t="s">
        <v>1548</v>
      </c>
      <c r="B1076" s="117" t="s">
        <v>1549</v>
      </c>
      <c r="C1076" t="s">
        <v>67</v>
      </c>
      <c r="D1076" t="s">
        <v>67</v>
      </c>
      <c r="E1076" t="s">
        <v>67</v>
      </c>
      <c r="F1076" t="s">
        <v>27987</v>
      </c>
      <c r="G1076" s="117">
        <v>69.86</v>
      </c>
    </row>
    <row r="1077" spans="1:7" x14ac:dyDescent="0.25">
      <c r="A1077" s="116" t="s">
        <v>1550</v>
      </c>
      <c r="B1077" s="117" t="s">
        <v>1551</v>
      </c>
      <c r="C1077" t="s">
        <v>67</v>
      </c>
      <c r="D1077" t="s">
        <v>67</v>
      </c>
      <c r="E1077" t="s">
        <v>67</v>
      </c>
      <c r="F1077" t="s">
        <v>45</v>
      </c>
      <c r="G1077" s="117">
        <v>35.5</v>
      </c>
    </row>
    <row r="1078" spans="1:7" x14ac:dyDescent="0.25">
      <c r="A1078" s="116" t="s">
        <v>1552</v>
      </c>
      <c r="B1078" s="117" t="s">
        <v>1553</v>
      </c>
      <c r="C1078" t="s">
        <v>67</v>
      </c>
      <c r="D1078" t="s">
        <v>67</v>
      </c>
      <c r="E1078" t="s">
        <v>67</v>
      </c>
      <c r="F1078" t="s">
        <v>27987</v>
      </c>
      <c r="G1078" s="117">
        <v>179.66</v>
      </c>
    </row>
    <row r="1079" spans="1:7" x14ac:dyDescent="0.25">
      <c r="A1079" s="116" t="s">
        <v>1554</v>
      </c>
      <c r="B1079" s="117" t="s">
        <v>1555</v>
      </c>
      <c r="C1079" t="s">
        <v>67</v>
      </c>
      <c r="D1079" t="s">
        <v>67</v>
      </c>
      <c r="E1079" t="s">
        <v>67</v>
      </c>
      <c r="F1079" t="s">
        <v>27987</v>
      </c>
      <c r="G1079" s="117">
        <v>29.81</v>
      </c>
    </row>
    <row r="1080" spans="1:7" x14ac:dyDescent="0.25">
      <c r="A1080" s="116" t="s">
        <v>26537</v>
      </c>
      <c r="B1080" s="117" t="s">
        <v>26538</v>
      </c>
      <c r="C1080" t="s">
        <v>67</v>
      </c>
      <c r="D1080" t="s">
        <v>67</v>
      </c>
      <c r="E1080" t="s">
        <v>67</v>
      </c>
      <c r="F1080" t="s">
        <v>45</v>
      </c>
      <c r="G1080" s="117">
        <v>11.84</v>
      </c>
    </row>
    <row r="1081" spans="1:7" x14ac:dyDescent="0.25">
      <c r="A1081" s="116" t="s">
        <v>1556</v>
      </c>
      <c r="B1081" s="117" t="s">
        <v>1557</v>
      </c>
      <c r="C1081" t="s">
        <v>67</v>
      </c>
      <c r="D1081" t="s">
        <v>67</v>
      </c>
      <c r="E1081" t="s">
        <v>67</v>
      </c>
      <c r="F1081" t="s">
        <v>27987</v>
      </c>
      <c r="G1081" s="117">
        <v>4.8899999999999997</v>
      </c>
    </row>
    <row r="1082" spans="1:7" x14ac:dyDescent="0.25">
      <c r="A1082" s="116" t="s">
        <v>1558</v>
      </c>
      <c r="B1082" s="117" t="s">
        <v>1559</v>
      </c>
      <c r="C1082" t="s">
        <v>67</v>
      </c>
      <c r="D1082" t="s">
        <v>67</v>
      </c>
      <c r="E1082" t="s">
        <v>67</v>
      </c>
      <c r="F1082" t="s">
        <v>27987</v>
      </c>
      <c r="G1082" s="117">
        <v>7.02</v>
      </c>
    </row>
    <row r="1083" spans="1:7" x14ac:dyDescent="0.25">
      <c r="A1083" s="116" t="s">
        <v>1560</v>
      </c>
      <c r="B1083" s="117" t="s">
        <v>1561</v>
      </c>
      <c r="C1083" t="s">
        <v>67</v>
      </c>
      <c r="D1083" t="s">
        <v>67</v>
      </c>
      <c r="E1083" t="s">
        <v>67</v>
      </c>
      <c r="F1083" t="s">
        <v>27987</v>
      </c>
      <c r="G1083" s="117">
        <v>615.67999999999995</v>
      </c>
    </row>
    <row r="1084" spans="1:7" x14ac:dyDescent="0.25">
      <c r="A1084" s="116" t="s">
        <v>1562</v>
      </c>
      <c r="B1084" s="117" t="s">
        <v>1563</v>
      </c>
      <c r="C1084" t="s">
        <v>67</v>
      </c>
      <c r="D1084" t="s">
        <v>67</v>
      </c>
      <c r="E1084" t="s">
        <v>67</v>
      </c>
      <c r="F1084" t="s">
        <v>27987</v>
      </c>
      <c r="G1084" s="117">
        <v>49.74</v>
      </c>
    </row>
    <row r="1085" spans="1:7" x14ac:dyDescent="0.25">
      <c r="A1085" s="116" t="s">
        <v>1564</v>
      </c>
      <c r="B1085" s="117" t="s">
        <v>1565</v>
      </c>
      <c r="C1085" t="s">
        <v>67</v>
      </c>
      <c r="D1085" t="s">
        <v>67</v>
      </c>
      <c r="E1085" t="s">
        <v>67</v>
      </c>
      <c r="F1085" t="s">
        <v>27987</v>
      </c>
      <c r="G1085" s="117">
        <v>24.61</v>
      </c>
    </row>
    <row r="1086" spans="1:7" x14ac:dyDescent="0.25">
      <c r="A1086" s="116" t="s">
        <v>1566</v>
      </c>
      <c r="B1086" s="117" t="s">
        <v>1567</v>
      </c>
      <c r="C1086" t="s">
        <v>67</v>
      </c>
      <c r="D1086" t="s">
        <v>67</v>
      </c>
      <c r="E1086" t="s">
        <v>67</v>
      </c>
      <c r="F1086" t="s">
        <v>27987</v>
      </c>
      <c r="G1086" s="117">
        <v>22.16</v>
      </c>
    </row>
    <row r="1087" spans="1:7" x14ac:dyDescent="0.25">
      <c r="A1087" s="116" t="s">
        <v>1568</v>
      </c>
      <c r="B1087" s="117" t="s">
        <v>1569</v>
      </c>
      <c r="C1087" t="s">
        <v>67</v>
      </c>
      <c r="D1087" t="s">
        <v>67</v>
      </c>
      <c r="E1087" t="s">
        <v>67</v>
      </c>
      <c r="F1087" t="s">
        <v>45</v>
      </c>
      <c r="G1087" s="117">
        <v>144.94999999999999</v>
      </c>
    </row>
    <row r="1088" spans="1:7" x14ac:dyDescent="0.25">
      <c r="A1088" s="116" t="s">
        <v>28003</v>
      </c>
      <c r="B1088" s="117" t="s">
        <v>28004</v>
      </c>
      <c r="C1088" t="s">
        <v>67</v>
      </c>
      <c r="D1088" t="s">
        <v>67</v>
      </c>
      <c r="E1088" t="s">
        <v>67</v>
      </c>
      <c r="F1088" t="s">
        <v>45</v>
      </c>
      <c r="G1088" s="117">
        <v>13.26</v>
      </c>
    </row>
    <row r="1089" spans="1:7" x14ac:dyDescent="0.25">
      <c r="A1089" s="116" t="s">
        <v>1570</v>
      </c>
      <c r="B1089" s="117" t="s">
        <v>1571</v>
      </c>
      <c r="C1089" t="s">
        <v>67</v>
      </c>
      <c r="D1089" t="s">
        <v>67</v>
      </c>
      <c r="E1089" t="s">
        <v>67</v>
      </c>
      <c r="F1089" t="s">
        <v>27987</v>
      </c>
      <c r="G1089" s="117">
        <v>69.86</v>
      </c>
    </row>
    <row r="1090" spans="1:7" x14ac:dyDescent="0.25">
      <c r="A1090" s="116" t="s">
        <v>1572</v>
      </c>
      <c r="B1090" s="117" t="s">
        <v>1573</v>
      </c>
      <c r="C1090" t="s">
        <v>67</v>
      </c>
      <c r="D1090" t="s">
        <v>67</v>
      </c>
      <c r="E1090" t="s">
        <v>67</v>
      </c>
      <c r="F1090" t="s">
        <v>45</v>
      </c>
      <c r="G1090" s="117">
        <v>15.93</v>
      </c>
    </row>
    <row r="1091" spans="1:7" x14ac:dyDescent="0.25">
      <c r="A1091" s="116" t="s">
        <v>1574</v>
      </c>
      <c r="B1091" s="117" t="s">
        <v>1575</v>
      </c>
      <c r="C1091" t="s">
        <v>67</v>
      </c>
      <c r="D1091" t="s">
        <v>67</v>
      </c>
      <c r="E1091" t="s">
        <v>67</v>
      </c>
      <c r="F1091" t="s">
        <v>45</v>
      </c>
      <c r="G1091" s="117">
        <v>76.08</v>
      </c>
    </row>
    <row r="1092" spans="1:7" x14ac:dyDescent="0.25">
      <c r="A1092" s="116" t="s">
        <v>1576</v>
      </c>
      <c r="B1092" s="117" t="s">
        <v>1577</v>
      </c>
      <c r="C1092" t="s">
        <v>67</v>
      </c>
      <c r="D1092" t="s">
        <v>67</v>
      </c>
      <c r="E1092" t="s">
        <v>67</v>
      </c>
      <c r="F1092" t="s">
        <v>45</v>
      </c>
      <c r="G1092" s="117">
        <v>212.58</v>
      </c>
    </row>
    <row r="1093" spans="1:7" x14ac:dyDescent="0.25">
      <c r="A1093" s="116" t="s">
        <v>1578</v>
      </c>
      <c r="B1093" s="117" t="s">
        <v>1579</v>
      </c>
      <c r="C1093" t="s">
        <v>67</v>
      </c>
      <c r="D1093" t="s">
        <v>67</v>
      </c>
      <c r="E1093" t="s">
        <v>67</v>
      </c>
      <c r="F1093" t="s">
        <v>45</v>
      </c>
      <c r="G1093" s="117">
        <v>107.23</v>
      </c>
    </row>
    <row r="1094" spans="1:7" x14ac:dyDescent="0.25">
      <c r="A1094" s="116" t="s">
        <v>1580</v>
      </c>
      <c r="B1094" s="117" t="s">
        <v>1581</v>
      </c>
      <c r="C1094" t="s">
        <v>67</v>
      </c>
      <c r="D1094" t="s">
        <v>67</v>
      </c>
      <c r="E1094" t="s">
        <v>67</v>
      </c>
      <c r="F1094" t="s">
        <v>27987</v>
      </c>
      <c r="G1094" s="117">
        <v>60.95</v>
      </c>
    </row>
    <row r="1095" spans="1:7" x14ac:dyDescent="0.25">
      <c r="A1095" s="116" t="s">
        <v>1582</v>
      </c>
      <c r="B1095" s="117" t="s">
        <v>1583</v>
      </c>
      <c r="C1095" t="s">
        <v>67</v>
      </c>
      <c r="D1095" t="s">
        <v>67</v>
      </c>
      <c r="E1095" t="s">
        <v>67</v>
      </c>
      <c r="F1095" t="s">
        <v>27987</v>
      </c>
      <c r="G1095" s="117">
        <v>23.05</v>
      </c>
    </row>
    <row r="1096" spans="1:7" x14ac:dyDescent="0.25">
      <c r="A1096" s="116" t="s">
        <v>1584</v>
      </c>
      <c r="B1096" s="117" t="s">
        <v>1585</v>
      </c>
      <c r="C1096" t="s">
        <v>67</v>
      </c>
      <c r="D1096" t="s">
        <v>67</v>
      </c>
      <c r="E1096" t="s">
        <v>67</v>
      </c>
      <c r="F1096" t="s">
        <v>45</v>
      </c>
      <c r="G1096" s="117">
        <v>71.63</v>
      </c>
    </row>
    <row r="1097" spans="1:7" x14ac:dyDescent="0.25">
      <c r="A1097" s="116" t="s">
        <v>1586</v>
      </c>
      <c r="B1097" s="117" t="s">
        <v>1587</v>
      </c>
      <c r="C1097" t="s">
        <v>67</v>
      </c>
      <c r="D1097" t="s">
        <v>67</v>
      </c>
      <c r="E1097" t="s">
        <v>67</v>
      </c>
      <c r="F1097" t="s">
        <v>27987</v>
      </c>
      <c r="G1097" s="117">
        <v>23.05</v>
      </c>
    </row>
    <row r="1098" spans="1:7" x14ac:dyDescent="0.25">
      <c r="A1098" s="116" t="s">
        <v>1588</v>
      </c>
      <c r="B1098" s="117" t="s">
        <v>1589</v>
      </c>
      <c r="C1098" t="s">
        <v>67</v>
      </c>
      <c r="D1098" t="s">
        <v>67</v>
      </c>
      <c r="E1098" t="s">
        <v>67</v>
      </c>
      <c r="F1098" t="s">
        <v>27987</v>
      </c>
      <c r="G1098" s="117">
        <v>34.26</v>
      </c>
    </row>
    <row r="1099" spans="1:7" x14ac:dyDescent="0.25">
      <c r="A1099" s="116" t="s">
        <v>1590</v>
      </c>
      <c r="B1099" s="117" t="s">
        <v>1591</v>
      </c>
      <c r="C1099" t="s">
        <v>67</v>
      </c>
      <c r="D1099" t="s">
        <v>67</v>
      </c>
      <c r="E1099" t="s">
        <v>67</v>
      </c>
      <c r="F1099" t="s">
        <v>27990</v>
      </c>
      <c r="G1099" s="117">
        <v>36.04</v>
      </c>
    </row>
    <row r="1100" spans="1:7" x14ac:dyDescent="0.25">
      <c r="A1100" s="116" t="s">
        <v>1592</v>
      </c>
      <c r="B1100" s="117" t="s">
        <v>460</v>
      </c>
      <c r="C1100" t="s">
        <v>67</v>
      </c>
      <c r="D1100" t="s">
        <v>67</v>
      </c>
      <c r="E1100" t="s">
        <v>67</v>
      </c>
      <c r="F1100" t="s">
        <v>27987</v>
      </c>
      <c r="G1100" s="117">
        <v>36.93</v>
      </c>
    </row>
    <row r="1101" spans="1:7" x14ac:dyDescent="0.25">
      <c r="A1101" s="116" t="s">
        <v>1593</v>
      </c>
      <c r="B1101" s="117" t="s">
        <v>1382</v>
      </c>
      <c r="C1101" t="s">
        <v>67</v>
      </c>
      <c r="D1101" t="s">
        <v>67</v>
      </c>
      <c r="E1101" t="s">
        <v>67</v>
      </c>
      <c r="F1101" t="s">
        <v>45</v>
      </c>
      <c r="G1101" s="117">
        <v>34.26</v>
      </c>
    </row>
    <row r="1102" spans="1:7" x14ac:dyDescent="0.25">
      <c r="A1102" s="116" t="s">
        <v>1594</v>
      </c>
      <c r="B1102" s="117" t="s">
        <v>1595</v>
      </c>
      <c r="C1102" t="s">
        <v>67</v>
      </c>
      <c r="D1102" t="s">
        <v>67</v>
      </c>
      <c r="E1102" t="s">
        <v>67</v>
      </c>
      <c r="F1102" t="s">
        <v>27987</v>
      </c>
      <c r="G1102" s="117">
        <v>20.92</v>
      </c>
    </row>
    <row r="1103" spans="1:7" x14ac:dyDescent="0.25">
      <c r="A1103" s="116" t="s">
        <v>1596</v>
      </c>
      <c r="B1103" s="117" t="s">
        <v>1597</v>
      </c>
      <c r="C1103" t="s">
        <v>67</v>
      </c>
      <c r="D1103" t="s">
        <v>67</v>
      </c>
      <c r="E1103" t="s">
        <v>67</v>
      </c>
      <c r="F1103" t="s">
        <v>27987</v>
      </c>
      <c r="G1103" s="117">
        <v>6.68</v>
      </c>
    </row>
    <row r="1104" spans="1:7" x14ac:dyDescent="0.25">
      <c r="A1104" s="116" t="s">
        <v>1598</v>
      </c>
      <c r="B1104" s="117" t="s">
        <v>1599</v>
      </c>
      <c r="C1104" t="s">
        <v>67</v>
      </c>
      <c r="D1104" t="s">
        <v>67</v>
      </c>
      <c r="E1104" t="s">
        <v>67</v>
      </c>
      <c r="F1104" t="s">
        <v>27987</v>
      </c>
      <c r="G1104" s="117">
        <v>7.56</v>
      </c>
    </row>
    <row r="1105" spans="1:7" x14ac:dyDescent="0.25">
      <c r="A1105" s="116" t="s">
        <v>1600</v>
      </c>
      <c r="B1105" s="117" t="s">
        <v>1601</v>
      </c>
      <c r="C1105" t="s">
        <v>67</v>
      </c>
      <c r="D1105" t="s">
        <v>67</v>
      </c>
      <c r="E1105" t="s">
        <v>67</v>
      </c>
      <c r="F1105" t="s">
        <v>45</v>
      </c>
      <c r="G1105" s="117">
        <v>249.95</v>
      </c>
    </row>
    <row r="1106" spans="1:7" x14ac:dyDescent="0.25">
      <c r="A1106" s="116" t="s">
        <v>1602</v>
      </c>
      <c r="B1106" s="117" t="s">
        <v>1603</v>
      </c>
      <c r="C1106" t="s">
        <v>67</v>
      </c>
      <c r="D1106" t="s">
        <v>67</v>
      </c>
      <c r="E1106" t="s">
        <v>67</v>
      </c>
      <c r="F1106" t="s">
        <v>27987</v>
      </c>
      <c r="G1106" s="117">
        <v>249.6</v>
      </c>
    </row>
    <row r="1107" spans="1:7" x14ac:dyDescent="0.25">
      <c r="A1107" s="116" t="s">
        <v>1604</v>
      </c>
      <c r="B1107" s="117" t="s">
        <v>1605</v>
      </c>
      <c r="C1107" t="s">
        <v>67</v>
      </c>
      <c r="D1107" t="s">
        <v>67</v>
      </c>
      <c r="E1107" t="s">
        <v>67</v>
      </c>
      <c r="F1107" t="s">
        <v>27987</v>
      </c>
      <c r="G1107" s="117">
        <v>21.26</v>
      </c>
    </row>
    <row r="1108" spans="1:7" x14ac:dyDescent="0.25">
      <c r="A1108" s="116" t="s">
        <v>1606</v>
      </c>
      <c r="B1108" s="117" t="s">
        <v>1585</v>
      </c>
      <c r="C1108" t="s">
        <v>67</v>
      </c>
      <c r="D1108" t="s">
        <v>67</v>
      </c>
      <c r="E1108" t="s">
        <v>67</v>
      </c>
      <c r="F1108" t="s">
        <v>27987</v>
      </c>
      <c r="G1108" s="117">
        <v>82.31</v>
      </c>
    </row>
    <row r="1109" spans="1:7" x14ac:dyDescent="0.25">
      <c r="A1109" s="116" t="s">
        <v>1607</v>
      </c>
      <c r="B1109" s="117" t="s">
        <v>1608</v>
      </c>
      <c r="C1109" t="s">
        <v>67</v>
      </c>
      <c r="D1109" t="s">
        <v>67</v>
      </c>
      <c r="E1109" t="s">
        <v>67</v>
      </c>
      <c r="F1109" t="s">
        <v>27987</v>
      </c>
      <c r="G1109" s="117">
        <v>38.18</v>
      </c>
    </row>
    <row r="1110" spans="1:7" x14ac:dyDescent="0.25">
      <c r="A1110" s="116" t="s">
        <v>1609</v>
      </c>
      <c r="B1110" s="117" t="s">
        <v>1610</v>
      </c>
      <c r="C1110" t="s">
        <v>67</v>
      </c>
      <c r="D1110" t="s">
        <v>67</v>
      </c>
      <c r="E1110" t="s">
        <v>67</v>
      </c>
      <c r="F1110" t="s">
        <v>27987</v>
      </c>
      <c r="G1110" s="117">
        <v>48.86</v>
      </c>
    </row>
    <row r="1111" spans="1:7" x14ac:dyDescent="0.25">
      <c r="A1111" s="116" t="s">
        <v>1611</v>
      </c>
      <c r="B1111" s="117" t="s">
        <v>1612</v>
      </c>
      <c r="C1111" t="s">
        <v>67</v>
      </c>
      <c r="D1111" t="s">
        <v>67</v>
      </c>
      <c r="E1111" t="s">
        <v>67</v>
      </c>
      <c r="F1111" t="s">
        <v>27987</v>
      </c>
      <c r="G1111" s="117">
        <v>110.25</v>
      </c>
    </row>
    <row r="1112" spans="1:7" x14ac:dyDescent="0.25">
      <c r="A1112" s="116" t="s">
        <v>1613</v>
      </c>
      <c r="B1112" s="117" t="s">
        <v>1614</v>
      </c>
      <c r="C1112" t="s">
        <v>67</v>
      </c>
      <c r="D1112" t="s">
        <v>67</v>
      </c>
      <c r="E1112" t="s">
        <v>67</v>
      </c>
      <c r="F1112" t="s">
        <v>27987</v>
      </c>
      <c r="G1112" s="117">
        <v>28.92</v>
      </c>
    </row>
    <row r="1113" spans="1:7" x14ac:dyDescent="0.25">
      <c r="A1113" s="116" t="s">
        <v>1615</v>
      </c>
      <c r="B1113" s="117" t="s">
        <v>1616</v>
      </c>
      <c r="C1113" t="s">
        <v>67</v>
      </c>
      <c r="D1113" t="s">
        <v>67</v>
      </c>
      <c r="E1113" t="s">
        <v>67</v>
      </c>
      <c r="F1113" t="s">
        <v>27987</v>
      </c>
      <c r="G1113" s="117">
        <v>154.38</v>
      </c>
    </row>
    <row r="1114" spans="1:7" x14ac:dyDescent="0.25">
      <c r="A1114" s="116" t="s">
        <v>1617</v>
      </c>
      <c r="B1114" s="117" t="s">
        <v>1608</v>
      </c>
      <c r="C1114" t="s">
        <v>67</v>
      </c>
      <c r="D1114" t="s">
        <v>67</v>
      </c>
      <c r="E1114" t="s">
        <v>67</v>
      </c>
      <c r="F1114" t="s">
        <v>27987</v>
      </c>
      <c r="G1114" s="117">
        <v>50.27</v>
      </c>
    </row>
    <row r="1115" spans="1:7" x14ac:dyDescent="0.25">
      <c r="A1115" s="116" t="s">
        <v>1618</v>
      </c>
      <c r="B1115" s="117" t="s">
        <v>1619</v>
      </c>
      <c r="C1115" t="s">
        <v>67</v>
      </c>
      <c r="D1115" t="s">
        <v>67</v>
      </c>
      <c r="E1115" t="s">
        <v>67</v>
      </c>
      <c r="F1115" t="s">
        <v>27987</v>
      </c>
      <c r="G1115" s="117">
        <v>56.5</v>
      </c>
    </row>
    <row r="1116" spans="1:7" x14ac:dyDescent="0.25">
      <c r="A1116" s="116" t="s">
        <v>30653</v>
      </c>
      <c r="B1116" s="117" t="s">
        <v>30654</v>
      </c>
      <c r="C1116" t="s">
        <v>67</v>
      </c>
      <c r="D1116" t="s">
        <v>67</v>
      </c>
      <c r="E1116" t="s">
        <v>67</v>
      </c>
      <c r="F1116" t="s">
        <v>45</v>
      </c>
      <c r="G1116" s="117">
        <v>35</v>
      </c>
    </row>
    <row r="1117" spans="1:7" x14ac:dyDescent="0.25">
      <c r="A1117" s="116" t="s">
        <v>30655</v>
      </c>
      <c r="B1117" s="117" t="s">
        <v>30656</v>
      </c>
      <c r="C1117" t="s">
        <v>67</v>
      </c>
      <c r="D1117" t="s">
        <v>67</v>
      </c>
      <c r="E1117" t="s">
        <v>67</v>
      </c>
      <c r="F1117" t="s">
        <v>45</v>
      </c>
      <c r="G1117" s="117">
        <v>15</v>
      </c>
    </row>
    <row r="1118" spans="1:7" x14ac:dyDescent="0.25">
      <c r="A1118" s="116" t="s">
        <v>1620</v>
      </c>
      <c r="B1118" s="117" t="s">
        <v>1621</v>
      </c>
      <c r="C1118" t="s">
        <v>67</v>
      </c>
      <c r="D1118" t="s">
        <v>67</v>
      </c>
      <c r="E1118" t="s">
        <v>67</v>
      </c>
      <c r="F1118" t="s">
        <v>27987</v>
      </c>
      <c r="G1118" s="117">
        <v>19.13</v>
      </c>
    </row>
    <row r="1119" spans="1:7" x14ac:dyDescent="0.25">
      <c r="A1119" s="116" t="s">
        <v>28362</v>
      </c>
      <c r="B1119" s="117" t="s">
        <v>28363</v>
      </c>
      <c r="C1119" t="s">
        <v>67</v>
      </c>
      <c r="D1119" t="s">
        <v>67</v>
      </c>
      <c r="E1119" t="s">
        <v>67</v>
      </c>
      <c r="F1119" t="s">
        <v>45</v>
      </c>
      <c r="G1119" s="117">
        <v>9999</v>
      </c>
    </row>
    <row r="1120" spans="1:7" x14ac:dyDescent="0.25">
      <c r="A1120" s="116" t="s">
        <v>1622</v>
      </c>
      <c r="B1120" s="117" t="s">
        <v>1623</v>
      </c>
      <c r="C1120" t="s">
        <v>67</v>
      </c>
      <c r="D1120" t="s">
        <v>67</v>
      </c>
      <c r="E1120" t="s">
        <v>67</v>
      </c>
      <c r="F1120" t="s">
        <v>45</v>
      </c>
      <c r="G1120" s="117">
        <v>167.74</v>
      </c>
    </row>
    <row r="1121" spans="1:7" x14ac:dyDescent="0.25">
      <c r="A1121" s="116" t="s">
        <v>1624</v>
      </c>
      <c r="B1121" s="117" t="s">
        <v>1625</v>
      </c>
      <c r="C1121" t="s">
        <v>67</v>
      </c>
      <c r="D1121" t="s">
        <v>67</v>
      </c>
      <c r="E1121" t="s">
        <v>67</v>
      </c>
      <c r="F1121" t="s">
        <v>27987</v>
      </c>
      <c r="G1121" s="117">
        <v>110.25</v>
      </c>
    </row>
    <row r="1122" spans="1:7" x14ac:dyDescent="0.25">
      <c r="A1122" s="116" t="s">
        <v>1626</v>
      </c>
      <c r="B1122" s="117" t="s">
        <v>1627</v>
      </c>
      <c r="C1122" t="s">
        <v>67</v>
      </c>
      <c r="D1122" t="s">
        <v>67</v>
      </c>
      <c r="E1122" t="s">
        <v>67</v>
      </c>
      <c r="F1122" t="s">
        <v>27987</v>
      </c>
      <c r="G1122" s="117">
        <v>75.19</v>
      </c>
    </row>
    <row r="1123" spans="1:7" x14ac:dyDescent="0.25">
      <c r="A1123" s="116" t="s">
        <v>1628</v>
      </c>
      <c r="B1123" s="117" t="s">
        <v>1629</v>
      </c>
      <c r="C1123" t="s">
        <v>67</v>
      </c>
      <c r="D1123" t="s">
        <v>67</v>
      </c>
      <c r="E1123" t="s">
        <v>67</v>
      </c>
      <c r="F1123" t="s">
        <v>49</v>
      </c>
      <c r="G1123" s="117">
        <v>117.37</v>
      </c>
    </row>
    <row r="1124" spans="1:7" x14ac:dyDescent="0.25">
      <c r="A1124" s="116" t="s">
        <v>1630</v>
      </c>
      <c r="B1124" s="117" t="s">
        <v>1631</v>
      </c>
      <c r="C1124" t="s">
        <v>67</v>
      </c>
      <c r="D1124" t="s">
        <v>67</v>
      </c>
      <c r="E1124" t="s">
        <v>67</v>
      </c>
      <c r="F1124" t="s">
        <v>27987</v>
      </c>
      <c r="G1124" s="117">
        <v>124.13</v>
      </c>
    </row>
    <row r="1125" spans="1:7" x14ac:dyDescent="0.25">
      <c r="A1125" s="116" t="s">
        <v>1632</v>
      </c>
      <c r="B1125" s="117" t="s">
        <v>1633</v>
      </c>
      <c r="C1125" t="s">
        <v>67</v>
      </c>
      <c r="D1125" t="s">
        <v>67</v>
      </c>
      <c r="E1125" t="s">
        <v>67</v>
      </c>
      <c r="F1125" t="s">
        <v>27987</v>
      </c>
      <c r="G1125" s="117">
        <v>121.82</v>
      </c>
    </row>
    <row r="1126" spans="1:7" x14ac:dyDescent="0.25">
      <c r="A1126" s="116" t="s">
        <v>1634</v>
      </c>
      <c r="B1126" s="117" t="s">
        <v>1635</v>
      </c>
      <c r="C1126" t="s">
        <v>67</v>
      </c>
      <c r="D1126" t="s">
        <v>67</v>
      </c>
      <c r="E1126" t="s">
        <v>67</v>
      </c>
      <c r="F1126" t="s">
        <v>27987</v>
      </c>
      <c r="G1126" s="117">
        <v>126.8</v>
      </c>
    </row>
    <row r="1127" spans="1:7" x14ac:dyDescent="0.25">
      <c r="A1127" s="116" t="s">
        <v>1636</v>
      </c>
      <c r="B1127" s="117" t="s">
        <v>1637</v>
      </c>
      <c r="C1127" t="s">
        <v>67</v>
      </c>
      <c r="D1127" t="s">
        <v>67</v>
      </c>
      <c r="E1127" t="s">
        <v>67</v>
      </c>
      <c r="F1127" t="s">
        <v>27987</v>
      </c>
      <c r="G1127" s="117">
        <v>43.51</v>
      </c>
    </row>
    <row r="1128" spans="1:7" x14ac:dyDescent="0.25">
      <c r="A1128" s="116" t="s">
        <v>1638</v>
      </c>
      <c r="B1128" s="117" t="s">
        <v>1639</v>
      </c>
      <c r="C1128" t="s">
        <v>67</v>
      </c>
      <c r="D1128" t="s">
        <v>67</v>
      </c>
      <c r="E1128" t="s">
        <v>67</v>
      </c>
      <c r="F1128" t="s">
        <v>27987</v>
      </c>
      <c r="G1128" s="117">
        <v>44.4</v>
      </c>
    </row>
    <row r="1129" spans="1:7" x14ac:dyDescent="0.25">
      <c r="A1129" s="116" t="s">
        <v>1640</v>
      </c>
      <c r="B1129" s="117" t="s">
        <v>1641</v>
      </c>
      <c r="C1129" t="s">
        <v>67</v>
      </c>
      <c r="D1129" t="s">
        <v>67</v>
      </c>
      <c r="E1129" t="s">
        <v>67</v>
      </c>
      <c r="F1129" t="s">
        <v>27987</v>
      </c>
      <c r="G1129" s="117">
        <v>6.14</v>
      </c>
    </row>
    <row r="1130" spans="1:7" x14ac:dyDescent="0.25">
      <c r="A1130" s="116" t="s">
        <v>1642</v>
      </c>
      <c r="B1130" s="117" t="s">
        <v>1643</v>
      </c>
      <c r="C1130" t="s">
        <v>67</v>
      </c>
      <c r="D1130" t="s">
        <v>67</v>
      </c>
      <c r="E1130" t="s">
        <v>67</v>
      </c>
      <c r="F1130" t="s">
        <v>27990</v>
      </c>
      <c r="G1130" s="117">
        <v>54.73</v>
      </c>
    </row>
    <row r="1131" spans="1:7" x14ac:dyDescent="0.25">
      <c r="A1131" s="116" t="s">
        <v>1644</v>
      </c>
      <c r="B1131" s="117" t="s">
        <v>1645</v>
      </c>
      <c r="C1131" t="s">
        <v>67</v>
      </c>
      <c r="D1131" t="s">
        <v>67</v>
      </c>
      <c r="E1131" t="s">
        <v>67</v>
      </c>
      <c r="F1131" t="s">
        <v>51</v>
      </c>
      <c r="G1131" s="117">
        <v>43.51</v>
      </c>
    </row>
    <row r="1132" spans="1:7" x14ac:dyDescent="0.25">
      <c r="A1132" s="116" t="s">
        <v>1646</v>
      </c>
      <c r="B1132" s="117" t="s">
        <v>1647</v>
      </c>
      <c r="C1132" t="s">
        <v>67</v>
      </c>
      <c r="D1132" t="s">
        <v>67</v>
      </c>
      <c r="E1132" t="s">
        <v>67</v>
      </c>
      <c r="F1132" t="s">
        <v>27987</v>
      </c>
      <c r="G1132" s="117">
        <v>39.06</v>
      </c>
    </row>
    <row r="1133" spans="1:7" x14ac:dyDescent="0.25">
      <c r="A1133" s="116" t="s">
        <v>1648</v>
      </c>
      <c r="B1133" s="117" t="s">
        <v>1649</v>
      </c>
      <c r="C1133" t="s">
        <v>67</v>
      </c>
      <c r="D1133" t="s">
        <v>67</v>
      </c>
      <c r="E1133" t="s">
        <v>67</v>
      </c>
      <c r="F1133" t="s">
        <v>27987</v>
      </c>
      <c r="G1133" s="117">
        <v>60.06</v>
      </c>
    </row>
    <row r="1134" spans="1:7" x14ac:dyDescent="0.25">
      <c r="A1134" s="116" t="s">
        <v>1650</v>
      </c>
      <c r="B1134" s="117" t="s">
        <v>1651</v>
      </c>
      <c r="C1134" t="s">
        <v>67</v>
      </c>
      <c r="D1134" t="s">
        <v>67</v>
      </c>
      <c r="E1134" t="s">
        <v>67</v>
      </c>
      <c r="F1134" t="s">
        <v>27987</v>
      </c>
      <c r="G1134" s="117">
        <v>135.16999999999999</v>
      </c>
    </row>
    <row r="1135" spans="1:7" x14ac:dyDescent="0.25">
      <c r="A1135" s="116" t="s">
        <v>1652</v>
      </c>
      <c r="B1135" s="117" t="s">
        <v>1653</v>
      </c>
      <c r="C1135" t="s">
        <v>67</v>
      </c>
      <c r="D1135" t="s">
        <v>67</v>
      </c>
      <c r="E1135" t="s">
        <v>67</v>
      </c>
      <c r="F1135" t="s">
        <v>27987</v>
      </c>
      <c r="G1135" s="117">
        <v>92.45</v>
      </c>
    </row>
    <row r="1136" spans="1:7" x14ac:dyDescent="0.25">
      <c r="A1136" s="116" t="s">
        <v>1654</v>
      </c>
      <c r="B1136" s="117" t="s">
        <v>1655</v>
      </c>
      <c r="C1136" t="s">
        <v>67</v>
      </c>
      <c r="D1136" t="s">
        <v>67</v>
      </c>
      <c r="E1136" t="s">
        <v>67</v>
      </c>
      <c r="F1136" t="s">
        <v>27987</v>
      </c>
      <c r="G1136" s="117">
        <v>90.32</v>
      </c>
    </row>
    <row r="1137" spans="1:7" x14ac:dyDescent="0.25">
      <c r="A1137" s="116" t="s">
        <v>1656</v>
      </c>
      <c r="B1137" s="117" t="s">
        <v>1657</v>
      </c>
      <c r="C1137" t="s">
        <v>67</v>
      </c>
      <c r="D1137" t="s">
        <v>67</v>
      </c>
      <c r="E1137" t="s">
        <v>67</v>
      </c>
      <c r="F1137" t="s">
        <v>27987</v>
      </c>
      <c r="G1137" s="117">
        <v>101.88</v>
      </c>
    </row>
    <row r="1138" spans="1:7" x14ac:dyDescent="0.25">
      <c r="A1138" s="116" t="s">
        <v>1658</v>
      </c>
      <c r="B1138" s="117" t="s">
        <v>1659</v>
      </c>
      <c r="C1138" t="s">
        <v>67</v>
      </c>
      <c r="D1138" t="s">
        <v>67</v>
      </c>
      <c r="E1138" t="s">
        <v>67</v>
      </c>
      <c r="F1138" t="s">
        <v>27987</v>
      </c>
      <c r="G1138" s="117">
        <v>33.369999999999997</v>
      </c>
    </row>
    <row r="1139" spans="1:7" x14ac:dyDescent="0.25">
      <c r="A1139" s="116" t="s">
        <v>1660</v>
      </c>
      <c r="B1139" s="117" t="s">
        <v>1661</v>
      </c>
      <c r="C1139" t="s">
        <v>67</v>
      </c>
      <c r="D1139" t="s">
        <v>67</v>
      </c>
      <c r="E1139" t="s">
        <v>67</v>
      </c>
      <c r="F1139" t="s">
        <v>27987</v>
      </c>
      <c r="G1139" s="117">
        <v>21.8</v>
      </c>
    </row>
    <row r="1140" spans="1:7" x14ac:dyDescent="0.25">
      <c r="A1140" s="116" t="s">
        <v>1662</v>
      </c>
      <c r="B1140" s="117" t="s">
        <v>1663</v>
      </c>
      <c r="C1140" t="s">
        <v>67</v>
      </c>
      <c r="D1140" t="s">
        <v>67</v>
      </c>
      <c r="E1140" t="s">
        <v>67</v>
      </c>
      <c r="F1140" t="s">
        <v>27987</v>
      </c>
      <c r="G1140" s="117">
        <v>84.44</v>
      </c>
    </row>
    <row r="1141" spans="1:7" x14ac:dyDescent="0.25">
      <c r="A1141" s="116" t="s">
        <v>1664</v>
      </c>
      <c r="B1141" s="117" t="s">
        <v>1665</v>
      </c>
      <c r="C1141" t="s">
        <v>67</v>
      </c>
      <c r="D1141" t="s">
        <v>67</v>
      </c>
      <c r="E1141" t="s">
        <v>67</v>
      </c>
      <c r="F1141" t="s">
        <v>27987</v>
      </c>
      <c r="G1141" s="117">
        <v>7.12</v>
      </c>
    </row>
    <row r="1142" spans="1:7" x14ac:dyDescent="0.25">
      <c r="A1142" s="116" t="s">
        <v>1666</v>
      </c>
      <c r="B1142" s="117" t="s">
        <v>1667</v>
      </c>
      <c r="C1142" t="s">
        <v>67</v>
      </c>
      <c r="D1142" t="s">
        <v>67</v>
      </c>
      <c r="E1142" t="s">
        <v>67</v>
      </c>
      <c r="F1142" t="s">
        <v>27987</v>
      </c>
      <c r="G1142" s="117">
        <v>41.38</v>
      </c>
    </row>
    <row r="1143" spans="1:7" x14ac:dyDescent="0.25">
      <c r="A1143" s="116" t="s">
        <v>1668</v>
      </c>
      <c r="B1143" s="117" t="s">
        <v>1669</v>
      </c>
      <c r="C1143" t="s">
        <v>67</v>
      </c>
      <c r="D1143" t="s">
        <v>67</v>
      </c>
      <c r="E1143" t="s">
        <v>67</v>
      </c>
      <c r="F1143" t="s">
        <v>27987</v>
      </c>
      <c r="G1143" s="117">
        <v>31.06</v>
      </c>
    </row>
    <row r="1144" spans="1:7" x14ac:dyDescent="0.25">
      <c r="A1144" s="116" t="s">
        <v>1670</v>
      </c>
      <c r="B1144" s="117" t="s">
        <v>1671</v>
      </c>
      <c r="C1144" t="s">
        <v>67</v>
      </c>
      <c r="D1144" t="s">
        <v>67</v>
      </c>
      <c r="E1144" t="s">
        <v>67</v>
      </c>
      <c r="F1144" t="s">
        <v>27987</v>
      </c>
      <c r="G1144" s="117">
        <v>36.93</v>
      </c>
    </row>
    <row r="1145" spans="1:7" x14ac:dyDescent="0.25">
      <c r="A1145" s="116" t="s">
        <v>1672</v>
      </c>
      <c r="B1145" s="117" t="s">
        <v>465</v>
      </c>
      <c r="C1145" t="s">
        <v>67</v>
      </c>
      <c r="D1145" t="s">
        <v>67</v>
      </c>
      <c r="E1145" t="s">
        <v>67</v>
      </c>
      <c r="F1145" t="s">
        <v>27987</v>
      </c>
      <c r="G1145" s="117">
        <v>192.64</v>
      </c>
    </row>
    <row r="1146" spans="1:7" x14ac:dyDescent="0.25">
      <c r="A1146" s="116" t="s">
        <v>1673</v>
      </c>
      <c r="B1146" s="117" t="s">
        <v>1669</v>
      </c>
      <c r="C1146" t="s">
        <v>67</v>
      </c>
      <c r="D1146" t="s">
        <v>67</v>
      </c>
      <c r="E1146" t="s">
        <v>67</v>
      </c>
      <c r="F1146" t="s">
        <v>27987</v>
      </c>
      <c r="G1146" s="117">
        <v>16.46</v>
      </c>
    </row>
    <row r="1147" spans="1:7" x14ac:dyDescent="0.25">
      <c r="A1147" s="116" t="s">
        <v>1674</v>
      </c>
      <c r="B1147" s="117" t="s">
        <v>1675</v>
      </c>
      <c r="C1147" t="s">
        <v>67</v>
      </c>
      <c r="D1147" t="s">
        <v>67</v>
      </c>
      <c r="E1147" t="s">
        <v>67</v>
      </c>
      <c r="F1147" t="s">
        <v>27987</v>
      </c>
      <c r="G1147" s="117">
        <v>26.25</v>
      </c>
    </row>
    <row r="1148" spans="1:7" x14ac:dyDescent="0.25">
      <c r="A1148" s="116" t="s">
        <v>26748</v>
      </c>
      <c r="B1148" s="117" t="s">
        <v>26749</v>
      </c>
      <c r="C1148" t="s">
        <v>67</v>
      </c>
      <c r="D1148" t="s">
        <v>67</v>
      </c>
      <c r="E1148" t="s">
        <v>67</v>
      </c>
      <c r="F1148" t="s">
        <v>45</v>
      </c>
      <c r="G1148" s="117">
        <v>42</v>
      </c>
    </row>
    <row r="1149" spans="1:7" x14ac:dyDescent="0.25">
      <c r="A1149" s="116" t="s">
        <v>1676</v>
      </c>
      <c r="B1149" s="117" t="s">
        <v>1677</v>
      </c>
      <c r="C1149" t="s">
        <v>67</v>
      </c>
      <c r="D1149" t="s">
        <v>67</v>
      </c>
      <c r="E1149" t="s">
        <v>67</v>
      </c>
      <c r="F1149" t="s">
        <v>27987</v>
      </c>
      <c r="G1149" s="117">
        <v>4.3600000000000003</v>
      </c>
    </row>
    <row r="1150" spans="1:7" x14ac:dyDescent="0.25">
      <c r="A1150" s="116" t="s">
        <v>1678</v>
      </c>
      <c r="B1150" s="117" t="s">
        <v>1679</v>
      </c>
      <c r="C1150" t="s">
        <v>67</v>
      </c>
      <c r="D1150" t="s">
        <v>67</v>
      </c>
      <c r="E1150" t="s">
        <v>67</v>
      </c>
      <c r="F1150" t="s">
        <v>27987</v>
      </c>
      <c r="G1150" s="117">
        <v>168.08</v>
      </c>
    </row>
    <row r="1151" spans="1:7" x14ac:dyDescent="0.25">
      <c r="A1151" s="116" t="s">
        <v>1680</v>
      </c>
      <c r="B1151" s="117" t="s">
        <v>1681</v>
      </c>
      <c r="C1151" t="s">
        <v>67</v>
      </c>
      <c r="D1151" t="s">
        <v>67</v>
      </c>
      <c r="E1151" t="s">
        <v>67</v>
      </c>
      <c r="F1151" t="s">
        <v>27987</v>
      </c>
      <c r="G1151" s="117">
        <v>9.7899999999999991</v>
      </c>
    </row>
    <row r="1152" spans="1:7" x14ac:dyDescent="0.25">
      <c r="A1152" s="116" t="s">
        <v>1682</v>
      </c>
      <c r="B1152" s="117" t="s">
        <v>1683</v>
      </c>
      <c r="C1152" t="s">
        <v>67</v>
      </c>
      <c r="D1152" t="s">
        <v>67</v>
      </c>
      <c r="E1152" t="s">
        <v>67</v>
      </c>
      <c r="F1152" t="s">
        <v>27987</v>
      </c>
      <c r="G1152" s="117">
        <v>542.70000000000005</v>
      </c>
    </row>
    <row r="1153" spans="1:7" x14ac:dyDescent="0.25">
      <c r="A1153" s="116" t="s">
        <v>1684</v>
      </c>
      <c r="B1153" s="117" t="s">
        <v>1685</v>
      </c>
      <c r="C1153" t="s">
        <v>67</v>
      </c>
      <c r="D1153" t="s">
        <v>67</v>
      </c>
      <c r="E1153" t="s">
        <v>67</v>
      </c>
      <c r="F1153" t="s">
        <v>27987</v>
      </c>
      <c r="G1153" s="117">
        <v>94.24</v>
      </c>
    </row>
    <row r="1154" spans="1:7" x14ac:dyDescent="0.25">
      <c r="A1154" s="116" t="s">
        <v>1686</v>
      </c>
      <c r="B1154" s="117" t="s">
        <v>1687</v>
      </c>
      <c r="C1154" t="s">
        <v>67</v>
      </c>
      <c r="D1154" t="s">
        <v>67</v>
      </c>
      <c r="E1154" t="s">
        <v>67</v>
      </c>
      <c r="F1154" t="s">
        <v>27987</v>
      </c>
      <c r="G1154" s="117">
        <v>75.55</v>
      </c>
    </row>
    <row r="1155" spans="1:7" x14ac:dyDescent="0.25">
      <c r="A1155" s="116" t="s">
        <v>1688</v>
      </c>
      <c r="B1155" s="117" t="s">
        <v>1689</v>
      </c>
      <c r="C1155" t="s">
        <v>67</v>
      </c>
      <c r="D1155" t="s">
        <v>67</v>
      </c>
      <c r="E1155" t="s">
        <v>67</v>
      </c>
      <c r="F1155" t="s">
        <v>27987</v>
      </c>
      <c r="G1155" s="117">
        <v>32.83</v>
      </c>
    </row>
    <row r="1156" spans="1:7" x14ac:dyDescent="0.25">
      <c r="A1156" s="116" t="s">
        <v>1690</v>
      </c>
      <c r="B1156" s="117" t="s">
        <v>1691</v>
      </c>
      <c r="C1156" t="s">
        <v>67</v>
      </c>
      <c r="D1156" t="s">
        <v>67</v>
      </c>
      <c r="E1156" t="s">
        <v>67</v>
      </c>
      <c r="F1156" t="s">
        <v>27987</v>
      </c>
      <c r="G1156" s="117">
        <v>99.21</v>
      </c>
    </row>
    <row r="1157" spans="1:7" x14ac:dyDescent="0.25">
      <c r="A1157" s="116" t="s">
        <v>1692</v>
      </c>
      <c r="B1157" s="117" t="s">
        <v>1447</v>
      </c>
      <c r="C1157" t="s">
        <v>67</v>
      </c>
      <c r="D1157" t="s">
        <v>67</v>
      </c>
      <c r="E1157" t="s">
        <v>67</v>
      </c>
      <c r="F1157" t="s">
        <v>27987</v>
      </c>
      <c r="G1157" s="117">
        <v>88.54</v>
      </c>
    </row>
    <row r="1158" spans="1:7" x14ac:dyDescent="0.25">
      <c r="A1158" s="116" t="s">
        <v>1693</v>
      </c>
      <c r="B1158" s="117" t="s">
        <v>1694</v>
      </c>
      <c r="C1158" t="s">
        <v>67</v>
      </c>
      <c r="D1158" t="s">
        <v>67</v>
      </c>
      <c r="E1158" t="s">
        <v>67</v>
      </c>
      <c r="F1158" t="s">
        <v>27987</v>
      </c>
      <c r="G1158" s="117">
        <v>78.209999999999994</v>
      </c>
    </row>
    <row r="1159" spans="1:7" x14ac:dyDescent="0.25">
      <c r="A1159" s="116" t="s">
        <v>1695</v>
      </c>
      <c r="B1159" s="117" t="s">
        <v>1583</v>
      </c>
      <c r="C1159" t="s">
        <v>67</v>
      </c>
      <c r="D1159" t="s">
        <v>67</v>
      </c>
      <c r="E1159" t="s">
        <v>67</v>
      </c>
      <c r="F1159" t="s">
        <v>27987</v>
      </c>
      <c r="G1159" s="117">
        <v>20.38</v>
      </c>
    </row>
    <row r="1160" spans="1:7" x14ac:dyDescent="0.25">
      <c r="A1160" s="116" t="s">
        <v>1696</v>
      </c>
      <c r="B1160" s="117" t="s">
        <v>1697</v>
      </c>
      <c r="C1160" t="s">
        <v>67</v>
      </c>
      <c r="D1160" t="s">
        <v>67</v>
      </c>
      <c r="E1160" t="s">
        <v>67</v>
      </c>
      <c r="F1160" t="s">
        <v>27987</v>
      </c>
      <c r="G1160" s="117">
        <v>14.68</v>
      </c>
    </row>
    <row r="1161" spans="1:7" x14ac:dyDescent="0.25">
      <c r="A1161" s="116" t="s">
        <v>1698</v>
      </c>
      <c r="B1161" s="117" t="s">
        <v>1699</v>
      </c>
      <c r="C1161" t="s">
        <v>67</v>
      </c>
      <c r="D1161" t="s">
        <v>67</v>
      </c>
      <c r="E1161" t="s">
        <v>67</v>
      </c>
      <c r="F1161" t="s">
        <v>45</v>
      </c>
      <c r="G1161" s="117">
        <v>141.93</v>
      </c>
    </row>
    <row r="1162" spans="1:7" x14ac:dyDescent="0.25">
      <c r="A1162" s="116" t="s">
        <v>1700</v>
      </c>
      <c r="B1162" s="117" t="s">
        <v>1701</v>
      </c>
      <c r="C1162" t="s">
        <v>67</v>
      </c>
      <c r="D1162" t="s">
        <v>67</v>
      </c>
      <c r="E1162" t="s">
        <v>67</v>
      </c>
      <c r="F1162" t="s">
        <v>27987</v>
      </c>
      <c r="G1162" s="117">
        <v>76.98</v>
      </c>
    </row>
    <row r="1163" spans="1:7" x14ac:dyDescent="0.25">
      <c r="A1163" s="116" t="s">
        <v>1702</v>
      </c>
      <c r="B1163" s="117" t="s">
        <v>1703</v>
      </c>
      <c r="C1163" t="s">
        <v>67</v>
      </c>
      <c r="D1163" t="s">
        <v>67</v>
      </c>
      <c r="E1163" t="s">
        <v>67</v>
      </c>
      <c r="F1163" t="s">
        <v>27987</v>
      </c>
      <c r="G1163" s="117">
        <v>76.98</v>
      </c>
    </row>
    <row r="1164" spans="1:7" x14ac:dyDescent="0.25">
      <c r="A1164" s="116" t="s">
        <v>1704</v>
      </c>
      <c r="B1164" s="117" t="s">
        <v>1705</v>
      </c>
      <c r="C1164" t="s">
        <v>67</v>
      </c>
      <c r="D1164" t="s">
        <v>67</v>
      </c>
      <c r="E1164" t="s">
        <v>67</v>
      </c>
      <c r="F1164" t="s">
        <v>27987</v>
      </c>
      <c r="G1164" s="117">
        <v>21.26</v>
      </c>
    </row>
    <row r="1165" spans="1:7" x14ac:dyDescent="0.25">
      <c r="A1165" s="116" t="s">
        <v>1706</v>
      </c>
      <c r="B1165" s="117" t="s">
        <v>1707</v>
      </c>
      <c r="C1165" t="s">
        <v>67</v>
      </c>
      <c r="D1165" t="s">
        <v>67</v>
      </c>
      <c r="E1165" t="s">
        <v>67</v>
      </c>
      <c r="F1165" t="s">
        <v>27987</v>
      </c>
      <c r="G1165" s="117">
        <v>166.31</v>
      </c>
    </row>
    <row r="1166" spans="1:7" x14ac:dyDescent="0.25">
      <c r="A1166" s="116" t="s">
        <v>1708</v>
      </c>
      <c r="B1166" s="117" t="s">
        <v>1709</v>
      </c>
      <c r="C1166" t="s">
        <v>67</v>
      </c>
      <c r="D1166" t="s">
        <v>67</v>
      </c>
      <c r="E1166" t="s">
        <v>67</v>
      </c>
      <c r="F1166" t="s">
        <v>27987</v>
      </c>
      <c r="G1166" s="117">
        <v>166.31</v>
      </c>
    </row>
    <row r="1167" spans="1:7" x14ac:dyDescent="0.25">
      <c r="A1167" s="116" t="s">
        <v>1710</v>
      </c>
      <c r="B1167" s="117" t="s">
        <v>1711</v>
      </c>
      <c r="C1167" t="s">
        <v>67</v>
      </c>
      <c r="D1167" t="s">
        <v>67</v>
      </c>
      <c r="E1167" t="s">
        <v>67</v>
      </c>
      <c r="F1167" t="s">
        <v>27987</v>
      </c>
      <c r="G1167" s="117">
        <v>41.69</v>
      </c>
    </row>
    <row r="1168" spans="1:7" x14ac:dyDescent="0.25">
      <c r="A1168" s="116" t="s">
        <v>1712</v>
      </c>
      <c r="B1168" s="117" t="s">
        <v>1713</v>
      </c>
      <c r="C1168" t="s">
        <v>67</v>
      </c>
      <c r="D1168" t="s">
        <v>67</v>
      </c>
      <c r="E1168" t="s">
        <v>67</v>
      </c>
      <c r="F1168" t="s">
        <v>27987</v>
      </c>
      <c r="G1168" s="117">
        <v>73.42</v>
      </c>
    </row>
    <row r="1169" spans="1:7" x14ac:dyDescent="0.25">
      <c r="A1169" s="116" t="s">
        <v>1714</v>
      </c>
      <c r="B1169" s="117" t="s">
        <v>1715</v>
      </c>
      <c r="C1169" t="s">
        <v>67</v>
      </c>
      <c r="D1169" t="s">
        <v>67</v>
      </c>
      <c r="E1169" t="s">
        <v>67</v>
      </c>
      <c r="F1169" t="s">
        <v>27987</v>
      </c>
      <c r="G1169" s="117">
        <v>6.14</v>
      </c>
    </row>
    <row r="1170" spans="1:7" x14ac:dyDescent="0.25">
      <c r="A1170" s="116" t="s">
        <v>1716</v>
      </c>
      <c r="B1170" s="117" t="s">
        <v>1717</v>
      </c>
      <c r="C1170" t="s">
        <v>67</v>
      </c>
      <c r="D1170" t="s">
        <v>67</v>
      </c>
      <c r="E1170" t="s">
        <v>67</v>
      </c>
      <c r="F1170" t="s">
        <v>27987</v>
      </c>
      <c r="G1170" s="117">
        <v>41.38</v>
      </c>
    </row>
    <row r="1171" spans="1:7" x14ac:dyDescent="0.25">
      <c r="A1171" s="116" t="s">
        <v>26750</v>
      </c>
      <c r="B1171" s="117" t="s">
        <v>26751</v>
      </c>
      <c r="C1171" t="s">
        <v>67</v>
      </c>
      <c r="D1171" t="s">
        <v>67</v>
      </c>
      <c r="E1171" t="s">
        <v>67</v>
      </c>
      <c r="F1171" t="s">
        <v>45</v>
      </c>
      <c r="G1171" s="117">
        <v>29</v>
      </c>
    </row>
    <row r="1172" spans="1:7" x14ac:dyDescent="0.25">
      <c r="A1172" s="116" t="s">
        <v>1718</v>
      </c>
      <c r="B1172" s="117" t="s">
        <v>1719</v>
      </c>
      <c r="C1172" t="s">
        <v>67</v>
      </c>
      <c r="D1172" t="s">
        <v>67</v>
      </c>
      <c r="E1172" t="s">
        <v>67</v>
      </c>
      <c r="F1172" t="s">
        <v>27987</v>
      </c>
      <c r="G1172" s="117">
        <v>61.85</v>
      </c>
    </row>
    <row r="1173" spans="1:7" x14ac:dyDescent="0.25">
      <c r="A1173" s="116" t="s">
        <v>28364</v>
      </c>
      <c r="B1173" s="117" t="s">
        <v>28365</v>
      </c>
      <c r="C1173" t="s">
        <v>67</v>
      </c>
      <c r="D1173" t="s">
        <v>67</v>
      </c>
      <c r="E1173" t="s">
        <v>67</v>
      </c>
      <c r="F1173" t="s">
        <v>45</v>
      </c>
      <c r="G1173" s="117">
        <v>50</v>
      </c>
    </row>
    <row r="1174" spans="1:7" x14ac:dyDescent="0.25">
      <c r="A1174" s="116" t="s">
        <v>1720</v>
      </c>
      <c r="B1174" s="117" t="s">
        <v>1721</v>
      </c>
      <c r="C1174" t="s">
        <v>67</v>
      </c>
      <c r="D1174" t="s">
        <v>67</v>
      </c>
      <c r="E1174" t="s">
        <v>67</v>
      </c>
      <c r="F1174" t="s">
        <v>27987</v>
      </c>
      <c r="G1174" s="117">
        <v>158.21</v>
      </c>
    </row>
    <row r="1175" spans="1:7" x14ac:dyDescent="0.25">
      <c r="A1175" s="116" t="s">
        <v>1722</v>
      </c>
      <c r="B1175" s="117" t="s">
        <v>1723</v>
      </c>
      <c r="C1175" t="s">
        <v>67</v>
      </c>
      <c r="D1175" t="s">
        <v>67</v>
      </c>
      <c r="E1175" t="s">
        <v>67</v>
      </c>
      <c r="F1175" t="s">
        <v>27987</v>
      </c>
      <c r="G1175" s="117">
        <v>2.23</v>
      </c>
    </row>
    <row r="1176" spans="1:7" x14ac:dyDescent="0.25">
      <c r="A1176" s="116" t="s">
        <v>1724</v>
      </c>
      <c r="B1176" s="117" t="s">
        <v>1725</v>
      </c>
      <c r="C1176" t="s">
        <v>67</v>
      </c>
      <c r="D1176" t="s">
        <v>67</v>
      </c>
      <c r="E1176" t="s">
        <v>67</v>
      </c>
      <c r="F1176" t="s">
        <v>27987</v>
      </c>
      <c r="G1176" s="117">
        <v>41.69</v>
      </c>
    </row>
    <row r="1177" spans="1:7" x14ac:dyDescent="0.25">
      <c r="A1177" s="116" t="s">
        <v>1726</v>
      </c>
      <c r="B1177" s="117" t="s">
        <v>1727</v>
      </c>
      <c r="C1177" t="s">
        <v>67</v>
      </c>
      <c r="D1177" t="s">
        <v>67</v>
      </c>
      <c r="E1177" t="s">
        <v>67</v>
      </c>
      <c r="F1177" t="s">
        <v>27987</v>
      </c>
      <c r="G1177" s="117">
        <v>76.98</v>
      </c>
    </row>
    <row r="1178" spans="1:7" x14ac:dyDescent="0.25">
      <c r="A1178" s="116" t="s">
        <v>1728</v>
      </c>
      <c r="B1178" s="117" t="s">
        <v>1729</v>
      </c>
      <c r="C1178" t="s">
        <v>67</v>
      </c>
      <c r="D1178" t="s">
        <v>67</v>
      </c>
      <c r="E1178" t="s">
        <v>67</v>
      </c>
      <c r="F1178" t="s">
        <v>27987</v>
      </c>
      <c r="G1178" s="117">
        <v>76.44</v>
      </c>
    </row>
    <row r="1179" spans="1:7" x14ac:dyDescent="0.25">
      <c r="A1179" s="116" t="s">
        <v>1730</v>
      </c>
      <c r="B1179" s="117" t="s">
        <v>1731</v>
      </c>
      <c r="C1179" t="s">
        <v>67</v>
      </c>
      <c r="D1179" t="s">
        <v>67</v>
      </c>
      <c r="E1179" t="s">
        <v>67</v>
      </c>
      <c r="F1179" t="s">
        <v>27987</v>
      </c>
      <c r="G1179" s="117">
        <v>184.11</v>
      </c>
    </row>
    <row r="1180" spans="1:7" x14ac:dyDescent="0.25">
      <c r="A1180" s="116" t="s">
        <v>26752</v>
      </c>
      <c r="B1180" s="117" t="s">
        <v>26753</v>
      </c>
      <c r="C1180" t="s">
        <v>67</v>
      </c>
      <c r="D1180" t="s">
        <v>67</v>
      </c>
      <c r="E1180" t="s">
        <v>67</v>
      </c>
      <c r="F1180" t="s">
        <v>45</v>
      </c>
      <c r="G1180" s="117">
        <v>113.01</v>
      </c>
    </row>
    <row r="1181" spans="1:7" x14ac:dyDescent="0.25">
      <c r="A1181" s="116" t="s">
        <v>1732</v>
      </c>
      <c r="B1181" s="117" t="s">
        <v>1733</v>
      </c>
      <c r="C1181" t="s">
        <v>67</v>
      </c>
      <c r="D1181" t="s">
        <v>67</v>
      </c>
      <c r="E1181" t="s">
        <v>67</v>
      </c>
      <c r="F1181" t="s">
        <v>27987</v>
      </c>
      <c r="G1181" s="117">
        <v>61.31</v>
      </c>
    </row>
    <row r="1182" spans="1:7" x14ac:dyDescent="0.25">
      <c r="A1182" s="116" t="s">
        <v>1734</v>
      </c>
      <c r="B1182" s="117" t="s">
        <v>1735</v>
      </c>
      <c r="C1182" t="s">
        <v>67</v>
      </c>
      <c r="D1182" t="s">
        <v>67</v>
      </c>
      <c r="E1182" t="s">
        <v>67</v>
      </c>
      <c r="F1182" t="s">
        <v>45</v>
      </c>
      <c r="G1182" s="117">
        <v>40.85</v>
      </c>
    </row>
    <row r="1183" spans="1:7" x14ac:dyDescent="0.25">
      <c r="A1183" s="116" t="s">
        <v>1736</v>
      </c>
      <c r="B1183" s="117" t="s">
        <v>465</v>
      </c>
      <c r="C1183" t="s">
        <v>67</v>
      </c>
      <c r="D1183" t="s">
        <v>67</v>
      </c>
      <c r="E1183" t="s">
        <v>67</v>
      </c>
      <c r="F1183" t="s">
        <v>27987</v>
      </c>
      <c r="G1183" s="117">
        <v>27.5</v>
      </c>
    </row>
    <row r="1184" spans="1:7" x14ac:dyDescent="0.25">
      <c r="A1184" s="116" t="s">
        <v>1737</v>
      </c>
      <c r="B1184" s="117" t="s">
        <v>1738</v>
      </c>
      <c r="C1184" t="s">
        <v>67</v>
      </c>
      <c r="D1184" t="s">
        <v>67</v>
      </c>
      <c r="E1184" t="s">
        <v>67</v>
      </c>
      <c r="F1184" t="s">
        <v>27987</v>
      </c>
      <c r="G1184" s="117">
        <v>16.46</v>
      </c>
    </row>
    <row r="1185" spans="1:7" x14ac:dyDescent="0.25">
      <c r="A1185" s="116" t="s">
        <v>28366</v>
      </c>
      <c r="B1185" s="117" t="s">
        <v>28367</v>
      </c>
      <c r="C1185" t="s">
        <v>67</v>
      </c>
      <c r="D1185" t="s">
        <v>67</v>
      </c>
      <c r="E1185" t="s">
        <v>67</v>
      </c>
      <c r="F1185" t="s">
        <v>27987</v>
      </c>
      <c r="G1185" s="117">
        <v>31</v>
      </c>
    </row>
    <row r="1186" spans="1:7" x14ac:dyDescent="0.25">
      <c r="A1186" s="116" t="s">
        <v>1739</v>
      </c>
      <c r="B1186" s="117" t="s">
        <v>1740</v>
      </c>
      <c r="C1186" t="s">
        <v>67</v>
      </c>
      <c r="D1186" t="s">
        <v>67</v>
      </c>
      <c r="E1186" t="s">
        <v>67</v>
      </c>
      <c r="F1186" t="s">
        <v>27987</v>
      </c>
      <c r="G1186" s="117">
        <v>884.94</v>
      </c>
    </row>
    <row r="1187" spans="1:7" x14ac:dyDescent="0.25">
      <c r="A1187" s="116" t="s">
        <v>1741</v>
      </c>
      <c r="B1187" s="117" t="s">
        <v>1742</v>
      </c>
      <c r="C1187" t="s">
        <v>67</v>
      </c>
      <c r="D1187" t="s">
        <v>67</v>
      </c>
      <c r="E1187" t="s">
        <v>67</v>
      </c>
      <c r="F1187" t="s">
        <v>27987</v>
      </c>
      <c r="G1187" s="117">
        <v>44.4</v>
      </c>
    </row>
    <row r="1188" spans="1:7" x14ac:dyDescent="0.25">
      <c r="A1188" s="116" t="s">
        <v>1743</v>
      </c>
      <c r="B1188" s="117" t="s">
        <v>1744</v>
      </c>
      <c r="C1188" t="s">
        <v>67</v>
      </c>
      <c r="D1188" t="s">
        <v>67</v>
      </c>
      <c r="E1188" t="s">
        <v>67</v>
      </c>
      <c r="F1188" t="s">
        <v>27987</v>
      </c>
      <c r="G1188" s="117">
        <v>33.729999999999997</v>
      </c>
    </row>
    <row r="1189" spans="1:7" x14ac:dyDescent="0.25">
      <c r="A1189" s="116" t="s">
        <v>1745</v>
      </c>
      <c r="B1189" s="117" t="s">
        <v>1746</v>
      </c>
      <c r="C1189" t="s">
        <v>67</v>
      </c>
      <c r="D1189" t="s">
        <v>67</v>
      </c>
      <c r="E1189" t="s">
        <v>67</v>
      </c>
      <c r="F1189" t="s">
        <v>27987</v>
      </c>
      <c r="G1189" s="117">
        <v>36.04</v>
      </c>
    </row>
    <row r="1190" spans="1:7" x14ac:dyDescent="0.25">
      <c r="A1190" s="116" t="s">
        <v>1747</v>
      </c>
      <c r="B1190" s="117" t="s">
        <v>1748</v>
      </c>
      <c r="C1190" t="s">
        <v>67</v>
      </c>
      <c r="D1190" t="s">
        <v>67</v>
      </c>
      <c r="E1190" t="s">
        <v>67</v>
      </c>
      <c r="F1190" t="s">
        <v>27987</v>
      </c>
      <c r="G1190" s="117">
        <v>14.68</v>
      </c>
    </row>
    <row r="1191" spans="1:7" x14ac:dyDescent="0.25">
      <c r="A1191" s="116" t="s">
        <v>1749</v>
      </c>
      <c r="B1191" s="117" t="s">
        <v>1750</v>
      </c>
      <c r="C1191" t="s">
        <v>67</v>
      </c>
      <c r="D1191" t="s">
        <v>67</v>
      </c>
      <c r="E1191" t="s">
        <v>67</v>
      </c>
      <c r="F1191" t="s">
        <v>27987</v>
      </c>
      <c r="G1191" s="117">
        <v>75.55</v>
      </c>
    </row>
    <row r="1192" spans="1:7" x14ac:dyDescent="0.25">
      <c r="A1192" s="116" t="s">
        <v>1751</v>
      </c>
      <c r="B1192" s="117" t="s">
        <v>1669</v>
      </c>
      <c r="C1192" t="s">
        <v>67</v>
      </c>
      <c r="D1192" t="s">
        <v>67</v>
      </c>
      <c r="E1192" t="s">
        <v>67</v>
      </c>
      <c r="F1192" t="s">
        <v>27987</v>
      </c>
      <c r="G1192" s="117">
        <v>75.55</v>
      </c>
    </row>
    <row r="1193" spans="1:7" x14ac:dyDescent="0.25">
      <c r="A1193" s="116" t="s">
        <v>1752</v>
      </c>
      <c r="B1193" s="117" t="s">
        <v>1753</v>
      </c>
      <c r="C1193" t="s">
        <v>67</v>
      </c>
      <c r="D1193" t="s">
        <v>67</v>
      </c>
      <c r="E1193" t="s">
        <v>67</v>
      </c>
      <c r="F1193" t="s">
        <v>27987</v>
      </c>
      <c r="G1193" s="117">
        <v>88</v>
      </c>
    </row>
    <row r="1194" spans="1:7" x14ac:dyDescent="0.25">
      <c r="A1194" s="116" t="s">
        <v>1754</v>
      </c>
      <c r="B1194" s="117" t="s">
        <v>1755</v>
      </c>
      <c r="C1194" t="s">
        <v>67</v>
      </c>
      <c r="D1194" t="s">
        <v>67</v>
      </c>
      <c r="E1194" t="s">
        <v>67</v>
      </c>
      <c r="F1194" t="s">
        <v>27987</v>
      </c>
      <c r="G1194" s="117">
        <v>25</v>
      </c>
    </row>
    <row r="1195" spans="1:7" x14ac:dyDescent="0.25">
      <c r="A1195" s="116" t="s">
        <v>1756</v>
      </c>
      <c r="B1195" s="117" t="s">
        <v>1757</v>
      </c>
      <c r="C1195" t="s">
        <v>67</v>
      </c>
      <c r="D1195" t="s">
        <v>67</v>
      </c>
      <c r="E1195" t="s">
        <v>67</v>
      </c>
      <c r="F1195" t="s">
        <v>27987</v>
      </c>
      <c r="G1195" s="117">
        <v>26.69</v>
      </c>
    </row>
    <row r="1196" spans="1:7" x14ac:dyDescent="0.25">
      <c r="A1196" s="116" t="s">
        <v>1758</v>
      </c>
      <c r="B1196" s="117" t="s">
        <v>1759</v>
      </c>
      <c r="C1196" t="s">
        <v>67</v>
      </c>
      <c r="D1196" t="s">
        <v>67</v>
      </c>
      <c r="E1196" t="s">
        <v>67</v>
      </c>
      <c r="F1196" t="s">
        <v>45</v>
      </c>
      <c r="G1196" s="117">
        <v>73.42</v>
      </c>
    </row>
    <row r="1197" spans="1:7" x14ac:dyDescent="0.25">
      <c r="A1197" s="116" t="s">
        <v>1760</v>
      </c>
      <c r="B1197" s="117" t="s">
        <v>1761</v>
      </c>
      <c r="C1197" t="s">
        <v>67</v>
      </c>
      <c r="D1197" t="s">
        <v>67</v>
      </c>
      <c r="E1197" t="s">
        <v>67</v>
      </c>
      <c r="F1197" t="s">
        <v>27987</v>
      </c>
      <c r="G1197" s="117">
        <v>56.86</v>
      </c>
    </row>
    <row r="1198" spans="1:7" x14ac:dyDescent="0.25">
      <c r="A1198" s="116" t="s">
        <v>1762</v>
      </c>
      <c r="B1198" s="117" t="s">
        <v>1763</v>
      </c>
      <c r="C1198" t="s">
        <v>67</v>
      </c>
      <c r="D1198" t="s">
        <v>67</v>
      </c>
      <c r="E1198" t="s">
        <v>67</v>
      </c>
      <c r="F1198" t="s">
        <v>27987</v>
      </c>
      <c r="G1198" s="117">
        <v>22.16</v>
      </c>
    </row>
    <row r="1199" spans="1:7" x14ac:dyDescent="0.25">
      <c r="A1199" s="116" t="s">
        <v>1764</v>
      </c>
      <c r="B1199" s="117" t="s">
        <v>1765</v>
      </c>
      <c r="C1199" t="s">
        <v>67</v>
      </c>
      <c r="D1199" t="s">
        <v>67</v>
      </c>
      <c r="E1199" t="s">
        <v>67</v>
      </c>
      <c r="F1199" t="s">
        <v>27987</v>
      </c>
      <c r="G1199" s="117">
        <v>49.72</v>
      </c>
    </row>
    <row r="1200" spans="1:7" x14ac:dyDescent="0.25">
      <c r="A1200" s="116" t="s">
        <v>1766</v>
      </c>
      <c r="B1200" s="117" t="s">
        <v>1767</v>
      </c>
      <c r="C1200" t="s">
        <v>67</v>
      </c>
      <c r="D1200" t="s">
        <v>67</v>
      </c>
      <c r="E1200" t="s">
        <v>67</v>
      </c>
      <c r="F1200" t="s">
        <v>27987</v>
      </c>
      <c r="G1200" s="117">
        <v>20.38</v>
      </c>
    </row>
    <row r="1201" spans="1:7" x14ac:dyDescent="0.25">
      <c r="A1201" s="116" t="s">
        <v>30177</v>
      </c>
      <c r="B1201" s="117" t="s">
        <v>30178</v>
      </c>
      <c r="C1201" t="s">
        <v>67</v>
      </c>
      <c r="D1201" t="s">
        <v>67</v>
      </c>
      <c r="E1201" t="s">
        <v>67</v>
      </c>
      <c r="F1201" t="s">
        <v>27987</v>
      </c>
      <c r="G1201" s="117">
        <v>650</v>
      </c>
    </row>
    <row r="1202" spans="1:7" x14ac:dyDescent="0.25">
      <c r="A1202" s="116" t="s">
        <v>1768</v>
      </c>
      <c r="B1202" s="117" t="s">
        <v>1769</v>
      </c>
      <c r="C1202" t="s">
        <v>67</v>
      </c>
      <c r="D1202" t="s">
        <v>67</v>
      </c>
      <c r="E1202" t="s">
        <v>67</v>
      </c>
      <c r="F1202" t="s">
        <v>27987</v>
      </c>
      <c r="G1202" s="117">
        <v>50.76</v>
      </c>
    </row>
    <row r="1203" spans="1:7" x14ac:dyDescent="0.25">
      <c r="A1203" s="116" t="s">
        <v>1770</v>
      </c>
      <c r="B1203" s="117" t="s">
        <v>1771</v>
      </c>
      <c r="C1203" t="s">
        <v>67</v>
      </c>
      <c r="D1203" t="s">
        <v>67</v>
      </c>
      <c r="E1203" t="s">
        <v>67</v>
      </c>
      <c r="F1203" t="s">
        <v>27987</v>
      </c>
      <c r="G1203" s="117">
        <v>298.73</v>
      </c>
    </row>
    <row r="1204" spans="1:7" x14ac:dyDescent="0.25">
      <c r="A1204" s="116" t="s">
        <v>1772</v>
      </c>
      <c r="B1204" s="117" t="s">
        <v>1773</v>
      </c>
      <c r="C1204" t="s">
        <v>67</v>
      </c>
      <c r="D1204" t="s">
        <v>67</v>
      </c>
      <c r="E1204" t="s">
        <v>67</v>
      </c>
      <c r="F1204" t="s">
        <v>27987</v>
      </c>
      <c r="G1204" s="117">
        <v>148.72999999999999</v>
      </c>
    </row>
    <row r="1205" spans="1:7" x14ac:dyDescent="0.25">
      <c r="A1205" s="116" t="s">
        <v>1774</v>
      </c>
      <c r="B1205" s="117" t="s">
        <v>1775</v>
      </c>
      <c r="C1205" t="s">
        <v>67</v>
      </c>
      <c r="D1205" t="s">
        <v>67</v>
      </c>
      <c r="E1205" t="s">
        <v>67</v>
      </c>
      <c r="F1205" t="s">
        <v>27987</v>
      </c>
      <c r="G1205" s="117">
        <v>23.58</v>
      </c>
    </row>
    <row r="1206" spans="1:7" x14ac:dyDescent="0.25">
      <c r="A1206" s="116" t="s">
        <v>1776</v>
      </c>
      <c r="B1206" s="117" t="s">
        <v>1777</v>
      </c>
      <c r="C1206" t="s">
        <v>67</v>
      </c>
      <c r="D1206" t="s">
        <v>67</v>
      </c>
      <c r="E1206" t="s">
        <v>67</v>
      </c>
      <c r="F1206" t="s">
        <v>27987</v>
      </c>
      <c r="G1206" s="117">
        <v>65.760000000000005</v>
      </c>
    </row>
    <row r="1207" spans="1:7" x14ac:dyDescent="0.25">
      <c r="A1207" s="116" t="s">
        <v>1778</v>
      </c>
      <c r="B1207" s="117" t="s">
        <v>1779</v>
      </c>
      <c r="C1207" t="s">
        <v>67</v>
      </c>
      <c r="D1207" t="s">
        <v>67</v>
      </c>
      <c r="E1207" t="s">
        <v>67</v>
      </c>
      <c r="F1207" t="s">
        <v>45</v>
      </c>
      <c r="G1207" s="117">
        <v>14.68</v>
      </c>
    </row>
    <row r="1208" spans="1:7" x14ac:dyDescent="0.25">
      <c r="A1208" s="116" t="s">
        <v>1780</v>
      </c>
      <c r="B1208" s="117" t="s">
        <v>1781</v>
      </c>
      <c r="C1208" t="s">
        <v>67</v>
      </c>
      <c r="D1208" t="s">
        <v>67</v>
      </c>
      <c r="E1208" t="s">
        <v>67</v>
      </c>
      <c r="F1208" t="s">
        <v>27987</v>
      </c>
      <c r="G1208" s="117">
        <v>53.3</v>
      </c>
    </row>
    <row r="1209" spans="1:7" x14ac:dyDescent="0.25">
      <c r="A1209" s="116" t="s">
        <v>1782</v>
      </c>
      <c r="B1209" s="117" t="s">
        <v>1783</v>
      </c>
      <c r="C1209" t="s">
        <v>67</v>
      </c>
      <c r="D1209" t="s">
        <v>67</v>
      </c>
      <c r="E1209" t="s">
        <v>67</v>
      </c>
      <c r="F1209" t="s">
        <v>27987</v>
      </c>
      <c r="G1209" s="117">
        <v>78.75</v>
      </c>
    </row>
    <row r="1210" spans="1:7" x14ac:dyDescent="0.25">
      <c r="A1210" s="116" t="s">
        <v>1784</v>
      </c>
      <c r="B1210" s="117" t="s">
        <v>1785</v>
      </c>
      <c r="C1210" t="s">
        <v>67</v>
      </c>
      <c r="D1210" t="s">
        <v>67</v>
      </c>
      <c r="E1210" t="s">
        <v>67</v>
      </c>
      <c r="F1210" t="s">
        <v>27987</v>
      </c>
      <c r="G1210" s="117">
        <v>23.94</v>
      </c>
    </row>
    <row r="1211" spans="1:7" x14ac:dyDescent="0.25">
      <c r="A1211" s="116" t="s">
        <v>1786</v>
      </c>
      <c r="B1211" s="117" t="s">
        <v>1787</v>
      </c>
      <c r="C1211" t="s">
        <v>67</v>
      </c>
      <c r="D1211" t="s">
        <v>67</v>
      </c>
      <c r="E1211" t="s">
        <v>67</v>
      </c>
      <c r="F1211" t="s">
        <v>27987</v>
      </c>
      <c r="G1211" s="117">
        <v>30.7</v>
      </c>
    </row>
    <row r="1212" spans="1:7" x14ac:dyDescent="0.25">
      <c r="A1212" s="116" t="s">
        <v>1788</v>
      </c>
      <c r="B1212" s="117" t="s">
        <v>1789</v>
      </c>
      <c r="C1212" t="s">
        <v>67</v>
      </c>
      <c r="D1212" t="s">
        <v>67</v>
      </c>
      <c r="E1212" t="s">
        <v>67</v>
      </c>
      <c r="F1212" t="s">
        <v>27987</v>
      </c>
      <c r="G1212" s="117">
        <v>29.24</v>
      </c>
    </row>
    <row r="1213" spans="1:7" x14ac:dyDescent="0.25">
      <c r="A1213" s="116" t="s">
        <v>1790</v>
      </c>
      <c r="B1213" s="117" t="s">
        <v>1791</v>
      </c>
      <c r="C1213" t="s">
        <v>67</v>
      </c>
      <c r="D1213" t="s">
        <v>67</v>
      </c>
      <c r="E1213" t="s">
        <v>67</v>
      </c>
      <c r="F1213" t="s">
        <v>27987</v>
      </c>
      <c r="G1213" s="117">
        <v>12.81</v>
      </c>
    </row>
    <row r="1214" spans="1:7" x14ac:dyDescent="0.25">
      <c r="A1214" s="116" t="s">
        <v>1792</v>
      </c>
      <c r="B1214" s="117" t="s">
        <v>1793</v>
      </c>
      <c r="C1214" t="s">
        <v>67</v>
      </c>
      <c r="D1214" t="s">
        <v>67</v>
      </c>
      <c r="E1214" t="s">
        <v>67</v>
      </c>
      <c r="F1214" t="s">
        <v>27987</v>
      </c>
      <c r="G1214" s="117">
        <v>91.67</v>
      </c>
    </row>
    <row r="1215" spans="1:7" x14ac:dyDescent="0.25">
      <c r="A1215" s="116" t="s">
        <v>1794</v>
      </c>
      <c r="B1215" s="117" t="s">
        <v>1795</v>
      </c>
      <c r="C1215" t="s">
        <v>67</v>
      </c>
      <c r="D1215" t="s">
        <v>67</v>
      </c>
      <c r="E1215" t="s">
        <v>67</v>
      </c>
      <c r="F1215" t="s">
        <v>27987</v>
      </c>
      <c r="G1215" s="117">
        <v>15.57</v>
      </c>
    </row>
    <row r="1216" spans="1:7" x14ac:dyDescent="0.25">
      <c r="A1216" s="116" t="s">
        <v>26861</v>
      </c>
      <c r="B1216" s="117" t="s">
        <v>28368</v>
      </c>
      <c r="C1216" t="s">
        <v>67</v>
      </c>
      <c r="D1216" t="s">
        <v>67</v>
      </c>
      <c r="E1216" t="s">
        <v>67</v>
      </c>
      <c r="F1216" t="s">
        <v>27987</v>
      </c>
      <c r="G1216" s="117">
        <v>25</v>
      </c>
    </row>
    <row r="1217" spans="1:7" x14ac:dyDescent="0.25">
      <c r="A1217" s="116" t="s">
        <v>1796</v>
      </c>
      <c r="B1217" s="117" t="s">
        <v>1797</v>
      </c>
      <c r="C1217" t="s">
        <v>67</v>
      </c>
      <c r="D1217" t="s">
        <v>67</v>
      </c>
      <c r="E1217" t="s">
        <v>67</v>
      </c>
      <c r="F1217" t="s">
        <v>45</v>
      </c>
      <c r="G1217" s="117">
        <v>75.55</v>
      </c>
    </row>
    <row r="1218" spans="1:7" x14ac:dyDescent="0.25">
      <c r="A1218" s="116" t="s">
        <v>1798</v>
      </c>
      <c r="B1218" s="117" t="s">
        <v>1799</v>
      </c>
      <c r="C1218" t="s">
        <v>67</v>
      </c>
      <c r="D1218" t="s">
        <v>67</v>
      </c>
      <c r="E1218" t="s">
        <v>67</v>
      </c>
      <c r="F1218" t="s">
        <v>27987</v>
      </c>
      <c r="G1218" s="117">
        <v>24.82</v>
      </c>
    </row>
    <row r="1219" spans="1:7" x14ac:dyDescent="0.25">
      <c r="A1219" s="116" t="s">
        <v>1800</v>
      </c>
      <c r="B1219" s="117" t="s">
        <v>465</v>
      </c>
      <c r="C1219" t="s">
        <v>67</v>
      </c>
      <c r="D1219" t="s">
        <v>67</v>
      </c>
      <c r="E1219" t="s">
        <v>67</v>
      </c>
      <c r="F1219" t="s">
        <v>45</v>
      </c>
      <c r="G1219" s="117">
        <v>153.5</v>
      </c>
    </row>
    <row r="1220" spans="1:7" x14ac:dyDescent="0.25">
      <c r="A1220" s="116" t="s">
        <v>1801</v>
      </c>
      <c r="B1220" s="117" t="s">
        <v>1802</v>
      </c>
      <c r="C1220" t="s">
        <v>67</v>
      </c>
      <c r="D1220" t="s">
        <v>67</v>
      </c>
      <c r="E1220" t="s">
        <v>67</v>
      </c>
      <c r="F1220" t="s">
        <v>27987</v>
      </c>
      <c r="G1220" s="117">
        <v>53.3</v>
      </c>
    </row>
    <row r="1221" spans="1:7" x14ac:dyDescent="0.25">
      <c r="A1221" s="116" t="s">
        <v>1803</v>
      </c>
      <c r="B1221" s="117" t="s">
        <v>1804</v>
      </c>
      <c r="C1221" t="s">
        <v>67</v>
      </c>
      <c r="D1221" t="s">
        <v>67</v>
      </c>
      <c r="E1221" t="s">
        <v>67</v>
      </c>
      <c r="F1221" t="s">
        <v>49</v>
      </c>
      <c r="G1221" s="117">
        <v>352.82</v>
      </c>
    </row>
    <row r="1222" spans="1:7" x14ac:dyDescent="0.25">
      <c r="A1222" s="116" t="s">
        <v>28369</v>
      </c>
      <c r="B1222" s="117" t="s">
        <v>28370</v>
      </c>
      <c r="C1222" t="s">
        <v>67</v>
      </c>
      <c r="D1222" t="s">
        <v>67</v>
      </c>
      <c r="E1222" t="s">
        <v>67</v>
      </c>
      <c r="F1222" t="s">
        <v>45</v>
      </c>
      <c r="G1222" s="117">
        <v>0</v>
      </c>
    </row>
    <row r="1223" spans="1:7" x14ac:dyDescent="0.25">
      <c r="A1223" s="116" t="s">
        <v>26961</v>
      </c>
      <c r="B1223" s="117" t="s">
        <v>28371</v>
      </c>
      <c r="C1223" t="s">
        <v>67</v>
      </c>
      <c r="D1223" t="s">
        <v>67</v>
      </c>
      <c r="E1223" t="s">
        <v>67</v>
      </c>
      <c r="F1223" t="s">
        <v>27987</v>
      </c>
      <c r="G1223" s="117">
        <v>112</v>
      </c>
    </row>
    <row r="1224" spans="1:7" x14ac:dyDescent="0.25">
      <c r="A1224" s="116" t="s">
        <v>26962</v>
      </c>
      <c r="B1224" s="117" t="s">
        <v>28372</v>
      </c>
      <c r="C1224" t="s">
        <v>67</v>
      </c>
      <c r="D1224" t="s">
        <v>67</v>
      </c>
      <c r="E1224" t="s">
        <v>67</v>
      </c>
      <c r="F1224" t="s">
        <v>27987</v>
      </c>
      <c r="G1224" s="117">
        <v>109</v>
      </c>
    </row>
    <row r="1225" spans="1:7" x14ac:dyDescent="0.25">
      <c r="A1225" s="116" t="s">
        <v>1805</v>
      </c>
      <c r="B1225" s="117" t="s">
        <v>1699</v>
      </c>
      <c r="C1225" t="s">
        <v>67</v>
      </c>
      <c r="D1225" t="s">
        <v>67</v>
      </c>
      <c r="E1225" t="s">
        <v>67</v>
      </c>
      <c r="F1225" t="s">
        <v>27987</v>
      </c>
      <c r="G1225" s="117">
        <v>33.96</v>
      </c>
    </row>
    <row r="1226" spans="1:7" x14ac:dyDescent="0.25">
      <c r="A1226" s="116" t="s">
        <v>30657</v>
      </c>
      <c r="B1226" s="117" t="s">
        <v>1735</v>
      </c>
      <c r="C1226" t="s">
        <v>67</v>
      </c>
      <c r="D1226" t="s">
        <v>67</v>
      </c>
      <c r="E1226" t="s">
        <v>67</v>
      </c>
      <c r="F1226" t="s">
        <v>45</v>
      </c>
      <c r="G1226" s="117">
        <v>0</v>
      </c>
    </row>
    <row r="1227" spans="1:7" x14ac:dyDescent="0.25">
      <c r="A1227" s="116" t="s">
        <v>27006</v>
      </c>
      <c r="B1227" s="117" t="s">
        <v>28373</v>
      </c>
      <c r="C1227" t="s">
        <v>67</v>
      </c>
      <c r="D1227" t="s">
        <v>67</v>
      </c>
      <c r="E1227" t="s">
        <v>67</v>
      </c>
      <c r="F1227" t="s">
        <v>27987</v>
      </c>
      <c r="G1227" s="117">
        <v>65</v>
      </c>
    </row>
    <row r="1228" spans="1:7" x14ac:dyDescent="0.25">
      <c r="A1228" s="116" t="s">
        <v>29854</v>
      </c>
      <c r="B1228" s="117" t="s">
        <v>30368</v>
      </c>
      <c r="C1228" t="s">
        <v>67</v>
      </c>
      <c r="D1228" t="s">
        <v>67</v>
      </c>
      <c r="E1228" t="s">
        <v>67</v>
      </c>
      <c r="F1228" t="s">
        <v>27987</v>
      </c>
      <c r="G1228" s="117">
        <v>8</v>
      </c>
    </row>
    <row r="1229" spans="1:7" x14ac:dyDescent="0.25">
      <c r="A1229" s="116" t="s">
        <v>28374</v>
      </c>
      <c r="B1229" s="117" t="s">
        <v>29756</v>
      </c>
      <c r="C1229" t="s">
        <v>67</v>
      </c>
      <c r="D1229" t="s">
        <v>67</v>
      </c>
      <c r="E1229" t="s">
        <v>67</v>
      </c>
      <c r="F1229" t="s">
        <v>27987</v>
      </c>
      <c r="G1229" s="117">
        <v>12.18</v>
      </c>
    </row>
    <row r="1230" spans="1:7" x14ac:dyDescent="0.25">
      <c r="A1230" s="116" t="s">
        <v>28375</v>
      </c>
      <c r="B1230" s="117" t="s">
        <v>30020</v>
      </c>
      <c r="C1230" t="s">
        <v>67</v>
      </c>
      <c r="D1230" t="s">
        <v>67</v>
      </c>
      <c r="E1230" t="s">
        <v>67</v>
      </c>
      <c r="F1230" t="s">
        <v>27987</v>
      </c>
      <c r="G1230" s="117">
        <v>20</v>
      </c>
    </row>
    <row r="1231" spans="1:7" x14ac:dyDescent="0.25">
      <c r="A1231" s="116" t="s">
        <v>29757</v>
      </c>
      <c r="B1231" s="117" t="s">
        <v>30369</v>
      </c>
      <c r="C1231" t="s">
        <v>67</v>
      </c>
      <c r="D1231" t="s">
        <v>67</v>
      </c>
      <c r="E1231" t="s">
        <v>67</v>
      </c>
      <c r="F1231" t="s">
        <v>27987</v>
      </c>
      <c r="G1231" s="117">
        <v>25</v>
      </c>
    </row>
    <row r="1232" spans="1:7" x14ac:dyDescent="0.25">
      <c r="A1232" s="116" t="s">
        <v>1806</v>
      </c>
      <c r="B1232" s="117" t="s">
        <v>1807</v>
      </c>
      <c r="C1232" t="s">
        <v>67</v>
      </c>
      <c r="D1232" t="s">
        <v>67</v>
      </c>
      <c r="E1232" t="s">
        <v>67</v>
      </c>
      <c r="F1232" t="s">
        <v>27987</v>
      </c>
      <c r="G1232" s="117">
        <v>212.58</v>
      </c>
    </row>
    <row r="1233" spans="1:7" x14ac:dyDescent="0.25">
      <c r="A1233" s="116" t="s">
        <v>1808</v>
      </c>
      <c r="B1233" s="117" t="s">
        <v>838</v>
      </c>
      <c r="C1233" t="s">
        <v>67</v>
      </c>
      <c r="D1233" t="s">
        <v>67</v>
      </c>
      <c r="E1233" t="s">
        <v>67</v>
      </c>
      <c r="F1233" t="s">
        <v>45</v>
      </c>
      <c r="G1233" s="117">
        <v>104.02</v>
      </c>
    </row>
    <row r="1234" spans="1:7" x14ac:dyDescent="0.25">
      <c r="A1234" s="116" t="s">
        <v>1809</v>
      </c>
      <c r="B1234" s="117" t="s">
        <v>1810</v>
      </c>
      <c r="C1234" t="s">
        <v>67</v>
      </c>
      <c r="D1234" t="s">
        <v>67</v>
      </c>
      <c r="E1234" t="s">
        <v>67</v>
      </c>
      <c r="F1234" t="s">
        <v>49</v>
      </c>
      <c r="G1234" s="117">
        <v>32.479999999999997</v>
      </c>
    </row>
    <row r="1235" spans="1:7" x14ac:dyDescent="0.25">
      <c r="A1235" s="116" t="s">
        <v>1811</v>
      </c>
      <c r="B1235" s="117" t="s">
        <v>1812</v>
      </c>
      <c r="C1235" t="s">
        <v>67</v>
      </c>
      <c r="D1235" t="s">
        <v>67</v>
      </c>
      <c r="E1235" t="s">
        <v>67</v>
      </c>
      <c r="F1235" t="s">
        <v>27987</v>
      </c>
      <c r="G1235" s="117">
        <v>20.38</v>
      </c>
    </row>
    <row r="1236" spans="1:7" x14ac:dyDescent="0.25">
      <c r="A1236" s="116" t="s">
        <v>28376</v>
      </c>
      <c r="B1236" s="117" t="s">
        <v>28377</v>
      </c>
      <c r="C1236" t="s">
        <v>67</v>
      </c>
      <c r="D1236" t="s">
        <v>67</v>
      </c>
      <c r="E1236" t="s">
        <v>67</v>
      </c>
      <c r="F1236" t="s">
        <v>27987</v>
      </c>
      <c r="G1236" s="117">
        <v>0</v>
      </c>
    </row>
    <row r="1237" spans="1:7" x14ac:dyDescent="0.25">
      <c r="A1237" s="116" t="s">
        <v>28168</v>
      </c>
      <c r="B1237" s="117" t="s">
        <v>30021</v>
      </c>
      <c r="C1237" t="s">
        <v>67</v>
      </c>
      <c r="D1237" t="s">
        <v>67</v>
      </c>
      <c r="E1237" t="s">
        <v>67</v>
      </c>
      <c r="F1237" t="s">
        <v>27987</v>
      </c>
      <c r="G1237" s="117">
        <v>12.6</v>
      </c>
    </row>
    <row r="1238" spans="1:7" x14ac:dyDescent="0.25">
      <c r="A1238" s="116" t="s">
        <v>28169</v>
      </c>
      <c r="B1238" s="117" t="s">
        <v>29747</v>
      </c>
      <c r="C1238" t="s">
        <v>67</v>
      </c>
      <c r="D1238" t="s">
        <v>67</v>
      </c>
      <c r="E1238" t="s">
        <v>67</v>
      </c>
      <c r="F1238" t="s">
        <v>27987</v>
      </c>
      <c r="G1238" s="117">
        <v>73.5</v>
      </c>
    </row>
    <row r="1239" spans="1:7" x14ac:dyDescent="0.25">
      <c r="A1239" s="116" t="s">
        <v>28378</v>
      </c>
      <c r="B1239" s="117" t="s">
        <v>28379</v>
      </c>
      <c r="C1239" t="s">
        <v>67</v>
      </c>
      <c r="D1239" t="s">
        <v>67</v>
      </c>
      <c r="E1239" t="s">
        <v>67</v>
      </c>
      <c r="F1239" t="s">
        <v>27987</v>
      </c>
      <c r="G1239" s="117">
        <v>0</v>
      </c>
    </row>
    <row r="1240" spans="1:7" x14ac:dyDescent="0.25">
      <c r="A1240" s="116" t="s">
        <v>29855</v>
      </c>
      <c r="B1240" s="117" t="s">
        <v>30370</v>
      </c>
      <c r="C1240" t="s">
        <v>67</v>
      </c>
      <c r="D1240" t="s">
        <v>67</v>
      </c>
      <c r="E1240" t="s">
        <v>67</v>
      </c>
      <c r="F1240" t="s">
        <v>27987</v>
      </c>
      <c r="G1240" s="117">
        <v>36.86</v>
      </c>
    </row>
    <row r="1241" spans="1:7" x14ac:dyDescent="0.25">
      <c r="A1241" s="116" t="s">
        <v>30249</v>
      </c>
      <c r="B1241" s="117" t="s">
        <v>30250</v>
      </c>
      <c r="C1241" t="s">
        <v>67</v>
      </c>
      <c r="D1241" t="s">
        <v>67</v>
      </c>
      <c r="E1241" t="s">
        <v>67</v>
      </c>
      <c r="F1241" t="s">
        <v>45</v>
      </c>
      <c r="G1241" s="117">
        <v>463</v>
      </c>
    </row>
    <row r="1242" spans="1:7" x14ac:dyDescent="0.25">
      <c r="A1242" s="116" t="s">
        <v>28380</v>
      </c>
      <c r="B1242" s="117" t="s">
        <v>30708</v>
      </c>
      <c r="C1242" t="s">
        <v>67</v>
      </c>
      <c r="D1242" t="s">
        <v>67</v>
      </c>
      <c r="E1242" t="s">
        <v>67</v>
      </c>
      <c r="F1242" t="s">
        <v>27987</v>
      </c>
      <c r="G1242" s="117">
        <v>20</v>
      </c>
    </row>
    <row r="1243" spans="1:7" x14ac:dyDescent="0.25">
      <c r="A1243" s="116" t="s">
        <v>1813</v>
      </c>
      <c r="B1243" s="117" t="s">
        <v>1814</v>
      </c>
      <c r="C1243" t="s">
        <v>67</v>
      </c>
      <c r="D1243" t="s">
        <v>67</v>
      </c>
      <c r="E1243" t="s">
        <v>67</v>
      </c>
      <c r="F1243" t="s">
        <v>27987</v>
      </c>
      <c r="G1243" s="117">
        <v>24.82</v>
      </c>
    </row>
    <row r="1244" spans="1:7" x14ac:dyDescent="0.25">
      <c r="A1244" s="116" t="s">
        <v>1815</v>
      </c>
      <c r="B1244" s="117" t="s">
        <v>1816</v>
      </c>
      <c r="C1244" t="s">
        <v>67</v>
      </c>
      <c r="D1244" t="s">
        <v>67</v>
      </c>
      <c r="E1244" t="s">
        <v>67</v>
      </c>
      <c r="F1244" t="s">
        <v>27987</v>
      </c>
      <c r="G1244" s="117">
        <v>75.55</v>
      </c>
    </row>
    <row r="1245" spans="1:7" x14ac:dyDescent="0.25">
      <c r="A1245" s="116" t="s">
        <v>1817</v>
      </c>
      <c r="B1245" s="117" t="s">
        <v>1818</v>
      </c>
      <c r="C1245" t="s">
        <v>67</v>
      </c>
      <c r="D1245" t="s">
        <v>67</v>
      </c>
      <c r="E1245" t="s">
        <v>67</v>
      </c>
      <c r="F1245" t="s">
        <v>27987</v>
      </c>
      <c r="G1245" s="117">
        <v>61.85</v>
      </c>
    </row>
    <row r="1246" spans="1:7" x14ac:dyDescent="0.25">
      <c r="A1246" s="116" t="s">
        <v>28381</v>
      </c>
      <c r="B1246" s="117" t="s">
        <v>3488</v>
      </c>
      <c r="C1246" t="s">
        <v>67</v>
      </c>
      <c r="D1246" t="s">
        <v>67</v>
      </c>
      <c r="E1246" t="s">
        <v>67</v>
      </c>
      <c r="F1246" t="s">
        <v>27987</v>
      </c>
      <c r="G1246" s="117">
        <v>0</v>
      </c>
    </row>
    <row r="1247" spans="1:7" x14ac:dyDescent="0.25">
      <c r="A1247" s="116" t="s">
        <v>28382</v>
      </c>
      <c r="B1247" s="117" t="s">
        <v>30371</v>
      </c>
      <c r="C1247" t="s">
        <v>67</v>
      </c>
      <c r="D1247" t="s">
        <v>67</v>
      </c>
      <c r="E1247" t="s">
        <v>67</v>
      </c>
      <c r="F1247" t="s">
        <v>49</v>
      </c>
      <c r="G1247" s="117">
        <v>50</v>
      </c>
    </row>
    <row r="1248" spans="1:7" x14ac:dyDescent="0.25">
      <c r="A1248" s="116" t="s">
        <v>28384</v>
      </c>
      <c r="B1248" s="117" t="s">
        <v>30372</v>
      </c>
      <c r="C1248" t="s">
        <v>67</v>
      </c>
      <c r="D1248" t="s">
        <v>67</v>
      </c>
      <c r="E1248" t="s">
        <v>67</v>
      </c>
      <c r="F1248" t="s">
        <v>27987</v>
      </c>
      <c r="G1248" s="117">
        <v>4</v>
      </c>
    </row>
    <row r="1249" spans="1:7" x14ac:dyDescent="0.25">
      <c r="A1249" s="116" t="s">
        <v>28385</v>
      </c>
      <c r="B1249" s="117" t="s">
        <v>28386</v>
      </c>
      <c r="C1249" t="s">
        <v>67</v>
      </c>
      <c r="D1249" t="s">
        <v>67</v>
      </c>
      <c r="E1249" t="s">
        <v>67</v>
      </c>
      <c r="F1249" t="s">
        <v>27987</v>
      </c>
      <c r="G1249" s="117">
        <v>0</v>
      </c>
    </row>
    <row r="1250" spans="1:7" x14ac:dyDescent="0.25">
      <c r="A1250" s="116" t="s">
        <v>28387</v>
      </c>
      <c r="B1250" s="117" t="s">
        <v>31120</v>
      </c>
      <c r="C1250" t="s">
        <v>67</v>
      </c>
      <c r="D1250" t="s">
        <v>67</v>
      </c>
      <c r="E1250" t="s">
        <v>67</v>
      </c>
      <c r="F1250" t="s">
        <v>49</v>
      </c>
      <c r="G1250" s="117">
        <v>75</v>
      </c>
    </row>
    <row r="1251" spans="1:7" x14ac:dyDescent="0.25">
      <c r="A1251" s="116" t="s">
        <v>30001</v>
      </c>
      <c r="B1251" s="117" t="s">
        <v>30373</v>
      </c>
      <c r="C1251" t="s">
        <v>67</v>
      </c>
      <c r="D1251" t="s">
        <v>67</v>
      </c>
      <c r="E1251" t="s">
        <v>67</v>
      </c>
      <c r="F1251" t="s">
        <v>27987</v>
      </c>
      <c r="G1251" s="117">
        <v>43</v>
      </c>
    </row>
    <row r="1252" spans="1:7" x14ac:dyDescent="0.25">
      <c r="A1252" s="116" t="s">
        <v>28388</v>
      </c>
      <c r="B1252" s="117" t="s">
        <v>30374</v>
      </c>
      <c r="C1252" t="s">
        <v>67</v>
      </c>
      <c r="D1252" t="s">
        <v>67</v>
      </c>
      <c r="E1252" t="s">
        <v>67</v>
      </c>
      <c r="F1252" t="s">
        <v>27987</v>
      </c>
      <c r="G1252" s="117">
        <v>184.91</v>
      </c>
    </row>
    <row r="1253" spans="1:7" x14ac:dyDescent="0.25">
      <c r="A1253" s="116" t="s">
        <v>28389</v>
      </c>
      <c r="B1253" s="117" t="s">
        <v>30709</v>
      </c>
      <c r="C1253" t="s">
        <v>67</v>
      </c>
      <c r="D1253" t="s">
        <v>67</v>
      </c>
      <c r="E1253" t="s">
        <v>67</v>
      </c>
      <c r="F1253" t="s">
        <v>27987</v>
      </c>
      <c r="G1253" s="117">
        <v>48</v>
      </c>
    </row>
    <row r="1254" spans="1:7" x14ac:dyDescent="0.25">
      <c r="A1254" s="116" t="s">
        <v>29891</v>
      </c>
      <c r="B1254" s="117" t="s">
        <v>29892</v>
      </c>
      <c r="C1254" t="s">
        <v>67</v>
      </c>
      <c r="D1254" t="s">
        <v>67</v>
      </c>
      <c r="E1254" t="s">
        <v>67</v>
      </c>
      <c r="F1254" t="s">
        <v>27987</v>
      </c>
      <c r="G1254" s="117">
        <v>9999</v>
      </c>
    </row>
    <row r="1255" spans="1:7" x14ac:dyDescent="0.25">
      <c r="A1255" s="116" t="s">
        <v>29893</v>
      </c>
      <c r="B1255" s="117" t="s">
        <v>29894</v>
      </c>
      <c r="C1255" t="s">
        <v>67</v>
      </c>
      <c r="D1255" t="s">
        <v>67</v>
      </c>
      <c r="E1255" t="s">
        <v>67</v>
      </c>
      <c r="F1255" t="s">
        <v>27987</v>
      </c>
      <c r="G1255" s="117">
        <v>9999</v>
      </c>
    </row>
    <row r="1256" spans="1:7" x14ac:dyDescent="0.25">
      <c r="A1256" s="116" t="s">
        <v>29895</v>
      </c>
      <c r="B1256" s="117" t="s">
        <v>29896</v>
      </c>
      <c r="C1256" t="s">
        <v>67</v>
      </c>
      <c r="D1256" t="s">
        <v>67</v>
      </c>
      <c r="E1256" t="s">
        <v>67</v>
      </c>
      <c r="F1256" t="s">
        <v>27987</v>
      </c>
      <c r="G1256" s="117">
        <v>9999</v>
      </c>
    </row>
    <row r="1257" spans="1:7" x14ac:dyDescent="0.25">
      <c r="A1257" s="116" t="s">
        <v>29897</v>
      </c>
      <c r="B1257" s="117" t="s">
        <v>29898</v>
      </c>
      <c r="C1257" t="s">
        <v>67</v>
      </c>
      <c r="D1257" t="s">
        <v>67</v>
      </c>
      <c r="E1257" t="s">
        <v>67</v>
      </c>
      <c r="F1257" t="s">
        <v>27987</v>
      </c>
      <c r="G1257" s="117">
        <v>9999</v>
      </c>
    </row>
    <row r="1258" spans="1:7" x14ac:dyDescent="0.25">
      <c r="A1258" s="116" t="s">
        <v>29899</v>
      </c>
      <c r="B1258" s="117" t="s">
        <v>29900</v>
      </c>
      <c r="C1258" t="s">
        <v>67</v>
      </c>
      <c r="D1258" t="s">
        <v>67</v>
      </c>
      <c r="E1258" t="s">
        <v>67</v>
      </c>
      <c r="F1258" t="s">
        <v>27987</v>
      </c>
      <c r="G1258" s="117">
        <v>9999</v>
      </c>
    </row>
    <row r="1259" spans="1:7" x14ac:dyDescent="0.25">
      <c r="A1259" s="116" t="s">
        <v>28170</v>
      </c>
      <c r="B1259" s="117" t="s">
        <v>28390</v>
      </c>
      <c r="C1259" t="s">
        <v>67</v>
      </c>
      <c r="D1259" t="s">
        <v>67</v>
      </c>
      <c r="E1259" t="s">
        <v>67</v>
      </c>
      <c r="F1259" t="s">
        <v>45</v>
      </c>
      <c r="G1259" s="117">
        <v>9999</v>
      </c>
    </row>
    <row r="1260" spans="1:7" x14ac:dyDescent="0.25">
      <c r="A1260" s="116" t="s">
        <v>28391</v>
      </c>
      <c r="B1260" s="117" t="s">
        <v>28392</v>
      </c>
      <c r="C1260" t="s">
        <v>67</v>
      </c>
      <c r="D1260" t="s">
        <v>67</v>
      </c>
      <c r="E1260" t="s">
        <v>67</v>
      </c>
      <c r="F1260" t="s">
        <v>27987</v>
      </c>
      <c r="G1260" s="117">
        <v>9999</v>
      </c>
    </row>
    <row r="1261" spans="1:7" x14ac:dyDescent="0.25">
      <c r="A1261" s="116" t="s">
        <v>28393</v>
      </c>
      <c r="B1261" s="117" t="s">
        <v>28394</v>
      </c>
      <c r="C1261" t="s">
        <v>67</v>
      </c>
      <c r="D1261" t="s">
        <v>67</v>
      </c>
      <c r="E1261" t="s">
        <v>67</v>
      </c>
      <c r="F1261" t="s">
        <v>27987</v>
      </c>
      <c r="G1261" s="117">
        <v>9999</v>
      </c>
    </row>
    <row r="1262" spans="1:7" x14ac:dyDescent="0.25">
      <c r="A1262" s="116" t="s">
        <v>28395</v>
      </c>
      <c r="B1262" s="117" t="s">
        <v>30710</v>
      </c>
      <c r="C1262" t="s">
        <v>67</v>
      </c>
      <c r="D1262" t="s">
        <v>67</v>
      </c>
      <c r="E1262" t="s">
        <v>67</v>
      </c>
      <c r="F1262" t="s">
        <v>27987</v>
      </c>
      <c r="G1262" s="117">
        <v>10</v>
      </c>
    </row>
    <row r="1263" spans="1:7" x14ac:dyDescent="0.25">
      <c r="A1263" s="116" t="s">
        <v>30005</v>
      </c>
      <c r="B1263" s="117" t="s">
        <v>30375</v>
      </c>
      <c r="C1263" t="s">
        <v>67</v>
      </c>
      <c r="D1263" t="s">
        <v>67</v>
      </c>
      <c r="E1263" t="s">
        <v>67</v>
      </c>
      <c r="F1263" t="s">
        <v>27987</v>
      </c>
      <c r="G1263" s="117">
        <v>40</v>
      </c>
    </row>
    <row r="1264" spans="1:7" x14ac:dyDescent="0.25">
      <c r="A1264" s="116" t="s">
        <v>30076</v>
      </c>
      <c r="B1264" s="117" t="s">
        <v>30376</v>
      </c>
      <c r="C1264" t="s">
        <v>67</v>
      </c>
      <c r="D1264" t="s">
        <v>67</v>
      </c>
      <c r="E1264" t="s">
        <v>67</v>
      </c>
      <c r="F1264" t="s">
        <v>27987</v>
      </c>
      <c r="G1264" s="117">
        <v>150</v>
      </c>
    </row>
    <row r="1265" spans="1:7" x14ac:dyDescent="0.25">
      <c r="A1265" s="116" t="s">
        <v>31096</v>
      </c>
      <c r="B1265" s="117" t="s">
        <v>31101</v>
      </c>
      <c r="C1265" t="s">
        <v>67</v>
      </c>
      <c r="D1265" t="s">
        <v>67</v>
      </c>
      <c r="E1265" t="s">
        <v>67</v>
      </c>
      <c r="F1265" t="s">
        <v>45</v>
      </c>
      <c r="G1265" s="117">
        <v>9999</v>
      </c>
    </row>
    <row r="1266" spans="1:7" x14ac:dyDescent="0.25">
      <c r="A1266" s="116" t="s">
        <v>30826</v>
      </c>
      <c r="B1266" s="117" t="s">
        <v>30827</v>
      </c>
      <c r="C1266" t="s">
        <v>67</v>
      </c>
      <c r="D1266" t="s">
        <v>67</v>
      </c>
      <c r="E1266" t="s">
        <v>67</v>
      </c>
      <c r="F1266" t="s">
        <v>45</v>
      </c>
      <c r="G1266" s="117">
        <v>9999</v>
      </c>
    </row>
    <row r="1267" spans="1:7" x14ac:dyDescent="0.25">
      <c r="A1267" s="116" t="s">
        <v>1819</v>
      </c>
      <c r="B1267" s="117" t="s">
        <v>1820</v>
      </c>
      <c r="C1267" t="s">
        <v>67</v>
      </c>
      <c r="D1267" t="s">
        <v>67</v>
      </c>
      <c r="E1267" t="s">
        <v>67</v>
      </c>
      <c r="F1267" t="s">
        <v>27987</v>
      </c>
      <c r="G1267" s="117">
        <v>12.45</v>
      </c>
    </row>
    <row r="1268" spans="1:7" x14ac:dyDescent="0.25">
      <c r="A1268" s="116" t="s">
        <v>1821</v>
      </c>
      <c r="B1268" s="117" t="s">
        <v>1822</v>
      </c>
      <c r="C1268" t="s">
        <v>67</v>
      </c>
      <c r="D1268" t="s">
        <v>67</v>
      </c>
      <c r="E1268" t="s">
        <v>67</v>
      </c>
      <c r="F1268" t="s">
        <v>27987</v>
      </c>
      <c r="G1268" s="117">
        <v>32.479999999999997</v>
      </c>
    </row>
    <row r="1269" spans="1:7" x14ac:dyDescent="0.25">
      <c r="A1269" s="116" t="s">
        <v>1823</v>
      </c>
      <c r="B1269" s="117" t="s">
        <v>1824</v>
      </c>
      <c r="C1269" t="s">
        <v>67</v>
      </c>
      <c r="D1269" t="s">
        <v>67</v>
      </c>
      <c r="E1269" t="s">
        <v>67</v>
      </c>
      <c r="F1269" t="s">
        <v>45</v>
      </c>
      <c r="G1269" s="117">
        <v>198.35</v>
      </c>
    </row>
    <row r="1270" spans="1:7" x14ac:dyDescent="0.25">
      <c r="A1270" s="116" t="s">
        <v>1825</v>
      </c>
      <c r="B1270" s="117" t="s">
        <v>1306</v>
      </c>
      <c r="C1270" t="s">
        <v>67</v>
      </c>
      <c r="D1270" t="s">
        <v>67</v>
      </c>
      <c r="E1270" t="s">
        <v>67</v>
      </c>
      <c r="F1270" t="s">
        <v>45</v>
      </c>
      <c r="G1270" s="117">
        <v>192.64</v>
      </c>
    </row>
    <row r="1271" spans="1:7" x14ac:dyDescent="0.25">
      <c r="A1271" s="116" t="s">
        <v>28396</v>
      </c>
      <c r="B1271" s="117" t="s">
        <v>30711</v>
      </c>
      <c r="C1271" t="s">
        <v>67</v>
      </c>
      <c r="D1271" t="s">
        <v>67</v>
      </c>
      <c r="E1271" t="s">
        <v>67</v>
      </c>
      <c r="F1271" t="s">
        <v>27987</v>
      </c>
      <c r="G1271" s="117">
        <v>95</v>
      </c>
    </row>
    <row r="1272" spans="1:7" x14ac:dyDescent="0.25">
      <c r="A1272" s="116" t="s">
        <v>28397</v>
      </c>
      <c r="B1272" s="117" t="s">
        <v>30712</v>
      </c>
      <c r="C1272" t="s">
        <v>67</v>
      </c>
      <c r="D1272" t="s">
        <v>67</v>
      </c>
      <c r="E1272" t="s">
        <v>67</v>
      </c>
      <c r="F1272" t="s">
        <v>27987</v>
      </c>
      <c r="G1272" s="117">
        <v>13</v>
      </c>
    </row>
    <row r="1273" spans="1:7" x14ac:dyDescent="0.25">
      <c r="A1273" s="116" t="s">
        <v>30262</v>
      </c>
      <c r="B1273" s="117" t="s">
        <v>30263</v>
      </c>
      <c r="C1273" t="s">
        <v>67</v>
      </c>
      <c r="D1273" t="s">
        <v>67</v>
      </c>
      <c r="E1273" t="s">
        <v>67</v>
      </c>
      <c r="F1273" t="s">
        <v>45</v>
      </c>
      <c r="G1273" s="117">
        <v>9999</v>
      </c>
    </row>
    <row r="1274" spans="1:7" x14ac:dyDescent="0.25">
      <c r="A1274" s="116" t="s">
        <v>30264</v>
      </c>
      <c r="B1274" s="117" t="s">
        <v>30265</v>
      </c>
      <c r="C1274" t="s">
        <v>67</v>
      </c>
      <c r="D1274" t="s">
        <v>67</v>
      </c>
      <c r="E1274" t="s">
        <v>67</v>
      </c>
      <c r="F1274" t="s">
        <v>45</v>
      </c>
      <c r="G1274" s="117">
        <v>9999</v>
      </c>
    </row>
    <row r="1275" spans="1:7" x14ac:dyDescent="0.25">
      <c r="A1275" s="116" t="s">
        <v>28398</v>
      </c>
      <c r="B1275" s="117" t="s">
        <v>30377</v>
      </c>
      <c r="C1275" t="s">
        <v>67</v>
      </c>
      <c r="D1275" t="s">
        <v>67</v>
      </c>
      <c r="E1275" t="s">
        <v>67</v>
      </c>
      <c r="F1275" t="s">
        <v>27987</v>
      </c>
      <c r="G1275" s="117">
        <v>15</v>
      </c>
    </row>
    <row r="1276" spans="1:7" x14ac:dyDescent="0.25">
      <c r="A1276" s="116" t="s">
        <v>30828</v>
      </c>
      <c r="B1276" s="117" t="s">
        <v>30829</v>
      </c>
      <c r="C1276" t="s">
        <v>67</v>
      </c>
      <c r="D1276" t="s">
        <v>67</v>
      </c>
      <c r="E1276" t="s">
        <v>67</v>
      </c>
      <c r="F1276" t="s">
        <v>45</v>
      </c>
      <c r="G1276" s="117">
        <v>9999</v>
      </c>
    </row>
    <row r="1277" spans="1:7" x14ac:dyDescent="0.25">
      <c r="A1277" s="116" t="s">
        <v>30830</v>
      </c>
      <c r="B1277" s="117" t="s">
        <v>30831</v>
      </c>
      <c r="C1277" t="s">
        <v>67</v>
      </c>
      <c r="D1277" t="s">
        <v>67</v>
      </c>
      <c r="E1277" t="s">
        <v>67</v>
      </c>
      <c r="F1277" t="s">
        <v>45</v>
      </c>
      <c r="G1277" s="117">
        <v>9999</v>
      </c>
    </row>
    <row r="1278" spans="1:7" x14ac:dyDescent="0.25">
      <c r="A1278" s="116" t="s">
        <v>30832</v>
      </c>
      <c r="B1278" s="117" t="s">
        <v>30833</v>
      </c>
      <c r="C1278" t="s">
        <v>67</v>
      </c>
      <c r="D1278" t="s">
        <v>67</v>
      </c>
      <c r="E1278" t="s">
        <v>67</v>
      </c>
      <c r="F1278" t="s">
        <v>45</v>
      </c>
      <c r="G1278" s="117">
        <v>9999</v>
      </c>
    </row>
    <row r="1279" spans="1:7" x14ac:dyDescent="0.25">
      <c r="A1279" s="116" t="s">
        <v>30834</v>
      </c>
      <c r="B1279" s="117" t="s">
        <v>30835</v>
      </c>
      <c r="C1279" t="s">
        <v>67</v>
      </c>
      <c r="D1279" t="s">
        <v>67</v>
      </c>
      <c r="E1279" t="s">
        <v>67</v>
      </c>
      <c r="F1279" t="s">
        <v>45</v>
      </c>
      <c r="G1279" s="117">
        <v>9999</v>
      </c>
    </row>
    <row r="1280" spans="1:7" x14ac:dyDescent="0.25">
      <c r="A1280" s="116" t="s">
        <v>30836</v>
      </c>
      <c r="B1280" s="117" t="s">
        <v>30837</v>
      </c>
      <c r="C1280" t="s">
        <v>67</v>
      </c>
      <c r="D1280" t="s">
        <v>67</v>
      </c>
      <c r="E1280" t="s">
        <v>67</v>
      </c>
      <c r="F1280" t="s">
        <v>45</v>
      </c>
      <c r="G1280" s="117">
        <v>9999</v>
      </c>
    </row>
    <row r="1281" spans="1:7" x14ac:dyDescent="0.25">
      <c r="A1281" s="116" t="s">
        <v>30838</v>
      </c>
      <c r="B1281" s="117" t="s">
        <v>30839</v>
      </c>
      <c r="C1281" t="s">
        <v>67</v>
      </c>
      <c r="D1281" t="s">
        <v>67</v>
      </c>
      <c r="E1281" t="s">
        <v>67</v>
      </c>
      <c r="F1281" t="s">
        <v>45</v>
      </c>
      <c r="G1281" s="117">
        <v>9999</v>
      </c>
    </row>
    <row r="1282" spans="1:7" x14ac:dyDescent="0.25">
      <c r="A1282" s="116" t="s">
        <v>30840</v>
      </c>
      <c r="B1282" s="117" t="s">
        <v>30841</v>
      </c>
      <c r="C1282" t="s">
        <v>67</v>
      </c>
      <c r="D1282" t="s">
        <v>67</v>
      </c>
      <c r="E1282" t="s">
        <v>67</v>
      </c>
      <c r="F1282" t="s">
        <v>45</v>
      </c>
      <c r="G1282" s="117">
        <v>9999</v>
      </c>
    </row>
    <row r="1283" spans="1:7" x14ac:dyDescent="0.25">
      <c r="A1283" s="116" t="s">
        <v>30842</v>
      </c>
      <c r="B1283" s="117" t="s">
        <v>30843</v>
      </c>
      <c r="C1283" t="s">
        <v>67</v>
      </c>
      <c r="D1283" t="s">
        <v>67</v>
      </c>
      <c r="E1283" t="s">
        <v>67</v>
      </c>
      <c r="F1283" t="s">
        <v>45</v>
      </c>
      <c r="G1283" s="117">
        <v>9999</v>
      </c>
    </row>
    <row r="1284" spans="1:7" x14ac:dyDescent="0.25">
      <c r="A1284" s="116" t="s">
        <v>30844</v>
      </c>
      <c r="B1284" s="117" t="s">
        <v>30845</v>
      </c>
      <c r="C1284" t="s">
        <v>67</v>
      </c>
      <c r="D1284" t="s">
        <v>67</v>
      </c>
      <c r="E1284" t="s">
        <v>67</v>
      </c>
      <c r="F1284" t="s">
        <v>45</v>
      </c>
      <c r="G1284" s="117">
        <v>9999</v>
      </c>
    </row>
    <row r="1285" spans="1:7" x14ac:dyDescent="0.25">
      <c r="A1285" s="116" t="s">
        <v>29901</v>
      </c>
      <c r="B1285" s="117" t="s">
        <v>30378</v>
      </c>
      <c r="C1285" t="s">
        <v>67</v>
      </c>
      <c r="D1285" t="s">
        <v>67</v>
      </c>
      <c r="E1285" t="s">
        <v>67</v>
      </c>
      <c r="F1285" t="s">
        <v>27987</v>
      </c>
      <c r="G1285" s="117">
        <v>40.43</v>
      </c>
    </row>
    <row r="1286" spans="1:7" x14ac:dyDescent="0.25">
      <c r="A1286" s="116" t="s">
        <v>29902</v>
      </c>
      <c r="B1286" s="117" t="s">
        <v>30379</v>
      </c>
      <c r="C1286" t="s">
        <v>67</v>
      </c>
      <c r="D1286" t="s">
        <v>67</v>
      </c>
      <c r="E1286" t="s">
        <v>67</v>
      </c>
      <c r="F1286" t="s">
        <v>27987</v>
      </c>
      <c r="G1286" s="117">
        <v>8</v>
      </c>
    </row>
    <row r="1287" spans="1:7" x14ac:dyDescent="0.25">
      <c r="A1287" s="116" t="s">
        <v>1826</v>
      </c>
      <c r="B1287" s="117" t="s">
        <v>2445</v>
      </c>
      <c r="C1287" t="s">
        <v>67</v>
      </c>
      <c r="D1287" t="s">
        <v>67</v>
      </c>
      <c r="E1287" t="s">
        <v>67</v>
      </c>
      <c r="F1287" t="s">
        <v>27987</v>
      </c>
      <c r="G1287" s="117">
        <v>75</v>
      </c>
    </row>
    <row r="1288" spans="1:7" x14ac:dyDescent="0.25">
      <c r="A1288" s="116" t="s">
        <v>1827</v>
      </c>
      <c r="B1288" s="117" t="s">
        <v>1828</v>
      </c>
      <c r="C1288" t="s">
        <v>67</v>
      </c>
      <c r="D1288" t="s">
        <v>67</v>
      </c>
      <c r="E1288" t="s">
        <v>67</v>
      </c>
      <c r="F1288" t="s">
        <v>27987</v>
      </c>
      <c r="G1288" s="117">
        <v>71.099999999999994</v>
      </c>
    </row>
    <row r="1289" spans="1:7" x14ac:dyDescent="0.25">
      <c r="A1289" s="116" t="s">
        <v>1829</v>
      </c>
      <c r="B1289" s="117" t="s">
        <v>1830</v>
      </c>
      <c r="C1289" t="s">
        <v>67</v>
      </c>
      <c r="D1289" t="s">
        <v>67</v>
      </c>
      <c r="E1289" t="s">
        <v>67</v>
      </c>
      <c r="F1289" t="s">
        <v>49</v>
      </c>
      <c r="G1289" s="117">
        <v>46.18</v>
      </c>
    </row>
    <row r="1290" spans="1:7" x14ac:dyDescent="0.25">
      <c r="A1290" s="116" t="s">
        <v>1831</v>
      </c>
      <c r="B1290" s="117" t="s">
        <v>1832</v>
      </c>
      <c r="C1290" t="s">
        <v>67</v>
      </c>
      <c r="D1290" t="s">
        <v>67</v>
      </c>
      <c r="E1290" t="s">
        <v>67</v>
      </c>
      <c r="F1290" t="s">
        <v>27987</v>
      </c>
      <c r="G1290" s="117">
        <v>94.76</v>
      </c>
    </row>
    <row r="1291" spans="1:7" x14ac:dyDescent="0.25">
      <c r="A1291" s="116" t="s">
        <v>1833</v>
      </c>
      <c r="B1291" s="117" t="s">
        <v>1834</v>
      </c>
      <c r="C1291" t="s">
        <v>67</v>
      </c>
      <c r="D1291" t="s">
        <v>67</v>
      </c>
      <c r="E1291" t="s">
        <v>67</v>
      </c>
      <c r="F1291" t="s">
        <v>27987</v>
      </c>
      <c r="G1291" s="117">
        <v>8.81</v>
      </c>
    </row>
    <row r="1292" spans="1:7" x14ac:dyDescent="0.25">
      <c r="A1292" s="116" t="s">
        <v>1835</v>
      </c>
      <c r="B1292" s="117" t="s">
        <v>1836</v>
      </c>
      <c r="C1292" t="s">
        <v>67</v>
      </c>
      <c r="D1292" t="s">
        <v>67</v>
      </c>
      <c r="E1292" t="s">
        <v>67</v>
      </c>
      <c r="F1292" t="s">
        <v>45</v>
      </c>
      <c r="G1292" s="117">
        <v>141.93</v>
      </c>
    </row>
    <row r="1293" spans="1:7" x14ac:dyDescent="0.25">
      <c r="A1293" s="116" t="s">
        <v>1837</v>
      </c>
      <c r="B1293" s="117" t="s">
        <v>1838</v>
      </c>
      <c r="C1293" t="s">
        <v>67</v>
      </c>
      <c r="D1293" t="s">
        <v>67</v>
      </c>
      <c r="E1293" t="s">
        <v>67</v>
      </c>
      <c r="F1293" t="s">
        <v>27987</v>
      </c>
      <c r="G1293" s="117">
        <v>59.18</v>
      </c>
    </row>
    <row r="1294" spans="1:7" x14ac:dyDescent="0.25">
      <c r="A1294" s="116" t="s">
        <v>1839</v>
      </c>
      <c r="B1294" s="117" t="s">
        <v>1840</v>
      </c>
      <c r="C1294" t="s">
        <v>67</v>
      </c>
      <c r="D1294" t="s">
        <v>67</v>
      </c>
      <c r="E1294" t="s">
        <v>67</v>
      </c>
      <c r="F1294" t="s">
        <v>45</v>
      </c>
      <c r="G1294" s="117">
        <v>74.66</v>
      </c>
    </row>
    <row r="1295" spans="1:7" x14ac:dyDescent="0.25">
      <c r="A1295" s="116" t="s">
        <v>1841</v>
      </c>
      <c r="B1295" s="117" t="s">
        <v>1842</v>
      </c>
      <c r="C1295" t="s">
        <v>67</v>
      </c>
      <c r="D1295" t="s">
        <v>67</v>
      </c>
      <c r="E1295" t="s">
        <v>67</v>
      </c>
      <c r="F1295" t="s">
        <v>45</v>
      </c>
      <c r="G1295" s="117">
        <v>39.06</v>
      </c>
    </row>
    <row r="1296" spans="1:7" x14ac:dyDescent="0.25">
      <c r="A1296" s="116" t="s">
        <v>1843</v>
      </c>
      <c r="B1296" s="117" t="s">
        <v>1844</v>
      </c>
      <c r="C1296" t="s">
        <v>67</v>
      </c>
      <c r="D1296" t="s">
        <v>67</v>
      </c>
      <c r="E1296" t="s">
        <v>67</v>
      </c>
      <c r="F1296" t="s">
        <v>27987</v>
      </c>
      <c r="G1296" s="117">
        <v>47.07</v>
      </c>
    </row>
    <row r="1297" spans="1:7" x14ac:dyDescent="0.25">
      <c r="A1297" s="116" t="s">
        <v>1845</v>
      </c>
      <c r="B1297" s="117" t="s">
        <v>1846</v>
      </c>
      <c r="C1297" t="s">
        <v>67</v>
      </c>
      <c r="D1297" t="s">
        <v>67</v>
      </c>
      <c r="E1297" t="s">
        <v>67</v>
      </c>
      <c r="F1297" t="s">
        <v>27987</v>
      </c>
      <c r="G1297" s="117">
        <v>39.06</v>
      </c>
    </row>
    <row r="1298" spans="1:7" x14ac:dyDescent="0.25">
      <c r="A1298" s="116" t="s">
        <v>1847</v>
      </c>
      <c r="B1298" s="117" t="s">
        <v>1848</v>
      </c>
      <c r="C1298" t="s">
        <v>67</v>
      </c>
      <c r="D1298" t="s">
        <v>67</v>
      </c>
      <c r="E1298" t="s">
        <v>67</v>
      </c>
      <c r="F1298" t="s">
        <v>45</v>
      </c>
      <c r="G1298" s="117">
        <v>47.61</v>
      </c>
    </row>
    <row r="1299" spans="1:7" x14ac:dyDescent="0.25">
      <c r="A1299" s="116" t="s">
        <v>1849</v>
      </c>
      <c r="B1299" s="117" t="s">
        <v>1850</v>
      </c>
      <c r="C1299" t="s">
        <v>67</v>
      </c>
      <c r="D1299" t="s">
        <v>67</v>
      </c>
      <c r="E1299" t="s">
        <v>67</v>
      </c>
      <c r="F1299" t="s">
        <v>45</v>
      </c>
      <c r="G1299" s="117">
        <v>89.79</v>
      </c>
    </row>
    <row r="1300" spans="1:7" x14ac:dyDescent="0.25">
      <c r="A1300" s="116" t="s">
        <v>1851</v>
      </c>
      <c r="B1300" s="117" t="s">
        <v>1852</v>
      </c>
      <c r="C1300" t="s">
        <v>67</v>
      </c>
      <c r="D1300" t="s">
        <v>67</v>
      </c>
      <c r="E1300" t="s">
        <v>67</v>
      </c>
      <c r="F1300" t="s">
        <v>27987</v>
      </c>
      <c r="G1300" s="117">
        <v>31.94</v>
      </c>
    </row>
    <row r="1301" spans="1:7" x14ac:dyDescent="0.25">
      <c r="A1301" s="116" t="s">
        <v>1853</v>
      </c>
      <c r="B1301" s="117" t="s">
        <v>1854</v>
      </c>
      <c r="C1301" t="s">
        <v>67</v>
      </c>
      <c r="D1301" t="s">
        <v>67</v>
      </c>
      <c r="E1301" t="s">
        <v>67</v>
      </c>
      <c r="F1301" t="s">
        <v>45</v>
      </c>
      <c r="G1301" s="117">
        <v>30.7</v>
      </c>
    </row>
    <row r="1302" spans="1:7" x14ac:dyDescent="0.25">
      <c r="A1302" s="116" t="s">
        <v>1855</v>
      </c>
      <c r="B1302" s="117" t="s">
        <v>1856</v>
      </c>
      <c r="C1302" t="s">
        <v>67</v>
      </c>
      <c r="D1302" t="s">
        <v>67</v>
      </c>
      <c r="E1302" t="s">
        <v>67</v>
      </c>
      <c r="F1302" t="s">
        <v>45</v>
      </c>
      <c r="G1302" s="117">
        <v>94.76</v>
      </c>
    </row>
    <row r="1303" spans="1:7" x14ac:dyDescent="0.25">
      <c r="A1303" s="116" t="s">
        <v>1857</v>
      </c>
      <c r="B1303" s="117" t="s">
        <v>1858</v>
      </c>
      <c r="C1303" t="s">
        <v>67</v>
      </c>
      <c r="D1303" t="s">
        <v>67</v>
      </c>
      <c r="E1303" t="s">
        <v>67</v>
      </c>
      <c r="F1303" t="s">
        <v>27987</v>
      </c>
      <c r="G1303" s="117">
        <v>29.81</v>
      </c>
    </row>
    <row r="1304" spans="1:7" x14ac:dyDescent="0.25">
      <c r="A1304" s="116" t="s">
        <v>1859</v>
      </c>
      <c r="B1304" s="117" t="s">
        <v>1860</v>
      </c>
      <c r="C1304" t="s">
        <v>67</v>
      </c>
      <c r="D1304" t="s">
        <v>67</v>
      </c>
      <c r="E1304" t="s">
        <v>67</v>
      </c>
      <c r="F1304" t="s">
        <v>27987</v>
      </c>
      <c r="G1304" s="117">
        <v>81.42</v>
      </c>
    </row>
    <row r="1305" spans="1:7" x14ac:dyDescent="0.25">
      <c r="A1305" s="116" t="s">
        <v>1861</v>
      </c>
      <c r="B1305" s="117" t="s">
        <v>1862</v>
      </c>
      <c r="C1305" t="s">
        <v>67</v>
      </c>
      <c r="D1305" t="s">
        <v>67</v>
      </c>
      <c r="E1305" t="s">
        <v>67</v>
      </c>
      <c r="F1305" t="s">
        <v>45</v>
      </c>
      <c r="G1305" s="117">
        <v>181.98</v>
      </c>
    </row>
    <row r="1306" spans="1:7" x14ac:dyDescent="0.25">
      <c r="A1306" s="116" t="s">
        <v>1863</v>
      </c>
      <c r="B1306" s="117" t="s">
        <v>1864</v>
      </c>
      <c r="C1306" t="s">
        <v>67</v>
      </c>
      <c r="D1306" t="s">
        <v>67</v>
      </c>
      <c r="E1306" t="s">
        <v>67</v>
      </c>
      <c r="F1306" t="s">
        <v>45</v>
      </c>
      <c r="G1306" s="117">
        <v>31.94</v>
      </c>
    </row>
    <row r="1307" spans="1:7" x14ac:dyDescent="0.25">
      <c r="A1307" s="116" t="s">
        <v>1865</v>
      </c>
      <c r="B1307" s="117" t="s">
        <v>1866</v>
      </c>
      <c r="C1307" t="s">
        <v>67</v>
      </c>
      <c r="D1307" t="s">
        <v>67</v>
      </c>
      <c r="E1307" t="s">
        <v>67</v>
      </c>
      <c r="F1307" t="s">
        <v>27987</v>
      </c>
      <c r="G1307" s="117">
        <v>155.63</v>
      </c>
    </row>
    <row r="1308" spans="1:7" x14ac:dyDescent="0.25">
      <c r="A1308" s="116" t="s">
        <v>1867</v>
      </c>
      <c r="B1308" s="117" t="s">
        <v>1868</v>
      </c>
      <c r="C1308" t="s">
        <v>67</v>
      </c>
      <c r="D1308" t="s">
        <v>67</v>
      </c>
      <c r="E1308" t="s">
        <v>67</v>
      </c>
      <c r="F1308" t="s">
        <v>27987</v>
      </c>
      <c r="G1308" s="117">
        <v>189.08</v>
      </c>
    </row>
    <row r="1309" spans="1:7" x14ac:dyDescent="0.25">
      <c r="A1309" s="116" t="s">
        <v>1869</v>
      </c>
      <c r="B1309" s="117" t="s">
        <v>1870</v>
      </c>
      <c r="C1309" t="s">
        <v>67</v>
      </c>
      <c r="D1309" t="s">
        <v>67</v>
      </c>
      <c r="E1309" t="s">
        <v>67</v>
      </c>
      <c r="F1309" t="s">
        <v>27987</v>
      </c>
      <c r="G1309" s="117">
        <v>68.430000000000007</v>
      </c>
    </row>
    <row r="1310" spans="1:7" x14ac:dyDescent="0.25">
      <c r="A1310" s="116" t="s">
        <v>1871</v>
      </c>
      <c r="B1310" s="117" t="s">
        <v>1872</v>
      </c>
      <c r="C1310" t="s">
        <v>67</v>
      </c>
      <c r="D1310" t="s">
        <v>67</v>
      </c>
      <c r="E1310" t="s">
        <v>67</v>
      </c>
      <c r="F1310" t="s">
        <v>27987</v>
      </c>
      <c r="G1310" s="117">
        <v>109.89</v>
      </c>
    </row>
    <row r="1311" spans="1:7" x14ac:dyDescent="0.25">
      <c r="A1311" s="116" t="s">
        <v>1873</v>
      </c>
      <c r="B1311" s="117" t="s">
        <v>1874</v>
      </c>
      <c r="C1311" t="s">
        <v>67</v>
      </c>
      <c r="D1311" t="s">
        <v>67</v>
      </c>
      <c r="E1311" t="s">
        <v>67</v>
      </c>
      <c r="F1311" t="s">
        <v>45</v>
      </c>
      <c r="G1311" s="117">
        <v>86.23</v>
      </c>
    </row>
    <row r="1312" spans="1:7" x14ac:dyDescent="0.25">
      <c r="A1312" s="116" t="s">
        <v>1875</v>
      </c>
      <c r="B1312" s="117" t="s">
        <v>1876</v>
      </c>
      <c r="C1312" t="s">
        <v>67</v>
      </c>
      <c r="D1312" t="s">
        <v>67</v>
      </c>
      <c r="E1312" t="s">
        <v>67</v>
      </c>
      <c r="F1312" t="s">
        <v>27987</v>
      </c>
      <c r="G1312" s="117">
        <v>20.02</v>
      </c>
    </row>
    <row r="1313" spans="1:7" x14ac:dyDescent="0.25">
      <c r="A1313" s="116" t="s">
        <v>1877</v>
      </c>
      <c r="B1313" s="117" t="s">
        <v>1567</v>
      </c>
      <c r="C1313" t="s">
        <v>67</v>
      </c>
      <c r="D1313" t="s">
        <v>67</v>
      </c>
      <c r="E1313" t="s">
        <v>67</v>
      </c>
      <c r="F1313" t="s">
        <v>45</v>
      </c>
      <c r="G1313" s="117">
        <v>26.61</v>
      </c>
    </row>
    <row r="1314" spans="1:7" x14ac:dyDescent="0.25">
      <c r="A1314" s="116" t="s">
        <v>1878</v>
      </c>
      <c r="B1314" s="117" t="s">
        <v>1879</v>
      </c>
      <c r="C1314" t="s">
        <v>67</v>
      </c>
      <c r="D1314" t="s">
        <v>67</v>
      </c>
      <c r="E1314" t="s">
        <v>67</v>
      </c>
      <c r="F1314" t="s">
        <v>45</v>
      </c>
      <c r="G1314" s="117">
        <v>136.06</v>
      </c>
    </row>
    <row r="1315" spans="1:7" x14ac:dyDescent="0.25">
      <c r="A1315" s="116" t="s">
        <v>1880</v>
      </c>
      <c r="B1315" s="117" t="s">
        <v>1881</v>
      </c>
      <c r="C1315" t="s">
        <v>67</v>
      </c>
      <c r="D1315" t="s">
        <v>67</v>
      </c>
      <c r="E1315" t="s">
        <v>67</v>
      </c>
      <c r="F1315" t="s">
        <v>27987</v>
      </c>
      <c r="G1315" s="117">
        <v>336.26</v>
      </c>
    </row>
    <row r="1316" spans="1:7" x14ac:dyDescent="0.25">
      <c r="A1316" s="116" t="s">
        <v>1882</v>
      </c>
      <c r="B1316" s="117" t="s">
        <v>1883</v>
      </c>
      <c r="C1316" t="s">
        <v>67</v>
      </c>
      <c r="D1316" t="s">
        <v>67</v>
      </c>
      <c r="E1316" t="s">
        <v>67</v>
      </c>
      <c r="F1316" t="s">
        <v>45</v>
      </c>
      <c r="G1316" s="117">
        <v>15.57</v>
      </c>
    </row>
    <row r="1317" spans="1:7" x14ac:dyDescent="0.25">
      <c r="A1317" s="116" t="s">
        <v>1884</v>
      </c>
      <c r="B1317" s="117" t="s">
        <v>1885</v>
      </c>
      <c r="C1317" t="s">
        <v>67</v>
      </c>
      <c r="D1317" t="s">
        <v>67</v>
      </c>
      <c r="E1317" t="s">
        <v>67</v>
      </c>
      <c r="F1317" t="s">
        <v>27987</v>
      </c>
      <c r="G1317" s="117">
        <v>127.69</v>
      </c>
    </row>
    <row r="1318" spans="1:7" x14ac:dyDescent="0.25">
      <c r="A1318" s="116" t="s">
        <v>1886</v>
      </c>
      <c r="B1318" s="117" t="s">
        <v>1887</v>
      </c>
      <c r="C1318" t="s">
        <v>67</v>
      </c>
      <c r="D1318" t="s">
        <v>67</v>
      </c>
      <c r="E1318" t="s">
        <v>67</v>
      </c>
      <c r="F1318" t="s">
        <v>27987</v>
      </c>
      <c r="G1318" s="117">
        <v>117.01</v>
      </c>
    </row>
    <row r="1319" spans="1:7" x14ac:dyDescent="0.25">
      <c r="A1319" s="116" t="s">
        <v>1888</v>
      </c>
      <c r="B1319" s="117" t="s">
        <v>1889</v>
      </c>
      <c r="C1319" t="s">
        <v>67</v>
      </c>
      <c r="D1319" t="s">
        <v>67</v>
      </c>
      <c r="E1319" t="s">
        <v>67</v>
      </c>
      <c r="F1319" t="s">
        <v>45</v>
      </c>
      <c r="G1319" s="117">
        <v>95.66</v>
      </c>
    </row>
    <row r="1320" spans="1:7" x14ac:dyDescent="0.25">
      <c r="A1320" s="116" t="s">
        <v>1890</v>
      </c>
      <c r="B1320" s="117" t="s">
        <v>1891</v>
      </c>
      <c r="C1320" t="s">
        <v>67</v>
      </c>
      <c r="D1320" t="s">
        <v>67</v>
      </c>
      <c r="E1320" t="s">
        <v>67</v>
      </c>
      <c r="F1320" t="s">
        <v>27987</v>
      </c>
      <c r="G1320" s="117">
        <v>91.2</v>
      </c>
    </row>
    <row r="1321" spans="1:7" x14ac:dyDescent="0.25">
      <c r="A1321" s="116" t="s">
        <v>1892</v>
      </c>
      <c r="B1321" s="117" t="s">
        <v>1893</v>
      </c>
      <c r="C1321" t="s">
        <v>67</v>
      </c>
      <c r="D1321" t="s">
        <v>67</v>
      </c>
      <c r="E1321" t="s">
        <v>67</v>
      </c>
      <c r="F1321" t="s">
        <v>49</v>
      </c>
      <c r="G1321" s="117">
        <v>80.52</v>
      </c>
    </row>
    <row r="1322" spans="1:7" x14ac:dyDescent="0.25">
      <c r="A1322" s="116" t="s">
        <v>1894</v>
      </c>
      <c r="B1322" s="117" t="s">
        <v>1895</v>
      </c>
      <c r="C1322" t="s">
        <v>67</v>
      </c>
      <c r="D1322" t="s">
        <v>67</v>
      </c>
      <c r="E1322" t="s">
        <v>67</v>
      </c>
      <c r="F1322" t="s">
        <v>27987</v>
      </c>
      <c r="G1322" s="117">
        <v>26.25</v>
      </c>
    </row>
    <row r="1323" spans="1:7" x14ac:dyDescent="0.25">
      <c r="A1323" s="116" t="s">
        <v>1896</v>
      </c>
      <c r="B1323" s="117" t="s">
        <v>28399</v>
      </c>
      <c r="C1323" t="s">
        <v>67</v>
      </c>
      <c r="D1323" t="s">
        <v>67</v>
      </c>
      <c r="E1323" t="s">
        <v>67</v>
      </c>
      <c r="F1323" t="s">
        <v>27987</v>
      </c>
      <c r="G1323" s="117">
        <v>157.72999999999999</v>
      </c>
    </row>
    <row r="1324" spans="1:7" x14ac:dyDescent="0.25">
      <c r="A1324" s="116" t="s">
        <v>1897</v>
      </c>
      <c r="B1324" s="117" t="s">
        <v>1323</v>
      </c>
      <c r="C1324" t="s">
        <v>67</v>
      </c>
      <c r="D1324" t="s">
        <v>67</v>
      </c>
      <c r="E1324" t="s">
        <v>67</v>
      </c>
      <c r="F1324" t="s">
        <v>27987</v>
      </c>
      <c r="G1324" s="117">
        <v>160.97999999999999</v>
      </c>
    </row>
    <row r="1325" spans="1:7" x14ac:dyDescent="0.25">
      <c r="A1325" s="116" t="s">
        <v>1898</v>
      </c>
      <c r="B1325" s="117" t="s">
        <v>1899</v>
      </c>
      <c r="C1325" t="s">
        <v>67</v>
      </c>
      <c r="D1325" t="s">
        <v>67</v>
      </c>
      <c r="E1325" t="s">
        <v>67</v>
      </c>
      <c r="F1325" t="s">
        <v>27987</v>
      </c>
      <c r="G1325" s="117">
        <v>120.25</v>
      </c>
    </row>
    <row r="1326" spans="1:7" x14ac:dyDescent="0.25">
      <c r="A1326" s="116" t="s">
        <v>1900</v>
      </c>
      <c r="B1326" s="117" t="s">
        <v>1901</v>
      </c>
      <c r="C1326" t="s">
        <v>67</v>
      </c>
      <c r="D1326" t="s">
        <v>67</v>
      </c>
      <c r="E1326" t="s">
        <v>67</v>
      </c>
      <c r="F1326" t="s">
        <v>49</v>
      </c>
      <c r="G1326" s="117">
        <v>9.6999999999999993</v>
      </c>
    </row>
    <row r="1327" spans="1:7" x14ac:dyDescent="0.25">
      <c r="A1327" s="116" t="s">
        <v>1902</v>
      </c>
      <c r="B1327" s="117" t="s">
        <v>1903</v>
      </c>
      <c r="C1327" t="s">
        <v>67</v>
      </c>
      <c r="D1327" t="s">
        <v>67</v>
      </c>
      <c r="E1327" t="s">
        <v>67</v>
      </c>
      <c r="F1327" t="s">
        <v>27990</v>
      </c>
      <c r="G1327" s="117">
        <v>9.6999999999999993</v>
      </c>
    </row>
    <row r="1328" spans="1:7" x14ac:dyDescent="0.25">
      <c r="A1328" s="116" t="s">
        <v>1904</v>
      </c>
      <c r="B1328" s="117" t="s">
        <v>1905</v>
      </c>
      <c r="C1328" t="s">
        <v>67</v>
      </c>
      <c r="D1328" t="s">
        <v>67</v>
      </c>
      <c r="E1328" t="s">
        <v>67</v>
      </c>
      <c r="F1328" t="s">
        <v>27987</v>
      </c>
      <c r="G1328" s="117">
        <v>21.26</v>
      </c>
    </row>
    <row r="1329" spans="1:7" x14ac:dyDescent="0.25">
      <c r="A1329" s="116" t="s">
        <v>1906</v>
      </c>
      <c r="B1329" s="117" t="s">
        <v>465</v>
      </c>
      <c r="C1329" t="s">
        <v>67</v>
      </c>
      <c r="D1329" t="s">
        <v>67</v>
      </c>
      <c r="E1329" t="s">
        <v>67</v>
      </c>
      <c r="F1329" t="s">
        <v>45</v>
      </c>
      <c r="G1329" s="117">
        <v>115.58</v>
      </c>
    </row>
    <row r="1330" spans="1:7" x14ac:dyDescent="0.25">
      <c r="A1330" s="116" t="s">
        <v>1907</v>
      </c>
      <c r="B1330" s="117" t="s">
        <v>1908</v>
      </c>
      <c r="C1330" t="s">
        <v>67</v>
      </c>
      <c r="D1330" t="s">
        <v>67</v>
      </c>
      <c r="E1330" t="s">
        <v>67</v>
      </c>
      <c r="F1330" t="s">
        <v>27987</v>
      </c>
      <c r="G1330" s="117">
        <v>29.81</v>
      </c>
    </row>
    <row r="1331" spans="1:7" x14ac:dyDescent="0.25">
      <c r="A1331" s="116" t="s">
        <v>1909</v>
      </c>
      <c r="B1331" s="117" t="s">
        <v>1846</v>
      </c>
      <c r="C1331" t="s">
        <v>67</v>
      </c>
      <c r="D1331" t="s">
        <v>67</v>
      </c>
      <c r="E1331" t="s">
        <v>67</v>
      </c>
      <c r="F1331" t="s">
        <v>45</v>
      </c>
      <c r="G1331" s="117">
        <v>330.57</v>
      </c>
    </row>
    <row r="1332" spans="1:7" x14ac:dyDescent="0.25">
      <c r="A1332" s="116" t="s">
        <v>1910</v>
      </c>
      <c r="B1332" s="117" t="s">
        <v>1911</v>
      </c>
      <c r="C1332" t="s">
        <v>67</v>
      </c>
      <c r="D1332" t="s">
        <v>67</v>
      </c>
      <c r="E1332" t="s">
        <v>67</v>
      </c>
      <c r="F1332" t="s">
        <v>27987</v>
      </c>
      <c r="G1332" s="117">
        <v>167.74</v>
      </c>
    </row>
    <row r="1333" spans="1:7" x14ac:dyDescent="0.25">
      <c r="A1333" s="116" t="s">
        <v>1912</v>
      </c>
      <c r="B1333" s="117" t="s">
        <v>1913</v>
      </c>
      <c r="C1333" t="s">
        <v>67</v>
      </c>
      <c r="D1333" t="s">
        <v>67</v>
      </c>
      <c r="E1333" t="s">
        <v>67</v>
      </c>
      <c r="F1333" t="s">
        <v>27987</v>
      </c>
      <c r="G1333" s="117">
        <v>185.52</v>
      </c>
    </row>
    <row r="1334" spans="1:7" x14ac:dyDescent="0.25">
      <c r="A1334" s="116" t="s">
        <v>1914</v>
      </c>
      <c r="B1334" s="117" t="s">
        <v>1915</v>
      </c>
      <c r="C1334" t="s">
        <v>67</v>
      </c>
      <c r="D1334" t="s">
        <v>67</v>
      </c>
      <c r="E1334" t="s">
        <v>67</v>
      </c>
      <c r="F1334" t="s">
        <v>27987</v>
      </c>
      <c r="G1334" s="117">
        <v>81.42</v>
      </c>
    </row>
    <row r="1335" spans="1:7" x14ac:dyDescent="0.25">
      <c r="A1335" s="116" t="s">
        <v>1916</v>
      </c>
      <c r="B1335" s="117" t="s">
        <v>518</v>
      </c>
      <c r="C1335" t="s">
        <v>67</v>
      </c>
      <c r="D1335" t="s">
        <v>67</v>
      </c>
      <c r="E1335" t="s">
        <v>67</v>
      </c>
      <c r="F1335" t="s">
        <v>27987</v>
      </c>
      <c r="G1335" s="117">
        <v>258.5</v>
      </c>
    </row>
    <row r="1336" spans="1:7" x14ac:dyDescent="0.25">
      <c r="A1336" s="116" t="s">
        <v>1917</v>
      </c>
      <c r="B1336" s="117" t="s">
        <v>1879</v>
      </c>
      <c r="C1336" t="s">
        <v>67</v>
      </c>
      <c r="D1336" t="s">
        <v>67</v>
      </c>
      <c r="E1336" t="s">
        <v>67</v>
      </c>
      <c r="F1336" t="s">
        <v>45</v>
      </c>
      <c r="G1336" s="117">
        <v>76.98</v>
      </c>
    </row>
    <row r="1337" spans="1:7" x14ac:dyDescent="0.25">
      <c r="A1337" s="116" t="s">
        <v>1918</v>
      </c>
      <c r="B1337" s="117" t="s">
        <v>1919</v>
      </c>
      <c r="C1337" t="s">
        <v>67</v>
      </c>
      <c r="D1337" t="s">
        <v>67</v>
      </c>
      <c r="E1337" t="s">
        <v>67</v>
      </c>
      <c r="F1337" t="s">
        <v>45</v>
      </c>
      <c r="G1337" s="117">
        <v>76.98</v>
      </c>
    </row>
    <row r="1338" spans="1:7" x14ac:dyDescent="0.25">
      <c r="A1338" s="116" t="s">
        <v>1920</v>
      </c>
      <c r="B1338" s="117" t="s">
        <v>1921</v>
      </c>
      <c r="C1338" t="s">
        <v>67</v>
      </c>
      <c r="D1338" t="s">
        <v>67</v>
      </c>
      <c r="E1338" t="s">
        <v>67</v>
      </c>
      <c r="F1338" t="s">
        <v>27987</v>
      </c>
      <c r="G1338" s="117">
        <v>63.98</v>
      </c>
    </row>
    <row r="1339" spans="1:7" x14ac:dyDescent="0.25">
      <c r="A1339" s="116" t="s">
        <v>1922</v>
      </c>
      <c r="B1339" s="117" t="s">
        <v>1923</v>
      </c>
      <c r="C1339" t="s">
        <v>67</v>
      </c>
      <c r="D1339" t="s">
        <v>67</v>
      </c>
      <c r="E1339" t="s">
        <v>67</v>
      </c>
      <c r="F1339" t="s">
        <v>27987</v>
      </c>
      <c r="G1339" s="117">
        <v>236.61</v>
      </c>
    </row>
    <row r="1340" spans="1:7" x14ac:dyDescent="0.25">
      <c r="A1340" s="116" t="s">
        <v>1924</v>
      </c>
      <c r="B1340" s="117" t="s">
        <v>1925</v>
      </c>
      <c r="C1340" t="s">
        <v>67</v>
      </c>
      <c r="D1340" t="s">
        <v>67</v>
      </c>
      <c r="E1340" t="s">
        <v>67</v>
      </c>
      <c r="F1340" t="s">
        <v>27987</v>
      </c>
      <c r="G1340" s="117">
        <v>52.06</v>
      </c>
    </row>
    <row r="1341" spans="1:7" x14ac:dyDescent="0.25">
      <c r="A1341" s="116" t="s">
        <v>26429</v>
      </c>
      <c r="B1341" s="117" t="s">
        <v>26430</v>
      </c>
      <c r="C1341" t="s">
        <v>67</v>
      </c>
      <c r="D1341" t="s">
        <v>67</v>
      </c>
      <c r="E1341" t="s">
        <v>67</v>
      </c>
      <c r="F1341" t="s">
        <v>27987</v>
      </c>
      <c r="G1341" s="117">
        <v>112.05</v>
      </c>
    </row>
    <row r="1342" spans="1:7" x14ac:dyDescent="0.25">
      <c r="A1342" s="116" t="s">
        <v>1926</v>
      </c>
      <c r="B1342" s="117" t="s">
        <v>1927</v>
      </c>
      <c r="C1342" t="s">
        <v>67</v>
      </c>
      <c r="D1342" t="s">
        <v>67</v>
      </c>
      <c r="E1342" t="s">
        <v>67</v>
      </c>
      <c r="F1342" t="s">
        <v>27987</v>
      </c>
      <c r="G1342" s="117">
        <v>118.79</v>
      </c>
    </row>
    <row r="1343" spans="1:7" x14ac:dyDescent="0.25">
      <c r="A1343" s="116" t="s">
        <v>1928</v>
      </c>
      <c r="B1343" s="117" t="s">
        <v>1929</v>
      </c>
      <c r="C1343" t="s">
        <v>67</v>
      </c>
      <c r="D1343" t="s">
        <v>67</v>
      </c>
      <c r="E1343" t="s">
        <v>67</v>
      </c>
      <c r="F1343" t="s">
        <v>27987</v>
      </c>
      <c r="G1343" s="117">
        <v>229.15</v>
      </c>
    </row>
    <row r="1344" spans="1:7" x14ac:dyDescent="0.25">
      <c r="A1344" s="116" t="s">
        <v>1930</v>
      </c>
      <c r="B1344" s="117" t="s">
        <v>1931</v>
      </c>
      <c r="C1344" t="s">
        <v>67</v>
      </c>
      <c r="D1344" t="s">
        <v>67</v>
      </c>
      <c r="E1344" t="s">
        <v>67</v>
      </c>
      <c r="F1344" t="s">
        <v>27987</v>
      </c>
      <c r="G1344" s="117">
        <v>103.34</v>
      </c>
    </row>
    <row r="1345" spans="1:7" x14ac:dyDescent="0.25">
      <c r="A1345" s="116" t="s">
        <v>1932</v>
      </c>
      <c r="B1345" s="117" t="s">
        <v>1933</v>
      </c>
      <c r="C1345" t="s">
        <v>67</v>
      </c>
      <c r="D1345" t="s">
        <v>67</v>
      </c>
      <c r="E1345" t="s">
        <v>67</v>
      </c>
      <c r="F1345" t="s">
        <v>27987</v>
      </c>
      <c r="G1345" s="117">
        <v>146.78</v>
      </c>
    </row>
    <row r="1346" spans="1:7" x14ac:dyDescent="0.25">
      <c r="A1346" s="116" t="s">
        <v>1934</v>
      </c>
      <c r="B1346" s="117" t="s">
        <v>1935</v>
      </c>
      <c r="C1346" t="s">
        <v>67</v>
      </c>
      <c r="D1346" t="s">
        <v>67</v>
      </c>
      <c r="E1346" t="s">
        <v>67</v>
      </c>
      <c r="F1346" t="s">
        <v>27987</v>
      </c>
      <c r="G1346" s="117">
        <v>28.13</v>
      </c>
    </row>
    <row r="1347" spans="1:7" x14ac:dyDescent="0.25">
      <c r="A1347" s="116" t="s">
        <v>1936</v>
      </c>
      <c r="B1347" s="117" t="s">
        <v>1937</v>
      </c>
      <c r="C1347" t="s">
        <v>67</v>
      </c>
      <c r="D1347" t="s">
        <v>67</v>
      </c>
      <c r="E1347" t="s">
        <v>67</v>
      </c>
      <c r="F1347" t="s">
        <v>27987</v>
      </c>
      <c r="G1347" s="117">
        <v>63.28</v>
      </c>
    </row>
    <row r="1348" spans="1:7" x14ac:dyDescent="0.25">
      <c r="A1348" s="116" t="s">
        <v>1938</v>
      </c>
      <c r="B1348" s="117" t="s">
        <v>1939</v>
      </c>
      <c r="C1348" t="s">
        <v>67</v>
      </c>
      <c r="D1348" t="s">
        <v>67</v>
      </c>
      <c r="E1348" t="s">
        <v>67</v>
      </c>
      <c r="F1348" t="s">
        <v>27987</v>
      </c>
      <c r="G1348" s="117">
        <v>78.86</v>
      </c>
    </row>
    <row r="1349" spans="1:7" x14ac:dyDescent="0.25">
      <c r="A1349" s="116" t="s">
        <v>1940</v>
      </c>
      <c r="B1349" s="117" t="s">
        <v>1941</v>
      </c>
      <c r="C1349" t="s">
        <v>67</v>
      </c>
      <c r="D1349" t="s">
        <v>67</v>
      </c>
      <c r="E1349" t="s">
        <v>67</v>
      </c>
      <c r="F1349" t="s">
        <v>27987</v>
      </c>
      <c r="G1349" s="117">
        <v>47.61</v>
      </c>
    </row>
    <row r="1350" spans="1:7" x14ac:dyDescent="0.25">
      <c r="A1350" s="116" t="s">
        <v>1942</v>
      </c>
      <c r="B1350" s="117" t="s">
        <v>1943</v>
      </c>
      <c r="C1350" t="s">
        <v>67</v>
      </c>
      <c r="D1350" t="s">
        <v>67</v>
      </c>
      <c r="E1350" t="s">
        <v>67</v>
      </c>
      <c r="F1350" t="s">
        <v>45</v>
      </c>
      <c r="G1350" s="117">
        <v>17.36</v>
      </c>
    </row>
    <row r="1351" spans="1:7" x14ac:dyDescent="0.25">
      <c r="A1351" s="116" t="s">
        <v>1944</v>
      </c>
      <c r="B1351" s="117" t="s">
        <v>1945</v>
      </c>
      <c r="C1351" t="s">
        <v>67</v>
      </c>
      <c r="D1351" t="s">
        <v>67</v>
      </c>
      <c r="E1351" t="s">
        <v>67</v>
      </c>
      <c r="F1351" t="s">
        <v>27987</v>
      </c>
      <c r="G1351" s="117">
        <v>38.18</v>
      </c>
    </row>
    <row r="1352" spans="1:7" x14ac:dyDescent="0.25">
      <c r="A1352" s="116" t="s">
        <v>1946</v>
      </c>
      <c r="B1352" s="117" t="s">
        <v>1947</v>
      </c>
      <c r="C1352" t="s">
        <v>67</v>
      </c>
      <c r="D1352" t="s">
        <v>67</v>
      </c>
      <c r="E1352" t="s">
        <v>67</v>
      </c>
      <c r="F1352" t="s">
        <v>27987</v>
      </c>
      <c r="G1352" s="117">
        <v>422.65</v>
      </c>
    </row>
    <row r="1353" spans="1:7" x14ac:dyDescent="0.25">
      <c r="A1353" s="116" t="s">
        <v>1948</v>
      </c>
      <c r="B1353" s="117" t="s">
        <v>1949</v>
      </c>
      <c r="C1353" t="s">
        <v>67</v>
      </c>
      <c r="D1353" t="s">
        <v>67</v>
      </c>
      <c r="E1353" t="s">
        <v>67</v>
      </c>
      <c r="F1353" t="s">
        <v>27987</v>
      </c>
      <c r="G1353" s="117">
        <v>38.92</v>
      </c>
    </row>
    <row r="1354" spans="1:7" x14ac:dyDescent="0.25">
      <c r="A1354" s="116" t="s">
        <v>1950</v>
      </c>
      <c r="B1354" s="117" t="s">
        <v>1951</v>
      </c>
      <c r="C1354" t="s">
        <v>67</v>
      </c>
      <c r="D1354" t="s">
        <v>67</v>
      </c>
      <c r="E1354" t="s">
        <v>67</v>
      </c>
      <c r="F1354" t="s">
        <v>27987</v>
      </c>
      <c r="G1354" s="117">
        <v>492.33</v>
      </c>
    </row>
    <row r="1355" spans="1:7" x14ac:dyDescent="0.25">
      <c r="A1355" s="116" t="s">
        <v>1952</v>
      </c>
      <c r="B1355" s="117" t="s">
        <v>1953</v>
      </c>
      <c r="C1355" t="s">
        <v>67</v>
      </c>
      <c r="D1355" t="s">
        <v>67</v>
      </c>
      <c r="E1355" t="s">
        <v>67</v>
      </c>
      <c r="F1355" t="s">
        <v>27987</v>
      </c>
      <c r="G1355" s="117">
        <v>354.33</v>
      </c>
    </row>
    <row r="1356" spans="1:7" x14ac:dyDescent="0.25">
      <c r="A1356" s="116" t="s">
        <v>1954</v>
      </c>
      <c r="B1356" s="117" t="s">
        <v>1955</v>
      </c>
      <c r="C1356" t="s">
        <v>67</v>
      </c>
      <c r="D1356" t="s">
        <v>67</v>
      </c>
      <c r="E1356" t="s">
        <v>67</v>
      </c>
      <c r="F1356" t="s">
        <v>27987</v>
      </c>
      <c r="G1356" s="117">
        <v>104.09</v>
      </c>
    </row>
    <row r="1357" spans="1:7" x14ac:dyDescent="0.25">
      <c r="A1357" s="116" t="s">
        <v>1956</v>
      </c>
      <c r="B1357" s="117" t="s">
        <v>1957</v>
      </c>
      <c r="C1357" t="s">
        <v>67</v>
      </c>
      <c r="D1357" t="s">
        <v>67</v>
      </c>
      <c r="E1357" t="s">
        <v>67</v>
      </c>
      <c r="F1357" t="s">
        <v>27987</v>
      </c>
      <c r="G1357" s="117">
        <v>104.84</v>
      </c>
    </row>
    <row r="1358" spans="1:7" x14ac:dyDescent="0.25">
      <c r="A1358" s="116" t="s">
        <v>1958</v>
      </c>
      <c r="B1358" s="117" t="s">
        <v>1959</v>
      </c>
      <c r="C1358" t="s">
        <v>67</v>
      </c>
      <c r="D1358" t="s">
        <v>67</v>
      </c>
      <c r="E1358" t="s">
        <v>67</v>
      </c>
      <c r="F1358" t="s">
        <v>27987</v>
      </c>
      <c r="G1358" s="117">
        <v>29.63</v>
      </c>
    </row>
    <row r="1359" spans="1:7" x14ac:dyDescent="0.25">
      <c r="A1359" s="116" t="s">
        <v>1960</v>
      </c>
      <c r="B1359" s="117" t="s">
        <v>1355</v>
      </c>
      <c r="C1359" t="s">
        <v>67</v>
      </c>
      <c r="D1359" t="s">
        <v>67</v>
      </c>
      <c r="E1359" t="s">
        <v>67</v>
      </c>
      <c r="F1359" t="s">
        <v>27987</v>
      </c>
      <c r="G1359" s="117">
        <v>8.66</v>
      </c>
    </row>
    <row r="1360" spans="1:7" x14ac:dyDescent="0.25">
      <c r="A1360" s="116" t="s">
        <v>1961</v>
      </c>
      <c r="B1360" s="117" t="s">
        <v>1962</v>
      </c>
      <c r="C1360" t="s">
        <v>67</v>
      </c>
      <c r="D1360" t="s">
        <v>67</v>
      </c>
      <c r="E1360" t="s">
        <v>67</v>
      </c>
      <c r="F1360" t="s">
        <v>27987</v>
      </c>
      <c r="G1360" s="117">
        <v>14.82</v>
      </c>
    </row>
    <row r="1361" spans="1:7" x14ac:dyDescent="0.25">
      <c r="A1361" s="116" t="s">
        <v>1963</v>
      </c>
      <c r="B1361" s="117" t="s">
        <v>2817</v>
      </c>
      <c r="C1361" t="s">
        <v>67</v>
      </c>
      <c r="D1361" t="s">
        <v>67</v>
      </c>
      <c r="E1361" t="s">
        <v>67</v>
      </c>
      <c r="F1361" t="s">
        <v>45</v>
      </c>
      <c r="G1361" s="117">
        <v>70</v>
      </c>
    </row>
    <row r="1362" spans="1:7" x14ac:dyDescent="0.25">
      <c r="A1362" s="116" t="s">
        <v>1964</v>
      </c>
      <c r="B1362" s="117" t="s">
        <v>1879</v>
      </c>
      <c r="C1362" t="s">
        <v>67</v>
      </c>
      <c r="D1362" t="s">
        <v>67</v>
      </c>
      <c r="E1362" t="s">
        <v>67</v>
      </c>
      <c r="F1362" t="s">
        <v>27987</v>
      </c>
      <c r="G1362" s="117">
        <v>88.89</v>
      </c>
    </row>
    <row r="1363" spans="1:7" x14ac:dyDescent="0.25">
      <c r="A1363" s="116" t="s">
        <v>1965</v>
      </c>
      <c r="B1363" s="117" t="s">
        <v>465</v>
      </c>
      <c r="C1363" t="s">
        <v>67</v>
      </c>
      <c r="D1363" t="s">
        <v>67</v>
      </c>
      <c r="E1363" t="s">
        <v>67</v>
      </c>
      <c r="F1363" t="s">
        <v>27987</v>
      </c>
      <c r="G1363" s="117">
        <v>78.209999999999994</v>
      </c>
    </row>
    <row r="1364" spans="1:7" x14ac:dyDescent="0.25">
      <c r="A1364" s="116" t="s">
        <v>1966</v>
      </c>
      <c r="B1364" s="117" t="s">
        <v>1967</v>
      </c>
      <c r="C1364" t="s">
        <v>67</v>
      </c>
      <c r="D1364" t="s">
        <v>67</v>
      </c>
      <c r="E1364" t="s">
        <v>67</v>
      </c>
      <c r="F1364" t="s">
        <v>27987</v>
      </c>
      <c r="G1364" s="117">
        <v>101.36</v>
      </c>
    </row>
    <row r="1365" spans="1:7" x14ac:dyDescent="0.25">
      <c r="A1365" s="116" t="s">
        <v>1968</v>
      </c>
      <c r="B1365" s="117" t="s">
        <v>1969</v>
      </c>
      <c r="C1365" t="s">
        <v>67</v>
      </c>
      <c r="D1365" t="s">
        <v>67</v>
      </c>
      <c r="E1365" t="s">
        <v>67</v>
      </c>
      <c r="F1365" t="s">
        <v>27987</v>
      </c>
      <c r="G1365" s="117">
        <v>332.37</v>
      </c>
    </row>
    <row r="1366" spans="1:7" x14ac:dyDescent="0.25">
      <c r="A1366" s="116" t="s">
        <v>1970</v>
      </c>
      <c r="B1366" s="117" t="s">
        <v>1971</v>
      </c>
      <c r="C1366" t="s">
        <v>67</v>
      </c>
      <c r="D1366" t="s">
        <v>67</v>
      </c>
      <c r="E1366" t="s">
        <v>67</v>
      </c>
      <c r="F1366" t="s">
        <v>27987</v>
      </c>
      <c r="G1366" s="117">
        <v>391.88</v>
      </c>
    </row>
    <row r="1367" spans="1:7" x14ac:dyDescent="0.25">
      <c r="A1367" s="116" t="s">
        <v>1972</v>
      </c>
      <c r="B1367" s="117" t="s">
        <v>1973</v>
      </c>
      <c r="C1367" t="s">
        <v>67</v>
      </c>
      <c r="D1367" t="s">
        <v>67</v>
      </c>
      <c r="E1367" t="s">
        <v>67</v>
      </c>
      <c r="F1367" t="s">
        <v>27987</v>
      </c>
      <c r="G1367" s="117">
        <v>96.43</v>
      </c>
    </row>
    <row r="1368" spans="1:7" x14ac:dyDescent="0.25">
      <c r="A1368" s="116" t="s">
        <v>1974</v>
      </c>
      <c r="B1368" s="117" t="s">
        <v>1975</v>
      </c>
      <c r="C1368" t="s">
        <v>67</v>
      </c>
      <c r="D1368" t="s">
        <v>67</v>
      </c>
      <c r="E1368" t="s">
        <v>67</v>
      </c>
      <c r="F1368" t="s">
        <v>27987</v>
      </c>
      <c r="G1368" s="117">
        <v>97.57</v>
      </c>
    </row>
    <row r="1369" spans="1:7" x14ac:dyDescent="0.25">
      <c r="A1369" s="116" t="s">
        <v>1976</v>
      </c>
      <c r="B1369" s="117" t="s">
        <v>1977</v>
      </c>
      <c r="C1369" t="s">
        <v>67</v>
      </c>
      <c r="D1369" t="s">
        <v>67</v>
      </c>
      <c r="E1369" t="s">
        <v>67</v>
      </c>
      <c r="F1369" t="s">
        <v>27987</v>
      </c>
      <c r="G1369" s="117">
        <v>336.5</v>
      </c>
    </row>
    <row r="1370" spans="1:7" x14ac:dyDescent="0.25">
      <c r="A1370" s="116" t="s">
        <v>1978</v>
      </c>
      <c r="B1370" s="117" t="s">
        <v>1979</v>
      </c>
      <c r="C1370" t="s">
        <v>67</v>
      </c>
      <c r="D1370" t="s">
        <v>67</v>
      </c>
      <c r="E1370" t="s">
        <v>67</v>
      </c>
      <c r="F1370" t="s">
        <v>27987</v>
      </c>
      <c r="G1370" s="117">
        <v>14.44</v>
      </c>
    </row>
    <row r="1371" spans="1:7" x14ac:dyDescent="0.25">
      <c r="A1371" s="116" t="s">
        <v>1980</v>
      </c>
      <c r="B1371" s="117" t="s">
        <v>1981</v>
      </c>
      <c r="C1371" t="s">
        <v>67</v>
      </c>
      <c r="D1371" t="s">
        <v>67</v>
      </c>
      <c r="E1371" t="s">
        <v>67</v>
      </c>
      <c r="F1371" t="s">
        <v>27987</v>
      </c>
      <c r="G1371" s="117">
        <v>179.93</v>
      </c>
    </row>
    <row r="1372" spans="1:7" x14ac:dyDescent="0.25">
      <c r="A1372" s="116" t="s">
        <v>1982</v>
      </c>
      <c r="B1372" s="117" t="s">
        <v>1983</v>
      </c>
      <c r="C1372" t="s">
        <v>67</v>
      </c>
      <c r="D1372" t="s">
        <v>67</v>
      </c>
      <c r="E1372" t="s">
        <v>67</v>
      </c>
      <c r="F1372" t="s">
        <v>27987</v>
      </c>
      <c r="G1372" s="117">
        <v>147.16</v>
      </c>
    </row>
    <row r="1373" spans="1:7" x14ac:dyDescent="0.25">
      <c r="A1373" s="116" t="s">
        <v>28400</v>
      </c>
      <c r="B1373" s="117" t="s">
        <v>28401</v>
      </c>
      <c r="C1373" t="s">
        <v>67</v>
      </c>
      <c r="D1373" t="s">
        <v>67</v>
      </c>
      <c r="E1373" t="s">
        <v>67</v>
      </c>
      <c r="F1373" t="s">
        <v>27987</v>
      </c>
      <c r="G1373" s="117">
        <v>554.79999999999995</v>
      </c>
    </row>
    <row r="1374" spans="1:7" x14ac:dyDescent="0.25">
      <c r="A1374" s="116" t="s">
        <v>1984</v>
      </c>
      <c r="B1374" s="117" t="s">
        <v>1985</v>
      </c>
      <c r="C1374" t="s">
        <v>67</v>
      </c>
      <c r="D1374" t="s">
        <v>67</v>
      </c>
      <c r="E1374" t="s">
        <v>67</v>
      </c>
      <c r="F1374" t="s">
        <v>27987</v>
      </c>
      <c r="G1374" s="117">
        <v>16.7</v>
      </c>
    </row>
    <row r="1375" spans="1:7" x14ac:dyDescent="0.25">
      <c r="A1375" s="116" t="s">
        <v>1986</v>
      </c>
      <c r="B1375" s="117" t="s">
        <v>1987</v>
      </c>
      <c r="C1375" t="s">
        <v>67</v>
      </c>
      <c r="D1375" t="s">
        <v>67</v>
      </c>
      <c r="E1375" t="s">
        <v>67</v>
      </c>
      <c r="F1375" t="s">
        <v>27987</v>
      </c>
      <c r="G1375" s="117">
        <v>70.94</v>
      </c>
    </row>
    <row r="1376" spans="1:7" x14ac:dyDescent="0.25">
      <c r="A1376" s="116" t="s">
        <v>1988</v>
      </c>
      <c r="B1376" s="117" t="s">
        <v>1989</v>
      </c>
      <c r="C1376" t="s">
        <v>67</v>
      </c>
      <c r="D1376" t="s">
        <v>67</v>
      </c>
      <c r="E1376" t="s">
        <v>67</v>
      </c>
      <c r="F1376" t="s">
        <v>27987</v>
      </c>
      <c r="G1376" s="117">
        <v>62.78</v>
      </c>
    </row>
    <row r="1377" spans="1:7" x14ac:dyDescent="0.25">
      <c r="A1377" s="116" t="s">
        <v>1990</v>
      </c>
      <c r="B1377" s="117" t="s">
        <v>1991</v>
      </c>
      <c r="C1377" t="s">
        <v>67</v>
      </c>
      <c r="D1377" t="s">
        <v>67</v>
      </c>
      <c r="E1377" t="s">
        <v>67</v>
      </c>
      <c r="F1377" t="s">
        <v>27987</v>
      </c>
      <c r="G1377" s="117">
        <v>12.81</v>
      </c>
    </row>
    <row r="1378" spans="1:7" x14ac:dyDescent="0.25">
      <c r="A1378" s="116" t="s">
        <v>1992</v>
      </c>
      <c r="B1378" s="117" t="s">
        <v>465</v>
      </c>
      <c r="C1378" t="s">
        <v>67</v>
      </c>
      <c r="D1378" t="s">
        <v>67</v>
      </c>
      <c r="E1378" t="s">
        <v>67</v>
      </c>
      <c r="F1378" t="s">
        <v>49</v>
      </c>
      <c r="G1378" s="117">
        <v>230</v>
      </c>
    </row>
    <row r="1379" spans="1:7" x14ac:dyDescent="0.25">
      <c r="A1379" s="116" t="s">
        <v>26591</v>
      </c>
      <c r="B1379" s="117" t="s">
        <v>26592</v>
      </c>
      <c r="C1379" t="s">
        <v>67</v>
      </c>
      <c r="D1379" t="s">
        <v>67</v>
      </c>
      <c r="E1379" t="s">
        <v>67</v>
      </c>
      <c r="F1379" t="s">
        <v>45</v>
      </c>
      <c r="G1379" s="117">
        <v>23.92</v>
      </c>
    </row>
    <row r="1380" spans="1:7" x14ac:dyDescent="0.25">
      <c r="A1380" s="116" t="s">
        <v>1993</v>
      </c>
      <c r="B1380" s="117" t="s">
        <v>1994</v>
      </c>
      <c r="C1380" t="s">
        <v>67</v>
      </c>
      <c r="D1380" t="s">
        <v>67</v>
      </c>
      <c r="E1380" t="s">
        <v>67</v>
      </c>
      <c r="F1380" t="s">
        <v>27987</v>
      </c>
      <c r="G1380" s="117">
        <v>56.5</v>
      </c>
    </row>
    <row r="1381" spans="1:7" x14ac:dyDescent="0.25">
      <c r="A1381" s="116" t="s">
        <v>1995</v>
      </c>
      <c r="B1381" s="117" t="s">
        <v>1996</v>
      </c>
      <c r="C1381" t="s">
        <v>67</v>
      </c>
      <c r="D1381" t="s">
        <v>67</v>
      </c>
      <c r="E1381" t="s">
        <v>67</v>
      </c>
      <c r="F1381" t="s">
        <v>27987</v>
      </c>
      <c r="G1381" s="117">
        <v>124.81</v>
      </c>
    </row>
    <row r="1382" spans="1:7" x14ac:dyDescent="0.25">
      <c r="A1382" s="116" t="s">
        <v>1997</v>
      </c>
      <c r="B1382" s="117" t="s">
        <v>1998</v>
      </c>
      <c r="C1382" t="s">
        <v>67</v>
      </c>
      <c r="D1382" t="s">
        <v>67</v>
      </c>
      <c r="E1382" t="s">
        <v>67</v>
      </c>
      <c r="F1382" t="s">
        <v>27987</v>
      </c>
      <c r="G1382" s="117">
        <v>192.11</v>
      </c>
    </row>
    <row r="1383" spans="1:7" x14ac:dyDescent="0.25">
      <c r="A1383" s="116" t="s">
        <v>1999</v>
      </c>
      <c r="B1383" s="117" t="s">
        <v>2000</v>
      </c>
      <c r="C1383" t="s">
        <v>67</v>
      </c>
      <c r="D1383" t="s">
        <v>67</v>
      </c>
      <c r="E1383" t="s">
        <v>67</v>
      </c>
      <c r="F1383" t="s">
        <v>45</v>
      </c>
      <c r="G1383" s="117">
        <v>16.7</v>
      </c>
    </row>
    <row r="1384" spans="1:7" x14ac:dyDescent="0.25">
      <c r="A1384" s="116" t="s">
        <v>2001</v>
      </c>
      <c r="B1384" s="117" t="s">
        <v>2002</v>
      </c>
      <c r="C1384" t="s">
        <v>67</v>
      </c>
      <c r="D1384" t="s">
        <v>67</v>
      </c>
      <c r="E1384" t="s">
        <v>67</v>
      </c>
      <c r="F1384" t="s">
        <v>27987</v>
      </c>
      <c r="G1384" s="117">
        <v>19.34</v>
      </c>
    </row>
    <row r="1385" spans="1:7" x14ac:dyDescent="0.25">
      <c r="A1385" s="116" t="s">
        <v>2003</v>
      </c>
      <c r="B1385" s="117" t="s">
        <v>2004</v>
      </c>
      <c r="C1385" t="s">
        <v>67</v>
      </c>
      <c r="D1385" t="s">
        <v>67</v>
      </c>
      <c r="E1385" t="s">
        <v>67</v>
      </c>
      <c r="F1385" t="s">
        <v>27987</v>
      </c>
      <c r="G1385" s="117">
        <v>646.28</v>
      </c>
    </row>
    <row r="1386" spans="1:7" x14ac:dyDescent="0.25">
      <c r="A1386" s="116" t="s">
        <v>2005</v>
      </c>
      <c r="B1386" s="117" t="s">
        <v>2006</v>
      </c>
      <c r="C1386" t="s">
        <v>67</v>
      </c>
      <c r="D1386" t="s">
        <v>67</v>
      </c>
      <c r="E1386" t="s">
        <v>67</v>
      </c>
      <c r="F1386" t="s">
        <v>51</v>
      </c>
      <c r="G1386" s="117">
        <v>29.18</v>
      </c>
    </row>
    <row r="1387" spans="1:7" x14ac:dyDescent="0.25">
      <c r="A1387" s="116" t="s">
        <v>2007</v>
      </c>
      <c r="B1387" s="117" t="s">
        <v>2008</v>
      </c>
      <c r="C1387" t="s">
        <v>67</v>
      </c>
      <c r="D1387" t="s">
        <v>67</v>
      </c>
      <c r="E1387" t="s">
        <v>67</v>
      </c>
      <c r="F1387" t="s">
        <v>27987</v>
      </c>
      <c r="G1387" s="117">
        <v>9.6999999999999993</v>
      </c>
    </row>
    <row r="1388" spans="1:7" x14ac:dyDescent="0.25">
      <c r="A1388" s="116" t="s">
        <v>30321</v>
      </c>
      <c r="B1388" s="117" t="s">
        <v>30322</v>
      </c>
      <c r="C1388" t="s">
        <v>67</v>
      </c>
      <c r="D1388" t="s">
        <v>67</v>
      </c>
      <c r="E1388" t="s">
        <v>67</v>
      </c>
      <c r="F1388" t="s">
        <v>27987</v>
      </c>
      <c r="G1388" s="117">
        <v>9999</v>
      </c>
    </row>
    <row r="1389" spans="1:7" x14ac:dyDescent="0.25">
      <c r="A1389" s="116" t="s">
        <v>2009</v>
      </c>
      <c r="B1389" s="117" t="s">
        <v>2010</v>
      </c>
      <c r="C1389" t="s">
        <v>67</v>
      </c>
      <c r="D1389" t="s">
        <v>67</v>
      </c>
      <c r="E1389" t="s">
        <v>67</v>
      </c>
      <c r="F1389" t="s">
        <v>27987</v>
      </c>
      <c r="G1389" s="117">
        <v>16.2</v>
      </c>
    </row>
    <row r="1390" spans="1:7" x14ac:dyDescent="0.25">
      <c r="A1390" s="116" t="s">
        <v>2011</v>
      </c>
      <c r="B1390" s="117" t="s">
        <v>2012</v>
      </c>
      <c r="C1390" t="s">
        <v>67</v>
      </c>
      <c r="D1390" t="s">
        <v>67</v>
      </c>
      <c r="E1390" t="s">
        <v>67</v>
      </c>
      <c r="F1390" t="s">
        <v>27987</v>
      </c>
      <c r="G1390" s="117">
        <v>4.7699999999999996</v>
      </c>
    </row>
    <row r="1391" spans="1:7" x14ac:dyDescent="0.25">
      <c r="A1391" s="116" t="s">
        <v>2013</v>
      </c>
      <c r="B1391" s="117" t="s">
        <v>2014</v>
      </c>
      <c r="C1391" t="s">
        <v>67</v>
      </c>
      <c r="D1391" t="s">
        <v>67</v>
      </c>
      <c r="E1391" t="s">
        <v>67</v>
      </c>
      <c r="F1391" t="s">
        <v>27987</v>
      </c>
      <c r="G1391" s="117">
        <v>630.58000000000004</v>
      </c>
    </row>
    <row r="1392" spans="1:7" x14ac:dyDescent="0.25">
      <c r="A1392" s="116" t="s">
        <v>2015</v>
      </c>
      <c r="B1392" s="117" t="s">
        <v>2016</v>
      </c>
      <c r="C1392" t="s">
        <v>67</v>
      </c>
      <c r="D1392" t="s">
        <v>67</v>
      </c>
      <c r="E1392" t="s">
        <v>67</v>
      </c>
      <c r="F1392" t="s">
        <v>27987</v>
      </c>
      <c r="G1392" s="117">
        <v>56</v>
      </c>
    </row>
    <row r="1393" spans="1:7" x14ac:dyDescent="0.25">
      <c r="A1393" s="116" t="s">
        <v>2017</v>
      </c>
      <c r="B1393" s="117" t="s">
        <v>2018</v>
      </c>
      <c r="C1393" t="s">
        <v>67</v>
      </c>
      <c r="D1393" t="s">
        <v>67</v>
      </c>
      <c r="E1393" t="s">
        <v>67</v>
      </c>
      <c r="F1393" t="s">
        <v>27987</v>
      </c>
      <c r="G1393" s="117">
        <v>83.75</v>
      </c>
    </row>
    <row r="1394" spans="1:7" x14ac:dyDescent="0.25">
      <c r="A1394" s="116" t="s">
        <v>2019</v>
      </c>
      <c r="B1394" s="117" t="s">
        <v>2020</v>
      </c>
      <c r="C1394" t="s">
        <v>67</v>
      </c>
      <c r="D1394" t="s">
        <v>67</v>
      </c>
      <c r="E1394" t="s">
        <v>67</v>
      </c>
      <c r="F1394" t="s">
        <v>27987</v>
      </c>
      <c r="G1394" s="117">
        <v>68.959999999999994</v>
      </c>
    </row>
    <row r="1395" spans="1:7" x14ac:dyDescent="0.25">
      <c r="A1395" s="116" t="s">
        <v>26754</v>
      </c>
      <c r="B1395" s="117" t="s">
        <v>26755</v>
      </c>
      <c r="C1395" t="s">
        <v>67</v>
      </c>
      <c r="D1395" t="s">
        <v>67</v>
      </c>
      <c r="E1395" t="s">
        <v>67</v>
      </c>
      <c r="F1395" t="s">
        <v>27987</v>
      </c>
      <c r="G1395" s="117">
        <v>41.85</v>
      </c>
    </row>
    <row r="1396" spans="1:7" x14ac:dyDescent="0.25">
      <c r="A1396" s="116" t="s">
        <v>26727</v>
      </c>
      <c r="B1396" s="117" t="s">
        <v>26728</v>
      </c>
      <c r="C1396" t="s">
        <v>67</v>
      </c>
      <c r="D1396" t="s">
        <v>67</v>
      </c>
      <c r="E1396" t="s">
        <v>67</v>
      </c>
      <c r="F1396" t="s">
        <v>27987</v>
      </c>
      <c r="G1396" s="117">
        <v>60</v>
      </c>
    </row>
    <row r="1397" spans="1:7" x14ac:dyDescent="0.25">
      <c r="A1397" s="116" t="s">
        <v>2021</v>
      </c>
      <c r="B1397" s="117" t="s">
        <v>1994</v>
      </c>
      <c r="C1397" t="s">
        <v>67</v>
      </c>
      <c r="D1397" t="s">
        <v>67</v>
      </c>
      <c r="E1397" t="s">
        <v>67</v>
      </c>
      <c r="F1397" t="s">
        <v>27987</v>
      </c>
      <c r="G1397" s="117">
        <v>52.74</v>
      </c>
    </row>
    <row r="1398" spans="1:7" x14ac:dyDescent="0.25">
      <c r="A1398" s="116" t="s">
        <v>2022</v>
      </c>
      <c r="B1398" s="117" t="s">
        <v>2023</v>
      </c>
      <c r="C1398" t="s">
        <v>67</v>
      </c>
      <c r="D1398" t="s">
        <v>67</v>
      </c>
      <c r="E1398" t="s">
        <v>67</v>
      </c>
      <c r="F1398" t="s">
        <v>27987</v>
      </c>
      <c r="G1398" s="117">
        <v>12.56</v>
      </c>
    </row>
    <row r="1399" spans="1:7" x14ac:dyDescent="0.25">
      <c r="A1399" s="116" t="s">
        <v>2024</v>
      </c>
      <c r="B1399" s="117" t="s">
        <v>2025</v>
      </c>
      <c r="C1399" t="s">
        <v>67</v>
      </c>
      <c r="D1399" t="s">
        <v>67</v>
      </c>
      <c r="E1399" t="s">
        <v>67</v>
      </c>
      <c r="F1399" t="s">
        <v>27987</v>
      </c>
      <c r="G1399" s="117">
        <v>181.31</v>
      </c>
    </row>
    <row r="1400" spans="1:7" x14ac:dyDescent="0.25">
      <c r="A1400" s="116" t="s">
        <v>2026</v>
      </c>
      <c r="B1400" s="117" t="s">
        <v>2027</v>
      </c>
      <c r="C1400" t="s">
        <v>67</v>
      </c>
      <c r="D1400" t="s">
        <v>67</v>
      </c>
      <c r="E1400" t="s">
        <v>67</v>
      </c>
      <c r="F1400" t="s">
        <v>27987</v>
      </c>
      <c r="G1400" s="117">
        <v>3.52</v>
      </c>
    </row>
    <row r="1401" spans="1:7" x14ac:dyDescent="0.25">
      <c r="A1401" s="116" t="s">
        <v>2028</v>
      </c>
      <c r="B1401" s="117" t="s">
        <v>2029</v>
      </c>
      <c r="C1401" t="s">
        <v>67</v>
      </c>
      <c r="D1401" t="s">
        <v>67</v>
      </c>
      <c r="E1401" t="s">
        <v>67</v>
      </c>
      <c r="F1401" t="s">
        <v>45</v>
      </c>
      <c r="G1401" s="117">
        <v>17.829999999999998</v>
      </c>
    </row>
    <row r="1402" spans="1:7" x14ac:dyDescent="0.25">
      <c r="A1402" s="116" t="s">
        <v>28402</v>
      </c>
      <c r="B1402" s="117" t="s">
        <v>28403</v>
      </c>
      <c r="C1402" t="s">
        <v>67</v>
      </c>
      <c r="D1402" t="s">
        <v>67</v>
      </c>
      <c r="E1402" t="s">
        <v>67</v>
      </c>
      <c r="F1402" t="s">
        <v>27987</v>
      </c>
      <c r="G1402" s="117">
        <v>50</v>
      </c>
    </row>
    <row r="1403" spans="1:7" x14ac:dyDescent="0.25">
      <c r="A1403" s="116" t="s">
        <v>28404</v>
      </c>
      <c r="B1403" s="117" t="s">
        <v>28405</v>
      </c>
      <c r="C1403" t="s">
        <v>67</v>
      </c>
      <c r="D1403" t="s">
        <v>67</v>
      </c>
      <c r="E1403" t="s">
        <v>67</v>
      </c>
      <c r="F1403" t="s">
        <v>45</v>
      </c>
      <c r="G1403" s="117">
        <v>510</v>
      </c>
    </row>
    <row r="1404" spans="1:7" x14ac:dyDescent="0.25">
      <c r="A1404" s="116" t="s">
        <v>28406</v>
      </c>
      <c r="B1404" s="117" t="s">
        <v>28407</v>
      </c>
      <c r="C1404" t="s">
        <v>67</v>
      </c>
      <c r="D1404" t="s">
        <v>67</v>
      </c>
      <c r="E1404" t="s">
        <v>67</v>
      </c>
      <c r="F1404" t="s">
        <v>27987</v>
      </c>
      <c r="G1404" s="117">
        <v>510</v>
      </c>
    </row>
    <row r="1405" spans="1:7" x14ac:dyDescent="0.25">
      <c r="A1405" s="116" t="s">
        <v>30380</v>
      </c>
      <c r="B1405" s="117" t="s">
        <v>30381</v>
      </c>
      <c r="C1405" t="s">
        <v>67</v>
      </c>
      <c r="D1405" t="s">
        <v>67</v>
      </c>
      <c r="E1405" t="s">
        <v>67</v>
      </c>
      <c r="F1405" t="s">
        <v>27987</v>
      </c>
      <c r="G1405" s="117">
        <v>230</v>
      </c>
    </row>
    <row r="1406" spans="1:7" x14ac:dyDescent="0.25">
      <c r="A1406" s="116" t="s">
        <v>2030</v>
      </c>
      <c r="B1406" s="117" t="s">
        <v>2031</v>
      </c>
      <c r="C1406" t="s">
        <v>67</v>
      </c>
      <c r="D1406" t="s">
        <v>67</v>
      </c>
      <c r="E1406" t="s">
        <v>67</v>
      </c>
      <c r="F1406" t="s">
        <v>51</v>
      </c>
      <c r="G1406" s="117">
        <v>249.58</v>
      </c>
    </row>
    <row r="1407" spans="1:7" x14ac:dyDescent="0.25">
      <c r="A1407" s="116" t="s">
        <v>2032</v>
      </c>
      <c r="B1407" s="117" t="s">
        <v>1771</v>
      </c>
      <c r="C1407" t="s">
        <v>67</v>
      </c>
      <c r="D1407" t="s">
        <v>67</v>
      </c>
      <c r="E1407" t="s">
        <v>67</v>
      </c>
      <c r="F1407" t="s">
        <v>27987</v>
      </c>
      <c r="G1407" s="117">
        <v>259.85000000000002</v>
      </c>
    </row>
    <row r="1408" spans="1:7" x14ac:dyDescent="0.25">
      <c r="A1408" s="116" t="s">
        <v>29903</v>
      </c>
      <c r="B1408" s="117" t="s">
        <v>18726</v>
      </c>
      <c r="C1408" t="s">
        <v>67</v>
      </c>
      <c r="D1408" t="s">
        <v>67</v>
      </c>
      <c r="E1408" t="s">
        <v>67</v>
      </c>
      <c r="F1408" t="s">
        <v>27987</v>
      </c>
      <c r="G1408" s="117">
        <v>3</v>
      </c>
    </row>
    <row r="1409" spans="1:7" x14ac:dyDescent="0.25">
      <c r="A1409" s="116" t="s">
        <v>2033</v>
      </c>
      <c r="B1409" s="117" t="s">
        <v>2034</v>
      </c>
      <c r="C1409" t="s">
        <v>67</v>
      </c>
      <c r="D1409" t="s">
        <v>67</v>
      </c>
      <c r="E1409" t="s">
        <v>67</v>
      </c>
      <c r="F1409" t="s">
        <v>27987</v>
      </c>
      <c r="G1409" s="117">
        <v>54.24</v>
      </c>
    </row>
    <row r="1410" spans="1:7" x14ac:dyDescent="0.25">
      <c r="A1410" s="116" t="s">
        <v>31185</v>
      </c>
      <c r="B1410" s="117" t="s">
        <v>28862</v>
      </c>
      <c r="C1410" t="s">
        <v>67</v>
      </c>
      <c r="D1410" t="s">
        <v>67</v>
      </c>
      <c r="E1410" t="s">
        <v>67</v>
      </c>
      <c r="F1410" t="s">
        <v>45</v>
      </c>
      <c r="G1410" s="117">
        <v>24.26</v>
      </c>
    </row>
    <row r="1411" spans="1:7" x14ac:dyDescent="0.25">
      <c r="A1411" s="116" t="s">
        <v>2035</v>
      </c>
      <c r="B1411" s="117" t="s">
        <v>2036</v>
      </c>
      <c r="C1411" t="s">
        <v>67</v>
      </c>
      <c r="D1411" t="s">
        <v>67</v>
      </c>
      <c r="E1411" t="s">
        <v>67</v>
      </c>
      <c r="F1411" t="s">
        <v>27987</v>
      </c>
      <c r="G1411" s="117">
        <v>36.79</v>
      </c>
    </row>
    <row r="1412" spans="1:7" x14ac:dyDescent="0.25">
      <c r="A1412" s="116" t="s">
        <v>31182</v>
      </c>
      <c r="B1412" s="117" t="s">
        <v>31183</v>
      </c>
      <c r="C1412" t="s">
        <v>67</v>
      </c>
      <c r="D1412" t="s">
        <v>67</v>
      </c>
      <c r="E1412" t="s">
        <v>67</v>
      </c>
      <c r="F1412" t="s">
        <v>27987</v>
      </c>
      <c r="G1412" s="117">
        <v>9999</v>
      </c>
    </row>
    <row r="1413" spans="1:7" x14ac:dyDescent="0.25">
      <c r="A1413" s="116" t="s">
        <v>2037</v>
      </c>
      <c r="B1413" s="117" t="s">
        <v>28408</v>
      </c>
      <c r="C1413" t="s">
        <v>67</v>
      </c>
      <c r="D1413" t="s">
        <v>67</v>
      </c>
      <c r="E1413" t="s">
        <v>67</v>
      </c>
      <c r="F1413" t="s">
        <v>27987</v>
      </c>
      <c r="G1413" s="117">
        <v>54.05</v>
      </c>
    </row>
    <row r="1414" spans="1:7" x14ac:dyDescent="0.25">
      <c r="A1414" s="116" t="s">
        <v>29758</v>
      </c>
      <c r="B1414" s="117" t="s">
        <v>30382</v>
      </c>
      <c r="C1414" t="s">
        <v>67</v>
      </c>
      <c r="D1414" t="s">
        <v>67</v>
      </c>
      <c r="E1414" t="s">
        <v>67</v>
      </c>
      <c r="F1414" t="s">
        <v>45</v>
      </c>
      <c r="G1414" s="117">
        <v>185.85</v>
      </c>
    </row>
    <row r="1415" spans="1:7" x14ac:dyDescent="0.25">
      <c r="A1415" s="116" t="s">
        <v>2038</v>
      </c>
      <c r="B1415" s="117" t="s">
        <v>28409</v>
      </c>
      <c r="C1415" t="s">
        <v>67</v>
      </c>
      <c r="D1415" t="s">
        <v>67</v>
      </c>
      <c r="E1415" t="s">
        <v>67</v>
      </c>
      <c r="F1415" t="s">
        <v>27987</v>
      </c>
      <c r="G1415" s="117">
        <v>47.12</v>
      </c>
    </row>
    <row r="1416" spans="1:7" x14ac:dyDescent="0.25">
      <c r="A1416" s="116" t="s">
        <v>2039</v>
      </c>
      <c r="B1416" s="117" t="s">
        <v>28410</v>
      </c>
      <c r="C1416" t="s">
        <v>67</v>
      </c>
      <c r="D1416" t="s">
        <v>67</v>
      </c>
      <c r="E1416" t="s">
        <v>67</v>
      </c>
      <c r="F1416" t="s">
        <v>27987</v>
      </c>
      <c r="G1416" s="117">
        <v>112.17</v>
      </c>
    </row>
    <row r="1417" spans="1:7" x14ac:dyDescent="0.25">
      <c r="A1417" s="116" t="s">
        <v>28411</v>
      </c>
      <c r="B1417" s="117" t="s">
        <v>28412</v>
      </c>
      <c r="C1417" t="s">
        <v>67</v>
      </c>
      <c r="D1417" t="s">
        <v>67</v>
      </c>
      <c r="E1417" t="s">
        <v>67</v>
      </c>
      <c r="F1417" t="s">
        <v>27987</v>
      </c>
      <c r="G1417" s="117">
        <v>28</v>
      </c>
    </row>
    <row r="1418" spans="1:7" x14ac:dyDescent="0.25">
      <c r="A1418" s="116" t="s">
        <v>30639</v>
      </c>
      <c r="B1418" s="117" t="s">
        <v>30640</v>
      </c>
      <c r="C1418" t="s">
        <v>67</v>
      </c>
      <c r="D1418" t="s">
        <v>67</v>
      </c>
      <c r="E1418" t="s">
        <v>67</v>
      </c>
      <c r="F1418" t="s">
        <v>27987</v>
      </c>
      <c r="G1418" s="117">
        <v>9999</v>
      </c>
    </row>
    <row r="1419" spans="1:7" x14ac:dyDescent="0.25">
      <c r="A1419" s="116" t="s">
        <v>2040</v>
      </c>
      <c r="B1419" s="117" t="s">
        <v>2041</v>
      </c>
      <c r="C1419" t="s">
        <v>67</v>
      </c>
      <c r="D1419" t="s">
        <v>67</v>
      </c>
      <c r="E1419" t="s">
        <v>67</v>
      </c>
      <c r="F1419" t="s">
        <v>27987</v>
      </c>
      <c r="G1419" s="117">
        <v>81.489999999999995</v>
      </c>
    </row>
    <row r="1420" spans="1:7" x14ac:dyDescent="0.25">
      <c r="A1420" s="116" t="s">
        <v>2042</v>
      </c>
      <c r="B1420" s="117" t="s">
        <v>2043</v>
      </c>
      <c r="C1420" t="s">
        <v>67</v>
      </c>
      <c r="D1420" t="s">
        <v>67</v>
      </c>
      <c r="E1420" t="s">
        <v>67</v>
      </c>
      <c r="F1420" t="s">
        <v>27987</v>
      </c>
      <c r="G1420" s="117">
        <v>19.46</v>
      </c>
    </row>
    <row r="1421" spans="1:7" x14ac:dyDescent="0.25">
      <c r="A1421" s="116" t="s">
        <v>30617</v>
      </c>
      <c r="B1421" s="117" t="s">
        <v>30618</v>
      </c>
      <c r="C1421" t="s">
        <v>67</v>
      </c>
      <c r="D1421" t="s">
        <v>67</v>
      </c>
      <c r="E1421" t="s">
        <v>67</v>
      </c>
      <c r="F1421" t="s">
        <v>27987</v>
      </c>
      <c r="G1421" s="117">
        <v>9999</v>
      </c>
    </row>
    <row r="1422" spans="1:7" x14ac:dyDescent="0.25">
      <c r="A1422" s="116" t="s">
        <v>2044</v>
      </c>
      <c r="B1422" s="117" t="s">
        <v>2045</v>
      </c>
      <c r="C1422" t="s">
        <v>67</v>
      </c>
      <c r="D1422" t="s">
        <v>67</v>
      </c>
      <c r="E1422" t="s">
        <v>67</v>
      </c>
      <c r="F1422" t="s">
        <v>49</v>
      </c>
      <c r="G1422" s="117">
        <v>26</v>
      </c>
    </row>
    <row r="1423" spans="1:7" x14ac:dyDescent="0.25">
      <c r="A1423" s="116" t="s">
        <v>2046</v>
      </c>
      <c r="B1423" s="117" t="s">
        <v>2047</v>
      </c>
      <c r="C1423" t="s">
        <v>67</v>
      </c>
      <c r="D1423" t="s">
        <v>67</v>
      </c>
      <c r="E1423" t="s">
        <v>67</v>
      </c>
      <c r="F1423" t="s">
        <v>27987</v>
      </c>
      <c r="G1423" s="117">
        <v>57.88</v>
      </c>
    </row>
    <row r="1424" spans="1:7" x14ac:dyDescent="0.25">
      <c r="A1424" s="116" t="s">
        <v>2048</v>
      </c>
      <c r="B1424" s="117" t="s">
        <v>2049</v>
      </c>
      <c r="C1424" t="s">
        <v>67</v>
      </c>
      <c r="D1424" t="s">
        <v>67</v>
      </c>
      <c r="E1424" t="s">
        <v>67</v>
      </c>
      <c r="F1424" t="s">
        <v>27987</v>
      </c>
      <c r="G1424" s="117">
        <v>71.569999999999993</v>
      </c>
    </row>
    <row r="1425" spans="1:7" x14ac:dyDescent="0.25">
      <c r="A1425" s="116" t="s">
        <v>26582</v>
      </c>
      <c r="B1425" s="117" t="s">
        <v>26583</v>
      </c>
      <c r="C1425" t="s">
        <v>67</v>
      </c>
      <c r="D1425" t="s">
        <v>67</v>
      </c>
      <c r="E1425" t="s">
        <v>67</v>
      </c>
      <c r="F1425" t="s">
        <v>45</v>
      </c>
      <c r="G1425" s="117">
        <v>48.07</v>
      </c>
    </row>
    <row r="1426" spans="1:7" x14ac:dyDescent="0.25">
      <c r="A1426" s="116" t="s">
        <v>2050</v>
      </c>
      <c r="B1426" s="117" t="s">
        <v>28413</v>
      </c>
      <c r="C1426" t="s">
        <v>67</v>
      </c>
      <c r="D1426" t="s">
        <v>67</v>
      </c>
      <c r="E1426" t="s">
        <v>67</v>
      </c>
      <c r="F1426" t="s">
        <v>27987</v>
      </c>
      <c r="G1426" s="117">
        <v>15.9</v>
      </c>
    </row>
    <row r="1427" spans="1:7" x14ac:dyDescent="0.25">
      <c r="A1427" s="116" t="s">
        <v>2051</v>
      </c>
      <c r="B1427" s="117" t="s">
        <v>2052</v>
      </c>
      <c r="C1427" t="s">
        <v>67</v>
      </c>
      <c r="D1427" t="s">
        <v>67</v>
      </c>
      <c r="E1427" t="s">
        <v>67</v>
      </c>
      <c r="F1427" t="s">
        <v>49</v>
      </c>
      <c r="G1427" s="117">
        <v>42.44</v>
      </c>
    </row>
    <row r="1428" spans="1:7" x14ac:dyDescent="0.25">
      <c r="A1428" s="116" t="s">
        <v>30226</v>
      </c>
      <c r="B1428" s="117" t="s">
        <v>30227</v>
      </c>
      <c r="C1428" t="s">
        <v>67</v>
      </c>
      <c r="D1428" t="s">
        <v>67</v>
      </c>
      <c r="E1428" t="s">
        <v>67</v>
      </c>
      <c r="F1428" t="s">
        <v>49</v>
      </c>
      <c r="G1428" s="117">
        <v>9999</v>
      </c>
    </row>
    <row r="1429" spans="1:7" x14ac:dyDescent="0.25">
      <c r="A1429" s="116" t="s">
        <v>2053</v>
      </c>
      <c r="B1429" s="117" t="s">
        <v>28414</v>
      </c>
      <c r="C1429" t="s">
        <v>67</v>
      </c>
      <c r="D1429" t="s">
        <v>67</v>
      </c>
      <c r="E1429" t="s">
        <v>67</v>
      </c>
      <c r="F1429" t="s">
        <v>27987</v>
      </c>
      <c r="G1429" s="117">
        <v>269.66000000000003</v>
      </c>
    </row>
    <row r="1430" spans="1:7" x14ac:dyDescent="0.25">
      <c r="A1430" s="116" t="s">
        <v>28128</v>
      </c>
      <c r="B1430" s="117" t="s">
        <v>1321</v>
      </c>
      <c r="C1430" t="s">
        <v>67</v>
      </c>
      <c r="D1430" t="s">
        <v>67</v>
      </c>
      <c r="E1430" t="s">
        <v>67</v>
      </c>
      <c r="F1430" t="s">
        <v>27987</v>
      </c>
      <c r="G1430" s="117">
        <v>27.14</v>
      </c>
    </row>
    <row r="1431" spans="1:7" x14ac:dyDescent="0.25">
      <c r="A1431" s="116" t="s">
        <v>28415</v>
      </c>
      <c r="B1431" s="117" t="s">
        <v>28416</v>
      </c>
      <c r="C1431" t="s">
        <v>67</v>
      </c>
      <c r="D1431" t="s">
        <v>67</v>
      </c>
      <c r="E1431" t="s">
        <v>67</v>
      </c>
      <c r="F1431" t="s">
        <v>45</v>
      </c>
      <c r="G1431" s="117">
        <v>45</v>
      </c>
    </row>
    <row r="1432" spans="1:7" x14ac:dyDescent="0.25">
      <c r="A1432" s="116" t="s">
        <v>28417</v>
      </c>
      <c r="B1432" s="117" t="s">
        <v>28418</v>
      </c>
      <c r="C1432" t="s">
        <v>67</v>
      </c>
      <c r="D1432" t="s">
        <v>67</v>
      </c>
      <c r="E1432" t="s">
        <v>67</v>
      </c>
      <c r="F1432" t="s">
        <v>45</v>
      </c>
      <c r="G1432" s="117">
        <v>45</v>
      </c>
    </row>
    <row r="1433" spans="1:7" x14ac:dyDescent="0.25">
      <c r="A1433" s="116" t="s">
        <v>2054</v>
      </c>
      <c r="B1433" s="117" t="s">
        <v>2055</v>
      </c>
      <c r="C1433" t="s">
        <v>67</v>
      </c>
      <c r="D1433" t="s">
        <v>67</v>
      </c>
      <c r="E1433" t="s">
        <v>67</v>
      </c>
      <c r="F1433" t="s">
        <v>45</v>
      </c>
      <c r="G1433" s="117">
        <v>21.29</v>
      </c>
    </row>
    <row r="1434" spans="1:7" x14ac:dyDescent="0.25">
      <c r="A1434" s="116" t="s">
        <v>2056</v>
      </c>
      <c r="B1434" s="117" t="s">
        <v>26438</v>
      </c>
      <c r="C1434" t="s">
        <v>67</v>
      </c>
      <c r="D1434" t="s">
        <v>67</v>
      </c>
      <c r="E1434" t="s">
        <v>67</v>
      </c>
      <c r="F1434" t="s">
        <v>27987</v>
      </c>
      <c r="G1434" s="117">
        <v>175.44</v>
      </c>
    </row>
    <row r="1435" spans="1:7" x14ac:dyDescent="0.25">
      <c r="A1435" s="116" t="s">
        <v>2057</v>
      </c>
      <c r="B1435" s="117" t="s">
        <v>26439</v>
      </c>
      <c r="C1435" t="s">
        <v>67</v>
      </c>
      <c r="D1435" t="s">
        <v>67</v>
      </c>
      <c r="E1435" t="s">
        <v>67</v>
      </c>
      <c r="F1435" t="s">
        <v>27987</v>
      </c>
      <c r="G1435" s="117">
        <v>60.89</v>
      </c>
    </row>
    <row r="1436" spans="1:7" x14ac:dyDescent="0.25">
      <c r="A1436" s="116" t="s">
        <v>2058</v>
      </c>
      <c r="B1436" s="117" t="s">
        <v>26440</v>
      </c>
      <c r="C1436" t="s">
        <v>67</v>
      </c>
      <c r="D1436" t="s">
        <v>67</v>
      </c>
      <c r="E1436" t="s">
        <v>67</v>
      </c>
      <c r="F1436" t="s">
        <v>27987</v>
      </c>
      <c r="G1436" s="117">
        <v>4</v>
      </c>
    </row>
    <row r="1437" spans="1:7" x14ac:dyDescent="0.25">
      <c r="A1437" s="116" t="s">
        <v>2059</v>
      </c>
      <c r="B1437" s="117" t="s">
        <v>26441</v>
      </c>
      <c r="C1437" t="s">
        <v>67</v>
      </c>
      <c r="D1437" t="s">
        <v>67</v>
      </c>
      <c r="E1437" t="s">
        <v>67</v>
      </c>
      <c r="F1437" t="s">
        <v>27987</v>
      </c>
      <c r="G1437" s="117">
        <v>40</v>
      </c>
    </row>
    <row r="1438" spans="1:7" x14ac:dyDescent="0.25">
      <c r="A1438" s="116" t="s">
        <v>2060</v>
      </c>
      <c r="B1438" s="117" t="s">
        <v>26442</v>
      </c>
      <c r="C1438" t="s">
        <v>67</v>
      </c>
      <c r="D1438" t="s">
        <v>67</v>
      </c>
      <c r="E1438" t="s">
        <v>67</v>
      </c>
      <c r="F1438" t="s">
        <v>27987</v>
      </c>
      <c r="G1438" s="117">
        <v>65</v>
      </c>
    </row>
    <row r="1439" spans="1:7" x14ac:dyDescent="0.25">
      <c r="A1439" s="116" t="s">
        <v>2061</v>
      </c>
      <c r="B1439" s="117" t="s">
        <v>26443</v>
      </c>
      <c r="C1439" t="s">
        <v>67</v>
      </c>
      <c r="D1439" t="s">
        <v>67</v>
      </c>
      <c r="E1439" t="s">
        <v>67</v>
      </c>
      <c r="F1439" t="s">
        <v>27987</v>
      </c>
      <c r="G1439" s="117">
        <v>398.11</v>
      </c>
    </row>
    <row r="1440" spans="1:7" x14ac:dyDescent="0.25">
      <c r="A1440" s="116" t="s">
        <v>2062</v>
      </c>
      <c r="B1440" s="117" t="s">
        <v>26444</v>
      </c>
      <c r="C1440" t="s">
        <v>67</v>
      </c>
      <c r="D1440" t="s">
        <v>67</v>
      </c>
      <c r="E1440" t="s">
        <v>67</v>
      </c>
      <c r="F1440" t="s">
        <v>27987</v>
      </c>
      <c r="G1440" s="117">
        <v>361.5</v>
      </c>
    </row>
    <row r="1441" spans="1:7" x14ac:dyDescent="0.25">
      <c r="A1441" s="116" t="s">
        <v>28419</v>
      </c>
      <c r="B1441" s="117" t="s">
        <v>465</v>
      </c>
      <c r="C1441" t="s">
        <v>67</v>
      </c>
      <c r="D1441" t="s">
        <v>67</v>
      </c>
      <c r="E1441" t="s">
        <v>67</v>
      </c>
      <c r="F1441" t="s">
        <v>27987</v>
      </c>
      <c r="G1441" s="117">
        <v>50</v>
      </c>
    </row>
    <row r="1442" spans="1:7" x14ac:dyDescent="0.25">
      <c r="A1442" s="116" t="s">
        <v>2063</v>
      </c>
      <c r="B1442" s="117" t="s">
        <v>26445</v>
      </c>
      <c r="C1442" t="s">
        <v>67</v>
      </c>
      <c r="D1442" t="s">
        <v>67</v>
      </c>
      <c r="E1442" t="s">
        <v>67</v>
      </c>
      <c r="F1442" t="s">
        <v>27987</v>
      </c>
      <c r="G1442" s="117">
        <v>677.69</v>
      </c>
    </row>
    <row r="1443" spans="1:7" x14ac:dyDescent="0.25">
      <c r="A1443" s="116" t="s">
        <v>28420</v>
      </c>
      <c r="B1443" s="117" t="s">
        <v>29759</v>
      </c>
      <c r="C1443" t="s">
        <v>67</v>
      </c>
      <c r="D1443" t="s">
        <v>67</v>
      </c>
      <c r="E1443" t="s">
        <v>67</v>
      </c>
      <c r="F1443" t="s">
        <v>27987</v>
      </c>
      <c r="G1443" s="117">
        <v>31.08</v>
      </c>
    </row>
    <row r="1444" spans="1:7" x14ac:dyDescent="0.25">
      <c r="A1444" s="116" t="s">
        <v>28421</v>
      </c>
      <c r="B1444" s="117" t="s">
        <v>28383</v>
      </c>
      <c r="C1444" t="s">
        <v>67</v>
      </c>
      <c r="D1444" t="s">
        <v>67</v>
      </c>
      <c r="E1444" t="s">
        <v>67</v>
      </c>
      <c r="F1444" t="s">
        <v>27987</v>
      </c>
      <c r="G1444" s="117">
        <v>92</v>
      </c>
    </row>
    <row r="1445" spans="1:7" x14ac:dyDescent="0.25">
      <c r="A1445" s="116" t="s">
        <v>26981</v>
      </c>
      <c r="B1445" s="117" t="s">
        <v>28422</v>
      </c>
      <c r="C1445" t="s">
        <v>67</v>
      </c>
      <c r="D1445" t="s">
        <v>67</v>
      </c>
      <c r="E1445" t="s">
        <v>67</v>
      </c>
      <c r="F1445" t="s">
        <v>27987</v>
      </c>
      <c r="G1445" s="117">
        <v>40</v>
      </c>
    </row>
    <row r="1446" spans="1:7" x14ac:dyDescent="0.25">
      <c r="A1446" s="116" t="s">
        <v>26645</v>
      </c>
      <c r="B1446" s="117" t="s">
        <v>26881</v>
      </c>
      <c r="C1446" t="s">
        <v>67</v>
      </c>
      <c r="D1446" t="s">
        <v>67</v>
      </c>
      <c r="E1446" t="s">
        <v>67</v>
      </c>
      <c r="F1446" t="s">
        <v>27987</v>
      </c>
      <c r="G1446" s="117">
        <v>80.91</v>
      </c>
    </row>
    <row r="1447" spans="1:7" x14ac:dyDescent="0.25">
      <c r="A1447" s="116" t="s">
        <v>2064</v>
      </c>
      <c r="B1447" s="117" t="s">
        <v>2065</v>
      </c>
      <c r="C1447" t="s">
        <v>67</v>
      </c>
      <c r="D1447" t="s">
        <v>67</v>
      </c>
      <c r="E1447" t="s">
        <v>67</v>
      </c>
      <c r="F1447" t="s">
        <v>27987</v>
      </c>
      <c r="G1447" s="117">
        <v>34.08</v>
      </c>
    </row>
    <row r="1448" spans="1:7" x14ac:dyDescent="0.25">
      <c r="A1448" s="116" t="s">
        <v>26646</v>
      </c>
      <c r="B1448" s="117" t="s">
        <v>26882</v>
      </c>
      <c r="C1448" t="s">
        <v>67</v>
      </c>
      <c r="D1448" t="s">
        <v>67</v>
      </c>
      <c r="E1448" t="s">
        <v>67</v>
      </c>
      <c r="F1448" t="s">
        <v>49</v>
      </c>
      <c r="G1448" s="117">
        <v>24.95</v>
      </c>
    </row>
    <row r="1449" spans="1:7" x14ac:dyDescent="0.25">
      <c r="A1449" s="116" t="s">
        <v>28423</v>
      </c>
      <c r="B1449" s="117" t="s">
        <v>28424</v>
      </c>
      <c r="C1449" t="s">
        <v>67</v>
      </c>
      <c r="D1449" t="s">
        <v>67</v>
      </c>
      <c r="E1449" t="s">
        <v>67</v>
      </c>
      <c r="F1449" t="s">
        <v>45</v>
      </c>
      <c r="G1449" s="117">
        <v>9999</v>
      </c>
    </row>
    <row r="1450" spans="1:7" x14ac:dyDescent="0.25">
      <c r="A1450" s="116" t="s">
        <v>26626</v>
      </c>
      <c r="B1450" s="117" t="s">
        <v>26627</v>
      </c>
      <c r="C1450" t="s">
        <v>67</v>
      </c>
      <c r="D1450" t="s">
        <v>67</v>
      </c>
      <c r="E1450" t="s">
        <v>67</v>
      </c>
      <c r="F1450" t="s">
        <v>27987</v>
      </c>
      <c r="G1450" s="117">
        <v>58</v>
      </c>
    </row>
    <row r="1451" spans="1:7" x14ac:dyDescent="0.25">
      <c r="A1451" s="116" t="s">
        <v>26947</v>
      </c>
      <c r="B1451" s="117" t="s">
        <v>28425</v>
      </c>
      <c r="C1451" t="s">
        <v>67</v>
      </c>
      <c r="D1451" t="s">
        <v>67</v>
      </c>
      <c r="E1451" t="s">
        <v>67</v>
      </c>
      <c r="F1451" t="s">
        <v>27987</v>
      </c>
      <c r="G1451" s="117">
        <v>399</v>
      </c>
    </row>
    <row r="1452" spans="1:7" x14ac:dyDescent="0.25">
      <c r="A1452" s="116" t="s">
        <v>26948</v>
      </c>
      <c r="B1452" s="117" t="s">
        <v>28426</v>
      </c>
      <c r="C1452" t="s">
        <v>67</v>
      </c>
      <c r="D1452" t="s">
        <v>67</v>
      </c>
      <c r="E1452" t="s">
        <v>67</v>
      </c>
      <c r="F1452" t="s">
        <v>27987</v>
      </c>
      <c r="G1452" s="117">
        <v>105</v>
      </c>
    </row>
    <row r="1453" spans="1:7" x14ac:dyDescent="0.25">
      <c r="A1453" s="116" t="s">
        <v>2066</v>
      </c>
      <c r="B1453" s="117" t="s">
        <v>26446</v>
      </c>
      <c r="C1453" t="s">
        <v>67</v>
      </c>
      <c r="D1453" t="s">
        <v>67</v>
      </c>
      <c r="E1453" t="s">
        <v>67</v>
      </c>
      <c r="F1453" t="s">
        <v>27987</v>
      </c>
      <c r="G1453" s="117">
        <v>40</v>
      </c>
    </row>
    <row r="1454" spans="1:7" x14ac:dyDescent="0.25">
      <c r="A1454" s="116" t="s">
        <v>2067</v>
      </c>
      <c r="B1454" s="117" t="s">
        <v>26447</v>
      </c>
      <c r="C1454" t="s">
        <v>67</v>
      </c>
      <c r="D1454" t="s">
        <v>67</v>
      </c>
      <c r="E1454" t="s">
        <v>67</v>
      </c>
      <c r="F1454" t="s">
        <v>27987</v>
      </c>
      <c r="G1454" s="117">
        <v>4</v>
      </c>
    </row>
    <row r="1455" spans="1:7" x14ac:dyDescent="0.25">
      <c r="A1455" s="116" t="s">
        <v>28427</v>
      </c>
      <c r="B1455" s="117" t="s">
        <v>30713</v>
      </c>
      <c r="C1455" t="s">
        <v>67</v>
      </c>
      <c r="D1455" t="s">
        <v>67</v>
      </c>
      <c r="E1455" t="s">
        <v>67</v>
      </c>
      <c r="F1455" t="s">
        <v>27987</v>
      </c>
      <c r="G1455" s="117">
        <v>56</v>
      </c>
    </row>
    <row r="1456" spans="1:7" x14ac:dyDescent="0.25">
      <c r="A1456" s="116" t="s">
        <v>2068</v>
      </c>
      <c r="B1456" s="117" t="s">
        <v>26448</v>
      </c>
      <c r="C1456" t="s">
        <v>67</v>
      </c>
      <c r="D1456" t="s">
        <v>67</v>
      </c>
      <c r="E1456" t="s">
        <v>67</v>
      </c>
      <c r="F1456" t="s">
        <v>27987</v>
      </c>
      <c r="G1456" s="117">
        <v>63.5</v>
      </c>
    </row>
    <row r="1457" spans="1:7" x14ac:dyDescent="0.25">
      <c r="A1457" s="116" t="s">
        <v>28428</v>
      </c>
      <c r="B1457" s="117" t="s">
        <v>31121</v>
      </c>
      <c r="C1457" t="s">
        <v>67</v>
      </c>
      <c r="D1457" t="s">
        <v>67</v>
      </c>
      <c r="E1457" t="s">
        <v>67</v>
      </c>
      <c r="F1457" t="s">
        <v>27987</v>
      </c>
      <c r="G1457" s="117">
        <v>30.24</v>
      </c>
    </row>
    <row r="1458" spans="1:7" x14ac:dyDescent="0.25">
      <c r="A1458" s="116" t="s">
        <v>26647</v>
      </c>
      <c r="B1458" s="117" t="s">
        <v>26883</v>
      </c>
      <c r="C1458" t="s">
        <v>67</v>
      </c>
      <c r="D1458" t="s">
        <v>67</v>
      </c>
      <c r="E1458" t="s">
        <v>67</v>
      </c>
      <c r="F1458" t="s">
        <v>27987</v>
      </c>
      <c r="G1458" s="117">
        <v>12.92</v>
      </c>
    </row>
    <row r="1459" spans="1:7" x14ac:dyDescent="0.25">
      <c r="A1459" s="116" t="s">
        <v>26652</v>
      </c>
      <c r="B1459" s="117" t="s">
        <v>26884</v>
      </c>
      <c r="C1459" t="s">
        <v>67</v>
      </c>
      <c r="D1459" t="s">
        <v>67</v>
      </c>
      <c r="E1459" t="s">
        <v>67</v>
      </c>
      <c r="F1459" t="s">
        <v>27987</v>
      </c>
      <c r="G1459" s="117">
        <v>53.1</v>
      </c>
    </row>
    <row r="1460" spans="1:7" x14ac:dyDescent="0.25">
      <c r="A1460" s="116" t="s">
        <v>28430</v>
      </c>
      <c r="B1460" s="117" t="s">
        <v>2445</v>
      </c>
      <c r="C1460" t="s">
        <v>67</v>
      </c>
      <c r="D1460" t="s">
        <v>67</v>
      </c>
      <c r="E1460" t="s">
        <v>67</v>
      </c>
      <c r="F1460" t="s">
        <v>27987</v>
      </c>
      <c r="G1460" s="117">
        <v>57.86</v>
      </c>
    </row>
    <row r="1461" spans="1:7" x14ac:dyDescent="0.25">
      <c r="A1461" s="116" t="s">
        <v>28134</v>
      </c>
      <c r="B1461" s="117" t="s">
        <v>29760</v>
      </c>
      <c r="C1461" t="s">
        <v>67</v>
      </c>
      <c r="D1461" t="s">
        <v>67</v>
      </c>
      <c r="E1461" t="s">
        <v>67</v>
      </c>
      <c r="F1461" t="s">
        <v>27987</v>
      </c>
      <c r="G1461" s="117">
        <v>40</v>
      </c>
    </row>
    <row r="1462" spans="1:7" x14ac:dyDescent="0.25">
      <c r="A1462" s="116" t="s">
        <v>28135</v>
      </c>
      <c r="B1462" s="117" t="s">
        <v>29761</v>
      </c>
      <c r="C1462" t="s">
        <v>67</v>
      </c>
      <c r="D1462" t="s">
        <v>67</v>
      </c>
      <c r="E1462" t="s">
        <v>67</v>
      </c>
      <c r="F1462" t="s">
        <v>27987</v>
      </c>
      <c r="G1462" s="117">
        <v>70</v>
      </c>
    </row>
    <row r="1463" spans="1:7" x14ac:dyDescent="0.25">
      <c r="A1463" s="116" t="s">
        <v>28136</v>
      </c>
      <c r="B1463" s="117" t="s">
        <v>29762</v>
      </c>
      <c r="C1463" t="s">
        <v>67</v>
      </c>
      <c r="D1463" t="s">
        <v>67</v>
      </c>
      <c r="E1463" t="s">
        <v>67</v>
      </c>
      <c r="F1463" t="s">
        <v>27987</v>
      </c>
      <c r="G1463" s="117">
        <v>20</v>
      </c>
    </row>
    <row r="1464" spans="1:7" x14ac:dyDescent="0.25">
      <c r="A1464" s="116" t="s">
        <v>31214</v>
      </c>
      <c r="B1464" s="117" t="s">
        <v>31215</v>
      </c>
      <c r="C1464" t="s">
        <v>67</v>
      </c>
      <c r="D1464" t="s">
        <v>67</v>
      </c>
      <c r="E1464" t="s">
        <v>67</v>
      </c>
      <c r="F1464" t="s">
        <v>45</v>
      </c>
      <c r="G1464" s="117">
        <v>20</v>
      </c>
    </row>
    <row r="1465" spans="1:7" x14ac:dyDescent="0.25">
      <c r="A1465" s="116" t="s">
        <v>28431</v>
      </c>
      <c r="B1465" s="117" t="s">
        <v>1846</v>
      </c>
      <c r="C1465" t="s">
        <v>67</v>
      </c>
      <c r="D1465" t="s">
        <v>67</v>
      </c>
      <c r="E1465" t="s">
        <v>67</v>
      </c>
      <c r="F1465" t="s">
        <v>27987</v>
      </c>
      <c r="G1465" s="117">
        <v>60</v>
      </c>
    </row>
    <row r="1466" spans="1:7" x14ac:dyDescent="0.25">
      <c r="A1466" s="116" t="s">
        <v>28432</v>
      </c>
      <c r="B1466" s="117" t="s">
        <v>28433</v>
      </c>
      <c r="C1466" t="s">
        <v>67</v>
      </c>
      <c r="D1466" t="s">
        <v>67</v>
      </c>
      <c r="E1466" t="s">
        <v>67</v>
      </c>
      <c r="F1466" t="s">
        <v>27987</v>
      </c>
      <c r="G1466" s="117">
        <v>53.03</v>
      </c>
    </row>
    <row r="1467" spans="1:7" x14ac:dyDescent="0.25">
      <c r="A1467" s="116" t="s">
        <v>28434</v>
      </c>
      <c r="B1467" s="117" t="s">
        <v>31122</v>
      </c>
      <c r="C1467" t="s">
        <v>67</v>
      </c>
      <c r="D1467" t="s">
        <v>67</v>
      </c>
      <c r="E1467" t="s">
        <v>67</v>
      </c>
      <c r="F1467" t="s">
        <v>27987</v>
      </c>
      <c r="G1467" s="117">
        <v>76.97</v>
      </c>
    </row>
    <row r="1468" spans="1:7" x14ac:dyDescent="0.25">
      <c r="A1468" s="116" t="s">
        <v>26982</v>
      </c>
      <c r="B1468" s="117" t="s">
        <v>28435</v>
      </c>
      <c r="C1468" t="s">
        <v>67</v>
      </c>
      <c r="D1468" t="s">
        <v>67</v>
      </c>
      <c r="E1468" t="s">
        <v>67</v>
      </c>
      <c r="F1468" t="s">
        <v>27987</v>
      </c>
      <c r="G1468" s="117">
        <v>47</v>
      </c>
    </row>
    <row r="1469" spans="1:7" x14ac:dyDescent="0.25">
      <c r="A1469" s="116" t="s">
        <v>2069</v>
      </c>
      <c r="B1469" s="117" t="s">
        <v>2070</v>
      </c>
      <c r="C1469" t="s">
        <v>67</v>
      </c>
      <c r="D1469" t="s">
        <v>67</v>
      </c>
      <c r="E1469" t="s">
        <v>67</v>
      </c>
      <c r="F1469" t="s">
        <v>49</v>
      </c>
      <c r="G1469" s="117">
        <v>9.6999999999999993</v>
      </c>
    </row>
    <row r="1470" spans="1:7" x14ac:dyDescent="0.25">
      <c r="A1470" s="116" t="s">
        <v>2071</v>
      </c>
      <c r="B1470" s="117" t="s">
        <v>2072</v>
      </c>
      <c r="C1470" t="s">
        <v>67</v>
      </c>
      <c r="D1470" t="s">
        <v>67</v>
      </c>
      <c r="E1470" t="s">
        <v>67</v>
      </c>
      <c r="F1470" t="s">
        <v>27987</v>
      </c>
      <c r="G1470" s="117">
        <v>11.48</v>
      </c>
    </row>
    <row r="1471" spans="1:7" x14ac:dyDescent="0.25">
      <c r="A1471" s="116" t="s">
        <v>2073</v>
      </c>
      <c r="B1471" s="117" t="s">
        <v>2074</v>
      </c>
      <c r="C1471" t="s">
        <v>67</v>
      </c>
      <c r="D1471" t="s">
        <v>67</v>
      </c>
      <c r="E1471" t="s">
        <v>67</v>
      </c>
      <c r="F1471" t="s">
        <v>45</v>
      </c>
      <c r="G1471" s="117">
        <v>145.49</v>
      </c>
    </row>
    <row r="1472" spans="1:7" x14ac:dyDescent="0.25">
      <c r="A1472" s="116" t="s">
        <v>2075</v>
      </c>
      <c r="B1472" s="117" t="s">
        <v>2076</v>
      </c>
      <c r="C1472" t="s">
        <v>67</v>
      </c>
      <c r="D1472" t="s">
        <v>67</v>
      </c>
      <c r="E1472" t="s">
        <v>67</v>
      </c>
      <c r="F1472" t="s">
        <v>27987</v>
      </c>
      <c r="G1472" s="117">
        <v>97.44</v>
      </c>
    </row>
    <row r="1473" spans="1:7" x14ac:dyDescent="0.25">
      <c r="A1473" s="116" t="s">
        <v>2077</v>
      </c>
      <c r="B1473" s="117" t="s">
        <v>2078</v>
      </c>
      <c r="C1473" t="s">
        <v>67</v>
      </c>
      <c r="D1473" t="s">
        <v>67</v>
      </c>
      <c r="E1473" t="s">
        <v>67</v>
      </c>
      <c r="F1473" t="s">
        <v>27987</v>
      </c>
      <c r="G1473" s="117">
        <v>119.68</v>
      </c>
    </row>
    <row r="1474" spans="1:7" x14ac:dyDescent="0.25">
      <c r="A1474" s="116" t="s">
        <v>2079</v>
      </c>
      <c r="B1474" s="117" t="s">
        <v>2080</v>
      </c>
      <c r="C1474" t="s">
        <v>67</v>
      </c>
      <c r="D1474" t="s">
        <v>67</v>
      </c>
      <c r="E1474" t="s">
        <v>67</v>
      </c>
      <c r="F1474" t="s">
        <v>27987</v>
      </c>
      <c r="G1474" s="117">
        <v>136.94</v>
      </c>
    </row>
    <row r="1475" spans="1:7" x14ac:dyDescent="0.25">
      <c r="A1475" s="116" t="s">
        <v>2081</v>
      </c>
      <c r="B1475" s="117" t="s">
        <v>2082</v>
      </c>
      <c r="C1475" t="s">
        <v>67</v>
      </c>
      <c r="D1475" t="s">
        <v>67</v>
      </c>
      <c r="E1475" t="s">
        <v>67</v>
      </c>
      <c r="F1475" t="s">
        <v>27987</v>
      </c>
      <c r="G1475" s="117">
        <v>173.07</v>
      </c>
    </row>
    <row r="1476" spans="1:7" x14ac:dyDescent="0.25">
      <c r="A1476" s="116" t="s">
        <v>2083</v>
      </c>
      <c r="B1476" s="117" t="s">
        <v>2084</v>
      </c>
      <c r="C1476" t="s">
        <v>67</v>
      </c>
      <c r="D1476" t="s">
        <v>67</v>
      </c>
      <c r="E1476" t="s">
        <v>67</v>
      </c>
      <c r="F1476" t="s">
        <v>27987</v>
      </c>
      <c r="G1476" s="117">
        <v>10.68</v>
      </c>
    </row>
    <row r="1477" spans="1:7" x14ac:dyDescent="0.25">
      <c r="A1477" s="116" t="s">
        <v>2085</v>
      </c>
      <c r="B1477" s="117" t="s">
        <v>2086</v>
      </c>
      <c r="C1477" t="s">
        <v>67</v>
      </c>
      <c r="D1477" t="s">
        <v>67</v>
      </c>
      <c r="E1477" t="s">
        <v>67</v>
      </c>
      <c r="F1477" t="s">
        <v>45</v>
      </c>
      <c r="G1477" s="117">
        <v>26.25</v>
      </c>
    </row>
    <row r="1478" spans="1:7" x14ac:dyDescent="0.25">
      <c r="A1478" s="116" t="s">
        <v>26593</v>
      </c>
      <c r="B1478" s="117" t="s">
        <v>26594</v>
      </c>
      <c r="C1478" t="s">
        <v>67</v>
      </c>
      <c r="D1478" t="s">
        <v>67</v>
      </c>
      <c r="E1478" t="s">
        <v>67</v>
      </c>
      <c r="F1478" t="s">
        <v>45</v>
      </c>
      <c r="G1478" s="117">
        <v>65.17</v>
      </c>
    </row>
    <row r="1479" spans="1:7" x14ac:dyDescent="0.25">
      <c r="A1479" s="116" t="s">
        <v>2087</v>
      </c>
      <c r="B1479" s="117" t="s">
        <v>2088</v>
      </c>
      <c r="C1479" t="s">
        <v>67</v>
      </c>
      <c r="D1479" t="s">
        <v>67</v>
      </c>
      <c r="E1479" t="s">
        <v>67</v>
      </c>
      <c r="F1479" t="s">
        <v>27987</v>
      </c>
      <c r="G1479" s="117">
        <v>3.56</v>
      </c>
    </row>
    <row r="1480" spans="1:7" x14ac:dyDescent="0.25">
      <c r="A1480" s="116" t="s">
        <v>2089</v>
      </c>
      <c r="B1480" s="117" t="s">
        <v>2090</v>
      </c>
      <c r="C1480" t="s">
        <v>67</v>
      </c>
      <c r="D1480" t="s">
        <v>67</v>
      </c>
      <c r="E1480" t="s">
        <v>67</v>
      </c>
      <c r="F1480" t="s">
        <v>45</v>
      </c>
      <c r="G1480" s="117">
        <v>153.5</v>
      </c>
    </row>
    <row r="1481" spans="1:7" x14ac:dyDescent="0.25">
      <c r="A1481" s="116" t="s">
        <v>2091</v>
      </c>
      <c r="B1481" s="117" t="s">
        <v>2092</v>
      </c>
      <c r="C1481" t="s">
        <v>67</v>
      </c>
      <c r="D1481" t="s">
        <v>67</v>
      </c>
      <c r="E1481" t="s">
        <v>67</v>
      </c>
      <c r="F1481" t="s">
        <v>45</v>
      </c>
      <c r="G1481" s="117">
        <v>28.38</v>
      </c>
    </row>
    <row r="1482" spans="1:7" x14ac:dyDescent="0.25">
      <c r="A1482" s="116" t="s">
        <v>2093</v>
      </c>
      <c r="B1482" s="117" t="s">
        <v>2094</v>
      </c>
      <c r="C1482" t="s">
        <v>67</v>
      </c>
      <c r="D1482" t="s">
        <v>67</v>
      </c>
      <c r="E1482" t="s">
        <v>67</v>
      </c>
      <c r="F1482" t="s">
        <v>45</v>
      </c>
      <c r="G1482" s="117">
        <v>71.099999999999994</v>
      </c>
    </row>
    <row r="1483" spans="1:7" x14ac:dyDescent="0.25">
      <c r="A1483" s="116" t="s">
        <v>2095</v>
      </c>
      <c r="B1483" s="117" t="s">
        <v>2096</v>
      </c>
      <c r="C1483" t="s">
        <v>67</v>
      </c>
      <c r="D1483" t="s">
        <v>67</v>
      </c>
      <c r="E1483" t="s">
        <v>67</v>
      </c>
      <c r="F1483" t="s">
        <v>27987</v>
      </c>
      <c r="G1483" s="117">
        <v>71.989999999999995</v>
      </c>
    </row>
    <row r="1484" spans="1:7" x14ac:dyDescent="0.25">
      <c r="A1484" s="116" t="s">
        <v>2097</v>
      </c>
      <c r="B1484" s="117" t="s">
        <v>2098</v>
      </c>
      <c r="C1484" t="s">
        <v>67</v>
      </c>
      <c r="D1484" t="s">
        <v>67</v>
      </c>
      <c r="E1484" t="s">
        <v>67</v>
      </c>
      <c r="F1484" t="s">
        <v>45</v>
      </c>
      <c r="G1484" s="117">
        <v>44.94</v>
      </c>
    </row>
    <row r="1485" spans="1:7" x14ac:dyDescent="0.25">
      <c r="A1485" s="116" t="s">
        <v>2099</v>
      </c>
      <c r="B1485" s="117" t="s">
        <v>2100</v>
      </c>
      <c r="C1485" t="s">
        <v>67</v>
      </c>
      <c r="D1485" t="s">
        <v>67</v>
      </c>
      <c r="E1485" t="s">
        <v>67</v>
      </c>
      <c r="F1485" t="s">
        <v>27987</v>
      </c>
      <c r="G1485" s="117">
        <v>15.57</v>
      </c>
    </row>
    <row r="1486" spans="1:7" x14ac:dyDescent="0.25">
      <c r="A1486" s="116" t="s">
        <v>2101</v>
      </c>
      <c r="B1486" s="117" t="s">
        <v>2102</v>
      </c>
      <c r="C1486" t="s">
        <v>67</v>
      </c>
      <c r="D1486" t="s">
        <v>67</v>
      </c>
      <c r="E1486" t="s">
        <v>67</v>
      </c>
      <c r="F1486" t="s">
        <v>27987</v>
      </c>
      <c r="G1486" s="117">
        <v>63.98</v>
      </c>
    </row>
    <row r="1487" spans="1:7" x14ac:dyDescent="0.25">
      <c r="A1487" s="116" t="s">
        <v>2103</v>
      </c>
      <c r="B1487" s="117" t="s">
        <v>2072</v>
      </c>
      <c r="C1487" t="s">
        <v>67</v>
      </c>
      <c r="D1487" t="s">
        <v>67</v>
      </c>
      <c r="E1487" t="s">
        <v>67</v>
      </c>
      <c r="F1487" t="s">
        <v>49</v>
      </c>
      <c r="G1487" s="117">
        <v>56.5</v>
      </c>
    </row>
    <row r="1488" spans="1:7" x14ac:dyDescent="0.25">
      <c r="A1488" s="116" t="s">
        <v>2104</v>
      </c>
      <c r="B1488" s="117" t="s">
        <v>460</v>
      </c>
      <c r="C1488" t="s">
        <v>67</v>
      </c>
      <c r="D1488" t="s">
        <v>67</v>
      </c>
      <c r="E1488" t="s">
        <v>67</v>
      </c>
      <c r="F1488" t="s">
        <v>45</v>
      </c>
      <c r="G1488" s="117">
        <v>121.82</v>
      </c>
    </row>
    <row r="1489" spans="1:7" x14ac:dyDescent="0.25">
      <c r="A1489" s="116" t="s">
        <v>2105</v>
      </c>
      <c r="B1489" s="117" t="s">
        <v>2106</v>
      </c>
      <c r="C1489" t="s">
        <v>67</v>
      </c>
      <c r="D1489" t="s">
        <v>67</v>
      </c>
      <c r="E1489" t="s">
        <v>67</v>
      </c>
      <c r="F1489" t="s">
        <v>27987</v>
      </c>
      <c r="G1489" s="117">
        <v>46.18</v>
      </c>
    </row>
    <row r="1490" spans="1:7" x14ac:dyDescent="0.25">
      <c r="A1490" s="116" t="s">
        <v>2107</v>
      </c>
      <c r="B1490" s="117" t="s">
        <v>28436</v>
      </c>
      <c r="C1490" t="s">
        <v>67</v>
      </c>
      <c r="D1490" t="s">
        <v>67</v>
      </c>
      <c r="E1490" t="s">
        <v>67</v>
      </c>
      <c r="F1490" t="s">
        <v>27987</v>
      </c>
      <c r="G1490" s="117">
        <v>40.299999999999997</v>
      </c>
    </row>
    <row r="1491" spans="1:7" x14ac:dyDescent="0.25">
      <c r="A1491" s="116" t="s">
        <v>2108</v>
      </c>
      <c r="B1491" s="117" t="s">
        <v>2109</v>
      </c>
      <c r="C1491" t="s">
        <v>67</v>
      </c>
      <c r="D1491" t="s">
        <v>67</v>
      </c>
      <c r="E1491" t="s">
        <v>67</v>
      </c>
      <c r="F1491" t="s">
        <v>45</v>
      </c>
      <c r="G1491" s="117">
        <v>22.69</v>
      </c>
    </row>
    <row r="1492" spans="1:7" x14ac:dyDescent="0.25">
      <c r="A1492" s="116" t="s">
        <v>2110</v>
      </c>
      <c r="B1492" s="117" t="s">
        <v>2111</v>
      </c>
      <c r="C1492" t="s">
        <v>67</v>
      </c>
      <c r="D1492" t="s">
        <v>67</v>
      </c>
      <c r="E1492" t="s">
        <v>67</v>
      </c>
      <c r="F1492" t="s">
        <v>27987</v>
      </c>
      <c r="G1492" s="117">
        <v>3.56</v>
      </c>
    </row>
    <row r="1493" spans="1:7" x14ac:dyDescent="0.25">
      <c r="A1493" s="116" t="s">
        <v>2112</v>
      </c>
      <c r="B1493" s="117" t="s">
        <v>2113</v>
      </c>
      <c r="C1493" t="s">
        <v>67</v>
      </c>
      <c r="D1493" t="s">
        <v>67</v>
      </c>
      <c r="E1493" t="s">
        <v>67</v>
      </c>
      <c r="F1493" t="s">
        <v>51</v>
      </c>
      <c r="G1493" s="117">
        <v>15.04</v>
      </c>
    </row>
    <row r="1494" spans="1:7" x14ac:dyDescent="0.25">
      <c r="A1494" s="116" t="s">
        <v>2114</v>
      </c>
      <c r="B1494" s="117" t="s">
        <v>2115</v>
      </c>
      <c r="C1494" t="s">
        <v>67</v>
      </c>
      <c r="D1494" t="s">
        <v>67</v>
      </c>
      <c r="E1494" t="s">
        <v>67</v>
      </c>
      <c r="F1494" t="s">
        <v>51</v>
      </c>
      <c r="G1494" s="117">
        <v>17.36</v>
      </c>
    </row>
    <row r="1495" spans="1:7" x14ac:dyDescent="0.25">
      <c r="A1495" s="116" t="s">
        <v>2116</v>
      </c>
      <c r="B1495" s="117" t="s">
        <v>529</v>
      </c>
      <c r="C1495" t="s">
        <v>67</v>
      </c>
      <c r="D1495" t="s">
        <v>67</v>
      </c>
      <c r="E1495" t="s">
        <v>67</v>
      </c>
      <c r="F1495" t="s">
        <v>27987</v>
      </c>
      <c r="G1495" s="117">
        <v>13.26</v>
      </c>
    </row>
    <row r="1496" spans="1:7" x14ac:dyDescent="0.25">
      <c r="A1496" s="116" t="s">
        <v>2117</v>
      </c>
      <c r="B1496" s="117" t="s">
        <v>2118</v>
      </c>
      <c r="C1496" t="s">
        <v>67</v>
      </c>
      <c r="D1496" t="s">
        <v>67</v>
      </c>
      <c r="E1496" t="s">
        <v>67</v>
      </c>
      <c r="F1496" t="s">
        <v>45</v>
      </c>
      <c r="G1496" s="117">
        <v>49.38</v>
      </c>
    </row>
    <row r="1497" spans="1:7" x14ac:dyDescent="0.25">
      <c r="A1497" s="116" t="s">
        <v>2119</v>
      </c>
      <c r="B1497" s="117" t="s">
        <v>2120</v>
      </c>
      <c r="C1497" t="s">
        <v>67</v>
      </c>
      <c r="D1497" t="s">
        <v>67</v>
      </c>
      <c r="E1497" t="s">
        <v>67</v>
      </c>
      <c r="F1497" t="s">
        <v>27987</v>
      </c>
      <c r="G1497" s="117">
        <v>24.82</v>
      </c>
    </row>
    <row r="1498" spans="1:7" x14ac:dyDescent="0.25">
      <c r="A1498" s="116" t="s">
        <v>2121</v>
      </c>
      <c r="B1498" s="117" t="s">
        <v>2122</v>
      </c>
      <c r="C1498" t="s">
        <v>67</v>
      </c>
      <c r="D1498" t="s">
        <v>67</v>
      </c>
      <c r="E1498" t="s">
        <v>67</v>
      </c>
      <c r="F1498" t="s">
        <v>27987</v>
      </c>
      <c r="G1498" s="117">
        <v>54.19</v>
      </c>
    </row>
    <row r="1499" spans="1:7" x14ac:dyDescent="0.25">
      <c r="A1499" s="116" t="s">
        <v>2123</v>
      </c>
      <c r="B1499" s="117" t="s">
        <v>2124</v>
      </c>
      <c r="C1499" t="s">
        <v>67</v>
      </c>
      <c r="D1499" t="s">
        <v>67</v>
      </c>
      <c r="E1499" t="s">
        <v>67</v>
      </c>
      <c r="F1499" t="s">
        <v>45</v>
      </c>
      <c r="G1499" s="117">
        <v>24.82</v>
      </c>
    </row>
    <row r="1500" spans="1:7" x14ac:dyDescent="0.25">
      <c r="A1500" s="116" t="s">
        <v>30118</v>
      </c>
      <c r="B1500" s="117" t="s">
        <v>2790</v>
      </c>
      <c r="C1500" t="s">
        <v>67</v>
      </c>
      <c r="D1500" t="s">
        <v>67</v>
      </c>
      <c r="E1500" t="s">
        <v>67</v>
      </c>
      <c r="F1500" t="s">
        <v>27987</v>
      </c>
      <c r="G1500" s="117">
        <v>12.5</v>
      </c>
    </row>
    <row r="1501" spans="1:7" x14ac:dyDescent="0.25">
      <c r="A1501" s="116" t="s">
        <v>2125</v>
      </c>
      <c r="B1501" s="117" t="s">
        <v>28437</v>
      </c>
      <c r="C1501" t="s">
        <v>67</v>
      </c>
      <c r="D1501" t="s">
        <v>67</v>
      </c>
      <c r="E1501" t="s">
        <v>67</v>
      </c>
      <c r="F1501" t="s">
        <v>49</v>
      </c>
      <c r="G1501" s="117">
        <v>20.57</v>
      </c>
    </row>
    <row r="1502" spans="1:7" x14ac:dyDescent="0.25">
      <c r="A1502" s="116" t="s">
        <v>2126</v>
      </c>
      <c r="B1502" s="117" t="s">
        <v>2127</v>
      </c>
      <c r="C1502" t="s">
        <v>67</v>
      </c>
      <c r="D1502" t="s">
        <v>67</v>
      </c>
      <c r="E1502" t="s">
        <v>67</v>
      </c>
      <c r="F1502" t="s">
        <v>49</v>
      </c>
      <c r="G1502" s="117">
        <v>24.82</v>
      </c>
    </row>
    <row r="1503" spans="1:7" x14ac:dyDescent="0.25">
      <c r="A1503" s="116" t="s">
        <v>2128</v>
      </c>
      <c r="B1503" s="117" t="s">
        <v>2129</v>
      </c>
      <c r="C1503" t="s">
        <v>67</v>
      </c>
      <c r="D1503" t="s">
        <v>67</v>
      </c>
      <c r="E1503" t="s">
        <v>67</v>
      </c>
      <c r="F1503" t="s">
        <v>27987</v>
      </c>
      <c r="G1503" s="117">
        <v>53.3</v>
      </c>
    </row>
    <row r="1504" spans="1:7" x14ac:dyDescent="0.25">
      <c r="A1504" s="116" t="s">
        <v>2130</v>
      </c>
      <c r="B1504" s="117" t="s">
        <v>2131</v>
      </c>
      <c r="C1504" t="s">
        <v>67</v>
      </c>
      <c r="D1504" t="s">
        <v>67</v>
      </c>
      <c r="E1504" t="s">
        <v>67</v>
      </c>
      <c r="F1504" t="s">
        <v>27987</v>
      </c>
      <c r="G1504" s="117">
        <v>137.47999999999999</v>
      </c>
    </row>
    <row r="1505" spans="1:7" x14ac:dyDescent="0.25">
      <c r="A1505" s="116" t="s">
        <v>2132</v>
      </c>
      <c r="B1505" s="117" t="s">
        <v>1836</v>
      </c>
      <c r="C1505" t="s">
        <v>67</v>
      </c>
      <c r="D1505" t="s">
        <v>67</v>
      </c>
      <c r="E1505" t="s">
        <v>67</v>
      </c>
      <c r="F1505" t="s">
        <v>45</v>
      </c>
      <c r="G1505" s="117">
        <v>151.18</v>
      </c>
    </row>
    <row r="1506" spans="1:7" x14ac:dyDescent="0.25">
      <c r="A1506" s="116" t="s">
        <v>2133</v>
      </c>
      <c r="B1506" s="117" t="s">
        <v>465</v>
      </c>
      <c r="C1506" t="s">
        <v>67</v>
      </c>
      <c r="D1506" t="s">
        <v>67</v>
      </c>
      <c r="E1506" t="s">
        <v>67</v>
      </c>
      <c r="F1506" t="s">
        <v>27987</v>
      </c>
      <c r="G1506" s="117">
        <v>129.47999999999999</v>
      </c>
    </row>
    <row r="1507" spans="1:7" x14ac:dyDescent="0.25">
      <c r="A1507" s="116" t="s">
        <v>2134</v>
      </c>
      <c r="B1507" s="117" t="s">
        <v>1288</v>
      </c>
      <c r="C1507" t="s">
        <v>67</v>
      </c>
      <c r="D1507" t="s">
        <v>67</v>
      </c>
      <c r="E1507" t="s">
        <v>67</v>
      </c>
      <c r="F1507" t="s">
        <v>45</v>
      </c>
      <c r="G1507" s="117">
        <v>151.71</v>
      </c>
    </row>
    <row r="1508" spans="1:7" x14ac:dyDescent="0.25">
      <c r="A1508" s="116" t="s">
        <v>2135</v>
      </c>
      <c r="B1508" s="117" t="s">
        <v>2136</v>
      </c>
      <c r="C1508" t="s">
        <v>67</v>
      </c>
      <c r="D1508" t="s">
        <v>67</v>
      </c>
      <c r="E1508" t="s">
        <v>67</v>
      </c>
      <c r="F1508" t="s">
        <v>27987</v>
      </c>
      <c r="G1508" s="117">
        <v>80.52</v>
      </c>
    </row>
    <row r="1509" spans="1:7" x14ac:dyDescent="0.25">
      <c r="A1509" s="116" t="s">
        <v>2137</v>
      </c>
      <c r="B1509" s="117" t="s">
        <v>2138</v>
      </c>
      <c r="C1509" t="s">
        <v>67</v>
      </c>
      <c r="D1509" t="s">
        <v>67</v>
      </c>
      <c r="E1509" t="s">
        <v>67</v>
      </c>
      <c r="F1509" t="s">
        <v>45</v>
      </c>
      <c r="G1509" s="117">
        <v>249.58</v>
      </c>
    </row>
    <row r="1510" spans="1:7" x14ac:dyDescent="0.25">
      <c r="A1510" s="116" t="s">
        <v>2139</v>
      </c>
      <c r="B1510" s="117" t="s">
        <v>2140</v>
      </c>
      <c r="C1510" t="s">
        <v>67</v>
      </c>
      <c r="D1510" t="s">
        <v>67</v>
      </c>
      <c r="E1510" t="s">
        <v>67</v>
      </c>
      <c r="F1510" t="s">
        <v>27987</v>
      </c>
      <c r="G1510" s="117">
        <v>225</v>
      </c>
    </row>
    <row r="1511" spans="1:7" x14ac:dyDescent="0.25">
      <c r="A1511" s="116" t="s">
        <v>2141</v>
      </c>
      <c r="B1511" s="117" t="s">
        <v>2142</v>
      </c>
      <c r="C1511" t="s">
        <v>67</v>
      </c>
      <c r="D1511" t="s">
        <v>67</v>
      </c>
      <c r="E1511" t="s">
        <v>67</v>
      </c>
      <c r="F1511" t="s">
        <v>49</v>
      </c>
      <c r="G1511" s="117">
        <v>205.51</v>
      </c>
    </row>
    <row r="1512" spans="1:7" x14ac:dyDescent="0.25">
      <c r="A1512" s="116" t="s">
        <v>2143</v>
      </c>
      <c r="B1512" s="117" t="s">
        <v>2144</v>
      </c>
      <c r="C1512" t="s">
        <v>67</v>
      </c>
      <c r="D1512" t="s">
        <v>67</v>
      </c>
      <c r="E1512" t="s">
        <v>67</v>
      </c>
      <c r="F1512" t="s">
        <v>51</v>
      </c>
      <c r="G1512" s="117">
        <v>140.25</v>
      </c>
    </row>
    <row r="1513" spans="1:7" x14ac:dyDescent="0.25">
      <c r="A1513" s="116" t="s">
        <v>2145</v>
      </c>
      <c r="B1513" s="117" t="s">
        <v>518</v>
      </c>
      <c r="C1513" t="s">
        <v>67</v>
      </c>
      <c r="D1513" t="s">
        <v>67</v>
      </c>
      <c r="E1513" t="s">
        <v>67</v>
      </c>
      <c r="F1513" t="s">
        <v>27987</v>
      </c>
      <c r="G1513" s="117">
        <v>288.89999999999998</v>
      </c>
    </row>
    <row r="1514" spans="1:7" x14ac:dyDescent="0.25">
      <c r="A1514" s="116" t="s">
        <v>2146</v>
      </c>
      <c r="B1514" s="117" t="s">
        <v>2147</v>
      </c>
      <c r="C1514" t="s">
        <v>67</v>
      </c>
      <c r="D1514" t="s">
        <v>67</v>
      </c>
      <c r="E1514" t="s">
        <v>67</v>
      </c>
      <c r="F1514" t="s">
        <v>27987</v>
      </c>
      <c r="G1514" s="117">
        <v>148.72999999999999</v>
      </c>
    </row>
    <row r="1515" spans="1:7" x14ac:dyDescent="0.25">
      <c r="A1515" s="116" t="s">
        <v>2148</v>
      </c>
      <c r="B1515" s="117" t="s">
        <v>2149</v>
      </c>
      <c r="C1515" t="s">
        <v>67</v>
      </c>
      <c r="D1515" t="s">
        <v>67</v>
      </c>
      <c r="E1515" t="s">
        <v>67</v>
      </c>
      <c r="F1515" t="s">
        <v>27987</v>
      </c>
      <c r="G1515" s="117">
        <v>58.05</v>
      </c>
    </row>
    <row r="1516" spans="1:7" x14ac:dyDescent="0.25">
      <c r="A1516" s="116" t="s">
        <v>2150</v>
      </c>
      <c r="B1516" s="117" t="s">
        <v>2151</v>
      </c>
      <c r="C1516" t="s">
        <v>67</v>
      </c>
      <c r="D1516" t="s">
        <v>67</v>
      </c>
      <c r="E1516" t="s">
        <v>67</v>
      </c>
      <c r="F1516" t="s">
        <v>27987</v>
      </c>
      <c r="G1516" s="117">
        <v>23.94</v>
      </c>
    </row>
    <row r="1517" spans="1:7" x14ac:dyDescent="0.25">
      <c r="A1517" s="116" t="s">
        <v>2152</v>
      </c>
      <c r="B1517" s="117" t="s">
        <v>2153</v>
      </c>
      <c r="C1517" t="s">
        <v>67</v>
      </c>
      <c r="D1517" t="s">
        <v>67</v>
      </c>
      <c r="E1517" t="s">
        <v>67</v>
      </c>
      <c r="F1517" t="s">
        <v>27987</v>
      </c>
      <c r="G1517" s="117">
        <v>30.7</v>
      </c>
    </row>
    <row r="1518" spans="1:7" x14ac:dyDescent="0.25">
      <c r="A1518" s="116" t="s">
        <v>2154</v>
      </c>
      <c r="B1518" s="117" t="s">
        <v>2155</v>
      </c>
      <c r="C1518" t="s">
        <v>67</v>
      </c>
      <c r="D1518" t="s">
        <v>67</v>
      </c>
      <c r="E1518" t="s">
        <v>67</v>
      </c>
      <c r="F1518" t="s">
        <v>27987</v>
      </c>
      <c r="G1518" s="117">
        <v>107.58</v>
      </c>
    </row>
    <row r="1519" spans="1:7" x14ac:dyDescent="0.25">
      <c r="A1519" s="116" t="s">
        <v>2156</v>
      </c>
      <c r="B1519" s="117" t="s">
        <v>2157</v>
      </c>
      <c r="C1519" t="s">
        <v>67</v>
      </c>
      <c r="D1519" t="s">
        <v>67</v>
      </c>
      <c r="E1519" t="s">
        <v>67</v>
      </c>
      <c r="F1519" t="s">
        <v>45</v>
      </c>
      <c r="G1519" s="117">
        <v>115.58</v>
      </c>
    </row>
    <row r="1520" spans="1:7" x14ac:dyDescent="0.25">
      <c r="A1520" s="116" t="s">
        <v>2158</v>
      </c>
      <c r="B1520" s="117" t="s">
        <v>2159</v>
      </c>
      <c r="C1520" t="s">
        <v>67</v>
      </c>
      <c r="D1520" t="s">
        <v>67</v>
      </c>
      <c r="E1520" t="s">
        <v>67</v>
      </c>
      <c r="F1520" t="s">
        <v>45</v>
      </c>
      <c r="G1520" s="117">
        <v>71.989999999999995</v>
      </c>
    </row>
    <row r="1521" spans="1:7" x14ac:dyDescent="0.25">
      <c r="A1521" s="116" t="s">
        <v>2160</v>
      </c>
      <c r="B1521" s="117" t="s">
        <v>2161</v>
      </c>
      <c r="C1521" t="s">
        <v>67</v>
      </c>
      <c r="D1521" t="s">
        <v>67</v>
      </c>
      <c r="E1521" t="s">
        <v>67</v>
      </c>
      <c r="F1521" t="s">
        <v>45</v>
      </c>
      <c r="G1521" s="117">
        <v>111.14</v>
      </c>
    </row>
    <row r="1522" spans="1:7" x14ac:dyDescent="0.25">
      <c r="A1522" s="116" t="s">
        <v>2162</v>
      </c>
      <c r="B1522" s="117" t="s">
        <v>2163</v>
      </c>
      <c r="C1522" t="s">
        <v>67</v>
      </c>
      <c r="D1522" t="s">
        <v>67</v>
      </c>
      <c r="E1522" t="s">
        <v>67</v>
      </c>
      <c r="F1522" t="s">
        <v>45</v>
      </c>
      <c r="G1522" s="117">
        <v>80.52</v>
      </c>
    </row>
    <row r="1523" spans="1:7" x14ac:dyDescent="0.25">
      <c r="A1523" s="116" t="s">
        <v>2164</v>
      </c>
      <c r="B1523" s="117" t="s">
        <v>2165</v>
      </c>
      <c r="C1523" t="s">
        <v>67</v>
      </c>
      <c r="D1523" t="s">
        <v>67</v>
      </c>
      <c r="E1523" t="s">
        <v>67</v>
      </c>
      <c r="F1523" t="s">
        <v>27987</v>
      </c>
      <c r="G1523" s="117">
        <v>15.57</v>
      </c>
    </row>
    <row r="1524" spans="1:7" x14ac:dyDescent="0.25">
      <c r="A1524" s="116" t="s">
        <v>2166</v>
      </c>
      <c r="B1524" s="117" t="s">
        <v>2167</v>
      </c>
      <c r="C1524" t="s">
        <v>67</v>
      </c>
      <c r="D1524" t="s">
        <v>67</v>
      </c>
      <c r="E1524" t="s">
        <v>67</v>
      </c>
      <c r="F1524" t="s">
        <v>27987</v>
      </c>
      <c r="G1524" s="117">
        <v>151.18</v>
      </c>
    </row>
    <row r="1525" spans="1:7" x14ac:dyDescent="0.25">
      <c r="A1525" s="116" t="s">
        <v>2168</v>
      </c>
      <c r="B1525" s="117" t="s">
        <v>2169</v>
      </c>
      <c r="C1525" t="s">
        <v>67</v>
      </c>
      <c r="D1525" t="s">
        <v>67</v>
      </c>
      <c r="E1525" t="s">
        <v>67</v>
      </c>
      <c r="F1525" t="s">
        <v>27987</v>
      </c>
      <c r="G1525" s="117">
        <v>271.31</v>
      </c>
    </row>
    <row r="1526" spans="1:7" x14ac:dyDescent="0.25">
      <c r="A1526" s="116" t="s">
        <v>2170</v>
      </c>
      <c r="B1526" s="117" t="s">
        <v>2092</v>
      </c>
      <c r="C1526" t="s">
        <v>67</v>
      </c>
      <c r="D1526" t="s">
        <v>67</v>
      </c>
      <c r="E1526" t="s">
        <v>67</v>
      </c>
      <c r="F1526" t="s">
        <v>45</v>
      </c>
      <c r="G1526" s="117">
        <v>55.62</v>
      </c>
    </row>
    <row r="1527" spans="1:7" x14ac:dyDescent="0.25">
      <c r="A1527" s="116" t="s">
        <v>30266</v>
      </c>
      <c r="B1527" s="117" t="s">
        <v>30267</v>
      </c>
      <c r="C1527" t="s">
        <v>67</v>
      </c>
      <c r="D1527" t="s">
        <v>67</v>
      </c>
      <c r="E1527" t="s">
        <v>67</v>
      </c>
      <c r="F1527" t="s">
        <v>45</v>
      </c>
      <c r="G1527" s="117">
        <v>85</v>
      </c>
    </row>
    <row r="1528" spans="1:7" x14ac:dyDescent="0.25">
      <c r="A1528" s="116" t="s">
        <v>2171</v>
      </c>
      <c r="B1528" s="117" t="s">
        <v>1288</v>
      </c>
      <c r="C1528" t="s">
        <v>67</v>
      </c>
      <c r="D1528" t="s">
        <v>67</v>
      </c>
      <c r="E1528" t="s">
        <v>67</v>
      </c>
      <c r="F1528" t="s">
        <v>27987</v>
      </c>
      <c r="G1528" s="117">
        <v>71.099999999999994</v>
      </c>
    </row>
    <row r="1529" spans="1:7" x14ac:dyDescent="0.25">
      <c r="A1529" s="116" t="s">
        <v>2172</v>
      </c>
      <c r="B1529" s="117" t="s">
        <v>2173</v>
      </c>
      <c r="C1529" t="s">
        <v>67</v>
      </c>
      <c r="D1529" t="s">
        <v>67</v>
      </c>
      <c r="E1529" t="s">
        <v>67</v>
      </c>
      <c r="F1529" t="s">
        <v>27987</v>
      </c>
      <c r="G1529" s="117">
        <v>71.099999999999994</v>
      </c>
    </row>
    <row r="1530" spans="1:7" x14ac:dyDescent="0.25">
      <c r="A1530" s="116" t="s">
        <v>2174</v>
      </c>
      <c r="B1530" s="117" t="s">
        <v>465</v>
      </c>
      <c r="C1530" t="s">
        <v>67</v>
      </c>
      <c r="D1530" t="s">
        <v>67</v>
      </c>
      <c r="E1530" t="s">
        <v>67</v>
      </c>
      <c r="F1530" t="s">
        <v>27987</v>
      </c>
      <c r="G1530" s="117">
        <v>76.98</v>
      </c>
    </row>
    <row r="1531" spans="1:7" x14ac:dyDescent="0.25">
      <c r="A1531" s="116" t="s">
        <v>2175</v>
      </c>
      <c r="B1531" s="117" t="s">
        <v>2176</v>
      </c>
      <c r="C1531" t="s">
        <v>67</v>
      </c>
      <c r="D1531" t="s">
        <v>67</v>
      </c>
      <c r="E1531" t="s">
        <v>67</v>
      </c>
      <c r="F1531" t="s">
        <v>27987</v>
      </c>
      <c r="G1531" s="117">
        <v>88.54</v>
      </c>
    </row>
    <row r="1532" spans="1:7" x14ac:dyDescent="0.25">
      <c r="A1532" s="116" t="s">
        <v>2177</v>
      </c>
      <c r="B1532" s="117" t="s">
        <v>2178</v>
      </c>
      <c r="C1532" t="s">
        <v>67</v>
      </c>
      <c r="D1532" t="s">
        <v>67</v>
      </c>
      <c r="E1532" t="s">
        <v>67</v>
      </c>
      <c r="F1532" t="s">
        <v>45</v>
      </c>
      <c r="G1532" s="117">
        <v>60.4</v>
      </c>
    </row>
    <row r="1533" spans="1:7" x14ac:dyDescent="0.25">
      <c r="A1533" s="116" t="s">
        <v>2179</v>
      </c>
      <c r="B1533" s="117" t="s">
        <v>2180</v>
      </c>
      <c r="C1533" t="s">
        <v>67</v>
      </c>
      <c r="D1533" t="s">
        <v>67</v>
      </c>
      <c r="E1533" t="s">
        <v>67</v>
      </c>
      <c r="F1533" t="s">
        <v>27987</v>
      </c>
      <c r="G1533" s="117">
        <v>93.35</v>
      </c>
    </row>
    <row r="1534" spans="1:7" x14ac:dyDescent="0.25">
      <c r="A1534" s="116" t="s">
        <v>2181</v>
      </c>
      <c r="B1534" s="117" t="s">
        <v>2182</v>
      </c>
      <c r="C1534" t="s">
        <v>67</v>
      </c>
      <c r="D1534" t="s">
        <v>67</v>
      </c>
      <c r="E1534" t="s">
        <v>67</v>
      </c>
      <c r="F1534" t="s">
        <v>27987</v>
      </c>
      <c r="G1534" s="117">
        <v>126.26</v>
      </c>
    </row>
    <row r="1535" spans="1:7" x14ac:dyDescent="0.25">
      <c r="A1535" s="116" t="s">
        <v>2183</v>
      </c>
      <c r="B1535" s="117" t="s">
        <v>2184</v>
      </c>
      <c r="C1535" t="s">
        <v>67</v>
      </c>
      <c r="D1535" t="s">
        <v>67</v>
      </c>
      <c r="E1535" t="s">
        <v>67</v>
      </c>
      <c r="F1535" t="s">
        <v>45</v>
      </c>
      <c r="G1535" s="117">
        <v>154.74</v>
      </c>
    </row>
    <row r="1536" spans="1:7" x14ac:dyDescent="0.25">
      <c r="A1536" s="116" t="s">
        <v>2185</v>
      </c>
      <c r="B1536" s="117" t="s">
        <v>2186</v>
      </c>
      <c r="C1536" t="s">
        <v>67</v>
      </c>
      <c r="D1536" t="s">
        <v>67</v>
      </c>
      <c r="E1536" t="s">
        <v>67</v>
      </c>
      <c r="F1536" t="s">
        <v>45</v>
      </c>
      <c r="G1536" s="117">
        <v>37.82</v>
      </c>
    </row>
    <row r="1537" spans="1:7" x14ac:dyDescent="0.25">
      <c r="A1537" s="116" t="s">
        <v>2187</v>
      </c>
      <c r="B1537" s="117" t="s">
        <v>2188</v>
      </c>
      <c r="C1537" t="s">
        <v>67</v>
      </c>
      <c r="D1537" t="s">
        <v>67</v>
      </c>
      <c r="E1537" t="s">
        <v>67</v>
      </c>
      <c r="F1537" t="s">
        <v>45</v>
      </c>
      <c r="G1537" s="117">
        <v>43.51</v>
      </c>
    </row>
    <row r="1538" spans="1:7" x14ac:dyDescent="0.25">
      <c r="A1538" s="116" t="s">
        <v>2189</v>
      </c>
      <c r="B1538" s="117" t="s">
        <v>2190</v>
      </c>
      <c r="C1538" t="s">
        <v>67</v>
      </c>
      <c r="D1538" t="s">
        <v>67</v>
      </c>
      <c r="E1538" t="s">
        <v>67</v>
      </c>
      <c r="F1538" t="s">
        <v>45</v>
      </c>
      <c r="G1538" s="117">
        <v>84.08</v>
      </c>
    </row>
    <row r="1539" spans="1:7" x14ac:dyDescent="0.25">
      <c r="A1539" s="116" t="s">
        <v>2191</v>
      </c>
      <c r="B1539" s="117" t="s">
        <v>2192</v>
      </c>
      <c r="C1539" t="s">
        <v>67</v>
      </c>
      <c r="D1539" t="s">
        <v>67</v>
      </c>
      <c r="E1539" t="s">
        <v>67</v>
      </c>
      <c r="F1539" t="s">
        <v>45</v>
      </c>
      <c r="G1539" s="117">
        <v>10.55</v>
      </c>
    </row>
    <row r="1540" spans="1:7" x14ac:dyDescent="0.25">
      <c r="A1540" s="116" t="s">
        <v>2193</v>
      </c>
      <c r="B1540" s="117" t="s">
        <v>2072</v>
      </c>
      <c r="C1540" t="s">
        <v>67</v>
      </c>
      <c r="D1540" t="s">
        <v>67</v>
      </c>
      <c r="E1540" t="s">
        <v>67</v>
      </c>
      <c r="F1540" t="s">
        <v>27987</v>
      </c>
      <c r="G1540" s="117">
        <v>77.319999999999993</v>
      </c>
    </row>
    <row r="1541" spans="1:7" x14ac:dyDescent="0.25">
      <c r="A1541" s="116" t="s">
        <v>2194</v>
      </c>
      <c r="B1541" s="117" t="s">
        <v>2195</v>
      </c>
      <c r="C1541" t="s">
        <v>67</v>
      </c>
      <c r="D1541" t="s">
        <v>67</v>
      </c>
      <c r="E1541" t="s">
        <v>67</v>
      </c>
      <c r="F1541" t="s">
        <v>45</v>
      </c>
      <c r="G1541" s="117">
        <v>84.88</v>
      </c>
    </row>
    <row r="1542" spans="1:7" x14ac:dyDescent="0.25">
      <c r="A1542" s="116" t="s">
        <v>2196</v>
      </c>
      <c r="B1542" s="117" t="s">
        <v>2197</v>
      </c>
      <c r="C1542" t="s">
        <v>67</v>
      </c>
      <c r="D1542" t="s">
        <v>67</v>
      </c>
      <c r="E1542" t="s">
        <v>67</v>
      </c>
      <c r="F1542" t="s">
        <v>45</v>
      </c>
      <c r="G1542" s="117">
        <v>84.13</v>
      </c>
    </row>
    <row r="1543" spans="1:7" x14ac:dyDescent="0.25">
      <c r="A1543" s="116" t="s">
        <v>2198</v>
      </c>
      <c r="B1543" s="117" t="s">
        <v>2199</v>
      </c>
      <c r="C1543" t="s">
        <v>67</v>
      </c>
      <c r="D1543" t="s">
        <v>67</v>
      </c>
      <c r="E1543" t="s">
        <v>67</v>
      </c>
      <c r="F1543" t="s">
        <v>45</v>
      </c>
      <c r="G1543" s="117">
        <v>61.31</v>
      </c>
    </row>
    <row r="1544" spans="1:7" x14ac:dyDescent="0.25">
      <c r="A1544" s="116" t="s">
        <v>2200</v>
      </c>
      <c r="B1544" s="117" t="s">
        <v>2201</v>
      </c>
      <c r="C1544" t="s">
        <v>67</v>
      </c>
      <c r="D1544" t="s">
        <v>67</v>
      </c>
      <c r="E1544" t="s">
        <v>67</v>
      </c>
      <c r="F1544" t="s">
        <v>27987</v>
      </c>
      <c r="G1544" s="117">
        <v>63.98</v>
      </c>
    </row>
    <row r="1545" spans="1:7" x14ac:dyDescent="0.25">
      <c r="A1545" s="116" t="s">
        <v>2202</v>
      </c>
      <c r="B1545" s="117" t="s">
        <v>2111</v>
      </c>
      <c r="C1545" t="s">
        <v>67</v>
      </c>
      <c r="D1545" t="s">
        <v>67</v>
      </c>
      <c r="E1545" t="s">
        <v>67</v>
      </c>
      <c r="F1545" t="s">
        <v>45</v>
      </c>
      <c r="G1545" s="117">
        <v>3.56</v>
      </c>
    </row>
    <row r="1546" spans="1:7" x14ac:dyDescent="0.25">
      <c r="A1546" s="116" t="s">
        <v>2203</v>
      </c>
      <c r="B1546" s="117" t="s">
        <v>2204</v>
      </c>
      <c r="C1546" t="s">
        <v>67</v>
      </c>
      <c r="D1546" t="s">
        <v>67</v>
      </c>
      <c r="E1546" t="s">
        <v>67</v>
      </c>
      <c r="F1546" t="s">
        <v>27987</v>
      </c>
      <c r="G1546" s="117">
        <v>98.32</v>
      </c>
    </row>
    <row r="1547" spans="1:7" x14ac:dyDescent="0.25">
      <c r="A1547" s="116" t="s">
        <v>2205</v>
      </c>
      <c r="B1547" s="117" t="s">
        <v>2206</v>
      </c>
      <c r="C1547" t="s">
        <v>67</v>
      </c>
      <c r="D1547" t="s">
        <v>67</v>
      </c>
      <c r="E1547" t="s">
        <v>67</v>
      </c>
      <c r="F1547" t="s">
        <v>27987</v>
      </c>
      <c r="G1547" s="117">
        <v>82.67</v>
      </c>
    </row>
    <row r="1548" spans="1:7" x14ac:dyDescent="0.25">
      <c r="A1548" s="116" t="s">
        <v>2207</v>
      </c>
      <c r="B1548" s="117" t="s">
        <v>2208</v>
      </c>
      <c r="C1548" t="s">
        <v>67</v>
      </c>
      <c r="D1548" t="s">
        <v>67</v>
      </c>
      <c r="E1548" t="s">
        <v>67</v>
      </c>
      <c r="F1548" t="s">
        <v>27987</v>
      </c>
      <c r="G1548" s="117">
        <v>16.82</v>
      </c>
    </row>
    <row r="1549" spans="1:7" x14ac:dyDescent="0.25">
      <c r="A1549" s="116" t="s">
        <v>2209</v>
      </c>
      <c r="B1549" s="117" t="s">
        <v>2210</v>
      </c>
      <c r="C1549" t="s">
        <v>67</v>
      </c>
      <c r="D1549" t="s">
        <v>67</v>
      </c>
      <c r="E1549" t="s">
        <v>67</v>
      </c>
      <c r="F1549" t="s">
        <v>45</v>
      </c>
      <c r="G1549" s="117">
        <v>22.16</v>
      </c>
    </row>
    <row r="1550" spans="1:7" x14ac:dyDescent="0.25">
      <c r="A1550" s="116" t="s">
        <v>2211</v>
      </c>
      <c r="B1550" s="117" t="s">
        <v>2212</v>
      </c>
      <c r="C1550" t="s">
        <v>67</v>
      </c>
      <c r="D1550" t="s">
        <v>67</v>
      </c>
      <c r="E1550" t="s">
        <v>67</v>
      </c>
      <c r="F1550" t="s">
        <v>27987</v>
      </c>
      <c r="G1550" s="117">
        <v>897.75</v>
      </c>
    </row>
    <row r="1551" spans="1:7" x14ac:dyDescent="0.25">
      <c r="A1551" s="116" t="s">
        <v>2213</v>
      </c>
      <c r="B1551" s="117" t="s">
        <v>2214</v>
      </c>
      <c r="C1551" t="s">
        <v>67</v>
      </c>
      <c r="D1551" t="s">
        <v>67</v>
      </c>
      <c r="E1551" t="s">
        <v>67</v>
      </c>
      <c r="F1551" t="s">
        <v>27987</v>
      </c>
      <c r="G1551" s="117">
        <v>122.7</v>
      </c>
    </row>
    <row r="1552" spans="1:7" x14ac:dyDescent="0.25">
      <c r="A1552" s="116" t="s">
        <v>2215</v>
      </c>
      <c r="B1552" s="117" t="s">
        <v>2216</v>
      </c>
      <c r="C1552" t="s">
        <v>67</v>
      </c>
      <c r="D1552" t="s">
        <v>67</v>
      </c>
      <c r="E1552" t="s">
        <v>67</v>
      </c>
      <c r="F1552" t="s">
        <v>49</v>
      </c>
      <c r="G1552" s="117">
        <v>99.57</v>
      </c>
    </row>
    <row r="1553" spans="1:7" x14ac:dyDescent="0.25">
      <c r="A1553" s="116" t="s">
        <v>2217</v>
      </c>
      <c r="B1553" s="117" t="s">
        <v>2218</v>
      </c>
      <c r="C1553" t="s">
        <v>67</v>
      </c>
      <c r="D1553" t="s">
        <v>67</v>
      </c>
      <c r="E1553" t="s">
        <v>67</v>
      </c>
      <c r="F1553" t="s">
        <v>27987</v>
      </c>
      <c r="G1553" s="117">
        <v>843.48</v>
      </c>
    </row>
    <row r="1554" spans="1:7" x14ac:dyDescent="0.25">
      <c r="A1554" s="116" t="s">
        <v>2219</v>
      </c>
      <c r="B1554" s="117" t="s">
        <v>2220</v>
      </c>
      <c r="C1554" t="s">
        <v>67</v>
      </c>
      <c r="D1554" t="s">
        <v>67</v>
      </c>
      <c r="E1554" t="s">
        <v>67</v>
      </c>
      <c r="F1554" t="s">
        <v>45</v>
      </c>
      <c r="G1554" s="117">
        <v>66.3</v>
      </c>
    </row>
    <row r="1555" spans="1:7" x14ac:dyDescent="0.25">
      <c r="A1555" s="116" t="s">
        <v>2221</v>
      </c>
      <c r="B1555" s="117" t="s">
        <v>2222</v>
      </c>
      <c r="C1555" t="s">
        <v>67</v>
      </c>
      <c r="D1555" t="s">
        <v>67</v>
      </c>
      <c r="E1555" t="s">
        <v>67</v>
      </c>
      <c r="F1555" t="s">
        <v>27987</v>
      </c>
      <c r="G1555" s="117">
        <v>177.52</v>
      </c>
    </row>
    <row r="1556" spans="1:7" x14ac:dyDescent="0.25">
      <c r="A1556" s="116" t="s">
        <v>2223</v>
      </c>
      <c r="B1556" s="117" t="s">
        <v>2224</v>
      </c>
      <c r="C1556" t="s">
        <v>67</v>
      </c>
      <c r="D1556" t="s">
        <v>67</v>
      </c>
      <c r="E1556" t="s">
        <v>67</v>
      </c>
      <c r="F1556" t="s">
        <v>27987</v>
      </c>
      <c r="G1556" s="117">
        <v>35.5</v>
      </c>
    </row>
    <row r="1557" spans="1:7" x14ac:dyDescent="0.25">
      <c r="A1557" s="116" t="s">
        <v>2225</v>
      </c>
      <c r="B1557" s="117" t="s">
        <v>2226</v>
      </c>
      <c r="C1557" t="s">
        <v>67</v>
      </c>
      <c r="D1557" t="s">
        <v>67</v>
      </c>
      <c r="E1557" t="s">
        <v>67</v>
      </c>
      <c r="F1557" t="s">
        <v>27987</v>
      </c>
      <c r="G1557" s="117">
        <v>31.94</v>
      </c>
    </row>
    <row r="1558" spans="1:7" x14ac:dyDescent="0.25">
      <c r="A1558" s="116" t="s">
        <v>2227</v>
      </c>
      <c r="B1558" s="117" t="s">
        <v>1273</v>
      </c>
      <c r="C1558" t="s">
        <v>67</v>
      </c>
      <c r="D1558" t="s">
        <v>67</v>
      </c>
      <c r="E1558" t="s">
        <v>67</v>
      </c>
      <c r="F1558" t="s">
        <v>27987</v>
      </c>
      <c r="G1558" s="117">
        <v>87.64</v>
      </c>
    </row>
    <row r="1559" spans="1:7" x14ac:dyDescent="0.25">
      <c r="A1559" s="116" t="s">
        <v>2228</v>
      </c>
      <c r="B1559" s="117" t="s">
        <v>2229</v>
      </c>
      <c r="C1559" t="s">
        <v>67</v>
      </c>
      <c r="D1559" t="s">
        <v>67</v>
      </c>
      <c r="E1559" t="s">
        <v>67</v>
      </c>
      <c r="F1559" t="s">
        <v>45</v>
      </c>
      <c r="G1559" s="117">
        <v>80.52</v>
      </c>
    </row>
    <row r="1560" spans="1:7" x14ac:dyDescent="0.25">
      <c r="A1560" s="116" t="s">
        <v>2230</v>
      </c>
      <c r="B1560" s="117" t="s">
        <v>2231</v>
      </c>
      <c r="C1560" t="s">
        <v>67</v>
      </c>
      <c r="D1560" t="s">
        <v>67</v>
      </c>
      <c r="E1560" t="s">
        <v>67</v>
      </c>
      <c r="F1560" t="s">
        <v>27987</v>
      </c>
      <c r="G1560" s="117">
        <v>80.52</v>
      </c>
    </row>
    <row r="1561" spans="1:7" x14ac:dyDescent="0.25">
      <c r="A1561" s="116" t="s">
        <v>2232</v>
      </c>
      <c r="B1561" s="117" t="s">
        <v>2233</v>
      </c>
      <c r="C1561" t="s">
        <v>67</v>
      </c>
      <c r="D1561" t="s">
        <v>67</v>
      </c>
      <c r="E1561" t="s">
        <v>67</v>
      </c>
      <c r="F1561" t="s">
        <v>27987</v>
      </c>
      <c r="G1561" s="117">
        <v>77.86</v>
      </c>
    </row>
    <row r="1562" spans="1:7" x14ac:dyDescent="0.25">
      <c r="A1562" s="116" t="s">
        <v>2234</v>
      </c>
      <c r="B1562" s="117" t="s">
        <v>2235</v>
      </c>
      <c r="C1562" t="s">
        <v>67</v>
      </c>
      <c r="D1562" t="s">
        <v>67</v>
      </c>
      <c r="E1562" t="s">
        <v>67</v>
      </c>
      <c r="F1562" t="s">
        <v>45</v>
      </c>
      <c r="G1562" s="117">
        <v>44.05</v>
      </c>
    </row>
    <row r="1563" spans="1:7" x14ac:dyDescent="0.25">
      <c r="A1563" s="116" t="s">
        <v>2236</v>
      </c>
      <c r="B1563" s="117" t="s">
        <v>2237</v>
      </c>
      <c r="C1563" t="s">
        <v>67</v>
      </c>
      <c r="D1563" t="s">
        <v>67</v>
      </c>
      <c r="E1563" t="s">
        <v>67</v>
      </c>
      <c r="F1563" t="s">
        <v>45</v>
      </c>
      <c r="G1563" s="117">
        <v>71.989999999999995</v>
      </c>
    </row>
    <row r="1564" spans="1:7" x14ac:dyDescent="0.25">
      <c r="A1564" s="116" t="s">
        <v>2238</v>
      </c>
      <c r="B1564" s="117" t="s">
        <v>2239</v>
      </c>
      <c r="C1564" t="s">
        <v>67</v>
      </c>
      <c r="D1564" t="s">
        <v>67</v>
      </c>
      <c r="E1564" t="s">
        <v>67</v>
      </c>
      <c r="F1564" t="s">
        <v>45</v>
      </c>
      <c r="G1564" s="117">
        <v>112.02</v>
      </c>
    </row>
    <row r="1565" spans="1:7" x14ac:dyDescent="0.25">
      <c r="A1565" s="116" t="s">
        <v>2240</v>
      </c>
      <c r="B1565" s="117" t="s">
        <v>2241</v>
      </c>
      <c r="C1565" t="s">
        <v>67</v>
      </c>
      <c r="D1565" t="s">
        <v>67</v>
      </c>
      <c r="E1565" t="s">
        <v>67</v>
      </c>
      <c r="F1565" t="s">
        <v>27987</v>
      </c>
      <c r="G1565" s="117">
        <v>67.540000000000006</v>
      </c>
    </row>
    <row r="1566" spans="1:7" x14ac:dyDescent="0.25">
      <c r="A1566" s="116" t="s">
        <v>2242</v>
      </c>
      <c r="B1566" s="117" t="s">
        <v>2243</v>
      </c>
      <c r="C1566" t="s">
        <v>67</v>
      </c>
      <c r="D1566" t="s">
        <v>67</v>
      </c>
      <c r="E1566" t="s">
        <v>67</v>
      </c>
      <c r="F1566" t="s">
        <v>27987</v>
      </c>
      <c r="G1566" s="117">
        <v>24.82</v>
      </c>
    </row>
    <row r="1567" spans="1:7" x14ac:dyDescent="0.25">
      <c r="A1567" s="116" t="s">
        <v>2244</v>
      </c>
      <c r="B1567" s="117" t="s">
        <v>28438</v>
      </c>
      <c r="C1567" t="s">
        <v>67</v>
      </c>
      <c r="D1567" t="s">
        <v>67</v>
      </c>
      <c r="E1567" t="s">
        <v>67</v>
      </c>
      <c r="F1567" t="s">
        <v>45</v>
      </c>
      <c r="G1567" s="117">
        <v>92.1</v>
      </c>
    </row>
    <row r="1568" spans="1:7" x14ac:dyDescent="0.25">
      <c r="A1568" s="116" t="s">
        <v>2245</v>
      </c>
      <c r="B1568" s="117" t="s">
        <v>2246</v>
      </c>
      <c r="C1568" t="s">
        <v>67</v>
      </c>
      <c r="D1568" t="s">
        <v>67</v>
      </c>
      <c r="E1568" t="s">
        <v>67</v>
      </c>
      <c r="F1568" t="s">
        <v>45</v>
      </c>
      <c r="G1568" s="117">
        <v>42.62</v>
      </c>
    </row>
    <row r="1569" spans="1:7" x14ac:dyDescent="0.25">
      <c r="A1569" s="116" t="s">
        <v>2247</v>
      </c>
      <c r="B1569" s="117" t="s">
        <v>2248</v>
      </c>
      <c r="C1569" t="s">
        <v>67</v>
      </c>
      <c r="D1569" t="s">
        <v>67</v>
      </c>
      <c r="E1569" t="s">
        <v>67</v>
      </c>
      <c r="F1569" t="s">
        <v>45</v>
      </c>
      <c r="G1569" s="117">
        <v>331.82</v>
      </c>
    </row>
    <row r="1570" spans="1:7" x14ac:dyDescent="0.25">
      <c r="A1570" s="116" t="s">
        <v>2249</v>
      </c>
      <c r="B1570" s="117" t="s">
        <v>2250</v>
      </c>
      <c r="C1570" t="s">
        <v>67</v>
      </c>
      <c r="D1570" t="s">
        <v>67</v>
      </c>
      <c r="E1570" t="s">
        <v>67</v>
      </c>
      <c r="F1570" t="s">
        <v>45</v>
      </c>
      <c r="G1570" s="117">
        <v>698.96</v>
      </c>
    </row>
    <row r="1571" spans="1:7" x14ac:dyDescent="0.25">
      <c r="A1571" s="116" t="s">
        <v>2251</v>
      </c>
      <c r="B1571" s="117" t="s">
        <v>2252</v>
      </c>
      <c r="C1571" t="s">
        <v>67</v>
      </c>
      <c r="D1571" t="s">
        <v>67</v>
      </c>
      <c r="E1571" t="s">
        <v>67</v>
      </c>
      <c r="F1571" t="s">
        <v>45</v>
      </c>
      <c r="G1571" s="117">
        <v>452.48</v>
      </c>
    </row>
    <row r="1572" spans="1:7" x14ac:dyDescent="0.25">
      <c r="A1572" s="116" t="s">
        <v>2253</v>
      </c>
      <c r="B1572" s="117" t="s">
        <v>2254</v>
      </c>
      <c r="C1572" t="s">
        <v>67</v>
      </c>
      <c r="D1572" t="s">
        <v>67</v>
      </c>
      <c r="E1572" t="s">
        <v>67</v>
      </c>
      <c r="F1572" t="s">
        <v>45</v>
      </c>
      <c r="G1572" s="117">
        <v>72.83</v>
      </c>
    </row>
    <row r="1573" spans="1:7" x14ac:dyDescent="0.25">
      <c r="A1573" s="116" t="s">
        <v>2255</v>
      </c>
      <c r="B1573" s="117" t="s">
        <v>2256</v>
      </c>
      <c r="C1573" t="s">
        <v>67</v>
      </c>
      <c r="D1573" t="s">
        <v>67</v>
      </c>
      <c r="E1573" t="s">
        <v>67</v>
      </c>
      <c r="F1573" t="s">
        <v>27987</v>
      </c>
      <c r="G1573" s="117">
        <v>48.5</v>
      </c>
    </row>
    <row r="1574" spans="1:7" x14ac:dyDescent="0.25">
      <c r="A1574" s="116" t="s">
        <v>2257</v>
      </c>
      <c r="B1574" s="117" t="s">
        <v>2258</v>
      </c>
      <c r="C1574" t="s">
        <v>67</v>
      </c>
      <c r="D1574" t="s">
        <v>67</v>
      </c>
      <c r="E1574" t="s">
        <v>67</v>
      </c>
      <c r="F1574" t="s">
        <v>27987</v>
      </c>
      <c r="G1574" s="117">
        <v>64.87</v>
      </c>
    </row>
    <row r="1575" spans="1:7" x14ac:dyDescent="0.25">
      <c r="A1575" s="116" t="s">
        <v>2259</v>
      </c>
      <c r="B1575" s="117" t="s">
        <v>2260</v>
      </c>
      <c r="C1575" t="s">
        <v>67</v>
      </c>
      <c r="D1575" t="s">
        <v>67</v>
      </c>
      <c r="E1575" t="s">
        <v>67</v>
      </c>
      <c r="F1575" t="s">
        <v>45</v>
      </c>
      <c r="G1575" s="117">
        <v>39.06</v>
      </c>
    </row>
    <row r="1576" spans="1:7" x14ac:dyDescent="0.25">
      <c r="A1576" s="116" t="s">
        <v>2261</v>
      </c>
      <c r="B1576" s="117" t="s">
        <v>2262</v>
      </c>
      <c r="C1576" t="s">
        <v>67</v>
      </c>
      <c r="D1576" t="s">
        <v>67</v>
      </c>
      <c r="E1576" t="s">
        <v>67</v>
      </c>
      <c r="F1576" t="s">
        <v>45</v>
      </c>
      <c r="G1576" s="117">
        <v>74.83</v>
      </c>
    </row>
    <row r="1577" spans="1:7" x14ac:dyDescent="0.25">
      <c r="A1577" s="116" t="s">
        <v>2263</v>
      </c>
      <c r="B1577" s="117" t="s">
        <v>2264</v>
      </c>
      <c r="C1577" t="s">
        <v>67</v>
      </c>
      <c r="D1577" t="s">
        <v>67</v>
      </c>
      <c r="E1577" t="s">
        <v>67</v>
      </c>
      <c r="F1577" t="s">
        <v>45</v>
      </c>
      <c r="G1577" s="117">
        <v>459.6</v>
      </c>
    </row>
    <row r="1578" spans="1:7" x14ac:dyDescent="0.25">
      <c r="A1578" s="116" t="s">
        <v>2265</v>
      </c>
      <c r="B1578" s="117" t="s">
        <v>2266</v>
      </c>
      <c r="C1578" t="s">
        <v>67</v>
      </c>
      <c r="D1578" t="s">
        <v>67</v>
      </c>
      <c r="E1578" t="s">
        <v>67</v>
      </c>
      <c r="F1578" t="s">
        <v>27987</v>
      </c>
      <c r="G1578" s="117">
        <v>59.18</v>
      </c>
    </row>
    <row r="1579" spans="1:7" x14ac:dyDescent="0.25">
      <c r="A1579" s="116" t="s">
        <v>2267</v>
      </c>
      <c r="B1579" s="117" t="s">
        <v>2268</v>
      </c>
      <c r="C1579" t="s">
        <v>67</v>
      </c>
      <c r="D1579" t="s">
        <v>67</v>
      </c>
      <c r="E1579" t="s">
        <v>67</v>
      </c>
      <c r="F1579" t="s">
        <v>45</v>
      </c>
      <c r="G1579" s="117">
        <v>524.91999999999996</v>
      </c>
    </row>
    <row r="1580" spans="1:7" x14ac:dyDescent="0.25">
      <c r="A1580" s="116" t="s">
        <v>2269</v>
      </c>
      <c r="B1580" s="117" t="s">
        <v>2270</v>
      </c>
      <c r="C1580" t="s">
        <v>67</v>
      </c>
      <c r="D1580" t="s">
        <v>67</v>
      </c>
      <c r="E1580" t="s">
        <v>67</v>
      </c>
      <c r="F1580" t="s">
        <v>45</v>
      </c>
      <c r="G1580" s="117">
        <v>107.58</v>
      </c>
    </row>
    <row r="1581" spans="1:7" x14ac:dyDescent="0.25">
      <c r="A1581" s="116" t="s">
        <v>2271</v>
      </c>
      <c r="B1581" s="117" t="s">
        <v>2272</v>
      </c>
      <c r="C1581" t="s">
        <v>67</v>
      </c>
      <c r="D1581" t="s">
        <v>67</v>
      </c>
      <c r="E1581" t="s">
        <v>67</v>
      </c>
      <c r="F1581" t="s">
        <v>45</v>
      </c>
      <c r="G1581" s="117">
        <v>39.06</v>
      </c>
    </row>
    <row r="1582" spans="1:7" x14ac:dyDescent="0.25">
      <c r="A1582" s="116" t="s">
        <v>2273</v>
      </c>
      <c r="B1582" s="117" t="s">
        <v>2274</v>
      </c>
      <c r="C1582" t="s">
        <v>67</v>
      </c>
      <c r="D1582" t="s">
        <v>67</v>
      </c>
      <c r="E1582" t="s">
        <v>67</v>
      </c>
      <c r="F1582" t="s">
        <v>45</v>
      </c>
      <c r="G1582" s="117">
        <v>153.5</v>
      </c>
    </row>
    <row r="1583" spans="1:7" x14ac:dyDescent="0.25">
      <c r="A1583" s="116" t="s">
        <v>2275</v>
      </c>
      <c r="B1583" s="117" t="s">
        <v>2276</v>
      </c>
      <c r="C1583" t="s">
        <v>67</v>
      </c>
      <c r="D1583" t="s">
        <v>67</v>
      </c>
      <c r="E1583" t="s">
        <v>67</v>
      </c>
      <c r="F1583" t="s">
        <v>45</v>
      </c>
      <c r="G1583" s="117">
        <v>31.94</v>
      </c>
    </row>
    <row r="1584" spans="1:7" x14ac:dyDescent="0.25">
      <c r="A1584" s="116" t="s">
        <v>2277</v>
      </c>
      <c r="B1584" s="117" t="s">
        <v>2278</v>
      </c>
      <c r="C1584" t="s">
        <v>67</v>
      </c>
      <c r="D1584" t="s">
        <v>67</v>
      </c>
      <c r="E1584" t="s">
        <v>67</v>
      </c>
      <c r="F1584" t="s">
        <v>45</v>
      </c>
      <c r="G1584" s="117">
        <v>84.98</v>
      </c>
    </row>
    <row r="1585" spans="1:7" x14ac:dyDescent="0.25">
      <c r="A1585" s="116" t="s">
        <v>2279</v>
      </c>
      <c r="B1585" s="117" t="s">
        <v>28439</v>
      </c>
      <c r="C1585" t="s">
        <v>67</v>
      </c>
      <c r="D1585" t="s">
        <v>67</v>
      </c>
      <c r="E1585" t="s">
        <v>67</v>
      </c>
      <c r="F1585" t="s">
        <v>45</v>
      </c>
      <c r="G1585" s="117">
        <v>75.55</v>
      </c>
    </row>
    <row r="1586" spans="1:7" x14ac:dyDescent="0.25">
      <c r="A1586" s="116" t="s">
        <v>2280</v>
      </c>
      <c r="B1586" s="117" t="s">
        <v>2281</v>
      </c>
      <c r="C1586" t="s">
        <v>67</v>
      </c>
      <c r="D1586" t="s">
        <v>67</v>
      </c>
      <c r="E1586" t="s">
        <v>67</v>
      </c>
      <c r="F1586" t="s">
        <v>27987</v>
      </c>
      <c r="G1586" s="117">
        <v>524.91999999999996</v>
      </c>
    </row>
    <row r="1587" spans="1:7" x14ac:dyDescent="0.25">
      <c r="A1587" s="116" t="s">
        <v>2282</v>
      </c>
      <c r="B1587" s="117" t="s">
        <v>2283</v>
      </c>
      <c r="C1587" t="s">
        <v>67</v>
      </c>
      <c r="D1587" t="s">
        <v>67</v>
      </c>
      <c r="E1587" t="s">
        <v>67</v>
      </c>
      <c r="F1587" t="s">
        <v>45</v>
      </c>
      <c r="G1587" s="117">
        <v>88.54</v>
      </c>
    </row>
    <row r="1588" spans="1:7" x14ac:dyDescent="0.25">
      <c r="A1588" s="116" t="s">
        <v>2284</v>
      </c>
      <c r="B1588" s="117" t="s">
        <v>2285</v>
      </c>
      <c r="C1588" t="s">
        <v>67</v>
      </c>
      <c r="D1588" t="s">
        <v>67</v>
      </c>
      <c r="E1588" t="s">
        <v>67</v>
      </c>
      <c r="F1588" t="s">
        <v>45</v>
      </c>
      <c r="G1588" s="117">
        <v>88.54</v>
      </c>
    </row>
    <row r="1589" spans="1:7" x14ac:dyDescent="0.25">
      <c r="A1589" s="116" t="s">
        <v>2286</v>
      </c>
      <c r="B1589" s="117" t="s">
        <v>2287</v>
      </c>
      <c r="C1589" t="s">
        <v>67</v>
      </c>
      <c r="D1589" t="s">
        <v>67</v>
      </c>
      <c r="E1589" t="s">
        <v>67</v>
      </c>
      <c r="F1589" t="s">
        <v>45</v>
      </c>
      <c r="G1589" s="117">
        <v>98.32</v>
      </c>
    </row>
    <row r="1590" spans="1:7" x14ac:dyDescent="0.25">
      <c r="A1590" s="116" t="s">
        <v>2288</v>
      </c>
      <c r="B1590" s="117" t="s">
        <v>2289</v>
      </c>
      <c r="C1590" t="s">
        <v>67</v>
      </c>
      <c r="D1590" t="s">
        <v>67</v>
      </c>
      <c r="E1590" t="s">
        <v>67</v>
      </c>
      <c r="F1590" t="s">
        <v>27987</v>
      </c>
      <c r="G1590" s="117">
        <v>57.39</v>
      </c>
    </row>
    <row r="1591" spans="1:7" x14ac:dyDescent="0.25">
      <c r="A1591" s="116" t="s">
        <v>2290</v>
      </c>
      <c r="B1591" s="117" t="s">
        <v>2291</v>
      </c>
      <c r="C1591" t="s">
        <v>67</v>
      </c>
      <c r="D1591" t="s">
        <v>67</v>
      </c>
      <c r="E1591" t="s">
        <v>67</v>
      </c>
      <c r="F1591" t="s">
        <v>27987</v>
      </c>
      <c r="G1591" s="117">
        <v>55.98</v>
      </c>
    </row>
    <row r="1592" spans="1:7" x14ac:dyDescent="0.25">
      <c r="A1592" s="116" t="s">
        <v>2292</v>
      </c>
      <c r="B1592" s="117" t="s">
        <v>2293</v>
      </c>
      <c r="C1592" t="s">
        <v>67</v>
      </c>
      <c r="D1592" t="s">
        <v>67</v>
      </c>
      <c r="E1592" t="s">
        <v>67</v>
      </c>
      <c r="F1592" t="s">
        <v>27987</v>
      </c>
      <c r="G1592" s="117">
        <v>33.729999999999997</v>
      </c>
    </row>
    <row r="1593" spans="1:7" x14ac:dyDescent="0.25">
      <c r="A1593" s="116" t="s">
        <v>2294</v>
      </c>
      <c r="B1593" s="117" t="s">
        <v>2295</v>
      </c>
      <c r="C1593" t="s">
        <v>67</v>
      </c>
      <c r="D1593" t="s">
        <v>67</v>
      </c>
      <c r="E1593" t="s">
        <v>67</v>
      </c>
      <c r="F1593" t="s">
        <v>27987</v>
      </c>
      <c r="G1593" s="117">
        <v>60.06</v>
      </c>
    </row>
    <row r="1594" spans="1:7" x14ac:dyDescent="0.25">
      <c r="A1594" s="116" t="s">
        <v>2296</v>
      </c>
      <c r="B1594" s="117" t="s">
        <v>2297</v>
      </c>
      <c r="C1594" t="s">
        <v>67</v>
      </c>
      <c r="D1594" t="s">
        <v>67</v>
      </c>
      <c r="E1594" t="s">
        <v>67</v>
      </c>
      <c r="F1594" t="s">
        <v>27987</v>
      </c>
      <c r="G1594" s="117">
        <v>29.81</v>
      </c>
    </row>
    <row r="1595" spans="1:7" x14ac:dyDescent="0.25">
      <c r="A1595" s="116" t="s">
        <v>2298</v>
      </c>
      <c r="B1595" s="117" t="s">
        <v>2299</v>
      </c>
      <c r="C1595" t="s">
        <v>67</v>
      </c>
      <c r="D1595" t="s">
        <v>67</v>
      </c>
      <c r="E1595" t="s">
        <v>67</v>
      </c>
      <c r="F1595" t="s">
        <v>45</v>
      </c>
      <c r="G1595" s="117">
        <v>115.58</v>
      </c>
    </row>
    <row r="1596" spans="1:7" x14ac:dyDescent="0.25">
      <c r="A1596" s="116" t="s">
        <v>2300</v>
      </c>
      <c r="B1596" s="117" t="s">
        <v>2301</v>
      </c>
      <c r="C1596" t="s">
        <v>67</v>
      </c>
      <c r="D1596" t="s">
        <v>67</v>
      </c>
      <c r="E1596" t="s">
        <v>67</v>
      </c>
      <c r="F1596" t="s">
        <v>45</v>
      </c>
      <c r="G1596" s="117">
        <v>19.13</v>
      </c>
    </row>
    <row r="1597" spans="1:7" x14ac:dyDescent="0.25">
      <c r="A1597" s="116" t="s">
        <v>2302</v>
      </c>
      <c r="B1597" s="117" t="s">
        <v>2303</v>
      </c>
      <c r="C1597" t="s">
        <v>67</v>
      </c>
      <c r="D1597" t="s">
        <v>67</v>
      </c>
      <c r="E1597" t="s">
        <v>67</v>
      </c>
      <c r="F1597" t="s">
        <v>45</v>
      </c>
      <c r="G1597" s="117">
        <v>40.49</v>
      </c>
    </row>
    <row r="1598" spans="1:7" x14ac:dyDescent="0.25">
      <c r="A1598" s="116" t="s">
        <v>2304</v>
      </c>
      <c r="B1598" s="117" t="s">
        <v>2305</v>
      </c>
      <c r="C1598" t="s">
        <v>67</v>
      </c>
      <c r="D1598" t="s">
        <v>67</v>
      </c>
      <c r="E1598" t="s">
        <v>67</v>
      </c>
      <c r="F1598" t="s">
        <v>45</v>
      </c>
      <c r="G1598" s="117">
        <v>84.98</v>
      </c>
    </row>
    <row r="1599" spans="1:7" x14ac:dyDescent="0.25">
      <c r="A1599" s="116" t="s">
        <v>2306</v>
      </c>
      <c r="B1599" s="117" t="s">
        <v>2307</v>
      </c>
      <c r="C1599" t="s">
        <v>67</v>
      </c>
      <c r="D1599" t="s">
        <v>67</v>
      </c>
      <c r="E1599" t="s">
        <v>67</v>
      </c>
      <c r="F1599" t="s">
        <v>27987</v>
      </c>
      <c r="G1599" s="117">
        <v>161.5</v>
      </c>
    </row>
    <row r="1600" spans="1:7" x14ac:dyDescent="0.25">
      <c r="A1600" s="116" t="s">
        <v>2308</v>
      </c>
      <c r="B1600" s="117" t="s">
        <v>2309</v>
      </c>
      <c r="C1600" t="s">
        <v>67</v>
      </c>
      <c r="D1600" t="s">
        <v>67</v>
      </c>
      <c r="E1600" t="s">
        <v>67</v>
      </c>
      <c r="F1600" t="s">
        <v>45</v>
      </c>
      <c r="G1600" s="117">
        <v>193.54</v>
      </c>
    </row>
    <row r="1601" spans="1:7" x14ac:dyDescent="0.25">
      <c r="A1601" s="116" t="s">
        <v>2310</v>
      </c>
      <c r="B1601" s="117" t="s">
        <v>2311</v>
      </c>
      <c r="C1601" t="s">
        <v>67</v>
      </c>
      <c r="D1601" t="s">
        <v>67</v>
      </c>
      <c r="E1601" t="s">
        <v>67</v>
      </c>
      <c r="F1601" t="s">
        <v>45</v>
      </c>
      <c r="G1601" s="117">
        <v>44.05</v>
      </c>
    </row>
    <row r="1602" spans="1:7" x14ac:dyDescent="0.25">
      <c r="A1602" s="116" t="s">
        <v>2312</v>
      </c>
      <c r="B1602" s="117" t="s">
        <v>2313</v>
      </c>
      <c r="C1602" t="s">
        <v>67</v>
      </c>
      <c r="D1602" t="s">
        <v>67</v>
      </c>
      <c r="E1602" t="s">
        <v>67</v>
      </c>
      <c r="F1602" t="s">
        <v>45</v>
      </c>
      <c r="G1602" s="117">
        <v>84.08</v>
      </c>
    </row>
    <row r="1603" spans="1:7" x14ac:dyDescent="0.25">
      <c r="A1603" s="116" t="s">
        <v>2314</v>
      </c>
      <c r="B1603" s="117" t="s">
        <v>2315</v>
      </c>
      <c r="C1603" t="s">
        <v>67</v>
      </c>
      <c r="D1603" t="s">
        <v>67</v>
      </c>
      <c r="E1603" t="s">
        <v>67</v>
      </c>
      <c r="F1603" t="s">
        <v>45</v>
      </c>
      <c r="G1603" s="117">
        <v>3.56</v>
      </c>
    </row>
    <row r="1604" spans="1:7" x14ac:dyDescent="0.25">
      <c r="A1604" s="116" t="s">
        <v>2316</v>
      </c>
      <c r="B1604" s="117" t="s">
        <v>2195</v>
      </c>
      <c r="C1604" t="s">
        <v>67</v>
      </c>
      <c r="D1604" t="s">
        <v>67</v>
      </c>
      <c r="E1604" t="s">
        <v>67</v>
      </c>
      <c r="F1604" t="s">
        <v>45</v>
      </c>
      <c r="G1604" s="117">
        <v>161.86000000000001</v>
      </c>
    </row>
    <row r="1605" spans="1:7" x14ac:dyDescent="0.25">
      <c r="A1605" s="116" t="s">
        <v>2317</v>
      </c>
      <c r="B1605" s="117" t="s">
        <v>2318</v>
      </c>
      <c r="C1605" t="s">
        <v>67</v>
      </c>
      <c r="D1605" t="s">
        <v>67</v>
      </c>
      <c r="E1605" t="s">
        <v>67</v>
      </c>
      <c r="F1605" t="s">
        <v>45</v>
      </c>
      <c r="G1605" s="117">
        <v>44.94</v>
      </c>
    </row>
    <row r="1606" spans="1:7" x14ac:dyDescent="0.25">
      <c r="A1606" s="116" t="s">
        <v>2319</v>
      </c>
      <c r="B1606" s="117" t="s">
        <v>2320</v>
      </c>
      <c r="C1606" t="s">
        <v>67</v>
      </c>
      <c r="D1606" t="s">
        <v>67</v>
      </c>
      <c r="E1606" t="s">
        <v>67</v>
      </c>
      <c r="F1606" t="s">
        <v>27987</v>
      </c>
      <c r="G1606" s="117">
        <v>59.18</v>
      </c>
    </row>
    <row r="1607" spans="1:7" x14ac:dyDescent="0.25">
      <c r="A1607" s="116" t="s">
        <v>2321</v>
      </c>
      <c r="B1607" s="117" t="s">
        <v>2322</v>
      </c>
      <c r="C1607" t="s">
        <v>67</v>
      </c>
      <c r="D1607" t="s">
        <v>67</v>
      </c>
      <c r="E1607" t="s">
        <v>67</v>
      </c>
      <c r="F1607" t="s">
        <v>45</v>
      </c>
      <c r="G1607" s="117">
        <v>98.32</v>
      </c>
    </row>
    <row r="1608" spans="1:7" x14ac:dyDescent="0.25">
      <c r="A1608" s="116" t="s">
        <v>2323</v>
      </c>
      <c r="B1608" s="117" t="s">
        <v>2324</v>
      </c>
      <c r="C1608" t="s">
        <v>67</v>
      </c>
      <c r="D1608" t="s">
        <v>67</v>
      </c>
      <c r="E1608" t="s">
        <v>67</v>
      </c>
      <c r="F1608" t="s">
        <v>45</v>
      </c>
      <c r="G1608" s="117">
        <v>49.74</v>
      </c>
    </row>
    <row r="1609" spans="1:7" x14ac:dyDescent="0.25">
      <c r="A1609" s="116" t="s">
        <v>2325</v>
      </c>
      <c r="B1609" s="117" t="s">
        <v>2326</v>
      </c>
      <c r="C1609" t="s">
        <v>67</v>
      </c>
      <c r="D1609" t="s">
        <v>67</v>
      </c>
      <c r="E1609" t="s">
        <v>67</v>
      </c>
      <c r="F1609" t="s">
        <v>27987</v>
      </c>
      <c r="G1609" s="117">
        <v>51.17</v>
      </c>
    </row>
    <row r="1610" spans="1:7" x14ac:dyDescent="0.25">
      <c r="A1610" s="116" t="s">
        <v>2327</v>
      </c>
      <c r="B1610" s="117" t="s">
        <v>2328</v>
      </c>
      <c r="C1610" t="s">
        <v>67</v>
      </c>
      <c r="D1610" t="s">
        <v>67</v>
      </c>
      <c r="E1610" t="s">
        <v>67</v>
      </c>
      <c r="F1610" t="s">
        <v>27987</v>
      </c>
      <c r="G1610" s="117">
        <v>13.26</v>
      </c>
    </row>
    <row r="1611" spans="1:7" x14ac:dyDescent="0.25">
      <c r="A1611" s="116" t="s">
        <v>2329</v>
      </c>
      <c r="B1611" s="117" t="s">
        <v>2330</v>
      </c>
      <c r="C1611" t="s">
        <v>67</v>
      </c>
      <c r="D1611" t="s">
        <v>67</v>
      </c>
      <c r="E1611" t="s">
        <v>67</v>
      </c>
      <c r="F1611" t="s">
        <v>45</v>
      </c>
      <c r="G1611" s="117">
        <v>99.21</v>
      </c>
    </row>
    <row r="1612" spans="1:7" x14ac:dyDescent="0.25">
      <c r="A1612" s="116" t="s">
        <v>2331</v>
      </c>
      <c r="B1612" s="117" t="s">
        <v>2332</v>
      </c>
      <c r="C1612" t="s">
        <v>67</v>
      </c>
      <c r="D1612" t="s">
        <v>67</v>
      </c>
      <c r="E1612" t="s">
        <v>67</v>
      </c>
      <c r="F1612" t="s">
        <v>45</v>
      </c>
      <c r="G1612" s="117">
        <v>47.61</v>
      </c>
    </row>
    <row r="1613" spans="1:7" x14ac:dyDescent="0.25">
      <c r="A1613" s="116" t="s">
        <v>2333</v>
      </c>
      <c r="B1613" s="117" t="s">
        <v>2334</v>
      </c>
      <c r="C1613" t="s">
        <v>67</v>
      </c>
      <c r="D1613" t="s">
        <v>67</v>
      </c>
      <c r="E1613" t="s">
        <v>67</v>
      </c>
      <c r="F1613" t="s">
        <v>27987</v>
      </c>
      <c r="G1613" s="117">
        <v>93.35</v>
      </c>
    </row>
    <row r="1614" spans="1:7" x14ac:dyDescent="0.25">
      <c r="A1614" s="116" t="s">
        <v>2335</v>
      </c>
      <c r="B1614" s="117" t="s">
        <v>2336</v>
      </c>
      <c r="C1614" t="s">
        <v>67</v>
      </c>
      <c r="D1614" t="s">
        <v>67</v>
      </c>
      <c r="E1614" t="s">
        <v>67</v>
      </c>
      <c r="F1614" t="s">
        <v>27987</v>
      </c>
      <c r="G1614" s="117">
        <v>10.58</v>
      </c>
    </row>
    <row r="1615" spans="1:7" x14ac:dyDescent="0.25">
      <c r="A1615" s="116" t="s">
        <v>2337</v>
      </c>
      <c r="B1615" s="117" t="s">
        <v>1267</v>
      </c>
      <c r="C1615" t="s">
        <v>67</v>
      </c>
      <c r="D1615" t="s">
        <v>67</v>
      </c>
      <c r="E1615" t="s">
        <v>67</v>
      </c>
      <c r="F1615" t="s">
        <v>27987</v>
      </c>
      <c r="G1615" s="117">
        <v>73.42</v>
      </c>
    </row>
    <row r="1616" spans="1:7" x14ac:dyDescent="0.25">
      <c r="A1616" s="116" t="s">
        <v>2338</v>
      </c>
      <c r="B1616" s="117" t="s">
        <v>1435</v>
      </c>
      <c r="C1616" t="s">
        <v>67</v>
      </c>
      <c r="D1616" t="s">
        <v>67</v>
      </c>
      <c r="E1616" t="s">
        <v>67</v>
      </c>
      <c r="F1616" t="s">
        <v>27987</v>
      </c>
      <c r="G1616" s="117">
        <v>141.93</v>
      </c>
    </row>
    <row r="1617" spans="1:7" x14ac:dyDescent="0.25">
      <c r="A1617" s="116" t="s">
        <v>2339</v>
      </c>
      <c r="B1617" s="117" t="s">
        <v>2340</v>
      </c>
      <c r="C1617" t="s">
        <v>67</v>
      </c>
      <c r="D1617" t="s">
        <v>67</v>
      </c>
      <c r="E1617" t="s">
        <v>67</v>
      </c>
      <c r="F1617" t="s">
        <v>27987</v>
      </c>
      <c r="G1617" s="117">
        <v>197.76</v>
      </c>
    </row>
    <row r="1618" spans="1:7" x14ac:dyDescent="0.25">
      <c r="A1618" s="116" t="s">
        <v>2341</v>
      </c>
      <c r="B1618" s="117" t="s">
        <v>2342</v>
      </c>
      <c r="C1618" t="s">
        <v>67</v>
      </c>
      <c r="D1618" t="s">
        <v>67</v>
      </c>
      <c r="E1618" t="s">
        <v>67</v>
      </c>
      <c r="F1618" t="s">
        <v>27987</v>
      </c>
      <c r="G1618" s="117">
        <v>20.38</v>
      </c>
    </row>
    <row r="1619" spans="1:7" x14ac:dyDescent="0.25">
      <c r="A1619" s="116" t="s">
        <v>2343</v>
      </c>
      <c r="B1619" s="117" t="s">
        <v>465</v>
      </c>
      <c r="C1619" t="s">
        <v>67</v>
      </c>
      <c r="D1619" t="s">
        <v>67</v>
      </c>
      <c r="E1619" t="s">
        <v>67</v>
      </c>
      <c r="F1619" t="s">
        <v>27987</v>
      </c>
      <c r="G1619" s="117">
        <v>86.23</v>
      </c>
    </row>
    <row r="1620" spans="1:7" x14ac:dyDescent="0.25">
      <c r="A1620" s="116" t="s">
        <v>2344</v>
      </c>
      <c r="B1620" s="117" t="s">
        <v>2345</v>
      </c>
      <c r="C1620" t="s">
        <v>67</v>
      </c>
      <c r="D1620" t="s">
        <v>67</v>
      </c>
      <c r="E1620" t="s">
        <v>67</v>
      </c>
      <c r="F1620" t="s">
        <v>27987</v>
      </c>
      <c r="G1620" s="117">
        <v>10.58</v>
      </c>
    </row>
    <row r="1621" spans="1:7" x14ac:dyDescent="0.25">
      <c r="A1621" s="116" t="s">
        <v>2346</v>
      </c>
      <c r="B1621" s="117" t="s">
        <v>2347</v>
      </c>
      <c r="C1621" t="s">
        <v>67</v>
      </c>
      <c r="D1621" t="s">
        <v>67</v>
      </c>
      <c r="E1621" t="s">
        <v>67</v>
      </c>
      <c r="F1621" t="s">
        <v>27987</v>
      </c>
      <c r="G1621" s="117">
        <v>40.85</v>
      </c>
    </row>
    <row r="1622" spans="1:7" x14ac:dyDescent="0.25">
      <c r="A1622" s="116" t="s">
        <v>2348</v>
      </c>
      <c r="B1622" s="117" t="s">
        <v>1082</v>
      </c>
      <c r="C1622" t="s">
        <v>67</v>
      </c>
      <c r="D1622" t="s">
        <v>67</v>
      </c>
      <c r="E1622" t="s">
        <v>67</v>
      </c>
      <c r="F1622" t="s">
        <v>45</v>
      </c>
      <c r="G1622" s="117">
        <v>69.86</v>
      </c>
    </row>
    <row r="1623" spans="1:7" x14ac:dyDescent="0.25">
      <c r="A1623" s="116" t="s">
        <v>2349</v>
      </c>
      <c r="B1623" s="117" t="s">
        <v>2350</v>
      </c>
      <c r="C1623" t="s">
        <v>67</v>
      </c>
      <c r="D1623" t="s">
        <v>67</v>
      </c>
      <c r="E1623" t="s">
        <v>67</v>
      </c>
      <c r="F1623" t="s">
        <v>45</v>
      </c>
      <c r="G1623" s="117">
        <v>31.58</v>
      </c>
    </row>
    <row r="1624" spans="1:7" x14ac:dyDescent="0.25">
      <c r="A1624" s="116" t="s">
        <v>2351</v>
      </c>
      <c r="B1624" s="117" t="s">
        <v>2352</v>
      </c>
      <c r="C1624" t="s">
        <v>67</v>
      </c>
      <c r="D1624" t="s">
        <v>67</v>
      </c>
      <c r="E1624" t="s">
        <v>67</v>
      </c>
      <c r="F1624" t="s">
        <v>45</v>
      </c>
      <c r="G1624" s="117">
        <v>96.9</v>
      </c>
    </row>
    <row r="1625" spans="1:7" x14ac:dyDescent="0.25">
      <c r="A1625" s="116" t="s">
        <v>2353</v>
      </c>
      <c r="B1625" s="117" t="s">
        <v>2354</v>
      </c>
      <c r="C1625" t="s">
        <v>67</v>
      </c>
      <c r="D1625" t="s">
        <v>67</v>
      </c>
      <c r="E1625" t="s">
        <v>67</v>
      </c>
      <c r="F1625" t="s">
        <v>27987</v>
      </c>
      <c r="G1625" s="117">
        <v>35.5</v>
      </c>
    </row>
    <row r="1626" spans="1:7" x14ac:dyDescent="0.25">
      <c r="A1626" s="116" t="s">
        <v>2355</v>
      </c>
      <c r="B1626" s="117" t="s">
        <v>2356</v>
      </c>
      <c r="C1626" t="s">
        <v>67</v>
      </c>
      <c r="D1626" t="s">
        <v>67</v>
      </c>
      <c r="E1626" t="s">
        <v>67</v>
      </c>
      <c r="F1626" t="s">
        <v>27987</v>
      </c>
      <c r="G1626" s="117">
        <v>96.9</v>
      </c>
    </row>
    <row r="1627" spans="1:7" x14ac:dyDescent="0.25">
      <c r="A1627" s="116" t="s">
        <v>2357</v>
      </c>
      <c r="B1627" s="117" t="s">
        <v>2358</v>
      </c>
      <c r="C1627" t="s">
        <v>67</v>
      </c>
      <c r="D1627" t="s">
        <v>67</v>
      </c>
      <c r="E1627" t="s">
        <v>67</v>
      </c>
      <c r="F1627" t="s">
        <v>45</v>
      </c>
      <c r="G1627" s="117">
        <v>67.31</v>
      </c>
    </row>
    <row r="1628" spans="1:7" x14ac:dyDescent="0.25">
      <c r="A1628" s="116" t="s">
        <v>2359</v>
      </c>
      <c r="B1628" s="117" t="s">
        <v>2360</v>
      </c>
      <c r="C1628" t="s">
        <v>67</v>
      </c>
      <c r="D1628" t="s">
        <v>67</v>
      </c>
      <c r="E1628" t="s">
        <v>67</v>
      </c>
      <c r="F1628" t="s">
        <v>45</v>
      </c>
      <c r="G1628" s="117">
        <v>53.3</v>
      </c>
    </row>
    <row r="1629" spans="1:7" x14ac:dyDescent="0.25">
      <c r="A1629" s="116" t="s">
        <v>2361</v>
      </c>
      <c r="B1629" s="117" t="s">
        <v>2362</v>
      </c>
      <c r="C1629" t="s">
        <v>67</v>
      </c>
      <c r="D1629" t="s">
        <v>67</v>
      </c>
      <c r="E1629" t="s">
        <v>67</v>
      </c>
      <c r="F1629" t="s">
        <v>27987</v>
      </c>
      <c r="G1629" s="117">
        <v>135.16999999999999</v>
      </c>
    </row>
    <row r="1630" spans="1:7" x14ac:dyDescent="0.25">
      <c r="A1630" s="116" t="s">
        <v>2363</v>
      </c>
      <c r="B1630" s="117" t="s">
        <v>2364</v>
      </c>
      <c r="C1630" t="s">
        <v>67</v>
      </c>
      <c r="D1630" t="s">
        <v>67</v>
      </c>
      <c r="E1630" t="s">
        <v>67</v>
      </c>
      <c r="F1630" t="s">
        <v>27987</v>
      </c>
      <c r="G1630" s="117">
        <v>7.18</v>
      </c>
    </row>
    <row r="1631" spans="1:7" x14ac:dyDescent="0.25">
      <c r="A1631" s="116" t="s">
        <v>2365</v>
      </c>
      <c r="B1631" s="117" t="s">
        <v>2366</v>
      </c>
      <c r="C1631" t="s">
        <v>67</v>
      </c>
      <c r="D1631" t="s">
        <v>67</v>
      </c>
      <c r="E1631" t="s">
        <v>67</v>
      </c>
      <c r="F1631" t="s">
        <v>45</v>
      </c>
      <c r="G1631" s="117">
        <v>267.39</v>
      </c>
    </row>
    <row r="1632" spans="1:7" x14ac:dyDescent="0.25">
      <c r="A1632" s="116" t="s">
        <v>2367</v>
      </c>
      <c r="B1632" s="117" t="s">
        <v>2368</v>
      </c>
      <c r="C1632" t="s">
        <v>67</v>
      </c>
      <c r="D1632" t="s">
        <v>67</v>
      </c>
      <c r="E1632" t="s">
        <v>67</v>
      </c>
      <c r="F1632" t="s">
        <v>45</v>
      </c>
      <c r="G1632" s="117">
        <v>260.63</v>
      </c>
    </row>
    <row r="1633" spans="1:7" x14ac:dyDescent="0.25">
      <c r="A1633" s="116" t="s">
        <v>2369</v>
      </c>
      <c r="B1633" s="117" t="s">
        <v>2370</v>
      </c>
      <c r="C1633" t="s">
        <v>67</v>
      </c>
      <c r="D1633" t="s">
        <v>67</v>
      </c>
      <c r="E1633" t="s">
        <v>67</v>
      </c>
      <c r="F1633" t="s">
        <v>45</v>
      </c>
      <c r="G1633" s="117">
        <v>24.82</v>
      </c>
    </row>
    <row r="1634" spans="1:7" x14ac:dyDescent="0.25">
      <c r="A1634" s="116" t="s">
        <v>26545</v>
      </c>
      <c r="B1634" s="117" t="s">
        <v>28440</v>
      </c>
      <c r="C1634" t="s">
        <v>67</v>
      </c>
      <c r="D1634" t="s">
        <v>67</v>
      </c>
      <c r="E1634" t="s">
        <v>67</v>
      </c>
      <c r="F1634" t="s">
        <v>27987</v>
      </c>
      <c r="G1634" s="117">
        <v>600</v>
      </c>
    </row>
    <row r="1635" spans="1:7" x14ac:dyDescent="0.25">
      <c r="A1635" s="116" t="s">
        <v>2371</v>
      </c>
      <c r="B1635" s="117" t="s">
        <v>834</v>
      </c>
      <c r="C1635" t="s">
        <v>67</v>
      </c>
      <c r="D1635" t="s">
        <v>67</v>
      </c>
      <c r="E1635" t="s">
        <v>67</v>
      </c>
      <c r="F1635" t="s">
        <v>45</v>
      </c>
      <c r="G1635" s="117">
        <v>331.82</v>
      </c>
    </row>
    <row r="1636" spans="1:7" x14ac:dyDescent="0.25">
      <c r="A1636" s="116" t="s">
        <v>2372</v>
      </c>
      <c r="B1636" s="117" t="s">
        <v>2373</v>
      </c>
      <c r="C1636" t="s">
        <v>67</v>
      </c>
      <c r="D1636" t="s">
        <v>67</v>
      </c>
      <c r="E1636" t="s">
        <v>67</v>
      </c>
      <c r="F1636" t="s">
        <v>45</v>
      </c>
      <c r="G1636" s="117">
        <v>798.98</v>
      </c>
    </row>
    <row r="1637" spans="1:7" x14ac:dyDescent="0.25">
      <c r="A1637" s="116" t="s">
        <v>2374</v>
      </c>
      <c r="B1637" s="117" t="s">
        <v>2375</v>
      </c>
      <c r="C1637" t="s">
        <v>67</v>
      </c>
      <c r="D1637" t="s">
        <v>67</v>
      </c>
      <c r="E1637" t="s">
        <v>67</v>
      </c>
      <c r="F1637" t="s">
        <v>45</v>
      </c>
      <c r="G1637" s="117">
        <v>627.77</v>
      </c>
    </row>
    <row r="1638" spans="1:7" x14ac:dyDescent="0.25">
      <c r="A1638" s="116" t="s">
        <v>28441</v>
      </c>
      <c r="B1638" s="117" t="s">
        <v>28442</v>
      </c>
      <c r="C1638" t="s">
        <v>67</v>
      </c>
      <c r="D1638" t="s">
        <v>67</v>
      </c>
      <c r="E1638" t="s">
        <v>67</v>
      </c>
      <c r="F1638" t="s">
        <v>45</v>
      </c>
      <c r="G1638" s="117">
        <v>0</v>
      </c>
    </row>
    <row r="1639" spans="1:7" x14ac:dyDescent="0.25">
      <c r="A1639" s="116" t="s">
        <v>2376</v>
      </c>
      <c r="B1639" s="117" t="s">
        <v>2377</v>
      </c>
      <c r="C1639" t="s">
        <v>67</v>
      </c>
      <c r="D1639" t="s">
        <v>67</v>
      </c>
      <c r="E1639" t="s">
        <v>67</v>
      </c>
      <c r="F1639" t="s">
        <v>45</v>
      </c>
      <c r="G1639" s="117">
        <v>65.84</v>
      </c>
    </row>
    <row r="1640" spans="1:7" x14ac:dyDescent="0.25">
      <c r="A1640" s="116" t="s">
        <v>2378</v>
      </c>
      <c r="B1640" s="117" t="s">
        <v>2379</v>
      </c>
      <c r="C1640" t="s">
        <v>67</v>
      </c>
      <c r="D1640" t="s">
        <v>67</v>
      </c>
      <c r="E1640" t="s">
        <v>67</v>
      </c>
      <c r="F1640" t="s">
        <v>27987</v>
      </c>
      <c r="G1640" s="117">
        <v>11.57</v>
      </c>
    </row>
    <row r="1641" spans="1:7" x14ac:dyDescent="0.25">
      <c r="A1641" s="116" t="s">
        <v>2380</v>
      </c>
      <c r="B1641" s="117" t="s">
        <v>2381</v>
      </c>
      <c r="C1641" t="s">
        <v>67</v>
      </c>
      <c r="D1641" t="s">
        <v>67</v>
      </c>
      <c r="E1641" t="s">
        <v>67</v>
      </c>
      <c r="F1641" t="s">
        <v>27987</v>
      </c>
      <c r="G1641" s="117">
        <v>54.19</v>
      </c>
    </row>
    <row r="1642" spans="1:7" x14ac:dyDescent="0.25">
      <c r="A1642" s="116" t="s">
        <v>2382</v>
      </c>
      <c r="B1642" s="117" t="s">
        <v>2383</v>
      </c>
      <c r="C1642" t="s">
        <v>67</v>
      </c>
      <c r="D1642" t="s">
        <v>67</v>
      </c>
      <c r="E1642" t="s">
        <v>67</v>
      </c>
      <c r="F1642" t="s">
        <v>27987</v>
      </c>
      <c r="G1642" s="117">
        <v>80.959999999999994</v>
      </c>
    </row>
    <row r="1643" spans="1:7" x14ac:dyDescent="0.25">
      <c r="A1643" s="116" t="s">
        <v>2384</v>
      </c>
      <c r="B1643" s="117" t="s">
        <v>2385</v>
      </c>
      <c r="C1643" t="s">
        <v>67</v>
      </c>
      <c r="D1643" t="s">
        <v>67</v>
      </c>
      <c r="E1643" t="s">
        <v>67</v>
      </c>
      <c r="F1643" t="s">
        <v>45</v>
      </c>
      <c r="G1643" s="117">
        <v>64.510000000000005</v>
      </c>
    </row>
    <row r="1644" spans="1:7" x14ac:dyDescent="0.25">
      <c r="A1644" s="116" t="s">
        <v>2386</v>
      </c>
      <c r="B1644" s="117" t="s">
        <v>2387</v>
      </c>
      <c r="C1644" t="s">
        <v>67</v>
      </c>
      <c r="D1644" t="s">
        <v>67</v>
      </c>
      <c r="E1644" t="s">
        <v>67</v>
      </c>
      <c r="F1644" t="s">
        <v>45</v>
      </c>
      <c r="G1644" s="117">
        <v>62.74</v>
      </c>
    </row>
    <row r="1645" spans="1:7" x14ac:dyDescent="0.25">
      <c r="A1645" s="116" t="s">
        <v>2388</v>
      </c>
      <c r="B1645" s="117" t="s">
        <v>2389</v>
      </c>
      <c r="C1645" t="s">
        <v>67</v>
      </c>
      <c r="D1645" t="s">
        <v>67</v>
      </c>
      <c r="E1645" t="s">
        <v>67</v>
      </c>
      <c r="F1645" t="s">
        <v>27987</v>
      </c>
      <c r="G1645" s="117">
        <v>47.61</v>
      </c>
    </row>
    <row r="1646" spans="1:7" x14ac:dyDescent="0.25">
      <c r="A1646" s="116" t="s">
        <v>2390</v>
      </c>
      <c r="B1646" s="117" t="s">
        <v>2391</v>
      </c>
      <c r="C1646" t="s">
        <v>67</v>
      </c>
      <c r="D1646" t="s">
        <v>67</v>
      </c>
      <c r="E1646" t="s">
        <v>67</v>
      </c>
      <c r="F1646" t="s">
        <v>45</v>
      </c>
      <c r="G1646" s="117">
        <v>120.57</v>
      </c>
    </row>
    <row r="1647" spans="1:7" x14ac:dyDescent="0.25">
      <c r="A1647" s="116" t="s">
        <v>2392</v>
      </c>
      <c r="B1647" s="117" t="s">
        <v>2393</v>
      </c>
      <c r="C1647" t="s">
        <v>67</v>
      </c>
      <c r="D1647" t="s">
        <v>67</v>
      </c>
      <c r="E1647" t="s">
        <v>67</v>
      </c>
      <c r="F1647" t="s">
        <v>27987</v>
      </c>
      <c r="G1647" s="117">
        <v>81.42</v>
      </c>
    </row>
    <row r="1648" spans="1:7" x14ac:dyDescent="0.25">
      <c r="A1648" s="116" t="s">
        <v>2394</v>
      </c>
      <c r="B1648" s="117" t="s">
        <v>2395</v>
      </c>
      <c r="C1648" t="s">
        <v>67</v>
      </c>
      <c r="D1648" t="s">
        <v>67</v>
      </c>
      <c r="E1648" t="s">
        <v>67</v>
      </c>
      <c r="F1648" t="s">
        <v>45</v>
      </c>
      <c r="G1648" s="117">
        <v>103.67</v>
      </c>
    </row>
    <row r="1649" spans="1:7" x14ac:dyDescent="0.25">
      <c r="A1649" s="116" t="s">
        <v>2396</v>
      </c>
      <c r="B1649" s="117" t="s">
        <v>2397</v>
      </c>
      <c r="C1649" t="s">
        <v>67</v>
      </c>
      <c r="D1649" t="s">
        <v>67</v>
      </c>
      <c r="E1649" t="s">
        <v>67</v>
      </c>
      <c r="F1649" t="s">
        <v>45</v>
      </c>
      <c r="G1649" s="117">
        <v>106.33</v>
      </c>
    </row>
    <row r="1650" spans="1:7" x14ac:dyDescent="0.25">
      <c r="A1650" s="116" t="s">
        <v>2398</v>
      </c>
      <c r="B1650" s="117" t="s">
        <v>2399</v>
      </c>
      <c r="C1650" t="s">
        <v>67</v>
      </c>
      <c r="D1650" t="s">
        <v>67</v>
      </c>
      <c r="E1650" t="s">
        <v>67</v>
      </c>
      <c r="F1650" t="s">
        <v>45</v>
      </c>
      <c r="G1650" s="117">
        <v>86.23</v>
      </c>
    </row>
    <row r="1651" spans="1:7" x14ac:dyDescent="0.25">
      <c r="A1651" s="116" t="s">
        <v>2400</v>
      </c>
      <c r="B1651" s="117" t="s">
        <v>2401</v>
      </c>
      <c r="C1651" t="s">
        <v>67</v>
      </c>
      <c r="D1651" t="s">
        <v>67</v>
      </c>
      <c r="E1651" t="s">
        <v>67</v>
      </c>
      <c r="F1651" t="s">
        <v>45</v>
      </c>
      <c r="G1651" s="117">
        <v>34.619999999999997</v>
      </c>
    </row>
    <row r="1652" spans="1:7" x14ac:dyDescent="0.25">
      <c r="A1652" s="116" t="s">
        <v>2402</v>
      </c>
      <c r="B1652" s="117" t="s">
        <v>2403</v>
      </c>
      <c r="C1652" t="s">
        <v>67</v>
      </c>
      <c r="D1652" t="s">
        <v>67</v>
      </c>
      <c r="E1652" t="s">
        <v>67</v>
      </c>
      <c r="F1652" t="s">
        <v>45</v>
      </c>
      <c r="G1652" s="117">
        <v>82.67</v>
      </c>
    </row>
    <row r="1653" spans="1:7" x14ac:dyDescent="0.25">
      <c r="A1653" s="116" t="s">
        <v>2404</v>
      </c>
      <c r="B1653" s="117" t="s">
        <v>2405</v>
      </c>
      <c r="C1653" t="s">
        <v>67</v>
      </c>
      <c r="D1653" t="s">
        <v>67</v>
      </c>
      <c r="E1653" t="s">
        <v>67</v>
      </c>
      <c r="F1653" t="s">
        <v>45</v>
      </c>
      <c r="G1653" s="117">
        <v>108.48</v>
      </c>
    </row>
    <row r="1654" spans="1:7" x14ac:dyDescent="0.25">
      <c r="A1654" s="116" t="s">
        <v>2406</v>
      </c>
      <c r="B1654" s="117" t="s">
        <v>2407</v>
      </c>
      <c r="C1654" t="s">
        <v>67</v>
      </c>
      <c r="D1654" t="s">
        <v>67</v>
      </c>
      <c r="E1654" t="s">
        <v>67</v>
      </c>
      <c r="F1654" t="s">
        <v>45</v>
      </c>
      <c r="G1654" s="117">
        <v>115.58</v>
      </c>
    </row>
    <row r="1655" spans="1:7" x14ac:dyDescent="0.25">
      <c r="A1655" s="116" t="s">
        <v>2408</v>
      </c>
      <c r="B1655" s="117" t="s">
        <v>2409</v>
      </c>
      <c r="C1655" t="s">
        <v>67</v>
      </c>
      <c r="D1655" t="s">
        <v>67</v>
      </c>
      <c r="E1655" t="s">
        <v>67</v>
      </c>
      <c r="F1655" t="s">
        <v>27987</v>
      </c>
      <c r="G1655" s="117">
        <v>9.35</v>
      </c>
    </row>
    <row r="1656" spans="1:7" x14ac:dyDescent="0.25">
      <c r="A1656" s="116" t="s">
        <v>2410</v>
      </c>
      <c r="B1656" s="117" t="s">
        <v>2411</v>
      </c>
      <c r="C1656" t="s">
        <v>67</v>
      </c>
      <c r="D1656" t="s">
        <v>67</v>
      </c>
      <c r="E1656" t="s">
        <v>67</v>
      </c>
      <c r="F1656" t="s">
        <v>45</v>
      </c>
      <c r="G1656" s="117">
        <v>84.98</v>
      </c>
    </row>
    <row r="1657" spans="1:7" x14ac:dyDescent="0.25">
      <c r="A1657" s="116" t="s">
        <v>2412</v>
      </c>
      <c r="B1657" s="117" t="s">
        <v>2413</v>
      </c>
      <c r="C1657" t="s">
        <v>67</v>
      </c>
      <c r="D1657" t="s">
        <v>67</v>
      </c>
      <c r="E1657" t="s">
        <v>67</v>
      </c>
      <c r="F1657" t="s">
        <v>45</v>
      </c>
      <c r="G1657" s="117">
        <v>534.35</v>
      </c>
    </row>
    <row r="1658" spans="1:7" x14ac:dyDescent="0.25">
      <c r="A1658" s="116" t="s">
        <v>2414</v>
      </c>
      <c r="B1658" s="117" t="s">
        <v>2415</v>
      </c>
      <c r="C1658" t="s">
        <v>67</v>
      </c>
      <c r="D1658" t="s">
        <v>67</v>
      </c>
      <c r="E1658" t="s">
        <v>67</v>
      </c>
      <c r="F1658" t="s">
        <v>45</v>
      </c>
      <c r="G1658" s="117">
        <v>82.67</v>
      </c>
    </row>
    <row r="1659" spans="1:7" x14ac:dyDescent="0.25">
      <c r="A1659" s="116" t="s">
        <v>2416</v>
      </c>
      <c r="B1659" s="117" t="s">
        <v>2417</v>
      </c>
      <c r="C1659" t="s">
        <v>67</v>
      </c>
      <c r="D1659" t="s">
        <v>67</v>
      </c>
      <c r="E1659" t="s">
        <v>67</v>
      </c>
      <c r="F1659" t="s">
        <v>45</v>
      </c>
      <c r="G1659" s="117">
        <v>127.69</v>
      </c>
    </row>
    <row r="1660" spans="1:7" x14ac:dyDescent="0.25">
      <c r="A1660" s="116" t="s">
        <v>2418</v>
      </c>
      <c r="B1660" s="117" t="s">
        <v>2419</v>
      </c>
      <c r="C1660" t="s">
        <v>67</v>
      </c>
      <c r="D1660" t="s">
        <v>67</v>
      </c>
      <c r="E1660" t="s">
        <v>67</v>
      </c>
      <c r="F1660" t="s">
        <v>45</v>
      </c>
      <c r="G1660" s="117">
        <v>127.69</v>
      </c>
    </row>
    <row r="1661" spans="1:7" x14ac:dyDescent="0.25">
      <c r="A1661" s="116" t="s">
        <v>2420</v>
      </c>
      <c r="B1661" s="117" t="s">
        <v>2421</v>
      </c>
      <c r="C1661" t="s">
        <v>67</v>
      </c>
      <c r="D1661" t="s">
        <v>67</v>
      </c>
      <c r="E1661" t="s">
        <v>67</v>
      </c>
      <c r="F1661" t="s">
        <v>45</v>
      </c>
      <c r="G1661" s="117">
        <v>126.26</v>
      </c>
    </row>
    <row r="1662" spans="1:7" x14ac:dyDescent="0.25">
      <c r="A1662" s="116" t="s">
        <v>2422</v>
      </c>
      <c r="B1662" s="117" t="s">
        <v>2423</v>
      </c>
      <c r="C1662" t="s">
        <v>67</v>
      </c>
      <c r="D1662" t="s">
        <v>67</v>
      </c>
      <c r="E1662" t="s">
        <v>67</v>
      </c>
      <c r="F1662" t="s">
        <v>45</v>
      </c>
      <c r="G1662" s="117">
        <v>127.69</v>
      </c>
    </row>
    <row r="1663" spans="1:7" x14ac:dyDescent="0.25">
      <c r="A1663" s="116" t="s">
        <v>2424</v>
      </c>
      <c r="B1663" s="117" t="s">
        <v>2425</v>
      </c>
      <c r="C1663" t="s">
        <v>67</v>
      </c>
      <c r="D1663" t="s">
        <v>67</v>
      </c>
      <c r="E1663" t="s">
        <v>67</v>
      </c>
      <c r="F1663" t="s">
        <v>45</v>
      </c>
      <c r="G1663" s="117">
        <v>49.74</v>
      </c>
    </row>
    <row r="1664" spans="1:7" x14ac:dyDescent="0.25">
      <c r="A1664" s="116" t="s">
        <v>2426</v>
      </c>
      <c r="B1664" s="117" t="s">
        <v>2427</v>
      </c>
      <c r="C1664" t="s">
        <v>67</v>
      </c>
      <c r="D1664" t="s">
        <v>67</v>
      </c>
      <c r="E1664" t="s">
        <v>67</v>
      </c>
      <c r="F1664" t="s">
        <v>27987</v>
      </c>
      <c r="G1664" s="117">
        <v>139.08000000000001</v>
      </c>
    </row>
    <row r="1665" spans="1:7" x14ac:dyDescent="0.25">
      <c r="A1665" s="116" t="s">
        <v>2428</v>
      </c>
      <c r="B1665" s="117" t="s">
        <v>2429</v>
      </c>
      <c r="C1665" t="s">
        <v>67</v>
      </c>
      <c r="D1665" t="s">
        <v>67</v>
      </c>
      <c r="E1665" t="s">
        <v>67</v>
      </c>
      <c r="F1665" t="s">
        <v>45</v>
      </c>
      <c r="G1665" s="117">
        <v>8.4499999999999993</v>
      </c>
    </row>
    <row r="1666" spans="1:7" x14ac:dyDescent="0.25">
      <c r="A1666" s="116" t="s">
        <v>2430</v>
      </c>
      <c r="B1666" s="117" t="s">
        <v>2431</v>
      </c>
      <c r="C1666" t="s">
        <v>67</v>
      </c>
      <c r="D1666" t="s">
        <v>67</v>
      </c>
      <c r="E1666" t="s">
        <v>67</v>
      </c>
      <c r="F1666" t="s">
        <v>45</v>
      </c>
      <c r="G1666" s="117">
        <v>12.01</v>
      </c>
    </row>
    <row r="1667" spans="1:7" x14ac:dyDescent="0.25">
      <c r="A1667" s="116" t="s">
        <v>2432</v>
      </c>
      <c r="B1667" s="117" t="s">
        <v>2433</v>
      </c>
      <c r="C1667" t="s">
        <v>67</v>
      </c>
      <c r="D1667" t="s">
        <v>67</v>
      </c>
      <c r="E1667" t="s">
        <v>67</v>
      </c>
      <c r="F1667" t="s">
        <v>45</v>
      </c>
      <c r="G1667" s="117">
        <v>52.42</v>
      </c>
    </row>
    <row r="1668" spans="1:7" x14ac:dyDescent="0.25">
      <c r="A1668" s="116" t="s">
        <v>2434</v>
      </c>
      <c r="B1668" s="117" t="s">
        <v>2435</v>
      </c>
      <c r="C1668" t="s">
        <v>67</v>
      </c>
      <c r="D1668" t="s">
        <v>67</v>
      </c>
      <c r="E1668" t="s">
        <v>67</v>
      </c>
      <c r="F1668" t="s">
        <v>27987</v>
      </c>
      <c r="G1668" s="117">
        <v>7.12</v>
      </c>
    </row>
    <row r="1669" spans="1:7" x14ac:dyDescent="0.25">
      <c r="A1669" s="116" t="s">
        <v>2436</v>
      </c>
      <c r="B1669" s="117" t="s">
        <v>2437</v>
      </c>
      <c r="C1669" t="s">
        <v>67</v>
      </c>
      <c r="D1669" t="s">
        <v>67</v>
      </c>
      <c r="E1669" t="s">
        <v>67</v>
      </c>
      <c r="F1669" t="s">
        <v>45</v>
      </c>
      <c r="G1669" s="117">
        <v>44.94</v>
      </c>
    </row>
    <row r="1670" spans="1:7" x14ac:dyDescent="0.25">
      <c r="A1670" s="116" t="s">
        <v>2438</v>
      </c>
      <c r="B1670" s="117" t="s">
        <v>2439</v>
      </c>
      <c r="C1670" t="s">
        <v>67</v>
      </c>
      <c r="D1670" t="s">
        <v>67</v>
      </c>
      <c r="E1670" t="s">
        <v>67</v>
      </c>
      <c r="F1670" t="s">
        <v>27987</v>
      </c>
      <c r="G1670" s="117">
        <v>17.7</v>
      </c>
    </row>
    <row r="1671" spans="1:7" x14ac:dyDescent="0.25">
      <c r="A1671" s="116" t="s">
        <v>2440</v>
      </c>
      <c r="B1671" s="117" t="s">
        <v>2441</v>
      </c>
      <c r="C1671" t="s">
        <v>67</v>
      </c>
      <c r="D1671" t="s">
        <v>67</v>
      </c>
      <c r="E1671" t="s">
        <v>67</v>
      </c>
      <c r="F1671" t="s">
        <v>27987</v>
      </c>
      <c r="G1671" s="117">
        <v>17.36</v>
      </c>
    </row>
    <row r="1672" spans="1:7" x14ac:dyDescent="0.25">
      <c r="A1672" s="116" t="s">
        <v>2442</v>
      </c>
      <c r="B1672" s="117" t="s">
        <v>2443</v>
      </c>
      <c r="C1672" t="s">
        <v>67</v>
      </c>
      <c r="D1672" t="s">
        <v>67</v>
      </c>
      <c r="E1672" t="s">
        <v>67</v>
      </c>
      <c r="F1672" t="s">
        <v>27987</v>
      </c>
      <c r="G1672" s="117">
        <v>273.98</v>
      </c>
    </row>
    <row r="1673" spans="1:7" x14ac:dyDescent="0.25">
      <c r="A1673" s="116" t="s">
        <v>2444</v>
      </c>
      <c r="B1673" s="117" t="s">
        <v>2445</v>
      </c>
      <c r="C1673" t="s">
        <v>67</v>
      </c>
      <c r="D1673" t="s">
        <v>67</v>
      </c>
      <c r="E1673" t="s">
        <v>67</v>
      </c>
      <c r="F1673" t="s">
        <v>45</v>
      </c>
      <c r="G1673" s="117">
        <v>63.98</v>
      </c>
    </row>
    <row r="1674" spans="1:7" x14ac:dyDescent="0.25">
      <c r="A1674" s="116" t="s">
        <v>2446</v>
      </c>
      <c r="B1674" s="117" t="s">
        <v>1082</v>
      </c>
      <c r="C1674" t="s">
        <v>67</v>
      </c>
      <c r="D1674" t="s">
        <v>67</v>
      </c>
      <c r="E1674" t="s">
        <v>67</v>
      </c>
      <c r="F1674" t="s">
        <v>27987</v>
      </c>
      <c r="G1674" s="117">
        <v>23.94</v>
      </c>
    </row>
    <row r="1675" spans="1:7" x14ac:dyDescent="0.25">
      <c r="A1675" s="116" t="s">
        <v>2447</v>
      </c>
      <c r="B1675" s="117" t="s">
        <v>2448</v>
      </c>
      <c r="C1675" t="s">
        <v>67</v>
      </c>
      <c r="D1675" t="s">
        <v>67</v>
      </c>
      <c r="E1675" t="s">
        <v>67</v>
      </c>
      <c r="F1675" t="s">
        <v>45</v>
      </c>
      <c r="G1675" s="117">
        <v>75.55</v>
      </c>
    </row>
    <row r="1676" spans="1:7" x14ac:dyDescent="0.25">
      <c r="A1676" s="116" t="s">
        <v>2449</v>
      </c>
      <c r="B1676" s="117" t="s">
        <v>2450</v>
      </c>
      <c r="C1676" t="s">
        <v>67</v>
      </c>
      <c r="D1676" t="s">
        <v>67</v>
      </c>
      <c r="E1676" t="s">
        <v>67</v>
      </c>
      <c r="F1676" t="s">
        <v>27987</v>
      </c>
      <c r="G1676" s="117">
        <v>604.11</v>
      </c>
    </row>
    <row r="1677" spans="1:7" x14ac:dyDescent="0.25">
      <c r="A1677" s="116" t="s">
        <v>2451</v>
      </c>
      <c r="B1677" s="117" t="s">
        <v>2452</v>
      </c>
      <c r="C1677" t="s">
        <v>67</v>
      </c>
      <c r="D1677" t="s">
        <v>67</v>
      </c>
      <c r="E1677" t="s">
        <v>67</v>
      </c>
      <c r="F1677" t="s">
        <v>45</v>
      </c>
      <c r="G1677" s="117">
        <v>237.5</v>
      </c>
    </row>
    <row r="1678" spans="1:7" x14ac:dyDescent="0.25">
      <c r="A1678" s="116" t="s">
        <v>2453</v>
      </c>
      <c r="B1678" s="117" t="s">
        <v>2454</v>
      </c>
      <c r="C1678" t="s">
        <v>67</v>
      </c>
      <c r="D1678" t="s">
        <v>67</v>
      </c>
      <c r="E1678" t="s">
        <v>67</v>
      </c>
      <c r="F1678" t="s">
        <v>45</v>
      </c>
      <c r="G1678" s="117">
        <v>14.14</v>
      </c>
    </row>
    <row r="1679" spans="1:7" x14ac:dyDescent="0.25">
      <c r="A1679" s="116" t="s">
        <v>2455</v>
      </c>
      <c r="B1679" s="117" t="s">
        <v>2456</v>
      </c>
      <c r="C1679" t="s">
        <v>67</v>
      </c>
      <c r="D1679" t="s">
        <v>67</v>
      </c>
      <c r="E1679" t="s">
        <v>67</v>
      </c>
      <c r="F1679" t="s">
        <v>45</v>
      </c>
      <c r="G1679" s="117">
        <v>40.85</v>
      </c>
    </row>
    <row r="1680" spans="1:7" x14ac:dyDescent="0.25">
      <c r="A1680" s="116" t="s">
        <v>2457</v>
      </c>
      <c r="B1680" s="117" t="s">
        <v>2458</v>
      </c>
      <c r="C1680" t="s">
        <v>67</v>
      </c>
      <c r="D1680" t="s">
        <v>67</v>
      </c>
      <c r="E1680" t="s">
        <v>67</v>
      </c>
      <c r="F1680" t="s">
        <v>27987</v>
      </c>
      <c r="G1680" s="117">
        <v>44.94</v>
      </c>
    </row>
    <row r="1681" spans="1:7" x14ac:dyDescent="0.25">
      <c r="A1681" s="116" t="s">
        <v>2459</v>
      </c>
      <c r="B1681" s="117" t="s">
        <v>2460</v>
      </c>
      <c r="C1681" t="s">
        <v>67</v>
      </c>
      <c r="D1681" t="s">
        <v>67</v>
      </c>
      <c r="E1681" t="s">
        <v>67</v>
      </c>
      <c r="F1681" t="s">
        <v>27987</v>
      </c>
      <c r="G1681" s="117">
        <v>30.7</v>
      </c>
    </row>
    <row r="1682" spans="1:7" x14ac:dyDescent="0.25">
      <c r="A1682" s="116" t="s">
        <v>2461</v>
      </c>
      <c r="B1682" s="117" t="s">
        <v>2462</v>
      </c>
      <c r="C1682" t="s">
        <v>67</v>
      </c>
      <c r="D1682" t="s">
        <v>67</v>
      </c>
      <c r="E1682" t="s">
        <v>67</v>
      </c>
      <c r="F1682" t="s">
        <v>27987</v>
      </c>
      <c r="G1682" s="117">
        <v>4.8899999999999997</v>
      </c>
    </row>
    <row r="1683" spans="1:7" x14ac:dyDescent="0.25">
      <c r="A1683" s="116" t="s">
        <v>2463</v>
      </c>
      <c r="B1683" s="117" t="s">
        <v>2464</v>
      </c>
      <c r="C1683" t="s">
        <v>67</v>
      </c>
      <c r="D1683" t="s">
        <v>67</v>
      </c>
      <c r="E1683" t="s">
        <v>67</v>
      </c>
      <c r="F1683" t="s">
        <v>27987</v>
      </c>
      <c r="G1683" s="117">
        <v>144.06</v>
      </c>
    </row>
    <row r="1684" spans="1:7" x14ac:dyDescent="0.25">
      <c r="A1684" s="116" t="s">
        <v>2465</v>
      </c>
      <c r="B1684" s="117" t="s">
        <v>1738</v>
      </c>
      <c r="C1684" t="s">
        <v>67</v>
      </c>
      <c r="D1684" t="s">
        <v>67</v>
      </c>
      <c r="E1684" t="s">
        <v>67</v>
      </c>
      <c r="F1684" t="s">
        <v>45</v>
      </c>
      <c r="G1684" s="117">
        <v>28.38</v>
      </c>
    </row>
    <row r="1685" spans="1:7" x14ac:dyDescent="0.25">
      <c r="A1685" s="116" t="s">
        <v>2466</v>
      </c>
      <c r="B1685" s="117" t="s">
        <v>2467</v>
      </c>
      <c r="C1685" t="s">
        <v>67</v>
      </c>
      <c r="D1685" t="s">
        <v>67</v>
      </c>
      <c r="E1685" t="s">
        <v>67</v>
      </c>
      <c r="F1685" t="s">
        <v>49</v>
      </c>
      <c r="G1685" s="117">
        <v>41.38</v>
      </c>
    </row>
    <row r="1686" spans="1:7" x14ac:dyDescent="0.25">
      <c r="A1686" s="116" t="s">
        <v>2468</v>
      </c>
      <c r="B1686" s="117" t="s">
        <v>2469</v>
      </c>
      <c r="C1686" t="s">
        <v>67</v>
      </c>
      <c r="D1686" t="s">
        <v>67</v>
      </c>
      <c r="E1686" t="s">
        <v>67</v>
      </c>
      <c r="F1686" t="s">
        <v>45</v>
      </c>
      <c r="G1686" s="117">
        <v>120.57</v>
      </c>
    </row>
    <row r="1687" spans="1:7" x14ac:dyDescent="0.25">
      <c r="A1687" s="116" t="s">
        <v>2470</v>
      </c>
      <c r="B1687" s="117" t="s">
        <v>2471</v>
      </c>
      <c r="C1687" t="s">
        <v>67</v>
      </c>
      <c r="D1687" t="s">
        <v>67</v>
      </c>
      <c r="E1687" t="s">
        <v>67</v>
      </c>
      <c r="F1687" t="s">
        <v>27987</v>
      </c>
      <c r="G1687" s="117">
        <v>4</v>
      </c>
    </row>
    <row r="1688" spans="1:7" x14ac:dyDescent="0.25">
      <c r="A1688" s="116" t="s">
        <v>2472</v>
      </c>
      <c r="B1688" s="117" t="s">
        <v>2473</v>
      </c>
      <c r="C1688" t="s">
        <v>67</v>
      </c>
      <c r="D1688" t="s">
        <v>67</v>
      </c>
      <c r="E1688" t="s">
        <v>67</v>
      </c>
      <c r="F1688" t="s">
        <v>45</v>
      </c>
      <c r="G1688" s="117">
        <v>71.099999999999994</v>
      </c>
    </row>
    <row r="1689" spans="1:7" x14ac:dyDescent="0.25">
      <c r="A1689" s="116" t="s">
        <v>2474</v>
      </c>
      <c r="B1689" s="117" t="s">
        <v>2475</v>
      </c>
      <c r="C1689" t="s">
        <v>67</v>
      </c>
      <c r="D1689" t="s">
        <v>67</v>
      </c>
      <c r="E1689" t="s">
        <v>67</v>
      </c>
      <c r="F1689" t="s">
        <v>45</v>
      </c>
      <c r="G1689" s="117">
        <v>81.77</v>
      </c>
    </row>
    <row r="1690" spans="1:7" x14ac:dyDescent="0.25">
      <c r="A1690" s="116" t="s">
        <v>2476</v>
      </c>
      <c r="B1690" s="117" t="s">
        <v>2477</v>
      </c>
      <c r="C1690" t="s">
        <v>67</v>
      </c>
      <c r="D1690" t="s">
        <v>67</v>
      </c>
      <c r="E1690" t="s">
        <v>67</v>
      </c>
      <c r="F1690" t="s">
        <v>45</v>
      </c>
      <c r="G1690" s="117">
        <v>69.319999999999993</v>
      </c>
    </row>
    <row r="1691" spans="1:7" x14ac:dyDescent="0.25">
      <c r="A1691" s="116" t="s">
        <v>2478</v>
      </c>
      <c r="B1691" s="117" t="s">
        <v>2479</v>
      </c>
      <c r="C1691" t="s">
        <v>67</v>
      </c>
      <c r="D1691" t="s">
        <v>67</v>
      </c>
      <c r="E1691" t="s">
        <v>67</v>
      </c>
      <c r="F1691" t="s">
        <v>45</v>
      </c>
      <c r="G1691" s="117">
        <v>83.2</v>
      </c>
    </row>
    <row r="1692" spans="1:7" x14ac:dyDescent="0.25">
      <c r="A1692" s="116" t="s">
        <v>2480</v>
      </c>
      <c r="B1692" s="117" t="s">
        <v>2481</v>
      </c>
      <c r="C1692" t="s">
        <v>67</v>
      </c>
      <c r="D1692" t="s">
        <v>67</v>
      </c>
      <c r="E1692" t="s">
        <v>67</v>
      </c>
      <c r="F1692" t="s">
        <v>45</v>
      </c>
      <c r="G1692" s="117">
        <v>44.05</v>
      </c>
    </row>
    <row r="1693" spans="1:7" x14ac:dyDescent="0.25">
      <c r="A1693" s="116" t="s">
        <v>2482</v>
      </c>
      <c r="B1693" s="117" t="s">
        <v>2483</v>
      </c>
      <c r="C1693" t="s">
        <v>67</v>
      </c>
      <c r="D1693" t="s">
        <v>67</v>
      </c>
      <c r="E1693" t="s">
        <v>67</v>
      </c>
      <c r="F1693" t="s">
        <v>45</v>
      </c>
      <c r="G1693" s="117">
        <v>118.26</v>
      </c>
    </row>
    <row r="1694" spans="1:7" x14ac:dyDescent="0.25">
      <c r="A1694" s="116" t="s">
        <v>2484</v>
      </c>
      <c r="B1694" s="117" t="s">
        <v>2485</v>
      </c>
      <c r="C1694" t="s">
        <v>67</v>
      </c>
      <c r="D1694" t="s">
        <v>67</v>
      </c>
      <c r="E1694" t="s">
        <v>67</v>
      </c>
      <c r="F1694" t="s">
        <v>45</v>
      </c>
      <c r="G1694" s="117">
        <v>82.67</v>
      </c>
    </row>
    <row r="1695" spans="1:7" x14ac:dyDescent="0.25">
      <c r="A1695" s="116" t="s">
        <v>2486</v>
      </c>
      <c r="B1695" s="117" t="s">
        <v>28443</v>
      </c>
      <c r="C1695" t="s">
        <v>67</v>
      </c>
      <c r="D1695" t="s">
        <v>67</v>
      </c>
      <c r="E1695" t="s">
        <v>67</v>
      </c>
      <c r="F1695" t="s">
        <v>27987</v>
      </c>
      <c r="G1695" s="117">
        <v>64.87</v>
      </c>
    </row>
    <row r="1696" spans="1:7" x14ac:dyDescent="0.25">
      <c r="A1696" s="116" t="s">
        <v>2487</v>
      </c>
      <c r="B1696" s="117" t="s">
        <v>2488</v>
      </c>
      <c r="C1696" t="s">
        <v>67</v>
      </c>
      <c r="D1696" t="s">
        <v>67</v>
      </c>
      <c r="E1696" t="s">
        <v>67</v>
      </c>
      <c r="F1696" t="s">
        <v>45</v>
      </c>
      <c r="G1696" s="117">
        <v>47.61</v>
      </c>
    </row>
    <row r="1697" spans="1:7" x14ac:dyDescent="0.25">
      <c r="A1697" s="116" t="s">
        <v>2489</v>
      </c>
      <c r="B1697" s="117" t="s">
        <v>2490</v>
      </c>
      <c r="C1697" t="s">
        <v>67</v>
      </c>
      <c r="D1697" t="s">
        <v>67</v>
      </c>
      <c r="E1697" t="s">
        <v>67</v>
      </c>
      <c r="F1697" t="s">
        <v>27987</v>
      </c>
      <c r="G1697" s="117">
        <v>41.38</v>
      </c>
    </row>
    <row r="1698" spans="1:7" x14ac:dyDescent="0.25">
      <c r="A1698" s="116" t="s">
        <v>2491</v>
      </c>
      <c r="B1698" s="117" t="s">
        <v>2492</v>
      </c>
      <c r="C1698" t="s">
        <v>67</v>
      </c>
      <c r="D1698" t="s">
        <v>67</v>
      </c>
      <c r="E1698" t="s">
        <v>67</v>
      </c>
      <c r="F1698" t="s">
        <v>27987</v>
      </c>
      <c r="G1698" s="117">
        <v>15.57</v>
      </c>
    </row>
    <row r="1699" spans="1:7" x14ac:dyDescent="0.25">
      <c r="A1699" s="116" t="s">
        <v>2493</v>
      </c>
      <c r="B1699" s="117" t="s">
        <v>2494</v>
      </c>
      <c r="C1699" t="s">
        <v>67</v>
      </c>
      <c r="D1699" t="s">
        <v>67</v>
      </c>
      <c r="E1699" t="s">
        <v>67</v>
      </c>
      <c r="F1699" t="s">
        <v>27987</v>
      </c>
      <c r="G1699" s="117">
        <v>33.369999999999997</v>
      </c>
    </row>
    <row r="1700" spans="1:7" x14ac:dyDescent="0.25">
      <c r="A1700" s="116" t="s">
        <v>2495</v>
      </c>
      <c r="B1700" s="117" t="s">
        <v>28444</v>
      </c>
      <c r="C1700" t="s">
        <v>67</v>
      </c>
      <c r="D1700" t="s">
        <v>67</v>
      </c>
      <c r="E1700" t="s">
        <v>67</v>
      </c>
      <c r="F1700" t="s">
        <v>27987</v>
      </c>
      <c r="G1700" s="117">
        <v>94.76</v>
      </c>
    </row>
    <row r="1701" spans="1:7" x14ac:dyDescent="0.25">
      <c r="A1701" s="116" t="s">
        <v>2496</v>
      </c>
      <c r="B1701" s="117" t="s">
        <v>2497</v>
      </c>
      <c r="C1701" t="s">
        <v>67</v>
      </c>
      <c r="D1701" t="s">
        <v>67</v>
      </c>
      <c r="E1701" t="s">
        <v>67</v>
      </c>
      <c r="F1701" t="s">
        <v>27987</v>
      </c>
      <c r="G1701" s="117">
        <v>225.57</v>
      </c>
    </row>
    <row r="1702" spans="1:7" x14ac:dyDescent="0.25">
      <c r="A1702" s="116" t="s">
        <v>2498</v>
      </c>
      <c r="B1702" s="117" t="s">
        <v>2499</v>
      </c>
      <c r="C1702" t="s">
        <v>67</v>
      </c>
      <c r="D1702" t="s">
        <v>67</v>
      </c>
      <c r="E1702" t="s">
        <v>67</v>
      </c>
      <c r="F1702" t="s">
        <v>27987</v>
      </c>
      <c r="G1702" s="117">
        <v>13.26</v>
      </c>
    </row>
    <row r="1703" spans="1:7" x14ac:dyDescent="0.25">
      <c r="A1703" s="116" t="s">
        <v>2500</v>
      </c>
      <c r="B1703" s="117" t="s">
        <v>2501</v>
      </c>
      <c r="C1703" t="s">
        <v>67</v>
      </c>
      <c r="D1703" t="s">
        <v>67</v>
      </c>
      <c r="E1703" t="s">
        <v>67</v>
      </c>
      <c r="F1703" t="s">
        <v>45</v>
      </c>
      <c r="G1703" s="117">
        <v>139.26</v>
      </c>
    </row>
    <row r="1704" spans="1:7" x14ac:dyDescent="0.25">
      <c r="A1704" s="116" t="s">
        <v>2502</v>
      </c>
      <c r="B1704" s="117" t="s">
        <v>2503</v>
      </c>
      <c r="C1704" t="s">
        <v>67</v>
      </c>
      <c r="D1704" t="s">
        <v>67</v>
      </c>
      <c r="E1704" t="s">
        <v>67</v>
      </c>
      <c r="F1704" t="s">
        <v>45</v>
      </c>
      <c r="G1704" s="117">
        <v>133.91999999999999</v>
      </c>
    </row>
    <row r="1705" spans="1:7" x14ac:dyDescent="0.25">
      <c r="A1705" s="116" t="s">
        <v>2504</v>
      </c>
      <c r="B1705" s="117" t="s">
        <v>2505</v>
      </c>
      <c r="C1705" t="s">
        <v>67</v>
      </c>
      <c r="D1705" t="s">
        <v>67</v>
      </c>
      <c r="E1705" t="s">
        <v>67</v>
      </c>
      <c r="F1705" t="s">
        <v>45</v>
      </c>
      <c r="G1705" s="117">
        <v>47.61</v>
      </c>
    </row>
    <row r="1706" spans="1:7" x14ac:dyDescent="0.25">
      <c r="A1706" s="116" t="s">
        <v>2506</v>
      </c>
      <c r="B1706" s="117" t="s">
        <v>2507</v>
      </c>
      <c r="C1706" t="s">
        <v>67</v>
      </c>
      <c r="D1706" t="s">
        <v>67</v>
      </c>
      <c r="E1706" t="s">
        <v>67</v>
      </c>
      <c r="F1706" t="s">
        <v>27987</v>
      </c>
      <c r="G1706" s="117">
        <v>24.82</v>
      </c>
    </row>
    <row r="1707" spans="1:7" x14ac:dyDescent="0.25">
      <c r="A1707" s="116" t="s">
        <v>2508</v>
      </c>
      <c r="B1707" s="117" t="s">
        <v>2509</v>
      </c>
      <c r="C1707" t="s">
        <v>67</v>
      </c>
      <c r="D1707" t="s">
        <v>67</v>
      </c>
      <c r="E1707" t="s">
        <v>67</v>
      </c>
      <c r="F1707" t="s">
        <v>27987</v>
      </c>
      <c r="G1707" s="117">
        <v>67.540000000000006</v>
      </c>
    </row>
    <row r="1708" spans="1:7" x14ac:dyDescent="0.25">
      <c r="A1708" s="116" t="s">
        <v>2510</v>
      </c>
      <c r="B1708" s="117" t="s">
        <v>2511</v>
      </c>
      <c r="C1708" t="s">
        <v>67</v>
      </c>
      <c r="D1708" t="s">
        <v>67</v>
      </c>
      <c r="E1708" t="s">
        <v>67</v>
      </c>
      <c r="F1708" t="s">
        <v>45</v>
      </c>
      <c r="G1708" s="117">
        <v>153.5</v>
      </c>
    </row>
    <row r="1709" spans="1:7" x14ac:dyDescent="0.25">
      <c r="A1709" s="116" t="s">
        <v>2512</v>
      </c>
      <c r="B1709" s="117" t="s">
        <v>2513</v>
      </c>
      <c r="C1709" t="s">
        <v>67</v>
      </c>
      <c r="D1709" t="s">
        <v>67</v>
      </c>
      <c r="E1709" t="s">
        <v>67</v>
      </c>
      <c r="F1709" t="s">
        <v>27987</v>
      </c>
      <c r="G1709" s="117">
        <v>49.74</v>
      </c>
    </row>
    <row r="1710" spans="1:7" x14ac:dyDescent="0.25">
      <c r="A1710" s="116" t="s">
        <v>2514</v>
      </c>
      <c r="B1710" s="117" t="s">
        <v>2515</v>
      </c>
      <c r="C1710" t="s">
        <v>67</v>
      </c>
      <c r="D1710" t="s">
        <v>67</v>
      </c>
      <c r="E1710" t="s">
        <v>67</v>
      </c>
      <c r="F1710" t="s">
        <v>45</v>
      </c>
      <c r="G1710" s="117">
        <v>8.4499999999999993</v>
      </c>
    </row>
    <row r="1711" spans="1:7" x14ac:dyDescent="0.25">
      <c r="A1711" s="116" t="s">
        <v>2516</v>
      </c>
      <c r="B1711" s="117" t="s">
        <v>2517</v>
      </c>
      <c r="C1711" t="s">
        <v>67</v>
      </c>
      <c r="D1711" t="s">
        <v>67</v>
      </c>
      <c r="E1711" t="s">
        <v>67</v>
      </c>
      <c r="F1711" t="s">
        <v>45</v>
      </c>
      <c r="G1711" s="117">
        <v>47.61</v>
      </c>
    </row>
    <row r="1712" spans="1:7" x14ac:dyDescent="0.25">
      <c r="A1712" s="116" t="s">
        <v>2518</v>
      </c>
      <c r="B1712" s="117" t="s">
        <v>2519</v>
      </c>
      <c r="C1712" t="s">
        <v>67</v>
      </c>
      <c r="D1712" t="s">
        <v>67</v>
      </c>
      <c r="E1712" t="s">
        <v>67</v>
      </c>
      <c r="F1712" t="s">
        <v>27987</v>
      </c>
      <c r="G1712" s="117">
        <v>534.35</v>
      </c>
    </row>
    <row r="1713" spans="1:7" x14ac:dyDescent="0.25">
      <c r="A1713" s="116" t="s">
        <v>2520</v>
      </c>
      <c r="B1713" s="117" t="s">
        <v>2521</v>
      </c>
      <c r="C1713" t="s">
        <v>67</v>
      </c>
      <c r="D1713" t="s">
        <v>67</v>
      </c>
      <c r="E1713" t="s">
        <v>67</v>
      </c>
      <c r="F1713" t="s">
        <v>45</v>
      </c>
      <c r="G1713" s="117">
        <v>92.1</v>
      </c>
    </row>
    <row r="1714" spans="1:7" x14ac:dyDescent="0.25">
      <c r="A1714" s="116" t="s">
        <v>2522</v>
      </c>
      <c r="B1714" s="117" t="s">
        <v>2523</v>
      </c>
      <c r="C1714" t="s">
        <v>67</v>
      </c>
      <c r="D1714" t="s">
        <v>67</v>
      </c>
      <c r="E1714" t="s">
        <v>67</v>
      </c>
      <c r="F1714" t="s">
        <v>45</v>
      </c>
      <c r="G1714" s="117">
        <v>60.42</v>
      </c>
    </row>
    <row r="1715" spans="1:7" x14ac:dyDescent="0.25">
      <c r="A1715" s="116" t="s">
        <v>2524</v>
      </c>
      <c r="B1715" s="117" t="s">
        <v>876</v>
      </c>
      <c r="C1715" t="s">
        <v>67</v>
      </c>
      <c r="D1715" t="s">
        <v>67</v>
      </c>
      <c r="E1715" t="s">
        <v>67</v>
      </c>
      <c r="F1715" t="s">
        <v>45</v>
      </c>
      <c r="G1715" s="117">
        <v>59.18</v>
      </c>
    </row>
    <row r="1716" spans="1:7" x14ac:dyDescent="0.25">
      <c r="A1716" s="116" t="s">
        <v>2525</v>
      </c>
      <c r="B1716" s="117" t="s">
        <v>2526</v>
      </c>
      <c r="C1716" t="s">
        <v>67</v>
      </c>
      <c r="D1716" t="s">
        <v>67</v>
      </c>
      <c r="E1716" t="s">
        <v>67</v>
      </c>
      <c r="F1716" t="s">
        <v>45</v>
      </c>
      <c r="G1716" s="117">
        <v>70.739999999999995</v>
      </c>
    </row>
    <row r="1717" spans="1:7" x14ac:dyDescent="0.25">
      <c r="A1717" s="116" t="s">
        <v>2527</v>
      </c>
      <c r="B1717" s="117" t="s">
        <v>2528</v>
      </c>
      <c r="C1717" t="s">
        <v>67</v>
      </c>
      <c r="D1717" t="s">
        <v>67</v>
      </c>
      <c r="E1717" t="s">
        <v>67</v>
      </c>
      <c r="F1717" t="s">
        <v>45</v>
      </c>
      <c r="G1717" s="117">
        <v>264.73</v>
      </c>
    </row>
    <row r="1718" spans="1:7" x14ac:dyDescent="0.25">
      <c r="A1718" s="116" t="s">
        <v>2529</v>
      </c>
      <c r="B1718" s="117" t="s">
        <v>2530</v>
      </c>
      <c r="C1718" t="s">
        <v>67</v>
      </c>
      <c r="D1718" t="s">
        <v>67</v>
      </c>
      <c r="E1718" t="s">
        <v>67</v>
      </c>
      <c r="F1718" t="s">
        <v>45</v>
      </c>
      <c r="G1718" s="117">
        <v>194.43</v>
      </c>
    </row>
    <row r="1719" spans="1:7" x14ac:dyDescent="0.25">
      <c r="A1719" s="116" t="s">
        <v>2531</v>
      </c>
      <c r="B1719" s="117" t="s">
        <v>2532</v>
      </c>
      <c r="C1719" t="s">
        <v>67</v>
      </c>
      <c r="D1719" t="s">
        <v>67</v>
      </c>
      <c r="E1719" t="s">
        <v>67</v>
      </c>
      <c r="F1719" t="s">
        <v>45</v>
      </c>
      <c r="G1719" s="117">
        <v>77.319999999999993</v>
      </c>
    </row>
    <row r="1720" spans="1:7" x14ac:dyDescent="0.25">
      <c r="A1720" s="116" t="s">
        <v>2533</v>
      </c>
      <c r="B1720" s="117" t="s">
        <v>2534</v>
      </c>
      <c r="C1720" t="s">
        <v>67</v>
      </c>
      <c r="D1720" t="s">
        <v>67</v>
      </c>
      <c r="E1720" t="s">
        <v>67</v>
      </c>
      <c r="F1720" t="s">
        <v>45</v>
      </c>
      <c r="G1720" s="117">
        <v>218.81</v>
      </c>
    </row>
    <row r="1721" spans="1:7" x14ac:dyDescent="0.25">
      <c r="A1721" s="116" t="s">
        <v>2535</v>
      </c>
      <c r="B1721" s="117" t="s">
        <v>2536</v>
      </c>
      <c r="C1721" t="s">
        <v>67</v>
      </c>
      <c r="D1721" t="s">
        <v>67</v>
      </c>
      <c r="E1721" t="s">
        <v>67</v>
      </c>
      <c r="F1721" t="s">
        <v>45</v>
      </c>
      <c r="G1721" s="117">
        <v>51.17</v>
      </c>
    </row>
    <row r="1722" spans="1:7" x14ac:dyDescent="0.25">
      <c r="A1722" s="116" t="s">
        <v>2537</v>
      </c>
      <c r="B1722" s="117" t="s">
        <v>2538</v>
      </c>
      <c r="C1722" t="s">
        <v>67</v>
      </c>
      <c r="D1722" t="s">
        <v>67</v>
      </c>
      <c r="E1722" t="s">
        <v>67</v>
      </c>
      <c r="F1722" t="s">
        <v>27987</v>
      </c>
      <c r="G1722" s="117">
        <v>113.45</v>
      </c>
    </row>
    <row r="1723" spans="1:7" x14ac:dyDescent="0.25">
      <c r="A1723" s="116" t="s">
        <v>2539</v>
      </c>
      <c r="B1723" s="117" t="s">
        <v>2540</v>
      </c>
      <c r="C1723" t="s">
        <v>67</v>
      </c>
      <c r="D1723" t="s">
        <v>67</v>
      </c>
      <c r="E1723" t="s">
        <v>67</v>
      </c>
      <c r="F1723" t="s">
        <v>27987</v>
      </c>
      <c r="G1723" s="117">
        <v>51.17</v>
      </c>
    </row>
    <row r="1724" spans="1:7" x14ac:dyDescent="0.25">
      <c r="A1724" s="116" t="s">
        <v>2541</v>
      </c>
      <c r="B1724" s="117" t="s">
        <v>2542</v>
      </c>
      <c r="C1724" t="s">
        <v>67</v>
      </c>
      <c r="D1724" t="s">
        <v>67</v>
      </c>
      <c r="E1724" t="s">
        <v>67</v>
      </c>
      <c r="F1724" t="s">
        <v>45</v>
      </c>
      <c r="G1724" s="117">
        <v>49.74</v>
      </c>
    </row>
    <row r="1725" spans="1:7" x14ac:dyDescent="0.25">
      <c r="A1725" s="116" t="s">
        <v>2543</v>
      </c>
      <c r="B1725" s="117" t="s">
        <v>2544</v>
      </c>
      <c r="C1725" t="s">
        <v>67</v>
      </c>
      <c r="D1725" t="s">
        <v>67</v>
      </c>
      <c r="E1725" t="s">
        <v>67</v>
      </c>
      <c r="F1725" t="s">
        <v>45</v>
      </c>
      <c r="G1725" s="117">
        <v>16.82</v>
      </c>
    </row>
    <row r="1726" spans="1:7" x14ac:dyDescent="0.25">
      <c r="A1726" s="116" t="s">
        <v>2545</v>
      </c>
      <c r="B1726" s="117" t="s">
        <v>2546</v>
      </c>
      <c r="C1726" t="s">
        <v>67</v>
      </c>
      <c r="D1726" t="s">
        <v>67</v>
      </c>
      <c r="E1726" t="s">
        <v>67</v>
      </c>
      <c r="F1726" t="s">
        <v>27987</v>
      </c>
      <c r="G1726" s="117">
        <v>37.29</v>
      </c>
    </row>
    <row r="1727" spans="1:7" x14ac:dyDescent="0.25">
      <c r="A1727" s="116" t="s">
        <v>2547</v>
      </c>
      <c r="B1727" s="117" t="s">
        <v>28445</v>
      </c>
      <c r="C1727" t="s">
        <v>67</v>
      </c>
      <c r="D1727" t="s">
        <v>67</v>
      </c>
      <c r="E1727" t="s">
        <v>67</v>
      </c>
      <c r="F1727" t="s">
        <v>27987</v>
      </c>
      <c r="G1727" s="117">
        <v>52.06</v>
      </c>
    </row>
    <row r="1728" spans="1:7" x14ac:dyDescent="0.25">
      <c r="A1728" s="116" t="s">
        <v>2548</v>
      </c>
      <c r="B1728" s="117" t="s">
        <v>2549</v>
      </c>
      <c r="C1728" t="s">
        <v>67</v>
      </c>
      <c r="D1728" t="s">
        <v>67</v>
      </c>
      <c r="E1728" t="s">
        <v>67</v>
      </c>
      <c r="F1728" t="s">
        <v>27987</v>
      </c>
      <c r="G1728" s="117">
        <v>75.55</v>
      </c>
    </row>
    <row r="1729" spans="1:7" x14ac:dyDescent="0.25">
      <c r="A1729" s="116" t="s">
        <v>2550</v>
      </c>
      <c r="B1729" s="117" t="s">
        <v>2551</v>
      </c>
      <c r="C1729" t="s">
        <v>67</v>
      </c>
      <c r="D1729" t="s">
        <v>67</v>
      </c>
      <c r="E1729" t="s">
        <v>67</v>
      </c>
      <c r="F1729" t="s">
        <v>27987</v>
      </c>
      <c r="G1729" s="117">
        <v>24.82</v>
      </c>
    </row>
    <row r="1730" spans="1:7" x14ac:dyDescent="0.25">
      <c r="A1730" s="116" t="s">
        <v>2552</v>
      </c>
      <c r="B1730" s="117" t="s">
        <v>2553</v>
      </c>
      <c r="C1730" t="s">
        <v>67</v>
      </c>
      <c r="D1730" t="s">
        <v>67</v>
      </c>
      <c r="E1730" t="s">
        <v>67</v>
      </c>
      <c r="F1730" t="s">
        <v>27987</v>
      </c>
      <c r="G1730" s="117">
        <v>378.98</v>
      </c>
    </row>
    <row r="1731" spans="1:7" x14ac:dyDescent="0.25">
      <c r="A1731" s="116" t="s">
        <v>2554</v>
      </c>
      <c r="B1731" s="117" t="s">
        <v>2555</v>
      </c>
      <c r="C1731" t="s">
        <v>67</v>
      </c>
      <c r="D1731" t="s">
        <v>67</v>
      </c>
      <c r="E1731" t="s">
        <v>67</v>
      </c>
      <c r="F1731" t="s">
        <v>27987</v>
      </c>
      <c r="G1731" s="117">
        <v>338.58</v>
      </c>
    </row>
    <row r="1732" spans="1:7" x14ac:dyDescent="0.25">
      <c r="A1732" s="116" t="s">
        <v>2556</v>
      </c>
      <c r="B1732" s="117" t="s">
        <v>2557</v>
      </c>
      <c r="C1732" t="s">
        <v>67</v>
      </c>
      <c r="D1732" t="s">
        <v>67</v>
      </c>
      <c r="E1732" t="s">
        <v>67</v>
      </c>
      <c r="F1732" t="s">
        <v>27987</v>
      </c>
      <c r="G1732" s="117">
        <v>66.3</v>
      </c>
    </row>
    <row r="1733" spans="1:7" x14ac:dyDescent="0.25">
      <c r="A1733" s="116" t="s">
        <v>2558</v>
      </c>
      <c r="B1733" s="117" t="s">
        <v>2559</v>
      </c>
      <c r="C1733" t="s">
        <v>67</v>
      </c>
      <c r="D1733" t="s">
        <v>67</v>
      </c>
      <c r="E1733" t="s">
        <v>67</v>
      </c>
      <c r="F1733" t="s">
        <v>45</v>
      </c>
      <c r="G1733" s="117">
        <v>84.44</v>
      </c>
    </row>
    <row r="1734" spans="1:7" x14ac:dyDescent="0.25">
      <c r="A1734" s="116" t="s">
        <v>2560</v>
      </c>
      <c r="B1734" s="117" t="s">
        <v>2561</v>
      </c>
      <c r="C1734" t="s">
        <v>67</v>
      </c>
      <c r="D1734" t="s">
        <v>67</v>
      </c>
      <c r="E1734" t="s">
        <v>67</v>
      </c>
      <c r="F1734" t="s">
        <v>45</v>
      </c>
      <c r="G1734" s="117">
        <v>53.3</v>
      </c>
    </row>
    <row r="1735" spans="1:7" x14ac:dyDescent="0.25">
      <c r="A1735" s="116" t="s">
        <v>2562</v>
      </c>
      <c r="B1735" s="117" t="s">
        <v>2563</v>
      </c>
      <c r="C1735" t="s">
        <v>67</v>
      </c>
      <c r="D1735" t="s">
        <v>67</v>
      </c>
      <c r="E1735" t="s">
        <v>67</v>
      </c>
      <c r="F1735" t="s">
        <v>45</v>
      </c>
      <c r="G1735" s="117">
        <v>15.04</v>
      </c>
    </row>
    <row r="1736" spans="1:7" x14ac:dyDescent="0.25">
      <c r="A1736" s="116" t="s">
        <v>2564</v>
      </c>
      <c r="B1736" s="117" t="s">
        <v>465</v>
      </c>
      <c r="C1736" t="s">
        <v>67</v>
      </c>
      <c r="D1736" t="s">
        <v>67</v>
      </c>
      <c r="E1736" t="s">
        <v>67</v>
      </c>
      <c r="F1736" t="s">
        <v>27987</v>
      </c>
      <c r="G1736" s="117">
        <v>147.62</v>
      </c>
    </row>
    <row r="1737" spans="1:7" x14ac:dyDescent="0.25">
      <c r="A1737" s="116" t="s">
        <v>2565</v>
      </c>
      <c r="B1737" s="117" t="s">
        <v>2566</v>
      </c>
      <c r="C1737" t="s">
        <v>67</v>
      </c>
      <c r="D1737" t="s">
        <v>67</v>
      </c>
      <c r="E1737" t="s">
        <v>67</v>
      </c>
      <c r="F1737" t="s">
        <v>27987</v>
      </c>
      <c r="G1737" s="117">
        <v>33.369999999999997</v>
      </c>
    </row>
    <row r="1738" spans="1:7" x14ac:dyDescent="0.25">
      <c r="A1738" s="116" t="s">
        <v>2567</v>
      </c>
      <c r="B1738" s="117" t="s">
        <v>2568</v>
      </c>
      <c r="C1738" t="s">
        <v>67</v>
      </c>
      <c r="D1738" t="s">
        <v>67</v>
      </c>
      <c r="E1738" t="s">
        <v>67</v>
      </c>
      <c r="F1738" t="s">
        <v>27987</v>
      </c>
      <c r="G1738" s="117">
        <v>6.14</v>
      </c>
    </row>
    <row r="1739" spans="1:7" x14ac:dyDescent="0.25">
      <c r="A1739" s="116" t="s">
        <v>2569</v>
      </c>
      <c r="B1739" s="117" t="s">
        <v>2570</v>
      </c>
      <c r="C1739" t="s">
        <v>67</v>
      </c>
      <c r="D1739" t="s">
        <v>67</v>
      </c>
      <c r="E1739" t="s">
        <v>67</v>
      </c>
      <c r="F1739" t="s">
        <v>45</v>
      </c>
      <c r="G1739" s="117">
        <v>22.69</v>
      </c>
    </row>
    <row r="1740" spans="1:7" x14ac:dyDescent="0.25">
      <c r="A1740" s="116" t="s">
        <v>2571</v>
      </c>
      <c r="B1740" s="117" t="s">
        <v>2572</v>
      </c>
      <c r="C1740" t="s">
        <v>67</v>
      </c>
      <c r="D1740" t="s">
        <v>67</v>
      </c>
      <c r="E1740" t="s">
        <v>67</v>
      </c>
      <c r="F1740" t="s">
        <v>45</v>
      </c>
      <c r="G1740" s="117">
        <v>77.86</v>
      </c>
    </row>
    <row r="1741" spans="1:7" x14ac:dyDescent="0.25">
      <c r="A1741" s="116" t="s">
        <v>2573</v>
      </c>
      <c r="B1741" s="117" t="s">
        <v>2574</v>
      </c>
      <c r="C1741" t="s">
        <v>67</v>
      </c>
      <c r="D1741" t="s">
        <v>67</v>
      </c>
      <c r="E1741" t="s">
        <v>67</v>
      </c>
      <c r="F1741" t="s">
        <v>45</v>
      </c>
      <c r="G1741" s="117">
        <v>317.58</v>
      </c>
    </row>
    <row r="1742" spans="1:7" x14ac:dyDescent="0.25">
      <c r="A1742" s="116" t="s">
        <v>2575</v>
      </c>
      <c r="B1742" s="117" t="s">
        <v>2576</v>
      </c>
      <c r="C1742" t="s">
        <v>67</v>
      </c>
      <c r="D1742" t="s">
        <v>67</v>
      </c>
      <c r="E1742" t="s">
        <v>67</v>
      </c>
      <c r="F1742" t="s">
        <v>27987</v>
      </c>
      <c r="G1742" s="117">
        <v>314.02</v>
      </c>
    </row>
    <row r="1743" spans="1:7" x14ac:dyDescent="0.25">
      <c r="A1743" s="116" t="s">
        <v>2577</v>
      </c>
      <c r="B1743" s="117" t="s">
        <v>2578</v>
      </c>
      <c r="C1743" t="s">
        <v>67</v>
      </c>
      <c r="D1743" t="s">
        <v>67</v>
      </c>
      <c r="E1743" t="s">
        <v>67</v>
      </c>
      <c r="F1743" t="s">
        <v>45</v>
      </c>
      <c r="G1743" s="117">
        <v>91.2</v>
      </c>
    </row>
    <row r="1744" spans="1:7" x14ac:dyDescent="0.25">
      <c r="A1744" s="116" t="s">
        <v>2579</v>
      </c>
      <c r="B1744" s="117" t="s">
        <v>2580</v>
      </c>
      <c r="C1744" t="s">
        <v>67</v>
      </c>
      <c r="D1744" t="s">
        <v>67</v>
      </c>
      <c r="E1744" t="s">
        <v>67</v>
      </c>
      <c r="F1744" t="s">
        <v>45</v>
      </c>
      <c r="G1744" s="117">
        <v>91.2</v>
      </c>
    </row>
    <row r="1745" spans="1:7" x14ac:dyDescent="0.25">
      <c r="A1745" s="116" t="s">
        <v>2581</v>
      </c>
      <c r="B1745" s="117" t="s">
        <v>2582</v>
      </c>
      <c r="C1745" t="s">
        <v>67</v>
      </c>
      <c r="D1745" t="s">
        <v>67</v>
      </c>
      <c r="E1745" t="s">
        <v>67</v>
      </c>
      <c r="F1745" t="s">
        <v>27987</v>
      </c>
      <c r="G1745" s="117">
        <v>589.87</v>
      </c>
    </row>
    <row r="1746" spans="1:7" x14ac:dyDescent="0.25">
      <c r="A1746" s="116" t="s">
        <v>2583</v>
      </c>
      <c r="B1746" s="117" t="s">
        <v>2584</v>
      </c>
      <c r="C1746" t="s">
        <v>67</v>
      </c>
      <c r="D1746" t="s">
        <v>67</v>
      </c>
      <c r="E1746" t="s">
        <v>67</v>
      </c>
      <c r="F1746" t="s">
        <v>27987</v>
      </c>
      <c r="G1746" s="117">
        <v>3.12</v>
      </c>
    </row>
    <row r="1747" spans="1:7" x14ac:dyDescent="0.25">
      <c r="A1747" s="116" t="s">
        <v>2585</v>
      </c>
      <c r="B1747" s="117" t="s">
        <v>2586</v>
      </c>
      <c r="C1747" t="s">
        <v>67</v>
      </c>
      <c r="D1747" t="s">
        <v>67</v>
      </c>
      <c r="E1747" t="s">
        <v>67</v>
      </c>
      <c r="F1747" t="s">
        <v>45</v>
      </c>
      <c r="G1747" s="117">
        <v>6.14</v>
      </c>
    </row>
    <row r="1748" spans="1:7" x14ac:dyDescent="0.25">
      <c r="A1748" s="116" t="s">
        <v>2587</v>
      </c>
      <c r="B1748" s="117" t="s">
        <v>2588</v>
      </c>
      <c r="C1748" t="s">
        <v>67</v>
      </c>
      <c r="D1748" t="s">
        <v>67</v>
      </c>
      <c r="E1748" t="s">
        <v>67</v>
      </c>
      <c r="F1748" t="s">
        <v>27987</v>
      </c>
      <c r="G1748" s="117">
        <v>39.06</v>
      </c>
    </row>
    <row r="1749" spans="1:7" x14ac:dyDescent="0.25">
      <c r="A1749" s="116" t="s">
        <v>2589</v>
      </c>
      <c r="B1749" s="117" t="s">
        <v>2590</v>
      </c>
      <c r="C1749" t="s">
        <v>67</v>
      </c>
      <c r="D1749" t="s">
        <v>67</v>
      </c>
      <c r="E1749" t="s">
        <v>67</v>
      </c>
      <c r="F1749" t="s">
        <v>27987</v>
      </c>
      <c r="G1749" s="117">
        <v>36.93</v>
      </c>
    </row>
    <row r="1750" spans="1:7" x14ac:dyDescent="0.25">
      <c r="A1750" s="116" t="s">
        <v>2591</v>
      </c>
      <c r="B1750" s="117" t="s">
        <v>2592</v>
      </c>
      <c r="C1750" t="s">
        <v>67</v>
      </c>
      <c r="D1750" t="s">
        <v>67</v>
      </c>
      <c r="E1750" t="s">
        <v>67</v>
      </c>
      <c r="F1750" t="s">
        <v>45</v>
      </c>
      <c r="G1750" s="117">
        <v>102.77</v>
      </c>
    </row>
    <row r="1751" spans="1:7" x14ac:dyDescent="0.25">
      <c r="A1751" s="116" t="s">
        <v>2593</v>
      </c>
      <c r="B1751" s="117" t="s">
        <v>2594</v>
      </c>
      <c r="C1751" t="s">
        <v>67</v>
      </c>
      <c r="D1751" t="s">
        <v>67</v>
      </c>
      <c r="E1751" t="s">
        <v>67</v>
      </c>
      <c r="F1751" t="s">
        <v>45</v>
      </c>
      <c r="G1751" s="117">
        <v>113.45</v>
      </c>
    </row>
    <row r="1752" spans="1:7" x14ac:dyDescent="0.25">
      <c r="A1752" s="116" t="s">
        <v>2595</v>
      </c>
      <c r="B1752" s="117" t="s">
        <v>2596</v>
      </c>
      <c r="C1752" t="s">
        <v>67</v>
      </c>
      <c r="D1752" t="s">
        <v>67</v>
      </c>
      <c r="E1752" t="s">
        <v>67</v>
      </c>
      <c r="F1752" t="s">
        <v>45</v>
      </c>
      <c r="G1752" s="117">
        <v>11.57</v>
      </c>
    </row>
    <row r="1753" spans="1:7" x14ac:dyDescent="0.25">
      <c r="A1753" s="116" t="s">
        <v>2597</v>
      </c>
      <c r="B1753" s="117" t="s">
        <v>2598</v>
      </c>
      <c r="C1753" t="s">
        <v>67</v>
      </c>
      <c r="D1753" t="s">
        <v>67</v>
      </c>
      <c r="E1753" t="s">
        <v>67</v>
      </c>
      <c r="F1753" t="s">
        <v>27987</v>
      </c>
      <c r="G1753" s="117">
        <v>56.86</v>
      </c>
    </row>
    <row r="1754" spans="1:7" x14ac:dyDescent="0.25">
      <c r="A1754" s="116" t="s">
        <v>2599</v>
      </c>
      <c r="B1754" s="117" t="s">
        <v>2600</v>
      </c>
      <c r="C1754" t="s">
        <v>67</v>
      </c>
      <c r="D1754" t="s">
        <v>67</v>
      </c>
      <c r="E1754" t="s">
        <v>67</v>
      </c>
      <c r="F1754" t="s">
        <v>45</v>
      </c>
      <c r="G1754" s="117">
        <v>141.93</v>
      </c>
    </row>
    <row r="1755" spans="1:7" x14ac:dyDescent="0.25">
      <c r="A1755" s="116" t="s">
        <v>2601</v>
      </c>
      <c r="B1755" s="117" t="s">
        <v>2602</v>
      </c>
      <c r="C1755" t="s">
        <v>67</v>
      </c>
      <c r="D1755" t="s">
        <v>67</v>
      </c>
      <c r="E1755" t="s">
        <v>67</v>
      </c>
      <c r="F1755" t="s">
        <v>27987</v>
      </c>
      <c r="G1755" s="117">
        <v>68.430000000000007</v>
      </c>
    </row>
    <row r="1756" spans="1:7" x14ac:dyDescent="0.25">
      <c r="A1756" s="116" t="s">
        <v>2603</v>
      </c>
      <c r="B1756" s="117" t="s">
        <v>2604</v>
      </c>
      <c r="C1756" t="s">
        <v>67</v>
      </c>
      <c r="D1756" t="s">
        <v>67</v>
      </c>
      <c r="E1756" t="s">
        <v>67</v>
      </c>
      <c r="F1756" t="s">
        <v>27987</v>
      </c>
      <c r="G1756" s="117">
        <v>18.239999999999998</v>
      </c>
    </row>
    <row r="1757" spans="1:7" x14ac:dyDescent="0.25">
      <c r="A1757" s="116" t="s">
        <v>2605</v>
      </c>
      <c r="B1757" s="117" t="s">
        <v>2606</v>
      </c>
      <c r="C1757" t="s">
        <v>67</v>
      </c>
      <c r="D1757" t="s">
        <v>67</v>
      </c>
      <c r="E1757" t="s">
        <v>67</v>
      </c>
      <c r="F1757" t="s">
        <v>27987</v>
      </c>
      <c r="G1757" s="117">
        <v>43.51</v>
      </c>
    </row>
    <row r="1758" spans="1:7" x14ac:dyDescent="0.25">
      <c r="A1758" s="116" t="s">
        <v>2607</v>
      </c>
      <c r="B1758" s="117" t="s">
        <v>2608</v>
      </c>
      <c r="C1758" t="s">
        <v>67</v>
      </c>
      <c r="D1758" t="s">
        <v>67</v>
      </c>
      <c r="E1758" t="s">
        <v>67</v>
      </c>
      <c r="F1758" t="s">
        <v>45</v>
      </c>
      <c r="G1758" s="117">
        <v>604.11</v>
      </c>
    </row>
    <row r="1759" spans="1:7" x14ac:dyDescent="0.25">
      <c r="A1759" s="116" t="s">
        <v>2609</v>
      </c>
      <c r="B1759" s="117" t="s">
        <v>2610</v>
      </c>
      <c r="C1759" t="s">
        <v>67</v>
      </c>
      <c r="D1759" t="s">
        <v>67</v>
      </c>
      <c r="E1759" t="s">
        <v>67</v>
      </c>
      <c r="F1759" t="s">
        <v>45</v>
      </c>
      <c r="G1759" s="117">
        <v>42.62</v>
      </c>
    </row>
    <row r="1760" spans="1:7" x14ac:dyDescent="0.25">
      <c r="A1760" s="116" t="s">
        <v>2611</v>
      </c>
      <c r="B1760" s="117" t="s">
        <v>2612</v>
      </c>
      <c r="C1760" t="s">
        <v>67</v>
      </c>
      <c r="D1760" t="s">
        <v>67</v>
      </c>
      <c r="E1760" t="s">
        <v>67</v>
      </c>
      <c r="F1760" t="s">
        <v>45</v>
      </c>
      <c r="G1760" s="117">
        <v>311.36</v>
      </c>
    </row>
    <row r="1761" spans="1:7" x14ac:dyDescent="0.25">
      <c r="A1761" s="116" t="s">
        <v>2613</v>
      </c>
      <c r="B1761" s="117" t="s">
        <v>2614</v>
      </c>
      <c r="C1761" t="s">
        <v>67</v>
      </c>
      <c r="D1761" t="s">
        <v>67</v>
      </c>
      <c r="E1761" t="s">
        <v>67</v>
      </c>
      <c r="F1761" t="s">
        <v>27987</v>
      </c>
      <c r="G1761" s="117">
        <v>94.76</v>
      </c>
    </row>
    <row r="1762" spans="1:7" x14ac:dyDescent="0.25">
      <c r="A1762" s="116" t="s">
        <v>2615</v>
      </c>
      <c r="B1762" s="117" t="s">
        <v>2616</v>
      </c>
      <c r="C1762" t="s">
        <v>67</v>
      </c>
      <c r="D1762" t="s">
        <v>67</v>
      </c>
      <c r="E1762" t="s">
        <v>67</v>
      </c>
      <c r="F1762" t="s">
        <v>27987</v>
      </c>
      <c r="G1762" s="117">
        <v>100.46</v>
      </c>
    </row>
    <row r="1763" spans="1:7" x14ac:dyDescent="0.25">
      <c r="A1763" s="116" t="s">
        <v>2617</v>
      </c>
      <c r="B1763" s="117" t="s">
        <v>2618</v>
      </c>
      <c r="C1763" t="s">
        <v>67</v>
      </c>
      <c r="D1763" t="s">
        <v>67</v>
      </c>
      <c r="E1763" t="s">
        <v>67</v>
      </c>
      <c r="F1763" t="s">
        <v>45</v>
      </c>
      <c r="G1763" s="117">
        <v>95.66</v>
      </c>
    </row>
    <row r="1764" spans="1:7" x14ac:dyDescent="0.25">
      <c r="A1764" s="116" t="s">
        <v>2619</v>
      </c>
      <c r="B1764" s="117" t="s">
        <v>2620</v>
      </c>
      <c r="C1764" t="s">
        <v>67</v>
      </c>
      <c r="D1764" t="s">
        <v>67</v>
      </c>
      <c r="E1764" t="s">
        <v>67</v>
      </c>
      <c r="F1764" t="s">
        <v>45</v>
      </c>
      <c r="G1764" s="117">
        <v>41.38</v>
      </c>
    </row>
    <row r="1765" spans="1:7" x14ac:dyDescent="0.25">
      <c r="A1765" s="116" t="s">
        <v>2621</v>
      </c>
      <c r="B1765" s="117" t="s">
        <v>2622</v>
      </c>
      <c r="C1765" t="s">
        <v>67</v>
      </c>
      <c r="D1765" t="s">
        <v>67</v>
      </c>
      <c r="E1765" t="s">
        <v>67</v>
      </c>
      <c r="F1765" t="s">
        <v>45</v>
      </c>
      <c r="G1765" s="117">
        <v>343.02</v>
      </c>
    </row>
    <row r="1766" spans="1:7" x14ac:dyDescent="0.25">
      <c r="A1766" s="116" t="s">
        <v>2623</v>
      </c>
      <c r="B1766" s="117" t="s">
        <v>2624</v>
      </c>
      <c r="C1766" t="s">
        <v>67</v>
      </c>
      <c r="D1766" t="s">
        <v>67</v>
      </c>
      <c r="E1766" t="s">
        <v>67</v>
      </c>
      <c r="F1766" t="s">
        <v>45</v>
      </c>
      <c r="G1766" s="117">
        <v>137.47999999999999</v>
      </c>
    </row>
    <row r="1767" spans="1:7" x14ac:dyDescent="0.25">
      <c r="A1767" s="116" t="s">
        <v>2625</v>
      </c>
      <c r="B1767" s="117" t="s">
        <v>2626</v>
      </c>
      <c r="C1767" t="s">
        <v>67</v>
      </c>
      <c r="D1767" t="s">
        <v>67</v>
      </c>
      <c r="E1767" t="s">
        <v>67</v>
      </c>
      <c r="F1767" t="s">
        <v>27987</v>
      </c>
      <c r="G1767" s="117">
        <v>472.06</v>
      </c>
    </row>
    <row r="1768" spans="1:7" x14ac:dyDescent="0.25">
      <c r="A1768" s="116" t="s">
        <v>2627</v>
      </c>
      <c r="B1768" s="117" t="s">
        <v>2628</v>
      </c>
      <c r="C1768" t="s">
        <v>67</v>
      </c>
      <c r="D1768" t="s">
        <v>67</v>
      </c>
      <c r="E1768" t="s">
        <v>67</v>
      </c>
      <c r="F1768" t="s">
        <v>45</v>
      </c>
      <c r="G1768" s="117">
        <v>34.26</v>
      </c>
    </row>
    <row r="1769" spans="1:7" x14ac:dyDescent="0.25">
      <c r="A1769" s="116" t="s">
        <v>2629</v>
      </c>
      <c r="B1769" s="117" t="s">
        <v>2630</v>
      </c>
      <c r="C1769" t="s">
        <v>67</v>
      </c>
      <c r="D1769" t="s">
        <v>67</v>
      </c>
      <c r="E1769" t="s">
        <v>67</v>
      </c>
      <c r="F1769" t="s">
        <v>45</v>
      </c>
      <c r="G1769" s="117">
        <v>28.38</v>
      </c>
    </row>
    <row r="1770" spans="1:7" x14ac:dyDescent="0.25">
      <c r="A1770" s="116" t="s">
        <v>2631</v>
      </c>
      <c r="B1770" s="117" t="s">
        <v>2632</v>
      </c>
      <c r="C1770" t="s">
        <v>67</v>
      </c>
      <c r="D1770" t="s">
        <v>67</v>
      </c>
      <c r="E1770" t="s">
        <v>67</v>
      </c>
      <c r="F1770" t="s">
        <v>45</v>
      </c>
      <c r="G1770" s="117">
        <v>7.12</v>
      </c>
    </row>
    <row r="1771" spans="1:7" x14ac:dyDescent="0.25">
      <c r="A1771" s="116" t="s">
        <v>2633</v>
      </c>
      <c r="B1771" s="117" t="s">
        <v>2634</v>
      </c>
      <c r="C1771" t="s">
        <v>67</v>
      </c>
      <c r="D1771" t="s">
        <v>67</v>
      </c>
      <c r="E1771" t="s">
        <v>67</v>
      </c>
      <c r="F1771" t="s">
        <v>45</v>
      </c>
      <c r="G1771" s="117">
        <v>17.7</v>
      </c>
    </row>
    <row r="1772" spans="1:7" x14ac:dyDescent="0.25">
      <c r="A1772" s="116" t="s">
        <v>2635</v>
      </c>
      <c r="B1772" s="117" t="s">
        <v>2636</v>
      </c>
      <c r="C1772" t="s">
        <v>67</v>
      </c>
      <c r="D1772" t="s">
        <v>67</v>
      </c>
      <c r="E1772" t="s">
        <v>67</v>
      </c>
      <c r="F1772" t="s">
        <v>27987</v>
      </c>
      <c r="G1772" s="117">
        <v>44.4</v>
      </c>
    </row>
    <row r="1773" spans="1:7" x14ac:dyDescent="0.25">
      <c r="A1773" s="116" t="s">
        <v>2637</v>
      </c>
      <c r="B1773" s="117" t="s">
        <v>2638</v>
      </c>
      <c r="C1773" t="s">
        <v>67</v>
      </c>
      <c r="D1773" t="s">
        <v>67</v>
      </c>
      <c r="E1773" t="s">
        <v>67</v>
      </c>
      <c r="F1773" t="s">
        <v>27987</v>
      </c>
      <c r="G1773" s="117">
        <v>84.08</v>
      </c>
    </row>
    <row r="1774" spans="1:7" x14ac:dyDescent="0.25">
      <c r="A1774" s="116" t="s">
        <v>2639</v>
      </c>
      <c r="B1774" s="117" t="s">
        <v>2640</v>
      </c>
      <c r="C1774" t="s">
        <v>67</v>
      </c>
      <c r="D1774" t="s">
        <v>67</v>
      </c>
      <c r="E1774" t="s">
        <v>67</v>
      </c>
      <c r="F1774" t="s">
        <v>45</v>
      </c>
      <c r="G1774" s="117">
        <v>106.33</v>
      </c>
    </row>
    <row r="1775" spans="1:7" x14ac:dyDescent="0.25">
      <c r="A1775" s="116" t="s">
        <v>2641</v>
      </c>
      <c r="B1775" s="117" t="s">
        <v>2642</v>
      </c>
      <c r="C1775" t="s">
        <v>67</v>
      </c>
      <c r="D1775" t="s">
        <v>67</v>
      </c>
      <c r="E1775" t="s">
        <v>67</v>
      </c>
      <c r="F1775" t="s">
        <v>27987</v>
      </c>
      <c r="G1775" s="117">
        <v>2.58</v>
      </c>
    </row>
    <row r="1776" spans="1:7" x14ac:dyDescent="0.25">
      <c r="A1776" s="116" t="s">
        <v>2643</v>
      </c>
      <c r="B1776" s="117" t="s">
        <v>2644</v>
      </c>
      <c r="C1776" t="s">
        <v>67</v>
      </c>
      <c r="D1776" t="s">
        <v>67</v>
      </c>
      <c r="E1776" t="s">
        <v>67</v>
      </c>
      <c r="F1776" t="s">
        <v>27987</v>
      </c>
      <c r="G1776" s="117">
        <v>213.48</v>
      </c>
    </row>
    <row r="1777" spans="1:7" x14ac:dyDescent="0.25">
      <c r="A1777" s="116" t="s">
        <v>2645</v>
      </c>
      <c r="B1777" s="117" t="s">
        <v>2646</v>
      </c>
      <c r="C1777" t="s">
        <v>67</v>
      </c>
      <c r="D1777" t="s">
        <v>67</v>
      </c>
      <c r="E1777" t="s">
        <v>67</v>
      </c>
      <c r="F1777" t="s">
        <v>27987</v>
      </c>
      <c r="G1777" s="117">
        <v>225.04</v>
      </c>
    </row>
    <row r="1778" spans="1:7" x14ac:dyDescent="0.25">
      <c r="A1778" s="116" t="s">
        <v>2647</v>
      </c>
      <c r="B1778" s="117" t="s">
        <v>2648</v>
      </c>
      <c r="C1778" t="s">
        <v>67</v>
      </c>
      <c r="D1778" t="s">
        <v>67</v>
      </c>
      <c r="E1778" t="s">
        <v>67</v>
      </c>
      <c r="F1778" t="s">
        <v>27987</v>
      </c>
      <c r="G1778" s="117">
        <v>20.02</v>
      </c>
    </row>
    <row r="1779" spans="1:7" x14ac:dyDescent="0.25">
      <c r="A1779" s="116" t="s">
        <v>2649</v>
      </c>
      <c r="B1779" s="117" t="s">
        <v>28127</v>
      </c>
      <c r="C1779" t="s">
        <v>67</v>
      </c>
      <c r="D1779" t="s">
        <v>67</v>
      </c>
      <c r="E1779" t="s">
        <v>67</v>
      </c>
      <c r="F1779" t="s">
        <v>27987</v>
      </c>
      <c r="G1779" s="117">
        <v>31.94</v>
      </c>
    </row>
    <row r="1780" spans="1:7" x14ac:dyDescent="0.25">
      <c r="A1780" s="116" t="s">
        <v>2650</v>
      </c>
      <c r="B1780" s="117" t="s">
        <v>2651</v>
      </c>
      <c r="C1780" t="s">
        <v>67</v>
      </c>
      <c r="D1780" t="s">
        <v>67</v>
      </c>
      <c r="E1780" t="s">
        <v>67</v>
      </c>
      <c r="F1780" t="s">
        <v>27987</v>
      </c>
      <c r="G1780" s="117">
        <v>485.1</v>
      </c>
    </row>
    <row r="1781" spans="1:7" x14ac:dyDescent="0.25">
      <c r="A1781" s="116" t="s">
        <v>2652</v>
      </c>
      <c r="B1781" s="117" t="s">
        <v>2653</v>
      </c>
      <c r="C1781" t="s">
        <v>67</v>
      </c>
      <c r="D1781" t="s">
        <v>67</v>
      </c>
      <c r="E1781" t="s">
        <v>67</v>
      </c>
      <c r="F1781" t="s">
        <v>27987</v>
      </c>
      <c r="G1781" s="117">
        <v>97.57</v>
      </c>
    </row>
    <row r="1782" spans="1:7" x14ac:dyDescent="0.25">
      <c r="A1782" s="116" t="s">
        <v>2654</v>
      </c>
      <c r="B1782" s="117" t="s">
        <v>2655</v>
      </c>
      <c r="C1782" t="s">
        <v>67</v>
      </c>
      <c r="D1782" t="s">
        <v>67</v>
      </c>
      <c r="E1782" t="s">
        <v>67</v>
      </c>
      <c r="F1782" t="s">
        <v>27987</v>
      </c>
      <c r="G1782" s="117">
        <v>98.56</v>
      </c>
    </row>
    <row r="1783" spans="1:7" x14ac:dyDescent="0.25">
      <c r="A1783" s="116" t="s">
        <v>2656</v>
      </c>
      <c r="B1783" s="117" t="s">
        <v>2657</v>
      </c>
      <c r="C1783" t="s">
        <v>67</v>
      </c>
      <c r="D1783" t="s">
        <v>67</v>
      </c>
      <c r="E1783" t="s">
        <v>67</v>
      </c>
      <c r="F1783" t="s">
        <v>27987</v>
      </c>
      <c r="G1783" s="117">
        <v>600.57000000000005</v>
      </c>
    </row>
    <row r="1784" spans="1:7" x14ac:dyDescent="0.25">
      <c r="A1784" s="116" t="s">
        <v>2658</v>
      </c>
      <c r="B1784" s="117" t="s">
        <v>2659</v>
      </c>
      <c r="C1784" t="s">
        <v>67</v>
      </c>
      <c r="D1784" t="s">
        <v>67</v>
      </c>
      <c r="E1784" t="s">
        <v>67</v>
      </c>
      <c r="F1784" t="s">
        <v>45</v>
      </c>
      <c r="G1784" s="117">
        <v>37.82</v>
      </c>
    </row>
    <row r="1785" spans="1:7" x14ac:dyDescent="0.25">
      <c r="A1785" s="116" t="s">
        <v>2660</v>
      </c>
      <c r="B1785" s="117" t="s">
        <v>2661</v>
      </c>
      <c r="C1785" t="s">
        <v>67</v>
      </c>
      <c r="D1785" t="s">
        <v>67</v>
      </c>
      <c r="E1785" t="s">
        <v>67</v>
      </c>
      <c r="F1785" t="s">
        <v>27987</v>
      </c>
      <c r="G1785" s="117">
        <v>37.82</v>
      </c>
    </row>
    <row r="1786" spans="1:7" x14ac:dyDescent="0.25">
      <c r="A1786" s="116" t="s">
        <v>2662</v>
      </c>
      <c r="B1786" s="117" t="s">
        <v>2663</v>
      </c>
      <c r="C1786" t="s">
        <v>67</v>
      </c>
      <c r="D1786" t="s">
        <v>67</v>
      </c>
      <c r="E1786" t="s">
        <v>67</v>
      </c>
      <c r="F1786" t="s">
        <v>27987</v>
      </c>
      <c r="G1786" s="117">
        <v>3.56</v>
      </c>
    </row>
    <row r="1787" spans="1:7" x14ac:dyDescent="0.25">
      <c r="A1787" s="116" t="s">
        <v>2664</v>
      </c>
      <c r="B1787" s="117" t="s">
        <v>2665</v>
      </c>
      <c r="C1787" t="s">
        <v>67</v>
      </c>
      <c r="D1787" t="s">
        <v>67</v>
      </c>
      <c r="E1787" t="s">
        <v>67</v>
      </c>
      <c r="F1787" t="s">
        <v>27987</v>
      </c>
      <c r="G1787" s="117">
        <v>13.26</v>
      </c>
    </row>
    <row r="1788" spans="1:7" x14ac:dyDescent="0.25">
      <c r="A1788" s="116" t="s">
        <v>2666</v>
      </c>
      <c r="B1788" s="117" t="s">
        <v>2667</v>
      </c>
      <c r="C1788" t="s">
        <v>67</v>
      </c>
      <c r="D1788" t="s">
        <v>67</v>
      </c>
      <c r="E1788" t="s">
        <v>67</v>
      </c>
      <c r="F1788" t="s">
        <v>27987</v>
      </c>
      <c r="G1788" s="117">
        <v>15.04</v>
      </c>
    </row>
    <row r="1789" spans="1:7" x14ac:dyDescent="0.25">
      <c r="A1789" s="116" t="s">
        <v>2668</v>
      </c>
      <c r="B1789" s="117" t="s">
        <v>465</v>
      </c>
      <c r="C1789" t="s">
        <v>67</v>
      </c>
      <c r="D1789" t="s">
        <v>67</v>
      </c>
      <c r="E1789" t="s">
        <v>67</v>
      </c>
      <c r="F1789" t="s">
        <v>27987</v>
      </c>
      <c r="G1789" s="117">
        <v>41.38</v>
      </c>
    </row>
    <row r="1790" spans="1:7" x14ac:dyDescent="0.25">
      <c r="A1790" s="116" t="s">
        <v>2669</v>
      </c>
      <c r="B1790" s="117" t="s">
        <v>2670</v>
      </c>
      <c r="C1790" t="s">
        <v>67</v>
      </c>
      <c r="D1790" t="s">
        <v>67</v>
      </c>
      <c r="E1790" t="s">
        <v>67</v>
      </c>
      <c r="F1790" t="s">
        <v>45</v>
      </c>
      <c r="G1790" s="117">
        <v>88.54</v>
      </c>
    </row>
    <row r="1791" spans="1:7" x14ac:dyDescent="0.25">
      <c r="A1791" s="116" t="s">
        <v>2671</v>
      </c>
      <c r="B1791" s="117" t="s">
        <v>2672</v>
      </c>
      <c r="C1791" t="s">
        <v>67</v>
      </c>
      <c r="D1791" t="s">
        <v>67</v>
      </c>
      <c r="E1791" t="s">
        <v>67</v>
      </c>
      <c r="F1791" t="s">
        <v>45</v>
      </c>
      <c r="G1791" s="117">
        <v>349.26</v>
      </c>
    </row>
    <row r="1792" spans="1:7" x14ac:dyDescent="0.25">
      <c r="A1792" s="116" t="s">
        <v>2673</v>
      </c>
      <c r="B1792" s="117" t="s">
        <v>2674</v>
      </c>
      <c r="C1792" t="s">
        <v>67</v>
      </c>
      <c r="D1792" t="s">
        <v>67</v>
      </c>
      <c r="E1792" t="s">
        <v>67</v>
      </c>
      <c r="F1792" t="s">
        <v>45</v>
      </c>
      <c r="G1792" s="117">
        <v>22.69</v>
      </c>
    </row>
    <row r="1793" spans="1:7" x14ac:dyDescent="0.25">
      <c r="A1793" s="116" t="s">
        <v>2675</v>
      </c>
      <c r="B1793" s="117" t="s">
        <v>2676</v>
      </c>
      <c r="C1793" t="s">
        <v>67</v>
      </c>
      <c r="D1793" t="s">
        <v>67</v>
      </c>
      <c r="E1793" t="s">
        <v>67</v>
      </c>
      <c r="F1793" t="s">
        <v>27987</v>
      </c>
      <c r="G1793" s="117">
        <v>24.82</v>
      </c>
    </row>
    <row r="1794" spans="1:7" x14ac:dyDescent="0.25">
      <c r="A1794" s="116" t="s">
        <v>2677</v>
      </c>
      <c r="B1794" s="117" t="s">
        <v>2678</v>
      </c>
      <c r="C1794" t="s">
        <v>67</v>
      </c>
      <c r="D1794" t="s">
        <v>67</v>
      </c>
      <c r="E1794" t="s">
        <v>67</v>
      </c>
      <c r="F1794" t="s">
        <v>45</v>
      </c>
      <c r="G1794" s="117">
        <v>84.08</v>
      </c>
    </row>
    <row r="1795" spans="1:7" x14ac:dyDescent="0.25">
      <c r="A1795" s="116" t="s">
        <v>2679</v>
      </c>
      <c r="B1795" s="117" t="s">
        <v>2680</v>
      </c>
      <c r="C1795" t="s">
        <v>67</v>
      </c>
      <c r="D1795" t="s">
        <v>67</v>
      </c>
      <c r="E1795" t="s">
        <v>67</v>
      </c>
      <c r="F1795" t="s">
        <v>27987</v>
      </c>
      <c r="G1795" s="117">
        <v>16.82</v>
      </c>
    </row>
    <row r="1796" spans="1:7" x14ac:dyDescent="0.25">
      <c r="A1796" s="116" t="s">
        <v>2681</v>
      </c>
      <c r="B1796" s="117" t="s">
        <v>2682</v>
      </c>
      <c r="C1796" t="s">
        <v>67</v>
      </c>
      <c r="D1796" t="s">
        <v>67</v>
      </c>
      <c r="E1796" t="s">
        <v>67</v>
      </c>
      <c r="F1796" t="s">
        <v>45</v>
      </c>
      <c r="G1796" s="117">
        <v>91.2</v>
      </c>
    </row>
    <row r="1797" spans="1:7" x14ac:dyDescent="0.25">
      <c r="A1797" s="116" t="s">
        <v>2683</v>
      </c>
      <c r="B1797" s="117" t="s">
        <v>2684</v>
      </c>
      <c r="C1797" t="s">
        <v>67</v>
      </c>
      <c r="D1797" t="s">
        <v>67</v>
      </c>
      <c r="E1797" t="s">
        <v>67</v>
      </c>
      <c r="F1797" t="s">
        <v>45</v>
      </c>
      <c r="G1797" s="117">
        <v>22.69</v>
      </c>
    </row>
    <row r="1798" spans="1:7" x14ac:dyDescent="0.25">
      <c r="A1798" s="116" t="s">
        <v>2685</v>
      </c>
      <c r="B1798" s="117" t="s">
        <v>2686</v>
      </c>
      <c r="C1798" t="s">
        <v>67</v>
      </c>
      <c r="D1798" t="s">
        <v>67</v>
      </c>
      <c r="E1798" t="s">
        <v>67</v>
      </c>
      <c r="F1798" t="s">
        <v>27987</v>
      </c>
      <c r="G1798" s="117">
        <v>271.31</v>
      </c>
    </row>
    <row r="1799" spans="1:7" x14ac:dyDescent="0.25">
      <c r="A1799" s="116" t="s">
        <v>2687</v>
      </c>
      <c r="B1799" s="117" t="s">
        <v>2688</v>
      </c>
      <c r="C1799" t="s">
        <v>67</v>
      </c>
      <c r="D1799" t="s">
        <v>67</v>
      </c>
      <c r="E1799" t="s">
        <v>67</v>
      </c>
      <c r="F1799" t="s">
        <v>49</v>
      </c>
      <c r="G1799" s="117">
        <v>41.38</v>
      </c>
    </row>
    <row r="1800" spans="1:7" x14ac:dyDescent="0.25">
      <c r="A1800" s="116" t="s">
        <v>2689</v>
      </c>
      <c r="B1800" s="117" t="s">
        <v>2690</v>
      </c>
      <c r="C1800" t="s">
        <v>67</v>
      </c>
      <c r="D1800" t="s">
        <v>67</v>
      </c>
      <c r="E1800" t="s">
        <v>67</v>
      </c>
      <c r="F1800" t="s">
        <v>45</v>
      </c>
      <c r="G1800" s="117">
        <v>75.55</v>
      </c>
    </row>
    <row r="1801" spans="1:7" x14ac:dyDescent="0.25">
      <c r="A1801" s="116" t="s">
        <v>2691</v>
      </c>
      <c r="B1801" s="117" t="s">
        <v>2692</v>
      </c>
      <c r="C1801" t="s">
        <v>67</v>
      </c>
      <c r="D1801" t="s">
        <v>67</v>
      </c>
      <c r="E1801" t="s">
        <v>67</v>
      </c>
      <c r="F1801" t="s">
        <v>27987</v>
      </c>
      <c r="G1801" s="117">
        <v>383.96</v>
      </c>
    </row>
    <row r="1802" spans="1:7" x14ac:dyDescent="0.25">
      <c r="A1802" s="116" t="s">
        <v>2693</v>
      </c>
      <c r="B1802" s="117" t="s">
        <v>2694</v>
      </c>
      <c r="C1802" t="s">
        <v>67</v>
      </c>
      <c r="D1802" t="s">
        <v>67</v>
      </c>
      <c r="E1802" t="s">
        <v>67</v>
      </c>
      <c r="F1802" t="s">
        <v>27987</v>
      </c>
      <c r="G1802" s="117">
        <v>294.98</v>
      </c>
    </row>
    <row r="1803" spans="1:7" x14ac:dyDescent="0.25">
      <c r="A1803" s="116" t="s">
        <v>2695</v>
      </c>
      <c r="B1803" s="117" t="s">
        <v>2696</v>
      </c>
      <c r="C1803" t="s">
        <v>67</v>
      </c>
      <c r="D1803" t="s">
        <v>67</v>
      </c>
      <c r="E1803" t="s">
        <v>67</v>
      </c>
      <c r="F1803" t="s">
        <v>27987</v>
      </c>
      <c r="G1803" s="117">
        <v>529</v>
      </c>
    </row>
    <row r="1804" spans="1:7" x14ac:dyDescent="0.25">
      <c r="A1804" s="116" t="s">
        <v>2697</v>
      </c>
      <c r="B1804" s="117" t="s">
        <v>2698</v>
      </c>
      <c r="C1804" t="s">
        <v>67</v>
      </c>
      <c r="D1804" t="s">
        <v>67</v>
      </c>
      <c r="E1804" t="s">
        <v>67</v>
      </c>
      <c r="F1804" t="s">
        <v>45</v>
      </c>
      <c r="G1804" s="117">
        <v>180.55</v>
      </c>
    </row>
    <row r="1805" spans="1:7" x14ac:dyDescent="0.25">
      <c r="A1805" s="116" t="s">
        <v>2699</v>
      </c>
      <c r="B1805" s="117" t="s">
        <v>2700</v>
      </c>
      <c r="C1805" t="s">
        <v>67</v>
      </c>
      <c r="D1805" t="s">
        <v>67</v>
      </c>
      <c r="E1805" t="s">
        <v>67</v>
      </c>
      <c r="F1805" t="s">
        <v>27987</v>
      </c>
      <c r="G1805" s="117">
        <v>192.12</v>
      </c>
    </row>
    <row r="1806" spans="1:7" x14ac:dyDescent="0.25">
      <c r="A1806" s="116" t="s">
        <v>2701</v>
      </c>
      <c r="B1806" s="117" t="s">
        <v>2702</v>
      </c>
      <c r="C1806" t="s">
        <v>67</v>
      </c>
      <c r="D1806" t="s">
        <v>67</v>
      </c>
      <c r="E1806" t="s">
        <v>67</v>
      </c>
      <c r="F1806" t="s">
        <v>27987</v>
      </c>
      <c r="G1806" s="117">
        <v>223.26</v>
      </c>
    </row>
    <row r="1807" spans="1:7" x14ac:dyDescent="0.25">
      <c r="A1807" s="116" t="s">
        <v>2703</v>
      </c>
      <c r="B1807" s="117" t="s">
        <v>2704</v>
      </c>
      <c r="C1807" t="s">
        <v>67</v>
      </c>
      <c r="D1807" t="s">
        <v>67</v>
      </c>
      <c r="E1807" t="s">
        <v>67</v>
      </c>
      <c r="F1807" t="s">
        <v>27987</v>
      </c>
      <c r="G1807" s="117">
        <v>65.33</v>
      </c>
    </row>
    <row r="1808" spans="1:7" x14ac:dyDescent="0.25">
      <c r="A1808" s="116" t="s">
        <v>2705</v>
      </c>
      <c r="B1808" s="117" t="s">
        <v>2706</v>
      </c>
      <c r="C1808" t="s">
        <v>67</v>
      </c>
      <c r="D1808" t="s">
        <v>67</v>
      </c>
      <c r="E1808" t="s">
        <v>67</v>
      </c>
      <c r="F1808" t="s">
        <v>27987</v>
      </c>
      <c r="G1808" s="117">
        <v>104.02</v>
      </c>
    </row>
    <row r="1809" spans="1:7" x14ac:dyDescent="0.25">
      <c r="A1809" s="116" t="s">
        <v>2707</v>
      </c>
      <c r="B1809" s="117" t="s">
        <v>2708</v>
      </c>
      <c r="C1809" t="s">
        <v>67</v>
      </c>
      <c r="D1809" t="s">
        <v>67</v>
      </c>
      <c r="E1809" t="s">
        <v>67</v>
      </c>
      <c r="F1809" t="s">
        <v>27987</v>
      </c>
      <c r="G1809" s="117">
        <v>26.25</v>
      </c>
    </row>
    <row r="1810" spans="1:7" x14ac:dyDescent="0.25">
      <c r="A1810" s="116" t="s">
        <v>2709</v>
      </c>
      <c r="B1810" s="117" t="s">
        <v>2710</v>
      </c>
      <c r="C1810" t="s">
        <v>67</v>
      </c>
      <c r="D1810" t="s">
        <v>67</v>
      </c>
      <c r="E1810" t="s">
        <v>67</v>
      </c>
      <c r="F1810" t="s">
        <v>27987</v>
      </c>
      <c r="G1810" s="117">
        <v>194.79</v>
      </c>
    </row>
    <row r="1811" spans="1:7" x14ac:dyDescent="0.25">
      <c r="A1811" s="116" t="s">
        <v>2711</v>
      </c>
      <c r="B1811" s="117" t="s">
        <v>2712</v>
      </c>
      <c r="C1811" t="s">
        <v>67</v>
      </c>
      <c r="D1811" t="s">
        <v>67</v>
      </c>
      <c r="E1811" t="s">
        <v>67</v>
      </c>
      <c r="F1811" t="s">
        <v>49</v>
      </c>
      <c r="G1811" s="117">
        <v>14.68</v>
      </c>
    </row>
    <row r="1812" spans="1:7" x14ac:dyDescent="0.25">
      <c r="A1812" s="116" t="s">
        <v>2713</v>
      </c>
      <c r="B1812" s="117" t="s">
        <v>2714</v>
      </c>
      <c r="C1812" t="s">
        <v>67</v>
      </c>
      <c r="D1812" t="s">
        <v>67</v>
      </c>
      <c r="E1812" t="s">
        <v>67</v>
      </c>
      <c r="F1812" t="s">
        <v>45</v>
      </c>
      <c r="G1812" s="117">
        <v>920.52</v>
      </c>
    </row>
    <row r="1813" spans="1:7" x14ac:dyDescent="0.25">
      <c r="A1813" s="116" t="s">
        <v>2715</v>
      </c>
      <c r="B1813" s="117" t="s">
        <v>2716</v>
      </c>
      <c r="C1813" t="s">
        <v>67</v>
      </c>
      <c r="D1813" t="s">
        <v>67</v>
      </c>
      <c r="E1813" t="s">
        <v>67</v>
      </c>
      <c r="F1813" t="s">
        <v>27987</v>
      </c>
      <c r="G1813" s="117">
        <v>328.8</v>
      </c>
    </row>
    <row r="1814" spans="1:7" x14ac:dyDescent="0.25">
      <c r="A1814" s="116" t="s">
        <v>2717</v>
      </c>
      <c r="B1814" s="117" t="s">
        <v>2718</v>
      </c>
      <c r="C1814" t="s">
        <v>67</v>
      </c>
      <c r="D1814" t="s">
        <v>67</v>
      </c>
      <c r="E1814" t="s">
        <v>67</v>
      </c>
      <c r="F1814" t="s">
        <v>27987</v>
      </c>
      <c r="G1814" s="117">
        <v>106.33</v>
      </c>
    </row>
    <row r="1815" spans="1:7" x14ac:dyDescent="0.25">
      <c r="A1815" s="116" t="s">
        <v>2719</v>
      </c>
      <c r="B1815" s="117" t="s">
        <v>1267</v>
      </c>
      <c r="C1815" t="s">
        <v>67</v>
      </c>
      <c r="D1815" t="s">
        <v>67</v>
      </c>
      <c r="E1815" t="s">
        <v>67</v>
      </c>
      <c r="F1815" t="s">
        <v>27987</v>
      </c>
      <c r="G1815" s="117">
        <v>95.66</v>
      </c>
    </row>
    <row r="1816" spans="1:7" x14ac:dyDescent="0.25">
      <c r="A1816" s="116" t="s">
        <v>2720</v>
      </c>
      <c r="B1816" s="117" t="s">
        <v>2721</v>
      </c>
      <c r="C1816" t="s">
        <v>67</v>
      </c>
      <c r="D1816" t="s">
        <v>67</v>
      </c>
      <c r="E1816" t="s">
        <v>67</v>
      </c>
      <c r="F1816" t="s">
        <v>27987</v>
      </c>
      <c r="G1816" s="117">
        <v>67.540000000000006</v>
      </c>
    </row>
    <row r="1817" spans="1:7" x14ac:dyDescent="0.25">
      <c r="A1817" s="116" t="s">
        <v>2722</v>
      </c>
      <c r="B1817" s="117" t="s">
        <v>2723</v>
      </c>
      <c r="C1817" t="s">
        <v>67</v>
      </c>
      <c r="D1817" t="s">
        <v>67</v>
      </c>
      <c r="E1817" t="s">
        <v>67</v>
      </c>
      <c r="F1817" t="s">
        <v>27987</v>
      </c>
      <c r="G1817" s="117">
        <v>245.5</v>
      </c>
    </row>
    <row r="1818" spans="1:7" x14ac:dyDescent="0.25">
      <c r="A1818" s="116" t="s">
        <v>2724</v>
      </c>
      <c r="B1818" s="117" t="s">
        <v>2725</v>
      </c>
      <c r="C1818" t="s">
        <v>67</v>
      </c>
      <c r="D1818" t="s">
        <v>67</v>
      </c>
      <c r="E1818" t="s">
        <v>67</v>
      </c>
      <c r="F1818" t="s">
        <v>49</v>
      </c>
      <c r="G1818" s="117">
        <v>26.25</v>
      </c>
    </row>
    <row r="1819" spans="1:7" x14ac:dyDescent="0.25">
      <c r="A1819" s="116" t="s">
        <v>2726</v>
      </c>
      <c r="B1819" s="117" t="s">
        <v>2727</v>
      </c>
      <c r="C1819" t="s">
        <v>67</v>
      </c>
      <c r="D1819" t="s">
        <v>67</v>
      </c>
      <c r="E1819" t="s">
        <v>67</v>
      </c>
      <c r="F1819" t="s">
        <v>45</v>
      </c>
      <c r="G1819" s="117">
        <v>124.49</v>
      </c>
    </row>
    <row r="1820" spans="1:7" x14ac:dyDescent="0.25">
      <c r="A1820" s="116" t="s">
        <v>28446</v>
      </c>
      <c r="B1820" s="117" t="s">
        <v>28447</v>
      </c>
      <c r="C1820" t="s">
        <v>67</v>
      </c>
      <c r="D1820" t="s">
        <v>67</v>
      </c>
      <c r="E1820" t="s">
        <v>67</v>
      </c>
      <c r="F1820" t="s">
        <v>45</v>
      </c>
      <c r="G1820" s="117">
        <v>0</v>
      </c>
    </row>
    <row r="1821" spans="1:7" x14ac:dyDescent="0.25">
      <c r="A1821" s="116" t="s">
        <v>2728</v>
      </c>
      <c r="B1821" s="117" t="s">
        <v>2729</v>
      </c>
      <c r="C1821" t="s">
        <v>67</v>
      </c>
      <c r="D1821" t="s">
        <v>67</v>
      </c>
      <c r="E1821" t="s">
        <v>67</v>
      </c>
      <c r="F1821" t="s">
        <v>45</v>
      </c>
      <c r="G1821" s="117">
        <v>154.74</v>
      </c>
    </row>
    <row r="1822" spans="1:7" x14ac:dyDescent="0.25">
      <c r="A1822" s="116" t="s">
        <v>2730</v>
      </c>
      <c r="B1822" s="117" t="s">
        <v>2731</v>
      </c>
      <c r="C1822" t="s">
        <v>67</v>
      </c>
      <c r="D1822" t="s">
        <v>67</v>
      </c>
      <c r="E1822" t="s">
        <v>67</v>
      </c>
      <c r="F1822" t="s">
        <v>27987</v>
      </c>
      <c r="G1822" s="117">
        <v>236.25</v>
      </c>
    </row>
    <row r="1823" spans="1:7" x14ac:dyDescent="0.25">
      <c r="A1823" s="116" t="s">
        <v>2732</v>
      </c>
      <c r="B1823" s="117" t="s">
        <v>2733</v>
      </c>
      <c r="C1823" t="s">
        <v>67</v>
      </c>
      <c r="D1823" t="s">
        <v>67</v>
      </c>
      <c r="E1823" t="s">
        <v>67</v>
      </c>
      <c r="F1823" t="s">
        <v>45</v>
      </c>
      <c r="G1823" s="117">
        <v>393.21</v>
      </c>
    </row>
    <row r="1824" spans="1:7" x14ac:dyDescent="0.25">
      <c r="A1824" s="116" t="s">
        <v>28448</v>
      </c>
      <c r="B1824" s="117" t="s">
        <v>28449</v>
      </c>
      <c r="C1824" t="s">
        <v>67</v>
      </c>
      <c r="D1824" t="s">
        <v>67</v>
      </c>
      <c r="E1824" t="s">
        <v>67</v>
      </c>
      <c r="F1824" t="s">
        <v>45</v>
      </c>
      <c r="G1824" s="117">
        <v>0</v>
      </c>
    </row>
    <row r="1825" spans="1:7" x14ac:dyDescent="0.25">
      <c r="A1825" s="116" t="s">
        <v>2734</v>
      </c>
      <c r="B1825" s="117" t="s">
        <v>2735</v>
      </c>
      <c r="C1825" t="s">
        <v>67</v>
      </c>
      <c r="D1825" t="s">
        <v>67</v>
      </c>
      <c r="E1825" t="s">
        <v>67</v>
      </c>
      <c r="F1825" t="s">
        <v>45</v>
      </c>
      <c r="G1825" s="117">
        <v>401.23</v>
      </c>
    </row>
    <row r="1826" spans="1:7" x14ac:dyDescent="0.25">
      <c r="A1826" s="116" t="s">
        <v>2736</v>
      </c>
      <c r="B1826" s="117" t="s">
        <v>2737</v>
      </c>
      <c r="C1826" t="s">
        <v>67</v>
      </c>
      <c r="D1826" t="s">
        <v>67</v>
      </c>
      <c r="E1826" t="s">
        <v>67</v>
      </c>
      <c r="F1826" t="s">
        <v>49</v>
      </c>
      <c r="G1826" s="117">
        <v>33.729999999999997</v>
      </c>
    </row>
    <row r="1827" spans="1:7" x14ac:dyDescent="0.25">
      <c r="A1827" s="116" t="s">
        <v>2738</v>
      </c>
      <c r="B1827" s="117" t="s">
        <v>2739</v>
      </c>
      <c r="C1827" t="s">
        <v>67</v>
      </c>
      <c r="D1827" t="s">
        <v>67</v>
      </c>
      <c r="E1827" t="s">
        <v>67</v>
      </c>
      <c r="F1827" t="s">
        <v>27987</v>
      </c>
      <c r="G1827" s="117">
        <v>8.89</v>
      </c>
    </row>
    <row r="1828" spans="1:7" x14ac:dyDescent="0.25">
      <c r="A1828" s="116" t="s">
        <v>2740</v>
      </c>
      <c r="B1828" s="117" t="s">
        <v>2741</v>
      </c>
      <c r="C1828" t="s">
        <v>67</v>
      </c>
      <c r="D1828" t="s">
        <v>67</v>
      </c>
      <c r="E1828" t="s">
        <v>67</v>
      </c>
      <c r="F1828" t="s">
        <v>45</v>
      </c>
      <c r="G1828" s="117">
        <v>460.49</v>
      </c>
    </row>
    <row r="1829" spans="1:7" x14ac:dyDescent="0.25">
      <c r="A1829" s="116" t="s">
        <v>2742</v>
      </c>
      <c r="B1829" s="117" t="s">
        <v>465</v>
      </c>
      <c r="C1829" t="s">
        <v>67</v>
      </c>
      <c r="D1829" t="s">
        <v>67</v>
      </c>
      <c r="E1829" t="s">
        <v>67</v>
      </c>
      <c r="F1829" t="s">
        <v>27987</v>
      </c>
      <c r="G1829" s="117">
        <v>71.099999999999994</v>
      </c>
    </row>
    <row r="1830" spans="1:7" x14ac:dyDescent="0.25">
      <c r="A1830" s="116" t="s">
        <v>2743</v>
      </c>
      <c r="B1830" s="117" t="s">
        <v>2744</v>
      </c>
      <c r="C1830" t="s">
        <v>67</v>
      </c>
      <c r="D1830" t="s">
        <v>67</v>
      </c>
      <c r="E1830" t="s">
        <v>67</v>
      </c>
      <c r="F1830" t="s">
        <v>45</v>
      </c>
      <c r="G1830" s="117">
        <v>13.26</v>
      </c>
    </row>
    <row r="1831" spans="1:7" x14ac:dyDescent="0.25">
      <c r="A1831" s="116" t="s">
        <v>2745</v>
      </c>
      <c r="B1831" s="117" t="s">
        <v>2746</v>
      </c>
      <c r="C1831" t="s">
        <v>67</v>
      </c>
      <c r="D1831" t="s">
        <v>67</v>
      </c>
      <c r="E1831" t="s">
        <v>67</v>
      </c>
      <c r="F1831" t="s">
        <v>27987</v>
      </c>
      <c r="G1831" s="117">
        <v>72.52</v>
      </c>
    </row>
    <row r="1832" spans="1:7" x14ac:dyDescent="0.25">
      <c r="A1832" s="116" t="s">
        <v>2747</v>
      </c>
      <c r="B1832" s="117" t="s">
        <v>2748</v>
      </c>
      <c r="C1832" t="s">
        <v>67</v>
      </c>
      <c r="D1832" t="s">
        <v>67</v>
      </c>
      <c r="E1832" t="s">
        <v>67</v>
      </c>
      <c r="F1832" t="s">
        <v>27987</v>
      </c>
      <c r="G1832" s="117">
        <v>71.989999999999995</v>
      </c>
    </row>
    <row r="1833" spans="1:7" x14ac:dyDescent="0.25">
      <c r="A1833" s="116" t="s">
        <v>2749</v>
      </c>
      <c r="B1833" s="117" t="s">
        <v>2750</v>
      </c>
      <c r="C1833" t="s">
        <v>67</v>
      </c>
      <c r="D1833" t="s">
        <v>67</v>
      </c>
      <c r="E1833" t="s">
        <v>67</v>
      </c>
      <c r="F1833" t="s">
        <v>27987</v>
      </c>
      <c r="G1833" s="117">
        <v>132.63</v>
      </c>
    </row>
    <row r="1834" spans="1:7" x14ac:dyDescent="0.25">
      <c r="A1834" s="116" t="s">
        <v>27007</v>
      </c>
      <c r="B1834" s="117" t="s">
        <v>28450</v>
      </c>
      <c r="C1834" t="s">
        <v>67</v>
      </c>
      <c r="D1834" t="s">
        <v>67</v>
      </c>
      <c r="E1834" t="s">
        <v>67</v>
      </c>
      <c r="F1834" t="s">
        <v>27987</v>
      </c>
      <c r="G1834" s="117">
        <v>50</v>
      </c>
    </row>
    <row r="1835" spans="1:7" x14ac:dyDescent="0.25">
      <c r="A1835" s="116" t="s">
        <v>2751</v>
      </c>
      <c r="B1835" s="117" t="s">
        <v>2744</v>
      </c>
      <c r="C1835" t="s">
        <v>67</v>
      </c>
      <c r="D1835" t="s">
        <v>67</v>
      </c>
      <c r="E1835" t="s">
        <v>67</v>
      </c>
      <c r="F1835" t="s">
        <v>27987</v>
      </c>
      <c r="G1835" s="117">
        <v>12.01</v>
      </c>
    </row>
    <row r="1836" spans="1:7" x14ac:dyDescent="0.25">
      <c r="A1836" s="116" t="s">
        <v>2752</v>
      </c>
      <c r="B1836" s="117" t="s">
        <v>2753</v>
      </c>
      <c r="C1836" t="s">
        <v>67</v>
      </c>
      <c r="D1836" t="s">
        <v>67</v>
      </c>
      <c r="E1836" t="s">
        <v>67</v>
      </c>
      <c r="F1836" t="s">
        <v>45</v>
      </c>
      <c r="G1836" s="117">
        <v>80.52</v>
      </c>
    </row>
    <row r="1837" spans="1:7" x14ac:dyDescent="0.25">
      <c r="A1837" s="116" t="s">
        <v>2754</v>
      </c>
      <c r="B1837" s="117" t="s">
        <v>1725</v>
      </c>
      <c r="C1837" t="s">
        <v>67</v>
      </c>
      <c r="D1837" t="s">
        <v>67</v>
      </c>
      <c r="E1837" t="s">
        <v>67</v>
      </c>
      <c r="F1837" t="s">
        <v>27987</v>
      </c>
      <c r="G1837" s="117">
        <v>96.9</v>
      </c>
    </row>
    <row r="1838" spans="1:7" x14ac:dyDescent="0.25">
      <c r="A1838" s="116" t="s">
        <v>2755</v>
      </c>
      <c r="B1838" s="117" t="s">
        <v>2756</v>
      </c>
      <c r="C1838" t="s">
        <v>67</v>
      </c>
      <c r="D1838" t="s">
        <v>67</v>
      </c>
      <c r="E1838" t="s">
        <v>67</v>
      </c>
      <c r="F1838" t="s">
        <v>45</v>
      </c>
      <c r="G1838" s="117">
        <v>92.99</v>
      </c>
    </row>
    <row r="1839" spans="1:7" x14ac:dyDescent="0.25">
      <c r="A1839" s="116" t="s">
        <v>2757</v>
      </c>
      <c r="B1839" s="117" t="s">
        <v>2758</v>
      </c>
      <c r="C1839" t="s">
        <v>67</v>
      </c>
      <c r="D1839" t="s">
        <v>67</v>
      </c>
      <c r="E1839" t="s">
        <v>67</v>
      </c>
      <c r="F1839" t="s">
        <v>27987</v>
      </c>
      <c r="G1839" s="117">
        <v>127.69</v>
      </c>
    </row>
    <row r="1840" spans="1:7" x14ac:dyDescent="0.25">
      <c r="A1840" s="116" t="s">
        <v>28451</v>
      </c>
      <c r="B1840" s="117" t="s">
        <v>28452</v>
      </c>
      <c r="C1840" t="s">
        <v>67</v>
      </c>
      <c r="D1840" t="s">
        <v>67</v>
      </c>
      <c r="E1840" t="s">
        <v>67</v>
      </c>
      <c r="F1840" t="s">
        <v>27987</v>
      </c>
      <c r="G1840" s="117">
        <v>29.58</v>
      </c>
    </row>
    <row r="1841" spans="1:7" x14ac:dyDescent="0.25">
      <c r="A1841" s="116" t="s">
        <v>2759</v>
      </c>
      <c r="B1841" s="117" t="s">
        <v>2760</v>
      </c>
      <c r="C1841" t="s">
        <v>67</v>
      </c>
      <c r="D1841" t="s">
        <v>67</v>
      </c>
      <c r="E1841" t="s">
        <v>67</v>
      </c>
      <c r="F1841" t="s">
        <v>45</v>
      </c>
      <c r="G1841" s="117">
        <v>166.31</v>
      </c>
    </row>
    <row r="1842" spans="1:7" x14ac:dyDescent="0.25">
      <c r="A1842" s="116" t="s">
        <v>2761</v>
      </c>
      <c r="B1842" s="117" t="s">
        <v>2762</v>
      </c>
      <c r="C1842" t="s">
        <v>67</v>
      </c>
      <c r="D1842" t="s">
        <v>67</v>
      </c>
      <c r="E1842" t="s">
        <v>67</v>
      </c>
      <c r="F1842" t="s">
        <v>45</v>
      </c>
      <c r="G1842" s="117">
        <v>749.68</v>
      </c>
    </row>
    <row r="1843" spans="1:7" x14ac:dyDescent="0.25">
      <c r="A1843" s="116" t="s">
        <v>2763</v>
      </c>
      <c r="B1843" s="117" t="s">
        <v>2764</v>
      </c>
      <c r="C1843" t="s">
        <v>67</v>
      </c>
      <c r="D1843" t="s">
        <v>67</v>
      </c>
      <c r="E1843" t="s">
        <v>67</v>
      </c>
      <c r="F1843" t="s">
        <v>27987</v>
      </c>
      <c r="G1843" s="117">
        <v>57.75</v>
      </c>
    </row>
    <row r="1844" spans="1:7" x14ac:dyDescent="0.25">
      <c r="A1844" s="116" t="s">
        <v>2765</v>
      </c>
      <c r="B1844" s="117" t="s">
        <v>2766</v>
      </c>
      <c r="C1844" t="s">
        <v>67</v>
      </c>
      <c r="D1844" t="s">
        <v>67</v>
      </c>
      <c r="E1844" t="s">
        <v>67</v>
      </c>
      <c r="F1844" t="s">
        <v>45</v>
      </c>
      <c r="G1844" s="117">
        <v>117.9</v>
      </c>
    </row>
    <row r="1845" spans="1:7" x14ac:dyDescent="0.25">
      <c r="A1845" s="116" t="s">
        <v>28453</v>
      </c>
      <c r="B1845" s="117" t="s">
        <v>28454</v>
      </c>
      <c r="C1845" t="s">
        <v>67</v>
      </c>
      <c r="D1845" t="s">
        <v>67</v>
      </c>
      <c r="E1845" t="s">
        <v>67</v>
      </c>
      <c r="F1845" t="s">
        <v>45</v>
      </c>
      <c r="G1845" s="117">
        <v>0</v>
      </c>
    </row>
    <row r="1846" spans="1:7" x14ac:dyDescent="0.25">
      <c r="A1846" s="116" t="s">
        <v>2767</v>
      </c>
      <c r="B1846" s="117" t="s">
        <v>2768</v>
      </c>
      <c r="C1846" t="s">
        <v>67</v>
      </c>
      <c r="D1846" t="s">
        <v>67</v>
      </c>
      <c r="E1846" t="s">
        <v>67</v>
      </c>
      <c r="F1846" t="s">
        <v>45</v>
      </c>
      <c r="G1846" s="117">
        <v>9.35</v>
      </c>
    </row>
    <row r="1847" spans="1:7" x14ac:dyDescent="0.25">
      <c r="A1847" s="116" t="s">
        <v>2769</v>
      </c>
      <c r="B1847" s="117" t="s">
        <v>2770</v>
      </c>
      <c r="C1847" t="s">
        <v>67</v>
      </c>
      <c r="D1847" t="s">
        <v>67</v>
      </c>
      <c r="E1847" t="s">
        <v>67</v>
      </c>
      <c r="F1847" t="s">
        <v>49</v>
      </c>
      <c r="G1847" s="117">
        <v>39.06</v>
      </c>
    </row>
    <row r="1848" spans="1:7" x14ac:dyDescent="0.25">
      <c r="A1848" s="116" t="s">
        <v>2771</v>
      </c>
      <c r="B1848" s="117" t="s">
        <v>2772</v>
      </c>
      <c r="C1848" t="s">
        <v>67</v>
      </c>
      <c r="D1848" t="s">
        <v>67</v>
      </c>
      <c r="E1848" t="s">
        <v>67</v>
      </c>
      <c r="F1848" t="s">
        <v>49</v>
      </c>
      <c r="G1848" s="117">
        <v>8.81</v>
      </c>
    </row>
    <row r="1849" spans="1:7" x14ac:dyDescent="0.25">
      <c r="A1849" s="116" t="s">
        <v>2773</v>
      </c>
      <c r="B1849" s="117" t="s">
        <v>2774</v>
      </c>
      <c r="C1849" t="s">
        <v>67</v>
      </c>
      <c r="D1849" t="s">
        <v>67</v>
      </c>
      <c r="E1849" t="s">
        <v>67</v>
      </c>
      <c r="F1849" t="s">
        <v>27987</v>
      </c>
      <c r="G1849" s="117">
        <v>13.26</v>
      </c>
    </row>
    <row r="1850" spans="1:7" x14ac:dyDescent="0.25">
      <c r="A1850" s="116" t="s">
        <v>2775</v>
      </c>
      <c r="B1850" s="117" t="s">
        <v>2776</v>
      </c>
      <c r="C1850" t="s">
        <v>67</v>
      </c>
      <c r="D1850" t="s">
        <v>67</v>
      </c>
      <c r="E1850" t="s">
        <v>67</v>
      </c>
      <c r="F1850" t="s">
        <v>27987</v>
      </c>
      <c r="G1850" s="117">
        <v>157.06</v>
      </c>
    </row>
    <row r="1851" spans="1:7" x14ac:dyDescent="0.25">
      <c r="A1851" s="116" t="s">
        <v>28455</v>
      </c>
      <c r="B1851" s="117" t="s">
        <v>28456</v>
      </c>
      <c r="C1851" t="s">
        <v>67</v>
      </c>
      <c r="D1851" t="s">
        <v>67</v>
      </c>
      <c r="E1851" t="s">
        <v>67</v>
      </c>
      <c r="F1851" t="s">
        <v>45</v>
      </c>
      <c r="G1851" s="117">
        <v>0</v>
      </c>
    </row>
    <row r="1852" spans="1:7" x14ac:dyDescent="0.25">
      <c r="A1852" s="116" t="s">
        <v>2777</v>
      </c>
      <c r="B1852" s="117" t="s">
        <v>2778</v>
      </c>
      <c r="C1852" t="s">
        <v>67</v>
      </c>
      <c r="D1852" t="s">
        <v>67</v>
      </c>
      <c r="E1852" t="s">
        <v>67</v>
      </c>
      <c r="F1852" t="s">
        <v>45</v>
      </c>
      <c r="G1852" s="117">
        <v>47.07</v>
      </c>
    </row>
    <row r="1853" spans="1:7" x14ac:dyDescent="0.25">
      <c r="A1853" s="116" t="s">
        <v>2779</v>
      </c>
      <c r="B1853" s="117" t="s">
        <v>2780</v>
      </c>
      <c r="C1853" t="s">
        <v>67</v>
      </c>
      <c r="D1853" t="s">
        <v>67</v>
      </c>
      <c r="E1853" t="s">
        <v>67</v>
      </c>
      <c r="F1853" t="s">
        <v>27987</v>
      </c>
      <c r="G1853" s="117">
        <v>165.42</v>
      </c>
    </row>
    <row r="1854" spans="1:7" x14ac:dyDescent="0.25">
      <c r="A1854" s="116" t="s">
        <v>2781</v>
      </c>
      <c r="B1854" s="117" t="s">
        <v>1895</v>
      </c>
      <c r="C1854" t="s">
        <v>67</v>
      </c>
      <c r="D1854" t="s">
        <v>67</v>
      </c>
      <c r="E1854" t="s">
        <v>67</v>
      </c>
      <c r="F1854" t="s">
        <v>27987</v>
      </c>
      <c r="G1854" s="117">
        <v>26.61</v>
      </c>
    </row>
    <row r="1855" spans="1:7" x14ac:dyDescent="0.25">
      <c r="A1855" s="116" t="s">
        <v>2782</v>
      </c>
      <c r="B1855" s="117" t="s">
        <v>2783</v>
      </c>
      <c r="C1855" t="s">
        <v>67</v>
      </c>
      <c r="D1855" t="s">
        <v>67</v>
      </c>
      <c r="E1855" t="s">
        <v>67</v>
      </c>
      <c r="F1855" t="s">
        <v>45</v>
      </c>
      <c r="G1855" s="117">
        <v>12.37</v>
      </c>
    </row>
    <row r="1856" spans="1:7" x14ac:dyDescent="0.25">
      <c r="A1856" s="116" t="s">
        <v>2784</v>
      </c>
      <c r="B1856" s="117" t="s">
        <v>2785</v>
      </c>
      <c r="C1856" t="s">
        <v>67</v>
      </c>
      <c r="D1856" t="s">
        <v>67</v>
      </c>
      <c r="E1856" t="s">
        <v>67</v>
      </c>
      <c r="F1856" t="s">
        <v>27987</v>
      </c>
      <c r="G1856" s="117">
        <v>24.82</v>
      </c>
    </row>
    <row r="1857" spans="1:7" x14ac:dyDescent="0.25">
      <c r="A1857" s="116" t="s">
        <v>2786</v>
      </c>
      <c r="B1857" s="117" t="s">
        <v>1082</v>
      </c>
      <c r="C1857" t="s">
        <v>67</v>
      </c>
      <c r="D1857" t="s">
        <v>67</v>
      </c>
      <c r="E1857" t="s">
        <v>67</v>
      </c>
      <c r="F1857" t="s">
        <v>27987</v>
      </c>
      <c r="G1857" s="117">
        <v>30.17</v>
      </c>
    </row>
    <row r="1858" spans="1:7" x14ac:dyDescent="0.25">
      <c r="A1858" s="116" t="s">
        <v>2787</v>
      </c>
      <c r="B1858" s="117" t="s">
        <v>2788</v>
      </c>
      <c r="C1858" t="s">
        <v>67</v>
      </c>
      <c r="D1858" t="s">
        <v>67</v>
      </c>
      <c r="E1858" t="s">
        <v>67</v>
      </c>
      <c r="F1858" t="s">
        <v>27987</v>
      </c>
      <c r="G1858" s="117">
        <v>6.14</v>
      </c>
    </row>
    <row r="1859" spans="1:7" x14ac:dyDescent="0.25">
      <c r="A1859" s="116" t="s">
        <v>2789</v>
      </c>
      <c r="B1859" s="117" t="s">
        <v>2790</v>
      </c>
      <c r="C1859" t="s">
        <v>67</v>
      </c>
      <c r="D1859" t="s">
        <v>67</v>
      </c>
      <c r="E1859" t="s">
        <v>67</v>
      </c>
      <c r="F1859" t="s">
        <v>27987</v>
      </c>
      <c r="G1859" s="117">
        <v>8.69</v>
      </c>
    </row>
    <row r="1860" spans="1:7" x14ac:dyDescent="0.25">
      <c r="A1860" s="116" t="s">
        <v>2791</v>
      </c>
      <c r="B1860" s="117" t="s">
        <v>2792</v>
      </c>
      <c r="C1860" t="s">
        <v>67</v>
      </c>
      <c r="D1860" t="s">
        <v>67</v>
      </c>
      <c r="E1860" t="s">
        <v>67</v>
      </c>
      <c r="F1860" t="s">
        <v>27987</v>
      </c>
      <c r="G1860" s="117">
        <v>108.48</v>
      </c>
    </row>
    <row r="1861" spans="1:7" x14ac:dyDescent="0.25">
      <c r="A1861" s="116" t="s">
        <v>2793</v>
      </c>
      <c r="B1861" s="117" t="s">
        <v>2794</v>
      </c>
      <c r="C1861" t="s">
        <v>67</v>
      </c>
      <c r="D1861" t="s">
        <v>67</v>
      </c>
      <c r="E1861" t="s">
        <v>67</v>
      </c>
      <c r="F1861" t="s">
        <v>27987</v>
      </c>
      <c r="G1861" s="117">
        <v>30.17</v>
      </c>
    </row>
    <row r="1862" spans="1:7" x14ac:dyDescent="0.25">
      <c r="A1862" s="116" t="s">
        <v>2795</v>
      </c>
      <c r="B1862" s="117" t="s">
        <v>2796</v>
      </c>
      <c r="C1862" t="s">
        <v>67</v>
      </c>
      <c r="D1862" t="s">
        <v>67</v>
      </c>
      <c r="E1862" t="s">
        <v>67</v>
      </c>
      <c r="F1862" t="s">
        <v>27987</v>
      </c>
      <c r="G1862" s="117">
        <v>189.08</v>
      </c>
    </row>
    <row r="1863" spans="1:7" x14ac:dyDescent="0.25">
      <c r="A1863" s="116" t="s">
        <v>2797</v>
      </c>
      <c r="B1863" s="117" t="s">
        <v>2798</v>
      </c>
      <c r="C1863" t="s">
        <v>67</v>
      </c>
      <c r="D1863" t="s">
        <v>67</v>
      </c>
      <c r="E1863" t="s">
        <v>67</v>
      </c>
      <c r="F1863" t="s">
        <v>27987</v>
      </c>
      <c r="G1863" s="117">
        <v>48.5</v>
      </c>
    </row>
    <row r="1864" spans="1:7" x14ac:dyDescent="0.25">
      <c r="A1864" s="116" t="s">
        <v>2799</v>
      </c>
      <c r="B1864" s="117" t="s">
        <v>2800</v>
      </c>
      <c r="C1864" t="s">
        <v>67</v>
      </c>
      <c r="D1864" t="s">
        <v>67</v>
      </c>
      <c r="E1864" t="s">
        <v>67</v>
      </c>
      <c r="F1864" t="s">
        <v>27987</v>
      </c>
      <c r="G1864" s="117">
        <v>81.42</v>
      </c>
    </row>
    <row r="1865" spans="1:7" x14ac:dyDescent="0.25">
      <c r="A1865" s="116" t="s">
        <v>2801</v>
      </c>
      <c r="B1865" s="117" t="s">
        <v>2802</v>
      </c>
      <c r="C1865" t="s">
        <v>67</v>
      </c>
      <c r="D1865" t="s">
        <v>67</v>
      </c>
      <c r="E1865" t="s">
        <v>67</v>
      </c>
      <c r="F1865" t="s">
        <v>45</v>
      </c>
      <c r="G1865" s="117">
        <v>120.57</v>
      </c>
    </row>
    <row r="1866" spans="1:7" x14ac:dyDescent="0.25">
      <c r="A1866" s="116" t="s">
        <v>2803</v>
      </c>
      <c r="B1866" s="117" t="s">
        <v>2804</v>
      </c>
      <c r="C1866" t="s">
        <v>67</v>
      </c>
      <c r="D1866" t="s">
        <v>67</v>
      </c>
      <c r="E1866" t="s">
        <v>67</v>
      </c>
      <c r="F1866" t="s">
        <v>45</v>
      </c>
      <c r="G1866" s="117">
        <v>234.82</v>
      </c>
    </row>
    <row r="1867" spans="1:7" x14ac:dyDescent="0.25">
      <c r="A1867" s="116" t="s">
        <v>2805</v>
      </c>
      <c r="B1867" s="117" t="s">
        <v>2806</v>
      </c>
      <c r="C1867" t="s">
        <v>67</v>
      </c>
      <c r="D1867" t="s">
        <v>67</v>
      </c>
      <c r="E1867" t="s">
        <v>67</v>
      </c>
      <c r="F1867" t="s">
        <v>45</v>
      </c>
      <c r="G1867" s="117">
        <v>77.86</v>
      </c>
    </row>
    <row r="1868" spans="1:7" x14ac:dyDescent="0.25">
      <c r="A1868" s="116" t="s">
        <v>2807</v>
      </c>
      <c r="B1868" s="117" t="s">
        <v>2808</v>
      </c>
      <c r="C1868" t="s">
        <v>67</v>
      </c>
      <c r="D1868" t="s">
        <v>67</v>
      </c>
      <c r="E1868" t="s">
        <v>67</v>
      </c>
      <c r="F1868" t="s">
        <v>27987</v>
      </c>
      <c r="G1868" s="117">
        <v>394.64</v>
      </c>
    </row>
    <row r="1869" spans="1:7" x14ac:dyDescent="0.25">
      <c r="A1869" s="116" t="s">
        <v>2809</v>
      </c>
      <c r="B1869" s="117" t="s">
        <v>2810</v>
      </c>
      <c r="C1869" t="s">
        <v>67</v>
      </c>
      <c r="D1869" t="s">
        <v>67</v>
      </c>
      <c r="E1869" t="s">
        <v>67</v>
      </c>
      <c r="F1869" t="s">
        <v>27987</v>
      </c>
      <c r="G1869" s="117">
        <v>158.83000000000001</v>
      </c>
    </row>
    <row r="1870" spans="1:7" x14ac:dyDescent="0.25">
      <c r="A1870" s="116" t="s">
        <v>2811</v>
      </c>
      <c r="B1870" s="117" t="s">
        <v>2812</v>
      </c>
      <c r="C1870" t="s">
        <v>67</v>
      </c>
      <c r="D1870" t="s">
        <v>67</v>
      </c>
      <c r="E1870" t="s">
        <v>67</v>
      </c>
      <c r="F1870" t="s">
        <v>27987</v>
      </c>
      <c r="G1870" s="117">
        <v>114.7</v>
      </c>
    </row>
    <row r="1871" spans="1:7" x14ac:dyDescent="0.25">
      <c r="A1871" s="116" t="s">
        <v>2813</v>
      </c>
      <c r="B1871" s="117" t="s">
        <v>2814</v>
      </c>
      <c r="C1871" t="s">
        <v>67</v>
      </c>
      <c r="D1871" t="s">
        <v>67</v>
      </c>
      <c r="E1871" t="s">
        <v>67</v>
      </c>
      <c r="F1871" t="s">
        <v>45</v>
      </c>
      <c r="G1871" s="117">
        <v>55.98</v>
      </c>
    </row>
    <row r="1872" spans="1:7" x14ac:dyDescent="0.25">
      <c r="A1872" s="116" t="s">
        <v>2815</v>
      </c>
      <c r="B1872" s="117" t="s">
        <v>1415</v>
      </c>
      <c r="C1872" t="s">
        <v>67</v>
      </c>
      <c r="D1872" t="s">
        <v>67</v>
      </c>
      <c r="E1872" t="s">
        <v>67</v>
      </c>
      <c r="F1872" t="s">
        <v>27987</v>
      </c>
      <c r="G1872" s="117">
        <v>30.17</v>
      </c>
    </row>
    <row r="1873" spans="1:7" x14ac:dyDescent="0.25">
      <c r="A1873" s="116" t="s">
        <v>2816</v>
      </c>
      <c r="B1873" s="117" t="s">
        <v>2817</v>
      </c>
      <c r="C1873" t="s">
        <v>67</v>
      </c>
      <c r="D1873" t="s">
        <v>67</v>
      </c>
      <c r="E1873" t="s">
        <v>67</v>
      </c>
      <c r="F1873" t="s">
        <v>27987</v>
      </c>
      <c r="G1873" s="117">
        <v>39.950000000000003</v>
      </c>
    </row>
    <row r="1874" spans="1:7" x14ac:dyDescent="0.25">
      <c r="A1874" s="116" t="s">
        <v>2818</v>
      </c>
      <c r="B1874" s="117" t="s">
        <v>1273</v>
      </c>
      <c r="C1874" t="s">
        <v>67</v>
      </c>
      <c r="D1874" t="s">
        <v>67</v>
      </c>
      <c r="E1874" t="s">
        <v>67</v>
      </c>
      <c r="F1874" t="s">
        <v>27987</v>
      </c>
      <c r="G1874" s="117">
        <v>88.54</v>
      </c>
    </row>
    <row r="1875" spans="1:7" x14ac:dyDescent="0.25">
      <c r="A1875" s="116" t="s">
        <v>2819</v>
      </c>
      <c r="B1875" s="117" t="s">
        <v>515</v>
      </c>
      <c r="C1875" t="s">
        <v>67</v>
      </c>
      <c r="D1875" t="s">
        <v>67</v>
      </c>
      <c r="E1875" t="s">
        <v>67</v>
      </c>
      <c r="F1875" t="s">
        <v>27987</v>
      </c>
      <c r="G1875" s="117">
        <v>6.68</v>
      </c>
    </row>
    <row r="1876" spans="1:7" x14ac:dyDescent="0.25">
      <c r="A1876" s="116" t="s">
        <v>2820</v>
      </c>
      <c r="B1876" s="117" t="s">
        <v>2821</v>
      </c>
      <c r="C1876" t="s">
        <v>67</v>
      </c>
      <c r="D1876" t="s">
        <v>67</v>
      </c>
      <c r="E1876" t="s">
        <v>67</v>
      </c>
      <c r="F1876" t="s">
        <v>27987</v>
      </c>
      <c r="G1876" s="117">
        <v>25.71</v>
      </c>
    </row>
    <row r="1877" spans="1:7" x14ac:dyDescent="0.25">
      <c r="A1877" s="116" t="s">
        <v>2822</v>
      </c>
      <c r="B1877" s="117" t="s">
        <v>2823</v>
      </c>
      <c r="C1877" t="s">
        <v>67</v>
      </c>
      <c r="D1877" t="s">
        <v>67</v>
      </c>
      <c r="E1877" t="s">
        <v>67</v>
      </c>
      <c r="F1877" t="s">
        <v>27987</v>
      </c>
      <c r="G1877" s="117">
        <v>79.11</v>
      </c>
    </row>
    <row r="1878" spans="1:7" x14ac:dyDescent="0.25">
      <c r="A1878" s="116" t="s">
        <v>2824</v>
      </c>
      <c r="B1878" s="117" t="s">
        <v>2825</v>
      </c>
      <c r="C1878" t="s">
        <v>67</v>
      </c>
      <c r="D1878" t="s">
        <v>67</v>
      </c>
      <c r="E1878" t="s">
        <v>67</v>
      </c>
      <c r="F1878" t="s">
        <v>27987</v>
      </c>
      <c r="G1878" s="117">
        <v>9.35</v>
      </c>
    </row>
    <row r="1879" spans="1:7" x14ac:dyDescent="0.25">
      <c r="A1879" s="116" t="s">
        <v>2826</v>
      </c>
      <c r="B1879" s="117" t="s">
        <v>2827</v>
      </c>
      <c r="C1879" t="s">
        <v>67</v>
      </c>
      <c r="D1879" t="s">
        <v>67</v>
      </c>
      <c r="E1879" t="s">
        <v>67</v>
      </c>
      <c r="F1879" t="s">
        <v>27987</v>
      </c>
      <c r="G1879" s="117">
        <v>133.38</v>
      </c>
    </row>
    <row r="1880" spans="1:7" x14ac:dyDescent="0.25">
      <c r="A1880" s="116" t="s">
        <v>2828</v>
      </c>
      <c r="B1880" s="117" t="s">
        <v>2829</v>
      </c>
      <c r="C1880" t="s">
        <v>67</v>
      </c>
      <c r="D1880" t="s">
        <v>67</v>
      </c>
      <c r="E1880" t="s">
        <v>67</v>
      </c>
      <c r="F1880" t="s">
        <v>45</v>
      </c>
      <c r="G1880" s="117">
        <v>19.13</v>
      </c>
    </row>
    <row r="1881" spans="1:7" x14ac:dyDescent="0.25">
      <c r="A1881" s="116" t="s">
        <v>2830</v>
      </c>
      <c r="B1881" s="117" t="s">
        <v>2831</v>
      </c>
      <c r="C1881" t="s">
        <v>67</v>
      </c>
      <c r="D1881" t="s">
        <v>67</v>
      </c>
      <c r="E1881" t="s">
        <v>67</v>
      </c>
      <c r="F1881" t="s">
        <v>27987</v>
      </c>
      <c r="G1881" s="117">
        <v>30.7</v>
      </c>
    </row>
    <row r="1882" spans="1:7" x14ac:dyDescent="0.25">
      <c r="A1882" s="116" t="s">
        <v>2832</v>
      </c>
      <c r="B1882" s="117" t="s">
        <v>2833</v>
      </c>
      <c r="C1882" t="s">
        <v>67</v>
      </c>
      <c r="D1882" t="s">
        <v>67</v>
      </c>
      <c r="E1882" t="s">
        <v>67</v>
      </c>
      <c r="F1882" t="s">
        <v>27987</v>
      </c>
      <c r="G1882" s="117">
        <v>126.26</v>
      </c>
    </row>
    <row r="1883" spans="1:7" x14ac:dyDescent="0.25">
      <c r="A1883" s="116" t="s">
        <v>2834</v>
      </c>
      <c r="B1883" s="117" t="s">
        <v>2835</v>
      </c>
      <c r="C1883" t="s">
        <v>67</v>
      </c>
      <c r="D1883" t="s">
        <v>67</v>
      </c>
      <c r="E1883" t="s">
        <v>67</v>
      </c>
      <c r="F1883" t="s">
        <v>27987</v>
      </c>
      <c r="G1883" s="117">
        <v>27.14</v>
      </c>
    </row>
    <row r="1884" spans="1:7" x14ac:dyDescent="0.25">
      <c r="A1884" s="116" t="s">
        <v>2836</v>
      </c>
      <c r="B1884" s="117" t="s">
        <v>2837</v>
      </c>
      <c r="C1884" t="s">
        <v>67</v>
      </c>
      <c r="D1884" t="s">
        <v>67</v>
      </c>
      <c r="E1884" t="s">
        <v>67</v>
      </c>
      <c r="F1884" t="s">
        <v>45</v>
      </c>
      <c r="G1884" s="117">
        <v>100.46</v>
      </c>
    </row>
    <row r="1885" spans="1:7" x14ac:dyDescent="0.25">
      <c r="A1885" s="116" t="s">
        <v>2838</v>
      </c>
      <c r="B1885" s="117" t="s">
        <v>2839</v>
      </c>
      <c r="C1885" t="s">
        <v>67</v>
      </c>
      <c r="D1885" t="s">
        <v>67</v>
      </c>
      <c r="E1885" t="s">
        <v>67</v>
      </c>
      <c r="F1885" t="s">
        <v>27987</v>
      </c>
      <c r="G1885" s="117">
        <v>94.76</v>
      </c>
    </row>
    <row r="1886" spans="1:7" x14ac:dyDescent="0.25">
      <c r="A1886" s="116" t="s">
        <v>2840</v>
      </c>
      <c r="B1886" s="117" t="s">
        <v>2841</v>
      </c>
      <c r="C1886" t="s">
        <v>67</v>
      </c>
      <c r="D1886" t="s">
        <v>67</v>
      </c>
      <c r="E1886" t="s">
        <v>67</v>
      </c>
      <c r="F1886" t="s">
        <v>27987</v>
      </c>
      <c r="G1886" s="117">
        <v>39.06</v>
      </c>
    </row>
    <row r="1887" spans="1:7" x14ac:dyDescent="0.25">
      <c r="A1887" s="116" t="s">
        <v>2842</v>
      </c>
      <c r="B1887" s="117" t="s">
        <v>1273</v>
      </c>
      <c r="C1887" t="s">
        <v>67</v>
      </c>
      <c r="D1887" t="s">
        <v>67</v>
      </c>
      <c r="E1887" t="s">
        <v>67</v>
      </c>
      <c r="F1887" t="s">
        <v>27987</v>
      </c>
      <c r="G1887" s="117">
        <v>274.87</v>
      </c>
    </row>
    <row r="1888" spans="1:7" x14ac:dyDescent="0.25">
      <c r="A1888" s="116" t="s">
        <v>2843</v>
      </c>
      <c r="B1888" s="117" t="s">
        <v>2844</v>
      </c>
      <c r="C1888" t="s">
        <v>67</v>
      </c>
      <c r="D1888" t="s">
        <v>67</v>
      </c>
      <c r="E1888" t="s">
        <v>67</v>
      </c>
      <c r="F1888" t="s">
        <v>27987</v>
      </c>
      <c r="G1888" s="117">
        <v>126.26</v>
      </c>
    </row>
    <row r="1889" spans="1:7" x14ac:dyDescent="0.25">
      <c r="A1889" s="116" t="s">
        <v>2845</v>
      </c>
      <c r="B1889" s="117" t="s">
        <v>465</v>
      </c>
      <c r="C1889" t="s">
        <v>67</v>
      </c>
      <c r="D1889" t="s">
        <v>67</v>
      </c>
      <c r="E1889" t="s">
        <v>67</v>
      </c>
      <c r="F1889" t="s">
        <v>27987</v>
      </c>
      <c r="G1889" s="117">
        <v>31.94</v>
      </c>
    </row>
    <row r="1890" spans="1:7" x14ac:dyDescent="0.25">
      <c r="A1890" s="116" t="s">
        <v>2846</v>
      </c>
      <c r="B1890" s="117" t="s">
        <v>2847</v>
      </c>
      <c r="C1890" t="s">
        <v>67</v>
      </c>
      <c r="D1890" t="s">
        <v>67</v>
      </c>
      <c r="E1890" t="s">
        <v>67</v>
      </c>
      <c r="F1890" t="s">
        <v>45</v>
      </c>
      <c r="G1890" s="117">
        <v>268.70999999999998</v>
      </c>
    </row>
    <row r="1891" spans="1:7" x14ac:dyDescent="0.25">
      <c r="A1891" s="116" t="s">
        <v>2848</v>
      </c>
      <c r="B1891" s="117" t="s">
        <v>2849</v>
      </c>
      <c r="C1891" t="s">
        <v>67</v>
      </c>
      <c r="D1891" t="s">
        <v>67</v>
      </c>
      <c r="E1891" t="s">
        <v>67</v>
      </c>
      <c r="F1891" t="s">
        <v>27987</v>
      </c>
      <c r="G1891" s="117">
        <v>214.89</v>
      </c>
    </row>
    <row r="1892" spans="1:7" x14ac:dyDescent="0.25">
      <c r="A1892" s="116" t="s">
        <v>2850</v>
      </c>
      <c r="B1892" s="117" t="s">
        <v>2851</v>
      </c>
      <c r="C1892" t="s">
        <v>67</v>
      </c>
      <c r="D1892" t="s">
        <v>67</v>
      </c>
      <c r="E1892" t="s">
        <v>67</v>
      </c>
      <c r="F1892" t="s">
        <v>49</v>
      </c>
      <c r="G1892" s="117">
        <v>44.05</v>
      </c>
    </row>
    <row r="1893" spans="1:7" x14ac:dyDescent="0.25">
      <c r="A1893" s="116" t="s">
        <v>2852</v>
      </c>
      <c r="B1893" s="117" t="s">
        <v>465</v>
      </c>
      <c r="C1893" t="s">
        <v>67</v>
      </c>
      <c r="D1893" t="s">
        <v>67</v>
      </c>
      <c r="E1893" t="s">
        <v>67</v>
      </c>
      <c r="F1893" t="s">
        <v>27987</v>
      </c>
      <c r="G1893" s="117">
        <v>63.08</v>
      </c>
    </row>
    <row r="1894" spans="1:7" x14ac:dyDescent="0.25">
      <c r="A1894" s="116" t="s">
        <v>2853</v>
      </c>
      <c r="B1894" s="117" t="s">
        <v>10789</v>
      </c>
      <c r="C1894" t="s">
        <v>67</v>
      </c>
      <c r="D1894" t="s">
        <v>67</v>
      </c>
      <c r="E1894" t="s">
        <v>67</v>
      </c>
      <c r="F1894" t="s">
        <v>27987</v>
      </c>
      <c r="G1894" s="117">
        <v>114.8</v>
      </c>
    </row>
    <row r="1895" spans="1:7" x14ac:dyDescent="0.25">
      <c r="A1895" s="116" t="s">
        <v>2854</v>
      </c>
      <c r="B1895" s="117" t="s">
        <v>2855</v>
      </c>
      <c r="C1895" t="s">
        <v>67</v>
      </c>
      <c r="D1895" t="s">
        <v>67</v>
      </c>
      <c r="E1895" t="s">
        <v>67</v>
      </c>
      <c r="F1895" t="s">
        <v>27987</v>
      </c>
      <c r="G1895" s="117">
        <v>27.5</v>
      </c>
    </row>
    <row r="1896" spans="1:7" x14ac:dyDescent="0.25">
      <c r="A1896" s="116" t="s">
        <v>2856</v>
      </c>
      <c r="B1896" s="117" t="s">
        <v>1111</v>
      </c>
      <c r="C1896" t="s">
        <v>67</v>
      </c>
      <c r="D1896" t="s">
        <v>67</v>
      </c>
      <c r="E1896" t="s">
        <v>67</v>
      </c>
      <c r="F1896" t="s">
        <v>27987</v>
      </c>
      <c r="G1896" s="117">
        <v>121.82</v>
      </c>
    </row>
    <row r="1897" spans="1:7" x14ac:dyDescent="0.25">
      <c r="A1897" s="116" t="s">
        <v>2857</v>
      </c>
      <c r="B1897" s="117" t="s">
        <v>2858</v>
      </c>
      <c r="C1897" t="s">
        <v>67</v>
      </c>
      <c r="D1897" t="s">
        <v>67</v>
      </c>
      <c r="E1897" t="s">
        <v>67</v>
      </c>
      <c r="F1897" t="s">
        <v>27987</v>
      </c>
      <c r="G1897" s="117">
        <v>40.49</v>
      </c>
    </row>
    <row r="1898" spans="1:7" x14ac:dyDescent="0.25">
      <c r="A1898" s="116" t="s">
        <v>2859</v>
      </c>
      <c r="B1898" s="117" t="s">
        <v>2860</v>
      </c>
      <c r="C1898" t="s">
        <v>67</v>
      </c>
      <c r="D1898" t="s">
        <v>67</v>
      </c>
      <c r="E1898" t="s">
        <v>67</v>
      </c>
      <c r="F1898" t="s">
        <v>27987</v>
      </c>
      <c r="G1898" s="117">
        <v>63.98</v>
      </c>
    </row>
    <row r="1899" spans="1:7" x14ac:dyDescent="0.25">
      <c r="A1899" s="116" t="s">
        <v>2861</v>
      </c>
      <c r="B1899" s="117" t="s">
        <v>2817</v>
      </c>
      <c r="C1899" t="s">
        <v>67</v>
      </c>
      <c r="D1899" t="s">
        <v>67</v>
      </c>
      <c r="E1899" t="s">
        <v>67</v>
      </c>
      <c r="F1899" t="s">
        <v>27987</v>
      </c>
      <c r="G1899" s="117">
        <v>92.1</v>
      </c>
    </row>
    <row r="1900" spans="1:7" x14ac:dyDescent="0.25">
      <c r="A1900" s="116" t="s">
        <v>2862</v>
      </c>
      <c r="B1900" s="117" t="s">
        <v>2863</v>
      </c>
      <c r="C1900" t="s">
        <v>67</v>
      </c>
      <c r="D1900" t="s">
        <v>67</v>
      </c>
      <c r="E1900" t="s">
        <v>67</v>
      </c>
      <c r="F1900" t="s">
        <v>27987</v>
      </c>
      <c r="G1900" s="117">
        <v>124.13</v>
      </c>
    </row>
    <row r="1901" spans="1:7" x14ac:dyDescent="0.25">
      <c r="A1901" s="116" t="s">
        <v>2864</v>
      </c>
      <c r="B1901" s="117" t="s">
        <v>2865</v>
      </c>
      <c r="C1901" t="s">
        <v>67</v>
      </c>
      <c r="D1901" t="s">
        <v>67</v>
      </c>
      <c r="E1901" t="s">
        <v>67</v>
      </c>
      <c r="F1901" t="s">
        <v>27987</v>
      </c>
      <c r="G1901" s="117">
        <v>180.55</v>
      </c>
    </row>
    <row r="1902" spans="1:7" x14ac:dyDescent="0.25">
      <c r="A1902" s="116" t="s">
        <v>2866</v>
      </c>
      <c r="B1902" s="117" t="s">
        <v>2867</v>
      </c>
      <c r="C1902" t="s">
        <v>67</v>
      </c>
      <c r="D1902" t="s">
        <v>67</v>
      </c>
      <c r="E1902" t="s">
        <v>67</v>
      </c>
      <c r="F1902" t="s">
        <v>45</v>
      </c>
      <c r="G1902" s="117">
        <v>118.26</v>
      </c>
    </row>
    <row r="1903" spans="1:7" x14ac:dyDescent="0.25">
      <c r="A1903" s="116" t="s">
        <v>2868</v>
      </c>
      <c r="B1903" s="117" t="s">
        <v>2869</v>
      </c>
      <c r="C1903" t="s">
        <v>67</v>
      </c>
      <c r="D1903" t="s">
        <v>67</v>
      </c>
      <c r="E1903" t="s">
        <v>67</v>
      </c>
      <c r="F1903" t="s">
        <v>45</v>
      </c>
      <c r="G1903" s="117">
        <v>301.2</v>
      </c>
    </row>
    <row r="1904" spans="1:7" x14ac:dyDescent="0.25">
      <c r="A1904" s="116" t="s">
        <v>2870</v>
      </c>
      <c r="B1904" s="117" t="s">
        <v>2871</v>
      </c>
      <c r="C1904" t="s">
        <v>67</v>
      </c>
      <c r="D1904" t="s">
        <v>67</v>
      </c>
      <c r="E1904" t="s">
        <v>67</v>
      </c>
      <c r="F1904" t="s">
        <v>27987</v>
      </c>
      <c r="G1904" s="117">
        <v>44.94</v>
      </c>
    </row>
    <row r="1905" spans="1:7" x14ac:dyDescent="0.25">
      <c r="A1905" s="116" t="s">
        <v>2872</v>
      </c>
      <c r="B1905" s="117" t="s">
        <v>2871</v>
      </c>
      <c r="C1905" t="s">
        <v>67</v>
      </c>
      <c r="D1905" t="s">
        <v>67</v>
      </c>
      <c r="E1905" t="s">
        <v>67</v>
      </c>
      <c r="F1905" t="s">
        <v>27987</v>
      </c>
      <c r="G1905" s="117">
        <v>34.86</v>
      </c>
    </row>
    <row r="1906" spans="1:7" x14ac:dyDescent="0.25">
      <c r="A1906" s="116" t="s">
        <v>2873</v>
      </c>
      <c r="B1906" s="117" t="s">
        <v>2874</v>
      </c>
      <c r="C1906" t="s">
        <v>67</v>
      </c>
      <c r="D1906" t="s">
        <v>67</v>
      </c>
      <c r="E1906" t="s">
        <v>67</v>
      </c>
      <c r="F1906" t="s">
        <v>27987</v>
      </c>
      <c r="G1906" s="117">
        <v>131.25</v>
      </c>
    </row>
    <row r="1907" spans="1:7" x14ac:dyDescent="0.25">
      <c r="A1907" s="116" t="s">
        <v>2875</v>
      </c>
      <c r="B1907" s="117" t="s">
        <v>1497</v>
      </c>
      <c r="C1907" t="s">
        <v>67</v>
      </c>
      <c r="D1907" t="s">
        <v>67</v>
      </c>
      <c r="E1907" t="s">
        <v>67</v>
      </c>
      <c r="F1907" t="s">
        <v>45</v>
      </c>
      <c r="G1907" s="117">
        <v>27.14</v>
      </c>
    </row>
    <row r="1908" spans="1:7" x14ac:dyDescent="0.25">
      <c r="A1908" s="116" t="s">
        <v>2876</v>
      </c>
      <c r="B1908" s="117" t="s">
        <v>2877</v>
      </c>
      <c r="C1908" t="s">
        <v>67</v>
      </c>
      <c r="D1908" t="s">
        <v>67</v>
      </c>
      <c r="E1908" t="s">
        <v>67</v>
      </c>
      <c r="F1908" t="s">
        <v>27987</v>
      </c>
      <c r="G1908" s="117">
        <v>101.88</v>
      </c>
    </row>
    <row r="1909" spans="1:7" x14ac:dyDescent="0.25">
      <c r="A1909" s="116" t="s">
        <v>2878</v>
      </c>
      <c r="B1909" s="117" t="s">
        <v>2879</v>
      </c>
      <c r="C1909" t="s">
        <v>67</v>
      </c>
      <c r="D1909" t="s">
        <v>67</v>
      </c>
      <c r="E1909" t="s">
        <v>67</v>
      </c>
      <c r="F1909" t="s">
        <v>27987</v>
      </c>
      <c r="G1909" s="117">
        <v>91.2</v>
      </c>
    </row>
    <row r="1910" spans="1:7" x14ac:dyDescent="0.25">
      <c r="A1910" s="116" t="s">
        <v>2880</v>
      </c>
      <c r="B1910" s="117" t="s">
        <v>2881</v>
      </c>
      <c r="C1910" t="s">
        <v>67</v>
      </c>
      <c r="D1910" t="s">
        <v>67</v>
      </c>
      <c r="E1910" t="s">
        <v>67</v>
      </c>
      <c r="F1910" t="s">
        <v>45</v>
      </c>
      <c r="G1910" s="117">
        <v>36.93</v>
      </c>
    </row>
    <row r="1911" spans="1:7" x14ac:dyDescent="0.25">
      <c r="A1911" s="116" t="s">
        <v>2882</v>
      </c>
      <c r="B1911" s="117" t="s">
        <v>1267</v>
      </c>
      <c r="C1911" t="s">
        <v>67</v>
      </c>
      <c r="D1911" t="s">
        <v>67</v>
      </c>
      <c r="E1911" t="s">
        <v>67</v>
      </c>
      <c r="F1911" t="s">
        <v>45</v>
      </c>
      <c r="G1911" s="117">
        <v>62.74</v>
      </c>
    </row>
    <row r="1912" spans="1:7" x14ac:dyDescent="0.25">
      <c r="A1912" s="116" t="s">
        <v>2883</v>
      </c>
      <c r="B1912" s="117" t="s">
        <v>2884</v>
      </c>
      <c r="C1912" t="s">
        <v>67</v>
      </c>
      <c r="D1912" t="s">
        <v>67</v>
      </c>
      <c r="E1912" t="s">
        <v>67</v>
      </c>
      <c r="F1912" t="s">
        <v>45</v>
      </c>
      <c r="G1912" s="117">
        <v>15.93</v>
      </c>
    </row>
    <row r="1913" spans="1:7" x14ac:dyDescent="0.25">
      <c r="A1913" s="116" t="s">
        <v>2885</v>
      </c>
      <c r="B1913" s="117" t="s">
        <v>2231</v>
      </c>
      <c r="C1913" t="s">
        <v>67</v>
      </c>
      <c r="D1913" t="s">
        <v>67</v>
      </c>
      <c r="E1913" t="s">
        <v>67</v>
      </c>
      <c r="F1913" t="s">
        <v>27987</v>
      </c>
      <c r="G1913" s="117">
        <v>16.46</v>
      </c>
    </row>
    <row r="1914" spans="1:7" x14ac:dyDescent="0.25">
      <c r="A1914" s="116" t="s">
        <v>2886</v>
      </c>
      <c r="B1914" s="117" t="s">
        <v>2887</v>
      </c>
      <c r="C1914" t="s">
        <v>67</v>
      </c>
      <c r="D1914" t="s">
        <v>67</v>
      </c>
      <c r="E1914" t="s">
        <v>67</v>
      </c>
      <c r="F1914" t="s">
        <v>27987</v>
      </c>
      <c r="G1914" s="117">
        <v>59.18</v>
      </c>
    </row>
    <row r="1915" spans="1:7" x14ac:dyDescent="0.25">
      <c r="A1915" s="116" t="s">
        <v>2888</v>
      </c>
      <c r="B1915" s="117" t="s">
        <v>2889</v>
      </c>
      <c r="C1915" t="s">
        <v>67</v>
      </c>
      <c r="D1915" t="s">
        <v>67</v>
      </c>
      <c r="E1915" t="s">
        <v>67</v>
      </c>
      <c r="F1915" t="s">
        <v>27987</v>
      </c>
      <c r="G1915" s="117">
        <v>88.54</v>
      </c>
    </row>
    <row r="1916" spans="1:7" x14ac:dyDescent="0.25">
      <c r="A1916" s="116" t="s">
        <v>2890</v>
      </c>
      <c r="B1916" s="117" t="s">
        <v>2891</v>
      </c>
      <c r="C1916" t="s">
        <v>67</v>
      </c>
      <c r="D1916" t="s">
        <v>67</v>
      </c>
      <c r="E1916" t="s">
        <v>67</v>
      </c>
      <c r="F1916" t="s">
        <v>27987</v>
      </c>
      <c r="G1916" s="117">
        <v>61.31</v>
      </c>
    </row>
    <row r="1917" spans="1:7" x14ac:dyDescent="0.25">
      <c r="A1917" s="116" t="s">
        <v>2892</v>
      </c>
      <c r="B1917" s="117" t="s">
        <v>2893</v>
      </c>
      <c r="C1917" t="s">
        <v>67</v>
      </c>
      <c r="D1917" t="s">
        <v>67</v>
      </c>
      <c r="E1917" t="s">
        <v>67</v>
      </c>
      <c r="F1917" t="s">
        <v>27987</v>
      </c>
      <c r="G1917" s="117">
        <v>48.5</v>
      </c>
    </row>
    <row r="1918" spans="1:7" x14ac:dyDescent="0.25">
      <c r="A1918" s="116" t="s">
        <v>2894</v>
      </c>
      <c r="B1918" s="117" t="s">
        <v>2895</v>
      </c>
      <c r="C1918" t="s">
        <v>67</v>
      </c>
      <c r="D1918" t="s">
        <v>67</v>
      </c>
      <c r="E1918" t="s">
        <v>67</v>
      </c>
      <c r="F1918" t="s">
        <v>27987</v>
      </c>
      <c r="G1918" s="117">
        <v>44.05</v>
      </c>
    </row>
    <row r="1919" spans="1:7" x14ac:dyDescent="0.25">
      <c r="A1919" s="116" t="s">
        <v>28457</v>
      </c>
      <c r="B1919" s="117" t="s">
        <v>28458</v>
      </c>
      <c r="C1919" t="s">
        <v>67</v>
      </c>
      <c r="D1919" t="s">
        <v>67</v>
      </c>
      <c r="E1919" t="s">
        <v>67</v>
      </c>
      <c r="F1919" t="s">
        <v>45</v>
      </c>
      <c r="G1919" s="117">
        <v>0</v>
      </c>
    </row>
    <row r="1920" spans="1:7" x14ac:dyDescent="0.25">
      <c r="A1920" s="116" t="s">
        <v>2896</v>
      </c>
      <c r="B1920" s="117" t="s">
        <v>2897</v>
      </c>
      <c r="C1920" t="s">
        <v>67</v>
      </c>
      <c r="D1920" t="s">
        <v>67</v>
      </c>
      <c r="E1920" t="s">
        <v>67</v>
      </c>
      <c r="F1920" t="s">
        <v>27987</v>
      </c>
      <c r="G1920" s="117">
        <v>262.06</v>
      </c>
    </row>
    <row r="1921" spans="1:7" x14ac:dyDescent="0.25">
      <c r="A1921" s="116" t="s">
        <v>28114</v>
      </c>
      <c r="B1921" s="117" t="s">
        <v>30022</v>
      </c>
      <c r="C1921" t="s">
        <v>67</v>
      </c>
      <c r="D1921" t="s">
        <v>67</v>
      </c>
      <c r="E1921" t="s">
        <v>67</v>
      </c>
      <c r="F1921" t="s">
        <v>27987</v>
      </c>
      <c r="G1921" s="117">
        <v>192.68</v>
      </c>
    </row>
    <row r="1922" spans="1:7" x14ac:dyDescent="0.25">
      <c r="A1922" s="116" t="s">
        <v>2898</v>
      </c>
      <c r="B1922" s="117" t="s">
        <v>2899</v>
      </c>
      <c r="C1922" t="s">
        <v>67</v>
      </c>
      <c r="D1922" t="s">
        <v>67</v>
      </c>
      <c r="E1922" t="s">
        <v>67</v>
      </c>
      <c r="F1922" t="s">
        <v>27987</v>
      </c>
      <c r="G1922" s="117">
        <v>64.87</v>
      </c>
    </row>
    <row r="1923" spans="1:7" x14ac:dyDescent="0.25">
      <c r="A1923" s="116" t="s">
        <v>2900</v>
      </c>
      <c r="B1923" s="117" t="s">
        <v>2901</v>
      </c>
      <c r="C1923" t="s">
        <v>67</v>
      </c>
      <c r="D1923" t="s">
        <v>67</v>
      </c>
      <c r="E1923" t="s">
        <v>67</v>
      </c>
      <c r="F1923" t="s">
        <v>27987</v>
      </c>
      <c r="G1923" s="117">
        <v>77.86</v>
      </c>
    </row>
    <row r="1924" spans="1:7" x14ac:dyDescent="0.25">
      <c r="A1924" s="116" t="s">
        <v>28459</v>
      </c>
      <c r="B1924" s="117" t="s">
        <v>28460</v>
      </c>
      <c r="C1924" t="s">
        <v>67</v>
      </c>
      <c r="D1924" t="s">
        <v>67</v>
      </c>
      <c r="E1924" t="s">
        <v>67</v>
      </c>
      <c r="F1924" t="s">
        <v>45</v>
      </c>
      <c r="G1924" s="117">
        <v>0</v>
      </c>
    </row>
    <row r="1925" spans="1:7" x14ac:dyDescent="0.25">
      <c r="A1925" s="116" t="s">
        <v>2902</v>
      </c>
      <c r="B1925" s="117" t="s">
        <v>2903</v>
      </c>
      <c r="C1925" t="s">
        <v>67</v>
      </c>
      <c r="D1925" t="s">
        <v>67</v>
      </c>
      <c r="E1925" t="s">
        <v>67</v>
      </c>
      <c r="F1925" t="s">
        <v>27987</v>
      </c>
      <c r="G1925" s="117">
        <v>49.74</v>
      </c>
    </row>
    <row r="1926" spans="1:7" x14ac:dyDescent="0.25">
      <c r="A1926" s="116" t="s">
        <v>2904</v>
      </c>
      <c r="B1926" s="117" t="s">
        <v>2905</v>
      </c>
      <c r="C1926" t="s">
        <v>67</v>
      </c>
      <c r="D1926" t="s">
        <v>67</v>
      </c>
      <c r="E1926" t="s">
        <v>67</v>
      </c>
      <c r="F1926" t="s">
        <v>27987</v>
      </c>
      <c r="G1926" s="117">
        <v>48.5</v>
      </c>
    </row>
    <row r="1927" spans="1:7" x14ac:dyDescent="0.25">
      <c r="A1927" s="116" t="s">
        <v>2906</v>
      </c>
      <c r="B1927" s="117" t="s">
        <v>2907</v>
      </c>
      <c r="C1927" t="s">
        <v>67</v>
      </c>
      <c r="D1927" t="s">
        <v>67</v>
      </c>
      <c r="E1927" t="s">
        <v>67</v>
      </c>
      <c r="F1927" t="s">
        <v>27987</v>
      </c>
      <c r="G1927" s="117">
        <v>63.98</v>
      </c>
    </row>
    <row r="1928" spans="1:7" x14ac:dyDescent="0.25">
      <c r="A1928" s="116" t="s">
        <v>2908</v>
      </c>
      <c r="B1928" s="117" t="s">
        <v>2909</v>
      </c>
      <c r="C1928" t="s">
        <v>67</v>
      </c>
      <c r="D1928" t="s">
        <v>67</v>
      </c>
      <c r="E1928" t="s">
        <v>67</v>
      </c>
      <c r="F1928" t="s">
        <v>27987</v>
      </c>
      <c r="G1928" s="117">
        <v>159.19</v>
      </c>
    </row>
    <row r="1929" spans="1:7" x14ac:dyDescent="0.25">
      <c r="A1929" s="116" t="s">
        <v>2910</v>
      </c>
      <c r="B1929" s="117" t="s">
        <v>2911</v>
      </c>
      <c r="C1929" t="s">
        <v>67</v>
      </c>
      <c r="D1929" t="s">
        <v>67</v>
      </c>
      <c r="E1929" t="s">
        <v>67</v>
      </c>
      <c r="F1929" t="s">
        <v>49</v>
      </c>
      <c r="G1929" s="117">
        <v>35.5</v>
      </c>
    </row>
    <row r="1930" spans="1:7" x14ac:dyDescent="0.25">
      <c r="A1930" s="116" t="s">
        <v>2912</v>
      </c>
      <c r="B1930" s="117" t="s">
        <v>2913</v>
      </c>
      <c r="C1930" t="s">
        <v>67</v>
      </c>
      <c r="D1930" t="s">
        <v>67</v>
      </c>
      <c r="E1930" t="s">
        <v>67</v>
      </c>
      <c r="F1930" t="s">
        <v>27987</v>
      </c>
      <c r="G1930" s="117">
        <v>77.86</v>
      </c>
    </row>
    <row r="1931" spans="1:7" x14ac:dyDescent="0.25">
      <c r="A1931" s="116" t="s">
        <v>2914</v>
      </c>
      <c r="B1931" s="117" t="s">
        <v>2915</v>
      </c>
      <c r="C1931" t="s">
        <v>67</v>
      </c>
      <c r="D1931" t="s">
        <v>67</v>
      </c>
      <c r="E1931" t="s">
        <v>67</v>
      </c>
      <c r="F1931" t="s">
        <v>27987</v>
      </c>
      <c r="G1931" s="117">
        <v>52.94</v>
      </c>
    </row>
    <row r="1932" spans="1:7" x14ac:dyDescent="0.25">
      <c r="A1932" s="116" t="s">
        <v>2916</v>
      </c>
      <c r="B1932" s="117" t="s">
        <v>2917</v>
      </c>
      <c r="C1932" t="s">
        <v>67</v>
      </c>
      <c r="D1932" t="s">
        <v>67</v>
      </c>
      <c r="E1932" t="s">
        <v>67</v>
      </c>
      <c r="F1932" t="s">
        <v>27987</v>
      </c>
      <c r="G1932" s="117">
        <v>15.57</v>
      </c>
    </row>
    <row r="1933" spans="1:7" x14ac:dyDescent="0.25">
      <c r="A1933" s="116" t="s">
        <v>2918</v>
      </c>
      <c r="B1933" s="117" t="s">
        <v>2919</v>
      </c>
      <c r="C1933" t="s">
        <v>67</v>
      </c>
      <c r="D1933" t="s">
        <v>67</v>
      </c>
      <c r="E1933" t="s">
        <v>67</v>
      </c>
      <c r="F1933" t="s">
        <v>45</v>
      </c>
      <c r="G1933" s="117">
        <v>209.92</v>
      </c>
    </row>
    <row r="1934" spans="1:7" x14ac:dyDescent="0.25">
      <c r="A1934" s="116" t="s">
        <v>2920</v>
      </c>
      <c r="B1934" s="117" t="s">
        <v>2921</v>
      </c>
      <c r="C1934" t="s">
        <v>67</v>
      </c>
      <c r="D1934" t="s">
        <v>67</v>
      </c>
      <c r="E1934" t="s">
        <v>67</v>
      </c>
      <c r="F1934" t="s">
        <v>27987</v>
      </c>
      <c r="G1934" s="117">
        <v>55.62</v>
      </c>
    </row>
    <row r="1935" spans="1:7" x14ac:dyDescent="0.25">
      <c r="A1935" s="116" t="s">
        <v>2922</v>
      </c>
      <c r="B1935" s="117" t="s">
        <v>2923</v>
      </c>
      <c r="C1935" t="s">
        <v>67</v>
      </c>
      <c r="D1935" t="s">
        <v>67</v>
      </c>
      <c r="E1935" t="s">
        <v>67</v>
      </c>
      <c r="F1935" t="s">
        <v>27987</v>
      </c>
      <c r="G1935" s="117">
        <v>203.32</v>
      </c>
    </row>
    <row r="1936" spans="1:7" x14ac:dyDescent="0.25">
      <c r="A1936" s="116" t="s">
        <v>2924</v>
      </c>
      <c r="B1936" s="117" t="s">
        <v>2925</v>
      </c>
      <c r="C1936" t="s">
        <v>67</v>
      </c>
      <c r="D1936" t="s">
        <v>67</v>
      </c>
      <c r="E1936" t="s">
        <v>67</v>
      </c>
      <c r="F1936" t="s">
        <v>45</v>
      </c>
      <c r="G1936" s="117">
        <v>127.69</v>
      </c>
    </row>
    <row r="1937" spans="1:7" x14ac:dyDescent="0.25">
      <c r="A1937" s="116" t="s">
        <v>2926</v>
      </c>
      <c r="B1937" s="117" t="s">
        <v>2231</v>
      </c>
      <c r="C1937" t="s">
        <v>67</v>
      </c>
      <c r="D1937" t="s">
        <v>67</v>
      </c>
      <c r="E1937" t="s">
        <v>67</v>
      </c>
      <c r="F1937" t="s">
        <v>51</v>
      </c>
      <c r="G1937" s="117">
        <v>7.02</v>
      </c>
    </row>
    <row r="1938" spans="1:7" x14ac:dyDescent="0.25">
      <c r="A1938" s="116" t="s">
        <v>2927</v>
      </c>
      <c r="B1938" s="117" t="s">
        <v>2928</v>
      </c>
      <c r="C1938" t="s">
        <v>67</v>
      </c>
      <c r="D1938" t="s">
        <v>67</v>
      </c>
      <c r="E1938" t="s">
        <v>67</v>
      </c>
      <c r="F1938" t="s">
        <v>45</v>
      </c>
      <c r="G1938" s="117">
        <v>254.94</v>
      </c>
    </row>
    <row r="1939" spans="1:7" x14ac:dyDescent="0.25">
      <c r="A1939" s="116" t="s">
        <v>2929</v>
      </c>
      <c r="B1939" s="117" t="s">
        <v>2930</v>
      </c>
      <c r="C1939" t="s">
        <v>67</v>
      </c>
      <c r="D1939" t="s">
        <v>67</v>
      </c>
      <c r="E1939" t="s">
        <v>67</v>
      </c>
      <c r="F1939" t="s">
        <v>27987</v>
      </c>
      <c r="G1939" s="117">
        <v>134.81</v>
      </c>
    </row>
    <row r="1940" spans="1:7" x14ac:dyDescent="0.25">
      <c r="A1940" s="116" t="s">
        <v>2931</v>
      </c>
      <c r="B1940" s="117" t="s">
        <v>2932</v>
      </c>
      <c r="C1940" t="s">
        <v>67</v>
      </c>
      <c r="D1940" t="s">
        <v>67</v>
      </c>
      <c r="E1940" t="s">
        <v>67</v>
      </c>
      <c r="F1940" t="s">
        <v>49</v>
      </c>
      <c r="G1940" s="117">
        <v>212.58</v>
      </c>
    </row>
    <row r="1941" spans="1:7" x14ac:dyDescent="0.25">
      <c r="A1941" s="116" t="s">
        <v>2933</v>
      </c>
      <c r="B1941" s="117" t="s">
        <v>2934</v>
      </c>
      <c r="C1941" t="s">
        <v>67</v>
      </c>
      <c r="D1941" t="s">
        <v>67</v>
      </c>
      <c r="E1941" t="s">
        <v>67</v>
      </c>
      <c r="F1941" t="s">
        <v>45</v>
      </c>
      <c r="G1941" s="117">
        <v>133.38</v>
      </c>
    </row>
    <row r="1942" spans="1:7" x14ac:dyDescent="0.25">
      <c r="A1942" s="116" t="s">
        <v>2935</v>
      </c>
      <c r="B1942" s="117" t="s">
        <v>2936</v>
      </c>
      <c r="C1942" t="s">
        <v>67</v>
      </c>
      <c r="D1942" t="s">
        <v>67</v>
      </c>
      <c r="E1942" t="s">
        <v>67</v>
      </c>
      <c r="F1942" t="s">
        <v>27987</v>
      </c>
      <c r="G1942" s="117">
        <v>502.31</v>
      </c>
    </row>
    <row r="1943" spans="1:7" x14ac:dyDescent="0.25">
      <c r="A1943" s="116" t="s">
        <v>2937</v>
      </c>
      <c r="B1943" s="117" t="s">
        <v>2938</v>
      </c>
      <c r="C1943" t="s">
        <v>67</v>
      </c>
      <c r="D1943" t="s">
        <v>67</v>
      </c>
      <c r="E1943" t="s">
        <v>67</v>
      </c>
      <c r="F1943" t="s">
        <v>45</v>
      </c>
      <c r="G1943" s="117">
        <v>55.98</v>
      </c>
    </row>
    <row r="1944" spans="1:7" x14ac:dyDescent="0.25">
      <c r="A1944" s="116" t="s">
        <v>2939</v>
      </c>
      <c r="B1944" s="117" t="s">
        <v>2940</v>
      </c>
      <c r="C1944" t="s">
        <v>67</v>
      </c>
      <c r="D1944" t="s">
        <v>67</v>
      </c>
      <c r="E1944" t="s">
        <v>67</v>
      </c>
      <c r="F1944" t="s">
        <v>45</v>
      </c>
      <c r="G1944" s="117">
        <v>152.61000000000001</v>
      </c>
    </row>
    <row r="1945" spans="1:7" x14ac:dyDescent="0.25">
      <c r="A1945" s="116" t="s">
        <v>2941</v>
      </c>
      <c r="B1945" s="117" t="s">
        <v>2942</v>
      </c>
      <c r="C1945" t="s">
        <v>67</v>
      </c>
      <c r="D1945" t="s">
        <v>67</v>
      </c>
      <c r="E1945" t="s">
        <v>67</v>
      </c>
      <c r="F1945" t="s">
        <v>27987</v>
      </c>
      <c r="G1945" s="117">
        <v>95.68</v>
      </c>
    </row>
    <row r="1946" spans="1:7" x14ac:dyDescent="0.25">
      <c r="A1946" s="116" t="s">
        <v>2943</v>
      </c>
      <c r="B1946" s="117" t="s">
        <v>2944</v>
      </c>
      <c r="C1946" t="s">
        <v>67</v>
      </c>
      <c r="D1946" t="s">
        <v>67</v>
      </c>
      <c r="E1946" t="s">
        <v>67</v>
      </c>
      <c r="F1946" t="s">
        <v>27987</v>
      </c>
      <c r="G1946" s="117">
        <v>120.57</v>
      </c>
    </row>
    <row r="1947" spans="1:7" x14ac:dyDescent="0.25">
      <c r="A1947" s="116" t="s">
        <v>2945</v>
      </c>
      <c r="B1947" s="117" t="s">
        <v>2946</v>
      </c>
      <c r="C1947" t="s">
        <v>67</v>
      </c>
      <c r="D1947" t="s">
        <v>67</v>
      </c>
      <c r="E1947" t="s">
        <v>67</v>
      </c>
      <c r="F1947" t="s">
        <v>45</v>
      </c>
      <c r="G1947" s="117">
        <v>401.23</v>
      </c>
    </row>
    <row r="1948" spans="1:7" x14ac:dyDescent="0.25">
      <c r="A1948" s="116" t="s">
        <v>2947</v>
      </c>
      <c r="B1948" s="117" t="s">
        <v>2948</v>
      </c>
      <c r="C1948" t="s">
        <v>67</v>
      </c>
      <c r="D1948" t="s">
        <v>67</v>
      </c>
      <c r="E1948" t="s">
        <v>67</v>
      </c>
      <c r="F1948" t="s">
        <v>27987</v>
      </c>
      <c r="G1948" s="117">
        <v>473.22</v>
      </c>
    </row>
    <row r="1949" spans="1:7" x14ac:dyDescent="0.25">
      <c r="A1949" s="116" t="s">
        <v>2949</v>
      </c>
      <c r="B1949" s="117" t="s">
        <v>2950</v>
      </c>
      <c r="C1949" t="s">
        <v>67</v>
      </c>
      <c r="D1949" t="s">
        <v>67</v>
      </c>
      <c r="E1949" t="s">
        <v>67</v>
      </c>
      <c r="F1949" t="s">
        <v>27987</v>
      </c>
      <c r="G1949" s="117">
        <v>98.32</v>
      </c>
    </row>
    <row r="1950" spans="1:7" x14ac:dyDescent="0.25">
      <c r="A1950" s="116" t="s">
        <v>2951</v>
      </c>
      <c r="B1950" s="117" t="s">
        <v>2952</v>
      </c>
      <c r="C1950" t="s">
        <v>67</v>
      </c>
      <c r="D1950" t="s">
        <v>67</v>
      </c>
      <c r="E1950" t="s">
        <v>67</v>
      </c>
      <c r="F1950" t="s">
        <v>45</v>
      </c>
      <c r="G1950" s="117">
        <v>207.77</v>
      </c>
    </row>
    <row r="1951" spans="1:7" x14ac:dyDescent="0.25">
      <c r="A1951" s="116" t="s">
        <v>2953</v>
      </c>
      <c r="B1951" s="117" t="s">
        <v>2954</v>
      </c>
      <c r="C1951" t="s">
        <v>67</v>
      </c>
      <c r="D1951" t="s">
        <v>67</v>
      </c>
      <c r="E1951" t="s">
        <v>67</v>
      </c>
      <c r="F1951" t="s">
        <v>45</v>
      </c>
      <c r="G1951" s="117">
        <v>158.30000000000001</v>
      </c>
    </row>
    <row r="1952" spans="1:7" x14ac:dyDescent="0.25">
      <c r="A1952" s="116" t="s">
        <v>2955</v>
      </c>
      <c r="B1952" s="117" t="s">
        <v>2956</v>
      </c>
      <c r="C1952" t="s">
        <v>67</v>
      </c>
      <c r="D1952" t="s">
        <v>67</v>
      </c>
      <c r="E1952" t="s">
        <v>67</v>
      </c>
      <c r="F1952" t="s">
        <v>45</v>
      </c>
      <c r="G1952" s="117">
        <v>326.48</v>
      </c>
    </row>
    <row r="1953" spans="1:7" x14ac:dyDescent="0.25">
      <c r="A1953" s="116" t="s">
        <v>2957</v>
      </c>
      <c r="B1953" s="117" t="s">
        <v>2958</v>
      </c>
      <c r="C1953" t="s">
        <v>67</v>
      </c>
      <c r="D1953" t="s">
        <v>67</v>
      </c>
      <c r="E1953" t="s">
        <v>67</v>
      </c>
      <c r="F1953" t="s">
        <v>27990</v>
      </c>
      <c r="G1953" s="117">
        <v>7.2</v>
      </c>
    </row>
    <row r="1954" spans="1:7" x14ac:dyDescent="0.25">
      <c r="A1954" s="116" t="s">
        <v>2959</v>
      </c>
      <c r="B1954" s="117" t="s">
        <v>2960</v>
      </c>
      <c r="C1954" t="s">
        <v>67</v>
      </c>
      <c r="D1954" t="s">
        <v>67</v>
      </c>
      <c r="E1954" t="s">
        <v>67</v>
      </c>
      <c r="F1954" t="s">
        <v>27987</v>
      </c>
      <c r="G1954" s="117">
        <v>26.25</v>
      </c>
    </row>
    <row r="1955" spans="1:7" x14ac:dyDescent="0.25">
      <c r="A1955" s="116" t="s">
        <v>2961</v>
      </c>
      <c r="B1955" s="117" t="s">
        <v>2962</v>
      </c>
      <c r="C1955" t="s">
        <v>67</v>
      </c>
      <c r="D1955" t="s">
        <v>67</v>
      </c>
      <c r="E1955" t="s">
        <v>67</v>
      </c>
      <c r="F1955" t="s">
        <v>27987</v>
      </c>
      <c r="G1955" s="117">
        <v>26.25</v>
      </c>
    </row>
    <row r="1956" spans="1:7" x14ac:dyDescent="0.25">
      <c r="A1956" s="116" t="s">
        <v>2963</v>
      </c>
      <c r="B1956" s="117" t="s">
        <v>2964</v>
      </c>
      <c r="C1956" t="s">
        <v>67</v>
      </c>
      <c r="D1956" t="s">
        <v>67</v>
      </c>
      <c r="E1956" t="s">
        <v>67</v>
      </c>
      <c r="F1956" t="s">
        <v>45</v>
      </c>
      <c r="G1956" s="117">
        <v>30.7</v>
      </c>
    </row>
    <row r="1957" spans="1:7" x14ac:dyDescent="0.25">
      <c r="A1957" s="116" t="s">
        <v>2965</v>
      </c>
      <c r="B1957" s="117" t="s">
        <v>2966</v>
      </c>
      <c r="C1957" t="s">
        <v>67</v>
      </c>
      <c r="D1957" t="s">
        <v>67</v>
      </c>
      <c r="E1957" t="s">
        <v>67</v>
      </c>
      <c r="F1957" t="s">
        <v>45</v>
      </c>
      <c r="G1957" s="117">
        <v>27.14</v>
      </c>
    </row>
    <row r="1958" spans="1:7" x14ac:dyDescent="0.25">
      <c r="A1958" s="116" t="s">
        <v>2967</v>
      </c>
      <c r="B1958" s="117" t="s">
        <v>2000</v>
      </c>
      <c r="C1958" t="s">
        <v>67</v>
      </c>
      <c r="D1958" t="s">
        <v>67</v>
      </c>
      <c r="E1958" t="s">
        <v>67</v>
      </c>
      <c r="F1958" t="s">
        <v>45</v>
      </c>
      <c r="G1958" s="117">
        <v>20.38</v>
      </c>
    </row>
    <row r="1959" spans="1:7" x14ac:dyDescent="0.25">
      <c r="A1959" s="116" t="s">
        <v>2968</v>
      </c>
      <c r="B1959" s="117" t="s">
        <v>2969</v>
      </c>
      <c r="C1959" t="s">
        <v>67</v>
      </c>
      <c r="D1959" t="s">
        <v>67</v>
      </c>
      <c r="E1959" t="s">
        <v>67</v>
      </c>
      <c r="F1959" t="s">
        <v>45</v>
      </c>
      <c r="G1959" s="117">
        <v>38.700000000000003</v>
      </c>
    </row>
    <row r="1960" spans="1:7" x14ac:dyDescent="0.25">
      <c r="A1960" s="116" t="s">
        <v>2970</v>
      </c>
      <c r="B1960" s="117" t="s">
        <v>2971</v>
      </c>
      <c r="C1960" t="s">
        <v>67</v>
      </c>
      <c r="D1960" t="s">
        <v>67</v>
      </c>
      <c r="E1960" t="s">
        <v>67</v>
      </c>
      <c r="F1960" t="s">
        <v>27987</v>
      </c>
      <c r="G1960" s="117">
        <v>64.87</v>
      </c>
    </row>
    <row r="1961" spans="1:7" x14ac:dyDescent="0.25">
      <c r="A1961" s="116" t="s">
        <v>2972</v>
      </c>
      <c r="B1961" s="117" t="s">
        <v>2973</v>
      </c>
      <c r="C1961" t="s">
        <v>67</v>
      </c>
      <c r="D1961" t="s">
        <v>67</v>
      </c>
      <c r="E1961" t="s">
        <v>67</v>
      </c>
      <c r="F1961" t="s">
        <v>45</v>
      </c>
      <c r="G1961" s="117">
        <v>39.6</v>
      </c>
    </row>
    <row r="1962" spans="1:7" x14ac:dyDescent="0.25">
      <c r="A1962" s="116" t="s">
        <v>2974</v>
      </c>
      <c r="B1962" s="117" t="s">
        <v>2975</v>
      </c>
      <c r="C1962" t="s">
        <v>67</v>
      </c>
      <c r="D1962" t="s">
        <v>67</v>
      </c>
      <c r="E1962" t="s">
        <v>67</v>
      </c>
      <c r="F1962" t="s">
        <v>49</v>
      </c>
      <c r="G1962" s="117">
        <v>17.7</v>
      </c>
    </row>
    <row r="1963" spans="1:7" x14ac:dyDescent="0.25">
      <c r="A1963" s="116" t="s">
        <v>2976</v>
      </c>
      <c r="B1963" s="117" t="s">
        <v>2977</v>
      </c>
      <c r="C1963" t="s">
        <v>67</v>
      </c>
      <c r="D1963" t="s">
        <v>67</v>
      </c>
      <c r="E1963" t="s">
        <v>67</v>
      </c>
      <c r="F1963" t="s">
        <v>27987</v>
      </c>
      <c r="G1963" s="117">
        <v>7.92</v>
      </c>
    </row>
    <row r="1964" spans="1:7" x14ac:dyDescent="0.25">
      <c r="A1964" s="116" t="s">
        <v>2978</v>
      </c>
      <c r="B1964" s="117" t="s">
        <v>1895</v>
      </c>
      <c r="C1964" t="s">
        <v>67</v>
      </c>
      <c r="D1964" t="s">
        <v>67</v>
      </c>
      <c r="E1964" t="s">
        <v>67</v>
      </c>
      <c r="F1964" t="s">
        <v>45</v>
      </c>
      <c r="G1964" s="117">
        <v>31.58</v>
      </c>
    </row>
    <row r="1965" spans="1:7" x14ac:dyDescent="0.25">
      <c r="A1965" s="116" t="s">
        <v>2979</v>
      </c>
      <c r="B1965" s="117" t="s">
        <v>2980</v>
      </c>
      <c r="C1965" t="s">
        <v>67</v>
      </c>
      <c r="D1965" t="s">
        <v>67</v>
      </c>
      <c r="E1965" t="s">
        <v>67</v>
      </c>
      <c r="F1965" t="s">
        <v>27987</v>
      </c>
      <c r="G1965" s="117">
        <v>44.05</v>
      </c>
    </row>
    <row r="1966" spans="1:7" x14ac:dyDescent="0.25">
      <c r="A1966" s="116" t="s">
        <v>2981</v>
      </c>
      <c r="B1966" s="117" t="s">
        <v>1267</v>
      </c>
      <c r="C1966" t="s">
        <v>67</v>
      </c>
      <c r="D1966" t="s">
        <v>67</v>
      </c>
      <c r="E1966" t="s">
        <v>67</v>
      </c>
      <c r="F1966" t="s">
        <v>27987</v>
      </c>
      <c r="G1966" s="117">
        <v>126.26</v>
      </c>
    </row>
    <row r="1967" spans="1:7" x14ac:dyDescent="0.25">
      <c r="A1967" s="116" t="s">
        <v>28461</v>
      </c>
      <c r="B1967" s="117" t="s">
        <v>28462</v>
      </c>
      <c r="C1967" t="s">
        <v>67</v>
      </c>
      <c r="D1967" t="s">
        <v>67</v>
      </c>
      <c r="E1967" t="s">
        <v>67</v>
      </c>
      <c r="F1967" t="s">
        <v>45</v>
      </c>
      <c r="G1967" s="117">
        <v>0</v>
      </c>
    </row>
    <row r="1968" spans="1:7" x14ac:dyDescent="0.25">
      <c r="A1968" s="116" t="s">
        <v>2982</v>
      </c>
      <c r="B1968" s="117" t="s">
        <v>2983</v>
      </c>
      <c r="C1968" t="s">
        <v>67</v>
      </c>
      <c r="D1968" t="s">
        <v>67</v>
      </c>
      <c r="E1968" t="s">
        <v>67</v>
      </c>
      <c r="F1968" t="s">
        <v>45</v>
      </c>
      <c r="G1968" s="117">
        <v>108.48</v>
      </c>
    </row>
    <row r="1969" spans="1:7" x14ac:dyDescent="0.25">
      <c r="A1969" s="116" t="s">
        <v>2984</v>
      </c>
      <c r="B1969" s="117" t="s">
        <v>2790</v>
      </c>
      <c r="C1969" t="s">
        <v>67</v>
      </c>
      <c r="D1969" t="s">
        <v>67</v>
      </c>
      <c r="E1969" t="s">
        <v>67</v>
      </c>
      <c r="F1969" t="s">
        <v>27987</v>
      </c>
      <c r="G1969" s="117">
        <v>12.9</v>
      </c>
    </row>
    <row r="1970" spans="1:7" x14ac:dyDescent="0.25">
      <c r="A1970" s="116" t="s">
        <v>2985</v>
      </c>
      <c r="B1970" s="117" t="s">
        <v>2986</v>
      </c>
      <c r="C1970" t="s">
        <v>67</v>
      </c>
      <c r="D1970" t="s">
        <v>67</v>
      </c>
      <c r="E1970" t="s">
        <v>67</v>
      </c>
      <c r="F1970" t="s">
        <v>27987</v>
      </c>
      <c r="G1970" s="117">
        <v>112.02</v>
      </c>
    </row>
    <row r="1971" spans="1:7" x14ac:dyDescent="0.25">
      <c r="A1971" s="116" t="s">
        <v>28463</v>
      </c>
      <c r="B1971" s="117" t="s">
        <v>28464</v>
      </c>
      <c r="C1971" t="s">
        <v>67</v>
      </c>
      <c r="D1971" t="s">
        <v>67</v>
      </c>
      <c r="E1971" t="s">
        <v>67</v>
      </c>
      <c r="F1971" t="s">
        <v>27987</v>
      </c>
      <c r="G1971" s="117">
        <v>31</v>
      </c>
    </row>
    <row r="1972" spans="1:7" x14ac:dyDescent="0.25">
      <c r="A1972" s="116" t="s">
        <v>2987</v>
      </c>
      <c r="B1972" s="117" t="s">
        <v>2988</v>
      </c>
      <c r="C1972" t="s">
        <v>67</v>
      </c>
      <c r="D1972" t="s">
        <v>67</v>
      </c>
      <c r="E1972" t="s">
        <v>67</v>
      </c>
      <c r="F1972" t="s">
        <v>27987</v>
      </c>
      <c r="G1972" s="117">
        <v>28.92</v>
      </c>
    </row>
    <row r="1973" spans="1:7" x14ac:dyDescent="0.25">
      <c r="A1973" s="116" t="s">
        <v>2989</v>
      </c>
      <c r="B1973" s="117" t="s">
        <v>2990</v>
      </c>
      <c r="C1973" t="s">
        <v>67</v>
      </c>
      <c r="D1973" t="s">
        <v>67</v>
      </c>
      <c r="E1973" t="s">
        <v>67</v>
      </c>
      <c r="F1973" t="s">
        <v>27987</v>
      </c>
      <c r="G1973" s="117">
        <v>15.93</v>
      </c>
    </row>
    <row r="1974" spans="1:7" x14ac:dyDescent="0.25">
      <c r="A1974" s="116" t="s">
        <v>2991</v>
      </c>
      <c r="B1974" s="117" t="s">
        <v>2992</v>
      </c>
      <c r="C1974" t="s">
        <v>67</v>
      </c>
      <c r="D1974" t="s">
        <v>67</v>
      </c>
      <c r="E1974" t="s">
        <v>67</v>
      </c>
      <c r="F1974" t="s">
        <v>27987</v>
      </c>
      <c r="G1974" s="117">
        <v>342.14</v>
      </c>
    </row>
    <row r="1975" spans="1:7" x14ac:dyDescent="0.25">
      <c r="A1975" s="116" t="s">
        <v>2993</v>
      </c>
      <c r="B1975" s="117" t="s">
        <v>2994</v>
      </c>
      <c r="C1975" t="s">
        <v>67</v>
      </c>
      <c r="D1975" t="s">
        <v>67</v>
      </c>
      <c r="E1975" t="s">
        <v>67</v>
      </c>
      <c r="F1975" t="s">
        <v>27987</v>
      </c>
      <c r="G1975" s="117">
        <v>119.41</v>
      </c>
    </row>
    <row r="1976" spans="1:7" x14ac:dyDescent="0.25">
      <c r="A1976" s="116" t="s">
        <v>2995</v>
      </c>
      <c r="B1976" s="117" t="s">
        <v>2996</v>
      </c>
      <c r="C1976" t="s">
        <v>67</v>
      </c>
      <c r="D1976" t="s">
        <v>67</v>
      </c>
      <c r="E1976" t="s">
        <v>67</v>
      </c>
      <c r="F1976" t="s">
        <v>27987</v>
      </c>
      <c r="G1976" s="117">
        <v>96.01</v>
      </c>
    </row>
    <row r="1977" spans="1:7" x14ac:dyDescent="0.25">
      <c r="A1977" s="116" t="s">
        <v>2997</v>
      </c>
      <c r="B1977" s="117" t="s">
        <v>2998</v>
      </c>
      <c r="C1977" t="s">
        <v>67</v>
      </c>
      <c r="D1977" t="s">
        <v>67</v>
      </c>
      <c r="E1977" t="s">
        <v>67</v>
      </c>
      <c r="F1977" t="s">
        <v>27987</v>
      </c>
      <c r="G1977" s="117">
        <v>117.37</v>
      </c>
    </row>
    <row r="1978" spans="1:7" x14ac:dyDescent="0.25">
      <c r="A1978" s="116" t="s">
        <v>2999</v>
      </c>
      <c r="B1978" s="117" t="s">
        <v>1267</v>
      </c>
      <c r="C1978" t="s">
        <v>67</v>
      </c>
      <c r="D1978" t="s">
        <v>67</v>
      </c>
      <c r="E1978" t="s">
        <v>67</v>
      </c>
      <c r="F1978" t="s">
        <v>45</v>
      </c>
      <c r="G1978" s="117">
        <v>96.9</v>
      </c>
    </row>
    <row r="1979" spans="1:7" x14ac:dyDescent="0.25">
      <c r="A1979" s="116" t="s">
        <v>3000</v>
      </c>
      <c r="B1979" s="117" t="s">
        <v>3001</v>
      </c>
      <c r="C1979" t="s">
        <v>67</v>
      </c>
      <c r="D1979" t="s">
        <v>67</v>
      </c>
      <c r="E1979" t="s">
        <v>67</v>
      </c>
      <c r="F1979" t="s">
        <v>27987</v>
      </c>
      <c r="G1979" s="117">
        <v>122.7</v>
      </c>
    </row>
    <row r="1980" spans="1:7" x14ac:dyDescent="0.25">
      <c r="A1980" s="116" t="s">
        <v>3002</v>
      </c>
      <c r="B1980" s="117" t="s">
        <v>3003</v>
      </c>
      <c r="C1980" t="s">
        <v>67</v>
      </c>
      <c r="D1980" t="s">
        <v>67</v>
      </c>
      <c r="E1980" t="s">
        <v>67</v>
      </c>
      <c r="F1980" t="s">
        <v>27987</v>
      </c>
      <c r="G1980" s="117">
        <v>365.63</v>
      </c>
    </row>
    <row r="1981" spans="1:7" x14ac:dyDescent="0.25">
      <c r="A1981" s="116" t="s">
        <v>3004</v>
      </c>
      <c r="B1981" s="117" t="s">
        <v>28465</v>
      </c>
      <c r="C1981" t="s">
        <v>67</v>
      </c>
      <c r="D1981" t="s">
        <v>67</v>
      </c>
      <c r="E1981" t="s">
        <v>67</v>
      </c>
      <c r="F1981" t="s">
        <v>27987</v>
      </c>
      <c r="G1981" s="117">
        <v>271.31</v>
      </c>
    </row>
    <row r="1982" spans="1:7" x14ac:dyDescent="0.25">
      <c r="A1982" s="116" t="s">
        <v>3005</v>
      </c>
      <c r="B1982" s="117" t="s">
        <v>3006</v>
      </c>
      <c r="C1982" t="s">
        <v>67</v>
      </c>
      <c r="D1982" t="s">
        <v>67</v>
      </c>
      <c r="E1982" t="s">
        <v>67</v>
      </c>
      <c r="F1982" t="s">
        <v>45</v>
      </c>
      <c r="G1982" s="117">
        <v>271.31</v>
      </c>
    </row>
    <row r="1983" spans="1:7" x14ac:dyDescent="0.25">
      <c r="A1983" s="116" t="s">
        <v>3007</v>
      </c>
      <c r="B1983" s="117" t="s">
        <v>3008</v>
      </c>
      <c r="C1983" t="s">
        <v>67</v>
      </c>
      <c r="D1983" t="s">
        <v>67</v>
      </c>
      <c r="E1983" t="s">
        <v>67</v>
      </c>
      <c r="F1983" t="s">
        <v>45</v>
      </c>
      <c r="G1983" s="117">
        <v>106.69</v>
      </c>
    </row>
    <row r="1984" spans="1:7" x14ac:dyDescent="0.25">
      <c r="A1984" s="116" t="s">
        <v>3009</v>
      </c>
      <c r="B1984" s="117" t="s">
        <v>3010</v>
      </c>
      <c r="C1984" t="s">
        <v>67</v>
      </c>
      <c r="D1984" t="s">
        <v>67</v>
      </c>
      <c r="E1984" t="s">
        <v>67</v>
      </c>
      <c r="F1984" t="s">
        <v>27987</v>
      </c>
      <c r="G1984" s="117">
        <v>34.92</v>
      </c>
    </row>
    <row r="1985" spans="1:7" x14ac:dyDescent="0.25">
      <c r="A1985" s="116" t="s">
        <v>3011</v>
      </c>
      <c r="B1985" s="117" t="s">
        <v>3012</v>
      </c>
      <c r="C1985" t="s">
        <v>67</v>
      </c>
      <c r="D1985" t="s">
        <v>67</v>
      </c>
      <c r="E1985" t="s">
        <v>67</v>
      </c>
      <c r="F1985" t="s">
        <v>45</v>
      </c>
      <c r="G1985" s="117">
        <v>65.760000000000005</v>
      </c>
    </row>
    <row r="1986" spans="1:7" x14ac:dyDescent="0.25">
      <c r="A1986" s="116" t="s">
        <v>3013</v>
      </c>
      <c r="B1986" s="117" t="s">
        <v>3003</v>
      </c>
      <c r="C1986" t="s">
        <v>67</v>
      </c>
      <c r="D1986" t="s">
        <v>67</v>
      </c>
      <c r="E1986" t="s">
        <v>67</v>
      </c>
      <c r="F1986" t="s">
        <v>45</v>
      </c>
      <c r="G1986" s="117">
        <v>188.2</v>
      </c>
    </row>
    <row r="1987" spans="1:7" x14ac:dyDescent="0.25">
      <c r="A1987" s="116" t="s">
        <v>28179</v>
      </c>
      <c r="B1987" s="117" t="s">
        <v>28180</v>
      </c>
      <c r="C1987" t="s">
        <v>67</v>
      </c>
      <c r="D1987" t="s">
        <v>67</v>
      </c>
      <c r="E1987" t="s">
        <v>67</v>
      </c>
      <c r="F1987" t="s">
        <v>45</v>
      </c>
      <c r="G1987" s="117">
        <v>236</v>
      </c>
    </row>
    <row r="1988" spans="1:7" x14ac:dyDescent="0.25">
      <c r="A1988" s="116" t="s">
        <v>28466</v>
      </c>
      <c r="B1988" s="117" t="s">
        <v>28467</v>
      </c>
      <c r="C1988" t="s">
        <v>67</v>
      </c>
      <c r="D1988" t="s">
        <v>67</v>
      </c>
      <c r="E1988" t="s">
        <v>67</v>
      </c>
      <c r="F1988" t="s">
        <v>45</v>
      </c>
      <c r="G1988" s="117">
        <v>0</v>
      </c>
    </row>
    <row r="1989" spans="1:7" x14ac:dyDescent="0.25">
      <c r="A1989" s="116" t="s">
        <v>3014</v>
      </c>
      <c r="B1989" s="117" t="s">
        <v>1389</v>
      </c>
      <c r="C1989" t="s">
        <v>67</v>
      </c>
      <c r="D1989" t="s">
        <v>67</v>
      </c>
      <c r="E1989" t="s">
        <v>67</v>
      </c>
      <c r="F1989" t="s">
        <v>49</v>
      </c>
      <c r="G1989" s="117">
        <v>12.37</v>
      </c>
    </row>
    <row r="1990" spans="1:7" x14ac:dyDescent="0.25">
      <c r="A1990" s="116" t="s">
        <v>3015</v>
      </c>
      <c r="B1990" s="117" t="s">
        <v>2790</v>
      </c>
      <c r="C1990" t="s">
        <v>67</v>
      </c>
      <c r="D1990" t="s">
        <v>67</v>
      </c>
      <c r="E1990" t="s">
        <v>67</v>
      </c>
      <c r="F1990" t="s">
        <v>49</v>
      </c>
      <c r="G1990" s="117">
        <v>33.369999999999997</v>
      </c>
    </row>
    <row r="1991" spans="1:7" x14ac:dyDescent="0.25">
      <c r="A1991" s="116" t="s">
        <v>3016</v>
      </c>
      <c r="B1991" s="117" t="s">
        <v>3017</v>
      </c>
      <c r="C1991" t="s">
        <v>67</v>
      </c>
      <c r="D1991" t="s">
        <v>67</v>
      </c>
      <c r="E1991" t="s">
        <v>67</v>
      </c>
      <c r="F1991" t="s">
        <v>27987</v>
      </c>
      <c r="G1991" s="117">
        <v>173.07</v>
      </c>
    </row>
    <row r="1992" spans="1:7" x14ac:dyDescent="0.25">
      <c r="A1992" s="116" t="s">
        <v>3018</v>
      </c>
      <c r="B1992" s="117" t="s">
        <v>3019</v>
      </c>
      <c r="C1992" t="s">
        <v>67</v>
      </c>
      <c r="D1992" t="s">
        <v>67</v>
      </c>
      <c r="E1992" t="s">
        <v>67</v>
      </c>
      <c r="F1992" t="s">
        <v>27987</v>
      </c>
      <c r="G1992" s="117">
        <v>37.82</v>
      </c>
    </row>
    <row r="1993" spans="1:7" x14ac:dyDescent="0.25">
      <c r="A1993" s="116" t="s">
        <v>3020</v>
      </c>
      <c r="B1993" s="117" t="s">
        <v>1846</v>
      </c>
      <c r="C1993" t="s">
        <v>67</v>
      </c>
      <c r="D1993" t="s">
        <v>67</v>
      </c>
      <c r="E1993" t="s">
        <v>67</v>
      </c>
      <c r="F1993" t="s">
        <v>27987</v>
      </c>
      <c r="G1993" s="117">
        <v>131.25</v>
      </c>
    </row>
    <row r="1994" spans="1:7" x14ac:dyDescent="0.25">
      <c r="A1994" s="116" t="s">
        <v>3021</v>
      </c>
      <c r="B1994" s="117" t="s">
        <v>3022</v>
      </c>
      <c r="C1994" t="s">
        <v>67</v>
      </c>
      <c r="D1994" t="s">
        <v>67</v>
      </c>
      <c r="E1994" t="s">
        <v>67</v>
      </c>
      <c r="F1994" t="s">
        <v>27987</v>
      </c>
      <c r="G1994" s="117">
        <v>93.35</v>
      </c>
    </row>
    <row r="1995" spans="1:7" x14ac:dyDescent="0.25">
      <c r="A1995" s="116" t="s">
        <v>3023</v>
      </c>
      <c r="B1995" s="117" t="s">
        <v>3024</v>
      </c>
      <c r="C1995" t="s">
        <v>67</v>
      </c>
      <c r="D1995" t="s">
        <v>67</v>
      </c>
      <c r="E1995" t="s">
        <v>67</v>
      </c>
      <c r="F1995" t="s">
        <v>27987</v>
      </c>
      <c r="G1995" s="117">
        <v>86.23</v>
      </c>
    </row>
    <row r="1996" spans="1:7" x14ac:dyDescent="0.25">
      <c r="A1996" s="116" t="s">
        <v>3025</v>
      </c>
      <c r="B1996" s="117" t="s">
        <v>3026</v>
      </c>
      <c r="C1996" t="s">
        <v>67</v>
      </c>
      <c r="D1996" t="s">
        <v>67</v>
      </c>
      <c r="E1996" t="s">
        <v>67</v>
      </c>
      <c r="F1996" t="s">
        <v>27987</v>
      </c>
      <c r="G1996" s="117">
        <v>241.95</v>
      </c>
    </row>
    <row r="1997" spans="1:7" x14ac:dyDescent="0.25">
      <c r="A1997" s="116" t="s">
        <v>3027</v>
      </c>
      <c r="B1997" s="117" t="s">
        <v>3028</v>
      </c>
      <c r="C1997" t="s">
        <v>67</v>
      </c>
      <c r="D1997" t="s">
        <v>67</v>
      </c>
      <c r="E1997" t="s">
        <v>67</v>
      </c>
      <c r="F1997" t="s">
        <v>27987</v>
      </c>
      <c r="G1997" s="117">
        <v>241.95</v>
      </c>
    </row>
    <row r="1998" spans="1:7" x14ac:dyDescent="0.25">
      <c r="A1998" s="116" t="s">
        <v>3029</v>
      </c>
      <c r="B1998" s="117" t="s">
        <v>3030</v>
      </c>
      <c r="C1998" t="s">
        <v>67</v>
      </c>
      <c r="D1998" t="s">
        <v>67</v>
      </c>
      <c r="E1998" t="s">
        <v>67</v>
      </c>
      <c r="F1998" t="s">
        <v>49</v>
      </c>
      <c r="G1998" s="117">
        <v>35.5</v>
      </c>
    </row>
    <row r="1999" spans="1:7" x14ac:dyDescent="0.25">
      <c r="A1999" s="116" t="s">
        <v>3031</v>
      </c>
      <c r="B1999" s="117" t="s">
        <v>3032</v>
      </c>
      <c r="C1999" t="s">
        <v>67</v>
      </c>
      <c r="D1999" t="s">
        <v>67</v>
      </c>
      <c r="E1999" t="s">
        <v>67</v>
      </c>
      <c r="F1999" t="s">
        <v>45</v>
      </c>
      <c r="G1999" s="117">
        <v>201.9</v>
      </c>
    </row>
    <row r="2000" spans="1:7" x14ac:dyDescent="0.25">
      <c r="A2000" s="116" t="s">
        <v>3033</v>
      </c>
      <c r="B2000" s="117" t="s">
        <v>3034</v>
      </c>
      <c r="C2000" t="s">
        <v>67</v>
      </c>
      <c r="D2000" t="s">
        <v>67</v>
      </c>
      <c r="E2000" t="s">
        <v>67</v>
      </c>
      <c r="F2000" t="s">
        <v>27987</v>
      </c>
      <c r="G2000" s="117">
        <v>36.93</v>
      </c>
    </row>
    <row r="2001" spans="1:7" x14ac:dyDescent="0.25">
      <c r="A2001" s="116" t="s">
        <v>28468</v>
      </c>
      <c r="B2001" s="117" t="s">
        <v>28469</v>
      </c>
      <c r="C2001" t="s">
        <v>67</v>
      </c>
      <c r="D2001" t="s">
        <v>67</v>
      </c>
      <c r="E2001" t="s">
        <v>67</v>
      </c>
      <c r="F2001" t="s">
        <v>45</v>
      </c>
      <c r="G2001" s="117">
        <v>0</v>
      </c>
    </row>
    <row r="2002" spans="1:7" x14ac:dyDescent="0.25">
      <c r="A2002" s="116" t="s">
        <v>3035</v>
      </c>
      <c r="B2002" s="117" t="s">
        <v>3036</v>
      </c>
      <c r="C2002" t="s">
        <v>67</v>
      </c>
      <c r="D2002" t="s">
        <v>67</v>
      </c>
      <c r="E2002" t="s">
        <v>67</v>
      </c>
      <c r="F2002" t="s">
        <v>27987</v>
      </c>
      <c r="G2002" s="117">
        <v>181.44</v>
      </c>
    </row>
    <row r="2003" spans="1:7" x14ac:dyDescent="0.25">
      <c r="A2003" s="116" t="s">
        <v>3037</v>
      </c>
      <c r="B2003" s="117" t="s">
        <v>3038</v>
      </c>
      <c r="C2003" t="s">
        <v>67</v>
      </c>
      <c r="D2003" t="s">
        <v>67</v>
      </c>
      <c r="E2003" t="s">
        <v>67</v>
      </c>
      <c r="F2003" t="s">
        <v>45</v>
      </c>
      <c r="G2003" s="117">
        <v>15.57</v>
      </c>
    </row>
    <row r="2004" spans="1:7" x14ac:dyDescent="0.25">
      <c r="A2004" s="116" t="s">
        <v>3039</v>
      </c>
      <c r="B2004" s="117" t="s">
        <v>3040</v>
      </c>
      <c r="C2004" t="s">
        <v>67</v>
      </c>
      <c r="D2004" t="s">
        <v>67</v>
      </c>
      <c r="E2004" t="s">
        <v>67</v>
      </c>
      <c r="F2004" t="s">
        <v>49</v>
      </c>
      <c r="G2004" s="117">
        <v>232.12</v>
      </c>
    </row>
    <row r="2005" spans="1:7" x14ac:dyDescent="0.25">
      <c r="A2005" s="116" t="s">
        <v>3041</v>
      </c>
      <c r="B2005" s="117" t="s">
        <v>3042</v>
      </c>
      <c r="C2005" t="s">
        <v>67</v>
      </c>
      <c r="D2005" t="s">
        <v>67</v>
      </c>
      <c r="E2005" t="s">
        <v>67</v>
      </c>
      <c r="F2005" t="s">
        <v>27987</v>
      </c>
      <c r="G2005" s="117">
        <v>421.1</v>
      </c>
    </row>
    <row r="2006" spans="1:7" x14ac:dyDescent="0.25">
      <c r="A2006" s="116" t="s">
        <v>3043</v>
      </c>
      <c r="B2006" s="117" t="s">
        <v>3044</v>
      </c>
      <c r="C2006" t="s">
        <v>67</v>
      </c>
      <c r="D2006" t="s">
        <v>67</v>
      </c>
      <c r="E2006" t="s">
        <v>67</v>
      </c>
      <c r="F2006" t="s">
        <v>27987</v>
      </c>
      <c r="G2006" s="117">
        <v>438.9</v>
      </c>
    </row>
    <row r="2007" spans="1:7" x14ac:dyDescent="0.25">
      <c r="A2007" s="116" t="s">
        <v>3045</v>
      </c>
      <c r="B2007" s="117" t="s">
        <v>3046</v>
      </c>
      <c r="C2007" t="s">
        <v>67</v>
      </c>
      <c r="D2007" t="s">
        <v>67</v>
      </c>
      <c r="E2007" t="s">
        <v>67</v>
      </c>
      <c r="F2007" t="s">
        <v>49</v>
      </c>
      <c r="G2007" s="117">
        <v>172.46</v>
      </c>
    </row>
    <row r="2008" spans="1:7" x14ac:dyDescent="0.25">
      <c r="A2008" s="116" t="s">
        <v>3047</v>
      </c>
      <c r="B2008" s="117" t="s">
        <v>3048</v>
      </c>
      <c r="C2008" t="s">
        <v>67</v>
      </c>
      <c r="D2008" t="s">
        <v>67</v>
      </c>
      <c r="E2008" t="s">
        <v>67</v>
      </c>
      <c r="F2008" t="s">
        <v>49</v>
      </c>
      <c r="G2008" s="117">
        <v>59.24</v>
      </c>
    </row>
    <row r="2009" spans="1:7" x14ac:dyDescent="0.25">
      <c r="A2009" s="116" t="s">
        <v>3049</v>
      </c>
      <c r="B2009" s="117" t="s">
        <v>3050</v>
      </c>
      <c r="C2009" t="s">
        <v>67</v>
      </c>
      <c r="D2009" t="s">
        <v>67</v>
      </c>
      <c r="E2009" t="s">
        <v>67</v>
      </c>
      <c r="F2009" t="s">
        <v>45</v>
      </c>
      <c r="G2009" s="117">
        <v>96.9</v>
      </c>
    </row>
    <row r="2010" spans="1:7" x14ac:dyDescent="0.25">
      <c r="A2010" s="116" t="s">
        <v>3051</v>
      </c>
      <c r="B2010" s="117" t="s">
        <v>3052</v>
      </c>
      <c r="C2010" t="s">
        <v>67</v>
      </c>
      <c r="D2010" t="s">
        <v>67</v>
      </c>
      <c r="E2010" t="s">
        <v>67</v>
      </c>
      <c r="F2010" t="s">
        <v>27987</v>
      </c>
      <c r="G2010" s="117">
        <v>22.69</v>
      </c>
    </row>
    <row r="2011" spans="1:7" x14ac:dyDescent="0.25">
      <c r="A2011" s="116" t="s">
        <v>3053</v>
      </c>
      <c r="B2011" s="117" t="s">
        <v>3054</v>
      </c>
      <c r="C2011" t="s">
        <v>67</v>
      </c>
      <c r="D2011" t="s">
        <v>67</v>
      </c>
      <c r="E2011" t="s">
        <v>67</v>
      </c>
      <c r="F2011" t="s">
        <v>27987</v>
      </c>
      <c r="G2011" s="117">
        <v>21.26</v>
      </c>
    </row>
    <row r="2012" spans="1:7" x14ac:dyDescent="0.25">
      <c r="A2012" s="116" t="s">
        <v>3055</v>
      </c>
      <c r="B2012" s="117" t="s">
        <v>3056</v>
      </c>
      <c r="C2012" t="s">
        <v>67</v>
      </c>
      <c r="D2012" t="s">
        <v>67</v>
      </c>
      <c r="E2012" t="s">
        <v>67</v>
      </c>
      <c r="F2012" t="s">
        <v>45</v>
      </c>
      <c r="G2012" s="117">
        <v>44.94</v>
      </c>
    </row>
    <row r="2013" spans="1:7" x14ac:dyDescent="0.25">
      <c r="A2013" s="116" t="s">
        <v>3057</v>
      </c>
      <c r="B2013" s="117" t="s">
        <v>465</v>
      </c>
      <c r="C2013" t="s">
        <v>67</v>
      </c>
      <c r="D2013" t="s">
        <v>67</v>
      </c>
      <c r="E2013" t="s">
        <v>67</v>
      </c>
      <c r="F2013" t="s">
        <v>27987</v>
      </c>
      <c r="G2013" s="117">
        <v>47.61</v>
      </c>
    </row>
    <row r="2014" spans="1:7" x14ac:dyDescent="0.25">
      <c r="A2014" s="116" t="s">
        <v>3058</v>
      </c>
      <c r="B2014" s="117" t="s">
        <v>1267</v>
      </c>
      <c r="C2014" t="s">
        <v>67</v>
      </c>
      <c r="D2014" t="s">
        <v>67</v>
      </c>
      <c r="E2014" t="s">
        <v>67</v>
      </c>
      <c r="F2014" t="s">
        <v>45</v>
      </c>
      <c r="G2014" s="117">
        <v>55.62</v>
      </c>
    </row>
    <row r="2015" spans="1:7" x14ac:dyDescent="0.25">
      <c r="A2015" s="116" t="s">
        <v>3059</v>
      </c>
      <c r="B2015" s="117" t="s">
        <v>3060</v>
      </c>
      <c r="C2015" t="s">
        <v>67</v>
      </c>
      <c r="D2015" t="s">
        <v>67</v>
      </c>
      <c r="E2015" t="s">
        <v>67</v>
      </c>
      <c r="F2015" t="s">
        <v>27987</v>
      </c>
      <c r="G2015" s="117">
        <v>5.25</v>
      </c>
    </row>
    <row r="2016" spans="1:7" x14ac:dyDescent="0.25">
      <c r="A2016" s="116" t="s">
        <v>3061</v>
      </c>
      <c r="B2016" s="117" t="s">
        <v>3062</v>
      </c>
      <c r="C2016" t="s">
        <v>67</v>
      </c>
      <c r="D2016" t="s">
        <v>67</v>
      </c>
      <c r="E2016" t="s">
        <v>67</v>
      </c>
      <c r="F2016" t="s">
        <v>49</v>
      </c>
      <c r="G2016" s="117">
        <v>17.36</v>
      </c>
    </row>
    <row r="2017" spans="1:7" x14ac:dyDescent="0.25">
      <c r="A2017" s="116" t="s">
        <v>3063</v>
      </c>
      <c r="B2017" s="117" t="s">
        <v>3064</v>
      </c>
      <c r="C2017" t="s">
        <v>67</v>
      </c>
      <c r="D2017" t="s">
        <v>67</v>
      </c>
      <c r="E2017" t="s">
        <v>67</v>
      </c>
      <c r="F2017" t="s">
        <v>27987</v>
      </c>
      <c r="G2017" s="117">
        <v>5.33</v>
      </c>
    </row>
    <row r="2018" spans="1:7" x14ac:dyDescent="0.25">
      <c r="A2018" s="116" t="s">
        <v>3065</v>
      </c>
      <c r="B2018" s="117" t="s">
        <v>3066</v>
      </c>
      <c r="C2018" t="s">
        <v>67</v>
      </c>
      <c r="D2018" t="s">
        <v>67</v>
      </c>
      <c r="E2018" t="s">
        <v>67</v>
      </c>
      <c r="F2018" t="s">
        <v>45</v>
      </c>
      <c r="G2018" s="117">
        <v>153.5</v>
      </c>
    </row>
    <row r="2019" spans="1:7" x14ac:dyDescent="0.25">
      <c r="A2019" s="116" t="s">
        <v>3067</v>
      </c>
      <c r="B2019" s="117" t="s">
        <v>3068</v>
      </c>
      <c r="C2019" t="s">
        <v>67</v>
      </c>
      <c r="D2019" t="s">
        <v>67</v>
      </c>
      <c r="E2019" t="s">
        <v>67</v>
      </c>
      <c r="F2019" t="s">
        <v>27987</v>
      </c>
      <c r="G2019" s="117">
        <v>212.58</v>
      </c>
    </row>
    <row r="2020" spans="1:7" x14ac:dyDescent="0.25">
      <c r="A2020" s="116" t="s">
        <v>3069</v>
      </c>
      <c r="B2020" s="117" t="s">
        <v>3070</v>
      </c>
      <c r="C2020" t="s">
        <v>67</v>
      </c>
      <c r="D2020" t="s">
        <v>67</v>
      </c>
      <c r="E2020" t="s">
        <v>67</v>
      </c>
      <c r="F2020" t="s">
        <v>27987</v>
      </c>
      <c r="G2020" s="117">
        <v>35.5</v>
      </c>
    </row>
    <row r="2021" spans="1:7" x14ac:dyDescent="0.25">
      <c r="A2021" s="116" t="s">
        <v>3071</v>
      </c>
      <c r="B2021" s="117" t="s">
        <v>3072</v>
      </c>
      <c r="C2021" t="s">
        <v>67</v>
      </c>
      <c r="D2021" t="s">
        <v>67</v>
      </c>
      <c r="E2021" t="s">
        <v>67</v>
      </c>
      <c r="F2021" t="s">
        <v>27987</v>
      </c>
      <c r="G2021" s="117">
        <v>57.75</v>
      </c>
    </row>
    <row r="2022" spans="1:7" x14ac:dyDescent="0.25">
      <c r="A2022" s="116" t="s">
        <v>3073</v>
      </c>
      <c r="B2022" s="117" t="s">
        <v>3074</v>
      </c>
      <c r="C2022" t="s">
        <v>67</v>
      </c>
      <c r="D2022" t="s">
        <v>67</v>
      </c>
      <c r="E2022" t="s">
        <v>67</v>
      </c>
      <c r="F2022" t="s">
        <v>45</v>
      </c>
      <c r="G2022" s="117">
        <v>129.82</v>
      </c>
    </row>
    <row r="2023" spans="1:7" x14ac:dyDescent="0.25">
      <c r="A2023" s="116" t="s">
        <v>3075</v>
      </c>
      <c r="B2023" s="117" t="s">
        <v>3076</v>
      </c>
      <c r="C2023" t="s">
        <v>67</v>
      </c>
      <c r="D2023" t="s">
        <v>67</v>
      </c>
      <c r="E2023" t="s">
        <v>67</v>
      </c>
      <c r="F2023" t="s">
        <v>27987</v>
      </c>
      <c r="G2023" s="117">
        <v>67.180000000000007</v>
      </c>
    </row>
    <row r="2024" spans="1:7" x14ac:dyDescent="0.25">
      <c r="A2024" s="116" t="s">
        <v>3077</v>
      </c>
      <c r="B2024" s="117" t="s">
        <v>3078</v>
      </c>
      <c r="C2024" t="s">
        <v>67</v>
      </c>
      <c r="D2024" t="s">
        <v>67</v>
      </c>
      <c r="E2024" t="s">
        <v>67</v>
      </c>
      <c r="F2024" t="s">
        <v>27987</v>
      </c>
      <c r="G2024" s="117">
        <v>16.46</v>
      </c>
    </row>
    <row r="2025" spans="1:7" x14ac:dyDescent="0.25">
      <c r="A2025" s="116" t="s">
        <v>3079</v>
      </c>
      <c r="B2025" s="117" t="s">
        <v>1296</v>
      </c>
      <c r="C2025" t="s">
        <v>67</v>
      </c>
      <c r="D2025" t="s">
        <v>67</v>
      </c>
      <c r="E2025" t="s">
        <v>67</v>
      </c>
      <c r="F2025" t="s">
        <v>49</v>
      </c>
      <c r="G2025" s="117">
        <v>14.14</v>
      </c>
    </row>
    <row r="2026" spans="1:7" x14ac:dyDescent="0.25">
      <c r="A2026" s="116" t="s">
        <v>3080</v>
      </c>
      <c r="B2026" s="117" t="s">
        <v>3081</v>
      </c>
      <c r="C2026" t="s">
        <v>67</v>
      </c>
      <c r="D2026" t="s">
        <v>67</v>
      </c>
      <c r="E2026" t="s">
        <v>67</v>
      </c>
      <c r="F2026" t="s">
        <v>27987</v>
      </c>
      <c r="G2026" s="117">
        <v>176.99</v>
      </c>
    </row>
    <row r="2027" spans="1:7" x14ac:dyDescent="0.25">
      <c r="A2027" s="116" t="s">
        <v>30604</v>
      </c>
      <c r="B2027" s="117" t="s">
        <v>31114</v>
      </c>
      <c r="C2027" t="s">
        <v>67</v>
      </c>
      <c r="D2027" t="s">
        <v>67</v>
      </c>
      <c r="E2027" t="s">
        <v>67</v>
      </c>
      <c r="F2027" t="s">
        <v>45</v>
      </c>
      <c r="G2027" s="117">
        <v>15</v>
      </c>
    </row>
    <row r="2028" spans="1:7" x14ac:dyDescent="0.25">
      <c r="A2028" s="116" t="s">
        <v>3082</v>
      </c>
      <c r="B2028" s="117" t="s">
        <v>3083</v>
      </c>
      <c r="C2028" t="s">
        <v>67</v>
      </c>
      <c r="D2028" t="s">
        <v>67</v>
      </c>
      <c r="E2028" t="s">
        <v>67</v>
      </c>
      <c r="F2028" t="s">
        <v>49</v>
      </c>
      <c r="G2028" s="117">
        <v>12.01</v>
      </c>
    </row>
    <row r="2029" spans="1:7" x14ac:dyDescent="0.25">
      <c r="A2029" s="116" t="s">
        <v>3084</v>
      </c>
      <c r="B2029" s="117" t="s">
        <v>3085</v>
      </c>
      <c r="C2029" t="s">
        <v>67</v>
      </c>
      <c r="D2029" t="s">
        <v>67</v>
      </c>
      <c r="E2029" t="s">
        <v>67</v>
      </c>
      <c r="F2029" t="s">
        <v>27987</v>
      </c>
      <c r="G2029" s="117">
        <v>9.6999999999999993</v>
      </c>
    </row>
    <row r="2030" spans="1:7" x14ac:dyDescent="0.25">
      <c r="A2030" s="116" t="s">
        <v>3086</v>
      </c>
      <c r="B2030" s="117" t="s">
        <v>3087</v>
      </c>
      <c r="C2030" t="s">
        <v>67</v>
      </c>
      <c r="D2030" t="s">
        <v>67</v>
      </c>
      <c r="E2030" t="s">
        <v>67</v>
      </c>
      <c r="F2030" t="s">
        <v>27987</v>
      </c>
      <c r="G2030" s="117">
        <v>50.27</v>
      </c>
    </row>
    <row r="2031" spans="1:7" x14ac:dyDescent="0.25">
      <c r="A2031" s="116" t="s">
        <v>3088</v>
      </c>
      <c r="B2031" s="117" t="s">
        <v>3089</v>
      </c>
      <c r="C2031" t="s">
        <v>67</v>
      </c>
      <c r="D2031" t="s">
        <v>67</v>
      </c>
      <c r="E2031" t="s">
        <v>67</v>
      </c>
      <c r="F2031" t="s">
        <v>27987</v>
      </c>
      <c r="G2031" s="117">
        <v>19.13</v>
      </c>
    </row>
    <row r="2032" spans="1:7" x14ac:dyDescent="0.25">
      <c r="A2032" s="116" t="s">
        <v>3090</v>
      </c>
      <c r="B2032" s="117" t="s">
        <v>2497</v>
      </c>
      <c r="C2032" t="s">
        <v>67</v>
      </c>
      <c r="D2032" t="s">
        <v>67</v>
      </c>
      <c r="E2032" t="s">
        <v>67</v>
      </c>
      <c r="F2032" t="s">
        <v>27987</v>
      </c>
      <c r="G2032" s="117">
        <v>121.82</v>
      </c>
    </row>
    <row r="2033" spans="1:7" x14ac:dyDescent="0.25">
      <c r="A2033" s="116" t="s">
        <v>3091</v>
      </c>
      <c r="B2033" s="117" t="s">
        <v>3092</v>
      </c>
      <c r="C2033" t="s">
        <v>67</v>
      </c>
      <c r="D2033" t="s">
        <v>67</v>
      </c>
      <c r="E2033" t="s">
        <v>67</v>
      </c>
      <c r="F2033" t="s">
        <v>27987</v>
      </c>
      <c r="G2033" s="117">
        <v>126.26</v>
      </c>
    </row>
    <row r="2034" spans="1:7" x14ac:dyDescent="0.25">
      <c r="A2034" s="116" t="s">
        <v>3093</v>
      </c>
      <c r="B2034" s="117" t="s">
        <v>3094</v>
      </c>
      <c r="C2034" t="s">
        <v>67</v>
      </c>
      <c r="D2034" t="s">
        <v>67</v>
      </c>
      <c r="E2034" t="s">
        <v>67</v>
      </c>
      <c r="F2034" t="s">
        <v>45</v>
      </c>
      <c r="G2034" s="117">
        <v>9.6999999999999993</v>
      </c>
    </row>
    <row r="2035" spans="1:7" x14ac:dyDescent="0.25">
      <c r="A2035" s="116" t="s">
        <v>3095</v>
      </c>
      <c r="B2035" s="117" t="s">
        <v>3096</v>
      </c>
      <c r="C2035" t="s">
        <v>67</v>
      </c>
      <c r="D2035" t="s">
        <v>67</v>
      </c>
      <c r="E2035" t="s">
        <v>67</v>
      </c>
      <c r="F2035" t="s">
        <v>27987</v>
      </c>
      <c r="G2035" s="117">
        <v>66.3</v>
      </c>
    </row>
    <row r="2036" spans="1:7" x14ac:dyDescent="0.25">
      <c r="A2036" s="116" t="s">
        <v>3097</v>
      </c>
      <c r="B2036" s="117" t="s">
        <v>3098</v>
      </c>
      <c r="C2036" t="s">
        <v>67</v>
      </c>
      <c r="D2036" t="s">
        <v>67</v>
      </c>
      <c r="E2036" t="s">
        <v>67</v>
      </c>
      <c r="F2036" t="s">
        <v>45</v>
      </c>
      <c r="G2036" s="117">
        <v>66.3</v>
      </c>
    </row>
    <row r="2037" spans="1:7" x14ac:dyDescent="0.25">
      <c r="A2037" s="116" t="s">
        <v>3099</v>
      </c>
      <c r="B2037" s="117" t="s">
        <v>3100</v>
      </c>
      <c r="C2037" t="s">
        <v>67</v>
      </c>
      <c r="D2037" t="s">
        <v>67</v>
      </c>
      <c r="E2037" t="s">
        <v>67</v>
      </c>
      <c r="F2037" t="s">
        <v>27987</v>
      </c>
      <c r="G2037" s="117">
        <v>134.81</v>
      </c>
    </row>
    <row r="2038" spans="1:7" x14ac:dyDescent="0.25">
      <c r="A2038" s="116" t="s">
        <v>3101</v>
      </c>
      <c r="B2038" s="117" t="s">
        <v>3102</v>
      </c>
      <c r="C2038" t="s">
        <v>67</v>
      </c>
      <c r="D2038" t="s">
        <v>67</v>
      </c>
      <c r="E2038" t="s">
        <v>67</v>
      </c>
      <c r="F2038" t="s">
        <v>45</v>
      </c>
      <c r="G2038" s="117">
        <v>127.16</v>
      </c>
    </row>
    <row r="2039" spans="1:7" x14ac:dyDescent="0.25">
      <c r="A2039" s="116" t="s">
        <v>3103</v>
      </c>
      <c r="B2039" s="117" t="s">
        <v>3104</v>
      </c>
      <c r="C2039" t="s">
        <v>67</v>
      </c>
      <c r="D2039" t="s">
        <v>67</v>
      </c>
      <c r="E2039" t="s">
        <v>67</v>
      </c>
      <c r="F2039" t="s">
        <v>45</v>
      </c>
      <c r="G2039" s="117">
        <v>128.94</v>
      </c>
    </row>
    <row r="2040" spans="1:7" x14ac:dyDescent="0.25">
      <c r="A2040" s="116" t="s">
        <v>3105</v>
      </c>
      <c r="B2040" s="117" t="s">
        <v>3106</v>
      </c>
      <c r="C2040" t="s">
        <v>67</v>
      </c>
      <c r="D2040" t="s">
        <v>67</v>
      </c>
      <c r="E2040" t="s">
        <v>67</v>
      </c>
      <c r="F2040" t="s">
        <v>27987</v>
      </c>
      <c r="G2040" s="117">
        <v>135.69999999999999</v>
      </c>
    </row>
    <row r="2041" spans="1:7" x14ac:dyDescent="0.25">
      <c r="A2041" s="116" t="s">
        <v>3107</v>
      </c>
      <c r="B2041" s="117" t="s">
        <v>3108</v>
      </c>
      <c r="C2041" t="s">
        <v>67</v>
      </c>
      <c r="D2041" t="s">
        <v>67</v>
      </c>
      <c r="E2041" t="s">
        <v>67</v>
      </c>
      <c r="F2041" t="s">
        <v>49</v>
      </c>
      <c r="G2041" s="117">
        <v>169.87</v>
      </c>
    </row>
    <row r="2042" spans="1:7" x14ac:dyDescent="0.25">
      <c r="A2042" s="116" t="s">
        <v>28470</v>
      </c>
      <c r="B2042" s="117" t="s">
        <v>28471</v>
      </c>
      <c r="C2042" t="s">
        <v>67</v>
      </c>
      <c r="D2042" t="s">
        <v>67</v>
      </c>
      <c r="E2042" t="s">
        <v>67</v>
      </c>
      <c r="F2042" t="s">
        <v>45</v>
      </c>
      <c r="G2042" s="117">
        <v>0</v>
      </c>
    </row>
    <row r="2043" spans="1:7" x14ac:dyDescent="0.25">
      <c r="A2043" s="116" t="s">
        <v>3109</v>
      </c>
      <c r="B2043" s="117" t="s">
        <v>3110</v>
      </c>
      <c r="C2043" t="s">
        <v>67</v>
      </c>
      <c r="D2043" t="s">
        <v>67</v>
      </c>
      <c r="E2043" t="s">
        <v>67</v>
      </c>
      <c r="F2043" t="s">
        <v>27987</v>
      </c>
      <c r="G2043" s="117">
        <v>14.14</v>
      </c>
    </row>
    <row r="2044" spans="1:7" x14ac:dyDescent="0.25">
      <c r="A2044" s="116" t="s">
        <v>3111</v>
      </c>
      <c r="B2044" s="117" t="s">
        <v>3112</v>
      </c>
      <c r="C2044" t="s">
        <v>67</v>
      </c>
      <c r="D2044" t="s">
        <v>67</v>
      </c>
      <c r="E2044" t="s">
        <v>67</v>
      </c>
      <c r="F2044" t="s">
        <v>45</v>
      </c>
      <c r="G2044" s="117">
        <v>368.3</v>
      </c>
    </row>
    <row r="2045" spans="1:7" x14ac:dyDescent="0.25">
      <c r="A2045" s="116" t="s">
        <v>3113</v>
      </c>
      <c r="B2045" s="117" t="s">
        <v>3114</v>
      </c>
      <c r="C2045" t="s">
        <v>67</v>
      </c>
      <c r="D2045" t="s">
        <v>67</v>
      </c>
      <c r="E2045" t="s">
        <v>67</v>
      </c>
      <c r="F2045" t="s">
        <v>27987</v>
      </c>
      <c r="G2045" s="117">
        <v>23.94</v>
      </c>
    </row>
    <row r="2046" spans="1:7" x14ac:dyDescent="0.25">
      <c r="A2046" s="116" t="s">
        <v>3115</v>
      </c>
      <c r="B2046" s="117" t="s">
        <v>3116</v>
      </c>
      <c r="C2046" t="s">
        <v>67</v>
      </c>
      <c r="D2046" t="s">
        <v>67</v>
      </c>
      <c r="E2046" t="s">
        <v>67</v>
      </c>
      <c r="F2046" t="s">
        <v>27987</v>
      </c>
      <c r="G2046" s="117">
        <v>42.62</v>
      </c>
    </row>
    <row r="2047" spans="1:7" x14ac:dyDescent="0.25">
      <c r="A2047" s="116" t="s">
        <v>3117</v>
      </c>
      <c r="B2047" s="117" t="s">
        <v>3118</v>
      </c>
      <c r="C2047" t="s">
        <v>67</v>
      </c>
      <c r="D2047" t="s">
        <v>67</v>
      </c>
      <c r="E2047" t="s">
        <v>67</v>
      </c>
      <c r="F2047" t="s">
        <v>27987</v>
      </c>
      <c r="G2047" s="117">
        <v>15.04</v>
      </c>
    </row>
    <row r="2048" spans="1:7" x14ac:dyDescent="0.25">
      <c r="A2048" s="116" t="s">
        <v>3119</v>
      </c>
      <c r="B2048" s="117" t="s">
        <v>3120</v>
      </c>
      <c r="C2048" t="s">
        <v>67</v>
      </c>
      <c r="D2048" t="s">
        <v>67</v>
      </c>
      <c r="E2048" t="s">
        <v>67</v>
      </c>
      <c r="F2048" t="s">
        <v>27987</v>
      </c>
      <c r="G2048" s="117">
        <v>79.64</v>
      </c>
    </row>
    <row r="2049" spans="1:7" x14ac:dyDescent="0.25">
      <c r="A2049" s="116" t="s">
        <v>3121</v>
      </c>
      <c r="B2049" s="117" t="s">
        <v>3122</v>
      </c>
      <c r="C2049" t="s">
        <v>67</v>
      </c>
      <c r="D2049" t="s">
        <v>67</v>
      </c>
      <c r="E2049" t="s">
        <v>67</v>
      </c>
      <c r="F2049" t="s">
        <v>45</v>
      </c>
      <c r="G2049" s="117">
        <v>222.01</v>
      </c>
    </row>
    <row r="2050" spans="1:7" x14ac:dyDescent="0.25">
      <c r="A2050" s="116" t="s">
        <v>3123</v>
      </c>
      <c r="B2050" s="117" t="s">
        <v>3124</v>
      </c>
      <c r="C2050" t="s">
        <v>67</v>
      </c>
      <c r="D2050" t="s">
        <v>67</v>
      </c>
      <c r="E2050" t="s">
        <v>67</v>
      </c>
      <c r="F2050" t="s">
        <v>27990</v>
      </c>
      <c r="G2050" s="117">
        <v>12.01</v>
      </c>
    </row>
    <row r="2051" spans="1:7" x14ac:dyDescent="0.25">
      <c r="A2051" s="116" t="s">
        <v>3125</v>
      </c>
      <c r="B2051" s="117" t="s">
        <v>3126</v>
      </c>
      <c r="C2051" t="s">
        <v>67</v>
      </c>
      <c r="D2051" t="s">
        <v>67</v>
      </c>
      <c r="E2051" t="s">
        <v>67</v>
      </c>
      <c r="F2051" t="s">
        <v>27987</v>
      </c>
      <c r="G2051" s="117">
        <v>71.989999999999995</v>
      </c>
    </row>
    <row r="2052" spans="1:7" x14ac:dyDescent="0.25">
      <c r="A2052" s="116" t="s">
        <v>3127</v>
      </c>
      <c r="B2052" s="117" t="s">
        <v>3128</v>
      </c>
      <c r="C2052" t="s">
        <v>67</v>
      </c>
      <c r="D2052" t="s">
        <v>67</v>
      </c>
      <c r="E2052" t="s">
        <v>67</v>
      </c>
      <c r="F2052" t="s">
        <v>45</v>
      </c>
      <c r="G2052" s="117">
        <v>51.17</v>
      </c>
    </row>
    <row r="2053" spans="1:7" x14ac:dyDescent="0.25">
      <c r="A2053" s="116" t="s">
        <v>3129</v>
      </c>
      <c r="B2053" s="117" t="s">
        <v>3130</v>
      </c>
      <c r="C2053" t="s">
        <v>67</v>
      </c>
      <c r="D2053" t="s">
        <v>67</v>
      </c>
      <c r="E2053" t="s">
        <v>67</v>
      </c>
      <c r="F2053" t="s">
        <v>49</v>
      </c>
      <c r="G2053" s="117">
        <v>129.82</v>
      </c>
    </row>
    <row r="2054" spans="1:7" x14ac:dyDescent="0.25">
      <c r="A2054" s="116" t="s">
        <v>3131</v>
      </c>
      <c r="B2054" s="117" t="s">
        <v>3132</v>
      </c>
      <c r="C2054" t="s">
        <v>67</v>
      </c>
      <c r="D2054" t="s">
        <v>67</v>
      </c>
      <c r="E2054" t="s">
        <v>67</v>
      </c>
      <c r="F2054" t="s">
        <v>27987</v>
      </c>
      <c r="G2054" s="117">
        <v>57.75</v>
      </c>
    </row>
    <row r="2055" spans="1:7" x14ac:dyDescent="0.25">
      <c r="A2055" s="116" t="s">
        <v>3133</v>
      </c>
      <c r="B2055" s="117" t="s">
        <v>3134</v>
      </c>
      <c r="C2055" t="s">
        <v>67</v>
      </c>
      <c r="D2055" t="s">
        <v>67</v>
      </c>
      <c r="E2055" t="s">
        <v>67</v>
      </c>
      <c r="F2055" t="s">
        <v>27987</v>
      </c>
      <c r="G2055" s="117">
        <v>8.81</v>
      </c>
    </row>
    <row r="2056" spans="1:7" x14ac:dyDescent="0.25">
      <c r="A2056" s="116" t="s">
        <v>3135</v>
      </c>
      <c r="B2056" s="117" t="s">
        <v>3136</v>
      </c>
      <c r="C2056" t="s">
        <v>67</v>
      </c>
      <c r="D2056" t="s">
        <v>67</v>
      </c>
      <c r="E2056" t="s">
        <v>67</v>
      </c>
      <c r="F2056" t="s">
        <v>27987</v>
      </c>
      <c r="G2056" s="117">
        <v>63.62</v>
      </c>
    </row>
    <row r="2057" spans="1:7" x14ac:dyDescent="0.25">
      <c r="A2057" s="116" t="s">
        <v>3137</v>
      </c>
      <c r="B2057" s="117" t="s">
        <v>3138</v>
      </c>
      <c r="C2057" t="s">
        <v>67</v>
      </c>
      <c r="D2057" t="s">
        <v>67</v>
      </c>
      <c r="E2057" t="s">
        <v>67</v>
      </c>
      <c r="F2057" t="s">
        <v>27987</v>
      </c>
      <c r="G2057" s="117">
        <v>42.26</v>
      </c>
    </row>
    <row r="2058" spans="1:7" x14ac:dyDescent="0.25">
      <c r="A2058" s="116" t="s">
        <v>3139</v>
      </c>
      <c r="B2058" s="117" t="s">
        <v>3140</v>
      </c>
      <c r="C2058" t="s">
        <v>67</v>
      </c>
      <c r="D2058" t="s">
        <v>67</v>
      </c>
      <c r="E2058" t="s">
        <v>67</v>
      </c>
      <c r="F2058" t="s">
        <v>27987</v>
      </c>
      <c r="G2058" s="117">
        <v>12.37</v>
      </c>
    </row>
    <row r="2059" spans="1:7" x14ac:dyDescent="0.25">
      <c r="A2059" s="116" t="s">
        <v>3141</v>
      </c>
      <c r="B2059" s="117" t="s">
        <v>3142</v>
      </c>
      <c r="C2059" t="s">
        <v>67</v>
      </c>
      <c r="D2059" t="s">
        <v>67</v>
      </c>
      <c r="E2059" t="s">
        <v>67</v>
      </c>
      <c r="F2059" t="s">
        <v>45</v>
      </c>
      <c r="G2059" s="117">
        <v>10.68</v>
      </c>
    </row>
    <row r="2060" spans="1:7" x14ac:dyDescent="0.25">
      <c r="A2060" s="116" t="s">
        <v>3143</v>
      </c>
      <c r="B2060" s="117" t="s">
        <v>3144</v>
      </c>
      <c r="C2060" t="s">
        <v>67</v>
      </c>
      <c r="D2060" t="s">
        <v>67</v>
      </c>
      <c r="E2060" t="s">
        <v>67</v>
      </c>
      <c r="F2060" t="s">
        <v>49</v>
      </c>
      <c r="G2060" s="117">
        <v>20.38</v>
      </c>
    </row>
    <row r="2061" spans="1:7" x14ac:dyDescent="0.25">
      <c r="A2061" s="116" t="s">
        <v>3145</v>
      </c>
      <c r="B2061" s="117" t="s">
        <v>3146</v>
      </c>
      <c r="C2061" t="s">
        <v>67</v>
      </c>
      <c r="D2061" t="s">
        <v>67</v>
      </c>
      <c r="E2061" t="s">
        <v>67</v>
      </c>
      <c r="F2061" t="s">
        <v>27987</v>
      </c>
      <c r="G2061" s="117">
        <v>57.75</v>
      </c>
    </row>
    <row r="2062" spans="1:7" x14ac:dyDescent="0.25">
      <c r="A2062" s="116" t="s">
        <v>3147</v>
      </c>
      <c r="B2062" s="117" t="s">
        <v>3148</v>
      </c>
      <c r="C2062" t="s">
        <v>67</v>
      </c>
      <c r="D2062" t="s">
        <v>67</v>
      </c>
      <c r="E2062" t="s">
        <v>67</v>
      </c>
      <c r="F2062" t="s">
        <v>27987</v>
      </c>
      <c r="G2062" s="117">
        <v>20.92</v>
      </c>
    </row>
    <row r="2063" spans="1:7" x14ac:dyDescent="0.25">
      <c r="A2063" s="116" t="s">
        <v>3149</v>
      </c>
      <c r="B2063" s="117" t="s">
        <v>3150</v>
      </c>
      <c r="C2063" t="s">
        <v>67</v>
      </c>
      <c r="D2063" t="s">
        <v>67</v>
      </c>
      <c r="E2063" t="s">
        <v>67</v>
      </c>
      <c r="F2063" t="s">
        <v>27987</v>
      </c>
      <c r="G2063" s="117">
        <v>68.430000000000007</v>
      </c>
    </row>
    <row r="2064" spans="1:7" x14ac:dyDescent="0.25">
      <c r="A2064" s="116" t="s">
        <v>3151</v>
      </c>
      <c r="B2064" s="117" t="s">
        <v>1725</v>
      </c>
      <c r="C2064" t="s">
        <v>67</v>
      </c>
      <c r="D2064" t="s">
        <v>67</v>
      </c>
      <c r="E2064" t="s">
        <v>67</v>
      </c>
      <c r="F2064" t="s">
        <v>27987</v>
      </c>
      <c r="G2064" s="117">
        <v>66.3</v>
      </c>
    </row>
    <row r="2065" spans="1:7" x14ac:dyDescent="0.25">
      <c r="A2065" s="116" t="s">
        <v>3152</v>
      </c>
      <c r="B2065" s="117" t="s">
        <v>3153</v>
      </c>
      <c r="C2065" t="s">
        <v>67</v>
      </c>
      <c r="D2065" t="s">
        <v>67</v>
      </c>
      <c r="E2065" t="s">
        <v>67</v>
      </c>
      <c r="F2065" t="s">
        <v>27987</v>
      </c>
      <c r="G2065" s="117">
        <v>29.81</v>
      </c>
    </row>
    <row r="2066" spans="1:7" x14ac:dyDescent="0.25">
      <c r="A2066" s="116" t="s">
        <v>3154</v>
      </c>
      <c r="B2066" s="117" t="s">
        <v>3155</v>
      </c>
      <c r="C2066" t="s">
        <v>67</v>
      </c>
      <c r="D2066" t="s">
        <v>67</v>
      </c>
      <c r="E2066" t="s">
        <v>67</v>
      </c>
      <c r="F2066" t="s">
        <v>45</v>
      </c>
      <c r="G2066" s="117">
        <v>23.05</v>
      </c>
    </row>
    <row r="2067" spans="1:7" x14ac:dyDescent="0.25">
      <c r="A2067" s="116" t="s">
        <v>3156</v>
      </c>
      <c r="B2067" s="117" t="s">
        <v>3157</v>
      </c>
      <c r="C2067" t="s">
        <v>67</v>
      </c>
      <c r="D2067" t="s">
        <v>67</v>
      </c>
      <c r="E2067" t="s">
        <v>67</v>
      </c>
      <c r="F2067" t="s">
        <v>27987</v>
      </c>
      <c r="G2067" s="117">
        <v>52.94</v>
      </c>
    </row>
    <row r="2068" spans="1:7" x14ac:dyDescent="0.25">
      <c r="A2068" s="116" t="s">
        <v>3158</v>
      </c>
      <c r="B2068" s="117" t="s">
        <v>3159</v>
      </c>
      <c r="C2068" t="s">
        <v>67</v>
      </c>
      <c r="D2068" t="s">
        <v>67</v>
      </c>
      <c r="E2068" t="s">
        <v>67</v>
      </c>
      <c r="F2068" t="s">
        <v>45</v>
      </c>
      <c r="G2068" s="117">
        <v>24.82</v>
      </c>
    </row>
    <row r="2069" spans="1:7" x14ac:dyDescent="0.25">
      <c r="A2069" s="116" t="s">
        <v>3160</v>
      </c>
      <c r="B2069" s="117" t="s">
        <v>28436</v>
      </c>
      <c r="C2069" t="s">
        <v>67</v>
      </c>
      <c r="D2069" t="s">
        <v>67</v>
      </c>
      <c r="E2069" t="s">
        <v>67</v>
      </c>
      <c r="F2069" t="s">
        <v>27987</v>
      </c>
      <c r="G2069" s="117">
        <v>23.92</v>
      </c>
    </row>
    <row r="2070" spans="1:7" x14ac:dyDescent="0.25">
      <c r="A2070" s="116" t="s">
        <v>3161</v>
      </c>
      <c r="B2070" s="117" t="s">
        <v>1082</v>
      </c>
      <c r="C2070" t="s">
        <v>67</v>
      </c>
      <c r="D2070" t="s">
        <v>67</v>
      </c>
      <c r="E2070" t="s">
        <v>67</v>
      </c>
      <c r="F2070" t="s">
        <v>27987</v>
      </c>
      <c r="G2070" s="117">
        <v>39.950000000000003</v>
      </c>
    </row>
    <row r="2071" spans="1:7" x14ac:dyDescent="0.25">
      <c r="A2071" s="116" t="s">
        <v>3162</v>
      </c>
      <c r="B2071" s="117" t="s">
        <v>3163</v>
      </c>
      <c r="C2071" t="s">
        <v>67</v>
      </c>
      <c r="D2071" t="s">
        <v>67</v>
      </c>
      <c r="E2071" t="s">
        <v>67</v>
      </c>
      <c r="F2071" t="s">
        <v>27987</v>
      </c>
      <c r="G2071" s="117">
        <v>148.51</v>
      </c>
    </row>
    <row r="2072" spans="1:7" x14ac:dyDescent="0.25">
      <c r="A2072" s="116" t="s">
        <v>3164</v>
      </c>
      <c r="B2072" s="117" t="s">
        <v>3165</v>
      </c>
      <c r="C2072" t="s">
        <v>67</v>
      </c>
      <c r="D2072" t="s">
        <v>67</v>
      </c>
      <c r="E2072" t="s">
        <v>67</v>
      </c>
      <c r="F2072" t="s">
        <v>27987</v>
      </c>
      <c r="G2072" s="117">
        <v>224.14</v>
      </c>
    </row>
    <row r="2073" spans="1:7" x14ac:dyDescent="0.25">
      <c r="A2073" s="116" t="s">
        <v>3166</v>
      </c>
      <c r="B2073" s="117" t="s">
        <v>3167</v>
      </c>
      <c r="C2073" t="s">
        <v>67</v>
      </c>
      <c r="D2073" t="s">
        <v>67</v>
      </c>
      <c r="E2073" t="s">
        <v>67</v>
      </c>
      <c r="F2073" t="s">
        <v>27987</v>
      </c>
      <c r="G2073" s="117">
        <v>279.32</v>
      </c>
    </row>
    <row r="2074" spans="1:7" x14ac:dyDescent="0.25">
      <c r="A2074" s="116" t="s">
        <v>3168</v>
      </c>
      <c r="B2074" s="117" t="s">
        <v>3169</v>
      </c>
      <c r="C2074" t="s">
        <v>67</v>
      </c>
      <c r="D2074" t="s">
        <v>67</v>
      </c>
      <c r="E2074" t="s">
        <v>67</v>
      </c>
      <c r="F2074" t="s">
        <v>45</v>
      </c>
      <c r="G2074" s="117">
        <v>15.93</v>
      </c>
    </row>
    <row r="2075" spans="1:7" x14ac:dyDescent="0.25">
      <c r="A2075" s="116" t="s">
        <v>3170</v>
      </c>
      <c r="B2075" s="117" t="s">
        <v>3171</v>
      </c>
      <c r="C2075" t="s">
        <v>67</v>
      </c>
      <c r="D2075" t="s">
        <v>67</v>
      </c>
      <c r="E2075" t="s">
        <v>67</v>
      </c>
      <c r="F2075" t="s">
        <v>45</v>
      </c>
      <c r="G2075" s="117">
        <v>755.92</v>
      </c>
    </row>
    <row r="2076" spans="1:7" x14ac:dyDescent="0.25">
      <c r="A2076" s="116" t="s">
        <v>3172</v>
      </c>
      <c r="B2076" s="117" t="s">
        <v>3173</v>
      </c>
      <c r="C2076" t="s">
        <v>67</v>
      </c>
      <c r="D2076" t="s">
        <v>67</v>
      </c>
      <c r="E2076" t="s">
        <v>67</v>
      </c>
      <c r="F2076" t="s">
        <v>27987</v>
      </c>
      <c r="G2076" s="117">
        <v>165.42</v>
      </c>
    </row>
    <row r="2077" spans="1:7" x14ac:dyDescent="0.25">
      <c r="A2077" s="116" t="s">
        <v>3174</v>
      </c>
      <c r="B2077" s="117" t="s">
        <v>3175</v>
      </c>
      <c r="C2077" t="s">
        <v>67</v>
      </c>
      <c r="D2077" t="s">
        <v>67</v>
      </c>
      <c r="E2077" t="s">
        <v>67</v>
      </c>
      <c r="F2077" t="s">
        <v>27987</v>
      </c>
      <c r="G2077" s="117">
        <v>30.17</v>
      </c>
    </row>
    <row r="2078" spans="1:7" x14ac:dyDescent="0.25">
      <c r="A2078" s="116" t="s">
        <v>3176</v>
      </c>
      <c r="B2078" s="117" t="s">
        <v>1267</v>
      </c>
      <c r="C2078" t="s">
        <v>67</v>
      </c>
      <c r="D2078" t="s">
        <v>67</v>
      </c>
      <c r="E2078" t="s">
        <v>67</v>
      </c>
      <c r="F2078" t="s">
        <v>27987</v>
      </c>
      <c r="G2078" s="117">
        <v>136.58000000000001</v>
      </c>
    </row>
    <row r="2079" spans="1:7" x14ac:dyDescent="0.25">
      <c r="A2079" s="116" t="s">
        <v>3177</v>
      </c>
      <c r="B2079" s="117" t="s">
        <v>3178</v>
      </c>
      <c r="C2079" t="s">
        <v>67</v>
      </c>
      <c r="D2079" t="s">
        <v>67</v>
      </c>
      <c r="E2079" t="s">
        <v>67</v>
      </c>
      <c r="F2079" t="s">
        <v>45</v>
      </c>
      <c r="G2079" s="117">
        <v>377.74</v>
      </c>
    </row>
    <row r="2080" spans="1:7" x14ac:dyDescent="0.25">
      <c r="A2080" s="116" t="s">
        <v>3179</v>
      </c>
      <c r="B2080" s="117" t="s">
        <v>1267</v>
      </c>
      <c r="C2080" t="s">
        <v>67</v>
      </c>
      <c r="D2080" t="s">
        <v>67</v>
      </c>
      <c r="E2080" t="s">
        <v>67</v>
      </c>
      <c r="F2080" t="s">
        <v>45</v>
      </c>
      <c r="G2080" s="117">
        <v>88.54</v>
      </c>
    </row>
    <row r="2081" spans="1:7" x14ac:dyDescent="0.25">
      <c r="A2081" s="116" t="s">
        <v>3180</v>
      </c>
      <c r="B2081" s="117" t="s">
        <v>3181</v>
      </c>
      <c r="C2081" t="s">
        <v>67</v>
      </c>
      <c r="D2081" t="s">
        <v>67</v>
      </c>
      <c r="E2081" t="s">
        <v>67</v>
      </c>
      <c r="F2081" t="s">
        <v>45</v>
      </c>
      <c r="G2081" s="117">
        <v>212.58</v>
      </c>
    </row>
    <row r="2082" spans="1:7" x14ac:dyDescent="0.25">
      <c r="A2082" s="116" t="s">
        <v>3182</v>
      </c>
      <c r="B2082" s="117" t="s">
        <v>3183</v>
      </c>
      <c r="C2082" t="s">
        <v>67</v>
      </c>
      <c r="D2082" t="s">
        <v>67</v>
      </c>
      <c r="E2082" t="s">
        <v>67</v>
      </c>
      <c r="F2082" t="s">
        <v>27987</v>
      </c>
      <c r="G2082" s="117">
        <v>167.2</v>
      </c>
    </row>
    <row r="2083" spans="1:7" x14ac:dyDescent="0.25">
      <c r="A2083" s="116" t="s">
        <v>3184</v>
      </c>
      <c r="B2083" s="117" t="s">
        <v>3185</v>
      </c>
      <c r="C2083" t="s">
        <v>67</v>
      </c>
      <c r="D2083" t="s">
        <v>67</v>
      </c>
      <c r="E2083" t="s">
        <v>67</v>
      </c>
      <c r="F2083" t="s">
        <v>27987</v>
      </c>
      <c r="G2083" s="117">
        <v>271.31</v>
      </c>
    </row>
    <row r="2084" spans="1:7" x14ac:dyDescent="0.25">
      <c r="A2084" s="116" t="s">
        <v>3186</v>
      </c>
      <c r="B2084" s="117" t="s">
        <v>3187</v>
      </c>
      <c r="C2084" t="s">
        <v>67</v>
      </c>
      <c r="D2084" t="s">
        <v>67</v>
      </c>
      <c r="E2084" t="s">
        <v>67</v>
      </c>
      <c r="F2084" t="s">
        <v>27987</v>
      </c>
      <c r="G2084" s="117">
        <v>109</v>
      </c>
    </row>
    <row r="2085" spans="1:7" x14ac:dyDescent="0.25">
      <c r="A2085" s="116" t="s">
        <v>3188</v>
      </c>
      <c r="B2085" s="117" t="s">
        <v>3189</v>
      </c>
      <c r="C2085" t="s">
        <v>67</v>
      </c>
      <c r="D2085" t="s">
        <v>67</v>
      </c>
      <c r="E2085" t="s">
        <v>67</v>
      </c>
      <c r="F2085" t="s">
        <v>27987</v>
      </c>
      <c r="G2085" s="117">
        <v>227.7</v>
      </c>
    </row>
    <row r="2086" spans="1:7" x14ac:dyDescent="0.25">
      <c r="A2086" s="116" t="s">
        <v>3190</v>
      </c>
      <c r="B2086" s="117" t="s">
        <v>3191</v>
      </c>
      <c r="C2086" t="s">
        <v>67</v>
      </c>
      <c r="D2086" t="s">
        <v>67</v>
      </c>
      <c r="E2086" t="s">
        <v>67</v>
      </c>
      <c r="F2086" t="s">
        <v>45</v>
      </c>
      <c r="G2086" s="117">
        <v>108.48</v>
      </c>
    </row>
    <row r="2087" spans="1:7" x14ac:dyDescent="0.25">
      <c r="A2087" s="116" t="s">
        <v>3192</v>
      </c>
      <c r="B2087" s="117" t="s">
        <v>3193</v>
      </c>
      <c r="C2087" t="s">
        <v>67</v>
      </c>
      <c r="D2087" t="s">
        <v>67</v>
      </c>
      <c r="E2087" t="s">
        <v>67</v>
      </c>
      <c r="F2087" t="s">
        <v>27987</v>
      </c>
      <c r="G2087" s="117">
        <v>134.81</v>
      </c>
    </row>
    <row r="2088" spans="1:7" x14ac:dyDescent="0.25">
      <c r="A2088" s="116" t="s">
        <v>3194</v>
      </c>
      <c r="B2088" s="117" t="s">
        <v>3195</v>
      </c>
      <c r="C2088" t="s">
        <v>67</v>
      </c>
      <c r="D2088" t="s">
        <v>67</v>
      </c>
      <c r="E2088" t="s">
        <v>67</v>
      </c>
      <c r="F2088" t="s">
        <v>27987</v>
      </c>
      <c r="G2088" s="117">
        <v>95.12</v>
      </c>
    </row>
    <row r="2089" spans="1:7" x14ac:dyDescent="0.25">
      <c r="A2089" s="116" t="s">
        <v>3196</v>
      </c>
      <c r="B2089" s="117" t="s">
        <v>3197</v>
      </c>
      <c r="C2089" t="s">
        <v>67</v>
      </c>
      <c r="D2089" t="s">
        <v>67</v>
      </c>
      <c r="E2089" t="s">
        <v>67</v>
      </c>
      <c r="F2089" t="s">
        <v>27987</v>
      </c>
      <c r="G2089" s="117">
        <v>153.5</v>
      </c>
    </row>
    <row r="2090" spans="1:7" x14ac:dyDescent="0.25">
      <c r="A2090" s="116" t="s">
        <v>3198</v>
      </c>
      <c r="B2090" s="117" t="s">
        <v>28472</v>
      </c>
      <c r="C2090" t="s">
        <v>67</v>
      </c>
      <c r="D2090" t="s">
        <v>67</v>
      </c>
      <c r="E2090" t="s">
        <v>67</v>
      </c>
      <c r="F2090" t="s">
        <v>27987</v>
      </c>
      <c r="G2090" s="117">
        <v>145.49</v>
      </c>
    </row>
    <row r="2091" spans="1:7" x14ac:dyDescent="0.25">
      <c r="A2091" s="116" t="s">
        <v>3199</v>
      </c>
      <c r="B2091" s="117" t="s">
        <v>3200</v>
      </c>
      <c r="C2091" t="s">
        <v>67</v>
      </c>
      <c r="D2091" t="s">
        <v>67</v>
      </c>
      <c r="E2091" t="s">
        <v>67</v>
      </c>
      <c r="F2091" t="s">
        <v>27987</v>
      </c>
      <c r="G2091" s="117">
        <v>149.4</v>
      </c>
    </row>
    <row r="2092" spans="1:7" x14ac:dyDescent="0.25">
      <c r="A2092" s="116" t="s">
        <v>3201</v>
      </c>
      <c r="B2092" s="117" t="s">
        <v>3202</v>
      </c>
      <c r="C2092" t="s">
        <v>67</v>
      </c>
      <c r="D2092" t="s">
        <v>67</v>
      </c>
      <c r="E2092" t="s">
        <v>67</v>
      </c>
      <c r="F2092" t="s">
        <v>27987</v>
      </c>
      <c r="G2092" s="117">
        <v>94.76</v>
      </c>
    </row>
    <row r="2093" spans="1:7" x14ac:dyDescent="0.25">
      <c r="A2093" s="116" t="s">
        <v>3203</v>
      </c>
      <c r="B2093" s="117" t="s">
        <v>3204</v>
      </c>
      <c r="C2093" t="s">
        <v>67</v>
      </c>
      <c r="D2093" t="s">
        <v>67</v>
      </c>
      <c r="E2093" t="s">
        <v>67</v>
      </c>
      <c r="F2093" t="s">
        <v>27987</v>
      </c>
      <c r="G2093" s="117">
        <v>104.92</v>
      </c>
    </row>
    <row r="2094" spans="1:7" x14ac:dyDescent="0.25">
      <c r="A2094" s="116" t="s">
        <v>3205</v>
      </c>
      <c r="B2094" s="117" t="s">
        <v>3206</v>
      </c>
      <c r="C2094" t="s">
        <v>67</v>
      </c>
      <c r="D2094" t="s">
        <v>67</v>
      </c>
      <c r="E2094" t="s">
        <v>67</v>
      </c>
      <c r="F2094" t="s">
        <v>27987</v>
      </c>
      <c r="G2094" s="117">
        <v>5</v>
      </c>
    </row>
    <row r="2095" spans="1:7" x14ac:dyDescent="0.25">
      <c r="A2095" s="116" t="s">
        <v>3207</v>
      </c>
      <c r="B2095" s="117" t="s">
        <v>3208</v>
      </c>
      <c r="C2095" t="s">
        <v>67</v>
      </c>
      <c r="D2095" t="s">
        <v>67</v>
      </c>
      <c r="E2095" t="s">
        <v>67</v>
      </c>
      <c r="F2095" t="s">
        <v>45</v>
      </c>
      <c r="G2095" s="117">
        <v>418.13</v>
      </c>
    </row>
    <row r="2096" spans="1:7" x14ac:dyDescent="0.25">
      <c r="A2096" s="116" t="s">
        <v>3209</v>
      </c>
      <c r="B2096" s="117" t="s">
        <v>3210</v>
      </c>
      <c r="C2096" t="s">
        <v>67</v>
      </c>
      <c r="D2096" t="s">
        <v>67</v>
      </c>
      <c r="E2096" t="s">
        <v>67</v>
      </c>
      <c r="F2096" t="s">
        <v>27987</v>
      </c>
      <c r="G2096" s="117">
        <v>83.2</v>
      </c>
    </row>
    <row r="2097" spans="1:7" x14ac:dyDescent="0.25">
      <c r="A2097" s="116" t="s">
        <v>3211</v>
      </c>
      <c r="B2097" s="117" t="s">
        <v>3212</v>
      </c>
      <c r="C2097" t="s">
        <v>67</v>
      </c>
      <c r="D2097" t="s">
        <v>67</v>
      </c>
      <c r="E2097" t="s">
        <v>67</v>
      </c>
      <c r="F2097" t="s">
        <v>45</v>
      </c>
      <c r="G2097" s="117">
        <v>88.54</v>
      </c>
    </row>
    <row r="2098" spans="1:7" x14ac:dyDescent="0.25">
      <c r="A2098" s="116" t="s">
        <v>3213</v>
      </c>
      <c r="B2098" s="117" t="s">
        <v>3214</v>
      </c>
      <c r="C2098" t="s">
        <v>67</v>
      </c>
      <c r="D2098" t="s">
        <v>67</v>
      </c>
      <c r="E2098" t="s">
        <v>67</v>
      </c>
      <c r="F2098" t="s">
        <v>27987</v>
      </c>
      <c r="G2098" s="117">
        <v>61.85</v>
      </c>
    </row>
    <row r="2099" spans="1:7" x14ac:dyDescent="0.25">
      <c r="A2099" s="116" t="s">
        <v>3215</v>
      </c>
      <c r="B2099" s="117" t="s">
        <v>3216</v>
      </c>
      <c r="C2099" t="s">
        <v>67</v>
      </c>
      <c r="D2099" t="s">
        <v>67</v>
      </c>
      <c r="E2099" t="s">
        <v>67</v>
      </c>
      <c r="F2099" t="s">
        <v>27987</v>
      </c>
      <c r="G2099" s="117">
        <v>139.56</v>
      </c>
    </row>
    <row r="2100" spans="1:7" x14ac:dyDescent="0.25">
      <c r="A2100" s="116" t="s">
        <v>3217</v>
      </c>
      <c r="B2100" s="117" t="s">
        <v>3218</v>
      </c>
      <c r="C2100" t="s">
        <v>67</v>
      </c>
      <c r="D2100" t="s">
        <v>67</v>
      </c>
      <c r="E2100" t="s">
        <v>67</v>
      </c>
      <c r="F2100" t="s">
        <v>45</v>
      </c>
      <c r="G2100" s="117">
        <v>84.08</v>
      </c>
    </row>
    <row r="2101" spans="1:7" x14ac:dyDescent="0.25">
      <c r="A2101" s="116" t="s">
        <v>3219</v>
      </c>
      <c r="B2101" s="117" t="s">
        <v>3220</v>
      </c>
      <c r="C2101" t="s">
        <v>67</v>
      </c>
      <c r="D2101" t="s">
        <v>67</v>
      </c>
      <c r="E2101" t="s">
        <v>67</v>
      </c>
      <c r="F2101" t="s">
        <v>45</v>
      </c>
      <c r="G2101" s="117">
        <v>84.08</v>
      </c>
    </row>
    <row r="2102" spans="1:7" x14ac:dyDescent="0.25">
      <c r="A2102" s="116" t="s">
        <v>3221</v>
      </c>
      <c r="B2102" s="117" t="s">
        <v>402</v>
      </c>
      <c r="C2102" t="s">
        <v>67</v>
      </c>
      <c r="D2102" t="s">
        <v>67</v>
      </c>
      <c r="E2102" t="s">
        <v>67</v>
      </c>
      <c r="F2102" t="s">
        <v>45</v>
      </c>
      <c r="G2102" s="117">
        <v>135.69999999999999</v>
      </c>
    </row>
    <row r="2103" spans="1:7" x14ac:dyDescent="0.25">
      <c r="A2103" s="116" t="s">
        <v>3222</v>
      </c>
      <c r="B2103" s="117" t="s">
        <v>3223</v>
      </c>
      <c r="C2103" t="s">
        <v>67</v>
      </c>
      <c r="D2103" t="s">
        <v>67</v>
      </c>
      <c r="E2103" t="s">
        <v>67</v>
      </c>
      <c r="F2103" t="s">
        <v>45</v>
      </c>
      <c r="G2103" s="117">
        <v>26.25</v>
      </c>
    </row>
    <row r="2104" spans="1:7" x14ac:dyDescent="0.25">
      <c r="A2104" s="116" t="s">
        <v>3224</v>
      </c>
      <c r="B2104" s="117" t="s">
        <v>3225</v>
      </c>
      <c r="C2104" t="s">
        <v>67</v>
      </c>
      <c r="D2104" t="s">
        <v>67</v>
      </c>
      <c r="E2104" t="s">
        <v>67</v>
      </c>
      <c r="F2104" t="s">
        <v>45</v>
      </c>
      <c r="G2104" s="117">
        <v>28.12</v>
      </c>
    </row>
    <row r="2105" spans="1:7" x14ac:dyDescent="0.25">
      <c r="A2105" s="116" t="s">
        <v>3226</v>
      </c>
      <c r="B2105" s="117" t="s">
        <v>3227</v>
      </c>
      <c r="C2105" t="s">
        <v>67</v>
      </c>
      <c r="D2105" t="s">
        <v>67</v>
      </c>
      <c r="E2105" t="s">
        <v>67</v>
      </c>
      <c r="F2105" t="s">
        <v>45</v>
      </c>
      <c r="G2105" s="117">
        <v>197.1</v>
      </c>
    </row>
    <row r="2106" spans="1:7" x14ac:dyDescent="0.25">
      <c r="A2106" s="116" t="s">
        <v>3228</v>
      </c>
      <c r="B2106" s="117" t="s">
        <v>3229</v>
      </c>
      <c r="C2106" t="s">
        <v>67</v>
      </c>
      <c r="D2106" t="s">
        <v>67</v>
      </c>
      <c r="E2106" t="s">
        <v>67</v>
      </c>
      <c r="F2106" t="s">
        <v>27987</v>
      </c>
      <c r="G2106" s="117">
        <v>54.19</v>
      </c>
    </row>
    <row r="2107" spans="1:7" x14ac:dyDescent="0.25">
      <c r="A2107" s="116" t="s">
        <v>3230</v>
      </c>
      <c r="B2107" s="117" t="s">
        <v>3231</v>
      </c>
      <c r="C2107" t="s">
        <v>67</v>
      </c>
      <c r="D2107" t="s">
        <v>67</v>
      </c>
      <c r="E2107" t="s">
        <v>67</v>
      </c>
      <c r="F2107" t="s">
        <v>45</v>
      </c>
      <c r="G2107" s="117">
        <v>30.7</v>
      </c>
    </row>
    <row r="2108" spans="1:7" x14ac:dyDescent="0.25">
      <c r="A2108" s="116" t="s">
        <v>3232</v>
      </c>
      <c r="B2108" s="117" t="s">
        <v>3233</v>
      </c>
      <c r="C2108" t="s">
        <v>67</v>
      </c>
      <c r="D2108" t="s">
        <v>67</v>
      </c>
      <c r="E2108" t="s">
        <v>67</v>
      </c>
      <c r="F2108" t="s">
        <v>27987</v>
      </c>
      <c r="G2108" s="117">
        <v>109.89</v>
      </c>
    </row>
    <row r="2109" spans="1:7" x14ac:dyDescent="0.25">
      <c r="A2109" s="116" t="s">
        <v>3234</v>
      </c>
      <c r="B2109" s="117" t="s">
        <v>3235</v>
      </c>
      <c r="C2109" t="s">
        <v>67</v>
      </c>
      <c r="D2109" t="s">
        <v>67</v>
      </c>
      <c r="E2109" t="s">
        <v>67</v>
      </c>
      <c r="F2109" t="s">
        <v>27987</v>
      </c>
      <c r="G2109" s="117">
        <v>16.82</v>
      </c>
    </row>
    <row r="2110" spans="1:7" x14ac:dyDescent="0.25">
      <c r="A2110" s="116" t="s">
        <v>3236</v>
      </c>
      <c r="B2110" s="117" t="s">
        <v>3237</v>
      </c>
      <c r="C2110" t="s">
        <v>67</v>
      </c>
      <c r="D2110" t="s">
        <v>67</v>
      </c>
      <c r="E2110" t="s">
        <v>67</v>
      </c>
      <c r="F2110" t="s">
        <v>27987</v>
      </c>
      <c r="G2110" s="117">
        <v>16.82</v>
      </c>
    </row>
    <row r="2111" spans="1:7" x14ac:dyDescent="0.25">
      <c r="A2111" s="116" t="s">
        <v>3238</v>
      </c>
      <c r="B2111" s="117" t="s">
        <v>3239</v>
      </c>
      <c r="C2111" t="s">
        <v>67</v>
      </c>
      <c r="D2111" t="s">
        <v>67</v>
      </c>
      <c r="E2111" t="s">
        <v>67</v>
      </c>
      <c r="F2111" t="s">
        <v>27987</v>
      </c>
      <c r="G2111" s="117">
        <v>16.82</v>
      </c>
    </row>
    <row r="2112" spans="1:7" x14ac:dyDescent="0.25">
      <c r="A2112" s="116" t="s">
        <v>3240</v>
      </c>
      <c r="B2112" s="117" t="s">
        <v>3241</v>
      </c>
      <c r="C2112" t="s">
        <v>67</v>
      </c>
      <c r="D2112" t="s">
        <v>67</v>
      </c>
      <c r="E2112" t="s">
        <v>67</v>
      </c>
      <c r="F2112" t="s">
        <v>27987</v>
      </c>
      <c r="G2112" s="117">
        <v>59.18</v>
      </c>
    </row>
    <row r="2113" spans="1:7" x14ac:dyDescent="0.25">
      <c r="A2113" s="116" t="s">
        <v>3242</v>
      </c>
      <c r="B2113" s="117" t="s">
        <v>3243</v>
      </c>
      <c r="C2113" t="s">
        <v>67</v>
      </c>
      <c r="D2113" t="s">
        <v>67</v>
      </c>
      <c r="E2113" t="s">
        <v>67</v>
      </c>
      <c r="F2113" t="s">
        <v>45</v>
      </c>
      <c r="G2113" s="117">
        <v>53.3</v>
      </c>
    </row>
    <row r="2114" spans="1:7" x14ac:dyDescent="0.25">
      <c r="A2114" s="116" t="s">
        <v>3244</v>
      </c>
      <c r="B2114" s="117" t="s">
        <v>3245</v>
      </c>
      <c r="C2114" t="s">
        <v>67</v>
      </c>
      <c r="D2114" t="s">
        <v>67</v>
      </c>
      <c r="E2114" t="s">
        <v>67</v>
      </c>
      <c r="F2114" t="s">
        <v>45</v>
      </c>
      <c r="G2114" s="117">
        <v>35.5</v>
      </c>
    </row>
    <row r="2115" spans="1:7" x14ac:dyDescent="0.25">
      <c r="A2115" s="116" t="s">
        <v>3246</v>
      </c>
      <c r="B2115" s="117" t="s">
        <v>3247</v>
      </c>
      <c r="C2115" t="s">
        <v>67</v>
      </c>
      <c r="D2115" t="s">
        <v>67</v>
      </c>
      <c r="E2115" t="s">
        <v>67</v>
      </c>
      <c r="F2115" t="s">
        <v>27987</v>
      </c>
      <c r="G2115" s="117">
        <v>59.18</v>
      </c>
    </row>
    <row r="2116" spans="1:7" x14ac:dyDescent="0.25">
      <c r="A2116" s="116" t="s">
        <v>28473</v>
      </c>
      <c r="B2116" s="117" t="s">
        <v>28474</v>
      </c>
      <c r="C2116" t="s">
        <v>67</v>
      </c>
      <c r="D2116" t="s">
        <v>67</v>
      </c>
      <c r="E2116" t="s">
        <v>67</v>
      </c>
      <c r="F2116" t="s">
        <v>27987</v>
      </c>
      <c r="G2116" s="117">
        <v>39</v>
      </c>
    </row>
    <row r="2117" spans="1:7" x14ac:dyDescent="0.25">
      <c r="A2117" s="116" t="s">
        <v>3248</v>
      </c>
      <c r="B2117" s="117" t="s">
        <v>3249</v>
      </c>
      <c r="C2117" t="s">
        <v>67</v>
      </c>
      <c r="D2117" t="s">
        <v>67</v>
      </c>
      <c r="E2117" t="s">
        <v>67</v>
      </c>
      <c r="F2117" t="s">
        <v>45</v>
      </c>
      <c r="G2117" s="117">
        <v>155.63</v>
      </c>
    </row>
    <row r="2118" spans="1:7" x14ac:dyDescent="0.25">
      <c r="A2118" s="116" t="s">
        <v>3250</v>
      </c>
      <c r="B2118" s="117" t="s">
        <v>3251</v>
      </c>
      <c r="C2118" t="s">
        <v>67</v>
      </c>
      <c r="D2118" t="s">
        <v>67</v>
      </c>
      <c r="E2118" t="s">
        <v>67</v>
      </c>
      <c r="F2118" t="s">
        <v>45</v>
      </c>
      <c r="G2118" s="117">
        <v>144.06</v>
      </c>
    </row>
    <row r="2119" spans="1:7" x14ac:dyDescent="0.25">
      <c r="A2119" s="116" t="s">
        <v>3252</v>
      </c>
      <c r="B2119" s="117" t="s">
        <v>3253</v>
      </c>
      <c r="C2119" t="s">
        <v>67</v>
      </c>
      <c r="D2119" t="s">
        <v>67</v>
      </c>
      <c r="E2119" t="s">
        <v>67</v>
      </c>
      <c r="F2119" t="s">
        <v>27987</v>
      </c>
      <c r="G2119" s="117">
        <v>82.67</v>
      </c>
    </row>
    <row r="2120" spans="1:7" x14ac:dyDescent="0.25">
      <c r="A2120" s="116" t="s">
        <v>3254</v>
      </c>
      <c r="B2120" s="117" t="s">
        <v>3255</v>
      </c>
      <c r="C2120" t="s">
        <v>67</v>
      </c>
      <c r="D2120" t="s">
        <v>67</v>
      </c>
      <c r="E2120" t="s">
        <v>67</v>
      </c>
      <c r="F2120" t="s">
        <v>49</v>
      </c>
      <c r="G2120" s="117">
        <v>82.67</v>
      </c>
    </row>
    <row r="2121" spans="1:7" x14ac:dyDescent="0.25">
      <c r="A2121" s="116" t="s">
        <v>3256</v>
      </c>
      <c r="B2121" s="117" t="s">
        <v>3257</v>
      </c>
      <c r="C2121" t="s">
        <v>67</v>
      </c>
      <c r="D2121" t="s">
        <v>67</v>
      </c>
      <c r="E2121" t="s">
        <v>67</v>
      </c>
      <c r="F2121" t="s">
        <v>45</v>
      </c>
      <c r="G2121" s="117">
        <v>37.82</v>
      </c>
    </row>
    <row r="2122" spans="1:7" x14ac:dyDescent="0.25">
      <c r="A2122" s="116" t="s">
        <v>3258</v>
      </c>
      <c r="B2122" s="117" t="s">
        <v>3259</v>
      </c>
      <c r="C2122" t="s">
        <v>67</v>
      </c>
      <c r="D2122" t="s">
        <v>67</v>
      </c>
      <c r="E2122" t="s">
        <v>67</v>
      </c>
      <c r="F2122" t="s">
        <v>27987</v>
      </c>
      <c r="G2122" s="117">
        <v>3.56</v>
      </c>
    </row>
    <row r="2123" spans="1:7" x14ac:dyDescent="0.25">
      <c r="A2123" s="116" t="s">
        <v>3260</v>
      </c>
      <c r="B2123" s="117" t="s">
        <v>3261</v>
      </c>
      <c r="C2123" t="s">
        <v>67</v>
      </c>
      <c r="D2123" t="s">
        <v>67</v>
      </c>
      <c r="E2123" t="s">
        <v>67</v>
      </c>
      <c r="F2123" t="s">
        <v>45</v>
      </c>
      <c r="G2123" s="117">
        <v>5.33</v>
      </c>
    </row>
    <row r="2124" spans="1:7" x14ac:dyDescent="0.25">
      <c r="A2124" s="116" t="s">
        <v>3262</v>
      </c>
      <c r="B2124" s="117" t="s">
        <v>3263</v>
      </c>
      <c r="C2124" t="s">
        <v>67</v>
      </c>
      <c r="D2124" t="s">
        <v>67</v>
      </c>
      <c r="E2124" t="s">
        <v>67</v>
      </c>
      <c r="F2124" t="s">
        <v>45</v>
      </c>
      <c r="G2124" s="117">
        <v>6.14</v>
      </c>
    </row>
    <row r="2125" spans="1:7" x14ac:dyDescent="0.25">
      <c r="A2125" s="116" t="s">
        <v>3264</v>
      </c>
      <c r="B2125" s="117" t="s">
        <v>3265</v>
      </c>
      <c r="C2125" t="s">
        <v>67</v>
      </c>
      <c r="D2125" t="s">
        <v>67</v>
      </c>
      <c r="E2125" t="s">
        <v>67</v>
      </c>
      <c r="F2125" t="s">
        <v>45</v>
      </c>
      <c r="G2125" s="117">
        <v>10.58</v>
      </c>
    </row>
    <row r="2126" spans="1:7" x14ac:dyDescent="0.25">
      <c r="A2126" s="116" t="s">
        <v>3266</v>
      </c>
      <c r="B2126" s="117" t="s">
        <v>3267</v>
      </c>
      <c r="C2126" t="s">
        <v>67</v>
      </c>
      <c r="D2126" t="s">
        <v>67</v>
      </c>
      <c r="E2126" t="s">
        <v>67</v>
      </c>
      <c r="F2126" t="s">
        <v>27987</v>
      </c>
      <c r="G2126" s="117">
        <v>1.33</v>
      </c>
    </row>
    <row r="2127" spans="1:7" x14ac:dyDescent="0.25">
      <c r="A2127" s="116" t="s">
        <v>3268</v>
      </c>
      <c r="B2127" s="117" t="s">
        <v>3269</v>
      </c>
      <c r="C2127" t="s">
        <v>67</v>
      </c>
      <c r="D2127" t="s">
        <v>67</v>
      </c>
      <c r="E2127" t="s">
        <v>67</v>
      </c>
      <c r="F2127" t="s">
        <v>45</v>
      </c>
      <c r="G2127" s="117">
        <v>159.19</v>
      </c>
    </row>
    <row r="2128" spans="1:7" x14ac:dyDescent="0.25">
      <c r="A2128" s="116" t="s">
        <v>3270</v>
      </c>
      <c r="B2128" s="117" t="s">
        <v>3271</v>
      </c>
      <c r="C2128" t="s">
        <v>67</v>
      </c>
      <c r="D2128" t="s">
        <v>67</v>
      </c>
      <c r="E2128" t="s">
        <v>67</v>
      </c>
      <c r="F2128" t="s">
        <v>27987</v>
      </c>
      <c r="G2128" s="117">
        <v>158.30000000000001</v>
      </c>
    </row>
    <row r="2129" spans="1:7" x14ac:dyDescent="0.25">
      <c r="A2129" s="116" t="s">
        <v>3272</v>
      </c>
      <c r="B2129" s="117" t="s">
        <v>3273</v>
      </c>
      <c r="C2129" t="s">
        <v>67</v>
      </c>
      <c r="D2129" t="s">
        <v>67</v>
      </c>
      <c r="E2129" t="s">
        <v>67</v>
      </c>
      <c r="F2129" t="s">
        <v>45</v>
      </c>
      <c r="G2129" s="117">
        <v>39.6</v>
      </c>
    </row>
    <row r="2130" spans="1:7" x14ac:dyDescent="0.25">
      <c r="A2130" s="116" t="s">
        <v>3274</v>
      </c>
      <c r="B2130" s="117" t="s">
        <v>3275</v>
      </c>
      <c r="C2130" t="s">
        <v>67</v>
      </c>
      <c r="D2130" t="s">
        <v>67</v>
      </c>
      <c r="E2130" t="s">
        <v>67</v>
      </c>
      <c r="F2130" t="s">
        <v>45</v>
      </c>
      <c r="G2130" s="117">
        <v>39.6</v>
      </c>
    </row>
    <row r="2131" spans="1:7" x14ac:dyDescent="0.25">
      <c r="A2131" s="116" t="s">
        <v>3276</v>
      </c>
      <c r="B2131" s="117" t="s">
        <v>3277</v>
      </c>
      <c r="C2131" t="s">
        <v>67</v>
      </c>
      <c r="D2131" t="s">
        <v>67</v>
      </c>
      <c r="E2131" t="s">
        <v>67</v>
      </c>
      <c r="F2131" t="s">
        <v>27987</v>
      </c>
      <c r="G2131" s="117">
        <v>297.64</v>
      </c>
    </row>
    <row r="2132" spans="1:7" x14ac:dyDescent="0.25">
      <c r="A2132" s="116" t="s">
        <v>3278</v>
      </c>
      <c r="B2132" s="117" t="s">
        <v>3279</v>
      </c>
      <c r="C2132" t="s">
        <v>67</v>
      </c>
      <c r="D2132" t="s">
        <v>67</v>
      </c>
      <c r="E2132" t="s">
        <v>67</v>
      </c>
      <c r="F2132" t="s">
        <v>27987</v>
      </c>
      <c r="G2132" s="117">
        <v>84.98</v>
      </c>
    </row>
    <row r="2133" spans="1:7" x14ac:dyDescent="0.25">
      <c r="A2133" s="116" t="s">
        <v>3280</v>
      </c>
      <c r="B2133" s="117" t="s">
        <v>3281</v>
      </c>
      <c r="C2133" t="s">
        <v>67</v>
      </c>
      <c r="D2133" t="s">
        <v>67</v>
      </c>
      <c r="E2133" t="s">
        <v>67</v>
      </c>
      <c r="F2133" t="s">
        <v>45</v>
      </c>
      <c r="G2133" s="117">
        <v>51.17</v>
      </c>
    </row>
    <row r="2134" spans="1:7" x14ac:dyDescent="0.25">
      <c r="A2134" s="116" t="s">
        <v>3282</v>
      </c>
      <c r="B2134" s="117" t="s">
        <v>3345</v>
      </c>
      <c r="C2134" t="s">
        <v>67</v>
      </c>
      <c r="D2134" t="s">
        <v>67</v>
      </c>
      <c r="E2134" t="s">
        <v>67</v>
      </c>
      <c r="F2134" t="s">
        <v>27987</v>
      </c>
      <c r="G2134" s="117">
        <v>6.22</v>
      </c>
    </row>
    <row r="2135" spans="1:7" x14ac:dyDescent="0.25">
      <c r="A2135" s="116" t="s">
        <v>3283</v>
      </c>
      <c r="B2135" s="117" t="s">
        <v>3284</v>
      </c>
      <c r="C2135" t="s">
        <v>67</v>
      </c>
      <c r="D2135" t="s">
        <v>67</v>
      </c>
      <c r="E2135" t="s">
        <v>67</v>
      </c>
      <c r="F2135" t="s">
        <v>27987</v>
      </c>
      <c r="G2135" s="117">
        <v>21.6</v>
      </c>
    </row>
    <row r="2136" spans="1:7" x14ac:dyDescent="0.25">
      <c r="A2136" s="116" t="s">
        <v>3285</v>
      </c>
      <c r="B2136" s="117" t="s">
        <v>3286</v>
      </c>
      <c r="C2136" t="s">
        <v>67</v>
      </c>
      <c r="D2136" t="s">
        <v>67</v>
      </c>
      <c r="E2136" t="s">
        <v>67</v>
      </c>
      <c r="F2136" t="s">
        <v>27987</v>
      </c>
      <c r="G2136" s="117">
        <v>5.33</v>
      </c>
    </row>
    <row r="2137" spans="1:7" x14ac:dyDescent="0.25">
      <c r="A2137" s="116" t="s">
        <v>3287</v>
      </c>
      <c r="B2137" s="117" t="s">
        <v>3288</v>
      </c>
      <c r="C2137" t="s">
        <v>67</v>
      </c>
      <c r="D2137" t="s">
        <v>67</v>
      </c>
      <c r="E2137" t="s">
        <v>67</v>
      </c>
      <c r="F2137" t="s">
        <v>45</v>
      </c>
      <c r="G2137" s="117">
        <v>312.77</v>
      </c>
    </row>
    <row r="2138" spans="1:7" x14ac:dyDescent="0.25">
      <c r="A2138" s="116" t="s">
        <v>3289</v>
      </c>
      <c r="B2138" s="117" t="s">
        <v>3290</v>
      </c>
      <c r="C2138" t="s">
        <v>67</v>
      </c>
      <c r="D2138" t="s">
        <v>67</v>
      </c>
      <c r="E2138" t="s">
        <v>67</v>
      </c>
      <c r="F2138" t="s">
        <v>45</v>
      </c>
      <c r="G2138" s="117">
        <v>22.16</v>
      </c>
    </row>
    <row r="2139" spans="1:7" x14ac:dyDescent="0.25">
      <c r="A2139" s="116" t="s">
        <v>3291</v>
      </c>
      <c r="B2139" s="117" t="s">
        <v>28475</v>
      </c>
      <c r="C2139" t="s">
        <v>67</v>
      </c>
      <c r="D2139" t="s">
        <v>67</v>
      </c>
      <c r="E2139" t="s">
        <v>67</v>
      </c>
      <c r="F2139" t="s">
        <v>27987</v>
      </c>
      <c r="G2139" s="117">
        <v>37.79</v>
      </c>
    </row>
    <row r="2140" spans="1:7" x14ac:dyDescent="0.25">
      <c r="A2140" s="116" t="s">
        <v>3292</v>
      </c>
      <c r="B2140" s="117" t="s">
        <v>3293</v>
      </c>
      <c r="C2140" t="s">
        <v>67</v>
      </c>
      <c r="D2140" t="s">
        <v>67</v>
      </c>
      <c r="E2140" t="s">
        <v>67</v>
      </c>
      <c r="F2140" t="s">
        <v>27987</v>
      </c>
      <c r="G2140" s="117">
        <v>39.06</v>
      </c>
    </row>
    <row r="2141" spans="1:7" x14ac:dyDescent="0.25">
      <c r="A2141" s="116" t="s">
        <v>3294</v>
      </c>
      <c r="B2141" s="117" t="s">
        <v>3295</v>
      </c>
      <c r="C2141" t="s">
        <v>67</v>
      </c>
      <c r="D2141" t="s">
        <v>67</v>
      </c>
      <c r="E2141" t="s">
        <v>67</v>
      </c>
      <c r="F2141" t="s">
        <v>27987</v>
      </c>
      <c r="G2141" s="117">
        <v>99.21</v>
      </c>
    </row>
    <row r="2142" spans="1:7" x14ac:dyDescent="0.25">
      <c r="A2142" s="116" t="s">
        <v>3296</v>
      </c>
      <c r="B2142" s="117" t="s">
        <v>3297</v>
      </c>
      <c r="C2142" t="s">
        <v>67</v>
      </c>
      <c r="D2142" t="s">
        <v>67</v>
      </c>
      <c r="E2142" t="s">
        <v>67</v>
      </c>
      <c r="F2142" t="s">
        <v>27987</v>
      </c>
      <c r="G2142" s="117">
        <v>117.01</v>
      </c>
    </row>
    <row r="2143" spans="1:7" x14ac:dyDescent="0.25">
      <c r="A2143" s="116" t="s">
        <v>3298</v>
      </c>
      <c r="B2143" s="117" t="s">
        <v>3299</v>
      </c>
      <c r="C2143" t="s">
        <v>67</v>
      </c>
      <c r="D2143" t="s">
        <v>67</v>
      </c>
      <c r="E2143" t="s">
        <v>67</v>
      </c>
      <c r="F2143" t="s">
        <v>27987</v>
      </c>
      <c r="G2143" s="117">
        <v>16.82</v>
      </c>
    </row>
    <row r="2144" spans="1:7" x14ac:dyDescent="0.25">
      <c r="A2144" s="116" t="s">
        <v>3300</v>
      </c>
      <c r="B2144" s="117" t="s">
        <v>3301</v>
      </c>
      <c r="C2144" t="s">
        <v>67</v>
      </c>
      <c r="D2144" t="s">
        <v>67</v>
      </c>
      <c r="E2144" t="s">
        <v>67</v>
      </c>
      <c r="F2144" t="s">
        <v>27987</v>
      </c>
      <c r="G2144" s="117">
        <v>98.32</v>
      </c>
    </row>
    <row r="2145" spans="1:7" x14ac:dyDescent="0.25">
      <c r="A2145" s="116" t="s">
        <v>3302</v>
      </c>
      <c r="B2145" s="117" t="s">
        <v>3303</v>
      </c>
      <c r="C2145" t="s">
        <v>67</v>
      </c>
      <c r="D2145" t="s">
        <v>67</v>
      </c>
      <c r="E2145" t="s">
        <v>67</v>
      </c>
      <c r="F2145" t="s">
        <v>27987</v>
      </c>
      <c r="G2145" s="117">
        <v>96.9</v>
      </c>
    </row>
    <row r="2146" spans="1:7" x14ac:dyDescent="0.25">
      <c r="A2146" s="116" t="s">
        <v>3304</v>
      </c>
      <c r="B2146" s="117" t="s">
        <v>3305</v>
      </c>
      <c r="C2146" t="s">
        <v>67</v>
      </c>
      <c r="D2146" t="s">
        <v>67</v>
      </c>
      <c r="E2146" t="s">
        <v>67</v>
      </c>
      <c r="F2146" t="s">
        <v>49</v>
      </c>
      <c r="G2146" s="117">
        <v>4.8899999999999997</v>
      </c>
    </row>
    <row r="2147" spans="1:7" x14ac:dyDescent="0.25">
      <c r="A2147" s="116" t="s">
        <v>3306</v>
      </c>
      <c r="B2147" s="117" t="s">
        <v>3307</v>
      </c>
      <c r="C2147" t="s">
        <v>67</v>
      </c>
      <c r="D2147" t="s">
        <v>67</v>
      </c>
      <c r="E2147" t="s">
        <v>67</v>
      </c>
      <c r="F2147" t="s">
        <v>27987</v>
      </c>
      <c r="G2147" s="117">
        <v>45.41</v>
      </c>
    </row>
    <row r="2148" spans="1:7" x14ac:dyDescent="0.25">
      <c r="A2148" s="116" t="s">
        <v>3308</v>
      </c>
      <c r="B2148" s="117" t="s">
        <v>3309</v>
      </c>
      <c r="C2148" t="s">
        <v>67</v>
      </c>
      <c r="D2148" t="s">
        <v>67</v>
      </c>
      <c r="E2148" t="s">
        <v>67</v>
      </c>
      <c r="F2148" t="s">
        <v>27987</v>
      </c>
      <c r="G2148" s="117">
        <v>20.38</v>
      </c>
    </row>
    <row r="2149" spans="1:7" x14ac:dyDescent="0.25">
      <c r="A2149" s="116" t="s">
        <v>3310</v>
      </c>
      <c r="B2149" s="117" t="s">
        <v>3311</v>
      </c>
      <c r="C2149" t="s">
        <v>67</v>
      </c>
      <c r="D2149" t="s">
        <v>67</v>
      </c>
      <c r="E2149" t="s">
        <v>67</v>
      </c>
      <c r="F2149" t="s">
        <v>27987</v>
      </c>
      <c r="G2149" s="117">
        <v>38.700000000000003</v>
      </c>
    </row>
    <row r="2150" spans="1:7" x14ac:dyDescent="0.25">
      <c r="A2150" s="116" t="s">
        <v>3312</v>
      </c>
      <c r="B2150" s="117" t="s">
        <v>3313</v>
      </c>
      <c r="C2150" t="s">
        <v>67</v>
      </c>
      <c r="D2150" t="s">
        <v>67</v>
      </c>
      <c r="E2150" t="s">
        <v>67</v>
      </c>
      <c r="F2150" t="s">
        <v>45</v>
      </c>
      <c r="G2150" s="117">
        <v>27.14</v>
      </c>
    </row>
    <row r="2151" spans="1:7" x14ac:dyDescent="0.25">
      <c r="A2151" s="116" t="s">
        <v>26756</v>
      </c>
      <c r="B2151" s="117" t="s">
        <v>26757</v>
      </c>
      <c r="C2151" t="s">
        <v>67</v>
      </c>
      <c r="D2151" t="s">
        <v>67</v>
      </c>
      <c r="E2151" t="s">
        <v>67</v>
      </c>
      <c r="F2151" t="s">
        <v>49</v>
      </c>
      <c r="G2151" s="117">
        <v>17.3</v>
      </c>
    </row>
    <row r="2152" spans="1:7" x14ac:dyDescent="0.25">
      <c r="A2152" s="116" t="s">
        <v>3314</v>
      </c>
      <c r="B2152" s="117" t="s">
        <v>3223</v>
      </c>
      <c r="C2152" t="s">
        <v>67</v>
      </c>
      <c r="D2152" t="s">
        <v>67</v>
      </c>
      <c r="E2152" t="s">
        <v>67</v>
      </c>
      <c r="F2152" t="s">
        <v>27987</v>
      </c>
      <c r="G2152" s="117">
        <v>18.239999999999998</v>
      </c>
    </row>
    <row r="2153" spans="1:7" x14ac:dyDescent="0.25">
      <c r="A2153" s="116" t="s">
        <v>3315</v>
      </c>
      <c r="B2153" s="117" t="s">
        <v>3225</v>
      </c>
      <c r="C2153" t="s">
        <v>67</v>
      </c>
      <c r="D2153" t="s">
        <v>67</v>
      </c>
      <c r="E2153" t="s">
        <v>67</v>
      </c>
      <c r="F2153" t="s">
        <v>27987</v>
      </c>
      <c r="G2153" s="117">
        <v>15.57</v>
      </c>
    </row>
    <row r="2154" spans="1:7" x14ac:dyDescent="0.25">
      <c r="A2154" s="116" t="s">
        <v>3316</v>
      </c>
      <c r="B2154" s="117" t="s">
        <v>3317</v>
      </c>
      <c r="C2154" t="s">
        <v>67</v>
      </c>
      <c r="D2154" t="s">
        <v>67</v>
      </c>
      <c r="E2154" t="s">
        <v>67</v>
      </c>
      <c r="F2154" t="s">
        <v>27987</v>
      </c>
      <c r="G2154" s="117">
        <v>41.74</v>
      </c>
    </row>
    <row r="2155" spans="1:7" x14ac:dyDescent="0.25">
      <c r="A2155" s="116" t="s">
        <v>3318</v>
      </c>
      <c r="B2155" s="117" t="s">
        <v>3319</v>
      </c>
      <c r="C2155" t="s">
        <v>67</v>
      </c>
      <c r="D2155" t="s">
        <v>67</v>
      </c>
      <c r="E2155" t="s">
        <v>67</v>
      </c>
      <c r="F2155" t="s">
        <v>27987</v>
      </c>
      <c r="G2155" s="117">
        <v>90.32</v>
      </c>
    </row>
    <row r="2156" spans="1:7" x14ac:dyDescent="0.25">
      <c r="A2156" s="116" t="s">
        <v>3320</v>
      </c>
      <c r="B2156" s="117" t="s">
        <v>3321</v>
      </c>
      <c r="C2156" t="s">
        <v>67</v>
      </c>
      <c r="D2156" t="s">
        <v>67</v>
      </c>
      <c r="E2156" t="s">
        <v>67</v>
      </c>
      <c r="F2156" t="s">
        <v>27987</v>
      </c>
      <c r="G2156" s="117">
        <v>38.700000000000003</v>
      </c>
    </row>
    <row r="2157" spans="1:7" x14ac:dyDescent="0.25">
      <c r="A2157" s="116" t="s">
        <v>3322</v>
      </c>
      <c r="B2157" s="117" t="s">
        <v>3323</v>
      </c>
      <c r="C2157" t="s">
        <v>67</v>
      </c>
      <c r="D2157" t="s">
        <v>67</v>
      </c>
      <c r="E2157" t="s">
        <v>67</v>
      </c>
      <c r="F2157" t="s">
        <v>27987</v>
      </c>
      <c r="G2157" s="117">
        <v>15.57</v>
      </c>
    </row>
    <row r="2158" spans="1:7" x14ac:dyDescent="0.25">
      <c r="A2158" s="116" t="s">
        <v>3324</v>
      </c>
      <c r="B2158" s="117" t="s">
        <v>3325</v>
      </c>
      <c r="C2158" t="s">
        <v>67</v>
      </c>
      <c r="D2158" t="s">
        <v>67</v>
      </c>
      <c r="E2158" t="s">
        <v>67</v>
      </c>
      <c r="F2158" t="s">
        <v>27987</v>
      </c>
      <c r="G2158" s="117">
        <v>216.14</v>
      </c>
    </row>
    <row r="2159" spans="1:7" x14ac:dyDescent="0.25">
      <c r="A2159" s="116" t="s">
        <v>3326</v>
      </c>
      <c r="B2159" s="117" t="s">
        <v>3327</v>
      </c>
      <c r="C2159" t="s">
        <v>67</v>
      </c>
      <c r="D2159" t="s">
        <v>67</v>
      </c>
      <c r="E2159" t="s">
        <v>67</v>
      </c>
      <c r="F2159" t="s">
        <v>45</v>
      </c>
      <c r="G2159" s="117">
        <v>14.68</v>
      </c>
    </row>
    <row r="2160" spans="1:7" x14ac:dyDescent="0.25">
      <c r="A2160" s="116" t="s">
        <v>3328</v>
      </c>
      <c r="B2160" s="117" t="s">
        <v>3329</v>
      </c>
      <c r="C2160" t="s">
        <v>67</v>
      </c>
      <c r="D2160" t="s">
        <v>67</v>
      </c>
      <c r="E2160" t="s">
        <v>67</v>
      </c>
      <c r="F2160" t="s">
        <v>27987</v>
      </c>
      <c r="G2160" s="117">
        <v>23.05</v>
      </c>
    </row>
    <row r="2161" spans="1:7" x14ac:dyDescent="0.25">
      <c r="A2161" s="116" t="s">
        <v>26853</v>
      </c>
      <c r="B2161" s="117" t="s">
        <v>26854</v>
      </c>
      <c r="C2161" t="s">
        <v>67</v>
      </c>
      <c r="D2161" t="s">
        <v>67</v>
      </c>
      <c r="E2161" t="s">
        <v>67</v>
      </c>
      <c r="F2161" t="s">
        <v>45</v>
      </c>
      <c r="G2161" s="117">
        <v>33.700000000000003</v>
      </c>
    </row>
    <row r="2162" spans="1:7" x14ac:dyDescent="0.25">
      <c r="A2162" s="116" t="s">
        <v>3330</v>
      </c>
      <c r="B2162" s="117" t="s">
        <v>3331</v>
      </c>
      <c r="C2162" t="s">
        <v>67</v>
      </c>
      <c r="D2162" t="s">
        <v>67</v>
      </c>
      <c r="E2162" t="s">
        <v>67</v>
      </c>
      <c r="F2162" t="s">
        <v>27987</v>
      </c>
      <c r="G2162" s="117">
        <v>30.64</v>
      </c>
    </row>
    <row r="2163" spans="1:7" x14ac:dyDescent="0.25">
      <c r="A2163" s="116" t="s">
        <v>3332</v>
      </c>
      <c r="B2163" s="117" t="s">
        <v>3333</v>
      </c>
      <c r="C2163" t="s">
        <v>67</v>
      </c>
      <c r="D2163" t="s">
        <v>67</v>
      </c>
      <c r="E2163" t="s">
        <v>67</v>
      </c>
      <c r="F2163" t="s">
        <v>45</v>
      </c>
      <c r="G2163" s="117">
        <v>16.46</v>
      </c>
    </row>
    <row r="2164" spans="1:7" x14ac:dyDescent="0.25">
      <c r="A2164" s="116" t="s">
        <v>3334</v>
      </c>
      <c r="B2164" s="117" t="s">
        <v>3335</v>
      </c>
      <c r="C2164" t="s">
        <v>67</v>
      </c>
      <c r="D2164" t="s">
        <v>67</v>
      </c>
      <c r="E2164" t="s">
        <v>67</v>
      </c>
      <c r="F2164" t="s">
        <v>27987</v>
      </c>
      <c r="G2164" s="117">
        <v>20.92</v>
      </c>
    </row>
    <row r="2165" spans="1:7" x14ac:dyDescent="0.25">
      <c r="A2165" s="116" t="s">
        <v>3336</v>
      </c>
      <c r="B2165" s="117" t="s">
        <v>3337</v>
      </c>
      <c r="C2165" t="s">
        <v>67</v>
      </c>
      <c r="D2165" t="s">
        <v>67</v>
      </c>
      <c r="E2165" t="s">
        <v>67</v>
      </c>
      <c r="F2165" t="s">
        <v>27987</v>
      </c>
      <c r="G2165" s="117">
        <v>19.13</v>
      </c>
    </row>
    <row r="2166" spans="1:7" x14ac:dyDescent="0.25">
      <c r="A2166" s="116" t="s">
        <v>3338</v>
      </c>
      <c r="B2166" s="117" t="s">
        <v>3339</v>
      </c>
      <c r="C2166" t="s">
        <v>67</v>
      </c>
      <c r="D2166" t="s">
        <v>67</v>
      </c>
      <c r="E2166" t="s">
        <v>67</v>
      </c>
      <c r="F2166" t="s">
        <v>49</v>
      </c>
      <c r="G2166" s="117">
        <v>111.14</v>
      </c>
    </row>
    <row r="2167" spans="1:7" x14ac:dyDescent="0.25">
      <c r="A2167" s="116" t="s">
        <v>3340</v>
      </c>
      <c r="B2167" s="117" t="s">
        <v>3341</v>
      </c>
      <c r="C2167" t="s">
        <v>67</v>
      </c>
      <c r="D2167" t="s">
        <v>67</v>
      </c>
      <c r="E2167" t="s">
        <v>67</v>
      </c>
      <c r="F2167" t="s">
        <v>27987</v>
      </c>
      <c r="G2167" s="117">
        <v>79.64</v>
      </c>
    </row>
    <row r="2168" spans="1:7" x14ac:dyDescent="0.25">
      <c r="A2168" s="116" t="s">
        <v>3342</v>
      </c>
      <c r="B2168" s="117" t="s">
        <v>3343</v>
      </c>
      <c r="C2168" t="s">
        <v>67</v>
      </c>
      <c r="D2168" t="s">
        <v>67</v>
      </c>
      <c r="E2168" t="s">
        <v>67</v>
      </c>
      <c r="F2168" t="s">
        <v>27987</v>
      </c>
      <c r="G2168" s="117">
        <v>436.82</v>
      </c>
    </row>
    <row r="2169" spans="1:7" x14ac:dyDescent="0.25">
      <c r="A2169" s="116" t="s">
        <v>27008</v>
      </c>
      <c r="B2169" s="117" t="s">
        <v>28476</v>
      </c>
      <c r="C2169" t="s">
        <v>67</v>
      </c>
      <c r="D2169" t="s">
        <v>67</v>
      </c>
      <c r="E2169" t="s">
        <v>67</v>
      </c>
      <c r="F2169" t="s">
        <v>45</v>
      </c>
      <c r="G2169" s="117">
        <v>90</v>
      </c>
    </row>
    <row r="2170" spans="1:7" x14ac:dyDescent="0.25">
      <c r="A2170" s="116" t="s">
        <v>3344</v>
      </c>
      <c r="B2170" s="117" t="s">
        <v>3345</v>
      </c>
      <c r="C2170" t="s">
        <v>67</v>
      </c>
      <c r="D2170" t="s">
        <v>67</v>
      </c>
      <c r="E2170" t="s">
        <v>67</v>
      </c>
      <c r="F2170" t="s">
        <v>27987</v>
      </c>
      <c r="G2170" s="117">
        <v>7.12</v>
      </c>
    </row>
    <row r="2171" spans="1:7" x14ac:dyDescent="0.25">
      <c r="A2171" s="116" t="s">
        <v>3346</v>
      </c>
      <c r="B2171" s="117" t="s">
        <v>3347</v>
      </c>
      <c r="C2171" t="s">
        <v>67</v>
      </c>
      <c r="D2171" t="s">
        <v>67</v>
      </c>
      <c r="E2171" t="s">
        <v>67</v>
      </c>
      <c r="F2171" t="s">
        <v>27987</v>
      </c>
      <c r="G2171" s="117">
        <v>18.600000000000001</v>
      </c>
    </row>
    <row r="2172" spans="1:7" x14ac:dyDescent="0.25">
      <c r="A2172" s="116" t="s">
        <v>3348</v>
      </c>
      <c r="B2172" s="117" t="s">
        <v>3349</v>
      </c>
      <c r="C2172" t="s">
        <v>67</v>
      </c>
      <c r="D2172" t="s">
        <v>67</v>
      </c>
      <c r="E2172" t="s">
        <v>67</v>
      </c>
      <c r="F2172" t="s">
        <v>27987</v>
      </c>
      <c r="G2172" s="117">
        <v>83.56</v>
      </c>
    </row>
    <row r="2173" spans="1:7" x14ac:dyDescent="0.25">
      <c r="A2173" s="116" t="s">
        <v>28477</v>
      </c>
      <c r="B2173" s="117" t="s">
        <v>28478</v>
      </c>
      <c r="C2173" t="s">
        <v>67</v>
      </c>
      <c r="D2173" t="s">
        <v>67</v>
      </c>
      <c r="E2173" t="s">
        <v>67</v>
      </c>
      <c r="F2173" t="s">
        <v>45</v>
      </c>
      <c r="G2173" s="117">
        <v>0</v>
      </c>
    </row>
    <row r="2174" spans="1:7" x14ac:dyDescent="0.25">
      <c r="A2174" s="116" t="s">
        <v>3350</v>
      </c>
      <c r="B2174" s="117" t="s">
        <v>3351</v>
      </c>
      <c r="C2174" t="s">
        <v>67</v>
      </c>
      <c r="D2174" t="s">
        <v>67</v>
      </c>
      <c r="E2174" t="s">
        <v>67</v>
      </c>
      <c r="F2174" t="s">
        <v>45</v>
      </c>
      <c r="G2174" s="117">
        <v>4.8899999999999997</v>
      </c>
    </row>
    <row r="2175" spans="1:7" x14ac:dyDescent="0.25">
      <c r="A2175" s="116" t="s">
        <v>3352</v>
      </c>
      <c r="B2175" s="117" t="s">
        <v>515</v>
      </c>
      <c r="C2175" t="s">
        <v>67</v>
      </c>
      <c r="D2175" t="s">
        <v>67</v>
      </c>
      <c r="E2175" t="s">
        <v>67</v>
      </c>
      <c r="F2175" t="s">
        <v>49</v>
      </c>
      <c r="G2175" s="117">
        <v>6.68</v>
      </c>
    </row>
    <row r="2176" spans="1:7" x14ac:dyDescent="0.25">
      <c r="A2176" s="116" t="s">
        <v>3353</v>
      </c>
      <c r="B2176" s="117" t="s">
        <v>3354</v>
      </c>
      <c r="C2176" t="s">
        <v>67</v>
      </c>
      <c r="D2176" t="s">
        <v>67</v>
      </c>
      <c r="E2176" t="s">
        <v>67</v>
      </c>
      <c r="F2176" t="s">
        <v>27987</v>
      </c>
      <c r="G2176" s="117">
        <v>31.94</v>
      </c>
    </row>
    <row r="2177" spans="1:7" x14ac:dyDescent="0.25">
      <c r="A2177" s="116" t="s">
        <v>3355</v>
      </c>
      <c r="B2177" s="117" t="s">
        <v>3356</v>
      </c>
      <c r="C2177" t="s">
        <v>67</v>
      </c>
      <c r="D2177" t="s">
        <v>67</v>
      </c>
      <c r="E2177" t="s">
        <v>67</v>
      </c>
      <c r="F2177" t="s">
        <v>27987</v>
      </c>
      <c r="G2177" s="117">
        <v>4</v>
      </c>
    </row>
    <row r="2178" spans="1:7" x14ac:dyDescent="0.25">
      <c r="A2178" s="116" t="s">
        <v>3357</v>
      </c>
      <c r="B2178" s="117" t="s">
        <v>3358</v>
      </c>
      <c r="C2178" t="s">
        <v>67</v>
      </c>
      <c r="D2178" t="s">
        <v>67</v>
      </c>
      <c r="E2178" t="s">
        <v>67</v>
      </c>
      <c r="F2178" t="s">
        <v>49</v>
      </c>
      <c r="G2178" s="117">
        <v>6.68</v>
      </c>
    </row>
    <row r="2179" spans="1:7" x14ac:dyDescent="0.25">
      <c r="A2179" s="116" t="s">
        <v>3359</v>
      </c>
      <c r="B2179" s="117" t="s">
        <v>3360</v>
      </c>
      <c r="C2179" t="s">
        <v>67</v>
      </c>
      <c r="D2179" t="s">
        <v>67</v>
      </c>
      <c r="E2179" t="s">
        <v>67</v>
      </c>
      <c r="F2179" t="s">
        <v>27987</v>
      </c>
      <c r="G2179" s="117">
        <v>8.81</v>
      </c>
    </row>
    <row r="2180" spans="1:7" x14ac:dyDescent="0.25">
      <c r="A2180" s="116" t="s">
        <v>3361</v>
      </c>
      <c r="B2180" s="117" t="s">
        <v>3362</v>
      </c>
      <c r="C2180" t="s">
        <v>67</v>
      </c>
      <c r="D2180" t="s">
        <v>67</v>
      </c>
      <c r="E2180" t="s">
        <v>67</v>
      </c>
      <c r="F2180" t="s">
        <v>49</v>
      </c>
      <c r="G2180" s="117">
        <v>6.14</v>
      </c>
    </row>
    <row r="2181" spans="1:7" x14ac:dyDescent="0.25">
      <c r="A2181" s="116" t="s">
        <v>3363</v>
      </c>
      <c r="B2181" s="117" t="s">
        <v>3364</v>
      </c>
      <c r="C2181" t="s">
        <v>67</v>
      </c>
      <c r="D2181" t="s">
        <v>67</v>
      </c>
      <c r="E2181" t="s">
        <v>67</v>
      </c>
      <c r="F2181" t="s">
        <v>49</v>
      </c>
      <c r="G2181" s="117">
        <v>5.25</v>
      </c>
    </row>
    <row r="2182" spans="1:7" x14ac:dyDescent="0.25">
      <c r="A2182" s="116" t="s">
        <v>3365</v>
      </c>
      <c r="B2182" s="117" t="s">
        <v>3366</v>
      </c>
      <c r="C2182" t="s">
        <v>67</v>
      </c>
      <c r="D2182" t="s">
        <v>67</v>
      </c>
      <c r="E2182" t="s">
        <v>67</v>
      </c>
      <c r="F2182" t="s">
        <v>49</v>
      </c>
      <c r="G2182" s="117">
        <v>6.68</v>
      </c>
    </row>
    <row r="2183" spans="1:7" x14ac:dyDescent="0.25">
      <c r="A2183" s="116" t="s">
        <v>3367</v>
      </c>
      <c r="B2183" s="117" t="s">
        <v>3368</v>
      </c>
      <c r="C2183" t="s">
        <v>67</v>
      </c>
      <c r="D2183" t="s">
        <v>67</v>
      </c>
      <c r="E2183" t="s">
        <v>67</v>
      </c>
      <c r="F2183" t="s">
        <v>27987</v>
      </c>
      <c r="G2183" s="117">
        <v>5.25</v>
      </c>
    </row>
    <row r="2184" spans="1:7" x14ac:dyDescent="0.25">
      <c r="A2184" s="116" t="s">
        <v>3369</v>
      </c>
      <c r="B2184" s="117" t="s">
        <v>3370</v>
      </c>
      <c r="C2184" t="s">
        <v>67</v>
      </c>
      <c r="D2184" t="s">
        <v>67</v>
      </c>
      <c r="E2184" t="s">
        <v>67</v>
      </c>
      <c r="F2184" t="s">
        <v>49</v>
      </c>
      <c r="G2184" s="117">
        <v>3.56</v>
      </c>
    </row>
    <row r="2185" spans="1:7" x14ac:dyDescent="0.25">
      <c r="A2185" s="116" t="s">
        <v>3371</v>
      </c>
      <c r="B2185" s="117" t="s">
        <v>3372</v>
      </c>
      <c r="C2185" t="s">
        <v>67</v>
      </c>
      <c r="D2185" t="s">
        <v>67</v>
      </c>
      <c r="E2185" t="s">
        <v>67</v>
      </c>
      <c r="F2185" t="s">
        <v>45</v>
      </c>
      <c r="G2185" s="117">
        <v>4.3600000000000003</v>
      </c>
    </row>
    <row r="2186" spans="1:7" x14ac:dyDescent="0.25">
      <c r="A2186" s="116" t="s">
        <v>3373</v>
      </c>
      <c r="B2186" s="117" t="s">
        <v>3364</v>
      </c>
      <c r="C2186" t="s">
        <v>67</v>
      </c>
      <c r="D2186" t="s">
        <v>67</v>
      </c>
      <c r="E2186" t="s">
        <v>67</v>
      </c>
      <c r="F2186" t="s">
        <v>49</v>
      </c>
      <c r="G2186" s="117">
        <v>9.35</v>
      </c>
    </row>
    <row r="2187" spans="1:7" x14ac:dyDescent="0.25">
      <c r="A2187" s="116" t="s">
        <v>3374</v>
      </c>
      <c r="B2187" s="117" t="s">
        <v>3366</v>
      </c>
      <c r="C2187" t="s">
        <v>67</v>
      </c>
      <c r="D2187" t="s">
        <v>67</v>
      </c>
      <c r="E2187" t="s">
        <v>67</v>
      </c>
      <c r="F2187" t="s">
        <v>49</v>
      </c>
      <c r="G2187" s="117">
        <v>8.4499999999999993</v>
      </c>
    </row>
    <row r="2188" spans="1:7" x14ac:dyDescent="0.25">
      <c r="A2188" s="116" t="s">
        <v>3375</v>
      </c>
      <c r="B2188" s="117" t="s">
        <v>3376</v>
      </c>
      <c r="C2188" t="s">
        <v>67</v>
      </c>
      <c r="D2188" t="s">
        <v>67</v>
      </c>
      <c r="E2188" t="s">
        <v>67</v>
      </c>
      <c r="F2188" t="s">
        <v>27990</v>
      </c>
      <c r="G2188" s="117">
        <v>13.26</v>
      </c>
    </row>
    <row r="2189" spans="1:7" x14ac:dyDescent="0.25">
      <c r="A2189" s="116" t="s">
        <v>28479</v>
      </c>
      <c r="B2189" s="117" t="s">
        <v>3370</v>
      </c>
      <c r="C2189" t="s">
        <v>67</v>
      </c>
      <c r="D2189" t="s">
        <v>67</v>
      </c>
      <c r="E2189" t="s">
        <v>67</v>
      </c>
      <c r="F2189" t="s">
        <v>27987</v>
      </c>
      <c r="G2189" s="117">
        <v>5.99</v>
      </c>
    </row>
    <row r="2190" spans="1:7" x14ac:dyDescent="0.25">
      <c r="A2190" s="116" t="s">
        <v>3377</v>
      </c>
      <c r="B2190" s="117" t="s">
        <v>3378</v>
      </c>
      <c r="C2190" t="s">
        <v>67</v>
      </c>
      <c r="D2190" t="s">
        <v>67</v>
      </c>
      <c r="E2190" t="s">
        <v>67</v>
      </c>
      <c r="F2190" t="s">
        <v>27987</v>
      </c>
      <c r="G2190" s="117">
        <v>4.8899999999999997</v>
      </c>
    </row>
    <row r="2191" spans="1:7" x14ac:dyDescent="0.25">
      <c r="A2191" s="116" t="s">
        <v>3379</v>
      </c>
      <c r="B2191" s="117" t="s">
        <v>3380</v>
      </c>
      <c r="C2191" t="s">
        <v>67</v>
      </c>
      <c r="D2191" t="s">
        <v>67</v>
      </c>
      <c r="E2191" t="s">
        <v>67</v>
      </c>
      <c r="F2191" t="s">
        <v>27987</v>
      </c>
      <c r="G2191" s="117">
        <v>6.68</v>
      </c>
    </row>
    <row r="2192" spans="1:7" x14ac:dyDescent="0.25">
      <c r="A2192" s="116" t="s">
        <v>3381</v>
      </c>
      <c r="B2192" s="117" t="s">
        <v>3382</v>
      </c>
      <c r="C2192" t="s">
        <v>67</v>
      </c>
      <c r="D2192" t="s">
        <v>67</v>
      </c>
      <c r="E2192" t="s">
        <v>67</v>
      </c>
      <c r="F2192" t="s">
        <v>49</v>
      </c>
      <c r="G2192" s="117">
        <v>6.14</v>
      </c>
    </row>
    <row r="2193" spans="1:7" x14ac:dyDescent="0.25">
      <c r="A2193" s="116" t="s">
        <v>3383</v>
      </c>
      <c r="B2193" s="117" t="s">
        <v>3384</v>
      </c>
      <c r="C2193" t="s">
        <v>67</v>
      </c>
      <c r="D2193" t="s">
        <v>67</v>
      </c>
      <c r="E2193" t="s">
        <v>67</v>
      </c>
      <c r="F2193" t="s">
        <v>27987</v>
      </c>
      <c r="G2193" s="117">
        <v>8.4499999999999993</v>
      </c>
    </row>
    <row r="2194" spans="1:7" x14ac:dyDescent="0.25">
      <c r="A2194" s="116" t="s">
        <v>3385</v>
      </c>
      <c r="B2194" s="117" t="s">
        <v>3386</v>
      </c>
      <c r="C2194" t="s">
        <v>67</v>
      </c>
      <c r="D2194" t="s">
        <v>67</v>
      </c>
      <c r="E2194" t="s">
        <v>67</v>
      </c>
      <c r="F2194" t="s">
        <v>27987</v>
      </c>
      <c r="G2194" s="117">
        <v>3.48</v>
      </c>
    </row>
    <row r="2195" spans="1:7" x14ac:dyDescent="0.25">
      <c r="A2195" s="116" t="s">
        <v>3387</v>
      </c>
      <c r="B2195" s="117" t="s">
        <v>3366</v>
      </c>
      <c r="C2195" t="s">
        <v>67</v>
      </c>
      <c r="D2195" t="s">
        <v>67</v>
      </c>
      <c r="E2195" t="s">
        <v>67</v>
      </c>
      <c r="F2195" t="s">
        <v>27987</v>
      </c>
      <c r="G2195" s="117">
        <v>4.8899999999999997</v>
      </c>
    </row>
    <row r="2196" spans="1:7" x14ac:dyDescent="0.25">
      <c r="A2196" s="116" t="s">
        <v>3388</v>
      </c>
      <c r="B2196" s="117" t="s">
        <v>3389</v>
      </c>
      <c r="C2196" t="s">
        <v>67</v>
      </c>
      <c r="D2196" t="s">
        <v>67</v>
      </c>
      <c r="E2196" t="s">
        <v>67</v>
      </c>
      <c r="F2196" t="s">
        <v>27987</v>
      </c>
      <c r="G2196" s="117">
        <v>81.77</v>
      </c>
    </row>
    <row r="2197" spans="1:7" x14ac:dyDescent="0.25">
      <c r="A2197" s="116" t="s">
        <v>3390</v>
      </c>
      <c r="B2197" s="117" t="s">
        <v>3391</v>
      </c>
      <c r="C2197" t="s">
        <v>67</v>
      </c>
      <c r="D2197" t="s">
        <v>67</v>
      </c>
      <c r="E2197" t="s">
        <v>67</v>
      </c>
      <c r="F2197" t="s">
        <v>45</v>
      </c>
      <c r="G2197" s="117">
        <v>90.32</v>
      </c>
    </row>
    <row r="2198" spans="1:7" x14ac:dyDescent="0.25">
      <c r="A2198" s="116" t="s">
        <v>3392</v>
      </c>
      <c r="B2198" s="117" t="s">
        <v>3393</v>
      </c>
      <c r="C2198" t="s">
        <v>67</v>
      </c>
      <c r="D2198" t="s">
        <v>67</v>
      </c>
      <c r="E2198" t="s">
        <v>67</v>
      </c>
      <c r="F2198" t="s">
        <v>45</v>
      </c>
      <c r="G2198" s="117">
        <v>68.959999999999994</v>
      </c>
    </row>
    <row r="2199" spans="1:7" x14ac:dyDescent="0.25">
      <c r="A2199" s="116" t="s">
        <v>3394</v>
      </c>
      <c r="B2199" s="117" t="s">
        <v>3395</v>
      </c>
      <c r="C2199" t="s">
        <v>67</v>
      </c>
      <c r="D2199" t="s">
        <v>67</v>
      </c>
      <c r="E2199" t="s">
        <v>67</v>
      </c>
      <c r="F2199" t="s">
        <v>27987</v>
      </c>
      <c r="G2199" s="117">
        <v>13.26</v>
      </c>
    </row>
    <row r="2200" spans="1:7" x14ac:dyDescent="0.25">
      <c r="A2200" s="116" t="s">
        <v>3396</v>
      </c>
      <c r="B2200" s="117" t="s">
        <v>3397</v>
      </c>
      <c r="C2200" t="s">
        <v>67</v>
      </c>
      <c r="D2200" t="s">
        <v>67</v>
      </c>
      <c r="E2200" t="s">
        <v>67</v>
      </c>
      <c r="F2200" t="s">
        <v>27987</v>
      </c>
      <c r="G2200" s="117">
        <v>45.3</v>
      </c>
    </row>
    <row r="2201" spans="1:7" x14ac:dyDescent="0.25">
      <c r="A2201" s="116" t="s">
        <v>3398</v>
      </c>
      <c r="B2201" s="117" t="s">
        <v>3399</v>
      </c>
      <c r="C2201" t="s">
        <v>67</v>
      </c>
      <c r="D2201" t="s">
        <v>67</v>
      </c>
      <c r="E2201" t="s">
        <v>67</v>
      </c>
      <c r="F2201" t="s">
        <v>27987</v>
      </c>
      <c r="G2201" s="117">
        <v>49.74</v>
      </c>
    </row>
    <row r="2202" spans="1:7" x14ac:dyDescent="0.25">
      <c r="A2202" s="116" t="s">
        <v>3400</v>
      </c>
      <c r="B2202" s="117" t="s">
        <v>3401</v>
      </c>
      <c r="C2202" t="s">
        <v>67</v>
      </c>
      <c r="D2202" t="s">
        <v>67</v>
      </c>
      <c r="E2202" t="s">
        <v>67</v>
      </c>
      <c r="F2202" t="s">
        <v>27987</v>
      </c>
      <c r="G2202" s="117">
        <v>49.74</v>
      </c>
    </row>
    <row r="2203" spans="1:7" x14ac:dyDescent="0.25">
      <c r="A2203" s="116" t="s">
        <v>3402</v>
      </c>
      <c r="B2203" s="117" t="s">
        <v>3403</v>
      </c>
      <c r="C2203" t="s">
        <v>67</v>
      </c>
      <c r="D2203" t="s">
        <v>67</v>
      </c>
      <c r="E2203" t="s">
        <v>67</v>
      </c>
      <c r="F2203" t="s">
        <v>49</v>
      </c>
      <c r="G2203" s="117">
        <v>25.71</v>
      </c>
    </row>
    <row r="2204" spans="1:7" x14ac:dyDescent="0.25">
      <c r="A2204" s="116" t="s">
        <v>3404</v>
      </c>
      <c r="B2204" s="117" t="s">
        <v>3405</v>
      </c>
      <c r="C2204" t="s">
        <v>67</v>
      </c>
      <c r="D2204" t="s">
        <v>67</v>
      </c>
      <c r="E2204" t="s">
        <v>67</v>
      </c>
      <c r="F2204" t="s">
        <v>45</v>
      </c>
      <c r="G2204" s="117">
        <v>17.7</v>
      </c>
    </row>
    <row r="2205" spans="1:7" x14ac:dyDescent="0.25">
      <c r="A2205" s="116" t="s">
        <v>3406</v>
      </c>
      <c r="B2205" s="117" t="s">
        <v>3407</v>
      </c>
      <c r="C2205" t="s">
        <v>67</v>
      </c>
      <c r="D2205" t="s">
        <v>67</v>
      </c>
      <c r="E2205" t="s">
        <v>67</v>
      </c>
      <c r="F2205" t="s">
        <v>27987</v>
      </c>
      <c r="G2205" s="117">
        <v>65.760000000000005</v>
      </c>
    </row>
    <row r="2206" spans="1:7" x14ac:dyDescent="0.25">
      <c r="A2206" s="116" t="s">
        <v>26758</v>
      </c>
      <c r="B2206" s="117" t="s">
        <v>402</v>
      </c>
      <c r="C2206" t="s">
        <v>67</v>
      </c>
      <c r="D2206" t="s">
        <v>67</v>
      </c>
      <c r="E2206" t="s">
        <v>67</v>
      </c>
      <c r="F2206" t="s">
        <v>27987</v>
      </c>
      <c r="G2206" s="117">
        <v>500</v>
      </c>
    </row>
    <row r="2207" spans="1:7" x14ac:dyDescent="0.25">
      <c r="A2207" s="116" t="s">
        <v>3408</v>
      </c>
      <c r="B2207" s="117" t="s">
        <v>2231</v>
      </c>
      <c r="C2207" t="s">
        <v>67</v>
      </c>
      <c r="D2207" t="s">
        <v>67</v>
      </c>
      <c r="E2207" t="s">
        <v>67</v>
      </c>
      <c r="F2207" t="s">
        <v>27987</v>
      </c>
      <c r="G2207" s="117">
        <v>19.850000000000001</v>
      </c>
    </row>
    <row r="2208" spans="1:7" x14ac:dyDescent="0.25">
      <c r="A2208" s="116" t="s">
        <v>3409</v>
      </c>
      <c r="B2208" s="117" t="s">
        <v>3410</v>
      </c>
      <c r="C2208" t="s">
        <v>67</v>
      </c>
      <c r="D2208" t="s">
        <v>67</v>
      </c>
      <c r="E2208" t="s">
        <v>67</v>
      </c>
      <c r="F2208" t="s">
        <v>27987</v>
      </c>
      <c r="G2208" s="117">
        <v>20.92</v>
      </c>
    </row>
    <row r="2209" spans="1:7" x14ac:dyDescent="0.25">
      <c r="A2209" s="116" t="s">
        <v>3411</v>
      </c>
      <c r="B2209" s="117" t="s">
        <v>3412</v>
      </c>
      <c r="C2209" t="s">
        <v>67</v>
      </c>
      <c r="D2209" t="s">
        <v>67</v>
      </c>
      <c r="E2209" t="s">
        <v>67</v>
      </c>
      <c r="F2209" t="s">
        <v>45</v>
      </c>
      <c r="G2209" s="117">
        <v>20.38</v>
      </c>
    </row>
    <row r="2210" spans="1:7" x14ac:dyDescent="0.25">
      <c r="A2210" s="116" t="s">
        <v>3413</v>
      </c>
      <c r="B2210" s="117" t="s">
        <v>3293</v>
      </c>
      <c r="C2210" t="s">
        <v>67</v>
      </c>
      <c r="D2210" t="s">
        <v>67</v>
      </c>
      <c r="E2210" t="s">
        <v>67</v>
      </c>
      <c r="F2210" t="s">
        <v>27987</v>
      </c>
      <c r="G2210" s="117">
        <v>10.58</v>
      </c>
    </row>
    <row r="2211" spans="1:7" x14ac:dyDescent="0.25">
      <c r="A2211" s="116" t="s">
        <v>3414</v>
      </c>
      <c r="B2211" s="117" t="s">
        <v>3415</v>
      </c>
      <c r="C2211" t="s">
        <v>67</v>
      </c>
      <c r="D2211" t="s">
        <v>67</v>
      </c>
      <c r="E2211" t="s">
        <v>67</v>
      </c>
      <c r="F2211" t="s">
        <v>27987</v>
      </c>
      <c r="G2211" s="117">
        <v>28.02</v>
      </c>
    </row>
    <row r="2212" spans="1:7" x14ac:dyDescent="0.25">
      <c r="A2212" s="116" t="s">
        <v>3416</v>
      </c>
      <c r="B2212" s="117" t="s">
        <v>3417</v>
      </c>
      <c r="C2212" t="s">
        <v>67</v>
      </c>
      <c r="D2212" t="s">
        <v>67</v>
      </c>
      <c r="E2212" t="s">
        <v>67</v>
      </c>
      <c r="F2212" t="s">
        <v>27987</v>
      </c>
      <c r="G2212" s="117">
        <v>32.83</v>
      </c>
    </row>
    <row r="2213" spans="1:7" x14ac:dyDescent="0.25">
      <c r="A2213" s="116" t="s">
        <v>3418</v>
      </c>
      <c r="B2213" s="117" t="s">
        <v>3419</v>
      </c>
      <c r="C2213" t="s">
        <v>67</v>
      </c>
      <c r="D2213" t="s">
        <v>67</v>
      </c>
      <c r="E2213" t="s">
        <v>67</v>
      </c>
      <c r="F2213" t="s">
        <v>27987</v>
      </c>
      <c r="G2213" s="117">
        <v>14.14</v>
      </c>
    </row>
    <row r="2214" spans="1:7" x14ac:dyDescent="0.25">
      <c r="A2214" s="116" t="s">
        <v>3420</v>
      </c>
      <c r="B2214" s="117" t="s">
        <v>3421</v>
      </c>
      <c r="C2214" t="s">
        <v>67</v>
      </c>
      <c r="D2214" t="s">
        <v>67</v>
      </c>
      <c r="E2214" t="s">
        <v>67</v>
      </c>
      <c r="F2214" t="s">
        <v>27987</v>
      </c>
      <c r="G2214" s="117">
        <v>52.42</v>
      </c>
    </row>
    <row r="2215" spans="1:7" x14ac:dyDescent="0.25">
      <c r="A2215" s="116" t="s">
        <v>3422</v>
      </c>
      <c r="B2215" s="117" t="s">
        <v>3423</v>
      </c>
      <c r="C2215" t="s">
        <v>67</v>
      </c>
      <c r="D2215" t="s">
        <v>67</v>
      </c>
      <c r="E2215" t="s">
        <v>67</v>
      </c>
      <c r="F2215" t="s">
        <v>45</v>
      </c>
      <c r="G2215" s="117">
        <v>30.17</v>
      </c>
    </row>
    <row r="2216" spans="1:7" x14ac:dyDescent="0.25">
      <c r="A2216" s="116" t="s">
        <v>3424</v>
      </c>
      <c r="B2216" s="117" t="s">
        <v>3425</v>
      </c>
      <c r="C2216" t="s">
        <v>67</v>
      </c>
      <c r="D2216" t="s">
        <v>67</v>
      </c>
      <c r="E2216" t="s">
        <v>67</v>
      </c>
      <c r="F2216" t="s">
        <v>45</v>
      </c>
      <c r="G2216" s="117">
        <v>31.94</v>
      </c>
    </row>
    <row r="2217" spans="1:7" x14ac:dyDescent="0.25">
      <c r="A2217" s="116" t="s">
        <v>3426</v>
      </c>
      <c r="B2217" s="117" t="s">
        <v>3427</v>
      </c>
      <c r="C2217" t="s">
        <v>67</v>
      </c>
      <c r="D2217" t="s">
        <v>67</v>
      </c>
      <c r="E2217" t="s">
        <v>67</v>
      </c>
      <c r="F2217" t="s">
        <v>45</v>
      </c>
      <c r="G2217" s="117">
        <v>14.14</v>
      </c>
    </row>
    <row r="2218" spans="1:7" x14ac:dyDescent="0.25">
      <c r="A2218" s="116" t="s">
        <v>3428</v>
      </c>
      <c r="B2218" s="117" t="s">
        <v>3429</v>
      </c>
      <c r="C2218" t="s">
        <v>67</v>
      </c>
      <c r="D2218" t="s">
        <v>67</v>
      </c>
      <c r="E2218" t="s">
        <v>67</v>
      </c>
      <c r="F2218" t="s">
        <v>27987</v>
      </c>
      <c r="G2218" s="117">
        <v>71.989999999999995</v>
      </c>
    </row>
    <row r="2219" spans="1:7" x14ac:dyDescent="0.25">
      <c r="A2219" s="116" t="s">
        <v>3430</v>
      </c>
      <c r="B2219" s="117" t="s">
        <v>3431</v>
      </c>
      <c r="C2219" t="s">
        <v>67</v>
      </c>
      <c r="D2219" t="s">
        <v>67</v>
      </c>
      <c r="E2219" t="s">
        <v>67</v>
      </c>
      <c r="F2219" t="s">
        <v>27987</v>
      </c>
      <c r="G2219" s="117">
        <v>95.66</v>
      </c>
    </row>
    <row r="2220" spans="1:7" x14ac:dyDescent="0.25">
      <c r="A2220" s="116" t="s">
        <v>3432</v>
      </c>
      <c r="B2220" s="117" t="s">
        <v>3433</v>
      </c>
      <c r="C2220" t="s">
        <v>67</v>
      </c>
      <c r="D2220" t="s">
        <v>67</v>
      </c>
      <c r="E2220" t="s">
        <v>67</v>
      </c>
      <c r="F2220" t="s">
        <v>45</v>
      </c>
      <c r="G2220" s="117">
        <v>74.3</v>
      </c>
    </row>
    <row r="2221" spans="1:7" x14ac:dyDescent="0.25">
      <c r="A2221" s="116" t="s">
        <v>3434</v>
      </c>
      <c r="B2221" s="117" t="s">
        <v>3435</v>
      </c>
      <c r="C2221" t="s">
        <v>67</v>
      </c>
      <c r="D2221" t="s">
        <v>67</v>
      </c>
      <c r="E2221" t="s">
        <v>67</v>
      </c>
      <c r="F2221" t="s">
        <v>45</v>
      </c>
      <c r="G2221" s="117">
        <v>93.88</v>
      </c>
    </row>
    <row r="2222" spans="1:7" x14ac:dyDescent="0.25">
      <c r="A2222" s="116" t="s">
        <v>3436</v>
      </c>
      <c r="B2222" s="117" t="s">
        <v>3437</v>
      </c>
      <c r="C2222" t="s">
        <v>67</v>
      </c>
      <c r="D2222" t="s">
        <v>67</v>
      </c>
      <c r="E2222" t="s">
        <v>67</v>
      </c>
      <c r="F2222" t="s">
        <v>27987</v>
      </c>
      <c r="G2222" s="117">
        <v>28.38</v>
      </c>
    </row>
    <row r="2223" spans="1:7" x14ac:dyDescent="0.25">
      <c r="A2223" s="116" t="s">
        <v>3438</v>
      </c>
      <c r="B2223" s="117" t="s">
        <v>3439</v>
      </c>
      <c r="C2223" t="s">
        <v>67</v>
      </c>
      <c r="D2223" t="s">
        <v>67</v>
      </c>
      <c r="E2223" t="s">
        <v>67</v>
      </c>
      <c r="F2223" t="s">
        <v>27987</v>
      </c>
      <c r="G2223" s="117">
        <v>28.92</v>
      </c>
    </row>
    <row r="2224" spans="1:7" x14ac:dyDescent="0.25">
      <c r="A2224" s="116" t="s">
        <v>3440</v>
      </c>
      <c r="B2224" s="117" t="s">
        <v>3441</v>
      </c>
      <c r="C2224" t="s">
        <v>67</v>
      </c>
      <c r="D2224" t="s">
        <v>67</v>
      </c>
      <c r="E2224" t="s">
        <v>67</v>
      </c>
      <c r="F2224" t="s">
        <v>27987</v>
      </c>
      <c r="G2224" s="117">
        <v>17.7</v>
      </c>
    </row>
    <row r="2225" spans="1:7" x14ac:dyDescent="0.25">
      <c r="A2225" s="116" t="s">
        <v>26936</v>
      </c>
      <c r="B2225" s="117" t="s">
        <v>28480</v>
      </c>
      <c r="C2225" t="s">
        <v>67</v>
      </c>
      <c r="D2225" t="s">
        <v>67</v>
      </c>
      <c r="E2225" t="s">
        <v>67</v>
      </c>
      <c r="F2225" t="s">
        <v>27987</v>
      </c>
      <c r="G2225" s="117">
        <v>40</v>
      </c>
    </row>
    <row r="2226" spans="1:7" x14ac:dyDescent="0.25">
      <c r="A2226" s="116" t="s">
        <v>3442</v>
      </c>
      <c r="B2226" s="117" t="s">
        <v>3443</v>
      </c>
      <c r="C2226" t="s">
        <v>67</v>
      </c>
      <c r="D2226" t="s">
        <v>67</v>
      </c>
      <c r="E2226" t="s">
        <v>67</v>
      </c>
      <c r="F2226" t="s">
        <v>49</v>
      </c>
      <c r="G2226" s="117">
        <v>136.94</v>
      </c>
    </row>
    <row r="2227" spans="1:7" x14ac:dyDescent="0.25">
      <c r="A2227" s="116" t="s">
        <v>3444</v>
      </c>
      <c r="B2227" s="117" t="s">
        <v>3445</v>
      </c>
      <c r="C2227" t="s">
        <v>67</v>
      </c>
      <c r="D2227" t="s">
        <v>67</v>
      </c>
      <c r="E2227" t="s">
        <v>67</v>
      </c>
      <c r="F2227" t="s">
        <v>49</v>
      </c>
      <c r="G2227" s="117">
        <v>13.26</v>
      </c>
    </row>
    <row r="2228" spans="1:7" x14ac:dyDescent="0.25">
      <c r="A2228" s="116" t="s">
        <v>3446</v>
      </c>
      <c r="B2228" s="117" t="s">
        <v>3447</v>
      </c>
      <c r="C2228" t="s">
        <v>67</v>
      </c>
      <c r="D2228" t="s">
        <v>67</v>
      </c>
      <c r="E2228" t="s">
        <v>67</v>
      </c>
      <c r="F2228" t="s">
        <v>49</v>
      </c>
      <c r="G2228" s="117">
        <v>42.62</v>
      </c>
    </row>
    <row r="2229" spans="1:7" x14ac:dyDescent="0.25">
      <c r="A2229" s="116" t="s">
        <v>3448</v>
      </c>
      <c r="B2229" s="117" t="s">
        <v>3449</v>
      </c>
      <c r="C2229" t="s">
        <v>67</v>
      </c>
      <c r="D2229" t="s">
        <v>67</v>
      </c>
      <c r="E2229" t="s">
        <v>67</v>
      </c>
      <c r="F2229" t="s">
        <v>45</v>
      </c>
      <c r="G2229" s="117">
        <v>60.42</v>
      </c>
    </row>
    <row r="2230" spans="1:7" x14ac:dyDescent="0.25">
      <c r="A2230" s="116" t="s">
        <v>31249</v>
      </c>
      <c r="B2230" s="117" t="s">
        <v>31250</v>
      </c>
      <c r="C2230" t="s">
        <v>67</v>
      </c>
      <c r="D2230" t="s">
        <v>67</v>
      </c>
      <c r="E2230" t="s">
        <v>67</v>
      </c>
      <c r="F2230" t="s">
        <v>45</v>
      </c>
      <c r="G2230" s="117">
        <v>40</v>
      </c>
    </row>
    <row r="2231" spans="1:7" x14ac:dyDescent="0.25">
      <c r="A2231" s="116" t="s">
        <v>3450</v>
      </c>
      <c r="B2231" s="117" t="s">
        <v>3451</v>
      </c>
      <c r="C2231" t="s">
        <v>67</v>
      </c>
      <c r="D2231" t="s">
        <v>67</v>
      </c>
      <c r="E2231" t="s">
        <v>67</v>
      </c>
      <c r="F2231" t="s">
        <v>27987</v>
      </c>
      <c r="G2231" s="117">
        <v>136.94</v>
      </c>
    </row>
    <row r="2232" spans="1:7" x14ac:dyDescent="0.25">
      <c r="A2232" s="116" t="s">
        <v>3452</v>
      </c>
      <c r="B2232" s="117" t="s">
        <v>3453</v>
      </c>
      <c r="C2232" t="s">
        <v>67</v>
      </c>
      <c r="D2232" t="s">
        <v>67</v>
      </c>
      <c r="E2232" t="s">
        <v>67</v>
      </c>
      <c r="F2232" t="s">
        <v>27987</v>
      </c>
      <c r="G2232" s="117">
        <v>46.71</v>
      </c>
    </row>
    <row r="2233" spans="1:7" x14ac:dyDescent="0.25">
      <c r="A2233" s="116" t="s">
        <v>3454</v>
      </c>
      <c r="B2233" s="117" t="s">
        <v>3455</v>
      </c>
      <c r="C2233" t="s">
        <v>67</v>
      </c>
      <c r="D2233" t="s">
        <v>67</v>
      </c>
      <c r="E2233" t="s">
        <v>67</v>
      </c>
      <c r="F2233" t="s">
        <v>27987</v>
      </c>
      <c r="G2233" s="117">
        <v>5.33</v>
      </c>
    </row>
    <row r="2234" spans="1:7" x14ac:dyDescent="0.25">
      <c r="A2234" s="116" t="s">
        <v>3456</v>
      </c>
      <c r="B2234" s="117" t="s">
        <v>3457</v>
      </c>
      <c r="C2234" t="s">
        <v>67</v>
      </c>
      <c r="D2234" t="s">
        <v>67</v>
      </c>
      <c r="E2234" t="s">
        <v>67</v>
      </c>
      <c r="F2234" t="s">
        <v>27987</v>
      </c>
      <c r="G2234" s="117">
        <v>25.07</v>
      </c>
    </row>
    <row r="2235" spans="1:7" x14ac:dyDescent="0.25">
      <c r="A2235" s="116" t="s">
        <v>3458</v>
      </c>
      <c r="B2235" s="117" t="s">
        <v>3459</v>
      </c>
      <c r="C2235" t="s">
        <v>67</v>
      </c>
      <c r="D2235" t="s">
        <v>67</v>
      </c>
      <c r="E2235" t="s">
        <v>67</v>
      </c>
      <c r="F2235" t="s">
        <v>27987</v>
      </c>
      <c r="G2235" s="117">
        <v>16.95</v>
      </c>
    </row>
    <row r="2236" spans="1:7" x14ac:dyDescent="0.25">
      <c r="A2236" s="116" t="s">
        <v>28481</v>
      </c>
      <c r="B2236" s="117" t="s">
        <v>30100</v>
      </c>
      <c r="C2236" t="s">
        <v>67</v>
      </c>
      <c r="D2236" t="s">
        <v>67</v>
      </c>
      <c r="E2236" t="s">
        <v>67</v>
      </c>
      <c r="F2236" t="s">
        <v>45</v>
      </c>
      <c r="G2236" s="117">
        <v>24.05</v>
      </c>
    </row>
    <row r="2237" spans="1:7" x14ac:dyDescent="0.25">
      <c r="A2237" s="116" t="s">
        <v>3460</v>
      </c>
      <c r="B2237" s="117" t="s">
        <v>3461</v>
      </c>
      <c r="C2237" t="s">
        <v>67</v>
      </c>
      <c r="D2237" t="s">
        <v>67</v>
      </c>
      <c r="E2237" t="s">
        <v>67</v>
      </c>
      <c r="F2237" t="s">
        <v>27987</v>
      </c>
      <c r="G2237" s="117">
        <v>68.680000000000007</v>
      </c>
    </row>
    <row r="2238" spans="1:7" x14ac:dyDescent="0.25">
      <c r="A2238" s="116" t="s">
        <v>26732</v>
      </c>
      <c r="B2238" s="117" t="s">
        <v>26733</v>
      </c>
      <c r="C2238" t="s">
        <v>67</v>
      </c>
      <c r="D2238" t="s">
        <v>67</v>
      </c>
      <c r="E2238" t="s">
        <v>67</v>
      </c>
      <c r="F2238" t="s">
        <v>45</v>
      </c>
      <c r="G2238" s="117">
        <v>86.82</v>
      </c>
    </row>
    <row r="2239" spans="1:7" x14ac:dyDescent="0.25">
      <c r="A2239" s="116" t="s">
        <v>28482</v>
      </c>
      <c r="B2239" s="117" t="s">
        <v>28483</v>
      </c>
      <c r="C2239" t="s">
        <v>67</v>
      </c>
      <c r="D2239" t="s">
        <v>67</v>
      </c>
      <c r="E2239" t="s">
        <v>67</v>
      </c>
      <c r="F2239" t="s">
        <v>27987</v>
      </c>
      <c r="G2239" s="117">
        <v>120</v>
      </c>
    </row>
    <row r="2240" spans="1:7" x14ac:dyDescent="0.25">
      <c r="A2240" s="116" t="s">
        <v>30220</v>
      </c>
      <c r="B2240" s="117" t="s">
        <v>30221</v>
      </c>
      <c r="C2240" t="s">
        <v>67</v>
      </c>
      <c r="D2240" t="s">
        <v>67</v>
      </c>
      <c r="E2240" t="s">
        <v>67</v>
      </c>
      <c r="F2240" t="s">
        <v>45</v>
      </c>
      <c r="G2240" s="117">
        <v>9999</v>
      </c>
    </row>
    <row r="2241" spans="1:7" x14ac:dyDescent="0.25">
      <c r="A2241" s="116" t="s">
        <v>26688</v>
      </c>
      <c r="B2241" s="117" t="s">
        <v>26689</v>
      </c>
      <c r="C2241" t="s">
        <v>67</v>
      </c>
      <c r="D2241" t="s">
        <v>67</v>
      </c>
      <c r="E2241" t="s">
        <v>67</v>
      </c>
      <c r="F2241" t="s">
        <v>45</v>
      </c>
      <c r="G2241" s="117">
        <v>12.32</v>
      </c>
    </row>
    <row r="2242" spans="1:7" x14ac:dyDescent="0.25">
      <c r="A2242" s="116" t="s">
        <v>3462</v>
      </c>
      <c r="B2242" s="117" t="s">
        <v>3463</v>
      </c>
      <c r="C2242" t="s">
        <v>67</v>
      </c>
      <c r="D2242" t="s">
        <v>67</v>
      </c>
      <c r="E2242" t="s">
        <v>67</v>
      </c>
      <c r="F2242" t="s">
        <v>27987</v>
      </c>
      <c r="G2242" s="117">
        <v>78.98</v>
      </c>
    </row>
    <row r="2243" spans="1:7" x14ac:dyDescent="0.25">
      <c r="A2243" s="116" t="s">
        <v>3464</v>
      </c>
      <c r="B2243" s="117" t="s">
        <v>3465</v>
      </c>
      <c r="C2243" t="s">
        <v>67</v>
      </c>
      <c r="D2243" t="s">
        <v>67</v>
      </c>
      <c r="E2243" t="s">
        <v>67</v>
      </c>
      <c r="F2243" t="s">
        <v>27987</v>
      </c>
      <c r="G2243" s="117">
        <v>29.51</v>
      </c>
    </row>
    <row r="2244" spans="1:7" x14ac:dyDescent="0.25">
      <c r="A2244" s="116" t="s">
        <v>31079</v>
      </c>
      <c r="B2244" s="117" t="s">
        <v>3421</v>
      </c>
      <c r="C2244" t="s">
        <v>67</v>
      </c>
      <c r="D2244" t="s">
        <v>67</v>
      </c>
      <c r="E2244" t="s">
        <v>67</v>
      </c>
      <c r="F2244" t="s">
        <v>45</v>
      </c>
      <c r="G2244" s="117">
        <v>9999</v>
      </c>
    </row>
    <row r="2245" spans="1:7" x14ac:dyDescent="0.25">
      <c r="A2245" s="116" t="s">
        <v>3466</v>
      </c>
      <c r="B2245" s="117" t="s">
        <v>3467</v>
      </c>
      <c r="C2245" t="s">
        <v>67</v>
      </c>
      <c r="D2245" t="s">
        <v>67</v>
      </c>
      <c r="E2245" t="s">
        <v>67</v>
      </c>
      <c r="F2245" t="s">
        <v>27987</v>
      </c>
      <c r="G2245" s="117">
        <v>22.35</v>
      </c>
    </row>
    <row r="2246" spans="1:7" x14ac:dyDescent="0.25">
      <c r="A2246" s="116" t="s">
        <v>28215</v>
      </c>
      <c r="B2246" s="117" t="s">
        <v>30125</v>
      </c>
      <c r="C2246" t="s">
        <v>67</v>
      </c>
      <c r="D2246" t="s">
        <v>67</v>
      </c>
      <c r="E2246" t="s">
        <v>67</v>
      </c>
      <c r="F2246" t="s">
        <v>27987</v>
      </c>
      <c r="G2246" s="117">
        <v>120</v>
      </c>
    </row>
    <row r="2247" spans="1:7" x14ac:dyDescent="0.25">
      <c r="A2247" s="116" t="s">
        <v>3468</v>
      </c>
      <c r="B2247" s="117" t="s">
        <v>3469</v>
      </c>
      <c r="C2247" t="s">
        <v>67</v>
      </c>
      <c r="D2247" t="s">
        <v>67</v>
      </c>
      <c r="E2247" t="s">
        <v>67</v>
      </c>
      <c r="F2247" t="s">
        <v>27987</v>
      </c>
      <c r="G2247" s="117">
        <v>5.4</v>
      </c>
    </row>
    <row r="2248" spans="1:7" x14ac:dyDescent="0.25">
      <c r="A2248" s="116" t="s">
        <v>28484</v>
      </c>
      <c r="B2248" s="117" t="s">
        <v>29763</v>
      </c>
      <c r="C2248" t="s">
        <v>67</v>
      </c>
      <c r="D2248" t="s">
        <v>67</v>
      </c>
      <c r="E2248" t="s">
        <v>67</v>
      </c>
      <c r="F2248" t="s">
        <v>27987</v>
      </c>
      <c r="G2248" s="117">
        <v>10</v>
      </c>
    </row>
    <row r="2249" spans="1:7" x14ac:dyDescent="0.25">
      <c r="A2249" s="116" t="s">
        <v>28485</v>
      </c>
      <c r="B2249" s="117" t="s">
        <v>29764</v>
      </c>
      <c r="C2249" t="s">
        <v>67</v>
      </c>
      <c r="D2249" t="s">
        <v>67</v>
      </c>
      <c r="E2249" t="s">
        <v>67</v>
      </c>
      <c r="F2249" t="s">
        <v>27987</v>
      </c>
      <c r="G2249" s="117">
        <v>42.74</v>
      </c>
    </row>
    <row r="2250" spans="1:7" x14ac:dyDescent="0.25">
      <c r="A2250" s="116" t="s">
        <v>3470</v>
      </c>
      <c r="B2250" s="117" t="s">
        <v>26449</v>
      </c>
      <c r="C2250" t="s">
        <v>67</v>
      </c>
      <c r="D2250" t="s">
        <v>67</v>
      </c>
      <c r="E2250" t="s">
        <v>67</v>
      </c>
      <c r="F2250" t="s">
        <v>27987</v>
      </c>
      <c r="G2250" s="117">
        <v>30</v>
      </c>
    </row>
    <row r="2251" spans="1:7" x14ac:dyDescent="0.25">
      <c r="A2251" s="116" t="s">
        <v>26937</v>
      </c>
      <c r="B2251" s="117" t="s">
        <v>28486</v>
      </c>
      <c r="C2251" t="s">
        <v>67</v>
      </c>
      <c r="D2251" t="s">
        <v>67</v>
      </c>
      <c r="E2251" t="s">
        <v>67</v>
      </c>
      <c r="F2251" t="s">
        <v>27987</v>
      </c>
      <c r="G2251" s="117">
        <v>401</v>
      </c>
    </row>
    <row r="2252" spans="1:7" x14ac:dyDescent="0.25">
      <c r="A2252" s="116" t="s">
        <v>26983</v>
      </c>
      <c r="B2252" s="117" t="s">
        <v>28487</v>
      </c>
      <c r="C2252" t="s">
        <v>67</v>
      </c>
      <c r="D2252" t="s">
        <v>67</v>
      </c>
      <c r="E2252" t="s">
        <v>67</v>
      </c>
      <c r="F2252" t="s">
        <v>27987</v>
      </c>
      <c r="G2252" s="117">
        <v>79</v>
      </c>
    </row>
    <row r="2253" spans="1:7" x14ac:dyDescent="0.25">
      <c r="A2253" s="116" t="s">
        <v>26984</v>
      </c>
      <c r="B2253" s="117" t="s">
        <v>30126</v>
      </c>
      <c r="C2253" t="s">
        <v>67</v>
      </c>
      <c r="D2253" t="s">
        <v>67</v>
      </c>
      <c r="E2253" t="s">
        <v>67</v>
      </c>
      <c r="F2253" t="s">
        <v>45</v>
      </c>
      <c r="G2253" s="117">
        <v>62</v>
      </c>
    </row>
    <row r="2254" spans="1:7" x14ac:dyDescent="0.25">
      <c r="A2254" s="116" t="s">
        <v>28079</v>
      </c>
      <c r="B2254" s="117" t="s">
        <v>28073</v>
      </c>
      <c r="C2254" t="s">
        <v>67</v>
      </c>
      <c r="D2254" t="s">
        <v>67</v>
      </c>
      <c r="E2254" t="s">
        <v>67</v>
      </c>
      <c r="F2254" t="s">
        <v>45</v>
      </c>
      <c r="G2254" s="117">
        <v>70</v>
      </c>
    </row>
    <row r="2255" spans="1:7" x14ac:dyDescent="0.25">
      <c r="A2255" s="116" t="s">
        <v>28080</v>
      </c>
      <c r="B2255" s="117" t="s">
        <v>28081</v>
      </c>
      <c r="C2255" t="s">
        <v>67</v>
      </c>
      <c r="D2255" t="s">
        <v>67</v>
      </c>
      <c r="E2255" t="s">
        <v>67</v>
      </c>
      <c r="F2255" t="s">
        <v>45</v>
      </c>
      <c r="G2255" s="117">
        <v>70</v>
      </c>
    </row>
    <row r="2256" spans="1:7" x14ac:dyDescent="0.25">
      <c r="A2256" s="116" t="s">
        <v>28488</v>
      </c>
      <c r="B2256" s="117" t="s">
        <v>30383</v>
      </c>
      <c r="C2256" t="s">
        <v>67</v>
      </c>
      <c r="D2256" t="s">
        <v>67</v>
      </c>
      <c r="E2256" t="s">
        <v>67</v>
      </c>
      <c r="F2256" t="s">
        <v>27987</v>
      </c>
      <c r="G2256" s="117">
        <v>11.76</v>
      </c>
    </row>
    <row r="2257" spans="1:7" x14ac:dyDescent="0.25">
      <c r="A2257" s="116" t="s">
        <v>30619</v>
      </c>
      <c r="B2257" s="117" t="s">
        <v>30620</v>
      </c>
      <c r="C2257" t="s">
        <v>67</v>
      </c>
      <c r="D2257" t="s">
        <v>67</v>
      </c>
      <c r="E2257" t="s">
        <v>67</v>
      </c>
      <c r="F2257" t="s">
        <v>27987</v>
      </c>
      <c r="G2257" s="117">
        <v>9999</v>
      </c>
    </row>
    <row r="2258" spans="1:7" x14ac:dyDescent="0.25">
      <c r="A2258" s="116" t="s">
        <v>30846</v>
      </c>
      <c r="B2258" s="117" t="s">
        <v>30847</v>
      </c>
      <c r="C2258" t="s">
        <v>67</v>
      </c>
      <c r="D2258" t="s">
        <v>67</v>
      </c>
      <c r="E2258" t="s">
        <v>67</v>
      </c>
      <c r="F2258" t="s">
        <v>27987</v>
      </c>
      <c r="G2258" s="117">
        <v>9999</v>
      </c>
    </row>
    <row r="2259" spans="1:7" x14ac:dyDescent="0.25">
      <c r="A2259" s="116" t="s">
        <v>30848</v>
      </c>
      <c r="B2259" s="117" t="s">
        <v>30849</v>
      </c>
      <c r="C2259" t="s">
        <v>67</v>
      </c>
      <c r="D2259" t="s">
        <v>67</v>
      </c>
      <c r="E2259" t="s">
        <v>67</v>
      </c>
      <c r="F2259" t="s">
        <v>27987</v>
      </c>
      <c r="G2259" s="117">
        <v>9999</v>
      </c>
    </row>
    <row r="2260" spans="1:7" x14ac:dyDescent="0.25">
      <c r="A2260" s="116" t="s">
        <v>30323</v>
      </c>
      <c r="B2260" s="117" t="s">
        <v>30324</v>
      </c>
      <c r="C2260" t="s">
        <v>67</v>
      </c>
      <c r="D2260" t="s">
        <v>67</v>
      </c>
      <c r="E2260" t="s">
        <v>67</v>
      </c>
      <c r="F2260" t="s">
        <v>45</v>
      </c>
      <c r="G2260" s="117">
        <v>9999</v>
      </c>
    </row>
    <row r="2261" spans="1:7" x14ac:dyDescent="0.25">
      <c r="A2261" s="116" t="s">
        <v>30850</v>
      </c>
      <c r="B2261" s="117" t="s">
        <v>30851</v>
      </c>
      <c r="C2261" t="s">
        <v>67</v>
      </c>
      <c r="D2261" t="s">
        <v>67</v>
      </c>
      <c r="E2261" t="s">
        <v>67</v>
      </c>
      <c r="F2261" t="s">
        <v>45</v>
      </c>
      <c r="G2261" s="117">
        <v>9999</v>
      </c>
    </row>
    <row r="2262" spans="1:7" x14ac:dyDescent="0.25">
      <c r="A2262" s="116" t="s">
        <v>3471</v>
      </c>
      <c r="B2262" s="117" t="s">
        <v>3472</v>
      </c>
      <c r="C2262" t="s">
        <v>67</v>
      </c>
      <c r="D2262" t="s">
        <v>67</v>
      </c>
      <c r="E2262" t="s">
        <v>67</v>
      </c>
      <c r="F2262" t="s">
        <v>45</v>
      </c>
      <c r="G2262" s="117">
        <v>66.3</v>
      </c>
    </row>
    <row r="2263" spans="1:7" x14ac:dyDescent="0.25">
      <c r="A2263" s="116" t="s">
        <v>3473</v>
      </c>
      <c r="B2263" s="117" t="s">
        <v>3474</v>
      </c>
      <c r="C2263" t="s">
        <v>67</v>
      </c>
      <c r="D2263" t="s">
        <v>67</v>
      </c>
      <c r="E2263" t="s">
        <v>67</v>
      </c>
      <c r="F2263" t="s">
        <v>45</v>
      </c>
      <c r="G2263" s="117">
        <v>14.14</v>
      </c>
    </row>
    <row r="2264" spans="1:7" x14ac:dyDescent="0.25">
      <c r="A2264" s="116" t="s">
        <v>3475</v>
      </c>
      <c r="B2264" s="117" t="s">
        <v>3476</v>
      </c>
      <c r="C2264" t="s">
        <v>67</v>
      </c>
      <c r="D2264" t="s">
        <v>67</v>
      </c>
      <c r="E2264" t="s">
        <v>67</v>
      </c>
      <c r="F2264" t="s">
        <v>45</v>
      </c>
      <c r="G2264" s="117">
        <v>63.98</v>
      </c>
    </row>
    <row r="2265" spans="1:7" x14ac:dyDescent="0.25">
      <c r="A2265" s="116" t="s">
        <v>3477</v>
      </c>
      <c r="B2265" s="117" t="s">
        <v>3478</v>
      </c>
      <c r="C2265" t="s">
        <v>67</v>
      </c>
      <c r="D2265" t="s">
        <v>67</v>
      </c>
      <c r="E2265" t="s">
        <v>67</v>
      </c>
      <c r="F2265" t="s">
        <v>27987</v>
      </c>
      <c r="G2265" s="117">
        <v>17.7</v>
      </c>
    </row>
    <row r="2266" spans="1:7" x14ac:dyDescent="0.25">
      <c r="A2266" s="116" t="s">
        <v>3479</v>
      </c>
      <c r="B2266" s="117" t="s">
        <v>3480</v>
      </c>
      <c r="C2266" t="s">
        <v>67</v>
      </c>
      <c r="D2266" t="s">
        <v>67</v>
      </c>
      <c r="E2266" t="s">
        <v>67</v>
      </c>
      <c r="F2266" t="s">
        <v>27987</v>
      </c>
      <c r="G2266" s="117">
        <v>66.64</v>
      </c>
    </row>
    <row r="2267" spans="1:7" x14ac:dyDescent="0.25">
      <c r="A2267" s="116" t="s">
        <v>3481</v>
      </c>
      <c r="B2267" s="117" t="s">
        <v>3482</v>
      </c>
      <c r="C2267" t="s">
        <v>67</v>
      </c>
      <c r="D2267" t="s">
        <v>67</v>
      </c>
      <c r="E2267" t="s">
        <v>67</v>
      </c>
      <c r="F2267" t="s">
        <v>49</v>
      </c>
      <c r="G2267" s="117">
        <v>4.8899999999999997</v>
      </c>
    </row>
    <row r="2268" spans="1:7" x14ac:dyDescent="0.25">
      <c r="A2268" s="116" t="s">
        <v>3483</v>
      </c>
      <c r="B2268" s="117" t="s">
        <v>3484</v>
      </c>
      <c r="C2268" t="s">
        <v>67</v>
      </c>
      <c r="D2268" t="s">
        <v>67</v>
      </c>
      <c r="E2268" t="s">
        <v>67</v>
      </c>
      <c r="F2268" t="s">
        <v>45</v>
      </c>
      <c r="G2268" s="117">
        <v>56.86</v>
      </c>
    </row>
    <row r="2269" spans="1:7" x14ac:dyDescent="0.25">
      <c r="A2269" s="116" t="s">
        <v>3485</v>
      </c>
      <c r="B2269" s="117" t="s">
        <v>3486</v>
      </c>
      <c r="C2269" t="s">
        <v>67</v>
      </c>
      <c r="D2269" t="s">
        <v>67</v>
      </c>
      <c r="E2269" t="s">
        <v>67</v>
      </c>
      <c r="F2269" t="s">
        <v>49</v>
      </c>
      <c r="G2269" s="117">
        <v>12.01</v>
      </c>
    </row>
    <row r="2270" spans="1:7" x14ac:dyDescent="0.25">
      <c r="A2270" s="116" t="s">
        <v>3487</v>
      </c>
      <c r="B2270" s="117" t="s">
        <v>30127</v>
      </c>
      <c r="C2270" t="s">
        <v>67</v>
      </c>
      <c r="D2270" t="s">
        <v>67</v>
      </c>
      <c r="E2270" t="s">
        <v>67</v>
      </c>
      <c r="F2270" t="s">
        <v>27987</v>
      </c>
      <c r="G2270" s="117">
        <v>8.49</v>
      </c>
    </row>
    <row r="2271" spans="1:7" x14ac:dyDescent="0.25">
      <c r="A2271" s="116" t="s">
        <v>3489</v>
      </c>
      <c r="B2271" s="117" t="s">
        <v>3212</v>
      </c>
      <c r="C2271" t="s">
        <v>67</v>
      </c>
      <c r="D2271" t="s">
        <v>67</v>
      </c>
      <c r="E2271" t="s">
        <v>67</v>
      </c>
      <c r="F2271" t="s">
        <v>49</v>
      </c>
      <c r="G2271" s="117">
        <v>17.7</v>
      </c>
    </row>
    <row r="2272" spans="1:7" x14ac:dyDescent="0.25">
      <c r="A2272" s="116" t="s">
        <v>3490</v>
      </c>
      <c r="B2272" s="117" t="s">
        <v>3491</v>
      </c>
      <c r="C2272" t="s">
        <v>67</v>
      </c>
      <c r="D2272" t="s">
        <v>67</v>
      </c>
      <c r="E2272" t="s">
        <v>67</v>
      </c>
      <c r="F2272" t="s">
        <v>45</v>
      </c>
      <c r="G2272" s="117">
        <v>23.05</v>
      </c>
    </row>
    <row r="2273" spans="1:7" x14ac:dyDescent="0.25">
      <c r="A2273" s="116" t="s">
        <v>3492</v>
      </c>
      <c r="B2273" s="117" t="s">
        <v>3493</v>
      </c>
      <c r="C2273" t="s">
        <v>67</v>
      </c>
      <c r="D2273" t="s">
        <v>67</v>
      </c>
      <c r="E2273" t="s">
        <v>67</v>
      </c>
      <c r="F2273" t="s">
        <v>27987</v>
      </c>
      <c r="G2273" s="117">
        <v>46.18</v>
      </c>
    </row>
    <row r="2274" spans="1:7" x14ac:dyDescent="0.25">
      <c r="A2274" s="116" t="s">
        <v>3494</v>
      </c>
      <c r="B2274" s="117" t="s">
        <v>3495</v>
      </c>
      <c r="C2274" t="s">
        <v>67</v>
      </c>
      <c r="D2274" t="s">
        <v>67</v>
      </c>
      <c r="E2274" t="s">
        <v>67</v>
      </c>
      <c r="F2274" t="s">
        <v>27987</v>
      </c>
      <c r="G2274" s="117">
        <v>9.6999999999999993</v>
      </c>
    </row>
    <row r="2275" spans="1:7" x14ac:dyDescent="0.25">
      <c r="A2275" s="116" t="s">
        <v>3496</v>
      </c>
      <c r="B2275" s="117" t="s">
        <v>3497</v>
      </c>
      <c r="C2275" t="s">
        <v>67</v>
      </c>
      <c r="D2275" t="s">
        <v>67</v>
      </c>
      <c r="E2275" t="s">
        <v>67</v>
      </c>
      <c r="F2275" t="s">
        <v>49</v>
      </c>
      <c r="G2275" s="117">
        <v>26.25</v>
      </c>
    </row>
    <row r="2276" spans="1:7" x14ac:dyDescent="0.25">
      <c r="A2276" s="116" t="s">
        <v>3498</v>
      </c>
      <c r="B2276" s="117" t="s">
        <v>3499</v>
      </c>
      <c r="C2276" t="s">
        <v>67</v>
      </c>
      <c r="D2276" t="s">
        <v>67</v>
      </c>
      <c r="E2276" t="s">
        <v>67</v>
      </c>
      <c r="F2276" t="s">
        <v>45</v>
      </c>
      <c r="G2276" s="117">
        <v>49.74</v>
      </c>
    </row>
    <row r="2277" spans="1:7" x14ac:dyDescent="0.25">
      <c r="A2277" s="116" t="s">
        <v>3500</v>
      </c>
      <c r="B2277" s="117" t="s">
        <v>3501</v>
      </c>
      <c r="C2277" t="s">
        <v>67</v>
      </c>
      <c r="D2277" t="s">
        <v>67</v>
      </c>
      <c r="E2277" t="s">
        <v>67</v>
      </c>
      <c r="F2277" t="s">
        <v>27987</v>
      </c>
      <c r="G2277" s="117">
        <v>112.56</v>
      </c>
    </row>
    <row r="2278" spans="1:7" x14ac:dyDescent="0.25">
      <c r="A2278" s="116" t="s">
        <v>3502</v>
      </c>
      <c r="B2278" s="117" t="s">
        <v>3503</v>
      </c>
      <c r="C2278" t="s">
        <v>67</v>
      </c>
      <c r="D2278" t="s">
        <v>67</v>
      </c>
      <c r="E2278" t="s">
        <v>67</v>
      </c>
      <c r="F2278" t="s">
        <v>45</v>
      </c>
      <c r="G2278" s="117">
        <v>12.01</v>
      </c>
    </row>
    <row r="2279" spans="1:7" x14ac:dyDescent="0.25">
      <c r="A2279" s="116" t="s">
        <v>3504</v>
      </c>
      <c r="B2279" s="117" t="s">
        <v>3505</v>
      </c>
      <c r="C2279" t="s">
        <v>67</v>
      </c>
      <c r="D2279" t="s">
        <v>67</v>
      </c>
      <c r="E2279" t="s">
        <v>67</v>
      </c>
      <c r="F2279" t="s">
        <v>49</v>
      </c>
      <c r="G2279" s="117">
        <v>10.58</v>
      </c>
    </row>
    <row r="2280" spans="1:7" x14ac:dyDescent="0.25">
      <c r="A2280" s="116" t="s">
        <v>3506</v>
      </c>
      <c r="B2280" s="117" t="s">
        <v>3497</v>
      </c>
      <c r="C2280" t="s">
        <v>67</v>
      </c>
      <c r="D2280" t="s">
        <v>67</v>
      </c>
      <c r="E2280" t="s">
        <v>67</v>
      </c>
      <c r="F2280" t="s">
        <v>49</v>
      </c>
      <c r="G2280" s="117">
        <v>22.69</v>
      </c>
    </row>
    <row r="2281" spans="1:7" x14ac:dyDescent="0.25">
      <c r="A2281" s="116" t="s">
        <v>28489</v>
      </c>
      <c r="B2281" s="117" t="s">
        <v>28490</v>
      </c>
      <c r="C2281" t="s">
        <v>67</v>
      </c>
      <c r="D2281" t="s">
        <v>67</v>
      </c>
      <c r="E2281" t="s">
        <v>67</v>
      </c>
      <c r="F2281" t="s">
        <v>45</v>
      </c>
      <c r="G2281" s="117">
        <v>497</v>
      </c>
    </row>
    <row r="2282" spans="1:7" x14ac:dyDescent="0.25">
      <c r="A2282" s="116" t="s">
        <v>3507</v>
      </c>
      <c r="B2282" s="117" t="s">
        <v>3212</v>
      </c>
      <c r="C2282" t="s">
        <v>67</v>
      </c>
      <c r="D2282" t="s">
        <v>67</v>
      </c>
      <c r="E2282" t="s">
        <v>67</v>
      </c>
      <c r="F2282" t="s">
        <v>45</v>
      </c>
      <c r="G2282" s="117">
        <v>21.05</v>
      </c>
    </row>
    <row r="2283" spans="1:7" x14ac:dyDescent="0.25">
      <c r="A2283" s="116" t="s">
        <v>30068</v>
      </c>
      <c r="B2283" s="117" t="s">
        <v>30069</v>
      </c>
      <c r="C2283" t="s">
        <v>67</v>
      </c>
      <c r="D2283" t="s">
        <v>67</v>
      </c>
      <c r="E2283" t="s">
        <v>67</v>
      </c>
      <c r="F2283" t="s">
        <v>45</v>
      </c>
      <c r="G2283" s="117">
        <v>37</v>
      </c>
    </row>
    <row r="2284" spans="1:7" x14ac:dyDescent="0.25">
      <c r="A2284" s="116" t="s">
        <v>3508</v>
      </c>
      <c r="B2284" s="117" t="s">
        <v>3509</v>
      </c>
      <c r="C2284" t="s">
        <v>67</v>
      </c>
      <c r="D2284" t="s">
        <v>67</v>
      </c>
      <c r="E2284" t="s">
        <v>67</v>
      </c>
      <c r="F2284" t="s">
        <v>27987</v>
      </c>
      <c r="G2284" s="117">
        <v>9.35</v>
      </c>
    </row>
    <row r="2285" spans="1:7" x14ac:dyDescent="0.25">
      <c r="A2285" s="116" t="s">
        <v>3510</v>
      </c>
      <c r="B2285" s="117" t="s">
        <v>3511</v>
      </c>
      <c r="C2285" t="s">
        <v>67</v>
      </c>
      <c r="D2285" t="s">
        <v>67</v>
      </c>
      <c r="E2285" t="s">
        <v>67</v>
      </c>
      <c r="F2285" t="s">
        <v>27987</v>
      </c>
      <c r="G2285" s="117">
        <v>51.17</v>
      </c>
    </row>
    <row r="2286" spans="1:7" x14ac:dyDescent="0.25">
      <c r="A2286" s="116" t="s">
        <v>3512</v>
      </c>
      <c r="B2286" s="117" t="s">
        <v>3513</v>
      </c>
      <c r="C2286" t="s">
        <v>67</v>
      </c>
      <c r="D2286" t="s">
        <v>67</v>
      </c>
      <c r="E2286" t="s">
        <v>67</v>
      </c>
      <c r="F2286" t="s">
        <v>45</v>
      </c>
      <c r="G2286" s="117">
        <v>30.08</v>
      </c>
    </row>
    <row r="2287" spans="1:7" x14ac:dyDescent="0.25">
      <c r="A2287" s="116" t="s">
        <v>3514</v>
      </c>
      <c r="B2287" s="117" t="s">
        <v>3515</v>
      </c>
      <c r="C2287" t="s">
        <v>67</v>
      </c>
      <c r="D2287" t="s">
        <v>67</v>
      </c>
      <c r="E2287" t="s">
        <v>67</v>
      </c>
      <c r="F2287" t="s">
        <v>27987</v>
      </c>
      <c r="G2287" s="117">
        <v>12.37</v>
      </c>
    </row>
    <row r="2288" spans="1:7" x14ac:dyDescent="0.25">
      <c r="A2288" s="116" t="s">
        <v>3516</v>
      </c>
      <c r="B2288" s="117" t="s">
        <v>3517</v>
      </c>
      <c r="C2288" t="s">
        <v>67</v>
      </c>
      <c r="D2288" t="s">
        <v>67</v>
      </c>
      <c r="E2288" t="s">
        <v>67</v>
      </c>
      <c r="F2288" t="s">
        <v>45</v>
      </c>
      <c r="G2288" s="117">
        <v>71.099999999999994</v>
      </c>
    </row>
    <row r="2289" spans="1:7" x14ac:dyDescent="0.25">
      <c r="A2289" s="116" t="s">
        <v>27333</v>
      </c>
      <c r="B2289" s="117" t="s">
        <v>3518</v>
      </c>
      <c r="C2289" t="s">
        <v>67</v>
      </c>
      <c r="D2289" t="s">
        <v>67</v>
      </c>
      <c r="E2289" t="s">
        <v>67</v>
      </c>
      <c r="F2289" t="s">
        <v>45</v>
      </c>
      <c r="G2289" s="117">
        <v>6.68</v>
      </c>
    </row>
    <row r="2290" spans="1:7" x14ac:dyDescent="0.25">
      <c r="A2290" s="116" t="s">
        <v>3519</v>
      </c>
      <c r="B2290" s="117" t="s">
        <v>3520</v>
      </c>
      <c r="C2290" t="s">
        <v>67</v>
      </c>
      <c r="D2290" t="s">
        <v>67</v>
      </c>
      <c r="E2290" t="s">
        <v>67</v>
      </c>
      <c r="F2290" t="s">
        <v>27987</v>
      </c>
      <c r="G2290" s="117">
        <v>98.68</v>
      </c>
    </row>
    <row r="2291" spans="1:7" x14ac:dyDescent="0.25">
      <c r="A2291" s="116" t="s">
        <v>27334</v>
      </c>
      <c r="B2291" s="117" t="s">
        <v>3521</v>
      </c>
      <c r="C2291" t="s">
        <v>67</v>
      </c>
      <c r="D2291" t="s">
        <v>67</v>
      </c>
      <c r="E2291" t="s">
        <v>67</v>
      </c>
      <c r="F2291" t="s">
        <v>45</v>
      </c>
      <c r="G2291" s="117">
        <v>4.8899999999999997</v>
      </c>
    </row>
    <row r="2292" spans="1:7" x14ac:dyDescent="0.25">
      <c r="A2292" s="116" t="s">
        <v>3522</v>
      </c>
      <c r="B2292" s="117" t="s">
        <v>3523</v>
      </c>
      <c r="C2292" t="s">
        <v>67</v>
      </c>
      <c r="D2292" t="s">
        <v>67</v>
      </c>
      <c r="E2292" t="s">
        <v>67</v>
      </c>
      <c r="F2292" t="s">
        <v>45</v>
      </c>
      <c r="G2292" s="117">
        <v>77.86</v>
      </c>
    </row>
    <row r="2293" spans="1:7" x14ac:dyDescent="0.25">
      <c r="A2293" s="116" t="s">
        <v>27335</v>
      </c>
      <c r="B2293" s="117" t="s">
        <v>3524</v>
      </c>
      <c r="C2293" t="s">
        <v>67</v>
      </c>
      <c r="D2293" t="s">
        <v>67</v>
      </c>
      <c r="E2293" t="s">
        <v>67</v>
      </c>
      <c r="F2293" t="s">
        <v>45</v>
      </c>
      <c r="G2293" s="117">
        <v>41.38</v>
      </c>
    </row>
    <row r="2294" spans="1:7" x14ac:dyDescent="0.25">
      <c r="A2294" s="116" t="s">
        <v>3525</v>
      </c>
      <c r="B2294" s="117" t="s">
        <v>3526</v>
      </c>
      <c r="C2294" t="s">
        <v>67</v>
      </c>
      <c r="D2294" t="s">
        <v>67</v>
      </c>
      <c r="E2294" t="s">
        <v>67</v>
      </c>
      <c r="F2294" t="s">
        <v>27987</v>
      </c>
      <c r="G2294" s="117">
        <v>24.48</v>
      </c>
    </row>
    <row r="2295" spans="1:7" x14ac:dyDescent="0.25">
      <c r="A2295" s="116" t="s">
        <v>3527</v>
      </c>
      <c r="B2295" s="117" t="s">
        <v>3528</v>
      </c>
      <c r="C2295" t="s">
        <v>67</v>
      </c>
      <c r="D2295" t="s">
        <v>67</v>
      </c>
      <c r="E2295" t="s">
        <v>67</v>
      </c>
      <c r="F2295" t="s">
        <v>27987</v>
      </c>
      <c r="G2295" s="117">
        <v>91.2</v>
      </c>
    </row>
    <row r="2296" spans="1:7" x14ac:dyDescent="0.25">
      <c r="A2296" s="116" t="s">
        <v>3529</v>
      </c>
      <c r="B2296" s="117" t="s">
        <v>3530</v>
      </c>
      <c r="C2296" t="s">
        <v>67</v>
      </c>
      <c r="D2296" t="s">
        <v>67</v>
      </c>
      <c r="E2296" t="s">
        <v>67</v>
      </c>
      <c r="F2296" t="s">
        <v>27987</v>
      </c>
      <c r="G2296" s="117">
        <v>159.19</v>
      </c>
    </row>
    <row r="2297" spans="1:7" x14ac:dyDescent="0.25">
      <c r="A2297" s="116" t="s">
        <v>3531</v>
      </c>
      <c r="B2297" s="117" t="s">
        <v>3532</v>
      </c>
      <c r="C2297" t="s">
        <v>67</v>
      </c>
      <c r="D2297" t="s">
        <v>67</v>
      </c>
      <c r="E2297" t="s">
        <v>67</v>
      </c>
      <c r="F2297" t="s">
        <v>45</v>
      </c>
      <c r="G2297" s="117">
        <v>138.37</v>
      </c>
    </row>
    <row r="2298" spans="1:7" x14ac:dyDescent="0.25">
      <c r="A2298" s="116" t="s">
        <v>3533</v>
      </c>
      <c r="B2298" s="117" t="s">
        <v>3523</v>
      </c>
      <c r="C2298" t="s">
        <v>67</v>
      </c>
      <c r="D2298" t="s">
        <v>67</v>
      </c>
      <c r="E2298" t="s">
        <v>67</v>
      </c>
      <c r="F2298" t="s">
        <v>27987</v>
      </c>
      <c r="G2298" s="117">
        <v>14.14</v>
      </c>
    </row>
    <row r="2299" spans="1:7" x14ac:dyDescent="0.25">
      <c r="A2299" s="116" t="s">
        <v>3534</v>
      </c>
      <c r="B2299" s="117" t="s">
        <v>3535</v>
      </c>
      <c r="C2299" t="s">
        <v>67</v>
      </c>
      <c r="D2299" t="s">
        <v>67</v>
      </c>
      <c r="E2299" t="s">
        <v>67</v>
      </c>
      <c r="F2299" t="s">
        <v>45</v>
      </c>
      <c r="G2299" s="117">
        <v>129.82</v>
      </c>
    </row>
    <row r="2300" spans="1:7" x14ac:dyDescent="0.25">
      <c r="A2300" s="116" t="s">
        <v>3536</v>
      </c>
      <c r="B2300" s="117" t="s">
        <v>3537</v>
      </c>
      <c r="C2300" t="s">
        <v>67</v>
      </c>
      <c r="D2300" t="s">
        <v>67</v>
      </c>
      <c r="E2300" t="s">
        <v>67</v>
      </c>
      <c r="F2300" t="s">
        <v>27987</v>
      </c>
      <c r="G2300" s="117">
        <v>39.950000000000003</v>
      </c>
    </row>
    <row r="2301" spans="1:7" x14ac:dyDescent="0.25">
      <c r="A2301" s="116" t="s">
        <v>3538</v>
      </c>
      <c r="B2301" s="117" t="s">
        <v>3539</v>
      </c>
      <c r="C2301" t="s">
        <v>67</v>
      </c>
      <c r="D2301" t="s">
        <v>67</v>
      </c>
      <c r="E2301" t="s">
        <v>67</v>
      </c>
      <c r="F2301" t="s">
        <v>49</v>
      </c>
      <c r="G2301" s="117">
        <v>112.02</v>
      </c>
    </row>
    <row r="2302" spans="1:7" x14ac:dyDescent="0.25">
      <c r="A2302" s="116" t="s">
        <v>3540</v>
      </c>
      <c r="B2302" s="117" t="s">
        <v>3541</v>
      </c>
      <c r="C2302" t="s">
        <v>67</v>
      </c>
      <c r="D2302" t="s">
        <v>67</v>
      </c>
      <c r="E2302" t="s">
        <v>67</v>
      </c>
      <c r="F2302" t="s">
        <v>45</v>
      </c>
      <c r="G2302" s="117">
        <v>198.35</v>
      </c>
    </row>
    <row r="2303" spans="1:7" x14ac:dyDescent="0.25">
      <c r="A2303" s="116" t="s">
        <v>3542</v>
      </c>
      <c r="B2303" s="117" t="s">
        <v>3543</v>
      </c>
      <c r="C2303" t="s">
        <v>67</v>
      </c>
      <c r="D2303" t="s">
        <v>67</v>
      </c>
      <c r="E2303" t="s">
        <v>67</v>
      </c>
      <c r="F2303" t="s">
        <v>27987</v>
      </c>
      <c r="G2303" s="117">
        <v>68.56</v>
      </c>
    </row>
    <row r="2304" spans="1:7" x14ac:dyDescent="0.25">
      <c r="A2304" s="116" t="s">
        <v>3544</v>
      </c>
      <c r="B2304" s="117" t="s">
        <v>3545</v>
      </c>
      <c r="C2304" t="s">
        <v>67</v>
      </c>
      <c r="D2304" t="s">
        <v>67</v>
      </c>
      <c r="E2304" t="s">
        <v>67</v>
      </c>
      <c r="F2304" t="s">
        <v>27987</v>
      </c>
      <c r="G2304" s="117">
        <v>20.38</v>
      </c>
    </row>
    <row r="2305" spans="1:7" x14ac:dyDescent="0.25">
      <c r="A2305" s="116" t="s">
        <v>3546</v>
      </c>
      <c r="B2305" s="117" t="s">
        <v>3547</v>
      </c>
      <c r="C2305" t="s">
        <v>67</v>
      </c>
      <c r="D2305" t="s">
        <v>67</v>
      </c>
      <c r="E2305" t="s">
        <v>67</v>
      </c>
      <c r="F2305" t="s">
        <v>45</v>
      </c>
      <c r="G2305" s="117">
        <v>15.04</v>
      </c>
    </row>
    <row r="2306" spans="1:7" x14ac:dyDescent="0.25">
      <c r="A2306" s="116" t="s">
        <v>3548</v>
      </c>
      <c r="B2306" s="117" t="s">
        <v>3549</v>
      </c>
      <c r="C2306" t="s">
        <v>67</v>
      </c>
      <c r="D2306" t="s">
        <v>67</v>
      </c>
      <c r="E2306" t="s">
        <v>67</v>
      </c>
      <c r="F2306" t="s">
        <v>27987</v>
      </c>
      <c r="G2306" s="117">
        <v>21.8</v>
      </c>
    </row>
    <row r="2307" spans="1:7" x14ac:dyDescent="0.25">
      <c r="A2307" s="116" t="s">
        <v>3550</v>
      </c>
      <c r="B2307" s="117" t="s">
        <v>3551</v>
      </c>
      <c r="C2307" t="s">
        <v>67</v>
      </c>
      <c r="D2307" t="s">
        <v>67</v>
      </c>
      <c r="E2307" t="s">
        <v>67</v>
      </c>
      <c r="F2307" t="s">
        <v>45</v>
      </c>
      <c r="G2307" s="117">
        <v>16.260000000000002</v>
      </c>
    </row>
    <row r="2308" spans="1:7" x14ac:dyDescent="0.25">
      <c r="A2308" s="116" t="s">
        <v>3552</v>
      </c>
      <c r="B2308" s="117" t="s">
        <v>3553</v>
      </c>
      <c r="C2308" t="s">
        <v>67</v>
      </c>
      <c r="D2308" t="s">
        <v>67</v>
      </c>
      <c r="E2308" t="s">
        <v>67</v>
      </c>
      <c r="F2308" t="s">
        <v>27987</v>
      </c>
      <c r="G2308" s="117">
        <v>81.77</v>
      </c>
    </row>
    <row r="2309" spans="1:7" x14ac:dyDescent="0.25">
      <c r="A2309" s="116" t="s">
        <v>3554</v>
      </c>
      <c r="B2309" s="117" t="s">
        <v>3555</v>
      </c>
      <c r="C2309" t="s">
        <v>67</v>
      </c>
      <c r="D2309" t="s">
        <v>67</v>
      </c>
      <c r="E2309" t="s">
        <v>67</v>
      </c>
      <c r="F2309" t="s">
        <v>27987</v>
      </c>
      <c r="G2309" s="117">
        <v>174.32</v>
      </c>
    </row>
    <row r="2310" spans="1:7" x14ac:dyDescent="0.25">
      <c r="A2310" s="116" t="s">
        <v>3556</v>
      </c>
      <c r="B2310" s="117" t="s">
        <v>985</v>
      </c>
      <c r="C2310" t="s">
        <v>67</v>
      </c>
      <c r="D2310" t="s">
        <v>67</v>
      </c>
      <c r="E2310" t="s">
        <v>67</v>
      </c>
      <c r="F2310" t="s">
        <v>45</v>
      </c>
      <c r="G2310" s="117">
        <v>64.87</v>
      </c>
    </row>
    <row r="2311" spans="1:7" x14ac:dyDescent="0.25">
      <c r="A2311" s="116" t="s">
        <v>3557</v>
      </c>
      <c r="B2311" s="117" t="s">
        <v>3558</v>
      </c>
      <c r="C2311" t="s">
        <v>67</v>
      </c>
      <c r="D2311" t="s">
        <v>67</v>
      </c>
      <c r="E2311" t="s">
        <v>67</v>
      </c>
      <c r="F2311" t="s">
        <v>27987</v>
      </c>
      <c r="G2311" s="117">
        <v>63.98</v>
      </c>
    </row>
    <row r="2312" spans="1:7" x14ac:dyDescent="0.25">
      <c r="A2312" s="116" t="s">
        <v>3559</v>
      </c>
      <c r="B2312" s="117" t="s">
        <v>3560</v>
      </c>
      <c r="C2312" t="s">
        <v>67</v>
      </c>
      <c r="D2312" t="s">
        <v>67</v>
      </c>
      <c r="E2312" t="s">
        <v>67</v>
      </c>
      <c r="F2312" t="s">
        <v>27987</v>
      </c>
      <c r="G2312" s="117">
        <v>63.98</v>
      </c>
    </row>
    <row r="2313" spans="1:7" x14ac:dyDescent="0.25">
      <c r="A2313" s="116" t="s">
        <v>3561</v>
      </c>
      <c r="B2313" s="117" t="s">
        <v>3562</v>
      </c>
      <c r="C2313" t="s">
        <v>67</v>
      </c>
      <c r="D2313" t="s">
        <v>67</v>
      </c>
      <c r="E2313" t="s">
        <v>67</v>
      </c>
      <c r="F2313" t="s">
        <v>27987</v>
      </c>
      <c r="G2313" s="117">
        <v>302.10000000000002</v>
      </c>
    </row>
    <row r="2314" spans="1:7" x14ac:dyDescent="0.25">
      <c r="A2314" s="116" t="s">
        <v>3563</v>
      </c>
      <c r="B2314" s="117" t="s">
        <v>3564</v>
      </c>
      <c r="C2314" t="s">
        <v>67</v>
      </c>
      <c r="D2314" t="s">
        <v>67</v>
      </c>
      <c r="E2314" t="s">
        <v>67</v>
      </c>
      <c r="F2314" t="s">
        <v>49</v>
      </c>
      <c r="G2314" s="117">
        <v>15.57</v>
      </c>
    </row>
    <row r="2315" spans="1:7" x14ac:dyDescent="0.25">
      <c r="A2315" s="116" t="s">
        <v>3565</v>
      </c>
      <c r="B2315" s="117" t="s">
        <v>3566</v>
      </c>
      <c r="C2315" t="s">
        <v>67</v>
      </c>
      <c r="D2315" t="s">
        <v>67</v>
      </c>
      <c r="E2315" t="s">
        <v>67</v>
      </c>
      <c r="F2315" t="s">
        <v>27987</v>
      </c>
      <c r="G2315" s="117">
        <v>12.01</v>
      </c>
    </row>
    <row r="2316" spans="1:7" x14ac:dyDescent="0.25">
      <c r="A2316" s="116" t="s">
        <v>3567</v>
      </c>
      <c r="B2316" s="117" t="s">
        <v>3568</v>
      </c>
      <c r="C2316" t="s">
        <v>67</v>
      </c>
      <c r="D2316" t="s">
        <v>67</v>
      </c>
      <c r="E2316" t="s">
        <v>67</v>
      </c>
      <c r="F2316" t="s">
        <v>27987</v>
      </c>
      <c r="G2316" s="117">
        <v>16.82</v>
      </c>
    </row>
    <row r="2317" spans="1:7" x14ac:dyDescent="0.25">
      <c r="A2317" s="116" t="s">
        <v>3569</v>
      </c>
      <c r="B2317" s="117" t="s">
        <v>3570</v>
      </c>
      <c r="C2317" t="s">
        <v>67</v>
      </c>
      <c r="D2317" t="s">
        <v>67</v>
      </c>
      <c r="E2317" t="s">
        <v>67</v>
      </c>
      <c r="F2317" t="s">
        <v>45</v>
      </c>
      <c r="G2317" s="117">
        <v>104.02</v>
      </c>
    </row>
    <row r="2318" spans="1:7" x14ac:dyDescent="0.25">
      <c r="A2318" s="116" t="s">
        <v>3571</v>
      </c>
      <c r="B2318" s="117" t="s">
        <v>3572</v>
      </c>
      <c r="C2318" t="s">
        <v>67</v>
      </c>
      <c r="D2318" t="s">
        <v>67</v>
      </c>
      <c r="E2318" t="s">
        <v>67</v>
      </c>
      <c r="F2318" t="s">
        <v>45</v>
      </c>
      <c r="G2318" s="117">
        <v>40.49</v>
      </c>
    </row>
    <row r="2319" spans="1:7" x14ac:dyDescent="0.25">
      <c r="A2319" s="116" t="s">
        <v>3573</v>
      </c>
      <c r="B2319" s="117" t="s">
        <v>3574</v>
      </c>
      <c r="C2319" t="s">
        <v>67</v>
      </c>
      <c r="D2319" t="s">
        <v>67</v>
      </c>
      <c r="E2319" t="s">
        <v>67</v>
      </c>
      <c r="F2319" t="s">
        <v>49</v>
      </c>
      <c r="G2319" s="117">
        <v>3.48</v>
      </c>
    </row>
    <row r="2320" spans="1:7" x14ac:dyDescent="0.25">
      <c r="A2320" s="116" t="s">
        <v>3575</v>
      </c>
      <c r="B2320" s="117" t="s">
        <v>3576</v>
      </c>
      <c r="C2320" t="s">
        <v>67</v>
      </c>
      <c r="D2320" t="s">
        <v>67</v>
      </c>
      <c r="E2320" t="s">
        <v>67</v>
      </c>
      <c r="F2320" t="s">
        <v>51</v>
      </c>
      <c r="G2320" s="117">
        <v>20.02</v>
      </c>
    </row>
    <row r="2321" spans="1:7" x14ac:dyDescent="0.25">
      <c r="A2321" s="116" t="s">
        <v>3577</v>
      </c>
      <c r="B2321" s="117" t="s">
        <v>3253</v>
      </c>
      <c r="C2321" t="s">
        <v>67</v>
      </c>
      <c r="D2321" t="s">
        <v>67</v>
      </c>
      <c r="E2321" t="s">
        <v>67</v>
      </c>
      <c r="F2321" t="s">
        <v>27987</v>
      </c>
      <c r="G2321" s="117">
        <v>48.5</v>
      </c>
    </row>
    <row r="2322" spans="1:7" x14ac:dyDescent="0.25">
      <c r="A2322" s="116" t="s">
        <v>3578</v>
      </c>
      <c r="B2322" s="117" t="s">
        <v>3579</v>
      </c>
      <c r="C2322" t="s">
        <v>67</v>
      </c>
      <c r="D2322" t="s">
        <v>67</v>
      </c>
      <c r="E2322" t="s">
        <v>67</v>
      </c>
      <c r="F2322" t="s">
        <v>45</v>
      </c>
      <c r="G2322" s="117">
        <v>25.71</v>
      </c>
    </row>
    <row r="2323" spans="1:7" x14ac:dyDescent="0.25">
      <c r="A2323" s="116" t="s">
        <v>3580</v>
      </c>
      <c r="B2323" s="117" t="s">
        <v>3581</v>
      </c>
      <c r="C2323" t="s">
        <v>67</v>
      </c>
      <c r="D2323" t="s">
        <v>67</v>
      </c>
      <c r="E2323" t="s">
        <v>67</v>
      </c>
      <c r="F2323" t="s">
        <v>45</v>
      </c>
      <c r="G2323" s="117">
        <v>14.14</v>
      </c>
    </row>
    <row r="2324" spans="1:7" x14ac:dyDescent="0.25">
      <c r="A2324" s="116" t="s">
        <v>3582</v>
      </c>
      <c r="B2324" s="117" t="s">
        <v>3583</v>
      </c>
      <c r="C2324" t="s">
        <v>67</v>
      </c>
      <c r="D2324" t="s">
        <v>67</v>
      </c>
      <c r="E2324" t="s">
        <v>67</v>
      </c>
      <c r="F2324" t="s">
        <v>27987</v>
      </c>
      <c r="G2324" s="117">
        <v>96.9</v>
      </c>
    </row>
    <row r="2325" spans="1:7" x14ac:dyDescent="0.25">
      <c r="A2325" s="116" t="s">
        <v>3584</v>
      </c>
      <c r="B2325" s="117" t="s">
        <v>3585</v>
      </c>
      <c r="C2325" t="s">
        <v>67</v>
      </c>
      <c r="D2325" t="s">
        <v>67</v>
      </c>
      <c r="E2325" t="s">
        <v>67</v>
      </c>
      <c r="F2325" t="s">
        <v>51</v>
      </c>
      <c r="G2325" s="117">
        <v>16.82</v>
      </c>
    </row>
    <row r="2326" spans="1:7" x14ac:dyDescent="0.25">
      <c r="A2326" s="116" t="s">
        <v>3586</v>
      </c>
      <c r="B2326" s="117" t="s">
        <v>344</v>
      </c>
      <c r="C2326" t="s">
        <v>67</v>
      </c>
      <c r="D2326" t="s">
        <v>67</v>
      </c>
      <c r="E2326" t="s">
        <v>67</v>
      </c>
      <c r="F2326" t="s">
        <v>27987</v>
      </c>
      <c r="G2326" s="117">
        <v>16.57</v>
      </c>
    </row>
    <row r="2327" spans="1:7" x14ac:dyDescent="0.25">
      <c r="A2327" s="116" t="s">
        <v>3587</v>
      </c>
      <c r="B2327" s="117" t="s">
        <v>3588</v>
      </c>
      <c r="C2327" t="s">
        <v>67</v>
      </c>
      <c r="D2327" t="s">
        <v>67</v>
      </c>
      <c r="E2327" t="s">
        <v>67</v>
      </c>
      <c r="F2327" t="s">
        <v>27987</v>
      </c>
      <c r="G2327" s="117">
        <v>68.959999999999994</v>
      </c>
    </row>
    <row r="2328" spans="1:7" x14ac:dyDescent="0.25">
      <c r="A2328" s="116" t="s">
        <v>3589</v>
      </c>
      <c r="B2328" s="117" t="s">
        <v>2072</v>
      </c>
      <c r="C2328" t="s">
        <v>67</v>
      </c>
      <c r="D2328" t="s">
        <v>67</v>
      </c>
      <c r="E2328" t="s">
        <v>67</v>
      </c>
      <c r="F2328" t="s">
        <v>27987</v>
      </c>
      <c r="G2328" s="117">
        <v>136.06</v>
      </c>
    </row>
    <row r="2329" spans="1:7" x14ac:dyDescent="0.25">
      <c r="A2329" s="116" t="s">
        <v>3590</v>
      </c>
      <c r="B2329" s="117" t="s">
        <v>3591</v>
      </c>
      <c r="C2329" t="s">
        <v>67</v>
      </c>
      <c r="D2329" t="s">
        <v>67</v>
      </c>
      <c r="E2329" t="s">
        <v>67</v>
      </c>
      <c r="F2329" t="s">
        <v>45</v>
      </c>
      <c r="G2329" s="117">
        <v>15.04</v>
      </c>
    </row>
    <row r="2330" spans="1:7" x14ac:dyDescent="0.25">
      <c r="A2330" s="116" t="s">
        <v>3592</v>
      </c>
      <c r="B2330" s="117" t="s">
        <v>3593</v>
      </c>
      <c r="C2330" t="s">
        <v>67</v>
      </c>
      <c r="D2330" t="s">
        <v>67</v>
      </c>
      <c r="E2330" t="s">
        <v>67</v>
      </c>
      <c r="F2330" t="s">
        <v>49</v>
      </c>
      <c r="G2330" s="117">
        <v>15.57</v>
      </c>
    </row>
    <row r="2331" spans="1:7" x14ac:dyDescent="0.25">
      <c r="A2331" s="116" t="s">
        <v>3594</v>
      </c>
      <c r="B2331" s="117" t="s">
        <v>3595</v>
      </c>
      <c r="C2331" t="s">
        <v>67</v>
      </c>
      <c r="D2331" t="s">
        <v>67</v>
      </c>
      <c r="E2331" t="s">
        <v>67</v>
      </c>
      <c r="F2331" t="s">
        <v>27987</v>
      </c>
      <c r="G2331" s="117">
        <v>74.66</v>
      </c>
    </row>
    <row r="2332" spans="1:7" x14ac:dyDescent="0.25">
      <c r="A2332" s="116" t="s">
        <v>3596</v>
      </c>
      <c r="B2332" s="117" t="s">
        <v>3597</v>
      </c>
      <c r="C2332" t="s">
        <v>67</v>
      </c>
      <c r="D2332" t="s">
        <v>67</v>
      </c>
      <c r="E2332" t="s">
        <v>67</v>
      </c>
      <c r="F2332" t="s">
        <v>27987</v>
      </c>
      <c r="G2332" s="117">
        <v>67.540000000000006</v>
      </c>
    </row>
    <row r="2333" spans="1:7" x14ac:dyDescent="0.25">
      <c r="A2333" s="116" t="s">
        <v>3598</v>
      </c>
      <c r="B2333" s="117" t="s">
        <v>3599</v>
      </c>
      <c r="C2333" t="s">
        <v>67</v>
      </c>
      <c r="D2333" t="s">
        <v>67</v>
      </c>
      <c r="E2333" t="s">
        <v>67</v>
      </c>
      <c r="F2333" t="s">
        <v>27987</v>
      </c>
      <c r="G2333" s="117">
        <v>18</v>
      </c>
    </row>
    <row r="2334" spans="1:7" x14ac:dyDescent="0.25">
      <c r="A2334" s="116" t="s">
        <v>3600</v>
      </c>
      <c r="B2334" s="117" t="s">
        <v>3601</v>
      </c>
      <c r="C2334" t="s">
        <v>67</v>
      </c>
      <c r="D2334" t="s">
        <v>67</v>
      </c>
      <c r="E2334" t="s">
        <v>67</v>
      </c>
      <c r="F2334" t="s">
        <v>27987</v>
      </c>
      <c r="G2334" s="117">
        <v>15.04</v>
      </c>
    </row>
    <row r="2335" spans="1:7" x14ac:dyDescent="0.25">
      <c r="A2335" s="116" t="s">
        <v>3602</v>
      </c>
      <c r="B2335" s="117" t="s">
        <v>3603</v>
      </c>
      <c r="C2335" t="s">
        <v>67</v>
      </c>
      <c r="D2335" t="s">
        <v>67</v>
      </c>
      <c r="E2335" t="s">
        <v>67</v>
      </c>
      <c r="F2335" t="s">
        <v>45</v>
      </c>
      <c r="G2335" s="117">
        <v>15.57</v>
      </c>
    </row>
    <row r="2336" spans="1:7" x14ac:dyDescent="0.25">
      <c r="A2336" s="116" t="s">
        <v>3604</v>
      </c>
      <c r="B2336" s="117" t="s">
        <v>3605</v>
      </c>
      <c r="C2336" t="s">
        <v>67</v>
      </c>
      <c r="D2336" t="s">
        <v>67</v>
      </c>
      <c r="E2336" t="s">
        <v>67</v>
      </c>
      <c r="F2336" t="s">
        <v>27987</v>
      </c>
      <c r="G2336" s="117">
        <v>14.68</v>
      </c>
    </row>
    <row r="2337" spans="1:7" x14ac:dyDescent="0.25">
      <c r="A2337" s="116" t="s">
        <v>3606</v>
      </c>
      <c r="B2337" s="117" t="s">
        <v>3607</v>
      </c>
      <c r="C2337" t="s">
        <v>67</v>
      </c>
      <c r="D2337" t="s">
        <v>67</v>
      </c>
      <c r="E2337" t="s">
        <v>67</v>
      </c>
      <c r="F2337" t="s">
        <v>45</v>
      </c>
      <c r="G2337" s="117">
        <v>22.69</v>
      </c>
    </row>
    <row r="2338" spans="1:7" x14ac:dyDescent="0.25">
      <c r="A2338" s="116" t="s">
        <v>3608</v>
      </c>
      <c r="B2338" s="117" t="s">
        <v>3376</v>
      </c>
      <c r="C2338" t="s">
        <v>67</v>
      </c>
      <c r="D2338" t="s">
        <v>67</v>
      </c>
      <c r="E2338" t="s">
        <v>67</v>
      </c>
      <c r="F2338" t="s">
        <v>27990</v>
      </c>
      <c r="G2338" s="117">
        <v>14.14</v>
      </c>
    </row>
    <row r="2339" spans="1:7" x14ac:dyDescent="0.25">
      <c r="A2339" s="116" t="s">
        <v>3609</v>
      </c>
      <c r="B2339" s="117" t="s">
        <v>3331</v>
      </c>
      <c r="C2339" t="s">
        <v>67</v>
      </c>
      <c r="D2339" t="s">
        <v>67</v>
      </c>
      <c r="E2339" t="s">
        <v>67</v>
      </c>
      <c r="F2339" t="s">
        <v>49</v>
      </c>
      <c r="G2339" s="117">
        <v>28.38</v>
      </c>
    </row>
    <row r="2340" spans="1:7" x14ac:dyDescent="0.25">
      <c r="A2340" s="116" t="s">
        <v>3610</v>
      </c>
      <c r="B2340" s="117" t="s">
        <v>3611</v>
      </c>
      <c r="C2340" t="s">
        <v>67</v>
      </c>
      <c r="D2340" t="s">
        <v>67</v>
      </c>
      <c r="E2340" t="s">
        <v>67</v>
      </c>
      <c r="F2340" t="s">
        <v>45</v>
      </c>
      <c r="G2340" s="117">
        <v>14.68</v>
      </c>
    </row>
    <row r="2341" spans="1:7" x14ac:dyDescent="0.25">
      <c r="A2341" s="116" t="s">
        <v>3612</v>
      </c>
      <c r="B2341" s="117" t="s">
        <v>402</v>
      </c>
      <c r="C2341" t="s">
        <v>67</v>
      </c>
      <c r="D2341" t="s">
        <v>67</v>
      </c>
      <c r="E2341" t="s">
        <v>67</v>
      </c>
      <c r="F2341" t="s">
        <v>27987</v>
      </c>
      <c r="G2341" s="117">
        <v>212.58</v>
      </c>
    </row>
    <row r="2342" spans="1:7" x14ac:dyDescent="0.25">
      <c r="A2342" s="116" t="s">
        <v>3613</v>
      </c>
      <c r="B2342" s="117" t="s">
        <v>3214</v>
      </c>
      <c r="C2342" t="s">
        <v>67</v>
      </c>
      <c r="D2342" t="s">
        <v>67</v>
      </c>
      <c r="E2342" t="s">
        <v>67</v>
      </c>
      <c r="F2342" t="s">
        <v>45</v>
      </c>
      <c r="G2342" s="117">
        <v>9.42</v>
      </c>
    </row>
    <row r="2343" spans="1:7" x14ac:dyDescent="0.25">
      <c r="A2343" s="116" t="s">
        <v>3614</v>
      </c>
      <c r="B2343" s="117" t="s">
        <v>3615</v>
      </c>
      <c r="C2343" t="s">
        <v>67</v>
      </c>
      <c r="D2343" t="s">
        <v>67</v>
      </c>
      <c r="E2343" t="s">
        <v>67</v>
      </c>
      <c r="F2343" t="s">
        <v>49</v>
      </c>
      <c r="G2343" s="117">
        <v>8.81</v>
      </c>
    </row>
    <row r="2344" spans="1:7" x14ac:dyDescent="0.25">
      <c r="A2344" s="116" t="s">
        <v>3616</v>
      </c>
      <c r="B2344" s="117" t="s">
        <v>3617</v>
      </c>
      <c r="C2344" t="s">
        <v>67</v>
      </c>
      <c r="D2344" t="s">
        <v>67</v>
      </c>
      <c r="E2344" t="s">
        <v>67</v>
      </c>
      <c r="F2344" t="s">
        <v>27987</v>
      </c>
      <c r="G2344" s="117">
        <v>33.369999999999997</v>
      </c>
    </row>
    <row r="2345" spans="1:7" x14ac:dyDescent="0.25">
      <c r="A2345" s="116" t="s">
        <v>3618</v>
      </c>
      <c r="B2345" s="117" t="s">
        <v>3619</v>
      </c>
      <c r="C2345" t="s">
        <v>67</v>
      </c>
      <c r="D2345" t="s">
        <v>67</v>
      </c>
      <c r="E2345" t="s">
        <v>67</v>
      </c>
      <c r="F2345" t="s">
        <v>51</v>
      </c>
      <c r="G2345" s="117">
        <v>52.94</v>
      </c>
    </row>
    <row r="2346" spans="1:7" x14ac:dyDescent="0.25">
      <c r="A2346" s="116" t="s">
        <v>3620</v>
      </c>
      <c r="B2346" s="117" t="s">
        <v>3621</v>
      </c>
      <c r="C2346" t="s">
        <v>67</v>
      </c>
      <c r="D2346" t="s">
        <v>67</v>
      </c>
      <c r="E2346" t="s">
        <v>67</v>
      </c>
      <c r="F2346" t="s">
        <v>45</v>
      </c>
      <c r="G2346" s="117">
        <v>26.25</v>
      </c>
    </row>
    <row r="2347" spans="1:7" x14ac:dyDescent="0.25">
      <c r="A2347" s="116" t="s">
        <v>3622</v>
      </c>
      <c r="B2347" s="117" t="s">
        <v>3623</v>
      </c>
      <c r="C2347" t="s">
        <v>67</v>
      </c>
      <c r="D2347" t="s">
        <v>67</v>
      </c>
      <c r="E2347" t="s">
        <v>67</v>
      </c>
      <c r="F2347" t="s">
        <v>49</v>
      </c>
      <c r="G2347" s="117">
        <v>8.81</v>
      </c>
    </row>
    <row r="2348" spans="1:7" x14ac:dyDescent="0.25">
      <c r="A2348" s="116" t="s">
        <v>3624</v>
      </c>
      <c r="B2348" s="117" t="s">
        <v>3625</v>
      </c>
      <c r="C2348" t="s">
        <v>67</v>
      </c>
      <c r="D2348" t="s">
        <v>67</v>
      </c>
      <c r="E2348" t="s">
        <v>67</v>
      </c>
      <c r="F2348" t="s">
        <v>49</v>
      </c>
      <c r="G2348" s="117">
        <v>53.3</v>
      </c>
    </row>
    <row r="2349" spans="1:7" x14ac:dyDescent="0.25">
      <c r="A2349" s="116" t="s">
        <v>3626</v>
      </c>
      <c r="B2349" s="117" t="s">
        <v>3627</v>
      </c>
      <c r="C2349" t="s">
        <v>67</v>
      </c>
      <c r="D2349" t="s">
        <v>67</v>
      </c>
      <c r="E2349" t="s">
        <v>67</v>
      </c>
      <c r="F2349" t="s">
        <v>27987</v>
      </c>
      <c r="G2349" s="117">
        <v>22.16</v>
      </c>
    </row>
    <row r="2350" spans="1:7" x14ac:dyDescent="0.25">
      <c r="A2350" s="116" t="s">
        <v>3628</v>
      </c>
      <c r="B2350" s="117" t="s">
        <v>3360</v>
      </c>
      <c r="C2350" t="s">
        <v>67</v>
      </c>
      <c r="D2350" t="s">
        <v>67</v>
      </c>
      <c r="E2350" t="s">
        <v>67</v>
      </c>
      <c r="F2350" t="s">
        <v>27987</v>
      </c>
      <c r="G2350" s="117">
        <v>37.29</v>
      </c>
    </row>
    <row r="2351" spans="1:7" x14ac:dyDescent="0.25">
      <c r="A2351" s="116" t="s">
        <v>3629</v>
      </c>
      <c r="B2351" s="117" t="s">
        <v>3630</v>
      </c>
      <c r="C2351" t="s">
        <v>67</v>
      </c>
      <c r="D2351" t="s">
        <v>67</v>
      </c>
      <c r="E2351" t="s">
        <v>67</v>
      </c>
      <c r="F2351" t="s">
        <v>27987</v>
      </c>
      <c r="G2351" s="117">
        <v>20</v>
      </c>
    </row>
    <row r="2352" spans="1:7" x14ac:dyDescent="0.25">
      <c r="A2352" s="116" t="s">
        <v>3631</v>
      </c>
      <c r="B2352" s="117" t="s">
        <v>3632</v>
      </c>
      <c r="C2352" t="s">
        <v>67</v>
      </c>
      <c r="D2352" t="s">
        <v>67</v>
      </c>
      <c r="E2352" t="s">
        <v>67</v>
      </c>
      <c r="F2352" t="s">
        <v>27987</v>
      </c>
      <c r="G2352" s="117">
        <v>33.369999999999997</v>
      </c>
    </row>
    <row r="2353" spans="1:7" x14ac:dyDescent="0.25">
      <c r="A2353" s="116" t="s">
        <v>3633</v>
      </c>
      <c r="B2353" s="117" t="s">
        <v>3634</v>
      </c>
      <c r="C2353" t="s">
        <v>67</v>
      </c>
      <c r="D2353" t="s">
        <v>67</v>
      </c>
      <c r="E2353" t="s">
        <v>67</v>
      </c>
      <c r="F2353" t="s">
        <v>27987</v>
      </c>
      <c r="G2353" s="117">
        <v>39.06</v>
      </c>
    </row>
    <row r="2354" spans="1:7" x14ac:dyDescent="0.25">
      <c r="A2354" s="116" t="s">
        <v>3635</v>
      </c>
      <c r="B2354" s="117" t="s">
        <v>28491</v>
      </c>
      <c r="C2354" t="s">
        <v>67</v>
      </c>
      <c r="D2354" t="s">
        <v>67</v>
      </c>
      <c r="E2354" t="s">
        <v>67</v>
      </c>
      <c r="F2354" t="s">
        <v>45</v>
      </c>
      <c r="G2354" s="117">
        <v>121.82</v>
      </c>
    </row>
    <row r="2355" spans="1:7" x14ac:dyDescent="0.25">
      <c r="A2355" s="116" t="s">
        <v>3636</v>
      </c>
      <c r="B2355" s="117" t="s">
        <v>402</v>
      </c>
      <c r="C2355" t="s">
        <v>67</v>
      </c>
      <c r="D2355" t="s">
        <v>67</v>
      </c>
      <c r="E2355" t="s">
        <v>67</v>
      </c>
      <c r="F2355" t="s">
        <v>45</v>
      </c>
      <c r="G2355" s="117">
        <v>196.2</v>
      </c>
    </row>
    <row r="2356" spans="1:7" x14ac:dyDescent="0.25">
      <c r="A2356" s="116" t="s">
        <v>3637</v>
      </c>
      <c r="B2356" s="117" t="s">
        <v>3331</v>
      </c>
      <c r="C2356" t="s">
        <v>67</v>
      </c>
      <c r="D2356" t="s">
        <v>67</v>
      </c>
      <c r="E2356" t="s">
        <v>67</v>
      </c>
      <c r="F2356" t="s">
        <v>45</v>
      </c>
      <c r="G2356" s="117">
        <v>49.74</v>
      </c>
    </row>
    <row r="2357" spans="1:7" x14ac:dyDescent="0.25">
      <c r="A2357" s="116" t="s">
        <v>3638</v>
      </c>
      <c r="B2357" s="117" t="s">
        <v>3376</v>
      </c>
      <c r="C2357" t="s">
        <v>67</v>
      </c>
      <c r="D2357" t="s">
        <v>67</v>
      </c>
      <c r="E2357" t="s">
        <v>67</v>
      </c>
      <c r="F2357" t="s">
        <v>27987</v>
      </c>
      <c r="G2357" s="117">
        <v>12.01</v>
      </c>
    </row>
    <row r="2358" spans="1:7" x14ac:dyDescent="0.25">
      <c r="A2358" s="116" t="s">
        <v>3639</v>
      </c>
      <c r="B2358" s="117" t="s">
        <v>402</v>
      </c>
      <c r="C2358" t="s">
        <v>67</v>
      </c>
      <c r="D2358" t="s">
        <v>67</v>
      </c>
      <c r="E2358" t="s">
        <v>67</v>
      </c>
      <c r="F2358" t="s">
        <v>27987</v>
      </c>
      <c r="G2358" s="117">
        <v>213.48</v>
      </c>
    </row>
    <row r="2359" spans="1:7" x14ac:dyDescent="0.25">
      <c r="A2359" s="116" t="s">
        <v>3640</v>
      </c>
      <c r="B2359" s="117" t="s">
        <v>3621</v>
      </c>
      <c r="C2359" t="s">
        <v>67</v>
      </c>
      <c r="D2359" t="s">
        <v>67</v>
      </c>
      <c r="E2359" t="s">
        <v>67</v>
      </c>
      <c r="F2359" t="s">
        <v>45</v>
      </c>
      <c r="G2359" s="117">
        <v>9.6999999999999993</v>
      </c>
    </row>
    <row r="2360" spans="1:7" x14ac:dyDescent="0.25">
      <c r="A2360" s="116" t="s">
        <v>3641</v>
      </c>
      <c r="B2360" s="117" t="s">
        <v>3642</v>
      </c>
      <c r="C2360" t="s">
        <v>67</v>
      </c>
      <c r="D2360" t="s">
        <v>67</v>
      </c>
      <c r="E2360" t="s">
        <v>67</v>
      </c>
      <c r="F2360" t="s">
        <v>27987</v>
      </c>
      <c r="G2360" s="117">
        <v>50.27</v>
      </c>
    </row>
    <row r="2361" spans="1:7" x14ac:dyDescent="0.25">
      <c r="A2361" s="116" t="s">
        <v>3643</v>
      </c>
      <c r="B2361" s="117" t="s">
        <v>3644</v>
      </c>
      <c r="C2361" t="s">
        <v>67</v>
      </c>
      <c r="D2361" t="s">
        <v>67</v>
      </c>
      <c r="E2361" t="s">
        <v>67</v>
      </c>
      <c r="F2361" t="s">
        <v>45</v>
      </c>
      <c r="G2361" s="117">
        <v>17.36</v>
      </c>
    </row>
    <row r="2362" spans="1:7" x14ac:dyDescent="0.25">
      <c r="A2362" s="116" t="s">
        <v>3645</v>
      </c>
      <c r="B2362" s="117" t="s">
        <v>3646</v>
      </c>
      <c r="C2362" t="s">
        <v>67</v>
      </c>
      <c r="D2362" t="s">
        <v>67</v>
      </c>
      <c r="E2362" t="s">
        <v>67</v>
      </c>
      <c r="F2362" t="s">
        <v>27987</v>
      </c>
      <c r="G2362" s="117">
        <v>1.26</v>
      </c>
    </row>
    <row r="2363" spans="1:7" x14ac:dyDescent="0.25">
      <c r="A2363" s="116" t="s">
        <v>3647</v>
      </c>
      <c r="B2363" s="117" t="s">
        <v>579</v>
      </c>
      <c r="C2363" t="s">
        <v>67</v>
      </c>
      <c r="D2363" t="s">
        <v>67</v>
      </c>
      <c r="E2363" t="s">
        <v>67</v>
      </c>
      <c r="F2363" t="s">
        <v>27987</v>
      </c>
      <c r="G2363" s="117">
        <v>128.94</v>
      </c>
    </row>
    <row r="2364" spans="1:7" x14ac:dyDescent="0.25">
      <c r="A2364" s="116" t="s">
        <v>3648</v>
      </c>
      <c r="B2364" s="117" t="s">
        <v>3619</v>
      </c>
      <c r="C2364" t="s">
        <v>67</v>
      </c>
      <c r="D2364" t="s">
        <v>67</v>
      </c>
      <c r="E2364" t="s">
        <v>67</v>
      </c>
      <c r="F2364" t="s">
        <v>49</v>
      </c>
      <c r="G2364" s="117">
        <v>24.82</v>
      </c>
    </row>
    <row r="2365" spans="1:7" x14ac:dyDescent="0.25">
      <c r="A2365" s="116" t="s">
        <v>3649</v>
      </c>
      <c r="B2365" s="117" t="s">
        <v>3650</v>
      </c>
      <c r="C2365" t="s">
        <v>67</v>
      </c>
      <c r="D2365" t="s">
        <v>67</v>
      </c>
      <c r="E2365" t="s">
        <v>67</v>
      </c>
      <c r="F2365" t="s">
        <v>27987</v>
      </c>
      <c r="G2365" s="117">
        <v>53.3</v>
      </c>
    </row>
    <row r="2366" spans="1:7" x14ac:dyDescent="0.25">
      <c r="A2366" s="116" t="s">
        <v>3651</v>
      </c>
      <c r="B2366" s="117" t="s">
        <v>3652</v>
      </c>
      <c r="C2366" t="s">
        <v>67</v>
      </c>
      <c r="D2366" t="s">
        <v>67</v>
      </c>
      <c r="E2366" t="s">
        <v>67</v>
      </c>
      <c r="F2366" t="s">
        <v>45</v>
      </c>
      <c r="G2366" s="117">
        <v>18.239999999999998</v>
      </c>
    </row>
    <row r="2367" spans="1:7" x14ac:dyDescent="0.25">
      <c r="A2367" s="116" t="s">
        <v>3653</v>
      </c>
      <c r="B2367" s="117" t="s">
        <v>3654</v>
      </c>
      <c r="C2367" t="s">
        <v>67</v>
      </c>
      <c r="D2367" t="s">
        <v>67</v>
      </c>
      <c r="E2367" t="s">
        <v>67</v>
      </c>
      <c r="F2367" t="s">
        <v>27987</v>
      </c>
      <c r="G2367" s="117">
        <v>44.94</v>
      </c>
    </row>
    <row r="2368" spans="1:7" x14ac:dyDescent="0.25">
      <c r="A2368" s="116" t="s">
        <v>3655</v>
      </c>
      <c r="B2368" s="117" t="s">
        <v>3656</v>
      </c>
      <c r="C2368" t="s">
        <v>67</v>
      </c>
      <c r="D2368" t="s">
        <v>67</v>
      </c>
      <c r="E2368" t="s">
        <v>67</v>
      </c>
      <c r="F2368" t="s">
        <v>45</v>
      </c>
      <c r="G2368" s="117">
        <v>33.369999999999997</v>
      </c>
    </row>
    <row r="2369" spans="1:7" x14ac:dyDescent="0.25">
      <c r="A2369" s="116" t="s">
        <v>3657</v>
      </c>
      <c r="B2369" s="117" t="s">
        <v>3658</v>
      </c>
      <c r="C2369" t="s">
        <v>67</v>
      </c>
      <c r="D2369" t="s">
        <v>67</v>
      </c>
      <c r="E2369" t="s">
        <v>67</v>
      </c>
      <c r="F2369" t="s">
        <v>45</v>
      </c>
      <c r="G2369" s="117">
        <v>28.38</v>
      </c>
    </row>
    <row r="2370" spans="1:7" x14ac:dyDescent="0.25">
      <c r="A2370" s="116" t="s">
        <v>3659</v>
      </c>
      <c r="B2370" s="117" t="s">
        <v>3660</v>
      </c>
      <c r="C2370" t="s">
        <v>67</v>
      </c>
      <c r="D2370" t="s">
        <v>67</v>
      </c>
      <c r="E2370" t="s">
        <v>67</v>
      </c>
      <c r="F2370" t="s">
        <v>45</v>
      </c>
      <c r="G2370" s="117">
        <v>49.74</v>
      </c>
    </row>
    <row r="2371" spans="1:7" x14ac:dyDescent="0.25">
      <c r="A2371" s="116" t="s">
        <v>3661</v>
      </c>
      <c r="B2371" s="117" t="s">
        <v>3662</v>
      </c>
      <c r="C2371" t="s">
        <v>67</v>
      </c>
      <c r="D2371" t="s">
        <v>67</v>
      </c>
      <c r="E2371" t="s">
        <v>67</v>
      </c>
      <c r="F2371" t="s">
        <v>27987</v>
      </c>
      <c r="G2371" s="117">
        <v>129.82</v>
      </c>
    </row>
    <row r="2372" spans="1:7" x14ac:dyDescent="0.25">
      <c r="A2372" s="116" t="s">
        <v>3663</v>
      </c>
      <c r="B2372" s="117" t="s">
        <v>3664</v>
      </c>
      <c r="C2372" t="s">
        <v>67</v>
      </c>
      <c r="D2372" t="s">
        <v>67</v>
      </c>
      <c r="E2372" t="s">
        <v>67</v>
      </c>
      <c r="F2372" t="s">
        <v>27987</v>
      </c>
      <c r="G2372" s="117">
        <v>237.5</v>
      </c>
    </row>
    <row r="2373" spans="1:7" x14ac:dyDescent="0.25">
      <c r="A2373" s="116" t="s">
        <v>3665</v>
      </c>
      <c r="B2373" s="117" t="s">
        <v>3607</v>
      </c>
      <c r="C2373" t="s">
        <v>67</v>
      </c>
      <c r="D2373" t="s">
        <v>67</v>
      </c>
      <c r="E2373" t="s">
        <v>67</v>
      </c>
      <c r="F2373" t="s">
        <v>45</v>
      </c>
      <c r="G2373" s="117">
        <v>23.94</v>
      </c>
    </row>
    <row r="2374" spans="1:7" x14ac:dyDescent="0.25">
      <c r="A2374" s="116" t="s">
        <v>3666</v>
      </c>
      <c r="B2374" s="117" t="s">
        <v>3667</v>
      </c>
      <c r="C2374" t="s">
        <v>67</v>
      </c>
      <c r="D2374" t="s">
        <v>67</v>
      </c>
      <c r="E2374" t="s">
        <v>67</v>
      </c>
      <c r="F2374" t="s">
        <v>27987</v>
      </c>
      <c r="G2374" s="117">
        <v>14.14</v>
      </c>
    </row>
    <row r="2375" spans="1:7" x14ac:dyDescent="0.25">
      <c r="A2375" s="116" t="s">
        <v>3668</v>
      </c>
      <c r="B2375" s="117" t="s">
        <v>3669</v>
      </c>
      <c r="C2375" t="s">
        <v>67</v>
      </c>
      <c r="D2375" t="s">
        <v>67</v>
      </c>
      <c r="E2375" t="s">
        <v>67</v>
      </c>
      <c r="F2375" t="s">
        <v>49</v>
      </c>
      <c r="G2375" s="117">
        <v>39.06</v>
      </c>
    </row>
    <row r="2376" spans="1:7" x14ac:dyDescent="0.25">
      <c r="A2376" s="116" t="s">
        <v>3670</v>
      </c>
      <c r="B2376" s="117" t="s">
        <v>3671</v>
      </c>
      <c r="C2376" t="s">
        <v>67</v>
      </c>
      <c r="D2376" t="s">
        <v>67</v>
      </c>
      <c r="E2376" t="s">
        <v>67</v>
      </c>
      <c r="F2376" t="s">
        <v>27990</v>
      </c>
      <c r="G2376" s="117">
        <v>41.38</v>
      </c>
    </row>
    <row r="2377" spans="1:7" x14ac:dyDescent="0.25">
      <c r="A2377" s="116" t="s">
        <v>3672</v>
      </c>
      <c r="B2377" s="117" t="s">
        <v>3673</v>
      </c>
      <c r="C2377" t="s">
        <v>67</v>
      </c>
      <c r="D2377" t="s">
        <v>67</v>
      </c>
      <c r="E2377" t="s">
        <v>67</v>
      </c>
      <c r="F2377" t="s">
        <v>49</v>
      </c>
      <c r="G2377" s="117">
        <v>507.64</v>
      </c>
    </row>
    <row r="2378" spans="1:7" x14ac:dyDescent="0.25">
      <c r="A2378" s="116" t="s">
        <v>3674</v>
      </c>
      <c r="B2378" s="117" t="s">
        <v>3675</v>
      </c>
      <c r="C2378" t="s">
        <v>67</v>
      </c>
      <c r="D2378" t="s">
        <v>67</v>
      </c>
      <c r="E2378" t="s">
        <v>67</v>
      </c>
      <c r="F2378" t="s">
        <v>45</v>
      </c>
      <c r="G2378" s="117">
        <v>47.61</v>
      </c>
    </row>
    <row r="2379" spans="1:7" x14ac:dyDescent="0.25">
      <c r="A2379" s="116" t="s">
        <v>3676</v>
      </c>
      <c r="B2379" s="117" t="s">
        <v>3677</v>
      </c>
      <c r="C2379" t="s">
        <v>67</v>
      </c>
      <c r="D2379" t="s">
        <v>67</v>
      </c>
      <c r="E2379" t="s">
        <v>67</v>
      </c>
      <c r="F2379" t="s">
        <v>45</v>
      </c>
      <c r="G2379" s="117">
        <v>29.81</v>
      </c>
    </row>
    <row r="2380" spans="1:7" x14ac:dyDescent="0.25">
      <c r="A2380" s="116" t="s">
        <v>3678</v>
      </c>
      <c r="B2380" s="117" t="s">
        <v>3679</v>
      </c>
      <c r="C2380" t="s">
        <v>67</v>
      </c>
      <c r="D2380" t="s">
        <v>67</v>
      </c>
      <c r="E2380" t="s">
        <v>67</v>
      </c>
      <c r="F2380" t="s">
        <v>45</v>
      </c>
      <c r="G2380" s="117">
        <v>39.06</v>
      </c>
    </row>
    <row r="2381" spans="1:7" x14ac:dyDescent="0.25">
      <c r="A2381" s="116" t="s">
        <v>3680</v>
      </c>
      <c r="B2381" s="117" t="s">
        <v>579</v>
      </c>
      <c r="C2381" t="s">
        <v>67</v>
      </c>
      <c r="D2381" t="s">
        <v>67</v>
      </c>
      <c r="E2381" t="s">
        <v>67</v>
      </c>
      <c r="F2381" t="s">
        <v>45</v>
      </c>
      <c r="G2381" s="117">
        <v>187.67</v>
      </c>
    </row>
    <row r="2382" spans="1:7" x14ac:dyDescent="0.25">
      <c r="A2382" s="116" t="s">
        <v>3681</v>
      </c>
      <c r="B2382" s="117" t="s">
        <v>3682</v>
      </c>
      <c r="C2382" t="s">
        <v>67</v>
      </c>
      <c r="D2382" t="s">
        <v>67</v>
      </c>
      <c r="E2382" t="s">
        <v>67</v>
      </c>
      <c r="F2382" t="s">
        <v>45</v>
      </c>
      <c r="G2382" s="117">
        <v>17.7</v>
      </c>
    </row>
    <row r="2383" spans="1:7" x14ac:dyDescent="0.25">
      <c r="A2383" s="116" t="s">
        <v>3683</v>
      </c>
      <c r="B2383" s="117" t="s">
        <v>3684</v>
      </c>
      <c r="C2383" t="s">
        <v>67</v>
      </c>
      <c r="D2383" t="s">
        <v>67</v>
      </c>
      <c r="E2383" t="s">
        <v>67</v>
      </c>
      <c r="F2383" t="s">
        <v>27987</v>
      </c>
      <c r="G2383" s="117">
        <v>164.18</v>
      </c>
    </row>
    <row r="2384" spans="1:7" x14ac:dyDescent="0.25">
      <c r="A2384" s="116" t="s">
        <v>3685</v>
      </c>
      <c r="B2384" s="117" t="s">
        <v>3686</v>
      </c>
      <c r="C2384" t="s">
        <v>67</v>
      </c>
      <c r="D2384" t="s">
        <v>67</v>
      </c>
      <c r="E2384" t="s">
        <v>67</v>
      </c>
      <c r="F2384" t="s">
        <v>45</v>
      </c>
      <c r="G2384" s="117">
        <v>44.94</v>
      </c>
    </row>
    <row r="2385" spans="1:7" x14ac:dyDescent="0.25">
      <c r="A2385" s="116" t="s">
        <v>3687</v>
      </c>
      <c r="B2385" s="117" t="s">
        <v>3688</v>
      </c>
      <c r="C2385" t="s">
        <v>67</v>
      </c>
      <c r="D2385" t="s">
        <v>67</v>
      </c>
      <c r="E2385" t="s">
        <v>67</v>
      </c>
      <c r="F2385" t="s">
        <v>45</v>
      </c>
      <c r="G2385" s="117">
        <v>14.19</v>
      </c>
    </row>
    <row r="2386" spans="1:7" x14ac:dyDescent="0.25">
      <c r="A2386" s="116" t="s">
        <v>3689</v>
      </c>
      <c r="B2386" s="117" t="s">
        <v>3690</v>
      </c>
      <c r="C2386" t="s">
        <v>67</v>
      </c>
      <c r="D2386" t="s">
        <v>67</v>
      </c>
      <c r="E2386" t="s">
        <v>67</v>
      </c>
      <c r="F2386" t="s">
        <v>27987</v>
      </c>
      <c r="G2386" s="117">
        <v>52.06</v>
      </c>
    </row>
    <row r="2387" spans="1:7" x14ac:dyDescent="0.25">
      <c r="A2387" s="116" t="s">
        <v>3691</v>
      </c>
      <c r="B2387" s="117" t="s">
        <v>3692</v>
      </c>
      <c r="C2387" t="s">
        <v>67</v>
      </c>
      <c r="D2387" t="s">
        <v>67</v>
      </c>
      <c r="E2387" t="s">
        <v>67</v>
      </c>
      <c r="F2387" t="s">
        <v>45</v>
      </c>
      <c r="G2387" s="117">
        <v>354.06</v>
      </c>
    </row>
    <row r="2388" spans="1:7" x14ac:dyDescent="0.25">
      <c r="A2388" s="116" t="s">
        <v>3693</v>
      </c>
      <c r="B2388" s="117" t="s">
        <v>3694</v>
      </c>
      <c r="C2388" t="s">
        <v>67</v>
      </c>
      <c r="D2388" t="s">
        <v>67</v>
      </c>
      <c r="E2388" t="s">
        <v>67</v>
      </c>
      <c r="F2388" t="s">
        <v>27987</v>
      </c>
      <c r="G2388" s="117">
        <v>84.08</v>
      </c>
    </row>
    <row r="2389" spans="1:7" x14ac:dyDescent="0.25">
      <c r="A2389" s="116" t="s">
        <v>3695</v>
      </c>
      <c r="B2389" s="117" t="s">
        <v>3696</v>
      </c>
      <c r="C2389" t="s">
        <v>67</v>
      </c>
      <c r="D2389" t="s">
        <v>67</v>
      </c>
      <c r="E2389" t="s">
        <v>67</v>
      </c>
      <c r="F2389" t="s">
        <v>27987</v>
      </c>
      <c r="G2389" s="117">
        <v>47.07</v>
      </c>
    </row>
    <row r="2390" spans="1:7" x14ac:dyDescent="0.25">
      <c r="A2390" s="116" t="s">
        <v>3697</v>
      </c>
      <c r="B2390" s="117" t="s">
        <v>3698</v>
      </c>
      <c r="C2390" t="s">
        <v>67</v>
      </c>
      <c r="D2390" t="s">
        <v>67</v>
      </c>
      <c r="E2390" t="s">
        <v>67</v>
      </c>
      <c r="F2390" t="s">
        <v>49</v>
      </c>
      <c r="G2390" s="117">
        <v>65.760000000000005</v>
      </c>
    </row>
    <row r="2391" spans="1:7" x14ac:dyDescent="0.25">
      <c r="A2391" s="116" t="s">
        <v>3699</v>
      </c>
      <c r="B2391" s="117" t="s">
        <v>3700</v>
      </c>
      <c r="C2391" t="s">
        <v>67</v>
      </c>
      <c r="D2391" t="s">
        <v>67</v>
      </c>
      <c r="E2391" t="s">
        <v>67</v>
      </c>
      <c r="F2391" t="s">
        <v>27987</v>
      </c>
      <c r="G2391" s="117">
        <v>50.27</v>
      </c>
    </row>
    <row r="2392" spans="1:7" x14ac:dyDescent="0.25">
      <c r="A2392" s="116" t="s">
        <v>3701</v>
      </c>
      <c r="B2392" s="117" t="s">
        <v>3376</v>
      </c>
      <c r="C2392" t="s">
        <v>67</v>
      </c>
      <c r="D2392" t="s">
        <v>67</v>
      </c>
      <c r="E2392" t="s">
        <v>67</v>
      </c>
      <c r="F2392" t="s">
        <v>45</v>
      </c>
      <c r="G2392" s="117">
        <v>17.7</v>
      </c>
    </row>
    <row r="2393" spans="1:7" x14ac:dyDescent="0.25">
      <c r="A2393" s="116" t="s">
        <v>3702</v>
      </c>
      <c r="B2393" s="117" t="s">
        <v>402</v>
      </c>
      <c r="C2393" t="s">
        <v>67</v>
      </c>
      <c r="D2393" t="s">
        <v>67</v>
      </c>
      <c r="E2393" t="s">
        <v>67</v>
      </c>
      <c r="F2393" t="s">
        <v>27987</v>
      </c>
      <c r="G2393" s="117">
        <v>249.06</v>
      </c>
    </row>
    <row r="2394" spans="1:7" x14ac:dyDescent="0.25">
      <c r="A2394" s="116" t="s">
        <v>3703</v>
      </c>
      <c r="B2394" s="117" t="s">
        <v>3704</v>
      </c>
      <c r="C2394" t="s">
        <v>67</v>
      </c>
      <c r="D2394" t="s">
        <v>67</v>
      </c>
      <c r="E2394" t="s">
        <v>67</v>
      </c>
      <c r="F2394" t="s">
        <v>27987</v>
      </c>
      <c r="G2394" s="117">
        <v>10.58</v>
      </c>
    </row>
    <row r="2395" spans="1:7" x14ac:dyDescent="0.25">
      <c r="A2395" s="116" t="s">
        <v>3705</v>
      </c>
      <c r="B2395" s="117" t="s">
        <v>3706</v>
      </c>
      <c r="C2395" t="s">
        <v>67</v>
      </c>
      <c r="D2395" t="s">
        <v>67</v>
      </c>
      <c r="E2395" t="s">
        <v>67</v>
      </c>
      <c r="F2395" t="s">
        <v>49</v>
      </c>
      <c r="G2395" s="117">
        <v>14.14</v>
      </c>
    </row>
    <row r="2396" spans="1:7" x14ac:dyDescent="0.25">
      <c r="A2396" s="116" t="s">
        <v>3707</v>
      </c>
      <c r="B2396" s="117" t="s">
        <v>3642</v>
      </c>
      <c r="C2396" t="s">
        <v>67</v>
      </c>
      <c r="D2396" t="s">
        <v>67</v>
      </c>
      <c r="E2396" t="s">
        <v>67</v>
      </c>
      <c r="F2396" t="s">
        <v>45</v>
      </c>
      <c r="G2396" s="117">
        <v>49.38</v>
      </c>
    </row>
    <row r="2397" spans="1:7" x14ac:dyDescent="0.25">
      <c r="A2397" s="116" t="s">
        <v>3708</v>
      </c>
      <c r="B2397" s="117" t="s">
        <v>3709</v>
      </c>
      <c r="C2397" t="s">
        <v>67</v>
      </c>
      <c r="D2397" t="s">
        <v>67</v>
      </c>
      <c r="E2397" t="s">
        <v>67</v>
      </c>
      <c r="F2397" t="s">
        <v>45</v>
      </c>
      <c r="G2397" s="117">
        <v>238.38</v>
      </c>
    </row>
    <row r="2398" spans="1:7" x14ac:dyDescent="0.25">
      <c r="A2398" s="116" t="s">
        <v>3710</v>
      </c>
      <c r="B2398" s="117" t="s">
        <v>3711</v>
      </c>
      <c r="C2398" t="s">
        <v>67</v>
      </c>
      <c r="D2398" t="s">
        <v>67</v>
      </c>
      <c r="E2398" t="s">
        <v>67</v>
      </c>
      <c r="F2398" t="s">
        <v>45</v>
      </c>
      <c r="G2398" s="117">
        <v>12.01</v>
      </c>
    </row>
    <row r="2399" spans="1:7" x14ac:dyDescent="0.25">
      <c r="A2399" s="116" t="s">
        <v>3712</v>
      </c>
      <c r="B2399" s="117" t="s">
        <v>3713</v>
      </c>
      <c r="C2399" t="s">
        <v>67</v>
      </c>
      <c r="D2399" t="s">
        <v>67</v>
      </c>
      <c r="E2399" t="s">
        <v>67</v>
      </c>
      <c r="F2399" t="s">
        <v>27987</v>
      </c>
      <c r="G2399" s="117">
        <v>15.93</v>
      </c>
    </row>
    <row r="2400" spans="1:7" x14ac:dyDescent="0.25">
      <c r="A2400" s="116" t="s">
        <v>3714</v>
      </c>
      <c r="B2400" s="117" t="s">
        <v>3331</v>
      </c>
      <c r="C2400" t="s">
        <v>67</v>
      </c>
      <c r="D2400" t="s">
        <v>67</v>
      </c>
      <c r="E2400" t="s">
        <v>67</v>
      </c>
      <c r="F2400" t="s">
        <v>45</v>
      </c>
      <c r="G2400" s="117">
        <v>20.38</v>
      </c>
    </row>
    <row r="2401" spans="1:7" x14ac:dyDescent="0.25">
      <c r="A2401" s="116" t="s">
        <v>3715</v>
      </c>
      <c r="B2401" s="117" t="s">
        <v>579</v>
      </c>
      <c r="C2401" t="s">
        <v>67</v>
      </c>
      <c r="D2401" t="s">
        <v>67</v>
      </c>
      <c r="E2401" t="s">
        <v>67</v>
      </c>
      <c r="F2401" t="s">
        <v>27987</v>
      </c>
      <c r="G2401" s="117">
        <v>212.58</v>
      </c>
    </row>
    <row r="2402" spans="1:7" x14ac:dyDescent="0.25">
      <c r="A2402" s="116" t="s">
        <v>3716</v>
      </c>
      <c r="B2402" s="117" t="s">
        <v>26450</v>
      </c>
      <c r="C2402" t="s">
        <v>67</v>
      </c>
      <c r="D2402" t="s">
        <v>67</v>
      </c>
      <c r="E2402" t="s">
        <v>67</v>
      </c>
      <c r="F2402" t="s">
        <v>27987</v>
      </c>
      <c r="G2402" s="117">
        <v>10.39</v>
      </c>
    </row>
    <row r="2403" spans="1:7" x14ac:dyDescent="0.25">
      <c r="A2403" s="116" t="s">
        <v>27969</v>
      </c>
      <c r="B2403" s="117" t="s">
        <v>27970</v>
      </c>
      <c r="C2403" t="s">
        <v>67</v>
      </c>
      <c r="D2403" t="s">
        <v>67</v>
      </c>
      <c r="E2403" t="s">
        <v>67</v>
      </c>
      <c r="F2403" t="s">
        <v>27987</v>
      </c>
      <c r="G2403" s="117">
        <v>16.260000000000002</v>
      </c>
    </row>
    <row r="2404" spans="1:7" x14ac:dyDescent="0.25">
      <c r="A2404" s="116" t="s">
        <v>3717</v>
      </c>
      <c r="B2404" s="117" t="s">
        <v>3718</v>
      </c>
      <c r="C2404" t="s">
        <v>67</v>
      </c>
      <c r="D2404" t="s">
        <v>67</v>
      </c>
      <c r="E2404" t="s">
        <v>67</v>
      </c>
      <c r="F2404" t="s">
        <v>49</v>
      </c>
      <c r="G2404" s="117">
        <v>196.2</v>
      </c>
    </row>
    <row r="2405" spans="1:7" x14ac:dyDescent="0.25">
      <c r="A2405" s="116" t="s">
        <v>3719</v>
      </c>
      <c r="B2405" s="117" t="s">
        <v>3720</v>
      </c>
      <c r="C2405" t="s">
        <v>67</v>
      </c>
      <c r="D2405" t="s">
        <v>67</v>
      </c>
      <c r="E2405" t="s">
        <v>67</v>
      </c>
      <c r="F2405" t="s">
        <v>27987</v>
      </c>
      <c r="G2405" s="117">
        <v>17.7</v>
      </c>
    </row>
    <row r="2406" spans="1:7" x14ac:dyDescent="0.25">
      <c r="A2406" s="116" t="s">
        <v>3721</v>
      </c>
      <c r="B2406" s="117" t="s">
        <v>3722</v>
      </c>
      <c r="C2406" t="s">
        <v>67</v>
      </c>
      <c r="D2406" t="s">
        <v>67</v>
      </c>
      <c r="E2406" t="s">
        <v>67</v>
      </c>
      <c r="F2406" t="s">
        <v>45</v>
      </c>
      <c r="G2406" s="117">
        <v>16.82</v>
      </c>
    </row>
    <row r="2407" spans="1:7" x14ac:dyDescent="0.25">
      <c r="A2407" s="116" t="s">
        <v>3723</v>
      </c>
      <c r="B2407" s="117" t="s">
        <v>3724</v>
      </c>
      <c r="C2407" t="s">
        <v>67</v>
      </c>
      <c r="D2407" t="s">
        <v>67</v>
      </c>
      <c r="E2407" t="s">
        <v>67</v>
      </c>
      <c r="F2407" t="s">
        <v>27987</v>
      </c>
      <c r="G2407" s="117">
        <v>155.63</v>
      </c>
    </row>
    <row r="2408" spans="1:7" x14ac:dyDescent="0.25">
      <c r="A2408" s="116" t="s">
        <v>3725</v>
      </c>
      <c r="B2408" s="117" t="s">
        <v>402</v>
      </c>
      <c r="C2408" t="s">
        <v>67</v>
      </c>
      <c r="D2408" t="s">
        <v>67</v>
      </c>
      <c r="E2408" t="s">
        <v>67</v>
      </c>
      <c r="F2408" t="s">
        <v>45</v>
      </c>
      <c r="G2408" s="117">
        <v>149.94</v>
      </c>
    </row>
    <row r="2409" spans="1:7" x14ac:dyDescent="0.25">
      <c r="A2409" s="116" t="s">
        <v>3726</v>
      </c>
      <c r="B2409" s="117" t="s">
        <v>3727</v>
      </c>
      <c r="C2409" t="s">
        <v>67</v>
      </c>
      <c r="D2409" t="s">
        <v>67</v>
      </c>
      <c r="E2409" t="s">
        <v>67</v>
      </c>
      <c r="F2409" t="s">
        <v>45</v>
      </c>
      <c r="G2409" s="117">
        <v>95.68</v>
      </c>
    </row>
    <row r="2410" spans="1:7" x14ac:dyDescent="0.25">
      <c r="A2410" s="116" t="s">
        <v>3728</v>
      </c>
      <c r="B2410" s="117" t="s">
        <v>3729</v>
      </c>
      <c r="C2410" t="s">
        <v>67</v>
      </c>
      <c r="D2410" t="s">
        <v>67</v>
      </c>
      <c r="E2410" t="s">
        <v>67</v>
      </c>
      <c r="F2410" t="s">
        <v>45</v>
      </c>
      <c r="G2410" s="117">
        <v>34.78</v>
      </c>
    </row>
    <row r="2411" spans="1:7" x14ac:dyDescent="0.25">
      <c r="A2411" s="116" t="s">
        <v>3730</v>
      </c>
      <c r="B2411" s="117" t="s">
        <v>3731</v>
      </c>
      <c r="C2411" t="s">
        <v>67</v>
      </c>
      <c r="D2411" t="s">
        <v>67</v>
      </c>
      <c r="E2411" t="s">
        <v>67</v>
      </c>
      <c r="F2411" t="s">
        <v>27987</v>
      </c>
      <c r="G2411" s="117">
        <v>168.98</v>
      </c>
    </row>
    <row r="2412" spans="1:7" x14ac:dyDescent="0.25">
      <c r="A2412" s="116" t="s">
        <v>3732</v>
      </c>
      <c r="B2412" s="117" t="s">
        <v>3733</v>
      </c>
      <c r="C2412" t="s">
        <v>67</v>
      </c>
      <c r="D2412" t="s">
        <v>67</v>
      </c>
      <c r="E2412" t="s">
        <v>67</v>
      </c>
      <c r="F2412" t="s">
        <v>27987</v>
      </c>
      <c r="G2412" s="117">
        <v>41.38</v>
      </c>
    </row>
    <row r="2413" spans="1:7" x14ac:dyDescent="0.25">
      <c r="A2413" s="116" t="s">
        <v>3734</v>
      </c>
      <c r="B2413" s="117" t="s">
        <v>3735</v>
      </c>
      <c r="C2413" t="s">
        <v>67</v>
      </c>
      <c r="D2413" t="s">
        <v>67</v>
      </c>
      <c r="E2413" t="s">
        <v>67</v>
      </c>
      <c r="F2413" t="s">
        <v>27987</v>
      </c>
      <c r="G2413" s="117">
        <v>259.74</v>
      </c>
    </row>
    <row r="2414" spans="1:7" x14ac:dyDescent="0.25">
      <c r="A2414" s="116" t="s">
        <v>3736</v>
      </c>
      <c r="B2414" s="117" t="s">
        <v>3737</v>
      </c>
      <c r="C2414" t="s">
        <v>67</v>
      </c>
      <c r="D2414" t="s">
        <v>67</v>
      </c>
      <c r="E2414" t="s">
        <v>67</v>
      </c>
      <c r="F2414" t="s">
        <v>45</v>
      </c>
      <c r="G2414" s="117">
        <v>13.26</v>
      </c>
    </row>
    <row r="2415" spans="1:7" x14ac:dyDescent="0.25">
      <c r="A2415" s="116" t="s">
        <v>3738</v>
      </c>
      <c r="B2415" s="117" t="s">
        <v>3739</v>
      </c>
      <c r="C2415" t="s">
        <v>67</v>
      </c>
      <c r="D2415" t="s">
        <v>67</v>
      </c>
      <c r="E2415" t="s">
        <v>67</v>
      </c>
      <c r="F2415" t="s">
        <v>45</v>
      </c>
      <c r="G2415" s="117">
        <v>12.01</v>
      </c>
    </row>
    <row r="2416" spans="1:7" x14ac:dyDescent="0.25">
      <c r="A2416" s="116" t="s">
        <v>3740</v>
      </c>
      <c r="B2416" s="117" t="s">
        <v>3741</v>
      </c>
      <c r="C2416" t="s">
        <v>67</v>
      </c>
      <c r="D2416" t="s">
        <v>67</v>
      </c>
      <c r="E2416" t="s">
        <v>67</v>
      </c>
      <c r="F2416" t="s">
        <v>27987</v>
      </c>
      <c r="G2416" s="117">
        <v>139.26</v>
      </c>
    </row>
    <row r="2417" spans="1:7" x14ac:dyDescent="0.25">
      <c r="A2417" s="116" t="s">
        <v>3742</v>
      </c>
      <c r="B2417" s="117" t="s">
        <v>3743</v>
      </c>
      <c r="C2417" t="s">
        <v>67</v>
      </c>
      <c r="D2417" t="s">
        <v>67</v>
      </c>
      <c r="E2417" t="s">
        <v>67</v>
      </c>
      <c r="F2417" t="s">
        <v>27987</v>
      </c>
      <c r="G2417" s="117">
        <v>17.7</v>
      </c>
    </row>
    <row r="2418" spans="1:7" x14ac:dyDescent="0.25">
      <c r="A2418" s="116" t="s">
        <v>3744</v>
      </c>
      <c r="B2418" s="117" t="s">
        <v>3745</v>
      </c>
      <c r="C2418" t="s">
        <v>67</v>
      </c>
      <c r="D2418" t="s">
        <v>67</v>
      </c>
      <c r="E2418" t="s">
        <v>67</v>
      </c>
      <c r="F2418" t="s">
        <v>45</v>
      </c>
      <c r="G2418" s="117">
        <v>39.06</v>
      </c>
    </row>
    <row r="2419" spans="1:7" x14ac:dyDescent="0.25">
      <c r="A2419" s="116" t="s">
        <v>3746</v>
      </c>
      <c r="B2419" s="117" t="s">
        <v>3747</v>
      </c>
      <c r="C2419" t="s">
        <v>67</v>
      </c>
      <c r="D2419" t="s">
        <v>67</v>
      </c>
      <c r="E2419" t="s">
        <v>67</v>
      </c>
      <c r="F2419" t="s">
        <v>45</v>
      </c>
      <c r="G2419" s="117">
        <v>12.37</v>
      </c>
    </row>
    <row r="2420" spans="1:7" x14ac:dyDescent="0.25">
      <c r="A2420" s="116" t="s">
        <v>3748</v>
      </c>
      <c r="B2420" s="117" t="s">
        <v>3749</v>
      </c>
      <c r="C2420" t="s">
        <v>67</v>
      </c>
      <c r="D2420" t="s">
        <v>67</v>
      </c>
      <c r="E2420" t="s">
        <v>67</v>
      </c>
      <c r="F2420" t="s">
        <v>45</v>
      </c>
      <c r="G2420" s="117">
        <v>51.17</v>
      </c>
    </row>
    <row r="2421" spans="1:7" x14ac:dyDescent="0.25">
      <c r="A2421" s="116" t="s">
        <v>3750</v>
      </c>
      <c r="B2421" s="117" t="s">
        <v>3751</v>
      </c>
      <c r="C2421" t="s">
        <v>67</v>
      </c>
      <c r="D2421" t="s">
        <v>67</v>
      </c>
      <c r="E2421" t="s">
        <v>67</v>
      </c>
      <c r="F2421" t="s">
        <v>45</v>
      </c>
      <c r="G2421" s="117">
        <v>7.16</v>
      </c>
    </row>
    <row r="2422" spans="1:7" x14ac:dyDescent="0.25">
      <c r="A2422" s="116" t="s">
        <v>27336</v>
      </c>
      <c r="B2422" s="117" t="s">
        <v>3752</v>
      </c>
      <c r="C2422" t="s">
        <v>67</v>
      </c>
      <c r="D2422" t="s">
        <v>67</v>
      </c>
      <c r="E2422" t="s">
        <v>67</v>
      </c>
      <c r="F2422" t="s">
        <v>45</v>
      </c>
      <c r="G2422" s="117">
        <v>21.26</v>
      </c>
    </row>
    <row r="2423" spans="1:7" x14ac:dyDescent="0.25">
      <c r="A2423" s="116" t="s">
        <v>27337</v>
      </c>
      <c r="B2423" s="117" t="s">
        <v>3753</v>
      </c>
      <c r="C2423" t="s">
        <v>67</v>
      </c>
      <c r="D2423" t="s">
        <v>67</v>
      </c>
      <c r="E2423" t="s">
        <v>67</v>
      </c>
      <c r="F2423" t="s">
        <v>45</v>
      </c>
      <c r="G2423" s="117">
        <v>2.58</v>
      </c>
    </row>
    <row r="2424" spans="1:7" x14ac:dyDescent="0.25">
      <c r="A2424" s="116" t="s">
        <v>27338</v>
      </c>
      <c r="B2424" s="117" t="s">
        <v>3754</v>
      </c>
      <c r="C2424" t="s">
        <v>67</v>
      </c>
      <c r="D2424" t="s">
        <v>67</v>
      </c>
      <c r="E2424" t="s">
        <v>67</v>
      </c>
      <c r="F2424" t="s">
        <v>45</v>
      </c>
      <c r="G2424" s="117">
        <v>16.46</v>
      </c>
    </row>
    <row r="2425" spans="1:7" x14ac:dyDescent="0.25">
      <c r="A2425" s="116" t="s">
        <v>27339</v>
      </c>
      <c r="B2425" s="117" t="s">
        <v>3755</v>
      </c>
      <c r="C2425" t="s">
        <v>67</v>
      </c>
      <c r="D2425" t="s">
        <v>67</v>
      </c>
      <c r="E2425" t="s">
        <v>67</v>
      </c>
      <c r="F2425" t="s">
        <v>45</v>
      </c>
      <c r="G2425" s="117">
        <v>92.99</v>
      </c>
    </row>
    <row r="2426" spans="1:7" x14ac:dyDescent="0.25">
      <c r="A2426" s="116" t="s">
        <v>27340</v>
      </c>
      <c r="B2426" s="117" t="s">
        <v>3756</v>
      </c>
      <c r="C2426" t="s">
        <v>67</v>
      </c>
      <c r="D2426" t="s">
        <v>67</v>
      </c>
      <c r="E2426" t="s">
        <v>67</v>
      </c>
      <c r="F2426" t="s">
        <v>45</v>
      </c>
      <c r="G2426" s="117">
        <v>233.58</v>
      </c>
    </row>
    <row r="2427" spans="1:7" x14ac:dyDescent="0.25">
      <c r="A2427" s="116" t="s">
        <v>28492</v>
      </c>
      <c r="B2427" s="117" t="s">
        <v>28493</v>
      </c>
      <c r="C2427" t="s">
        <v>67</v>
      </c>
      <c r="D2427" t="s">
        <v>67</v>
      </c>
      <c r="E2427" t="s">
        <v>67</v>
      </c>
      <c r="F2427" t="s">
        <v>45</v>
      </c>
      <c r="G2427" s="117">
        <v>0</v>
      </c>
    </row>
    <row r="2428" spans="1:7" x14ac:dyDescent="0.25">
      <c r="A2428" s="116" t="s">
        <v>3757</v>
      </c>
      <c r="B2428" s="117" t="s">
        <v>3758</v>
      </c>
      <c r="C2428" t="s">
        <v>67</v>
      </c>
      <c r="D2428" t="s">
        <v>67</v>
      </c>
      <c r="E2428" t="s">
        <v>67</v>
      </c>
      <c r="F2428" t="s">
        <v>27987</v>
      </c>
      <c r="G2428" s="117">
        <v>19.13</v>
      </c>
    </row>
    <row r="2429" spans="1:7" x14ac:dyDescent="0.25">
      <c r="A2429" s="116" t="s">
        <v>3759</v>
      </c>
      <c r="B2429" s="117" t="s">
        <v>3760</v>
      </c>
      <c r="C2429" t="s">
        <v>67</v>
      </c>
      <c r="D2429" t="s">
        <v>67</v>
      </c>
      <c r="E2429" t="s">
        <v>67</v>
      </c>
      <c r="F2429" t="s">
        <v>51</v>
      </c>
      <c r="G2429" s="117">
        <v>15.57</v>
      </c>
    </row>
    <row r="2430" spans="1:7" x14ac:dyDescent="0.25">
      <c r="A2430" s="116" t="s">
        <v>3761</v>
      </c>
      <c r="B2430" s="117" t="s">
        <v>3762</v>
      </c>
      <c r="C2430" t="s">
        <v>67</v>
      </c>
      <c r="D2430" t="s">
        <v>67</v>
      </c>
      <c r="E2430" t="s">
        <v>67</v>
      </c>
      <c r="F2430" t="s">
        <v>27987</v>
      </c>
      <c r="G2430" s="117">
        <v>31.58</v>
      </c>
    </row>
    <row r="2431" spans="1:7" x14ac:dyDescent="0.25">
      <c r="A2431" s="116" t="s">
        <v>27341</v>
      </c>
      <c r="B2431" s="117" t="s">
        <v>3763</v>
      </c>
      <c r="C2431" t="s">
        <v>67</v>
      </c>
      <c r="D2431" t="s">
        <v>67</v>
      </c>
      <c r="E2431" t="s">
        <v>67</v>
      </c>
      <c r="F2431" t="s">
        <v>27987</v>
      </c>
      <c r="G2431" s="117">
        <v>17.36</v>
      </c>
    </row>
    <row r="2432" spans="1:7" x14ac:dyDescent="0.25">
      <c r="A2432" s="116" t="s">
        <v>27342</v>
      </c>
      <c r="B2432" s="117" t="s">
        <v>3764</v>
      </c>
      <c r="C2432" t="s">
        <v>67</v>
      </c>
      <c r="D2432" t="s">
        <v>67</v>
      </c>
      <c r="E2432" t="s">
        <v>67</v>
      </c>
      <c r="F2432" t="s">
        <v>45</v>
      </c>
      <c r="G2432" s="117">
        <v>33.51</v>
      </c>
    </row>
    <row r="2433" spans="1:7" x14ac:dyDescent="0.25">
      <c r="A2433" s="116" t="s">
        <v>27343</v>
      </c>
      <c r="B2433" s="117" t="s">
        <v>3765</v>
      </c>
      <c r="C2433" t="s">
        <v>67</v>
      </c>
      <c r="D2433" t="s">
        <v>67</v>
      </c>
      <c r="E2433" t="s">
        <v>67</v>
      </c>
      <c r="F2433" t="s">
        <v>49</v>
      </c>
      <c r="G2433" s="117">
        <v>60.42</v>
      </c>
    </row>
    <row r="2434" spans="1:7" x14ac:dyDescent="0.25">
      <c r="A2434" s="116" t="s">
        <v>27344</v>
      </c>
      <c r="B2434" s="117" t="s">
        <v>3766</v>
      </c>
      <c r="C2434" t="s">
        <v>67</v>
      </c>
      <c r="D2434" t="s">
        <v>67</v>
      </c>
      <c r="E2434" t="s">
        <v>67</v>
      </c>
      <c r="F2434" t="s">
        <v>45</v>
      </c>
      <c r="G2434" s="117">
        <v>217.56</v>
      </c>
    </row>
    <row r="2435" spans="1:7" x14ac:dyDescent="0.25">
      <c r="A2435" s="116" t="s">
        <v>27345</v>
      </c>
      <c r="B2435" s="117" t="s">
        <v>3767</v>
      </c>
      <c r="C2435" t="s">
        <v>67</v>
      </c>
      <c r="D2435" t="s">
        <v>67</v>
      </c>
      <c r="E2435" t="s">
        <v>67</v>
      </c>
      <c r="F2435" t="s">
        <v>45</v>
      </c>
      <c r="G2435" s="117">
        <v>165.42</v>
      </c>
    </row>
    <row r="2436" spans="1:7" x14ac:dyDescent="0.25">
      <c r="A2436" s="116" t="s">
        <v>3768</v>
      </c>
      <c r="B2436" s="117" t="s">
        <v>3769</v>
      </c>
      <c r="C2436" t="s">
        <v>67</v>
      </c>
      <c r="D2436" t="s">
        <v>67</v>
      </c>
      <c r="E2436" t="s">
        <v>67</v>
      </c>
      <c r="F2436" t="s">
        <v>27987</v>
      </c>
      <c r="G2436" s="117">
        <v>47.96</v>
      </c>
    </row>
    <row r="2437" spans="1:7" x14ac:dyDescent="0.25">
      <c r="A2437" s="116" t="s">
        <v>27346</v>
      </c>
      <c r="B2437" s="117" t="s">
        <v>3770</v>
      </c>
      <c r="C2437" t="s">
        <v>67</v>
      </c>
      <c r="D2437" t="s">
        <v>67</v>
      </c>
      <c r="E2437" t="s">
        <v>67</v>
      </c>
      <c r="F2437" t="s">
        <v>45</v>
      </c>
      <c r="G2437" s="117">
        <v>89.43</v>
      </c>
    </row>
    <row r="2438" spans="1:7" x14ac:dyDescent="0.25">
      <c r="A2438" s="116" t="s">
        <v>27347</v>
      </c>
      <c r="B2438" s="117" t="s">
        <v>3771</v>
      </c>
      <c r="C2438" t="s">
        <v>67</v>
      </c>
      <c r="D2438" t="s">
        <v>67</v>
      </c>
      <c r="E2438" t="s">
        <v>67</v>
      </c>
      <c r="F2438" t="s">
        <v>27987</v>
      </c>
      <c r="G2438" s="117">
        <v>40.49</v>
      </c>
    </row>
    <row r="2439" spans="1:7" x14ac:dyDescent="0.25">
      <c r="A2439" s="116" t="s">
        <v>27348</v>
      </c>
      <c r="B2439" s="117" t="s">
        <v>3772</v>
      </c>
      <c r="C2439" t="s">
        <v>67</v>
      </c>
      <c r="D2439" t="s">
        <v>67</v>
      </c>
      <c r="E2439" t="s">
        <v>67</v>
      </c>
      <c r="F2439" t="s">
        <v>27987</v>
      </c>
      <c r="G2439" s="117">
        <v>16.82</v>
      </c>
    </row>
    <row r="2440" spans="1:7" x14ac:dyDescent="0.25">
      <c r="A2440" s="116" t="s">
        <v>27349</v>
      </c>
      <c r="B2440" s="117" t="s">
        <v>3773</v>
      </c>
      <c r="C2440" t="s">
        <v>67</v>
      </c>
      <c r="D2440" t="s">
        <v>67</v>
      </c>
      <c r="E2440" t="s">
        <v>67</v>
      </c>
      <c r="F2440" t="s">
        <v>27987</v>
      </c>
      <c r="G2440" s="117">
        <v>120.57</v>
      </c>
    </row>
    <row r="2441" spans="1:7" x14ac:dyDescent="0.25">
      <c r="A2441" s="116" t="s">
        <v>27350</v>
      </c>
      <c r="B2441" s="117" t="s">
        <v>3774</v>
      </c>
      <c r="C2441" t="s">
        <v>67</v>
      </c>
      <c r="D2441" t="s">
        <v>67</v>
      </c>
      <c r="E2441" t="s">
        <v>67</v>
      </c>
      <c r="F2441" t="s">
        <v>27987</v>
      </c>
      <c r="G2441" s="117">
        <v>37.880000000000003</v>
      </c>
    </row>
    <row r="2442" spans="1:7" x14ac:dyDescent="0.25">
      <c r="A2442" s="116" t="s">
        <v>27351</v>
      </c>
      <c r="B2442" s="117" t="s">
        <v>3775</v>
      </c>
      <c r="C2442" t="s">
        <v>67</v>
      </c>
      <c r="D2442" t="s">
        <v>67</v>
      </c>
      <c r="E2442" t="s">
        <v>67</v>
      </c>
      <c r="F2442" t="s">
        <v>45</v>
      </c>
      <c r="G2442" s="117">
        <v>74.66</v>
      </c>
    </row>
    <row r="2443" spans="1:7" x14ac:dyDescent="0.25">
      <c r="A2443" s="116" t="s">
        <v>27352</v>
      </c>
      <c r="B2443" s="117" t="s">
        <v>3776</v>
      </c>
      <c r="C2443" t="s">
        <v>67</v>
      </c>
      <c r="D2443" t="s">
        <v>67</v>
      </c>
      <c r="E2443" t="s">
        <v>67</v>
      </c>
      <c r="F2443" t="s">
        <v>45</v>
      </c>
      <c r="G2443" s="117">
        <v>71.099999999999994</v>
      </c>
    </row>
    <row r="2444" spans="1:7" x14ac:dyDescent="0.25">
      <c r="A2444" s="116" t="s">
        <v>27353</v>
      </c>
      <c r="B2444" s="117" t="s">
        <v>3777</v>
      </c>
      <c r="C2444" t="s">
        <v>67</v>
      </c>
      <c r="D2444" t="s">
        <v>67</v>
      </c>
      <c r="E2444" t="s">
        <v>67</v>
      </c>
      <c r="F2444" t="s">
        <v>45</v>
      </c>
      <c r="G2444" s="117">
        <v>15.57</v>
      </c>
    </row>
    <row r="2445" spans="1:7" x14ac:dyDescent="0.25">
      <c r="A2445" s="116" t="s">
        <v>27354</v>
      </c>
      <c r="B2445" s="117" t="s">
        <v>2608</v>
      </c>
      <c r="C2445" t="s">
        <v>67</v>
      </c>
      <c r="D2445" t="s">
        <v>67</v>
      </c>
      <c r="E2445" t="s">
        <v>67</v>
      </c>
      <c r="F2445" t="s">
        <v>45</v>
      </c>
      <c r="G2445" s="117">
        <v>78.209999999999994</v>
      </c>
    </row>
    <row r="2446" spans="1:7" x14ac:dyDescent="0.25">
      <c r="A2446" s="116" t="s">
        <v>27355</v>
      </c>
      <c r="B2446" s="117" t="s">
        <v>3778</v>
      </c>
      <c r="C2446" t="s">
        <v>67</v>
      </c>
      <c r="D2446" t="s">
        <v>67</v>
      </c>
      <c r="E2446" t="s">
        <v>67</v>
      </c>
      <c r="F2446" t="s">
        <v>27987</v>
      </c>
      <c r="G2446" s="117">
        <v>61.71</v>
      </c>
    </row>
    <row r="2447" spans="1:7" x14ac:dyDescent="0.25">
      <c r="A2447" s="116" t="s">
        <v>27356</v>
      </c>
      <c r="B2447" s="117" t="s">
        <v>3779</v>
      </c>
      <c r="C2447" t="s">
        <v>67</v>
      </c>
      <c r="D2447" t="s">
        <v>67</v>
      </c>
      <c r="E2447" t="s">
        <v>67</v>
      </c>
      <c r="F2447" t="s">
        <v>27987</v>
      </c>
      <c r="G2447" s="117">
        <v>60.42</v>
      </c>
    </row>
    <row r="2448" spans="1:7" x14ac:dyDescent="0.25">
      <c r="A2448" s="116" t="s">
        <v>27357</v>
      </c>
      <c r="B2448" s="117" t="s">
        <v>3780</v>
      </c>
      <c r="C2448" t="s">
        <v>67</v>
      </c>
      <c r="D2448" t="s">
        <v>67</v>
      </c>
      <c r="E2448" t="s">
        <v>67</v>
      </c>
      <c r="F2448" t="s">
        <v>27987</v>
      </c>
      <c r="G2448" s="117">
        <v>45.3</v>
      </c>
    </row>
    <row r="2449" spans="1:7" x14ac:dyDescent="0.25">
      <c r="A2449" s="116" t="s">
        <v>27358</v>
      </c>
      <c r="B2449" s="117" t="s">
        <v>3781</v>
      </c>
      <c r="C2449" t="s">
        <v>67</v>
      </c>
      <c r="D2449" t="s">
        <v>67</v>
      </c>
      <c r="E2449" t="s">
        <v>67</v>
      </c>
      <c r="F2449" t="s">
        <v>27987</v>
      </c>
      <c r="G2449" s="117">
        <v>35.14</v>
      </c>
    </row>
    <row r="2450" spans="1:7" x14ac:dyDescent="0.25">
      <c r="A2450" s="116" t="s">
        <v>3782</v>
      </c>
      <c r="B2450" s="117" t="s">
        <v>3783</v>
      </c>
      <c r="C2450" t="s">
        <v>67</v>
      </c>
      <c r="D2450" t="s">
        <v>67</v>
      </c>
      <c r="E2450" t="s">
        <v>67</v>
      </c>
      <c r="F2450" t="s">
        <v>27990</v>
      </c>
      <c r="G2450" s="117">
        <v>6.68</v>
      </c>
    </row>
    <row r="2451" spans="1:7" x14ac:dyDescent="0.25">
      <c r="A2451" s="116" t="s">
        <v>3784</v>
      </c>
      <c r="B2451" s="117" t="s">
        <v>3785</v>
      </c>
      <c r="C2451" t="s">
        <v>67</v>
      </c>
      <c r="D2451" t="s">
        <v>67</v>
      </c>
      <c r="E2451" t="s">
        <v>67</v>
      </c>
      <c r="F2451" t="s">
        <v>45</v>
      </c>
      <c r="G2451" s="117">
        <v>61.31</v>
      </c>
    </row>
    <row r="2452" spans="1:7" x14ac:dyDescent="0.25">
      <c r="A2452" s="116" t="s">
        <v>3786</v>
      </c>
      <c r="B2452" s="117" t="s">
        <v>3787</v>
      </c>
      <c r="C2452" t="s">
        <v>67</v>
      </c>
      <c r="D2452" t="s">
        <v>67</v>
      </c>
      <c r="E2452" t="s">
        <v>67</v>
      </c>
      <c r="F2452" t="s">
        <v>27987</v>
      </c>
      <c r="G2452" s="117">
        <v>76.98</v>
      </c>
    </row>
    <row r="2453" spans="1:7" x14ac:dyDescent="0.25">
      <c r="A2453" s="116" t="s">
        <v>3788</v>
      </c>
      <c r="B2453" s="117" t="s">
        <v>3789</v>
      </c>
      <c r="C2453" t="s">
        <v>67</v>
      </c>
      <c r="D2453" t="s">
        <v>67</v>
      </c>
      <c r="E2453" t="s">
        <v>67</v>
      </c>
      <c r="F2453" t="s">
        <v>27987</v>
      </c>
      <c r="G2453" s="117">
        <v>133.91999999999999</v>
      </c>
    </row>
    <row r="2454" spans="1:7" x14ac:dyDescent="0.25">
      <c r="A2454" s="116" t="s">
        <v>3790</v>
      </c>
      <c r="B2454" s="117" t="s">
        <v>3791</v>
      </c>
      <c r="C2454" t="s">
        <v>67</v>
      </c>
      <c r="D2454" t="s">
        <v>67</v>
      </c>
      <c r="E2454" t="s">
        <v>67</v>
      </c>
      <c r="F2454" t="s">
        <v>45</v>
      </c>
      <c r="G2454" s="117">
        <v>114.7</v>
      </c>
    </row>
    <row r="2455" spans="1:7" x14ac:dyDescent="0.25">
      <c r="A2455" s="116" t="s">
        <v>3792</v>
      </c>
      <c r="B2455" s="117" t="s">
        <v>3793</v>
      </c>
      <c r="C2455" t="s">
        <v>67</v>
      </c>
      <c r="D2455" t="s">
        <v>67</v>
      </c>
      <c r="E2455" t="s">
        <v>67</v>
      </c>
      <c r="F2455" t="s">
        <v>27987</v>
      </c>
      <c r="G2455" s="117">
        <v>118.26</v>
      </c>
    </row>
    <row r="2456" spans="1:7" x14ac:dyDescent="0.25">
      <c r="A2456" s="116" t="s">
        <v>28494</v>
      </c>
      <c r="B2456" s="117" t="s">
        <v>29765</v>
      </c>
      <c r="C2456" t="s">
        <v>67</v>
      </c>
      <c r="D2456" t="s">
        <v>67</v>
      </c>
      <c r="E2456" t="s">
        <v>67</v>
      </c>
      <c r="F2456" t="s">
        <v>27987</v>
      </c>
      <c r="G2456" s="117">
        <v>5</v>
      </c>
    </row>
    <row r="2457" spans="1:7" x14ac:dyDescent="0.25">
      <c r="A2457" s="116" t="s">
        <v>3794</v>
      </c>
      <c r="B2457" s="117" t="s">
        <v>3795</v>
      </c>
      <c r="C2457" t="s">
        <v>67</v>
      </c>
      <c r="D2457" t="s">
        <v>67</v>
      </c>
      <c r="E2457" t="s">
        <v>67</v>
      </c>
      <c r="F2457" t="s">
        <v>27987</v>
      </c>
      <c r="G2457" s="117">
        <v>112.02</v>
      </c>
    </row>
    <row r="2458" spans="1:7" x14ac:dyDescent="0.25">
      <c r="A2458" s="116" t="s">
        <v>3796</v>
      </c>
      <c r="B2458" s="117" t="s">
        <v>3797</v>
      </c>
      <c r="C2458" t="s">
        <v>67</v>
      </c>
      <c r="D2458" t="s">
        <v>67</v>
      </c>
      <c r="E2458" t="s">
        <v>67</v>
      </c>
      <c r="F2458" t="s">
        <v>27987</v>
      </c>
      <c r="G2458" s="117">
        <v>47.96</v>
      </c>
    </row>
    <row r="2459" spans="1:7" x14ac:dyDescent="0.25">
      <c r="A2459" s="116" t="s">
        <v>3798</v>
      </c>
      <c r="B2459" s="117" t="s">
        <v>3799</v>
      </c>
      <c r="C2459" t="s">
        <v>67</v>
      </c>
      <c r="D2459" t="s">
        <v>67</v>
      </c>
      <c r="E2459" t="s">
        <v>67</v>
      </c>
      <c r="F2459" t="s">
        <v>45</v>
      </c>
      <c r="G2459" s="117">
        <v>69.319999999999993</v>
      </c>
    </row>
    <row r="2460" spans="1:7" x14ac:dyDescent="0.25">
      <c r="A2460" s="116" t="s">
        <v>3800</v>
      </c>
      <c r="B2460" s="117" t="s">
        <v>3801</v>
      </c>
      <c r="C2460" t="s">
        <v>67</v>
      </c>
      <c r="D2460" t="s">
        <v>67</v>
      </c>
      <c r="E2460" t="s">
        <v>67</v>
      </c>
      <c r="F2460" t="s">
        <v>27987</v>
      </c>
      <c r="G2460" s="117">
        <v>84.98</v>
      </c>
    </row>
    <row r="2461" spans="1:7" x14ac:dyDescent="0.25">
      <c r="A2461" s="116" t="s">
        <v>3802</v>
      </c>
      <c r="B2461" s="117" t="s">
        <v>3803</v>
      </c>
      <c r="C2461" t="s">
        <v>67</v>
      </c>
      <c r="D2461" t="s">
        <v>67</v>
      </c>
      <c r="E2461" t="s">
        <v>67</v>
      </c>
      <c r="F2461" t="s">
        <v>27987</v>
      </c>
      <c r="G2461" s="117">
        <v>53.3</v>
      </c>
    </row>
    <row r="2462" spans="1:7" x14ac:dyDescent="0.25">
      <c r="A2462" s="116" t="s">
        <v>3804</v>
      </c>
      <c r="B2462" s="117" t="s">
        <v>3805</v>
      </c>
      <c r="C2462" t="s">
        <v>67</v>
      </c>
      <c r="D2462" t="s">
        <v>67</v>
      </c>
      <c r="E2462" t="s">
        <v>67</v>
      </c>
      <c r="F2462" t="s">
        <v>27987</v>
      </c>
      <c r="G2462" s="117">
        <v>78.75</v>
      </c>
    </row>
    <row r="2463" spans="1:7" x14ac:dyDescent="0.25">
      <c r="A2463" s="116" t="s">
        <v>3806</v>
      </c>
      <c r="B2463" s="117" t="s">
        <v>3807</v>
      </c>
      <c r="C2463" t="s">
        <v>67</v>
      </c>
      <c r="D2463" t="s">
        <v>67</v>
      </c>
      <c r="E2463" t="s">
        <v>67</v>
      </c>
      <c r="F2463" t="s">
        <v>27987</v>
      </c>
      <c r="G2463" s="117">
        <v>57.75</v>
      </c>
    </row>
    <row r="2464" spans="1:7" x14ac:dyDescent="0.25">
      <c r="A2464" s="116" t="s">
        <v>3808</v>
      </c>
      <c r="B2464" s="117" t="s">
        <v>3809</v>
      </c>
      <c r="C2464" t="s">
        <v>67</v>
      </c>
      <c r="D2464" t="s">
        <v>67</v>
      </c>
      <c r="E2464" t="s">
        <v>67</v>
      </c>
      <c r="F2464" t="s">
        <v>45</v>
      </c>
      <c r="G2464" s="117">
        <v>53.3</v>
      </c>
    </row>
    <row r="2465" spans="1:7" x14ac:dyDescent="0.25">
      <c r="A2465" s="116" t="s">
        <v>3810</v>
      </c>
      <c r="B2465" s="117" t="s">
        <v>3811</v>
      </c>
      <c r="C2465" t="s">
        <v>67</v>
      </c>
      <c r="D2465" t="s">
        <v>67</v>
      </c>
      <c r="E2465" t="s">
        <v>67</v>
      </c>
      <c r="F2465" t="s">
        <v>45</v>
      </c>
      <c r="G2465" s="117">
        <v>35.5</v>
      </c>
    </row>
    <row r="2466" spans="1:7" x14ac:dyDescent="0.25">
      <c r="A2466" s="116" t="s">
        <v>3812</v>
      </c>
      <c r="B2466" s="117" t="s">
        <v>26451</v>
      </c>
      <c r="C2466" t="s">
        <v>67</v>
      </c>
      <c r="D2466" t="s">
        <v>67</v>
      </c>
      <c r="E2466" t="s">
        <v>67</v>
      </c>
      <c r="F2466" t="s">
        <v>27987</v>
      </c>
      <c r="G2466" s="117">
        <v>55</v>
      </c>
    </row>
    <row r="2467" spans="1:7" x14ac:dyDescent="0.25">
      <c r="A2467" s="116" t="s">
        <v>3813</v>
      </c>
      <c r="B2467" s="117" t="s">
        <v>3814</v>
      </c>
      <c r="C2467" t="s">
        <v>67</v>
      </c>
      <c r="D2467" t="s">
        <v>67</v>
      </c>
      <c r="E2467" t="s">
        <v>67</v>
      </c>
      <c r="F2467" t="s">
        <v>27987</v>
      </c>
      <c r="G2467" s="117">
        <v>33.369999999999997</v>
      </c>
    </row>
    <row r="2468" spans="1:7" x14ac:dyDescent="0.25">
      <c r="A2468" s="116" t="s">
        <v>26570</v>
      </c>
      <c r="B2468" s="117" t="s">
        <v>27953</v>
      </c>
      <c r="C2468" t="s">
        <v>67</v>
      </c>
      <c r="D2468" t="s">
        <v>67</v>
      </c>
      <c r="E2468" t="s">
        <v>67</v>
      </c>
      <c r="F2468" t="s">
        <v>27987</v>
      </c>
      <c r="G2468" s="117">
        <v>53.3</v>
      </c>
    </row>
    <row r="2469" spans="1:7" x14ac:dyDescent="0.25">
      <c r="A2469" s="116" t="s">
        <v>28495</v>
      </c>
      <c r="B2469" s="117" t="s">
        <v>29766</v>
      </c>
      <c r="C2469" t="s">
        <v>67</v>
      </c>
      <c r="D2469" t="s">
        <v>67</v>
      </c>
      <c r="E2469" t="s">
        <v>67</v>
      </c>
      <c r="F2469" t="s">
        <v>27987</v>
      </c>
      <c r="G2469" s="117">
        <v>81.38</v>
      </c>
    </row>
    <row r="2470" spans="1:7" x14ac:dyDescent="0.25">
      <c r="A2470" s="116" t="s">
        <v>3815</v>
      </c>
      <c r="B2470" s="117" t="s">
        <v>26452</v>
      </c>
      <c r="C2470" t="s">
        <v>67</v>
      </c>
      <c r="D2470" t="s">
        <v>67</v>
      </c>
      <c r="E2470" t="s">
        <v>67</v>
      </c>
      <c r="F2470" t="s">
        <v>27987</v>
      </c>
      <c r="G2470" s="117">
        <v>30</v>
      </c>
    </row>
    <row r="2471" spans="1:7" x14ac:dyDescent="0.25">
      <c r="A2471" s="116" t="s">
        <v>26938</v>
      </c>
      <c r="B2471" s="117" t="s">
        <v>28496</v>
      </c>
      <c r="C2471" t="s">
        <v>67</v>
      </c>
      <c r="D2471" t="s">
        <v>67</v>
      </c>
      <c r="E2471" t="s">
        <v>67</v>
      </c>
      <c r="F2471" t="s">
        <v>27987</v>
      </c>
      <c r="G2471" s="117">
        <v>105</v>
      </c>
    </row>
    <row r="2472" spans="1:7" x14ac:dyDescent="0.25">
      <c r="A2472" s="116" t="s">
        <v>26985</v>
      </c>
      <c r="B2472" s="117" t="s">
        <v>28497</v>
      </c>
      <c r="C2472" t="s">
        <v>67</v>
      </c>
      <c r="D2472" t="s">
        <v>67</v>
      </c>
      <c r="E2472" t="s">
        <v>67</v>
      </c>
      <c r="F2472" t="s">
        <v>27987</v>
      </c>
      <c r="G2472" s="117">
        <v>35</v>
      </c>
    </row>
    <row r="2473" spans="1:7" x14ac:dyDescent="0.25">
      <c r="A2473" s="116" t="s">
        <v>28498</v>
      </c>
      <c r="B2473" s="117" t="s">
        <v>31123</v>
      </c>
      <c r="C2473" t="s">
        <v>67</v>
      </c>
      <c r="D2473" t="s">
        <v>67</v>
      </c>
      <c r="E2473" t="s">
        <v>67</v>
      </c>
      <c r="F2473" t="s">
        <v>27987</v>
      </c>
      <c r="G2473" s="117">
        <v>60</v>
      </c>
    </row>
    <row r="2474" spans="1:7" x14ac:dyDescent="0.25">
      <c r="A2474" s="116" t="s">
        <v>26610</v>
      </c>
      <c r="B2474" s="117" t="s">
        <v>26885</v>
      </c>
      <c r="C2474" t="s">
        <v>67</v>
      </c>
      <c r="D2474" t="s">
        <v>67</v>
      </c>
      <c r="E2474" t="s">
        <v>67</v>
      </c>
      <c r="F2474" t="s">
        <v>27987</v>
      </c>
      <c r="G2474" s="117">
        <v>17.579999999999998</v>
      </c>
    </row>
    <row r="2475" spans="1:7" x14ac:dyDescent="0.25">
      <c r="A2475" s="116" t="s">
        <v>3816</v>
      </c>
      <c r="B2475" s="117" t="s">
        <v>26453</v>
      </c>
      <c r="C2475" t="s">
        <v>67</v>
      </c>
      <c r="D2475" t="s">
        <v>67</v>
      </c>
      <c r="E2475" t="s">
        <v>67</v>
      </c>
      <c r="F2475" t="s">
        <v>27987</v>
      </c>
      <c r="G2475" s="117">
        <v>40</v>
      </c>
    </row>
    <row r="2476" spans="1:7" x14ac:dyDescent="0.25">
      <c r="A2476" s="116" t="s">
        <v>31180</v>
      </c>
      <c r="B2476" s="117" t="s">
        <v>31181</v>
      </c>
      <c r="C2476" t="s">
        <v>67</v>
      </c>
      <c r="D2476" t="s">
        <v>67</v>
      </c>
      <c r="E2476" t="s">
        <v>67</v>
      </c>
      <c r="F2476" t="s">
        <v>45</v>
      </c>
      <c r="G2476" s="117">
        <v>18</v>
      </c>
    </row>
    <row r="2477" spans="1:7" x14ac:dyDescent="0.25">
      <c r="A2477" s="116" t="s">
        <v>26611</v>
      </c>
      <c r="B2477" s="117" t="s">
        <v>26886</v>
      </c>
      <c r="C2477" t="s">
        <v>67</v>
      </c>
      <c r="D2477" t="s">
        <v>67</v>
      </c>
      <c r="E2477" t="s">
        <v>67</v>
      </c>
      <c r="F2477" t="s">
        <v>27987</v>
      </c>
      <c r="G2477" s="117">
        <v>25.18</v>
      </c>
    </row>
    <row r="2478" spans="1:7" x14ac:dyDescent="0.25">
      <c r="A2478" s="116" t="s">
        <v>28499</v>
      </c>
      <c r="B2478" s="117" t="s">
        <v>31124</v>
      </c>
      <c r="C2478" t="s">
        <v>67</v>
      </c>
      <c r="D2478" t="s">
        <v>67</v>
      </c>
      <c r="E2478" t="s">
        <v>67</v>
      </c>
      <c r="F2478" t="s">
        <v>27987</v>
      </c>
      <c r="G2478" s="117">
        <v>120</v>
      </c>
    </row>
    <row r="2479" spans="1:7" x14ac:dyDescent="0.25">
      <c r="A2479" s="116" t="s">
        <v>26949</v>
      </c>
      <c r="B2479" s="117" t="s">
        <v>29767</v>
      </c>
      <c r="C2479" t="s">
        <v>67</v>
      </c>
      <c r="D2479" t="s">
        <v>67</v>
      </c>
      <c r="E2479" t="s">
        <v>67</v>
      </c>
      <c r="F2479" t="s">
        <v>27987</v>
      </c>
      <c r="G2479" s="117">
        <v>210.84</v>
      </c>
    </row>
    <row r="2480" spans="1:7" x14ac:dyDescent="0.25">
      <c r="A2480" s="116" t="s">
        <v>30078</v>
      </c>
      <c r="B2480" s="117" t="s">
        <v>30384</v>
      </c>
      <c r="C2480" t="s">
        <v>67</v>
      </c>
      <c r="D2480" t="s">
        <v>67</v>
      </c>
      <c r="E2480" t="s">
        <v>67</v>
      </c>
      <c r="F2480" t="s">
        <v>45</v>
      </c>
      <c r="G2480" s="117">
        <v>13.23</v>
      </c>
    </row>
    <row r="2481" spans="1:7" x14ac:dyDescent="0.25">
      <c r="A2481" s="116" t="s">
        <v>28500</v>
      </c>
      <c r="B2481" s="117" t="s">
        <v>4219</v>
      </c>
      <c r="C2481" t="s">
        <v>67</v>
      </c>
      <c r="D2481" t="s">
        <v>67</v>
      </c>
      <c r="E2481" t="s">
        <v>67</v>
      </c>
      <c r="F2481" t="s">
        <v>49</v>
      </c>
      <c r="G2481" s="117">
        <v>73.760000000000005</v>
      </c>
    </row>
    <row r="2482" spans="1:7" x14ac:dyDescent="0.25">
      <c r="A2482" s="116" t="s">
        <v>28501</v>
      </c>
      <c r="B2482" s="117" t="s">
        <v>30714</v>
      </c>
      <c r="C2482" t="s">
        <v>67</v>
      </c>
      <c r="D2482" t="s">
        <v>67</v>
      </c>
      <c r="E2482" t="s">
        <v>67</v>
      </c>
      <c r="F2482" t="s">
        <v>27987</v>
      </c>
      <c r="G2482" s="117">
        <v>156.35</v>
      </c>
    </row>
    <row r="2483" spans="1:7" x14ac:dyDescent="0.25">
      <c r="A2483" s="116" t="s">
        <v>26986</v>
      </c>
      <c r="B2483" s="117" t="s">
        <v>28503</v>
      </c>
      <c r="C2483" t="s">
        <v>67</v>
      </c>
      <c r="D2483" t="s">
        <v>67</v>
      </c>
      <c r="E2483" t="s">
        <v>67</v>
      </c>
      <c r="F2483" t="s">
        <v>27987</v>
      </c>
      <c r="G2483" s="117">
        <v>175</v>
      </c>
    </row>
    <row r="2484" spans="1:7" x14ac:dyDescent="0.25">
      <c r="A2484" s="116" t="s">
        <v>26987</v>
      </c>
      <c r="B2484" s="117" t="s">
        <v>28504</v>
      </c>
      <c r="C2484" t="s">
        <v>67</v>
      </c>
      <c r="D2484" t="s">
        <v>67</v>
      </c>
      <c r="E2484" t="s">
        <v>67</v>
      </c>
      <c r="F2484" t="s">
        <v>27987</v>
      </c>
      <c r="G2484" s="117">
        <v>140</v>
      </c>
    </row>
    <row r="2485" spans="1:7" x14ac:dyDescent="0.25">
      <c r="A2485" s="116" t="s">
        <v>26659</v>
      </c>
      <c r="B2485" s="117" t="s">
        <v>26887</v>
      </c>
      <c r="C2485" t="s">
        <v>67</v>
      </c>
      <c r="D2485" t="s">
        <v>67</v>
      </c>
      <c r="E2485" t="s">
        <v>67</v>
      </c>
      <c r="F2485" t="s">
        <v>27987</v>
      </c>
      <c r="G2485" s="117">
        <v>23.08</v>
      </c>
    </row>
    <row r="2486" spans="1:7" x14ac:dyDescent="0.25">
      <c r="A2486" s="116" t="s">
        <v>26660</v>
      </c>
      <c r="B2486" s="117" t="s">
        <v>26888</v>
      </c>
      <c r="C2486" t="s">
        <v>67</v>
      </c>
      <c r="D2486" t="s">
        <v>67</v>
      </c>
      <c r="E2486" t="s">
        <v>67</v>
      </c>
      <c r="F2486" t="s">
        <v>27987</v>
      </c>
      <c r="G2486" s="117">
        <v>73.42</v>
      </c>
    </row>
    <row r="2487" spans="1:7" x14ac:dyDescent="0.25">
      <c r="A2487" s="116" t="s">
        <v>26653</v>
      </c>
      <c r="B2487" s="117" t="s">
        <v>26889</v>
      </c>
      <c r="C2487" t="s">
        <v>67</v>
      </c>
      <c r="D2487" t="s">
        <v>67</v>
      </c>
      <c r="E2487" t="s">
        <v>67</v>
      </c>
      <c r="F2487" t="s">
        <v>27987</v>
      </c>
      <c r="G2487" s="117">
        <v>60.15</v>
      </c>
    </row>
    <row r="2488" spans="1:7" x14ac:dyDescent="0.25">
      <c r="A2488" s="116" t="s">
        <v>26988</v>
      </c>
      <c r="B2488" s="117" t="s">
        <v>28505</v>
      </c>
      <c r="C2488" t="s">
        <v>67</v>
      </c>
      <c r="D2488" t="s">
        <v>67</v>
      </c>
      <c r="E2488" t="s">
        <v>67</v>
      </c>
      <c r="F2488" t="s">
        <v>27987</v>
      </c>
      <c r="G2488" s="117">
        <v>140</v>
      </c>
    </row>
    <row r="2489" spans="1:7" x14ac:dyDescent="0.25">
      <c r="A2489" s="116" t="s">
        <v>26862</v>
      </c>
      <c r="B2489" s="117" t="s">
        <v>28506</v>
      </c>
      <c r="C2489" t="s">
        <v>67</v>
      </c>
      <c r="D2489" t="s">
        <v>67</v>
      </c>
      <c r="E2489" t="s">
        <v>67</v>
      </c>
      <c r="F2489" t="s">
        <v>27987</v>
      </c>
      <c r="G2489" s="117">
        <v>42</v>
      </c>
    </row>
    <row r="2490" spans="1:7" x14ac:dyDescent="0.25">
      <c r="A2490" s="116" t="s">
        <v>27009</v>
      </c>
      <c r="B2490" s="117" t="s">
        <v>28507</v>
      </c>
      <c r="C2490" t="s">
        <v>67</v>
      </c>
      <c r="D2490" t="s">
        <v>67</v>
      </c>
      <c r="E2490" t="s">
        <v>67</v>
      </c>
      <c r="F2490" t="s">
        <v>27987</v>
      </c>
      <c r="G2490" s="117">
        <v>30</v>
      </c>
    </row>
    <row r="2491" spans="1:7" x14ac:dyDescent="0.25">
      <c r="A2491" s="116" t="s">
        <v>26661</v>
      </c>
      <c r="B2491" s="117" t="s">
        <v>26890</v>
      </c>
      <c r="C2491" t="s">
        <v>67</v>
      </c>
      <c r="D2491" t="s">
        <v>67</v>
      </c>
      <c r="E2491" t="s">
        <v>67</v>
      </c>
      <c r="F2491" t="s">
        <v>27987</v>
      </c>
      <c r="G2491" s="117">
        <v>10.52</v>
      </c>
    </row>
    <row r="2492" spans="1:7" x14ac:dyDescent="0.25">
      <c r="A2492" s="116" t="s">
        <v>27976</v>
      </c>
      <c r="B2492" s="117" t="s">
        <v>3864</v>
      </c>
      <c r="C2492" t="s">
        <v>67</v>
      </c>
      <c r="D2492" t="s">
        <v>67</v>
      </c>
      <c r="E2492" t="s">
        <v>67</v>
      </c>
      <c r="F2492" t="s">
        <v>27987</v>
      </c>
      <c r="G2492" s="117">
        <v>42.26</v>
      </c>
    </row>
    <row r="2493" spans="1:7" x14ac:dyDescent="0.25">
      <c r="A2493" s="116" t="s">
        <v>26963</v>
      </c>
      <c r="B2493" s="117" t="s">
        <v>28508</v>
      </c>
      <c r="C2493" t="s">
        <v>67</v>
      </c>
      <c r="D2493" t="s">
        <v>67</v>
      </c>
      <c r="E2493" t="s">
        <v>67</v>
      </c>
      <c r="F2493" t="s">
        <v>27987</v>
      </c>
      <c r="G2493" s="117">
        <v>175</v>
      </c>
    </row>
    <row r="2494" spans="1:7" x14ac:dyDescent="0.25">
      <c r="A2494" s="116" t="s">
        <v>26964</v>
      </c>
      <c r="B2494" s="117" t="s">
        <v>28509</v>
      </c>
      <c r="C2494" t="s">
        <v>67</v>
      </c>
      <c r="D2494" t="s">
        <v>67</v>
      </c>
      <c r="E2494" t="s">
        <v>67</v>
      </c>
      <c r="F2494" t="s">
        <v>27987</v>
      </c>
      <c r="G2494" s="117">
        <v>38</v>
      </c>
    </row>
    <row r="2495" spans="1:7" x14ac:dyDescent="0.25">
      <c r="A2495" s="116" t="s">
        <v>27010</v>
      </c>
      <c r="B2495" s="117" t="s">
        <v>28510</v>
      </c>
      <c r="C2495" t="s">
        <v>67</v>
      </c>
      <c r="D2495" t="s">
        <v>67</v>
      </c>
      <c r="E2495" t="s">
        <v>67</v>
      </c>
      <c r="F2495" t="s">
        <v>27987</v>
      </c>
      <c r="G2495" s="117">
        <v>33</v>
      </c>
    </row>
    <row r="2496" spans="1:7" x14ac:dyDescent="0.25">
      <c r="A2496" s="116" t="s">
        <v>27011</v>
      </c>
      <c r="B2496" s="117" t="s">
        <v>28511</v>
      </c>
      <c r="C2496" t="s">
        <v>67</v>
      </c>
      <c r="D2496" t="s">
        <v>67</v>
      </c>
      <c r="E2496" t="s">
        <v>67</v>
      </c>
      <c r="F2496" t="s">
        <v>27987</v>
      </c>
      <c r="G2496" s="117">
        <v>23</v>
      </c>
    </row>
    <row r="2497" spans="1:7" x14ac:dyDescent="0.25">
      <c r="A2497" s="116" t="s">
        <v>27012</v>
      </c>
      <c r="B2497" s="117" t="s">
        <v>28512</v>
      </c>
      <c r="C2497" t="s">
        <v>67</v>
      </c>
      <c r="D2497" t="s">
        <v>67</v>
      </c>
      <c r="E2497" t="s">
        <v>67</v>
      </c>
      <c r="F2497" t="s">
        <v>27987</v>
      </c>
      <c r="G2497" s="117">
        <v>128</v>
      </c>
    </row>
    <row r="2498" spans="1:7" x14ac:dyDescent="0.25">
      <c r="A2498" s="116" t="s">
        <v>26863</v>
      </c>
      <c r="B2498" s="117" t="s">
        <v>28513</v>
      </c>
      <c r="C2498" t="s">
        <v>67</v>
      </c>
      <c r="D2498" t="s">
        <v>67</v>
      </c>
      <c r="E2498" t="s">
        <v>67</v>
      </c>
      <c r="F2498" t="s">
        <v>27987</v>
      </c>
      <c r="G2498" s="117">
        <v>55</v>
      </c>
    </row>
    <row r="2499" spans="1:7" x14ac:dyDescent="0.25">
      <c r="A2499" s="116" t="s">
        <v>27013</v>
      </c>
      <c r="B2499" s="117" t="s">
        <v>28514</v>
      </c>
      <c r="C2499" t="s">
        <v>67</v>
      </c>
      <c r="D2499" t="s">
        <v>67</v>
      </c>
      <c r="E2499" t="s">
        <v>67</v>
      </c>
      <c r="F2499" t="s">
        <v>27987</v>
      </c>
      <c r="G2499" s="117">
        <v>78</v>
      </c>
    </row>
    <row r="2500" spans="1:7" x14ac:dyDescent="0.25">
      <c r="A2500" s="116" t="s">
        <v>26965</v>
      </c>
      <c r="B2500" s="117" t="s">
        <v>28515</v>
      </c>
      <c r="C2500" t="s">
        <v>67</v>
      </c>
      <c r="D2500" t="s">
        <v>67</v>
      </c>
      <c r="E2500" t="s">
        <v>67</v>
      </c>
      <c r="F2500" t="s">
        <v>27987</v>
      </c>
      <c r="G2500" s="117">
        <v>40</v>
      </c>
    </row>
    <row r="2501" spans="1:7" x14ac:dyDescent="0.25">
      <c r="A2501" s="116" t="s">
        <v>28119</v>
      </c>
      <c r="B2501" s="117" t="s">
        <v>29768</v>
      </c>
      <c r="C2501" t="s">
        <v>67</v>
      </c>
      <c r="D2501" t="s">
        <v>67</v>
      </c>
      <c r="E2501" t="s">
        <v>67</v>
      </c>
      <c r="F2501" t="s">
        <v>27987</v>
      </c>
      <c r="G2501" s="117">
        <v>50</v>
      </c>
    </row>
    <row r="2502" spans="1:7" x14ac:dyDescent="0.25">
      <c r="A2502" s="116" t="s">
        <v>28516</v>
      </c>
      <c r="B2502" s="117" t="s">
        <v>30385</v>
      </c>
      <c r="C2502" t="s">
        <v>67</v>
      </c>
      <c r="D2502" t="s">
        <v>67</v>
      </c>
      <c r="E2502" t="s">
        <v>67</v>
      </c>
      <c r="F2502" t="s">
        <v>27987</v>
      </c>
      <c r="G2502" s="117">
        <v>45</v>
      </c>
    </row>
    <row r="2503" spans="1:7" x14ac:dyDescent="0.25">
      <c r="A2503" s="116" t="s">
        <v>28517</v>
      </c>
      <c r="B2503" s="117" t="s">
        <v>30715</v>
      </c>
      <c r="C2503" t="s">
        <v>67</v>
      </c>
      <c r="D2503" t="s">
        <v>67</v>
      </c>
      <c r="E2503" t="s">
        <v>67</v>
      </c>
      <c r="F2503" t="s">
        <v>27987</v>
      </c>
      <c r="G2503" s="117">
        <v>145</v>
      </c>
    </row>
    <row r="2504" spans="1:7" x14ac:dyDescent="0.25">
      <c r="A2504" s="116" t="s">
        <v>29842</v>
      </c>
      <c r="B2504" s="117" t="s">
        <v>30386</v>
      </c>
      <c r="C2504" t="s">
        <v>67</v>
      </c>
      <c r="D2504" t="s">
        <v>67</v>
      </c>
      <c r="E2504" t="s">
        <v>67</v>
      </c>
      <c r="F2504" t="s">
        <v>45</v>
      </c>
      <c r="G2504" s="117">
        <v>152.15</v>
      </c>
    </row>
    <row r="2505" spans="1:7" x14ac:dyDescent="0.25">
      <c r="A2505" s="116" t="s">
        <v>27014</v>
      </c>
      <c r="B2505" s="117" t="s">
        <v>28518</v>
      </c>
      <c r="C2505" t="s">
        <v>67</v>
      </c>
      <c r="D2505" t="s">
        <v>67</v>
      </c>
      <c r="E2505" t="s">
        <v>67</v>
      </c>
      <c r="F2505" t="s">
        <v>27987</v>
      </c>
      <c r="G2505" s="117">
        <v>44</v>
      </c>
    </row>
    <row r="2506" spans="1:7" x14ac:dyDescent="0.25">
      <c r="A2506" s="116" t="s">
        <v>28519</v>
      </c>
      <c r="B2506" s="117" t="s">
        <v>30023</v>
      </c>
      <c r="C2506" t="s">
        <v>67</v>
      </c>
      <c r="D2506" t="s">
        <v>67</v>
      </c>
      <c r="E2506" t="s">
        <v>67</v>
      </c>
      <c r="F2506" t="s">
        <v>27987</v>
      </c>
      <c r="G2506" s="117">
        <v>39.17</v>
      </c>
    </row>
    <row r="2507" spans="1:7" x14ac:dyDescent="0.25">
      <c r="A2507" s="116" t="s">
        <v>29856</v>
      </c>
      <c r="B2507" s="117" t="s">
        <v>30387</v>
      </c>
      <c r="C2507" t="s">
        <v>67</v>
      </c>
      <c r="D2507" t="s">
        <v>67</v>
      </c>
      <c r="E2507" t="s">
        <v>67</v>
      </c>
      <c r="F2507" t="s">
        <v>27987</v>
      </c>
      <c r="G2507" s="117">
        <v>17.329999999999998</v>
      </c>
    </row>
    <row r="2508" spans="1:7" x14ac:dyDescent="0.25">
      <c r="A2508" s="116" t="s">
        <v>30645</v>
      </c>
      <c r="B2508" s="117" t="s">
        <v>30646</v>
      </c>
      <c r="C2508" t="s">
        <v>67</v>
      </c>
      <c r="D2508" t="s">
        <v>67</v>
      </c>
      <c r="E2508" t="s">
        <v>67</v>
      </c>
      <c r="F2508" t="s">
        <v>27987</v>
      </c>
      <c r="G2508" s="117">
        <v>34.619999999999997</v>
      </c>
    </row>
    <row r="2509" spans="1:7" x14ac:dyDescent="0.25">
      <c r="A2509" s="116" t="s">
        <v>29857</v>
      </c>
      <c r="B2509" s="117" t="s">
        <v>30388</v>
      </c>
      <c r="C2509" t="s">
        <v>67</v>
      </c>
      <c r="D2509" t="s">
        <v>67</v>
      </c>
      <c r="E2509" t="s">
        <v>67</v>
      </c>
      <c r="F2509" t="s">
        <v>27987</v>
      </c>
      <c r="G2509" s="117">
        <v>128</v>
      </c>
    </row>
    <row r="2510" spans="1:7" x14ac:dyDescent="0.25">
      <c r="A2510" s="116" t="s">
        <v>28137</v>
      </c>
      <c r="B2510" s="117" t="s">
        <v>29769</v>
      </c>
      <c r="C2510" t="s">
        <v>67</v>
      </c>
      <c r="D2510" t="s">
        <v>67</v>
      </c>
      <c r="E2510" t="s">
        <v>67</v>
      </c>
      <c r="F2510" t="s">
        <v>49</v>
      </c>
      <c r="G2510" s="117">
        <v>25</v>
      </c>
    </row>
    <row r="2511" spans="1:7" x14ac:dyDescent="0.25">
      <c r="A2511" s="116" t="s">
        <v>28520</v>
      </c>
      <c r="B2511" s="117" t="s">
        <v>30389</v>
      </c>
      <c r="C2511" t="s">
        <v>67</v>
      </c>
      <c r="D2511" t="s">
        <v>67</v>
      </c>
      <c r="E2511" t="s">
        <v>67</v>
      </c>
      <c r="F2511" t="s">
        <v>27987</v>
      </c>
      <c r="G2511" s="117">
        <v>35</v>
      </c>
    </row>
    <row r="2512" spans="1:7" x14ac:dyDescent="0.25">
      <c r="A2512" s="116" t="s">
        <v>28521</v>
      </c>
      <c r="B2512" s="117" t="s">
        <v>2124</v>
      </c>
      <c r="C2512" t="s">
        <v>67</v>
      </c>
      <c r="D2512" t="s">
        <v>67</v>
      </c>
      <c r="E2512" t="s">
        <v>67</v>
      </c>
      <c r="F2512" t="s">
        <v>27987</v>
      </c>
      <c r="G2512" s="117">
        <v>40</v>
      </c>
    </row>
    <row r="2513" spans="1:7" x14ac:dyDescent="0.25">
      <c r="A2513" s="116" t="s">
        <v>28522</v>
      </c>
      <c r="B2513" s="117" t="s">
        <v>29770</v>
      </c>
      <c r="C2513" t="s">
        <v>67</v>
      </c>
      <c r="D2513" t="s">
        <v>67</v>
      </c>
      <c r="E2513" t="s">
        <v>67</v>
      </c>
      <c r="F2513" t="s">
        <v>27987</v>
      </c>
      <c r="G2513" s="117">
        <v>10</v>
      </c>
    </row>
    <row r="2514" spans="1:7" x14ac:dyDescent="0.25">
      <c r="A2514" s="116" t="s">
        <v>28523</v>
      </c>
      <c r="B2514" s="117" t="s">
        <v>29771</v>
      </c>
      <c r="C2514" t="s">
        <v>67</v>
      </c>
      <c r="D2514" t="s">
        <v>67</v>
      </c>
      <c r="E2514" t="s">
        <v>67</v>
      </c>
      <c r="F2514" t="s">
        <v>27987</v>
      </c>
      <c r="G2514" s="117">
        <v>45</v>
      </c>
    </row>
    <row r="2515" spans="1:7" x14ac:dyDescent="0.25">
      <c r="A2515" s="116" t="s">
        <v>29772</v>
      </c>
      <c r="B2515" s="117" t="s">
        <v>30390</v>
      </c>
      <c r="C2515" t="s">
        <v>67</v>
      </c>
      <c r="D2515" t="s">
        <v>67</v>
      </c>
      <c r="E2515" t="s">
        <v>67</v>
      </c>
      <c r="F2515" t="s">
        <v>27987</v>
      </c>
      <c r="G2515" s="117">
        <v>50.61</v>
      </c>
    </row>
    <row r="2516" spans="1:7" x14ac:dyDescent="0.25">
      <c r="A2516" s="116" t="s">
        <v>28524</v>
      </c>
      <c r="B2516" s="117" t="s">
        <v>28525</v>
      </c>
      <c r="C2516" t="s">
        <v>67</v>
      </c>
      <c r="D2516" t="s">
        <v>67</v>
      </c>
      <c r="E2516" t="s">
        <v>67</v>
      </c>
      <c r="F2516" t="s">
        <v>27987</v>
      </c>
      <c r="G2516" s="117">
        <v>9999</v>
      </c>
    </row>
    <row r="2517" spans="1:7" x14ac:dyDescent="0.25">
      <c r="A2517" s="116" t="s">
        <v>28526</v>
      </c>
      <c r="B2517" s="117" t="s">
        <v>28502</v>
      </c>
      <c r="C2517" t="s">
        <v>67</v>
      </c>
      <c r="D2517" t="s">
        <v>67</v>
      </c>
      <c r="E2517" t="s">
        <v>67</v>
      </c>
      <c r="F2517" t="s">
        <v>27987</v>
      </c>
      <c r="G2517" s="117">
        <v>0</v>
      </c>
    </row>
    <row r="2518" spans="1:7" x14ac:dyDescent="0.25">
      <c r="A2518" s="116" t="s">
        <v>29858</v>
      </c>
      <c r="B2518" s="117" t="s">
        <v>30391</v>
      </c>
      <c r="C2518" t="s">
        <v>67</v>
      </c>
      <c r="D2518" t="s">
        <v>67</v>
      </c>
      <c r="E2518" t="s">
        <v>67</v>
      </c>
      <c r="F2518" t="s">
        <v>27987</v>
      </c>
      <c r="G2518" s="117">
        <v>35.18</v>
      </c>
    </row>
    <row r="2519" spans="1:7" x14ac:dyDescent="0.25">
      <c r="A2519" s="116" t="s">
        <v>28527</v>
      </c>
      <c r="B2519" s="117" t="s">
        <v>28502</v>
      </c>
      <c r="C2519" t="s">
        <v>67</v>
      </c>
      <c r="D2519" t="s">
        <v>67</v>
      </c>
      <c r="E2519" t="s">
        <v>67</v>
      </c>
      <c r="F2519" t="s">
        <v>27987</v>
      </c>
      <c r="G2519" s="117">
        <v>0</v>
      </c>
    </row>
    <row r="2520" spans="1:7" x14ac:dyDescent="0.25">
      <c r="A2520" s="116" t="s">
        <v>30079</v>
      </c>
      <c r="B2520" s="117" t="s">
        <v>30392</v>
      </c>
      <c r="C2520" t="s">
        <v>67</v>
      </c>
      <c r="D2520" t="s">
        <v>67</v>
      </c>
      <c r="E2520" t="s">
        <v>67</v>
      </c>
      <c r="F2520" t="s">
        <v>45</v>
      </c>
      <c r="G2520" s="117">
        <v>210</v>
      </c>
    </row>
    <row r="2521" spans="1:7" x14ac:dyDescent="0.25">
      <c r="A2521" s="116" t="s">
        <v>29904</v>
      </c>
      <c r="B2521" s="117" t="s">
        <v>30393</v>
      </c>
      <c r="C2521" t="s">
        <v>67</v>
      </c>
      <c r="D2521" t="s">
        <v>67</v>
      </c>
      <c r="E2521" t="s">
        <v>67</v>
      </c>
      <c r="F2521" t="s">
        <v>45</v>
      </c>
      <c r="G2521" s="117">
        <v>225</v>
      </c>
    </row>
    <row r="2522" spans="1:7" x14ac:dyDescent="0.25">
      <c r="A2522" s="116" t="s">
        <v>28528</v>
      </c>
      <c r="B2522" s="117" t="s">
        <v>31125</v>
      </c>
      <c r="C2522" t="s">
        <v>67</v>
      </c>
      <c r="D2522" t="s">
        <v>67</v>
      </c>
      <c r="E2522" t="s">
        <v>67</v>
      </c>
      <c r="F2522" t="s">
        <v>27987</v>
      </c>
      <c r="G2522" s="117">
        <v>40</v>
      </c>
    </row>
    <row r="2523" spans="1:7" x14ac:dyDescent="0.25">
      <c r="A2523" s="116" t="s">
        <v>28529</v>
      </c>
      <c r="B2523" s="117" t="s">
        <v>30716</v>
      </c>
      <c r="C2523" t="s">
        <v>67</v>
      </c>
      <c r="D2523" t="s">
        <v>67</v>
      </c>
      <c r="E2523" t="s">
        <v>67</v>
      </c>
      <c r="F2523" t="s">
        <v>27987</v>
      </c>
      <c r="G2523" s="117">
        <v>30</v>
      </c>
    </row>
    <row r="2524" spans="1:7" x14ac:dyDescent="0.25">
      <c r="A2524" s="116" t="s">
        <v>28530</v>
      </c>
      <c r="B2524" s="117" t="s">
        <v>30394</v>
      </c>
      <c r="C2524" t="s">
        <v>67</v>
      </c>
      <c r="D2524" t="s">
        <v>67</v>
      </c>
      <c r="E2524" t="s">
        <v>67</v>
      </c>
      <c r="F2524" t="s">
        <v>27987</v>
      </c>
      <c r="G2524" s="117">
        <v>120</v>
      </c>
    </row>
    <row r="2525" spans="1:7" x14ac:dyDescent="0.25">
      <c r="A2525" s="116" t="s">
        <v>28531</v>
      </c>
      <c r="B2525" s="117" t="s">
        <v>30717</v>
      </c>
      <c r="C2525" t="s">
        <v>67</v>
      </c>
      <c r="D2525" t="s">
        <v>67</v>
      </c>
      <c r="E2525" t="s">
        <v>67</v>
      </c>
      <c r="F2525" t="s">
        <v>27987</v>
      </c>
      <c r="G2525" s="117">
        <v>10</v>
      </c>
    </row>
    <row r="2526" spans="1:7" x14ac:dyDescent="0.25">
      <c r="A2526" s="116" t="s">
        <v>29905</v>
      </c>
      <c r="B2526" s="117" t="s">
        <v>30395</v>
      </c>
      <c r="C2526" t="s">
        <v>67</v>
      </c>
      <c r="D2526" t="s">
        <v>67</v>
      </c>
      <c r="E2526" t="s">
        <v>67</v>
      </c>
      <c r="F2526" t="s">
        <v>27987</v>
      </c>
      <c r="G2526" s="117">
        <v>30</v>
      </c>
    </row>
    <row r="2527" spans="1:7" x14ac:dyDescent="0.25">
      <c r="A2527" s="116" t="s">
        <v>28532</v>
      </c>
      <c r="B2527" s="117" t="s">
        <v>28533</v>
      </c>
      <c r="C2527" t="s">
        <v>67</v>
      </c>
      <c r="D2527" t="s">
        <v>67</v>
      </c>
      <c r="E2527" t="s">
        <v>67</v>
      </c>
      <c r="F2527" t="s">
        <v>27987</v>
      </c>
      <c r="G2527" s="117">
        <v>30</v>
      </c>
    </row>
    <row r="2528" spans="1:7" x14ac:dyDescent="0.25">
      <c r="A2528" s="116" t="s">
        <v>28534</v>
      </c>
      <c r="B2528" s="117" t="s">
        <v>30396</v>
      </c>
      <c r="C2528" t="s">
        <v>67</v>
      </c>
      <c r="D2528" t="s">
        <v>67</v>
      </c>
      <c r="E2528" t="s">
        <v>67</v>
      </c>
      <c r="F2528" t="s">
        <v>27987</v>
      </c>
      <c r="G2528" s="117">
        <v>35.81</v>
      </c>
    </row>
    <row r="2529" spans="1:7" x14ac:dyDescent="0.25">
      <c r="A2529" s="116" t="s">
        <v>28535</v>
      </c>
      <c r="B2529" s="117" t="s">
        <v>30397</v>
      </c>
      <c r="C2529" t="s">
        <v>67</v>
      </c>
      <c r="D2529" t="s">
        <v>67</v>
      </c>
      <c r="E2529" t="s">
        <v>67</v>
      </c>
      <c r="F2529" t="s">
        <v>27987</v>
      </c>
      <c r="G2529" s="117">
        <v>20</v>
      </c>
    </row>
    <row r="2530" spans="1:7" x14ac:dyDescent="0.25">
      <c r="A2530" s="116" t="s">
        <v>28536</v>
      </c>
      <c r="B2530" s="117" t="s">
        <v>28537</v>
      </c>
      <c r="C2530" t="s">
        <v>67</v>
      </c>
      <c r="D2530" t="s">
        <v>67</v>
      </c>
      <c r="E2530" t="s">
        <v>67</v>
      </c>
      <c r="F2530" t="s">
        <v>27987</v>
      </c>
      <c r="G2530" s="117">
        <v>54</v>
      </c>
    </row>
    <row r="2531" spans="1:7" x14ac:dyDescent="0.25">
      <c r="A2531" s="116" t="s">
        <v>28538</v>
      </c>
      <c r="B2531" s="117" t="s">
        <v>28539</v>
      </c>
      <c r="C2531" t="s">
        <v>67</v>
      </c>
      <c r="D2531" t="s">
        <v>67</v>
      </c>
      <c r="E2531" t="s">
        <v>67</v>
      </c>
      <c r="F2531" t="s">
        <v>45</v>
      </c>
      <c r="G2531" s="117">
        <v>0</v>
      </c>
    </row>
    <row r="2532" spans="1:7" x14ac:dyDescent="0.25">
      <c r="A2532" s="116" t="s">
        <v>3817</v>
      </c>
      <c r="B2532" s="117" t="s">
        <v>3818</v>
      </c>
      <c r="C2532" t="s">
        <v>67</v>
      </c>
      <c r="D2532" t="s">
        <v>67</v>
      </c>
      <c r="E2532" t="s">
        <v>67</v>
      </c>
      <c r="F2532" t="s">
        <v>27987</v>
      </c>
      <c r="G2532" s="117">
        <v>71.989999999999995</v>
      </c>
    </row>
    <row r="2533" spans="1:7" x14ac:dyDescent="0.25">
      <c r="A2533" s="116" t="s">
        <v>28540</v>
      </c>
      <c r="B2533" s="117" t="s">
        <v>30718</v>
      </c>
      <c r="C2533" t="s">
        <v>67</v>
      </c>
      <c r="D2533" t="s">
        <v>67</v>
      </c>
      <c r="E2533" t="s">
        <v>67</v>
      </c>
      <c r="F2533" t="s">
        <v>27987</v>
      </c>
      <c r="G2533" s="117">
        <v>125</v>
      </c>
    </row>
    <row r="2534" spans="1:7" x14ac:dyDescent="0.25">
      <c r="A2534" s="116" t="s">
        <v>30002</v>
      </c>
      <c r="B2534" s="117" t="s">
        <v>30398</v>
      </c>
      <c r="C2534" t="s">
        <v>67</v>
      </c>
      <c r="D2534" t="s">
        <v>67</v>
      </c>
      <c r="E2534" t="s">
        <v>67</v>
      </c>
      <c r="F2534" t="s">
        <v>27987</v>
      </c>
      <c r="G2534" s="117">
        <v>35</v>
      </c>
    </row>
    <row r="2535" spans="1:7" x14ac:dyDescent="0.25">
      <c r="A2535" s="116" t="s">
        <v>28541</v>
      </c>
      <c r="B2535" s="117" t="s">
        <v>30399</v>
      </c>
      <c r="C2535" t="s">
        <v>67</v>
      </c>
      <c r="D2535" t="s">
        <v>67</v>
      </c>
      <c r="E2535" t="s">
        <v>67</v>
      </c>
      <c r="F2535" t="s">
        <v>49</v>
      </c>
      <c r="G2535" s="117">
        <v>70</v>
      </c>
    </row>
    <row r="2536" spans="1:7" x14ac:dyDescent="0.25">
      <c r="A2536" s="116" t="s">
        <v>28542</v>
      </c>
      <c r="B2536" s="117" t="s">
        <v>30400</v>
      </c>
      <c r="C2536" t="s">
        <v>67</v>
      </c>
      <c r="D2536" t="s">
        <v>67</v>
      </c>
      <c r="E2536" t="s">
        <v>67</v>
      </c>
      <c r="F2536" t="s">
        <v>49</v>
      </c>
      <c r="G2536" s="117">
        <v>73</v>
      </c>
    </row>
    <row r="2537" spans="1:7" x14ac:dyDescent="0.25">
      <c r="A2537" s="116" t="s">
        <v>30325</v>
      </c>
      <c r="B2537" s="117" t="s">
        <v>30269</v>
      </c>
      <c r="C2537" t="s">
        <v>67</v>
      </c>
      <c r="D2537" t="s">
        <v>67</v>
      </c>
      <c r="E2537" t="s">
        <v>67</v>
      </c>
      <c r="F2537" t="s">
        <v>45</v>
      </c>
      <c r="G2537" s="117">
        <v>9999</v>
      </c>
    </row>
    <row r="2538" spans="1:7" x14ac:dyDescent="0.25">
      <c r="A2538" s="116" t="s">
        <v>30228</v>
      </c>
      <c r="B2538" s="117" t="s">
        <v>30229</v>
      </c>
      <c r="C2538" t="s">
        <v>67</v>
      </c>
      <c r="D2538" t="s">
        <v>67</v>
      </c>
      <c r="E2538" t="s">
        <v>67</v>
      </c>
      <c r="F2538" t="s">
        <v>27987</v>
      </c>
      <c r="G2538" s="117">
        <v>9999</v>
      </c>
    </row>
    <row r="2539" spans="1:7" x14ac:dyDescent="0.25">
      <c r="A2539" s="116" t="s">
        <v>30326</v>
      </c>
      <c r="B2539" s="117" t="s">
        <v>30269</v>
      </c>
      <c r="C2539" t="s">
        <v>67</v>
      </c>
      <c r="D2539" t="s">
        <v>67</v>
      </c>
      <c r="E2539" t="s">
        <v>67</v>
      </c>
      <c r="F2539" t="s">
        <v>45</v>
      </c>
      <c r="G2539" s="117">
        <v>9999</v>
      </c>
    </row>
    <row r="2540" spans="1:7" x14ac:dyDescent="0.25">
      <c r="A2540" s="116" t="s">
        <v>30230</v>
      </c>
      <c r="B2540" s="117" t="s">
        <v>30231</v>
      </c>
      <c r="C2540" t="s">
        <v>67</v>
      </c>
      <c r="D2540" t="s">
        <v>67</v>
      </c>
      <c r="E2540" t="s">
        <v>67</v>
      </c>
      <c r="F2540" t="s">
        <v>27987</v>
      </c>
      <c r="G2540" s="117">
        <v>9999</v>
      </c>
    </row>
    <row r="2541" spans="1:7" x14ac:dyDescent="0.25">
      <c r="A2541" s="116" t="s">
        <v>28543</v>
      </c>
      <c r="B2541" s="117" t="s">
        <v>30719</v>
      </c>
      <c r="C2541" t="s">
        <v>67</v>
      </c>
      <c r="D2541" t="s">
        <v>67</v>
      </c>
      <c r="E2541" t="s">
        <v>67</v>
      </c>
      <c r="F2541" t="s">
        <v>27987</v>
      </c>
      <c r="G2541" s="117">
        <v>110.67</v>
      </c>
    </row>
    <row r="2542" spans="1:7" x14ac:dyDescent="0.25">
      <c r="A2542" s="116" t="s">
        <v>30268</v>
      </c>
      <c r="B2542" s="117" t="s">
        <v>30269</v>
      </c>
      <c r="C2542" t="s">
        <v>67</v>
      </c>
      <c r="D2542" t="s">
        <v>67</v>
      </c>
      <c r="E2542" t="s">
        <v>67</v>
      </c>
      <c r="F2542" t="s">
        <v>45</v>
      </c>
      <c r="G2542" s="117">
        <v>9999</v>
      </c>
    </row>
    <row r="2543" spans="1:7" x14ac:dyDescent="0.25">
      <c r="A2543" s="116" t="s">
        <v>30270</v>
      </c>
      <c r="B2543" s="117" t="s">
        <v>30271</v>
      </c>
      <c r="C2543" t="s">
        <v>67</v>
      </c>
      <c r="D2543" t="s">
        <v>67</v>
      </c>
      <c r="E2543" t="s">
        <v>67</v>
      </c>
      <c r="F2543" t="s">
        <v>45</v>
      </c>
      <c r="G2543" s="117">
        <v>9999</v>
      </c>
    </row>
    <row r="2544" spans="1:7" x14ac:dyDescent="0.25">
      <c r="A2544" s="116" t="s">
        <v>30852</v>
      </c>
      <c r="B2544" s="117" t="s">
        <v>30853</v>
      </c>
      <c r="C2544" t="s">
        <v>67</v>
      </c>
      <c r="D2544" t="s">
        <v>67</v>
      </c>
      <c r="E2544" t="s">
        <v>67</v>
      </c>
      <c r="F2544" t="s">
        <v>45</v>
      </c>
      <c r="G2544" s="117">
        <v>9999</v>
      </c>
    </row>
    <row r="2545" spans="1:7" x14ac:dyDescent="0.25">
      <c r="A2545" s="116" t="s">
        <v>30854</v>
      </c>
      <c r="B2545" s="117" t="s">
        <v>30855</v>
      </c>
      <c r="C2545" t="s">
        <v>67</v>
      </c>
      <c r="D2545" t="s">
        <v>67</v>
      </c>
      <c r="E2545" t="s">
        <v>67</v>
      </c>
      <c r="F2545" t="s">
        <v>27987</v>
      </c>
      <c r="G2545" s="117">
        <v>9999</v>
      </c>
    </row>
    <row r="2546" spans="1:7" x14ac:dyDescent="0.25">
      <c r="A2546" s="116" t="s">
        <v>30006</v>
      </c>
      <c r="B2546" s="117" t="s">
        <v>29906</v>
      </c>
      <c r="C2546" t="s">
        <v>67</v>
      </c>
      <c r="D2546" t="s">
        <v>67</v>
      </c>
      <c r="E2546" t="s">
        <v>67</v>
      </c>
      <c r="F2546" t="s">
        <v>27987</v>
      </c>
      <c r="G2546" s="117">
        <v>9999</v>
      </c>
    </row>
    <row r="2547" spans="1:7" x14ac:dyDescent="0.25">
      <c r="A2547" s="116" t="s">
        <v>30856</v>
      </c>
      <c r="B2547" s="117" t="s">
        <v>30857</v>
      </c>
      <c r="C2547" t="s">
        <v>67</v>
      </c>
      <c r="D2547" t="s">
        <v>67</v>
      </c>
      <c r="E2547" t="s">
        <v>67</v>
      </c>
      <c r="F2547" t="s">
        <v>45</v>
      </c>
      <c r="G2547" s="117">
        <v>9999</v>
      </c>
    </row>
    <row r="2548" spans="1:7" x14ac:dyDescent="0.25">
      <c r="A2548" s="116" t="s">
        <v>30858</v>
      </c>
      <c r="B2548" s="117" t="s">
        <v>30231</v>
      </c>
      <c r="C2548" t="s">
        <v>67</v>
      </c>
      <c r="D2548" t="s">
        <v>67</v>
      </c>
      <c r="E2548" t="s">
        <v>67</v>
      </c>
      <c r="F2548" t="s">
        <v>45</v>
      </c>
      <c r="G2548" s="117">
        <v>9999</v>
      </c>
    </row>
    <row r="2549" spans="1:7" x14ac:dyDescent="0.25">
      <c r="A2549" s="116" t="s">
        <v>30859</v>
      </c>
      <c r="B2549" s="117" t="s">
        <v>30860</v>
      </c>
      <c r="C2549" t="s">
        <v>67</v>
      </c>
      <c r="D2549" t="s">
        <v>67</v>
      </c>
      <c r="E2549" t="s">
        <v>67</v>
      </c>
      <c r="F2549" t="s">
        <v>27987</v>
      </c>
      <c r="G2549" s="117">
        <v>9999</v>
      </c>
    </row>
    <row r="2550" spans="1:7" x14ac:dyDescent="0.25">
      <c r="A2550" s="116" t="s">
        <v>30861</v>
      </c>
      <c r="B2550" s="117" t="s">
        <v>30862</v>
      </c>
      <c r="C2550" t="s">
        <v>67</v>
      </c>
      <c r="D2550" t="s">
        <v>67</v>
      </c>
      <c r="E2550" t="s">
        <v>67</v>
      </c>
      <c r="F2550" t="s">
        <v>45</v>
      </c>
      <c r="G2550" s="117">
        <v>9999</v>
      </c>
    </row>
    <row r="2551" spans="1:7" x14ac:dyDescent="0.25">
      <c r="A2551" s="116" t="s">
        <v>31102</v>
      </c>
      <c r="B2551" s="117" t="s">
        <v>31103</v>
      </c>
      <c r="C2551" t="s">
        <v>67</v>
      </c>
      <c r="D2551" t="s">
        <v>67</v>
      </c>
      <c r="E2551" t="s">
        <v>67</v>
      </c>
      <c r="F2551" t="s">
        <v>45</v>
      </c>
      <c r="G2551" s="117">
        <v>9999</v>
      </c>
    </row>
    <row r="2552" spans="1:7" x14ac:dyDescent="0.25">
      <c r="A2552" s="116" t="s">
        <v>3819</v>
      </c>
      <c r="B2552" s="117" t="s">
        <v>28544</v>
      </c>
      <c r="C2552" t="s">
        <v>67</v>
      </c>
      <c r="D2552" t="s">
        <v>67</v>
      </c>
      <c r="E2552" t="s">
        <v>67</v>
      </c>
      <c r="F2552" t="s">
        <v>27987</v>
      </c>
      <c r="G2552" s="117">
        <v>94.76</v>
      </c>
    </row>
    <row r="2553" spans="1:7" x14ac:dyDescent="0.25">
      <c r="A2553" s="116" t="s">
        <v>3820</v>
      </c>
      <c r="B2553" s="117" t="s">
        <v>3821</v>
      </c>
      <c r="C2553" t="s">
        <v>67</v>
      </c>
      <c r="D2553" t="s">
        <v>67</v>
      </c>
      <c r="E2553" t="s">
        <v>67</v>
      </c>
      <c r="F2553" t="s">
        <v>45</v>
      </c>
      <c r="G2553" s="117">
        <v>13.8</v>
      </c>
    </row>
    <row r="2554" spans="1:7" x14ac:dyDescent="0.25">
      <c r="A2554" s="116" t="s">
        <v>3822</v>
      </c>
      <c r="B2554" s="117" t="s">
        <v>3823</v>
      </c>
      <c r="C2554" t="s">
        <v>67</v>
      </c>
      <c r="D2554" t="s">
        <v>67</v>
      </c>
      <c r="E2554" t="s">
        <v>67</v>
      </c>
      <c r="F2554" t="s">
        <v>27987</v>
      </c>
      <c r="G2554" s="117">
        <v>91.2</v>
      </c>
    </row>
    <row r="2555" spans="1:7" x14ac:dyDescent="0.25">
      <c r="A2555" s="116" t="s">
        <v>3824</v>
      </c>
      <c r="B2555" s="117" t="s">
        <v>3825</v>
      </c>
      <c r="C2555" t="s">
        <v>67</v>
      </c>
      <c r="D2555" t="s">
        <v>67</v>
      </c>
      <c r="E2555" t="s">
        <v>67</v>
      </c>
      <c r="F2555" t="s">
        <v>27987</v>
      </c>
      <c r="G2555" s="117">
        <v>28.02</v>
      </c>
    </row>
    <row r="2556" spans="1:7" x14ac:dyDescent="0.25">
      <c r="A2556" s="116" t="s">
        <v>3826</v>
      </c>
      <c r="B2556" s="117" t="s">
        <v>3827</v>
      </c>
      <c r="C2556" t="s">
        <v>67</v>
      </c>
      <c r="D2556" t="s">
        <v>67</v>
      </c>
      <c r="E2556" t="s">
        <v>67</v>
      </c>
      <c r="F2556" t="s">
        <v>27987</v>
      </c>
      <c r="G2556" s="117">
        <v>40.85</v>
      </c>
    </row>
    <row r="2557" spans="1:7" x14ac:dyDescent="0.25">
      <c r="A2557" s="116" t="s">
        <v>3828</v>
      </c>
      <c r="B2557" s="117" t="s">
        <v>3829</v>
      </c>
      <c r="C2557" t="s">
        <v>67</v>
      </c>
      <c r="D2557" t="s">
        <v>67</v>
      </c>
      <c r="E2557" t="s">
        <v>67</v>
      </c>
      <c r="F2557" t="s">
        <v>45</v>
      </c>
      <c r="G2557" s="117">
        <v>30.7</v>
      </c>
    </row>
    <row r="2558" spans="1:7" x14ac:dyDescent="0.25">
      <c r="A2558" s="116" t="s">
        <v>3830</v>
      </c>
      <c r="B2558" s="117" t="s">
        <v>3831</v>
      </c>
      <c r="C2558" t="s">
        <v>67</v>
      </c>
      <c r="D2558" t="s">
        <v>67</v>
      </c>
      <c r="E2558" t="s">
        <v>67</v>
      </c>
      <c r="F2558" t="s">
        <v>45</v>
      </c>
      <c r="G2558" s="117">
        <v>59.18</v>
      </c>
    </row>
    <row r="2559" spans="1:7" x14ac:dyDescent="0.25">
      <c r="A2559" s="116" t="s">
        <v>3832</v>
      </c>
      <c r="B2559" s="117" t="s">
        <v>3833</v>
      </c>
      <c r="C2559" t="s">
        <v>67</v>
      </c>
      <c r="D2559" t="s">
        <v>67</v>
      </c>
      <c r="E2559" t="s">
        <v>67</v>
      </c>
      <c r="F2559" t="s">
        <v>45</v>
      </c>
      <c r="G2559" s="117">
        <v>41.38</v>
      </c>
    </row>
    <row r="2560" spans="1:7" x14ac:dyDescent="0.25">
      <c r="A2560" s="116" t="s">
        <v>3834</v>
      </c>
      <c r="B2560" s="117" t="s">
        <v>3835</v>
      </c>
      <c r="C2560" t="s">
        <v>67</v>
      </c>
      <c r="D2560" t="s">
        <v>67</v>
      </c>
      <c r="E2560" t="s">
        <v>67</v>
      </c>
      <c r="F2560" t="s">
        <v>45</v>
      </c>
      <c r="G2560" s="117">
        <v>69.319999999999993</v>
      </c>
    </row>
    <row r="2561" spans="1:7" x14ac:dyDescent="0.25">
      <c r="A2561" s="116" t="s">
        <v>3836</v>
      </c>
      <c r="B2561" s="117" t="s">
        <v>3837</v>
      </c>
      <c r="C2561" t="s">
        <v>67</v>
      </c>
      <c r="D2561" t="s">
        <v>67</v>
      </c>
      <c r="E2561" t="s">
        <v>67</v>
      </c>
      <c r="F2561" t="s">
        <v>45</v>
      </c>
      <c r="G2561" s="117">
        <v>33.369999999999997</v>
      </c>
    </row>
    <row r="2562" spans="1:7" x14ac:dyDescent="0.25">
      <c r="A2562" s="116" t="s">
        <v>3838</v>
      </c>
      <c r="B2562" s="117" t="s">
        <v>3839</v>
      </c>
      <c r="C2562" t="s">
        <v>67</v>
      </c>
      <c r="D2562" t="s">
        <v>67</v>
      </c>
      <c r="E2562" t="s">
        <v>67</v>
      </c>
      <c r="F2562" t="s">
        <v>45</v>
      </c>
      <c r="G2562" s="117">
        <v>64.87</v>
      </c>
    </row>
    <row r="2563" spans="1:7" x14ac:dyDescent="0.25">
      <c r="A2563" s="116" t="s">
        <v>3840</v>
      </c>
      <c r="B2563" s="117" t="s">
        <v>3841</v>
      </c>
      <c r="C2563" t="s">
        <v>67</v>
      </c>
      <c r="D2563" t="s">
        <v>67</v>
      </c>
      <c r="E2563" t="s">
        <v>67</v>
      </c>
      <c r="F2563" t="s">
        <v>45</v>
      </c>
      <c r="G2563" s="117">
        <v>34.26</v>
      </c>
    </row>
    <row r="2564" spans="1:7" x14ac:dyDescent="0.25">
      <c r="A2564" s="116" t="s">
        <v>3842</v>
      </c>
      <c r="B2564" s="117" t="s">
        <v>3843</v>
      </c>
      <c r="C2564" t="s">
        <v>67</v>
      </c>
      <c r="D2564" t="s">
        <v>67</v>
      </c>
      <c r="E2564" t="s">
        <v>67</v>
      </c>
      <c r="F2564" t="s">
        <v>45</v>
      </c>
      <c r="G2564" s="117">
        <v>34.619999999999997</v>
      </c>
    </row>
    <row r="2565" spans="1:7" x14ac:dyDescent="0.25">
      <c r="A2565" s="116" t="s">
        <v>3844</v>
      </c>
      <c r="B2565" s="117" t="s">
        <v>3845</v>
      </c>
      <c r="C2565" t="s">
        <v>67</v>
      </c>
      <c r="D2565" t="s">
        <v>67</v>
      </c>
      <c r="E2565" t="s">
        <v>67</v>
      </c>
      <c r="F2565" t="s">
        <v>27987</v>
      </c>
      <c r="G2565" s="117">
        <v>38.18</v>
      </c>
    </row>
    <row r="2566" spans="1:7" x14ac:dyDescent="0.25">
      <c r="A2566" s="116" t="s">
        <v>3846</v>
      </c>
      <c r="B2566" s="117" t="s">
        <v>3847</v>
      </c>
      <c r="C2566" t="s">
        <v>67</v>
      </c>
      <c r="D2566" t="s">
        <v>67</v>
      </c>
      <c r="E2566" t="s">
        <v>67</v>
      </c>
      <c r="F2566" t="s">
        <v>27987</v>
      </c>
      <c r="G2566" s="117">
        <v>92.99</v>
      </c>
    </row>
    <row r="2567" spans="1:7" x14ac:dyDescent="0.25">
      <c r="A2567" s="116" t="s">
        <v>3848</v>
      </c>
      <c r="B2567" s="117" t="s">
        <v>3849</v>
      </c>
      <c r="C2567" t="s">
        <v>67</v>
      </c>
      <c r="D2567" t="s">
        <v>67</v>
      </c>
      <c r="E2567" t="s">
        <v>67</v>
      </c>
      <c r="F2567" t="s">
        <v>45</v>
      </c>
      <c r="G2567" s="117">
        <v>17.7</v>
      </c>
    </row>
    <row r="2568" spans="1:7" x14ac:dyDescent="0.25">
      <c r="A2568" s="116" t="s">
        <v>3850</v>
      </c>
      <c r="B2568" s="117" t="s">
        <v>3851</v>
      </c>
      <c r="C2568" t="s">
        <v>67</v>
      </c>
      <c r="D2568" t="s">
        <v>67</v>
      </c>
      <c r="E2568" t="s">
        <v>67</v>
      </c>
      <c r="F2568" t="s">
        <v>45</v>
      </c>
      <c r="G2568" s="117">
        <v>644.14</v>
      </c>
    </row>
    <row r="2569" spans="1:7" x14ac:dyDescent="0.25">
      <c r="A2569" s="116" t="s">
        <v>3852</v>
      </c>
      <c r="B2569" s="117" t="s">
        <v>3853</v>
      </c>
      <c r="C2569" t="s">
        <v>67</v>
      </c>
      <c r="D2569" t="s">
        <v>67</v>
      </c>
      <c r="E2569" t="s">
        <v>67</v>
      </c>
      <c r="F2569" t="s">
        <v>27987</v>
      </c>
      <c r="G2569" s="117">
        <v>72.88</v>
      </c>
    </row>
    <row r="2570" spans="1:7" x14ac:dyDescent="0.25">
      <c r="A2570" s="116" t="s">
        <v>3854</v>
      </c>
      <c r="B2570" s="117" t="s">
        <v>3855</v>
      </c>
      <c r="C2570" t="s">
        <v>67</v>
      </c>
      <c r="D2570" t="s">
        <v>67</v>
      </c>
      <c r="E2570" t="s">
        <v>67</v>
      </c>
      <c r="F2570" t="s">
        <v>45</v>
      </c>
      <c r="G2570" s="117">
        <v>29.81</v>
      </c>
    </row>
    <row r="2571" spans="1:7" x14ac:dyDescent="0.25">
      <c r="A2571" s="116" t="s">
        <v>3856</v>
      </c>
      <c r="B2571" s="117" t="s">
        <v>3857</v>
      </c>
      <c r="C2571" t="s">
        <v>67</v>
      </c>
      <c r="D2571" t="s">
        <v>67</v>
      </c>
      <c r="E2571" t="s">
        <v>67</v>
      </c>
      <c r="F2571" t="s">
        <v>45</v>
      </c>
      <c r="G2571" s="117">
        <v>74.66</v>
      </c>
    </row>
    <row r="2572" spans="1:7" x14ac:dyDescent="0.25">
      <c r="A2572" s="116" t="s">
        <v>3858</v>
      </c>
      <c r="B2572" s="117" t="s">
        <v>3859</v>
      </c>
      <c r="C2572" t="s">
        <v>67</v>
      </c>
      <c r="D2572" t="s">
        <v>67</v>
      </c>
      <c r="E2572" t="s">
        <v>67</v>
      </c>
      <c r="F2572" t="s">
        <v>45</v>
      </c>
      <c r="G2572" s="117">
        <v>39.22</v>
      </c>
    </row>
    <row r="2573" spans="1:7" x14ac:dyDescent="0.25">
      <c r="A2573" s="116" t="s">
        <v>3860</v>
      </c>
      <c r="B2573" s="117" t="s">
        <v>3861</v>
      </c>
      <c r="C2573" t="s">
        <v>67</v>
      </c>
      <c r="D2573" t="s">
        <v>67</v>
      </c>
      <c r="E2573" t="s">
        <v>67</v>
      </c>
      <c r="F2573" t="s">
        <v>45</v>
      </c>
      <c r="G2573" s="117">
        <v>42.19</v>
      </c>
    </row>
    <row r="2574" spans="1:7" x14ac:dyDescent="0.25">
      <c r="A2574" s="116" t="s">
        <v>3862</v>
      </c>
      <c r="B2574" s="117" t="s">
        <v>28545</v>
      </c>
      <c r="C2574" t="s">
        <v>67</v>
      </c>
      <c r="D2574" t="s">
        <v>67</v>
      </c>
      <c r="E2574" t="s">
        <v>67</v>
      </c>
      <c r="F2574" t="s">
        <v>27987</v>
      </c>
      <c r="G2574" s="117">
        <v>380.93</v>
      </c>
    </row>
    <row r="2575" spans="1:7" x14ac:dyDescent="0.25">
      <c r="A2575" s="116" t="s">
        <v>3863</v>
      </c>
      <c r="B2575" s="117" t="s">
        <v>3864</v>
      </c>
      <c r="C2575" t="s">
        <v>67</v>
      </c>
      <c r="D2575" t="s">
        <v>67</v>
      </c>
      <c r="E2575" t="s">
        <v>67</v>
      </c>
      <c r="F2575" t="s">
        <v>27987</v>
      </c>
      <c r="G2575" s="117">
        <v>42.26</v>
      </c>
    </row>
    <row r="2576" spans="1:7" x14ac:dyDescent="0.25">
      <c r="A2576" s="116" t="s">
        <v>3865</v>
      </c>
      <c r="B2576" s="117" t="s">
        <v>3866</v>
      </c>
      <c r="C2576" t="s">
        <v>67</v>
      </c>
      <c r="D2576" t="s">
        <v>67</v>
      </c>
      <c r="E2576" t="s">
        <v>67</v>
      </c>
      <c r="F2576" t="s">
        <v>27987</v>
      </c>
      <c r="G2576" s="117">
        <v>30.17</v>
      </c>
    </row>
    <row r="2577" spans="1:7" x14ac:dyDescent="0.25">
      <c r="A2577" s="116" t="s">
        <v>3867</v>
      </c>
      <c r="B2577" s="117" t="s">
        <v>3868</v>
      </c>
      <c r="C2577" t="s">
        <v>67</v>
      </c>
      <c r="D2577" t="s">
        <v>67</v>
      </c>
      <c r="E2577" t="s">
        <v>67</v>
      </c>
      <c r="F2577" t="s">
        <v>27987</v>
      </c>
      <c r="G2577" s="117">
        <v>26.25</v>
      </c>
    </row>
    <row r="2578" spans="1:7" x14ac:dyDescent="0.25">
      <c r="A2578" s="116" t="s">
        <v>3869</v>
      </c>
      <c r="B2578" s="117" t="s">
        <v>3870</v>
      </c>
      <c r="C2578" t="s">
        <v>67</v>
      </c>
      <c r="D2578" t="s">
        <v>67</v>
      </c>
      <c r="E2578" t="s">
        <v>67</v>
      </c>
      <c r="F2578" t="s">
        <v>27987</v>
      </c>
      <c r="G2578" s="117">
        <v>79.64</v>
      </c>
    </row>
    <row r="2579" spans="1:7" x14ac:dyDescent="0.25">
      <c r="A2579" s="116" t="s">
        <v>3871</v>
      </c>
      <c r="B2579" s="117" t="s">
        <v>3872</v>
      </c>
      <c r="C2579" t="s">
        <v>67</v>
      </c>
      <c r="D2579" t="s">
        <v>67</v>
      </c>
      <c r="E2579" t="s">
        <v>67</v>
      </c>
      <c r="F2579" t="s">
        <v>27987</v>
      </c>
      <c r="G2579" s="117">
        <v>21.8</v>
      </c>
    </row>
    <row r="2580" spans="1:7" x14ac:dyDescent="0.25">
      <c r="A2580" s="116" t="s">
        <v>3873</v>
      </c>
      <c r="B2580" s="117" t="s">
        <v>3874</v>
      </c>
      <c r="C2580" t="s">
        <v>67</v>
      </c>
      <c r="D2580" t="s">
        <v>67</v>
      </c>
      <c r="E2580" t="s">
        <v>67</v>
      </c>
      <c r="F2580" t="s">
        <v>45</v>
      </c>
      <c r="G2580" s="117">
        <v>23.94</v>
      </c>
    </row>
    <row r="2581" spans="1:7" x14ac:dyDescent="0.25">
      <c r="A2581" s="116" t="s">
        <v>3875</v>
      </c>
      <c r="B2581" s="117" t="s">
        <v>3876</v>
      </c>
      <c r="C2581" t="s">
        <v>67</v>
      </c>
      <c r="D2581" t="s">
        <v>67</v>
      </c>
      <c r="E2581" t="s">
        <v>67</v>
      </c>
      <c r="F2581" t="s">
        <v>27987</v>
      </c>
      <c r="G2581" s="117">
        <v>39.06</v>
      </c>
    </row>
    <row r="2582" spans="1:7" x14ac:dyDescent="0.25">
      <c r="A2582" s="116" t="s">
        <v>3877</v>
      </c>
      <c r="B2582" s="117" t="s">
        <v>3878</v>
      </c>
      <c r="C2582" t="s">
        <v>67</v>
      </c>
      <c r="D2582" t="s">
        <v>67</v>
      </c>
      <c r="E2582" t="s">
        <v>67</v>
      </c>
      <c r="F2582" t="s">
        <v>27987</v>
      </c>
      <c r="G2582" s="117">
        <v>35.5</v>
      </c>
    </row>
    <row r="2583" spans="1:7" x14ac:dyDescent="0.25">
      <c r="A2583" s="116" t="s">
        <v>3879</v>
      </c>
      <c r="B2583" s="117" t="s">
        <v>3880</v>
      </c>
      <c r="C2583" t="s">
        <v>67</v>
      </c>
      <c r="D2583" t="s">
        <v>67</v>
      </c>
      <c r="E2583" t="s">
        <v>67</v>
      </c>
      <c r="F2583" t="s">
        <v>45</v>
      </c>
      <c r="G2583" s="117">
        <v>71.150000000000006</v>
      </c>
    </row>
    <row r="2584" spans="1:7" x14ac:dyDescent="0.25">
      <c r="A2584" s="116" t="s">
        <v>3881</v>
      </c>
      <c r="B2584" s="117" t="s">
        <v>3882</v>
      </c>
      <c r="C2584" t="s">
        <v>67</v>
      </c>
      <c r="D2584" t="s">
        <v>67</v>
      </c>
      <c r="E2584" t="s">
        <v>67</v>
      </c>
      <c r="F2584" t="s">
        <v>27987</v>
      </c>
      <c r="G2584" s="117">
        <v>42.63</v>
      </c>
    </row>
    <row r="2585" spans="1:7" x14ac:dyDescent="0.25">
      <c r="A2585" s="116" t="s">
        <v>3883</v>
      </c>
      <c r="B2585" s="117" t="s">
        <v>3884</v>
      </c>
      <c r="C2585" t="s">
        <v>67</v>
      </c>
      <c r="D2585" t="s">
        <v>67</v>
      </c>
      <c r="E2585" t="s">
        <v>67</v>
      </c>
      <c r="F2585" t="s">
        <v>27987</v>
      </c>
      <c r="G2585" s="117">
        <v>40.49</v>
      </c>
    </row>
    <row r="2586" spans="1:7" x14ac:dyDescent="0.25">
      <c r="A2586" s="116" t="s">
        <v>3885</v>
      </c>
      <c r="B2586" s="117" t="s">
        <v>3886</v>
      </c>
      <c r="C2586" t="s">
        <v>67</v>
      </c>
      <c r="D2586" t="s">
        <v>67</v>
      </c>
      <c r="E2586" t="s">
        <v>67</v>
      </c>
      <c r="F2586" t="s">
        <v>27987</v>
      </c>
      <c r="G2586" s="117">
        <v>48.5</v>
      </c>
    </row>
    <row r="2587" spans="1:7" x14ac:dyDescent="0.25">
      <c r="A2587" s="116" t="s">
        <v>3887</v>
      </c>
      <c r="B2587" s="117" t="s">
        <v>3888</v>
      </c>
      <c r="C2587" t="s">
        <v>67</v>
      </c>
      <c r="D2587" t="s">
        <v>67</v>
      </c>
      <c r="E2587" t="s">
        <v>67</v>
      </c>
      <c r="F2587" t="s">
        <v>45</v>
      </c>
      <c r="G2587" s="117">
        <v>68.430000000000007</v>
      </c>
    </row>
    <row r="2588" spans="1:7" x14ac:dyDescent="0.25">
      <c r="A2588" s="116" t="s">
        <v>3889</v>
      </c>
      <c r="B2588" s="117" t="s">
        <v>3890</v>
      </c>
      <c r="C2588" t="s">
        <v>67</v>
      </c>
      <c r="D2588" t="s">
        <v>67</v>
      </c>
      <c r="E2588" t="s">
        <v>67</v>
      </c>
      <c r="F2588" t="s">
        <v>45</v>
      </c>
      <c r="G2588" s="117">
        <v>88.54</v>
      </c>
    </row>
    <row r="2589" spans="1:7" x14ac:dyDescent="0.25">
      <c r="A2589" s="116" t="s">
        <v>3891</v>
      </c>
      <c r="B2589" s="117" t="s">
        <v>3892</v>
      </c>
      <c r="C2589" t="s">
        <v>67</v>
      </c>
      <c r="D2589" t="s">
        <v>67</v>
      </c>
      <c r="E2589" t="s">
        <v>67</v>
      </c>
      <c r="F2589" t="s">
        <v>45</v>
      </c>
      <c r="G2589" s="117">
        <v>47.96</v>
      </c>
    </row>
    <row r="2590" spans="1:7" x14ac:dyDescent="0.25">
      <c r="A2590" s="116" t="s">
        <v>3893</v>
      </c>
      <c r="B2590" s="117" t="s">
        <v>3894</v>
      </c>
      <c r="C2590" t="s">
        <v>67</v>
      </c>
      <c r="D2590" t="s">
        <v>67</v>
      </c>
      <c r="E2590" t="s">
        <v>67</v>
      </c>
      <c r="F2590" t="s">
        <v>27987</v>
      </c>
      <c r="G2590" s="117">
        <v>55.37</v>
      </c>
    </row>
    <row r="2591" spans="1:7" x14ac:dyDescent="0.25">
      <c r="A2591" s="116" t="s">
        <v>3895</v>
      </c>
      <c r="B2591" s="117" t="s">
        <v>3896</v>
      </c>
      <c r="C2591" t="s">
        <v>67</v>
      </c>
      <c r="D2591" t="s">
        <v>67</v>
      </c>
      <c r="E2591" t="s">
        <v>67</v>
      </c>
      <c r="F2591" t="s">
        <v>49</v>
      </c>
      <c r="G2591" s="117">
        <v>48.5</v>
      </c>
    </row>
    <row r="2592" spans="1:7" x14ac:dyDescent="0.25">
      <c r="A2592" s="116" t="s">
        <v>3897</v>
      </c>
      <c r="B2592" s="117" t="s">
        <v>3898</v>
      </c>
      <c r="C2592" t="s">
        <v>67</v>
      </c>
      <c r="D2592" t="s">
        <v>67</v>
      </c>
      <c r="E2592" t="s">
        <v>67</v>
      </c>
      <c r="F2592" t="s">
        <v>45</v>
      </c>
      <c r="G2592" s="117">
        <v>44.94</v>
      </c>
    </row>
    <row r="2593" spans="1:7" x14ac:dyDescent="0.25">
      <c r="A2593" s="116" t="s">
        <v>3899</v>
      </c>
      <c r="B2593" s="117" t="s">
        <v>3900</v>
      </c>
      <c r="C2593" t="s">
        <v>67</v>
      </c>
      <c r="D2593" t="s">
        <v>67</v>
      </c>
      <c r="E2593" t="s">
        <v>67</v>
      </c>
      <c r="F2593" t="s">
        <v>45</v>
      </c>
      <c r="G2593" s="117">
        <v>68.430000000000007</v>
      </c>
    </row>
    <row r="2594" spans="1:7" x14ac:dyDescent="0.25">
      <c r="A2594" s="116" t="s">
        <v>3901</v>
      </c>
      <c r="B2594" s="117" t="s">
        <v>3902</v>
      </c>
      <c r="C2594" t="s">
        <v>67</v>
      </c>
      <c r="D2594" t="s">
        <v>67</v>
      </c>
      <c r="E2594" t="s">
        <v>67</v>
      </c>
      <c r="F2594" t="s">
        <v>45</v>
      </c>
      <c r="G2594" s="117">
        <v>53.3</v>
      </c>
    </row>
    <row r="2595" spans="1:7" x14ac:dyDescent="0.25">
      <c r="A2595" s="116" t="s">
        <v>3903</v>
      </c>
      <c r="B2595" s="117" t="s">
        <v>3904</v>
      </c>
      <c r="C2595" t="s">
        <v>67</v>
      </c>
      <c r="D2595" t="s">
        <v>67</v>
      </c>
      <c r="E2595" t="s">
        <v>67</v>
      </c>
      <c r="F2595" t="s">
        <v>27987</v>
      </c>
      <c r="G2595" s="117">
        <v>86.23</v>
      </c>
    </row>
    <row r="2596" spans="1:7" x14ac:dyDescent="0.25">
      <c r="A2596" s="116" t="s">
        <v>3905</v>
      </c>
      <c r="B2596" s="117" t="s">
        <v>3906</v>
      </c>
      <c r="C2596" t="s">
        <v>67</v>
      </c>
      <c r="D2596" t="s">
        <v>67</v>
      </c>
      <c r="E2596" t="s">
        <v>67</v>
      </c>
      <c r="F2596" t="s">
        <v>45</v>
      </c>
      <c r="G2596" s="117">
        <v>48.5</v>
      </c>
    </row>
    <row r="2597" spans="1:7" x14ac:dyDescent="0.25">
      <c r="A2597" s="116" t="s">
        <v>3907</v>
      </c>
      <c r="B2597" s="117" t="s">
        <v>3908</v>
      </c>
      <c r="C2597" t="s">
        <v>67</v>
      </c>
      <c r="D2597" t="s">
        <v>67</v>
      </c>
      <c r="E2597" t="s">
        <v>67</v>
      </c>
      <c r="F2597" t="s">
        <v>45</v>
      </c>
      <c r="G2597" s="117">
        <v>115.58</v>
      </c>
    </row>
    <row r="2598" spans="1:7" x14ac:dyDescent="0.25">
      <c r="A2598" s="116" t="s">
        <v>3909</v>
      </c>
      <c r="B2598" s="117" t="s">
        <v>3910</v>
      </c>
      <c r="C2598" t="s">
        <v>67</v>
      </c>
      <c r="D2598" t="s">
        <v>67</v>
      </c>
      <c r="E2598" t="s">
        <v>67</v>
      </c>
      <c r="F2598" t="s">
        <v>45</v>
      </c>
      <c r="G2598" s="117">
        <v>64.87</v>
      </c>
    </row>
    <row r="2599" spans="1:7" x14ac:dyDescent="0.25">
      <c r="A2599" s="116" t="s">
        <v>3911</v>
      </c>
      <c r="B2599" s="117" t="s">
        <v>3912</v>
      </c>
      <c r="C2599" t="s">
        <v>67</v>
      </c>
      <c r="D2599" t="s">
        <v>67</v>
      </c>
      <c r="E2599" t="s">
        <v>67</v>
      </c>
      <c r="F2599" t="s">
        <v>45</v>
      </c>
      <c r="G2599" s="117">
        <v>35.5</v>
      </c>
    </row>
    <row r="2600" spans="1:7" x14ac:dyDescent="0.25">
      <c r="A2600" s="116" t="s">
        <v>3913</v>
      </c>
      <c r="B2600" s="117" t="s">
        <v>3912</v>
      </c>
      <c r="C2600" t="s">
        <v>67</v>
      </c>
      <c r="D2600" t="s">
        <v>67</v>
      </c>
      <c r="E2600" t="s">
        <v>67</v>
      </c>
      <c r="F2600" t="s">
        <v>45</v>
      </c>
      <c r="G2600" s="117">
        <v>31.94</v>
      </c>
    </row>
    <row r="2601" spans="1:7" x14ac:dyDescent="0.25">
      <c r="A2601" s="116" t="s">
        <v>3914</v>
      </c>
      <c r="B2601" s="117" t="s">
        <v>3915</v>
      </c>
      <c r="C2601" t="s">
        <v>67</v>
      </c>
      <c r="D2601" t="s">
        <v>67</v>
      </c>
      <c r="E2601" t="s">
        <v>67</v>
      </c>
      <c r="F2601" t="s">
        <v>45</v>
      </c>
      <c r="G2601" s="117">
        <v>28.38</v>
      </c>
    </row>
    <row r="2602" spans="1:7" x14ac:dyDescent="0.25">
      <c r="A2602" s="116" t="s">
        <v>3916</v>
      </c>
      <c r="B2602" s="117" t="s">
        <v>3917</v>
      </c>
      <c r="C2602" t="s">
        <v>67</v>
      </c>
      <c r="D2602" t="s">
        <v>67</v>
      </c>
      <c r="E2602" t="s">
        <v>67</v>
      </c>
      <c r="F2602" t="s">
        <v>45</v>
      </c>
      <c r="G2602" s="117">
        <v>170.4</v>
      </c>
    </row>
    <row r="2603" spans="1:7" x14ac:dyDescent="0.25">
      <c r="A2603" s="116" t="s">
        <v>3918</v>
      </c>
      <c r="B2603" s="117" t="s">
        <v>3919</v>
      </c>
      <c r="C2603" t="s">
        <v>67</v>
      </c>
      <c r="D2603" t="s">
        <v>67</v>
      </c>
      <c r="E2603" t="s">
        <v>67</v>
      </c>
      <c r="F2603" t="s">
        <v>45</v>
      </c>
      <c r="G2603" s="117">
        <v>12.9</v>
      </c>
    </row>
    <row r="2604" spans="1:7" x14ac:dyDescent="0.25">
      <c r="A2604" s="116" t="s">
        <v>3920</v>
      </c>
      <c r="B2604" s="117" t="s">
        <v>3921</v>
      </c>
      <c r="C2604" t="s">
        <v>67</v>
      </c>
      <c r="D2604" t="s">
        <v>67</v>
      </c>
      <c r="E2604" t="s">
        <v>67</v>
      </c>
      <c r="F2604" t="s">
        <v>27987</v>
      </c>
      <c r="G2604" s="117">
        <v>12.9</v>
      </c>
    </row>
    <row r="2605" spans="1:7" x14ac:dyDescent="0.25">
      <c r="A2605" s="116" t="s">
        <v>3922</v>
      </c>
      <c r="B2605" s="117" t="s">
        <v>3923</v>
      </c>
      <c r="C2605" t="s">
        <v>67</v>
      </c>
      <c r="D2605" t="s">
        <v>67</v>
      </c>
      <c r="E2605" t="s">
        <v>67</v>
      </c>
      <c r="F2605" t="s">
        <v>45</v>
      </c>
      <c r="G2605" s="117">
        <v>41.38</v>
      </c>
    </row>
    <row r="2606" spans="1:7" x14ac:dyDescent="0.25">
      <c r="A2606" s="116" t="s">
        <v>3924</v>
      </c>
      <c r="B2606" s="117" t="s">
        <v>1267</v>
      </c>
      <c r="C2606" t="s">
        <v>67</v>
      </c>
      <c r="D2606" t="s">
        <v>67</v>
      </c>
      <c r="E2606" t="s">
        <v>67</v>
      </c>
      <c r="F2606" t="s">
        <v>27987</v>
      </c>
      <c r="G2606" s="117">
        <v>20.38</v>
      </c>
    </row>
    <row r="2607" spans="1:7" x14ac:dyDescent="0.25">
      <c r="A2607" s="116" t="s">
        <v>3925</v>
      </c>
      <c r="B2607" s="117" t="s">
        <v>3926</v>
      </c>
      <c r="C2607" t="s">
        <v>67</v>
      </c>
      <c r="D2607" t="s">
        <v>67</v>
      </c>
      <c r="E2607" t="s">
        <v>67</v>
      </c>
      <c r="F2607" t="s">
        <v>27987</v>
      </c>
      <c r="G2607" s="117">
        <v>52.94</v>
      </c>
    </row>
    <row r="2608" spans="1:7" x14ac:dyDescent="0.25">
      <c r="A2608" s="116" t="s">
        <v>3927</v>
      </c>
      <c r="B2608" s="117" t="s">
        <v>3928</v>
      </c>
      <c r="C2608" t="s">
        <v>67</v>
      </c>
      <c r="D2608" t="s">
        <v>67</v>
      </c>
      <c r="E2608" t="s">
        <v>67</v>
      </c>
      <c r="F2608" t="s">
        <v>45</v>
      </c>
      <c r="G2608" s="117">
        <v>9.6999999999999993</v>
      </c>
    </row>
    <row r="2609" spans="1:7" x14ac:dyDescent="0.25">
      <c r="A2609" s="116" t="s">
        <v>3929</v>
      </c>
      <c r="B2609" s="117" t="s">
        <v>3930</v>
      </c>
      <c r="C2609" t="s">
        <v>67</v>
      </c>
      <c r="D2609" t="s">
        <v>67</v>
      </c>
      <c r="E2609" t="s">
        <v>67</v>
      </c>
      <c r="F2609" t="s">
        <v>27987</v>
      </c>
      <c r="G2609" s="117">
        <v>68.430000000000007</v>
      </c>
    </row>
    <row r="2610" spans="1:7" x14ac:dyDescent="0.25">
      <c r="A2610" s="116" t="s">
        <v>3931</v>
      </c>
      <c r="B2610" s="117" t="s">
        <v>3932</v>
      </c>
      <c r="C2610" t="s">
        <v>67</v>
      </c>
      <c r="D2610" t="s">
        <v>67</v>
      </c>
      <c r="E2610" t="s">
        <v>67</v>
      </c>
      <c r="F2610" t="s">
        <v>45</v>
      </c>
      <c r="G2610" s="117">
        <v>73.42</v>
      </c>
    </row>
    <row r="2611" spans="1:7" x14ac:dyDescent="0.25">
      <c r="A2611" s="116" t="s">
        <v>3933</v>
      </c>
      <c r="B2611" s="117" t="s">
        <v>3934</v>
      </c>
      <c r="C2611" t="s">
        <v>67</v>
      </c>
      <c r="D2611" t="s">
        <v>67</v>
      </c>
      <c r="E2611" t="s">
        <v>67</v>
      </c>
      <c r="F2611" t="s">
        <v>45</v>
      </c>
      <c r="G2611" s="117">
        <v>16.82</v>
      </c>
    </row>
    <row r="2612" spans="1:7" x14ac:dyDescent="0.25">
      <c r="A2612" s="116" t="s">
        <v>3935</v>
      </c>
      <c r="B2612" s="117" t="s">
        <v>3936</v>
      </c>
      <c r="C2612" t="s">
        <v>67</v>
      </c>
      <c r="D2612" t="s">
        <v>67</v>
      </c>
      <c r="E2612" t="s">
        <v>67</v>
      </c>
      <c r="F2612" t="s">
        <v>45</v>
      </c>
      <c r="G2612" s="117">
        <v>84.98</v>
      </c>
    </row>
    <row r="2613" spans="1:7" x14ac:dyDescent="0.25">
      <c r="A2613" s="116" t="s">
        <v>3937</v>
      </c>
      <c r="B2613" s="117" t="s">
        <v>3938</v>
      </c>
      <c r="C2613" t="s">
        <v>67</v>
      </c>
      <c r="D2613" t="s">
        <v>67</v>
      </c>
      <c r="E2613" t="s">
        <v>67</v>
      </c>
      <c r="F2613" t="s">
        <v>45</v>
      </c>
      <c r="G2613" s="117">
        <v>54.19</v>
      </c>
    </row>
    <row r="2614" spans="1:7" x14ac:dyDescent="0.25">
      <c r="A2614" s="116" t="s">
        <v>3939</v>
      </c>
      <c r="B2614" s="117" t="s">
        <v>3940</v>
      </c>
      <c r="C2614" t="s">
        <v>67</v>
      </c>
      <c r="D2614" t="s">
        <v>67</v>
      </c>
      <c r="E2614" t="s">
        <v>67</v>
      </c>
      <c r="F2614" t="s">
        <v>27987</v>
      </c>
      <c r="G2614" s="117">
        <v>111.14</v>
      </c>
    </row>
    <row r="2615" spans="1:7" x14ac:dyDescent="0.25">
      <c r="A2615" s="116" t="s">
        <v>3941</v>
      </c>
      <c r="B2615" s="117" t="s">
        <v>3942</v>
      </c>
      <c r="C2615" t="s">
        <v>67</v>
      </c>
      <c r="D2615" t="s">
        <v>67</v>
      </c>
      <c r="E2615" t="s">
        <v>67</v>
      </c>
      <c r="F2615" t="s">
        <v>27987</v>
      </c>
      <c r="G2615" s="117">
        <v>61.85</v>
      </c>
    </row>
    <row r="2616" spans="1:7" x14ac:dyDescent="0.25">
      <c r="A2616" s="116" t="s">
        <v>3943</v>
      </c>
      <c r="B2616" s="117" t="s">
        <v>3944</v>
      </c>
      <c r="C2616" t="s">
        <v>67</v>
      </c>
      <c r="D2616" t="s">
        <v>67</v>
      </c>
      <c r="E2616" t="s">
        <v>67</v>
      </c>
      <c r="F2616" t="s">
        <v>45</v>
      </c>
      <c r="G2616" s="117">
        <v>44.94</v>
      </c>
    </row>
    <row r="2617" spans="1:7" x14ac:dyDescent="0.25">
      <c r="A2617" s="116" t="s">
        <v>3945</v>
      </c>
      <c r="B2617" s="117" t="s">
        <v>3946</v>
      </c>
      <c r="C2617" t="s">
        <v>67</v>
      </c>
      <c r="D2617" t="s">
        <v>67</v>
      </c>
      <c r="E2617" t="s">
        <v>67</v>
      </c>
      <c r="F2617" t="s">
        <v>45</v>
      </c>
      <c r="G2617" s="117">
        <v>48.86</v>
      </c>
    </row>
    <row r="2618" spans="1:7" x14ac:dyDescent="0.25">
      <c r="A2618" s="116" t="s">
        <v>3947</v>
      </c>
      <c r="B2618" s="117" t="s">
        <v>3948</v>
      </c>
      <c r="C2618" t="s">
        <v>67</v>
      </c>
      <c r="D2618" t="s">
        <v>67</v>
      </c>
      <c r="E2618" t="s">
        <v>67</v>
      </c>
      <c r="F2618" t="s">
        <v>27987</v>
      </c>
      <c r="G2618" s="117">
        <v>55.62</v>
      </c>
    </row>
    <row r="2619" spans="1:7" x14ac:dyDescent="0.25">
      <c r="A2619" s="116" t="s">
        <v>3949</v>
      </c>
      <c r="B2619" s="117" t="s">
        <v>3950</v>
      </c>
      <c r="C2619" t="s">
        <v>67</v>
      </c>
      <c r="D2619" t="s">
        <v>67</v>
      </c>
      <c r="E2619" t="s">
        <v>67</v>
      </c>
      <c r="F2619" t="s">
        <v>45</v>
      </c>
      <c r="G2619" s="117">
        <v>100.46</v>
      </c>
    </row>
    <row r="2620" spans="1:7" x14ac:dyDescent="0.25">
      <c r="A2620" s="116" t="s">
        <v>3951</v>
      </c>
      <c r="B2620" s="117" t="s">
        <v>3952</v>
      </c>
      <c r="C2620" t="s">
        <v>67</v>
      </c>
      <c r="D2620" t="s">
        <v>67</v>
      </c>
      <c r="E2620" t="s">
        <v>67</v>
      </c>
      <c r="F2620" t="s">
        <v>45</v>
      </c>
      <c r="G2620" s="117">
        <v>185.88</v>
      </c>
    </row>
    <row r="2621" spans="1:7" x14ac:dyDescent="0.25">
      <c r="A2621" s="116" t="s">
        <v>3953</v>
      </c>
      <c r="B2621" s="117" t="s">
        <v>3954</v>
      </c>
      <c r="C2621" t="s">
        <v>67</v>
      </c>
      <c r="D2621" t="s">
        <v>67</v>
      </c>
      <c r="E2621" t="s">
        <v>67</v>
      </c>
      <c r="F2621" t="s">
        <v>45</v>
      </c>
      <c r="G2621" s="117">
        <v>140.13999999999999</v>
      </c>
    </row>
    <row r="2622" spans="1:7" x14ac:dyDescent="0.25">
      <c r="A2622" s="116" t="s">
        <v>3955</v>
      </c>
      <c r="B2622" s="117" t="s">
        <v>3956</v>
      </c>
      <c r="C2622" t="s">
        <v>67</v>
      </c>
      <c r="D2622" t="s">
        <v>67</v>
      </c>
      <c r="E2622" t="s">
        <v>67</v>
      </c>
      <c r="F2622" t="s">
        <v>27987</v>
      </c>
      <c r="G2622" s="117">
        <v>59.18</v>
      </c>
    </row>
    <row r="2623" spans="1:7" x14ac:dyDescent="0.25">
      <c r="A2623" s="116" t="s">
        <v>3957</v>
      </c>
      <c r="B2623" s="117" t="s">
        <v>3958</v>
      </c>
      <c r="C2623" t="s">
        <v>67</v>
      </c>
      <c r="D2623" t="s">
        <v>67</v>
      </c>
      <c r="E2623" t="s">
        <v>67</v>
      </c>
      <c r="F2623" t="s">
        <v>27987</v>
      </c>
      <c r="G2623" s="117">
        <v>46.18</v>
      </c>
    </row>
    <row r="2624" spans="1:7" x14ac:dyDescent="0.25">
      <c r="A2624" s="116" t="s">
        <v>3959</v>
      </c>
      <c r="B2624" s="117" t="s">
        <v>3960</v>
      </c>
      <c r="C2624" t="s">
        <v>67</v>
      </c>
      <c r="D2624" t="s">
        <v>67</v>
      </c>
      <c r="E2624" t="s">
        <v>67</v>
      </c>
      <c r="F2624" t="s">
        <v>45</v>
      </c>
      <c r="G2624" s="117">
        <v>15.57</v>
      </c>
    </row>
    <row r="2625" spans="1:7" x14ac:dyDescent="0.25">
      <c r="A2625" s="116" t="s">
        <v>3961</v>
      </c>
      <c r="B2625" s="117" t="s">
        <v>3962</v>
      </c>
      <c r="C2625" t="s">
        <v>67</v>
      </c>
      <c r="D2625" t="s">
        <v>67</v>
      </c>
      <c r="E2625" t="s">
        <v>67</v>
      </c>
      <c r="F2625" t="s">
        <v>27987</v>
      </c>
      <c r="G2625" s="117">
        <v>31.06</v>
      </c>
    </row>
    <row r="2626" spans="1:7" x14ac:dyDescent="0.25">
      <c r="A2626" s="116" t="s">
        <v>3963</v>
      </c>
      <c r="B2626" s="117" t="s">
        <v>3964</v>
      </c>
      <c r="C2626" t="s">
        <v>67</v>
      </c>
      <c r="D2626" t="s">
        <v>67</v>
      </c>
      <c r="E2626" t="s">
        <v>67</v>
      </c>
      <c r="F2626" t="s">
        <v>27987</v>
      </c>
      <c r="G2626" s="117">
        <v>59.18</v>
      </c>
    </row>
    <row r="2627" spans="1:7" x14ac:dyDescent="0.25">
      <c r="A2627" s="116" t="s">
        <v>3965</v>
      </c>
      <c r="B2627" s="117" t="s">
        <v>3966</v>
      </c>
      <c r="C2627" t="s">
        <v>67</v>
      </c>
      <c r="D2627" t="s">
        <v>67</v>
      </c>
      <c r="E2627" t="s">
        <v>67</v>
      </c>
      <c r="F2627" t="s">
        <v>45</v>
      </c>
      <c r="G2627" s="117">
        <v>24.82</v>
      </c>
    </row>
    <row r="2628" spans="1:7" x14ac:dyDescent="0.25">
      <c r="A2628" s="116" t="s">
        <v>3967</v>
      </c>
      <c r="B2628" s="117" t="s">
        <v>3968</v>
      </c>
      <c r="C2628" t="s">
        <v>67</v>
      </c>
      <c r="D2628" t="s">
        <v>67</v>
      </c>
      <c r="E2628" t="s">
        <v>67</v>
      </c>
      <c r="F2628" t="s">
        <v>27987</v>
      </c>
      <c r="G2628" s="117">
        <v>22.69</v>
      </c>
    </row>
    <row r="2629" spans="1:7" x14ac:dyDescent="0.25">
      <c r="A2629" s="116" t="s">
        <v>3969</v>
      </c>
      <c r="B2629" s="117" t="s">
        <v>3970</v>
      </c>
      <c r="C2629" t="s">
        <v>67</v>
      </c>
      <c r="D2629" t="s">
        <v>67</v>
      </c>
      <c r="E2629" t="s">
        <v>67</v>
      </c>
      <c r="F2629" t="s">
        <v>27987</v>
      </c>
      <c r="G2629" s="117">
        <v>34.26</v>
      </c>
    </row>
    <row r="2630" spans="1:7" x14ac:dyDescent="0.25">
      <c r="A2630" s="116" t="s">
        <v>3971</v>
      </c>
      <c r="B2630" s="117" t="s">
        <v>3972</v>
      </c>
      <c r="C2630" t="s">
        <v>67</v>
      </c>
      <c r="D2630" t="s">
        <v>67</v>
      </c>
      <c r="E2630" t="s">
        <v>67</v>
      </c>
      <c r="F2630" t="s">
        <v>27987</v>
      </c>
      <c r="G2630" s="117">
        <v>169.87</v>
      </c>
    </row>
    <row r="2631" spans="1:7" x14ac:dyDescent="0.25">
      <c r="A2631" s="116" t="s">
        <v>3973</v>
      </c>
      <c r="B2631" s="117" t="s">
        <v>3974</v>
      </c>
      <c r="C2631" t="s">
        <v>67</v>
      </c>
      <c r="D2631" t="s">
        <v>67</v>
      </c>
      <c r="E2631" t="s">
        <v>67</v>
      </c>
      <c r="F2631" t="s">
        <v>27987</v>
      </c>
      <c r="G2631" s="117">
        <v>71.099999999999994</v>
      </c>
    </row>
    <row r="2632" spans="1:7" x14ac:dyDescent="0.25">
      <c r="A2632" s="116" t="s">
        <v>3975</v>
      </c>
      <c r="B2632" s="117" t="s">
        <v>3976</v>
      </c>
      <c r="C2632" t="s">
        <v>67</v>
      </c>
      <c r="D2632" t="s">
        <v>67</v>
      </c>
      <c r="E2632" t="s">
        <v>67</v>
      </c>
      <c r="F2632" t="s">
        <v>45</v>
      </c>
      <c r="G2632" s="117">
        <v>46.18</v>
      </c>
    </row>
    <row r="2633" spans="1:7" x14ac:dyDescent="0.25">
      <c r="A2633" s="116" t="s">
        <v>3977</v>
      </c>
      <c r="B2633" s="117" t="s">
        <v>3978</v>
      </c>
      <c r="C2633" t="s">
        <v>67</v>
      </c>
      <c r="D2633" t="s">
        <v>67</v>
      </c>
      <c r="E2633" t="s">
        <v>67</v>
      </c>
      <c r="F2633" t="s">
        <v>27987</v>
      </c>
      <c r="G2633" s="117">
        <v>4.8899999999999997</v>
      </c>
    </row>
    <row r="2634" spans="1:7" x14ac:dyDescent="0.25">
      <c r="A2634" s="116" t="s">
        <v>3979</v>
      </c>
      <c r="B2634" s="117" t="s">
        <v>3980</v>
      </c>
      <c r="C2634" t="s">
        <v>67</v>
      </c>
      <c r="D2634" t="s">
        <v>67</v>
      </c>
      <c r="E2634" t="s">
        <v>67</v>
      </c>
      <c r="F2634" t="s">
        <v>27987</v>
      </c>
      <c r="G2634" s="117">
        <v>239.81</v>
      </c>
    </row>
    <row r="2635" spans="1:7" x14ac:dyDescent="0.25">
      <c r="A2635" s="116" t="s">
        <v>3981</v>
      </c>
      <c r="B2635" s="117" t="s">
        <v>3982</v>
      </c>
      <c r="C2635" t="s">
        <v>67</v>
      </c>
      <c r="D2635" t="s">
        <v>67</v>
      </c>
      <c r="E2635" t="s">
        <v>67</v>
      </c>
      <c r="F2635" t="s">
        <v>45</v>
      </c>
      <c r="G2635" s="117">
        <v>147.62</v>
      </c>
    </row>
    <row r="2636" spans="1:7" x14ac:dyDescent="0.25">
      <c r="A2636" s="116" t="s">
        <v>3983</v>
      </c>
      <c r="B2636" s="117" t="s">
        <v>3984</v>
      </c>
      <c r="C2636" t="s">
        <v>67</v>
      </c>
      <c r="D2636" t="s">
        <v>67</v>
      </c>
      <c r="E2636" t="s">
        <v>67</v>
      </c>
      <c r="F2636" t="s">
        <v>27987</v>
      </c>
      <c r="G2636" s="117">
        <v>41.74</v>
      </c>
    </row>
    <row r="2637" spans="1:7" x14ac:dyDescent="0.25">
      <c r="A2637" s="116" t="s">
        <v>3985</v>
      </c>
      <c r="B2637" s="117" t="s">
        <v>3986</v>
      </c>
      <c r="C2637" t="s">
        <v>67</v>
      </c>
      <c r="D2637" t="s">
        <v>67</v>
      </c>
      <c r="E2637" t="s">
        <v>67</v>
      </c>
      <c r="F2637" t="s">
        <v>45</v>
      </c>
      <c r="G2637" s="117">
        <v>49.74</v>
      </c>
    </row>
    <row r="2638" spans="1:7" x14ac:dyDescent="0.25">
      <c r="A2638" s="116" t="s">
        <v>3987</v>
      </c>
      <c r="B2638" s="117" t="s">
        <v>3988</v>
      </c>
      <c r="C2638" t="s">
        <v>67</v>
      </c>
      <c r="D2638" t="s">
        <v>67</v>
      </c>
      <c r="E2638" t="s">
        <v>67</v>
      </c>
      <c r="F2638" t="s">
        <v>27987</v>
      </c>
      <c r="G2638" s="117">
        <v>125.38</v>
      </c>
    </row>
    <row r="2639" spans="1:7" x14ac:dyDescent="0.25">
      <c r="A2639" s="116" t="s">
        <v>3989</v>
      </c>
      <c r="B2639" s="117" t="s">
        <v>3990</v>
      </c>
      <c r="C2639" t="s">
        <v>67</v>
      </c>
      <c r="D2639" t="s">
        <v>67</v>
      </c>
      <c r="E2639" t="s">
        <v>67</v>
      </c>
      <c r="F2639" t="s">
        <v>27987</v>
      </c>
      <c r="G2639" s="117">
        <v>51.17</v>
      </c>
    </row>
    <row r="2640" spans="1:7" x14ac:dyDescent="0.25">
      <c r="A2640" s="116" t="s">
        <v>3991</v>
      </c>
      <c r="B2640" s="117" t="s">
        <v>3992</v>
      </c>
      <c r="C2640" t="s">
        <v>67</v>
      </c>
      <c r="D2640" t="s">
        <v>67</v>
      </c>
      <c r="E2640" t="s">
        <v>67</v>
      </c>
      <c r="F2640" t="s">
        <v>27987</v>
      </c>
      <c r="G2640" s="117">
        <v>49.74</v>
      </c>
    </row>
    <row r="2641" spans="1:7" x14ac:dyDescent="0.25">
      <c r="A2641" s="116" t="s">
        <v>3993</v>
      </c>
      <c r="B2641" s="117" t="s">
        <v>3994</v>
      </c>
      <c r="C2641" t="s">
        <v>67</v>
      </c>
      <c r="D2641" t="s">
        <v>67</v>
      </c>
      <c r="E2641" t="s">
        <v>67</v>
      </c>
      <c r="F2641" t="s">
        <v>45</v>
      </c>
      <c r="G2641" s="117">
        <v>63.98</v>
      </c>
    </row>
    <row r="2642" spans="1:7" x14ac:dyDescent="0.25">
      <c r="A2642" s="116" t="s">
        <v>3995</v>
      </c>
      <c r="B2642" s="117" t="s">
        <v>3996</v>
      </c>
      <c r="C2642" t="s">
        <v>67</v>
      </c>
      <c r="D2642" t="s">
        <v>67</v>
      </c>
      <c r="E2642" t="s">
        <v>67</v>
      </c>
      <c r="F2642" t="s">
        <v>27987</v>
      </c>
      <c r="G2642" s="117">
        <v>135.69999999999999</v>
      </c>
    </row>
    <row r="2643" spans="1:7" x14ac:dyDescent="0.25">
      <c r="A2643" s="116" t="s">
        <v>3997</v>
      </c>
      <c r="B2643" s="117" t="s">
        <v>3998</v>
      </c>
      <c r="C2643" t="s">
        <v>67</v>
      </c>
      <c r="D2643" t="s">
        <v>67</v>
      </c>
      <c r="E2643" t="s">
        <v>67</v>
      </c>
      <c r="F2643" t="s">
        <v>27987</v>
      </c>
      <c r="G2643" s="117">
        <v>82.14</v>
      </c>
    </row>
    <row r="2644" spans="1:7" x14ac:dyDescent="0.25">
      <c r="A2644" s="116" t="s">
        <v>3999</v>
      </c>
      <c r="B2644" s="117" t="s">
        <v>4000</v>
      </c>
      <c r="C2644" t="s">
        <v>67</v>
      </c>
      <c r="D2644" t="s">
        <v>67</v>
      </c>
      <c r="E2644" t="s">
        <v>67</v>
      </c>
      <c r="F2644" t="s">
        <v>45</v>
      </c>
      <c r="G2644" s="117">
        <v>82.67</v>
      </c>
    </row>
    <row r="2645" spans="1:7" x14ac:dyDescent="0.25">
      <c r="A2645" s="116" t="s">
        <v>4001</v>
      </c>
      <c r="B2645" s="117" t="s">
        <v>4002</v>
      </c>
      <c r="C2645" t="s">
        <v>67</v>
      </c>
      <c r="D2645" t="s">
        <v>67</v>
      </c>
      <c r="E2645" t="s">
        <v>67</v>
      </c>
      <c r="F2645" t="s">
        <v>27987</v>
      </c>
      <c r="G2645" s="117">
        <v>16.82</v>
      </c>
    </row>
    <row r="2646" spans="1:7" x14ac:dyDescent="0.25">
      <c r="A2646" s="116" t="s">
        <v>4003</v>
      </c>
      <c r="B2646" s="117" t="s">
        <v>4004</v>
      </c>
      <c r="C2646" t="s">
        <v>67</v>
      </c>
      <c r="D2646" t="s">
        <v>67</v>
      </c>
      <c r="E2646" t="s">
        <v>67</v>
      </c>
      <c r="F2646" t="s">
        <v>27987</v>
      </c>
      <c r="G2646" s="117">
        <v>24.48</v>
      </c>
    </row>
    <row r="2647" spans="1:7" x14ac:dyDescent="0.25">
      <c r="A2647" s="116" t="s">
        <v>4005</v>
      </c>
      <c r="B2647" s="117" t="s">
        <v>4006</v>
      </c>
      <c r="C2647" t="s">
        <v>67</v>
      </c>
      <c r="D2647" t="s">
        <v>67</v>
      </c>
      <c r="E2647" t="s">
        <v>67</v>
      </c>
      <c r="F2647" t="s">
        <v>27987</v>
      </c>
      <c r="G2647" s="117">
        <v>28.02</v>
      </c>
    </row>
    <row r="2648" spans="1:7" x14ac:dyDescent="0.25">
      <c r="A2648" s="116" t="s">
        <v>4007</v>
      </c>
      <c r="B2648" s="117" t="s">
        <v>4008</v>
      </c>
      <c r="C2648" t="s">
        <v>67</v>
      </c>
      <c r="D2648" t="s">
        <v>67</v>
      </c>
      <c r="E2648" t="s">
        <v>67</v>
      </c>
      <c r="F2648" t="s">
        <v>45</v>
      </c>
      <c r="G2648" s="117">
        <v>54.19</v>
      </c>
    </row>
    <row r="2649" spans="1:7" x14ac:dyDescent="0.25">
      <c r="A2649" s="116" t="s">
        <v>4009</v>
      </c>
      <c r="B2649" s="117" t="s">
        <v>4010</v>
      </c>
      <c r="C2649" t="s">
        <v>67</v>
      </c>
      <c r="D2649" t="s">
        <v>67</v>
      </c>
      <c r="E2649" t="s">
        <v>67</v>
      </c>
      <c r="F2649" t="s">
        <v>45</v>
      </c>
      <c r="G2649" s="117">
        <v>52.06</v>
      </c>
    </row>
    <row r="2650" spans="1:7" x14ac:dyDescent="0.25">
      <c r="A2650" s="116" t="s">
        <v>4011</v>
      </c>
      <c r="B2650" s="117" t="s">
        <v>4012</v>
      </c>
      <c r="C2650" t="s">
        <v>67</v>
      </c>
      <c r="D2650" t="s">
        <v>67</v>
      </c>
      <c r="E2650" t="s">
        <v>67</v>
      </c>
      <c r="F2650" t="s">
        <v>45</v>
      </c>
      <c r="G2650" s="117">
        <v>59.18</v>
      </c>
    </row>
    <row r="2651" spans="1:7" x14ac:dyDescent="0.25">
      <c r="A2651" s="116" t="s">
        <v>4013</v>
      </c>
      <c r="B2651" s="117" t="s">
        <v>4014</v>
      </c>
      <c r="C2651" t="s">
        <v>67</v>
      </c>
      <c r="D2651" t="s">
        <v>67</v>
      </c>
      <c r="E2651" t="s">
        <v>67</v>
      </c>
      <c r="F2651" t="s">
        <v>27987</v>
      </c>
      <c r="G2651" s="117">
        <v>44.2</v>
      </c>
    </row>
    <row r="2652" spans="1:7" x14ac:dyDescent="0.25">
      <c r="A2652" s="116" t="s">
        <v>4015</v>
      </c>
      <c r="B2652" s="117" t="s">
        <v>4016</v>
      </c>
      <c r="C2652" t="s">
        <v>67</v>
      </c>
      <c r="D2652" t="s">
        <v>67</v>
      </c>
      <c r="E2652" t="s">
        <v>67</v>
      </c>
      <c r="F2652" t="s">
        <v>27987</v>
      </c>
      <c r="G2652" s="117">
        <v>74.66</v>
      </c>
    </row>
    <row r="2653" spans="1:7" x14ac:dyDescent="0.25">
      <c r="A2653" s="116" t="s">
        <v>4017</v>
      </c>
      <c r="B2653" s="117" t="s">
        <v>4018</v>
      </c>
      <c r="C2653" t="s">
        <v>67</v>
      </c>
      <c r="D2653" t="s">
        <v>67</v>
      </c>
      <c r="E2653" t="s">
        <v>67</v>
      </c>
      <c r="F2653" t="s">
        <v>45</v>
      </c>
      <c r="G2653" s="117">
        <v>53.3</v>
      </c>
    </row>
    <row r="2654" spans="1:7" x14ac:dyDescent="0.25">
      <c r="A2654" s="116" t="s">
        <v>4019</v>
      </c>
      <c r="B2654" s="117" t="s">
        <v>4020</v>
      </c>
      <c r="C2654" t="s">
        <v>67</v>
      </c>
      <c r="D2654" t="s">
        <v>67</v>
      </c>
      <c r="E2654" t="s">
        <v>67</v>
      </c>
      <c r="F2654" t="s">
        <v>45</v>
      </c>
      <c r="G2654" s="117">
        <v>61.31</v>
      </c>
    </row>
    <row r="2655" spans="1:7" x14ac:dyDescent="0.25">
      <c r="A2655" s="116" t="s">
        <v>4021</v>
      </c>
      <c r="B2655" s="117" t="s">
        <v>4022</v>
      </c>
      <c r="C2655" t="s">
        <v>67</v>
      </c>
      <c r="D2655" t="s">
        <v>67</v>
      </c>
      <c r="E2655" t="s">
        <v>67</v>
      </c>
      <c r="F2655" t="s">
        <v>45</v>
      </c>
      <c r="G2655" s="117">
        <v>157.06</v>
      </c>
    </row>
    <row r="2656" spans="1:7" x14ac:dyDescent="0.25">
      <c r="A2656" s="116" t="s">
        <v>4023</v>
      </c>
      <c r="B2656" s="117" t="s">
        <v>4024</v>
      </c>
      <c r="C2656" t="s">
        <v>67</v>
      </c>
      <c r="D2656" t="s">
        <v>67</v>
      </c>
      <c r="E2656" t="s">
        <v>67</v>
      </c>
      <c r="F2656" t="s">
        <v>45</v>
      </c>
      <c r="G2656" s="117">
        <v>92.99</v>
      </c>
    </row>
    <row r="2657" spans="1:7" x14ac:dyDescent="0.25">
      <c r="A2657" s="116" t="s">
        <v>4025</v>
      </c>
      <c r="B2657" s="117" t="s">
        <v>4026</v>
      </c>
      <c r="C2657" t="s">
        <v>67</v>
      </c>
      <c r="D2657" t="s">
        <v>67</v>
      </c>
      <c r="E2657" t="s">
        <v>67</v>
      </c>
      <c r="F2657" t="s">
        <v>27987</v>
      </c>
      <c r="G2657" s="117">
        <v>15.57</v>
      </c>
    </row>
    <row r="2658" spans="1:7" x14ac:dyDescent="0.25">
      <c r="A2658" s="116" t="s">
        <v>4027</v>
      </c>
      <c r="B2658" s="117" t="s">
        <v>4028</v>
      </c>
      <c r="C2658" t="s">
        <v>67</v>
      </c>
      <c r="D2658" t="s">
        <v>67</v>
      </c>
      <c r="E2658" t="s">
        <v>67</v>
      </c>
      <c r="F2658" t="s">
        <v>45</v>
      </c>
      <c r="G2658" s="117">
        <v>24.51</v>
      </c>
    </row>
    <row r="2659" spans="1:7" x14ac:dyDescent="0.25">
      <c r="A2659" s="116" t="s">
        <v>4029</v>
      </c>
      <c r="B2659" s="117" t="s">
        <v>4030</v>
      </c>
      <c r="C2659" t="s">
        <v>67</v>
      </c>
      <c r="D2659" t="s">
        <v>67</v>
      </c>
      <c r="E2659" t="s">
        <v>67</v>
      </c>
      <c r="F2659" t="s">
        <v>45</v>
      </c>
      <c r="G2659" s="117">
        <v>47.61</v>
      </c>
    </row>
    <row r="2660" spans="1:7" x14ac:dyDescent="0.25">
      <c r="A2660" s="116" t="s">
        <v>4031</v>
      </c>
      <c r="B2660" s="117" t="s">
        <v>4032</v>
      </c>
      <c r="C2660" t="s">
        <v>67</v>
      </c>
      <c r="D2660" t="s">
        <v>67</v>
      </c>
      <c r="E2660" t="s">
        <v>67</v>
      </c>
      <c r="F2660" t="s">
        <v>27987</v>
      </c>
      <c r="G2660" s="117">
        <v>17.7</v>
      </c>
    </row>
    <row r="2661" spans="1:7" x14ac:dyDescent="0.25">
      <c r="A2661" s="116" t="s">
        <v>4033</v>
      </c>
      <c r="B2661" s="117" t="s">
        <v>4034</v>
      </c>
      <c r="C2661" t="s">
        <v>67</v>
      </c>
      <c r="D2661" t="s">
        <v>67</v>
      </c>
      <c r="E2661" t="s">
        <v>67</v>
      </c>
      <c r="F2661" t="s">
        <v>45</v>
      </c>
      <c r="G2661" s="117">
        <v>213.48</v>
      </c>
    </row>
    <row r="2662" spans="1:7" x14ac:dyDescent="0.25">
      <c r="A2662" s="116" t="s">
        <v>4035</v>
      </c>
      <c r="B2662" s="117" t="s">
        <v>4036</v>
      </c>
      <c r="C2662" t="s">
        <v>67</v>
      </c>
      <c r="D2662" t="s">
        <v>67</v>
      </c>
      <c r="E2662" t="s">
        <v>67</v>
      </c>
      <c r="F2662" t="s">
        <v>45</v>
      </c>
      <c r="G2662" s="117">
        <v>81.42</v>
      </c>
    </row>
    <row r="2663" spans="1:7" x14ac:dyDescent="0.25">
      <c r="A2663" s="116" t="s">
        <v>4037</v>
      </c>
      <c r="B2663" s="117" t="s">
        <v>3962</v>
      </c>
      <c r="C2663" t="s">
        <v>67</v>
      </c>
      <c r="D2663" t="s">
        <v>67</v>
      </c>
      <c r="E2663" t="s">
        <v>67</v>
      </c>
      <c r="F2663" t="s">
        <v>45</v>
      </c>
      <c r="G2663" s="117">
        <v>81.42</v>
      </c>
    </row>
    <row r="2664" spans="1:7" x14ac:dyDescent="0.25">
      <c r="A2664" s="116" t="s">
        <v>4038</v>
      </c>
      <c r="B2664" s="117" t="s">
        <v>4039</v>
      </c>
      <c r="C2664" t="s">
        <v>67</v>
      </c>
      <c r="D2664" t="s">
        <v>67</v>
      </c>
      <c r="E2664" t="s">
        <v>67</v>
      </c>
      <c r="F2664" t="s">
        <v>45</v>
      </c>
      <c r="G2664" s="117">
        <v>56.86</v>
      </c>
    </row>
    <row r="2665" spans="1:7" x14ac:dyDescent="0.25">
      <c r="A2665" s="116" t="s">
        <v>4040</v>
      </c>
      <c r="B2665" s="117" t="s">
        <v>4041</v>
      </c>
      <c r="C2665" t="s">
        <v>67</v>
      </c>
      <c r="D2665" t="s">
        <v>67</v>
      </c>
      <c r="E2665" t="s">
        <v>67</v>
      </c>
      <c r="F2665" t="s">
        <v>45</v>
      </c>
      <c r="G2665" s="117">
        <v>24.82</v>
      </c>
    </row>
    <row r="2666" spans="1:7" x14ac:dyDescent="0.25">
      <c r="A2666" s="116" t="s">
        <v>4042</v>
      </c>
      <c r="B2666" s="117" t="s">
        <v>864</v>
      </c>
      <c r="C2666" t="s">
        <v>67</v>
      </c>
      <c r="D2666" t="s">
        <v>67</v>
      </c>
      <c r="E2666" t="s">
        <v>67</v>
      </c>
      <c r="F2666" t="s">
        <v>27987</v>
      </c>
      <c r="G2666" s="117">
        <v>8.81</v>
      </c>
    </row>
    <row r="2667" spans="1:7" x14ac:dyDescent="0.25">
      <c r="A2667" s="116" t="s">
        <v>4043</v>
      </c>
      <c r="B2667" s="117" t="s">
        <v>4044</v>
      </c>
      <c r="C2667" t="s">
        <v>67</v>
      </c>
      <c r="D2667" t="s">
        <v>67</v>
      </c>
      <c r="E2667" t="s">
        <v>67</v>
      </c>
      <c r="F2667" t="s">
        <v>45</v>
      </c>
      <c r="G2667" s="117">
        <v>52.42</v>
      </c>
    </row>
    <row r="2668" spans="1:7" x14ac:dyDescent="0.25">
      <c r="A2668" s="116" t="s">
        <v>4045</v>
      </c>
      <c r="B2668" s="117" t="s">
        <v>4046</v>
      </c>
      <c r="C2668" t="s">
        <v>67</v>
      </c>
      <c r="D2668" t="s">
        <v>67</v>
      </c>
      <c r="E2668" t="s">
        <v>67</v>
      </c>
      <c r="F2668" t="s">
        <v>27987</v>
      </c>
      <c r="G2668" s="117">
        <v>152.97</v>
      </c>
    </row>
    <row r="2669" spans="1:7" x14ac:dyDescent="0.25">
      <c r="A2669" s="116" t="s">
        <v>4047</v>
      </c>
      <c r="B2669" s="117" t="s">
        <v>4048</v>
      </c>
      <c r="C2669" t="s">
        <v>67</v>
      </c>
      <c r="D2669" t="s">
        <v>67</v>
      </c>
      <c r="E2669" t="s">
        <v>67</v>
      </c>
      <c r="F2669" t="s">
        <v>27987</v>
      </c>
      <c r="G2669" s="117">
        <v>170.76</v>
      </c>
    </row>
    <row r="2670" spans="1:7" x14ac:dyDescent="0.25">
      <c r="A2670" s="116" t="s">
        <v>4049</v>
      </c>
      <c r="B2670" s="117" t="s">
        <v>4050</v>
      </c>
      <c r="C2670" t="s">
        <v>67</v>
      </c>
      <c r="D2670" t="s">
        <v>67</v>
      </c>
      <c r="E2670" t="s">
        <v>67</v>
      </c>
      <c r="F2670" t="s">
        <v>45</v>
      </c>
      <c r="G2670" s="117">
        <v>49.74</v>
      </c>
    </row>
    <row r="2671" spans="1:7" x14ac:dyDescent="0.25">
      <c r="A2671" s="116" t="s">
        <v>4051</v>
      </c>
      <c r="B2671" s="117" t="s">
        <v>4050</v>
      </c>
      <c r="C2671" t="s">
        <v>67</v>
      </c>
      <c r="D2671" t="s">
        <v>67</v>
      </c>
      <c r="E2671" t="s">
        <v>67</v>
      </c>
      <c r="F2671" t="s">
        <v>45</v>
      </c>
      <c r="G2671" s="117">
        <v>72.88</v>
      </c>
    </row>
    <row r="2672" spans="1:7" x14ac:dyDescent="0.25">
      <c r="A2672" s="116" t="s">
        <v>4052</v>
      </c>
      <c r="B2672" s="117" t="s">
        <v>4053</v>
      </c>
      <c r="C2672" t="s">
        <v>67</v>
      </c>
      <c r="D2672" t="s">
        <v>67</v>
      </c>
      <c r="E2672" t="s">
        <v>67</v>
      </c>
      <c r="F2672" t="s">
        <v>27987</v>
      </c>
      <c r="G2672" s="117">
        <v>20.02</v>
      </c>
    </row>
    <row r="2673" spans="1:7" x14ac:dyDescent="0.25">
      <c r="A2673" s="116" t="s">
        <v>4054</v>
      </c>
      <c r="B2673" s="117" t="s">
        <v>4055</v>
      </c>
      <c r="C2673" t="s">
        <v>67</v>
      </c>
      <c r="D2673" t="s">
        <v>67</v>
      </c>
      <c r="E2673" t="s">
        <v>67</v>
      </c>
      <c r="F2673" t="s">
        <v>27987</v>
      </c>
      <c r="G2673" s="117">
        <v>92.1</v>
      </c>
    </row>
    <row r="2674" spans="1:7" x14ac:dyDescent="0.25">
      <c r="A2674" s="116" t="s">
        <v>4056</v>
      </c>
      <c r="B2674" s="117" t="s">
        <v>3938</v>
      </c>
      <c r="C2674" t="s">
        <v>67</v>
      </c>
      <c r="D2674" t="s">
        <v>67</v>
      </c>
      <c r="E2674" t="s">
        <v>67</v>
      </c>
      <c r="F2674" t="s">
        <v>27987</v>
      </c>
      <c r="G2674" s="117">
        <v>59.18</v>
      </c>
    </row>
    <row r="2675" spans="1:7" x14ac:dyDescent="0.25">
      <c r="A2675" s="116" t="s">
        <v>4057</v>
      </c>
      <c r="B2675" s="117" t="s">
        <v>4058</v>
      </c>
      <c r="C2675" t="s">
        <v>67</v>
      </c>
      <c r="D2675" t="s">
        <v>67</v>
      </c>
      <c r="E2675" t="s">
        <v>67</v>
      </c>
      <c r="F2675" t="s">
        <v>45</v>
      </c>
      <c r="G2675" s="117">
        <v>140.5</v>
      </c>
    </row>
    <row r="2676" spans="1:7" x14ac:dyDescent="0.25">
      <c r="A2676" s="116" t="s">
        <v>4059</v>
      </c>
      <c r="B2676" s="117" t="s">
        <v>4060</v>
      </c>
      <c r="C2676" t="s">
        <v>67</v>
      </c>
      <c r="D2676" t="s">
        <v>67</v>
      </c>
      <c r="E2676" t="s">
        <v>67</v>
      </c>
      <c r="F2676" t="s">
        <v>45</v>
      </c>
      <c r="G2676" s="117">
        <v>68.430000000000007</v>
      </c>
    </row>
    <row r="2677" spans="1:7" x14ac:dyDescent="0.25">
      <c r="A2677" s="116" t="s">
        <v>4061</v>
      </c>
      <c r="B2677" s="117" t="s">
        <v>4062</v>
      </c>
      <c r="C2677" t="s">
        <v>67</v>
      </c>
      <c r="D2677" t="s">
        <v>67</v>
      </c>
      <c r="E2677" t="s">
        <v>67</v>
      </c>
      <c r="F2677" t="s">
        <v>45</v>
      </c>
      <c r="G2677" s="117">
        <v>12.01</v>
      </c>
    </row>
    <row r="2678" spans="1:7" x14ac:dyDescent="0.25">
      <c r="A2678" s="116" t="s">
        <v>4063</v>
      </c>
      <c r="B2678" s="117" t="s">
        <v>4064</v>
      </c>
      <c r="C2678" t="s">
        <v>67</v>
      </c>
      <c r="D2678" t="s">
        <v>67</v>
      </c>
      <c r="E2678" t="s">
        <v>67</v>
      </c>
      <c r="F2678" t="s">
        <v>27987</v>
      </c>
      <c r="G2678" s="117">
        <v>172.54</v>
      </c>
    </row>
    <row r="2679" spans="1:7" x14ac:dyDescent="0.25">
      <c r="A2679" s="116" t="s">
        <v>4065</v>
      </c>
      <c r="B2679" s="117" t="s">
        <v>4066</v>
      </c>
      <c r="C2679" t="s">
        <v>67</v>
      </c>
      <c r="D2679" t="s">
        <v>67</v>
      </c>
      <c r="E2679" t="s">
        <v>67</v>
      </c>
      <c r="F2679" t="s">
        <v>45</v>
      </c>
      <c r="G2679" s="117">
        <v>186.42</v>
      </c>
    </row>
    <row r="2680" spans="1:7" x14ac:dyDescent="0.25">
      <c r="A2680" s="116" t="s">
        <v>4067</v>
      </c>
      <c r="B2680" s="117" t="s">
        <v>4068</v>
      </c>
      <c r="C2680" t="s">
        <v>67</v>
      </c>
      <c r="D2680" t="s">
        <v>67</v>
      </c>
      <c r="E2680" t="s">
        <v>67</v>
      </c>
      <c r="F2680" t="s">
        <v>27987</v>
      </c>
      <c r="G2680" s="117">
        <v>36.93</v>
      </c>
    </row>
    <row r="2681" spans="1:7" x14ac:dyDescent="0.25">
      <c r="A2681" s="116" t="s">
        <v>4069</v>
      </c>
      <c r="B2681" s="117" t="s">
        <v>864</v>
      </c>
      <c r="C2681" t="s">
        <v>67</v>
      </c>
      <c r="D2681" t="s">
        <v>67</v>
      </c>
      <c r="E2681" t="s">
        <v>67</v>
      </c>
      <c r="F2681" t="s">
        <v>27987</v>
      </c>
      <c r="G2681" s="117">
        <v>14.68</v>
      </c>
    </row>
    <row r="2682" spans="1:7" x14ac:dyDescent="0.25">
      <c r="A2682" s="116" t="s">
        <v>4070</v>
      </c>
      <c r="B2682" s="117" t="s">
        <v>4071</v>
      </c>
      <c r="C2682" t="s">
        <v>67</v>
      </c>
      <c r="D2682" t="s">
        <v>67</v>
      </c>
      <c r="E2682" t="s">
        <v>67</v>
      </c>
      <c r="F2682" t="s">
        <v>27987</v>
      </c>
      <c r="G2682" s="117">
        <v>71.63</v>
      </c>
    </row>
    <row r="2683" spans="1:7" x14ac:dyDescent="0.25">
      <c r="A2683" s="116" t="s">
        <v>4072</v>
      </c>
      <c r="B2683" s="117" t="s">
        <v>4073</v>
      </c>
      <c r="C2683" t="s">
        <v>67</v>
      </c>
      <c r="D2683" t="s">
        <v>67</v>
      </c>
      <c r="E2683" t="s">
        <v>67</v>
      </c>
      <c r="F2683" t="s">
        <v>27987</v>
      </c>
      <c r="G2683" s="117">
        <v>322.56</v>
      </c>
    </row>
    <row r="2684" spans="1:7" x14ac:dyDescent="0.25">
      <c r="A2684" s="116" t="s">
        <v>4074</v>
      </c>
      <c r="B2684" s="117" t="s">
        <v>3938</v>
      </c>
      <c r="C2684" t="s">
        <v>67</v>
      </c>
      <c r="D2684" t="s">
        <v>67</v>
      </c>
      <c r="E2684" t="s">
        <v>67</v>
      </c>
      <c r="F2684" t="s">
        <v>45</v>
      </c>
      <c r="G2684" s="117">
        <v>64.87</v>
      </c>
    </row>
    <row r="2685" spans="1:7" x14ac:dyDescent="0.25">
      <c r="A2685" s="116" t="s">
        <v>4075</v>
      </c>
      <c r="B2685" s="117" t="s">
        <v>4076</v>
      </c>
      <c r="C2685" t="s">
        <v>67</v>
      </c>
      <c r="D2685" t="s">
        <v>67</v>
      </c>
      <c r="E2685" t="s">
        <v>67</v>
      </c>
      <c r="F2685" t="s">
        <v>27987</v>
      </c>
      <c r="G2685" s="117">
        <v>65.760000000000005</v>
      </c>
    </row>
    <row r="2686" spans="1:7" x14ac:dyDescent="0.25">
      <c r="A2686" s="116" t="s">
        <v>28546</v>
      </c>
      <c r="B2686" s="117" t="s">
        <v>28547</v>
      </c>
      <c r="C2686" t="s">
        <v>67</v>
      </c>
      <c r="D2686" t="s">
        <v>67</v>
      </c>
      <c r="E2686" t="s">
        <v>67</v>
      </c>
      <c r="F2686" t="s">
        <v>45</v>
      </c>
      <c r="G2686" s="117">
        <v>59</v>
      </c>
    </row>
    <row r="2687" spans="1:7" x14ac:dyDescent="0.25">
      <c r="A2687" s="116" t="s">
        <v>4077</v>
      </c>
      <c r="B2687" s="117" t="s">
        <v>4078</v>
      </c>
      <c r="C2687" t="s">
        <v>67</v>
      </c>
      <c r="D2687" t="s">
        <v>67</v>
      </c>
      <c r="E2687" t="s">
        <v>67</v>
      </c>
      <c r="F2687" t="s">
        <v>45</v>
      </c>
      <c r="G2687" s="117">
        <v>40.49</v>
      </c>
    </row>
    <row r="2688" spans="1:7" x14ac:dyDescent="0.25">
      <c r="A2688" s="116" t="s">
        <v>4079</v>
      </c>
      <c r="B2688" s="117" t="s">
        <v>4080</v>
      </c>
      <c r="C2688" t="s">
        <v>67</v>
      </c>
      <c r="D2688" t="s">
        <v>67</v>
      </c>
      <c r="E2688" t="s">
        <v>67</v>
      </c>
      <c r="F2688" t="s">
        <v>45</v>
      </c>
      <c r="G2688" s="117">
        <v>24.48</v>
      </c>
    </row>
    <row r="2689" spans="1:7" x14ac:dyDescent="0.25">
      <c r="A2689" s="116" t="s">
        <v>4081</v>
      </c>
      <c r="B2689" s="117" t="s">
        <v>4082</v>
      </c>
      <c r="C2689" t="s">
        <v>67</v>
      </c>
      <c r="D2689" t="s">
        <v>67</v>
      </c>
      <c r="E2689" t="s">
        <v>67</v>
      </c>
      <c r="F2689" t="s">
        <v>45</v>
      </c>
      <c r="G2689" s="117">
        <v>16.82</v>
      </c>
    </row>
    <row r="2690" spans="1:7" x14ac:dyDescent="0.25">
      <c r="A2690" s="116" t="s">
        <v>4083</v>
      </c>
      <c r="B2690" s="117" t="s">
        <v>4084</v>
      </c>
      <c r="C2690" t="s">
        <v>67</v>
      </c>
      <c r="D2690" t="s">
        <v>67</v>
      </c>
      <c r="E2690" t="s">
        <v>67</v>
      </c>
      <c r="F2690" t="s">
        <v>27987</v>
      </c>
      <c r="G2690" s="117">
        <v>34.26</v>
      </c>
    </row>
    <row r="2691" spans="1:7" x14ac:dyDescent="0.25">
      <c r="A2691" s="116" t="s">
        <v>4085</v>
      </c>
      <c r="B2691" s="117" t="s">
        <v>4086</v>
      </c>
      <c r="C2691" t="s">
        <v>67</v>
      </c>
      <c r="D2691" t="s">
        <v>67</v>
      </c>
      <c r="E2691" t="s">
        <v>67</v>
      </c>
      <c r="F2691" t="s">
        <v>45</v>
      </c>
      <c r="G2691" s="117">
        <v>14.68</v>
      </c>
    </row>
    <row r="2692" spans="1:7" x14ac:dyDescent="0.25">
      <c r="A2692" s="116" t="s">
        <v>4087</v>
      </c>
      <c r="B2692" s="117" t="s">
        <v>4088</v>
      </c>
      <c r="C2692" t="s">
        <v>67</v>
      </c>
      <c r="D2692" t="s">
        <v>67</v>
      </c>
      <c r="E2692" t="s">
        <v>67</v>
      </c>
      <c r="F2692" t="s">
        <v>45</v>
      </c>
      <c r="G2692" s="117">
        <v>80</v>
      </c>
    </row>
    <row r="2693" spans="1:7" x14ac:dyDescent="0.25">
      <c r="A2693" s="116" t="s">
        <v>4089</v>
      </c>
      <c r="B2693" s="117" t="s">
        <v>4090</v>
      </c>
      <c r="C2693" t="s">
        <v>67</v>
      </c>
      <c r="D2693" t="s">
        <v>67</v>
      </c>
      <c r="E2693" t="s">
        <v>67</v>
      </c>
      <c r="F2693" t="s">
        <v>45</v>
      </c>
      <c r="G2693" s="117">
        <v>68.959999999999994</v>
      </c>
    </row>
    <row r="2694" spans="1:7" x14ac:dyDescent="0.25">
      <c r="A2694" s="116" t="s">
        <v>27977</v>
      </c>
      <c r="B2694" s="117" t="s">
        <v>2124</v>
      </c>
      <c r="C2694" t="s">
        <v>67</v>
      </c>
      <c r="D2694" t="s">
        <v>67</v>
      </c>
      <c r="E2694" t="s">
        <v>67</v>
      </c>
      <c r="F2694" t="s">
        <v>45</v>
      </c>
      <c r="G2694" s="117">
        <v>35</v>
      </c>
    </row>
    <row r="2695" spans="1:7" x14ac:dyDescent="0.25">
      <c r="A2695" s="116" t="s">
        <v>4091</v>
      </c>
      <c r="B2695" s="117" t="s">
        <v>4092</v>
      </c>
      <c r="C2695" t="s">
        <v>67</v>
      </c>
      <c r="D2695" t="s">
        <v>67</v>
      </c>
      <c r="E2695" t="s">
        <v>67</v>
      </c>
      <c r="F2695" t="s">
        <v>27987</v>
      </c>
      <c r="G2695" s="117">
        <v>14.68</v>
      </c>
    </row>
    <row r="2696" spans="1:7" x14ac:dyDescent="0.25">
      <c r="A2696" s="116" t="s">
        <v>4093</v>
      </c>
      <c r="B2696" s="117" t="s">
        <v>4094</v>
      </c>
      <c r="C2696" t="s">
        <v>67</v>
      </c>
      <c r="D2696" t="s">
        <v>67</v>
      </c>
      <c r="E2696" t="s">
        <v>67</v>
      </c>
      <c r="F2696" t="s">
        <v>27987</v>
      </c>
      <c r="G2696" s="117">
        <v>14.68</v>
      </c>
    </row>
    <row r="2697" spans="1:7" x14ac:dyDescent="0.25">
      <c r="A2697" s="116" t="s">
        <v>4095</v>
      </c>
      <c r="B2697" s="117" t="s">
        <v>4096</v>
      </c>
      <c r="C2697" t="s">
        <v>67</v>
      </c>
      <c r="D2697" t="s">
        <v>67</v>
      </c>
      <c r="E2697" t="s">
        <v>67</v>
      </c>
      <c r="F2697" t="s">
        <v>49</v>
      </c>
      <c r="G2697" s="117">
        <v>14.14</v>
      </c>
    </row>
    <row r="2698" spans="1:7" x14ac:dyDescent="0.25">
      <c r="A2698" s="116" t="s">
        <v>4097</v>
      </c>
      <c r="B2698" s="117" t="s">
        <v>4098</v>
      </c>
      <c r="C2698" t="s">
        <v>67</v>
      </c>
      <c r="D2698" t="s">
        <v>67</v>
      </c>
      <c r="E2698" t="s">
        <v>67</v>
      </c>
      <c r="F2698" t="s">
        <v>45</v>
      </c>
      <c r="G2698" s="117">
        <v>36.04</v>
      </c>
    </row>
    <row r="2699" spans="1:7" x14ac:dyDescent="0.25">
      <c r="A2699" s="116" t="s">
        <v>4099</v>
      </c>
      <c r="B2699" s="117" t="s">
        <v>3938</v>
      </c>
      <c r="C2699" t="s">
        <v>67</v>
      </c>
      <c r="D2699" t="s">
        <v>67</v>
      </c>
      <c r="E2699" t="s">
        <v>67</v>
      </c>
      <c r="F2699" t="s">
        <v>45</v>
      </c>
      <c r="G2699" s="117">
        <v>219.35</v>
      </c>
    </row>
    <row r="2700" spans="1:7" x14ac:dyDescent="0.25">
      <c r="A2700" s="116" t="s">
        <v>4100</v>
      </c>
      <c r="B2700" s="117" t="s">
        <v>4101</v>
      </c>
      <c r="C2700" t="s">
        <v>67</v>
      </c>
      <c r="D2700" t="s">
        <v>67</v>
      </c>
      <c r="E2700" t="s">
        <v>67</v>
      </c>
      <c r="F2700" t="s">
        <v>45</v>
      </c>
      <c r="G2700" s="117">
        <v>75.55</v>
      </c>
    </row>
    <row r="2701" spans="1:7" x14ac:dyDescent="0.25">
      <c r="A2701" s="116" t="s">
        <v>4102</v>
      </c>
      <c r="B2701" s="117" t="s">
        <v>4103</v>
      </c>
      <c r="C2701" t="s">
        <v>67</v>
      </c>
      <c r="D2701" t="s">
        <v>67</v>
      </c>
      <c r="E2701" t="s">
        <v>67</v>
      </c>
      <c r="F2701" t="s">
        <v>27987</v>
      </c>
      <c r="G2701" s="117">
        <v>26.61</v>
      </c>
    </row>
    <row r="2702" spans="1:7" x14ac:dyDescent="0.25">
      <c r="A2702" s="116" t="s">
        <v>4104</v>
      </c>
      <c r="B2702" s="117" t="s">
        <v>4105</v>
      </c>
      <c r="C2702" t="s">
        <v>67</v>
      </c>
      <c r="D2702" t="s">
        <v>67</v>
      </c>
      <c r="E2702" t="s">
        <v>67</v>
      </c>
      <c r="F2702" t="s">
        <v>27987</v>
      </c>
      <c r="G2702" s="117">
        <v>80</v>
      </c>
    </row>
    <row r="2703" spans="1:7" x14ac:dyDescent="0.25">
      <c r="A2703" s="116" t="s">
        <v>4106</v>
      </c>
      <c r="B2703" s="117" t="s">
        <v>4107</v>
      </c>
      <c r="C2703" t="s">
        <v>67</v>
      </c>
      <c r="D2703" t="s">
        <v>67</v>
      </c>
      <c r="E2703" t="s">
        <v>67</v>
      </c>
      <c r="F2703" t="s">
        <v>27987</v>
      </c>
      <c r="G2703" s="117">
        <v>135.69999999999999</v>
      </c>
    </row>
    <row r="2704" spans="1:7" x14ac:dyDescent="0.25">
      <c r="A2704" s="116" t="s">
        <v>4108</v>
      </c>
      <c r="B2704" s="117" t="s">
        <v>4109</v>
      </c>
      <c r="C2704" t="s">
        <v>67</v>
      </c>
      <c r="D2704" t="s">
        <v>67</v>
      </c>
      <c r="E2704" t="s">
        <v>67</v>
      </c>
      <c r="F2704" t="s">
        <v>27987</v>
      </c>
      <c r="G2704" s="117">
        <v>44.05</v>
      </c>
    </row>
    <row r="2705" spans="1:7" x14ac:dyDescent="0.25">
      <c r="A2705" s="116" t="s">
        <v>4110</v>
      </c>
      <c r="B2705" s="117" t="s">
        <v>4111</v>
      </c>
      <c r="C2705" t="s">
        <v>67</v>
      </c>
      <c r="D2705" t="s">
        <v>67</v>
      </c>
      <c r="E2705" t="s">
        <v>67</v>
      </c>
      <c r="F2705" t="s">
        <v>27987</v>
      </c>
      <c r="G2705" s="117">
        <v>13.8</v>
      </c>
    </row>
    <row r="2706" spans="1:7" x14ac:dyDescent="0.25">
      <c r="A2706" s="116" t="s">
        <v>4112</v>
      </c>
      <c r="B2706" s="117" t="s">
        <v>4113</v>
      </c>
      <c r="C2706" t="s">
        <v>67</v>
      </c>
      <c r="D2706" t="s">
        <v>67</v>
      </c>
      <c r="E2706" t="s">
        <v>67</v>
      </c>
      <c r="F2706" t="s">
        <v>27987</v>
      </c>
      <c r="G2706" s="117">
        <v>36.04</v>
      </c>
    </row>
    <row r="2707" spans="1:7" x14ac:dyDescent="0.25">
      <c r="A2707" s="116" t="s">
        <v>4114</v>
      </c>
      <c r="B2707" s="117" t="s">
        <v>4115</v>
      </c>
      <c r="C2707" t="s">
        <v>67</v>
      </c>
      <c r="D2707" t="s">
        <v>67</v>
      </c>
      <c r="E2707" t="s">
        <v>67</v>
      </c>
      <c r="F2707" t="s">
        <v>27987</v>
      </c>
      <c r="G2707" s="117">
        <v>96.55</v>
      </c>
    </row>
    <row r="2708" spans="1:7" x14ac:dyDescent="0.25">
      <c r="A2708" s="116" t="s">
        <v>4116</v>
      </c>
      <c r="B2708" s="117" t="s">
        <v>4117</v>
      </c>
      <c r="C2708" t="s">
        <v>67</v>
      </c>
      <c r="D2708" t="s">
        <v>67</v>
      </c>
      <c r="E2708" t="s">
        <v>67</v>
      </c>
      <c r="F2708" t="s">
        <v>45</v>
      </c>
      <c r="G2708" s="117">
        <v>63.08</v>
      </c>
    </row>
    <row r="2709" spans="1:7" x14ac:dyDescent="0.25">
      <c r="A2709" s="116" t="s">
        <v>4118</v>
      </c>
      <c r="B2709" s="117" t="s">
        <v>4119</v>
      </c>
      <c r="C2709" t="s">
        <v>67</v>
      </c>
      <c r="D2709" t="s">
        <v>67</v>
      </c>
      <c r="E2709" t="s">
        <v>67</v>
      </c>
      <c r="F2709" t="s">
        <v>27987</v>
      </c>
      <c r="G2709" s="117">
        <v>35.5</v>
      </c>
    </row>
    <row r="2710" spans="1:7" x14ac:dyDescent="0.25">
      <c r="A2710" s="116" t="s">
        <v>4120</v>
      </c>
      <c r="B2710" s="117" t="s">
        <v>4121</v>
      </c>
      <c r="C2710" t="s">
        <v>67</v>
      </c>
      <c r="D2710" t="s">
        <v>67</v>
      </c>
      <c r="E2710" t="s">
        <v>67</v>
      </c>
      <c r="F2710" t="s">
        <v>45</v>
      </c>
      <c r="G2710" s="117">
        <v>54.73</v>
      </c>
    </row>
    <row r="2711" spans="1:7" x14ac:dyDescent="0.25">
      <c r="A2711" s="116" t="s">
        <v>4122</v>
      </c>
      <c r="B2711" s="117" t="s">
        <v>4062</v>
      </c>
      <c r="C2711" t="s">
        <v>67</v>
      </c>
      <c r="D2711" t="s">
        <v>67</v>
      </c>
      <c r="E2711" t="s">
        <v>67</v>
      </c>
      <c r="F2711" t="s">
        <v>27987</v>
      </c>
      <c r="G2711" s="117">
        <v>12.01</v>
      </c>
    </row>
    <row r="2712" spans="1:7" x14ac:dyDescent="0.25">
      <c r="A2712" s="116" t="s">
        <v>4123</v>
      </c>
      <c r="B2712" s="117" t="s">
        <v>4124</v>
      </c>
      <c r="C2712" t="s">
        <v>67</v>
      </c>
      <c r="D2712" t="s">
        <v>67</v>
      </c>
      <c r="E2712" t="s">
        <v>67</v>
      </c>
      <c r="F2712" t="s">
        <v>27987</v>
      </c>
      <c r="G2712" s="117">
        <v>144.6</v>
      </c>
    </row>
    <row r="2713" spans="1:7" x14ac:dyDescent="0.25">
      <c r="A2713" s="116" t="s">
        <v>28548</v>
      </c>
      <c r="B2713" s="117" t="s">
        <v>30093</v>
      </c>
      <c r="C2713" t="s">
        <v>67</v>
      </c>
      <c r="D2713" t="s">
        <v>67</v>
      </c>
      <c r="E2713" t="s">
        <v>67</v>
      </c>
      <c r="F2713" t="s">
        <v>27987</v>
      </c>
      <c r="G2713" s="117">
        <v>50</v>
      </c>
    </row>
    <row r="2714" spans="1:7" x14ac:dyDescent="0.25">
      <c r="A2714" s="116" t="s">
        <v>4125</v>
      </c>
      <c r="B2714" s="117" t="s">
        <v>4126</v>
      </c>
      <c r="C2714" t="s">
        <v>67</v>
      </c>
      <c r="D2714" t="s">
        <v>67</v>
      </c>
      <c r="E2714" t="s">
        <v>67</v>
      </c>
      <c r="F2714" t="s">
        <v>45</v>
      </c>
      <c r="G2714" s="117">
        <v>215.79</v>
      </c>
    </row>
    <row r="2715" spans="1:7" x14ac:dyDescent="0.25">
      <c r="A2715" s="116" t="s">
        <v>4127</v>
      </c>
      <c r="B2715" s="117" t="s">
        <v>4128</v>
      </c>
      <c r="C2715" t="s">
        <v>67</v>
      </c>
      <c r="D2715" t="s">
        <v>67</v>
      </c>
      <c r="E2715" t="s">
        <v>67</v>
      </c>
      <c r="F2715" t="s">
        <v>45</v>
      </c>
      <c r="G2715" s="117">
        <v>62.2</v>
      </c>
    </row>
    <row r="2716" spans="1:7" x14ac:dyDescent="0.25">
      <c r="A2716" s="116" t="s">
        <v>4129</v>
      </c>
      <c r="B2716" s="117" t="s">
        <v>4130</v>
      </c>
      <c r="C2716" t="s">
        <v>67</v>
      </c>
      <c r="D2716" t="s">
        <v>67</v>
      </c>
      <c r="E2716" t="s">
        <v>67</v>
      </c>
      <c r="F2716" t="s">
        <v>27987</v>
      </c>
      <c r="G2716" s="117">
        <v>25.71</v>
      </c>
    </row>
    <row r="2717" spans="1:7" x14ac:dyDescent="0.25">
      <c r="A2717" s="116" t="s">
        <v>4131</v>
      </c>
      <c r="B2717" s="117" t="s">
        <v>4132</v>
      </c>
      <c r="C2717" t="s">
        <v>67</v>
      </c>
      <c r="D2717" t="s">
        <v>67</v>
      </c>
      <c r="E2717" t="s">
        <v>67</v>
      </c>
      <c r="F2717" t="s">
        <v>27987</v>
      </c>
      <c r="G2717" s="117">
        <v>54.19</v>
      </c>
    </row>
    <row r="2718" spans="1:7" x14ac:dyDescent="0.25">
      <c r="A2718" s="116" t="s">
        <v>4133</v>
      </c>
      <c r="B2718" s="117" t="s">
        <v>3958</v>
      </c>
      <c r="C2718" t="s">
        <v>67</v>
      </c>
      <c r="D2718" t="s">
        <v>67</v>
      </c>
      <c r="E2718" t="s">
        <v>67</v>
      </c>
      <c r="F2718" t="s">
        <v>45</v>
      </c>
      <c r="G2718" s="117">
        <v>36.04</v>
      </c>
    </row>
    <row r="2719" spans="1:7" x14ac:dyDescent="0.25">
      <c r="A2719" s="116" t="s">
        <v>4134</v>
      </c>
      <c r="B2719" s="117" t="s">
        <v>4135</v>
      </c>
      <c r="C2719" t="s">
        <v>67</v>
      </c>
      <c r="D2719" t="s">
        <v>67</v>
      </c>
      <c r="E2719" t="s">
        <v>67</v>
      </c>
      <c r="F2719" t="s">
        <v>27987</v>
      </c>
      <c r="G2719" s="117">
        <v>33.729999999999997</v>
      </c>
    </row>
    <row r="2720" spans="1:7" x14ac:dyDescent="0.25">
      <c r="A2720" s="116" t="s">
        <v>4136</v>
      </c>
      <c r="B2720" s="117" t="s">
        <v>4137</v>
      </c>
      <c r="C2720" t="s">
        <v>67</v>
      </c>
      <c r="D2720" t="s">
        <v>67</v>
      </c>
      <c r="E2720" t="s">
        <v>67</v>
      </c>
      <c r="F2720" t="s">
        <v>27987</v>
      </c>
      <c r="G2720" s="117">
        <v>91.2</v>
      </c>
    </row>
    <row r="2721" spans="1:7" x14ac:dyDescent="0.25">
      <c r="A2721" s="116" t="s">
        <v>4138</v>
      </c>
      <c r="B2721" s="117" t="s">
        <v>4139</v>
      </c>
      <c r="C2721" t="s">
        <v>67</v>
      </c>
      <c r="D2721" t="s">
        <v>67</v>
      </c>
      <c r="E2721" t="s">
        <v>67</v>
      </c>
      <c r="F2721" t="s">
        <v>45</v>
      </c>
      <c r="G2721" s="117">
        <v>96.01</v>
      </c>
    </row>
    <row r="2722" spans="1:7" x14ac:dyDescent="0.25">
      <c r="A2722" s="116" t="s">
        <v>4140</v>
      </c>
      <c r="B2722" s="117" t="s">
        <v>4141</v>
      </c>
      <c r="C2722" t="s">
        <v>67</v>
      </c>
      <c r="D2722" t="s">
        <v>67</v>
      </c>
      <c r="E2722" t="s">
        <v>67</v>
      </c>
      <c r="F2722" t="s">
        <v>27987</v>
      </c>
      <c r="G2722" s="117">
        <v>9.35</v>
      </c>
    </row>
    <row r="2723" spans="1:7" x14ac:dyDescent="0.25">
      <c r="A2723" s="116" t="s">
        <v>4142</v>
      </c>
      <c r="B2723" s="117" t="s">
        <v>4143</v>
      </c>
      <c r="C2723" t="s">
        <v>67</v>
      </c>
      <c r="D2723" t="s">
        <v>67</v>
      </c>
      <c r="E2723" t="s">
        <v>67</v>
      </c>
      <c r="F2723" t="s">
        <v>27987</v>
      </c>
      <c r="G2723" s="117">
        <v>61.85</v>
      </c>
    </row>
    <row r="2724" spans="1:7" x14ac:dyDescent="0.25">
      <c r="A2724" s="116" t="s">
        <v>4144</v>
      </c>
      <c r="B2724" s="117" t="s">
        <v>4145</v>
      </c>
      <c r="C2724" t="s">
        <v>67</v>
      </c>
      <c r="D2724" t="s">
        <v>67</v>
      </c>
      <c r="E2724" t="s">
        <v>67</v>
      </c>
      <c r="F2724" t="s">
        <v>27987</v>
      </c>
      <c r="G2724" s="117">
        <v>29.81</v>
      </c>
    </row>
    <row r="2725" spans="1:7" x14ac:dyDescent="0.25">
      <c r="A2725" s="116" t="s">
        <v>4146</v>
      </c>
      <c r="B2725" s="117" t="s">
        <v>4147</v>
      </c>
      <c r="C2725" t="s">
        <v>67</v>
      </c>
      <c r="D2725" t="s">
        <v>67</v>
      </c>
      <c r="E2725" t="s">
        <v>67</v>
      </c>
      <c r="F2725" t="s">
        <v>27987</v>
      </c>
      <c r="G2725" s="117">
        <v>36.39</v>
      </c>
    </row>
    <row r="2726" spans="1:7" x14ac:dyDescent="0.25">
      <c r="A2726" s="116" t="s">
        <v>4148</v>
      </c>
      <c r="B2726" s="117" t="s">
        <v>4149</v>
      </c>
      <c r="C2726" t="s">
        <v>67</v>
      </c>
      <c r="D2726" t="s">
        <v>67</v>
      </c>
      <c r="E2726" t="s">
        <v>67</v>
      </c>
      <c r="F2726" t="s">
        <v>27987</v>
      </c>
      <c r="G2726" s="117">
        <v>154.38</v>
      </c>
    </row>
    <row r="2727" spans="1:7" x14ac:dyDescent="0.25">
      <c r="A2727" s="116" t="s">
        <v>4150</v>
      </c>
      <c r="B2727" s="117" t="s">
        <v>4151</v>
      </c>
      <c r="C2727" t="s">
        <v>67</v>
      </c>
      <c r="D2727" t="s">
        <v>67</v>
      </c>
      <c r="E2727" t="s">
        <v>67</v>
      </c>
      <c r="F2727" t="s">
        <v>27987</v>
      </c>
      <c r="G2727" s="117">
        <v>25.36</v>
      </c>
    </row>
    <row r="2728" spans="1:7" x14ac:dyDescent="0.25">
      <c r="A2728" s="116" t="s">
        <v>4152</v>
      </c>
      <c r="B2728" s="117" t="s">
        <v>4153</v>
      </c>
      <c r="C2728" t="s">
        <v>67</v>
      </c>
      <c r="D2728" t="s">
        <v>67</v>
      </c>
      <c r="E2728" t="s">
        <v>67</v>
      </c>
      <c r="F2728" t="s">
        <v>27987</v>
      </c>
      <c r="G2728" s="117">
        <v>111.68</v>
      </c>
    </row>
    <row r="2729" spans="1:7" x14ac:dyDescent="0.25">
      <c r="A2729" s="116" t="s">
        <v>4154</v>
      </c>
      <c r="B2729" s="117" t="s">
        <v>4155</v>
      </c>
      <c r="C2729" t="s">
        <v>67</v>
      </c>
      <c r="D2729" t="s">
        <v>67</v>
      </c>
      <c r="E2729" t="s">
        <v>67</v>
      </c>
      <c r="F2729" t="s">
        <v>27987</v>
      </c>
      <c r="G2729" s="117">
        <v>3.12</v>
      </c>
    </row>
    <row r="2730" spans="1:7" x14ac:dyDescent="0.25">
      <c r="A2730" s="116" t="s">
        <v>4156</v>
      </c>
      <c r="B2730" s="117" t="s">
        <v>4157</v>
      </c>
      <c r="C2730" t="s">
        <v>67</v>
      </c>
      <c r="D2730" t="s">
        <v>67</v>
      </c>
      <c r="E2730" t="s">
        <v>67</v>
      </c>
      <c r="F2730" t="s">
        <v>27987</v>
      </c>
      <c r="G2730" s="117">
        <v>13.15</v>
      </c>
    </row>
    <row r="2731" spans="1:7" x14ac:dyDescent="0.25">
      <c r="A2731" s="116" t="s">
        <v>4158</v>
      </c>
      <c r="B2731" s="117" t="s">
        <v>4159</v>
      </c>
      <c r="C2731" t="s">
        <v>67</v>
      </c>
      <c r="D2731" t="s">
        <v>67</v>
      </c>
      <c r="E2731" t="s">
        <v>67</v>
      </c>
      <c r="F2731" t="s">
        <v>27987</v>
      </c>
      <c r="G2731" s="117">
        <v>30.17</v>
      </c>
    </row>
    <row r="2732" spans="1:7" x14ac:dyDescent="0.25">
      <c r="A2732" s="116" t="s">
        <v>4160</v>
      </c>
      <c r="B2732" s="117" t="s">
        <v>4161</v>
      </c>
      <c r="C2732" t="s">
        <v>67</v>
      </c>
      <c r="D2732" t="s">
        <v>67</v>
      </c>
      <c r="E2732" t="s">
        <v>67</v>
      </c>
      <c r="F2732" t="s">
        <v>27987</v>
      </c>
      <c r="G2732" s="117">
        <v>118.8</v>
      </c>
    </row>
    <row r="2733" spans="1:7" x14ac:dyDescent="0.25">
      <c r="A2733" s="116" t="s">
        <v>4162</v>
      </c>
      <c r="B2733" s="117" t="s">
        <v>4163</v>
      </c>
      <c r="C2733" t="s">
        <v>67</v>
      </c>
      <c r="D2733" t="s">
        <v>67</v>
      </c>
      <c r="E2733" t="s">
        <v>67</v>
      </c>
      <c r="F2733" t="s">
        <v>45</v>
      </c>
      <c r="G2733" s="117">
        <v>83.2</v>
      </c>
    </row>
    <row r="2734" spans="1:7" x14ac:dyDescent="0.25">
      <c r="A2734" s="116" t="s">
        <v>4164</v>
      </c>
      <c r="B2734" s="117" t="s">
        <v>4165</v>
      </c>
      <c r="C2734" t="s">
        <v>67</v>
      </c>
      <c r="D2734" t="s">
        <v>67</v>
      </c>
      <c r="E2734" t="s">
        <v>67</v>
      </c>
      <c r="F2734" t="s">
        <v>27987</v>
      </c>
      <c r="G2734" s="117">
        <v>17.36</v>
      </c>
    </row>
    <row r="2735" spans="1:7" x14ac:dyDescent="0.25">
      <c r="A2735" s="116" t="s">
        <v>4166</v>
      </c>
      <c r="B2735" s="117" t="s">
        <v>4167</v>
      </c>
      <c r="C2735" t="s">
        <v>67</v>
      </c>
      <c r="D2735" t="s">
        <v>67</v>
      </c>
      <c r="E2735" t="s">
        <v>67</v>
      </c>
      <c r="F2735" t="s">
        <v>27987</v>
      </c>
      <c r="G2735" s="117">
        <v>35.5</v>
      </c>
    </row>
    <row r="2736" spans="1:7" x14ac:dyDescent="0.25">
      <c r="A2736" s="116" t="s">
        <v>4168</v>
      </c>
      <c r="B2736" s="117" t="s">
        <v>4169</v>
      </c>
      <c r="C2736" t="s">
        <v>67</v>
      </c>
      <c r="D2736" t="s">
        <v>67</v>
      </c>
      <c r="E2736" t="s">
        <v>67</v>
      </c>
      <c r="F2736" t="s">
        <v>27987</v>
      </c>
      <c r="G2736" s="117">
        <v>14.14</v>
      </c>
    </row>
    <row r="2737" spans="1:7" x14ac:dyDescent="0.25">
      <c r="A2737" s="116" t="s">
        <v>4170</v>
      </c>
      <c r="B2737" s="117" t="s">
        <v>4171</v>
      </c>
      <c r="C2737" t="s">
        <v>67</v>
      </c>
      <c r="D2737" t="s">
        <v>67</v>
      </c>
      <c r="E2737" t="s">
        <v>67</v>
      </c>
      <c r="F2737" t="s">
        <v>27987</v>
      </c>
      <c r="G2737" s="117">
        <v>126.26</v>
      </c>
    </row>
    <row r="2738" spans="1:7" x14ac:dyDescent="0.25">
      <c r="A2738" s="116" t="s">
        <v>4172</v>
      </c>
      <c r="B2738" s="117" t="s">
        <v>4173</v>
      </c>
      <c r="C2738" t="s">
        <v>67</v>
      </c>
      <c r="D2738" t="s">
        <v>67</v>
      </c>
      <c r="E2738" t="s">
        <v>67</v>
      </c>
      <c r="F2738" t="s">
        <v>27987</v>
      </c>
      <c r="G2738" s="117">
        <v>86.76</v>
      </c>
    </row>
    <row r="2739" spans="1:7" x14ac:dyDescent="0.25">
      <c r="A2739" s="116" t="s">
        <v>4174</v>
      </c>
      <c r="B2739" s="117" t="s">
        <v>4175</v>
      </c>
      <c r="C2739" t="s">
        <v>67</v>
      </c>
      <c r="D2739" t="s">
        <v>67</v>
      </c>
      <c r="E2739" t="s">
        <v>67</v>
      </c>
      <c r="F2739" t="s">
        <v>27987</v>
      </c>
      <c r="G2739" s="117">
        <v>35.5</v>
      </c>
    </row>
    <row r="2740" spans="1:7" x14ac:dyDescent="0.25">
      <c r="A2740" s="116" t="s">
        <v>4176</v>
      </c>
      <c r="B2740" s="117" t="s">
        <v>4177</v>
      </c>
      <c r="C2740" t="s">
        <v>67</v>
      </c>
      <c r="D2740" t="s">
        <v>67</v>
      </c>
      <c r="E2740" t="s">
        <v>67</v>
      </c>
      <c r="F2740" t="s">
        <v>45</v>
      </c>
      <c r="G2740" s="117">
        <v>201.9</v>
      </c>
    </row>
    <row r="2741" spans="1:7" x14ac:dyDescent="0.25">
      <c r="A2741" s="116" t="s">
        <v>4178</v>
      </c>
      <c r="B2741" s="117" t="s">
        <v>4179</v>
      </c>
      <c r="C2741" t="s">
        <v>67</v>
      </c>
      <c r="D2741" t="s">
        <v>67</v>
      </c>
      <c r="E2741" t="s">
        <v>67</v>
      </c>
      <c r="F2741" t="s">
        <v>27987</v>
      </c>
      <c r="G2741" s="117">
        <v>56.5</v>
      </c>
    </row>
    <row r="2742" spans="1:7" x14ac:dyDescent="0.25">
      <c r="A2742" s="116" t="s">
        <v>4180</v>
      </c>
      <c r="B2742" s="117" t="s">
        <v>4181</v>
      </c>
      <c r="C2742" t="s">
        <v>67</v>
      </c>
      <c r="D2742" t="s">
        <v>67</v>
      </c>
      <c r="E2742" t="s">
        <v>67</v>
      </c>
      <c r="F2742" t="s">
        <v>27987</v>
      </c>
      <c r="G2742" s="117">
        <v>53.83</v>
      </c>
    </row>
    <row r="2743" spans="1:7" x14ac:dyDescent="0.25">
      <c r="A2743" s="116" t="s">
        <v>4182</v>
      </c>
      <c r="B2743" s="117" t="s">
        <v>4183</v>
      </c>
      <c r="C2743" t="s">
        <v>67</v>
      </c>
      <c r="D2743" t="s">
        <v>67</v>
      </c>
      <c r="E2743" t="s">
        <v>67</v>
      </c>
      <c r="F2743" t="s">
        <v>27987</v>
      </c>
      <c r="G2743" s="117">
        <v>61.31</v>
      </c>
    </row>
    <row r="2744" spans="1:7" x14ac:dyDescent="0.25">
      <c r="A2744" s="116" t="s">
        <v>4184</v>
      </c>
      <c r="B2744" s="117" t="s">
        <v>4179</v>
      </c>
      <c r="C2744" t="s">
        <v>67</v>
      </c>
      <c r="D2744" t="s">
        <v>67</v>
      </c>
      <c r="E2744" t="s">
        <v>67</v>
      </c>
      <c r="F2744" t="s">
        <v>45</v>
      </c>
      <c r="G2744" s="117">
        <v>68.430000000000007</v>
      </c>
    </row>
    <row r="2745" spans="1:7" x14ac:dyDescent="0.25">
      <c r="A2745" s="116" t="s">
        <v>4185</v>
      </c>
      <c r="B2745" s="117" t="s">
        <v>4186</v>
      </c>
      <c r="C2745" t="s">
        <v>67</v>
      </c>
      <c r="D2745" t="s">
        <v>67</v>
      </c>
      <c r="E2745" t="s">
        <v>67</v>
      </c>
      <c r="F2745" t="s">
        <v>27987</v>
      </c>
      <c r="G2745" s="117">
        <v>41.74</v>
      </c>
    </row>
    <row r="2746" spans="1:7" x14ac:dyDescent="0.25">
      <c r="A2746" s="116" t="s">
        <v>4187</v>
      </c>
      <c r="B2746" s="117" t="s">
        <v>4188</v>
      </c>
      <c r="C2746" t="s">
        <v>67</v>
      </c>
      <c r="D2746" t="s">
        <v>67</v>
      </c>
      <c r="E2746" t="s">
        <v>67</v>
      </c>
      <c r="F2746" t="s">
        <v>27987</v>
      </c>
      <c r="G2746" s="117">
        <v>49.38</v>
      </c>
    </row>
    <row r="2747" spans="1:7" x14ac:dyDescent="0.25">
      <c r="A2747" s="116" t="s">
        <v>4189</v>
      </c>
      <c r="B2747" s="117" t="s">
        <v>4190</v>
      </c>
      <c r="C2747" t="s">
        <v>67</v>
      </c>
      <c r="D2747" t="s">
        <v>67</v>
      </c>
      <c r="E2747" t="s">
        <v>67</v>
      </c>
      <c r="F2747" t="s">
        <v>27987</v>
      </c>
      <c r="G2747" s="117">
        <v>120.57</v>
      </c>
    </row>
    <row r="2748" spans="1:7" x14ac:dyDescent="0.25">
      <c r="A2748" s="116" t="s">
        <v>4191</v>
      </c>
      <c r="B2748" s="117" t="s">
        <v>4192</v>
      </c>
      <c r="C2748" t="s">
        <v>67</v>
      </c>
      <c r="D2748" t="s">
        <v>67</v>
      </c>
      <c r="E2748" t="s">
        <v>67</v>
      </c>
      <c r="F2748" t="s">
        <v>27987</v>
      </c>
      <c r="G2748" s="117">
        <v>38.799999999999997</v>
      </c>
    </row>
    <row r="2749" spans="1:7" x14ac:dyDescent="0.25">
      <c r="A2749" s="116" t="s">
        <v>4193</v>
      </c>
      <c r="B2749" s="117" t="s">
        <v>4194</v>
      </c>
      <c r="C2749" t="s">
        <v>67</v>
      </c>
      <c r="D2749" t="s">
        <v>67</v>
      </c>
      <c r="E2749" t="s">
        <v>67</v>
      </c>
      <c r="F2749" t="s">
        <v>27987</v>
      </c>
      <c r="G2749" s="117">
        <v>21.8</v>
      </c>
    </row>
    <row r="2750" spans="1:7" x14ac:dyDescent="0.25">
      <c r="A2750" s="116" t="s">
        <v>4195</v>
      </c>
      <c r="B2750" s="117" t="s">
        <v>4196</v>
      </c>
      <c r="C2750" t="s">
        <v>67</v>
      </c>
      <c r="D2750" t="s">
        <v>67</v>
      </c>
      <c r="E2750" t="s">
        <v>67</v>
      </c>
      <c r="F2750" t="s">
        <v>27987</v>
      </c>
      <c r="G2750" s="117">
        <v>10.24</v>
      </c>
    </row>
    <row r="2751" spans="1:7" x14ac:dyDescent="0.25">
      <c r="A2751" s="116" t="s">
        <v>4197</v>
      </c>
      <c r="B2751" s="117" t="s">
        <v>4198</v>
      </c>
      <c r="C2751" t="s">
        <v>67</v>
      </c>
      <c r="D2751" t="s">
        <v>67</v>
      </c>
      <c r="E2751" t="s">
        <v>67</v>
      </c>
      <c r="F2751" t="s">
        <v>27987</v>
      </c>
      <c r="G2751" s="117">
        <v>8.4499999999999993</v>
      </c>
    </row>
    <row r="2752" spans="1:7" x14ac:dyDescent="0.25">
      <c r="A2752" s="116" t="s">
        <v>4199</v>
      </c>
      <c r="B2752" s="117" t="s">
        <v>4200</v>
      </c>
      <c r="C2752" t="s">
        <v>67</v>
      </c>
      <c r="D2752" t="s">
        <v>67</v>
      </c>
      <c r="E2752" t="s">
        <v>67</v>
      </c>
      <c r="F2752" t="s">
        <v>27987</v>
      </c>
      <c r="G2752" s="117">
        <v>23.05</v>
      </c>
    </row>
    <row r="2753" spans="1:7" x14ac:dyDescent="0.25">
      <c r="A2753" s="116" t="s">
        <v>4201</v>
      </c>
      <c r="B2753" s="117" t="s">
        <v>4202</v>
      </c>
      <c r="C2753" t="s">
        <v>67</v>
      </c>
      <c r="D2753" t="s">
        <v>67</v>
      </c>
      <c r="E2753" t="s">
        <v>67</v>
      </c>
      <c r="F2753" t="s">
        <v>27990</v>
      </c>
      <c r="G2753" s="117">
        <v>89.79</v>
      </c>
    </row>
    <row r="2754" spans="1:7" x14ac:dyDescent="0.25">
      <c r="A2754" s="116" t="s">
        <v>4203</v>
      </c>
      <c r="B2754" s="117" t="s">
        <v>4204</v>
      </c>
      <c r="C2754" t="s">
        <v>67</v>
      </c>
      <c r="D2754" t="s">
        <v>67</v>
      </c>
      <c r="E2754" t="s">
        <v>67</v>
      </c>
      <c r="F2754" t="s">
        <v>45</v>
      </c>
      <c r="G2754" s="117">
        <v>10.24</v>
      </c>
    </row>
    <row r="2755" spans="1:7" x14ac:dyDescent="0.25">
      <c r="A2755" s="116" t="s">
        <v>4205</v>
      </c>
      <c r="B2755" s="117" t="s">
        <v>4200</v>
      </c>
      <c r="C2755" t="s">
        <v>67</v>
      </c>
      <c r="D2755" t="s">
        <v>67</v>
      </c>
      <c r="E2755" t="s">
        <v>67</v>
      </c>
      <c r="F2755" t="s">
        <v>27987</v>
      </c>
      <c r="G2755" s="117">
        <v>84.44</v>
      </c>
    </row>
    <row r="2756" spans="1:7" x14ac:dyDescent="0.25">
      <c r="A2756" s="116" t="s">
        <v>4206</v>
      </c>
      <c r="B2756" s="117" t="s">
        <v>4105</v>
      </c>
      <c r="C2756" t="s">
        <v>67</v>
      </c>
      <c r="D2756" t="s">
        <v>67</v>
      </c>
      <c r="E2756" t="s">
        <v>67</v>
      </c>
      <c r="F2756" t="s">
        <v>45</v>
      </c>
      <c r="G2756" s="117">
        <v>66.64</v>
      </c>
    </row>
    <row r="2757" spans="1:7" x14ac:dyDescent="0.25">
      <c r="A2757" s="116" t="s">
        <v>4207</v>
      </c>
      <c r="B2757" s="117" t="s">
        <v>4208</v>
      </c>
      <c r="C2757" t="s">
        <v>67</v>
      </c>
      <c r="D2757" t="s">
        <v>67</v>
      </c>
      <c r="E2757" t="s">
        <v>67</v>
      </c>
      <c r="F2757" t="s">
        <v>27987</v>
      </c>
      <c r="G2757" s="117">
        <v>41.38</v>
      </c>
    </row>
    <row r="2758" spans="1:7" x14ac:dyDescent="0.25">
      <c r="A2758" s="116" t="s">
        <v>4209</v>
      </c>
      <c r="B2758" s="117" t="s">
        <v>4210</v>
      </c>
      <c r="C2758" t="s">
        <v>67</v>
      </c>
      <c r="D2758" t="s">
        <v>67</v>
      </c>
      <c r="E2758" t="s">
        <v>67</v>
      </c>
      <c r="F2758" t="s">
        <v>27987</v>
      </c>
      <c r="G2758" s="117">
        <v>61.31</v>
      </c>
    </row>
    <row r="2759" spans="1:7" x14ac:dyDescent="0.25">
      <c r="A2759" s="116" t="s">
        <v>4211</v>
      </c>
      <c r="B2759" s="117" t="s">
        <v>4186</v>
      </c>
      <c r="C2759" t="s">
        <v>67</v>
      </c>
      <c r="D2759" t="s">
        <v>67</v>
      </c>
      <c r="E2759" t="s">
        <v>67</v>
      </c>
      <c r="F2759" t="s">
        <v>27987</v>
      </c>
      <c r="G2759" s="117">
        <v>85.33</v>
      </c>
    </row>
    <row r="2760" spans="1:7" x14ac:dyDescent="0.25">
      <c r="A2760" s="116" t="s">
        <v>4212</v>
      </c>
      <c r="B2760" s="117" t="s">
        <v>4213</v>
      </c>
      <c r="C2760" t="s">
        <v>67</v>
      </c>
      <c r="D2760" t="s">
        <v>67</v>
      </c>
      <c r="E2760" t="s">
        <v>67</v>
      </c>
      <c r="F2760" t="s">
        <v>27987</v>
      </c>
      <c r="G2760" s="117">
        <v>12.37</v>
      </c>
    </row>
    <row r="2761" spans="1:7" x14ac:dyDescent="0.25">
      <c r="A2761" s="116" t="s">
        <v>4214</v>
      </c>
      <c r="B2761" s="117" t="s">
        <v>4215</v>
      </c>
      <c r="C2761" t="s">
        <v>67</v>
      </c>
      <c r="D2761" t="s">
        <v>67</v>
      </c>
      <c r="E2761" t="s">
        <v>67</v>
      </c>
      <c r="F2761" t="s">
        <v>27987</v>
      </c>
      <c r="G2761" s="117">
        <v>23.58</v>
      </c>
    </row>
    <row r="2762" spans="1:7" x14ac:dyDescent="0.25">
      <c r="A2762" s="116" t="s">
        <v>4216</v>
      </c>
      <c r="B2762" s="117" t="s">
        <v>4217</v>
      </c>
      <c r="C2762" t="s">
        <v>67</v>
      </c>
      <c r="D2762" t="s">
        <v>67</v>
      </c>
      <c r="E2762" t="s">
        <v>67</v>
      </c>
      <c r="F2762" t="s">
        <v>27987</v>
      </c>
      <c r="G2762" s="117">
        <v>95.12</v>
      </c>
    </row>
    <row r="2763" spans="1:7" x14ac:dyDescent="0.25">
      <c r="A2763" s="116" t="s">
        <v>4218</v>
      </c>
      <c r="B2763" s="117" t="s">
        <v>4219</v>
      </c>
      <c r="C2763" t="s">
        <v>67</v>
      </c>
      <c r="D2763" t="s">
        <v>67</v>
      </c>
      <c r="E2763" t="s">
        <v>67</v>
      </c>
      <c r="F2763" t="s">
        <v>45</v>
      </c>
      <c r="G2763" s="117">
        <v>73.760000000000005</v>
      </c>
    </row>
    <row r="2764" spans="1:7" x14ac:dyDescent="0.25">
      <c r="A2764" s="116" t="s">
        <v>4220</v>
      </c>
      <c r="B2764" s="117" t="s">
        <v>4221</v>
      </c>
      <c r="C2764" t="s">
        <v>67</v>
      </c>
      <c r="D2764" t="s">
        <v>67</v>
      </c>
      <c r="E2764" t="s">
        <v>67</v>
      </c>
      <c r="F2764" t="s">
        <v>27987</v>
      </c>
      <c r="G2764" s="117">
        <v>31.94</v>
      </c>
    </row>
    <row r="2765" spans="1:7" x14ac:dyDescent="0.25">
      <c r="A2765" s="116" t="s">
        <v>4222</v>
      </c>
      <c r="B2765" s="117" t="s">
        <v>4223</v>
      </c>
      <c r="C2765" t="s">
        <v>67</v>
      </c>
      <c r="D2765" t="s">
        <v>67</v>
      </c>
      <c r="E2765" t="s">
        <v>67</v>
      </c>
      <c r="F2765" t="s">
        <v>27987</v>
      </c>
      <c r="G2765" s="117">
        <v>87.12</v>
      </c>
    </row>
    <row r="2766" spans="1:7" x14ac:dyDescent="0.25">
      <c r="A2766" s="116" t="s">
        <v>29773</v>
      </c>
      <c r="B2766" s="117" t="s">
        <v>30401</v>
      </c>
      <c r="C2766" t="s">
        <v>67</v>
      </c>
      <c r="D2766" t="s">
        <v>67</v>
      </c>
      <c r="E2766" t="s">
        <v>67</v>
      </c>
      <c r="F2766" t="s">
        <v>45</v>
      </c>
      <c r="G2766" s="117">
        <v>22.26</v>
      </c>
    </row>
    <row r="2767" spans="1:7" x14ac:dyDescent="0.25">
      <c r="A2767" s="116" t="s">
        <v>4224</v>
      </c>
      <c r="B2767" s="117" t="s">
        <v>4225</v>
      </c>
      <c r="C2767" t="s">
        <v>67</v>
      </c>
      <c r="D2767" t="s">
        <v>67</v>
      </c>
      <c r="E2767" t="s">
        <v>67</v>
      </c>
      <c r="F2767" t="s">
        <v>49</v>
      </c>
      <c r="G2767" s="117">
        <v>47.96</v>
      </c>
    </row>
    <row r="2768" spans="1:7" x14ac:dyDescent="0.25">
      <c r="A2768" s="116" t="s">
        <v>4226</v>
      </c>
      <c r="B2768" s="117" t="s">
        <v>4227</v>
      </c>
      <c r="C2768" t="s">
        <v>67</v>
      </c>
      <c r="D2768" t="s">
        <v>67</v>
      </c>
      <c r="E2768" t="s">
        <v>67</v>
      </c>
      <c r="F2768" t="s">
        <v>27987</v>
      </c>
      <c r="G2768" s="117">
        <v>28.92</v>
      </c>
    </row>
    <row r="2769" spans="1:7" x14ac:dyDescent="0.25">
      <c r="A2769" s="116" t="s">
        <v>4228</v>
      </c>
      <c r="B2769" s="117" t="s">
        <v>4229</v>
      </c>
      <c r="C2769" t="s">
        <v>67</v>
      </c>
      <c r="D2769" t="s">
        <v>67</v>
      </c>
      <c r="E2769" t="s">
        <v>67</v>
      </c>
      <c r="F2769" t="s">
        <v>27987</v>
      </c>
      <c r="G2769" s="117">
        <v>51.17</v>
      </c>
    </row>
    <row r="2770" spans="1:7" x14ac:dyDescent="0.25">
      <c r="A2770" s="116" t="s">
        <v>4230</v>
      </c>
      <c r="B2770" s="117" t="s">
        <v>4231</v>
      </c>
      <c r="C2770" t="s">
        <v>67</v>
      </c>
      <c r="D2770" t="s">
        <v>67</v>
      </c>
      <c r="E2770" t="s">
        <v>67</v>
      </c>
      <c r="F2770" t="s">
        <v>27987</v>
      </c>
      <c r="G2770" s="117">
        <v>25.71</v>
      </c>
    </row>
    <row r="2771" spans="1:7" x14ac:dyDescent="0.25">
      <c r="A2771" s="116" t="s">
        <v>4232</v>
      </c>
      <c r="B2771" s="117" t="s">
        <v>26454</v>
      </c>
      <c r="C2771" t="s">
        <v>67</v>
      </c>
      <c r="D2771" t="s">
        <v>67</v>
      </c>
      <c r="E2771" t="s">
        <v>67</v>
      </c>
      <c r="F2771" t="s">
        <v>27987</v>
      </c>
      <c r="G2771" s="117">
        <v>25</v>
      </c>
    </row>
    <row r="2772" spans="1:7" x14ac:dyDescent="0.25">
      <c r="A2772" s="116" t="s">
        <v>26759</v>
      </c>
      <c r="B2772" s="117" t="s">
        <v>26760</v>
      </c>
      <c r="C2772" t="s">
        <v>67</v>
      </c>
      <c r="D2772" t="s">
        <v>67</v>
      </c>
      <c r="E2772" t="s">
        <v>67</v>
      </c>
      <c r="F2772" t="s">
        <v>45</v>
      </c>
      <c r="G2772" s="117">
        <v>8.1300000000000008</v>
      </c>
    </row>
    <row r="2773" spans="1:7" x14ac:dyDescent="0.25">
      <c r="A2773" s="116" t="s">
        <v>4233</v>
      </c>
      <c r="B2773" s="117" t="s">
        <v>4234</v>
      </c>
      <c r="C2773" t="s">
        <v>67</v>
      </c>
      <c r="D2773" t="s">
        <v>67</v>
      </c>
      <c r="E2773" t="s">
        <v>67</v>
      </c>
      <c r="F2773" t="s">
        <v>27987</v>
      </c>
      <c r="G2773" s="117">
        <v>60.42</v>
      </c>
    </row>
    <row r="2774" spans="1:7" x14ac:dyDescent="0.25">
      <c r="A2774" s="116" t="s">
        <v>4235</v>
      </c>
      <c r="B2774" s="117" t="s">
        <v>4236</v>
      </c>
      <c r="C2774" t="s">
        <v>67</v>
      </c>
      <c r="D2774" t="s">
        <v>67</v>
      </c>
      <c r="E2774" t="s">
        <v>67</v>
      </c>
      <c r="F2774" t="s">
        <v>27987</v>
      </c>
      <c r="G2774" s="117">
        <v>107.58</v>
      </c>
    </row>
    <row r="2775" spans="1:7" x14ac:dyDescent="0.25">
      <c r="A2775" s="116" t="s">
        <v>4237</v>
      </c>
      <c r="B2775" s="117" t="s">
        <v>4238</v>
      </c>
      <c r="C2775" t="s">
        <v>67</v>
      </c>
      <c r="D2775" t="s">
        <v>67</v>
      </c>
      <c r="E2775" t="s">
        <v>67</v>
      </c>
      <c r="F2775" t="s">
        <v>27987</v>
      </c>
      <c r="G2775" s="117">
        <v>76.44</v>
      </c>
    </row>
    <row r="2776" spans="1:7" x14ac:dyDescent="0.25">
      <c r="A2776" s="116" t="s">
        <v>4239</v>
      </c>
      <c r="B2776" s="117" t="s">
        <v>4240</v>
      </c>
      <c r="C2776" t="s">
        <v>67</v>
      </c>
      <c r="D2776" t="s">
        <v>67</v>
      </c>
      <c r="E2776" t="s">
        <v>67</v>
      </c>
      <c r="F2776" t="s">
        <v>27987</v>
      </c>
      <c r="G2776" s="117">
        <v>84.08</v>
      </c>
    </row>
    <row r="2777" spans="1:7" x14ac:dyDescent="0.25">
      <c r="A2777" s="116" t="s">
        <v>4241</v>
      </c>
      <c r="B2777" s="117" t="s">
        <v>4242</v>
      </c>
      <c r="C2777" t="s">
        <v>67</v>
      </c>
      <c r="D2777" t="s">
        <v>67</v>
      </c>
      <c r="E2777" t="s">
        <v>67</v>
      </c>
      <c r="F2777" t="s">
        <v>27987</v>
      </c>
      <c r="G2777" s="117">
        <v>128.05000000000001</v>
      </c>
    </row>
    <row r="2778" spans="1:7" x14ac:dyDescent="0.25">
      <c r="A2778" s="116" t="s">
        <v>4243</v>
      </c>
      <c r="B2778" s="117" t="s">
        <v>4244</v>
      </c>
      <c r="C2778" t="s">
        <v>67</v>
      </c>
      <c r="D2778" t="s">
        <v>67</v>
      </c>
      <c r="E2778" t="s">
        <v>67</v>
      </c>
      <c r="F2778" t="s">
        <v>27987</v>
      </c>
      <c r="G2778" s="117">
        <v>22.69</v>
      </c>
    </row>
    <row r="2779" spans="1:7" x14ac:dyDescent="0.25">
      <c r="A2779" s="116" t="s">
        <v>4245</v>
      </c>
      <c r="B2779" s="117" t="s">
        <v>4246</v>
      </c>
      <c r="C2779" t="s">
        <v>67</v>
      </c>
      <c r="D2779" t="s">
        <v>67</v>
      </c>
      <c r="E2779" t="s">
        <v>67</v>
      </c>
      <c r="F2779" t="s">
        <v>27987</v>
      </c>
      <c r="G2779" s="117">
        <v>40.85</v>
      </c>
    </row>
    <row r="2780" spans="1:7" x14ac:dyDescent="0.25">
      <c r="A2780" s="116" t="s">
        <v>4247</v>
      </c>
      <c r="B2780" s="117" t="s">
        <v>4248</v>
      </c>
      <c r="C2780" t="s">
        <v>67</v>
      </c>
      <c r="D2780" t="s">
        <v>67</v>
      </c>
      <c r="E2780" t="s">
        <v>67</v>
      </c>
      <c r="F2780" t="s">
        <v>27987</v>
      </c>
      <c r="G2780" s="117">
        <v>38.18</v>
      </c>
    </row>
    <row r="2781" spans="1:7" x14ac:dyDescent="0.25">
      <c r="A2781" s="116" t="s">
        <v>4249</v>
      </c>
      <c r="B2781" s="117" t="s">
        <v>4250</v>
      </c>
      <c r="C2781" t="s">
        <v>67</v>
      </c>
      <c r="D2781" t="s">
        <v>67</v>
      </c>
      <c r="E2781" t="s">
        <v>67</v>
      </c>
      <c r="F2781" t="s">
        <v>27987</v>
      </c>
      <c r="G2781" s="117">
        <v>202.12</v>
      </c>
    </row>
    <row r="2782" spans="1:7" x14ac:dyDescent="0.25">
      <c r="A2782" s="116" t="s">
        <v>4251</v>
      </c>
      <c r="B2782" s="117" t="s">
        <v>4252</v>
      </c>
      <c r="C2782" t="s">
        <v>67</v>
      </c>
      <c r="D2782" t="s">
        <v>67</v>
      </c>
      <c r="E2782" t="s">
        <v>67</v>
      </c>
      <c r="F2782" t="s">
        <v>27987</v>
      </c>
      <c r="G2782" s="117">
        <v>17.36</v>
      </c>
    </row>
    <row r="2783" spans="1:7" x14ac:dyDescent="0.25">
      <c r="A2783" s="116" t="s">
        <v>4253</v>
      </c>
      <c r="B2783" s="117" t="s">
        <v>4254</v>
      </c>
      <c r="C2783" t="s">
        <v>67</v>
      </c>
      <c r="D2783" t="s">
        <v>67</v>
      </c>
      <c r="E2783" t="s">
        <v>67</v>
      </c>
      <c r="F2783" t="s">
        <v>27987</v>
      </c>
      <c r="G2783" s="117">
        <v>151.71</v>
      </c>
    </row>
    <row r="2784" spans="1:7" x14ac:dyDescent="0.25">
      <c r="A2784" s="116" t="s">
        <v>29774</v>
      </c>
      <c r="B2784" s="117" t="s">
        <v>30402</v>
      </c>
      <c r="C2784" t="s">
        <v>67</v>
      </c>
      <c r="D2784" t="s">
        <v>67</v>
      </c>
      <c r="E2784" t="s">
        <v>67</v>
      </c>
      <c r="F2784" t="s">
        <v>45</v>
      </c>
      <c r="G2784" s="117">
        <v>7.25</v>
      </c>
    </row>
    <row r="2785" spans="1:7" x14ac:dyDescent="0.25">
      <c r="A2785" s="116" t="s">
        <v>4255</v>
      </c>
      <c r="B2785" s="117" t="s">
        <v>4256</v>
      </c>
      <c r="C2785" t="s">
        <v>67</v>
      </c>
      <c r="D2785" t="s">
        <v>67</v>
      </c>
      <c r="E2785" t="s">
        <v>67</v>
      </c>
      <c r="F2785" t="s">
        <v>27987</v>
      </c>
      <c r="G2785" s="117">
        <v>31.58</v>
      </c>
    </row>
    <row r="2786" spans="1:7" x14ac:dyDescent="0.25">
      <c r="A2786" s="116" t="s">
        <v>4257</v>
      </c>
      <c r="B2786" s="117" t="s">
        <v>4258</v>
      </c>
      <c r="C2786" t="s">
        <v>67</v>
      </c>
      <c r="D2786" t="s">
        <v>67</v>
      </c>
      <c r="E2786" t="s">
        <v>67</v>
      </c>
      <c r="F2786" t="s">
        <v>27987</v>
      </c>
      <c r="G2786" s="117">
        <v>63.62</v>
      </c>
    </row>
    <row r="2787" spans="1:7" x14ac:dyDescent="0.25">
      <c r="A2787" s="116" t="s">
        <v>4259</v>
      </c>
      <c r="B2787" s="117" t="s">
        <v>4260</v>
      </c>
      <c r="C2787" t="s">
        <v>67</v>
      </c>
      <c r="D2787" t="s">
        <v>67</v>
      </c>
      <c r="E2787" t="s">
        <v>67</v>
      </c>
      <c r="F2787" t="s">
        <v>27987</v>
      </c>
      <c r="G2787" s="117">
        <v>32.83</v>
      </c>
    </row>
    <row r="2788" spans="1:7" x14ac:dyDescent="0.25">
      <c r="A2788" s="116" t="s">
        <v>4261</v>
      </c>
      <c r="B2788" s="117" t="s">
        <v>4262</v>
      </c>
      <c r="C2788" t="s">
        <v>67</v>
      </c>
      <c r="D2788" t="s">
        <v>67</v>
      </c>
      <c r="E2788" t="s">
        <v>67</v>
      </c>
      <c r="F2788" t="s">
        <v>27987</v>
      </c>
      <c r="G2788" s="117">
        <v>34.619999999999997</v>
      </c>
    </row>
    <row r="2789" spans="1:7" x14ac:dyDescent="0.25">
      <c r="A2789" s="116" t="s">
        <v>4263</v>
      </c>
      <c r="B2789" s="117" t="s">
        <v>4264</v>
      </c>
      <c r="C2789" t="s">
        <v>67</v>
      </c>
      <c r="D2789" t="s">
        <v>67</v>
      </c>
      <c r="E2789" t="s">
        <v>67</v>
      </c>
      <c r="F2789" t="s">
        <v>27987</v>
      </c>
      <c r="G2789" s="117">
        <v>33.729999999999997</v>
      </c>
    </row>
    <row r="2790" spans="1:7" x14ac:dyDescent="0.25">
      <c r="A2790" s="116" t="s">
        <v>4265</v>
      </c>
      <c r="B2790" s="117" t="s">
        <v>4266</v>
      </c>
      <c r="C2790" t="s">
        <v>67</v>
      </c>
      <c r="D2790" t="s">
        <v>67</v>
      </c>
      <c r="E2790" t="s">
        <v>67</v>
      </c>
      <c r="F2790" t="s">
        <v>27987</v>
      </c>
      <c r="G2790" s="117">
        <v>15.04</v>
      </c>
    </row>
    <row r="2791" spans="1:7" x14ac:dyDescent="0.25">
      <c r="A2791" s="116" t="s">
        <v>4267</v>
      </c>
      <c r="B2791" s="117" t="s">
        <v>4268</v>
      </c>
      <c r="C2791" t="s">
        <v>67</v>
      </c>
      <c r="D2791" t="s">
        <v>67</v>
      </c>
      <c r="E2791" t="s">
        <v>67</v>
      </c>
      <c r="F2791" t="s">
        <v>49</v>
      </c>
      <c r="G2791" s="117">
        <v>15.57</v>
      </c>
    </row>
    <row r="2792" spans="1:7" x14ac:dyDescent="0.25">
      <c r="A2792" s="116" t="s">
        <v>4269</v>
      </c>
      <c r="B2792" s="117" t="s">
        <v>4270</v>
      </c>
      <c r="C2792" t="s">
        <v>67</v>
      </c>
      <c r="D2792" t="s">
        <v>67</v>
      </c>
      <c r="E2792" t="s">
        <v>67</v>
      </c>
      <c r="F2792" t="s">
        <v>27987</v>
      </c>
      <c r="G2792" s="117">
        <v>33.369999999999997</v>
      </c>
    </row>
    <row r="2793" spans="1:7" x14ac:dyDescent="0.25">
      <c r="A2793" s="116" t="s">
        <v>4271</v>
      </c>
      <c r="B2793" s="117" t="s">
        <v>4272</v>
      </c>
      <c r="C2793" t="s">
        <v>67</v>
      </c>
      <c r="D2793" t="s">
        <v>67</v>
      </c>
      <c r="E2793" t="s">
        <v>67</v>
      </c>
      <c r="F2793" t="s">
        <v>27987</v>
      </c>
      <c r="G2793" s="117">
        <v>38.700000000000003</v>
      </c>
    </row>
    <row r="2794" spans="1:7" x14ac:dyDescent="0.25">
      <c r="A2794" s="116" t="s">
        <v>4273</v>
      </c>
      <c r="B2794" s="117" t="s">
        <v>4274</v>
      </c>
      <c r="C2794" t="s">
        <v>67</v>
      </c>
      <c r="D2794" t="s">
        <v>67</v>
      </c>
      <c r="E2794" t="s">
        <v>67</v>
      </c>
      <c r="F2794" t="s">
        <v>27987</v>
      </c>
      <c r="G2794" s="117">
        <v>444.49</v>
      </c>
    </row>
    <row r="2795" spans="1:7" x14ac:dyDescent="0.25">
      <c r="A2795" s="116" t="s">
        <v>4275</v>
      </c>
      <c r="B2795" s="117" t="s">
        <v>4276</v>
      </c>
      <c r="C2795" t="s">
        <v>67</v>
      </c>
      <c r="D2795" t="s">
        <v>67</v>
      </c>
      <c r="E2795" t="s">
        <v>67</v>
      </c>
      <c r="F2795" t="s">
        <v>27987</v>
      </c>
      <c r="G2795" s="117">
        <v>115.58</v>
      </c>
    </row>
    <row r="2796" spans="1:7" x14ac:dyDescent="0.25">
      <c r="A2796" s="116" t="s">
        <v>4277</v>
      </c>
      <c r="B2796" s="117" t="s">
        <v>4192</v>
      </c>
      <c r="C2796" t="s">
        <v>67</v>
      </c>
      <c r="D2796" t="s">
        <v>67</v>
      </c>
      <c r="E2796" t="s">
        <v>67</v>
      </c>
      <c r="F2796" t="s">
        <v>49</v>
      </c>
      <c r="G2796" s="117">
        <v>41.38</v>
      </c>
    </row>
    <row r="2797" spans="1:7" x14ac:dyDescent="0.25">
      <c r="A2797" s="116" t="s">
        <v>4278</v>
      </c>
      <c r="B2797" s="117" t="s">
        <v>4279</v>
      </c>
      <c r="C2797" t="s">
        <v>67</v>
      </c>
      <c r="D2797" t="s">
        <v>67</v>
      </c>
      <c r="E2797" t="s">
        <v>67</v>
      </c>
      <c r="F2797" t="s">
        <v>27987</v>
      </c>
      <c r="G2797" s="117">
        <v>61.31</v>
      </c>
    </row>
    <row r="2798" spans="1:7" x14ac:dyDescent="0.25">
      <c r="A2798" s="116" t="s">
        <v>4280</v>
      </c>
      <c r="B2798" s="117" t="s">
        <v>4281</v>
      </c>
      <c r="C2798" t="s">
        <v>67</v>
      </c>
      <c r="D2798" t="s">
        <v>67</v>
      </c>
      <c r="E2798" t="s">
        <v>67</v>
      </c>
      <c r="F2798" t="s">
        <v>27987</v>
      </c>
      <c r="G2798" s="117">
        <v>101</v>
      </c>
    </row>
    <row r="2799" spans="1:7" x14ac:dyDescent="0.25">
      <c r="A2799" s="116" t="s">
        <v>4282</v>
      </c>
      <c r="B2799" s="117" t="s">
        <v>4283</v>
      </c>
      <c r="C2799" t="s">
        <v>67</v>
      </c>
      <c r="D2799" t="s">
        <v>67</v>
      </c>
      <c r="E2799" t="s">
        <v>67</v>
      </c>
      <c r="F2799" t="s">
        <v>45</v>
      </c>
      <c r="G2799" s="117">
        <v>37.82</v>
      </c>
    </row>
    <row r="2800" spans="1:7" x14ac:dyDescent="0.25">
      <c r="A2800" s="116" t="s">
        <v>4284</v>
      </c>
      <c r="B2800" s="117" t="s">
        <v>4285</v>
      </c>
      <c r="C2800" t="s">
        <v>67</v>
      </c>
      <c r="D2800" t="s">
        <v>67</v>
      </c>
      <c r="E2800" t="s">
        <v>67</v>
      </c>
      <c r="F2800" t="s">
        <v>27987</v>
      </c>
      <c r="G2800" s="117">
        <v>39.06</v>
      </c>
    </row>
    <row r="2801" spans="1:7" x14ac:dyDescent="0.25">
      <c r="A2801" s="116" t="s">
        <v>4286</v>
      </c>
      <c r="B2801" s="117" t="s">
        <v>4119</v>
      </c>
      <c r="C2801" t="s">
        <v>67</v>
      </c>
      <c r="D2801" t="s">
        <v>67</v>
      </c>
      <c r="E2801" t="s">
        <v>67</v>
      </c>
      <c r="F2801" t="s">
        <v>27987</v>
      </c>
      <c r="G2801" s="117">
        <v>39.06</v>
      </c>
    </row>
    <row r="2802" spans="1:7" x14ac:dyDescent="0.25">
      <c r="A2802" s="116" t="s">
        <v>4287</v>
      </c>
      <c r="B2802" s="117" t="s">
        <v>4288</v>
      </c>
      <c r="C2802" t="s">
        <v>67</v>
      </c>
      <c r="D2802" t="s">
        <v>67</v>
      </c>
      <c r="E2802" t="s">
        <v>67</v>
      </c>
      <c r="F2802" t="s">
        <v>27987</v>
      </c>
      <c r="G2802" s="117">
        <v>40.49</v>
      </c>
    </row>
    <row r="2803" spans="1:7" x14ac:dyDescent="0.25">
      <c r="A2803" s="116" t="s">
        <v>4289</v>
      </c>
      <c r="B2803" s="117" t="s">
        <v>4290</v>
      </c>
      <c r="C2803" t="s">
        <v>67</v>
      </c>
      <c r="D2803" t="s">
        <v>67</v>
      </c>
      <c r="E2803" t="s">
        <v>67</v>
      </c>
      <c r="F2803" t="s">
        <v>27987</v>
      </c>
      <c r="G2803" s="117">
        <v>61.85</v>
      </c>
    </row>
    <row r="2804" spans="1:7" x14ac:dyDescent="0.25">
      <c r="A2804" s="116" t="s">
        <v>4291</v>
      </c>
      <c r="B2804" s="117" t="s">
        <v>4062</v>
      </c>
      <c r="C2804" t="s">
        <v>67</v>
      </c>
      <c r="D2804" t="s">
        <v>67</v>
      </c>
      <c r="E2804" t="s">
        <v>67</v>
      </c>
      <c r="F2804" t="s">
        <v>27987</v>
      </c>
      <c r="G2804" s="117">
        <v>11.12</v>
      </c>
    </row>
    <row r="2805" spans="1:7" x14ac:dyDescent="0.25">
      <c r="A2805" s="116" t="s">
        <v>4292</v>
      </c>
      <c r="B2805" s="117" t="s">
        <v>3938</v>
      </c>
      <c r="C2805" t="s">
        <v>67</v>
      </c>
      <c r="D2805" t="s">
        <v>67</v>
      </c>
      <c r="E2805" t="s">
        <v>67</v>
      </c>
      <c r="F2805" t="s">
        <v>27987</v>
      </c>
      <c r="G2805" s="117">
        <v>50.63</v>
      </c>
    </row>
    <row r="2806" spans="1:7" x14ac:dyDescent="0.25">
      <c r="A2806" s="116" t="s">
        <v>4293</v>
      </c>
      <c r="B2806" s="117" t="s">
        <v>4294</v>
      </c>
      <c r="C2806" t="s">
        <v>67</v>
      </c>
      <c r="D2806" t="s">
        <v>67</v>
      </c>
      <c r="E2806" t="s">
        <v>67</v>
      </c>
      <c r="F2806" t="s">
        <v>27987</v>
      </c>
      <c r="G2806" s="117">
        <v>17.7</v>
      </c>
    </row>
    <row r="2807" spans="1:7" x14ac:dyDescent="0.25">
      <c r="A2807" s="116" t="s">
        <v>4295</v>
      </c>
      <c r="B2807" s="117" t="s">
        <v>4296</v>
      </c>
      <c r="C2807" t="s">
        <v>67</v>
      </c>
      <c r="D2807" t="s">
        <v>67</v>
      </c>
      <c r="E2807" t="s">
        <v>67</v>
      </c>
      <c r="F2807" t="s">
        <v>27987</v>
      </c>
      <c r="G2807" s="117">
        <v>256.18</v>
      </c>
    </row>
    <row r="2808" spans="1:7" x14ac:dyDescent="0.25">
      <c r="A2808" s="116" t="s">
        <v>4297</v>
      </c>
      <c r="B2808" s="117" t="s">
        <v>4298</v>
      </c>
      <c r="C2808" t="s">
        <v>67</v>
      </c>
      <c r="D2808" t="s">
        <v>67</v>
      </c>
      <c r="E2808" t="s">
        <v>67</v>
      </c>
      <c r="F2808" t="s">
        <v>27987</v>
      </c>
      <c r="G2808" s="117">
        <v>27.12</v>
      </c>
    </row>
    <row r="2809" spans="1:7" x14ac:dyDescent="0.25">
      <c r="A2809" s="116" t="s">
        <v>4299</v>
      </c>
      <c r="B2809" s="117" t="s">
        <v>4300</v>
      </c>
      <c r="C2809" t="s">
        <v>67</v>
      </c>
      <c r="D2809" t="s">
        <v>67</v>
      </c>
      <c r="E2809" t="s">
        <v>67</v>
      </c>
      <c r="F2809" t="s">
        <v>27987</v>
      </c>
      <c r="G2809" s="117">
        <v>10.050000000000001</v>
      </c>
    </row>
    <row r="2810" spans="1:7" x14ac:dyDescent="0.25">
      <c r="A2810" s="116" t="s">
        <v>4301</v>
      </c>
      <c r="B2810" s="117" t="s">
        <v>4302</v>
      </c>
      <c r="C2810" t="s">
        <v>67</v>
      </c>
      <c r="D2810" t="s">
        <v>67</v>
      </c>
      <c r="E2810" t="s">
        <v>67</v>
      </c>
      <c r="F2810" t="s">
        <v>45</v>
      </c>
      <c r="G2810" s="117">
        <v>52.98</v>
      </c>
    </row>
    <row r="2811" spans="1:7" x14ac:dyDescent="0.25">
      <c r="A2811" s="116" t="s">
        <v>4303</v>
      </c>
      <c r="B2811" s="117" t="s">
        <v>4304</v>
      </c>
      <c r="C2811" t="s">
        <v>67</v>
      </c>
      <c r="D2811" t="s">
        <v>67</v>
      </c>
      <c r="E2811" t="s">
        <v>67</v>
      </c>
      <c r="F2811" t="s">
        <v>27987</v>
      </c>
      <c r="G2811" s="117">
        <v>10.050000000000001</v>
      </c>
    </row>
    <row r="2812" spans="1:7" x14ac:dyDescent="0.25">
      <c r="A2812" s="116" t="s">
        <v>4305</v>
      </c>
      <c r="B2812" s="117" t="s">
        <v>4306</v>
      </c>
      <c r="C2812" t="s">
        <v>67</v>
      </c>
      <c r="D2812" t="s">
        <v>67</v>
      </c>
      <c r="E2812" t="s">
        <v>67</v>
      </c>
      <c r="F2812" t="s">
        <v>27987</v>
      </c>
      <c r="G2812" s="117">
        <v>64.87</v>
      </c>
    </row>
    <row r="2813" spans="1:7" x14ac:dyDescent="0.25">
      <c r="A2813" s="116" t="s">
        <v>4307</v>
      </c>
      <c r="B2813" s="117" t="s">
        <v>4308</v>
      </c>
      <c r="C2813" t="s">
        <v>67</v>
      </c>
      <c r="D2813" t="s">
        <v>67</v>
      </c>
      <c r="E2813" t="s">
        <v>67</v>
      </c>
      <c r="F2813" t="s">
        <v>27987</v>
      </c>
      <c r="G2813" s="117">
        <v>52.49</v>
      </c>
    </row>
    <row r="2814" spans="1:7" x14ac:dyDescent="0.25">
      <c r="A2814" s="116" t="s">
        <v>4309</v>
      </c>
      <c r="B2814" s="117" t="s">
        <v>4310</v>
      </c>
      <c r="C2814" t="s">
        <v>67</v>
      </c>
      <c r="D2814" t="s">
        <v>67</v>
      </c>
      <c r="E2814" t="s">
        <v>67</v>
      </c>
      <c r="F2814" t="s">
        <v>27987</v>
      </c>
      <c r="G2814" s="117">
        <v>103.47</v>
      </c>
    </row>
    <row r="2815" spans="1:7" x14ac:dyDescent="0.25">
      <c r="A2815" s="116" t="s">
        <v>4311</v>
      </c>
      <c r="B2815" s="117" t="s">
        <v>4312</v>
      </c>
      <c r="C2815" t="s">
        <v>67</v>
      </c>
      <c r="D2815" t="s">
        <v>67</v>
      </c>
      <c r="E2815" t="s">
        <v>67</v>
      </c>
      <c r="F2815" t="s">
        <v>27987</v>
      </c>
      <c r="G2815" s="117">
        <v>31.06</v>
      </c>
    </row>
    <row r="2816" spans="1:7" x14ac:dyDescent="0.25">
      <c r="A2816" s="116" t="s">
        <v>4313</v>
      </c>
      <c r="B2816" s="117" t="s">
        <v>26455</v>
      </c>
      <c r="C2816" t="s">
        <v>67</v>
      </c>
      <c r="D2816" t="s">
        <v>67</v>
      </c>
      <c r="E2816" t="s">
        <v>67</v>
      </c>
      <c r="F2816" t="s">
        <v>27987</v>
      </c>
      <c r="G2816" s="117">
        <v>60</v>
      </c>
    </row>
    <row r="2817" spans="1:7" x14ac:dyDescent="0.25">
      <c r="A2817" s="116" t="s">
        <v>4314</v>
      </c>
      <c r="B2817" s="117" t="s">
        <v>4315</v>
      </c>
      <c r="C2817" t="s">
        <v>67</v>
      </c>
      <c r="D2817" t="s">
        <v>67</v>
      </c>
      <c r="E2817" t="s">
        <v>67</v>
      </c>
      <c r="F2817" t="s">
        <v>27987</v>
      </c>
      <c r="G2817" s="117">
        <v>67.180000000000007</v>
      </c>
    </row>
    <row r="2818" spans="1:7" x14ac:dyDescent="0.25">
      <c r="A2818" s="116" t="s">
        <v>4316</v>
      </c>
      <c r="B2818" s="117" t="s">
        <v>1998</v>
      </c>
      <c r="C2818" t="s">
        <v>67</v>
      </c>
      <c r="D2818" t="s">
        <v>67</v>
      </c>
      <c r="E2818" t="s">
        <v>67</v>
      </c>
      <c r="F2818" t="s">
        <v>27987</v>
      </c>
      <c r="G2818" s="117">
        <v>166.62</v>
      </c>
    </row>
    <row r="2819" spans="1:7" x14ac:dyDescent="0.25">
      <c r="A2819" s="116" t="s">
        <v>4317</v>
      </c>
      <c r="B2819" s="117" t="s">
        <v>4318</v>
      </c>
      <c r="C2819" t="s">
        <v>67</v>
      </c>
      <c r="D2819" t="s">
        <v>67</v>
      </c>
      <c r="E2819" t="s">
        <v>67</v>
      </c>
      <c r="F2819" t="s">
        <v>27987</v>
      </c>
      <c r="G2819" s="117">
        <v>67.31</v>
      </c>
    </row>
    <row r="2820" spans="1:7" x14ac:dyDescent="0.25">
      <c r="A2820" s="116" t="s">
        <v>30641</v>
      </c>
      <c r="B2820" s="117" t="s">
        <v>30642</v>
      </c>
      <c r="C2820" t="s">
        <v>67</v>
      </c>
      <c r="D2820" t="s">
        <v>67</v>
      </c>
      <c r="E2820" t="s">
        <v>67</v>
      </c>
      <c r="F2820" t="s">
        <v>45</v>
      </c>
      <c r="G2820" s="117">
        <v>9999</v>
      </c>
    </row>
    <row r="2821" spans="1:7" x14ac:dyDescent="0.25">
      <c r="A2821" s="116" t="s">
        <v>4319</v>
      </c>
      <c r="B2821" s="117" t="s">
        <v>4320</v>
      </c>
      <c r="C2821" t="s">
        <v>67</v>
      </c>
      <c r="D2821" t="s">
        <v>67</v>
      </c>
      <c r="E2821" t="s">
        <v>67</v>
      </c>
      <c r="F2821" t="s">
        <v>27987</v>
      </c>
      <c r="G2821" s="117">
        <v>13.18</v>
      </c>
    </row>
    <row r="2822" spans="1:7" x14ac:dyDescent="0.25">
      <c r="A2822" s="116" t="s">
        <v>4321</v>
      </c>
      <c r="B2822" s="117" t="s">
        <v>4322</v>
      </c>
      <c r="C2822" t="s">
        <v>67</v>
      </c>
      <c r="D2822" t="s">
        <v>67</v>
      </c>
      <c r="E2822" t="s">
        <v>67</v>
      </c>
      <c r="F2822" t="s">
        <v>27987</v>
      </c>
      <c r="G2822" s="117">
        <v>37.54</v>
      </c>
    </row>
    <row r="2823" spans="1:7" x14ac:dyDescent="0.25">
      <c r="A2823" s="116" t="s">
        <v>31089</v>
      </c>
      <c r="B2823" s="117" t="s">
        <v>4447</v>
      </c>
      <c r="C2823" t="s">
        <v>67</v>
      </c>
      <c r="D2823" t="s">
        <v>67</v>
      </c>
      <c r="E2823" t="s">
        <v>67</v>
      </c>
      <c r="F2823" t="s">
        <v>49</v>
      </c>
      <c r="G2823" s="117">
        <v>17.7</v>
      </c>
    </row>
    <row r="2824" spans="1:7" x14ac:dyDescent="0.25">
      <c r="A2824" s="116" t="s">
        <v>4323</v>
      </c>
      <c r="B2824" s="117" t="s">
        <v>4324</v>
      </c>
      <c r="C2824" t="s">
        <v>67</v>
      </c>
      <c r="D2824" t="s">
        <v>67</v>
      </c>
      <c r="E2824" t="s">
        <v>67</v>
      </c>
      <c r="F2824" t="s">
        <v>27987</v>
      </c>
      <c r="G2824" s="117">
        <v>13.81</v>
      </c>
    </row>
    <row r="2825" spans="1:7" x14ac:dyDescent="0.25">
      <c r="A2825" s="116" t="s">
        <v>4325</v>
      </c>
      <c r="B2825" s="117" t="s">
        <v>4326</v>
      </c>
      <c r="C2825" t="s">
        <v>67</v>
      </c>
      <c r="D2825" t="s">
        <v>67</v>
      </c>
      <c r="E2825" t="s">
        <v>67</v>
      </c>
      <c r="F2825" t="s">
        <v>27987</v>
      </c>
      <c r="G2825" s="117">
        <v>71.569999999999993</v>
      </c>
    </row>
    <row r="2826" spans="1:7" x14ac:dyDescent="0.25">
      <c r="A2826" s="116" t="s">
        <v>4327</v>
      </c>
      <c r="B2826" s="117" t="s">
        <v>3938</v>
      </c>
      <c r="C2826" t="s">
        <v>67</v>
      </c>
      <c r="D2826" t="s">
        <v>67</v>
      </c>
      <c r="E2826" t="s">
        <v>67</v>
      </c>
      <c r="F2826" t="s">
        <v>27987</v>
      </c>
      <c r="G2826" s="117">
        <v>137.99</v>
      </c>
    </row>
    <row r="2827" spans="1:7" x14ac:dyDescent="0.25">
      <c r="A2827" s="116" t="s">
        <v>4328</v>
      </c>
      <c r="B2827" s="117" t="s">
        <v>3938</v>
      </c>
      <c r="C2827" t="s">
        <v>67</v>
      </c>
      <c r="D2827" t="s">
        <v>67</v>
      </c>
      <c r="E2827" t="s">
        <v>67</v>
      </c>
      <c r="F2827" t="s">
        <v>27987</v>
      </c>
      <c r="G2827" s="117">
        <v>42.82</v>
      </c>
    </row>
    <row r="2828" spans="1:7" x14ac:dyDescent="0.25">
      <c r="A2828" s="116" t="s">
        <v>4329</v>
      </c>
      <c r="B2828" s="117" t="s">
        <v>4330</v>
      </c>
      <c r="C2828" t="s">
        <v>67</v>
      </c>
      <c r="D2828" t="s">
        <v>67</v>
      </c>
      <c r="E2828" t="s">
        <v>67</v>
      </c>
      <c r="F2828" t="s">
        <v>45</v>
      </c>
      <c r="G2828" s="117">
        <v>124.13</v>
      </c>
    </row>
    <row r="2829" spans="1:7" x14ac:dyDescent="0.25">
      <c r="A2829" s="116" t="s">
        <v>28549</v>
      </c>
      <c r="B2829" s="117" t="s">
        <v>30101</v>
      </c>
      <c r="C2829" t="s">
        <v>67</v>
      </c>
      <c r="D2829" t="s">
        <v>67</v>
      </c>
      <c r="E2829" t="s">
        <v>67</v>
      </c>
      <c r="F2829" t="s">
        <v>27987</v>
      </c>
      <c r="G2829" s="117">
        <v>94.08</v>
      </c>
    </row>
    <row r="2830" spans="1:7" x14ac:dyDescent="0.25">
      <c r="A2830" s="116" t="s">
        <v>30403</v>
      </c>
      <c r="B2830" s="117" t="s">
        <v>30404</v>
      </c>
      <c r="C2830" t="s">
        <v>67</v>
      </c>
      <c r="D2830" t="s">
        <v>67</v>
      </c>
      <c r="E2830" t="s">
        <v>67</v>
      </c>
      <c r="F2830" t="s">
        <v>27987</v>
      </c>
      <c r="G2830" s="117">
        <v>9999</v>
      </c>
    </row>
    <row r="2831" spans="1:7" x14ac:dyDescent="0.25">
      <c r="A2831" s="116" t="s">
        <v>4331</v>
      </c>
      <c r="B2831" s="117" t="s">
        <v>28550</v>
      </c>
      <c r="C2831" t="s">
        <v>67</v>
      </c>
      <c r="D2831" t="s">
        <v>67</v>
      </c>
      <c r="E2831" t="s">
        <v>67</v>
      </c>
      <c r="F2831" t="s">
        <v>27987</v>
      </c>
      <c r="G2831" s="117">
        <v>84.43</v>
      </c>
    </row>
    <row r="2832" spans="1:7" x14ac:dyDescent="0.25">
      <c r="A2832" s="116" t="s">
        <v>31216</v>
      </c>
      <c r="B2832" s="117" t="s">
        <v>31217</v>
      </c>
      <c r="C2832" t="s">
        <v>67</v>
      </c>
      <c r="D2832" t="s">
        <v>67</v>
      </c>
      <c r="E2832" t="s">
        <v>67</v>
      </c>
      <c r="F2832" t="s">
        <v>45</v>
      </c>
      <c r="G2832" s="117">
        <v>24</v>
      </c>
    </row>
    <row r="2833" spans="1:7" x14ac:dyDescent="0.25">
      <c r="A2833" s="116" t="s">
        <v>29775</v>
      </c>
      <c r="B2833" s="117" t="s">
        <v>30392</v>
      </c>
      <c r="C2833" t="s">
        <v>67</v>
      </c>
      <c r="D2833" t="s">
        <v>67</v>
      </c>
      <c r="E2833" t="s">
        <v>67</v>
      </c>
      <c r="F2833" t="s">
        <v>27987</v>
      </c>
      <c r="G2833" s="117">
        <v>69.3</v>
      </c>
    </row>
    <row r="2834" spans="1:7" x14ac:dyDescent="0.25">
      <c r="A2834" s="116" t="s">
        <v>29907</v>
      </c>
      <c r="B2834" s="117" t="s">
        <v>30392</v>
      </c>
      <c r="C2834" t="s">
        <v>67</v>
      </c>
      <c r="D2834" t="s">
        <v>67</v>
      </c>
      <c r="E2834" t="s">
        <v>67</v>
      </c>
      <c r="F2834" t="s">
        <v>27987</v>
      </c>
      <c r="G2834" s="117">
        <v>85</v>
      </c>
    </row>
    <row r="2835" spans="1:7" x14ac:dyDescent="0.25">
      <c r="A2835" s="116" t="s">
        <v>4332</v>
      </c>
      <c r="B2835" s="117" t="s">
        <v>4333</v>
      </c>
      <c r="C2835" t="s">
        <v>67</v>
      </c>
      <c r="D2835" t="s">
        <v>67</v>
      </c>
      <c r="E2835" t="s">
        <v>67</v>
      </c>
      <c r="F2835" t="s">
        <v>45</v>
      </c>
      <c r="G2835" s="117">
        <v>211.07</v>
      </c>
    </row>
    <row r="2836" spans="1:7" x14ac:dyDescent="0.25">
      <c r="A2836" s="116" t="s">
        <v>4334</v>
      </c>
      <c r="B2836" s="117" t="s">
        <v>4335</v>
      </c>
      <c r="C2836" t="s">
        <v>67</v>
      </c>
      <c r="D2836" t="s">
        <v>67</v>
      </c>
      <c r="E2836" t="s">
        <v>67</v>
      </c>
      <c r="F2836" t="s">
        <v>27987</v>
      </c>
      <c r="G2836" s="117">
        <v>42.93</v>
      </c>
    </row>
    <row r="2837" spans="1:7" x14ac:dyDescent="0.25">
      <c r="A2837" s="116" t="s">
        <v>28551</v>
      </c>
      <c r="B2837" s="117" t="s">
        <v>28552</v>
      </c>
      <c r="C2837" t="s">
        <v>67</v>
      </c>
      <c r="D2837" t="s">
        <v>67</v>
      </c>
      <c r="E2837" t="s">
        <v>67</v>
      </c>
      <c r="F2837" t="s">
        <v>27987</v>
      </c>
      <c r="G2837" s="117">
        <v>28.77</v>
      </c>
    </row>
    <row r="2838" spans="1:7" x14ac:dyDescent="0.25">
      <c r="A2838" s="116" t="s">
        <v>28082</v>
      </c>
      <c r="B2838" s="117" t="s">
        <v>28083</v>
      </c>
      <c r="C2838" t="s">
        <v>67</v>
      </c>
      <c r="D2838" t="s">
        <v>67</v>
      </c>
      <c r="E2838" t="s">
        <v>67</v>
      </c>
      <c r="F2838" t="s">
        <v>27987</v>
      </c>
      <c r="G2838" s="117">
        <v>120</v>
      </c>
    </row>
    <row r="2839" spans="1:7" x14ac:dyDescent="0.25">
      <c r="A2839" s="116" t="s">
        <v>4336</v>
      </c>
      <c r="B2839" s="117" t="s">
        <v>28553</v>
      </c>
      <c r="C2839" t="s">
        <v>67</v>
      </c>
      <c r="D2839" t="s">
        <v>67</v>
      </c>
      <c r="E2839" t="s">
        <v>67</v>
      </c>
      <c r="F2839" t="s">
        <v>27987</v>
      </c>
      <c r="G2839" s="117">
        <v>50.58</v>
      </c>
    </row>
    <row r="2840" spans="1:7" x14ac:dyDescent="0.25">
      <c r="A2840" s="116" t="s">
        <v>4337</v>
      </c>
      <c r="B2840" s="117" t="s">
        <v>28554</v>
      </c>
      <c r="C2840" t="s">
        <v>67</v>
      </c>
      <c r="D2840" t="s">
        <v>67</v>
      </c>
      <c r="E2840" t="s">
        <v>67</v>
      </c>
      <c r="F2840" t="s">
        <v>27987</v>
      </c>
      <c r="G2840" s="117">
        <v>105.59</v>
      </c>
    </row>
    <row r="2841" spans="1:7" x14ac:dyDescent="0.25">
      <c r="A2841" s="116" t="s">
        <v>4338</v>
      </c>
      <c r="B2841" s="117" t="s">
        <v>4339</v>
      </c>
      <c r="C2841" t="s">
        <v>67</v>
      </c>
      <c r="D2841" t="s">
        <v>67</v>
      </c>
      <c r="E2841" t="s">
        <v>67</v>
      </c>
      <c r="F2841" t="s">
        <v>27987</v>
      </c>
      <c r="G2841" s="117">
        <v>99.13</v>
      </c>
    </row>
    <row r="2842" spans="1:7" x14ac:dyDescent="0.25">
      <c r="A2842" s="116" t="s">
        <v>4340</v>
      </c>
      <c r="B2842" s="117" t="s">
        <v>4341</v>
      </c>
      <c r="C2842" t="s">
        <v>67</v>
      </c>
      <c r="D2842" t="s">
        <v>67</v>
      </c>
      <c r="E2842" t="s">
        <v>67</v>
      </c>
      <c r="F2842" t="s">
        <v>27987</v>
      </c>
      <c r="G2842" s="117">
        <v>111.45</v>
      </c>
    </row>
    <row r="2843" spans="1:7" x14ac:dyDescent="0.25">
      <c r="A2843" s="116" t="s">
        <v>4342</v>
      </c>
      <c r="B2843" s="117" t="s">
        <v>4343</v>
      </c>
      <c r="C2843" t="s">
        <v>67</v>
      </c>
      <c r="D2843" t="s">
        <v>67</v>
      </c>
      <c r="E2843" t="s">
        <v>67</v>
      </c>
      <c r="F2843" t="s">
        <v>27987</v>
      </c>
      <c r="G2843" s="117">
        <v>95</v>
      </c>
    </row>
    <row r="2844" spans="1:7" x14ac:dyDescent="0.25">
      <c r="A2844" s="116" t="s">
        <v>28555</v>
      </c>
      <c r="B2844" s="117" t="s">
        <v>28556</v>
      </c>
      <c r="C2844" t="s">
        <v>67</v>
      </c>
      <c r="D2844" t="s">
        <v>67</v>
      </c>
      <c r="E2844" t="s">
        <v>67</v>
      </c>
      <c r="F2844" t="s">
        <v>45</v>
      </c>
      <c r="G2844" s="117">
        <v>125</v>
      </c>
    </row>
    <row r="2845" spans="1:7" x14ac:dyDescent="0.25">
      <c r="A2845" s="116" t="s">
        <v>4344</v>
      </c>
      <c r="B2845" s="117" t="s">
        <v>28557</v>
      </c>
      <c r="C2845" t="s">
        <v>67</v>
      </c>
      <c r="D2845" t="s">
        <v>67</v>
      </c>
      <c r="E2845" t="s">
        <v>67</v>
      </c>
      <c r="F2845" t="s">
        <v>27987</v>
      </c>
      <c r="G2845" s="117">
        <v>86.23</v>
      </c>
    </row>
    <row r="2846" spans="1:7" x14ac:dyDescent="0.25">
      <c r="A2846" s="116" t="s">
        <v>27359</v>
      </c>
      <c r="B2846" s="117" t="s">
        <v>4345</v>
      </c>
      <c r="C2846" t="s">
        <v>67</v>
      </c>
      <c r="D2846" t="s">
        <v>67</v>
      </c>
      <c r="E2846" t="s">
        <v>67</v>
      </c>
      <c r="F2846" t="s">
        <v>45</v>
      </c>
      <c r="G2846" s="117">
        <v>53.43</v>
      </c>
    </row>
    <row r="2847" spans="1:7" x14ac:dyDescent="0.25">
      <c r="A2847" s="116" t="s">
        <v>27360</v>
      </c>
      <c r="B2847" s="117" t="s">
        <v>4346</v>
      </c>
      <c r="C2847" t="s">
        <v>67</v>
      </c>
      <c r="D2847" t="s">
        <v>67</v>
      </c>
      <c r="E2847" t="s">
        <v>67</v>
      </c>
      <c r="F2847" t="s">
        <v>45</v>
      </c>
      <c r="G2847" s="117">
        <v>95.66</v>
      </c>
    </row>
    <row r="2848" spans="1:7" x14ac:dyDescent="0.25">
      <c r="A2848" s="116" t="s">
        <v>4347</v>
      </c>
      <c r="B2848" s="117" t="s">
        <v>4348</v>
      </c>
      <c r="C2848" t="s">
        <v>67</v>
      </c>
      <c r="D2848" t="s">
        <v>67</v>
      </c>
      <c r="E2848" t="s">
        <v>67</v>
      </c>
      <c r="F2848" t="s">
        <v>27987</v>
      </c>
      <c r="G2848" s="117">
        <v>53.3</v>
      </c>
    </row>
    <row r="2849" spans="1:7" x14ac:dyDescent="0.25">
      <c r="A2849" s="116" t="s">
        <v>4349</v>
      </c>
      <c r="B2849" s="117" t="s">
        <v>4350</v>
      </c>
      <c r="C2849" t="s">
        <v>67</v>
      </c>
      <c r="D2849" t="s">
        <v>67</v>
      </c>
      <c r="E2849" t="s">
        <v>67</v>
      </c>
      <c r="F2849" t="s">
        <v>27987</v>
      </c>
      <c r="G2849" s="117">
        <v>66.05</v>
      </c>
    </row>
    <row r="2850" spans="1:7" x14ac:dyDescent="0.25">
      <c r="A2850" s="116" t="s">
        <v>4351</v>
      </c>
      <c r="B2850" s="117" t="s">
        <v>4352</v>
      </c>
      <c r="C2850" t="s">
        <v>67</v>
      </c>
      <c r="D2850" t="s">
        <v>67</v>
      </c>
      <c r="E2850" t="s">
        <v>67</v>
      </c>
      <c r="F2850" t="s">
        <v>27987</v>
      </c>
      <c r="G2850" s="117">
        <v>122.7</v>
      </c>
    </row>
    <row r="2851" spans="1:7" x14ac:dyDescent="0.25">
      <c r="A2851" s="116" t="s">
        <v>4353</v>
      </c>
      <c r="B2851" s="117" t="s">
        <v>4350</v>
      </c>
      <c r="C2851" t="s">
        <v>67</v>
      </c>
      <c r="D2851" t="s">
        <v>67</v>
      </c>
      <c r="E2851" t="s">
        <v>67</v>
      </c>
      <c r="F2851" t="s">
        <v>27987</v>
      </c>
      <c r="G2851" s="117">
        <v>49.74</v>
      </c>
    </row>
    <row r="2852" spans="1:7" x14ac:dyDescent="0.25">
      <c r="A2852" s="116" t="s">
        <v>4354</v>
      </c>
      <c r="B2852" s="117" t="s">
        <v>4355</v>
      </c>
      <c r="C2852" t="s">
        <v>67</v>
      </c>
      <c r="D2852" t="s">
        <v>67</v>
      </c>
      <c r="E2852" t="s">
        <v>67</v>
      </c>
      <c r="F2852" t="s">
        <v>27987</v>
      </c>
      <c r="G2852" s="117">
        <v>59.18</v>
      </c>
    </row>
    <row r="2853" spans="1:7" x14ac:dyDescent="0.25">
      <c r="A2853" s="116" t="s">
        <v>4356</v>
      </c>
      <c r="B2853" s="117" t="s">
        <v>4357</v>
      </c>
      <c r="C2853" t="s">
        <v>67</v>
      </c>
      <c r="D2853" t="s">
        <v>67</v>
      </c>
      <c r="E2853" t="s">
        <v>67</v>
      </c>
      <c r="F2853" t="s">
        <v>45</v>
      </c>
      <c r="G2853" s="117">
        <v>35.5</v>
      </c>
    </row>
    <row r="2854" spans="1:7" x14ac:dyDescent="0.25">
      <c r="A2854" s="116" t="s">
        <v>4358</v>
      </c>
      <c r="B2854" s="117" t="s">
        <v>4359</v>
      </c>
      <c r="C2854" t="s">
        <v>67</v>
      </c>
      <c r="D2854" t="s">
        <v>67</v>
      </c>
      <c r="E2854" t="s">
        <v>67</v>
      </c>
      <c r="F2854" t="s">
        <v>27987</v>
      </c>
      <c r="G2854" s="117">
        <v>45.3</v>
      </c>
    </row>
    <row r="2855" spans="1:7" x14ac:dyDescent="0.25">
      <c r="A2855" s="116" t="s">
        <v>4360</v>
      </c>
      <c r="B2855" s="117" t="s">
        <v>4361</v>
      </c>
      <c r="C2855" t="s">
        <v>67</v>
      </c>
      <c r="D2855" t="s">
        <v>67</v>
      </c>
      <c r="E2855" t="s">
        <v>67</v>
      </c>
      <c r="F2855" t="s">
        <v>27987</v>
      </c>
      <c r="G2855" s="117">
        <v>28.02</v>
      </c>
    </row>
    <row r="2856" spans="1:7" x14ac:dyDescent="0.25">
      <c r="A2856" s="116" t="s">
        <v>4362</v>
      </c>
      <c r="B2856" s="117" t="s">
        <v>4363</v>
      </c>
      <c r="C2856" t="s">
        <v>67</v>
      </c>
      <c r="D2856" t="s">
        <v>67</v>
      </c>
      <c r="E2856" t="s">
        <v>67</v>
      </c>
      <c r="F2856" t="s">
        <v>45</v>
      </c>
      <c r="G2856" s="117">
        <v>89.79</v>
      </c>
    </row>
    <row r="2857" spans="1:7" x14ac:dyDescent="0.25">
      <c r="A2857" s="116" t="s">
        <v>4364</v>
      </c>
      <c r="B2857" s="117" t="s">
        <v>4350</v>
      </c>
      <c r="C2857" t="s">
        <v>67</v>
      </c>
      <c r="D2857" t="s">
        <v>67</v>
      </c>
      <c r="E2857" t="s">
        <v>67</v>
      </c>
      <c r="F2857" t="s">
        <v>27987</v>
      </c>
      <c r="G2857" s="117">
        <v>99.21</v>
      </c>
    </row>
    <row r="2858" spans="1:7" x14ac:dyDescent="0.25">
      <c r="A2858" s="116" t="s">
        <v>4365</v>
      </c>
      <c r="B2858" s="117" t="s">
        <v>4366</v>
      </c>
      <c r="C2858" t="s">
        <v>67</v>
      </c>
      <c r="D2858" t="s">
        <v>67</v>
      </c>
      <c r="E2858" t="s">
        <v>67</v>
      </c>
      <c r="F2858" t="s">
        <v>45</v>
      </c>
      <c r="G2858" s="117">
        <v>38.700000000000003</v>
      </c>
    </row>
    <row r="2859" spans="1:7" x14ac:dyDescent="0.25">
      <c r="A2859" s="116" t="s">
        <v>4367</v>
      </c>
      <c r="B2859" s="117" t="s">
        <v>4368</v>
      </c>
      <c r="C2859" t="s">
        <v>67</v>
      </c>
      <c r="D2859" t="s">
        <v>67</v>
      </c>
      <c r="E2859" t="s">
        <v>67</v>
      </c>
      <c r="F2859" t="s">
        <v>27987</v>
      </c>
      <c r="G2859" s="117">
        <v>38.700000000000003</v>
      </c>
    </row>
    <row r="2860" spans="1:7" x14ac:dyDescent="0.25">
      <c r="A2860" s="116" t="s">
        <v>4369</v>
      </c>
      <c r="B2860" s="117" t="s">
        <v>4370</v>
      </c>
      <c r="C2860" t="s">
        <v>67</v>
      </c>
      <c r="D2860" t="s">
        <v>67</v>
      </c>
      <c r="E2860" t="s">
        <v>67</v>
      </c>
      <c r="F2860" t="s">
        <v>45</v>
      </c>
      <c r="G2860" s="117">
        <v>35.5</v>
      </c>
    </row>
    <row r="2861" spans="1:7" x14ac:dyDescent="0.25">
      <c r="A2861" s="116" t="s">
        <v>4371</v>
      </c>
      <c r="B2861" s="117" t="s">
        <v>4350</v>
      </c>
      <c r="C2861" t="s">
        <v>67</v>
      </c>
      <c r="D2861" t="s">
        <v>67</v>
      </c>
      <c r="E2861" t="s">
        <v>67</v>
      </c>
      <c r="F2861" t="s">
        <v>45</v>
      </c>
      <c r="G2861" s="117">
        <v>47.07</v>
      </c>
    </row>
    <row r="2862" spans="1:7" x14ac:dyDescent="0.25">
      <c r="A2862" s="116" t="s">
        <v>4372</v>
      </c>
      <c r="B2862" s="117" t="s">
        <v>4373</v>
      </c>
      <c r="C2862" t="s">
        <v>67</v>
      </c>
      <c r="D2862" t="s">
        <v>67</v>
      </c>
      <c r="E2862" t="s">
        <v>67</v>
      </c>
      <c r="F2862" t="s">
        <v>45</v>
      </c>
      <c r="G2862" s="117">
        <v>24.82</v>
      </c>
    </row>
    <row r="2863" spans="1:7" x14ac:dyDescent="0.25">
      <c r="A2863" s="116" t="s">
        <v>4374</v>
      </c>
      <c r="B2863" s="117" t="s">
        <v>4350</v>
      </c>
      <c r="C2863" t="s">
        <v>67</v>
      </c>
      <c r="D2863" t="s">
        <v>67</v>
      </c>
      <c r="E2863" t="s">
        <v>67</v>
      </c>
      <c r="F2863" t="s">
        <v>45</v>
      </c>
      <c r="G2863" s="117">
        <v>49.74</v>
      </c>
    </row>
    <row r="2864" spans="1:7" x14ac:dyDescent="0.25">
      <c r="A2864" s="116" t="s">
        <v>29908</v>
      </c>
      <c r="B2864" s="117" t="s">
        <v>30405</v>
      </c>
      <c r="C2864" t="s">
        <v>67</v>
      </c>
      <c r="D2864" t="s">
        <v>67</v>
      </c>
      <c r="E2864" t="s">
        <v>67</v>
      </c>
      <c r="F2864" t="s">
        <v>27987</v>
      </c>
      <c r="G2864" s="117">
        <v>45</v>
      </c>
    </row>
    <row r="2865" spans="1:7" x14ac:dyDescent="0.25">
      <c r="A2865" s="116" t="s">
        <v>4375</v>
      </c>
      <c r="B2865" s="117" t="s">
        <v>4376</v>
      </c>
      <c r="C2865" t="s">
        <v>67</v>
      </c>
      <c r="D2865" t="s">
        <v>67</v>
      </c>
      <c r="E2865" t="s">
        <v>67</v>
      </c>
      <c r="F2865" t="s">
        <v>27987</v>
      </c>
      <c r="G2865" s="117">
        <v>47.96</v>
      </c>
    </row>
    <row r="2866" spans="1:7" x14ac:dyDescent="0.25">
      <c r="A2866" s="116" t="s">
        <v>4377</v>
      </c>
      <c r="B2866" s="117" t="s">
        <v>4378</v>
      </c>
      <c r="C2866" t="s">
        <v>67</v>
      </c>
      <c r="D2866" t="s">
        <v>67</v>
      </c>
      <c r="E2866" t="s">
        <v>67</v>
      </c>
      <c r="F2866" t="s">
        <v>27987</v>
      </c>
      <c r="G2866" s="117">
        <v>44.94</v>
      </c>
    </row>
    <row r="2867" spans="1:7" x14ac:dyDescent="0.25">
      <c r="A2867" s="116" t="s">
        <v>29909</v>
      </c>
      <c r="B2867" s="117" t="s">
        <v>30392</v>
      </c>
      <c r="C2867" t="s">
        <v>67</v>
      </c>
      <c r="D2867" t="s">
        <v>67</v>
      </c>
      <c r="E2867" t="s">
        <v>67</v>
      </c>
      <c r="F2867" t="s">
        <v>27987</v>
      </c>
      <c r="G2867" s="117">
        <v>45.99</v>
      </c>
    </row>
    <row r="2868" spans="1:7" x14ac:dyDescent="0.25">
      <c r="A2868" s="116" t="s">
        <v>4379</v>
      </c>
      <c r="B2868" s="117" t="s">
        <v>4380</v>
      </c>
      <c r="C2868" t="s">
        <v>67</v>
      </c>
      <c r="D2868" t="s">
        <v>67</v>
      </c>
      <c r="E2868" t="s">
        <v>67</v>
      </c>
      <c r="F2868" t="s">
        <v>27987</v>
      </c>
      <c r="G2868" s="117">
        <v>56.86</v>
      </c>
    </row>
    <row r="2869" spans="1:7" x14ac:dyDescent="0.25">
      <c r="A2869" s="116" t="s">
        <v>4381</v>
      </c>
      <c r="B2869" s="117" t="s">
        <v>4380</v>
      </c>
      <c r="C2869" t="s">
        <v>67</v>
      </c>
      <c r="D2869" t="s">
        <v>67</v>
      </c>
      <c r="E2869" t="s">
        <v>67</v>
      </c>
      <c r="F2869" t="s">
        <v>27987</v>
      </c>
      <c r="G2869" s="117">
        <v>73.42</v>
      </c>
    </row>
    <row r="2870" spans="1:7" x14ac:dyDescent="0.25">
      <c r="A2870" s="116" t="s">
        <v>4382</v>
      </c>
      <c r="B2870" s="117" t="s">
        <v>4350</v>
      </c>
      <c r="C2870" t="s">
        <v>67</v>
      </c>
      <c r="D2870" t="s">
        <v>67</v>
      </c>
      <c r="E2870" t="s">
        <v>67</v>
      </c>
      <c r="F2870" t="s">
        <v>27987</v>
      </c>
      <c r="G2870" s="117">
        <v>48.5</v>
      </c>
    </row>
    <row r="2871" spans="1:7" x14ac:dyDescent="0.25">
      <c r="A2871" s="116" t="s">
        <v>4383</v>
      </c>
      <c r="B2871" s="117" t="s">
        <v>4384</v>
      </c>
      <c r="C2871" t="s">
        <v>67</v>
      </c>
      <c r="D2871" t="s">
        <v>67</v>
      </c>
      <c r="E2871" t="s">
        <v>67</v>
      </c>
      <c r="F2871" t="s">
        <v>45</v>
      </c>
      <c r="G2871" s="117">
        <v>51.17</v>
      </c>
    </row>
    <row r="2872" spans="1:7" x14ac:dyDescent="0.25">
      <c r="A2872" s="116" t="s">
        <v>4385</v>
      </c>
      <c r="B2872" s="117" t="s">
        <v>4386</v>
      </c>
      <c r="C2872" t="s">
        <v>67</v>
      </c>
      <c r="D2872" t="s">
        <v>67</v>
      </c>
      <c r="E2872" t="s">
        <v>67</v>
      </c>
      <c r="F2872" t="s">
        <v>45</v>
      </c>
      <c r="G2872" s="117">
        <v>94.76</v>
      </c>
    </row>
    <row r="2873" spans="1:7" x14ac:dyDescent="0.25">
      <c r="A2873" s="116" t="s">
        <v>4387</v>
      </c>
      <c r="B2873" s="117" t="s">
        <v>4388</v>
      </c>
      <c r="C2873" t="s">
        <v>67</v>
      </c>
      <c r="D2873" t="s">
        <v>67</v>
      </c>
      <c r="E2873" t="s">
        <v>67</v>
      </c>
      <c r="F2873" t="s">
        <v>27987</v>
      </c>
      <c r="G2873" s="117">
        <v>15.57</v>
      </c>
    </row>
    <row r="2874" spans="1:7" x14ac:dyDescent="0.25">
      <c r="A2874" s="116" t="s">
        <v>4389</v>
      </c>
      <c r="B2874" s="117" t="s">
        <v>4390</v>
      </c>
      <c r="C2874" t="s">
        <v>67</v>
      </c>
      <c r="D2874" t="s">
        <v>67</v>
      </c>
      <c r="E2874" t="s">
        <v>67</v>
      </c>
      <c r="F2874" t="s">
        <v>27987</v>
      </c>
      <c r="G2874" s="117">
        <v>104.02</v>
      </c>
    </row>
    <row r="2875" spans="1:7" x14ac:dyDescent="0.25">
      <c r="A2875" s="116" t="s">
        <v>4391</v>
      </c>
      <c r="B2875" s="117" t="s">
        <v>4392</v>
      </c>
      <c r="C2875" t="s">
        <v>67</v>
      </c>
      <c r="D2875" t="s">
        <v>67</v>
      </c>
      <c r="E2875" t="s">
        <v>67</v>
      </c>
      <c r="F2875" t="s">
        <v>27987</v>
      </c>
      <c r="G2875" s="117">
        <v>54.19</v>
      </c>
    </row>
    <row r="2876" spans="1:7" x14ac:dyDescent="0.25">
      <c r="A2876" s="116" t="s">
        <v>4393</v>
      </c>
      <c r="B2876" s="117" t="s">
        <v>4394</v>
      </c>
      <c r="C2876" t="s">
        <v>67</v>
      </c>
      <c r="D2876" t="s">
        <v>67</v>
      </c>
      <c r="E2876" t="s">
        <v>67</v>
      </c>
      <c r="F2876" t="s">
        <v>49</v>
      </c>
      <c r="G2876" s="117">
        <v>37.82</v>
      </c>
    </row>
    <row r="2877" spans="1:7" x14ac:dyDescent="0.25">
      <c r="A2877" s="116" t="s">
        <v>4395</v>
      </c>
      <c r="B2877" s="117" t="s">
        <v>4396</v>
      </c>
      <c r="C2877" t="s">
        <v>67</v>
      </c>
      <c r="D2877" t="s">
        <v>67</v>
      </c>
      <c r="E2877" t="s">
        <v>67</v>
      </c>
      <c r="F2877" t="s">
        <v>49</v>
      </c>
      <c r="G2877" s="117">
        <v>65.760000000000005</v>
      </c>
    </row>
    <row r="2878" spans="1:7" x14ac:dyDescent="0.25">
      <c r="A2878" s="116" t="s">
        <v>4397</v>
      </c>
      <c r="B2878" s="117" t="s">
        <v>4398</v>
      </c>
      <c r="C2878" t="s">
        <v>67</v>
      </c>
      <c r="D2878" t="s">
        <v>67</v>
      </c>
      <c r="E2878" t="s">
        <v>67</v>
      </c>
      <c r="F2878" t="s">
        <v>27987</v>
      </c>
      <c r="G2878" s="117">
        <v>10.58</v>
      </c>
    </row>
    <row r="2879" spans="1:7" x14ac:dyDescent="0.25">
      <c r="A2879" s="116" t="s">
        <v>4399</v>
      </c>
      <c r="B2879" s="117" t="s">
        <v>4400</v>
      </c>
      <c r="C2879" t="s">
        <v>67</v>
      </c>
      <c r="D2879" t="s">
        <v>67</v>
      </c>
      <c r="E2879" t="s">
        <v>67</v>
      </c>
      <c r="F2879" t="s">
        <v>45</v>
      </c>
      <c r="G2879" s="117">
        <v>92.1</v>
      </c>
    </row>
    <row r="2880" spans="1:7" x14ac:dyDescent="0.25">
      <c r="A2880" s="116" t="s">
        <v>4401</v>
      </c>
      <c r="B2880" s="117" t="s">
        <v>4402</v>
      </c>
      <c r="C2880" t="s">
        <v>67</v>
      </c>
      <c r="D2880" t="s">
        <v>67</v>
      </c>
      <c r="E2880" t="s">
        <v>67</v>
      </c>
      <c r="F2880" t="s">
        <v>49</v>
      </c>
      <c r="G2880" s="117">
        <v>61.31</v>
      </c>
    </row>
    <row r="2881" spans="1:7" x14ac:dyDescent="0.25">
      <c r="A2881" s="116" t="s">
        <v>4403</v>
      </c>
      <c r="B2881" s="117" t="s">
        <v>4404</v>
      </c>
      <c r="C2881" t="s">
        <v>67</v>
      </c>
      <c r="D2881" t="s">
        <v>67</v>
      </c>
      <c r="E2881" t="s">
        <v>67</v>
      </c>
      <c r="F2881" t="s">
        <v>27987</v>
      </c>
      <c r="G2881" s="117">
        <v>20.38</v>
      </c>
    </row>
    <row r="2882" spans="1:7" x14ac:dyDescent="0.25">
      <c r="A2882" s="116" t="s">
        <v>26539</v>
      </c>
      <c r="B2882" s="117" t="s">
        <v>26540</v>
      </c>
      <c r="C2882" t="s">
        <v>67</v>
      </c>
      <c r="D2882" t="s">
        <v>67</v>
      </c>
      <c r="E2882" t="s">
        <v>67</v>
      </c>
      <c r="F2882" t="s">
        <v>45</v>
      </c>
      <c r="G2882" s="117">
        <v>92.44</v>
      </c>
    </row>
    <row r="2883" spans="1:7" x14ac:dyDescent="0.25">
      <c r="A2883" s="116" t="s">
        <v>4405</v>
      </c>
      <c r="B2883" s="117" t="s">
        <v>3938</v>
      </c>
      <c r="C2883" t="s">
        <v>67</v>
      </c>
      <c r="D2883" t="s">
        <v>67</v>
      </c>
      <c r="E2883" t="s">
        <v>67</v>
      </c>
      <c r="F2883" t="s">
        <v>27987</v>
      </c>
      <c r="G2883" s="117">
        <v>106.33</v>
      </c>
    </row>
    <row r="2884" spans="1:7" x14ac:dyDescent="0.25">
      <c r="A2884" s="116" t="s">
        <v>4406</v>
      </c>
      <c r="B2884" s="117" t="s">
        <v>4407</v>
      </c>
      <c r="C2884" t="s">
        <v>67</v>
      </c>
      <c r="D2884" t="s">
        <v>67</v>
      </c>
      <c r="E2884" t="s">
        <v>67</v>
      </c>
      <c r="F2884" t="s">
        <v>27987</v>
      </c>
      <c r="G2884" s="117">
        <v>176.63</v>
      </c>
    </row>
    <row r="2885" spans="1:7" x14ac:dyDescent="0.25">
      <c r="A2885" s="116" t="s">
        <v>4408</v>
      </c>
      <c r="B2885" s="117" t="s">
        <v>4409</v>
      </c>
      <c r="C2885" t="s">
        <v>67</v>
      </c>
      <c r="D2885" t="s">
        <v>67</v>
      </c>
      <c r="E2885" t="s">
        <v>67</v>
      </c>
      <c r="F2885" t="s">
        <v>51</v>
      </c>
      <c r="G2885" s="117">
        <v>104.92</v>
      </c>
    </row>
    <row r="2886" spans="1:7" x14ac:dyDescent="0.25">
      <c r="A2886" s="116" t="s">
        <v>4410</v>
      </c>
      <c r="B2886" s="117" t="s">
        <v>4411</v>
      </c>
      <c r="C2886" t="s">
        <v>67</v>
      </c>
      <c r="D2886" t="s">
        <v>67</v>
      </c>
      <c r="E2886" t="s">
        <v>67</v>
      </c>
      <c r="F2886" t="s">
        <v>27990</v>
      </c>
      <c r="G2886" s="117">
        <v>13.14</v>
      </c>
    </row>
    <row r="2887" spans="1:7" x14ac:dyDescent="0.25">
      <c r="A2887" s="116" t="s">
        <v>31218</v>
      </c>
      <c r="B2887" s="117" t="s">
        <v>31219</v>
      </c>
      <c r="C2887" t="s">
        <v>67</v>
      </c>
      <c r="D2887" t="s">
        <v>67</v>
      </c>
      <c r="E2887" t="s">
        <v>67</v>
      </c>
      <c r="F2887" t="s">
        <v>45</v>
      </c>
      <c r="G2887" s="117">
        <v>40</v>
      </c>
    </row>
    <row r="2888" spans="1:7" x14ac:dyDescent="0.25">
      <c r="A2888" s="116" t="s">
        <v>4412</v>
      </c>
      <c r="B2888" s="117" t="s">
        <v>4413</v>
      </c>
      <c r="C2888" t="s">
        <v>67</v>
      </c>
      <c r="D2888" t="s">
        <v>67</v>
      </c>
      <c r="E2888" t="s">
        <v>67</v>
      </c>
      <c r="F2888" t="s">
        <v>27987</v>
      </c>
      <c r="G2888" s="117">
        <v>53.3</v>
      </c>
    </row>
    <row r="2889" spans="1:7" x14ac:dyDescent="0.25">
      <c r="A2889" s="116" t="s">
        <v>4414</v>
      </c>
      <c r="B2889" s="117" t="s">
        <v>4415</v>
      </c>
      <c r="C2889" t="s">
        <v>67</v>
      </c>
      <c r="D2889" t="s">
        <v>67</v>
      </c>
      <c r="E2889" t="s">
        <v>67</v>
      </c>
      <c r="F2889" t="s">
        <v>27987</v>
      </c>
      <c r="G2889" s="117">
        <v>40.49</v>
      </c>
    </row>
    <row r="2890" spans="1:7" x14ac:dyDescent="0.25">
      <c r="A2890" s="116" t="s">
        <v>4416</v>
      </c>
      <c r="B2890" s="117" t="s">
        <v>4417</v>
      </c>
      <c r="C2890" t="s">
        <v>67</v>
      </c>
      <c r="D2890" t="s">
        <v>67</v>
      </c>
      <c r="E2890" t="s">
        <v>67</v>
      </c>
      <c r="F2890" t="s">
        <v>45</v>
      </c>
      <c r="G2890" s="117">
        <v>88.54</v>
      </c>
    </row>
    <row r="2891" spans="1:7" x14ac:dyDescent="0.25">
      <c r="A2891" s="116" t="s">
        <v>4418</v>
      </c>
      <c r="B2891" s="117" t="s">
        <v>4419</v>
      </c>
      <c r="C2891" t="s">
        <v>67</v>
      </c>
      <c r="D2891" t="s">
        <v>67</v>
      </c>
      <c r="E2891" t="s">
        <v>67</v>
      </c>
      <c r="F2891" t="s">
        <v>27987</v>
      </c>
      <c r="G2891" s="117">
        <v>111.14</v>
      </c>
    </row>
    <row r="2892" spans="1:7" x14ac:dyDescent="0.25">
      <c r="A2892" s="116" t="s">
        <v>26546</v>
      </c>
      <c r="B2892" s="117" t="s">
        <v>28558</v>
      </c>
      <c r="C2892" t="s">
        <v>67</v>
      </c>
      <c r="D2892" t="s">
        <v>67</v>
      </c>
      <c r="E2892" t="s">
        <v>67</v>
      </c>
      <c r="F2892" t="s">
        <v>27987</v>
      </c>
      <c r="G2892" s="117">
        <v>70</v>
      </c>
    </row>
    <row r="2893" spans="1:7" x14ac:dyDescent="0.25">
      <c r="A2893" s="116" t="s">
        <v>4420</v>
      </c>
      <c r="B2893" s="117" t="s">
        <v>4421</v>
      </c>
      <c r="C2893" t="s">
        <v>67</v>
      </c>
      <c r="D2893" t="s">
        <v>67</v>
      </c>
      <c r="E2893" t="s">
        <v>67</v>
      </c>
      <c r="F2893" t="s">
        <v>27987</v>
      </c>
      <c r="G2893" s="117">
        <v>88.54</v>
      </c>
    </row>
    <row r="2894" spans="1:7" x14ac:dyDescent="0.25">
      <c r="A2894" s="116" t="s">
        <v>4422</v>
      </c>
      <c r="B2894" s="117" t="s">
        <v>4423</v>
      </c>
      <c r="C2894" t="s">
        <v>67</v>
      </c>
      <c r="D2894" t="s">
        <v>67</v>
      </c>
      <c r="E2894" t="s">
        <v>67</v>
      </c>
      <c r="F2894" t="s">
        <v>45</v>
      </c>
      <c r="G2894" s="117">
        <v>176.99</v>
      </c>
    </row>
    <row r="2895" spans="1:7" x14ac:dyDescent="0.25">
      <c r="A2895" s="116" t="s">
        <v>4424</v>
      </c>
      <c r="B2895" s="117" t="s">
        <v>3912</v>
      </c>
      <c r="C2895" t="s">
        <v>67</v>
      </c>
      <c r="D2895" t="s">
        <v>67</v>
      </c>
      <c r="E2895" t="s">
        <v>67</v>
      </c>
      <c r="F2895" t="s">
        <v>27987</v>
      </c>
      <c r="G2895" s="117">
        <v>59.18</v>
      </c>
    </row>
    <row r="2896" spans="1:7" x14ac:dyDescent="0.25">
      <c r="A2896" s="116" t="s">
        <v>4425</v>
      </c>
      <c r="B2896" s="117" t="s">
        <v>4426</v>
      </c>
      <c r="C2896" t="s">
        <v>67</v>
      </c>
      <c r="D2896" t="s">
        <v>67</v>
      </c>
      <c r="E2896" t="s">
        <v>67</v>
      </c>
      <c r="F2896" t="s">
        <v>45</v>
      </c>
      <c r="G2896" s="117">
        <v>155.63</v>
      </c>
    </row>
    <row r="2897" spans="1:7" x14ac:dyDescent="0.25">
      <c r="A2897" s="116" t="s">
        <v>4427</v>
      </c>
      <c r="B2897" s="117" t="s">
        <v>4428</v>
      </c>
      <c r="C2897" t="s">
        <v>67</v>
      </c>
      <c r="D2897" t="s">
        <v>67</v>
      </c>
      <c r="E2897" t="s">
        <v>67</v>
      </c>
      <c r="F2897" t="s">
        <v>45</v>
      </c>
      <c r="G2897" s="117">
        <v>49.74</v>
      </c>
    </row>
    <row r="2898" spans="1:7" x14ac:dyDescent="0.25">
      <c r="A2898" s="116" t="s">
        <v>4429</v>
      </c>
      <c r="B2898" s="117" t="s">
        <v>4430</v>
      </c>
      <c r="C2898" t="s">
        <v>67</v>
      </c>
      <c r="D2898" t="s">
        <v>67</v>
      </c>
      <c r="E2898" t="s">
        <v>67</v>
      </c>
      <c r="F2898" t="s">
        <v>27987</v>
      </c>
      <c r="G2898" s="117">
        <v>27.5</v>
      </c>
    </row>
    <row r="2899" spans="1:7" x14ac:dyDescent="0.25">
      <c r="A2899" s="116" t="s">
        <v>4431</v>
      </c>
      <c r="B2899" s="117" t="s">
        <v>4432</v>
      </c>
      <c r="C2899" t="s">
        <v>67</v>
      </c>
      <c r="D2899" t="s">
        <v>67</v>
      </c>
      <c r="E2899" t="s">
        <v>67</v>
      </c>
      <c r="F2899" t="s">
        <v>27987</v>
      </c>
      <c r="G2899" s="117">
        <v>78.75</v>
      </c>
    </row>
    <row r="2900" spans="1:7" x14ac:dyDescent="0.25">
      <c r="A2900" s="116" t="s">
        <v>4433</v>
      </c>
      <c r="B2900" s="117" t="s">
        <v>4434</v>
      </c>
      <c r="C2900" t="s">
        <v>67</v>
      </c>
      <c r="D2900" t="s">
        <v>67</v>
      </c>
      <c r="E2900" t="s">
        <v>67</v>
      </c>
      <c r="F2900" t="s">
        <v>27987</v>
      </c>
      <c r="G2900" s="117">
        <v>73.760000000000005</v>
      </c>
    </row>
    <row r="2901" spans="1:7" x14ac:dyDescent="0.25">
      <c r="A2901" s="116" t="s">
        <v>4435</v>
      </c>
      <c r="B2901" s="117" t="s">
        <v>4434</v>
      </c>
      <c r="C2901" t="s">
        <v>67</v>
      </c>
      <c r="D2901" t="s">
        <v>67</v>
      </c>
      <c r="E2901" t="s">
        <v>67</v>
      </c>
      <c r="F2901" t="s">
        <v>45</v>
      </c>
      <c r="G2901" s="117">
        <v>71.989999999999995</v>
      </c>
    </row>
    <row r="2902" spans="1:7" x14ac:dyDescent="0.25">
      <c r="A2902" s="116" t="s">
        <v>4436</v>
      </c>
      <c r="B2902" s="117" t="s">
        <v>4437</v>
      </c>
      <c r="C2902" t="s">
        <v>67</v>
      </c>
      <c r="D2902" t="s">
        <v>67</v>
      </c>
      <c r="E2902" t="s">
        <v>67</v>
      </c>
      <c r="F2902" t="s">
        <v>27987</v>
      </c>
      <c r="G2902" s="117">
        <v>115.58</v>
      </c>
    </row>
    <row r="2903" spans="1:7" x14ac:dyDescent="0.25">
      <c r="A2903" s="116" t="s">
        <v>4438</v>
      </c>
      <c r="B2903" s="117" t="s">
        <v>4439</v>
      </c>
      <c r="C2903" t="s">
        <v>67</v>
      </c>
      <c r="D2903" t="s">
        <v>67</v>
      </c>
      <c r="E2903" t="s">
        <v>67</v>
      </c>
      <c r="F2903" t="s">
        <v>27987</v>
      </c>
      <c r="G2903" s="117">
        <v>24.82</v>
      </c>
    </row>
    <row r="2904" spans="1:7" x14ac:dyDescent="0.25">
      <c r="A2904" s="116" t="s">
        <v>4440</v>
      </c>
      <c r="B2904" s="117" t="s">
        <v>4441</v>
      </c>
      <c r="C2904" t="s">
        <v>67</v>
      </c>
      <c r="D2904" t="s">
        <v>67</v>
      </c>
      <c r="E2904" t="s">
        <v>67</v>
      </c>
      <c r="F2904" t="s">
        <v>27987</v>
      </c>
      <c r="G2904" s="117">
        <v>33.369999999999997</v>
      </c>
    </row>
    <row r="2905" spans="1:7" x14ac:dyDescent="0.25">
      <c r="A2905" s="116" t="s">
        <v>4442</v>
      </c>
      <c r="B2905" s="117" t="s">
        <v>4443</v>
      </c>
      <c r="C2905" t="s">
        <v>67</v>
      </c>
      <c r="D2905" t="s">
        <v>67</v>
      </c>
      <c r="E2905" t="s">
        <v>67</v>
      </c>
      <c r="F2905" t="s">
        <v>27987</v>
      </c>
      <c r="G2905" s="117">
        <v>68.430000000000007</v>
      </c>
    </row>
    <row r="2906" spans="1:7" x14ac:dyDescent="0.25">
      <c r="A2906" s="116" t="s">
        <v>4444</v>
      </c>
      <c r="B2906" s="117" t="s">
        <v>4445</v>
      </c>
      <c r="C2906" t="s">
        <v>67</v>
      </c>
      <c r="D2906" t="s">
        <v>67</v>
      </c>
      <c r="E2906" t="s">
        <v>67</v>
      </c>
      <c r="F2906" t="s">
        <v>45</v>
      </c>
      <c r="G2906" s="117">
        <v>14.14</v>
      </c>
    </row>
    <row r="2907" spans="1:7" x14ac:dyDescent="0.25">
      <c r="A2907" s="116" t="s">
        <v>4446</v>
      </c>
      <c r="B2907" s="117" t="s">
        <v>4447</v>
      </c>
      <c r="C2907" t="s">
        <v>67</v>
      </c>
      <c r="D2907" t="s">
        <v>67</v>
      </c>
      <c r="E2907" t="s">
        <v>67</v>
      </c>
      <c r="F2907" t="s">
        <v>45</v>
      </c>
      <c r="G2907" s="117">
        <v>17.7</v>
      </c>
    </row>
    <row r="2908" spans="1:7" x14ac:dyDescent="0.25">
      <c r="A2908" s="116" t="s">
        <v>4448</v>
      </c>
      <c r="B2908" s="117" t="s">
        <v>4449</v>
      </c>
      <c r="C2908" t="s">
        <v>67</v>
      </c>
      <c r="D2908" t="s">
        <v>67</v>
      </c>
      <c r="E2908" t="s">
        <v>67</v>
      </c>
      <c r="F2908" t="s">
        <v>45</v>
      </c>
      <c r="G2908" s="117">
        <v>7.12</v>
      </c>
    </row>
    <row r="2909" spans="1:7" x14ac:dyDescent="0.25">
      <c r="A2909" s="116" t="s">
        <v>4450</v>
      </c>
      <c r="B2909" s="117" t="s">
        <v>4451</v>
      </c>
      <c r="C2909" t="s">
        <v>67</v>
      </c>
      <c r="D2909" t="s">
        <v>67</v>
      </c>
      <c r="E2909" t="s">
        <v>67</v>
      </c>
      <c r="F2909" t="s">
        <v>27987</v>
      </c>
      <c r="G2909" s="117">
        <v>26.25</v>
      </c>
    </row>
    <row r="2910" spans="1:7" x14ac:dyDescent="0.25">
      <c r="A2910" s="116" t="s">
        <v>4452</v>
      </c>
      <c r="B2910" s="117" t="s">
        <v>4453</v>
      </c>
      <c r="C2910" t="s">
        <v>67</v>
      </c>
      <c r="D2910" t="s">
        <v>67</v>
      </c>
      <c r="E2910" t="s">
        <v>67</v>
      </c>
      <c r="F2910" t="s">
        <v>45</v>
      </c>
      <c r="G2910" s="117">
        <v>80.52</v>
      </c>
    </row>
    <row r="2911" spans="1:7" x14ac:dyDescent="0.25">
      <c r="A2911" s="116" t="s">
        <v>4454</v>
      </c>
      <c r="B2911" s="117" t="s">
        <v>4455</v>
      </c>
      <c r="C2911" t="s">
        <v>67</v>
      </c>
      <c r="D2911" t="s">
        <v>67</v>
      </c>
      <c r="E2911" t="s">
        <v>67</v>
      </c>
      <c r="F2911" t="s">
        <v>27987</v>
      </c>
      <c r="G2911" s="117">
        <v>189.44</v>
      </c>
    </row>
    <row r="2912" spans="1:7" x14ac:dyDescent="0.25">
      <c r="A2912" s="116" t="s">
        <v>4456</v>
      </c>
      <c r="B2912" s="117" t="s">
        <v>4457</v>
      </c>
      <c r="C2912" t="s">
        <v>67</v>
      </c>
      <c r="D2912" t="s">
        <v>67</v>
      </c>
      <c r="E2912" t="s">
        <v>67</v>
      </c>
      <c r="F2912" t="s">
        <v>45</v>
      </c>
      <c r="G2912" s="117">
        <v>28.38</v>
      </c>
    </row>
    <row r="2913" spans="1:7" x14ac:dyDescent="0.25">
      <c r="A2913" s="116" t="s">
        <v>4458</v>
      </c>
      <c r="B2913" s="117" t="s">
        <v>4459</v>
      </c>
      <c r="C2913" t="s">
        <v>67</v>
      </c>
      <c r="D2913" t="s">
        <v>67</v>
      </c>
      <c r="E2913" t="s">
        <v>67</v>
      </c>
      <c r="F2913" t="s">
        <v>45</v>
      </c>
      <c r="G2913" s="117">
        <v>135.69999999999999</v>
      </c>
    </row>
    <row r="2914" spans="1:7" x14ac:dyDescent="0.25">
      <c r="A2914" s="116" t="s">
        <v>4460</v>
      </c>
      <c r="B2914" s="117" t="s">
        <v>4169</v>
      </c>
      <c r="C2914" t="s">
        <v>67</v>
      </c>
      <c r="D2914" t="s">
        <v>67</v>
      </c>
      <c r="E2914" t="s">
        <v>67</v>
      </c>
      <c r="F2914" t="s">
        <v>45</v>
      </c>
      <c r="G2914" s="117">
        <v>27.14</v>
      </c>
    </row>
    <row r="2915" spans="1:7" x14ac:dyDescent="0.25">
      <c r="A2915" s="116" t="s">
        <v>28559</v>
      </c>
      <c r="B2915" s="117" t="s">
        <v>28560</v>
      </c>
      <c r="C2915" t="s">
        <v>67</v>
      </c>
      <c r="D2915" t="s">
        <v>67</v>
      </c>
      <c r="E2915" t="s">
        <v>67</v>
      </c>
      <c r="F2915" t="s">
        <v>45</v>
      </c>
      <c r="G2915" s="117">
        <v>0</v>
      </c>
    </row>
    <row r="2916" spans="1:7" x14ac:dyDescent="0.25">
      <c r="A2916" s="116" t="s">
        <v>4461</v>
      </c>
      <c r="B2916" s="117" t="s">
        <v>4462</v>
      </c>
      <c r="C2916" t="s">
        <v>67</v>
      </c>
      <c r="D2916" t="s">
        <v>67</v>
      </c>
      <c r="E2916" t="s">
        <v>67</v>
      </c>
      <c r="F2916" t="s">
        <v>27987</v>
      </c>
      <c r="G2916" s="117">
        <v>55.08</v>
      </c>
    </row>
    <row r="2917" spans="1:7" x14ac:dyDescent="0.25">
      <c r="A2917" s="116" t="s">
        <v>4463</v>
      </c>
      <c r="B2917" s="117" t="s">
        <v>4464</v>
      </c>
      <c r="C2917" t="s">
        <v>67</v>
      </c>
      <c r="D2917" t="s">
        <v>67</v>
      </c>
      <c r="E2917" t="s">
        <v>67</v>
      </c>
      <c r="F2917" t="s">
        <v>27987</v>
      </c>
      <c r="G2917" s="117">
        <v>57.75</v>
      </c>
    </row>
    <row r="2918" spans="1:7" x14ac:dyDescent="0.25">
      <c r="A2918" s="116" t="s">
        <v>4465</v>
      </c>
      <c r="B2918" s="117" t="s">
        <v>4466</v>
      </c>
      <c r="C2918" t="s">
        <v>67</v>
      </c>
      <c r="D2918" t="s">
        <v>67</v>
      </c>
      <c r="E2918" t="s">
        <v>67</v>
      </c>
      <c r="F2918" t="s">
        <v>27987</v>
      </c>
      <c r="G2918" s="117">
        <v>51.17</v>
      </c>
    </row>
    <row r="2919" spans="1:7" x14ac:dyDescent="0.25">
      <c r="A2919" s="116" t="s">
        <v>4467</v>
      </c>
      <c r="B2919" s="117" t="s">
        <v>4468</v>
      </c>
      <c r="C2919" t="s">
        <v>67</v>
      </c>
      <c r="D2919" t="s">
        <v>67</v>
      </c>
      <c r="E2919" t="s">
        <v>67</v>
      </c>
      <c r="F2919" t="s">
        <v>27987</v>
      </c>
      <c r="G2919" s="117">
        <v>19.489999999999998</v>
      </c>
    </row>
    <row r="2920" spans="1:7" x14ac:dyDescent="0.25">
      <c r="A2920" s="116" t="s">
        <v>4469</v>
      </c>
      <c r="B2920" s="117" t="s">
        <v>4470</v>
      </c>
      <c r="C2920" t="s">
        <v>67</v>
      </c>
      <c r="D2920" t="s">
        <v>67</v>
      </c>
      <c r="E2920" t="s">
        <v>67</v>
      </c>
      <c r="F2920" t="s">
        <v>45</v>
      </c>
      <c r="G2920" s="117">
        <v>41.38</v>
      </c>
    </row>
    <row r="2921" spans="1:7" x14ac:dyDescent="0.25">
      <c r="A2921" s="116" t="s">
        <v>30216</v>
      </c>
      <c r="B2921" s="117" t="s">
        <v>30217</v>
      </c>
      <c r="C2921" t="s">
        <v>67</v>
      </c>
      <c r="D2921" t="s">
        <v>67</v>
      </c>
      <c r="E2921" t="s">
        <v>67</v>
      </c>
      <c r="F2921" t="s">
        <v>27987</v>
      </c>
      <c r="G2921" s="117">
        <v>9999</v>
      </c>
    </row>
    <row r="2922" spans="1:7" x14ac:dyDescent="0.25">
      <c r="A2922" s="116" t="s">
        <v>4471</v>
      </c>
      <c r="B2922" s="117" t="s">
        <v>876</v>
      </c>
      <c r="C2922" t="s">
        <v>67</v>
      </c>
      <c r="D2922" t="s">
        <v>67</v>
      </c>
      <c r="E2922" t="s">
        <v>67</v>
      </c>
      <c r="F2922" t="s">
        <v>45</v>
      </c>
      <c r="G2922" s="117">
        <v>17.7</v>
      </c>
    </row>
    <row r="2923" spans="1:7" x14ac:dyDescent="0.25">
      <c r="A2923" s="116" t="s">
        <v>4472</v>
      </c>
      <c r="B2923" s="117" t="s">
        <v>4330</v>
      </c>
      <c r="C2923" t="s">
        <v>67</v>
      </c>
      <c r="D2923" t="s">
        <v>67</v>
      </c>
      <c r="E2923" t="s">
        <v>67</v>
      </c>
      <c r="F2923" t="s">
        <v>45</v>
      </c>
      <c r="G2923" s="117">
        <v>124.13</v>
      </c>
    </row>
    <row r="2924" spans="1:7" x14ac:dyDescent="0.25">
      <c r="A2924" s="116" t="s">
        <v>4473</v>
      </c>
      <c r="B2924" s="117" t="s">
        <v>4474</v>
      </c>
      <c r="C2924" t="s">
        <v>67</v>
      </c>
      <c r="D2924" t="s">
        <v>67</v>
      </c>
      <c r="E2924" t="s">
        <v>67</v>
      </c>
      <c r="F2924" t="s">
        <v>45</v>
      </c>
      <c r="G2924" s="117">
        <v>489.86</v>
      </c>
    </row>
    <row r="2925" spans="1:7" x14ac:dyDescent="0.25">
      <c r="A2925" s="116" t="s">
        <v>4475</v>
      </c>
      <c r="B2925" s="117" t="s">
        <v>4476</v>
      </c>
      <c r="C2925" t="s">
        <v>67</v>
      </c>
      <c r="D2925" t="s">
        <v>67</v>
      </c>
      <c r="E2925" t="s">
        <v>67</v>
      </c>
      <c r="F2925" t="s">
        <v>27987</v>
      </c>
      <c r="G2925" s="117">
        <v>17.7</v>
      </c>
    </row>
    <row r="2926" spans="1:7" x14ac:dyDescent="0.25">
      <c r="A2926" s="116" t="s">
        <v>4477</v>
      </c>
      <c r="B2926" s="117" t="s">
        <v>3912</v>
      </c>
      <c r="C2926" t="s">
        <v>67</v>
      </c>
      <c r="D2926" t="s">
        <v>67</v>
      </c>
      <c r="E2926" t="s">
        <v>67</v>
      </c>
      <c r="F2926" t="s">
        <v>27987</v>
      </c>
      <c r="G2926" s="117">
        <v>29.81</v>
      </c>
    </row>
    <row r="2927" spans="1:7" x14ac:dyDescent="0.25">
      <c r="A2927" s="116" t="s">
        <v>28561</v>
      </c>
      <c r="B2927" s="117" t="s">
        <v>28562</v>
      </c>
      <c r="C2927" t="s">
        <v>67</v>
      </c>
      <c r="D2927" t="s">
        <v>67</v>
      </c>
      <c r="E2927" t="s">
        <v>67</v>
      </c>
      <c r="F2927" t="s">
        <v>45</v>
      </c>
      <c r="G2927" s="117">
        <v>0</v>
      </c>
    </row>
    <row r="2928" spans="1:7" x14ac:dyDescent="0.25">
      <c r="A2928" s="116" t="s">
        <v>4478</v>
      </c>
      <c r="B2928" s="117" t="s">
        <v>4479</v>
      </c>
      <c r="C2928" t="s">
        <v>67</v>
      </c>
      <c r="D2928" t="s">
        <v>67</v>
      </c>
      <c r="E2928" t="s">
        <v>67</v>
      </c>
      <c r="F2928" t="s">
        <v>27987</v>
      </c>
      <c r="G2928" s="117">
        <v>91.41</v>
      </c>
    </row>
    <row r="2929" spans="1:7" x14ac:dyDescent="0.25">
      <c r="A2929" s="116" t="s">
        <v>4480</v>
      </c>
      <c r="B2929" s="117" t="s">
        <v>4481</v>
      </c>
      <c r="C2929" t="s">
        <v>67</v>
      </c>
      <c r="D2929" t="s">
        <v>67</v>
      </c>
      <c r="E2929" t="s">
        <v>67</v>
      </c>
      <c r="F2929" t="s">
        <v>27987</v>
      </c>
      <c r="G2929" s="117">
        <v>36.93</v>
      </c>
    </row>
    <row r="2930" spans="1:7" x14ac:dyDescent="0.25">
      <c r="A2930" s="116" t="s">
        <v>4482</v>
      </c>
      <c r="B2930" s="117" t="s">
        <v>4483</v>
      </c>
      <c r="C2930" t="s">
        <v>67</v>
      </c>
      <c r="D2930" t="s">
        <v>67</v>
      </c>
      <c r="E2930" t="s">
        <v>67</v>
      </c>
      <c r="F2930" t="s">
        <v>45</v>
      </c>
      <c r="G2930" s="117">
        <v>36.93</v>
      </c>
    </row>
    <row r="2931" spans="1:7" x14ac:dyDescent="0.25">
      <c r="A2931" s="116" t="s">
        <v>4484</v>
      </c>
      <c r="B2931" s="117" t="s">
        <v>4485</v>
      </c>
      <c r="C2931" t="s">
        <v>67</v>
      </c>
      <c r="D2931" t="s">
        <v>67</v>
      </c>
      <c r="E2931" t="s">
        <v>67</v>
      </c>
      <c r="F2931" t="s">
        <v>27987</v>
      </c>
      <c r="G2931" s="117">
        <v>36.93</v>
      </c>
    </row>
    <row r="2932" spans="1:7" x14ac:dyDescent="0.25">
      <c r="A2932" s="116" t="s">
        <v>4486</v>
      </c>
      <c r="B2932" s="117" t="s">
        <v>4487</v>
      </c>
      <c r="C2932" t="s">
        <v>67</v>
      </c>
      <c r="D2932" t="s">
        <v>67</v>
      </c>
      <c r="E2932" t="s">
        <v>67</v>
      </c>
      <c r="F2932" t="s">
        <v>27987</v>
      </c>
      <c r="G2932" s="117">
        <v>32.83</v>
      </c>
    </row>
    <row r="2933" spans="1:7" x14ac:dyDescent="0.25">
      <c r="A2933" s="116" t="s">
        <v>4488</v>
      </c>
      <c r="B2933" s="117" t="s">
        <v>4489</v>
      </c>
      <c r="C2933" t="s">
        <v>67</v>
      </c>
      <c r="D2933" t="s">
        <v>67</v>
      </c>
      <c r="E2933" t="s">
        <v>67</v>
      </c>
      <c r="F2933" t="s">
        <v>45</v>
      </c>
      <c r="G2933" s="117">
        <v>4.5199999999999996</v>
      </c>
    </row>
    <row r="2934" spans="1:7" x14ac:dyDescent="0.25">
      <c r="A2934" s="116" t="s">
        <v>4490</v>
      </c>
      <c r="B2934" s="117" t="s">
        <v>26456</v>
      </c>
      <c r="C2934" t="s">
        <v>67</v>
      </c>
      <c r="D2934" t="s">
        <v>67</v>
      </c>
      <c r="E2934" t="s">
        <v>67</v>
      </c>
      <c r="F2934" t="s">
        <v>27987</v>
      </c>
      <c r="G2934" s="117">
        <v>25.35</v>
      </c>
    </row>
    <row r="2935" spans="1:7" x14ac:dyDescent="0.25">
      <c r="A2935" s="116" t="s">
        <v>4491</v>
      </c>
      <c r="B2935" s="117" t="s">
        <v>4492</v>
      </c>
      <c r="C2935" t="s">
        <v>67</v>
      </c>
      <c r="D2935" t="s">
        <v>67</v>
      </c>
      <c r="E2935" t="s">
        <v>67</v>
      </c>
      <c r="F2935" t="s">
        <v>27987</v>
      </c>
      <c r="G2935" s="117">
        <v>2307.84</v>
      </c>
    </row>
    <row r="2936" spans="1:7" x14ac:dyDescent="0.25">
      <c r="A2936" s="116" t="s">
        <v>4493</v>
      </c>
      <c r="B2936" s="117" t="s">
        <v>4494</v>
      </c>
      <c r="C2936" t="s">
        <v>67</v>
      </c>
      <c r="D2936" t="s">
        <v>67</v>
      </c>
      <c r="E2936" t="s">
        <v>67</v>
      </c>
      <c r="F2936" t="s">
        <v>27987</v>
      </c>
      <c r="G2936" s="117">
        <v>316.04000000000002</v>
      </c>
    </row>
    <row r="2937" spans="1:7" x14ac:dyDescent="0.25">
      <c r="A2937" s="116" t="s">
        <v>4495</v>
      </c>
      <c r="B2937" s="117" t="s">
        <v>4496</v>
      </c>
      <c r="C2937" t="s">
        <v>67</v>
      </c>
      <c r="D2937" t="s">
        <v>67</v>
      </c>
      <c r="E2937" t="s">
        <v>67</v>
      </c>
      <c r="F2937" t="s">
        <v>27987</v>
      </c>
      <c r="G2937" s="117">
        <v>298.95999999999998</v>
      </c>
    </row>
    <row r="2938" spans="1:7" x14ac:dyDescent="0.25">
      <c r="A2938" s="116" t="s">
        <v>4497</v>
      </c>
      <c r="B2938" s="117" t="s">
        <v>4498</v>
      </c>
      <c r="C2938" t="s">
        <v>67</v>
      </c>
      <c r="D2938" t="s">
        <v>67</v>
      </c>
      <c r="E2938" t="s">
        <v>67</v>
      </c>
      <c r="F2938" t="s">
        <v>27987</v>
      </c>
      <c r="G2938" s="117">
        <v>1105.95</v>
      </c>
    </row>
    <row r="2939" spans="1:7" x14ac:dyDescent="0.25">
      <c r="A2939" s="116" t="s">
        <v>4499</v>
      </c>
      <c r="B2939" s="117" t="s">
        <v>4500</v>
      </c>
      <c r="C2939" t="s">
        <v>67</v>
      </c>
      <c r="D2939" t="s">
        <v>67</v>
      </c>
      <c r="E2939" t="s">
        <v>67</v>
      </c>
      <c r="F2939" t="s">
        <v>45</v>
      </c>
      <c r="G2939" s="117">
        <v>0</v>
      </c>
    </row>
    <row r="2940" spans="1:7" x14ac:dyDescent="0.25">
      <c r="A2940" s="116" t="s">
        <v>4501</v>
      </c>
      <c r="B2940" s="117" t="s">
        <v>4502</v>
      </c>
      <c r="C2940" t="s">
        <v>67</v>
      </c>
      <c r="D2940" t="s">
        <v>67</v>
      </c>
      <c r="E2940" t="s">
        <v>67</v>
      </c>
      <c r="F2940" t="s">
        <v>27987</v>
      </c>
      <c r="G2940" s="117">
        <v>51.86</v>
      </c>
    </row>
    <row r="2941" spans="1:7" x14ac:dyDescent="0.25">
      <c r="A2941" s="116" t="s">
        <v>4503</v>
      </c>
      <c r="B2941" s="117" t="s">
        <v>4504</v>
      </c>
      <c r="C2941" t="s">
        <v>67</v>
      </c>
      <c r="D2941" t="s">
        <v>67</v>
      </c>
      <c r="E2941" t="s">
        <v>67</v>
      </c>
      <c r="F2941" t="s">
        <v>27987</v>
      </c>
      <c r="G2941" s="117">
        <v>259.79000000000002</v>
      </c>
    </row>
    <row r="2942" spans="1:7" x14ac:dyDescent="0.25">
      <c r="A2942" s="116" t="s">
        <v>4505</v>
      </c>
      <c r="B2942" s="117" t="s">
        <v>4506</v>
      </c>
      <c r="C2942" t="s">
        <v>67</v>
      </c>
      <c r="D2942" t="s">
        <v>67</v>
      </c>
      <c r="E2942" t="s">
        <v>67</v>
      </c>
      <c r="F2942" t="s">
        <v>27987</v>
      </c>
      <c r="G2942" s="117">
        <v>261.04000000000002</v>
      </c>
    </row>
    <row r="2943" spans="1:7" x14ac:dyDescent="0.25">
      <c r="A2943" s="116" t="s">
        <v>4507</v>
      </c>
      <c r="B2943" s="117" t="s">
        <v>4508</v>
      </c>
      <c r="C2943" t="s">
        <v>67</v>
      </c>
      <c r="D2943" t="s">
        <v>67</v>
      </c>
      <c r="E2943" t="s">
        <v>67</v>
      </c>
      <c r="F2943" t="s">
        <v>27987</v>
      </c>
      <c r="G2943" s="117">
        <v>261.04000000000002</v>
      </c>
    </row>
    <row r="2944" spans="1:7" x14ac:dyDescent="0.25">
      <c r="A2944" s="116" t="s">
        <v>4509</v>
      </c>
      <c r="B2944" s="117" t="s">
        <v>4510</v>
      </c>
      <c r="C2944" t="s">
        <v>67</v>
      </c>
      <c r="D2944" t="s">
        <v>67</v>
      </c>
      <c r="E2944" t="s">
        <v>67</v>
      </c>
      <c r="F2944" t="s">
        <v>51</v>
      </c>
      <c r="G2944" s="117">
        <v>19.13</v>
      </c>
    </row>
    <row r="2945" spans="1:7" x14ac:dyDescent="0.25">
      <c r="A2945" s="116" t="s">
        <v>4511</v>
      </c>
      <c r="B2945" s="117" t="s">
        <v>4512</v>
      </c>
      <c r="C2945" t="s">
        <v>67</v>
      </c>
      <c r="D2945" t="s">
        <v>67</v>
      </c>
      <c r="E2945" t="s">
        <v>67</v>
      </c>
      <c r="F2945" t="s">
        <v>27987</v>
      </c>
      <c r="G2945" s="117">
        <v>172.68</v>
      </c>
    </row>
    <row r="2946" spans="1:7" x14ac:dyDescent="0.25">
      <c r="A2946" s="116" t="s">
        <v>4513</v>
      </c>
      <c r="B2946" s="117" t="s">
        <v>4514</v>
      </c>
      <c r="C2946" t="s">
        <v>67</v>
      </c>
      <c r="D2946" t="s">
        <v>67</v>
      </c>
      <c r="E2946" t="s">
        <v>67</v>
      </c>
      <c r="F2946" t="s">
        <v>27987</v>
      </c>
      <c r="G2946" s="117">
        <v>1836.68</v>
      </c>
    </row>
    <row r="2947" spans="1:7" x14ac:dyDescent="0.25">
      <c r="A2947" s="116" t="s">
        <v>28066</v>
      </c>
      <c r="B2947" s="117" t="s">
        <v>28563</v>
      </c>
      <c r="C2947" t="s">
        <v>67</v>
      </c>
      <c r="D2947" t="s">
        <v>67</v>
      </c>
      <c r="E2947" t="s">
        <v>67</v>
      </c>
      <c r="F2947" t="s">
        <v>49</v>
      </c>
      <c r="G2947" s="117">
        <v>19.13</v>
      </c>
    </row>
    <row r="2948" spans="1:7" x14ac:dyDescent="0.25">
      <c r="A2948" s="116" t="s">
        <v>27015</v>
      </c>
      <c r="B2948" s="117" t="s">
        <v>27016</v>
      </c>
      <c r="C2948" t="s">
        <v>67</v>
      </c>
      <c r="D2948" t="s">
        <v>67</v>
      </c>
      <c r="E2948" t="s">
        <v>67</v>
      </c>
      <c r="F2948" t="s">
        <v>27990</v>
      </c>
      <c r="G2948" s="117">
        <v>22</v>
      </c>
    </row>
    <row r="2949" spans="1:7" x14ac:dyDescent="0.25">
      <c r="A2949" s="116" t="s">
        <v>26761</v>
      </c>
      <c r="B2949" s="117" t="s">
        <v>26762</v>
      </c>
      <c r="C2949" t="s">
        <v>67</v>
      </c>
      <c r="D2949" t="s">
        <v>67</v>
      </c>
      <c r="E2949" t="s">
        <v>67</v>
      </c>
      <c r="F2949" t="s">
        <v>45</v>
      </c>
      <c r="G2949" s="117">
        <v>260.57</v>
      </c>
    </row>
    <row r="2950" spans="1:7" x14ac:dyDescent="0.25">
      <c r="A2950" s="116" t="s">
        <v>28564</v>
      </c>
      <c r="B2950" s="117" t="s">
        <v>30128</v>
      </c>
      <c r="C2950" t="s">
        <v>67</v>
      </c>
      <c r="D2950" t="s">
        <v>67</v>
      </c>
      <c r="E2950" t="s">
        <v>67</v>
      </c>
      <c r="F2950" t="s">
        <v>27987</v>
      </c>
      <c r="G2950" s="117">
        <v>15</v>
      </c>
    </row>
    <row r="2951" spans="1:7" x14ac:dyDescent="0.25">
      <c r="A2951" s="116" t="s">
        <v>4515</v>
      </c>
      <c r="B2951" s="117" t="s">
        <v>28565</v>
      </c>
      <c r="C2951" t="s">
        <v>67</v>
      </c>
      <c r="D2951" t="s">
        <v>67</v>
      </c>
      <c r="E2951" t="s">
        <v>67</v>
      </c>
      <c r="F2951" t="s">
        <v>49</v>
      </c>
      <c r="G2951" s="117">
        <v>9.57</v>
      </c>
    </row>
    <row r="2952" spans="1:7" x14ac:dyDescent="0.25">
      <c r="A2952" s="116" t="s">
        <v>4516</v>
      </c>
      <c r="B2952" s="117" t="s">
        <v>4517</v>
      </c>
      <c r="C2952" t="s">
        <v>67</v>
      </c>
      <c r="D2952" t="s">
        <v>67</v>
      </c>
      <c r="E2952" t="s">
        <v>67</v>
      </c>
      <c r="F2952" t="s">
        <v>51</v>
      </c>
      <c r="G2952" s="117">
        <v>9.6999999999999993</v>
      </c>
    </row>
    <row r="2953" spans="1:7" x14ac:dyDescent="0.25">
      <c r="A2953" s="116" t="s">
        <v>28566</v>
      </c>
      <c r="B2953" s="117" t="s">
        <v>28567</v>
      </c>
      <c r="C2953" t="s">
        <v>67</v>
      </c>
      <c r="D2953" t="s">
        <v>67</v>
      </c>
      <c r="E2953" t="s">
        <v>67</v>
      </c>
      <c r="F2953" t="s">
        <v>27990</v>
      </c>
      <c r="G2953" s="117">
        <v>10.58</v>
      </c>
    </row>
    <row r="2954" spans="1:7" x14ac:dyDescent="0.25">
      <c r="A2954" s="116" t="s">
        <v>4518</v>
      </c>
      <c r="B2954" s="117" t="s">
        <v>4519</v>
      </c>
      <c r="C2954" t="s">
        <v>67</v>
      </c>
      <c r="D2954" t="s">
        <v>67</v>
      </c>
      <c r="E2954" t="s">
        <v>67</v>
      </c>
      <c r="F2954" t="s">
        <v>51</v>
      </c>
      <c r="G2954" s="117">
        <v>14.14</v>
      </c>
    </row>
    <row r="2955" spans="1:7" x14ac:dyDescent="0.25">
      <c r="A2955" s="116" t="s">
        <v>4520</v>
      </c>
      <c r="B2955" s="117" t="s">
        <v>4521</v>
      </c>
      <c r="C2955" t="s">
        <v>67</v>
      </c>
      <c r="D2955" t="s">
        <v>67</v>
      </c>
      <c r="E2955" t="s">
        <v>67</v>
      </c>
      <c r="F2955" t="s">
        <v>45</v>
      </c>
      <c r="G2955" s="117">
        <v>17.7</v>
      </c>
    </row>
    <row r="2956" spans="1:7" x14ac:dyDescent="0.25">
      <c r="A2956" s="116" t="s">
        <v>28568</v>
      </c>
      <c r="B2956" s="117" t="s">
        <v>4697</v>
      </c>
      <c r="C2956" t="s">
        <v>67</v>
      </c>
      <c r="D2956" t="s">
        <v>67</v>
      </c>
      <c r="E2956" t="s">
        <v>67</v>
      </c>
      <c r="F2956" t="s">
        <v>49</v>
      </c>
      <c r="G2956" s="117">
        <v>13.76</v>
      </c>
    </row>
    <row r="2957" spans="1:7" x14ac:dyDescent="0.25">
      <c r="A2957" s="116" t="s">
        <v>4522</v>
      </c>
      <c r="B2957" s="117" t="s">
        <v>4523</v>
      </c>
      <c r="C2957" t="s">
        <v>67</v>
      </c>
      <c r="D2957" t="s">
        <v>67</v>
      </c>
      <c r="E2957" t="s">
        <v>67</v>
      </c>
      <c r="F2957" t="s">
        <v>51</v>
      </c>
      <c r="G2957" s="117">
        <v>12.37</v>
      </c>
    </row>
    <row r="2958" spans="1:7" x14ac:dyDescent="0.25">
      <c r="A2958" s="116" t="s">
        <v>28569</v>
      </c>
      <c r="B2958" s="117" t="s">
        <v>28570</v>
      </c>
      <c r="C2958" t="s">
        <v>67</v>
      </c>
      <c r="D2958" t="s">
        <v>67</v>
      </c>
      <c r="E2958" t="s">
        <v>67</v>
      </c>
      <c r="F2958" t="s">
        <v>49</v>
      </c>
      <c r="G2958" s="117">
        <v>8.89</v>
      </c>
    </row>
    <row r="2959" spans="1:7" x14ac:dyDescent="0.25">
      <c r="A2959" s="116" t="s">
        <v>28571</v>
      </c>
      <c r="B2959" s="117" t="s">
        <v>4720</v>
      </c>
      <c r="C2959" t="s">
        <v>67</v>
      </c>
      <c r="D2959" t="s">
        <v>67</v>
      </c>
      <c r="E2959" t="s">
        <v>67</v>
      </c>
      <c r="F2959" t="s">
        <v>51</v>
      </c>
      <c r="G2959" s="117">
        <v>9999</v>
      </c>
    </row>
    <row r="2960" spans="1:7" x14ac:dyDescent="0.25">
      <c r="A2960" s="116" t="s">
        <v>28572</v>
      </c>
      <c r="B2960" s="117" t="s">
        <v>28573</v>
      </c>
      <c r="C2960" t="s">
        <v>67</v>
      </c>
      <c r="D2960" t="s">
        <v>67</v>
      </c>
      <c r="E2960" t="s">
        <v>67</v>
      </c>
      <c r="F2960" t="s">
        <v>51</v>
      </c>
      <c r="G2960" s="117">
        <v>9999</v>
      </c>
    </row>
    <row r="2961" spans="1:7" x14ac:dyDescent="0.25">
      <c r="A2961" s="116" t="s">
        <v>4524</v>
      </c>
      <c r="B2961" s="117" t="s">
        <v>28574</v>
      </c>
      <c r="C2961" t="s">
        <v>67</v>
      </c>
      <c r="D2961" t="s">
        <v>67</v>
      </c>
      <c r="E2961" t="s">
        <v>67</v>
      </c>
      <c r="F2961" t="s">
        <v>27987</v>
      </c>
      <c r="G2961" s="117">
        <v>245.62</v>
      </c>
    </row>
    <row r="2962" spans="1:7" x14ac:dyDescent="0.25">
      <c r="A2962" s="116" t="s">
        <v>4525</v>
      </c>
      <c r="B2962" s="117" t="s">
        <v>30129</v>
      </c>
      <c r="C2962" t="s">
        <v>67</v>
      </c>
      <c r="D2962" t="s">
        <v>67</v>
      </c>
      <c r="E2962" t="s">
        <v>67</v>
      </c>
      <c r="F2962" t="s">
        <v>27987</v>
      </c>
      <c r="G2962" s="117">
        <v>179.38</v>
      </c>
    </row>
    <row r="2963" spans="1:7" x14ac:dyDescent="0.25">
      <c r="A2963" s="116" t="s">
        <v>4526</v>
      </c>
      <c r="B2963" s="117" t="s">
        <v>30130</v>
      </c>
      <c r="C2963" t="s">
        <v>67</v>
      </c>
      <c r="D2963" t="s">
        <v>67</v>
      </c>
      <c r="E2963" t="s">
        <v>67</v>
      </c>
      <c r="F2963" t="s">
        <v>27987</v>
      </c>
      <c r="G2963" s="117">
        <v>110.14</v>
      </c>
    </row>
    <row r="2964" spans="1:7" x14ac:dyDescent="0.25">
      <c r="A2964" s="116" t="s">
        <v>4527</v>
      </c>
      <c r="B2964" s="117" t="s">
        <v>30131</v>
      </c>
      <c r="C2964" t="s">
        <v>67</v>
      </c>
      <c r="D2964" t="s">
        <v>67</v>
      </c>
      <c r="E2964" t="s">
        <v>67</v>
      </c>
      <c r="F2964" t="s">
        <v>27987</v>
      </c>
      <c r="G2964" s="117">
        <v>132.97999999999999</v>
      </c>
    </row>
    <row r="2965" spans="1:7" x14ac:dyDescent="0.25">
      <c r="A2965" s="116" t="s">
        <v>4528</v>
      </c>
      <c r="B2965" s="117" t="s">
        <v>30132</v>
      </c>
      <c r="C2965" t="s">
        <v>67</v>
      </c>
      <c r="D2965" t="s">
        <v>67</v>
      </c>
      <c r="E2965" t="s">
        <v>67</v>
      </c>
      <c r="F2965" t="s">
        <v>27987</v>
      </c>
      <c r="G2965" s="117">
        <v>53.21</v>
      </c>
    </row>
    <row r="2966" spans="1:7" x14ac:dyDescent="0.25">
      <c r="A2966" s="116" t="s">
        <v>4529</v>
      </c>
      <c r="B2966" s="117" t="s">
        <v>30133</v>
      </c>
      <c r="C2966" t="s">
        <v>67</v>
      </c>
      <c r="D2966" t="s">
        <v>67</v>
      </c>
      <c r="E2966" t="s">
        <v>67</v>
      </c>
      <c r="F2966" t="s">
        <v>27987</v>
      </c>
      <c r="G2966" s="117">
        <v>75.34</v>
      </c>
    </row>
    <row r="2967" spans="1:7" x14ac:dyDescent="0.25">
      <c r="A2967" s="116" t="s">
        <v>28575</v>
      </c>
      <c r="B2967" s="117" t="s">
        <v>30134</v>
      </c>
      <c r="C2967" t="s">
        <v>67</v>
      </c>
      <c r="D2967" t="s">
        <v>67</v>
      </c>
      <c r="E2967" t="s">
        <v>67</v>
      </c>
      <c r="F2967" t="s">
        <v>27987</v>
      </c>
      <c r="G2967" s="117">
        <v>70</v>
      </c>
    </row>
    <row r="2968" spans="1:7" x14ac:dyDescent="0.25">
      <c r="A2968" s="116" t="s">
        <v>28576</v>
      </c>
      <c r="B2968" s="117" t="s">
        <v>30135</v>
      </c>
      <c r="C2968" t="s">
        <v>67</v>
      </c>
      <c r="D2968" t="s">
        <v>67</v>
      </c>
      <c r="E2968" t="s">
        <v>67</v>
      </c>
      <c r="F2968" t="s">
        <v>27987</v>
      </c>
      <c r="G2968" s="117">
        <v>83</v>
      </c>
    </row>
    <row r="2969" spans="1:7" x14ac:dyDescent="0.25">
      <c r="A2969" s="116" t="s">
        <v>4530</v>
      </c>
      <c r="B2969" s="117" t="s">
        <v>26457</v>
      </c>
      <c r="C2969" t="s">
        <v>67</v>
      </c>
      <c r="D2969" t="s">
        <v>67</v>
      </c>
      <c r="E2969" t="s">
        <v>67</v>
      </c>
      <c r="F2969" t="s">
        <v>27987</v>
      </c>
      <c r="G2969" s="117">
        <v>170.21</v>
      </c>
    </row>
    <row r="2970" spans="1:7" x14ac:dyDescent="0.25">
      <c r="A2970" s="116" t="s">
        <v>4531</v>
      </c>
      <c r="B2970" s="117" t="s">
        <v>28577</v>
      </c>
      <c r="C2970" t="s">
        <v>67</v>
      </c>
      <c r="D2970" t="s">
        <v>67</v>
      </c>
      <c r="E2970" t="s">
        <v>67</v>
      </c>
      <c r="F2970" t="s">
        <v>49</v>
      </c>
      <c r="G2970" s="117">
        <v>25</v>
      </c>
    </row>
    <row r="2971" spans="1:7" x14ac:dyDescent="0.25">
      <c r="A2971" s="116" t="s">
        <v>28578</v>
      </c>
      <c r="B2971" s="117" t="s">
        <v>28579</v>
      </c>
      <c r="C2971" t="s">
        <v>67</v>
      </c>
      <c r="D2971" t="s">
        <v>67</v>
      </c>
      <c r="E2971" t="s">
        <v>67</v>
      </c>
      <c r="F2971" t="s">
        <v>27987</v>
      </c>
      <c r="G2971" s="117">
        <v>13.55</v>
      </c>
    </row>
    <row r="2972" spans="1:7" x14ac:dyDescent="0.25">
      <c r="A2972" s="116" t="s">
        <v>4532</v>
      </c>
      <c r="B2972" s="117" t="s">
        <v>26458</v>
      </c>
      <c r="C2972" t="s">
        <v>67</v>
      </c>
      <c r="D2972" t="s">
        <v>67</v>
      </c>
      <c r="E2972" t="s">
        <v>67</v>
      </c>
      <c r="F2972" t="s">
        <v>27987</v>
      </c>
      <c r="G2972" s="117">
        <v>3875.58</v>
      </c>
    </row>
    <row r="2973" spans="1:7" x14ac:dyDescent="0.25">
      <c r="A2973" s="116" t="s">
        <v>4533</v>
      </c>
      <c r="B2973" s="117" t="s">
        <v>26459</v>
      </c>
      <c r="C2973" t="s">
        <v>67</v>
      </c>
      <c r="D2973" t="s">
        <v>67</v>
      </c>
      <c r="E2973" t="s">
        <v>67</v>
      </c>
      <c r="F2973" t="s">
        <v>27987</v>
      </c>
      <c r="G2973" s="117">
        <v>3179.24</v>
      </c>
    </row>
    <row r="2974" spans="1:7" x14ac:dyDescent="0.25">
      <c r="A2974" s="116" t="s">
        <v>4534</v>
      </c>
      <c r="B2974" s="117" t="s">
        <v>28580</v>
      </c>
      <c r="C2974" t="s">
        <v>67</v>
      </c>
      <c r="D2974" t="s">
        <v>67</v>
      </c>
      <c r="E2974" t="s">
        <v>67</v>
      </c>
      <c r="F2974" t="s">
        <v>49</v>
      </c>
      <c r="G2974" s="117">
        <v>12.37</v>
      </c>
    </row>
    <row r="2975" spans="1:7" x14ac:dyDescent="0.25">
      <c r="A2975" s="116" t="s">
        <v>30684</v>
      </c>
      <c r="B2975" s="117" t="s">
        <v>30685</v>
      </c>
      <c r="C2975" t="s">
        <v>67</v>
      </c>
      <c r="D2975" t="s">
        <v>67</v>
      </c>
      <c r="E2975" t="s">
        <v>67</v>
      </c>
      <c r="F2975" t="s">
        <v>45</v>
      </c>
      <c r="G2975" s="117">
        <v>732.4</v>
      </c>
    </row>
    <row r="2976" spans="1:7" x14ac:dyDescent="0.25">
      <c r="A2976" s="116" t="s">
        <v>26989</v>
      </c>
      <c r="B2976" s="117" t="s">
        <v>28581</v>
      </c>
      <c r="C2976" t="s">
        <v>67</v>
      </c>
      <c r="D2976" t="s">
        <v>67</v>
      </c>
      <c r="E2976" t="s">
        <v>67</v>
      </c>
      <c r="F2976" t="s">
        <v>27987</v>
      </c>
      <c r="G2976" s="117">
        <v>650</v>
      </c>
    </row>
    <row r="2977" spans="1:7" x14ac:dyDescent="0.25">
      <c r="A2977" s="116" t="s">
        <v>4535</v>
      </c>
      <c r="B2977" s="117" t="s">
        <v>4536</v>
      </c>
      <c r="C2977" t="s">
        <v>67</v>
      </c>
      <c r="D2977" t="s">
        <v>67</v>
      </c>
      <c r="E2977" t="s">
        <v>67</v>
      </c>
      <c r="F2977" t="s">
        <v>45</v>
      </c>
      <c r="G2977" s="117">
        <v>12.01</v>
      </c>
    </row>
    <row r="2978" spans="1:7" x14ac:dyDescent="0.25">
      <c r="A2978" s="116" t="s">
        <v>28582</v>
      </c>
      <c r="B2978" s="117" t="s">
        <v>28583</v>
      </c>
      <c r="C2978" t="s">
        <v>67</v>
      </c>
      <c r="D2978" t="s">
        <v>67</v>
      </c>
      <c r="E2978" t="s">
        <v>67</v>
      </c>
      <c r="F2978" t="s">
        <v>45</v>
      </c>
      <c r="G2978" s="117">
        <v>0</v>
      </c>
    </row>
    <row r="2979" spans="1:7" x14ac:dyDescent="0.25">
      <c r="A2979" s="116" t="s">
        <v>4537</v>
      </c>
      <c r="B2979" s="117" t="s">
        <v>4538</v>
      </c>
      <c r="C2979" t="s">
        <v>67</v>
      </c>
      <c r="D2979" t="s">
        <v>67</v>
      </c>
      <c r="E2979" t="s">
        <v>67</v>
      </c>
      <c r="F2979" t="s">
        <v>45</v>
      </c>
      <c r="G2979" s="117">
        <v>19.13</v>
      </c>
    </row>
    <row r="2980" spans="1:7" x14ac:dyDescent="0.25">
      <c r="A2980" s="116" t="s">
        <v>4539</v>
      </c>
      <c r="B2980" s="117" t="s">
        <v>28584</v>
      </c>
      <c r="C2980" t="s">
        <v>67</v>
      </c>
      <c r="D2980" t="s">
        <v>67</v>
      </c>
      <c r="E2980" t="s">
        <v>67</v>
      </c>
      <c r="F2980" t="s">
        <v>45</v>
      </c>
      <c r="G2980" s="117">
        <v>29.81</v>
      </c>
    </row>
    <row r="2981" spans="1:7" x14ac:dyDescent="0.25">
      <c r="A2981" s="116" t="s">
        <v>4540</v>
      </c>
      <c r="B2981" s="117" t="s">
        <v>4541</v>
      </c>
      <c r="C2981" t="s">
        <v>67</v>
      </c>
      <c r="D2981" t="s">
        <v>67</v>
      </c>
      <c r="E2981" t="s">
        <v>67</v>
      </c>
      <c r="F2981" t="s">
        <v>45</v>
      </c>
      <c r="G2981" s="117">
        <v>9.35</v>
      </c>
    </row>
    <row r="2982" spans="1:7" x14ac:dyDescent="0.25">
      <c r="A2982" s="116" t="s">
        <v>4542</v>
      </c>
      <c r="B2982" s="117" t="s">
        <v>4543</v>
      </c>
      <c r="C2982" t="s">
        <v>67</v>
      </c>
      <c r="D2982" t="s">
        <v>67</v>
      </c>
      <c r="E2982" t="s">
        <v>67</v>
      </c>
      <c r="F2982" t="s">
        <v>45</v>
      </c>
      <c r="G2982" s="117">
        <v>28.38</v>
      </c>
    </row>
    <row r="2983" spans="1:7" x14ac:dyDescent="0.25">
      <c r="A2983" s="116" t="s">
        <v>4544</v>
      </c>
      <c r="B2983" s="117" t="s">
        <v>4545</v>
      </c>
      <c r="C2983" t="s">
        <v>67</v>
      </c>
      <c r="D2983" t="s">
        <v>67</v>
      </c>
      <c r="E2983" t="s">
        <v>67</v>
      </c>
      <c r="F2983" t="s">
        <v>45</v>
      </c>
      <c r="G2983" s="117">
        <v>14.68</v>
      </c>
    </row>
    <row r="2984" spans="1:7" x14ac:dyDescent="0.25">
      <c r="A2984" s="116" t="s">
        <v>4546</v>
      </c>
      <c r="B2984" s="117" t="s">
        <v>4547</v>
      </c>
      <c r="C2984" t="s">
        <v>67</v>
      </c>
      <c r="D2984" t="s">
        <v>67</v>
      </c>
      <c r="E2984" t="s">
        <v>67</v>
      </c>
      <c r="F2984" t="s">
        <v>27990</v>
      </c>
      <c r="G2984" s="117">
        <v>12.01</v>
      </c>
    </row>
    <row r="2985" spans="1:7" x14ac:dyDescent="0.25">
      <c r="A2985" s="116" t="s">
        <v>4548</v>
      </c>
      <c r="B2985" s="117" t="s">
        <v>26460</v>
      </c>
      <c r="C2985" t="s">
        <v>67</v>
      </c>
      <c r="D2985" t="s">
        <v>67</v>
      </c>
      <c r="E2985" t="s">
        <v>67</v>
      </c>
      <c r="F2985" t="s">
        <v>51</v>
      </c>
      <c r="G2985" s="117">
        <v>30.17</v>
      </c>
    </row>
    <row r="2986" spans="1:7" x14ac:dyDescent="0.25">
      <c r="A2986" s="116" t="s">
        <v>4549</v>
      </c>
      <c r="B2986" s="117" t="s">
        <v>4550</v>
      </c>
      <c r="C2986" t="s">
        <v>67</v>
      </c>
      <c r="D2986" t="s">
        <v>67</v>
      </c>
      <c r="E2986" t="s">
        <v>67</v>
      </c>
      <c r="F2986" t="s">
        <v>51</v>
      </c>
      <c r="G2986" s="117">
        <v>8.81</v>
      </c>
    </row>
    <row r="2987" spans="1:7" x14ac:dyDescent="0.25">
      <c r="A2987" s="116" t="s">
        <v>4551</v>
      </c>
      <c r="B2987" s="117" t="s">
        <v>4552</v>
      </c>
      <c r="C2987" t="s">
        <v>67</v>
      </c>
      <c r="D2987" t="s">
        <v>67</v>
      </c>
      <c r="E2987" t="s">
        <v>67</v>
      </c>
      <c r="F2987" t="s">
        <v>27987</v>
      </c>
      <c r="G2987" s="117">
        <v>89.43</v>
      </c>
    </row>
    <row r="2988" spans="1:7" x14ac:dyDescent="0.25">
      <c r="A2988" s="116" t="s">
        <v>4553</v>
      </c>
      <c r="B2988" s="117" t="s">
        <v>4554</v>
      </c>
      <c r="C2988" t="s">
        <v>67</v>
      </c>
      <c r="D2988" t="s">
        <v>67</v>
      </c>
      <c r="E2988" t="s">
        <v>67</v>
      </c>
      <c r="F2988" t="s">
        <v>27987</v>
      </c>
      <c r="G2988" s="117">
        <v>88.54</v>
      </c>
    </row>
    <row r="2989" spans="1:7" x14ac:dyDescent="0.25">
      <c r="A2989" s="116" t="s">
        <v>4555</v>
      </c>
      <c r="B2989" s="117" t="s">
        <v>4556</v>
      </c>
      <c r="C2989" t="s">
        <v>67</v>
      </c>
      <c r="D2989" t="s">
        <v>67</v>
      </c>
      <c r="E2989" t="s">
        <v>67</v>
      </c>
      <c r="F2989" t="s">
        <v>27987</v>
      </c>
      <c r="G2989" s="117">
        <v>40.49</v>
      </c>
    </row>
    <row r="2990" spans="1:7" x14ac:dyDescent="0.25">
      <c r="A2990" s="116" t="s">
        <v>4557</v>
      </c>
      <c r="B2990" s="117" t="s">
        <v>4558</v>
      </c>
      <c r="C2990" t="s">
        <v>67</v>
      </c>
      <c r="D2990" t="s">
        <v>67</v>
      </c>
      <c r="E2990" t="s">
        <v>67</v>
      </c>
      <c r="F2990" t="s">
        <v>27990</v>
      </c>
      <c r="G2990" s="117">
        <v>43.17</v>
      </c>
    </row>
    <row r="2991" spans="1:7" x14ac:dyDescent="0.25">
      <c r="A2991" s="116" t="s">
        <v>4559</v>
      </c>
      <c r="B2991" s="117" t="s">
        <v>4560</v>
      </c>
      <c r="C2991" t="s">
        <v>67</v>
      </c>
      <c r="D2991" t="s">
        <v>67</v>
      </c>
      <c r="E2991" t="s">
        <v>67</v>
      </c>
      <c r="F2991" t="s">
        <v>49</v>
      </c>
      <c r="G2991" s="117">
        <v>174.86</v>
      </c>
    </row>
    <row r="2992" spans="1:7" x14ac:dyDescent="0.25">
      <c r="A2992" s="116" t="s">
        <v>4561</v>
      </c>
      <c r="B2992" s="117" t="s">
        <v>4562</v>
      </c>
      <c r="C2992" t="s">
        <v>67</v>
      </c>
      <c r="D2992" t="s">
        <v>67</v>
      </c>
      <c r="E2992" t="s">
        <v>67</v>
      </c>
      <c r="F2992" t="s">
        <v>51</v>
      </c>
      <c r="G2992" s="117">
        <v>19.13</v>
      </c>
    </row>
    <row r="2993" spans="1:7" x14ac:dyDescent="0.25">
      <c r="A2993" s="116" t="s">
        <v>28115</v>
      </c>
      <c r="B2993" s="117" t="s">
        <v>29776</v>
      </c>
      <c r="C2993" t="s">
        <v>67</v>
      </c>
      <c r="D2993" t="s">
        <v>67</v>
      </c>
      <c r="E2993" t="s">
        <v>67</v>
      </c>
      <c r="F2993" t="s">
        <v>49</v>
      </c>
      <c r="G2993" s="117">
        <v>70</v>
      </c>
    </row>
    <row r="2994" spans="1:7" x14ac:dyDescent="0.25">
      <c r="A2994" s="116" t="s">
        <v>4563</v>
      </c>
      <c r="B2994" s="117" t="s">
        <v>30136</v>
      </c>
      <c r="C2994" t="s">
        <v>67</v>
      </c>
      <c r="D2994" t="s">
        <v>67</v>
      </c>
      <c r="E2994" t="s">
        <v>67</v>
      </c>
      <c r="F2994" t="s">
        <v>49</v>
      </c>
      <c r="G2994" s="117">
        <v>74.33</v>
      </c>
    </row>
    <row r="2995" spans="1:7" x14ac:dyDescent="0.25">
      <c r="A2995" s="116" t="s">
        <v>4564</v>
      </c>
      <c r="B2995" s="117" t="s">
        <v>4565</v>
      </c>
      <c r="C2995" t="s">
        <v>67</v>
      </c>
      <c r="D2995" t="s">
        <v>67</v>
      </c>
      <c r="E2995" t="s">
        <v>67</v>
      </c>
      <c r="F2995" t="s">
        <v>51</v>
      </c>
      <c r="G2995" s="117">
        <v>185.17</v>
      </c>
    </row>
    <row r="2996" spans="1:7" x14ac:dyDescent="0.25">
      <c r="A2996" s="116" t="s">
        <v>4566</v>
      </c>
      <c r="B2996" s="117" t="s">
        <v>4565</v>
      </c>
      <c r="C2996" t="s">
        <v>67</v>
      </c>
      <c r="D2996" t="s">
        <v>67</v>
      </c>
      <c r="E2996" t="s">
        <v>67</v>
      </c>
      <c r="F2996" t="s">
        <v>45</v>
      </c>
      <c r="G2996" s="117">
        <v>120</v>
      </c>
    </row>
    <row r="2997" spans="1:7" x14ac:dyDescent="0.25">
      <c r="A2997" s="116" t="s">
        <v>4567</v>
      </c>
      <c r="B2997" s="117" t="s">
        <v>4568</v>
      </c>
      <c r="C2997" t="s">
        <v>67</v>
      </c>
      <c r="D2997" t="s">
        <v>67</v>
      </c>
      <c r="E2997" t="s">
        <v>67</v>
      </c>
      <c r="F2997" t="s">
        <v>27987</v>
      </c>
      <c r="G2997" s="117">
        <v>11.96</v>
      </c>
    </row>
    <row r="2998" spans="1:7" x14ac:dyDescent="0.25">
      <c r="A2998" s="116" t="s">
        <v>4569</v>
      </c>
      <c r="B2998" s="117" t="s">
        <v>4570</v>
      </c>
      <c r="C2998" t="s">
        <v>67</v>
      </c>
      <c r="D2998" t="s">
        <v>67</v>
      </c>
      <c r="E2998" t="s">
        <v>67</v>
      </c>
      <c r="F2998" t="s">
        <v>49</v>
      </c>
      <c r="G2998" s="117">
        <v>121.26</v>
      </c>
    </row>
    <row r="2999" spans="1:7" x14ac:dyDescent="0.25">
      <c r="A2999" s="116" t="s">
        <v>4571</v>
      </c>
      <c r="B2999" s="117" t="s">
        <v>30137</v>
      </c>
      <c r="C2999" t="s">
        <v>67</v>
      </c>
      <c r="D2999" t="s">
        <v>67</v>
      </c>
      <c r="E2999" t="s">
        <v>67</v>
      </c>
      <c r="F2999" t="s">
        <v>27987</v>
      </c>
      <c r="G2999" s="117">
        <v>247.82</v>
      </c>
    </row>
    <row r="3000" spans="1:7" x14ac:dyDescent="0.25">
      <c r="A3000" s="116" t="s">
        <v>4572</v>
      </c>
      <c r="B3000" s="117" t="s">
        <v>4573</v>
      </c>
      <c r="C3000" t="s">
        <v>67</v>
      </c>
      <c r="D3000" t="s">
        <v>67</v>
      </c>
      <c r="E3000" t="s">
        <v>67</v>
      </c>
      <c r="F3000" t="s">
        <v>27987</v>
      </c>
      <c r="G3000" s="117">
        <v>95.12</v>
      </c>
    </row>
    <row r="3001" spans="1:7" x14ac:dyDescent="0.25">
      <c r="A3001" s="116" t="s">
        <v>4574</v>
      </c>
      <c r="B3001" s="117" t="s">
        <v>4575</v>
      </c>
      <c r="C3001" t="s">
        <v>67</v>
      </c>
      <c r="D3001" t="s">
        <v>67</v>
      </c>
      <c r="E3001" t="s">
        <v>67</v>
      </c>
      <c r="F3001" t="s">
        <v>27987</v>
      </c>
      <c r="G3001" s="117">
        <v>48.34</v>
      </c>
    </row>
    <row r="3002" spans="1:7" x14ac:dyDescent="0.25">
      <c r="A3002" s="116" t="s">
        <v>4576</v>
      </c>
      <c r="B3002" s="117" t="s">
        <v>4577</v>
      </c>
      <c r="C3002" t="s">
        <v>67</v>
      </c>
      <c r="D3002" t="s">
        <v>67</v>
      </c>
      <c r="E3002" t="s">
        <v>67</v>
      </c>
      <c r="F3002" t="s">
        <v>27987</v>
      </c>
      <c r="G3002" s="117">
        <v>44.57</v>
      </c>
    </row>
    <row r="3003" spans="1:7" x14ac:dyDescent="0.25">
      <c r="A3003" s="116" t="s">
        <v>4578</v>
      </c>
      <c r="B3003" s="117" t="s">
        <v>4272</v>
      </c>
      <c r="C3003" t="s">
        <v>67</v>
      </c>
      <c r="D3003" t="s">
        <v>67</v>
      </c>
      <c r="E3003" t="s">
        <v>67</v>
      </c>
      <c r="F3003" t="s">
        <v>27987</v>
      </c>
      <c r="G3003" s="117">
        <v>49.38</v>
      </c>
    </row>
    <row r="3004" spans="1:7" x14ac:dyDescent="0.25">
      <c r="A3004" s="116" t="s">
        <v>26552</v>
      </c>
      <c r="B3004" s="117" t="s">
        <v>26553</v>
      </c>
      <c r="C3004" t="s">
        <v>67</v>
      </c>
      <c r="D3004" t="s">
        <v>67</v>
      </c>
      <c r="E3004" t="s">
        <v>67</v>
      </c>
      <c r="F3004" t="s">
        <v>27987</v>
      </c>
      <c r="G3004" s="117">
        <v>543.15</v>
      </c>
    </row>
    <row r="3005" spans="1:7" x14ac:dyDescent="0.25">
      <c r="A3005" s="116" t="s">
        <v>4579</v>
      </c>
      <c r="B3005" s="117" t="s">
        <v>4580</v>
      </c>
      <c r="C3005" t="s">
        <v>67</v>
      </c>
      <c r="D3005" t="s">
        <v>67</v>
      </c>
      <c r="E3005" t="s">
        <v>67</v>
      </c>
      <c r="F3005" t="s">
        <v>27990</v>
      </c>
      <c r="G3005" s="117">
        <v>14.19</v>
      </c>
    </row>
    <row r="3006" spans="1:7" x14ac:dyDescent="0.25">
      <c r="A3006" s="116" t="s">
        <v>4581</v>
      </c>
      <c r="B3006" s="117" t="s">
        <v>26584</v>
      </c>
      <c r="C3006" t="s">
        <v>67</v>
      </c>
      <c r="D3006" t="s">
        <v>67</v>
      </c>
      <c r="E3006" t="s">
        <v>67</v>
      </c>
      <c r="F3006" t="s">
        <v>49</v>
      </c>
      <c r="G3006" s="117">
        <v>90.32</v>
      </c>
    </row>
    <row r="3007" spans="1:7" x14ac:dyDescent="0.25">
      <c r="A3007" s="116" t="s">
        <v>4582</v>
      </c>
      <c r="B3007" s="117" t="s">
        <v>4583</v>
      </c>
      <c r="C3007" t="s">
        <v>67</v>
      </c>
      <c r="D3007" t="s">
        <v>67</v>
      </c>
      <c r="E3007" t="s">
        <v>67</v>
      </c>
      <c r="F3007" t="s">
        <v>49</v>
      </c>
      <c r="G3007" s="117">
        <v>158.33000000000001</v>
      </c>
    </row>
    <row r="3008" spans="1:7" x14ac:dyDescent="0.25">
      <c r="A3008" s="116" t="s">
        <v>4584</v>
      </c>
      <c r="B3008" s="117" t="s">
        <v>30138</v>
      </c>
      <c r="C3008" t="s">
        <v>67</v>
      </c>
      <c r="D3008" t="s">
        <v>67</v>
      </c>
      <c r="E3008" t="s">
        <v>67</v>
      </c>
      <c r="F3008" t="s">
        <v>27987</v>
      </c>
      <c r="G3008" s="117">
        <v>21.85</v>
      </c>
    </row>
    <row r="3009" spans="1:7" x14ac:dyDescent="0.25">
      <c r="A3009" s="116" t="s">
        <v>27949</v>
      </c>
      <c r="B3009" s="117" t="s">
        <v>30139</v>
      </c>
      <c r="C3009" t="s">
        <v>67</v>
      </c>
      <c r="D3009" t="s">
        <v>67</v>
      </c>
      <c r="E3009" t="s">
        <v>67</v>
      </c>
      <c r="F3009" t="s">
        <v>49</v>
      </c>
      <c r="G3009" s="117">
        <v>135</v>
      </c>
    </row>
    <row r="3010" spans="1:7" x14ac:dyDescent="0.25">
      <c r="A3010" s="116" t="s">
        <v>4585</v>
      </c>
      <c r="B3010" s="117" t="s">
        <v>4586</v>
      </c>
      <c r="C3010" t="s">
        <v>67</v>
      </c>
      <c r="D3010" t="s">
        <v>67</v>
      </c>
      <c r="E3010" t="s">
        <v>67</v>
      </c>
      <c r="F3010" t="s">
        <v>27987</v>
      </c>
      <c r="G3010" s="117">
        <v>131.46</v>
      </c>
    </row>
    <row r="3011" spans="1:7" x14ac:dyDescent="0.25">
      <c r="A3011" s="116" t="s">
        <v>4588</v>
      </c>
      <c r="B3011" s="117" t="s">
        <v>4589</v>
      </c>
      <c r="C3011" t="s">
        <v>67</v>
      </c>
      <c r="D3011" t="s">
        <v>67</v>
      </c>
      <c r="E3011" t="s">
        <v>67</v>
      </c>
      <c r="F3011" t="s">
        <v>27987</v>
      </c>
      <c r="G3011" s="117">
        <v>723.37</v>
      </c>
    </row>
    <row r="3012" spans="1:7" x14ac:dyDescent="0.25">
      <c r="A3012" s="116" t="s">
        <v>4590</v>
      </c>
      <c r="B3012" s="117" t="s">
        <v>4591</v>
      </c>
      <c r="C3012" t="s">
        <v>67</v>
      </c>
      <c r="D3012" t="s">
        <v>67</v>
      </c>
      <c r="E3012" t="s">
        <v>67</v>
      </c>
      <c r="F3012" t="s">
        <v>27987</v>
      </c>
      <c r="G3012" s="117">
        <v>713.82</v>
      </c>
    </row>
    <row r="3013" spans="1:7" x14ac:dyDescent="0.25">
      <c r="A3013" s="116" t="s">
        <v>4592</v>
      </c>
      <c r="B3013" s="117" t="s">
        <v>4593</v>
      </c>
      <c r="C3013" t="s">
        <v>67</v>
      </c>
      <c r="D3013" t="s">
        <v>67</v>
      </c>
      <c r="E3013" t="s">
        <v>67</v>
      </c>
      <c r="F3013" t="s">
        <v>27987</v>
      </c>
      <c r="G3013" s="117">
        <v>75.09</v>
      </c>
    </row>
    <row r="3014" spans="1:7" x14ac:dyDescent="0.25">
      <c r="A3014" s="116" t="s">
        <v>4594</v>
      </c>
      <c r="B3014" s="117" t="s">
        <v>4595</v>
      </c>
      <c r="C3014" t="s">
        <v>67</v>
      </c>
      <c r="D3014" t="s">
        <v>67</v>
      </c>
      <c r="E3014" t="s">
        <v>67</v>
      </c>
      <c r="F3014" t="s">
        <v>27987</v>
      </c>
      <c r="G3014" s="117">
        <v>18.71</v>
      </c>
    </row>
    <row r="3015" spans="1:7" x14ac:dyDescent="0.25">
      <c r="A3015" s="116" t="s">
        <v>4596</v>
      </c>
      <c r="B3015" s="117" t="s">
        <v>4597</v>
      </c>
      <c r="C3015" t="s">
        <v>67</v>
      </c>
      <c r="D3015" t="s">
        <v>67</v>
      </c>
      <c r="E3015" t="s">
        <v>67</v>
      </c>
      <c r="F3015" t="s">
        <v>27987</v>
      </c>
      <c r="G3015" s="117">
        <v>44.13</v>
      </c>
    </row>
    <row r="3016" spans="1:7" x14ac:dyDescent="0.25">
      <c r="A3016" s="116" t="s">
        <v>4598</v>
      </c>
      <c r="B3016" s="117" t="s">
        <v>4599</v>
      </c>
      <c r="C3016" t="s">
        <v>67</v>
      </c>
      <c r="D3016" t="s">
        <v>67</v>
      </c>
      <c r="E3016" t="s">
        <v>67</v>
      </c>
      <c r="F3016" t="s">
        <v>27987</v>
      </c>
      <c r="G3016" s="117">
        <v>38.630000000000003</v>
      </c>
    </row>
    <row r="3017" spans="1:7" x14ac:dyDescent="0.25">
      <c r="A3017" s="116" t="s">
        <v>4600</v>
      </c>
      <c r="B3017" s="117" t="s">
        <v>4601</v>
      </c>
      <c r="C3017" t="s">
        <v>67</v>
      </c>
      <c r="D3017" t="s">
        <v>67</v>
      </c>
      <c r="E3017" t="s">
        <v>67</v>
      </c>
      <c r="F3017" t="s">
        <v>27987</v>
      </c>
      <c r="G3017" s="117">
        <v>1130.06</v>
      </c>
    </row>
    <row r="3018" spans="1:7" x14ac:dyDescent="0.25">
      <c r="A3018" s="116" t="s">
        <v>4602</v>
      </c>
      <c r="B3018" s="117" t="s">
        <v>4603</v>
      </c>
      <c r="C3018" t="s">
        <v>67</v>
      </c>
      <c r="D3018" t="s">
        <v>67</v>
      </c>
      <c r="E3018" t="s">
        <v>67</v>
      </c>
      <c r="F3018" t="s">
        <v>45</v>
      </c>
      <c r="G3018" s="117">
        <v>80.72</v>
      </c>
    </row>
    <row r="3019" spans="1:7" x14ac:dyDescent="0.25">
      <c r="A3019" s="116" t="s">
        <v>4604</v>
      </c>
      <c r="B3019" s="117" t="s">
        <v>4605</v>
      </c>
      <c r="C3019" t="s">
        <v>67</v>
      </c>
      <c r="D3019" t="s">
        <v>67</v>
      </c>
      <c r="E3019" t="s">
        <v>67</v>
      </c>
      <c r="F3019" t="s">
        <v>27987</v>
      </c>
      <c r="G3019" s="117">
        <v>82.12</v>
      </c>
    </row>
    <row r="3020" spans="1:7" x14ac:dyDescent="0.25">
      <c r="A3020" s="116" t="s">
        <v>4606</v>
      </c>
      <c r="B3020" s="117" t="s">
        <v>4607</v>
      </c>
      <c r="C3020" t="s">
        <v>67</v>
      </c>
      <c r="D3020" t="s">
        <v>67</v>
      </c>
      <c r="E3020" t="s">
        <v>67</v>
      </c>
      <c r="F3020" t="s">
        <v>45</v>
      </c>
      <c r="G3020" s="117">
        <v>53</v>
      </c>
    </row>
    <row r="3021" spans="1:7" x14ac:dyDescent="0.25">
      <c r="A3021" s="116" t="s">
        <v>28585</v>
      </c>
      <c r="B3021" s="117" t="s">
        <v>28586</v>
      </c>
      <c r="C3021" t="s">
        <v>67</v>
      </c>
      <c r="D3021" t="s">
        <v>67</v>
      </c>
      <c r="E3021" t="s">
        <v>67</v>
      </c>
      <c r="F3021" t="s">
        <v>45</v>
      </c>
      <c r="G3021" s="117">
        <v>0</v>
      </c>
    </row>
    <row r="3022" spans="1:7" x14ac:dyDescent="0.25">
      <c r="A3022" s="116" t="s">
        <v>4608</v>
      </c>
      <c r="B3022" s="117" t="s">
        <v>4609</v>
      </c>
      <c r="C3022" t="s">
        <v>67</v>
      </c>
      <c r="D3022" t="s">
        <v>67</v>
      </c>
      <c r="E3022" t="s">
        <v>67</v>
      </c>
      <c r="F3022" t="s">
        <v>27987</v>
      </c>
      <c r="G3022" s="117">
        <v>28.38</v>
      </c>
    </row>
    <row r="3023" spans="1:7" x14ac:dyDescent="0.25">
      <c r="A3023" s="116" t="s">
        <v>4610</v>
      </c>
      <c r="B3023" s="117" t="s">
        <v>4611</v>
      </c>
      <c r="C3023" t="s">
        <v>67</v>
      </c>
      <c r="D3023" t="s">
        <v>67</v>
      </c>
      <c r="E3023" t="s">
        <v>67</v>
      </c>
      <c r="F3023" t="s">
        <v>27987</v>
      </c>
      <c r="G3023" s="117">
        <v>92.1</v>
      </c>
    </row>
    <row r="3024" spans="1:7" x14ac:dyDescent="0.25">
      <c r="A3024" s="116" t="s">
        <v>4612</v>
      </c>
      <c r="B3024" s="117" t="s">
        <v>4613</v>
      </c>
      <c r="C3024" t="s">
        <v>67</v>
      </c>
      <c r="D3024" t="s">
        <v>67</v>
      </c>
      <c r="E3024" t="s">
        <v>67</v>
      </c>
      <c r="F3024" t="s">
        <v>45</v>
      </c>
      <c r="G3024" s="117">
        <v>113.6</v>
      </c>
    </row>
    <row r="3025" spans="1:7" x14ac:dyDescent="0.25">
      <c r="A3025" s="116" t="s">
        <v>4614</v>
      </c>
      <c r="B3025" s="117" t="s">
        <v>4603</v>
      </c>
      <c r="C3025" t="s">
        <v>67</v>
      </c>
      <c r="D3025" t="s">
        <v>67</v>
      </c>
      <c r="E3025" t="s">
        <v>67</v>
      </c>
      <c r="F3025" t="s">
        <v>27987</v>
      </c>
      <c r="G3025" s="117">
        <v>56.56</v>
      </c>
    </row>
    <row r="3026" spans="1:7" x14ac:dyDescent="0.25">
      <c r="A3026" s="116" t="s">
        <v>4615</v>
      </c>
      <c r="B3026" s="117" t="s">
        <v>4616</v>
      </c>
      <c r="C3026" t="s">
        <v>67</v>
      </c>
      <c r="D3026" t="s">
        <v>67</v>
      </c>
      <c r="E3026" t="s">
        <v>67</v>
      </c>
      <c r="F3026" t="s">
        <v>27987</v>
      </c>
      <c r="G3026" s="117">
        <v>304.58</v>
      </c>
    </row>
    <row r="3027" spans="1:7" x14ac:dyDescent="0.25">
      <c r="A3027" s="116" t="s">
        <v>4617</v>
      </c>
      <c r="B3027" s="117" t="s">
        <v>4618</v>
      </c>
      <c r="C3027" t="s">
        <v>67</v>
      </c>
      <c r="D3027" t="s">
        <v>67</v>
      </c>
      <c r="E3027" t="s">
        <v>67</v>
      </c>
      <c r="F3027" t="s">
        <v>49</v>
      </c>
      <c r="G3027" s="117">
        <v>102.77</v>
      </c>
    </row>
    <row r="3028" spans="1:7" x14ac:dyDescent="0.25">
      <c r="A3028" s="116" t="s">
        <v>4619</v>
      </c>
      <c r="B3028" s="117" t="s">
        <v>4620</v>
      </c>
      <c r="C3028" t="s">
        <v>67</v>
      </c>
      <c r="D3028" t="s">
        <v>67</v>
      </c>
      <c r="E3028" t="s">
        <v>67</v>
      </c>
      <c r="F3028" t="s">
        <v>45</v>
      </c>
      <c r="G3028" s="117">
        <v>54.19</v>
      </c>
    </row>
    <row r="3029" spans="1:7" x14ac:dyDescent="0.25">
      <c r="A3029" s="116" t="s">
        <v>4621</v>
      </c>
      <c r="B3029" s="117" t="s">
        <v>4622</v>
      </c>
      <c r="C3029" t="s">
        <v>67</v>
      </c>
      <c r="D3029" t="s">
        <v>67</v>
      </c>
      <c r="E3029" t="s">
        <v>67</v>
      </c>
      <c r="F3029" t="s">
        <v>27987</v>
      </c>
      <c r="G3029" s="117">
        <v>21.17</v>
      </c>
    </row>
    <row r="3030" spans="1:7" x14ac:dyDescent="0.25">
      <c r="A3030" s="116" t="s">
        <v>4623</v>
      </c>
      <c r="B3030" s="117" t="s">
        <v>4624</v>
      </c>
      <c r="C3030" t="s">
        <v>67</v>
      </c>
      <c r="D3030" t="s">
        <v>67</v>
      </c>
      <c r="E3030" t="s">
        <v>67</v>
      </c>
      <c r="F3030" t="s">
        <v>27987</v>
      </c>
      <c r="G3030" s="117">
        <v>117.07</v>
      </c>
    </row>
    <row r="3031" spans="1:7" x14ac:dyDescent="0.25">
      <c r="A3031" s="116" t="s">
        <v>27017</v>
      </c>
      <c r="B3031" s="117" t="s">
        <v>28587</v>
      </c>
      <c r="C3031" t="s">
        <v>67</v>
      </c>
      <c r="D3031" t="s">
        <v>67</v>
      </c>
      <c r="E3031" t="s">
        <v>67</v>
      </c>
      <c r="F3031" t="s">
        <v>45</v>
      </c>
      <c r="G3031" s="117">
        <v>27</v>
      </c>
    </row>
    <row r="3032" spans="1:7" x14ac:dyDescent="0.25">
      <c r="A3032" s="116" t="s">
        <v>4625</v>
      </c>
      <c r="B3032" s="117" t="s">
        <v>4626</v>
      </c>
      <c r="C3032" t="s">
        <v>67</v>
      </c>
      <c r="D3032" t="s">
        <v>67</v>
      </c>
      <c r="E3032" t="s">
        <v>67</v>
      </c>
      <c r="F3032" t="s">
        <v>27987</v>
      </c>
      <c r="G3032" s="117">
        <v>122.57</v>
      </c>
    </row>
    <row r="3033" spans="1:7" x14ac:dyDescent="0.25">
      <c r="A3033" s="116" t="s">
        <v>4627</v>
      </c>
      <c r="B3033" s="117" t="s">
        <v>4628</v>
      </c>
      <c r="C3033" t="s">
        <v>67</v>
      </c>
      <c r="D3033" t="s">
        <v>67</v>
      </c>
      <c r="E3033" t="s">
        <v>67</v>
      </c>
      <c r="F3033" t="s">
        <v>27987</v>
      </c>
      <c r="G3033" s="117">
        <v>161.19999999999999</v>
      </c>
    </row>
    <row r="3034" spans="1:7" x14ac:dyDescent="0.25">
      <c r="A3034" s="116" t="s">
        <v>4629</v>
      </c>
      <c r="B3034" s="117" t="s">
        <v>4630</v>
      </c>
      <c r="C3034" t="s">
        <v>67</v>
      </c>
      <c r="D3034" t="s">
        <v>67</v>
      </c>
      <c r="E3034" t="s">
        <v>67</v>
      </c>
      <c r="F3034" t="s">
        <v>27987</v>
      </c>
      <c r="G3034" s="117">
        <v>174.71</v>
      </c>
    </row>
    <row r="3035" spans="1:7" x14ac:dyDescent="0.25">
      <c r="A3035" s="116" t="s">
        <v>4631</v>
      </c>
      <c r="B3035" s="117" t="s">
        <v>4632</v>
      </c>
      <c r="C3035" t="s">
        <v>67</v>
      </c>
      <c r="D3035" t="s">
        <v>67</v>
      </c>
      <c r="E3035" t="s">
        <v>67</v>
      </c>
      <c r="F3035" t="s">
        <v>27987</v>
      </c>
      <c r="G3035" s="117">
        <v>10.58</v>
      </c>
    </row>
    <row r="3036" spans="1:7" x14ac:dyDescent="0.25">
      <c r="A3036" s="116" t="s">
        <v>4633</v>
      </c>
      <c r="B3036" s="117" t="s">
        <v>4634</v>
      </c>
      <c r="C3036" t="s">
        <v>67</v>
      </c>
      <c r="D3036" t="s">
        <v>67</v>
      </c>
      <c r="E3036" t="s">
        <v>67</v>
      </c>
      <c r="F3036" t="s">
        <v>27987</v>
      </c>
      <c r="G3036" s="117">
        <v>135.16999999999999</v>
      </c>
    </row>
    <row r="3037" spans="1:7" x14ac:dyDescent="0.25">
      <c r="A3037" s="116" t="s">
        <v>4635</v>
      </c>
      <c r="B3037" s="117" t="s">
        <v>4636</v>
      </c>
      <c r="C3037" t="s">
        <v>67</v>
      </c>
      <c r="D3037" t="s">
        <v>67</v>
      </c>
      <c r="E3037" t="s">
        <v>67</v>
      </c>
      <c r="F3037" t="s">
        <v>27987</v>
      </c>
      <c r="G3037" s="117">
        <v>29.66</v>
      </c>
    </row>
    <row r="3038" spans="1:7" x14ac:dyDescent="0.25">
      <c r="A3038" s="116" t="s">
        <v>4637</v>
      </c>
      <c r="B3038" s="117" t="s">
        <v>4638</v>
      </c>
      <c r="C3038" t="s">
        <v>67</v>
      </c>
      <c r="D3038" t="s">
        <v>67</v>
      </c>
      <c r="E3038" t="s">
        <v>67</v>
      </c>
      <c r="F3038" t="s">
        <v>49</v>
      </c>
      <c r="G3038" s="117">
        <v>17.22</v>
      </c>
    </row>
    <row r="3039" spans="1:7" x14ac:dyDescent="0.25">
      <c r="A3039" s="116" t="s">
        <v>4639</v>
      </c>
      <c r="B3039" s="117" t="s">
        <v>4640</v>
      </c>
      <c r="C3039" t="s">
        <v>67</v>
      </c>
      <c r="D3039" t="s">
        <v>67</v>
      </c>
      <c r="E3039" t="s">
        <v>67</v>
      </c>
      <c r="F3039" t="s">
        <v>45</v>
      </c>
      <c r="G3039" s="117">
        <v>117.43</v>
      </c>
    </row>
    <row r="3040" spans="1:7" x14ac:dyDescent="0.25">
      <c r="A3040" s="116" t="s">
        <v>28138</v>
      </c>
      <c r="B3040" s="117" t="s">
        <v>4702</v>
      </c>
      <c r="C3040" t="s">
        <v>67</v>
      </c>
      <c r="D3040" t="s">
        <v>67</v>
      </c>
      <c r="E3040" t="s">
        <v>67</v>
      </c>
      <c r="F3040" t="s">
        <v>51</v>
      </c>
      <c r="G3040" s="117">
        <v>12.01</v>
      </c>
    </row>
    <row r="3041" spans="1:7" x14ac:dyDescent="0.25">
      <c r="A3041" s="116" t="s">
        <v>4641</v>
      </c>
      <c r="B3041" s="117" t="s">
        <v>4705</v>
      </c>
      <c r="C3041" t="s">
        <v>67</v>
      </c>
      <c r="D3041" t="s">
        <v>67</v>
      </c>
      <c r="E3041" t="s">
        <v>67</v>
      </c>
      <c r="F3041" t="s">
        <v>45</v>
      </c>
      <c r="G3041" s="117">
        <v>20.92</v>
      </c>
    </row>
    <row r="3042" spans="1:7" x14ac:dyDescent="0.25">
      <c r="A3042" s="116" t="s">
        <v>4642</v>
      </c>
      <c r="B3042" s="117" t="s">
        <v>4643</v>
      </c>
      <c r="C3042" t="s">
        <v>67</v>
      </c>
      <c r="D3042" t="s">
        <v>67</v>
      </c>
      <c r="E3042" t="s">
        <v>67</v>
      </c>
      <c r="F3042" t="s">
        <v>45</v>
      </c>
      <c r="G3042" s="117">
        <v>150.9</v>
      </c>
    </row>
    <row r="3043" spans="1:7" x14ac:dyDescent="0.25">
      <c r="A3043" s="116" t="s">
        <v>4644</v>
      </c>
      <c r="B3043" s="117" t="s">
        <v>4645</v>
      </c>
      <c r="C3043" t="s">
        <v>67</v>
      </c>
      <c r="D3043" t="s">
        <v>67</v>
      </c>
      <c r="E3043" t="s">
        <v>67</v>
      </c>
      <c r="F3043" t="s">
        <v>49</v>
      </c>
      <c r="G3043" s="117">
        <v>24.48</v>
      </c>
    </row>
    <row r="3044" spans="1:7" x14ac:dyDescent="0.25">
      <c r="A3044" s="116" t="s">
        <v>4646</v>
      </c>
      <c r="B3044" s="117" t="s">
        <v>4647</v>
      </c>
      <c r="C3044" t="s">
        <v>67</v>
      </c>
      <c r="D3044" t="s">
        <v>67</v>
      </c>
      <c r="E3044" t="s">
        <v>67</v>
      </c>
      <c r="F3044" t="s">
        <v>45</v>
      </c>
      <c r="G3044" s="117">
        <v>231</v>
      </c>
    </row>
    <row r="3045" spans="1:7" x14ac:dyDescent="0.25">
      <c r="A3045" s="116" t="s">
        <v>4648</v>
      </c>
      <c r="B3045" s="117" t="s">
        <v>4649</v>
      </c>
      <c r="C3045" t="s">
        <v>67</v>
      </c>
      <c r="D3045" t="s">
        <v>67</v>
      </c>
      <c r="E3045" t="s">
        <v>67</v>
      </c>
      <c r="F3045" t="s">
        <v>45</v>
      </c>
      <c r="G3045" s="117">
        <v>14.14</v>
      </c>
    </row>
    <row r="3046" spans="1:7" x14ac:dyDescent="0.25">
      <c r="A3046" s="116" t="s">
        <v>4650</v>
      </c>
      <c r="B3046" s="117" t="s">
        <v>4651</v>
      </c>
      <c r="C3046" t="s">
        <v>67</v>
      </c>
      <c r="D3046" t="s">
        <v>67</v>
      </c>
      <c r="E3046" t="s">
        <v>67</v>
      </c>
      <c r="F3046" t="s">
        <v>49</v>
      </c>
      <c r="G3046" s="117">
        <v>21.26</v>
      </c>
    </row>
    <row r="3047" spans="1:7" x14ac:dyDescent="0.25">
      <c r="A3047" s="116" t="s">
        <v>4652</v>
      </c>
      <c r="B3047" s="117" t="s">
        <v>4653</v>
      </c>
      <c r="C3047" t="s">
        <v>67</v>
      </c>
      <c r="D3047" t="s">
        <v>67</v>
      </c>
      <c r="E3047" t="s">
        <v>67</v>
      </c>
      <c r="F3047" t="s">
        <v>49</v>
      </c>
      <c r="G3047" s="117">
        <v>15.57</v>
      </c>
    </row>
    <row r="3048" spans="1:7" x14ac:dyDescent="0.25">
      <c r="A3048" s="116" t="s">
        <v>4654</v>
      </c>
      <c r="B3048" s="117" t="s">
        <v>4655</v>
      </c>
      <c r="C3048" t="s">
        <v>67</v>
      </c>
      <c r="D3048" t="s">
        <v>67</v>
      </c>
      <c r="E3048" t="s">
        <v>67</v>
      </c>
      <c r="F3048" t="s">
        <v>27987</v>
      </c>
      <c r="G3048" s="117">
        <v>31.94</v>
      </c>
    </row>
    <row r="3049" spans="1:7" x14ac:dyDescent="0.25">
      <c r="A3049" s="116" t="s">
        <v>4656</v>
      </c>
      <c r="B3049" s="117" t="s">
        <v>4657</v>
      </c>
      <c r="C3049" t="s">
        <v>67</v>
      </c>
      <c r="D3049" t="s">
        <v>67</v>
      </c>
      <c r="E3049" t="s">
        <v>67</v>
      </c>
      <c r="F3049" t="s">
        <v>27987</v>
      </c>
      <c r="G3049" s="117">
        <v>24.82</v>
      </c>
    </row>
    <row r="3050" spans="1:7" x14ac:dyDescent="0.25">
      <c r="A3050" s="116" t="s">
        <v>4658</v>
      </c>
      <c r="B3050" s="117" t="s">
        <v>4659</v>
      </c>
      <c r="C3050" t="s">
        <v>67</v>
      </c>
      <c r="D3050" t="s">
        <v>67</v>
      </c>
      <c r="E3050" t="s">
        <v>67</v>
      </c>
      <c r="F3050" t="s">
        <v>45</v>
      </c>
      <c r="G3050" s="117">
        <v>278.51</v>
      </c>
    </row>
    <row r="3051" spans="1:7" x14ac:dyDescent="0.25">
      <c r="A3051" s="116" t="s">
        <v>4660</v>
      </c>
      <c r="B3051" s="117" t="s">
        <v>4661</v>
      </c>
      <c r="C3051" t="s">
        <v>67</v>
      </c>
      <c r="D3051" t="s">
        <v>67</v>
      </c>
      <c r="E3051" t="s">
        <v>67</v>
      </c>
      <c r="F3051" t="s">
        <v>27987</v>
      </c>
      <c r="G3051" s="117">
        <v>19.13</v>
      </c>
    </row>
    <row r="3052" spans="1:7" x14ac:dyDescent="0.25">
      <c r="A3052" s="116" t="s">
        <v>4662</v>
      </c>
      <c r="B3052" s="117" t="s">
        <v>4663</v>
      </c>
      <c r="C3052" t="s">
        <v>67</v>
      </c>
      <c r="D3052" t="s">
        <v>67</v>
      </c>
      <c r="E3052" t="s">
        <v>67</v>
      </c>
      <c r="F3052" t="s">
        <v>45</v>
      </c>
      <c r="G3052" s="117">
        <v>25.99</v>
      </c>
    </row>
    <row r="3053" spans="1:7" x14ac:dyDescent="0.25">
      <c r="A3053" s="116" t="s">
        <v>4664</v>
      </c>
      <c r="B3053" s="117" t="s">
        <v>4665</v>
      </c>
      <c r="C3053" t="s">
        <v>67</v>
      </c>
      <c r="D3053" t="s">
        <v>67</v>
      </c>
      <c r="E3053" t="s">
        <v>67</v>
      </c>
      <c r="F3053" t="s">
        <v>45</v>
      </c>
      <c r="G3053" s="117">
        <v>14.14</v>
      </c>
    </row>
    <row r="3054" spans="1:7" x14ac:dyDescent="0.25">
      <c r="A3054" s="116" t="s">
        <v>4666</v>
      </c>
      <c r="B3054" s="117" t="s">
        <v>4667</v>
      </c>
      <c r="C3054" t="s">
        <v>67</v>
      </c>
      <c r="D3054" t="s">
        <v>67</v>
      </c>
      <c r="E3054" t="s">
        <v>67</v>
      </c>
      <c r="F3054" t="s">
        <v>45</v>
      </c>
      <c r="G3054" s="117">
        <v>10.58</v>
      </c>
    </row>
    <row r="3055" spans="1:7" x14ac:dyDescent="0.25">
      <c r="A3055" s="116" t="s">
        <v>4668</v>
      </c>
      <c r="B3055" s="117" t="s">
        <v>3758</v>
      </c>
      <c r="C3055" t="s">
        <v>67</v>
      </c>
      <c r="D3055" t="s">
        <v>67</v>
      </c>
      <c r="E3055" t="s">
        <v>67</v>
      </c>
      <c r="F3055" t="s">
        <v>49</v>
      </c>
      <c r="G3055" s="117">
        <v>15.93</v>
      </c>
    </row>
    <row r="3056" spans="1:7" x14ac:dyDescent="0.25">
      <c r="A3056" s="116" t="s">
        <v>4669</v>
      </c>
      <c r="B3056" s="117" t="s">
        <v>4670</v>
      </c>
      <c r="C3056" t="s">
        <v>67</v>
      </c>
      <c r="D3056" t="s">
        <v>67</v>
      </c>
      <c r="E3056" t="s">
        <v>67</v>
      </c>
      <c r="F3056" t="s">
        <v>45</v>
      </c>
      <c r="G3056" s="117">
        <v>9.6999999999999993</v>
      </c>
    </row>
    <row r="3057" spans="1:7" x14ac:dyDescent="0.25">
      <c r="A3057" s="116" t="s">
        <v>4671</v>
      </c>
      <c r="B3057" s="117" t="s">
        <v>4536</v>
      </c>
      <c r="C3057" t="s">
        <v>67</v>
      </c>
      <c r="D3057" t="s">
        <v>67</v>
      </c>
      <c r="E3057" t="s">
        <v>67</v>
      </c>
      <c r="F3057" t="s">
        <v>49</v>
      </c>
      <c r="G3057" s="117">
        <v>12.9</v>
      </c>
    </row>
    <row r="3058" spans="1:7" x14ac:dyDescent="0.25">
      <c r="A3058" s="116" t="s">
        <v>4672</v>
      </c>
      <c r="B3058" s="117" t="s">
        <v>4673</v>
      </c>
      <c r="C3058" t="s">
        <v>67</v>
      </c>
      <c r="D3058" t="s">
        <v>67</v>
      </c>
      <c r="E3058" t="s">
        <v>67</v>
      </c>
      <c r="F3058" t="s">
        <v>45</v>
      </c>
      <c r="G3058" s="117">
        <v>12.01</v>
      </c>
    </row>
    <row r="3059" spans="1:7" x14ac:dyDescent="0.25">
      <c r="A3059" s="116" t="s">
        <v>4674</v>
      </c>
      <c r="B3059" s="117" t="s">
        <v>4541</v>
      </c>
      <c r="C3059" t="s">
        <v>67</v>
      </c>
      <c r="D3059" t="s">
        <v>67</v>
      </c>
      <c r="E3059" t="s">
        <v>67</v>
      </c>
      <c r="F3059" t="s">
        <v>49</v>
      </c>
      <c r="G3059" s="117">
        <v>10.58</v>
      </c>
    </row>
    <row r="3060" spans="1:7" x14ac:dyDescent="0.25">
      <c r="A3060" s="116" t="s">
        <v>4675</v>
      </c>
      <c r="B3060" s="117" t="s">
        <v>4676</v>
      </c>
      <c r="C3060" t="s">
        <v>67</v>
      </c>
      <c r="D3060" t="s">
        <v>67</v>
      </c>
      <c r="E3060" t="s">
        <v>67</v>
      </c>
      <c r="F3060" t="s">
        <v>27987</v>
      </c>
      <c r="G3060" s="117">
        <v>14.68</v>
      </c>
    </row>
    <row r="3061" spans="1:7" x14ac:dyDescent="0.25">
      <c r="A3061" s="116" t="s">
        <v>4677</v>
      </c>
      <c r="B3061" s="117" t="s">
        <v>4550</v>
      </c>
      <c r="C3061" t="s">
        <v>67</v>
      </c>
      <c r="D3061" t="s">
        <v>67</v>
      </c>
      <c r="E3061" t="s">
        <v>67</v>
      </c>
      <c r="F3061" t="s">
        <v>51</v>
      </c>
      <c r="G3061" s="117">
        <v>8.89</v>
      </c>
    </row>
    <row r="3062" spans="1:7" x14ac:dyDescent="0.25">
      <c r="A3062" s="116" t="s">
        <v>4678</v>
      </c>
      <c r="B3062" s="117" t="s">
        <v>4679</v>
      </c>
      <c r="C3062" t="s">
        <v>67</v>
      </c>
      <c r="D3062" t="s">
        <v>67</v>
      </c>
      <c r="E3062" t="s">
        <v>67</v>
      </c>
      <c r="F3062" t="s">
        <v>45</v>
      </c>
      <c r="G3062" s="117">
        <v>10.58</v>
      </c>
    </row>
    <row r="3063" spans="1:7" x14ac:dyDescent="0.25">
      <c r="A3063" s="116" t="s">
        <v>4680</v>
      </c>
      <c r="B3063" s="117" t="s">
        <v>4681</v>
      </c>
      <c r="C3063" t="s">
        <v>67</v>
      </c>
      <c r="D3063" t="s">
        <v>67</v>
      </c>
      <c r="E3063" t="s">
        <v>67</v>
      </c>
      <c r="F3063" t="s">
        <v>51</v>
      </c>
      <c r="G3063" s="117">
        <v>27.14</v>
      </c>
    </row>
    <row r="3064" spans="1:7" x14ac:dyDescent="0.25">
      <c r="A3064" s="116" t="s">
        <v>4682</v>
      </c>
      <c r="B3064" s="117" t="s">
        <v>4683</v>
      </c>
      <c r="C3064" t="s">
        <v>67</v>
      </c>
      <c r="D3064" t="s">
        <v>67</v>
      </c>
      <c r="E3064" t="s">
        <v>67</v>
      </c>
      <c r="F3064" t="s">
        <v>49</v>
      </c>
      <c r="G3064" s="117">
        <v>20.38</v>
      </c>
    </row>
    <row r="3065" spans="1:7" x14ac:dyDescent="0.25">
      <c r="A3065" s="116" t="s">
        <v>4684</v>
      </c>
      <c r="B3065" s="117" t="s">
        <v>4685</v>
      </c>
      <c r="C3065" t="s">
        <v>67</v>
      </c>
      <c r="D3065" t="s">
        <v>67</v>
      </c>
      <c r="E3065" t="s">
        <v>67</v>
      </c>
      <c r="F3065" t="s">
        <v>51</v>
      </c>
      <c r="G3065" s="117">
        <v>24.82</v>
      </c>
    </row>
    <row r="3066" spans="1:7" x14ac:dyDescent="0.25">
      <c r="A3066" s="116" t="s">
        <v>4686</v>
      </c>
      <c r="B3066" s="117" t="s">
        <v>4687</v>
      </c>
      <c r="C3066" t="s">
        <v>67</v>
      </c>
      <c r="D3066" t="s">
        <v>67</v>
      </c>
      <c r="E3066" t="s">
        <v>67</v>
      </c>
      <c r="F3066" t="s">
        <v>45</v>
      </c>
      <c r="G3066" s="117">
        <v>14.14</v>
      </c>
    </row>
    <row r="3067" spans="1:7" x14ac:dyDescent="0.25">
      <c r="A3067" s="116" t="s">
        <v>4688</v>
      </c>
      <c r="B3067" s="117" t="s">
        <v>4689</v>
      </c>
      <c r="C3067" t="s">
        <v>67</v>
      </c>
      <c r="D3067" t="s">
        <v>67</v>
      </c>
      <c r="E3067" t="s">
        <v>67</v>
      </c>
      <c r="F3067" t="s">
        <v>45</v>
      </c>
      <c r="G3067" s="117">
        <v>19.13</v>
      </c>
    </row>
    <row r="3068" spans="1:7" x14ac:dyDescent="0.25">
      <c r="A3068" s="116" t="s">
        <v>4690</v>
      </c>
      <c r="B3068" s="117" t="s">
        <v>4691</v>
      </c>
      <c r="C3068" t="s">
        <v>67</v>
      </c>
      <c r="D3068" t="s">
        <v>67</v>
      </c>
      <c r="E3068" t="s">
        <v>67</v>
      </c>
      <c r="F3068" t="s">
        <v>27990</v>
      </c>
      <c r="G3068" s="117">
        <v>26.25</v>
      </c>
    </row>
    <row r="3069" spans="1:7" x14ac:dyDescent="0.25">
      <c r="A3069" s="116" t="s">
        <v>28020</v>
      </c>
      <c r="B3069" s="117" t="s">
        <v>4795</v>
      </c>
      <c r="C3069" t="s">
        <v>67</v>
      </c>
      <c r="D3069" t="s">
        <v>67</v>
      </c>
      <c r="E3069" t="s">
        <v>67</v>
      </c>
      <c r="F3069" t="s">
        <v>45</v>
      </c>
      <c r="G3069" s="117">
        <v>9999</v>
      </c>
    </row>
    <row r="3070" spans="1:7" x14ac:dyDescent="0.25">
      <c r="A3070" s="116" t="s">
        <v>4692</v>
      </c>
      <c r="B3070" s="117" t="s">
        <v>28588</v>
      </c>
      <c r="C3070" t="s">
        <v>67</v>
      </c>
      <c r="D3070" t="s">
        <v>67</v>
      </c>
      <c r="E3070" t="s">
        <v>67</v>
      </c>
      <c r="F3070" t="s">
        <v>51</v>
      </c>
      <c r="G3070" s="117">
        <v>12.01</v>
      </c>
    </row>
    <row r="3071" spans="1:7" x14ac:dyDescent="0.25">
      <c r="A3071" s="116" t="s">
        <v>4694</v>
      </c>
      <c r="B3071" s="117" t="s">
        <v>4695</v>
      </c>
      <c r="C3071" t="s">
        <v>67</v>
      </c>
      <c r="D3071" t="s">
        <v>67</v>
      </c>
      <c r="E3071" t="s">
        <v>67</v>
      </c>
      <c r="F3071" t="s">
        <v>51</v>
      </c>
      <c r="G3071" s="117">
        <v>17.7</v>
      </c>
    </row>
    <row r="3072" spans="1:7" x14ac:dyDescent="0.25">
      <c r="A3072" s="116" t="s">
        <v>4696</v>
      </c>
      <c r="B3072" s="117" t="s">
        <v>4697</v>
      </c>
      <c r="C3072" t="s">
        <v>67</v>
      </c>
      <c r="D3072" t="s">
        <v>67</v>
      </c>
      <c r="E3072" t="s">
        <v>67</v>
      </c>
      <c r="F3072" t="s">
        <v>45</v>
      </c>
      <c r="G3072" s="117">
        <v>14.68</v>
      </c>
    </row>
    <row r="3073" spans="1:7" x14ac:dyDescent="0.25">
      <c r="A3073" s="116" t="s">
        <v>4698</v>
      </c>
      <c r="B3073" s="117" t="s">
        <v>4545</v>
      </c>
      <c r="C3073" t="s">
        <v>67</v>
      </c>
      <c r="D3073" t="s">
        <v>67</v>
      </c>
      <c r="E3073" t="s">
        <v>67</v>
      </c>
      <c r="F3073" t="s">
        <v>51</v>
      </c>
      <c r="G3073" s="117">
        <v>12.01</v>
      </c>
    </row>
    <row r="3074" spans="1:7" x14ac:dyDescent="0.25">
      <c r="A3074" s="116" t="s">
        <v>4699</v>
      </c>
      <c r="B3074" s="117" t="s">
        <v>26460</v>
      </c>
      <c r="C3074" t="s">
        <v>67</v>
      </c>
      <c r="D3074" t="s">
        <v>67</v>
      </c>
      <c r="E3074" t="s">
        <v>67</v>
      </c>
      <c r="F3074" t="s">
        <v>51</v>
      </c>
      <c r="G3074" s="117">
        <v>30.17</v>
      </c>
    </row>
    <row r="3075" spans="1:7" x14ac:dyDescent="0.25">
      <c r="A3075" s="116" t="s">
        <v>4701</v>
      </c>
      <c r="B3075" s="117" t="s">
        <v>4702</v>
      </c>
      <c r="C3075" t="s">
        <v>67</v>
      </c>
      <c r="D3075" t="s">
        <v>67</v>
      </c>
      <c r="E3075" t="s">
        <v>67</v>
      </c>
      <c r="F3075" t="s">
        <v>45</v>
      </c>
      <c r="G3075" s="117">
        <v>12.01</v>
      </c>
    </row>
    <row r="3076" spans="1:7" x14ac:dyDescent="0.25">
      <c r="A3076" s="116" t="s">
        <v>4703</v>
      </c>
      <c r="B3076" s="117" t="s">
        <v>4645</v>
      </c>
      <c r="C3076" t="s">
        <v>67</v>
      </c>
      <c r="D3076" t="s">
        <v>67</v>
      </c>
      <c r="E3076" t="s">
        <v>67</v>
      </c>
      <c r="F3076" t="s">
        <v>49</v>
      </c>
      <c r="G3076" s="117">
        <v>20.38</v>
      </c>
    </row>
    <row r="3077" spans="1:7" x14ac:dyDescent="0.25">
      <c r="A3077" s="116" t="s">
        <v>4704</v>
      </c>
      <c r="B3077" s="117" t="s">
        <v>4705</v>
      </c>
      <c r="C3077" t="s">
        <v>67</v>
      </c>
      <c r="D3077" t="s">
        <v>67</v>
      </c>
      <c r="E3077" t="s">
        <v>67</v>
      </c>
      <c r="F3077" t="s">
        <v>45</v>
      </c>
      <c r="G3077" s="117">
        <v>18.239999999999998</v>
      </c>
    </row>
    <row r="3078" spans="1:7" x14ac:dyDescent="0.25">
      <c r="A3078" s="116" t="s">
        <v>4706</v>
      </c>
      <c r="B3078" s="117" t="s">
        <v>4707</v>
      </c>
      <c r="C3078" t="s">
        <v>67</v>
      </c>
      <c r="D3078" t="s">
        <v>67</v>
      </c>
      <c r="E3078" t="s">
        <v>67</v>
      </c>
      <c r="F3078" t="s">
        <v>51</v>
      </c>
      <c r="G3078" s="117">
        <v>8.4499999999999993</v>
      </c>
    </row>
    <row r="3079" spans="1:7" x14ac:dyDescent="0.25">
      <c r="A3079" s="116" t="s">
        <v>4708</v>
      </c>
      <c r="B3079" s="117" t="s">
        <v>4709</v>
      </c>
      <c r="C3079" t="s">
        <v>67</v>
      </c>
      <c r="D3079" t="s">
        <v>67</v>
      </c>
      <c r="E3079" t="s">
        <v>67</v>
      </c>
      <c r="F3079" t="s">
        <v>27990</v>
      </c>
      <c r="G3079" s="117">
        <v>17.36</v>
      </c>
    </row>
    <row r="3080" spans="1:7" x14ac:dyDescent="0.25">
      <c r="A3080" s="116" t="s">
        <v>4710</v>
      </c>
      <c r="B3080" s="117" t="s">
        <v>4711</v>
      </c>
      <c r="C3080" t="s">
        <v>67</v>
      </c>
      <c r="D3080" t="s">
        <v>67</v>
      </c>
      <c r="E3080" t="s">
        <v>67</v>
      </c>
      <c r="F3080" t="s">
        <v>49</v>
      </c>
      <c r="G3080" s="117">
        <v>12.37</v>
      </c>
    </row>
    <row r="3081" spans="1:7" x14ac:dyDescent="0.25">
      <c r="A3081" s="116" t="s">
        <v>4712</v>
      </c>
      <c r="B3081" s="117" t="s">
        <v>4547</v>
      </c>
      <c r="C3081" t="s">
        <v>67</v>
      </c>
      <c r="D3081" t="s">
        <v>67</v>
      </c>
      <c r="E3081" t="s">
        <v>67</v>
      </c>
      <c r="F3081" t="s">
        <v>45</v>
      </c>
      <c r="G3081" s="117">
        <v>13.26</v>
      </c>
    </row>
    <row r="3082" spans="1:7" x14ac:dyDescent="0.25">
      <c r="A3082" s="116" t="s">
        <v>4713</v>
      </c>
      <c r="B3082" s="117" t="s">
        <v>4632</v>
      </c>
      <c r="C3082" t="s">
        <v>67</v>
      </c>
      <c r="D3082" t="s">
        <v>67</v>
      </c>
      <c r="E3082" t="s">
        <v>67</v>
      </c>
      <c r="F3082" t="s">
        <v>45</v>
      </c>
      <c r="G3082" s="117">
        <v>10.24</v>
      </c>
    </row>
    <row r="3083" spans="1:7" x14ac:dyDescent="0.25">
      <c r="A3083" s="116" t="s">
        <v>4714</v>
      </c>
      <c r="B3083" s="117" t="s">
        <v>4649</v>
      </c>
      <c r="C3083" t="s">
        <v>67</v>
      </c>
      <c r="D3083" t="s">
        <v>67</v>
      </c>
      <c r="E3083" t="s">
        <v>67</v>
      </c>
      <c r="F3083" t="s">
        <v>51</v>
      </c>
      <c r="G3083" s="117">
        <v>12.01</v>
      </c>
    </row>
    <row r="3084" spans="1:7" x14ac:dyDescent="0.25">
      <c r="A3084" s="116" t="s">
        <v>4715</v>
      </c>
      <c r="B3084" s="117" t="s">
        <v>4716</v>
      </c>
      <c r="C3084" t="s">
        <v>67</v>
      </c>
      <c r="D3084" t="s">
        <v>67</v>
      </c>
      <c r="E3084" t="s">
        <v>67</v>
      </c>
      <c r="F3084" t="s">
        <v>51</v>
      </c>
      <c r="G3084" s="117">
        <v>13.26</v>
      </c>
    </row>
    <row r="3085" spans="1:7" x14ac:dyDescent="0.25">
      <c r="A3085" s="116" t="s">
        <v>4717</v>
      </c>
      <c r="B3085" s="117" t="s">
        <v>4718</v>
      </c>
      <c r="C3085" t="s">
        <v>67</v>
      </c>
      <c r="D3085" t="s">
        <v>67</v>
      </c>
      <c r="E3085" t="s">
        <v>67</v>
      </c>
      <c r="F3085" t="s">
        <v>51</v>
      </c>
      <c r="G3085" s="117">
        <v>34.26</v>
      </c>
    </row>
    <row r="3086" spans="1:7" x14ac:dyDescent="0.25">
      <c r="A3086" s="116" t="s">
        <v>4719</v>
      </c>
      <c r="B3086" s="117" t="s">
        <v>4720</v>
      </c>
      <c r="C3086" t="s">
        <v>67</v>
      </c>
      <c r="D3086" t="s">
        <v>67</v>
      </c>
      <c r="E3086" t="s">
        <v>67</v>
      </c>
      <c r="F3086" t="s">
        <v>27990</v>
      </c>
      <c r="G3086" s="117">
        <v>10.58</v>
      </c>
    </row>
    <row r="3087" spans="1:7" x14ac:dyDescent="0.25">
      <c r="A3087" s="116" t="s">
        <v>4721</v>
      </c>
      <c r="B3087" s="117" t="s">
        <v>4722</v>
      </c>
      <c r="C3087" t="s">
        <v>67</v>
      </c>
      <c r="D3087" t="s">
        <v>67</v>
      </c>
      <c r="E3087" t="s">
        <v>67</v>
      </c>
      <c r="F3087" t="s">
        <v>27987</v>
      </c>
      <c r="G3087" s="117">
        <v>121.42</v>
      </c>
    </row>
    <row r="3088" spans="1:7" x14ac:dyDescent="0.25">
      <c r="A3088" s="116" t="s">
        <v>4723</v>
      </c>
      <c r="B3088" s="117" t="s">
        <v>4724</v>
      </c>
      <c r="C3088" t="s">
        <v>67</v>
      </c>
      <c r="D3088" t="s">
        <v>67</v>
      </c>
      <c r="E3088" t="s">
        <v>67</v>
      </c>
      <c r="F3088" t="s">
        <v>45</v>
      </c>
      <c r="G3088" s="117">
        <v>34.26</v>
      </c>
    </row>
    <row r="3089" spans="1:7" x14ac:dyDescent="0.25">
      <c r="A3089" s="116" t="s">
        <v>4725</v>
      </c>
      <c r="B3089" s="117" t="s">
        <v>4726</v>
      </c>
      <c r="C3089" t="s">
        <v>67</v>
      </c>
      <c r="D3089" t="s">
        <v>67</v>
      </c>
      <c r="E3089" t="s">
        <v>67</v>
      </c>
      <c r="F3089" t="s">
        <v>45</v>
      </c>
      <c r="G3089" s="117">
        <v>33.71</v>
      </c>
    </row>
    <row r="3090" spans="1:7" x14ac:dyDescent="0.25">
      <c r="A3090" s="116" t="s">
        <v>27361</v>
      </c>
      <c r="B3090" s="117" t="s">
        <v>4727</v>
      </c>
      <c r="C3090" t="s">
        <v>67</v>
      </c>
      <c r="D3090" t="s">
        <v>67</v>
      </c>
      <c r="E3090" t="s">
        <v>67</v>
      </c>
      <c r="F3090" t="s">
        <v>45</v>
      </c>
      <c r="G3090" s="117">
        <v>47.14</v>
      </c>
    </row>
    <row r="3091" spans="1:7" x14ac:dyDescent="0.25">
      <c r="A3091" s="116" t="s">
        <v>27362</v>
      </c>
      <c r="B3091" s="117" t="s">
        <v>4728</v>
      </c>
      <c r="C3091" t="s">
        <v>67</v>
      </c>
      <c r="D3091" t="s">
        <v>67</v>
      </c>
      <c r="E3091" t="s">
        <v>67</v>
      </c>
      <c r="F3091" t="s">
        <v>45</v>
      </c>
      <c r="G3091" s="117">
        <v>493.76</v>
      </c>
    </row>
    <row r="3092" spans="1:7" x14ac:dyDescent="0.25">
      <c r="A3092" s="116" t="s">
        <v>27363</v>
      </c>
      <c r="B3092" s="117" t="s">
        <v>179</v>
      </c>
      <c r="C3092" t="s">
        <v>67</v>
      </c>
      <c r="D3092" t="s">
        <v>67</v>
      </c>
      <c r="E3092" t="s">
        <v>67</v>
      </c>
      <c r="F3092" t="s">
        <v>45</v>
      </c>
      <c r="G3092" s="117">
        <v>305.12</v>
      </c>
    </row>
    <row r="3093" spans="1:7" x14ac:dyDescent="0.25">
      <c r="A3093" s="116" t="s">
        <v>4729</v>
      </c>
      <c r="B3093" s="117" t="s">
        <v>4730</v>
      </c>
      <c r="C3093" t="s">
        <v>67</v>
      </c>
      <c r="D3093" t="s">
        <v>67</v>
      </c>
      <c r="E3093" t="s">
        <v>67</v>
      </c>
      <c r="F3093" t="s">
        <v>49</v>
      </c>
      <c r="G3093" s="117">
        <v>153.5</v>
      </c>
    </row>
    <row r="3094" spans="1:7" x14ac:dyDescent="0.25">
      <c r="A3094" s="116" t="s">
        <v>27364</v>
      </c>
      <c r="B3094" s="117" t="s">
        <v>4731</v>
      </c>
      <c r="C3094" t="s">
        <v>67</v>
      </c>
      <c r="D3094" t="s">
        <v>67</v>
      </c>
      <c r="E3094" t="s">
        <v>67</v>
      </c>
      <c r="F3094" t="s">
        <v>45</v>
      </c>
      <c r="G3094" s="117">
        <v>49.63</v>
      </c>
    </row>
    <row r="3095" spans="1:7" x14ac:dyDescent="0.25">
      <c r="A3095" s="116" t="s">
        <v>27365</v>
      </c>
      <c r="B3095" s="117" t="s">
        <v>4732</v>
      </c>
      <c r="C3095" t="s">
        <v>67</v>
      </c>
      <c r="D3095" t="s">
        <v>67</v>
      </c>
      <c r="E3095" t="s">
        <v>67</v>
      </c>
      <c r="F3095" t="s">
        <v>49</v>
      </c>
      <c r="G3095" s="117">
        <v>35.14</v>
      </c>
    </row>
    <row r="3096" spans="1:7" x14ac:dyDescent="0.25">
      <c r="A3096" s="116" t="s">
        <v>27366</v>
      </c>
      <c r="B3096" s="117" t="s">
        <v>4733</v>
      </c>
      <c r="C3096" t="s">
        <v>67</v>
      </c>
      <c r="D3096" t="s">
        <v>67</v>
      </c>
      <c r="E3096" t="s">
        <v>67</v>
      </c>
      <c r="F3096" t="s">
        <v>45</v>
      </c>
      <c r="G3096" s="117">
        <v>23.58</v>
      </c>
    </row>
    <row r="3097" spans="1:7" x14ac:dyDescent="0.25">
      <c r="A3097" s="116" t="s">
        <v>27367</v>
      </c>
      <c r="B3097" s="117" t="s">
        <v>4734</v>
      </c>
      <c r="C3097" t="s">
        <v>67</v>
      </c>
      <c r="D3097" t="s">
        <v>67</v>
      </c>
      <c r="E3097" t="s">
        <v>67</v>
      </c>
      <c r="F3097" t="s">
        <v>45</v>
      </c>
      <c r="G3097" s="117">
        <v>19.489999999999998</v>
      </c>
    </row>
    <row r="3098" spans="1:7" x14ac:dyDescent="0.25">
      <c r="A3098" s="116" t="s">
        <v>27368</v>
      </c>
      <c r="B3098" s="117" t="s">
        <v>4735</v>
      </c>
      <c r="C3098" t="s">
        <v>67</v>
      </c>
      <c r="D3098" t="s">
        <v>67</v>
      </c>
      <c r="E3098" t="s">
        <v>67</v>
      </c>
      <c r="F3098" t="s">
        <v>27987</v>
      </c>
      <c r="G3098" s="117">
        <v>109.36</v>
      </c>
    </row>
    <row r="3099" spans="1:7" x14ac:dyDescent="0.25">
      <c r="A3099" s="116" t="s">
        <v>27369</v>
      </c>
      <c r="B3099" s="117" t="s">
        <v>4736</v>
      </c>
      <c r="C3099" t="s">
        <v>67</v>
      </c>
      <c r="D3099" t="s">
        <v>67</v>
      </c>
      <c r="E3099" t="s">
        <v>67</v>
      </c>
      <c r="F3099" t="s">
        <v>45</v>
      </c>
      <c r="G3099" s="117">
        <v>15.57</v>
      </c>
    </row>
    <row r="3100" spans="1:7" x14ac:dyDescent="0.25">
      <c r="A3100" s="116" t="s">
        <v>27370</v>
      </c>
      <c r="B3100" s="117" t="s">
        <v>4737</v>
      </c>
      <c r="C3100" t="s">
        <v>67</v>
      </c>
      <c r="D3100" t="s">
        <v>67</v>
      </c>
      <c r="E3100" t="s">
        <v>67</v>
      </c>
      <c r="F3100" t="s">
        <v>45</v>
      </c>
      <c r="G3100" s="117">
        <v>37.880000000000003</v>
      </c>
    </row>
    <row r="3101" spans="1:7" x14ac:dyDescent="0.25">
      <c r="A3101" s="116" t="s">
        <v>27371</v>
      </c>
      <c r="B3101" s="117" t="s">
        <v>4738</v>
      </c>
      <c r="C3101" t="s">
        <v>67</v>
      </c>
      <c r="D3101" t="s">
        <v>67</v>
      </c>
      <c r="E3101" t="s">
        <v>67</v>
      </c>
      <c r="F3101" t="s">
        <v>45</v>
      </c>
      <c r="G3101" s="117">
        <v>190.87</v>
      </c>
    </row>
    <row r="3102" spans="1:7" x14ac:dyDescent="0.25">
      <c r="A3102" s="116" t="s">
        <v>27372</v>
      </c>
      <c r="B3102" s="117" t="s">
        <v>4739</v>
      </c>
      <c r="C3102" t="s">
        <v>67</v>
      </c>
      <c r="D3102" t="s">
        <v>67</v>
      </c>
      <c r="E3102" t="s">
        <v>67</v>
      </c>
      <c r="F3102" t="s">
        <v>49</v>
      </c>
      <c r="G3102" s="117">
        <v>90.32</v>
      </c>
    </row>
    <row r="3103" spans="1:7" x14ac:dyDescent="0.25">
      <c r="A3103" s="116" t="s">
        <v>4740</v>
      </c>
      <c r="B3103" s="117" t="s">
        <v>4741</v>
      </c>
      <c r="C3103" t="s">
        <v>67</v>
      </c>
      <c r="D3103" t="s">
        <v>67</v>
      </c>
      <c r="E3103" t="s">
        <v>67</v>
      </c>
      <c r="F3103" t="s">
        <v>27987</v>
      </c>
      <c r="G3103" s="117">
        <v>247.82</v>
      </c>
    </row>
    <row r="3104" spans="1:7" x14ac:dyDescent="0.25">
      <c r="A3104" s="116" t="s">
        <v>4742</v>
      </c>
      <c r="B3104" s="117" t="s">
        <v>4743</v>
      </c>
      <c r="C3104" t="s">
        <v>67</v>
      </c>
      <c r="D3104" t="s">
        <v>67</v>
      </c>
      <c r="E3104" t="s">
        <v>67</v>
      </c>
      <c r="F3104" t="s">
        <v>45</v>
      </c>
      <c r="G3104" s="117">
        <v>51.17</v>
      </c>
    </row>
    <row r="3105" spans="1:7" x14ac:dyDescent="0.25">
      <c r="A3105" s="116" t="s">
        <v>4744</v>
      </c>
      <c r="B3105" s="117" t="s">
        <v>3218</v>
      </c>
      <c r="C3105" t="s">
        <v>67</v>
      </c>
      <c r="D3105" t="s">
        <v>67</v>
      </c>
      <c r="E3105" t="s">
        <v>67</v>
      </c>
      <c r="F3105" t="s">
        <v>49</v>
      </c>
      <c r="G3105" s="117">
        <v>94.76</v>
      </c>
    </row>
    <row r="3106" spans="1:7" x14ac:dyDescent="0.25">
      <c r="A3106" s="116" t="s">
        <v>27373</v>
      </c>
      <c r="B3106" s="117" t="s">
        <v>4745</v>
      </c>
      <c r="C3106" t="s">
        <v>67</v>
      </c>
      <c r="D3106" t="s">
        <v>67</v>
      </c>
      <c r="E3106" t="s">
        <v>67</v>
      </c>
      <c r="F3106" t="s">
        <v>45</v>
      </c>
      <c r="G3106" s="117">
        <v>37.880000000000003</v>
      </c>
    </row>
    <row r="3107" spans="1:7" x14ac:dyDescent="0.25">
      <c r="A3107" s="116" t="s">
        <v>27374</v>
      </c>
      <c r="B3107" s="117" t="s">
        <v>4746</v>
      </c>
      <c r="C3107" t="s">
        <v>67</v>
      </c>
      <c r="D3107" t="s">
        <v>67</v>
      </c>
      <c r="E3107" t="s">
        <v>67</v>
      </c>
      <c r="F3107" t="s">
        <v>45</v>
      </c>
      <c r="G3107" s="117">
        <v>185.71</v>
      </c>
    </row>
    <row r="3108" spans="1:7" x14ac:dyDescent="0.25">
      <c r="A3108" s="116" t="s">
        <v>27375</v>
      </c>
      <c r="B3108" s="117" t="s">
        <v>4747</v>
      </c>
      <c r="C3108" t="s">
        <v>67</v>
      </c>
      <c r="D3108" t="s">
        <v>67</v>
      </c>
      <c r="E3108" t="s">
        <v>67</v>
      </c>
      <c r="F3108" t="s">
        <v>27987</v>
      </c>
      <c r="G3108" s="117">
        <v>278.43</v>
      </c>
    </row>
    <row r="3109" spans="1:7" x14ac:dyDescent="0.25">
      <c r="A3109" s="116" t="s">
        <v>4748</v>
      </c>
      <c r="B3109" s="117" t="s">
        <v>4749</v>
      </c>
      <c r="C3109" t="s">
        <v>67</v>
      </c>
      <c r="D3109" t="s">
        <v>67</v>
      </c>
      <c r="E3109" t="s">
        <v>67</v>
      </c>
      <c r="F3109" t="s">
        <v>45</v>
      </c>
      <c r="G3109" s="117">
        <v>17.7</v>
      </c>
    </row>
    <row r="3110" spans="1:7" x14ac:dyDescent="0.25">
      <c r="A3110" s="116" t="s">
        <v>4750</v>
      </c>
      <c r="B3110" s="117" t="s">
        <v>4743</v>
      </c>
      <c r="C3110" t="s">
        <v>67</v>
      </c>
      <c r="D3110" t="s">
        <v>67</v>
      </c>
      <c r="E3110" t="s">
        <v>67</v>
      </c>
      <c r="F3110" t="s">
        <v>27987</v>
      </c>
      <c r="G3110" s="117">
        <v>48.5</v>
      </c>
    </row>
    <row r="3111" spans="1:7" x14ac:dyDescent="0.25">
      <c r="A3111" s="116" t="s">
        <v>4751</v>
      </c>
      <c r="B3111" s="117" t="s">
        <v>3218</v>
      </c>
      <c r="C3111" t="s">
        <v>67</v>
      </c>
      <c r="D3111" t="s">
        <v>67</v>
      </c>
      <c r="E3111" t="s">
        <v>67</v>
      </c>
      <c r="F3111" t="s">
        <v>49</v>
      </c>
      <c r="G3111" s="117">
        <v>37.82</v>
      </c>
    </row>
    <row r="3112" spans="1:7" x14ac:dyDescent="0.25">
      <c r="A3112" s="116" t="s">
        <v>27376</v>
      </c>
      <c r="B3112" s="117" t="s">
        <v>4752</v>
      </c>
      <c r="C3112" t="s">
        <v>67</v>
      </c>
      <c r="D3112" t="s">
        <v>67</v>
      </c>
      <c r="E3112" t="s">
        <v>67</v>
      </c>
      <c r="F3112" t="s">
        <v>45</v>
      </c>
      <c r="G3112" s="117">
        <v>53.18</v>
      </c>
    </row>
    <row r="3113" spans="1:7" x14ac:dyDescent="0.25">
      <c r="A3113" s="116" t="s">
        <v>27377</v>
      </c>
      <c r="B3113" s="117" t="s">
        <v>4753</v>
      </c>
      <c r="C3113" t="s">
        <v>67</v>
      </c>
      <c r="D3113" t="s">
        <v>67</v>
      </c>
      <c r="E3113" t="s">
        <v>67</v>
      </c>
      <c r="F3113" t="s">
        <v>45</v>
      </c>
      <c r="G3113" s="117">
        <v>202.06</v>
      </c>
    </row>
    <row r="3114" spans="1:7" x14ac:dyDescent="0.25">
      <c r="A3114" s="116" t="s">
        <v>27378</v>
      </c>
      <c r="B3114" s="117" t="s">
        <v>4754</v>
      </c>
      <c r="C3114" t="s">
        <v>67</v>
      </c>
      <c r="D3114" t="s">
        <v>67</v>
      </c>
      <c r="E3114" t="s">
        <v>67</v>
      </c>
      <c r="F3114" t="s">
        <v>45</v>
      </c>
      <c r="G3114" s="117">
        <v>277.18</v>
      </c>
    </row>
    <row r="3115" spans="1:7" x14ac:dyDescent="0.25">
      <c r="A3115" s="116" t="s">
        <v>27379</v>
      </c>
      <c r="B3115" s="117" t="s">
        <v>4754</v>
      </c>
      <c r="C3115" t="s">
        <v>67</v>
      </c>
      <c r="D3115" t="s">
        <v>67</v>
      </c>
      <c r="E3115" t="s">
        <v>67</v>
      </c>
      <c r="F3115" t="s">
        <v>49</v>
      </c>
      <c r="G3115" s="117">
        <v>236.25</v>
      </c>
    </row>
    <row r="3116" spans="1:7" x14ac:dyDescent="0.25">
      <c r="A3116" s="116" t="s">
        <v>27380</v>
      </c>
      <c r="B3116" s="117" t="s">
        <v>4755</v>
      </c>
      <c r="C3116" t="s">
        <v>67</v>
      </c>
      <c r="D3116" t="s">
        <v>67</v>
      </c>
      <c r="E3116" t="s">
        <v>67</v>
      </c>
      <c r="F3116" t="s">
        <v>45</v>
      </c>
      <c r="G3116" s="117">
        <v>78.75</v>
      </c>
    </row>
    <row r="3117" spans="1:7" x14ac:dyDescent="0.25">
      <c r="A3117" s="116" t="s">
        <v>27381</v>
      </c>
      <c r="B3117" s="117" t="s">
        <v>4756</v>
      </c>
      <c r="C3117" t="s">
        <v>67</v>
      </c>
      <c r="D3117" t="s">
        <v>67</v>
      </c>
      <c r="E3117" t="s">
        <v>67</v>
      </c>
      <c r="F3117" t="s">
        <v>27987</v>
      </c>
      <c r="G3117" s="117">
        <v>118.26</v>
      </c>
    </row>
    <row r="3118" spans="1:7" x14ac:dyDescent="0.25">
      <c r="A3118" s="116" t="s">
        <v>27382</v>
      </c>
      <c r="B3118" s="117" t="s">
        <v>4757</v>
      </c>
      <c r="C3118" t="s">
        <v>67</v>
      </c>
      <c r="D3118" t="s">
        <v>67</v>
      </c>
      <c r="E3118" t="s">
        <v>67</v>
      </c>
      <c r="F3118" t="s">
        <v>45</v>
      </c>
      <c r="G3118" s="117">
        <v>52.33</v>
      </c>
    </row>
    <row r="3119" spans="1:7" x14ac:dyDescent="0.25">
      <c r="A3119" s="116" t="s">
        <v>27383</v>
      </c>
      <c r="B3119" s="117" t="s">
        <v>4758</v>
      </c>
      <c r="C3119" t="s">
        <v>67</v>
      </c>
      <c r="D3119" t="s">
        <v>67</v>
      </c>
      <c r="E3119" t="s">
        <v>67</v>
      </c>
      <c r="F3119" t="s">
        <v>27987</v>
      </c>
      <c r="G3119" s="117">
        <v>74.709999999999994</v>
      </c>
    </row>
    <row r="3120" spans="1:7" x14ac:dyDescent="0.25">
      <c r="A3120" s="116" t="s">
        <v>27384</v>
      </c>
      <c r="B3120" s="117" t="s">
        <v>4759</v>
      </c>
      <c r="C3120" t="s">
        <v>67</v>
      </c>
      <c r="D3120" t="s">
        <v>67</v>
      </c>
      <c r="E3120" t="s">
        <v>67</v>
      </c>
      <c r="F3120" t="s">
        <v>49</v>
      </c>
      <c r="G3120" s="117">
        <v>30.7</v>
      </c>
    </row>
    <row r="3121" spans="1:7" x14ac:dyDescent="0.25">
      <c r="A3121" s="116" t="s">
        <v>27385</v>
      </c>
      <c r="B3121" s="117" t="s">
        <v>4760</v>
      </c>
      <c r="C3121" t="s">
        <v>67</v>
      </c>
      <c r="D3121" t="s">
        <v>67</v>
      </c>
      <c r="E3121" t="s">
        <v>67</v>
      </c>
      <c r="F3121" t="s">
        <v>27987</v>
      </c>
      <c r="G3121" s="117">
        <v>56.5</v>
      </c>
    </row>
    <row r="3122" spans="1:7" x14ac:dyDescent="0.25">
      <c r="A3122" s="116" t="s">
        <v>27386</v>
      </c>
      <c r="B3122" s="117" t="s">
        <v>4761</v>
      </c>
      <c r="C3122" t="s">
        <v>67</v>
      </c>
      <c r="D3122" t="s">
        <v>67</v>
      </c>
      <c r="E3122" t="s">
        <v>67</v>
      </c>
      <c r="F3122" t="s">
        <v>27987</v>
      </c>
      <c r="G3122" s="117">
        <v>49.74</v>
      </c>
    </row>
    <row r="3123" spans="1:7" x14ac:dyDescent="0.25">
      <c r="A3123" s="116" t="s">
        <v>27387</v>
      </c>
      <c r="B3123" s="117" t="s">
        <v>4762</v>
      </c>
      <c r="C3123" t="s">
        <v>67</v>
      </c>
      <c r="D3123" t="s">
        <v>67</v>
      </c>
      <c r="E3123" t="s">
        <v>67</v>
      </c>
      <c r="F3123" t="s">
        <v>45</v>
      </c>
      <c r="G3123" s="117">
        <v>124.49</v>
      </c>
    </row>
    <row r="3124" spans="1:7" x14ac:dyDescent="0.25">
      <c r="A3124" s="116" t="s">
        <v>27388</v>
      </c>
      <c r="B3124" s="117" t="s">
        <v>4763</v>
      </c>
      <c r="C3124" t="s">
        <v>67</v>
      </c>
      <c r="D3124" t="s">
        <v>67</v>
      </c>
      <c r="E3124" t="s">
        <v>67</v>
      </c>
      <c r="F3124" t="s">
        <v>45</v>
      </c>
      <c r="G3124" s="117">
        <v>96.55</v>
      </c>
    </row>
    <row r="3125" spans="1:7" x14ac:dyDescent="0.25">
      <c r="A3125" s="116" t="s">
        <v>4764</v>
      </c>
      <c r="B3125" s="117" t="s">
        <v>4765</v>
      </c>
      <c r="C3125" t="s">
        <v>67</v>
      </c>
      <c r="D3125" t="s">
        <v>67</v>
      </c>
      <c r="E3125" t="s">
        <v>67</v>
      </c>
      <c r="F3125" t="s">
        <v>45</v>
      </c>
      <c r="G3125" s="117">
        <v>25.71</v>
      </c>
    </row>
    <row r="3126" spans="1:7" x14ac:dyDescent="0.25">
      <c r="A3126" s="116" t="s">
        <v>4766</v>
      </c>
      <c r="B3126" s="117" t="s">
        <v>4765</v>
      </c>
      <c r="C3126" t="s">
        <v>67</v>
      </c>
      <c r="D3126" t="s">
        <v>67</v>
      </c>
      <c r="E3126" t="s">
        <v>67</v>
      </c>
      <c r="F3126" t="s">
        <v>27987</v>
      </c>
      <c r="G3126" s="117">
        <v>44.05</v>
      </c>
    </row>
    <row r="3127" spans="1:7" x14ac:dyDescent="0.25">
      <c r="A3127" s="116" t="s">
        <v>27389</v>
      </c>
      <c r="B3127" s="117" t="s">
        <v>4767</v>
      </c>
      <c r="C3127" t="s">
        <v>67</v>
      </c>
      <c r="D3127" t="s">
        <v>67</v>
      </c>
      <c r="E3127" t="s">
        <v>67</v>
      </c>
      <c r="F3127" t="s">
        <v>45</v>
      </c>
      <c r="G3127" s="117">
        <v>79.11</v>
      </c>
    </row>
    <row r="3128" spans="1:7" x14ac:dyDescent="0.25">
      <c r="A3128" s="116" t="s">
        <v>27390</v>
      </c>
      <c r="B3128" s="117" t="s">
        <v>4768</v>
      </c>
      <c r="C3128" t="s">
        <v>67</v>
      </c>
      <c r="D3128" t="s">
        <v>67</v>
      </c>
      <c r="E3128" t="s">
        <v>67</v>
      </c>
      <c r="F3128" t="s">
        <v>27987</v>
      </c>
      <c r="G3128" s="117">
        <v>82.67</v>
      </c>
    </row>
    <row r="3129" spans="1:7" x14ac:dyDescent="0.25">
      <c r="A3129" s="116" t="s">
        <v>27391</v>
      </c>
      <c r="B3129" s="117" t="s">
        <v>4769</v>
      </c>
      <c r="C3129" t="s">
        <v>67</v>
      </c>
      <c r="D3129" t="s">
        <v>67</v>
      </c>
      <c r="E3129" t="s">
        <v>67</v>
      </c>
      <c r="F3129" t="s">
        <v>45</v>
      </c>
      <c r="G3129" s="117">
        <v>300.68</v>
      </c>
    </row>
    <row r="3130" spans="1:7" x14ac:dyDescent="0.25">
      <c r="A3130" s="116" t="s">
        <v>27392</v>
      </c>
      <c r="B3130" s="117" t="s">
        <v>4770</v>
      </c>
      <c r="C3130" t="s">
        <v>67</v>
      </c>
      <c r="D3130" t="s">
        <v>67</v>
      </c>
      <c r="E3130" t="s">
        <v>67</v>
      </c>
      <c r="F3130" t="s">
        <v>45</v>
      </c>
      <c r="G3130" s="117">
        <v>219.7</v>
      </c>
    </row>
    <row r="3131" spans="1:7" x14ac:dyDescent="0.25">
      <c r="A3131" s="116" t="s">
        <v>4771</v>
      </c>
      <c r="B3131" s="117" t="s">
        <v>4722</v>
      </c>
      <c r="C3131" t="s">
        <v>67</v>
      </c>
      <c r="D3131" t="s">
        <v>67</v>
      </c>
      <c r="E3131" t="s">
        <v>67</v>
      </c>
      <c r="F3131" t="s">
        <v>45</v>
      </c>
      <c r="G3131" s="117">
        <v>37.82</v>
      </c>
    </row>
    <row r="3132" spans="1:7" x14ac:dyDescent="0.25">
      <c r="A3132" s="116" t="s">
        <v>4772</v>
      </c>
      <c r="B3132" s="117" t="s">
        <v>4773</v>
      </c>
      <c r="C3132" t="s">
        <v>67</v>
      </c>
      <c r="D3132" t="s">
        <v>67</v>
      </c>
      <c r="E3132" t="s">
        <v>67</v>
      </c>
      <c r="F3132" t="s">
        <v>45</v>
      </c>
      <c r="G3132" s="117">
        <v>94.24</v>
      </c>
    </row>
    <row r="3133" spans="1:7" x14ac:dyDescent="0.25">
      <c r="A3133" s="116" t="s">
        <v>27393</v>
      </c>
      <c r="B3133" s="117" t="s">
        <v>4774</v>
      </c>
      <c r="C3133" t="s">
        <v>67</v>
      </c>
      <c r="D3133" t="s">
        <v>67</v>
      </c>
      <c r="E3133" t="s">
        <v>67</v>
      </c>
      <c r="F3133" t="s">
        <v>45</v>
      </c>
      <c r="G3133" s="117">
        <v>96.55</v>
      </c>
    </row>
    <row r="3134" spans="1:7" x14ac:dyDescent="0.25">
      <c r="A3134" s="116" t="s">
        <v>27394</v>
      </c>
      <c r="B3134" s="117" t="s">
        <v>4775</v>
      </c>
      <c r="C3134" t="s">
        <v>67</v>
      </c>
      <c r="D3134" t="s">
        <v>67</v>
      </c>
      <c r="E3134" t="s">
        <v>67</v>
      </c>
      <c r="F3134" t="s">
        <v>45</v>
      </c>
      <c r="G3134" s="117">
        <v>137.83000000000001</v>
      </c>
    </row>
    <row r="3135" spans="1:7" x14ac:dyDescent="0.25">
      <c r="A3135" s="116" t="s">
        <v>27395</v>
      </c>
      <c r="B3135" s="117" t="s">
        <v>4776</v>
      </c>
      <c r="C3135" t="s">
        <v>67</v>
      </c>
      <c r="D3135" t="s">
        <v>67</v>
      </c>
      <c r="E3135" t="s">
        <v>67</v>
      </c>
      <c r="F3135" t="s">
        <v>27987</v>
      </c>
      <c r="G3135" s="117">
        <v>131.76</v>
      </c>
    </row>
    <row r="3136" spans="1:7" x14ac:dyDescent="0.25">
      <c r="A3136" s="116" t="s">
        <v>27396</v>
      </c>
      <c r="B3136" s="117" t="s">
        <v>4777</v>
      </c>
      <c r="C3136" t="s">
        <v>67</v>
      </c>
      <c r="D3136" t="s">
        <v>67</v>
      </c>
      <c r="E3136" t="s">
        <v>67</v>
      </c>
      <c r="F3136" t="s">
        <v>45</v>
      </c>
      <c r="G3136" s="117">
        <v>23.94</v>
      </c>
    </row>
    <row r="3137" spans="1:7" x14ac:dyDescent="0.25">
      <c r="A3137" s="116" t="s">
        <v>27397</v>
      </c>
      <c r="B3137" s="117" t="s">
        <v>4778</v>
      </c>
      <c r="C3137" t="s">
        <v>67</v>
      </c>
      <c r="D3137" t="s">
        <v>67</v>
      </c>
      <c r="E3137" t="s">
        <v>67</v>
      </c>
      <c r="F3137" t="s">
        <v>45</v>
      </c>
      <c r="G3137" s="117">
        <v>30.7</v>
      </c>
    </row>
    <row r="3138" spans="1:7" x14ac:dyDescent="0.25">
      <c r="A3138" s="116" t="s">
        <v>4779</v>
      </c>
      <c r="B3138" s="117" t="s">
        <v>30140</v>
      </c>
      <c r="C3138" t="s">
        <v>67</v>
      </c>
      <c r="D3138" t="s">
        <v>67</v>
      </c>
      <c r="E3138" t="s">
        <v>67</v>
      </c>
      <c r="F3138" t="s">
        <v>27987</v>
      </c>
      <c r="G3138" s="117">
        <v>12.01</v>
      </c>
    </row>
    <row r="3139" spans="1:7" x14ac:dyDescent="0.25">
      <c r="A3139" s="116" t="s">
        <v>27398</v>
      </c>
      <c r="B3139" s="117" t="s">
        <v>4780</v>
      </c>
      <c r="C3139" t="s">
        <v>67</v>
      </c>
      <c r="D3139" t="s">
        <v>67</v>
      </c>
      <c r="E3139" t="s">
        <v>67</v>
      </c>
      <c r="F3139" t="s">
        <v>45</v>
      </c>
      <c r="G3139" s="117">
        <v>52.42</v>
      </c>
    </row>
    <row r="3140" spans="1:7" x14ac:dyDescent="0.25">
      <c r="A3140" s="116" t="s">
        <v>4781</v>
      </c>
      <c r="B3140" s="117" t="s">
        <v>30141</v>
      </c>
      <c r="C3140" t="s">
        <v>67</v>
      </c>
      <c r="D3140" t="s">
        <v>67</v>
      </c>
      <c r="E3140" t="s">
        <v>67</v>
      </c>
      <c r="F3140" t="s">
        <v>27987</v>
      </c>
      <c r="G3140" s="117">
        <v>44.05</v>
      </c>
    </row>
    <row r="3141" spans="1:7" x14ac:dyDescent="0.25">
      <c r="A3141" s="116" t="s">
        <v>4782</v>
      </c>
      <c r="B3141" s="117" t="s">
        <v>3218</v>
      </c>
      <c r="C3141" t="s">
        <v>67</v>
      </c>
      <c r="D3141" t="s">
        <v>67</v>
      </c>
      <c r="E3141" t="s">
        <v>67</v>
      </c>
      <c r="F3141" t="s">
        <v>45</v>
      </c>
      <c r="G3141" s="117">
        <v>79.11</v>
      </c>
    </row>
    <row r="3142" spans="1:7" x14ac:dyDescent="0.25">
      <c r="A3142" s="116" t="s">
        <v>4783</v>
      </c>
      <c r="B3142" s="117" t="s">
        <v>28589</v>
      </c>
      <c r="C3142" t="s">
        <v>67</v>
      </c>
      <c r="D3142" t="s">
        <v>67</v>
      </c>
      <c r="E3142" t="s">
        <v>67</v>
      </c>
      <c r="F3142" t="s">
        <v>49</v>
      </c>
      <c r="G3142" s="117">
        <v>33.729999999999997</v>
      </c>
    </row>
    <row r="3143" spans="1:7" x14ac:dyDescent="0.25">
      <c r="A3143" s="116" t="s">
        <v>30119</v>
      </c>
      <c r="B3143" s="117" t="s">
        <v>30406</v>
      </c>
      <c r="C3143" t="s">
        <v>67</v>
      </c>
      <c r="D3143" t="s">
        <v>67</v>
      </c>
      <c r="E3143" t="s">
        <v>67</v>
      </c>
      <c r="F3143" t="s">
        <v>27987</v>
      </c>
      <c r="G3143" s="117">
        <v>269.33</v>
      </c>
    </row>
    <row r="3144" spans="1:7" x14ac:dyDescent="0.25">
      <c r="A3144" s="116" t="s">
        <v>4784</v>
      </c>
      <c r="B3144" s="117" t="s">
        <v>4785</v>
      </c>
      <c r="C3144" t="s">
        <v>67</v>
      </c>
      <c r="D3144" t="s">
        <v>67</v>
      </c>
      <c r="E3144" t="s">
        <v>67</v>
      </c>
      <c r="F3144" t="s">
        <v>45</v>
      </c>
      <c r="G3144" s="117">
        <v>102.77</v>
      </c>
    </row>
    <row r="3145" spans="1:7" x14ac:dyDescent="0.25">
      <c r="A3145" s="116" t="s">
        <v>4786</v>
      </c>
      <c r="B3145" s="117" t="s">
        <v>4787</v>
      </c>
      <c r="C3145" t="s">
        <v>67</v>
      </c>
      <c r="D3145" t="s">
        <v>67</v>
      </c>
      <c r="E3145" t="s">
        <v>67</v>
      </c>
      <c r="F3145" t="s">
        <v>27987</v>
      </c>
      <c r="G3145" s="117">
        <v>57.75</v>
      </c>
    </row>
    <row r="3146" spans="1:7" x14ac:dyDescent="0.25">
      <c r="A3146" s="116" t="s">
        <v>4788</v>
      </c>
      <c r="B3146" s="117" t="s">
        <v>4789</v>
      </c>
      <c r="C3146" t="s">
        <v>67</v>
      </c>
      <c r="D3146" t="s">
        <v>67</v>
      </c>
      <c r="E3146" t="s">
        <v>67</v>
      </c>
      <c r="F3146" t="s">
        <v>27987</v>
      </c>
      <c r="G3146" s="117">
        <v>6.14</v>
      </c>
    </row>
    <row r="3147" spans="1:7" x14ac:dyDescent="0.25">
      <c r="A3147" s="116" t="s">
        <v>4790</v>
      </c>
      <c r="B3147" s="117" t="s">
        <v>4791</v>
      </c>
      <c r="C3147" t="s">
        <v>67</v>
      </c>
      <c r="D3147" t="s">
        <v>67</v>
      </c>
      <c r="E3147" t="s">
        <v>67</v>
      </c>
      <c r="F3147" t="s">
        <v>49</v>
      </c>
      <c r="G3147" s="117">
        <v>28.38</v>
      </c>
    </row>
    <row r="3148" spans="1:7" x14ac:dyDescent="0.25">
      <c r="A3148" s="116" t="s">
        <v>4792</v>
      </c>
      <c r="B3148" s="117" t="s">
        <v>4793</v>
      </c>
      <c r="C3148" t="s">
        <v>67</v>
      </c>
      <c r="D3148" t="s">
        <v>67</v>
      </c>
      <c r="E3148" t="s">
        <v>67</v>
      </c>
      <c r="F3148" t="s">
        <v>27987</v>
      </c>
      <c r="G3148" s="117">
        <v>189.08</v>
      </c>
    </row>
    <row r="3149" spans="1:7" x14ac:dyDescent="0.25">
      <c r="A3149" s="116" t="s">
        <v>4794</v>
      </c>
      <c r="B3149" s="117" t="s">
        <v>4795</v>
      </c>
      <c r="C3149" t="s">
        <v>67</v>
      </c>
      <c r="D3149" t="s">
        <v>67</v>
      </c>
      <c r="E3149" t="s">
        <v>67</v>
      </c>
      <c r="F3149" t="s">
        <v>51</v>
      </c>
      <c r="G3149" s="117">
        <v>27.03</v>
      </c>
    </row>
    <row r="3150" spans="1:7" x14ac:dyDescent="0.25">
      <c r="A3150" s="116" t="s">
        <v>4796</v>
      </c>
      <c r="B3150" s="117" t="s">
        <v>4795</v>
      </c>
      <c r="C3150" t="s">
        <v>67</v>
      </c>
      <c r="D3150" t="s">
        <v>67</v>
      </c>
      <c r="E3150" t="s">
        <v>67</v>
      </c>
      <c r="F3150" t="s">
        <v>45</v>
      </c>
      <c r="G3150" s="117">
        <v>27.03</v>
      </c>
    </row>
    <row r="3151" spans="1:7" x14ac:dyDescent="0.25">
      <c r="A3151" s="116" t="s">
        <v>4797</v>
      </c>
      <c r="B3151" s="117" t="s">
        <v>4798</v>
      </c>
      <c r="C3151" t="s">
        <v>67</v>
      </c>
      <c r="D3151" t="s">
        <v>67</v>
      </c>
      <c r="E3151" t="s">
        <v>67</v>
      </c>
      <c r="F3151" t="s">
        <v>27987</v>
      </c>
      <c r="G3151" s="117">
        <v>380.28</v>
      </c>
    </row>
    <row r="3152" spans="1:7" x14ac:dyDescent="0.25">
      <c r="A3152" s="116" t="s">
        <v>4799</v>
      </c>
      <c r="B3152" s="117" t="s">
        <v>4800</v>
      </c>
      <c r="C3152" t="s">
        <v>67</v>
      </c>
      <c r="D3152" t="s">
        <v>67</v>
      </c>
      <c r="E3152" t="s">
        <v>67</v>
      </c>
      <c r="F3152" t="s">
        <v>45</v>
      </c>
      <c r="G3152" s="117">
        <v>16.82</v>
      </c>
    </row>
    <row r="3153" spans="1:7" x14ac:dyDescent="0.25">
      <c r="A3153" s="116" t="s">
        <v>4801</v>
      </c>
      <c r="B3153" s="117" t="s">
        <v>4802</v>
      </c>
      <c r="C3153" t="s">
        <v>67</v>
      </c>
      <c r="D3153" t="s">
        <v>67</v>
      </c>
      <c r="E3153" t="s">
        <v>67</v>
      </c>
      <c r="F3153" t="s">
        <v>49</v>
      </c>
      <c r="G3153" s="117">
        <v>23.94</v>
      </c>
    </row>
    <row r="3154" spans="1:7" x14ac:dyDescent="0.25">
      <c r="A3154" s="116" t="s">
        <v>4803</v>
      </c>
      <c r="B3154" s="117" t="s">
        <v>4804</v>
      </c>
      <c r="C3154" t="s">
        <v>67</v>
      </c>
      <c r="D3154" t="s">
        <v>67</v>
      </c>
      <c r="E3154" t="s">
        <v>67</v>
      </c>
      <c r="F3154" t="s">
        <v>45</v>
      </c>
      <c r="G3154" s="117">
        <v>36.93</v>
      </c>
    </row>
    <row r="3155" spans="1:7" x14ac:dyDescent="0.25">
      <c r="A3155" s="116" t="s">
        <v>4805</v>
      </c>
      <c r="B3155" s="117" t="s">
        <v>4806</v>
      </c>
      <c r="C3155" t="s">
        <v>67</v>
      </c>
      <c r="D3155" t="s">
        <v>67</v>
      </c>
      <c r="E3155" t="s">
        <v>67</v>
      </c>
      <c r="F3155" t="s">
        <v>27987</v>
      </c>
      <c r="G3155" s="117">
        <v>81.42</v>
      </c>
    </row>
    <row r="3156" spans="1:7" x14ac:dyDescent="0.25">
      <c r="A3156" s="116" t="s">
        <v>4807</v>
      </c>
      <c r="B3156" s="117" t="s">
        <v>4808</v>
      </c>
      <c r="C3156" t="s">
        <v>67</v>
      </c>
      <c r="D3156" t="s">
        <v>67</v>
      </c>
      <c r="E3156" t="s">
        <v>67</v>
      </c>
      <c r="F3156" t="s">
        <v>49</v>
      </c>
      <c r="G3156" s="117">
        <v>86.7</v>
      </c>
    </row>
    <row r="3157" spans="1:7" x14ac:dyDescent="0.25">
      <c r="A3157" s="116" t="s">
        <v>4809</v>
      </c>
      <c r="B3157" s="117" t="s">
        <v>4810</v>
      </c>
      <c r="C3157" t="s">
        <v>67</v>
      </c>
      <c r="D3157" t="s">
        <v>67</v>
      </c>
      <c r="E3157" t="s">
        <v>67</v>
      </c>
      <c r="F3157" t="s">
        <v>45</v>
      </c>
      <c r="G3157" s="117">
        <v>83.56</v>
      </c>
    </row>
    <row r="3158" spans="1:7" x14ac:dyDescent="0.25">
      <c r="A3158" s="116" t="s">
        <v>4811</v>
      </c>
      <c r="B3158" s="117" t="s">
        <v>4812</v>
      </c>
      <c r="C3158" t="s">
        <v>67</v>
      </c>
      <c r="D3158" t="s">
        <v>67</v>
      </c>
      <c r="E3158" t="s">
        <v>67</v>
      </c>
      <c r="F3158" t="s">
        <v>49</v>
      </c>
      <c r="G3158" s="117">
        <v>62.74</v>
      </c>
    </row>
    <row r="3159" spans="1:7" x14ac:dyDescent="0.25">
      <c r="A3159" s="116" t="s">
        <v>4813</v>
      </c>
      <c r="B3159" s="117" t="s">
        <v>4814</v>
      </c>
      <c r="C3159" t="s">
        <v>67</v>
      </c>
      <c r="D3159" t="s">
        <v>67</v>
      </c>
      <c r="E3159" t="s">
        <v>67</v>
      </c>
      <c r="F3159" t="s">
        <v>27987</v>
      </c>
      <c r="G3159" s="117">
        <v>151.71</v>
      </c>
    </row>
    <row r="3160" spans="1:7" x14ac:dyDescent="0.25">
      <c r="A3160" s="116" t="s">
        <v>4815</v>
      </c>
      <c r="B3160" s="117" t="s">
        <v>4816</v>
      </c>
      <c r="C3160" t="s">
        <v>67</v>
      </c>
      <c r="D3160" t="s">
        <v>67</v>
      </c>
      <c r="E3160" t="s">
        <v>67</v>
      </c>
      <c r="F3160" t="s">
        <v>27987</v>
      </c>
      <c r="G3160" s="117">
        <v>405.32</v>
      </c>
    </row>
    <row r="3161" spans="1:7" x14ac:dyDescent="0.25">
      <c r="A3161" s="116" t="s">
        <v>4817</v>
      </c>
      <c r="B3161" s="117" t="s">
        <v>4818</v>
      </c>
      <c r="C3161" t="s">
        <v>67</v>
      </c>
      <c r="D3161" t="s">
        <v>67</v>
      </c>
      <c r="E3161" t="s">
        <v>67</v>
      </c>
      <c r="F3161" t="s">
        <v>27987</v>
      </c>
      <c r="G3161" s="117">
        <v>239.81</v>
      </c>
    </row>
    <row r="3162" spans="1:7" x14ac:dyDescent="0.25">
      <c r="A3162" s="116" t="s">
        <v>4819</v>
      </c>
      <c r="B3162" s="117" t="s">
        <v>4820</v>
      </c>
      <c r="C3162" t="s">
        <v>67</v>
      </c>
      <c r="D3162" t="s">
        <v>67</v>
      </c>
      <c r="E3162" t="s">
        <v>67</v>
      </c>
      <c r="F3162" t="s">
        <v>45</v>
      </c>
      <c r="G3162" s="117">
        <v>7.16</v>
      </c>
    </row>
    <row r="3163" spans="1:7" x14ac:dyDescent="0.25">
      <c r="A3163" s="116" t="s">
        <v>28590</v>
      </c>
      <c r="B3163" s="117" t="s">
        <v>4705</v>
      </c>
      <c r="C3163" t="s">
        <v>67</v>
      </c>
      <c r="D3163" t="s">
        <v>67</v>
      </c>
      <c r="E3163" t="s">
        <v>67</v>
      </c>
      <c r="F3163" t="s">
        <v>45</v>
      </c>
      <c r="G3163" s="117">
        <v>9999</v>
      </c>
    </row>
    <row r="3164" spans="1:7" x14ac:dyDescent="0.25">
      <c r="A3164" s="116" t="s">
        <v>4821</v>
      </c>
      <c r="B3164" s="117" t="s">
        <v>4822</v>
      </c>
      <c r="C3164" t="s">
        <v>67</v>
      </c>
      <c r="D3164" t="s">
        <v>67</v>
      </c>
      <c r="E3164" t="s">
        <v>67</v>
      </c>
      <c r="F3164" t="s">
        <v>45</v>
      </c>
      <c r="G3164" s="117">
        <v>43.51</v>
      </c>
    </row>
    <row r="3165" spans="1:7" x14ac:dyDescent="0.25">
      <c r="A3165" s="116" t="s">
        <v>4823</v>
      </c>
      <c r="B3165" s="117" t="s">
        <v>4808</v>
      </c>
      <c r="C3165" t="s">
        <v>67</v>
      </c>
      <c r="D3165" t="s">
        <v>67</v>
      </c>
      <c r="E3165" t="s">
        <v>67</v>
      </c>
      <c r="F3165" t="s">
        <v>45</v>
      </c>
      <c r="G3165" s="117">
        <v>66.489999999999995</v>
      </c>
    </row>
    <row r="3166" spans="1:7" x14ac:dyDescent="0.25">
      <c r="A3166" s="116" t="s">
        <v>4824</v>
      </c>
      <c r="B3166" s="117" t="s">
        <v>4743</v>
      </c>
      <c r="C3166" t="s">
        <v>67</v>
      </c>
      <c r="D3166" t="s">
        <v>67</v>
      </c>
      <c r="E3166" t="s">
        <v>67</v>
      </c>
      <c r="F3166" t="s">
        <v>45</v>
      </c>
      <c r="G3166" s="117">
        <v>26.61</v>
      </c>
    </row>
    <row r="3167" spans="1:7" x14ac:dyDescent="0.25">
      <c r="A3167" s="116" t="s">
        <v>4825</v>
      </c>
      <c r="B3167" s="117" t="s">
        <v>4826</v>
      </c>
      <c r="C3167" t="s">
        <v>67</v>
      </c>
      <c r="D3167" t="s">
        <v>67</v>
      </c>
      <c r="E3167" t="s">
        <v>67</v>
      </c>
      <c r="F3167" t="s">
        <v>45</v>
      </c>
      <c r="G3167" s="117">
        <v>134.81</v>
      </c>
    </row>
    <row r="3168" spans="1:7" x14ac:dyDescent="0.25">
      <c r="A3168" s="116" t="s">
        <v>4827</v>
      </c>
      <c r="B3168" s="117" t="s">
        <v>4828</v>
      </c>
      <c r="C3168" t="s">
        <v>67</v>
      </c>
      <c r="D3168" t="s">
        <v>67</v>
      </c>
      <c r="E3168" t="s">
        <v>67</v>
      </c>
      <c r="F3168" t="s">
        <v>49</v>
      </c>
      <c r="G3168" s="117">
        <v>128.38999999999999</v>
      </c>
    </row>
    <row r="3169" spans="1:7" x14ac:dyDescent="0.25">
      <c r="A3169" s="116" t="s">
        <v>4829</v>
      </c>
      <c r="B3169" s="117" t="s">
        <v>4822</v>
      </c>
      <c r="C3169" t="s">
        <v>67</v>
      </c>
      <c r="D3169" t="s">
        <v>67</v>
      </c>
      <c r="E3169" t="s">
        <v>67</v>
      </c>
      <c r="F3169" t="s">
        <v>45</v>
      </c>
      <c r="G3169" s="117">
        <v>23.94</v>
      </c>
    </row>
    <row r="3170" spans="1:7" x14ac:dyDescent="0.25">
      <c r="A3170" s="116" t="s">
        <v>4830</v>
      </c>
      <c r="B3170" s="117" t="s">
        <v>4831</v>
      </c>
      <c r="C3170" t="s">
        <v>67</v>
      </c>
      <c r="D3170" t="s">
        <v>67</v>
      </c>
      <c r="E3170" t="s">
        <v>67</v>
      </c>
      <c r="F3170" t="s">
        <v>27987</v>
      </c>
      <c r="G3170" s="117">
        <v>92.1</v>
      </c>
    </row>
    <row r="3171" spans="1:7" x14ac:dyDescent="0.25">
      <c r="A3171" s="116" t="s">
        <v>26547</v>
      </c>
      <c r="B3171" s="117" t="s">
        <v>28591</v>
      </c>
      <c r="C3171" t="s">
        <v>67</v>
      </c>
      <c r="D3171" t="s">
        <v>67</v>
      </c>
      <c r="E3171" t="s">
        <v>67</v>
      </c>
      <c r="F3171" t="s">
        <v>45</v>
      </c>
      <c r="G3171" s="117">
        <v>227.4</v>
      </c>
    </row>
    <row r="3172" spans="1:7" x14ac:dyDescent="0.25">
      <c r="A3172" s="116" t="s">
        <v>4832</v>
      </c>
      <c r="B3172" s="117" t="s">
        <v>4833</v>
      </c>
      <c r="C3172" t="s">
        <v>67</v>
      </c>
      <c r="D3172" t="s">
        <v>67</v>
      </c>
      <c r="E3172" t="s">
        <v>67</v>
      </c>
      <c r="F3172" t="s">
        <v>45</v>
      </c>
      <c r="G3172" s="117">
        <v>12.01</v>
      </c>
    </row>
    <row r="3173" spans="1:7" x14ac:dyDescent="0.25">
      <c r="A3173" s="116" t="s">
        <v>4834</v>
      </c>
      <c r="B3173" s="117" t="s">
        <v>4835</v>
      </c>
      <c r="C3173" t="s">
        <v>67</v>
      </c>
      <c r="D3173" t="s">
        <v>67</v>
      </c>
      <c r="E3173" t="s">
        <v>67</v>
      </c>
      <c r="F3173" t="s">
        <v>27987</v>
      </c>
      <c r="G3173" s="117">
        <v>361.18</v>
      </c>
    </row>
    <row r="3174" spans="1:7" x14ac:dyDescent="0.25">
      <c r="A3174" s="116" t="s">
        <v>4836</v>
      </c>
      <c r="B3174" s="117" t="s">
        <v>4837</v>
      </c>
      <c r="C3174" t="s">
        <v>67</v>
      </c>
      <c r="D3174" t="s">
        <v>67</v>
      </c>
      <c r="E3174" t="s">
        <v>67</v>
      </c>
      <c r="F3174" t="s">
        <v>27987</v>
      </c>
      <c r="G3174" s="117">
        <v>286.98</v>
      </c>
    </row>
    <row r="3175" spans="1:7" x14ac:dyDescent="0.25">
      <c r="A3175" s="116" t="s">
        <v>4838</v>
      </c>
      <c r="B3175" s="117" t="s">
        <v>4839</v>
      </c>
      <c r="C3175" t="s">
        <v>67</v>
      </c>
      <c r="D3175" t="s">
        <v>67</v>
      </c>
      <c r="E3175" t="s">
        <v>67</v>
      </c>
      <c r="F3175" t="s">
        <v>49</v>
      </c>
      <c r="G3175" s="117">
        <v>55.62</v>
      </c>
    </row>
    <row r="3176" spans="1:7" x14ac:dyDescent="0.25">
      <c r="A3176" s="116" t="s">
        <v>4840</v>
      </c>
      <c r="B3176" s="117" t="s">
        <v>4841</v>
      </c>
      <c r="C3176" t="s">
        <v>67</v>
      </c>
      <c r="D3176" t="s">
        <v>67</v>
      </c>
      <c r="E3176" t="s">
        <v>67</v>
      </c>
      <c r="F3176" t="s">
        <v>27987</v>
      </c>
      <c r="G3176" s="117">
        <v>52.06</v>
      </c>
    </row>
    <row r="3177" spans="1:7" x14ac:dyDescent="0.25">
      <c r="A3177" s="116" t="s">
        <v>4842</v>
      </c>
      <c r="B3177" s="117" t="s">
        <v>4843</v>
      </c>
      <c r="C3177" t="s">
        <v>67</v>
      </c>
      <c r="D3177" t="s">
        <v>67</v>
      </c>
      <c r="E3177" t="s">
        <v>67</v>
      </c>
      <c r="F3177" t="s">
        <v>27987</v>
      </c>
      <c r="G3177" s="117">
        <v>63.08</v>
      </c>
    </row>
    <row r="3178" spans="1:7" x14ac:dyDescent="0.25">
      <c r="A3178" s="116" t="s">
        <v>4844</v>
      </c>
      <c r="B3178" s="117" t="s">
        <v>3360</v>
      </c>
      <c r="C3178" t="s">
        <v>67</v>
      </c>
      <c r="D3178" t="s">
        <v>67</v>
      </c>
      <c r="E3178" t="s">
        <v>67</v>
      </c>
      <c r="F3178" t="s">
        <v>27987</v>
      </c>
      <c r="G3178" s="117">
        <v>158.30000000000001</v>
      </c>
    </row>
    <row r="3179" spans="1:7" x14ac:dyDescent="0.25">
      <c r="A3179" s="116" t="s">
        <v>4845</v>
      </c>
      <c r="B3179" s="117" t="s">
        <v>4846</v>
      </c>
      <c r="C3179" t="s">
        <v>67</v>
      </c>
      <c r="D3179" t="s">
        <v>67</v>
      </c>
      <c r="E3179" t="s">
        <v>67</v>
      </c>
      <c r="F3179" t="s">
        <v>27987</v>
      </c>
      <c r="G3179" s="117">
        <v>54.19</v>
      </c>
    </row>
    <row r="3180" spans="1:7" x14ac:dyDescent="0.25">
      <c r="A3180" s="116" t="s">
        <v>4847</v>
      </c>
      <c r="B3180" s="117" t="s">
        <v>28592</v>
      </c>
      <c r="C3180" t="s">
        <v>67</v>
      </c>
      <c r="D3180" t="s">
        <v>67</v>
      </c>
      <c r="E3180" t="s">
        <v>67</v>
      </c>
      <c r="F3180" t="s">
        <v>45</v>
      </c>
      <c r="G3180" s="117">
        <v>26.25</v>
      </c>
    </row>
    <row r="3181" spans="1:7" x14ac:dyDescent="0.25">
      <c r="A3181" s="116" t="s">
        <v>28056</v>
      </c>
      <c r="B3181" s="117" t="s">
        <v>28592</v>
      </c>
      <c r="C3181" t="s">
        <v>67</v>
      </c>
      <c r="D3181" t="s">
        <v>67</v>
      </c>
      <c r="E3181" t="s">
        <v>67</v>
      </c>
      <c r="F3181" t="s">
        <v>45</v>
      </c>
      <c r="G3181" s="117">
        <v>26.25</v>
      </c>
    </row>
    <row r="3182" spans="1:7" x14ac:dyDescent="0.25">
      <c r="A3182" s="116" t="s">
        <v>4849</v>
      </c>
      <c r="B3182" s="117" t="s">
        <v>4850</v>
      </c>
      <c r="C3182" t="s">
        <v>67</v>
      </c>
      <c r="D3182" t="s">
        <v>67</v>
      </c>
      <c r="E3182" t="s">
        <v>67</v>
      </c>
      <c r="F3182" t="s">
        <v>27987</v>
      </c>
      <c r="G3182" s="117">
        <v>306.89999999999998</v>
      </c>
    </row>
    <row r="3183" spans="1:7" x14ac:dyDescent="0.25">
      <c r="A3183" s="116" t="s">
        <v>4851</v>
      </c>
      <c r="B3183" s="117" t="s">
        <v>4852</v>
      </c>
      <c r="C3183" t="s">
        <v>67</v>
      </c>
      <c r="D3183" t="s">
        <v>67</v>
      </c>
      <c r="E3183" t="s">
        <v>67</v>
      </c>
      <c r="F3183" t="s">
        <v>49</v>
      </c>
      <c r="G3183" s="117">
        <v>91.2</v>
      </c>
    </row>
    <row r="3184" spans="1:7" x14ac:dyDescent="0.25">
      <c r="A3184" s="116" t="s">
        <v>4853</v>
      </c>
      <c r="B3184" s="117" t="s">
        <v>4854</v>
      </c>
      <c r="C3184" t="s">
        <v>67</v>
      </c>
      <c r="D3184" t="s">
        <v>67</v>
      </c>
      <c r="E3184" t="s">
        <v>67</v>
      </c>
      <c r="F3184" t="s">
        <v>51</v>
      </c>
      <c r="G3184" s="117">
        <v>20.92</v>
      </c>
    </row>
    <row r="3185" spans="1:7" x14ac:dyDescent="0.25">
      <c r="A3185" s="116" t="s">
        <v>4855</v>
      </c>
      <c r="B3185" s="117" t="s">
        <v>4856</v>
      </c>
      <c r="C3185" t="s">
        <v>67</v>
      </c>
      <c r="D3185" t="s">
        <v>67</v>
      </c>
      <c r="E3185" t="s">
        <v>67</v>
      </c>
      <c r="F3185" t="s">
        <v>45</v>
      </c>
      <c r="G3185" s="117">
        <v>27.14</v>
      </c>
    </row>
    <row r="3186" spans="1:7" x14ac:dyDescent="0.25">
      <c r="A3186" s="116" t="s">
        <v>4857</v>
      </c>
      <c r="B3186" s="117" t="s">
        <v>4858</v>
      </c>
      <c r="C3186" t="s">
        <v>67</v>
      </c>
      <c r="D3186" t="s">
        <v>67</v>
      </c>
      <c r="E3186" t="s">
        <v>67</v>
      </c>
      <c r="F3186" t="s">
        <v>45</v>
      </c>
      <c r="G3186" s="117">
        <v>318.48</v>
      </c>
    </row>
    <row r="3187" spans="1:7" x14ac:dyDescent="0.25">
      <c r="A3187" s="116" t="s">
        <v>4859</v>
      </c>
      <c r="B3187" s="117" t="s">
        <v>4860</v>
      </c>
      <c r="C3187" t="s">
        <v>67</v>
      </c>
      <c r="D3187" t="s">
        <v>67</v>
      </c>
      <c r="E3187" t="s">
        <v>67</v>
      </c>
      <c r="F3187" t="s">
        <v>45</v>
      </c>
      <c r="G3187" s="117">
        <v>271.85000000000002</v>
      </c>
    </row>
    <row r="3188" spans="1:7" x14ac:dyDescent="0.25">
      <c r="A3188" s="116" t="s">
        <v>4861</v>
      </c>
      <c r="B3188" s="117" t="s">
        <v>4862</v>
      </c>
      <c r="C3188" t="s">
        <v>67</v>
      </c>
      <c r="D3188" t="s">
        <v>67</v>
      </c>
      <c r="E3188" t="s">
        <v>67</v>
      </c>
      <c r="F3188" t="s">
        <v>45</v>
      </c>
      <c r="G3188" s="117">
        <v>49.74</v>
      </c>
    </row>
    <row r="3189" spans="1:7" x14ac:dyDescent="0.25">
      <c r="A3189" s="116" t="s">
        <v>4863</v>
      </c>
      <c r="B3189" s="117" t="s">
        <v>4864</v>
      </c>
      <c r="C3189" t="s">
        <v>67</v>
      </c>
      <c r="D3189" t="s">
        <v>67</v>
      </c>
      <c r="E3189" t="s">
        <v>67</v>
      </c>
      <c r="F3189" t="s">
        <v>49</v>
      </c>
      <c r="G3189" s="117">
        <v>78.209999999999994</v>
      </c>
    </row>
    <row r="3190" spans="1:7" x14ac:dyDescent="0.25">
      <c r="A3190" s="116" t="s">
        <v>4865</v>
      </c>
      <c r="B3190" s="117" t="s">
        <v>4866</v>
      </c>
      <c r="C3190" t="s">
        <v>67</v>
      </c>
      <c r="D3190" t="s">
        <v>67</v>
      </c>
      <c r="E3190" t="s">
        <v>67</v>
      </c>
      <c r="F3190" t="s">
        <v>27987</v>
      </c>
      <c r="G3190" s="117">
        <v>108.74</v>
      </c>
    </row>
    <row r="3191" spans="1:7" x14ac:dyDescent="0.25">
      <c r="A3191" s="116" t="s">
        <v>4867</v>
      </c>
      <c r="B3191" s="117" t="s">
        <v>4868</v>
      </c>
      <c r="C3191" t="s">
        <v>67</v>
      </c>
      <c r="D3191" t="s">
        <v>67</v>
      </c>
      <c r="E3191" t="s">
        <v>67</v>
      </c>
      <c r="F3191" t="s">
        <v>49</v>
      </c>
      <c r="G3191" s="117">
        <v>88.54</v>
      </c>
    </row>
    <row r="3192" spans="1:7" x14ac:dyDescent="0.25">
      <c r="A3192" s="116" t="s">
        <v>4869</v>
      </c>
      <c r="B3192" s="117" t="s">
        <v>30142</v>
      </c>
      <c r="C3192" t="s">
        <v>67</v>
      </c>
      <c r="D3192" t="s">
        <v>67</v>
      </c>
      <c r="E3192" t="s">
        <v>67</v>
      </c>
      <c r="F3192" t="s">
        <v>27987</v>
      </c>
      <c r="G3192" s="117">
        <v>112.56</v>
      </c>
    </row>
    <row r="3193" spans="1:7" x14ac:dyDescent="0.25">
      <c r="A3193" s="116" t="s">
        <v>4870</v>
      </c>
      <c r="B3193" s="117" t="s">
        <v>4871</v>
      </c>
      <c r="C3193" t="s">
        <v>67</v>
      </c>
      <c r="D3193" t="s">
        <v>67</v>
      </c>
      <c r="E3193" t="s">
        <v>67</v>
      </c>
      <c r="F3193" t="s">
        <v>45</v>
      </c>
      <c r="G3193" s="117">
        <v>154.74</v>
      </c>
    </row>
    <row r="3194" spans="1:7" x14ac:dyDescent="0.25">
      <c r="A3194" s="116" t="s">
        <v>4872</v>
      </c>
      <c r="B3194" s="117" t="s">
        <v>4873</v>
      </c>
      <c r="C3194" t="s">
        <v>67</v>
      </c>
      <c r="D3194" t="s">
        <v>67</v>
      </c>
      <c r="E3194" t="s">
        <v>67</v>
      </c>
      <c r="F3194" t="s">
        <v>45</v>
      </c>
      <c r="G3194" s="117">
        <v>63.08</v>
      </c>
    </row>
    <row r="3195" spans="1:7" x14ac:dyDescent="0.25">
      <c r="A3195" s="116" t="s">
        <v>4874</v>
      </c>
      <c r="B3195" s="117" t="s">
        <v>4873</v>
      </c>
      <c r="C3195" t="s">
        <v>67</v>
      </c>
      <c r="D3195" t="s">
        <v>67</v>
      </c>
      <c r="E3195" t="s">
        <v>67</v>
      </c>
      <c r="F3195" t="s">
        <v>45</v>
      </c>
      <c r="G3195" s="117">
        <v>78.75</v>
      </c>
    </row>
    <row r="3196" spans="1:7" x14ac:dyDescent="0.25">
      <c r="A3196" s="116" t="s">
        <v>4875</v>
      </c>
      <c r="B3196" s="117" t="s">
        <v>4876</v>
      </c>
      <c r="C3196" t="s">
        <v>67</v>
      </c>
      <c r="D3196" t="s">
        <v>67</v>
      </c>
      <c r="E3196" t="s">
        <v>67</v>
      </c>
      <c r="F3196" t="s">
        <v>27987</v>
      </c>
      <c r="G3196" s="117">
        <v>51.52</v>
      </c>
    </row>
    <row r="3197" spans="1:7" x14ac:dyDescent="0.25">
      <c r="A3197" s="116" t="s">
        <v>4877</v>
      </c>
      <c r="B3197" s="117" t="s">
        <v>4878</v>
      </c>
      <c r="C3197" t="s">
        <v>67</v>
      </c>
      <c r="D3197" t="s">
        <v>67</v>
      </c>
      <c r="E3197" t="s">
        <v>67</v>
      </c>
      <c r="F3197" t="s">
        <v>27987</v>
      </c>
      <c r="G3197" s="117">
        <v>351.93</v>
      </c>
    </row>
    <row r="3198" spans="1:7" x14ac:dyDescent="0.25">
      <c r="A3198" s="116" t="s">
        <v>26866</v>
      </c>
      <c r="B3198" s="117" t="s">
        <v>26867</v>
      </c>
      <c r="C3198" t="s">
        <v>67</v>
      </c>
      <c r="D3198" t="s">
        <v>67</v>
      </c>
      <c r="E3198" t="s">
        <v>67</v>
      </c>
      <c r="F3198" t="s">
        <v>49</v>
      </c>
      <c r="G3198" s="117">
        <v>50</v>
      </c>
    </row>
    <row r="3199" spans="1:7" x14ac:dyDescent="0.25">
      <c r="A3199" s="116" t="s">
        <v>4879</v>
      </c>
      <c r="B3199" s="117" t="s">
        <v>4880</v>
      </c>
      <c r="C3199" t="s">
        <v>67</v>
      </c>
      <c r="D3199" t="s">
        <v>67</v>
      </c>
      <c r="E3199" t="s">
        <v>67</v>
      </c>
      <c r="F3199" t="s">
        <v>27990</v>
      </c>
      <c r="G3199" s="117">
        <v>65.760000000000005</v>
      </c>
    </row>
    <row r="3200" spans="1:7" x14ac:dyDescent="0.25">
      <c r="A3200" s="116" t="s">
        <v>4881</v>
      </c>
      <c r="B3200" s="117" t="s">
        <v>4882</v>
      </c>
      <c r="C3200" t="s">
        <v>67</v>
      </c>
      <c r="D3200" t="s">
        <v>67</v>
      </c>
      <c r="E3200" t="s">
        <v>67</v>
      </c>
      <c r="F3200" t="s">
        <v>27987</v>
      </c>
      <c r="G3200" s="117">
        <v>81.42</v>
      </c>
    </row>
    <row r="3201" spans="1:7" x14ac:dyDescent="0.25">
      <c r="A3201" s="116" t="s">
        <v>4883</v>
      </c>
      <c r="B3201" s="117" t="s">
        <v>4884</v>
      </c>
      <c r="C3201" t="s">
        <v>67</v>
      </c>
      <c r="D3201" t="s">
        <v>67</v>
      </c>
      <c r="E3201" t="s">
        <v>67</v>
      </c>
      <c r="F3201" t="s">
        <v>45</v>
      </c>
      <c r="G3201" s="117">
        <v>135.69999999999999</v>
      </c>
    </row>
    <row r="3202" spans="1:7" x14ac:dyDescent="0.25">
      <c r="A3202" s="116" t="s">
        <v>4885</v>
      </c>
      <c r="B3202" s="117" t="s">
        <v>4886</v>
      </c>
      <c r="C3202" t="s">
        <v>67</v>
      </c>
      <c r="D3202" t="s">
        <v>67</v>
      </c>
      <c r="E3202" t="s">
        <v>67</v>
      </c>
      <c r="F3202" t="s">
        <v>27987</v>
      </c>
      <c r="G3202" s="117">
        <v>69.86</v>
      </c>
    </row>
    <row r="3203" spans="1:7" x14ac:dyDescent="0.25">
      <c r="A3203" s="116" t="s">
        <v>4887</v>
      </c>
      <c r="B3203" s="117" t="s">
        <v>4888</v>
      </c>
      <c r="C3203" t="s">
        <v>67</v>
      </c>
      <c r="D3203" t="s">
        <v>67</v>
      </c>
      <c r="E3203" t="s">
        <v>67</v>
      </c>
      <c r="F3203" t="s">
        <v>45</v>
      </c>
      <c r="G3203" s="117">
        <v>49.38</v>
      </c>
    </row>
    <row r="3204" spans="1:7" x14ac:dyDescent="0.25">
      <c r="A3204" s="116" t="s">
        <v>4889</v>
      </c>
      <c r="B3204" s="117" t="s">
        <v>4890</v>
      </c>
      <c r="C3204" t="s">
        <v>67</v>
      </c>
      <c r="D3204" t="s">
        <v>67</v>
      </c>
      <c r="E3204" t="s">
        <v>67</v>
      </c>
      <c r="F3204" t="s">
        <v>27987</v>
      </c>
      <c r="G3204" s="117">
        <v>14.68</v>
      </c>
    </row>
    <row r="3205" spans="1:7" x14ac:dyDescent="0.25">
      <c r="A3205" s="116" t="s">
        <v>4891</v>
      </c>
      <c r="B3205" s="117" t="s">
        <v>4892</v>
      </c>
      <c r="C3205" t="s">
        <v>67</v>
      </c>
      <c r="D3205" t="s">
        <v>67</v>
      </c>
      <c r="E3205" t="s">
        <v>67</v>
      </c>
      <c r="F3205" t="s">
        <v>27987</v>
      </c>
      <c r="G3205" s="117">
        <v>29.81</v>
      </c>
    </row>
    <row r="3206" spans="1:7" x14ac:dyDescent="0.25">
      <c r="A3206" s="116" t="s">
        <v>4893</v>
      </c>
      <c r="B3206" s="117" t="s">
        <v>4894</v>
      </c>
      <c r="C3206" t="s">
        <v>67</v>
      </c>
      <c r="D3206" t="s">
        <v>67</v>
      </c>
      <c r="E3206" t="s">
        <v>67</v>
      </c>
      <c r="F3206" t="s">
        <v>27987</v>
      </c>
      <c r="G3206" s="117">
        <v>140</v>
      </c>
    </row>
    <row r="3207" spans="1:7" x14ac:dyDescent="0.25">
      <c r="A3207" s="116" t="s">
        <v>4895</v>
      </c>
      <c r="B3207" s="117" t="s">
        <v>4896</v>
      </c>
      <c r="C3207" t="s">
        <v>67</v>
      </c>
      <c r="D3207" t="s">
        <v>67</v>
      </c>
      <c r="E3207" t="s">
        <v>67</v>
      </c>
      <c r="F3207" t="s">
        <v>27990</v>
      </c>
      <c r="G3207" s="117">
        <v>38.700000000000003</v>
      </c>
    </row>
    <row r="3208" spans="1:7" x14ac:dyDescent="0.25">
      <c r="A3208" s="116" t="s">
        <v>4897</v>
      </c>
      <c r="B3208" s="117" t="s">
        <v>4898</v>
      </c>
      <c r="C3208" t="s">
        <v>67</v>
      </c>
      <c r="D3208" t="s">
        <v>67</v>
      </c>
      <c r="E3208" t="s">
        <v>67</v>
      </c>
      <c r="F3208" t="s">
        <v>27987</v>
      </c>
      <c r="G3208" s="117">
        <v>88.54</v>
      </c>
    </row>
    <row r="3209" spans="1:7" x14ac:dyDescent="0.25">
      <c r="A3209" s="116" t="s">
        <v>4899</v>
      </c>
      <c r="B3209" s="117" t="s">
        <v>4900</v>
      </c>
      <c r="C3209" t="s">
        <v>67</v>
      </c>
      <c r="D3209" t="s">
        <v>67</v>
      </c>
      <c r="E3209" t="s">
        <v>67</v>
      </c>
      <c r="F3209" t="s">
        <v>45</v>
      </c>
      <c r="G3209" s="117">
        <v>357.62</v>
      </c>
    </row>
    <row r="3210" spans="1:7" x14ac:dyDescent="0.25">
      <c r="A3210" s="116" t="s">
        <v>4901</v>
      </c>
      <c r="B3210" s="117" t="s">
        <v>4902</v>
      </c>
      <c r="C3210" t="s">
        <v>67</v>
      </c>
      <c r="D3210" t="s">
        <v>67</v>
      </c>
      <c r="E3210" t="s">
        <v>67</v>
      </c>
      <c r="F3210" t="s">
        <v>45</v>
      </c>
      <c r="G3210" s="117">
        <v>1356.9</v>
      </c>
    </row>
    <row r="3211" spans="1:7" x14ac:dyDescent="0.25">
      <c r="A3211" s="116" t="s">
        <v>4903</v>
      </c>
      <c r="B3211" s="117" t="s">
        <v>620</v>
      </c>
      <c r="C3211" t="s">
        <v>67</v>
      </c>
      <c r="D3211" t="s">
        <v>67</v>
      </c>
      <c r="E3211" t="s">
        <v>67</v>
      </c>
      <c r="F3211" t="s">
        <v>49</v>
      </c>
      <c r="G3211" s="117">
        <v>311.36</v>
      </c>
    </row>
    <row r="3212" spans="1:7" x14ac:dyDescent="0.25">
      <c r="A3212" s="116" t="s">
        <v>4904</v>
      </c>
      <c r="B3212" s="117" t="s">
        <v>4905</v>
      </c>
      <c r="C3212" t="s">
        <v>67</v>
      </c>
      <c r="D3212" t="s">
        <v>67</v>
      </c>
      <c r="E3212" t="s">
        <v>67</v>
      </c>
      <c r="F3212" t="s">
        <v>45</v>
      </c>
      <c r="G3212" s="117">
        <v>287.86</v>
      </c>
    </row>
    <row r="3213" spans="1:7" x14ac:dyDescent="0.25">
      <c r="A3213" s="116" t="s">
        <v>4906</v>
      </c>
      <c r="B3213" s="117" t="s">
        <v>4907</v>
      </c>
      <c r="C3213" t="s">
        <v>67</v>
      </c>
      <c r="D3213" t="s">
        <v>67</v>
      </c>
      <c r="E3213" t="s">
        <v>67</v>
      </c>
      <c r="F3213" t="s">
        <v>27987</v>
      </c>
      <c r="G3213" s="117">
        <v>73.42</v>
      </c>
    </row>
    <row r="3214" spans="1:7" x14ac:dyDescent="0.25">
      <c r="A3214" s="116" t="s">
        <v>4908</v>
      </c>
      <c r="B3214" s="117" t="s">
        <v>28593</v>
      </c>
      <c r="C3214" t="s">
        <v>67</v>
      </c>
      <c r="D3214" t="s">
        <v>67</v>
      </c>
      <c r="E3214" t="s">
        <v>67</v>
      </c>
      <c r="F3214" t="s">
        <v>45</v>
      </c>
      <c r="G3214" s="117">
        <v>26.25</v>
      </c>
    </row>
    <row r="3215" spans="1:7" x14ac:dyDescent="0.25">
      <c r="A3215" s="116" t="s">
        <v>4909</v>
      </c>
      <c r="B3215" s="117" t="s">
        <v>4910</v>
      </c>
      <c r="C3215" t="s">
        <v>67</v>
      </c>
      <c r="D3215" t="s">
        <v>67</v>
      </c>
      <c r="E3215" t="s">
        <v>67</v>
      </c>
      <c r="F3215" t="s">
        <v>27987</v>
      </c>
      <c r="G3215" s="117">
        <v>293.56</v>
      </c>
    </row>
    <row r="3216" spans="1:7" x14ac:dyDescent="0.25">
      <c r="A3216" s="116" t="s">
        <v>4911</v>
      </c>
      <c r="B3216" s="117" t="s">
        <v>4912</v>
      </c>
      <c r="C3216" t="s">
        <v>67</v>
      </c>
      <c r="D3216" t="s">
        <v>67</v>
      </c>
      <c r="E3216" t="s">
        <v>67</v>
      </c>
      <c r="F3216" t="s">
        <v>45</v>
      </c>
      <c r="G3216" s="117">
        <v>51.52</v>
      </c>
    </row>
    <row r="3217" spans="1:7" x14ac:dyDescent="0.25">
      <c r="A3217" s="116" t="s">
        <v>4913</v>
      </c>
      <c r="B3217" s="117" t="s">
        <v>4914</v>
      </c>
      <c r="C3217" t="s">
        <v>67</v>
      </c>
      <c r="D3217" t="s">
        <v>67</v>
      </c>
      <c r="E3217" t="s">
        <v>67</v>
      </c>
      <c r="F3217" t="s">
        <v>45</v>
      </c>
      <c r="G3217" s="117">
        <v>21910.54</v>
      </c>
    </row>
    <row r="3218" spans="1:7" x14ac:dyDescent="0.25">
      <c r="A3218" s="116" t="s">
        <v>4915</v>
      </c>
      <c r="B3218" s="117" t="s">
        <v>4916</v>
      </c>
      <c r="C3218" t="s">
        <v>67</v>
      </c>
      <c r="D3218" t="s">
        <v>67</v>
      </c>
      <c r="E3218" t="s">
        <v>67</v>
      </c>
      <c r="F3218" t="s">
        <v>27987</v>
      </c>
      <c r="G3218" s="117">
        <v>23.94</v>
      </c>
    </row>
    <row r="3219" spans="1:7" x14ac:dyDescent="0.25">
      <c r="A3219" s="116" t="s">
        <v>4917</v>
      </c>
      <c r="B3219" s="117" t="s">
        <v>4918</v>
      </c>
      <c r="C3219" t="s">
        <v>67</v>
      </c>
      <c r="D3219" t="s">
        <v>67</v>
      </c>
      <c r="E3219" t="s">
        <v>67</v>
      </c>
      <c r="F3219" t="s">
        <v>51</v>
      </c>
      <c r="G3219" s="117">
        <v>16.82</v>
      </c>
    </row>
    <row r="3220" spans="1:7" x14ac:dyDescent="0.25">
      <c r="A3220" s="116" t="s">
        <v>4919</v>
      </c>
      <c r="B3220" s="117" t="s">
        <v>4920</v>
      </c>
      <c r="C3220" t="s">
        <v>67</v>
      </c>
      <c r="D3220" t="s">
        <v>67</v>
      </c>
      <c r="E3220" t="s">
        <v>67</v>
      </c>
      <c r="F3220" t="s">
        <v>27987</v>
      </c>
      <c r="G3220" s="117">
        <v>22.26</v>
      </c>
    </row>
    <row r="3221" spans="1:7" x14ac:dyDescent="0.25">
      <c r="A3221" s="116" t="s">
        <v>4921</v>
      </c>
      <c r="B3221" s="117" t="s">
        <v>4922</v>
      </c>
      <c r="C3221" t="s">
        <v>67</v>
      </c>
      <c r="D3221" t="s">
        <v>67</v>
      </c>
      <c r="E3221" t="s">
        <v>67</v>
      </c>
      <c r="F3221" t="s">
        <v>27987</v>
      </c>
      <c r="G3221" s="117">
        <v>141.93</v>
      </c>
    </row>
    <row r="3222" spans="1:7" x14ac:dyDescent="0.25">
      <c r="A3222" s="116" t="s">
        <v>4923</v>
      </c>
      <c r="B3222" s="117" t="s">
        <v>4924</v>
      </c>
      <c r="C3222" t="s">
        <v>67</v>
      </c>
      <c r="D3222" t="s">
        <v>67</v>
      </c>
      <c r="E3222" t="s">
        <v>67</v>
      </c>
      <c r="F3222" t="s">
        <v>49</v>
      </c>
      <c r="G3222" s="117">
        <v>34.65</v>
      </c>
    </row>
    <row r="3223" spans="1:7" x14ac:dyDescent="0.25">
      <c r="A3223" s="116" t="s">
        <v>4925</v>
      </c>
      <c r="B3223" s="117" t="s">
        <v>4926</v>
      </c>
      <c r="C3223" t="s">
        <v>67</v>
      </c>
      <c r="D3223" t="s">
        <v>67</v>
      </c>
      <c r="E3223" t="s">
        <v>67</v>
      </c>
      <c r="F3223" t="s">
        <v>45</v>
      </c>
      <c r="G3223" s="117">
        <v>1010.4</v>
      </c>
    </row>
    <row r="3224" spans="1:7" x14ac:dyDescent="0.25">
      <c r="A3224" s="116" t="s">
        <v>28021</v>
      </c>
      <c r="B3224" s="117" t="s">
        <v>28022</v>
      </c>
      <c r="C3224" t="s">
        <v>67</v>
      </c>
      <c r="D3224" t="s">
        <v>67</v>
      </c>
      <c r="E3224" t="s">
        <v>67</v>
      </c>
      <c r="F3224" t="s">
        <v>45</v>
      </c>
      <c r="G3224" s="117">
        <v>200</v>
      </c>
    </row>
    <row r="3225" spans="1:7" x14ac:dyDescent="0.25">
      <c r="A3225" s="116" t="s">
        <v>4927</v>
      </c>
      <c r="B3225" s="117" t="s">
        <v>4928</v>
      </c>
      <c r="C3225" t="s">
        <v>67</v>
      </c>
      <c r="D3225" t="s">
        <v>67</v>
      </c>
      <c r="E3225" t="s">
        <v>67</v>
      </c>
      <c r="F3225" t="s">
        <v>27987</v>
      </c>
      <c r="G3225" s="117">
        <v>25.36</v>
      </c>
    </row>
    <row r="3226" spans="1:7" x14ac:dyDescent="0.25">
      <c r="A3226" s="116" t="s">
        <v>4929</v>
      </c>
      <c r="B3226" s="117" t="s">
        <v>4930</v>
      </c>
      <c r="C3226" t="s">
        <v>67</v>
      </c>
      <c r="D3226" t="s">
        <v>67</v>
      </c>
      <c r="E3226" t="s">
        <v>67</v>
      </c>
      <c r="F3226" t="s">
        <v>45</v>
      </c>
      <c r="G3226" s="117">
        <v>358.51</v>
      </c>
    </row>
    <row r="3227" spans="1:7" x14ac:dyDescent="0.25">
      <c r="A3227" s="116" t="s">
        <v>4931</v>
      </c>
      <c r="B3227" s="117" t="s">
        <v>4932</v>
      </c>
      <c r="C3227" t="s">
        <v>67</v>
      </c>
      <c r="D3227" t="s">
        <v>67</v>
      </c>
      <c r="E3227" t="s">
        <v>67</v>
      </c>
      <c r="F3227" t="s">
        <v>27987</v>
      </c>
      <c r="G3227" s="117">
        <v>31.94</v>
      </c>
    </row>
    <row r="3228" spans="1:7" x14ac:dyDescent="0.25">
      <c r="A3228" s="116" t="s">
        <v>4933</v>
      </c>
      <c r="B3228" s="117" t="s">
        <v>4934</v>
      </c>
      <c r="C3228" t="s">
        <v>67</v>
      </c>
      <c r="D3228" t="s">
        <v>67</v>
      </c>
      <c r="E3228" t="s">
        <v>67</v>
      </c>
      <c r="F3228" t="s">
        <v>27987</v>
      </c>
      <c r="G3228" s="117">
        <v>55.98</v>
      </c>
    </row>
    <row r="3229" spans="1:7" x14ac:dyDescent="0.25">
      <c r="A3229" s="116" t="s">
        <v>4935</v>
      </c>
      <c r="B3229" s="117" t="s">
        <v>4936</v>
      </c>
      <c r="C3229" t="s">
        <v>67</v>
      </c>
      <c r="D3229" t="s">
        <v>67</v>
      </c>
      <c r="E3229" t="s">
        <v>67</v>
      </c>
      <c r="F3229" t="s">
        <v>27990</v>
      </c>
      <c r="G3229" s="117">
        <v>63</v>
      </c>
    </row>
    <row r="3230" spans="1:7" x14ac:dyDescent="0.25">
      <c r="A3230" s="116" t="s">
        <v>4937</v>
      </c>
      <c r="B3230" s="117" t="s">
        <v>4938</v>
      </c>
      <c r="C3230" t="s">
        <v>67</v>
      </c>
      <c r="D3230" t="s">
        <v>67</v>
      </c>
      <c r="E3230" t="s">
        <v>67</v>
      </c>
      <c r="F3230" t="s">
        <v>49</v>
      </c>
      <c r="G3230" s="117">
        <v>86.76</v>
      </c>
    </row>
    <row r="3231" spans="1:7" x14ac:dyDescent="0.25">
      <c r="A3231" s="116" t="s">
        <v>4939</v>
      </c>
      <c r="B3231" s="117" t="s">
        <v>4940</v>
      </c>
      <c r="C3231" t="s">
        <v>67</v>
      </c>
      <c r="D3231" t="s">
        <v>67</v>
      </c>
      <c r="E3231" t="s">
        <v>67</v>
      </c>
      <c r="F3231" t="s">
        <v>45</v>
      </c>
      <c r="G3231" s="117">
        <v>185.88</v>
      </c>
    </row>
    <row r="3232" spans="1:7" x14ac:dyDescent="0.25">
      <c r="A3232" s="116" t="s">
        <v>4941</v>
      </c>
      <c r="B3232" s="117" t="s">
        <v>4942</v>
      </c>
      <c r="C3232" t="s">
        <v>67</v>
      </c>
      <c r="D3232" t="s">
        <v>67</v>
      </c>
      <c r="E3232" t="s">
        <v>67</v>
      </c>
      <c r="F3232" t="s">
        <v>27987</v>
      </c>
      <c r="G3232" s="117">
        <v>42.62</v>
      </c>
    </row>
    <row r="3233" spans="1:7" x14ac:dyDescent="0.25">
      <c r="A3233" s="116" t="s">
        <v>4943</v>
      </c>
      <c r="B3233" s="117" t="s">
        <v>28594</v>
      </c>
      <c r="C3233" t="s">
        <v>67</v>
      </c>
      <c r="D3233" t="s">
        <v>67</v>
      </c>
      <c r="E3233" t="s">
        <v>67</v>
      </c>
      <c r="F3233" t="s">
        <v>27987</v>
      </c>
      <c r="G3233" s="117">
        <v>92.1</v>
      </c>
    </row>
    <row r="3234" spans="1:7" x14ac:dyDescent="0.25">
      <c r="A3234" s="116" t="s">
        <v>4944</v>
      </c>
      <c r="B3234" s="117" t="s">
        <v>4945</v>
      </c>
      <c r="C3234" t="s">
        <v>67</v>
      </c>
      <c r="D3234" t="s">
        <v>67</v>
      </c>
      <c r="E3234" t="s">
        <v>67</v>
      </c>
      <c r="F3234" t="s">
        <v>27987</v>
      </c>
      <c r="G3234" s="117">
        <v>212.58</v>
      </c>
    </row>
    <row r="3235" spans="1:7" x14ac:dyDescent="0.25">
      <c r="A3235" s="116" t="s">
        <v>4946</v>
      </c>
      <c r="B3235" s="117" t="s">
        <v>4947</v>
      </c>
      <c r="C3235" t="s">
        <v>67</v>
      </c>
      <c r="D3235" t="s">
        <v>67</v>
      </c>
      <c r="E3235" t="s">
        <v>67</v>
      </c>
      <c r="F3235" t="s">
        <v>27987</v>
      </c>
      <c r="G3235" s="117">
        <v>169.87</v>
      </c>
    </row>
    <row r="3236" spans="1:7" x14ac:dyDescent="0.25">
      <c r="A3236" s="116" t="s">
        <v>4948</v>
      </c>
      <c r="B3236" s="117" t="s">
        <v>4949</v>
      </c>
      <c r="C3236" t="s">
        <v>67</v>
      </c>
      <c r="D3236" t="s">
        <v>67</v>
      </c>
      <c r="E3236" t="s">
        <v>67</v>
      </c>
      <c r="F3236" t="s">
        <v>27987</v>
      </c>
      <c r="G3236" s="117">
        <v>31.06</v>
      </c>
    </row>
    <row r="3237" spans="1:7" x14ac:dyDescent="0.25">
      <c r="A3237" s="116" t="s">
        <v>26548</v>
      </c>
      <c r="B3237" s="117" t="s">
        <v>28595</v>
      </c>
      <c r="C3237" t="s">
        <v>67</v>
      </c>
      <c r="D3237" t="s">
        <v>67</v>
      </c>
      <c r="E3237" t="s">
        <v>67</v>
      </c>
      <c r="F3237" t="s">
        <v>27987</v>
      </c>
      <c r="G3237" s="117">
        <v>82</v>
      </c>
    </row>
    <row r="3238" spans="1:7" x14ac:dyDescent="0.25">
      <c r="A3238" s="116" t="s">
        <v>4950</v>
      </c>
      <c r="B3238" s="117" t="s">
        <v>4951</v>
      </c>
      <c r="C3238" t="s">
        <v>67</v>
      </c>
      <c r="D3238" t="s">
        <v>67</v>
      </c>
      <c r="E3238" t="s">
        <v>67</v>
      </c>
      <c r="F3238" t="s">
        <v>27987</v>
      </c>
      <c r="G3238" s="117">
        <v>81.77</v>
      </c>
    </row>
    <row r="3239" spans="1:7" x14ac:dyDescent="0.25">
      <c r="A3239" s="116" t="s">
        <v>4952</v>
      </c>
      <c r="B3239" s="117" t="s">
        <v>4953</v>
      </c>
      <c r="C3239" t="s">
        <v>67</v>
      </c>
      <c r="D3239" t="s">
        <v>67</v>
      </c>
      <c r="E3239" t="s">
        <v>67</v>
      </c>
      <c r="F3239" t="s">
        <v>27987</v>
      </c>
      <c r="G3239" s="117">
        <v>69.319999999999993</v>
      </c>
    </row>
    <row r="3240" spans="1:7" x14ac:dyDescent="0.25">
      <c r="A3240" s="116" t="s">
        <v>4954</v>
      </c>
      <c r="B3240" s="117" t="s">
        <v>4955</v>
      </c>
      <c r="C3240" t="s">
        <v>67</v>
      </c>
      <c r="D3240" t="s">
        <v>67</v>
      </c>
      <c r="E3240" t="s">
        <v>67</v>
      </c>
      <c r="F3240" t="s">
        <v>27987</v>
      </c>
      <c r="G3240" s="117">
        <v>548.58000000000004</v>
      </c>
    </row>
    <row r="3241" spans="1:7" x14ac:dyDescent="0.25">
      <c r="A3241" s="116" t="s">
        <v>4956</v>
      </c>
      <c r="B3241" s="117" t="s">
        <v>4957</v>
      </c>
      <c r="C3241" t="s">
        <v>67</v>
      </c>
      <c r="D3241" t="s">
        <v>67</v>
      </c>
      <c r="E3241" t="s">
        <v>67</v>
      </c>
      <c r="F3241" t="s">
        <v>27987</v>
      </c>
      <c r="G3241" s="117">
        <v>288.75</v>
      </c>
    </row>
    <row r="3242" spans="1:7" x14ac:dyDescent="0.25">
      <c r="A3242" s="116" t="s">
        <v>4958</v>
      </c>
      <c r="B3242" s="117" t="s">
        <v>4959</v>
      </c>
      <c r="C3242" t="s">
        <v>67</v>
      </c>
      <c r="D3242" t="s">
        <v>67</v>
      </c>
      <c r="E3242" t="s">
        <v>67</v>
      </c>
      <c r="F3242" t="s">
        <v>27987</v>
      </c>
      <c r="G3242" s="117">
        <v>531.14</v>
      </c>
    </row>
    <row r="3243" spans="1:7" x14ac:dyDescent="0.25">
      <c r="A3243" s="116" t="s">
        <v>4960</v>
      </c>
      <c r="B3243" s="117" t="s">
        <v>4583</v>
      </c>
      <c r="C3243" t="s">
        <v>67</v>
      </c>
      <c r="D3243" t="s">
        <v>67</v>
      </c>
      <c r="E3243" t="s">
        <v>67</v>
      </c>
      <c r="F3243" t="s">
        <v>49</v>
      </c>
      <c r="G3243" s="117">
        <v>27.14</v>
      </c>
    </row>
    <row r="3244" spans="1:7" x14ac:dyDescent="0.25">
      <c r="A3244" s="116" t="s">
        <v>4961</v>
      </c>
      <c r="B3244" s="117" t="s">
        <v>4962</v>
      </c>
      <c r="C3244" t="s">
        <v>67</v>
      </c>
      <c r="D3244" t="s">
        <v>67</v>
      </c>
      <c r="E3244" t="s">
        <v>67</v>
      </c>
      <c r="F3244" t="s">
        <v>45</v>
      </c>
      <c r="G3244" s="117">
        <v>249.36</v>
      </c>
    </row>
    <row r="3245" spans="1:7" x14ac:dyDescent="0.25">
      <c r="A3245" s="116" t="s">
        <v>4963</v>
      </c>
      <c r="B3245" s="117" t="s">
        <v>4962</v>
      </c>
      <c r="C3245" t="s">
        <v>67</v>
      </c>
      <c r="D3245" t="s">
        <v>67</v>
      </c>
      <c r="E3245" t="s">
        <v>67</v>
      </c>
      <c r="F3245" t="s">
        <v>27987</v>
      </c>
      <c r="G3245" s="117">
        <v>192.8</v>
      </c>
    </row>
    <row r="3246" spans="1:7" x14ac:dyDescent="0.25">
      <c r="A3246" s="116" t="s">
        <v>4964</v>
      </c>
      <c r="B3246" s="117" t="s">
        <v>4962</v>
      </c>
      <c r="C3246" t="s">
        <v>67</v>
      </c>
      <c r="D3246" t="s">
        <v>67</v>
      </c>
      <c r="E3246" t="s">
        <v>67</v>
      </c>
      <c r="F3246" t="s">
        <v>45</v>
      </c>
      <c r="G3246" s="117">
        <v>43.98</v>
      </c>
    </row>
    <row r="3247" spans="1:7" x14ac:dyDescent="0.25">
      <c r="A3247" s="116" t="s">
        <v>4965</v>
      </c>
      <c r="B3247" s="117" t="s">
        <v>4962</v>
      </c>
      <c r="C3247" t="s">
        <v>67</v>
      </c>
      <c r="D3247" t="s">
        <v>67</v>
      </c>
      <c r="E3247" t="s">
        <v>67</v>
      </c>
      <c r="F3247" t="s">
        <v>45</v>
      </c>
      <c r="G3247" s="117">
        <v>237.71</v>
      </c>
    </row>
    <row r="3248" spans="1:7" x14ac:dyDescent="0.25">
      <c r="A3248" s="116" t="s">
        <v>4966</v>
      </c>
      <c r="B3248" s="117" t="s">
        <v>4962</v>
      </c>
      <c r="C3248" t="s">
        <v>67</v>
      </c>
      <c r="D3248" t="s">
        <v>67</v>
      </c>
      <c r="E3248" t="s">
        <v>67</v>
      </c>
      <c r="F3248" t="s">
        <v>27987</v>
      </c>
      <c r="G3248" s="117">
        <v>192.8</v>
      </c>
    </row>
    <row r="3249" spans="1:7" x14ac:dyDescent="0.25">
      <c r="A3249" s="116" t="s">
        <v>4967</v>
      </c>
      <c r="B3249" s="117" t="s">
        <v>30143</v>
      </c>
      <c r="C3249" t="s">
        <v>67</v>
      </c>
      <c r="D3249" t="s">
        <v>67</v>
      </c>
      <c r="E3249" t="s">
        <v>67</v>
      </c>
      <c r="F3249" t="s">
        <v>27987</v>
      </c>
      <c r="G3249" s="117">
        <v>156.36000000000001</v>
      </c>
    </row>
    <row r="3250" spans="1:7" x14ac:dyDescent="0.25">
      <c r="A3250" s="116" t="s">
        <v>4968</v>
      </c>
      <c r="B3250" s="117" t="s">
        <v>30144</v>
      </c>
      <c r="C3250" t="s">
        <v>67</v>
      </c>
      <c r="D3250" t="s">
        <v>67</v>
      </c>
      <c r="E3250" t="s">
        <v>67</v>
      </c>
      <c r="F3250" t="s">
        <v>45</v>
      </c>
      <c r="G3250" s="117">
        <v>156.36000000000001</v>
      </c>
    </row>
    <row r="3251" spans="1:7" x14ac:dyDescent="0.25">
      <c r="A3251" s="116" t="s">
        <v>4969</v>
      </c>
      <c r="B3251" s="117" t="s">
        <v>30145</v>
      </c>
      <c r="C3251" t="s">
        <v>67</v>
      </c>
      <c r="D3251" t="s">
        <v>67</v>
      </c>
      <c r="E3251" t="s">
        <v>67</v>
      </c>
      <c r="F3251" t="s">
        <v>27987</v>
      </c>
      <c r="G3251" s="117">
        <v>548.22</v>
      </c>
    </row>
    <row r="3252" spans="1:7" x14ac:dyDescent="0.25">
      <c r="A3252" s="116" t="s">
        <v>4970</v>
      </c>
      <c r="B3252" s="117" t="s">
        <v>30146</v>
      </c>
      <c r="C3252" t="s">
        <v>67</v>
      </c>
      <c r="D3252" t="s">
        <v>67</v>
      </c>
      <c r="E3252" t="s">
        <v>67</v>
      </c>
      <c r="F3252" t="s">
        <v>27987</v>
      </c>
      <c r="G3252" s="117">
        <v>426.69</v>
      </c>
    </row>
    <row r="3253" spans="1:7" x14ac:dyDescent="0.25">
      <c r="A3253" s="116" t="s">
        <v>4971</v>
      </c>
      <c r="B3253" s="117" t="s">
        <v>4972</v>
      </c>
      <c r="C3253" t="s">
        <v>67</v>
      </c>
      <c r="D3253" t="s">
        <v>67</v>
      </c>
      <c r="E3253" t="s">
        <v>67</v>
      </c>
      <c r="F3253" t="s">
        <v>45</v>
      </c>
      <c r="G3253" s="117">
        <v>303.31</v>
      </c>
    </row>
    <row r="3254" spans="1:7" x14ac:dyDescent="0.25">
      <c r="A3254" s="116" t="s">
        <v>4973</v>
      </c>
      <c r="B3254" s="117" t="s">
        <v>4974</v>
      </c>
      <c r="C3254" t="s">
        <v>67</v>
      </c>
      <c r="D3254" t="s">
        <v>67</v>
      </c>
      <c r="E3254" t="s">
        <v>67</v>
      </c>
      <c r="F3254" t="s">
        <v>45</v>
      </c>
      <c r="G3254" s="117">
        <v>1800</v>
      </c>
    </row>
    <row r="3255" spans="1:7" x14ac:dyDescent="0.25">
      <c r="A3255" s="116" t="s">
        <v>4975</v>
      </c>
      <c r="B3255" s="117" t="s">
        <v>4976</v>
      </c>
      <c r="C3255" t="s">
        <v>67</v>
      </c>
      <c r="D3255" t="s">
        <v>67</v>
      </c>
      <c r="E3255" t="s">
        <v>67</v>
      </c>
      <c r="F3255" t="s">
        <v>27987</v>
      </c>
      <c r="G3255" s="117">
        <v>92.8</v>
      </c>
    </row>
    <row r="3256" spans="1:7" x14ac:dyDescent="0.25">
      <c r="A3256" s="116" t="s">
        <v>4977</v>
      </c>
      <c r="B3256" s="117" t="s">
        <v>4978</v>
      </c>
      <c r="C3256" t="s">
        <v>67</v>
      </c>
      <c r="D3256" t="s">
        <v>67</v>
      </c>
      <c r="E3256" t="s">
        <v>67</v>
      </c>
      <c r="F3256" t="s">
        <v>45</v>
      </c>
      <c r="G3256" s="117">
        <v>182.97</v>
      </c>
    </row>
    <row r="3257" spans="1:7" x14ac:dyDescent="0.25">
      <c r="A3257" s="116" t="s">
        <v>4979</v>
      </c>
      <c r="B3257" s="117" t="s">
        <v>4980</v>
      </c>
      <c r="C3257" t="s">
        <v>67</v>
      </c>
      <c r="D3257" t="s">
        <v>67</v>
      </c>
      <c r="E3257" t="s">
        <v>67</v>
      </c>
      <c r="F3257" t="s">
        <v>45</v>
      </c>
      <c r="G3257" s="117">
        <v>130.93</v>
      </c>
    </row>
    <row r="3258" spans="1:7" x14ac:dyDescent="0.25">
      <c r="A3258" s="116" t="s">
        <v>4981</v>
      </c>
      <c r="B3258" s="117" t="s">
        <v>4982</v>
      </c>
      <c r="C3258" t="s">
        <v>67</v>
      </c>
      <c r="D3258" t="s">
        <v>67</v>
      </c>
      <c r="E3258" t="s">
        <v>67</v>
      </c>
      <c r="F3258" t="s">
        <v>27987</v>
      </c>
      <c r="G3258" s="117">
        <v>4.1500000000000004</v>
      </c>
    </row>
    <row r="3259" spans="1:7" x14ac:dyDescent="0.25">
      <c r="A3259" s="116" t="s">
        <v>4983</v>
      </c>
      <c r="B3259" s="117" t="s">
        <v>4984</v>
      </c>
      <c r="C3259" t="s">
        <v>67</v>
      </c>
      <c r="D3259" t="s">
        <v>67</v>
      </c>
      <c r="E3259" t="s">
        <v>67</v>
      </c>
      <c r="F3259" t="s">
        <v>27987</v>
      </c>
      <c r="G3259" s="117">
        <v>83.81</v>
      </c>
    </row>
    <row r="3260" spans="1:7" x14ac:dyDescent="0.25">
      <c r="A3260" s="116" t="s">
        <v>4985</v>
      </c>
      <c r="B3260" s="117" t="s">
        <v>4986</v>
      </c>
      <c r="C3260" t="s">
        <v>67</v>
      </c>
      <c r="D3260" t="s">
        <v>67</v>
      </c>
      <c r="E3260" t="s">
        <v>67</v>
      </c>
      <c r="F3260" t="s">
        <v>27987</v>
      </c>
      <c r="G3260" s="117">
        <v>83.81</v>
      </c>
    </row>
    <row r="3261" spans="1:7" x14ac:dyDescent="0.25">
      <c r="A3261" s="116" t="s">
        <v>4987</v>
      </c>
      <c r="B3261" s="117" t="s">
        <v>4988</v>
      </c>
      <c r="C3261" t="s">
        <v>67</v>
      </c>
      <c r="D3261" t="s">
        <v>67</v>
      </c>
      <c r="E3261" t="s">
        <v>67</v>
      </c>
      <c r="F3261" t="s">
        <v>27987</v>
      </c>
      <c r="G3261" s="117">
        <v>1750</v>
      </c>
    </row>
    <row r="3262" spans="1:7" x14ac:dyDescent="0.25">
      <c r="A3262" s="116" t="s">
        <v>4989</v>
      </c>
      <c r="B3262" s="117" t="s">
        <v>4990</v>
      </c>
      <c r="C3262" t="s">
        <v>67</v>
      </c>
      <c r="D3262" t="s">
        <v>67</v>
      </c>
      <c r="E3262" t="s">
        <v>67</v>
      </c>
      <c r="F3262" t="s">
        <v>27987</v>
      </c>
      <c r="G3262" s="117">
        <v>10000</v>
      </c>
    </row>
    <row r="3263" spans="1:7" x14ac:dyDescent="0.25">
      <c r="A3263" s="116" t="s">
        <v>4991</v>
      </c>
      <c r="B3263" s="117" t="s">
        <v>4992</v>
      </c>
      <c r="C3263" t="s">
        <v>67</v>
      </c>
      <c r="D3263" t="s">
        <v>67</v>
      </c>
      <c r="E3263" t="s">
        <v>67</v>
      </c>
      <c r="F3263" t="s">
        <v>45</v>
      </c>
      <c r="G3263" s="117">
        <v>28536.86</v>
      </c>
    </row>
    <row r="3264" spans="1:7" x14ac:dyDescent="0.25">
      <c r="A3264" s="116" t="s">
        <v>4993</v>
      </c>
      <c r="B3264" s="117" t="s">
        <v>4994</v>
      </c>
      <c r="C3264" t="s">
        <v>67</v>
      </c>
      <c r="D3264" t="s">
        <v>67</v>
      </c>
      <c r="E3264" t="s">
        <v>67</v>
      </c>
      <c r="F3264" t="s">
        <v>45</v>
      </c>
      <c r="G3264" s="117">
        <v>4963.1400000000003</v>
      </c>
    </row>
    <row r="3265" spans="1:7" x14ac:dyDescent="0.25">
      <c r="A3265" s="116" t="s">
        <v>4995</v>
      </c>
      <c r="B3265" s="117" t="s">
        <v>4996</v>
      </c>
      <c r="C3265" t="s">
        <v>67</v>
      </c>
      <c r="D3265" t="s">
        <v>67</v>
      </c>
      <c r="E3265" t="s">
        <v>67</v>
      </c>
      <c r="F3265" t="s">
        <v>45</v>
      </c>
      <c r="G3265" s="117">
        <v>400</v>
      </c>
    </row>
    <row r="3266" spans="1:7" x14ac:dyDescent="0.25">
      <c r="A3266" s="116" t="s">
        <v>4997</v>
      </c>
      <c r="B3266" s="117" t="s">
        <v>4998</v>
      </c>
      <c r="C3266" t="s">
        <v>67</v>
      </c>
      <c r="D3266" t="s">
        <v>67</v>
      </c>
      <c r="E3266" t="s">
        <v>67</v>
      </c>
      <c r="F3266" t="s">
        <v>45</v>
      </c>
      <c r="G3266" s="117">
        <v>500</v>
      </c>
    </row>
    <row r="3267" spans="1:7" x14ac:dyDescent="0.25">
      <c r="A3267" s="116" t="s">
        <v>4999</v>
      </c>
      <c r="B3267" s="117" t="s">
        <v>5000</v>
      </c>
      <c r="C3267" t="s">
        <v>67</v>
      </c>
      <c r="D3267" t="s">
        <v>67</v>
      </c>
      <c r="E3267" t="s">
        <v>67</v>
      </c>
      <c r="F3267" t="s">
        <v>27987</v>
      </c>
      <c r="G3267" s="117">
        <v>2741.1</v>
      </c>
    </row>
    <row r="3268" spans="1:7" x14ac:dyDescent="0.25">
      <c r="A3268" s="116" t="s">
        <v>5001</v>
      </c>
      <c r="B3268" s="117" t="s">
        <v>5002</v>
      </c>
      <c r="C3268" t="s">
        <v>67</v>
      </c>
      <c r="D3268" t="s">
        <v>67</v>
      </c>
      <c r="E3268" t="s">
        <v>67</v>
      </c>
      <c r="F3268" t="s">
        <v>45</v>
      </c>
      <c r="G3268" s="117">
        <v>125.85</v>
      </c>
    </row>
    <row r="3269" spans="1:7" x14ac:dyDescent="0.25">
      <c r="A3269" s="116" t="s">
        <v>5003</v>
      </c>
      <c r="B3269" s="117" t="s">
        <v>5004</v>
      </c>
      <c r="C3269" t="s">
        <v>67</v>
      </c>
      <c r="D3269" t="s">
        <v>67</v>
      </c>
      <c r="E3269" t="s">
        <v>67</v>
      </c>
      <c r="F3269" t="s">
        <v>45</v>
      </c>
      <c r="G3269" s="117">
        <v>74.150000000000006</v>
      </c>
    </row>
    <row r="3270" spans="1:7" x14ac:dyDescent="0.25">
      <c r="A3270" s="116" t="s">
        <v>5005</v>
      </c>
      <c r="B3270" s="117" t="s">
        <v>5006</v>
      </c>
      <c r="C3270" t="s">
        <v>67</v>
      </c>
      <c r="D3270" t="s">
        <v>67</v>
      </c>
      <c r="E3270" t="s">
        <v>67</v>
      </c>
      <c r="F3270" t="s">
        <v>45</v>
      </c>
      <c r="G3270" s="117">
        <v>80.42</v>
      </c>
    </row>
    <row r="3271" spans="1:7" x14ac:dyDescent="0.25">
      <c r="A3271" s="116" t="s">
        <v>5007</v>
      </c>
      <c r="B3271" s="117" t="s">
        <v>5008</v>
      </c>
      <c r="C3271" t="s">
        <v>67</v>
      </c>
      <c r="D3271" t="s">
        <v>67</v>
      </c>
      <c r="E3271" t="s">
        <v>67</v>
      </c>
      <c r="F3271" t="s">
        <v>27987</v>
      </c>
      <c r="G3271" s="117">
        <v>100.76</v>
      </c>
    </row>
    <row r="3272" spans="1:7" x14ac:dyDescent="0.25">
      <c r="A3272" s="116" t="s">
        <v>5009</v>
      </c>
      <c r="B3272" s="117" t="s">
        <v>5010</v>
      </c>
      <c r="C3272" t="s">
        <v>67</v>
      </c>
      <c r="D3272" t="s">
        <v>67</v>
      </c>
      <c r="E3272" t="s">
        <v>67</v>
      </c>
      <c r="F3272" t="s">
        <v>27987</v>
      </c>
      <c r="G3272" s="117">
        <v>46.53</v>
      </c>
    </row>
    <row r="3273" spans="1:7" x14ac:dyDescent="0.25">
      <c r="A3273" s="116" t="s">
        <v>5011</v>
      </c>
      <c r="B3273" s="117" t="s">
        <v>5012</v>
      </c>
      <c r="C3273" t="s">
        <v>67</v>
      </c>
      <c r="D3273" t="s">
        <v>67</v>
      </c>
      <c r="E3273" t="s">
        <v>67</v>
      </c>
      <c r="F3273" t="s">
        <v>27987</v>
      </c>
      <c r="G3273" s="117">
        <v>55</v>
      </c>
    </row>
    <row r="3274" spans="1:7" x14ac:dyDescent="0.25">
      <c r="A3274" s="116" t="s">
        <v>5013</v>
      </c>
      <c r="B3274" s="117" t="s">
        <v>5014</v>
      </c>
      <c r="C3274" t="s">
        <v>67</v>
      </c>
      <c r="D3274" t="s">
        <v>67</v>
      </c>
      <c r="E3274" t="s">
        <v>67</v>
      </c>
      <c r="F3274" t="s">
        <v>27987</v>
      </c>
      <c r="G3274" s="117">
        <v>61.44</v>
      </c>
    </row>
    <row r="3275" spans="1:7" x14ac:dyDescent="0.25">
      <c r="A3275" s="116" t="s">
        <v>5015</v>
      </c>
      <c r="B3275" s="117" t="s">
        <v>5016</v>
      </c>
      <c r="C3275" t="s">
        <v>67</v>
      </c>
      <c r="D3275" t="s">
        <v>67</v>
      </c>
      <c r="E3275" t="s">
        <v>67</v>
      </c>
      <c r="F3275" t="s">
        <v>45</v>
      </c>
      <c r="G3275" s="117">
        <v>463.14</v>
      </c>
    </row>
    <row r="3276" spans="1:7" x14ac:dyDescent="0.25">
      <c r="A3276" s="116" t="s">
        <v>5017</v>
      </c>
      <c r="B3276" s="117" t="s">
        <v>5018</v>
      </c>
      <c r="C3276" t="s">
        <v>67</v>
      </c>
      <c r="D3276" t="s">
        <v>67</v>
      </c>
      <c r="E3276" t="s">
        <v>67</v>
      </c>
      <c r="F3276" t="s">
        <v>45</v>
      </c>
      <c r="G3276" s="117">
        <v>73.31</v>
      </c>
    </row>
    <row r="3277" spans="1:7" x14ac:dyDescent="0.25">
      <c r="A3277" s="116" t="s">
        <v>5019</v>
      </c>
      <c r="B3277" s="117" t="s">
        <v>5018</v>
      </c>
      <c r="C3277" t="s">
        <v>67</v>
      </c>
      <c r="D3277" t="s">
        <v>67</v>
      </c>
      <c r="E3277" t="s">
        <v>67</v>
      </c>
      <c r="F3277" t="s">
        <v>45</v>
      </c>
      <c r="G3277" s="117">
        <v>243.64</v>
      </c>
    </row>
    <row r="3278" spans="1:7" x14ac:dyDescent="0.25">
      <c r="A3278" s="116" t="s">
        <v>5020</v>
      </c>
      <c r="B3278" s="117" t="s">
        <v>5021</v>
      </c>
      <c r="C3278" t="s">
        <v>67</v>
      </c>
      <c r="D3278" t="s">
        <v>67</v>
      </c>
      <c r="E3278" t="s">
        <v>67</v>
      </c>
      <c r="F3278" t="s">
        <v>45</v>
      </c>
      <c r="G3278" s="117">
        <v>450</v>
      </c>
    </row>
    <row r="3279" spans="1:7" x14ac:dyDescent="0.25">
      <c r="A3279" s="116" t="s">
        <v>5022</v>
      </c>
      <c r="B3279" s="117" t="s">
        <v>5023</v>
      </c>
      <c r="C3279" t="s">
        <v>67</v>
      </c>
      <c r="D3279" t="s">
        <v>67</v>
      </c>
      <c r="E3279" t="s">
        <v>67</v>
      </c>
      <c r="F3279" t="s">
        <v>45</v>
      </c>
      <c r="G3279" s="117">
        <v>158.05000000000001</v>
      </c>
    </row>
    <row r="3280" spans="1:7" x14ac:dyDescent="0.25">
      <c r="A3280" s="116" t="s">
        <v>5024</v>
      </c>
      <c r="B3280" s="117" t="s">
        <v>5025</v>
      </c>
      <c r="C3280" t="s">
        <v>67</v>
      </c>
      <c r="D3280" t="s">
        <v>67</v>
      </c>
      <c r="E3280" t="s">
        <v>67</v>
      </c>
      <c r="F3280" t="s">
        <v>27987</v>
      </c>
      <c r="G3280" s="117">
        <v>289.41000000000003</v>
      </c>
    </row>
    <row r="3281" spans="1:7" x14ac:dyDescent="0.25">
      <c r="A3281" s="116" t="s">
        <v>5026</v>
      </c>
      <c r="B3281" s="117" t="s">
        <v>5027</v>
      </c>
      <c r="C3281" t="s">
        <v>67</v>
      </c>
      <c r="D3281" t="s">
        <v>67</v>
      </c>
      <c r="E3281" t="s">
        <v>67</v>
      </c>
      <c r="F3281" t="s">
        <v>27987</v>
      </c>
      <c r="G3281" s="117">
        <v>273.64</v>
      </c>
    </row>
    <row r="3282" spans="1:7" x14ac:dyDescent="0.25">
      <c r="A3282" s="116" t="s">
        <v>26554</v>
      </c>
      <c r="B3282" s="117" t="s">
        <v>26555</v>
      </c>
      <c r="C3282" t="s">
        <v>67</v>
      </c>
      <c r="D3282" t="s">
        <v>67</v>
      </c>
      <c r="E3282" t="s">
        <v>67</v>
      </c>
      <c r="F3282" t="s">
        <v>45</v>
      </c>
      <c r="G3282" s="117">
        <v>413.16</v>
      </c>
    </row>
    <row r="3283" spans="1:7" x14ac:dyDescent="0.25">
      <c r="A3283" s="116" t="s">
        <v>5028</v>
      </c>
      <c r="B3283" s="117" t="s">
        <v>5029</v>
      </c>
      <c r="C3283" t="s">
        <v>67</v>
      </c>
      <c r="D3283" t="s">
        <v>67</v>
      </c>
      <c r="E3283" t="s">
        <v>67</v>
      </c>
      <c r="F3283" t="s">
        <v>27987</v>
      </c>
      <c r="G3283" s="117">
        <v>14.32</v>
      </c>
    </row>
    <row r="3284" spans="1:7" x14ac:dyDescent="0.25">
      <c r="A3284" s="116" t="s">
        <v>5030</v>
      </c>
      <c r="B3284" s="117" t="s">
        <v>5031</v>
      </c>
      <c r="C3284" t="s">
        <v>67</v>
      </c>
      <c r="D3284" t="s">
        <v>67</v>
      </c>
      <c r="E3284" t="s">
        <v>67</v>
      </c>
      <c r="F3284" t="s">
        <v>45</v>
      </c>
      <c r="G3284" s="117">
        <v>100</v>
      </c>
    </row>
    <row r="3285" spans="1:7" x14ac:dyDescent="0.25">
      <c r="A3285" s="116" t="s">
        <v>5032</v>
      </c>
      <c r="B3285" s="117" t="s">
        <v>5031</v>
      </c>
      <c r="C3285" t="s">
        <v>67</v>
      </c>
      <c r="D3285" t="s">
        <v>67</v>
      </c>
      <c r="E3285" t="s">
        <v>67</v>
      </c>
      <c r="F3285" t="s">
        <v>45</v>
      </c>
      <c r="G3285" s="117">
        <v>28.1</v>
      </c>
    </row>
    <row r="3286" spans="1:7" x14ac:dyDescent="0.25">
      <c r="A3286" s="116" t="s">
        <v>5033</v>
      </c>
      <c r="B3286" s="117" t="s">
        <v>5034</v>
      </c>
      <c r="C3286" t="s">
        <v>67</v>
      </c>
      <c r="D3286" t="s">
        <v>67</v>
      </c>
      <c r="E3286" t="s">
        <v>67</v>
      </c>
      <c r="F3286" t="s">
        <v>45</v>
      </c>
      <c r="G3286" s="117">
        <v>863.14</v>
      </c>
    </row>
    <row r="3287" spans="1:7" x14ac:dyDescent="0.25">
      <c r="A3287" s="116" t="s">
        <v>5035</v>
      </c>
      <c r="B3287" s="117" t="s">
        <v>5036</v>
      </c>
      <c r="C3287" t="s">
        <v>67</v>
      </c>
      <c r="D3287" t="s">
        <v>67</v>
      </c>
      <c r="E3287" t="s">
        <v>67</v>
      </c>
      <c r="F3287" t="s">
        <v>45</v>
      </c>
      <c r="G3287" s="117">
        <v>91.1</v>
      </c>
    </row>
    <row r="3288" spans="1:7" x14ac:dyDescent="0.25">
      <c r="A3288" s="116" t="s">
        <v>5037</v>
      </c>
      <c r="B3288" s="117" t="s">
        <v>5038</v>
      </c>
      <c r="C3288" t="s">
        <v>67</v>
      </c>
      <c r="D3288" t="s">
        <v>67</v>
      </c>
      <c r="E3288" t="s">
        <v>67</v>
      </c>
      <c r="F3288" t="s">
        <v>45</v>
      </c>
      <c r="G3288" s="117">
        <v>214.83</v>
      </c>
    </row>
    <row r="3289" spans="1:7" x14ac:dyDescent="0.25">
      <c r="A3289" s="116" t="s">
        <v>5039</v>
      </c>
      <c r="B3289" s="117" t="s">
        <v>5040</v>
      </c>
      <c r="C3289" t="s">
        <v>67</v>
      </c>
      <c r="D3289" t="s">
        <v>67</v>
      </c>
      <c r="E3289" t="s">
        <v>67</v>
      </c>
      <c r="F3289" t="s">
        <v>27987</v>
      </c>
      <c r="G3289" s="117">
        <v>15000</v>
      </c>
    </row>
    <row r="3290" spans="1:7" x14ac:dyDescent="0.25">
      <c r="A3290" s="116" t="s">
        <v>5041</v>
      </c>
      <c r="B3290" s="117" t="s">
        <v>5042</v>
      </c>
      <c r="C3290" t="s">
        <v>67</v>
      </c>
      <c r="D3290" t="s">
        <v>67</v>
      </c>
      <c r="E3290" t="s">
        <v>67</v>
      </c>
      <c r="F3290" t="s">
        <v>45</v>
      </c>
      <c r="G3290" s="117">
        <v>150</v>
      </c>
    </row>
    <row r="3291" spans="1:7" x14ac:dyDescent="0.25">
      <c r="A3291" s="116" t="s">
        <v>5043</v>
      </c>
      <c r="B3291" s="117" t="s">
        <v>5044</v>
      </c>
      <c r="C3291" t="s">
        <v>67</v>
      </c>
      <c r="D3291" t="s">
        <v>67</v>
      </c>
      <c r="E3291" t="s">
        <v>67</v>
      </c>
      <c r="F3291" t="s">
        <v>27987</v>
      </c>
      <c r="G3291" s="117">
        <v>426.69</v>
      </c>
    </row>
    <row r="3292" spans="1:7" x14ac:dyDescent="0.25">
      <c r="A3292" s="116" t="s">
        <v>5045</v>
      </c>
      <c r="B3292" s="117" t="s">
        <v>5046</v>
      </c>
      <c r="C3292" t="s">
        <v>67</v>
      </c>
      <c r="D3292" t="s">
        <v>67</v>
      </c>
      <c r="E3292" t="s">
        <v>67</v>
      </c>
      <c r="F3292" t="s">
        <v>45</v>
      </c>
      <c r="G3292" s="117">
        <v>75.849999999999994</v>
      </c>
    </row>
    <row r="3293" spans="1:7" x14ac:dyDescent="0.25">
      <c r="A3293" s="116" t="s">
        <v>5047</v>
      </c>
      <c r="B3293" s="117" t="s">
        <v>5048</v>
      </c>
      <c r="C3293" t="s">
        <v>67</v>
      </c>
      <c r="D3293" t="s">
        <v>67</v>
      </c>
      <c r="E3293" t="s">
        <v>67</v>
      </c>
      <c r="F3293" t="s">
        <v>45</v>
      </c>
      <c r="G3293" s="117">
        <v>78.39</v>
      </c>
    </row>
    <row r="3294" spans="1:7" x14ac:dyDescent="0.25">
      <c r="A3294" s="116" t="s">
        <v>5049</v>
      </c>
      <c r="B3294" s="117" t="s">
        <v>5050</v>
      </c>
      <c r="C3294" t="s">
        <v>67</v>
      </c>
      <c r="D3294" t="s">
        <v>67</v>
      </c>
      <c r="E3294" t="s">
        <v>67</v>
      </c>
      <c r="F3294" t="s">
        <v>45</v>
      </c>
      <c r="G3294" s="117">
        <v>75.849999999999994</v>
      </c>
    </row>
    <row r="3295" spans="1:7" x14ac:dyDescent="0.25">
      <c r="A3295" s="116" t="s">
        <v>5051</v>
      </c>
      <c r="B3295" s="117" t="s">
        <v>5052</v>
      </c>
      <c r="C3295" t="s">
        <v>67</v>
      </c>
      <c r="D3295" t="s">
        <v>67</v>
      </c>
      <c r="E3295" t="s">
        <v>67</v>
      </c>
      <c r="F3295" t="s">
        <v>45</v>
      </c>
      <c r="G3295" s="117">
        <v>74.489999999999995</v>
      </c>
    </row>
    <row r="3296" spans="1:7" x14ac:dyDescent="0.25">
      <c r="A3296" s="116" t="s">
        <v>5053</v>
      </c>
      <c r="B3296" s="117" t="s">
        <v>5054</v>
      </c>
      <c r="C3296" t="s">
        <v>67</v>
      </c>
      <c r="D3296" t="s">
        <v>67</v>
      </c>
      <c r="E3296" t="s">
        <v>67</v>
      </c>
      <c r="F3296" t="s">
        <v>27987</v>
      </c>
      <c r="G3296" s="117">
        <v>119.41</v>
      </c>
    </row>
    <row r="3297" spans="1:7" x14ac:dyDescent="0.25">
      <c r="A3297" s="116" t="s">
        <v>5055</v>
      </c>
      <c r="B3297" s="117" t="s">
        <v>5056</v>
      </c>
      <c r="C3297" t="s">
        <v>67</v>
      </c>
      <c r="D3297" t="s">
        <v>67</v>
      </c>
      <c r="E3297" t="s">
        <v>67</v>
      </c>
      <c r="F3297" t="s">
        <v>45</v>
      </c>
      <c r="G3297" s="117">
        <v>80.42</v>
      </c>
    </row>
    <row r="3298" spans="1:7" x14ac:dyDescent="0.25">
      <c r="A3298" s="116" t="s">
        <v>26556</v>
      </c>
      <c r="B3298" s="117" t="s">
        <v>26557</v>
      </c>
      <c r="C3298" t="s">
        <v>67</v>
      </c>
      <c r="D3298" t="s">
        <v>67</v>
      </c>
      <c r="E3298" t="s">
        <v>67</v>
      </c>
      <c r="F3298" t="s">
        <v>27987</v>
      </c>
      <c r="G3298" s="117">
        <v>273.13</v>
      </c>
    </row>
    <row r="3299" spans="1:7" x14ac:dyDescent="0.25">
      <c r="A3299" s="116" t="s">
        <v>5057</v>
      </c>
      <c r="B3299" s="117" t="s">
        <v>5058</v>
      </c>
      <c r="C3299" t="s">
        <v>67</v>
      </c>
      <c r="D3299" t="s">
        <v>67</v>
      </c>
      <c r="E3299" t="s">
        <v>67</v>
      </c>
      <c r="F3299" t="s">
        <v>45</v>
      </c>
      <c r="G3299" s="117">
        <v>2587.71</v>
      </c>
    </row>
    <row r="3300" spans="1:7" x14ac:dyDescent="0.25">
      <c r="A3300" s="116" t="s">
        <v>26558</v>
      </c>
      <c r="B3300" s="117" t="s">
        <v>26559</v>
      </c>
      <c r="C3300" t="s">
        <v>67</v>
      </c>
      <c r="D3300" t="s">
        <v>67</v>
      </c>
      <c r="E3300" t="s">
        <v>67</v>
      </c>
      <c r="F3300" t="s">
        <v>45</v>
      </c>
      <c r="G3300" s="117">
        <v>334</v>
      </c>
    </row>
    <row r="3301" spans="1:7" x14ac:dyDescent="0.25">
      <c r="A3301" s="116" t="s">
        <v>5059</v>
      </c>
      <c r="B3301" s="117" t="s">
        <v>5060</v>
      </c>
      <c r="C3301" t="s">
        <v>67</v>
      </c>
      <c r="D3301" t="s">
        <v>67</v>
      </c>
      <c r="E3301" t="s">
        <v>67</v>
      </c>
      <c r="F3301" t="s">
        <v>27987</v>
      </c>
      <c r="G3301" s="117">
        <v>239.75</v>
      </c>
    </row>
    <row r="3302" spans="1:7" x14ac:dyDescent="0.25">
      <c r="A3302" s="116" t="s">
        <v>5061</v>
      </c>
      <c r="B3302" s="117" t="s">
        <v>5062</v>
      </c>
      <c r="C3302" t="s">
        <v>67</v>
      </c>
      <c r="D3302" t="s">
        <v>67</v>
      </c>
      <c r="E3302" t="s">
        <v>67</v>
      </c>
      <c r="F3302" t="s">
        <v>45</v>
      </c>
      <c r="G3302" s="117">
        <v>74.150000000000006</v>
      </c>
    </row>
    <row r="3303" spans="1:7" x14ac:dyDescent="0.25">
      <c r="A3303" s="116" t="s">
        <v>5063</v>
      </c>
      <c r="B3303" s="117" t="s">
        <v>5064</v>
      </c>
      <c r="C3303" t="s">
        <v>67</v>
      </c>
      <c r="D3303" t="s">
        <v>67</v>
      </c>
      <c r="E3303" t="s">
        <v>67</v>
      </c>
      <c r="F3303" t="s">
        <v>45</v>
      </c>
      <c r="G3303" s="117">
        <v>6.69</v>
      </c>
    </row>
    <row r="3304" spans="1:7" x14ac:dyDescent="0.25">
      <c r="A3304" s="116" t="s">
        <v>5065</v>
      </c>
      <c r="B3304" s="117" t="s">
        <v>5066</v>
      </c>
      <c r="C3304" t="s">
        <v>67</v>
      </c>
      <c r="D3304" t="s">
        <v>67</v>
      </c>
      <c r="E3304" t="s">
        <v>67</v>
      </c>
      <c r="F3304" t="s">
        <v>27987</v>
      </c>
      <c r="G3304" s="117">
        <v>160</v>
      </c>
    </row>
    <row r="3305" spans="1:7" x14ac:dyDescent="0.25">
      <c r="A3305" s="116" t="s">
        <v>5067</v>
      </c>
      <c r="B3305" s="117" t="s">
        <v>5068</v>
      </c>
      <c r="C3305" t="s">
        <v>67</v>
      </c>
      <c r="D3305" t="s">
        <v>67</v>
      </c>
      <c r="E3305" t="s">
        <v>67</v>
      </c>
      <c r="F3305" t="s">
        <v>27987</v>
      </c>
      <c r="G3305" s="117">
        <v>349.07</v>
      </c>
    </row>
    <row r="3306" spans="1:7" x14ac:dyDescent="0.25">
      <c r="A3306" s="116" t="s">
        <v>5069</v>
      </c>
      <c r="B3306" s="117" t="s">
        <v>5070</v>
      </c>
      <c r="C3306" t="s">
        <v>67</v>
      </c>
      <c r="D3306" t="s">
        <v>67</v>
      </c>
      <c r="E3306" t="s">
        <v>67</v>
      </c>
      <c r="F3306" t="s">
        <v>45</v>
      </c>
      <c r="G3306" s="117">
        <v>712.63</v>
      </c>
    </row>
    <row r="3307" spans="1:7" x14ac:dyDescent="0.25">
      <c r="A3307" s="116" t="s">
        <v>5071</v>
      </c>
      <c r="B3307" s="117" t="s">
        <v>5072</v>
      </c>
      <c r="C3307" t="s">
        <v>67</v>
      </c>
      <c r="D3307" t="s">
        <v>67</v>
      </c>
      <c r="E3307" t="s">
        <v>67</v>
      </c>
      <c r="F3307" t="s">
        <v>45</v>
      </c>
      <c r="G3307" s="117">
        <v>176.69</v>
      </c>
    </row>
    <row r="3308" spans="1:7" x14ac:dyDescent="0.25">
      <c r="A3308" s="116" t="s">
        <v>5073</v>
      </c>
      <c r="B3308" s="117" t="s">
        <v>5074</v>
      </c>
      <c r="C3308" t="s">
        <v>67</v>
      </c>
      <c r="D3308" t="s">
        <v>67</v>
      </c>
      <c r="E3308" t="s">
        <v>67</v>
      </c>
      <c r="F3308" t="s">
        <v>45</v>
      </c>
      <c r="G3308" s="117">
        <v>74.150000000000006</v>
      </c>
    </row>
    <row r="3309" spans="1:7" x14ac:dyDescent="0.25">
      <c r="A3309" s="116" t="s">
        <v>5075</v>
      </c>
      <c r="B3309" s="117" t="s">
        <v>4974</v>
      </c>
      <c r="C3309" t="s">
        <v>67</v>
      </c>
      <c r="D3309" t="s">
        <v>67</v>
      </c>
      <c r="E3309" t="s">
        <v>67</v>
      </c>
      <c r="F3309" t="s">
        <v>45</v>
      </c>
      <c r="G3309" s="117">
        <v>90</v>
      </c>
    </row>
    <row r="3310" spans="1:7" x14ac:dyDescent="0.25">
      <c r="A3310" s="116" t="s">
        <v>5076</v>
      </c>
      <c r="B3310" s="117" t="s">
        <v>5077</v>
      </c>
      <c r="C3310" t="s">
        <v>67</v>
      </c>
      <c r="D3310" t="s">
        <v>67</v>
      </c>
      <c r="E3310" t="s">
        <v>67</v>
      </c>
      <c r="F3310" t="s">
        <v>45</v>
      </c>
      <c r="G3310" s="117">
        <v>150</v>
      </c>
    </row>
    <row r="3311" spans="1:7" x14ac:dyDescent="0.25">
      <c r="A3311" s="116" t="s">
        <v>5078</v>
      </c>
      <c r="B3311" s="117" t="s">
        <v>5002</v>
      </c>
      <c r="C3311" t="s">
        <v>67</v>
      </c>
      <c r="D3311" t="s">
        <v>67</v>
      </c>
      <c r="E3311" t="s">
        <v>67</v>
      </c>
      <c r="F3311" t="s">
        <v>45</v>
      </c>
      <c r="G3311" s="117">
        <v>97.03</v>
      </c>
    </row>
    <row r="3312" spans="1:7" x14ac:dyDescent="0.25">
      <c r="A3312" s="116" t="s">
        <v>5079</v>
      </c>
      <c r="B3312" s="117" t="s">
        <v>5080</v>
      </c>
      <c r="C3312" t="s">
        <v>67</v>
      </c>
      <c r="D3312" t="s">
        <v>67</v>
      </c>
      <c r="E3312" t="s">
        <v>67</v>
      </c>
      <c r="F3312" t="s">
        <v>49</v>
      </c>
      <c r="G3312" s="117">
        <v>1096.53</v>
      </c>
    </row>
    <row r="3313" spans="1:7" x14ac:dyDescent="0.25">
      <c r="A3313" s="116" t="s">
        <v>5081</v>
      </c>
      <c r="B3313" s="117" t="s">
        <v>5082</v>
      </c>
      <c r="C3313" t="s">
        <v>67</v>
      </c>
      <c r="D3313" t="s">
        <v>67</v>
      </c>
      <c r="E3313" t="s">
        <v>67</v>
      </c>
      <c r="F3313" t="s">
        <v>45</v>
      </c>
      <c r="G3313" s="117">
        <v>35</v>
      </c>
    </row>
    <row r="3314" spans="1:7" x14ac:dyDescent="0.25">
      <c r="A3314" s="116" t="s">
        <v>5083</v>
      </c>
      <c r="B3314" s="117" t="s">
        <v>5084</v>
      </c>
      <c r="C3314" t="s">
        <v>67</v>
      </c>
      <c r="D3314" t="s">
        <v>67</v>
      </c>
      <c r="E3314" t="s">
        <v>67</v>
      </c>
      <c r="F3314" t="s">
        <v>27987</v>
      </c>
      <c r="G3314" s="117">
        <v>77.540000000000006</v>
      </c>
    </row>
    <row r="3315" spans="1:7" x14ac:dyDescent="0.25">
      <c r="A3315" s="116" t="s">
        <v>5085</v>
      </c>
      <c r="B3315" s="117" t="s">
        <v>5084</v>
      </c>
      <c r="C3315" t="s">
        <v>67</v>
      </c>
      <c r="D3315" t="s">
        <v>67</v>
      </c>
      <c r="E3315" t="s">
        <v>67</v>
      </c>
      <c r="F3315" t="s">
        <v>45</v>
      </c>
      <c r="G3315" s="117">
        <v>127.88</v>
      </c>
    </row>
    <row r="3316" spans="1:7" x14ac:dyDescent="0.25">
      <c r="A3316" s="116" t="s">
        <v>5086</v>
      </c>
      <c r="B3316" s="117" t="s">
        <v>5087</v>
      </c>
      <c r="C3316" t="s">
        <v>67</v>
      </c>
      <c r="D3316" t="s">
        <v>67</v>
      </c>
      <c r="E3316" t="s">
        <v>67</v>
      </c>
      <c r="F3316" t="s">
        <v>45</v>
      </c>
      <c r="G3316" s="117">
        <v>200</v>
      </c>
    </row>
    <row r="3317" spans="1:7" x14ac:dyDescent="0.25">
      <c r="A3317" s="116" t="s">
        <v>5088</v>
      </c>
      <c r="B3317" s="117" t="s">
        <v>28596</v>
      </c>
      <c r="C3317" t="s">
        <v>67</v>
      </c>
      <c r="D3317" t="s">
        <v>67</v>
      </c>
      <c r="E3317" t="s">
        <v>67</v>
      </c>
      <c r="F3317" t="s">
        <v>45</v>
      </c>
      <c r="G3317" s="117">
        <v>153.81</v>
      </c>
    </row>
    <row r="3318" spans="1:7" x14ac:dyDescent="0.25">
      <c r="A3318" s="116" t="s">
        <v>5089</v>
      </c>
      <c r="B3318" s="117" t="s">
        <v>5066</v>
      </c>
      <c r="C3318" t="s">
        <v>67</v>
      </c>
      <c r="D3318" t="s">
        <v>67</v>
      </c>
      <c r="E3318" t="s">
        <v>67</v>
      </c>
      <c r="F3318" t="s">
        <v>27987</v>
      </c>
      <c r="G3318" s="117">
        <v>160</v>
      </c>
    </row>
    <row r="3319" spans="1:7" x14ac:dyDescent="0.25">
      <c r="A3319" s="116" t="s">
        <v>5090</v>
      </c>
      <c r="B3319" s="117" t="s">
        <v>5091</v>
      </c>
      <c r="C3319" t="s">
        <v>67</v>
      </c>
      <c r="D3319" t="s">
        <v>67</v>
      </c>
      <c r="E3319" t="s">
        <v>67</v>
      </c>
      <c r="F3319" t="s">
        <v>45</v>
      </c>
      <c r="G3319" s="117">
        <v>140</v>
      </c>
    </row>
    <row r="3320" spans="1:7" x14ac:dyDescent="0.25">
      <c r="A3320" s="116" t="s">
        <v>5092</v>
      </c>
      <c r="B3320" s="117" t="s">
        <v>5093</v>
      </c>
      <c r="C3320" t="s">
        <v>67</v>
      </c>
      <c r="D3320" t="s">
        <v>67</v>
      </c>
      <c r="E3320" t="s">
        <v>67</v>
      </c>
      <c r="F3320" t="s">
        <v>45</v>
      </c>
      <c r="G3320" s="117">
        <v>120</v>
      </c>
    </row>
    <row r="3321" spans="1:7" x14ac:dyDescent="0.25">
      <c r="A3321" s="116" t="s">
        <v>5094</v>
      </c>
      <c r="B3321" s="117" t="s">
        <v>5095</v>
      </c>
      <c r="C3321" t="s">
        <v>67</v>
      </c>
      <c r="D3321" t="s">
        <v>67</v>
      </c>
      <c r="E3321" t="s">
        <v>67</v>
      </c>
      <c r="F3321" t="s">
        <v>27987</v>
      </c>
      <c r="G3321" s="117">
        <v>315.17</v>
      </c>
    </row>
    <row r="3322" spans="1:7" x14ac:dyDescent="0.25">
      <c r="A3322" s="116" t="s">
        <v>5096</v>
      </c>
      <c r="B3322" s="117" t="s">
        <v>5097</v>
      </c>
      <c r="C3322" t="s">
        <v>67</v>
      </c>
      <c r="D3322" t="s">
        <v>67</v>
      </c>
      <c r="E3322" t="s">
        <v>67</v>
      </c>
      <c r="F3322" t="s">
        <v>45</v>
      </c>
      <c r="G3322" s="117">
        <v>75</v>
      </c>
    </row>
    <row r="3323" spans="1:7" x14ac:dyDescent="0.25">
      <c r="A3323" s="116" t="s">
        <v>5098</v>
      </c>
      <c r="B3323" s="117" t="s">
        <v>5099</v>
      </c>
      <c r="C3323" t="s">
        <v>67</v>
      </c>
      <c r="D3323" t="s">
        <v>67</v>
      </c>
      <c r="E3323" t="s">
        <v>67</v>
      </c>
      <c r="F3323" t="s">
        <v>27987</v>
      </c>
      <c r="G3323" s="117">
        <v>11000</v>
      </c>
    </row>
    <row r="3324" spans="1:7" x14ac:dyDescent="0.25">
      <c r="A3324" s="116" t="s">
        <v>5100</v>
      </c>
      <c r="B3324" s="117" t="s">
        <v>5101</v>
      </c>
      <c r="C3324" t="s">
        <v>67</v>
      </c>
      <c r="D3324" t="s">
        <v>67</v>
      </c>
      <c r="E3324" t="s">
        <v>67</v>
      </c>
      <c r="F3324" t="s">
        <v>45</v>
      </c>
      <c r="G3324" s="117">
        <v>200</v>
      </c>
    </row>
    <row r="3325" spans="1:7" x14ac:dyDescent="0.25">
      <c r="A3325" s="116" t="s">
        <v>5102</v>
      </c>
      <c r="B3325" s="117" t="s">
        <v>5103</v>
      </c>
      <c r="C3325" t="s">
        <v>67</v>
      </c>
      <c r="D3325" t="s">
        <v>67</v>
      </c>
      <c r="E3325" t="s">
        <v>67</v>
      </c>
      <c r="F3325" t="s">
        <v>45</v>
      </c>
      <c r="G3325" s="117">
        <v>200</v>
      </c>
    </row>
    <row r="3326" spans="1:7" x14ac:dyDescent="0.25">
      <c r="A3326" s="116" t="s">
        <v>5104</v>
      </c>
      <c r="B3326" s="117" t="s">
        <v>5036</v>
      </c>
      <c r="C3326" t="s">
        <v>67</v>
      </c>
      <c r="D3326" t="s">
        <v>67</v>
      </c>
      <c r="E3326" t="s">
        <v>67</v>
      </c>
      <c r="F3326" t="s">
        <v>27987</v>
      </c>
      <c r="G3326" s="117">
        <v>1900.06</v>
      </c>
    </row>
    <row r="3327" spans="1:7" x14ac:dyDescent="0.25">
      <c r="A3327" s="116" t="s">
        <v>26560</v>
      </c>
      <c r="B3327" s="117" t="s">
        <v>26561</v>
      </c>
      <c r="C3327" t="s">
        <v>67</v>
      </c>
      <c r="D3327" t="s">
        <v>67</v>
      </c>
      <c r="E3327" t="s">
        <v>67</v>
      </c>
      <c r="F3327" t="s">
        <v>45</v>
      </c>
      <c r="G3327" s="117">
        <v>3816.5</v>
      </c>
    </row>
    <row r="3328" spans="1:7" x14ac:dyDescent="0.25">
      <c r="A3328" s="116" t="s">
        <v>26562</v>
      </c>
      <c r="B3328" s="117" t="s">
        <v>26563</v>
      </c>
      <c r="C3328" t="s">
        <v>67</v>
      </c>
      <c r="D3328" t="s">
        <v>67</v>
      </c>
      <c r="E3328" t="s">
        <v>67</v>
      </c>
      <c r="F3328" t="s">
        <v>45</v>
      </c>
      <c r="G3328" s="117">
        <v>266.79000000000002</v>
      </c>
    </row>
    <row r="3329" spans="1:7" x14ac:dyDescent="0.25">
      <c r="A3329" s="116" t="s">
        <v>26564</v>
      </c>
      <c r="B3329" s="117" t="s">
        <v>26565</v>
      </c>
      <c r="C3329" t="s">
        <v>67</v>
      </c>
      <c r="D3329" t="s">
        <v>67</v>
      </c>
      <c r="E3329" t="s">
        <v>67</v>
      </c>
      <c r="F3329" t="s">
        <v>45</v>
      </c>
      <c r="G3329" s="117">
        <v>2694.81</v>
      </c>
    </row>
    <row r="3330" spans="1:7" x14ac:dyDescent="0.25">
      <c r="A3330" s="116" t="s">
        <v>26566</v>
      </c>
      <c r="B3330" s="117" t="s">
        <v>26567</v>
      </c>
      <c r="C3330" t="s">
        <v>67</v>
      </c>
      <c r="D3330" t="s">
        <v>67</v>
      </c>
      <c r="E3330" t="s">
        <v>67</v>
      </c>
      <c r="F3330" t="s">
        <v>27987</v>
      </c>
      <c r="G3330" s="117">
        <v>149.96</v>
      </c>
    </row>
    <row r="3331" spans="1:7" x14ac:dyDescent="0.25">
      <c r="A3331" s="116" t="s">
        <v>26568</v>
      </c>
      <c r="B3331" s="117" t="s">
        <v>26567</v>
      </c>
      <c r="C3331" t="s">
        <v>67</v>
      </c>
      <c r="D3331" t="s">
        <v>67</v>
      </c>
      <c r="E3331" t="s">
        <v>67</v>
      </c>
      <c r="F3331" t="s">
        <v>27987</v>
      </c>
      <c r="G3331" s="117">
        <v>149.96</v>
      </c>
    </row>
    <row r="3332" spans="1:7" x14ac:dyDescent="0.25">
      <c r="A3332" s="116" t="s">
        <v>28017</v>
      </c>
      <c r="B3332" s="117" t="s">
        <v>29777</v>
      </c>
      <c r="C3332" t="s">
        <v>67</v>
      </c>
      <c r="D3332" t="s">
        <v>67</v>
      </c>
      <c r="E3332" t="s">
        <v>67</v>
      </c>
      <c r="F3332" t="s">
        <v>27987</v>
      </c>
      <c r="G3332" s="117">
        <v>500</v>
      </c>
    </row>
    <row r="3333" spans="1:7" x14ac:dyDescent="0.25">
      <c r="A3333" s="116" t="s">
        <v>5105</v>
      </c>
      <c r="B3333" s="117" t="s">
        <v>5106</v>
      </c>
      <c r="C3333" t="s">
        <v>67</v>
      </c>
      <c r="D3333" t="s">
        <v>67</v>
      </c>
      <c r="E3333" t="s">
        <v>67</v>
      </c>
      <c r="F3333" t="s">
        <v>45</v>
      </c>
      <c r="G3333" s="117">
        <v>13.26</v>
      </c>
    </row>
    <row r="3334" spans="1:7" x14ac:dyDescent="0.25">
      <c r="A3334" s="116" t="s">
        <v>5107</v>
      </c>
      <c r="B3334" s="117" t="s">
        <v>3218</v>
      </c>
      <c r="C3334" t="s">
        <v>67</v>
      </c>
      <c r="D3334" t="s">
        <v>67</v>
      </c>
      <c r="E3334" t="s">
        <v>67</v>
      </c>
      <c r="F3334" t="s">
        <v>45</v>
      </c>
      <c r="G3334" s="117">
        <v>376.85</v>
      </c>
    </row>
    <row r="3335" spans="1:7" x14ac:dyDescent="0.25">
      <c r="A3335" s="116" t="s">
        <v>5108</v>
      </c>
      <c r="B3335" s="117" t="s">
        <v>579</v>
      </c>
      <c r="C3335" t="s">
        <v>67</v>
      </c>
      <c r="D3335" t="s">
        <v>67</v>
      </c>
      <c r="E3335" t="s">
        <v>67</v>
      </c>
      <c r="F3335" t="s">
        <v>45</v>
      </c>
      <c r="G3335" s="117">
        <v>357.62</v>
      </c>
    </row>
    <row r="3336" spans="1:7" x14ac:dyDescent="0.25">
      <c r="A3336" s="116" t="s">
        <v>5109</v>
      </c>
      <c r="B3336" s="117" t="s">
        <v>618</v>
      </c>
      <c r="C3336" t="s">
        <v>67</v>
      </c>
      <c r="D3336" t="s">
        <v>67</v>
      </c>
      <c r="E3336" t="s">
        <v>67</v>
      </c>
      <c r="F3336" t="s">
        <v>45</v>
      </c>
      <c r="G3336" s="117">
        <v>87.54</v>
      </c>
    </row>
    <row r="3337" spans="1:7" x14ac:dyDescent="0.25">
      <c r="A3337" s="116" t="s">
        <v>5110</v>
      </c>
      <c r="B3337" s="117" t="s">
        <v>620</v>
      </c>
      <c r="C3337" t="s">
        <v>67</v>
      </c>
      <c r="D3337" t="s">
        <v>67</v>
      </c>
      <c r="E3337" t="s">
        <v>67</v>
      </c>
      <c r="F3337" t="s">
        <v>45</v>
      </c>
      <c r="G3337" s="117">
        <v>33.369999999999997</v>
      </c>
    </row>
    <row r="3338" spans="1:7" x14ac:dyDescent="0.25">
      <c r="A3338" s="116" t="s">
        <v>5111</v>
      </c>
      <c r="B3338" s="117" t="s">
        <v>5112</v>
      </c>
      <c r="C3338" t="s">
        <v>67</v>
      </c>
      <c r="D3338" t="s">
        <v>67</v>
      </c>
      <c r="E3338" t="s">
        <v>67</v>
      </c>
      <c r="F3338" t="s">
        <v>45</v>
      </c>
      <c r="G3338" s="117">
        <v>59.18</v>
      </c>
    </row>
    <row r="3339" spans="1:7" x14ac:dyDescent="0.25">
      <c r="A3339" s="116" t="s">
        <v>5113</v>
      </c>
      <c r="B3339" s="117" t="s">
        <v>5114</v>
      </c>
      <c r="C3339" t="s">
        <v>67</v>
      </c>
      <c r="D3339" t="s">
        <v>67</v>
      </c>
      <c r="E3339" t="s">
        <v>67</v>
      </c>
      <c r="F3339" t="s">
        <v>51</v>
      </c>
      <c r="G3339" s="117">
        <v>8.0500000000000007</v>
      </c>
    </row>
    <row r="3340" spans="1:7" x14ac:dyDescent="0.25">
      <c r="A3340" s="116" t="s">
        <v>5115</v>
      </c>
      <c r="B3340" s="117" t="s">
        <v>5116</v>
      </c>
      <c r="C3340" t="s">
        <v>67</v>
      </c>
      <c r="D3340" t="s">
        <v>67</v>
      </c>
      <c r="E3340" t="s">
        <v>67</v>
      </c>
      <c r="F3340" t="s">
        <v>27990</v>
      </c>
      <c r="G3340" s="117">
        <v>7.02</v>
      </c>
    </row>
    <row r="3341" spans="1:7" x14ac:dyDescent="0.25">
      <c r="A3341" s="116" t="s">
        <v>5117</v>
      </c>
      <c r="B3341" s="117" t="s">
        <v>5118</v>
      </c>
      <c r="C3341" t="s">
        <v>67</v>
      </c>
      <c r="D3341" t="s">
        <v>67</v>
      </c>
      <c r="E3341" t="s">
        <v>67</v>
      </c>
      <c r="F3341" t="s">
        <v>27990</v>
      </c>
      <c r="G3341" s="117">
        <v>14.14</v>
      </c>
    </row>
    <row r="3342" spans="1:7" x14ac:dyDescent="0.25">
      <c r="A3342" s="116" t="s">
        <v>5119</v>
      </c>
      <c r="B3342" s="117" t="s">
        <v>5120</v>
      </c>
      <c r="C3342" t="s">
        <v>67</v>
      </c>
      <c r="D3342" t="s">
        <v>67</v>
      </c>
      <c r="E3342" t="s">
        <v>67</v>
      </c>
      <c r="F3342" t="s">
        <v>45</v>
      </c>
      <c r="G3342" s="117">
        <v>12.9</v>
      </c>
    </row>
    <row r="3343" spans="1:7" x14ac:dyDescent="0.25">
      <c r="A3343" s="116" t="s">
        <v>28597</v>
      </c>
      <c r="B3343" s="117" t="s">
        <v>30024</v>
      </c>
      <c r="C3343" t="s">
        <v>67</v>
      </c>
      <c r="D3343" t="s">
        <v>67</v>
      </c>
      <c r="E3343" t="s">
        <v>67</v>
      </c>
      <c r="F3343" t="s">
        <v>49</v>
      </c>
      <c r="G3343" s="117">
        <v>10.71</v>
      </c>
    </row>
    <row r="3344" spans="1:7" x14ac:dyDescent="0.25">
      <c r="A3344" s="116" t="s">
        <v>5121</v>
      </c>
      <c r="B3344" s="117" t="s">
        <v>5122</v>
      </c>
      <c r="C3344" t="s">
        <v>67</v>
      </c>
      <c r="D3344" t="s">
        <v>67</v>
      </c>
      <c r="E3344" t="s">
        <v>67</v>
      </c>
      <c r="F3344" t="s">
        <v>51</v>
      </c>
      <c r="G3344" s="117">
        <v>13.26</v>
      </c>
    </row>
    <row r="3345" spans="1:7" x14ac:dyDescent="0.25">
      <c r="A3345" s="116" t="s">
        <v>28598</v>
      </c>
      <c r="B3345" s="117" t="s">
        <v>28599</v>
      </c>
      <c r="C3345" t="s">
        <v>67</v>
      </c>
      <c r="D3345" t="s">
        <v>67</v>
      </c>
      <c r="E3345" t="s">
        <v>67</v>
      </c>
      <c r="F3345" t="s">
        <v>27987</v>
      </c>
      <c r="G3345" s="117">
        <v>0</v>
      </c>
    </row>
    <row r="3346" spans="1:7" x14ac:dyDescent="0.25">
      <c r="A3346" s="116" t="s">
        <v>5123</v>
      </c>
      <c r="B3346" s="117" t="s">
        <v>5124</v>
      </c>
      <c r="C3346" t="s">
        <v>67</v>
      </c>
      <c r="D3346" t="s">
        <v>67</v>
      </c>
      <c r="E3346" t="s">
        <v>67</v>
      </c>
      <c r="F3346" t="s">
        <v>45</v>
      </c>
      <c r="G3346" s="117">
        <v>9.35</v>
      </c>
    </row>
    <row r="3347" spans="1:7" x14ac:dyDescent="0.25">
      <c r="A3347" s="116" t="s">
        <v>5125</v>
      </c>
      <c r="B3347" s="117" t="s">
        <v>5126</v>
      </c>
      <c r="C3347" t="s">
        <v>67</v>
      </c>
      <c r="D3347" t="s">
        <v>67</v>
      </c>
      <c r="E3347" t="s">
        <v>67</v>
      </c>
      <c r="F3347" t="s">
        <v>27987</v>
      </c>
      <c r="G3347" s="117">
        <v>9.6999999999999993</v>
      </c>
    </row>
    <row r="3348" spans="1:7" x14ac:dyDescent="0.25">
      <c r="A3348" s="116" t="s">
        <v>5127</v>
      </c>
      <c r="B3348" s="117" t="s">
        <v>5128</v>
      </c>
      <c r="C3348" t="s">
        <v>67</v>
      </c>
      <c r="D3348" t="s">
        <v>67</v>
      </c>
      <c r="E3348" t="s">
        <v>67</v>
      </c>
      <c r="F3348" t="s">
        <v>51</v>
      </c>
      <c r="G3348" s="117">
        <v>12.37</v>
      </c>
    </row>
    <row r="3349" spans="1:7" x14ac:dyDescent="0.25">
      <c r="A3349" s="116" t="s">
        <v>5129</v>
      </c>
      <c r="B3349" s="117" t="s">
        <v>5130</v>
      </c>
      <c r="C3349" t="s">
        <v>67</v>
      </c>
      <c r="D3349" t="s">
        <v>67</v>
      </c>
      <c r="E3349" t="s">
        <v>67</v>
      </c>
      <c r="F3349" t="s">
        <v>51</v>
      </c>
      <c r="G3349" s="117">
        <v>8.89</v>
      </c>
    </row>
    <row r="3350" spans="1:7" x14ac:dyDescent="0.25">
      <c r="A3350" s="116" t="s">
        <v>5131</v>
      </c>
      <c r="B3350" s="117" t="s">
        <v>5132</v>
      </c>
      <c r="C3350" t="s">
        <v>67</v>
      </c>
      <c r="D3350" t="s">
        <v>67</v>
      </c>
      <c r="E3350" t="s">
        <v>67</v>
      </c>
      <c r="F3350" t="s">
        <v>49</v>
      </c>
      <c r="G3350" s="117">
        <v>8.81</v>
      </c>
    </row>
    <row r="3351" spans="1:7" x14ac:dyDescent="0.25">
      <c r="A3351" s="116" t="s">
        <v>5133</v>
      </c>
      <c r="B3351" s="117" t="s">
        <v>5134</v>
      </c>
      <c r="C3351" t="s">
        <v>67</v>
      </c>
      <c r="D3351" t="s">
        <v>67</v>
      </c>
      <c r="E3351" t="s">
        <v>67</v>
      </c>
      <c r="F3351" t="s">
        <v>51</v>
      </c>
      <c r="G3351" s="117">
        <v>9.6999999999999993</v>
      </c>
    </row>
    <row r="3352" spans="1:7" x14ac:dyDescent="0.25">
      <c r="A3352" s="116" t="s">
        <v>5135</v>
      </c>
      <c r="B3352" s="117" t="s">
        <v>5136</v>
      </c>
      <c r="C3352" t="s">
        <v>67</v>
      </c>
      <c r="D3352" t="s">
        <v>67</v>
      </c>
      <c r="E3352" t="s">
        <v>67</v>
      </c>
      <c r="F3352" t="s">
        <v>49</v>
      </c>
      <c r="G3352" s="117">
        <v>4.3600000000000003</v>
      </c>
    </row>
    <row r="3353" spans="1:7" x14ac:dyDescent="0.25">
      <c r="A3353" s="116" t="s">
        <v>5137</v>
      </c>
      <c r="B3353" s="117" t="s">
        <v>5138</v>
      </c>
      <c r="C3353" t="s">
        <v>67</v>
      </c>
      <c r="D3353" t="s">
        <v>67</v>
      </c>
      <c r="E3353" t="s">
        <v>67</v>
      </c>
      <c r="F3353" t="s">
        <v>45</v>
      </c>
      <c r="G3353" s="117">
        <v>3.56</v>
      </c>
    </row>
    <row r="3354" spans="1:7" x14ac:dyDescent="0.25">
      <c r="A3354" s="116" t="s">
        <v>5139</v>
      </c>
      <c r="B3354" s="117" t="s">
        <v>5140</v>
      </c>
      <c r="C3354" t="s">
        <v>67</v>
      </c>
      <c r="D3354" t="s">
        <v>67</v>
      </c>
      <c r="E3354" t="s">
        <v>67</v>
      </c>
      <c r="F3354" t="s">
        <v>27987</v>
      </c>
      <c r="G3354" s="117">
        <v>4.3600000000000003</v>
      </c>
    </row>
    <row r="3355" spans="1:7" x14ac:dyDescent="0.25">
      <c r="A3355" s="116" t="s">
        <v>5141</v>
      </c>
      <c r="B3355" s="117" t="s">
        <v>5142</v>
      </c>
      <c r="C3355" t="s">
        <v>67</v>
      </c>
      <c r="D3355" t="s">
        <v>67</v>
      </c>
      <c r="E3355" t="s">
        <v>67</v>
      </c>
      <c r="F3355" t="s">
        <v>51</v>
      </c>
      <c r="G3355" s="117">
        <v>4.3600000000000003</v>
      </c>
    </row>
    <row r="3356" spans="1:7" x14ac:dyDescent="0.25">
      <c r="A3356" s="116" t="s">
        <v>5143</v>
      </c>
      <c r="B3356" s="117" t="s">
        <v>5144</v>
      </c>
      <c r="C3356" t="s">
        <v>67</v>
      </c>
      <c r="D3356" t="s">
        <v>67</v>
      </c>
      <c r="E3356" t="s">
        <v>67</v>
      </c>
      <c r="F3356" t="s">
        <v>45</v>
      </c>
      <c r="G3356" s="117">
        <v>4.8899999999999997</v>
      </c>
    </row>
    <row r="3357" spans="1:7" x14ac:dyDescent="0.25">
      <c r="A3357" s="116" t="s">
        <v>27018</v>
      </c>
      <c r="B3357" s="117" t="s">
        <v>27019</v>
      </c>
      <c r="C3357" t="s">
        <v>67</v>
      </c>
      <c r="D3357" t="s">
        <v>67</v>
      </c>
      <c r="E3357" t="s">
        <v>67</v>
      </c>
      <c r="F3357" t="s">
        <v>27987</v>
      </c>
      <c r="G3357" s="117">
        <v>10</v>
      </c>
    </row>
    <row r="3358" spans="1:7" x14ac:dyDescent="0.25">
      <c r="A3358" s="116" t="s">
        <v>5145</v>
      </c>
      <c r="B3358" s="117" t="s">
        <v>5146</v>
      </c>
      <c r="C3358" t="s">
        <v>67</v>
      </c>
      <c r="D3358" t="s">
        <v>67</v>
      </c>
      <c r="E3358" t="s">
        <v>67</v>
      </c>
      <c r="F3358" t="s">
        <v>45</v>
      </c>
      <c r="G3358" s="117">
        <v>7.12</v>
      </c>
    </row>
    <row r="3359" spans="1:7" x14ac:dyDescent="0.25">
      <c r="A3359" s="116" t="s">
        <v>5147</v>
      </c>
      <c r="B3359" s="117" t="s">
        <v>5148</v>
      </c>
      <c r="C3359" t="s">
        <v>67</v>
      </c>
      <c r="D3359" t="s">
        <v>67</v>
      </c>
      <c r="E3359" t="s">
        <v>67</v>
      </c>
      <c r="F3359" t="s">
        <v>49</v>
      </c>
      <c r="G3359" s="117">
        <v>8.81</v>
      </c>
    </row>
    <row r="3360" spans="1:7" x14ac:dyDescent="0.25">
      <c r="A3360" s="116" t="s">
        <v>5149</v>
      </c>
      <c r="B3360" s="117" t="s">
        <v>5150</v>
      </c>
      <c r="C3360" t="s">
        <v>67</v>
      </c>
      <c r="D3360" t="s">
        <v>67</v>
      </c>
      <c r="E3360" t="s">
        <v>67</v>
      </c>
      <c r="F3360" t="s">
        <v>27987</v>
      </c>
      <c r="G3360" s="117">
        <v>11.48</v>
      </c>
    </row>
    <row r="3361" spans="1:7" x14ac:dyDescent="0.25">
      <c r="A3361" s="116" t="s">
        <v>5151</v>
      </c>
      <c r="B3361" s="117" t="s">
        <v>5152</v>
      </c>
      <c r="C3361" t="s">
        <v>67</v>
      </c>
      <c r="D3361" t="s">
        <v>67</v>
      </c>
      <c r="E3361" t="s">
        <v>67</v>
      </c>
      <c r="F3361" t="s">
        <v>51</v>
      </c>
      <c r="G3361" s="117">
        <v>11.48</v>
      </c>
    </row>
    <row r="3362" spans="1:7" x14ac:dyDescent="0.25">
      <c r="A3362" s="116" t="s">
        <v>5153</v>
      </c>
      <c r="B3362" s="117" t="s">
        <v>5154</v>
      </c>
      <c r="C3362" t="s">
        <v>67</v>
      </c>
      <c r="D3362" t="s">
        <v>67</v>
      </c>
      <c r="E3362" t="s">
        <v>67</v>
      </c>
      <c r="F3362" t="s">
        <v>51</v>
      </c>
      <c r="G3362" s="117">
        <v>6.14</v>
      </c>
    </row>
    <row r="3363" spans="1:7" x14ac:dyDescent="0.25">
      <c r="A3363" s="116" t="s">
        <v>5155</v>
      </c>
      <c r="B3363" s="117" t="s">
        <v>5114</v>
      </c>
      <c r="C3363" t="s">
        <v>67</v>
      </c>
      <c r="D3363" t="s">
        <v>67</v>
      </c>
      <c r="E3363" t="s">
        <v>67</v>
      </c>
      <c r="F3363" t="s">
        <v>45</v>
      </c>
      <c r="G3363" s="117">
        <v>4</v>
      </c>
    </row>
    <row r="3364" spans="1:7" x14ac:dyDescent="0.25">
      <c r="A3364" s="116" t="s">
        <v>5156</v>
      </c>
      <c r="B3364" s="117" t="s">
        <v>5126</v>
      </c>
      <c r="C3364" t="s">
        <v>67</v>
      </c>
      <c r="D3364" t="s">
        <v>67</v>
      </c>
      <c r="E3364" t="s">
        <v>67</v>
      </c>
      <c r="F3364" t="s">
        <v>51</v>
      </c>
      <c r="G3364" s="117">
        <v>3.48</v>
      </c>
    </row>
    <row r="3365" spans="1:7" x14ac:dyDescent="0.25">
      <c r="A3365" s="116" t="s">
        <v>5157</v>
      </c>
      <c r="B3365" s="117" t="s">
        <v>5158</v>
      </c>
      <c r="C3365" t="s">
        <v>67</v>
      </c>
      <c r="D3365" t="s">
        <v>67</v>
      </c>
      <c r="E3365" t="s">
        <v>67</v>
      </c>
      <c r="F3365" t="s">
        <v>51</v>
      </c>
      <c r="G3365" s="117">
        <v>3.48</v>
      </c>
    </row>
    <row r="3366" spans="1:7" x14ac:dyDescent="0.25">
      <c r="A3366" s="116" t="s">
        <v>5159</v>
      </c>
      <c r="B3366" s="117" t="s">
        <v>5160</v>
      </c>
      <c r="C3366" t="s">
        <v>67</v>
      </c>
      <c r="D3366" t="s">
        <v>67</v>
      </c>
      <c r="E3366" t="s">
        <v>67</v>
      </c>
      <c r="F3366" t="s">
        <v>49</v>
      </c>
      <c r="G3366" s="117">
        <v>8.81</v>
      </c>
    </row>
    <row r="3367" spans="1:7" x14ac:dyDescent="0.25">
      <c r="A3367" s="116" t="s">
        <v>5161</v>
      </c>
      <c r="B3367" s="117" t="s">
        <v>5162</v>
      </c>
      <c r="C3367" t="s">
        <v>67</v>
      </c>
      <c r="D3367" t="s">
        <v>67</v>
      </c>
      <c r="E3367" t="s">
        <v>67</v>
      </c>
      <c r="F3367" t="s">
        <v>45</v>
      </c>
      <c r="G3367" s="117">
        <v>10.24</v>
      </c>
    </row>
    <row r="3368" spans="1:7" x14ac:dyDescent="0.25">
      <c r="A3368" s="116" t="s">
        <v>5163</v>
      </c>
      <c r="B3368" s="117" t="s">
        <v>5140</v>
      </c>
      <c r="C3368" t="s">
        <v>67</v>
      </c>
      <c r="D3368" t="s">
        <v>67</v>
      </c>
      <c r="E3368" t="s">
        <v>67</v>
      </c>
      <c r="F3368" t="s">
        <v>49</v>
      </c>
      <c r="G3368" s="117">
        <v>3.56</v>
      </c>
    </row>
    <row r="3369" spans="1:7" x14ac:dyDescent="0.25">
      <c r="A3369" s="116" t="s">
        <v>5164</v>
      </c>
      <c r="B3369" s="117" t="s">
        <v>5165</v>
      </c>
      <c r="C3369" t="s">
        <v>67</v>
      </c>
      <c r="D3369" t="s">
        <v>67</v>
      </c>
      <c r="E3369" t="s">
        <v>67</v>
      </c>
      <c r="F3369" t="s">
        <v>45</v>
      </c>
      <c r="G3369" s="117">
        <v>11</v>
      </c>
    </row>
    <row r="3370" spans="1:7" x14ac:dyDescent="0.25">
      <c r="A3370" s="116" t="s">
        <v>5166</v>
      </c>
      <c r="B3370" s="117" t="s">
        <v>5167</v>
      </c>
      <c r="C3370" t="s">
        <v>67</v>
      </c>
      <c r="D3370" t="s">
        <v>67</v>
      </c>
      <c r="E3370" t="s">
        <v>67</v>
      </c>
      <c r="F3370" t="s">
        <v>49</v>
      </c>
      <c r="G3370" s="117">
        <v>20.02</v>
      </c>
    </row>
    <row r="3371" spans="1:7" x14ac:dyDescent="0.25">
      <c r="A3371" s="116" t="s">
        <v>5168</v>
      </c>
      <c r="B3371" s="117" t="s">
        <v>5169</v>
      </c>
      <c r="C3371" t="s">
        <v>67</v>
      </c>
      <c r="D3371" t="s">
        <v>67</v>
      </c>
      <c r="E3371" t="s">
        <v>67</v>
      </c>
      <c r="F3371" t="s">
        <v>27987</v>
      </c>
      <c r="G3371" s="117">
        <v>20.02</v>
      </c>
    </row>
    <row r="3372" spans="1:7" x14ac:dyDescent="0.25">
      <c r="A3372" s="116" t="s">
        <v>5170</v>
      </c>
      <c r="B3372" s="117" t="s">
        <v>5171</v>
      </c>
      <c r="C3372" t="s">
        <v>67</v>
      </c>
      <c r="D3372" t="s">
        <v>67</v>
      </c>
      <c r="E3372" t="s">
        <v>67</v>
      </c>
      <c r="F3372" t="s">
        <v>27987</v>
      </c>
      <c r="G3372" s="117">
        <v>13.8</v>
      </c>
    </row>
    <row r="3373" spans="1:7" x14ac:dyDescent="0.25">
      <c r="A3373" s="116" t="s">
        <v>5172</v>
      </c>
      <c r="B3373" s="117" t="s">
        <v>5173</v>
      </c>
      <c r="C3373" t="s">
        <v>67</v>
      </c>
      <c r="D3373" t="s">
        <v>67</v>
      </c>
      <c r="E3373" t="s">
        <v>67</v>
      </c>
      <c r="F3373" t="s">
        <v>51</v>
      </c>
      <c r="G3373" s="117">
        <v>13.47</v>
      </c>
    </row>
    <row r="3374" spans="1:7" x14ac:dyDescent="0.25">
      <c r="A3374" s="116" t="s">
        <v>5174</v>
      </c>
      <c r="B3374" s="117" t="s">
        <v>5175</v>
      </c>
      <c r="C3374" t="s">
        <v>67</v>
      </c>
      <c r="D3374" t="s">
        <v>67</v>
      </c>
      <c r="E3374" t="s">
        <v>67</v>
      </c>
      <c r="F3374" t="s">
        <v>27990</v>
      </c>
      <c r="G3374" s="117">
        <v>12.37</v>
      </c>
    </row>
    <row r="3375" spans="1:7" x14ac:dyDescent="0.25">
      <c r="A3375" s="116" t="s">
        <v>5176</v>
      </c>
      <c r="B3375" s="117" t="s">
        <v>5177</v>
      </c>
      <c r="C3375" t="s">
        <v>67</v>
      </c>
      <c r="D3375" t="s">
        <v>67</v>
      </c>
      <c r="E3375" t="s">
        <v>67</v>
      </c>
      <c r="F3375" t="s">
        <v>45</v>
      </c>
      <c r="G3375" s="117">
        <v>5.25</v>
      </c>
    </row>
    <row r="3376" spans="1:7" x14ac:dyDescent="0.25">
      <c r="A3376" s="116" t="s">
        <v>5178</v>
      </c>
      <c r="B3376" s="117" t="s">
        <v>5179</v>
      </c>
      <c r="C3376" t="s">
        <v>67</v>
      </c>
      <c r="D3376" t="s">
        <v>67</v>
      </c>
      <c r="E3376" t="s">
        <v>67</v>
      </c>
      <c r="F3376" t="s">
        <v>45</v>
      </c>
      <c r="G3376" s="117">
        <v>6.14</v>
      </c>
    </row>
    <row r="3377" spans="1:7" x14ac:dyDescent="0.25">
      <c r="A3377" s="116" t="s">
        <v>5180</v>
      </c>
      <c r="B3377" s="117" t="s">
        <v>5181</v>
      </c>
      <c r="C3377" t="s">
        <v>67</v>
      </c>
      <c r="D3377" t="s">
        <v>67</v>
      </c>
      <c r="E3377" t="s">
        <v>67</v>
      </c>
      <c r="F3377" t="s">
        <v>49</v>
      </c>
      <c r="G3377" s="117">
        <v>7.56</v>
      </c>
    </row>
    <row r="3378" spans="1:7" x14ac:dyDescent="0.25">
      <c r="A3378" s="116" t="s">
        <v>5182</v>
      </c>
      <c r="B3378" s="117" t="s">
        <v>5183</v>
      </c>
      <c r="C3378" t="s">
        <v>67</v>
      </c>
      <c r="D3378" t="s">
        <v>67</v>
      </c>
      <c r="E3378" t="s">
        <v>67</v>
      </c>
      <c r="F3378" t="s">
        <v>49</v>
      </c>
      <c r="G3378" s="117">
        <v>12.37</v>
      </c>
    </row>
    <row r="3379" spans="1:7" x14ac:dyDescent="0.25">
      <c r="A3379" s="116" t="s">
        <v>5184</v>
      </c>
      <c r="B3379" s="117" t="s">
        <v>5185</v>
      </c>
      <c r="C3379" t="s">
        <v>67</v>
      </c>
      <c r="D3379" t="s">
        <v>67</v>
      </c>
      <c r="E3379" t="s">
        <v>67</v>
      </c>
      <c r="F3379" t="s">
        <v>27990</v>
      </c>
      <c r="G3379" s="117">
        <v>6.68</v>
      </c>
    </row>
    <row r="3380" spans="1:7" x14ac:dyDescent="0.25">
      <c r="A3380" s="116" t="s">
        <v>5186</v>
      </c>
      <c r="B3380" s="117" t="s">
        <v>5187</v>
      </c>
      <c r="C3380" t="s">
        <v>67</v>
      </c>
      <c r="D3380" t="s">
        <v>67</v>
      </c>
      <c r="E3380" t="s">
        <v>67</v>
      </c>
      <c r="F3380" t="s">
        <v>45</v>
      </c>
      <c r="G3380" s="117">
        <v>6.14</v>
      </c>
    </row>
    <row r="3381" spans="1:7" x14ac:dyDescent="0.25">
      <c r="A3381" s="116" t="s">
        <v>5188</v>
      </c>
      <c r="B3381" s="117" t="s">
        <v>5189</v>
      </c>
      <c r="C3381" t="s">
        <v>67</v>
      </c>
      <c r="D3381" t="s">
        <v>67</v>
      </c>
      <c r="E3381" t="s">
        <v>67</v>
      </c>
      <c r="F3381" t="s">
        <v>45</v>
      </c>
      <c r="G3381" s="117">
        <v>7.12</v>
      </c>
    </row>
    <row r="3382" spans="1:7" x14ac:dyDescent="0.25">
      <c r="A3382" s="116" t="s">
        <v>5190</v>
      </c>
      <c r="B3382" s="117" t="s">
        <v>5191</v>
      </c>
      <c r="C3382" t="s">
        <v>67</v>
      </c>
      <c r="D3382" t="s">
        <v>67</v>
      </c>
      <c r="E3382" t="s">
        <v>67</v>
      </c>
      <c r="F3382" t="s">
        <v>27987</v>
      </c>
      <c r="G3382" s="117">
        <v>22.16</v>
      </c>
    </row>
    <row r="3383" spans="1:7" x14ac:dyDescent="0.25">
      <c r="A3383" s="116" t="s">
        <v>5192</v>
      </c>
      <c r="B3383" s="117" t="s">
        <v>5179</v>
      </c>
      <c r="C3383" t="s">
        <v>67</v>
      </c>
      <c r="D3383" t="s">
        <v>67</v>
      </c>
      <c r="E3383" t="s">
        <v>67</v>
      </c>
      <c r="F3383" t="s">
        <v>45</v>
      </c>
      <c r="G3383" s="117">
        <v>9.7799999999999994</v>
      </c>
    </row>
    <row r="3384" spans="1:7" x14ac:dyDescent="0.25">
      <c r="A3384" s="116" t="s">
        <v>5193</v>
      </c>
      <c r="B3384" s="117" t="s">
        <v>5179</v>
      </c>
      <c r="C3384" t="s">
        <v>67</v>
      </c>
      <c r="D3384" t="s">
        <v>67</v>
      </c>
      <c r="E3384" t="s">
        <v>67</v>
      </c>
      <c r="F3384" t="s">
        <v>49</v>
      </c>
      <c r="G3384" s="117">
        <v>9.35</v>
      </c>
    </row>
    <row r="3385" spans="1:7" x14ac:dyDescent="0.25">
      <c r="A3385" s="116" t="s">
        <v>5194</v>
      </c>
      <c r="B3385" s="117" t="s">
        <v>5195</v>
      </c>
      <c r="C3385" t="s">
        <v>67</v>
      </c>
      <c r="D3385" t="s">
        <v>67</v>
      </c>
      <c r="E3385" t="s">
        <v>67</v>
      </c>
      <c r="F3385" t="s">
        <v>49</v>
      </c>
      <c r="G3385" s="117">
        <v>6.14</v>
      </c>
    </row>
    <row r="3386" spans="1:7" x14ac:dyDescent="0.25">
      <c r="A3386" s="116" t="s">
        <v>5196</v>
      </c>
      <c r="B3386" s="117" t="s">
        <v>5197</v>
      </c>
      <c r="C3386" t="s">
        <v>67</v>
      </c>
      <c r="D3386" t="s">
        <v>67</v>
      </c>
      <c r="E3386" t="s">
        <v>67</v>
      </c>
      <c r="F3386" t="s">
        <v>51</v>
      </c>
      <c r="G3386" s="117">
        <v>9.6999999999999993</v>
      </c>
    </row>
    <row r="3387" spans="1:7" x14ac:dyDescent="0.25">
      <c r="A3387" s="116" t="s">
        <v>5198</v>
      </c>
      <c r="B3387" s="117" t="s">
        <v>5199</v>
      </c>
      <c r="C3387" t="s">
        <v>67</v>
      </c>
      <c r="D3387" t="s">
        <v>67</v>
      </c>
      <c r="E3387" t="s">
        <v>67</v>
      </c>
      <c r="F3387" t="s">
        <v>51</v>
      </c>
      <c r="G3387" s="117">
        <v>19.13</v>
      </c>
    </row>
    <row r="3388" spans="1:7" x14ac:dyDescent="0.25">
      <c r="A3388" s="116" t="s">
        <v>5200</v>
      </c>
      <c r="B3388" s="117" t="s">
        <v>5201</v>
      </c>
      <c r="C3388" t="s">
        <v>67</v>
      </c>
      <c r="D3388" t="s">
        <v>67</v>
      </c>
      <c r="E3388" t="s">
        <v>67</v>
      </c>
      <c r="F3388" t="s">
        <v>49</v>
      </c>
      <c r="G3388" s="117">
        <v>7.12</v>
      </c>
    </row>
    <row r="3389" spans="1:7" x14ac:dyDescent="0.25">
      <c r="A3389" s="116" t="s">
        <v>5202</v>
      </c>
      <c r="B3389" s="117" t="s">
        <v>5203</v>
      </c>
      <c r="C3389" t="s">
        <v>67</v>
      </c>
      <c r="D3389" t="s">
        <v>67</v>
      </c>
      <c r="E3389" t="s">
        <v>67</v>
      </c>
      <c r="F3389" t="s">
        <v>49</v>
      </c>
      <c r="G3389" s="117">
        <v>4.45</v>
      </c>
    </row>
    <row r="3390" spans="1:7" x14ac:dyDescent="0.25">
      <c r="A3390" s="116" t="s">
        <v>28600</v>
      </c>
      <c r="B3390" s="117" t="s">
        <v>28601</v>
      </c>
      <c r="C3390" t="s">
        <v>67</v>
      </c>
      <c r="D3390" t="s">
        <v>67</v>
      </c>
      <c r="E3390" t="s">
        <v>67</v>
      </c>
      <c r="F3390" t="s">
        <v>45</v>
      </c>
      <c r="G3390" s="117">
        <v>0</v>
      </c>
    </row>
    <row r="3391" spans="1:7" x14ac:dyDescent="0.25">
      <c r="A3391" s="116" t="s">
        <v>5204</v>
      </c>
      <c r="B3391" s="117" t="s">
        <v>5205</v>
      </c>
      <c r="C3391" t="s">
        <v>67</v>
      </c>
      <c r="D3391" t="s">
        <v>67</v>
      </c>
      <c r="E3391" t="s">
        <v>67</v>
      </c>
      <c r="F3391" t="s">
        <v>51</v>
      </c>
      <c r="G3391" s="117">
        <v>15.57</v>
      </c>
    </row>
    <row r="3392" spans="1:7" x14ac:dyDescent="0.25">
      <c r="A3392" s="116" t="s">
        <v>5206</v>
      </c>
      <c r="B3392" s="117" t="s">
        <v>5207</v>
      </c>
      <c r="C3392" t="s">
        <v>67</v>
      </c>
      <c r="D3392" t="s">
        <v>67</v>
      </c>
      <c r="E3392" t="s">
        <v>67</v>
      </c>
      <c r="F3392" t="s">
        <v>45</v>
      </c>
      <c r="G3392" s="117">
        <v>6.14</v>
      </c>
    </row>
    <row r="3393" spans="1:7" x14ac:dyDescent="0.25">
      <c r="A3393" s="116" t="s">
        <v>5208</v>
      </c>
      <c r="B3393" s="117" t="s">
        <v>5209</v>
      </c>
      <c r="C3393" t="s">
        <v>67</v>
      </c>
      <c r="D3393" t="s">
        <v>67</v>
      </c>
      <c r="E3393" t="s">
        <v>67</v>
      </c>
      <c r="F3393" t="s">
        <v>45</v>
      </c>
      <c r="G3393" s="117">
        <v>3.56</v>
      </c>
    </row>
    <row r="3394" spans="1:7" x14ac:dyDescent="0.25">
      <c r="A3394" s="116" t="s">
        <v>27020</v>
      </c>
      <c r="B3394" s="117" t="s">
        <v>28602</v>
      </c>
      <c r="C3394" t="s">
        <v>67</v>
      </c>
      <c r="D3394" t="s">
        <v>67</v>
      </c>
      <c r="E3394" t="s">
        <v>67</v>
      </c>
      <c r="F3394" t="s">
        <v>45</v>
      </c>
      <c r="G3394" s="117">
        <v>9</v>
      </c>
    </row>
    <row r="3395" spans="1:7" x14ac:dyDescent="0.25">
      <c r="A3395" s="116" t="s">
        <v>5210</v>
      </c>
      <c r="B3395" s="117" t="s">
        <v>5211</v>
      </c>
      <c r="C3395" t="s">
        <v>67</v>
      </c>
      <c r="D3395" t="s">
        <v>67</v>
      </c>
      <c r="E3395" t="s">
        <v>67</v>
      </c>
      <c r="F3395" t="s">
        <v>27990</v>
      </c>
      <c r="G3395" s="117">
        <v>6.25</v>
      </c>
    </row>
    <row r="3396" spans="1:7" x14ac:dyDescent="0.25">
      <c r="A3396" s="116" t="s">
        <v>5212</v>
      </c>
      <c r="B3396" s="117" t="s">
        <v>5136</v>
      </c>
      <c r="C3396" t="s">
        <v>67</v>
      </c>
      <c r="D3396" t="s">
        <v>67</v>
      </c>
      <c r="E3396" t="s">
        <v>67</v>
      </c>
      <c r="F3396" t="s">
        <v>49</v>
      </c>
      <c r="G3396" s="117">
        <v>3.12</v>
      </c>
    </row>
    <row r="3397" spans="1:7" x14ac:dyDescent="0.25">
      <c r="A3397" s="116" t="s">
        <v>5213</v>
      </c>
      <c r="B3397" s="117" t="s">
        <v>5214</v>
      </c>
      <c r="C3397" t="s">
        <v>67</v>
      </c>
      <c r="D3397" t="s">
        <v>67</v>
      </c>
      <c r="E3397" t="s">
        <v>67</v>
      </c>
      <c r="F3397" t="s">
        <v>45</v>
      </c>
      <c r="G3397" s="117">
        <v>35.5</v>
      </c>
    </row>
    <row r="3398" spans="1:7" x14ac:dyDescent="0.25">
      <c r="A3398" s="116" t="s">
        <v>5215</v>
      </c>
      <c r="B3398" s="117" t="s">
        <v>5216</v>
      </c>
      <c r="C3398" t="s">
        <v>67</v>
      </c>
      <c r="D3398" t="s">
        <v>67</v>
      </c>
      <c r="E3398" t="s">
        <v>67</v>
      </c>
      <c r="F3398" t="s">
        <v>45</v>
      </c>
      <c r="G3398" s="117">
        <v>4.3600000000000003</v>
      </c>
    </row>
    <row r="3399" spans="1:7" x14ac:dyDescent="0.25">
      <c r="A3399" s="116" t="s">
        <v>5217</v>
      </c>
      <c r="B3399" s="117" t="s">
        <v>5218</v>
      </c>
      <c r="C3399" t="s">
        <v>67</v>
      </c>
      <c r="D3399" t="s">
        <v>67</v>
      </c>
      <c r="E3399" t="s">
        <v>67</v>
      </c>
      <c r="F3399" t="s">
        <v>51</v>
      </c>
      <c r="G3399" s="117">
        <v>3.14</v>
      </c>
    </row>
    <row r="3400" spans="1:7" x14ac:dyDescent="0.25">
      <c r="A3400" s="116" t="s">
        <v>5219</v>
      </c>
      <c r="B3400" s="117" t="s">
        <v>5220</v>
      </c>
      <c r="C3400" t="s">
        <v>67</v>
      </c>
      <c r="D3400" t="s">
        <v>67</v>
      </c>
      <c r="E3400" t="s">
        <v>67</v>
      </c>
      <c r="F3400" t="s">
        <v>27987</v>
      </c>
      <c r="G3400" s="117">
        <v>5.79</v>
      </c>
    </row>
    <row r="3401" spans="1:7" x14ac:dyDescent="0.25">
      <c r="A3401" s="116" t="s">
        <v>5221</v>
      </c>
      <c r="B3401" s="117" t="s">
        <v>5222</v>
      </c>
      <c r="C3401" t="s">
        <v>67</v>
      </c>
      <c r="D3401" t="s">
        <v>67</v>
      </c>
      <c r="E3401" t="s">
        <v>67</v>
      </c>
      <c r="F3401" t="s">
        <v>27987</v>
      </c>
      <c r="G3401" s="117">
        <v>28.38</v>
      </c>
    </row>
    <row r="3402" spans="1:7" x14ac:dyDescent="0.25">
      <c r="A3402" s="116" t="s">
        <v>5223</v>
      </c>
      <c r="B3402" s="117" t="s">
        <v>5224</v>
      </c>
      <c r="C3402" t="s">
        <v>67</v>
      </c>
      <c r="D3402" t="s">
        <v>67</v>
      </c>
      <c r="E3402" t="s">
        <v>67</v>
      </c>
      <c r="F3402" t="s">
        <v>45</v>
      </c>
      <c r="G3402" s="117">
        <v>5.25</v>
      </c>
    </row>
    <row r="3403" spans="1:7" x14ac:dyDescent="0.25">
      <c r="A3403" s="116" t="s">
        <v>5225</v>
      </c>
      <c r="B3403" s="117" t="s">
        <v>5226</v>
      </c>
      <c r="C3403" t="s">
        <v>67</v>
      </c>
      <c r="D3403" t="s">
        <v>67</v>
      </c>
      <c r="E3403" t="s">
        <v>67</v>
      </c>
      <c r="F3403" t="s">
        <v>49</v>
      </c>
      <c r="G3403" s="117">
        <v>10.58</v>
      </c>
    </row>
    <row r="3404" spans="1:7" x14ac:dyDescent="0.25">
      <c r="A3404" s="116" t="s">
        <v>5227</v>
      </c>
      <c r="B3404" s="117" t="s">
        <v>28603</v>
      </c>
      <c r="C3404" t="s">
        <v>67</v>
      </c>
      <c r="D3404" t="s">
        <v>67</v>
      </c>
      <c r="E3404" t="s">
        <v>67</v>
      </c>
      <c r="F3404" t="s">
        <v>27987</v>
      </c>
      <c r="G3404" s="117">
        <v>5.26</v>
      </c>
    </row>
    <row r="3405" spans="1:7" x14ac:dyDescent="0.25">
      <c r="A3405" s="116" t="s">
        <v>5228</v>
      </c>
      <c r="B3405" s="117" t="s">
        <v>5179</v>
      </c>
      <c r="C3405" t="s">
        <v>67</v>
      </c>
      <c r="D3405" t="s">
        <v>67</v>
      </c>
      <c r="E3405" t="s">
        <v>67</v>
      </c>
      <c r="F3405" t="s">
        <v>27990</v>
      </c>
      <c r="G3405" s="117">
        <v>9.35</v>
      </c>
    </row>
    <row r="3406" spans="1:7" x14ac:dyDescent="0.25">
      <c r="A3406" s="116" t="s">
        <v>5229</v>
      </c>
      <c r="B3406" s="117" t="s">
        <v>5181</v>
      </c>
      <c r="C3406" t="s">
        <v>67</v>
      </c>
      <c r="D3406" t="s">
        <v>67</v>
      </c>
      <c r="E3406" t="s">
        <v>67</v>
      </c>
      <c r="F3406" t="s">
        <v>51</v>
      </c>
      <c r="G3406" s="117">
        <v>17.7</v>
      </c>
    </row>
    <row r="3407" spans="1:7" x14ac:dyDescent="0.25">
      <c r="A3407" s="116" t="s">
        <v>5230</v>
      </c>
      <c r="B3407" s="117" t="s">
        <v>5195</v>
      </c>
      <c r="C3407" t="s">
        <v>67</v>
      </c>
      <c r="D3407" t="s">
        <v>67</v>
      </c>
      <c r="E3407" t="s">
        <v>67</v>
      </c>
      <c r="F3407" t="s">
        <v>49</v>
      </c>
      <c r="G3407" s="117">
        <v>8.4499999999999993</v>
      </c>
    </row>
    <row r="3408" spans="1:7" x14ac:dyDescent="0.25">
      <c r="A3408" s="116" t="s">
        <v>28604</v>
      </c>
      <c r="B3408" s="117" t="s">
        <v>30720</v>
      </c>
      <c r="C3408" t="s">
        <v>67</v>
      </c>
      <c r="D3408" t="s">
        <v>67</v>
      </c>
      <c r="E3408" t="s">
        <v>67</v>
      </c>
      <c r="F3408" t="s">
        <v>27987</v>
      </c>
      <c r="G3408" s="117">
        <v>7</v>
      </c>
    </row>
    <row r="3409" spans="1:7" x14ac:dyDescent="0.25">
      <c r="A3409" s="116" t="s">
        <v>5231</v>
      </c>
      <c r="B3409" s="117" t="s">
        <v>5232</v>
      </c>
      <c r="C3409" t="s">
        <v>67</v>
      </c>
      <c r="D3409" t="s">
        <v>67</v>
      </c>
      <c r="E3409" t="s">
        <v>67</v>
      </c>
      <c r="F3409" t="s">
        <v>49</v>
      </c>
      <c r="G3409" s="117">
        <v>4</v>
      </c>
    </row>
    <row r="3410" spans="1:7" x14ac:dyDescent="0.25">
      <c r="A3410" s="116" t="s">
        <v>5233</v>
      </c>
      <c r="B3410" s="117" t="s">
        <v>5234</v>
      </c>
      <c r="C3410" t="s">
        <v>67</v>
      </c>
      <c r="D3410" t="s">
        <v>67</v>
      </c>
      <c r="E3410" t="s">
        <v>67</v>
      </c>
      <c r="F3410" t="s">
        <v>27987</v>
      </c>
      <c r="G3410" s="117">
        <v>8.4499999999999993</v>
      </c>
    </row>
    <row r="3411" spans="1:7" x14ac:dyDescent="0.25">
      <c r="A3411" s="116" t="s">
        <v>5235</v>
      </c>
      <c r="B3411" s="117" t="s">
        <v>5144</v>
      </c>
      <c r="C3411" t="s">
        <v>67</v>
      </c>
      <c r="D3411" t="s">
        <v>67</v>
      </c>
      <c r="E3411" t="s">
        <v>67</v>
      </c>
      <c r="F3411" t="s">
        <v>51</v>
      </c>
      <c r="G3411" s="117">
        <v>8.4499999999999993</v>
      </c>
    </row>
    <row r="3412" spans="1:7" x14ac:dyDescent="0.25">
      <c r="A3412" s="116" t="s">
        <v>5236</v>
      </c>
      <c r="B3412" s="117" t="s">
        <v>5237</v>
      </c>
      <c r="C3412" t="s">
        <v>67</v>
      </c>
      <c r="D3412" t="s">
        <v>67</v>
      </c>
      <c r="E3412" t="s">
        <v>67</v>
      </c>
      <c r="F3412" t="s">
        <v>45</v>
      </c>
      <c r="G3412" s="117">
        <v>12.01</v>
      </c>
    </row>
    <row r="3413" spans="1:7" x14ac:dyDescent="0.25">
      <c r="A3413" s="116" t="s">
        <v>5238</v>
      </c>
      <c r="B3413" s="117" t="s">
        <v>5239</v>
      </c>
      <c r="C3413" t="s">
        <v>67</v>
      </c>
      <c r="D3413" t="s">
        <v>67</v>
      </c>
      <c r="E3413" t="s">
        <v>67</v>
      </c>
      <c r="F3413" t="s">
        <v>27987</v>
      </c>
      <c r="G3413" s="117">
        <v>167.2</v>
      </c>
    </row>
    <row r="3414" spans="1:7" x14ac:dyDescent="0.25">
      <c r="A3414" s="116" t="s">
        <v>5240</v>
      </c>
      <c r="B3414" s="117" t="s">
        <v>28605</v>
      </c>
      <c r="C3414" t="s">
        <v>67</v>
      </c>
      <c r="D3414" t="s">
        <v>67</v>
      </c>
      <c r="E3414" t="s">
        <v>67</v>
      </c>
      <c r="F3414" t="s">
        <v>27987</v>
      </c>
      <c r="G3414" s="117">
        <v>2.5</v>
      </c>
    </row>
    <row r="3415" spans="1:7" x14ac:dyDescent="0.25">
      <c r="A3415" s="116" t="s">
        <v>5241</v>
      </c>
      <c r="B3415" s="117" t="s">
        <v>5242</v>
      </c>
      <c r="C3415" t="s">
        <v>67</v>
      </c>
      <c r="D3415" t="s">
        <v>67</v>
      </c>
      <c r="E3415" t="s">
        <v>67</v>
      </c>
      <c r="F3415" t="s">
        <v>27987</v>
      </c>
      <c r="G3415" s="117">
        <v>43.98</v>
      </c>
    </row>
    <row r="3416" spans="1:7" x14ac:dyDescent="0.25">
      <c r="A3416" s="116" t="s">
        <v>5243</v>
      </c>
      <c r="B3416" s="117" t="s">
        <v>5132</v>
      </c>
      <c r="C3416" t="s">
        <v>67</v>
      </c>
      <c r="D3416" t="s">
        <v>67</v>
      </c>
      <c r="E3416" t="s">
        <v>67</v>
      </c>
      <c r="F3416" t="s">
        <v>27990</v>
      </c>
      <c r="G3416" s="117">
        <v>2.58</v>
      </c>
    </row>
    <row r="3417" spans="1:7" x14ac:dyDescent="0.25">
      <c r="A3417" s="116" t="s">
        <v>26612</v>
      </c>
      <c r="B3417" s="117" t="s">
        <v>26891</v>
      </c>
      <c r="C3417" t="s">
        <v>67</v>
      </c>
      <c r="D3417" t="s">
        <v>67</v>
      </c>
      <c r="E3417" t="s">
        <v>67</v>
      </c>
      <c r="F3417" t="s">
        <v>27990</v>
      </c>
      <c r="G3417" s="117">
        <v>7.9</v>
      </c>
    </row>
    <row r="3418" spans="1:7" x14ac:dyDescent="0.25">
      <c r="A3418" s="116" t="s">
        <v>26605</v>
      </c>
      <c r="B3418" s="117" t="s">
        <v>26892</v>
      </c>
      <c r="C3418" t="s">
        <v>67</v>
      </c>
      <c r="D3418" t="s">
        <v>67</v>
      </c>
      <c r="E3418" t="s">
        <v>67</v>
      </c>
      <c r="F3418" t="s">
        <v>27990</v>
      </c>
      <c r="G3418" s="117">
        <v>10.86</v>
      </c>
    </row>
    <row r="3419" spans="1:7" x14ac:dyDescent="0.25">
      <c r="A3419" s="116" t="s">
        <v>5244</v>
      </c>
      <c r="B3419" s="117" t="s">
        <v>5245</v>
      </c>
      <c r="C3419" t="s">
        <v>67</v>
      </c>
      <c r="D3419" t="s">
        <v>67</v>
      </c>
      <c r="E3419" t="s">
        <v>67</v>
      </c>
      <c r="F3419" t="s">
        <v>49</v>
      </c>
      <c r="G3419" s="117">
        <v>3.56</v>
      </c>
    </row>
    <row r="3420" spans="1:7" x14ac:dyDescent="0.25">
      <c r="A3420" s="116" t="s">
        <v>5246</v>
      </c>
      <c r="B3420" s="117" t="s">
        <v>5247</v>
      </c>
      <c r="C3420" t="s">
        <v>67</v>
      </c>
      <c r="D3420" t="s">
        <v>67</v>
      </c>
      <c r="E3420" t="s">
        <v>67</v>
      </c>
      <c r="F3420" t="s">
        <v>51</v>
      </c>
      <c r="G3420" s="117">
        <v>3.48</v>
      </c>
    </row>
    <row r="3421" spans="1:7" x14ac:dyDescent="0.25">
      <c r="A3421" s="116" t="s">
        <v>5248</v>
      </c>
      <c r="B3421" s="117" t="s">
        <v>5249</v>
      </c>
      <c r="C3421" t="s">
        <v>67</v>
      </c>
      <c r="D3421" t="s">
        <v>67</v>
      </c>
      <c r="E3421" t="s">
        <v>67</v>
      </c>
      <c r="F3421" t="s">
        <v>27987</v>
      </c>
      <c r="G3421" s="117">
        <v>26.25</v>
      </c>
    </row>
    <row r="3422" spans="1:7" x14ac:dyDescent="0.25">
      <c r="A3422" s="116" t="s">
        <v>5250</v>
      </c>
      <c r="B3422" s="117" t="s">
        <v>5251</v>
      </c>
      <c r="C3422" t="s">
        <v>67</v>
      </c>
      <c r="D3422" t="s">
        <v>67</v>
      </c>
      <c r="E3422" t="s">
        <v>67</v>
      </c>
      <c r="F3422" t="s">
        <v>27987</v>
      </c>
      <c r="G3422" s="117">
        <v>2.75</v>
      </c>
    </row>
    <row r="3423" spans="1:7" x14ac:dyDescent="0.25">
      <c r="A3423" s="116" t="s">
        <v>5252</v>
      </c>
      <c r="B3423" s="117" t="s">
        <v>5253</v>
      </c>
      <c r="C3423" t="s">
        <v>67</v>
      </c>
      <c r="D3423" t="s">
        <v>67</v>
      </c>
      <c r="E3423" t="s">
        <v>67</v>
      </c>
      <c r="F3423" t="s">
        <v>27987</v>
      </c>
      <c r="G3423" s="117">
        <v>42.26</v>
      </c>
    </row>
    <row r="3424" spans="1:7" x14ac:dyDescent="0.25">
      <c r="A3424" s="116" t="s">
        <v>5254</v>
      </c>
      <c r="B3424" s="117" t="s">
        <v>26461</v>
      </c>
      <c r="C3424" t="s">
        <v>67</v>
      </c>
      <c r="D3424" t="s">
        <v>67</v>
      </c>
      <c r="E3424" t="s">
        <v>67</v>
      </c>
      <c r="F3424" t="s">
        <v>27987</v>
      </c>
      <c r="G3424" s="117">
        <v>20</v>
      </c>
    </row>
    <row r="3425" spans="1:7" x14ac:dyDescent="0.25">
      <c r="A3425" s="116" t="s">
        <v>29778</v>
      </c>
      <c r="B3425" s="117" t="s">
        <v>30407</v>
      </c>
      <c r="C3425" t="s">
        <v>67</v>
      </c>
      <c r="D3425" t="s">
        <v>67</v>
      </c>
      <c r="E3425" t="s">
        <v>67</v>
      </c>
      <c r="F3425" t="s">
        <v>49</v>
      </c>
      <c r="G3425" s="117">
        <v>12.37</v>
      </c>
    </row>
    <row r="3426" spans="1:7" x14ac:dyDescent="0.25">
      <c r="A3426" s="116" t="s">
        <v>5255</v>
      </c>
      <c r="B3426" s="117" t="s">
        <v>5256</v>
      </c>
      <c r="C3426" t="s">
        <v>67</v>
      </c>
      <c r="D3426" t="s">
        <v>67</v>
      </c>
      <c r="E3426" t="s">
        <v>67</v>
      </c>
      <c r="F3426" t="s">
        <v>49</v>
      </c>
      <c r="G3426" s="117">
        <v>3.48</v>
      </c>
    </row>
    <row r="3427" spans="1:7" x14ac:dyDescent="0.25">
      <c r="A3427" s="116" t="s">
        <v>5257</v>
      </c>
      <c r="B3427" s="117" t="s">
        <v>5195</v>
      </c>
      <c r="C3427" t="s">
        <v>67</v>
      </c>
      <c r="D3427" t="s">
        <v>67</v>
      </c>
      <c r="E3427" t="s">
        <v>67</v>
      </c>
      <c r="F3427" t="s">
        <v>27987</v>
      </c>
      <c r="G3427" s="117">
        <v>6.68</v>
      </c>
    </row>
    <row r="3428" spans="1:7" x14ac:dyDescent="0.25">
      <c r="A3428" s="116" t="s">
        <v>30621</v>
      </c>
      <c r="B3428" s="117" t="s">
        <v>30622</v>
      </c>
      <c r="C3428" t="s">
        <v>67</v>
      </c>
      <c r="D3428" t="s">
        <v>67</v>
      </c>
      <c r="E3428" t="s">
        <v>67</v>
      </c>
      <c r="F3428" t="s">
        <v>27987</v>
      </c>
      <c r="G3428" s="117">
        <v>9999</v>
      </c>
    </row>
    <row r="3429" spans="1:7" x14ac:dyDescent="0.25">
      <c r="A3429" s="116" t="s">
        <v>5258</v>
      </c>
      <c r="B3429" s="117" t="s">
        <v>5138</v>
      </c>
      <c r="C3429" t="s">
        <v>67</v>
      </c>
      <c r="D3429" t="s">
        <v>67</v>
      </c>
      <c r="E3429" t="s">
        <v>67</v>
      </c>
      <c r="F3429" t="s">
        <v>49</v>
      </c>
      <c r="G3429" s="117">
        <v>18.600000000000001</v>
      </c>
    </row>
    <row r="3430" spans="1:7" x14ac:dyDescent="0.25">
      <c r="A3430" s="116" t="s">
        <v>28606</v>
      </c>
      <c r="B3430" s="117" t="s">
        <v>30147</v>
      </c>
      <c r="C3430" t="s">
        <v>67</v>
      </c>
      <c r="D3430" t="s">
        <v>67</v>
      </c>
      <c r="E3430" t="s">
        <v>67</v>
      </c>
      <c r="F3430" t="s">
        <v>27987</v>
      </c>
      <c r="G3430" s="117">
        <v>5</v>
      </c>
    </row>
    <row r="3431" spans="1:7" x14ac:dyDescent="0.25">
      <c r="A3431" s="116" t="s">
        <v>5259</v>
      </c>
      <c r="B3431" s="117" t="s">
        <v>5189</v>
      </c>
      <c r="C3431" t="s">
        <v>67</v>
      </c>
      <c r="D3431" t="s">
        <v>67</v>
      </c>
      <c r="E3431" t="s">
        <v>67</v>
      </c>
      <c r="F3431" t="s">
        <v>49</v>
      </c>
      <c r="G3431" s="117">
        <v>31.94</v>
      </c>
    </row>
    <row r="3432" spans="1:7" x14ac:dyDescent="0.25">
      <c r="A3432" s="116" t="s">
        <v>5260</v>
      </c>
      <c r="B3432" s="117" t="s">
        <v>5261</v>
      </c>
      <c r="C3432" t="s">
        <v>67</v>
      </c>
      <c r="D3432" t="s">
        <v>67</v>
      </c>
      <c r="E3432" t="s">
        <v>67</v>
      </c>
      <c r="F3432" t="s">
        <v>27987</v>
      </c>
      <c r="G3432" s="117">
        <v>103.67</v>
      </c>
    </row>
    <row r="3433" spans="1:7" x14ac:dyDescent="0.25">
      <c r="A3433" s="116" t="s">
        <v>5262</v>
      </c>
      <c r="B3433" s="117" t="s">
        <v>5263</v>
      </c>
      <c r="C3433" t="s">
        <v>67</v>
      </c>
      <c r="D3433" t="s">
        <v>67</v>
      </c>
      <c r="E3433" t="s">
        <v>67</v>
      </c>
      <c r="F3433" t="s">
        <v>27987</v>
      </c>
      <c r="G3433" s="117">
        <v>47.96</v>
      </c>
    </row>
    <row r="3434" spans="1:7" x14ac:dyDescent="0.25">
      <c r="A3434" s="116" t="s">
        <v>5264</v>
      </c>
      <c r="B3434" s="117" t="s">
        <v>5265</v>
      </c>
      <c r="C3434" t="s">
        <v>67</v>
      </c>
      <c r="D3434" t="s">
        <v>67</v>
      </c>
      <c r="E3434" t="s">
        <v>67</v>
      </c>
      <c r="F3434" t="s">
        <v>49</v>
      </c>
      <c r="G3434" s="117">
        <v>3.12</v>
      </c>
    </row>
    <row r="3435" spans="1:7" x14ac:dyDescent="0.25">
      <c r="A3435" s="116" t="s">
        <v>5266</v>
      </c>
      <c r="B3435" s="117" t="s">
        <v>5140</v>
      </c>
      <c r="C3435" t="s">
        <v>67</v>
      </c>
      <c r="D3435" t="s">
        <v>67</v>
      </c>
      <c r="E3435" t="s">
        <v>67</v>
      </c>
      <c r="F3435" t="s">
        <v>45</v>
      </c>
      <c r="G3435" s="117">
        <v>4.3600000000000003</v>
      </c>
    </row>
    <row r="3436" spans="1:7" x14ac:dyDescent="0.25">
      <c r="A3436" s="116" t="s">
        <v>5267</v>
      </c>
      <c r="B3436" s="117" t="s">
        <v>5268</v>
      </c>
      <c r="C3436" t="s">
        <v>67</v>
      </c>
      <c r="D3436" t="s">
        <v>67</v>
      </c>
      <c r="E3436" t="s">
        <v>67</v>
      </c>
      <c r="F3436" t="s">
        <v>51</v>
      </c>
      <c r="G3436" s="117">
        <v>6.68</v>
      </c>
    </row>
    <row r="3437" spans="1:7" x14ac:dyDescent="0.25">
      <c r="A3437" s="116" t="s">
        <v>5269</v>
      </c>
      <c r="B3437" s="117" t="s">
        <v>5270</v>
      </c>
      <c r="C3437" t="s">
        <v>67</v>
      </c>
      <c r="D3437" t="s">
        <v>67</v>
      </c>
      <c r="E3437" t="s">
        <v>67</v>
      </c>
      <c r="F3437" t="s">
        <v>27987</v>
      </c>
      <c r="G3437" s="117">
        <v>4</v>
      </c>
    </row>
    <row r="3438" spans="1:7" x14ac:dyDescent="0.25">
      <c r="A3438" s="116" t="s">
        <v>5271</v>
      </c>
      <c r="B3438" s="117" t="s">
        <v>5203</v>
      </c>
      <c r="C3438" t="s">
        <v>67</v>
      </c>
      <c r="D3438" t="s">
        <v>67</v>
      </c>
      <c r="E3438" t="s">
        <v>67</v>
      </c>
      <c r="F3438" t="s">
        <v>49</v>
      </c>
      <c r="G3438" s="117">
        <v>6.68</v>
      </c>
    </row>
    <row r="3439" spans="1:7" x14ac:dyDescent="0.25">
      <c r="A3439" s="116" t="s">
        <v>28607</v>
      </c>
      <c r="B3439" s="117" t="s">
        <v>30721</v>
      </c>
      <c r="C3439" t="s">
        <v>67</v>
      </c>
      <c r="D3439" t="s">
        <v>67</v>
      </c>
      <c r="E3439" t="s">
        <v>67</v>
      </c>
      <c r="F3439" t="s">
        <v>27987</v>
      </c>
      <c r="G3439" s="117">
        <v>12</v>
      </c>
    </row>
    <row r="3440" spans="1:7" x14ac:dyDescent="0.25">
      <c r="A3440" s="116" t="s">
        <v>5272</v>
      </c>
      <c r="B3440" s="117" t="s">
        <v>5273</v>
      </c>
      <c r="C3440" t="s">
        <v>67</v>
      </c>
      <c r="D3440" t="s">
        <v>67</v>
      </c>
      <c r="E3440" t="s">
        <v>67</v>
      </c>
      <c r="F3440" t="s">
        <v>27987</v>
      </c>
      <c r="G3440" s="117">
        <v>20.02</v>
      </c>
    </row>
    <row r="3441" spans="1:7" x14ac:dyDescent="0.25">
      <c r="A3441" s="116" t="s">
        <v>5274</v>
      </c>
      <c r="B3441" s="117" t="s">
        <v>5275</v>
      </c>
      <c r="C3441" t="s">
        <v>67</v>
      </c>
      <c r="D3441" t="s">
        <v>67</v>
      </c>
      <c r="E3441" t="s">
        <v>67</v>
      </c>
      <c r="F3441" t="s">
        <v>45</v>
      </c>
      <c r="G3441" s="117">
        <v>31.58</v>
      </c>
    </row>
    <row r="3442" spans="1:7" x14ac:dyDescent="0.25">
      <c r="A3442" s="116" t="s">
        <v>5276</v>
      </c>
      <c r="B3442" s="117" t="s">
        <v>5277</v>
      </c>
      <c r="C3442" t="s">
        <v>67</v>
      </c>
      <c r="D3442" t="s">
        <v>67</v>
      </c>
      <c r="E3442" t="s">
        <v>67</v>
      </c>
      <c r="F3442" t="s">
        <v>27987</v>
      </c>
      <c r="G3442" s="117">
        <v>40.85</v>
      </c>
    </row>
    <row r="3443" spans="1:7" x14ac:dyDescent="0.25">
      <c r="A3443" s="116" t="s">
        <v>5278</v>
      </c>
      <c r="B3443" s="117" t="s">
        <v>5279</v>
      </c>
      <c r="C3443" t="s">
        <v>67</v>
      </c>
      <c r="D3443" t="s">
        <v>67</v>
      </c>
      <c r="E3443" t="s">
        <v>67</v>
      </c>
      <c r="F3443" t="s">
        <v>27987</v>
      </c>
      <c r="G3443" s="117">
        <v>38.9</v>
      </c>
    </row>
    <row r="3444" spans="1:7" x14ac:dyDescent="0.25">
      <c r="A3444" s="116" t="s">
        <v>5280</v>
      </c>
      <c r="B3444" s="117" t="s">
        <v>5281</v>
      </c>
      <c r="C3444" t="s">
        <v>67</v>
      </c>
      <c r="D3444" t="s">
        <v>67</v>
      </c>
      <c r="E3444" t="s">
        <v>67</v>
      </c>
      <c r="F3444" t="s">
        <v>27987</v>
      </c>
      <c r="G3444" s="117">
        <v>36.36</v>
      </c>
    </row>
    <row r="3445" spans="1:7" x14ac:dyDescent="0.25">
      <c r="A3445" s="116" t="s">
        <v>28608</v>
      </c>
      <c r="B3445" s="117" t="s">
        <v>30407</v>
      </c>
      <c r="C3445" t="s">
        <v>67</v>
      </c>
      <c r="D3445" t="s">
        <v>67</v>
      </c>
      <c r="E3445" t="s">
        <v>67</v>
      </c>
      <c r="F3445" t="s">
        <v>49</v>
      </c>
      <c r="G3445" s="117">
        <v>12.37</v>
      </c>
    </row>
    <row r="3446" spans="1:7" x14ac:dyDescent="0.25">
      <c r="A3446" s="116" t="s">
        <v>5282</v>
      </c>
      <c r="B3446" s="117" t="s">
        <v>5283</v>
      </c>
      <c r="C3446" t="s">
        <v>67</v>
      </c>
      <c r="D3446" t="s">
        <v>67</v>
      </c>
      <c r="E3446" t="s">
        <v>67</v>
      </c>
      <c r="F3446" t="s">
        <v>45</v>
      </c>
      <c r="G3446" s="117">
        <v>18.600000000000001</v>
      </c>
    </row>
    <row r="3447" spans="1:7" x14ac:dyDescent="0.25">
      <c r="A3447" s="116" t="s">
        <v>5284</v>
      </c>
      <c r="B3447" s="117" t="s">
        <v>5285</v>
      </c>
      <c r="C3447" t="s">
        <v>67</v>
      </c>
      <c r="D3447" t="s">
        <v>67</v>
      </c>
      <c r="E3447" t="s">
        <v>67</v>
      </c>
      <c r="F3447" t="s">
        <v>45</v>
      </c>
      <c r="G3447" s="117">
        <v>9.42</v>
      </c>
    </row>
    <row r="3448" spans="1:7" x14ac:dyDescent="0.25">
      <c r="A3448" s="116" t="s">
        <v>26662</v>
      </c>
      <c r="B3448" s="117" t="s">
        <v>26893</v>
      </c>
      <c r="C3448" t="s">
        <v>67</v>
      </c>
      <c r="D3448" t="s">
        <v>67</v>
      </c>
      <c r="E3448" t="s">
        <v>67</v>
      </c>
      <c r="F3448" t="s">
        <v>49</v>
      </c>
      <c r="G3448" s="117">
        <v>10.02</v>
      </c>
    </row>
    <row r="3449" spans="1:7" x14ac:dyDescent="0.25">
      <c r="A3449" s="116" t="s">
        <v>28609</v>
      </c>
      <c r="B3449" s="117" t="s">
        <v>30722</v>
      </c>
      <c r="C3449" t="s">
        <v>67</v>
      </c>
      <c r="D3449" t="s">
        <v>67</v>
      </c>
      <c r="E3449" t="s">
        <v>67</v>
      </c>
      <c r="F3449" t="s">
        <v>27987</v>
      </c>
      <c r="G3449" s="117">
        <v>5</v>
      </c>
    </row>
    <row r="3450" spans="1:7" x14ac:dyDescent="0.25">
      <c r="A3450" s="116" t="s">
        <v>26694</v>
      </c>
      <c r="B3450" s="117" t="s">
        <v>28610</v>
      </c>
      <c r="C3450" t="s">
        <v>67</v>
      </c>
      <c r="D3450" t="s">
        <v>67</v>
      </c>
      <c r="E3450" t="s">
        <v>67</v>
      </c>
      <c r="F3450" t="s">
        <v>27987</v>
      </c>
      <c r="G3450" s="117">
        <v>8.81</v>
      </c>
    </row>
    <row r="3451" spans="1:7" x14ac:dyDescent="0.25">
      <c r="A3451" s="116" t="s">
        <v>5286</v>
      </c>
      <c r="B3451" s="117" t="s">
        <v>5287</v>
      </c>
      <c r="C3451" t="s">
        <v>67</v>
      </c>
      <c r="D3451" t="s">
        <v>67</v>
      </c>
      <c r="E3451" t="s">
        <v>67</v>
      </c>
      <c r="F3451" t="s">
        <v>51</v>
      </c>
      <c r="G3451" s="117">
        <v>18.600000000000001</v>
      </c>
    </row>
    <row r="3452" spans="1:7" x14ac:dyDescent="0.25">
      <c r="A3452" s="116" t="s">
        <v>5288</v>
      </c>
      <c r="B3452" s="117" t="s">
        <v>5289</v>
      </c>
      <c r="C3452" t="s">
        <v>67</v>
      </c>
      <c r="D3452" t="s">
        <v>67</v>
      </c>
      <c r="E3452" t="s">
        <v>67</v>
      </c>
      <c r="F3452" t="s">
        <v>49</v>
      </c>
      <c r="G3452" s="117">
        <v>33.369999999999997</v>
      </c>
    </row>
    <row r="3453" spans="1:7" x14ac:dyDescent="0.25">
      <c r="A3453" s="116" t="s">
        <v>28611</v>
      </c>
      <c r="B3453" s="117" t="s">
        <v>30723</v>
      </c>
      <c r="C3453" t="s">
        <v>67</v>
      </c>
      <c r="D3453" t="s">
        <v>67</v>
      </c>
      <c r="E3453" t="s">
        <v>67</v>
      </c>
      <c r="F3453" t="s">
        <v>45</v>
      </c>
      <c r="G3453" s="117">
        <v>9.35</v>
      </c>
    </row>
    <row r="3454" spans="1:7" x14ac:dyDescent="0.25">
      <c r="A3454" s="116" t="s">
        <v>28612</v>
      </c>
      <c r="B3454" s="117" t="s">
        <v>30024</v>
      </c>
      <c r="C3454" t="s">
        <v>67</v>
      </c>
      <c r="D3454" t="s">
        <v>67</v>
      </c>
      <c r="E3454" t="s">
        <v>67</v>
      </c>
      <c r="F3454" t="s">
        <v>49</v>
      </c>
      <c r="G3454" s="117">
        <v>10.71</v>
      </c>
    </row>
    <row r="3455" spans="1:7" x14ac:dyDescent="0.25">
      <c r="A3455" s="116" t="s">
        <v>29779</v>
      </c>
      <c r="B3455" s="117" t="s">
        <v>30408</v>
      </c>
      <c r="C3455" t="s">
        <v>67</v>
      </c>
      <c r="D3455" t="s">
        <v>67</v>
      </c>
      <c r="E3455" t="s">
        <v>67</v>
      </c>
      <c r="F3455" t="s">
        <v>49</v>
      </c>
      <c r="G3455" s="117">
        <v>50</v>
      </c>
    </row>
    <row r="3456" spans="1:7" x14ac:dyDescent="0.25">
      <c r="A3456" s="116" t="s">
        <v>27021</v>
      </c>
      <c r="B3456" s="117" t="s">
        <v>28613</v>
      </c>
      <c r="C3456" t="s">
        <v>67</v>
      </c>
      <c r="D3456" t="s">
        <v>67</v>
      </c>
      <c r="E3456" t="s">
        <v>67</v>
      </c>
      <c r="F3456" t="s">
        <v>27987</v>
      </c>
      <c r="G3456" s="117">
        <v>11.48</v>
      </c>
    </row>
    <row r="3457" spans="1:7" x14ac:dyDescent="0.25">
      <c r="A3457" s="116" t="s">
        <v>29780</v>
      </c>
      <c r="B3457" s="117" t="s">
        <v>5216</v>
      </c>
      <c r="C3457" t="s">
        <v>67</v>
      </c>
      <c r="D3457" t="s">
        <v>67</v>
      </c>
      <c r="E3457" t="s">
        <v>67</v>
      </c>
      <c r="F3457" t="s">
        <v>51</v>
      </c>
      <c r="G3457" s="117">
        <v>4.3600000000000003</v>
      </c>
    </row>
    <row r="3458" spans="1:7" x14ac:dyDescent="0.25">
      <c r="A3458" s="116" t="s">
        <v>30232</v>
      </c>
      <c r="B3458" s="117" t="s">
        <v>30233</v>
      </c>
      <c r="C3458" t="s">
        <v>67</v>
      </c>
      <c r="D3458" t="s">
        <v>67</v>
      </c>
      <c r="E3458" t="s">
        <v>67</v>
      </c>
      <c r="F3458" t="s">
        <v>27987</v>
      </c>
      <c r="G3458" s="117">
        <v>9999</v>
      </c>
    </row>
    <row r="3459" spans="1:7" x14ac:dyDescent="0.25">
      <c r="A3459" s="116" t="s">
        <v>5290</v>
      </c>
      <c r="B3459" s="117" t="s">
        <v>5136</v>
      </c>
      <c r="C3459" t="s">
        <v>67</v>
      </c>
      <c r="D3459" t="s">
        <v>67</v>
      </c>
      <c r="E3459" t="s">
        <v>67</v>
      </c>
      <c r="F3459" t="s">
        <v>45</v>
      </c>
      <c r="G3459" s="117">
        <v>16.82</v>
      </c>
    </row>
    <row r="3460" spans="1:7" x14ac:dyDescent="0.25">
      <c r="A3460" s="116" t="s">
        <v>5291</v>
      </c>
      <c r="B3460" s="117" t="s">
        <v>5292</v>
      </c>
      <c r="C3460" t="s">
        <v>67</v>
      </c>
      <c r="D3460" t="s">
        <v>67</v>
      </c>
      <c r="E3460" t="s">
        <v>67</v>
      </c>
      <c r="F3460" t="s">
        <v>27987</v>
      </c>
      <c r="G3460" s="117">
        <v>13.26</v>
      </c>
    </row>
    <row r="3461" spans="1:7" x14ac:dyDescent="0.25">
      <c r="A3461" s="116" t="s">
        <v>5293</v>
      </c>
      <c r="B3461" s="117" t="s">
        <v>5294</v>
      </c>
      <c r="C3461" t="s">
        <v>67</v>
      </c>
      <c r="D3461" t="s">
        <v>67</v>
      </c>
      <c r="E3461" t="s">
        <v>67</v>
      </c>
      <c r="F3461" t="s">
        <v>49</v>
      </c>
      <c r="G3461" s="117">
        <v>12.01</v>
      </c>
    </row>
    <row r="3462" spans="1:7" x14ac:dyDescent="0.25">
      <c r="A3462" s="116" t="s">
        <v>5295</v>
      </c>
      <c r="B3462" s="117" t="s">
        <v>5144</v>
      </c>
      <c r="C3462" t="s">
        <v>67</v>
      </c>
      <c r="D3462" t="s">
        <v>67</v>
      </c>
      <c r="E3462" t="s">
        <v>67</v>
      </c>
      <c r="F3462" t="s">
        <v>51</v>
      </c>
      <c r="G3462" s="117">
        <v>12.45</v>
      </c>
    </row>
    <row r="3463" spans="1:7" x14ac:dyDescent="0.25">
      <c r="A3463" s="116" t="s">
        <v>5296</v>
      </c>
      <c r="B3463" s="117" t="s">
        <v>5297</v>
      </c>
      <c r="C3463" t="s">
        <v>67</v>
      </c>
      <c r="D3463" t="s">
        <v>67</v>
      </c>
      <c r="E3463" t="s">
        <v>67</v>
      </c>
      <c r="F3463" t="s">
        <v>49</v>
      </c>
      <c r="G3463" s="117">
        <v>12.45</v>
      </c>
    </row>
    <row r="3464" spans="1:7" x14ac:dyDescent="0.25">
      <c r="A3464" s="116" t="s">
        <v>5298</v>
      </c>
      <c r="B3464" s="117" t="s">
        <v>5299</v>
      </c>
      <c r="C3464" t="s">
        <v>67</v>
      </c>
      <c r="D3464" t="s">
        <v>67</v>
      </c>
      <c r="E3464" t="s">
        <v>67</v>
      </c>
      <c r="F3464" t="s">
        <v>49</v>
      </c>
      <c r="G3464" s="117">
        <v>8.81</v>
      </c>
    </row>
    <row r="3465" spans="1:7" x14ac:dyDescent="0.25">
      <c r="A3465" s="116" t="s">
        <v>5300</v>
      </c>
      <c r="B3465" s="117" t="s">
        <v>5301</v>
      </c>
      <c r="C3465" t="s">
        <v>67</v>
      </c>
      <c r="D3465" t="s">
        <v>67</v>
      </c>
      <c r="E3465" t="s">
        <v>67</v>
      </c>
      <c r="F3465" t="s">
        <v>49</v>
      </c>
      <c r="G3465" s="117">
        <v>11.48</v>
      </c>
    </row>
    <row r="3466" spans="1:7" x14ac:dyDescent="0.25">
      <c r="A3466" s="116" t="s">
        <v>5302</v>
      </c>
      <c r="B3466" s="117" t="s">
        <v>5303</v>
      </c>
      <c r="C3466" t="s">
        <v>67</v>
      </c>
      <c r="D3466" t="s">
        <v>67</v>
      </c>
      <c r="E3466" t="s">
        <v>67</v>
      </c>
      <c r="F3466" t="s">
        <v>27987</v>
      </c>
      <c r="G3466" s="117">
        <v>12.37</v>
      </c>
    </row>
    <row r="3467" spans="1:7" x14ac:dyDescent="0.25">
      <c r="A3467" s="116" t="s">
        <v>5304</v>
      </c>
      <c r="B3467" s="117" t="s">
        <v>5138</v>
      </c>
      <c r="C3467" t="s">
        <v>67</v>
      </c>
      <c r="D3467" t="s">
        <v>67</v>
      </c>
      <c r="E3467" t="s">
        <v>67</v>
      </c>
      <c r="F3467" t="s">
        <v>51</v>
      </c>
      <c r="G3467" s="117">
        <v>12.01</v>
      </c>
    </row>
    <row r="3468" spans="1:7" x14ac:dyDescent="0.25">
      <c r="A3468" s="116" t="s">
        <v>5305</v>
      </c>
      <c r="B3468" s="117" t="s">
        <v>5306</v>
      </c>
      <c r="C3468" t="s">
        <v>67</v>
      </c>
      <c r="D3468" t="s">
        <v>67</v>
      </c>
      <c r="E3468" t="s">
        <v>67</v>
      </c>
      <c r="F3468" t="s">
        <v>27987</v>
      </c>
      <c r="G3468" s="117">
        <v>11.48</v>
      </c>
    </row>
    <row r="3469" spans="1:7" x14ac:dyDescent="0.25">
      <c r="A3469" s="116" t="s">
        <v>5307</v>
      </c>
      <c r="B3469" s="117" t="s">
        <v>5308</v>
      </c>
      <c r="C3469" t="s">
        <v>67</v>
      </c>
      <c r="D3469" t="s">
        <v>67</v>
      </c>
      <c r="E3469" t="s">
        <v>67</v>
      </c>
      <c r="F3469" t="s">
        <v>27987</v>
      </c>
      <c r="G3469" s="117">
        <v>19.489999999999998</v>
      </c>
    </row>
    <row r="3470" spans="1:7" x14ac:dyDescent="0.25">
      <c r="A3470" s="116" t="s">
        <v>5309</v>
      </c>
      <c r="B3470" s="117" t="s">
        <v>5310</v>
      </c>
      <c r="C3470" t="s">
        <v>67</v>
      </c>
      <c r="D3470" t="s">
        <v>67</v>
      </c>
      <c r="E3470" t="s">
        <v>67</v>
      </c>
      <c r="F3470" t="s">
        <v>27990</v>
      </c>
      <c r="G3470" s="117">
        <v>16.82</v>
      </c>
    </row>
    <row r="3471" spans="1:7" x14ac:dyDescent="0.25">
      <c r="A3471" s="116" t="s">
        <v>5311</v>
      </c>
      <c r="B3471" s="117" t="s">
        <v>5181</v>
      </c>
      <c r="C3471" t="s">
        <v>67</v>
      </c>
      <c r="D3471" t="s">
        <v>67</v>
      </c>
      <c r="E3471" t="s">
        <v>67</v>
      </c>
      <c r="F3471" t="s">
        <v>45</v>
      </c>
      <c r="G3471" s="117">
        <v>17.7</v>
      </c>
    </row>
    <row r="3472" spans="1:7" x14ac:dyDescent="0.25">
      <c r="A3472" s="116" t="s">
        <v>5312</v>
      </c>
      <c r="B3472" s="117" t="s">
        <v>5313</v>
      </c>
      <c r="C3472" t="s">
        <v>67</v>
      </c>
      <c r="D3472" t="s">
        <v>67</v>
      </c>
      <c r="E3472" t="s">
        <v>67</v>
      </c>
      <c r="F3472" t="s">
        <v>49</v>
      </c>
      <c r="G3472" s="117">
        <v>15.04</v>
      </c>
    </row>
    <row r="3473" spans="1:7" x14ac:dyDescent="0.25">
      <c r="A3473" s="116" t="s">
        <v>5314</v>
      </c>
      <c r="B3473" s="117" t="s">
        <v>28614</v>
      </c>
      <c r="C3473" t="s">
        <v>67</v>
      </c>
      <c r="D3473" t="s">
        <v>67</v>
      </c>
      <c r="E3473" t="s">
        <v>67</v>
      </c>
      <c r="F3473" t="s">
        <v>49</v>
      </c>
      <c r="G3473" s="117">
        <v>16.86</v>
      </c>
    </row>
    <row r="3474" spans="1:7" x14ac:dyDescent="0.25">
      <c r="A3474" s="116" t="s">
        <v>5315</v>
      </c>
      <c r="B3474" s="117" t="s">
        <v>5316</v>
      </c>
      <c r="C3474" t="s">
        <v>67</v>
      </c>
      <c r="D3474" t="s">
        <v>67</v>
      </c>
      <c r="E3474" t="s">
        <v>67</v>
      </c>
      <c r="F3474" t="s">
        <v>27987</v>
      </c>
      <c r="G3474" s="117">
        <v>15.93</v>
      </c>
    </row>
    <row r="3475" spans="1:7" x14ac:dyDescent="0.25">
      <c r="A3475" s="116" t="s">
        <v>5317</v>
      </c>
      <c r="B3475" s="117" t="s">
        <v>5318</v>
      </c>
      <c r="C3475" t="s">
        <v>67</v>
      </c>
      <c r="D3475" t="s">
        <v>67</v>
      </c>
      <c r="E3475" t="s">
        <v>67</v>
      </c>
      <c r="F3475" t="s">
        <v>45</v>
      </c>
      <c r="G3475" s="117">
        <v>14.14</v>
      </c>
    </row>
    <row r="3476" spans="1:7" x14ac:dyDescent="0.25">
      <c r="A3476" s="116" t="s">
        <v>5319</v>
      </c>
      <c r="B3476" s="117" t="s">
        <v>5285</v>
      </c>
      <c r="C3476" t="s">
        <v>67</v>
      </c>
      <c r="D3476" t="s">
        <v>67</v>
      </c>
      <c r="E3476" t="s">
        <v>67</v>
      </c>
      <c r="F3476" t="s">
        <v>51</v>
      </c>
      <c r="G3476" s="117">
        <v>17.36</v>
      </c>
    </row>
    <row r="3477" spans="1:7" x14ac:dyDescent="0.25">
      <c r="A3477" s="116" t="s">
        <v>5320</v>
      </c>
      <c r="B3477" s="117" t="s">
        <v>5173</v>
      </c>
      <c r="C3477" t="s">
        <v>67</v>
      </c>
      <c r="D3477" t="s">
        <v>67</v>
      </c>
      <c r="E3477" t="s">
        <v>67</v>
      </c>
      <c r="F3477" t="s">
        <v>45</v>
      </c>
      <c r="G3477" s="117">
        <v>16.46</v>
      </c>
    </row>
    <row r="3478" spans="1:7" x14ac:dyDescent="0.25">
      <c r="A3478" s="116" t="s">
        <v>5321</v>
      </c>
      <c r="B3478" s="117" t="s">
        <v>5322</v>
      </c>
      <c r="C3478" t="s">
        <v>67</v>
      </c>
      <c r="D3478" t="s">
        <v>67</v>
      </c>
      <c r="E3478" t="s">
        <v>67</v>
      </c>
      <c r="F3478" t="s">
        <v>51</v>
      </c>
      <c r="G3478" s="117">
        <v>8.81</v>
      </c>
    </row>
    <row r="3479" spans="1:7" x14ac:dyDescent="0.25">
      <c r="A3479" s="116" t="s">
        <v>5323</v>
      </c>
      <c r="B3479" s="117" t="s">
        <v>5310</v>
      </c>
      <c r="C3479" t="s">
        <v>67</v>
      </c>
      <c r="D3479" t="s">
        <v>67</v>
      </c>
      <c r="E3479" t="s">
        <v>67</v>
      </c>
      <c r="F3479" t="s">
        <v>51</v>
      </c>
      <c r="G3479" s="117">
        <v>27.5</v>
      </c>
    </row>
    <row r="3480" spans="1:7" x14ac:dyDescent="0.25">
      <c r="A3480" s="116" t="s">
        <v>5324</v>
      </c>
      <c r="B3480" s="117" t="s">
        <v>5325</v>
      </c>
      <c r="C3480" t="s">
        <v>67</v>
      </c>
      <c r="D3480" t="s">
        <v>67</v>
      </c>
      <c r="E3480" t="s">
        <v>67</v>
      </c>
      <c r="F3480" t="s">
        <v>51</v>
      </c>
      <c r="G3480" s="117">
        <v>15.04</v>
      </c>
    </row>
    <row r="3481" spans="1:7" x14ac:dyDescent="0.25">
      <c r="A3481" s="116" t="s">
        <v>5326</v>
      </c>
      <c r="B3481" s="117" t="s">
        <v>5327</v>
      </c>
      <c r="C3481" t="s">
        <v>67</v>
      </c>
      <c r="D3481" t="s">
        <v>67</v>
      </c>
      <c r="E3481" t="s">
        <v>67</v>
      </c>
      <c r="F3481" t="s">
        <v>51</v>
      </c>
      <c r="G3481" s="117">
        <v>18.239999999999998</v>
      </c>
    </row>
    <row r="3482" spans="1:7" x14ac:dyDescent="0.25">
      <c r="A3482" s="116" t="s">
        <v>5328</v>
      </c>
      <c r="B3482" s="117" t="s">
        <v>5329</v>
      </c>
      <c r="C3482" t="s">
        <v>67</v>
      </c>
      <c r="D3482" t="s">
        <v>67</v>
      </c>
      <c r="E3482" t="s">
        <v>67</v>
      </c>
      <c r="F3482" t="s">
        <v>27990</v>
      </c>
      <c r="G3482" s="117">
        <v>17.7</v>
      </c>
    </row>
    <row r="3483" spans="1:7" x14ac:dyDescent="0.25">
      <c r="A3483" s="116" t="s">
        <v>5330</v>
      </c>
      <c r="B3483" s="117" t="s">
        <v>5331</v>
      </c>
      <c r="C3483" t="s">
        <v>67</v>
      </c>
      <c r="D3483" t="s">
        <v>67</v>
      </c>
      <c r="E3483" t="s">
        <v>67</v>
      </c>
      <c r="F3483" t="s">
        <v>27987</v>
      </c>
      <c r="G3483" s="117">
        <v>15.93</v>
      </c>
    </row>
    <row r="3484" spans="1:7" x14ac:dyDescent="0.25">
      <c r="A3484" s="116" t="s">
        <v>5332</v>
      </c>
      <c r="B3484" s="117" t="s">
        <v>5333</v>
      </c>
      <c r="C3484" t="s">
        <v>67</v>
      </c>
      <c r="D3484" t="s">
        <v>67</v>
      </c>
      <c r="E3484" t="s">
        <v>67</v>
      </c>
      <c r="F3484" t="s">
        <v>51</v>
      </c>
      <c r="G3484" s="117">
        <v>29.81</v>
      </c>
    </row>
    <row r="3485" spans="1:7" x14ac:dyDescent="0.25">
      <c r="A3485" s="116" t="s">
        <v>5334</v>
      </c>
      <c r="B3485" s="117" t="s">
        <v>5335</v>
      </c>
      <c r="C3485" t="s">
        <v>67</v>
      </c>
      <c r="D3485" t="s">
        <v>67</v>
      </c>
      <c r="E3485" t="s">
        <v>67</v>
      </c>
      <c r="F3485" t="s">
        <v>51</v>
      </c>
      <c r="G3485" s="117">
        <v>18.600000000000001</v>
      </c>
    </row>
    <row r="3486" spans="1:7" x14ac:dyDescent="0.25">
      <c r="A3486" s="116" t="s">
        <v>5336</v>
      </c>
      <c r="B3486" s="117" t="s">
        <v>5195</v>
      </c>
      <c r="C3486" t="s">
        <v>67</v>
      </c>
      <c r="D3486" t="s">
        <v>67</v>
      </c>
      <c r="E3486" t="s">
        <v>67</v>
      </c>
      <c r="F3486" t="s">
        <v>49</v>
      </c>
      <c r="G3486" s="117">
        <v>23.05</v>
      </c>
    </row>
    <row r="3487" spans="1:7" x14ac:dyDescent="0.25">
      <c r="A3487" s="116" t="s">
        <v>5337</v>
      </c>
      <c r="B3487" s="117" t="s">
        <v>5338</v>
      </c>
      <c r="C3487" t="s">
        <v>67</v>
      </c>
      <c r="D3487" t="s">
        <v>67</v>
      </c>
      <c r="E3487" t="s">
        <v>67</v>
      </c>
      <c r="F3487" t="s">
        <v>51</v>
      </c>
      <c r="G3487" s="117">
        <v>25.36</v>
      </c>
    </row>
    <row r="3488" spans="1:7" x14ac:dyDescent="0.25">
      <c r="A3488" s="116" t="s">
        <v>5339</v>
      </c>
      <c r="B3488" s="117" t="s">
        <v>5205</v>
      </c>
      <c r="C3488" t="s">
        <v>67</v>
      </c>
      <c r="D3488" t="s">
        <v>67</v>
      </c>
      <c r="E3488" t="s">
        <v>67</v>
      </c>
      <c r="F3488" t="s">
        <v>45</v>
      </c>
      <c r="G3488" s="117">
        <v>16.82</v>
      </c>
    </row>
    <row r="3489" spans="1:7" x14ac:dyDescent="0.25">
      <c r="A3489" s="116" t="s">
        <v>5340</v>
      </c>
      <c r="B3489" s="117" t="s">
        <v>28615</v>
      </c>
      <c r="C3489" t="s">
        <v>67</v>
      </c>
      <c r="D3489" t="s">
        <v>67</v>
      </c>
      <c r="E3489" t="s">
        <v>67</v>
      </c>
      <c r="F3489" t="s">
        <v>27987</v>
      </c>
      <c r="G3489" s="117">
        <v>16.53</v>
      </c>
    </row>
    <row r="3490" spans="1:7" x14ac:dyDescent="0.25">
      <c r="A3490" s="116" t="s">
        <v>5341</v>
      </c>
      <c r="B3490" s="117" t="s">
        <v>5342</v>
      </c>
      <c r="C3490" t="s">
        <v>67</v>
      </c>
      <c r="D3490" t="s">
        <v>67</v>
      </c>
      <c r="E3490" t="s">
        <v>67</v>
      </c>
      <c r="F3490" t="s">
        <v>27987</v>
      </c>
      <c r="G3490" s="117">
        <v>23.94</v>
      </c>
    </row>
    <row r="3491" spans="1:7" x14ac:dyDescent="0.25">
      <c r="A3491" s="116" t="s">
        <v>5343</v>
      </c>
      <c r="B3491" s="117" t="s">
        <v>5325</v>
      </c>
      <c r="C3491" t="s">
        <v>67</v>
      </c>
      <c r="D3491" t="s">
        <v>67</v>
      </c>
      <c r="E3491" t="s">
        <v>67</v>
      </c>
      <c r="F3491" t="s">
        <v>45</v>
      </c>
      <c r="G3491" s="117">
        <v>19.489999999999998</v>
      </c>
    </row>
    <row r="3492" spans="1:7" x14ac:dyDescent="0.25">
      <c r="A3492" s="116" t="s">
        <v>5344</v>
      </c>
      <c r="B3492" s="117" t="s">
        <v>5329</v>
      </c>
      <c r="C3492" t="s">
        <v>67</v>
      </c>
      <c r="D3492" t="s">
        <v>67</v>
      </c>
      <c r="E3492" t="s">
        <v>67</v>
      </c>
      <c r="F3492" t="s">
        <v>51</v>
      </c>
      <c r="G3492" s="117">
        <v>5.25</v>
      </c>
    </row>
    <row r="3493" spans="1:7" x14ac:dyDescent="0.25">
      <c r="A3493" s="116" t="s">
        <v>5345</v>
      </c>
      <c r="B3493" s="117" t="s">
        <v>5346</v>
      </c>
      <c r="C3493" t="s">
        <v>67</v>
      </c>
      <c r="D3493" t="s">
        <v>67</v>
      </c>
      <c r="E3493" t="s">
        <v>67</v>
      </c>
      <c r="F3493" t="s">
        <v>27990</v>
      </c>
      <c r="G3493" s="117">
        <v>18.239999999999998</v>
      </c>
    </row>
    <row r="3494" spans="1:7" x14ac:dyDescent="0.25">
      <c r="A3494" s="116" t="s">
        <v>5347</v>
      </c>
      <c r="B3494" s="117" t="s">
        <v>5270</v>
      </c>
      <c r="C3494" t="s">
        <v>67</v>
      </c>
      <c r="D3494" t="s">
        <v>67</v>
      </c>
      <c r="E3494" t="s">
        <v>67</v>
      </c>
      <c r="F3494" t="s">
        <v>27987</v>
      </c>
      <c r="G3494" s="117">
        <v>15.93</v>
      </c>
    </row>
    <row r="3495" spans="1:7" x14ac:dyDescent="0.25">
      <c r="A3495" s="116" t="s">
        <v>5348</v>
      </c>
      <c r="B3495" s="117" t="s">
        <v>5349</v>
      </c>
      <c r="C3495" t="s">
        <v>67</v>
      </c>
      <c r="D3495" t="s">
        <v>67</v>
      </c>
      <c r="E3495" t="s">
        <v>67</v>
      </c>
      <c r="F3495" t="s">
        <v>45</v>
      </c>
      <c r="G3495" s="117">
        <v>64.87</v>
      </c>
    </row>
    <row r="3496" spans="1:7" x14ac:dyDescent="0.25">
      <c r="A3496" s="116" t="s">
        <v>5350</v>
      </c>
      <c r="B3496" s="117" t="s">
        <v>5351</v>
      </c>
      <c r="C3496" t="s">
        <v>67</v>
      </c>
      <c r="D3496" t="s">
        <v>67</v>
      </c>
      <c r="E3496" t="s">
        <v>67</v>
      </c>
      <c r="F3496" t="s">
        <v>49</v>
      </c>
      <c r="G3496" s="117">
        <v>35.14</v>
      </c>
    </row>
    <row r="3497" spans="1:7" x14ac:dyDescent="0.25">
      <c r="A3497" s="116" t="s">
        <v>5352</v>
      </c>
      <c r="B3497" s="117" t="s">
        <v>5353</v>
      </c>
      <c r="C3497" t="s">
        <v>67</v>
      </c>
      <c r="D3497" t="s">
        <v>67</v>
      </c>
      <c r="E3497" t="s">
        <v>67</v>
      </c>
      <c r="F3497" t="s">
        <v>49</v>
      </c>
      <c r="G3497" s="117">
        <v>5.33</v>
      </c>
    </row>
    <row r="3498" spans="1:7" x14ac:dyDescent="0.25">
      <c r="A3498" s="116" t="s">
        <v>5354</v>
      </c>
      <c r="B3498" s="117" t="s">
        <v>5355</v>
      </c>
      <c r="C3498" t="s">
        <v>67</v>
      </c>
      <c r="D3498" t="s">
        <v>67</v>
      </c>
      <c r="E3498" t="s">
        <v>67</v>
      </c>
      <c r="F3498" t="s">
        <v>49</v>
      </c>
      <c r="G3498" s="117">
        <v>4.8899999999999997</v>
      </c>
    </row>
    <row r="3499" spans="1:7" x14ac:dyDescent="0.25">
      <c r="A3499" s="116" t="s">
        <v>5356</v>
      </c>
      <c r="B3499" s="117" t="s">
        <v>5357</v>
      </c>
      <c r="C3499" t="s">
        <v>67</v>
      </c>
      <c r="D3499" t="s">
        <v>67</v>
      </c>
      <c r="E3499" t="s">
        <v>67</v>
      </c>
      <c r="F3499" t="s">
        <v>51</v>
      </c>
      <c r="G3499" s="117">
        <v>21.26</v>
      </c>
    </row>
    <row r="3500" spans="1:7" x14ac:dyDescent="0.25">
      <c r="A3500" s="116" t="s">
        <v>5358</v>
      </c>
      <c r="B3500" s="117" t="s">
        <v>5359</v>
      </c>
      <c r="C3500" t="s">
        <v>67</v>
      </c>
      <c r="D3500" t="s">
        <v>67</v>
      </c>
      <c r="E3500" t="s">
        <v>67</v>
      </c>
      <c r="F3500" t="s">
        <v>51</v>
      </c>
      <c r="G3500" s="117">
        <v>20.38</v>
      </c>
    </row>
    <row r="3501" spans="1:7" x14ac:dyDescent="0.25">
      <c r="A3501" s="116" t="s">
        <v>5360</v>
      </c>
      <c r="B3501" s="117" t="s">
        <v>5361</v>
      </c>
      <c r="C3501" t="s">
        <v>67</v>
      </c>
      <c r="D3501" t="s">
        <v>67</v>
      </c>
      <c r="E3501" t="s">
        <v>67</v>
      </c>
      <c r="F3501" t="s">
        <v>27990</v>
      </c>
      <c r="G3501" s="117">
        <v>18.239999999999998</v>
      </c>
    </row>
    <row r="3502" spans="1:7" x14ac:dyDescent="0.25">
      <c r="A3502" s="116" t="s">
        <v>5362</v>
      </c>
      <c r="B3502" s="117" t="s">
        <v>5363</v>
      </c>
      <c r="C3502" t="s">
        <v>67</v>
      </c>
      <c r="D3502" t="s">
        <v>67</v>
      </c>
      <c r="E3502" t="s">
        <v>67</v>
      </c>
      <c r="F3502" t="s">
        <v>27987</v>
      </c>
      <c r="G3502" s="117">
        <v>21.26</v>
      </c>
    </row>
    <row r="3503" spans="1:7" x14ac:dyDescent="0.25">
      <c r="A3503" s="116" t="s">
        <v>5364</v>
      </c>
      <c r="B3503" s="117" t="s">
        <v>5365</v>
      </c>
      <c r="C3503" t="s">
        <v>67</v>
      </c>
      <c r="D3503" t="s">
        <v>67</v>
      </c>
      <c r="E3503" t="s">
        <v>67</v>
      </c>
      <c r="F3503" t="s">
        <v>27987</v>
      </c>
      <c r="G3503" s="117">
        <v>31.94</v>
      </c>
    </row>
    <row r="3504" spans="1:7" x14ac:dyDescent="0.25">
      <c r="A3504" s="116" t="s">
        <v>5366</v>
      </c>
      <c r="B3504" s="117" t="s">
        <v>5367</v>
      </c>
      <c r="C3504" t="s">
        <v>67</v>
      </c>
      <c r="D3504" t="s">
        <v>67</v>
      </c>
      <c r="E3504" t="s">
        <v>67</v>
      </c>
      <c r="F3504" t="s">
        <v>45</v>
      </c>
      <c r="G3504" s="117">
        <v>30.7</v>
      </c>
    </row>
    <row r="3505" spans="1:7" x14ac:dyDescent="0.25">
      <c r="A3505" s="116" t="s">
        <v>5368</v>
      </c>
      <c r="B3505" s="117" t="s">
        <v>5369</v>
      </c>
      <c r="C3505" t="s">
        <v>67</v>
      </c>
      <c r="D3505" t="s">
        <v>67</v>
      </c>
      <c r="E3505" t="s">
        <v>67</v>
      </c>
      <c r="F3505" t="s">
        <v>51</v>
      </c>
      <c r="G3505" s="117">
        <v>26.61</v>
      </c>
    </row>
    <row r="3506" spans="1:7" x14ac:dyDescent="0.25">
      <c r="A3506" s="116" t="s">
        <v>5370</v>
      </c>
      <c r="B3506" s="117" t="s">
        <v>5371</v>
      </c>
      <c r="C3506" t="s">
        <v>67</v>
      </c>
      <c r="D3506" t="s">
        <v>67</v>
      </c>
      <c r="E3506" t="s">
        <v>67</v>
      </c>
      <c r="F3506" t="s">
        <v>27987</v>
      </c>
      <c r="G3506" s="117">
        <v>20.92</v>
      </c>
    </row>
    <row r="3507" spans="1:7" x14ac:dyDescent="0.25">
      <c r="A3507" s="116" t="s">
        <v>5372</v>
      </c>
      <c r="B3507" s="117" t="s">
        <v>5373</v>
      </c>
      <c r="C3507" t="s">
        <v>67</v>
      </c>
      <c r="D3507" t="s">
        <v>67</v>
      </c>
      <c r="E3507" t="s">
        <v>67</v>
      </c>
      <c r="F3507" t="s">
        <v>49</v>
      </c>
      <c r="G3507" s="117">
        <v>33.729999999999997</v>
      </c>
    </row>
    <row r="3508" spans="1:7" x14ac:dyDescent="0.25">
      <c r="A3508" s="116" t="s">
        <v>5374</v>
      </c>
      <c r="B3508" s="117" t="s">
        <v>5367</v>
      </c>
      <c r="C3508" t="s">
        <v>67</v>
      </c>
      <c r="D3508" t="s">
        <v>67</v>
      </c>
      <c r="E3508" t="s">
        <v>67</v>
      </c>
      <c r="F3508" t="s">
        <v>27990</v>
      </c>
      <c r="G3508" s="117">
        <v>34.619999999999997</v>
      </c>
    </row>
    <row r="3509" spans="1:7" x14ac:dyDescent="0.25">
      <c r="A3509" s="116" t="s">
        <v>5375</v>
      </c>
      <c r="B3509" s="117" t="s">
        <v>5376</v>
      </c>
      <c r="C3509" t="s">
        <v>67</v>
      </c>
      <c r="D3509" t="s">
        <v>67</v>
      </c>
      <c r="E3509" t="s">
        <v>67</v>
      </c>
      <c r="F3509" t="s">
        <v>51</v>
      </c>
      <c r="G3509" s="117">
        <v>19.41</v>
      </c>
    </row>
    <row r="3510" spans="1:7" x14ac:dyDescent="0.25">
      <c r="A3510" s="116" t="s">
        <v>5377</v>
      </c>
      <c r="B3510" s="117" t="s">
        <v>5378</v>
      </c>
      <c r="C3510" t="s">
        <v>67</v>
      </c>
      <c r="D3510" t="s">
        <v>67</v>
      </c>
      <c r="E3510" t="s">
        <v>67</v>
      </c>
      <c r="F3510" t="s">
        <v>51</v>
      </c>
      <c r="G3510" s="117">
        <v>6.68</v>
      </c>
    </row>
    <row r="3511" spans="1:7" x14ac:dyDescent="0.25">
      <c r="A3511" s="116" t="s">
        <v>5379</v>
      </c>
      <c r="B3511" s="117" t="s">
        <v>5369</v>
      </c>
      <c r="C3511" t="s">
        <v>67</v>
      </c>
      <c r="D3511" t="s">
        <v>67</v>
      </c>
      <c r="E3511" t="s">
        <v>67</v>
      </c>
      <c r="F3511" t="s">
        <v>51</v>
      </c>
      <c r="G3511" s="117">
        <v>8.4499999999999993</v>
      </c>
    </row>
    <row r="3512" spans="1:7" x14ac:dyDescent="0.25">
      <c r="A3512" s="116" t="s">
        <v>5380</v>
      </c>
      <c r="B3512" s="117" t="s">
        <v>5381</v>
      </c>
      <c r="C3512" t="s">
        <v>67</v>
      </c>
      <c r="D3512" t="s">
        <v>67</v>
      </c>
      <c r="E3512" t="s">
        <v>67</v>
      </c>
      <c r="F3512" t="s">
        <v>27990</v>
      </c>
      <c r="G3512" s="117">
        <v>8.4499999999999993</v>
      </c>
    </row>
    <row r="3513" spans="1:7" x14ac:dyDescent="0.25">
      <c r="A3513" s="116" t="s">
        <v>5382</v>
      </c>
      <c r="B3513" s="117" t="s">
        <v>5383</v>
      </c>
      <c r="C3513" t="s">
        <v>67</v>
      </c>
      <c r="D3513" t="s">
        <v>67</v>
      </c>
      <c r="E3513" t="s">
        <v>67</v>
      </c>
      <c r="F3513" t="s">
        <v>27987</v>
      </c>
      <c r="G3513" s="117">
        <v>39.6</v>
      </c>
    </row>
    <row r="3514" spans="1:7" x14ac:dyDescent="0.25">
      <c r="A3514" s="116" t="s">
        <v>5384</v>
      </c>
      <c r="B3514" s="117" t="s">
        <v>5367</v>
      </c>
      <c r="C3514" t="s">
        <v>67</v>
      </c>
      <c r="D3514" t="s">
        <v>67</v>
      </c>
      <c r="E3514" t="s">
        <v>67</v>
      </c>
      <c r="F3514" t="s">
        <v>49</v>
      </c>
      <c r="G3514" s="117">
        <v>9.6999999999999993</v>
      </c>
    </row>
    <row r="3515" spans="1:7" x14ac:dyDescent="0.25">
      <c r="A3515" s="116" t="s">
        <v>5385</v>
      </c>
      <c r="B3515" s="117" t="s">
        <v>5386</v>
      </c>
      <c r="C3515" t="s">
        <v>67</v>
      </c>
      <c r="D3515" t="s">
        <v>67</v>
      </c>
      <c r="E3515" t="s">
        <v>67</v>
      </c>
      <c r="F3515" t="s">
        <v>49</v>
      </c>
      <c r="G3515" s="117">
        <v>38.700000000000003</v>
      </c>
    </row>
    <row r="3516" spans="1:7" x14ac:dyDescent="0.25">
      <c r="A3516" s="116" t="s">
        <v>5387</v>
      </c>
      <c r="B3516" s="117" t="s">
        <v>5388</v>
      </c>
      <c r="C3516" t="s">
        <v>67</v>
      </c>
      <c r="D3516" t="s">
        <v>67</v>
      </c>
      <c r="E3516" t="s">
        <v>67</v>
      </c>
      <c r="F3516" t="s">
        <v>49</v>
      </c>
      <c r="G3516" s="117">
        <v>19.489999999999998</v>
      </c>
    </row>
    <row r="3517" spans="1:7" x14ac:dyDescent="0.25">
      <c r="A3517" s="116" t="s">
        <v>28616</v>
      </c>
      <c r="B3517" s="117" t="s">
        <v>30724</v>
      </c>
      <c r="C3517" t="s">
        <v>67</v>
      </c>
      <c r="D3517" t="s">
        <v>67</v>
      </c>
      <c r="E3517" t="s">
        <v>67</v>
      </c>
      <c r="F3517" t="s">
        <v>27987</v>
      </c>
      <c r="G3517" s="117">
        <v>15</v>
      </c>
    </row>
    <row r="3518" spans="1:7" x14ac:dyDescent="0.25">
      <c r="A3518" s="116" t="s">
        <v>5389</v>
      </c>
      <c r="B3518" s="117" t="s">
        <v>5390</v>
      </c>
      <c r="C3518" t="s">
        <v>67</v>
      </c>
      <c r="D3518" t="s">
        <v>67</v>
      </c>
      <c r="E3518" t="s">
        <v>67</v>
      </c>
      <c r="F3518" t="s">
        <v>45</v>
      </c>
      <c r="G3518" s="117">
        <v>27.14</v>
      </c>
    </row>
    <row r="3519" spans="1:7" x14ac:dyDescent="0.25">
      <c r="A3519" s="116" t="s">
        <v>5391</v>
      </c>
      <c r="B3519" s="117" t="s">
        <v>5392</v>
      </c>
      <c r="C3519" t="s">
        <v>67</v>
      </c>
      <c r="D3519" t="s">
        <v>67</v>
      </c>
      <c r="E3519" t="s">
        <v>67</v>
      </c>
      <c r="F3519" t="s">
        <v>51</v>
      </c>
      <c r="G3519" s="117">
        <v>24.82</v>
      </c>
    </row>
    <row r="3520" spans="1:7" x14ac:dyDescent="0.25">
      <c r="A3520" s="116" t="s">
        <v>5393</v>
      </c>
      <c r="B3520" s="117" t="s">
        <v>5394</v>
      </c>
      <c r="C3520" t="s">
        <v>67</v>
      </c>
      <c r="D3520" t="s">
        <v>67</v>
      </c>
      <c r="E3520" t="s">
        <v>67</v>
      </c>
      <c r="F3520" t="s">
        <v>49</v>
      </c>
      <c r="G3520" s="117">
        <v>30.17</v>
      </c>
    </row>
    <row r="3521" spans="1:7" x14ac:dyDescent="0.25">
      <c r="A3521" s="116" t="s">
        <v>5395</v>
      </c>
      <c r="B3521" s="117" t="s">
        <v>5396</v>
      </c>
      <c r="C3521" t="s">
        <v>67</v>
      </c>
      <c r="D3521" t="s">
        <v>67</v>
      </c>
      <c r="E3521" t="s">
        <v>67</v>
      </c>
      <c r="F3521" t="s">
        <v>27990</v>
      </c>
      <c r="G3521" s="117">
        <v>24.48</v>
      </c>
    </row>
    <row r="3522" spans="1:7" x14ac:dyDescent="0.25">
      <c r="A3522" s="116" t="s">
        <v>5397</v>
      </c>
      <c r="B3522" s="117" t="s">
        <v>5398</v>
      </c>
      <c r="C3522" t="s">
        <v>67</v>
      </c>
      <c r="D3522" t="s">
        <v>67</v>
      </c>
      <c r="E3522" t="s">
        <v>67</v>
      </c>
      <c r="F3522" t="s">
        <v>51</v>
      </c>
      <c r="G3522" s="117">
        <v>10.58</v>
      </c>
    </row>
    <row r="3523" spans="1:7" x14ac:dyDescent="0.25">
      <c r="A3523" s="116" t="s">
        <v>5399</v>
      </c>
      <c r="B3523" s="117" t="s">
        <v>5392</v>
      </c>
      <c r="C3523" t="s">
        <v>67</v>
      </c>
      <c r="D3523" t="s">
        <v>67</v>
      </c>
      <c r="E3523" t="s">
        <v>67</v>
      </c>
      <c r="F3523" t="s">
        <v>45</v>
      </c>
      <c r="G3523" s="117">
        <v>11.48</v>
      </c>
    </row>
    <row r="3524" spans="1:7" x14ac:dyDescent="0.25">
      <c r="A3524" s="116" t="s">
        <v>5400</v>
      </c>
      <c r="B3524" s="117" t="s">
        <v>5401</v>
      </c>
      <c r="C3524" t="s">
        <v>67</v>
      </c>
      <c r="D3524" t="s">
        <v>67</v>
      </c>
      <c r="E3524" t="s">
        <v>67</v>
      </c>
      <c r="F3524" t="s">
        <v>27987</v>
      </c>
      <c r="G3524" s="117">
        <v>26.25</v>
      </c>
    </row>
    <row r="3525" spans="1:7" x14ac:dyDescent="0.25">
      <c r="A3525" s="116" t="s">
        <v>28617</v>
      </c>
      <c r="B3525" s="117" t="s">
        <v>28618</v>
      </c>
      <c r="C3525" t="s">
        <v>67</v>
      </c>
      <c r="D3525" t="s">
        <v>67</v>
      </c>
      <c r="E3525" t="s">
        <v>67</v>
      </c>
      <c r="F3525" t="s">
        <v>45</v>
      </c>
      <c r="G3525" s="117">
        <v>9999</v>
      </c>
    </row>
    <row r="3526" spans="1:7" x14ac:dyDescent="0.25">
      <c r="A3526" s="116" t="s">
        <v>5402</v>
      </c>
      <c r="B3526" s="117" t="s">
        <v>5403</v>
      </c>
      <c r="C3526" t="s">
        <v>67</v>
      </c>
      <c r="D3526" t="s">
        <v>67</v>
      </c>
      <c r="E3526" t="s">
        <v>67</v>
      </c>
      <c r="F3526" t="s">
        <v>49</v>
      </c>
      <c r="G3526" s="117">
        <v>25.71</v>
      </c>
    </row>
    <row r="3527" spans="1:7" x14ac:dyDescent="0.25">
      <c r="A3527" s="116" t="s">
        <v>5404</v>
      </c>
      <c r="B3527" s="117" t="s">
        <v>5405</v>
      </c>
      <c r="C3527" t="s">
        <v>67</v>
      </c>
      <c r="D3527" t="s">
        <v>67</v>
      </c>
      <c r="E3527" t="s">
        <v>67</v>
      </c>
      <c r="F3527" t="s">
        <v>49</v>
      </c>
      <c r="G3527" s="117">
        <v>29.27</v>
      </c>
    </row>
    <row r="3528" spans="1:7" x14ac:dyDescent="0.25">
      <c r="A3528" s="116" t="s">
        <v>5406</v>
      </c>
      <c r="B3528" s="117" t="s">
        <v>5376</v>
      </c>
      <c r="C3528" t="s">
        <v>67</v>
      </c>
      <c r="D3528" t="s">
        <v>67</v>
      </c>
      <c r="E3528" t="s">
        <v>67</v>
      </c>
      <c r="F3528" t="s">
        <v>27987</v>
      </c>
      <c r="G3528" s="117">
        <v>35.5</v>
      </c>
    </row>
    <row r="3529" spans="1:7" x14ac:dyDescent="0.25">
      <c r="A3529" s="116" t="s">
        <v>5407</v>
      </c>
      <c r="B3529" s="117" t="s">
        <v>5408</v>
      </c>
      <c r="C3529" t="s">
        <v>67</v>
      </c>
      <c r="D3529" t="s">
        <v>67</v>
      </c>
      <c r="E3529" t="s">
        <v>67</v>
      </c>
      <c r="F3529" t="s">
        <v>45</v>
      </c>
      <c r="G3529" s="117">
        <v>31.94</v>
      </c>
    </row>
    <row r="3530" spans="1:7" x14ac:dyDescent="0.25">
      <c r="A3530" s="116" t="s">
        <v>5409</v>
      </c>
      <c r="B3530" s="117" t="s">
        <v>5410</v>
      </c>
      <c r="C3530" t="s">
        <v>67</v>
      </c>
      <c r="D3530" t="s">
        <v>67</v>
      </c>
      <c r="E3530" t="s">
        <v>67</v>
      </c>
      <c r="F3530" t="s">
        <v>49</v>
      </c>
      <c r="G3530" s="117">
        <v>34.32</v>
      </c>
    </row>
    <row r="3531" spans="1:7" x14ac:dyDescent="0.25">
      <c r="A3531" s="116" t="s">
        <v>5411</v>
      </c>
      <c r="B3531" s="117" t="s">
        <v>5412</v>
      </c>
      <c r="C3531" t="s">
        <v>67</v>
      </c>
      <c r="D3531" t="s">
        <v>67</v>
      </c>
      <c r="E3531" t="s">
        <v>67</v>
      </c>
      <c r="F3531" t="s">
        <v>27987</v>
      </c>
      <c r="G3531" s="117">
        <v>28.92</v>
      </c>
    </row>
    <row r="3532" spans="1:7" x14ac:dyDescent="0.25">
      <c r="A3532" s="116" t="s">
        <v>5413</v>
      </c>
      <c r="B3532" s="117" t="s">
        <v>5414</v>
      </c>
      <c r="C3532" t="s">
        <v>67</v>
      </c>
      <c r="D3532" t="s">
        <v>67</v>
      </c>
      <c r="E3532" t="s">
        <v>67</v>
      </c>
      <c r="F3532" t="s">
        <v>27987</v>
      </c>
      <c r="G3532" s="117">
        <v>38.18</v>
      </c>
    </row>
    <row r="3533" spans="1:7" x14ac:dyDescent="0.25">
      <c r="A3533" s="116" t="s">
        <v>27022</v>
      </c>
      <c r="B3533" s="117" t="s">
        <v>27023</v>
      </c>
      <c r="C3533" t="s">
        <v>67</v>
      </c>
      <c r="D3533" t="s">
        <v>67</v>
      </c>
      <c r="E3533" t="s">
        <v>67</v>
      </c>
      <c r="F3533" t="s">
        <v>27987</v>
      </c>
      <c r="G3533" s="117">
        <v>25</v>
      </c>
    </row>
    <row r="3534" spans="1:7" x14ac:dyDescent="0.25">
      <c r="A3534" s="116" t="s">
        <v>5415</v>
      </c>
      <c r="B3534" s="117" t="s">
        <v>5416</v>
      </c>
      <c r="C3534" t="s">
        <v>67</v>
      </c>
      <c r="D3534" t="s">
        <v>67</v>
      </c>
      <c r="E3534" t="s">
        <v>67</v>
      </c>
      <c r="F3534" t="s">
        <v>27987</v>
      </c>
      <c r="G3534" s="117">
        <v>24.48</v>
      </c>
    </row>
    <row r="3535" spans="1:7" x14ac:dyDescent="0.25">
      <c r="A3535" s="116" t="s">
        <v>5417</v>
      </c>
      <c r="B3535" s="117" t="s">
        <v>5418</v>
      </c>
      <c r="C3535" t="s">
        <v>67</v>
      </c>
      <c r="D3535" t="s">
        <v>67</v>
      </c>
      <c r="E3535" t="s">
        <v>67</v>
      </c>
      <c r="F3535" t="s">
        <v>27987</v>
      </c>
      <c r="G3535" s="117">
        <v>37.82</v>
      </c>
    </row>
    <row r="3536" spans="1:7" x14ac:dyDescent="0.25">
      <c r="A3536" s="116" t="s">
        <v>5419</v>
      </c>
      <c r="B3536" s="117" t="s">
        <v>5420</v>
      </c>
      <c r="C3536" t="s">
        <v>67</v>
      </c>
      <c r="D3536" t="s">
        <v>67</v>
      </c>
      <c r="E3536" t="s">
        <v>67</v>
      </c>
      <c r="F3536" t="s">
        <v>45</v>
      </c>
      <c r="G3536" s="117">
        <v>8.81</v>
      </c>
    </row>
    <row r="3537" spans="1:7" x14ac:dyDescent="0.25">
      <c r="A3537" s="116" t="s">
        <v>5421</v>
      </c>
      <c r="B3537" s="117" t="s">
        <v>5422</v>
      </c>
      <c r="C3537" t="s">
        <v>67</v>
      </c>
      <c r="D3537" t="s">
        <v>67</v>
      </c>
      <c r="E3537" t="s">
        <v>67</v>
      </c>
      <c r="F3537" t="s">
        <v>49</v>
      </c>
      <c r="G3537" s="117">
        <v>22.16</v>
      </c>
    </row>
    <row r="3538" spans="1:7" x14ac:dyDescent="0.25">
      <c r="A3538" s="116" t="s">
        <v>5423</v>
      </c>
      <c r="B3538" s="117" t="s">
        <v>5424</v>
      </c>
      <c r="C3538" t="s">
        <v>67</v>
      </c>
      <c r="D3538" t="s">
        <v>67</v>
      </c>
      <c r="E3538" t="s">
        <v>67</v>
      </c>
      <c r="F3538" t="s">
        <v>49</v>
      </c>
      <c r="G3538" s="117">
        <v>9.6999999999999993</v>
      </c>
    </row>
    <row r="3539" spans="1:7" x14ac:dyDescent="0.25">
      <c r="A3539" s="116" t="s">
        <v>5425</v>
      </c>
      <c r="B3539" s="117" t="s">
        <v>5426</v>
      </c>
      <c r="C3539" t="s">
        <v>67</v>
      </c>
      <c r="D3539" t="s">
        <v>67</v>
      </c>
      <c r="E3539" t="s">
        <v>67</v>
      </c>
      <c r="F3539" t="s">
        <v>27987</v>
      </c>
      <c r="G3539" s="117">
        <v>9.6999999999999993</v>
      </c>
    </row>
    <row r="3540" spans="1:7" x14ac:dyDescent="0.25">
      <c r="A3540" s="116" t="s">
        <v>5427</v>
      </c>
      <c r="B3540" s="117" t="s">
        <v>5335</v>
      </c>
      <c r="C3540" t="s">
        <v>67</v>
      </c>
      <c r="D3540" t="s">
        <v>67</v>
      </c>
      <c r="E3540" t="s">
        <v>67</v>
      </c>
      <c r="F3540" t="s">
        <v>51</v>
      </c>
      <c r="G3540" s="117">
        <v>9.6999999999999993</v>
      </c>
    </row>
    <row r="3541" spans="1:7" x14ac:dyDescent="0.25">
      <c r="A3541" s="116" t="s">
        <v>28619</v>
      </c>
      <c r="B3541" s="117" t="s">
        <v>28620</v>
      </c>
      <c r="C3541" t="s">
        <v>67</v>
      </c>
      <c r="D3541" t="s">
        <v>67</v>
      </c>
      <c r="E3541" t="s">
        <v>67</v>
      </c>
      <c r="F3541" t="s">
        <v>45</v>
      </c>
      <c r="G3541" s="117">
        <v>0</v>
      </c>
    </row>
    <row r="3542" spans="1:7" x14ac:dyDescent="0.25">
      <c r="A3542" s="116" t="s">
        <v>5428</v>
      </c>
      <c r="B3542" s="117" t="s">
        <v>5429</v>
      </c>
      <c r="C3542" t="s">
        <v>67</v>
      </c>
      <c r="D3542" t="s">
        <v>67</v>
      </c>
      <c r="E3542" t="s">
        <v>67</v>
      </c>
      <c r="F3542" t="s">
        <v>49</v>
      </c>
      <c r="G3542" s="117">
        <v>35.5</v>
      </c>
    </row>
    <row r="3543" spans="1:7" x14ac:dyDescent="0.25">
      <c r="A3543" s="116" t="s">
        <v>5430</v>
      </c>
      <c r="B3543" s="117" t="s">
        <v>5431</v>
      </c>
      <c r="C3543" t="s">
        <v>67</v>
      </c>
      <c r="D3543" t="s">
        <v>67</v>
      </c>
      <c r="E3543" t="s">
        <v>67</v>
      </c>
      <c r="F3543" t="s">
        <v>27987</v>
      </c>
      <c r="G3543" s="117">
        <v>39.06</v>
      </c>
    </row>
    <row r="3544" spans="1:7" x14ac:dyDescent="0.25">
      <c r="A3544" s="116" t="s">
        <v>5432</v>
      </c>
      <c r="B3544" s="117" t="s">
        <v>5433</v>
      </c>
      <c r="C3544" t="s">
        <v>67</v>
      </c>
      <c r="D3544" t="s">
        <v>67</v>
      </c>
      <c r="E3544" t="s">
        <v>67</v>
      </c>
      <c r="F3544" t="s">
        <v>27987</v>
      </c>
      <c r="G3544" s="117">
        <v>25.36</v>
      </c>
    </row>
    <row r="3545" spans="1:7" x14ac:dyDescent="0.25">
      <c r="A3545" s="116" t="s">
        <v>5434</v>
      </c>
      <c r="B3545" s="117" t="s">
        <v>28621</v>
      </c>
      <c r="C3545" t="s">
        <v>67</v>
      </c>
      <c r="D3545" t="s">
        <v>67</v>
      </c>
      <c r="E3545" t="s">
        <v>67</v>
      </c>
      <c r="F3545" t="s">
        <v>27990</v>
      </c>
      <c r="G3545" s="117">
        <v>37.82</v>
      </c>
    </row>
    <row r="3546" spans="1:7" x14ac:dyDescent="0.25">
      <c r="A3546" s="116" t="s">
        <v>5435</v>
      </c>
      <c r="B3546" s="117" t="s">
        <v>5179</v>
      </c>
      <c r="C3546" t="s">
        <v>67</v>
      </c>
      <c r="D3546" t="s">
        <v>67</v>
      </c>
      <c r="E3546" t="s">
        <v>67</v>
      </c>
      <c r="F3546" t="s">
        <v>51</v>
      </c>
      <c r="G3546" s="117">
        <v>37.82</v>
      </c>
    </row>
    <row r="3547" spans="1:7" x14ac:dyDescent="0.25">
      <c r="A3547" s="116" t="s">
        <v>5436</v>
      </c>
      <c r="B3547" s="117" t="s">
        <v>5177</v>
      </c>
      <c r="C3547" t="s">
        <v>67</v>
      </c>
      <c r="D3547" t="s">
        <v>67</v>
      </c>
      <c r="E3547" t="s">
        <v>67</v>
      </c>
      <c r="F3547" t="s">
        <v>49</v>
      </c>
      <c r="G3547" s="117">
        <v>3.12</v>
      </c>
    </row>
    <row r="3548" spans="1:7" x14ac:dyDescent="0.25">
      <c r="A3548" s="116" t="s">
        <v>5437</v>
      </c>
      <c r="B3548" s="117" t="s">
        <v>5438</v>
      </c>
      <c r="C3548" t="s">
        <v>67</v>
      </c>
      <c r="D3548" t="s">
        <v>67</v>
      </c>
      <c r="E3548" t="s">
        <v>67</v>
      </c>
      <c r="F3548" t="s">
        <v>27987</v>
      </c>
      <c r="G3548" s="117">
        <v>23.05</v>
      </c>
    </row>
    <row r="3549" spans="1:7" x14ac:dyDescent="0.25">
      <c r="A3549" s="116" t="s">
        <v>29910</v>
      </c>
      <c r="B3549" s="117" t="s">
        <v>30409</v>
      </c>
      <c r="C3549" t="s">
        <v>67</v>
      </c>
      <c r="D3549" t="s">
        <v>67</v>
      </c>
      <c r="E3549" t="s">
        <v>67</v>
      </c>
      <c r="F3549" t="s">
        <v>27987</v>
      </c>
      <c r="G3549" s="117">
        <v>4</v>
      </c>
    </row>
    <row r="3550" spans="1:7" x14ac:dyDescent="0.25">
      <c r="A3550" s="116" t="s">
        <v>5439</v>
      </c>
      <c r="B3550" s="117" t="s">
        <v>5440</v>
      </c>
      <c r="C3550" t="s">
        <v>67</v>
      </c>
      <c r="D3550" t="s">
        <v>67</v>
      </c>
      <c r="E3550" t="s">
        <v>67</v>
      </c>
      <c r="F3550" t="s">
        <v>51</v>
      </c>
      <c r="G3550" s="117">
        <v>9.6999999999999993</v>
      </c>
    </row>
    <row r="3551" spans="1:7" x14ac:dyDescent="0.25">
      <c r="A3551" s="116" t="s">
        <v>5441</v>
      </c>
      <c r="B3551" s="117" t="s">
        <v>5442</v>
      </c>
      <c r="C3551" t="s">
        <v>67</v>
      </c>
      <c r="D3551" t="s">
        <v>67</v>
      </c>
      <c r="E3551" t="s">
        <v>67</v>
      </c>
      <c r="F3551" t="s">
        <v>49</v>
      </c>
      <c r="G3551" s="117">
        <v>36.020000000000003</v>
      </c>
    </row>
    <row r="3552" spans="1:7" x14ac:dyDescent="0.25">
      <c r="A3552" s="116" t="s">
        <v>5443</v>
      </c>
      <c r="B3552" s="117" t="s">
        <v>5444</v>
      </c>
      <c r="C3552" t="s">
        <v>67</v>
      </c>
      <c r="D3552" t="s">
        <v>67</v>
      </c>
      <c r="E3552" t="s">
        <v>67</v>
      </c>
      <c r="F3552" t="s">
        <v>27987</v>
      </c>
      <c r="G3552" s="117">
        <v>12.01</v>
      </c>
    </row>
    <row r="3553" spans="1:7" x14ac:dyDescent="0.25">
      <c r="A3553" s="116" t="s">
        <v>5445</v>
      </c>
      <c r="B3553" s="117" t="s">
        <v>5446</v>
      </c>
      <c r="C3553" t="s">
        <v>67</v>
      </c>
      <c r="D3553" t="s">
        <v>67</v>
      </c>
      <c r="E3553" t="s">
        <v>67</v>
      </c>
      <c r="F3553" t="s">
        <v>49</v>
      </c>
      <c r="G3553" s="117">
        <v>53.3</v>
      </c>
    </row>
    <row r="3554" spans="1:7" x14ac:dyDescent="0.25">
      <c r="A3554" s="116" t="s">
        <v>5447</v>
      </c>
      <c r="B3554" s="117" t="s">
        <v>5448</v>
      </c>
      <c r="C3554" t="s">
        <v>67</v>
      </c>
      <c r="D3554" t="s">
        <v>67</v>
      </c>
      <c r="E3554" t="s">
        <v>67</v>
      </c>
      <c r="F3554" t="s">
        <v>27987</v>
      </c>
      <c r="G3554" s="117">
        <v>49.38</v>
      </c>
    </row>
    <row r="3555" spans="1:7" x14ac:dyDescent="0.25">
      <c r="A3555" s="116" t="s">
        <v>5449</v>
      </c>
      <c r="B3555" s="117" t="s">
        <v>5450</v>
      </c>
      <c r="C3555" t="s">
        <v>67</v>
      </c>
      <c r="D3555" t="s">
        <v>67</v>
      </c>
      <c r="E3555" t="s">
        <v>67</v>
      </c>
      <c r="F3555" t="s">
        <v>27987</v>
      </c>
      <c r="G3555" s="117">
        <v>35.5</v>
      </c>
    </row>
    <row r="3556" spans="1:7" x14ac:dyDescent="0.25">
      <c r="A3556" s="116" t="s">
        <v>5451</v>
      </c>
      <c r="B3556" s="117" t="s">
        <v>5452</v>
      </c>
      <c r="C3556" t="s">
        <v>67</v>
      </c>
      <c r="D3556" t="s">
        <v>67</v>
      </c>
      <c r="E3556" t="s">
        <v>67</v>
      </c>
      <c r="F3556" t="s">
        <v>45</v>
      </c>
      <c r="G3556" s="117">
        <v>56.86</v>
      </c>
    </row>
    <row r="3557" spans="1:7" x14ac:dyDescent="0.25">
      <c r="A3557" s="116" t="s">
        <v>5453</v>
      </c>
      <c r="B3557" s="117" t="s">
        <v>28622</v>
      </c>
      <c r="C3557" t="s">
        <v>67</v>
      </c>
      <c r="D3557" t="s">
        <v>67</v>
      </c>
      <c r="E3557" t="s">
        <v>67</v>
      </c>
      <c r="F3557" t="s">
        <v>27987</v>
      </c>
      <c r="G3557" s="117">
        <v>57.75</v>
      </c>
    </row>
    <row r="3558" spans="1:7" x14ac:dyDescent="0.25">
      <c r="A3558" s="116" t="s">
        <v>5454</v>
      </c>
      <c r="B3558" s="117" t="s">
        <v>5455</v>
      </c>
      <c r="C3558" t="s">
        <v>67</v>
      </c>
      <c r="D3558" t="s">
        <v>67</v>
      </c>
      <c r="E3558" t="s">
        <v>67</v>
      </c>
      <c r="F3558" t="s">
        <v>27987</v>
      </c>
      <c r="G3558" s="117">
        <v>17.36</v>
      </c>
    </row>
    <row r="3559" spans="1:7" x14ac:dyDescent="0.25">
      <c r="A3559" s="116" t="s">
        <v>5456</v>
      </c>
      <c r="B3559" s="117" t="s">
        <v>5357</v>
      </c>
      <c r="C3559" t="s">
        <v>67</v>
      </c>
      <c r="D3559" t="s">
        <v>67</v>
      </c>
      <c r="E3559" t="s">
        <v>67</v>
      </c>
      <c r="F3559" t="s">
        <v>51</v>
      </c>
      <c r="G3559" s="117">
        <v>5.25</v>
      </c>
    </row>
    <row r="3560" spans="1:7" x14ac:dyDescent="0.25">
      <c r="A3560" s="116" t="s">
        <v>5457</v>
      </c>
      <c r="B3560" s="117" t="s">
        <v>5458</v>
      </c>
      <c r="C3560" t="s">
        <v>67</v>
      </c>
      <c r="D3560" t="s">
        <v>67</v>
      </c>
      <c r="E3560" t="s">
        <v>67</v>
      </c>
      <c r="F3560" t="s">
        <v>45</v>
      </c>
      <c r="G3560" s="117">
        <v>23.94</v>
      </c>
    </row>
    <row r="3561" spans="1:7" x14ac:dyDescent="0.25">
      <c r="A3561" s="116" t="s">
        <v>5459</v>
      </c>
      <c r="B3561" s="117" t="s">
        <v>5369</v>
      </c>
      <c r="C3561" t="s">
        <v>67</v>
      </c>
      <c r="D3561" t="s">
        <v>67</v>
      </c>
      <c r="E3561" t="s">
        <v>67</v>
      </c>
      <c r="F3561" t="s">
        <v>51</v>
      </c>
      <c r="G3561" s="117">
        <v>6.14</v>
      </c>
    </row>
    <row r="3562" spans="1:7" x14ac:dyDescent="0.25">
      <c r="A3562" s="116" t="s">
        <v>5460</v>
      </c>
      <c r="B3562" s="117" t="s">
        <v>5461</v>
      </c>
      <c r="C3562" t="s">
        <v>67</v>
      </c>
      <c r="D3562" t="s">
        <v>67</v>
      </c>
      <c r="E3562" t="s">
        <v>67</v>
      </c>
      <c r="F3562" t="s">
        <v>27990</v>
      </c>
      <c r="G3562" s="117">
        <v>20.92</v>
      </c>
    </row>
    <row r="3563" spans="1:7" x14ac:dyDescent="0.25">
      <c r="A3563" s="116" t="s">
        <v>5462</v>
      </c>
      <c r="B3563" s="117" t="s">
        <v>5463</v>
      </c>
      <c r="C3563" t="s">
        <v>67</v>
      </c>
      <c r="D3563" t="s">
        <v>67</v>
      </c>
      <c r="E3563" t="s">
        <v>67</v>
      </c>
      <c r="F3563" t="s">
        <v>27987</v>
      </c>
      <c r="G3563" s="117">
        <v>22.16</v>
      </c>
    </row>
    <row r="3564" spans="1:7" x14ac:dyDescent="0.25">
      <c r="A3564" s="116" t="s">
        <v>5464</v>
      </c>
      <c r="B3564" s="117" t="s">
        <v>5465</v>
      </c>
      <c r="C3564" t="s">
        <v>67</v>
      </c>
      <c r="D3564" t="s">
        <v>67</v>
      </c>
      <c r="E3564" t="s">
        <v>67</v>
      </c>
      <c r="F3564" t="s">
        <v>27987</v>
      </c>
      <c r="G3564" s="117">
        <v>8.81</v>
      </c>
    </row>
    <row r="3565" spans="1:7" x14ac:dyDescent="0.25">
      <c r="A3565" s="116" t="s">
        <v>5466</v>
      </c>
      <c r="B3565" s="117" t="s">
        <v>5114</v>
      </c>
      <c r="C3565" t="s">
        <v>67</v>
      </c>
      <c r="D3565" t="s">
        <v>67</v>
      </c>
      <c r="E3565" t="s">
        <v>67</v>
      </c>
      <c r="F3565" t="s">
        <v>51</v>
      </c>
      <c r="G3565" s="117">
        <v>3.56</v>
      </c>
    </row>
    <row r="3566" spans="1:7" x14ac:dyDescent="0.25">
      <c r="A3566" s="116" t="s">
        <v>5467</v>
      </c>
      <c r="B3566" s="117" t="s">
        <v>5468</v>
      </c>
      <c r="C3566" t="s">
        <v>67</v>
      </c>
      <c r="D3566" t="s">
        <v>67</v>
      </c>
      <c r="E3566" t="s">
        <v>67</v>
      </c>
      <c r="F3566" t="s">
        <v>49</v>
      </c>
      <c r="G3566" s="117">
        <v>4.8899999999999997</v>
      </c>
    </row>
    <row r="3567" spans="1:7" x14ac:dyDescent="0.25">
      <c r="A3567" s="116" t="s">
        <v>5469</v>
      </c>
      <c r="B3567" s="117" t="s">
        <v>5218</v>
      </c>
      <c r="C3567" t="s">
        <v>67</v>
      </c>
      <c r="D3567" t="s">
        <v>67</v>
      </c>
      <c r="E3567" t="s">
        <v>67</v>
      </c>
      <c r="F3567" t="s">
        <v>49</v>
      </c>
      <c r="G3567" s="117">
        <v>3.56</v>
      </c>
    </row>
    <row r="3568" spans="1:7" x14ac:dyDescent="0.25">
      <c r="A3568" s="116" t="s">
        <v>5470</v>
      </c>
      <c r="B3568" s="117" t="s">
        <v>5471</v>
      </c>
      <c r="C3568" t="s">
        <v>67</v>
      </c>
      <c r="D3568" t="s">
        <v>67</v>
      </c>
      <c r="E3568" t="s">
        <v>67</v>
      </c>
      <c r="F3568" t="s">
        <v>49</v>
      </c>
      <c r="G3568" s="117">
        <v>84.98</v>
      </c>
    </row>
    <row r="3569" spans="1:7" x14ac:dyDescent="0.25">
      <c r="A3569" s="116" t="s">
        <v>5472</v>
      </c>
      <c r="B3569" s="117" t="s">
        <v>5365</v>
      </c>
      <c r="C3569" t="s">
        <v>67</v>
      </c>
      <c r="D3569" t="s">
        <v>67</v>
      </c>
      <c r="E3569" t="s">
        <v>67</v>
      </c>
      <c r="F3569" t="s">
        <v>45</v>
      </c>
      <c r="G3569" s="117">
        <v>133.38</v>
      </c>
    </row>
    <row r="3570" spans="1:7" x14ac:dyDescent="0.25">
      <c r="A3570" s="116" t="s">
        <v>5473</v>
      </c>
      <c r="B3570" s="117" t="s">
        <v>5474</v>
      </c>
      <c r="C3570" t="s">
        <v>67</v>
      </c>
      <c r="D3570" t="s">
        <v>67</v>
      </c>
      <c r="E3570" t="s">
        <v>67</v>
      </c>
      <c r="F3570" t="s">
        <v>27987</v>
      </c>
      <c r="G3570" s="117">
        <v>41.38</v>
      </c>
    </row>
    <row r="3571" spans="1:7" x14ac:dyDescent="0.25">
      <c r="A3571" s="116" t="s">
        <v>5475</v>
      </c>
      <c r="B3571" s="117" t="s">
        <v>5365</v>
      </c>
      <c r="C3571" t="s">
        <v>67</v>
      </c>
      <c r="D3571" t="s">
        <v>67</v>
      </c>
      <c r="E3571" t="s">
        <v>67</v>
      </c>
      <c r="F3571" t="s">
        <v>27987</v>
      </c>
      <c r="G3571" s="117">
        <v>12.01</v>
      </c>
    </row>
    <row r="3572" spans="1:7" x14ac:dyDescent="0.25">
      <c r="A3572" s="116" t="s">
        <v>5476</v>
      </c>
      <c r="B3572" s="117" t="s">
        <v>5477</v>
      </c>
      <c r="C3572" t="s">
        <v>67</v>
      </c>
      <c r="D3572" t="s">
        <v>67</v>
      </c>
      <c r="E3572" t="s">
        <v>67</v>
      </c>
      <c r="F3572" t="s">
        <v>27987</v>
      </c>
      <c r="G3572" s="117">
        <v>13.8</v>
      </c>
    </row>
    <row r="3573" spans="1:7" x14ac:dyDescent="0.25">
      <c r="A3573" s="116" t="s">
        <v>5478</v>
      </c>
      <c r="B3573" s="117" t="s">
        <v>5479</v>
      </c>
      <c r="C3573" t="s">
        <v>67</v>
      </c>
      <c r="D3573" t="s">
        <v>67</v>
      </c>
      <c r="E3573" t="s">
        <v>67</v>
      </c>
      <c r="F3573" t="s">
        <v>45</v>
      </c>
      <c r="G3573" s="117">
        <v>12.01</v>
      </c>
    </row>
    <row r="3574" spans="1:7" x14ac:dyDescent="0.25">
      <c r="A3574" s="116" t="s">
        <v>5480</v>
      </c>
      <c r="B3574" s="117" t="s">
        <v>5481</v>
      </c>
      <c r="C3574" t="s">
        <v>67</v>
      </c>
      <c r="D3574" t="s">
        <v>67</v>
      </c>
      <c r="E3574" t="s">
        <v>67</v>
      </c>
      <c r="F3574" t="s">
        <v>27987</v>
      </c>
      <c r="G3574" s="117">
        <v>20.38</v>
      </c>
    </row>
    <row r="3575" spans="1:7" x14ac:dyDescent="0.25">
      <c r="A3575" s="116" t="s">
        <v>5482</v>
      </c>
      <c r="B3575" s="117" t="s">
        <v>5483</v>
      </c>
      <c r="C3575" t="s">
        <v>67</v>
      </c>
      <c r="D3575" t="s">
        <v>67</v>
      </c>
      <c r="E3575" t="s">
        <v>67</v>
      </c>
      <c r="F3575" t="s">
        <v>45</v>
      </c>
      <c r="G3575" s="117">
        <v>44.94</v>
      </c>
    </row>
    <row r="3576" spans="1:7" x14ac:dyDescent="0.25">
      <c r="A3576" s="116" t="s">
        <v>28623</v>
      </c>
      <c r="B3576" s="117" t="s">
        <v>28624</v>
      </c>
      <c r="C3576" t="s">
        <v>67</v>
      </c>
      <c r="D3576" t="s">
        <v>67</v>
      </c>
      <c r="E3576" t="s">
        <v>67</v>
      </c>
      <c r="F3576" t="s">
        <v>45</v>
      </c>
      <c r="G3576" s="117">
        <v>0</v>
      </c>
    </row>
    <row r="3577" spans="1:7" x14ac:dyDescent="0.25">
      <c r="A3577" s="116" t="s">
        <v>5484</v>
      </c>
      <c r="B3577" s="117" t="s">
        <v>5485</v>
      </c>
      <c r="C3577" t="s">
        <v>67</v>
      </c>
      <c r="D3577" t="s">
        <v>67</v>
      </c>
      <c r="E3577" t="s">
        <v>67</v>
      </c>
      <c r="F3577" t="s">
        <v>27987</v>
      </c>
      <c r="G3577" s="117">
        <v>16.46</v>
      </c>
    </row>
    <row r="3578" spans="1:7" x14ac:dyDescent="0.25">
      <c r="A3578" s="116" t="s">
        <v>5486</v>
      </c>
      <c r="B3578" s="117" t="s">
        <v>5487</v>
      </c>
      <c r="C3578" t="s">
        <v>67</v>
      </c>
      <c r="D3578" t="s">
        <v>67</v>
      </c>
      <c r="E3578" t="s">
        <v>67</v>
      </c>
      <c r="F3578" t="s">
        <v>49</v>
      </c>
      <c r="G3578" s="117">
        <v>12.01</v>
      </c>
    </row>
    <row r="3579" spans="1:7" x14ac:dyDescent="0.25">
      <c r="A3579" s="116" t="s">
        <v>5488</v>
      </c>
      <c r="B3579" s="117" t="s">
        <v>5489</v>
      </c>
      <c r="C3579" t="s">
        <v>67</v>
      </c>
      <c r="D3579" t="s">
        <v>67</v>
      </c>
      <c r="E3579" t="s">
        <v>67</v>
      </c>
      <c r="F3579" t="s">
        <v>45</v>
      </c>
      <c r="G3579" s="117">
        <v>11.48</v>
      </c>
    </row>
    <row r="3580" spans="1:7" x14ac:dyDescent="0.25">
      <c r="A3580" s="116" t="s">
        <v>5490</v>
      </c>
      <c r="B3580" s="117" t="s">
        <v>5365</v>
      </c>
      <c r="C3580" t="s">
        <v>67</v>
      </c>
      <c r="D3580" t="s">
        <v>67</v>
      </c>
      <c r="E3580" t="s">
        <v>67</v>
      </c>
      <c r="F3580" t="s">
        <v>27987</v>
      </c>
      <c r="G3580" s="117">
        <v>14.14</v>
      </c>
    </row>
    <row r="3581" spans="1:7" x14ac:dyDescent="0.25">
      <c r="A3581" s="116" t="s">
        <v>5491</v>
      </c>
      <c r="B3581" s="117" t="s">
        <v>5492</v>
      </c>
      <c r="C3581" t="s">
        <v>67</v>
      </c>
      <c r="D3581" t="s">
        <v>67</v>
      </c>
      <c r="E3581" t="s">
        <v>67</v>
      </c>
      <c r="F3581" t="s">
        <v>45</v>
      </c>
      <c r="G3581" s="117">
        <v>18.600000000000001</v>
      </c>
    </row>
    <row r="3582" spans="1:7" x14ac:dyDescent="0.25">
      <c r="A3582" s="116" t="s">
        <v>5493</v>
      </c>
      <c r="B3582" s="117" t="s">
        <v>5365</v>
      </c>
      <c r="C3582" t="s">
        <v>67</v>
      </c>
      <c r="D3582" t="s">
        <v>67</v>
      </c>
      <c r="E3582" t="s">
        <v>67</v>
      </c>
      <c r="F3582" t="s">
        <v>45</v>
      </c>
      <c r="G3582" s="117">
        <v>19.13</v>
      </c>
    </row>
    <row r="3583" spans="1:7" x14ac:dyDescent="0.25">
      <c r="A3583" s="116" t="s">
        <v>5494</v>
      </c>
      <c r="B3583" s="117" t="s">
        <v>5495</v>
      </c>
      <c r="C3583" t="s">
        <v>67</v>
      </c>
      <c r="D3583" t="s">
        <v>67</v>
      </c>
      <c r="E3583" t="s">
        <v>67</v>
      </c>
      <c r="F3583" t="s">
        <v>45</v>
      </c>
      <c r="G3583" s="117">
        <v>51.99</v>
      </c>
    </row>
    <row r="3584" spans="1:7" x14ac:dyDescent="0.25">
      <c r="A3584" s="116" t="s">
        <v>5496</v>
      </c>
      <c r="B3584" s="117" t="s">
        <v>28625</v>
      </c>
      <c r="C3584" t="s">
        <v>67</v>
      </c>
      <c r="D3584" t="s">
        <v>67</v>
      </c>
      <c r="E3584" t="s">
        <v>67</v>
      </c>
      <c r="F3584" t="s">
        <v>27987</v>
      </c>
      <c r="G3584" s="117">
        <v>32.119999999999997</v>
      </c>
    </row>
    <row r="3585" spans="1:7" x14ac:dyDescent="0.25">
      <c r="A3585" s="116" t="s">
        <v>5497</v>
      </c>
      <c r="B3585" s="117" t="s">
        <v>5498</v>
      </c>
      <c r="C3585" t="s">
        <v>67</v>
      </c>
      <c r="D3585" t="s">
        <v>67</v>
      </c>
      <c r="E3585" t="s">
        <v>67</v>
      </c>
      <c r="F3585" t="s">
        <v>27987</v>
      </c>
      <c r="G3585" s="117">
        <v>17.7</v>
      </c>
    </row>
    <row r="3586" spans="1:7" x14ac:dyDescent="0.25">
      <c r="A3586" s="116" t="s">
        <v>5499</v>
      </c>
      <c r="B3586" s="117" t="s">
        <v>5500</v>
      </c>
      <c r="C3586" t="s">
        <v>67</v>
      </c>
      <c r="D3586" t="s">
        <v>67</v>
      </c>
      <c r="E3586" t="s">
        <v>67</v>
      </c>
      <c r="F3586" t="s">
        <v>27987</v>
      </c>
      <c r="G3586" s="117">
        <v>13.8</v>
      </c>
    </row>
    <row r="3587" spans="1:7" x14ac:dyDescent="0.25">
      <c r="A3587" s="116" t="s">
        <v>5501</v>
      </c>
      <c r="B3587" s="117" t="s">
        <v>5502</v>
      </c>
      <c r="C3587" t="s">
        <v>67</v>
      </c>
      <c r="D3587" t="s">
        <v>67</v>
      </c>
      <c r="E3587" t="s">
        <v>67</v>
      </c>
      <c r="F3587" t="s">
        <v>27987</v>
      </c>
      <c r="G3587" s="117">
        <v>35.5</v>
      </c>
    </row>
    <row r="3588" spans="1:7" x14ac:dyDescent="0.25">
      <c r="A3588" s="116" t="s">
        <v>5503</v>
      </c>
      <c r="B3588" s="117" t="s">
        <v>5504</v>
      </c>
      <c r="C3588" t="s">
        <v>67</v>
      </c>
      <c r="D3588" t="s">
        <v>67</v>
      </c>
      <c r="E3588" t="s">
        <v>67</v>
      </c>
      <c r="F3588" t="s">
        <v>27987</v>
      </c>
      <c r="G3588" s="117">
        <v>28.38</v>
      </c>
    </row>
    <row r="3589" spans="1:7" x14ac:dyDescent="0.25">
      <c r="A3589" s="116" t="s">
        <v>5505</v>
      </c>
      <c r="B3589" s="117" t="s">
        <v>5506</v>
      </c>
      <c r="C3589" t="s">
        <v>67</v>
      </c>
      <c r="D3589" t="s">
        <v>67</v>
      </c>
      <c r="E3589" t="s">
        <v>67</v>
      </c>
      <c r="F3589" t="s">
        <v>27987</v>
      </c>
      <c r="G3589" s="117">
        <v>23.94</v>
      </c>
    </row>
    <row r="3590" spans="1:7" x14ac:dyDescent="0.25">
      <c r="A3590" s="116" t="s">
        <v>5507</v>
      </c>
      <c r="B3590" s="117" t="s">
        <v>5508</v>
      </c>
      <c r="C3590" t="s">
        <v>67</v>
      </c>
      <c r="D3590" t="s">
        <v>67</v>
      </c>
      <c r="E3590" t="s">
        <v>67</v>
      </c>
      <c r="F3590" t="s">
        <v>49</v>
      </c>
      <c r="G3590" s="117">
        <v>7.12</v>
      </c>
    </row>
    <row r="3591" spans="1:7" x14ac:dyDescent="0.25">
      <c r="A3591" s="116" t="s">
        <v>5509</v>
      </c>
      <c r="B3591" s="117" t="s">
        <v>5510</v>
      </c>
      <c r="C3591" t="s">
        <v>67</v>
      </c>
      <c r="D3591" t="s">
        <v>67</v>
      </c>
      <c r="E3591" t="s">
        <v>67</v>
      </c>
      <c r="F3591" t="s">
        <v>45</v>
      </c>
      <c r="G3591" s="117">
        <v>28.92</v>
      </c>
    </row>
    <row r="3592" spans="1:7" x14ac:dyDescent="0.25">
      <c r="A3592" s="116" t="s">
        <v>5511</v>
      </c>
      <c r="B3592" s="117" t="s">
        <v>5512</v>
      </c>
      <c r="C3592" t="s">
        <v>67</v>
      </c>
      <c r="D3592" t="s">
        <v>67</v>
      </c>
      <c r="E3592" t="s">
        <v>67</v>
      </c>
      <c r="F3592" t="s">
        <v>27987</v>
      </c>
      <c r="G3592" s="117">
        <v>30.7</v>
      </c>
    </row>
    <row r="3593" spans="1:7" x14ac:dyDescent="0.25">
      <c r="A3593" s="116" t="s">
        <v>5513</v>
      </c>
      <c r="B3593" s="117" t="s">
        <v>5514</v>
      </c>
      <c r="C3593" t="s">
        <v>67</v>
      </c>
      <c r="D3593" t="s">
        <v>67</v>
      </c>
      <c r="E3593" t="s">
        <v>67</v>
      </c>
      <c r="F3593" t="s">
        <v>27987</v>
      </c>
      <c r="G3593" s="117">
        <v>16.82</v>
      </c>
    </row>
    <row r="3594" spans="1:7" x14ac:dyDescent="0.25">
      <c r="A3594" s="116" t="s">
        <v>5515</v>
      </c>
      <c r="B3594" s="117" t="s">
        <v>5516</v>
      </c>
      <c r="C3594" t="s">
        <v>67</v>
      </c>
      <c r="D3594" t="s">
        <v>67</v>
      </c>
      <c r="E3594" t="s">
        <v>67</v>
      </c>
      <c r="F3594" t="s">
        <v>27987</v>
      </c>
      <c r="G3594" s="117">
        <v>8.4499999999999993</v>
      </c>
    </row>
    <row r="3595" spans="1:7" x14ac:dyDescent="0.25">
      <c r="A3595" s="116" t="s">
        <v>5517</v>
      </c>
      <c r="B3595" s="117" t="s">
        <v>5518</v>
      </c>
      <c r="C3595" t="s">
        <v>67</v>
      </c>
      <c r="D3595" t="s">
        <v>67</v>
      </c>
      <c r="E3595" t="s">
        <v>67</v>
      </c>
      <c r="F3595" t="s">
        <v>27987</v>
      </c>
      <c r="G3595" s="117">
        <v>11.48</v>
      </c>
    </row>
    <row r="3596" spans="1:7" x14ac:dyDescent="0.25">
      <c r="A3596" s="116" t="s">
        <v>5519</v>
      </c>
      <c r="B3596" s="117" t="s">
        <v>5520</v>
      </c>
      <c r="C3596" t="s">
        <v>67</v>
      </c>
      <c r="D3596" t="s">
        <v>67</v>
      </c>
      <c r="E3596" t="s">
        <v>67</v>
      </c>
      <c r="F3596" t="s">
        <v>49</v>
      </c>
      <c r="G3596" s="117">
        <v>50.27</v>
      </c>
    </row>
    <row r="3597" spans="1:7" x14ac:dyDescent="0.25">
      <c r="A3597" s="116" t="s">
        <v>5521</v>
      </c>
      <c r="B3597" s="117" t="s">
        <v>5522</v>
      </c>
      <c r="C3597" t="s">
        <v>67</v>
      </c>
      <c r="D3597" t="s">
        <v>67</v>
      </c>
      <c r="E3597" t="s">
        <v>67</v>
      </c>
      <c r="F3597" t="s">
        <v>27987</v>
      </c>
      <c r="G3597" s="117">
        <v>57.75</v>
      </c>
    </row>
    <row r="3598" spans="1:7" x14ac:dyDescent="0.25">
      <c r="A3598" s="116" t="s">
        <v>5523</v>
      </c>
      <c r="B3598" s="117" t="s">
        <v>5524</v>
      </c>
      <c r="C3598" t="s">
        <v>67</v>
      </c>
      <c r="D3598" t="s">
        <v>67</v>
      </c>
      <c r="E3598" t="s">
        <v>67</v>
      </c>
      <c r="F3598" t="s">
        <v>27987</v>
      </c>
      <c r="G3598" s="117">
        <v>16.46</v>
      </c>
    </row>
    <row r="3599" spans="1:7" x14ac:dyDescent="0.25">
      <c r="A3599" s="116" t="s">
        <v>5525</v>
      </c>
      <c r="B3599" s="117" t="s">
        <v>5526</v>
      </c>
      <c r="C3599" t="s">
        <v>67</v>
      </c>
      <c r="D3599" t="s">
        <v>67</v>
      </c>
      <c r="E3599" t="s">
        <v>67</v>
      </c>
      <c r="F3599" t="s">
        <v>27987</v>
      </c>
      <c r="G3599" s="117">
        <v>30.7</v>
      </c>
    </row>
    <row r="3600" spans="1:7" x14ac:dyDescent="0.25">
      <c r="A3600" s="116" t="s">
        <v>5527</v>
      </c>
      <c r="B3600" s="117" t="s">
        <v>5526</v>
      </c>
      <c r="C3600" t="s">
        <v>67</v>
      </c>
      <c r="D3600" t="s">
        <v>67</v>
      </c>
      <c r="E3600" t="s">
        <v>67</v>
      </c>
      <c r="F3600" t="s">
        <v>27987</v>
      </c>
      <c r="G3600" s="117">
        <v>20.38</v>
      </c>
    </row>
    <row r="3601" spans="1:7" x14ac:dyDescent="0.25">
      <c r="A3601" s="116" t="s">
        <v>5528</v>
      </c>
      <c r="B3601" s="117" t="s">
        <v>5529</v>
      </c>
      <c r="C3601" t="s">
        <v>67</v>
      </c>
      <c r="D3601" t="s">
        <v>67</v>
      </c>
      <c r="E3601" t="s">
        <v>67</v>
      </c>
      <c r="F3601" t="s">
        <v>27987</v>
      </c>
      <c r="G3601" s="117">
        <v>44.94</v>
      </c>
    </row>
    <row r="3602" spans="1:7" x14ac:dyDescent="0.25">
      <c r="A3602" s="116" t="s">
        <v>28626</v>
      </c>
      <c r="B3602" s="117" t="s">
        <v>2821</v>
      </c>
      <c r="C3602" t="s">
        <v>67</v>
      </c>
      <c r="D3602" t="s">
        <v>67</v>
      </c>
      <c r="E3602" t="s">
        <v>67</v>
      </c>
      <c r="F3602" t="s">
        <v>27987</v>
      </c>
      <c r="G3602" s="117">
        <v>4</v>
      </c>
    </row>
    <row r="3603" spans="1:7" x14ac:dyDescent="0.25">
      <c r="A3603" s="116" t="s">
        <v>5530</v>
      </c>
      <c r="B3603" s="117" t="s">
        <v>5531</v>
      </c>
      <c r="C3603" t="s">
        <v>67</v>
      </c>
      <c r="D3603" t="s">
        <v>67</v>
      </c>
      <c r="E3603" t="s">
        <v>67</v>
      </c>
      <c r="F3603" t="s">
        <v>27987</v>
      </c>
      <c r="G3603" s="117">
        <v>43.51</v>
      </c>
    </row>
    <row r="3604" spans="1:7" x14ac:dyDescent="0.25">
      <c r="A3604" s="116" t="s">
        <v>5532</v>
      </c>
      <c r="B3604" s="117" t="s">
        <v>5533</v>
      </c>
      <c r="C3604" t="s">
        <v>67</v>
      </c>
      <c r="D3604" t="s">
        <v>67</v>
      </c>
      <c r="E3604" t="s">
        <v>67</v>
      </c>
      <c r="F3604" t="s">
        <v>27987</v>
      </c>
      <c r="G3604" s="117">
        <v>108.48</v>
      </c>
    </row>
    <row r="3605" spans="1:7" x14ac:dyDescent="0.25">
      <c r="A3605" s="116" t="s">
        <v>5534</v>
      </c>
      <c r="B3605" s="117" t="s">
        <v>5535</v>
      </c>
      <c r="C3605" t="s">
        <v>67</v>
      </c>
      <c r="D3605" t="s">
        <v>67</v>
      </c>
      <c r="E3605" t="s">
        <v>67</v>
      </c>
      <c r="F3605" t="s">
        <v>49</v>
      </c>
      <c r="G3605" s="117">
        <v>47.96</v>
      </c>
    </row>
    <row r="3606" spans="1:7" x14ac:dyDescent="0.25">
      <c r="A3606" s="116" t="s">
        <v>5536</v>
      </c>
      <c r="B3606" s="117" t="s">
        <v>5537</v>
      </c>
      <c r="C3606" t="s">
        <v>67</v>
      </c>
      <c r="D3606" t="s">
        <v>67</v>
      </c>
      <c r="E3606" t="s">
        <v>67</v>
      </c>
      <c r="F3606" t="s">
        <v>49</v>
      </c>
      <c r="G3606" s="117">
        <v>14.14</v>
      </c>
    </row>
    <row r="3607" spans="1:7" x14ac:dyDescent="0.25">
      <c r="A3607" s="116" t="s">
        <v>5538</v>
      </c>
      <c r="B3607" s="117" t="s">
        <v>5539</v>
      </c>
      <c r="C3607" t="s">
        <v>67</v>
      </c>
      <c r="D3607" t="s">
        <v>67</v>
      </c>
      <c r="E3607" t="s">
        <v>67</v>
      </c>
      <c r="F3607" t="s">
        <v>45</v>
      </c>
      <c r="G3607" s="117">
        <v>13.8</v>
      </c>
    </row>
    <row r="3608" spans="1:7" x14ac:dyDescent="0.25">
      <c r="A3608" s="116" t="s">
        <v>5540</v>
      </c>
      <c r="B3608" s="117" t="s">
        <v>5541</v>
      </c>
      <c r="C3608" t="s">
        <v>67</v>
      </c>
      <c r="D3608" t="s">
        <v>67</v>
      </c>
      <c r="E3608" t="s">
        <v>67</v>
      </c>
      <c r="F3608" t="s">
        <v>49</v>
      </c>
      <c r="G3608" s="117">
        <v>3.12</v>
      </c>
    </row>
    <row r="3609" spans="1:7" x14ac:dyDescent="0.25">
      <c r="A3609" s="116" t="s">
        <v>5542</v>
      </c>
      <c r="B3609" s="117" t="s">
        <v>5543</v>
      </c>
      <c r="C3609" t="s">
        <v>67</v>
      </c>
      <c r="D3609" t="s">
        <v>67</v>
      </c>
      <c r="E3609" t="s">
        <v>67</v>
      </c>
      <c r="F3609" t="s">
        <v>45</v>
      </c>
      <c r="G3609" s="117">
        <v>3.56</v>
      </c>
    </row>
    <row r="3610" spans="1:7" x14ac:dyDescent="0.25">
      <c r="A3610" s="116" t="s">
        <v>5544</v>
      </c>
      <c r="B3610" s="117" t="s">
        <v>5545</v>
      </c>
      <c r="C3610" t="s">
        <v>67</v>
      </c>
      <c r="D3610" t="s">
        <v>67</v>
      </c>
      <c r="E3610" t="s">
        <v>67</v>
      </c>
      <c r="F3610" t="s">
        <v>27987</v>
      </c>
      <c r="G3610" s="117">
        <v>0.44</v>
      </c>
    </row>
    <row r="3611" spans="1:7" x14ac:dyDescent="0.25">
      <c r="A3611" s="116" t="s">
        <v>29859</v>
      </c>
      <c r="B3611" s="117" t="s">
        <v>30410</v>
      </c>
      <c r="C3611" t="s">
        <v>67</v>
      </c>
      <c r="D3611" t="s">
        <v>67</v>
      </c>
      <c r="E3611" t="s">
        <v>67</v>
      </c>
      <c r="F3611" t="s">
        <v>45</v>
      </c>
      <c r="G3611" s="117">
        <v>1</v>
      </c>
    </row>
    <row r="3612" spans="1:7" x14ac:dyDescent="0.25">
      <c r="A3612" s="116" t="s">
        <v>5546</v>
      </c>
      <c r="B3612" s="117" t="s">
        <v>5547</v>
      </c>
      <c r="C3612" t="s">
        <v>67</v>
      </c>
      <c r="D3612" t="s">
        <v>67</v>
      </c>
      <c r="E3612" t="s">
        <v>67</v>
      </c>
      <c r="F3612" t="s">
        <v>27987</v>
      </c>
      <c r="G3612" s="117">
        <v>0.89</v>
      </c>
    </row>
    <row r="3613" spans="1:7" x14ac:dyDescent="0.25">
      <c r="A3613" s="116" t="s">
        <v>28181</v>
      </c>
      <c r="B3613" s="117" t="s">
        <v>28182</v>
      </c>
      <c r="C3613" t="s">
        <v>67</v>
      </c>
      <c r="D3613" t="s">
        <v>67</v>
      </c>
      <c r="E3613" t="s">
        <v>67</v>
      </c>
      <c r="F3613" t="s">
        <v>45</v>
      </c>
      <c r="G3613" s="117">
        <v>0.76</v>
      </c>
    </row>
    <row r="3614" spans="1:7" x14ac:dyDescent="0.25">
      <c r="A3614" s="116" t="s">
        <v>5548</v>
      </c>
      <c r="B3614" s="117" t="s">
        <v>5549</v>
      </c>
      <c r="C3614" t="s">
        <v>67</v>
      </c>
      <c r="D3614" t="s">
        <v>67</v>
      </c>
      <c r="E3614" t="s">
        <v>67</v>
      </c>
      <c r="F3614" t="s">
        <v>51</v>
      </c>
      <c r="G3614" s="117">
        <v>0.44</v>
      </c>
    </row>
    <row r="3615" spans="1:7" x14ac:dyDescent="0.25">
      <c r="A3615" s="116" t="s">
        <v>5550</v>
      </c>
      <c r="B3615" s="117" t="s">
        <v>5545</v>
      </c>
      <c r="C3615" t="s">
        <v>67</v>
      </c>
      <c r="D3615" t="s">
        <v>67</v>
      </c>
      <c r="E3615" t="s">
        <v>67</v>
      </c>
      <c r="F3615" t="s">
        <v>49</v>
      </c>
      <c r="G3615" s="117">
        <v>0.44</v>
      </c>
    </row>
    <row r="3616" spans="1:7" x14ac:dyDescent="0.25">
      <c r="A3616" s="116" t="s">
        <v>5551</v>
      </c>
      <c r="B3616" s="117" t="s">
        <v>5552</v>
      </c>
      <c r="C3616" t="s">
        <v>67</v>
      </c>
      <c r="D3616" t="s">
        <v>67</v>
      </c>
      <c r="E3616" t="s">
        <v>67</v>
      </c>
      <c r="F3616" t="s">
        <v>27987</v>
      </c>
      <c r="G3616" s="117">
        <v>0.44</v>
      </c>
    </row>
    <row r="3617" spans="1:7" x14ac:dyDescent="0.25">
      <c r="A3617" s="116" t="s">
        <v>5553</v>
      </c>
      <c r="B3617" s="117" t="s">
        <v>5554</v>
      </c>
      <c r="C3617" t="s">
        <v>67</v>
      </c>
      <c r="D3617" t="s">
        <v>67</v>
      </c>
      <c r="E3617" t="s">
        <v>67</v>
      </c>
      <c r="F3617" t="s">
        <v>27987</v>
      </c>
      <c r="G3617" s="117">
        <v>0.44</v>
      </c>
    </row>
    <row r="3618" spans="1:7" x14ac:dyDescent="0.25">
      <c r="A3618" s="116" t="s">
        <v>5555</v>
      </c>
      <c r="B3618" s="117" t="s">
        <v>5556</v>
      </c>
      <c r="C3618" t="s">
        <v>67</v>
      </c>
      <c r="D3618" t="s">
        <v>67</v>
      </c>
      <c r="E3618" t="s">
        <v>67</v>
      </c>
      <c r="F3618" t="s">
        <v>49</v>
      </c>
      <c r="G3618" s="117">
        <v>0.8</v>
      </c>
    </row>
    <row r="3619" spans="1:7" x14ac:dyDescent="0.25">
      <c r="A3619" s="116" t="s">
        <v>5557</v>
      </c>
      <c r="B3619" s="117" t="s">
        <v>5558</v>
      </c>
      <c r="C3619" t="s">
        <v>67</v>
      </c>
      <c r="D3619" t="s">
        <v>67</v>
      </c>
      <c r="E3619" t="s">
        <v>67</v>
      </c>
      <c r="F3619" t="s">
        <v>49</v>
      </c>
      <c r="G3619" s="117">
        <v>0.8</v>
      </c>
    </row>
    <row r="3620" spans="1:7" x14ac:dyDescent="0.25">
      <c r="A3620" s="116" t="s">
        <v>5559</v>
      </c>
      <c r="B3620" s="117" t="s">
        <v>5554</v>
      </c>
      <c r="C3620" t="s">
        <v>67</v>
      </c>
      <c r="D3620" t="s">
        <v>67</v>
      </c>
      <c r="E3620" t="s">
        <v>67</v>
      </c>
      <c r="F3620" t="s">
        <v>49</v>
      </c>
      <c r="G3620" s="117">
        <v>0.89</v>
      </c>
    </row>
    <row r="3621" spans="1:7" x14ac:dyDescent="0.25">
      <c r="A3621" s="116" t="s">
        <v>5560</v>
      </c>
      <c r="B3621" s="117" t="s">
        <v>5561</v>
      </c>
      <c r="C3621" t="s">
        <v>67</v>
      </c>
      <c r="D3621" t="s">
        <v>67</v>
      </c>
      <c r="E3621" t="s">
        <v>67</v>
      </c>
      <c r="F3621" t="s">
        <v>49</v>
      </c>
      <c r="G3621" s="117">
        <v>0.89</v>
      </c>
    </row>
    <row r="3622" spans="1:7" x14ac:dyDescent="0.25">
      <c r="A3622" s="116" t="s">
        <v>5562</v>
      </c>
      <c r="B3622" s="117" t="s">
        <v>5545</v>
      </c>
      <c r="C3622" t="s">
        <v>67</v>
      </c>
      <c r="D3622" t="s">
        <v>67</v>
      </c>
      <c r="E3622" t="s">
        <v>67</v>
      </c>
      <c r="F3622" t="s">
        <v>49</v>
      </c>
      <c r="G3622" s="117">
        <v>0.44</v>
      </c>
    </row>
    <row r="3623" spans="1:7" x14ac:dyDescent="0.25">
      <c r="A3623" s="116" t="s">
        <v>5563</v>
      </c>
      <c r="B3623" s="117" t="s">
        <v>5564</v>
      </c>
      <c r="C3623" t="s">
        <v>67</v>
      </c>
      <c r="D3623" t="s">
        <v>67</v>
      </c>
      <c r="E3623" t="s">
        <v>67</v>
      </c>
      <c r="F3623" t="s">
        <v>49</v>
      </c>
      <c r="G3623" s="117">
        <v>0.8</v>
      </c>
    </row>
    <row r="3624" spans="1:7" x14ac:dyDescent="0.25">
      <c r="A3624" s="116" t="s">
        <v>5565</v>
      </c>
      <c r="B3624" s="117" t="s">
        <v>5549</v>
      </c>
      <c r="C3624" t="s">
        <v>67</v>
      </c>
      <c r="D3624" t="s">
        <v>67</v>
      </c>
      <c r="E3624" t="s">
        <v>67</v>
      </c>
      <c r="F3624" t="s">
        <v>27987</v>
      </c>
      <c r="G3624" s="117">
        <v>0.44</v>
      </c>
    </row>
    <row r="3625" spans="1:7" x14ac:dyDescent="0.25">
      <c r="A3625" s="116" t="s">
        <v>5566</v>
      </c>
      <c r="B3625" s="117" t="s">
        <v>5567</v>
      </c>
      <c r="C3625" t="s">
        <v>67</v>
      </c>
      <c r="D3625" t="s">
        <v>67</v>
      </c>
      <c r="E3625" t="s">
        <v>67</v>
      </c>
      <c r="F3625" t="s">
        <v>27990</v>
      </c>
      <c r="G3625" s="117">
        <v>2.58</v>
      </c>
    </row>
    <row r="3626" spans="1:7" x14ac:dyDescent="0.25">
      <c r="A3626" s="116" t="s">
        <v>5568</v>
      </c>
      <c r="B3626" s="117" t="s">
        <v>5569</v>
      </c>
      <c r="C3626" t="s">
        <v>67</v>
      </c>
      <c r="D3626" t="s">
        <v>67</v>
      </c>
      <c r="E3626" t="s">
        <v>67</v>
      </c>
      <c r="F3626" t="s">
        <v>27987</v>
      </c>
      <c r="G3626" s="117">
        <v>0.8</v>
      </c>
    </row>
    <row r="3627" spans="1:7" x14ac:dyDescent="0.25">
      <c r="A3627" s="116" t="s">
        <v>5570</v>
      </c>
      <c r="B3627" s="117" t="s">
        <v>5571</v>
      </c>
      <c r="C3627" t="s">
        <v>67</v>
      </c>
      <c r="D3627" t="s">
        <v>67</v>
      </c>
      <c r="E3627" t="s">
        <v>67</v>
      </c>
      <c r="F3627" t="s">
        <v>27987</v>
      </c>
      <c r="G3627" s="117">
        <v>3.48</v>
      </c>
    </row>
    <row r="3628" spans="1:7" x14ac:dyDescent="0.25">
      <c r="A3628" s="116" t="s">
        <v>28627</v>
      </c>
      <c r="B3628" s="117" t="s">
        <v>31152</v>
      </c>
      <c r="C3628" t="s">
        <v>67</v>
      </c>
      <c r="D3628" t="s">
        <v>67</v>
      </c>
      <c r="E3628" t="s">
        <v>67</v>
      </c>
      <c r="F3628" t="s">
        <v>27987</v>
      </c>
      <c r="G3628" s="117">
        <v>1.9</v>
      </c>
    </row>
    <row r="3629" spans="1:7" x14ac:dyDescent="0.25">
      <c r="A3629" s="116" t="s">
        <v>5572</v>
      </c>
      <c r="B3629" s="117" t="s">
        <v>5573</v>
      </c>
      <c r="C3629" t="s">
        <v>67</v>
      </c>
      <c r="D3629" t="s">
        <v>67</v>
      </c>
      <c r="E3629" t="s">
        <v>67</v>
      </c>
      <c r="F3629" t="s">
        <v>49</v>
      </c>
      <c r="G3629" s="117">
        <v>3.48</v>
      </c>
    </row>
    <row r="3630" spans="1:7" x14ac:dyDescent="0.25">
      <c r="A3630" s="116" t="s">
        <v>5574</v>
      </c>
      <c r="B3630" s="117" t="s">
        <v>5575</v>
      </c>
      <c r="C3630" t="s">
        <v>67</v>
      </c>
      <c r="D3630" t="s">
        <v>67</v>
      </c>
      <c r="E3630" t="s">
        <v>67</v>
      </c>
      <c r="F3630" t="s">
        <v>45</v>
      </c>
      <c r="G3630" s="117">
        <v>0.44</v>
      </c>
    </row>
    <row r="3631" spans="1:7" x14ac:dyDescent="0.25">
      <c r="A3631" s="116" t="s">
        <v>5576</v>
      </c>
      <c r="B3631" s="117" t="s">
        <v>5577</v>
      </c>
      <c r="C3631" t="s">
        <v>67</v>
      </c>
      <c r="D3631" t="s">
        <v>67</v>
      </c>
      <c r="E3631" t="s">
        <v>67</v>
      </c>
      <c r="F3631" t="s">
        <v>27987</v>
      </c>
      <c r="G3631" s="117">
        <v>0.44</v>
      </c>
    </row>
    <row r="3632" spans="1:7" x14ac:dyDescent="0.25">
      <c r="A3632" s="116" t="s">
        <v>5578</v>
      </c>
      <c r="B3632" s="117" t="s">
        <v>5579</v>
      </c>
      <c r="C3632" t="s">
        <v>67</v>
      </c>
      <c r="D3632" t="s">
        <v>67</v>
      </c>
      <c r="E3632" t="s">
        <v>67</v>
      </c>
      <c r="F3632" t="s">
        <v>27987</v>
      </c>
      <c r="G3632" s="117">
        <v>0.44</v>
      </c>
    </row>
    <row r="3633" spans="1:7" x14ac:dyDescent="0.25">
      <c r="A3633" s="116" t="s">
        <v>5580</v>
      </c>
      <c r="B3633" s="117" t="s">
        <v>5581</v>
      </c>
      <c r="C3633" t="s">
        <v>67</v>
      </c>
      <c r="D3633" t="s">
        <v>67</v>
      </c>
      <c r="E3633" t="s">
        <v>67</v>
      </c>
      <c r="F3633" t="s">
        <v>45</v>
      </c>
      <c r="G3633" s="117">
        <v>20.02</v>
      </c>
    </row>
    <row r="3634" spans="1:7" x14ac:dyDescent="0.25">
      <c r="A3634" s="116" t="s">
        <v>5582</v>
      </c>
      <c r="B3634" s="117" t="s">
        <v>5577</v>
      </c>
      <c r="C3634" t="s">
        <v>67</v>
      </c>
      <c r="D3634" t="s">
        <v>67</v>
      </c>
      <c r="E3634" t="s">
        <v>67</v>
      </c>
      <c r="F3634" t="s">
        <v>51</v>
      </c>
      <c r="G3634" s="117">
        <v>3.12</v>
      </c>
    </row>
    <row r="3635" spans="1:7" x14ac:dyDescent="0.25">
      <c r="A3635" s="116" t="s">
        <v>5583</v>
      </c>
      <c r="B3635" s="117" t="s">
        <v>5584</v>
      </c>
      <c r="C3635" t="s">
        <v>67</v>
      </c>
      <c r="D3635" t="s">
        <v>67</v>
      </c>
      <c r="E3635" t="s">
        <v>67</v>
      </c>
      <c r="F3635" t="s">
        <v>49</v>
      </c>
      <c r="G3635" s="117">
        <v>18.600000000000001</v>
      </c>
    </row>
    <row r="3636" spans="1:7" x14ac:dyDescent="0.25">
      <c r="A3636" s="116" t="s">
        <v>5585</v>
      </c>
      <c r="B3636" s="117" t="s">
        <v>5586</v>
      </c>
      <c r="C3636" t="s">
        <v>67</v>
      </c>
      <c r="D3636" t="s">
        <v>67</v>
      </c>
      <c r="E3636" t="s">
        <v>67</v>
      </c>
      <c r="F3636" t="s">
        <v>49</v>
      </c>
      <c r="G3636" s="117">
        <v>0.8</v>
      </c>
    </row>
    <row r="3637" spans="1:7" x14ac:dyDescent="0.25">
      <c r="A3637" s="116" t="s">
        <v>5587</v>
      </c>
      <c r="B3637" s="117" t="s">
        <v>5588</v>
      </c>
      <c r="C3637" t="s">
        <v>67</v>
      </c>
      <c r="D3637" t="s">
        <v>67</v>
      </c>
      <c r="E3637" t="s">
        <v>67</v>
      </c>
      <c r="F3637" t="s">
        <v>51</v>
      </c>
      <c r="G3637" s="117">
        <v>9.35</v>
      </c>
    </row>
    <row r="3638" spans="1:7" x14ac:dyDescent="0.25">
      <c r="A3638" s="116" t="s">
        <v>5589</v>
      </c>
      <c r="B3638" s="117" t="s">
        <v>5590</v>
      </c>
      <c r="C3638" t="s">
        <v>67</v>
      </c>
      <c r="D3638" t="s">
        <v>67</v>
      </c>
      <c r="E3638" t="s">
        <v>67</v>
      </c>
      <c r="F3638" t="s">
        <v>27987</v>
      </c>
      <c r="G3638" s="117">
        <v>2.67</v>
      </c>
    </row>
    <row r="3639" spans="1:7" x14ac:dyDescent="0.25">
      <c r="A3639" s="116" t="s">
        <v>5591</v>
      </c>
      <c r="B3639" s="117" t="s">
        <v>5592</v>
      </c>
      <c r="C3639" t="s">
        <v>67</v>
      </c>
      <c r="D3639" t="s">
        <v>67</v>
      </c>
      <c r="E3639" t="s">
        <v>67</v>
      </c>
      <c r="F3639" t="s">
        <v>27987</v>
      </c>
      <c r="G3639" s="117">
        <v>5.25</v>
      </c>
    </row>
    <row r="3640" spans="1:7" x14ac:dyDescent="0.25">
      <c r="A3640" s="116" t="s">
        <v>5593</v>
      </c>
      <c r="B3640" s="117" t="s">
        <v>5594</v>
      </c>
      <c r="C3640" t="s">
        <v>67</v>
      </c>
      <c r="D3640" t="s">
        <v>67</v>
      </c>
      <c r="E3640" t="s">
        <v>67</v>
      </c>
      <c r="F3640" t="s">
        <v>45</v>
      </c>
      <c r="G3640" s="117">
        <v>1.69</v>
      </c>
    </row>
    <row r="3641" spans="1:7" x14ac:dyDescent="0.25">
      <c r="A3641" s="116" t="s">
        <v>5595</v>
      </c>
      <c r="B3641" s="117" t="s">
        <v>5596</v>
      </c>
      <c r="C3641" t="s">
        <v>67</v>
      </c>
      <c r="D3641" t="s">
        <v>67</v>
      </c>
      <c r="E3641" t="s">
        <v>67</v>
      </c>
      <c r="F3641" t="s">
        <v>49</v>
      </c>
      <c r="G3641" s="117">
        <v>1.69</v>
      </c>
    </row>
    <row r="3642" spans="1:7" x14ac:dyDescent="0.25">
      <c r="A3642" s="116" t="s">
        <v>5597</v>
      </c>
      <c r="B3642" s="117" t="s">
        <v>5598</v>
      </c>
      <c r="C3642" t="s">
        <v>67</v>
      </c>
      <c r="D3642" t="s">
        <v>67</v>
      </c>
      <c r="E3642" t="s">
        <v>67</v>
      </c>
      <c r="F3642" t="s">
        <v>45</v>
      </c>
      <c r="G3642" s="117">
        <v>20.38</v>
      </c>
    </row>
    <row r="3643" spans="1:7" x14ac:dyDescent="0.25">
      <c r="A3643" s="116" t="s">
        <v>5599</v>
      </c>
      <c r="B3643" s="117" t="s">
        <v>5600</v>
      </c>
      <c r="C3643" t="s">
        <v>67</v>
      </c>
      <c r="D3643" t="s">
        <v>67</v>
      </c>
      <c r="E3643" t="s">
        <v>67</v>
      </c>
      <c r="F3643" t="s">
        <v>27987</v>
      </c>
      <c r="G3643" s="117">
        <v>9.6999999999999993</v>
      </c>
    </row>
    <row r="3644" spans="1:7" x14ac:dyDescent="0.25">
      <c r="A3644" s="116" t="s">
        <v>5601</v>
      </c>
      <c r="B3644" s="117" t="s">
        <v>5602</v>
      </c>
      <c r="C3644" t="s">
        <v>67</v>
      </c>
      <c r="D3644" t="s">
        <v>67</v>
      </c>
      <c r="E3644" t="s">
        <v>67</v>
      </c>
      <c r="F3644" t="s">
        <v>49</v>
      </c>
      <c r="G3644" s="117">
        <v>15.57</v>
      </c>
    </row>
    <row r="3645" spans="1:7" x14ac:dyDescent="0.25">
      <c r="A3645" s="116" t="s">
        <v>5603</v>
      </c>
      <c r="B3645" s="117" t="s">
        <v>5604</v>
      </c>
      <c r="C3645" t="s">
        <v>67</v>
      </c>
      <c r="D3645" t="s">
        <v>67</v>
      </c>
      <c r="E3645" t="s">
        <v>67</v>
      </c>
      <c r="F3645" t="s">
        <v>45</v>
      </c>
      <c r="G3645" s="117">
        <v>32.479999999999997</v>
      </c>
    </row>
    <row r="3646" spans="1:7" x14ac:dyDescent="0.25">
      <c r="A3646" s="116" t="s">
        <v>28628</v>
      </c>
      <c r="B3646" s="117" t="s">
        <v>28629</v>
      </c>
      <c r="C3646" t="s">
        <v>67</v>
      </c>
      <c r="D3646" t="s">
        <v>67</v>
      </c>
      <c r="E3646" t="s">
        <v>67</v>
      </c>
      <c r="F3646" t="s">
        <v>45</v>
      </c>
      <c r="G3646" s="117">
        <v>0</v>
      </c>
    </row>
    <row r="3647" spans="1:7" x14ac:dyDescent="0.25">
      <c r="A3647" s="116" t="s">
        <v>5605</v>
      </c>
      <c r="B3647" s="117" t="s">
        <v>5606</v>
      </c>
      <c r="C3647" t="s">
        <v>67</v>
      </c>
      <c r="D3647" t="s">
        <v>67</v>
      </c>
      <c r="E3647" t="s">
        <v>67</v>
      </c>
      <c r="F3647" t="s">
        <v>27987</v>
      </c>
      <c r="G3647" s="117">
        <v>0.44</v>
      </c>
    </row>
    <row r="3648" spans="1:7" x14ac:dyDescent="0.25">
      <c r="A3648" s="116" t="s">
        <v>5607</v>
      </c>
      <c r="B3648" s="117" t="s">
        <v>5608</v>
      </c>
      <c r="C3648" t="s">
        <v>67</v>
      </c>
      <c r="D3648" t="s">
        <v>67</v>
      </c>
      <c r="E3648" t="s">
        <v>67</v>
      </c>
      <c r="F3648" t="s">
        <v>27987</v>
      </c>
      <c r="G3648" s="117">
        <v>4.3600000000000003</v>
      </c>
    </row>
    <row r="3649" spans="1:7" x14ac:dyDescent="0.25">
      <c r="A3649" s="116" t="s">
        <v>5609</v>
      </c>
      <c r="B3649" s="117" t="s">
        <v>5610</v>
      </c>
      <c r="C3649" t="s">
        <v>67</v>
      </c>
      <c r="D3649" t="s">
        <v>67</v>
      </c>
      <c r="E3649" t="s">
        <v>67</v>
      </c>
      <c r="F3649" t="s">
        <v>51</v>
      </c>
      <c r="G3649" s="117">
        <v>0.8</v>
      </c>
    </row>
    <row r="3650" spans="1:7" x14ac:dyDescent="0.25">
      <c r="A3650" s="116" t="s">
        <v>5611</v>
      </c>
      <c r="B3650" s="117" t="s">
        <v>5612</v>
      </c>
      <c r="C3650" t="s">
        <v>67</v>
      </c>
      <c r="D3650" t="s">
        <v>67</v>
      </c>
      <c r="E3650" t="s">
        <v>67</v>
      </c>
      <c r="F3650" t="s">
        <v>27987</v>
      </c>
      <c r="G3650" s="117">
        <v>0.44</v>
      </c>
    </row>
    <row r="3651" spans="1:7" x14ac:dyDescent="0.25">
      <c r="A3651" s="116" t="s">
        <v>5613</v>
      </c>
      <c r="B3651" s="117" t="s">
        <v>5610</v>
      </c>
      <c r="C3651" t="s">
        <v>67</v>
      </c>
      <c r="D3651" t="s">
        <v>67</v>
      </c>
      <c r="E3651" t="s">
        <v>67</v>
      </c>
      <c r="F3651" t="s">
        <v>45</v>
      </c>
      <c r="G3651" s="117">
        <v>3.12</v>
      </c>
    </row>
    <row r="3652" spans="1:7" x14ac:dyDescent="0.25">
      <c r="A3652" s="116" t="s">
        <v>5614</v>
      </c>
      <c r="B3652" s="117" t="s">
        <v>5615</v>
      </c>
      <c r="C3652" t="s">
        <v>67</v>
      </c>
      <c r="D3652" t="s">
        <v>67</v>
      </c>
      <c r="E3652" t="s">
        <v>67</v>
      </c>
      <c r="F3652" t="s">
        <v>45</v>
      </c>
      <c r="G3652" s="117">
        <v>25.36</v>
      </c>
    </row>
    <row r="3653" spans="1:7" x14ac:dyDescent="0.25">
      <c r="A3653" s="116" t="s">
        <v>5616</v>
      </c>
      <c r="B3653" s="117" t="s">
        <v>5600</v>
      </c>
      <c r="C3653" t="s">
        <v>67</v>
      </c>
      <c r="D3653" t="s">
        <v>67</v>
      </c>
      <c r="E3653" t="s">
        <v>67</v>
      </c>
      <c r="F3653" t="s">
        <v>49</v>
      </c>
      <c r="G3653" s="117">
        <v>7.92</v>
      </c>
    </row>
    <row r="3654" spans="1:7" x14ac:dyDescent="0.25">
      <c r="A3654" s="116" t="s">
        <v>5617</v>
      </c>
      <c r="B3654" s="117" t="s">
        <v>5618</v>
      </c>
      <c r="C3654" t="s">
        <v>67</v>
      </c>
      <c r="D3654" t="s">
        <v>67</v>
      </c>
      <c r="E3654" t="s">
        <v>67</v>
      </c>
      <c r="F3654" t="s">
        <v>27987</v>
      </c>
      <c r="G3654" s="117">
        <v>8.4499999999999993</v>
      </c>
    </row>
    <row r="3655" spans="1:7" x14ac:dyDescent="0.25">
      <c r="A3655" s="116" t="s">
        <v>5619</v>
      </c>
      <c r="B3655" s="117" t="s">
        <v>5620</v>
      </c>
      <c r="C3655" t="s">
        <v>67</v>
      </c>
      <c r="D3655" t="s">
        <v>67</v>
      </c>
      <c r="E3655" t="s">
        <v>67</v>
      </c>
      <c r="F3655" t="s">
        <v>51</v>
      </c>
      <c r="G3655" s="117">
        <v>4.8899999999999997</v>
      </c>
    </row>
    <row r="3656" spans="1:7" x14ac:dyDescent="0.25">
      <c r="A3656" s="116" t="s">
        <v>5621</v>
      </c>
      <c r="B3656" s="117" t="s">
        <v>5622</v>
      </c>
      <c r="C3656" t="s">
        <v>67</v>
      </c>
      <c r="D3656" t="s">
        <v>67</v>
      </c>
      <c r="E3656" t="s">
        <v>67</v>
      </c>
      <c r="F3656" t="s">
        <v>27990</v>
      </c>
      <c r="G3656" s="117">
        <v>7.56</v>
      </c>
    </row>
    <row r="3657" spans="1:7" x14ac:dyDescent="0.25">
      <c r="A3657" s="116" t="s">
        <v>5623</v>
      </c>
      <c r="B3657" s="117" t="s">
        <v>5624</v>
      </c>
      <c r="C3657" t="s">
        <v>67</v>
      </c>
      <c r="D3657" t="s">
        <v>67</v>
      </c>
      <c r="E3657" t="s">
        <v>67</v>
      </c>
      <c r="F3657" t="s">
        <v>45</v>
      </c>
      <c r="G3657" s="117">
        <v>0.13</v>
      </c>
    </row>
    <row r="3658" spans="1:7" x14ac:dyDescent="0.25">
      <c r="A3658" s="116" t="s">
        <v>5625</v>
      </c>
      <c r="B3658" s="117" t="s">
        <v>5626</v>
      </c>
      <c r="C3658" t="s">
        <v>67</v>
      </c>
      <c r="D3658" t="s">
        <v>67</v>
      </c>
      <c r="E3658" t="s">
        <v>67</v>
      </c>
      <c r="F3658" t="s">
        <v>27990</v>
      </c>
      <c r="G3658" s="117">
        <v>6.68</v>
      </c>
    </row>
    <row r="3659" spans="1:7" x14ac:dyDescent="0.25">
      <c r="A3659" s="116" t="s">
        <v>5627</v>
      </c>
      <c r="B3659" s="117" t="s">
        <v>5628</v>
      </c>
      <c r="C3659" t="s">
        <v>67</v>
      </c>
      <c r="D3659" t="s">
        <v>67</v>
      </c>
      <c r="E3659" t="s">
        <v>67</v>
      </c>
      <c r="F3659" t="s">
        <v>27987</v>
      </c>
      <c r="G3659" s="117">
        <v>1.69</v>
      </c>
    </row>
    <row r="3660" spans="1:7" x14ac:dyDescent="0.25">
      <c r="A3660" s="116" t="s">
        <v>5629</v>
      </c>
      <c r="B3660" s="117" t="s">
        <v>5630</v>
      </c>
      <c r="C3660" t="s">
        <v>67</v>
      </c>
      <c r="D3660" t="s">
        <v>67</v>
      </c>
      <c r="E3660" t="s">
        <v>67</v>
      </c>
      <c r="F3660" t="s">
        <v>27987</v>
      </c>
      <c r="G3660" s="117">
        <v>19.13</v>
      </c>
    </row>
    <row r="3661" spans="1:7" x14ac:dyDescent="0.25">
      <c r="A3661" s="116" t="s">
        <v>5631</v>
      </c>
      <c r="B3661" s="117" t="s">
        <v>5628</v>
      </c>
      <c r="C3661" t="s">
        <v>67</v>
      </c>
      <c r="D3661" t="s">
        <v>67</v>
      </c>
      <c r="E3661" t="s">
        <v>67</v>
      </c>
      <c r="F3661" t="s">
        <v>27987</v>
      </c>
      <c r="G3661" s="117">
        <v>0.44</v>
      </c>
    </row>
    <row r="3662" spans="1:7" x14ac:dyDescent="0.25">
      <c r="A3662" s="116" t="s">
        <v>5632</v>
      </c>
      <c r="B3662" s="117" t="s">
        <v>5633</v>
      </c>
      <c r="C3662" t="s">
        <v>67</v>
      </c>
      <c r="D3662" t="s">
        <v>67</v>
      </c>
      <c r="E3662" t="s">
        <v>67</v>
      </c>
      <c r="F3662" t="s">
        <v>27987</v>
      </c>
      <c r="G3662" s="117">
        <v>0.5</v>
      </c>
    </row>
    <row r="3663" spans="1:7" x14ac:dyDescent="0.25">
      <c r="A3663" s="116" t="s">
        <v>5634</v>
      </c>
      <c r="B3663" s="117" t="s">
        <v>5635</v>
      </c>
      <c r="C3663" t="s">
        <v>67</v>
      </c>
      <c r="D3663" t="s">
        <v>67</v>
      </c>
      <c r="E3663" t="s">
        <v>67</v>
      </c>
      <c r="F3663" t="s">
        <v>49</v>
      </c>
      <c r="G3663" s="117">
        <v>3.81</v>
      </c>
    </row>
    <row r="3664" spans="1:7" x14ac:dyDescent="0.25">
      <c r="A3664" s="116" t="s">
        <v>5636</v>
      </c>
      <c r="B3664" s="117" t="s">
        <v>5637</v>
      </c>
      <c r="C3664" t="s">
        <v>67</v>
      </c>
      <c r="D3664" t="s">
        <v>67</v>
      </c>
      <c r="E3664" t="s">
        <v>67</v>
      </c>
      <c r="F3664" t="s">
        <v>49</v>
      </c>
      <c r="G3664" s="117">
        <v>10.24</v>
      </c>
    </row>
    <row r="3665" spans="1:7" x14ac:dyDescent="0.25">
      <c r="A3665" s="116" t="s">
        <v>5638</v>
      </c>
      <c r="B3665" s="117" t="s">
        <v>5639</v>
      </c>
      <c r="C3665" t="s">
        <v>67</v>
      </c>
      <c r="D3665" t="s">
        <v>67</v>
      </c>
      <c r="E3665" t="s">
        <v>67</v>
      </c>
      <c r="F3665" t="s">
        <v>27990</v>
      </c>
      <c r="G3665" s="117">
        <v>0.51</v>
      </c>
    </row>
    <row r="3666" spans="1:7" x14ac:dyDescent="0.25">
      <c r="A3666" s="116" t="s">
        <v>5640</v>
      </c>
      <c r="B3666" s="117" t="s">
        <v>5641</v>
      </c>
      <c r="C3666" t="s">
        <v>67</v>
      </c>
      <c r="D3666" t="s">
        <v>67</v>
      </c>
      <c r="E3666" t="s">
        <v>67</v>
      </c>
      <c r="F3666" t="s">
        <v>49</v>
      </c>
      <c r="G3666" s="117">
        <v>0.44</v>
      </c>
    </row>
    <row r="3667" spans="1:7" x14ac:dyDescent="0.25">
      <c r="A3667" s="116" t="s">
        <v>5642</v>
      </c>
      <c r="B3667" s="117" t="s">
        <v>5628</v>
      </c>
      <c r="C3667" t="s">
        <v>67</v>
      </c>
      <c r="D3667" t="s">
        <v>67</v>
      </c>
      <c r="E3667" t="s">
        <v>67</v>
      </c>
      <c r="F3667" t="s">
        <v>27990</v>
      </c>
      <c r="G3667" s="117">
        <v>2.23</v>
      </c>
    </row>
    <row r="3668" spans="1:7" x14ac:dyDescent="0.25">
      <c r="A3668" s="116" t="s">
        <v>5643</v>
      </c>
      <c r="B3668" s="117" t="s">
        <v>5644</v>
      </c>
      <c r="C3668" t="s">
        <v>67</v>
      </c>
      <c r="D3668" t="s">
        <v>67</v>
      </c>
      <c r="E3668" t="s">
        <v>67</v>
      </c>
      <c r="F3668" t="s">
        <v>49</v>
      </c>
      <c r="G3668" s="117">
        <v>2.58</v>
      </c>
    </row>
    <row r="3669" spans="1:7" x14ac:dyDescent="0.25">
      <c r="A3669" s="116" t="s">
        <v>5645</v>
      </c>
      <c r="B3669" s="117" t="s">
        <v>5646</v>
      </c>
      <c r="C3669" t="s">
        <v>67</v>
      </c>
      <c r="D3669" t="s">
        <v>67</v>
      </c>
      <c r="E3669" t="s">
        <v>67</v>
      </c>
      <c r="F3669" t="s">
        <v>27987</v>
      </c>
      <c r="G3669" s="117">
        <v>26.25</v>
      </c>
    </row>
    <row r="3670" spans="1:7" x14ac:dyDescent="0.25">
      <c r="A3670" s="116" t="s">
        <v>5647</v>
      </c>
      <c r="B3670" s="117" t="s">
        <v>5648</v>
      </c>
      <c r="C3670" t="s">
        <v>67</v>
      </c>
      <c r="D3670" t="s">
        <v>67</v>
      </c>
      <c r="E3670" t="s">
        <v>67</v>
      </c>
      <c r="F3670" t="s">
        <v>45</v>
      </c>
      <c r="G3670" s="117">
        <v>0.59</v>
      </c>
    </row>
    <row r="3671" spans="1:7" x14ac:dyDescent="0.25">
      <c r="A3671" s="116" t="s">
        <v>5649</v>
      </c>
      <c r="B3671" s="117" t="s">
        <v>5807</v>
      </c>
      <c r="C3671" t="s">
        <v>67</v>
      </c>
      <c r="D3671" t="s">
        <v>67</v>
      </c>
      <c r="E3671" t="s">
        <v>67</v>
      </c>
      <c r="F3671" t="s">
        <v>51</v>
      </c>
      <c r="G3671" s="117">
        <v>12.01</v>
      </c>
    </row>
    <row r="3672" spans="1:7" x14ac:dyDescent="0.25">
      <c r="A3672" s="116" t="s">
        <v>5650</v>
      </c>
      <c r="B3672" s="117" t="s">
        <v>5651</v>
      </c>
      <c r="C3672" t="s">
        <v>67</v>
      </c>
      <c r="D3672" t="s">
        <v>67</v>
      </c>
      <c r="E3672" t="s">
        <v>67</v>
      </c>
      <c r="F3672" t="s">
        <v>27987</v>
      </c>
      <c r="G3672" s="117">
        <v>12.01</v>
      </c>
    </row>
    <row r="3673" spans="1:7" x14ac:dyDescent="0.25">
      <c r="A3673" s="116" t="s">
        <v>5652</v>
      </c>
      <c r="B3673" s="117" t="s">
        <v>5653</v>
      </c>
      <c r="C3673" t="s">
        <v>67</v>
      </c>
      <c r="D3673" t="s">
        <v>67</v>
      </c>
      <c r="E3673" t="s">
        <v>67</v>
      </c>
      <c r="F3673" t="s">
        <v>27987</v>
      </c>
      <c r="G3673" s="117">
        <v>3.12</v>
      </c>
    </row>
    <row r="3674" spans="1:7" x14ac:dyDescent="0.25">
      <c r="A3674" s="116" t="s">
        <v>5654</v>
      </c>
      <c r="B3674" s="117" t="s">
        <v>5655</v>
      </c>
      <c r="C3674" t="s">
        <v>67</v>
      </c>
      <c r="D3674" t="s">
        <v>67</v>
      </c>
      <c r="E3674" t="s">
        <v>67</v>
      </c>
      <c r="F3674" t="s">
        <v>49</v>
      </c>
      <c r="G3674" s="117">
        <v>0.8</v>
      </c>
    </row>
    <row r="3675" spans="1:7" x14ac:dyDescent="0.25">
      <c r="A3675" s="116" t="s">
        <v>5656</v>
      </c>
      <c r="B3675" s="117" t="s">
        <v>5657</v>
      </c>
      <c r="C3675" t="s">
        <v>67</v>
      </c>
      <c r="D3675" t="s">
        <v>67</v>
      </c>
      <c r="E3675" t="s">
        <v>67</v>
      </c>
      <c r="F3675" t="s">
        <v>45</v>
      </c>
      <c r="G3675" s="117">
        <v>0.8</v>
      </c>
    </row>
    <row r="3676" spans="1:7" x14ac:dyDescent="0.25">
      <c r="A3676" s="116" t="s">
        <v>5658</v>
      </c>
      <c r="B3676" s="117" t="s">
        <v>5659</v>
      </c>
      <c r="C3676" t="s">
        <v>67</v>
      </c>
      <c r="D3676" t="s">
        <v>67</v>
      </c>
      <c r="E3676" t="s">
        <v>67</v>
      </c>
      <c r="F3676" t="s">
        <v>27987</v>
      </c>
      <c r="G3676" s="117">
        <v>3.48</v>
      </c>
    </row>
    <row r="3677" spans="1:7" x14ac:dyDescent="0.25">
      <c r="A3677" s="116" t="s">
        <v>5660</v>
      </c>
      <c r="B3677" s="117" t="s">
        <v>5655</v>
      </c>
      <c r="C3677" t="s">
        <v>67</v>
      </c>
      <c r="D3677" t="s">
        <v>67</v>
      </c>
      <c r="E3677" t="s">
        <v>67</v>
      </c>
      <c r="F3677" t="s">
        <v>51</v>
      </c>
      <c r="G3677" s="117">
        <v>4.45</v>
      </c>
    </row>
    <row r="3678" spans="1:7" x14ac:dyDescent="0.25">
      <c r="A3678" s="116" t="s">
        <v>5661</v>
      </c>
      <c r="B3678" s="117" t="s">
        <v>5662</v>
      </c>
      <c r="C3678" t="s">
        <v>67</v>
      </c>
      <c r="D3678" t="s">
        <v>67</v>
      </c>
      <c r="E3678" t="s">
        <v>67</v>
      </c>
      <c r="F3678" t="s">
        <v>49</v>
      </c>
      <c r="G3678" s="117">
        <v>1.33</v>
      </c>
    </row>
    <row r="3679" spans="1:7" x14ac:dyDescent="0.25">
      <c r="A3679" s="116" t="s">
        <v>5663</v>
      </c>
      <c r="B3679" s="117" t="s">
        <v>5664</v>
      </c>
      <c r="C3679" t="s">
        <v>67</v>
      </c>
      <c r="D3679" t="s">
        <v>67</v>
      </c>
      <c r="E3679" t="s">
        <v>67</v>
      </c>
      <c r="F3679" t="s">
        <v>51</v>
      </c>
      <c r="G3679" s="117">
        <v>19.07</v>
      </c>
    </row>
    <row r="3680" spans="1:7" x14ac:dyDescent="0.25">
      <c r="A3680" s="116" t="s">
        <v>5665</v>
      </c>
      <c r="B3680" s="117" t="s">
        <v>5666</v>
      </c>
      <c r="C3680" t="s">
        <v>67</v>
      </c>
      <c r="D3680" t="s">
        <v>67</v>
      </c>
      <c r="E3680" t="s">
        <v>67</v>
      </c>
      <c r="F3680" t="s">
        <v>27987</v>
      </c>
      <c r="G3680" s="117">
        <v>4.8899999999999997</v>
      </c>
    </row>
    <row r="3681" spans="1:7" x14ac:dyDescent="0.25">
      <c r="A3681" s="116" t="s">
        <v>5667</v>
      </c>
      <c r="B3681" s="117" t="s">
        <v>5668</v>
      </c>
      <c r="C3681" t="s">
        <v>67</v>
      </c>
      <c r="D3681" t="s">
        <v>67</v>
      </c>
      <c r="E3681" t="s">
        <v>67</v>
      </c>
      <c r="F3681" t="s">
        <v>27987</v>
      </c>
      <c r="G3681" s="117">
        <v>15.04</v>
      </c>
    </row>
    <row r="3682" spans="1:7" x14ac:dyDescent="0.25">
      <c r="A3682" s="116" t="s">
        <v>5669</v>
      </c>
      <c r="B3682" s="117" t="s">
        <v>5670</v>
      </c>
      <c r="C3682" t="s">
        <v>67</v>
      </c>
      <c r="D3682" t="s">
        <v>67</v>
      </c>
      <c r="E3682" t="s">
        <v>67</v>
      </c>
      <c r="F3682" t="s">
        <v>51</v>
      </c>
      <c r="G3682" s="117">
        <v>4.3600000000000003</v>
      </c>
    </row>
    <row r="3683" spans="1:7" x14ac:dyDescent="0.25">
      <c r="A3683" s="116" t="s">
        <v>5671</v>
      </c>
      <c r="B3683" s="117" t="s">
        <v>5672</v>
      </c>
      <c r="C3683" t="s">
        <v>67</v>
      </c>
      <c r="D3683" t="s">
        <v>67</v>
      </c>
      <c r="E3683" t="s">
        <v>67</v>
      </c>
      <c r="F3683" t="s">
        <v>27987</v>
      </c>
      <c r="G3683" s="117">
        <v>12.01</v>
      </c>
    </row>
    <row r="3684" spans="1:7" x14ac:dyDescent="0.25">
      <c r="A3684" s="116" t="s">
        <v>5673</v>
      </c>
      <c r="B3684" s="117" t="s">
        <v>5674</v>
      </c>
      <c r="C3684" t="s">
        <v>67</v>
      </c>
      <c r="D3684" t="s">
        <v>67</v>
      </c>
      <c r="E3684" t="s">
        <v>67</v>
      </c>
      <c r="F3684" t="s">
        <v>27987</v>
      </c>
      <c r="G3684" s="117">
        <v>0.8</v>
      </c>
    </row>
    <row r="3685" spans="1:7" x14ac:dyDescent="0.25">
      <c r="A3685" s="116" t="s">
        <v>5675</v>
      </c>
      <c r="B3685" s="117" t="s">
        <v>5676</v>
      </c>
      <c r="C3685" t="s">
        <v>67</v>
      </c>
      <c r="D3685" t="s">
        <v>67</v>
      </c>
      <c r="E3685" t="s">
        <v>67</v>
      </c>
      <c r="F3685" t="s">
        <v>51</v>
      </c>
      <c r="G3685" s="117">
        <v>0.76</v>
      </c>
    </row>
    <row r="3686" spans="1:7" x14ac:dyDescent="0.25">
      <c r="A3686" s="116" t="s">
        <v>28630</v>
      </c>
      <c r="B3686" s="117" t="s">
        <v>5674</v>
      </c>
      <c r="C3686" t="s">
        <v>67</v>
      </c>
      <c r="D3686" t="s">
        <v>67</v>
      </c>
      <c r="E3686" t="s">
        <v>67</v>
      </c>
      <c r="F3686" t="s">
        <v>27987</v>
      </c>
      <c r="G3686" s="117">
        <v>0.5</v>
      </c>
    </row>
    <row r="3687" spans="1:7" x14ac:dyDescent="0.25">
      <c r="A3687" s="116" t="s">
        <v>5677</v>
      </c>
      <c r="B3687" s="117" t="s">
        <v>5678</v>
      </c>
      <c r="C3687" t="s">
        <v>67</v>
      </c>
      <c r="D3687" t="s">
        <v>67</v>
      </c>
      <c r="E3687" t="s">
        <v>67</v>
      </c>
      <c r="F3687" t="s">
        <v>27987</v>
      </c>
      <c r="G3687" s="117">
        <v>31.94</v>
      </c>
    </row>
    <row r="3688" spans="1:7" x14ac:dyDescent="0.25">
      <c r="A3688" s="116" t="s">
        <v>5679</v>
      </c>
      <c r="B3688" s="117" t="s">
        <v>5680</v>
      </c>
      <c r="C3688" t="s">
        <v>67</v>
      </c>
      <c r="D3688" t="s">
        <v>67</v>
      </c>
      <c r="E3688" t="s">
        <v>67</v>
      </c>
      <c r="F3688" t="s">
        <v>51</v>
      </c>
      <c r="G3688" s="117">
        <v>3.56</v>
      </c>
    </row>
    <row r="3689" spans="1:7" x14ac:dyDescent="0.25">
      <c r="A3689" s="116" t="s">
        <v>5681</v>
      </c>
      <c r="B3689" s="117" t="s">
        <v>5676</v>
      </c>
      <c r="C3689" t="s">
        <v>67</v>
      </c>
      <c r="D3689" t="s">
        <v>67</v>
      </c>
      <c r="E3689" t="s">
        <v>67</v>
      </c>
      <c r="F3689" t="s">
        <v>49</v>
      </c>
      <c r="G3689" s="117">
        <v>0.76</v>
      </c>
    </row>
    <row r="3690" spans="1:7" x14ac:dyDescent="0.25">
      <c r="A3690" s="116" t="s">
        <v>5682</v>
      </c>
      <c r="B3690" s="117" t="s">
        <v>5674</v>
      </c>
      <c r="C3690" t="s">
        <v>67</v>
      </c>
      <c r="D3690" t="s">
        <v>67</v>
      </c>
      <c r="E3690" t="s">
        <v>67</v>
      </c>
      <c r="F3690" t="s">
        <v>27987</v>
      </c>
      <c r="G3690" s="117">
        <v>0.89</v>
      </c>
    </row>
    <row r="3691" spans="1:7" x14ac:dyDescent="0.25">
      <c r="A3691" s="116" t="s">
        <v>5683</v>
      </c>
      <c r="B3691" s="117" t="s">
        <v>5676</v>
      </c>
      <c r="C3691" t="s">
        <v>67</v>
      </c>
      <c r="D3691" t="s">
        <v>67</v>
      </c>
      <c r="E3691" t="s">
        <v>67</v>
      </c>
      <c r="F3691" t="s">
        <v>49</v>
      </c>
      <c r="G3691" s="117">
        <v>0.44</v>
      </c>
    </row>
    <row r="3692" spans="1:7" x14ac:dyDescent="0.25">
      <c r="A3692" s="116" t="s">
        <v>5684</v>
      </c>
      <c r="B3692" s="117" t="s">
        <v>5685</v>
      </c>
      <c r="C3692" t="s">
        <v>67</v>
      </c>
      <c r="D3692" t="s">
        <v>67</v>
      </c>
      <c r="E3692" t="s">
        <v>67</v>
      </c>
      <c r="F3692" t="s">
        <v>49</v>
      </c>
      <c r="G3692" s="117">
        <v>12.01</v>
      </c>
    </row>
    <row r="3693" spans="1:7" x14ac:dyDescent="0.25">
      <c r="A3693" s="116" t="s">
        <v>5686</v>
      </c>
      <c r="B3693" s="117" t="s">
        <v>5687</v>
      </c>
      <c r="C3693" t="s">
        <v>67</v>
      </c>
      <c r="D3693" t="s">
        <v>67</v>
      </c>
      <c r="E3693" t="s">
        <v>67</v>
      </c>
      <c r="F3693" t="s">
        <v>27990</v>
      </c>
      <c r="G3693" s="117">
        <v>7.92</v>
      </c>
    </row>
    <row r="3694" spans="1:7" x14ac:dyDescent="0.25">
      <c r="A3694" s="116" t="s">
        <v>5688</v>
      </c>
      <c r="B3694" s="117" t="s">
        <v>5689</v>
      </c>
      <c r="C3694" t="s">
        <v>67</v>
      </c>
      <c r="D3694" t="s">
        <v>67</v>
      </c>
      <c r="E3694" t="s">
        <v>67</v>
      </c>
      <c r="F3694" t="s">
        <v>27987</v>
      </c>
      <c r="G3694" s="117">
        <v>1.77</v>
      </c>
    </row>
    <row r="3695" spans="1:7" x14ac:dyDescent="0.25">
      <c r="A3695" s="116" t="s">
        <v>5690</v>
      </c>
      <c r="B3695" s="117" t="s">
        <v>5691</v>
      </c>
      <c r="C3695" t="s">
        <v>67</v>
      </c>
      <c r="D3695" t="s">
        <v>67</v>
      </c>
      <c r="E3695" t="s">
        <v>67</v>
      </c>
      <c r="F3695" t="s">
        <v>51</v>
      </c>
      <c r="G3695" s="117">
        <v>10.08</v>
      </c>
    </row>
    <row r="3696" spans="1:7" x14ac:dyDescent="0.25">
      <c r="A3696" s="116" t="s">
        <v>5692</v>
      </c>
      <c r="B3696" s="117" t="s">
        <v>5693</v>
      </c>
      <c r="C3696" t="s">
        <v>67</v>
      </c>
      <c r="D3696" t="s">
        <v>67</v>
      </c>
      <c r="E3696" t="s">
        <v>67</v>
      </c>
      <c r="F3696" t="s">
        <v>27990</v>
      </c>
      <c r="G3696" s="117">
        <v>7.92</v>
      </c>
    </row>
    <row r="3697" spans="1:7" x14ac:dyDescent="0.25">
      <c r="A3697" s="116" t="s">
        <v>5694</v>
      </c>
      <c r="B3697" s="117" t="s">
        <v>5695</v>
      </c>
      <c r="C3697" t="s">
        <v>67</v>
      </c>
      <c r="D3697" t="s">
        <v>67</v>
      </c>
      <c r="E3697" t="s">
        <v>67</v>
      </c>
      <c r="F3697" t="s">
        <v>45</v>
      </c>
      <c r="G3697" s="117">
        <v>4.3600000000000003</v>
      </c>
    </row>
    <row r="3698" spans="1:7" x14ac:dyDescent="0.25">
      <c r="A3698" s="116" t="s">
        <v>5696</v>
      </c>
      <c r="B3698" s="117" t="s">
        <v>5697</v>
      </c>
      <c r="C3698" t="s">
        <v>67</v>
      </c>
      <c r="D3698" t="s">
        <v>67</v>
      </c>
      <c r="E3698" t="s">
        <v>67</v>
      </c>
      <c r="F3698" t="s">
        <v>27987</v>
      </c>
      <c r="G3698" s="117">
        <v>0.8</v>
      </c>
    </row>
    <row r="3699" spans="1:7" x14ac:dyDescent="0.25">
      <c r="A3699" s="116" t="s">
        <v>5698</v>
      </c>
      <c r="B3699" s="117" t="s">
        <v>5699</v>
      </c>
      <c r="C3699" t="s">
        <v>67</v>
      </c>
      <c r="D3699" t="s">
        <v>67</v>
      </c>
      <c r="E3699" t="s">
        <v>67</v>
      </c>
      <c r="F3699" t="s">
        <v>27987</v>
      </c>
      <c r="G3699" s="117">
        <v>19.13</v>
      </c>
    </row>
    <row r="3700" spans="1:7" x14ac:dyDescent="0.25">
      <c r="A3700" s="116" t="s">
        <v>5700</v>
      </c>
      <c r="B3700" s="117" t="s">
        <v>5701</v>
      </c>
      <c r="C3700" t="s">
        <v>67</v>
      </c>
      <c r="D3700" t="s">
        <v>67</v>
      </c>
      <c r="E3700" t="s">
        <v>67</v>
      </c>
      <c r="F3700" t="s">
        <v>27987</v>
      </c>
      <c r="G3700" s="117">
        <v>14.14</v>
      </c>
    </row>
    <row r="3701" spans="1:7" x14ac:dyDescent="0.25">
      <c r="A3701" s="116" t="s">
        <v>5702</v>
      </c>
      <c r="B3701" s="117" t="s">
        <v>5693</v>
      </c>
      <c r="C3701" t="s">
        <v>67</v>
      </c>
      <c r="D3701" t="s">
        <v>67</v>
      </c>
      <c r="E3701" t="s">
        <v>67</v>
      </c>
      <c r="F3701" t="s">
        <v>27990</v>
      </c>
      <c r="G3701" s="117">
        <v>1.69</v>
      </c>
    </row>
    <row r="3702" spans="1:7" x14ac:dyDescent="0.25">
      <c r="A3702" s="116" t="s">
        <v>5703</v>
      </c>
      <c r="B3702" s="117" t="s">
        <v>28631</v>
      </c>
      <c r="C3702" t="s">
        <v>67</v>
      </c>
      <c r="D3702" t="s">
        <v>67</v>
      </c>
      <c r="E3702" t="s">
        <v>67</v>
      </c>
      <c r="F3702" t="s">
        <v>49</v>
      </c>
      <c r="G3702" s="117">
        <v>31.94</v>
      </c>
    </row>
    <row r="3703" spans="1:7" x14ac:dyDescent="0.25">
      <c r="A3703" s="116" t="s">
        <v>5704</v>
      </c>
      <c r="B3703" s="117" t="s">
        <v>5705</v>
      </c>
      <c r="C3703" t="s">
        <v>67</v>
      </c>
      <c r="D3703" t="s">
        <v>67</v>
      </c>
      <c r="E3703" t="s">
        <v>67</v>
      </c>
      <c r="F3703" t="s">
        <v>49</v>
      </c>
      <c r="G3703" s="117">
        <v>14.14</v>
      </c>
    </row>
    <row r="3704" spans="1:7" x14ac:dyDescent="0.25">
      <c r="A3704" s="116" t="s">
        <v>5706</v>
      </c>
      <c r="B3704" s="117" t="s">
        <v>5707</v>
      </c>
      <c r="C3704" t="s">
        <v>67</v>
      </c>
      <c r="D3704" t="s">
        <v>67</v>
      </c>
      <c r="E3704" t="s">
        <v>67</v>
      </c>
      <c r="F3704" t="s">
        <v>27987</v>
      </c>
      <c r="G3704" s="117">
        <v>1.33</v>
      </c>
    </row>
    <row r="3705" spans="1:7" x14ac:dyDescent="0.25">
      <c r="A3705" s="116" t="s">
        <v>5708</v>
      </c>
      <c r="B3705" s="117" t="s">
        <v>5709</v>
      </c>
      <c r="C3705" t="s">
        <v>67</v>
      </c>
      <c r="D3705" t="s">
        <v>67</v>
      </c>
      <c r="E3705" t="s">
        <v>67</v>
      </c>
      <c r="F3705" t="s">
        <v>27987</v>
      </c>
      <c r="G3705" s="117">
        <v>16.82</v>
      </c>
    </row>
    <row r="3706" spans="1:7" x14ac:dyDescent="0.25">
      <c r="A3706" s="116" t="s">
        <v>5710</v>
      </c>
      <c r="B3706" s="117" t="s">
        <v>268</v>
      </c>
      <c r="C3706" t="s">
        <v>67</v>
      </c>
      <c r="D3706" t="s">
        <v>67</v>
      </c>
      <c r="E3706" t="s">
        <v>67</v>
      </c>
      <c r="F3706" t="s">
        <v>27987</v>
      </c>
      <c r="G3706" s="117">
        <v>4.8899999999999997</v>
      </c>
    </row>
    <row r="3707" spans="1:7" x14ac:dyDescent="0.25">
      <c r="A3707" s="116" t="s">
        <v>5711</v>
      </c>
      <c r="B3707" s="117" t="s">
        <v>5712</v>
      </c>
      <c r="C3707" t="s">
        <v>67</v>
      </c>
      <c r="D3707" t="s">
        <v>67</v>
      </c>
      <c r="E3707" t="s">
        <v>67</v>
      </c>
      <c r="F3707" t="s">
        <v>27987</v>
      </c>
      <c r="G3707" s="117">
        <v>15.04</v>
      </c>
    </row>
    <row r="3708" spans="1:7" x14ac:dyDescent="0.25">
      <c r="A3708" s="116" t="s">
        <v>5713</v>
      </c>
      <c r="B3708" s="117" t="s">
        <v>5714</v>
      </c>
      <c r="C3708" t="s">
        <v>67</v>
      </c>
      <c r="D3708" t="s">
        <v>67</v>
      </c>
      <c r="E3708" t="s">
        <v>67</v>
      </c>
      <c r="F3708" t="s">
        <v>49</v>
      </c>
      <c r="G3708" s="117">
        <v>1.77</v>
      </c>
    </row>
    <row r="3709" spans="1:7" x14ac:dyDescent="0.25">
      <c r="A3709" s="116" t="s">
        <v>5715</v>
      </c>
      <c r="B3709" s="117" t="s">
        <v>5716</v>
      </c>
      <c r="C3709" t="s">
        <v>67</v>
      </c>
      <c r="D3709" t="s">
        <v>67</v>
      </c>
      <c r="E3709" t="s">
        <v>67</v>
      </c>
      <c r="F3709" t="s">
        <v>45</v>
      </c>
      <c r="G3709" s="117">
        <v>1.33</v>
      </c>
    </row>
    <row r="3710" spans="1:7" x14ac:dyDescent="0.25">
      <c r="A3710" s="116" t="s">
        <v>5717</v>
      </c>
      <c r="B3710" s="117" t="s">
        <v>5718</v>
      </c>
      <c r="C3710" t="s">
        <v>67</v>
      </c>
      <c r="D3710" t="s">
        <v>67</v>
      </c>
      <c r="E3710" t="s">
        <v>67</v>
      </c>
      <c r="F3710" t="s">
        <v>27987</v>
      </c>
      <c r="G3710" s="117">
        <v>0.8</v>
      </c>
    </row>
    <row r="3711" spans="1:7" x14ac:dyDescent="0.25">
      <c r="A3711" s="116" t="s">
        <v>5719</v>
      </c>
      <c r="B3711" s="117" t="s">
        <v>5720</v>
      </c>
      <c r="C3711" t="s">
        <v>67</v>
      </c>
      <c r="D3711" t="s">
        <v>67</v>
      </c>
      <c r="E3711" t="s">
        <v>67</v>
      </c>
      <c r="F3711" t="s">
        <v>45</v>
      </c>
      <c r="G3711" s="117">
        <v>0.8</v>
      </c>
    </row>
    <row r="3712" spans="1:7" x14ac:dyDescent="0.25">
      <c r="A3712" s="116" t="s">
        <v>5721</v>
      </c>
      <c r="B3712" s="117" t="s">
        <v>5722</v>
      </c>
      <c r="C3712" t="s">
        <v>67</v>
      </c>
      <c r="D3712" t="s">
        <v>67</v>
      </c>
      <c r="E3712" t="s">
        <v>67</v>
      </c>
      <c r="F3712" t="s">
        <v>27987</v>
      </c>
      <c r="G3712" s="117">
        <v>1.33</v>
      </c>
    </row>
    <row r="3713" spans="1:7" x14ac:dyDescent="0.25">
      <c r="A3713" s="116" t="s">
        <v>5723</v>
      </c>
      <c r="B3713" s="117" t="s">
        <v>5720</v>
      </c>
      <c r="C3713" t="s">
        <v>67</v>
      </c>
      <c r="D3713" t="s">
        <v>67</v>
      </c>
      <c r="E3713" t="s">
        <v>67</v>
      </c>
      <c r="F3713" t="s">
        <v>49</v>
      </c>
      <c r="G3713" s="117">
        <v>4.3600000000000003</v>
      </c>
    </row>
    <row r="3714" spans="1:7" x14ac:dyDescent="0.25">
      <c r="A3714" s="116" t="s">
        <v>5724</v>
      </c>
      <c r="B3714" s="117" t="s">
        <v>5725</v>
      </c>
      <c r="C3714" t="s">
        <v>67</v>
      </c>
      <c r="D3714" t="s">
        <v>67</v>
      </c>
      <c r="E3714" t="s">
        <v>67</v>
      </c>
      <c r="F3714" t="s">
        <v>49</v>
      </c>
      <c r="G3714" s="117">
        <v>8.4499999999999993</v>
      </c>
    </row>
    <row r="3715" spans="1:7" x14ac:dyDescent="0.25">
      <c r="A3715" s="116" t="s">
        <v>5726</v>
      </c>
      <c r="B3715" s="117" t="s">
        <v>28632</v>
      </c>
      <c r="C3715" t="s">
        <v>67</v>
      </c>
      <c r="D3715" t="s">
        <v>67</v>
      </c>
      <c r="E3715" t="s">
        <v>67</v>
      </c>
      <c r="F3715" t="s">
        <v>27990</v>
      </c>
      <c r="G3715" s="117">
        <v>41.38</v>
      </c>
    </row>
    <row r="3716" spans="1:7" x14ac:dyDescent="0.25">
      <c r="A3716" s="116" t="s">
        <v>5727</v>
      </c>
      <c r="B3716" s="117" t="s">
        <v>5728</v>
      </c>
      <c r="C3716" t="s">
        <v>67</v>
      </c>
      <c r="D3716" t="s">
        <v>67</v>
      </c>
      <c r="E3716" t="s">
        <v>67</v>
      </c>
      <c r="F3716" t="s">
        <v>27990</v>
      </c>
      <c r="G3716" s="117">
        <v>1.69</v>
      </c>
    </row>
    <row r="3717" spans="1:7" x14ac:dyDescent="0.25">
      <c r="A3717" s="116" t="s">
        <v>5729</v>
      </c>
      <c r="B3717" s="117" t="s">
        <v>5730</v>
      </c>
      <c r="C3717" t="s">
        <v>67</v>
      </c>
      <c r="D3717" t="s">
        <v>67</v>
      </c>
      <c r="E3717" t="s">
        <v>67</v>
      </c>
      <c r="F3717" t="s">
        <v>27987</v>
      </c>
      <c r="G3717" s="117">
        <v>0.8</v>
      </c>
    </row>
    <row r="3718" spans="1:7" x14ac:dyDescent="0.25">
      <c r="A3718" s="116" t="s">
        <v>5731</v>
      </c>
      <c r="B3718" s="117" t="s">
        <v>5742</v>
      </c>
      <c r="C3718" t="s">
        <v>67</v>
      </c>
      <c r="D3718" t="s">
        <v>67</v>
      </c>
      <c r="E3718" t="s">
        <v>67</v>
      </c>
      <c r="F3718" t="s">
        <v>45</v>
      </c>
      <c r="G3718" s="117">
        <v>0.89</v>
      </c>
    </row>
    <row r="3719" spans="1:7" x14ac:dyDescent="0.25">
      <c r="A3719" s="116" t="s">
        <v>5732</v>
      </c>
      <c r="B3719" s="117" t="s">
        <v>5733</v>
      </c>
      <c r="C3719" t="s">
        <v>67</v>
      </c>
      <c r="D3719" t="s">
        <v>67</v>
      </c>
      <c r="E3719" t="s">
        <v>67</v>
      </c>
      <c r="F3719" t="s">
        <v>27987</v>
      </c>
      <c r="G3719" s="117">
        <v>2.23</v>
      </c>
    </row>
    <row r="3720" spans="1:7" x14ac:dyDescent="0.25">
      <c r="A3720" s="116" t="s">
        <v>5734</v>
      </c>
      <c r="B3720" s="117" t="s">
        <v>5735</v>
      </c>
      <c r="C3720" t="s">
        <v>67</v>
      </c>
      <c r="D3720" t="s">
        <v>67</v>
      </c>
      <c r="E3720" t="s">
        <v>67</v>
      </c>
      <c r="F3720" t="s">
        <v>27987</v>
      </c>
      <c r="G3720" s="117">
        <v>1.33</v>
      </c>
    </row>
    <row r="3721" spans="1:7" x14ac:dyDescent="0.25">
      <c r="A3721" s="116" t="s">
        <v>5736</v>
      </c>
      <c r="B3721" s="117" t="s">
        <v>5737</v>
      </c>
      <c r="C3721" t="s">
        <v>67</v>
      </c>
      <c r="D3721" t="s">
        <v>67</v>
      </c>
      <c r="E3721" t="s">
        <v>67</v>
      </c>
      <c r="F3721" t="s">
        <v>49</v>
      </c>
      <c r="G3721" s="117">
        <v>1.69</v>
      </c>
    </row>
    <row r="3722" spans="1:7" x14ac:dyDescent="0.25">
      <c r="A3722" s="116" t="s">
        <v>5738</v>
      </c>
      <c r="B3722" s="117" t="s">
        <v>28633</v>
      </c>
      <c r="C3722" t="s">
        <v>67</v>
      </c>
      <c r="D3722" t="s">
        <v>67</v>
      </c>
      <c r="E3722" t="s">
        <v>67</v>
      </c>
      <c r="F3722" t="s">
        <v>49</v>
      </c>
      <c r="G3722" s="117">
        <v>15.57</v>
      </c>
    </row>
    <row r="3723" spans="1:7" x14ac:dyDescent="0.25">
      <c r="A3723" s="116" t="s">
        <v>5739</v>
      </c>
      <c r="B3723" s="117" t="s">
        <v>5740</v>
      </c>
      <c r="C3723" t="s">
        <v>67</v>
      </c>
      <c r="D3723" t="s">
        <v>67</v>
      </c>
      <c r="E3723" t="s">
        <v>67</v>
      </c>
      <c r="F3723" t="s">
        <v>49</v>
      </c>
      <c r="G3723" s="117">
        <v>42.26</v>
      </c>
    </row>
    <row r="3724" spans="1:7" x14ac:dyDescent="0.25">
      <c r="A3724" s="116" t="s">
        <v>5741</v>
      </c>
      <c r="B3724" s="117" t="s">
        <v>5742</v>
      </c>
      <c r="C3724" t="s">
        <v>67</v>
      </c>
      <c r="D3724" t="s">
        <v>67</v>
      </c>
      <c r="E3724" t="s">
        <v>67</v>
      </c>
      <c r="F3724" t="s">
        <v>27990</v>
      </c>
      <c r="G3724" s="117">
        <v>1.33</v>
      </c>
    </row>
    <row r="3725" spans="1:7" x14ac:dyDescent="0.25">
      <c r="A3725" s="116" t="s">
        <v>5743</v>
      </c>
      <c r="B3725" s="117" t="s">
        <v>5742</v>
      </c>
      <c r="C3725" t="s">
        <v>67</v>
      </c>
      <c r="D3725" t="s">
        <v>67</v>
      </c>
      <c r="E3725" t="s">
        <v>67</v>
      </c>
      <c r="F3725" t="s">
        <v>45</v>
      </c>
      <c r="G3725" s="117">
        <v>1.69</v>
      </c>
    </row>
    <row r="3726" spans="1:7" x14ac:dyDescent="0.25">
      <c r="A3726" s="116" t="s">
        <v>5744</v>
      </c>
      <c r="B3726" s="117" t="s">
        <v>5742</v>
      </c>
      <c r="C3726" t="s">
        <v>67</v>
      </c>
      <c r="D3726" t="s">
        <v>67</v>
      </c>
      <c r="E3726" t="s">
        <v>67</v>
      </c>
      <c r="F3726" t="s">
        <v>49</v>
      </c>
      <c r="G3726" s="117">
        <v>0.89</v>
      </c>
    </row>
    <row r="3727" spans="1:7" x14ac:dyDescent="0.25">
      <c r="A3727" s="116" t="s">
        <v>5745</v>
      </c>
      <c r="B3727" s="117" t="s">
        <v>5746</v>
      </c>
      <c r="C3727" t="s">
        <v>67</v>
      </c>
      <c r="D3727" t="s">
        <v>67</v>
      </c>
      <c r="E3727" t="s">
        <v>67</v>
      </c>
      <c r="F3727" t="s">
        <v>49</v>
      </c>
      <c r="G3727" s="117">
        <v>0.8</v>
      </c>
    </row>
    <row r="3728" spans="1:7" x14ac:dyDescent="0.25">
      <c r="A3728" s="116" t="s">
        <v>5747</v>
      </c>
      <c r="B3728" s="117" t="s">
        <v>5748</v>
      </c>
      <c r="C3728" t="s">
        <v>67</v>
      </c>
      <c r="D3728" t="s">
        <v>67</v>
      </c>
      <c r="E3728" t="s">
        <v>67</v>
      </c>
      <c r="F3728" t="s">
        <v>27987</v>
      </c>
      <c r="G3728" s="117">
        <v>34.26</v>
      </c>
    </row>
    <row r="3729" spans="1:7" x14ac:dyDescent="0.25">
      <c r="A3729" s="116" t="s">
        <v>5749</v>
      </c>
      <c r="B3729" s="117" t="s">
        <v>5730</v>
      </c>
      <c r="C3729" t="s">
        <v>67</v>
      </c>
      <c r="D3729" t="s">
        <v>67</v>
      </c>
      <c r="E3729" t="s">
        <v>67</v>
      </c>
      <c r="F3729" t="s">
        <v>27990</v>
      </c>
      <c r="G3729" s="117">
        <v>1.33</v>
      </c>
    </row>
    <row r="3730" spans="1:7" x14ac:dyDescent="0.25">
      <c r="A3730" s="116" t="s">
        <v>5750</v>
      </c>
      <c r="B3730" s="117" t="s">
        <v>5742</v>
      </c>
      <c r="C3730" t="s">
        <v>67</v>
      </c>
      <c r="D3730" t="s">
        <v>67</v>
      </c>
      <c r="E3730" t="s">
        <v>67</v>
      </c>
      <c r="F3730" t="s">
        <v>51</v>
      </c>
      <c r="G3730" s="117">
        <v>0.44</v>
      </c>
    </row>
    <row r="3731" spans="1:7" x14ac:dyDescent="0.25">
      <c r="A3731" s="116" t="s">
        <v>5751</v>
      </c>
      <c r="B3731" s="117" t="s">
        <v>5752</v>
      </c>
      <c r="C3731" t="s">
        <v>67</v>
      </c>
      <c r="D3731" t="s">
        <v>67</v>
      </c>
      <c r="E3731" t="s">
        <v>67</v>
      </c>
      <c r="F3731" t="s">
        <v>27987</v>
      </c>
      <c r="G3731" s="117">
        <v>1.33</v>
      </c>
    </row>
    <row r="3732" spans="1:7" x14ac:dyDescent="0.25">
      <c r="A3732" s="116" t="s">
        <v>5753</v>
      </c>
      <c r="B3732" s="117" t="s">
        <v>5754</v>
      </c>
      <c r="C3732" t="s">
        <v>67</v>
      </c>
      <c r="D3732" t="s">
        <v>67</v>
      </c>
      <c r="E3732" t="s">
        <v>67</v>
      </c>
      <c r="F3732" t="s">
        <v>27990</v>
      </c>
      <c r="G3732" s="117">
        <v>0.8</v>
      </c>
    </row>
    <row r="3733" spans="1:7" x14ac:dyDescent="0.25">
      <c r="A3733" s="116" t="s">
        <v>5755</v>
      </c>
      <c r="B3733" s="117" t="s">
        <v>5620</v>
      </c>
      <c r="C3733" t="s">
        <v>67</v>
      </c>
      <c r="D3733" t="s">
        <v>67</v>
      </c>
      <c r="E3733" t="s">
        <v>67</v>
      </c>
      <c r="F3733" t="s">
        <v>51</v>
      </c>
      <c r="G3733" s="117">
        <v>1.27</v>
      </c>
    </row>
    <row r="3734" spans="1:7" x14ac:dyDescent="0.25">
      <c r="A3734" s="116" t="s">
        <v>5756</v>
      </c>
      <c r="B3734" s="117" t="s">
        <v>5757</v>
      </c>
      <c r="C3734" t="s">
        <v>67</v>
      </c>
      <c r="D3734" t="s">
        <v>67</v>
      </c>
      <c r="E3734" t="s">
        <v>67</v>
      </c>
      <c r="F3734" t="s">
        <v>27987</v>
      </c>
      <c r="G3734" s="117">
        <v>3.12</v>
      </c>
    </row>
    <row r="3735" spans="1:7" x14ac:dyDescent="0.25">
      <c r="A3735" s="116" t="s">
        <v>5758</v>
      </c>
      <c r="B3735" s="117" t="s">
        <v>28634</v>
      </c>
      <c r="C3735" t="s">
        <v>67</v>
      </c>
      <c r="D3735" t="s">
        <v>67</v>
      </c>
      <c r="E3735" t="s">
        <v>67</v>
      </c>
      <c r="F3735" t="s">
        <v>45</v>
      </c>
      <c r="G3735" s="117">
        <v>8.4499999999999993</v>
      </c>
    </row>
    <row r="3736" spans="1:7" x14ac:dyDescent="0.25">
      <c r="A3736" s="116" t="s">
        <v>5759</v>
      </c>
      <c r="B3736" s="117" t="s">
        <v>5760</v>
      </c>
      <c r="C3736" t="s">
        <v>67</v>
      </c>
      <c r="D3736" t="s">
        <v>67</v>
      </c>
      <c r="E3736" t="s">
        <v>67</v>
      </c>
      <c r="F3736" t="s">
        <v>49</v>
      </c>
      <c r="G3736" s="117">
        <v>71.989999999999995</v>
      </c>
    </row>
    <row r="3737" spans="1:7" x14ac:dyDescent="0.25">
      <c r="A3737" s="116" t="s">
        <v>5761</v>
      </c>
      <c r="B3737" s="117" t="s">
        <v>5762</v>
      </c>
      <c r="C3737" t="s">
        <v>67</v>
      </c>
      <c r="D3737" t="s">
        <v>67</v>
      </c>
      <c r="E3737" t="s">
        <v>67</v>
      </c>
      <c r="F3737" t="s">
        <v>27987</v>
      </c>
      <c r="G3737" s="117">
        <v>15.57</v>
      </c>
    </row>
    <row r="3738" spans="1:7" x14ac:dyDescent="0.25">
      <c r="A3738" s="116" t="s">
        <v>5763</v>
      </c>
      <c r="B3738" s="117" t="s">
        <v>5764</v>
      </c>
      <c r="C3738" t="s">
        <v>67</v>
      </c>
      <c r="D3738" t="s">
        <v>67</v>
      </c>
      <c r="E3738" t="s">
        <v>67</v>
      </c>
      <c r="F3738" t="s">
        <v>27987</v>
      </c>
      <c r="G3738" s="117">
        <v>14.14</v>
      </c>
    </row>
    <row r="3739" spans="1:7" x14ac:dyDescent="0.25">
      <c r="A3739" s="116" t="s">
        <v>5765</v>
      </c>
      <c r="B3739" s="117" t="s">
        <v>5766</v>
      </c>
      <c r="C3739" t="s">
        <v>67</v>
      </c>
      <c r="D3739" t="s">
        <v>67</v>
      </c>
      <c r="E3739" t="s">
        <v>67</v>
      </c>
      <c r="F3739" t="s">
        <v>49</v>
      </c>
      <c r="G3739" s="117">
        <v>1.33</v>
      </c>
    </row>
    <row r="3740" spans="1:7" x14ac:dyDescent="0.25">
      <c r="A3740" s="116" t="s">
        <v>5767</v>
      </c>
      <c r="B3740" s="117" t="s">
        <v>5768</v>
      </c>
      <c r="C3740" t="s">
        <v>67</v>
      </c>
      <c r="D3740" t="s">
        <v>67</v>
      </c>
      <c r="E3740" t="s">
        <v>67</v>
      </c>
      <c r="F3740" t="s">
        <v>45</v>
      </c>
      <c r="G3740" s="117">
        <v>3.39</v>
      </c>
    </row>
    <row r="3741" spans="1:7" x14ac:dyDescent="0.25">
      <c r="A3741" s="116" t="s">
        <v>5769</v>
      </c>
      <c r="B3741" s="117" t="s">
        <v>5770</v>
      </c>
      <c r="C3741" t="s">
        <v>67</v>
      </c>
      <c r="D3741" t="s">
        <v>67</v>
      </c>
      <c r="E3741" t="s">
        <v>67</v>
      </c>
      <c r="F3741" t="s">
        <v>27987</v>
      </c>
      <c r="G3741" s="117">
        <v>5.79</v>
      </c>
    </row>
    <row r="3742" spans="1:7" x14ac:dyDescent="0.25">
      <c r="A3742" s="116" t="s">
        <v>5771</v>
      </c>
      <c r="B3742" s="117" t="s">
        <v>5772</v>
      </c>
      <c r="C3742" t="s">
        <v>67</v>
      </c>
      <c r="D3742" t="s">
        <v>67</v>
      </c>
      <c r="E3742" t="s">
        <v>67</v>
      </c>
      <c r="F3742" t="s">
        <v>49</v>
      </c>
      <c r="G3742" s="117">
        <v>2.58</v>
      </c>
    </row>
    <row r="3743" spans="1:7" x14ac:dyDescent="0.25">
      <c r="A3743" s="116" t="s">
        <v>5773</v>
      </c>
      <c r="B3743" s="117" t="s">
        <v>5774</v>
      </c>
      <c r="C3743" t="s">
        <v>67</v>
      </c>
      <c r="D3743" t="s">
        <v>67</v>
      </c>
      <c r="E3743" t="s">
        <v>67</v>
      </c>
      <c r="F3743" t="s">
        <v>49</v>
      </c>
      <c r="G3743" s="117">
        <v>3.48</v>
      </c>
    </row>
    <row r="3744" spans="1:7" x14ac:dyDescent="0.25">
      <c r="A3744" s="116" t="s">
        <v>5775</v>
      </c>
      <c r="B3744" s="117" t="s">
        <v>5754</v>
      </c>
      <c r="C3744" t="s">
        <v>67</v>
      </c>
      <c r="D3744" t="s">
        <v>67</v>
      </c>
      <c r="E3744" t="s">
        <v>67</v>
      </c>
      <c r="F3744" t="s">
        <v>27990</v>
      </c>
      <c r="G3744" s="117">
        <v>7.12</v>
      </c>
    </row>
    <row r="3745" spans="1:7" x14ac:dyDescent="0.25">
      <c r="A3745" s="116" t="s">
        <v>5776</v>
      </c>
      <c r="B3745" s="117" t="s">
        <v>5777</v>
      </c>
      <c r="C3745" t="s">
        <v>67</v>
      </c>
      <c r="D3745" t="s">
        <v>67</v>
      </c>
      <c r="E3745" t="s">
        <v>67</v>
      </c>
      <c r="F3745" t="s">
        <v>49</v>
      </c>
      <c r="G3745" s="117">
        <v>2.67</v>
      </c>
    </row>
    <row r="3746" spans="1:7" x14ac:dyDescent="0.25">
      <c r="A3746" s="116" t="s">
        <v>5778</v>
      </c>
      <c r="B3746" s="117" t="s">
        <v>5779</v>
      </c>
      <c r="C3746" t="s">
        <v>67</v>
      </c>
      <c r="D3746" t="s">
        <v>67</v>
      </c>
      <c r="E3746" t="s">
        <v>67</v>
      </c>
      <c r="F3746" t="s">
        <v>51</v>
      </c>
      <c r="G3746" s="117">
        <v>17.7</v>
      </c>
    </row>
    <row r="3747" spans="1:7" x14ac:dyDescent="0.25">
      <c r="A3747" s="116" t="s">
        <v>5780</v>
      </c>
      <c r="B3747" s="117" t="s">
        <v>5781</v>
      </c>
      <c r="C3747" t="s">
        <v>67</v>
      </c>
      <c r="D3747" t="s">
        <v>67</v>
      </c>
      <c r="E3747" t="s">
        <v>67</v>
      </c>
      <c r="F3747" t="s">
        <v>49</v>
      </c>
      <c r="G3747" s="117">
        <v>1.69</v>
      </c>
    </row>
    <row r="3748" spans="1:7" x14ac:dyDescent="0.25">
      <c r="A3748" s="116" t="s">
        <v>5782</v>
      </c>
      <c r="B3748" s="117" t="s">
        <v>5783</v>
      </c>
      <c r="C3748" t="s">
        <v>67</v>
      </c>
      <c r="D3748" t="s">
        <v>67</v>
      </c>
      <c r="E3748" t="s">
        <v>67</v>
      </c>
      <c r="F3748" t="s">
        <v>27990</v>
      </c>
      <c r="G3748" s="117">
        <v>1.33</v>
      </c>
    </row>
    <row r="3749" spans="1:7" x14ac:dyDescent="0.25">
      <c r="A3749" s="116" t="s">
        <v>5784</v>
      </c>
      <c r="B3749" s="117" t="s">
        <v>5624</v>
      </c>
      <c r="C3749" t="s">
        <v>67</v>
      </c>
      <c r="D3749" t="s">
        <v>67</v>
      </c>
      <c r="E3749" t="s">
        <v>67</v>
      </c>
      <c r="F3749" t="s">
        <v>27990</v>
      </c>
      <c r="G3749" s="117">
        <v>1.69</v>
      </c>
    </row>
    <row r="3750" spans="1:7" x14ac:dyDescent="0.25">
      <c r="A3750" s="116" t="s">
        <v>5785</v>
      </c>
      <c r="B3750" s="117" t="s">
        <v>5786</v>
      </c>
      <c r="C3750" t="s">
        <v>67</v>
      </c>
      <c r="D3750" t="s">
        <v>67</v>
      </c>
      <c r="E3750" t="s">
        <v>67</v>
      </c>
      <c r="F3750" t="s">
        <v>27987</v>
      </c>
      <c r="G3750" s="117">
        <v>3.56</v>
      </c>
    </row>
    <row r="3751" spans="1:7" x14ac:dyDescent="0.25">
      <c r="A3751" s="116" t="s">
        <v>5787</v>
      </c>
      <c r="B3751" s="117" t="s">
        <v>5624</v>
      </c>
      <c r="C3751" t="s">
        <v>67</v>
      </c>
      <c r="D3751" t="s">
        <v>67</v>
      </c>
      <c r="E3751" t="s">
        <v>67</v>
      </c>
      <c r="F3751" t="s">
        <v>27987</v>
      </c>
      <c r="G3751" s="117">
        <v>1.69</v>
      </c>
    </row>
    <row r="3752" spans="1:7" x14ac:dyDescent="0.25">
      <c r="A3752" s="116" t="s">
        <v>5788</v>
      </c>
      <c r="B3752" s="117" t="s">
        <v>5789</v>
      </c>
      <c r="C3752" t="s">
        <v>67</v>
      </c>
      <c r="D3752" t="s">
        <v>67</v>
      </c>
      <c r="E3752" t="s">
        <v>67</v>
      </c>
      <c r="F3752" t="s">
        <v>27987</v>
      </c>
      <c r="G3752" s="117">
        <v>73.42</v>
      </c>
    </row>
    <row r="3753" spans="1:7" x14ac:dyDescent="0.25">
      <c r="A3753" s="116" t="s">
        <v>5790</v>
      </c>
      <c r="B3753" s="117" t="s">
        <v>5648</v>
      </c>
      <c r="C3753" t="s">
        <v>67</v>
      </c>
      <c r="D3753" t="s">
        <v>67</v>
      </c>
      <c r="E3753" t="s">
        <v>67</v>
      </c>
      <c r="F3753" t="s">
        <v>49</v>
      </c>
      <c r="G3753" s="117">
        <v>1.69</v>
      </c>
    </row>
    <row r="3754" spans="1:7" x14ac:dyDescent="0.25">
      <c r="A3754" s="116" t="s">
        <v>5791</v>
      </c>
      <c r="B3754" s="117" t="s">
        <v>5648</v>
      </c>
      <c r="C3754" t="s">
        <v>67</v>
      </c>
      <c r="D3754" t="s">
        <v>67</v>
      </c>
      <c r="E3754" t="s">
        <v>67</v>
      </c>
      <c r="F3754" t="s">
        <v>27990</v>
      </c>
      <c r="G3754" s="117">
        <v>4.8899999999999997</v>
      </c>
    </row>
    <row r="3755" spans="1:7" x14ac:dyDescent="0.25">
      <c r="A3755" s="116" t="s">
        <v>5792</v>
      </c>
      <c r="B3755" s="117" t="s">
        <v>5783</v>
      </c>
      <c r="C3755" t="s">
        <v>67</v>
      </c>
      <c r="D3755" t="s">
        <v>67</v>
      </c>
      <c r="E3755" t="s">
        <v>67</v>
      </c>
      <c r="F3755" t="s">
        <v>27990</v>
      </c>
      <c r="G3755" s="117">
        <v>3.48</v>
      </c>
    </row>
    <row r="3756" spans="1:7" x14ac:dyDescent="0.25">
      <c r="A3756" s="116" t="s">
        <v>5793</v>
      </c>
      <c r="B3756" s="117" t="s">
        <v>5794</v>
      </c>
      <c r="C3756" t="s">
        <v>67</v>
      </c>
      <c r="D3756" t="s">
        <v>67</v>
      </c>
      <c r="E3756" t="s">
        <v>67</v>
      </c>
      <c r="F3756" t="s">
        <v>51</v>
      </c>
      <c r="G3756" s="117">
        <v>1.69</v>
      </c>
    </row>
    <row r="3757" spans="1:7" x14ac:dyDescent="0.25">
      <c r="A3757" s="116" t="s">
        <v>5795</v>
      </c>
      <c r="B3757" s="117" t="s">
        <v>5796</v>
      </c>
      <c r="C3757" t="s">
        <v>67</v>
      </c>
      <c r="D3757" t="s">
        <v>67</v>
      </c>
      <c r="E3757" t="s">
        <v>67</v>
      </c>
      <c r="F3757" t="s">
        <v>49</v>
      </c>
      <c r="G3757" s="117">
        <v>9.35</v>
      </c>
    </row>
    <row r="3758" spans="1:7" x14ac:dyDescent="0.25">
      <c r="A3758" s="116" t="s">
        <v>5797</v>
      </c>
      <c r="B3758" s="117" t="s">
        <v>5798</v>
      </c>
      <c r="C3758" t="s">
        <v>67</v>
      </c>
      <c r="D3758" t="s">
        <v>67</v>
      </c>
      <c r="E3758" t="s">
        <v>67</v>
      </c>
      <c r="F3758" t="s">
        <v>27987</v>
      </c>
      <c r="G3758" s="117">
        <v>11.12</v>
      </c>
    </row>
    <row r="3759" spans="1:7" x14ac:dyDescent="0.25">
      <c r="A3759" s="116" t="s">
        <v>5799</v>
      </c>
      <c r="B3759" s="117" t="s">
        <v>5800</v>
      </c>
      <c r="C3759" t="s">
        <v>67</v>
      </c>
      <c r="D3759" t="s">
        <v>67</v>
      </c>
      <c r="E3759" t="s">
        <v>67</v>
      </c>
      <c r="F3759" t="s">
        <v>45</v>
      </c>
      <c r="G3759" s="117">
        <v>13.26</v>
      </c>
    </row>
    <row r="3760" spans="1:7" x14ac:dyDescent="0.25">
      <c r="A3760" s="116" t="s">
        <v>5801</v>
      </c>
      <c r="B3760" s="117" t="s">
        <v>5666</v>
      </c>
      <c r="C3760" t="s">
        <v>67</v>
      </c>
      <c r="D3760" t="s">
        <v>67</v>
      </c>
      <c r="E3760" t="s">
        <v>67</v>
      </c>
      <c r="F3760" t="s">
        <v>49</v>
      </c>
      <c r="G3760" s="117">
        <v>1.77</v>
      </c>
    </row>
    <row r="3761" spans="1:7" x14ac:dyDescent="0.25">
      <c r="A3761" s="116" t="s">
        <v>5802</v>
      </c>
      <c r="B3761" s="117" t="s">
        <v>5803</v>
      </c>
      <c r="C3761" t="s">
        <v>67</v>
      </c>
      <c r="D3761" t="s">
        <v>67</v>
      </c>
      <c r="E3761" t="s">
        <v>67</v>
      </c>
      <c r="F3761" t="s">
        <v>45</v>
      </c>
      <c r="G3761" s="117">
        <v>1.33</v>
      </c>
    </row>
    <row r="3762" spans="1:7" x14ac:dyDescent="0.25">
      <c r="A3762" s="116" t="s">
        <v>5804</v>
      </c>
      <c r="B3762" s="117" t="s">
        <v>5805</v>
      </c>
      <c r="C3762" t="s">
        <v>67</v>
      </c>
      <c r="D3762" t="s">
        <v>67</v>
      </c>
      <c r="E3762" t="s">
        <v>67</v>
      </c>
      <c r="F3762" t="s">
        <v>49</v>
      </c>
      <c r="G3762" s="117">
        <v>1.69</v>
      </c>
    </row>
    <row r="3763" spans="1:7" x14ac:dyDescent="0.25">
      <c r="A3763" s="116" t="s">
        <v>5806</v>
      </c>
      <c r="B3763" s="117" t="s">
        <v>5807</v>
      </c>
      <c r="C3763" t="s">
        <v>67</v>
      </c>
      <c r="D3763" t="s">
        <v>67</v>
      </c>
      <c r="E3763" t="s">
        <v>67</v>
      </c>
      <c r="F3763" t="s">
        <v>49</v>
      </c>
      <c r="G3763" s="117">
        <v>1.69</v>
      </c>
    </row>
    <row r="3764" spans="1:7" x14ac:dyDescent="0.25">
      <c r="A3764" s="116" t="s">
        <v>5808</v>
      </c>
      <c r="B3764" s="117" t="s">
        <v>5809</v>
      </c>
      <c r="C3764" t="s">
        <v>67</v>
      </c>
      <c r="D3764" t="s">
        <v>67</v>
      </c>
      <c r="E3764" t="s">
        <v>67</v>
      </c>
      <c r="F3764" t="s">
        <v>49</v>
      </c>
      <c r="G3764" s="117">
        <v>1.69</v>
      </c>
    </row>
    <row r="3765" spans="1:7" x14ac:dyDescent="0.25">
      <c r="A3765" s="116" t="s">
        <v>5810</v>
      </c>
      <c r="B3765" s="117" t="s">
        <v>5811</v>
      </c>
      <c r="C3765" t="s">
        <v>67</v>
      </c>
      <c r="D3765" t="s">
        <v>67</v>
      </c>
      <c r="E3765" t="s">
        <v>67</v>
      </c>
      <c r="F3765" t="s">
        <v>49</v>
      </c>
      <c r="G3765" s="117">
        <v>1.77</v>
      </c>
    </row>
    <row r="3766" spans="1:7" x14ac:dyDescent="0.25">
      <c r="A3766" s="116" t="s">
        <v>5812</v>
      </c>
      <c r="B3766" s="117" t="s">
        <v>5813</v>
      </c>
      <c r="C3766" t="s">
        <v>67</v>
      </c>
      <c r="D3766" t="s">
        <v>67</v>
      </c>
      <c r="E3766" t="s">
        <v>67</v>
      </c>
      <c r="F3766" t="s">
        <v>49</v>
      </c>
      <c r="G3766" s="117">
        <v>10.24</v>
      </c>
    </row>
    <row r="3767" spans="1:7" x14ac:dyDescent="0.25">
      <c r="A3767" s="116" t="s">
        <v>5814</v>
      </c>
      <c r="B3767" s="117" t="s">
        <v>5815</v>
      </c>
      <c r="C3767" t="s">
        <v>67</v>
      </c>
      <c r="D3767" t="s">
        <v>67</v>
      </c>
      <c r="E3767" t="s">
        <v>67</v>
      </c>
      <c r="F3767" t="s">
        <v>45</v>
      </c>
      <c r="G3767" s="117">
        <v>23.56</v>
      </c>
    </row>
    <row r="3768" spans="1:7" x14ac:dyDescent="0.25">
      <c r="A3768" s="116" t="s">
        <v>5816</v>
      </c>
      <c r="B3768" s="117" t="s">
        <v>5817</v>
      </c>
      <c r="C3768" t="s">
        <v>67</v>
      </c>
      <c r="D3768" t="s">
        <v>67</v>
      </c>
      <c r="E3768" t="s">
        <v>67</v>
      </c>
      <c r="F3768" t="s">
        <v>49</v>
      </c>
      <c r="G3768" s="117">
        <v>9.35</v>
      </c>
    </row>
    <row r="3769" spans="1:7" x14ac:dyDescent="0.25">
      <c r="A3769" s="116" t="s">
        <v>5818</v>
      </c>
      <c r="B3769" s="117" t="s">
        <v>5819</v>
      </c>
      <c r="C3769" t="s">
        <v>67</v>
      </c>
      <c r="D3769" t="s">
        <v>67</v>
      </c>
      <c r="E3769" t="s">
        <v>67</v>
      </c>
      <c r="F3769" t="s">
        <v>27987</v>
      </c>
      <c r="G3769" s="117">
        <v>1.69</v>
      </c>
    </row>
    <row r="3770" spans="1:7" x14ac:dyDescent="0.25">
      <c r="A3770" s="116" t="s">
        <v>5820</v>
      </c>
      <c r="B3770" s="117" t="s">
        <v>5821</v>
      </c>
      <c r="C3770" t="s">
        <v>67</v>
      </c>
      <c r="D3770" t="s">
        <v>67</v>
      </c>
      <c r="E3770" t="s">
        <v>67</v>
      </c>
      <c r="F3770" t="s">
        <v>45</v>
      </c>
      <c r="G3770" s="117">
        <v>10.58</v>
      </c>
    </row>
    <row r="3771" spans="1:7" x14ac:dyDescent="0.25">
      <c r="A3771" s="116" t="s">
        <v>5822</v>
      </c>
      <c r="B3771" s="117" t="s">
        <v>5823</v>
      </c>
      <c r="C3771" t="s">
        <v>67</v>
      </c>
      <c r="D3771" t="s">
        <v>67</v>
      </c>
      <c r="E3771" t="s">
        <v>67</v>
      </c>
      <c r="F3771" t="s">
        <v>27987</v>
      </c>
      <c r="G3771" s="117">
        <v>0.8</v>
      </c>
    </row>
    <row r="3772" spans="1:7" x14ac:dyDescent="0.25">
      <c r="A3772" s="116" t="s">
        <v>5824</v>
      </c>
      <c r="B3772" s="117" t="s">
        <v>5602</v>
      </c>
      <c r="C3772" t="s">
        <v>67</v>
      </c>
      <c r="D3772" t="s">
        <v>67</v>
      </c>
      <c r="E3772" t="s">
        <v>67</v>
      </c>
      <c r="F3772" t="s">
        <v>45</v>
      </c>
      <c r="G3772" s="117">
        <v>28.92</v>
      </c>
    </row>
    <row r="3773" spans="1:7" x14ac:dyDescent="0.25">
      <c r="A3773" s="116" t="s">
        <v>5825</v>
      </c>
      <c r="B3773" s="117" t="s">
        <v>5826</v>
      </c>
      <c r="C3773" t="s">
        <v>67</v>
      </c>
      <c r="D3773" t="s">
        <v>67</v>
      </c>
      <c r="E3773" t="s">
        <v>67</v>
      </c>
      <c r="F3773" t="s">
        <v>49</v>
      </c>
      <c r="G3773" s="117">
        <v>44.4</v>
      </c>
    </row>
    <row r="3774" spans="1:7" x14ac:dyDescent="0.25">
      <c r="A3774" s="116" t="s">
        <v>5827</v>
      </c>
      <c r="B3774" s="117" t="s">
        <v>5828</v>
      </c>
      <c r="C3774" t="s">
        <v>67</v>
      </c>
      <c r="D3774" t="s">
        <v>67</v>
      </c>
      <c r="E3774" t="s">
        <v>67</v>
      </c>
      <c r="F3774" t="s">
        <v>45</v>
      </c>
      <c r="G3774" s="117">
        <v>2.58</v>
      </c>
    </row>
    <row r="3775" spans="1:7" x14ac:dyDescent="0.25">
      <c r="A3775" s="116" t="s">
        <v>5829</v>
      </c>
      <c r="B3775" s="117" t="s">
        <v>5828</v>
      </c>
      <c r="C3775" t="s">
        <v>67</v>
      </c>
      <c r="D3775" t="s">
        <v>67</v>
      </c>
      <c r="E3775" t="s">
        <v>67</v>
      </c>
      <c r="F3775" t="s">
        <v>49</v>
      </c>
      <c r="G3775" s="117">
        <v>2.23</v>
      </c>
    </row>
    <row r="3776" spans="1:7" x14ac:dyDescent="0.25">
      <c r="A3776" s="116" t="s">
        <v>5830</v>
      </c>
      <c r="B3776" s="117" t="s">
        <v>5831</v>
      </c>
      <c r="C3776" t="s">
        <v>67</v>
      </c>
      <c r="D3776" t="s">
        <v>67</v>
      </c>
      <c r="E3776" t="s">
        <v>67</v>
      </c>
      <c r="F3776" t="s">
        <v>27987</v>
      </c>
      <c r="G3776" s="117">
        <v>1.69</v>
      </c>
    </row>
    <row r="3777" spans="1:7" x14ac:dyDescent="0.25">
      <c r="A3777" s="116" t="s">
        <v>5832</v>
      </c>
      <c r="B3777" s="117" t="s">
        <v>5833</v>
      </c>
      <c r="C3777" t="s">
        <v>67</v>
      </c>
      <c r="D3777" t="s">
        <v>67</v>
      </c>
      <c r="E3777" t="s">
        <v>67</v>
      </c>
      <c r="F3777" t="s">
        <v>27987</v>
      </c>
      <c r="G3777" s="117">
        <v>10.58</v>
      </c>
    </row>
    <row r="3778" spans="1:7" x14ac:dyDescent="0.25">
      <c r="A3778" s="116" t="s">
        <v>5834</v>
      </c>
      <c r="B3778" s="117" t="s">
        <v>5835</v>
      </c>
      <c r="C3778" t="s">
        <v>67</v>
      </c>
      <c r="D3778" t="s">
        <v>67</v>
      </c>
      <c r="E3778" t="s">
        <v>67</v>
      </c>
      <c r="F3778" t="s">
        <v>49</v>
      </c>
      <c r="G3778" s="117">
        <v>2.23</v>
      </c>
    </row>
    <row r="3779" spans="1:7" x14ac:dyDescent="0.25">
      <c r="A3779" s="116" t="s">
        <v>5836</v>
      </c>
      <c r="B3779" s="117" t="s">
        <v>5835</v>
      </c>
      <c r="C3779" t="s">
        <v>67</v>
      </c>
      <c r="D3779" t="s">
        <v>67</v>
      </c>
      <c r="E3779" t="s">
        <v>67</v>
      </c>
      <c r="F3779" t="s">
        <v>45</v>
      </c>
      <c r="G3779" s="117">
        <v>2.23</v>
      </c>
    </row>
    <row r="3780" spans="1:7" x14ac:dyDescent="0.25">
      <c r="A3780" s="116" t="s">
        <v>5837</v>
      </c>
      <c r="B3780" s="117" t="s">
        <v>5831</v>
      </c>
      <c r="C3780" t="s">
        <v>67</v>
      </c>
      <c r="D3780" t="s">
        <v>67</v>
      </c>
      <c r="E3780" t="s">
        <v>67</v>
      </c>
      <c r="F3780" t="s">
        <v>27987</v>
      </c>
      <c r="G3780" s="117">
        <v>1.77</v>
      </c>
    </row>
    <row r="3781" spans="1:7" x14ac:dyDescent="0.25">
      <c r="A3781" s="116" t="s">
        <v>5838</v>
      </c>
      <c r="B3781" s="117" t="s">
        <v>5839</v>
      </c>
      <c r="C3781" t="s">
        <v>67</v>
      </c>
      <c r="D3781" t="s">
        <v>67</v>
      </c>
      <c r="E3781" t="s">
        <v>67</v>
      </c>
      <c r="F3781" t="s">
        <v>49</v>
      </c>
      <c r="G3781" s="117">
        <v>3.12</v>
      </c>
    </row>
    <row r="3782" spans="1:7" x14ac:dyDescent="0.25">
      <c r="A3782" s="116" t="s">
        <v>5840</v>
      </c>
      <c r="B3782" s="117" t="s">
        <v>5841</v>
      </c>
      <c r="C3782" t="s">
        <v>67</v>
      </c>
      <c r="D3782" t="s">
        <v>67</v>
      </c>
      <c r="E3782" t="s">
        <v>67</v>
      </c>
      <c r="F3782" t="s">
        <v>45</v>
      </c>
      <c r="G3782" s="117">
        <v>16.82</v>
      </c>
    </row>
    <row r="3783" spans="1:7" x14ac:dyDescent="0.25">
      <c r="A3783" s="116" t="s">
        <v>5842</v>
      </c>
      <c r="B3783" s="117" t="s">
        <v>5843</v>
      </c>
      <c r="C3783" t="s">
        <v>67</v>
      </c>
      <c r="D3783" t="s">
        <v>67</v>
      </c>
      <c r="E3783" t="s">
        <v>67</v>
      </c>
      <c r="F3783" t="s">
        <v>49</v>
      </c>
      <c r="G3783" s="117">
        <v>1.77</v>
      </c>
    </row>
    <row r="3784" spans="1:7" x14ac:dyDescent="0.25">
      <c r="A3784" s="116" t="s">
        <v>5844</v>
      </c>
      <c r="B3784" s="117" t="s">
        <v>5845</v>
      </c>
      <c r="C3784" t="s">
        <v>67</v>
      </c>
      <c r="D3784" t="s">
        <v>67</v>
      </c>
      <c r="E3784" t="s">
        <v>67</v>
      </c>
      <c r="F3784" t="s">
        <v>45</v>
      </c>
      <c r="G3784" s="117">
        <v>2.58</v>
      </c>
    </row>
    <row r="3785" spans="1:7" x14ac:dyDescent="0.25">
      <c r="A3785" s="116" t="s">
        <v>5846</v>
      </c>
      <c r="B3785" s="117" t="s">
        <v>5811</v>
      </c>
      <c r="C3785" t="s">
        <v>67</v>
      </c>
      <c r="D3785" t="s">
        <v>67</v>
      </c>
      <c r="E3785" t="s">
        <v>67</v>
      </c>
      <c r="F3785" t="s">
        <v>27987</v>
      </c>
      <c r="G3785" s="117">
        <v>0.8</v>
      </c>
    </row>
    <row r="3786" spans="1:7" x14ac:dyDescent="0.25">
      <c r="A3786" s="116" t="s">
        <v>5847</v>
      </c>
      <c r="B3786" s="117" t="s">
        <v>5848</v>
      </c>
      <c r="C3786" t="s">
        <v>67</v>
      </c>
      <c r="D3786" t="s">
        <v>67</v>
      </c>
      <c r="E3786" t="s">
        <v>67</v>
      </c>
      <c r="F3786" t="s">
        <v>49</v>
      </c>
      <c r="G3786" s="117">
        <v>0.89</v>
      </c>
    </row>
    <row r="3787" spans="1:7" x14ac:dyDescent="0.25">
      <c r="A3787" s="116" t="s">
        <v>5849</v>
      </c>
      <c r="B3787" s="117" t="s">
        <v>5575</v>
      </c>
      <c r="C3787" t="s">
        <v>67</v>
      </c>
      <c r="D3787" t="s">
        <v>67</v>
      </c>
      <c r="E3787" t="s">
        <v>67</v>
      </c>
      <c r="F3787" t="s">
        <v>49</v>
      </c>
      <c r="G3787" s="117">
        <v>1.33</v>
      </c>
    </row>
    <row r="3788" spans="1:7" x14ac:dyDescent="0.25">
      <c r="A3788" s="116" t="s">
        <v>5850</v>
      </c>
      <c r="B3788" s="117" t="s">
        <v>5851</v>
      </c>
      <c r="C3788" t="s">
        <v>67</v>
      </c>
      <c r="D3788" t="s">
        <v>67</v>
      </c>
      <c r="E3788" t="s">
        <v>67</v>
      </c>
      <c r="F3788" t="s">
        <v>27987</v>
      </c>
      <c r="G3788" s="117">
        <v>1.33</v>
      </c>
    </row>
    <row r="3789" spans="1:7" x14ac:dyDescent="0.25">
      <c r="A3789" s="116" t="s">
        <v>5852</v>
      </c>
      <c r="B3789" s="117" t="s">
        <v>268</v>
      </c>
      <c r="C3789" t="s">
        <v>67</v>
      </c>
      <c r="D3789" t="s">
        <v>67</v>
      </c>
      <c r="E3789" t="s">
        <v>67</v>
      </c>
      <c r="F3789" t="s">
        <v>27987</v>
      </c>
      <c r="G3789" s="117">
        <v>6.68</v>
      </c>
    </row>
    <row r="3790" spans="1:7" x14ac:dyDescent="0.25">
      <c r="A3790" s="116" t="s">
        <v>5853</v>
      </c>
      <c r="B3790" s="117" t="s">
        <v>5575</v>
      </c>
      <c r="C3790" t="s">
        <v>67</v>
      </c>
      <c r="D3790" t="s">
        <v>67</v>
      </c>
      <c r="E3790" t="s">
        <v>67</v>
      </c>
      <c r="F3790" t="s">
        <v>27987</v>
      </c>
      <c r="G3790" s="117">
        <v>1.33</v>
      </c>
    </row>
    <row r="3791" spans="1:7" x14ac:dyDescent="0.25">
      <c r="A3791" s="116" t="s">
        <v>5854</v>
      </c>
      <c r="B3791" s="117" t="s">
        <v>5855</v>
      </c>
      <c r="C3791" t="s">
        <v>67</v>
      </c>
      <c r="D3791" t="s">
        <v>67</v>
      </c>
      <c r="E3791" t="s">
        <v>67</v>
      </c>
      <c r="F3791" t="s">
        <v>45</v>
      </c>
      <c r="G3791" s="117">
        <v>2.58</v>
      </c>
    </row>
    <row r="3792" spans="1:7" x14ac:dyDescent="0.25">
      <c r="A3792" s="116" t="s">
        <v>5856</v>
      </c>
      <c r="B3792" s="117" t="s">
        <v>5857</v>
      </c>
      <c r="C3792" t="s">
        <v>67</v>
      </c>
      <c r="D3792" t="s">
        <v>67</v>
      </c>
      <c r="E3792" t="s">
        <v>67</v>
      </c>
      <c r="F3792" t="s">
        <v>27987</v>
      </c>
      <c r="G3792" s="117">
        <v>14.14</v>
      </c>
    </row>
    <row r="3793" spans="1:7" x14ac:dyDescent="0.25">
      <c r="A3793" s="116" t="s">
        <v>5858</v>
      </c>
      <c r="B3793" s="117" t="s">
        <v>5859</v>
      </c>
      <c r="C3793" t="s">
        <v>67</v>
      </c>
      <c r="D3793" t="s">
        <v>67</v>
      </c>
      <c r="E3793" t="s">
        <v>67</v>
      </c>
      <c r="F3793" t="s">
        <v>27990</v>
      </c>
      <c r="G3793" s="117">
        <v>9.35</v>
      </c>
    </row>
    <row r="3794" spans="1:7" x14ac:dyDescent="0.25">
      <c r="A3794" s="116" t="s">
        <v>5860</v>
      </c>
      <c r="B3794" s="117" t="s">
        <v>5861</v>
      </c>
      <c r="C3794" t="s">
        <v>67</v>
      </c>
      <c r="D3794" t="s">
        <v>67</v>
      </c>
      <c r="E3794" t="s">
        <v>67</v>
      </c>
      <c r="F3794" t="s">
        <v>27990</v>
      </c>
      <c r="G3794" s="117">
        <v>9.35</v>
      </c>
    </row>
    <row r="3795" spans="1:7" x14ac:dyDescent="0.25">
      <c r="A3795" s="116" t="s">
        <v>5862</v>
      </c>
      <c r="B3795" s="117" t="s">
        <v>5863</v>
      </c>
      <c r="C3795" t="s">
        <v>67</v>
      </c>
      <c r="D3795" t="s">
        <v>67</v>
      </c>
      <c r="E3795" t="s">
        <v>67</v>
      </c>
      <c r="F3795" t="s">
        <v>51</v>
      </c>
      <c r="G3795" s="117">
        <v>1.69</v>
      </c>
    </row>
    <row r="3796" spans="1:7" x14ac:dyDescent="0.25">
      <c r="A3796" s="116" t="s">
        <v>5864</v>
      </c>
      <c r="B3796" s="117" t="s">
        <v>5569</v>
      </c>
      <c r="C3796" t="s">
        <v>67</v>
      </c>
      <c r="D3796" t="s">
        <v>67</v>
      </c>
      <c r="E3796" t="s">
        <v>67</v>
      </c>
      <c r="F3796" t="s">
        <v>27987</v>
      </c>
      <c r="G3796" s="117">
        <v>1.69</v>
      </c>
    </row>
    <row r="3797" spans="1:7" x14ac:dyDescent="0.25">
      <c r="A3797" s="116" t="s">
        <v>5865</v>
      </c>
      <c r="B3797" s="117" t="s">
        <v>5866</v>
      </c>
      <c r="C3797" t="s">
        <v>67</v>
      </c>
      <c r="D3797" t="s">
        <v>67</v>
      </c>
      <c r="E3797" t="s">
        <v>67</v>
      </c>
      <c r="F3797" t="s">
        <v>49</v>
      </c>
      <c r="G3797" s="117">
        <v>1.69</v>
      </c>
    </row>
    <row r="3798" spans="1:7" x14ac:dyDescent="0.25">
      <c r="A3798" s="116" t="s">
        <v>5867</v>
      </c>
      <c r="B3798" s="117" t="s">
        <v>5868</v>
      </c>
      <c r="C3798" t="s">
        <v>67</v>
      </c>
      <c r="D3798" t="s">
        <v>67</v>
      </c>
      <c r="E3798" t="s">
        <v>67</v>
      </c>
      <c r="F3798" t="s">
        <v>49</v>
      </c>
      <c r="G3798" s="117">
        <v>3.12</v>
      </c>
    </row>
    <row r="3799" spans="1:7" x14ac:dyDescent="0.25">
      <c r="A3799" s="116" t="s">
        <v>5869</v>
      </c>
      <c r="B3799" s="117" t="s">
        <v>5870</v>
      </c>
      <c r="C3799" t="s">
        <v>67</v>
      </c>
      <c r="D3799" t="s">
        <v>67</v>
      </c>
      <c r="E3799" t="s">
        <v>67</v>
      </c>
      <c r="F3799" t="s">
        <v>49</v>
      </c>
      <c r="G3799" s="117">
        <v>2.58</v>
      </c>
    </row>
    <row r="3800" spans="1:7" x14ac:dyDescent="0.25">
      <c r="A3800" s="116" t="s">
        <v>5871</v>
      </c>
      <c r="B3800" s="117" t="s">
        <v>5870</v>
      </c>
      <c r="C3800" t="s">
        <v>67</v>
      </c>
      <c r="D3800" t="s">
        <v>67</v>
      </c>
      <c r="E3800" t="s">
        <v>67</v>
      </c>
      <c r="F3800" t="s">
        <v>27990</v>
      </c>
      <c r="G3800" s="117">
        <v>2.46</v>
      </c>
    </row>
    <row r="3801" spans="1:7" x14ac:dyDescent="0.25">
      <c r="A3801" s="116" t="s">
        <v>5872</v>
      </c>
      <c r="B3801" s="117" t="s">
        <v>5873</v>
      </c>
      <c r="C3801" t="s">
        <v>67</v>
      </c>
      <c r="D3801" t="s">
        <v>67</v>
      </c>
      <c r="E3801" t="s">
        <v>67</v>
      </c>
      <c r="F3801" t="s">
        <v>51</v>
      </c>
      <c r="G3801" s="117">
        <v>3.31</v>
      </c>
    </row>
    <row r="3802" spans="1:7" x14ac:dyDescent="0.25">
      <c r="A3802" s="116" t="s">
        <v>5874</v>
      </c>
      <c r="B3802" s="117" t="s">
        <v>5875</v>
      </c>
      <c r="C3802" t="s">
        <v>67</v>
      </c>
      <c r="D3802" t="s">
        <v>67</v>
      </c>
      <c r="E3802" t="s">
        <v>67</v>
      </c>
      <c r="F3802" t="s">
        <v>27990</v>
      </c>
      <c r="G3802" s="117">
        <v>22.16</v>
      </c>
    </row>
    <row r="3803" spans="1:7" x14ac:dyDescent="0.25">
      <c r="A3803" s="116" t="s">
        <v>5876</v>
      </c>
      <c r="B3803" s="117" t="s">
        <v>5877</v>
      </c>
      <c r="C3803" t="s">
        <v>67</v>
      </c>
      <c r="D3803" t="s">
        <v>67</v>
      </c>
      <c r="E3803" t="s">
        <v>67</v>
      </c>
      <c r="F3803" t="s">
        <v>49</v>
      </c>
      <c r="G3803" s="117">
        <v>29.27</v>
      </c>
    </row>
    <row r="3804" spans="1:7" x14ac:dyDescent="0.25">
      <c r="A3804" s="116" t="s">
        <v>5878</v>
      </c>
      <c r="B3804" s="117" t="s">
        <v>5879</v>
      </c>
      <c r="C3804" t="s">
        <v>67</v>
      </c>
      <c r="D3804" t="s">
        <v>67</v>
      </c>
      <c r="E3804" t="s">
        <v>67</v>
      </c>
      <c r="F3804" t="s">
        <v>49</v>
      </c>
      <c r="G3804" s="117">
        <v>3.56</v>
      </c>
    </row>
    <row r="3805" spans="1:7" x14ac:dyDescent="0.25">
      <c r="A3805" s="116" t="s">
        <v>5880</v>
      </c>
      <c r="B3805" s="117" t="s">
        <v>5881</v>
      </c>
      <c r="C3805" t="s">
        <v>67</v>
      </c>
      <c r="D3805" t="s">
        <v>67</v>
      </c>
      <c r="E3805" t="s">
        <v>67</v>
      </c>
      <c r="F3805" t="s">
        <v>27990</v>
      </c>
      <c r="G3805" s="117">
        <v>2.58</v>
      </c>
    </row>
    <row r="3806" spans="1:7" x14ac:dyDescent="0.25">
      <c r="A3806" s="116" t="s">
        <v>5882</v>
      </c>
      <c r="B3806" s="117" t="s">
        <v>5883</v>
      </c>
      <c r="C3806" t="s">
        <v>67</v>
      </c>
      <c r="D3806" t="s">
        <v>67</v>
      </c>
      <c r="E3806" t="s">
        <v>67</v>
      </c>
      <c r="F3806" t="s">
        <v>45</v>
      </c>
      <c r="G3806" s="117">
        <v>4.66</v>
      </c>
    </row>
    <row r="3807" spans="1:7" x14ac:dyDescent="0.25">
      <c r="A3807" s="116" t="s">
        <v>5884</v>
      </c>
      <c r="B3807" s="117" t="s">
        <v>5615</v>
      </c>
      <c r="C3807" t="s">
        <v>67</v>
      </c>
      <c r="D3807" t="s">
        <v>67</v>
      </c>
      <c r="E3807" t="s">
        <v>67</v>
      </c>
      <c r="F3807" t="s">
        <v>49</v>
      </c>
      <c r="G3807" s="117">
        <v>16.46</v>
      </c>
    </row>
    <row r="3808" spans="1:7" x14ac:dyDescent="0.25">
      <c r="A3808" s="116" t="s">
        <v>5885</v>
      </c>
      <c r="B3808" s="117" t="s">
        <v>5798</v>
      </c>
      <c r="C3808" t="s">
        <v>67</v>
      </c>
      <c r="D3808" t="s">
        <v>67</v>
      </c>
      <c r="E3808" t="s">
        <v>67</v>
      </c>
      <c r="F3808" t="s">
        <v>27987</v>
      </c>
      <c r="G3808" s="117">
        <v>30.17</v>
      </c>
    </row>
    <row r="3809" spans="1:7" x14ac:dyDescent="0.25">
      <c r="A3809" s="116" t="s">
        <v>5886</v>
      </c>
      <c r="B3809" s="117" t="s">
        <v>5887</v>
      </c>
      <c r="C3809" t="s">
        <v>67</v>
      </c>
      <c r="D3809" t="s">
        <v>67</v>
      </c>
      <c r="E3809" t="s">
        <v>67</v>
      </c>
      <c r="F3809" t="s">
        <v>49</v>
      </c>
      <c r="G3809" s="117">
        <v>4.8899999999999997</v>
      </c>
    </row>
    <row r="3810" spans="1:7" x14ac:dyDescent="0.25">
      <c r="A3810" s="116" t="s">
        <v>5888</v>
      </c>
      <c r="B3810" s="117" t="s">
        <v>5889</v>
      </c>
      <c r="C3810" t="s">
        <v>67</v>
      </c>
      <c r="D3810" t="s">
        <v>67</v>
      </c>
      <c r="E3810" t="s">
        <v>67</v>
      </c>
      <c r="F3810" t="s">
        <v>49</v>
      </c>
      <c r="G3810" s="117">
        <v>0.88</v>
      </c>
    </row>
    <row r="3811" spans="1:7" x14ac:dyDescent="0.25">
      <c r="A3811" s="116" t="s">
        <v>5890</v>
      </c>
      <c r="B3811" s="117" t="s">
        <v>5891</v>
      </c>
      <c r="C3811" t="s">
        <v>67</v>
      </c>
      <c r="D3811" t="s">
        <v>67</v>
      </c>
      <c r="E3811" t="s">
        <v>67</v>
      </c>
      <c r="F3811" t="s">
        <v>49</v>
      </c>
      <c r="G3811" s="117">
        <v>15.57</v>
      </c>
    </row>
    <row r="3812" spans="1:7" x14ac:dyDescent="0.25">
      <c r="A3812" s="116" t="s">
        <v>5892</v>
      </c>
      <c r="B3812" s="117" t="s">
        <v>5893</v>
      </c>
      <c r="C3812" t="s">
        <v>67</v>
      </c>
      <c r="D3812" t="s">
        <v>67</v>
      </c>
      <c r="E3812" t="s">
        <v>67</v>
      </c>
      <c r="F3812" t="s">
        <v>27987</v>
      </c>
      <c r="G3812" s="117">
        <v>1.77</v>
      </c>
    </row>
    <row r="3813" spans="1:7" x14ac:dyDescent="0.25">
      <c r="A3813" s="116" t="s">
        <v>5894</v>
      </c>
      <c r="B3813" s="117" t="s">
        <v>5895</v>
      </c>
      <c r="C3813" t="s">
        <v>67</v>
      </c>
      <c r="D3813" t="s">
        <v>67</v>
      </c>
      <c r="E3813" t="s">
        <v>67</v>
      </c>
      <c r="F3813" t="s">
        <v>27987</v>
      </c>
      <c r="G3813" s="117">
        <v>3.48</v>
      </c>
    </row>
    <row r="3814" spans="1:7" x14ac:dyDescent="0.25">
      <c r="A3814" s="116" t="s">
        <v>5896</v>
      </c>
      <c r="B3814" s="117" t="s">
        <v>5897</v>
      </c>
      <c r="C3814" t="s">
        <v>67</v>
      </c>
      <c r="D3814" t="s">
        <v>67</v>
      </c>
      <c r="E3814" t="s">
        <v>67</v>
      </c>
      <c r="F3814" t="s">
        <v>45</v>
      </c>
      <c r="G3814" s="117">
        <v>3.56</v>
      </c>
    </row>
    <row r="3815" spans="1:7" x14ac:dyDescent="0.25">
      <c r="A3815" s="116" t="s">
        <v>5898</v>
      </c>
      <c r="B3815" s="117" t="s">
        <v>5899</v>
      </c>
      <c r="C3815" t="s">
        <v>67</v>
      </c>
      <c r="D3815" t="s">
        <v>67</v>
      </c>
      <c r="E3815" t="s">
        <v>67</v>
      </c>
      <c r="F3815" t="s">
        <v>49</v>
      </c>
      <c r="G3815" s="117">
        <v>4.8899999999999997</v>
      </c>
    </row>
    <row r="3816" spans="1:7" x14ac:dyDescent="0.25">
      <c r="A3816" s="116" t="s">
        <v>5900</v>
      </c>
      <c r="B3816" s="117" t="s">
        <v>5901</v>
      </c>
      <c r="C3816" t="s">
        <v>67</v>
      </c>
      <c r="D3816" t="s">
        <v>67</v>
      </c>
      <c r="E3816" t="s">
        <v>67</v>
      </c>
      <c r="F3816" t="s">
        <v>27990</v>
      </c>
      <c r="G3816" s="117">
        <v>2.23</v>
      </c>
    </row>
    <row r="3817" spans="1:7" x14ac:dyDescent="0.25">
      <c r="A3817" s="116" t="s">
        <v>5902</v>
      </c>
      <c r="B3817" s="117" t="s">
        <v>5903</v>
      </c>
      <c r="C3817" t="s">
        <v>67</v>
      </c>
      <c r="D3817" t="s">
        <v>67</v>
      </c>
      <c r="E3817" t="s">
        <v>67</v>
      </c>
      <c r="F3817" t="s">
        <v>49</v>
      </c>
      <c r="G3817" s="117">
        <v>3.56</v>
      </c>
    </row>
    <row r="3818" spans="1:7" x14ac:dyDescent="0.25">
      <c r="A3818" s="116" t="s">
        <v>5904</v>
      </c>
      <c r="B3818" s="117" t="s">
        <v>5905</v>
      </c>
      <c r="C3818" t="s">
        <v>67</v>
      </c>
      <c r="D3818" t="s">
        <v>67</v>
      </c>
      <c r="E3818" t="s">
        <v>67</v>
      </c>
      <c r="F3818" t="s">
        <v>45</v>
      </c>
      <c r="G3818" s="117">
        <v>3.12</v>
      </c>
    </row>
    <row r="3819" spans="1:7" x14ac:dyDescent="0.25">
      <c r="A3819" s="116" t="s">
        <v>5906</v>
      </c>
      <c r="B3819" s="117" t="s">
        <v>5907</v>
      </c>
      <c r="C3819" t="s">
        <v>67</v>
      </c>
      <c r="D3819" t="s">
        <v>67</v>
      </c>
      <c r="E3819" t="s">
        <v>67</v>
      </c>
      <c r="F3819" t="s">
        <v>27987</v>
      </c>
      <c r="G3819" s="117">
        <v>3.56</v>
      </c>
    </row>
    <row r="3820" spans="1:7" x14ac:dyDescent="0.25">
      <c r="A3820" s="116" t="s">
        <v>5908</v>
      </c>
      <c r="B3820" s="117" t="s">
        <v>5909</v>
      </c>
      <c r="C3820" t="s">
        <v>67</v>
      </c>
      <c r="D3820" t="s">
        <v>67</v>
      </c>
      <c r="E3820" t="s">
        <v>67</v>
      </c>
      <c r="F3820" t="s">
        <v>27987</v>
      </c>
      <c r="G3820" s="117">
        <v>1.33</v>
      </c>
    </row>
    <row r="3821" spans="1:7" x14ac:dyDescent="0.25">
      <c r="A3821" s="116" t="s">
        <v>5910</v>
      </c>
      <c r="B3821" s="117" t="s">
        <v>5911</v>
      </c>
      <c r="C3821" t="s">
        <v>67</v>
      </c>
      <c r="D3821" t="s">
        <v>67</v>
      </c>
      <c r="E3821" t="s">
        <v>67</v>
      </c>
      <c r="F3821" t="s">
        <v>49</v>
      </c>
      <c r="G3821" s="117">
        <v>11.12</v>
      </c>
    </row>
    <row r="3822" spans="1:7" x14ac:dyDescent="0.25">
      <c r="A3822" s="116" t="s">
        <v>5912</v>
      </c>
      <c r="B3822" s="117" t="s">
        <v>5913</v>
      </c>
      <c r="C3822" t="s">
        <v>67</v>
      </c>
      <c r="D3822" t="s">
        <v>67</v>
      </c>
      <c r="E3822" t="s">
        <v>67</v>
      </c>
      <c r="F3822" t="s">
        <v>49</v>
      </c>
      <c r="G3822" s="117">
        <v>3.12</v>
      </c>
    </row>
    <row r="3823" spans="1:7" x14ac:dyDescent="0.25">
      <c r="A3823" s="116" t="s">
        <v>5914</v>
      </c>
      <c r="B3823" s="117" t="s">
        <v>5915</v>
      </c>
      <c r="C3823" t="s">
        <v>67</v>
      </c>
      <c r="D3823" t="s">
        <v>67</v>
      </c>
      <c r="E3823" t="s">
        <v>67</v>
      </c>
      <c r="F3823" t="s">
        <v>27987</v>
      </c>
      <c r="G3823" s="117">
        <v>2.58</v>
      </c>
    </row>
    <row r="3824" spans="1:7" x14ac:dyDescent="0.25">
      <c r="A3824" s="116" t="s">
        <v>5916</v>
      </c>
      <c r="B3824" s="117" t="s">
        <v>5917</v>
      </c>
      <c r="C3824" t="s">
        <v>67</v>
      </c>
      <c r="D3824" t="s">
        <v>67</v>
      </c>
      <c r="E3824" t="s">
        <v>67</v>
      </c>
      <c r="F3824" t="s">
        <v>49</v>
      </c>
      <c r="G3824" s="117">
        <v>3.12</v>
      </c>
    </row>
    <row r="3825" spans="1:7" x14ac:dyDescent="0.25">
      <c r="A3825" s="116" t="s">
        <v>5918</v>
      </c>
      <c r="B3825" s="117" t="s">
        <v>5919</v>
      </c>
      <c r="C3825" t="s">
        <v>67</v>
      </c>
      <c r="D3825" t="s">
        <v>67</v>
      </c>
      <c r="E3825" t="s">
        <v>67</v>
      </c>
      <c r="F3825" t="s">
        <v>49</v>
      </c>
      <c r="G3825" s="117">
        <v>3.56</v>
      </c>
    </row>
    <row r="3826" spans="1:7" x14ac:dyDescent="0.25">
      <c r="A3826" s="116" t="s">
        <v>5920</v>
      </c>
      <c r="B3826" s="117" t="s">
        <v>5921</v>
      </c>
      <c r="C3826" t="s">
        <v>67</v>
      </c>
      <c r="D3826" t="s">
        <v>67</v>
      </c>
      <c r="E3826" t="s">
        <v>67</v>
      </c>
      <c r="F3826" t="s">
        <v>49</v>
      </c>
      <c r="G3826" s="117">
        <v>9.6999999999999993</v>
      </c>
    </row>
    <row r="3827" spans="1:7" x14ac:dyDescent="0.25">
      <c r="A3827" s="116" t="s">
        <v>5922</v>
      </c>
      <c r="B3827" s="117" t="s">
        <v>5923</v>
      </c>
      <c r="C3827" t="s">
        <v>67</v>
      </c>
      <c r="D3827" t="s">
        <v>67</v>
      </c>
      <c r="E3827" t="s">
        <v>67</v>
      </c>
      <c r="F3827" t="s">
        <v>49</v>
      </c>
      <c r="G3827" s="117">
        <v>3.48</v>
      </c>
    </row>
    <row r="3828" spans="1:7" x14ac:dyDescent="0.25">
      <c r="A3828" s="116" t="s">
        <v>5924</v>
      </c>
      <c r="B3828" s="117" t="s">
        <v>5925</v>
      </c>
      <c r="C3828" t="s">
        <v>67</v>
      </c>
      <c r="D3828" t="s">
        <v>67</v>
      </c>
      <c r="E3828" t="s">
        <v>67</v>
      </c>
      <c r="F3828" t="s">
        <v>27987</v>
      </c>
      <c r="G3828" s="117">
        <v>4.3600000000000003</v>
      </c>
    </row>
    <row r="3829" spans="1:7" x14ac:dyDescent="0.25">
      <c r="A3829" s="116" t="s">
        <v>5926</v>
      </c>
      <c r="B3829" s="117" t="s">
        <v>5923</v>
      </c>
      <c r="C3829" t="s">
        <v>67</v>
      </c>
      <c r="D3829" t="s">
        <v>67</v>
      </c>
      <c r="E3829" t="s">
        <v>67</v>
      </c>
      <c r="F3829" t="s">
        <v>27990</v>
      </c>
      <c r="G3829" s="117">
        <v>5</v>
      </c>
    </row>
    <row r="3830" spans="1:7" x14ac:dyDescent="0.25">
      <c r="A3830" s="116" t="s">
        <v>28183</v>
      </c>
      <c r="B3830" s="117" t="s">
        <v>28184</v>
      </c>
      <c r="C3830" t="s">
        <v>67</v>
      </c>
      <c r="D3830" t="s">
        <v>67</v>
      </c>
      <c r="E3830" t="s">
        <v>67</v>
      </c>
      <c r="F3830" t="s">
        <v>45</v>
      </c>
      <c r="G3830" s="117">
        <v>2.39</v>
      </c>
    </row>
    <row r="3831" spans="1:7" x14ac:dyDescent="0.25">
      <c r="A3831" s="116" t="s">
        <v>5927</v>
      </c>
      <c r="B3831" s="117" t="s">
        <v>5928</v>
      </c>
      <c r="C3831" t="s">
        <v>67</v>
      </c>
      <c r="D3831" t="s">
        <v>67</v>
      </c>
      <c r="E3831" t="s">
        <v>67</v>
      </c>
      <c r="F3831" t="s">
        <v>27987</v>
      </c>
      <c r="G3831" s="117">
        <v>8.4499999999999993</v>
      </c>
    </row>
    <row r="3832" spans="1:7" x14ac:dyDescent="0.25">
      <c r="A3832" s="116" t="s">
        <v>5929</v>
      </c>
      <c r="B3832" s="117" t="s">
        <v>5930</v>
      </c>
      <c r="C3832" t="s">
        <v>67</v>
      </c>
      <c r="D3832" t="s">
        <v>67</v>
      </c>
      <c r="E3832" t="s">
        <v>67</v>
      </c>
      <c r="F3832" t="s">
        <v>45</v>
      </c>
      <c r="G3832" s="117">
        <v>16.86</v>
      </c>
    </row>
    <row r="3833" spans="1:7" x14ac:dyDescent="0.25">
      <c r="A3833" s="116" t="s">
        <v>5931</v>
      </c>
      <c r="B3833" s="117" t="s">
        <v>28635</v>
      </c>
      <c r="C3833" t="s">
        <v>67</v>
      </c>
      <c r="D3833" t="s">
        <v>67</v>
      </c>
      <c r="E3833" t="s">
        <v>67</v>
      </c>
      <c r="F3833" t="s">
        <v>27990</v>
      </c>
      <c r="G3833" s="117">
        <v>49.58</v>
      </c>
    </row>
    <row r="3834" spans="1:7" x14ac:dyDescent="0.25">
      <c r="A3834" s="116" t="s">
        <v>5932</v>
      </c>
      <c r="B3834" s="117" t="s">
        <v>5811</v>
      </c>
      <c r="C3834" t="s">
        <v>67</v>
      </c>
      <c r="D3834" t="s">
        <v>67</v>
      </c>
      <c r="E3834" t="s">
        <v>67</v>
      </c>
      <c r="F3834" t="s">
        <v>51</v>
      </c>
      <c r="G3834" s="117">
        <v>7.2</v>
      </c>
    </row>
    <row r="3835" spans="1:7" x14ac:dyDescent="0.25">
      <c r="A3835" s="116" t="s">
        <v>5933</v>
      </c>
      <c r="B3835" s="117" t="s">
        <v>5934</v>
      </c>
      <c r="C3835" t="s">
        <v>67</v>
      </c>
      <c r="D3835" t="s">
        <v>67</v>
      </c>
      <c r="E3835" t="s">
        <v>67</v>
      </c>
      <c r="F3835" t="s">
        <v>51</v>
      </c>
      <c r="G3835" s="117">
        <v>54.66</v>
      </c>
    </row>
    <row r="3836" spans="1:7" x14ac:dyDescent="0.25">
      <c r="A3836" s="116" t="s">
        <v>5935</v>
      </c>
      <c r="B3836" s="117" t="s">
        <v>5766</v>
      </c>
      <c r="C3836" t="s">
        <v>67</v>
      </c>
      <c r="D3836" t="s">
        <v>67</v>
      </c>
      <c r="E3836" t="s">
        <v>67</v>
      </c>
      <c r="F3836" t="s">
        <v>51</v>
      </c>
      <c r="G3836" s="117">
        <v>17.37</v>
      </c>
    </row>
    <row r="3837" spans="1:7" x14ac:dyDescent="0.25">
      <c r="A3837" s="116" t="s">
        <v>5936</v>
      </c>
      <c r="B3837" s="117" t="s">
        <v>5730</v>
      </c>
      <c r="C3837" t="s">
        <v>67</v>
      </c>
      <c r="D3837" t="s">
        <v>67</v>
      </c>
      <c r="E3837" t="s">
        <v>67</v>
      </c>
      <c r="F3837" t="s">
        <v>51</v>
      </c>
      <c r="G3837" s="117">
        <v>13.47</v>
      </c>
    </row>
    <row r="3838" spans="1:7" x14ac:dyDescent="0.25">
      <c r="A3838" s="116" t="s">
        <v>5937</v>
      </c>
      <c r="B3838" s="117" t="s">
        <v>5831</v>
      </c>
      <c r="C3838" t="s">
        <v>67</v>
      </c>
      <c r="D3838" t="s">
        <v>67</v>
      </c>
      <c r="E3838" t="s">
        <v>67</v>
      </c>
      <c r="F3838" t="s">
        <v>51</v>
      </c>
      <c r="G3838" s="117">
        <v>10.93</v>
      </c>
    </row>
    <row r="3839" spans="1:7" x14ac:dyDescent="0.25">
      <c r="A3839" s="116" t="s">
        <v>5938</v>
      </c>
      <c r="B3839" s="117" t="s">
        <v>5939</v>
      </c>
      <c r="C3839" t="s">
        <v>67</v>
      </c>
      <c r="D3839" t="s">
        <v>67</v>
      </c>
      <c r="E3839" t="s">
        <v>67</v>
      </c>
      <c r="F3839" t="s">
        <v>27987</v>
      </c>
      <c r="G3839" s="117">
        <v>0.44</v>
      </c>
    </row>
    <row r="3840" spans="1:7" x14ac:dyDescent="0.25">
      <c r="A3840" s="116" t="s">
        <v>5940</v>
      </c>
      <c r="B3840" s="117" t="s">
        <v>5941</v>
      </c>
      <c r="C3840" t="s">
        <v>67</v>
      </c>
      <c r="D3840" t="s">
        <v>67</v>
      </c>
      <c r="E3840" t="s">
        <v>67</v>
      </c>
      <c r="F3840" t="s">
        <v>27987</v>
      </c>
      <c r="G3840" s="117">
        <v>5.33</v>
      </c>
    </row>
    <row r="3841" spans="1:7" x14ac:dyDescent="0.25">
      <c r="A3841" s="116" t="s">
        <v>5942</v>
      </c>
      <c r="B3841" s="117" t="s">
        <v>5575</v>
      </c>
      <c r="C3841" t="s">
        <v>67</v>
      </c>
      <c r="D3841" t="s">
        <v>67</v>
      </c>
      <c r="E3841" t="s">
        <v>67</v>
      </c>
      <c r="F3841" t="s">
        <v>51</v>
      </c>
      <c r="G3841" s="117">
        <v>6.78</v>
      </c>
    </row>
    <row r="3842" spans="1:7" x14ac:dyDescent="0.25">
      <c r="A3842" s="116" t="s">
        <v>5943</v>
      </c>
      <c r="B3842" s="117" t="s">
        <v>5944</v>
      </c>
      <c r="C3842" t="s">
        <v>67</v>
      </c>
      <c r="D3842" t="s">
        <v>67</v>
      </c>
      <c r="E3842" t="s">
        <v>67</v>
      </c>
      <c r="F3842" t="s">
        <v>27990</v>
      </c>
      <c r="G3842" s="117">
        <v>21.26</v>
      </c>
    </row>
    <row r="3843" spans="1:7" x14ac:dyDescent="0.25">
      <c r="A3843" s="116" t="s">
        <v>5945</v>
      </c>
      <c r="B3843" s="117" t="s">
        <v>5946</v>
      </c>
      <c r="C3843" t="s">
        <v>67</v>
      </c>
      <c r="D3843" t="s">
        <v>67</v>
      </c>
      <c r="E3843" t="s">
        <v>67</v>
      </c>
      <c r="F3843" t="s">
        <v>27990</v>
      </c>
      <c r="G3843" s="117">
        <v>17.7</v>
      </c>
    </row>
    <row r="3844" spans="1:7" x14ac:dyDescent="0.25">
      <c r="A3844" s="116" t="s">
        <v>5947</v>
      </c>
      <c r="B3844" s="117" t="s">
        <v>5948</v>
      </c>
      <c r="C3844" t="s">
        <v>67</v>
      </c>
      <c r="D3844" t="s">
        <v>67</v>
      </c>
      <c r="E3844" t="s">
        <v>67</v>
      </c>
      <c r="F3844" t="s">
        <v>27990</v>
      </c>
      <c r="G3844" s="117">
        <v>23.94</v>
      </c>
    </row>
    <row r="3845" spans="1:7" x14ac:dyDescent="0.25">
      <c r="A3845" s="116" t="s">
        <v>5949</v>
      </c>
      <c r="B3845" s="117" t="s">
        <v>5950</v>
      </c>
      <c r="C3845" t="s">
        <v>67</v>
      </c>
      <c r="D3845" t="s">
        <v>67</v>
      </c>
      <c r="E3845" t="s">
        <v>67</v>
      </c>
      <c r="F3845" t="s">
        <v>49</v>
      </c>
      <c r="G3845" s="117">
        <v>3.56</v>
      </c>
    </row>
    <row r="3846" spans="1:7" x14ac:dyDescent="0.25">
      <c r="A3846" s="116" t="s">
        <v>5951</v>
      </c>
      <c r="B3846" s="117" t="s">
        <v>5952</v>
      </c>
      <c r="C3846" t="s">
        <v>67</v>
      </c>
      <c r="D3846" t="s">
        <v>67</v>
      </c>
      <c r="E3846" t="s">
        <v>67</v>
      </c>
      <c r="F3846" t="s">
        <v>27987</v>
      </c>
      <c r="G3846" s="117">
        <v>8.81</v>
      </c>
    </row>
    <row r="3847" spans="1:7" x14ac:dyDescent="0.25">
      <c r="A3847" s="116" t="s">
        <v>5953</v>
      </c>
      <c r="B3847" s="117" t="s">
        <v>5954</v>
      </c>
      <c r="C3847" t="s">
        <v>67</v>
      </c>
      <c r="D3847" t="s">
        <v>67</v>
      </c>
      <c r="E3847" t="s">
        <v>67</v>
      </c>
      <c r="F3847" t="s">
        <v>49</v>
      </c>
      <c r="G3847" s="117">
        <v>14.14</v>
      </c>
    </row>
    <row r="3848" spans="1:7" x14ac:dyDescent="0.25">
      <c r="A3848" s="116" t="s">
        <v>5955</v>
      </c>
      <c r="B3848" s="117" t="s">
        <v>5956</v>
      </c>
      <c r="C3848" t="s">
        <v>67</v>
      </c>
      <c r="D3848" t="s">
        <v>67</v>
      </c>
      <c r="E3848" t="s">
        <v>67</v>
      </c>
      <c r="F3848" t="s">
        <v>51</v>
      </c>
      <c r="G3848" s="117">
        <v>6.69</v>
      </c>
    </row>
    <row r="3849" spans="1:7" x14ac:dyDescent="0.25">
      <c r="A3849" s="116" t="s">
        <v>5957</v>
      </c>
      <c r="B3849" s="117" t="s">
        <v>5958</v>
      </c>
      <c r="C3849" t="s">
        <v>67</v>
      </c>
      <c r="D3849" t="s">
        <v>67</v>
      </c>
      <c r="E3849" t="s">
        <v>67</v>
      </c>
      <c r="F3849" t="s">
        <v>27987</v>
      </c>
      <c r="G3849" s="117">
        <v>2.58</v>
      </c>
    </row>
    <row r="3850" spans="1:7" x14ac:dyDescent="0.25">
      <c r="A3850" s="116" t="s">
        <v>5959</v>
      </c>
      <c r="B3850" s="117" t="s">
        <v>5863</v>
      </c>
      <c r="C3850" t="s">
        <v>67</v>
      </c>
      <c r="D3850" t="s">
        <v>67</v>
      </c>
      <c r="E3850" t="s">
        <v>67</v>
      </c>
      <c r="F3850" t="s">
        <v>27987</v>
      </c>
      <c r="G3850" s="117">
        <v>1.44</v>
      </c>
    </row>
    <row r="3851" spans="1:7" x14ac:dyDescent="0.25">
      <c r="A3851" s="116" t="s">
        <v>5960</v>
      </c>
      <c r="B3851" s="117" t="s">
        <v>5961</v>
      </c>
      <c r="C3851" t="s">
        <v>67</v>
      </c>
      <c r="D3851" t="s">
        <v>67</v>
      </c>
      <c r="E3851" t="s">
        <v>67</v>
      </c>
      <c r="F3851" t="s">
        <v>27987</v>
      </c>
      <c r="G3851" s="117">
        <v>1.63</v>
      </c>
    </row>
    <row r="3852" spans="1:7" x14ac:dyDescent="0.25">
      <c r="A3852" s="116" t="s">
        <v>5962</v>
      </c>
      <c r="B3852" s="117" t="s">
        <v>5963</v>
      </c>
      <c r="C3852" t="s">
        <v>67</v>
      </c>
      <c r="D3852" t="s">
        <v>67</v>
      </c>
      <c r="E3852" t="s">
        <v>67</v>
      </c>
      <c r="F3852" t="s">
        <v>27987</v>
      </c>
      <c r="G3852" s="117">
        <v>0.89</v>
      </c>
    </row>
    <row r="3853" spans="1:7" x14ac:dyDescent="0.25">
      <c r="A3853" s="116" t="s">
        <v>5964</v>
      </c>
      <c r="B3853" s="117" t="s">
        <v>5965</v>
      </c>
      <c r="C3853" t="s">
        <v>67</v>
      </c>
      <c r="D3853" t="s">
        <v>67</v>
      </c>
      <c r="E3853" t="s">
        <v>67</v>
      </c>
      <c r="F3853" t="s">
        <v>49</v>
      </c>
      <c r="G3853" s="117">
        <v>7.12</v>
      </c>
    </row>
    <row r="3854" spans="1:7" x14ac:dyDescent="0.25">
      <c r="A3854" s="116" t="s">
        <v>5966</v>
      </c>
      <c r="B3854" s="117" t="s">
        <v>5967</v>
      </c>
      <c r="C3854" t="s">
        <v>67</v>
      </c>
      <c r="D3854" t="s">
        <v>67</v>
      </c>
      <c r="E3854" t="s">
        <v>67</v>
      </c>
      <c r="F3854" t="s">
        <v>49</v>
      </c>
      <c r="G3854" s="117">
        <v>4.8899999999999997</v>
      </c>
    </row>
    <row r="3855" spans="1:7" x14ac:dyDescent="0.25">
      <c r="A3855" s="116" t="s">
        <v>5968</v>
      </c>
      <c r="B3855" s="117" t="s">
        <v>5969</v>
      </c>
      <c r="C3855" t="s">
        <v>67</v>
      </c>
      <c r="D3855" t="s">
        <v>67</v>
      </c>
      <c r="E3855" t="s">
        <v>67</v>
      </c>
      <c r="F3855" t="s">
        <v>27987</v>
      </c>
      <c r="G3855" s="117">
        <v>1.69</v>
      </c>
    </row>
    <row r="3856" spans="1:7" x14ac:dyDescent="0.25">
      <c r="A3856" s="116" t="s">
        <v>5970</v>
      </c>
      <c r="B3856" s="117" t="s">
        <v>5705</v>
      </c>
      <c r="C3856" t="s">
        <v>67</v>
      </c>
      <c r="D3856" t="s">
        <v>67</v>
      </c>
      <c r="E3856" t="s">
        <v>67</v>
      </c>
      <c r="F3856" t="s">
        <v>45</v>
      </c>
      <c r="G3856" s="117">
        <v>1.69</v>
      </c>
    </row>
    <row r="3857" spans="1:7" x14ac:dyDescent="0.25">
      <c r="A3857" s="116" t="s">
        <v>5971</v>
      </c>
      <c r="B3857" s="117" t="s">
        <v>5972</v>
      </c>
      <c r="C3857" t="s">
        <v>67</v>
      </c>
      <c r="D3857" t="s">
        <v>67</v>
      </c>
      <c r="E3857" t="s">
        <v>67</v>
      </c>
      <c r="F3857" t="s">
        <v>27987</v>
      </c>
      <c r="G3857" s="117">
        <v>12.01</v>
      </c>
    </row>
    <row r="3858" spans="1:7" x14ac:dyDescent="0.25">
      <c r="A3858" s="116" t="s">
        <v>5973</v>
      </c>
      <c r="B3858" s="117" t="s">
        <v>5974</v>
      </c>
      <c r="C3858" t="s">
        <v>67</v>
      </c>
      <c r="D3858" t="s">
        <v>67</v>
      </c>
      <c r="E3858" t="s">
        <v>67</v>
      </c>
      <c r="F3858" t="s">
        <v>27987</v>
      </c>
      <c r="G3858" s="117">
        <v>19.13</v>
      </c>
    </row>
    <row r="3859" spans="1:7" x14ac:dyDescent="0.25">
      <c r="A3859" s="116" t="s">
        <v>5975</v>
      </c>
      <c r="B3859" s="117" t="s">
        <v>5549</v>
      </c>
      <c r="C3859" t="s">
        <v>67</v>
      </c>
      <c r="D3859" t="s">
        <v>67</v>
      </c>
      <c r="E3859" t="s">
        <v>67</v>
      </c>
      <c r="F3859" t="s">
        <v>27987</v>
      </c>
      <c r="G3859" s="117">
        <v>0.48</v>
      </c>
    </row>
    <row r="3860" spans="1:7" x14ac:dyDescent="0.25">
      <c r="A3860" s="116" t="s">
        <v>5976</v>
      </c>
      <c r="B3860" s="117" t="s">
        <v>5803</v>
      </c>
      <c r="C3860" t="s">
        <v>67</v>
      </c>
      <c r="D3860" t="s">
        <v>67</v>
      </c>
      <c r="E3860" t="s">
        <v>67</v>
      </c>
      <c r="F3860" t="s">
        <v>27987</v>
      </c>
      <c r="G3860" s="117">
        <v>4.3600000000000003</v>
      </c>
    </row>
    <row r="3861" spans="1:7" x14ac:dyDescent="0.25">
      <c r="A3861" s="116" t="s">
        <v>5977</v>
      </c>
      <c r="B3861" s="117" t="s">
        <v>5659</v>
      </c>
      <c r="C3861" t="s">
        <v>67</v>
      </c>
      <c r="D3861" t="s">
        <v>67</v>
      </c>
      <c r="E3861" t="s">
        <v>67</v>
      </c>
      <c r="F3861" t="s">
        <v>27987</v>
      </c>
      <c r="G3861" s="117">
        <v>12.37</v>
      </c>
    </row>
    <row r="3862" spans="1:7" x14ac:dyDescent="0.25">
      <c r="A3862" s="116" t="s">
        <v>5978</v>
      </c>
      <c r="B3862" s="117" t="s">
        <v>28636</v>
      </c>
      <c r="C3862" t="s">
        <v>67</v>
      </c>
      <c r="D3862" t="s">
        <v>67</v>
      </c>
      <c r="E3862" t="s">
        <v>67</v>
      </c>
      <c r="F3862" t="s">
        <v>27987</v>
      </c>
      <c r="G3862" s="117">
        <v>1.55</v>
      </c>
    </row>
    <row r="3863" spans="1:7" x14ac:dyDescent="0.25">
      <c r="A3863" s="116" t="s">
        <v>5979</v>
      </c>
      <c r="B3863" s="117" t="s">
        <v>5980</v>
      </c>
      <c r="C3863" t="s">
        <v>67</v>
      </c>
      <c r="D3863" t="s">
        <v>67</v>
      </c>
      <c r="E3863" t="s">
        <v>67</v>
      </c>
      <c r="F3863" t="s">
        <v>27987</v>
      </c>
      <c r="G3863" s="117">
        <v>1.77</v>
      </c>
    </row>
    <row r="3864" spans="1:7" x14ac:dyDescent="0.25">
      <c r="A3864" s="116" t="s">
        <v>5981</v>
      </c>
      <c r="B3864" s="117" t="s">
        <v>5982</v>
      </c>
      <c r="C3864" t="s">
        <v>67</v>
      </c>
      <c r="D3864" t="s">
        <v>67</v>
      </c>
      <c r="E3864" t="s">
        <v>67</v>
      </c>
      <c r="F3864" t="s">
        <v>27987</v>
      </c>
      <c r="G3864" s="117">
        <v>9.6999999999999993</v>
      </c>
    </row>
    <row r="3865" spans="1:7" x14ac:dyDescent="0.25">
      <c r="A3865" s="116" t="s">
        <v>5983</v>
      </c>
      <c r="B3865" s="117" t="s">
        <v>5984</v>
      </c>
      <c r="C3865" t="s">
        <v>67</v>
      </c>
      <c r="D3865" t="s">
        <v>67</v>
      </c>
      <c r="E3865" t="s">
        <v>67</v>
      </c>
      <c r="F3865" t="s">
        <v>27987</v>
      </c>
      <c r="G3865" s="117">
        <v>12.9</v>
      </c>
    </row>
    <row r="3866" spans="1:7" x14ac:dyDescent="0.25">
      <c r="A3866" s="116" t="s">
        <v>28637</v>
      </c>
      <c r="B3866" s="117" t="s">
        <v>28638</v>
      </c>
      <c r="C3866" t="s">
        <v>67</v>
      </c>
      <c r="D3866" t="s">
        <v>67</v>
      </c>
      <c r="E3866" t="s">
        <v>67</v>
      </c>
      <c r="F3866" t="s">
        <v>49</v>
      </c>
      <c r="G3866" s="117">
        <v>9999</v>
      </c>
    </row>
    <row r="3867" spans="1:7" x14ac:dyDescent="0.25">
      <c r="A3867" s="116" t="s">
        <v>5985</v>
      </c>
      <c r="B3867" s="117" t="s">
        <v>5986</v>
      </c>
      <c r="C3867" t="s">
        <v>67</v>
      </c>
      <c r="D3867" t="s">
        <v>67</v>
      </c>
      <c r="E3867" t="s">
        <v>67</v>
      </c>
      <c r="F3867" t="s">
        <v>27987</v>
      </c>
      <c r="G3867" s="117">
        <v>24.48</v>
      </c>
    </row>
    <row r="3868" spans="1:7" x14ac:dyDescent="0.25">
      <c r="A3868" s="116" t="s">
        <v>5987</v>
      </c>
      <c r="B3868" s="117" t="s">
        <v>5988</v>
      </c>
      <c r="C3868" t="s">
        <v>67</v>
      </c>
      <c r="D3868" t="s">
        <v>67</v>
      </c>
      <c r="E3868" t="s">
        <v>67</v>
      </c>
      <c r="F3868" t="s">
        <v>49</v>
      </c>
      <c r="G3868" s="117">
        <v>7.92</v>
      </c>
    </row>
    <row r="3869" spans="1:7" x14ac:dyDescent="0.25">
      <c r="A3869" s="116" t="s">
        <v>5989</v>
      </c>
      <c r="B3869" s="117" t="s">
        <v>5689</v>
      </c>
      <c r="C3869" t="s">
        <v>67</v>
      </c>
      <c r="D3869" t="s">
        <v>67</v>
      </c>
      <c r="E3869" t="s">
        <v>67</v>
      </c>
      <c r="F3869" t="s">
        <v>49</v>
      </c>
      <c r="G3869" s="117">
        <v>23.05</v>
      </c>
    </row>
    <row r="3870" spans="1:7" x14ac:dyDescent="0.25">
      <c r="A3870" s="116" t="s">
        <v>5990</v>
      </c>
      <c r="B3870" s="117" t="s">
        <v>5991</v>
      </c>
      <c r="C3870" t="s">
        <v>67</v>
      </c>
      <c r="D3870" t="s">
        <v>67</v>
      </c>
      <c r="E3870" t="s">
        <v>67</v>
      </c>
      <c r="F3870" t="s">
        <v>27987</v>
      </c>
      <c r="G3870" s="117">
        <v>5.79</v>
      </c>
    </row>
    <row r="3871" spans="1:7" x14ac:dyDescent="0.25">
      <c r="A3871" s="116" t="s">
        <v>5992</v>
      </c>
      <c r="B3871" s="117" t="s">
        <v>5993</v>
      </c>
      <c r="C3871" t="s">
        <v>67</v>
      </c>
      <c r="D3871" t="s">
        <v>67</v>
      </c>
      <c r="E3871" t="s">
        <v>67</v>
      </c>
      <c r="F3871" t="s">
        <v>27987</v>
      </c>
      <c r="G3871" s="117">
        <v>4.3600000000000003</v>
      </c>
    </row>
    <row r="3872" spans="1:7" x14ac:dyDescent="0.25">
      <c r="A3872" s="116" t="s">
        <v>5994</v>
      </c>
      <c r="B3872" s="117" t="s">
        <v>5995</v>
      </c>
      <c r="C3872" t="s">
        <v>67</v>
      </c>
      <c r="D3872" t="s">
        <v>67</v>
      </c>
      <c r="E3872" t="s">
        <v>67</v>
      </c>
      <c r="F3872" t="s">
        <v>27987</v>
      </c>
      <c r="G3872" s="117">
        <v>6.68</v>
      </c>
    </row>
    <row r="3873" spans="1:7" x14ac:dyDescent="0.25">
      <c r="A3873" s="116" t="s">
        <v>31153</v>
      </c>
      <c r="B3873" s="117" t="s">
        <v>31154</v>
      </c>
      <c r="C3873" t="s">
        <v>67</v>
      </c>
      <c r="D3873" t="s">
        <v>67</v>
      </c>
      <c r="E3873" t="s">
        <v>67</v>
      </c>
      <c r="F3873" t="s">
        <v>45</v>
      </c>
      <c r="G3873" s="117">
        <v>2.15</v>
      </c>
    </row>
    <row r="3874" spans="1:7" x14ac:dyDescent="0.25">
      <c r="A3874" s="116" t="s">
        <v>5996</v>
      </c>
      <c r="B3874" s="117" t="s">
        <v>5997</v>
      </c>
      <c r="C3874" t="s">
        <v>67</v>
      </c>
      <c r="D3874" t="s">
        <v>67</v>
      </c>
      <c r="E3874" t="s">
        <v>67</v>
      </c>
      <c r="F3874" t="s">
        <v>49</v>
      </c>
      <c r="G3874" s="117">
        <v>3.12</v>
      </c>
    </row>
    <row r="3875" spans="1:7" x14ac:dyDescent="0.25">
      <c r="A3875" s="116" t="s">
        <v>5998</v>
      </c>
      <c r="B3875" s="117" t="s">
        <v>5999</v>
      </c>
      <c r="C3875" t="s">
        <v>67</v>
      </c>
      <c r="D3875" t="s">
        <v>67</v>
      </c>
      <c r="E3875" t="s">
        <v>67</v>
      </c>
      <c r="F3875" t="s">
        <v>27987</v>
      </c>
      <c r="G3875" s="117">
        <v>0.8</v>
      </c>
    </row>
    <row r="3876" spans="1:7" x14ac:dyDescent="0.25">
      <c r="A3876" s="116" t="s">
        <v>6000</v>
      </c>
      <c r="B3876" s="117" t="s">
        <v>6001</v>
      </c>
      <c r="C3876" t="s">
        <v>67</v>
      </c>
      <c r="D3876" t="s">
        <v>67</v>
      </c>
      <c r="E3876" t="s">
        <v>67</v>
      </c>
      <c r="F3876" t="s">
        <v>51</v>
      </c>
      <c r="G3876" s="117">
        <v>1.61</v>
      </c>
    </row>
    <row r="3877" spans="1:7" x14ac:dyDescent="0.25">
      <c r="A3877" s="116" t="s">
        <v>6002</v>
      </c>
      <c r="B3877" s="117" t="s">
        <v>6001</v>
      </c>
      <c r="C3877" t="s">
        <v>67</v>
      </c>
      <c r="D3877" t="s">
        <v>67</v>
      </c>
      <c r="E3877" t="s">
        <v>67</v>
      </c>
      <c r="F3877" t="s">
        <v>51</v>
      </c>
      <c r="G3877" s="117">
        <v>8.4499999999999993</v>
      </c>
    </row>
    <row r="3878" spans="1:7" x14ac:dyDescent="0.25">
      <c r="A3878" s="116" t="s">
        <v>6003</v>
      </c>
      <c r="B3878" s="117" t="s">
        <v>5545</v>
      </c>
      <c r="C3878" t="s">
        <v>67</v>
      </c>
      <c r="D3878" t="s">
        <v>67</v>
      </c>
      <c r="E3878" t="s">
        <v>67</v>
      </c>
      <c r="F3878" t="s">
        <v>27990</v>
      </c>
      <c r="G3878" s="117">
        <v>0.8</v>
      </c>
    </row>
    <row r="3879" spans="1:7" x14ac:dyDescent="0.25">
      <c r="A3879" s="116" t="s">
        <v>6004</v>
      </c>
      <c r="B3879" s="117" t="s">
        <v>5718</v>
      </c>
      <c r="C3879" t="s">
        <v>67</v>
      </c>
      <c r="D3879" t="s">
        <v>67</v>
      </c>
      <c r="E3879" t="s">
        <v>67</v>
      </c>
      <c r="F3879" t="s">
        <v>27990</v>
      </c>
      <c r="G3879" s="117">
        <v>0.44</v>
      </c>
    </row>
    <row r="3880" spans="1:7" x14ac:dyDescent="0.25">
      <c r="A3880" s="116" t="s">
        <v>6005</v>
      </c>
      <c r="B3880" s="117" t="s">
        <v>5716</v>
      </c>
      <c r="C3880" t="s">
        <v>67</v>
      </c>
      <c r="D3880" t="s">
        <v>67</v>
      </c>
      <c r="E3880" t="s">
        <v>67</v>
      </c>
      <c r="F3880" t="s">
        <v>27990</v>
      </c>
      <c r="G3880" s="117">
        <v>6.14</v>
      </c>
    </row>
    <row r="3881" spans="1:7" x14ac:dyDescent="0.25">
      <c r="A3881" s="116" t="s">
        <v>6006</v>
      </c>
      <c r="B3881" s="117" t="s">
        <v>5556</v>
      </c>
      <c r="C3881" t="s">
        <v>67</v>
      </c>
      <c r="D3881" t="s">
        <v>67</v>
      </c>
      <c r="E3881" t="s">
        <v>67</v>
      </c>
      <c r="F3881" t="s">
        <v>49</v>
      </c>
      <c r="G3881" s="117">
        <v>0.8</v>
      </c>
    </row>
    <row r="3882" spans="1:7" x14ac:dyDescent="0.25">
      <c r="A3882" s="116" t="s">
        <v>6007</v>
      </c>
      <c r="B3882" s="117" t="s">
        <v>6008</v>
      </c>
      <c r="C3882" t="s">
        <v>67</v>
      </c>
      <c r="D3882" t="s">
        <v>67</v>
      </c>
      <c r="E3882" t="s">
        <v>67</v>
      </c>
      <c r="F3882" t="s">
        <v>27990</v>
      </c>
      <c r="G3882" s="117">
        <v>19.489999999999998</v>
      </c>
    </row>
    <row r="3883" spans="1:7" x14ac:dyDescent="0.25">
      <c r="A3883" s="116" t="s">
        <v>6009</v>
      </c>
      <c r="B3883" s="117" t="s">
        <v>5554</v>
      </c>
      <c r="C3883" t="s">
        <v>67</v>
      </c>
      <c r="D3883" t="s">
        <v>67</v>
      </c>
      <c r="E3883" t="s">
        <v>67</v>
      </c>
      <c r="F3883" t="s">
        <v>51</v>
      </c>
      <c r="G3883" s="117">
        <v>0.89</v>
      </c>
    </row>
    <row r="3884" spans="1:7" x14ac:dyDescent="0.25">
      <c r="A3884" s="116" t="s">
        <v>6010</v>
      </c>
      <c r="B3884" s="117" t="s">
        <v>6011</v>
      </c>
      <c r="C3884" t="s">
        <v>67</v>
      </c>
      <c r="D3884" t="s">
        <v>67</v>
      </c>
      <c r="E3884" t="s">
        <v>67</v>
      </c>
      <c r="F3884" t="s">
        <v>27987</v>
      </c>
      <c r="G3884" s="117">
        <v>1.33</v>
      </c>
    </row>
    <row r="3885" spans="1:7" x14ac:dyDescent="0.25">
      <c r="A3885" s="116" t="s">
        <v>31155</v>
      </c>
      <c r="B3885" s="117" t="s">
        <v>31156</v>
      </c>
      <c r="C3885" t="s">
        <v>67</v>
      </c>
      <c r="D3885" t="s">
        <v>67</v>
      </c>
      <c r="E3885" t="s">
        <v>67</v>
      </c>
      <c r="F3885" t="s">
        <v>45</v>
      </c>
      <c r="G3885" s="117">
        <v>14.96</v>
      </c>
    </row>
    <row r="3886" spans="1:7" x14ac:dyDescent="0.25">
      <c r="A3886" s="116" t="s">
        <v>26950</v>
      </c>
      <c r="B3886" s="117" t="s">
        <v>26951</v>
      </c>
      <c r="C3886" t="s">
        <v>67</v>
      </c>
      <c r="D3886" t="s">
        <v>67</v>
      </c>
      <c r="E3886" t="s">
        <v>67</v>
      </c>
      <c r="F3886" t="s">
        <v>27987</v>
      </c>
      <c r="G3886" s="117">
        <v>10</v>
      </c>
    </row>
    <row r="3887" spans="1:7" x14ac:dyDescent="0.25">
      <c r="A3887" s="116" t="s">
        <v>26695</v>
      </c>
      <c r="B3887" s="117" t="s">
        <v>26696</v>
      </c>
      <c r="C3887" t="s">
        <v>67</v>
      </c>
      <c r="D3887" t="s">
        <v>67</v>
      </c>
      <c r="E3887" t="s">
        <v>67</v>
      </c>
      <c r="F3887" t="s">
        <v>27987</v>
      </c>
      <c r="G3887" s="117">
        <v>0.85</v>
      </c>
    </row>
    <row r="3888" spans="1:7" x14ac:dyDescent="0.25">
      <c r="A3888" s="116" t="s">
        <v>26990</v>
      </c>
      <c r="B3888" s="117" t="s">
        <v>26991</v>
      </c>
      <c r="C3888" t="s">
        <v>67</v>
      </c>
      <c r="D3888" t="s">
        <v>67</v>
      </c>
      <c r="E3888" t="s">
        <v>67</v>
      </c>
      <c r="F3888" t="s">
        <v>27987</v>
      </c>
      <c r="G3888" s="117">
        <v>2</v>
      </c>
    </row>
    <row r="3889" spans="1:7" x14ac:dyDescent="0.25">
      <c r="A3889" s="116" t="s">
        <v>29860</v>
      </c>
      <c r="B3889" s="117" t="s">
        <v>30411</v>
      </c>
      <c r="C3889" t="s">
        <v>67</v>
      </c>
      <c r="D3889" t="s">
        <v>67</v>
      </c>
      <c r="E3889" t="s">
        <v>67</v>
      </c>
      <c r="F3889" t="s">
        <v>27987</v>
      </c>
      <c r="G3889" s="117">
        <v>2</v>
      </c>
    </row>
    <row r="3890" spans="1:7" x14ac:dyDescent="0.25">
      <c r="A3890" s="116" t="s">
        <v>28185</v>
      </c>
      <c r="B3890" s="117" t="s">
        <v>28186</v>
      </c>
      <c r="C3890" t="s">
        <v>67</v>
      </c>
      <c r="D3890" t="s">
        <v>67</v>
      </c>
      <c r="E3890" t="s">
        <v>67</v>
      </c>
      <c r="F3890" t="s">
        <v>45</v>
      </c>
      <c r="G3890" s="117">
        <v>2</v>
      </c>
    </row>
    <row r="3891" spans="1:7" x14ac:dyDescent="0.25">
      <c r="A3891" s="116" t="s">
        <v>26707</v>
      </c>
      <c r="B3891" s="117" t="s">
        <v>28639</v>
      </c>
      <c r="C3891" t="s">
        <v>67</v>
      </c>
      <c r="D3891" t="s">
        <v>67</v>
      </c>
      <c r="E3891" t="s">
        <v>67</v>
      </c>
      <c r="F3891" t="s">
        <v>27987</v>
      </c>
      <c r="G3891" s="117">
        <v>28</v>
      </c>
    </row>
    <row r="3892" spans="1:7" x14ac:dyDescent="0.25">
      <c r="A3892" s="116" t="s">
        <v>30412</v>
      </c>
      <c r="B3892" s="117" t="s">
        <v>30413</v>
      </c>
      <c r="C3892" t="s">
        <v>67</v>
      </c>
      <c r="D3892" t="s">
        <v>67</v>
      </c>
      <c r="E3892" t="s">
        <v>67</v>
      </c>
      <c r="F3892" t="s">
        <v>27987</v>
      </c>
      <c r="G3892" s="117">
        <v>2</v>
      </c>
    </row>
    <row r="3893" spans="1:7" x14ac:dyDescent="0.25">
      <c r="A3893" s="116" t="s">
        <v>29911</v>
      </c>
      <c r="B3893" s="117" t="s">
        <v>30414</v>
      </c>
      <c r="C3893" t="s">
        <v>67</v>
      </c>
      <c r="D3893" t="s">
        <v>67</v>
      </c>
      <c r="E3893" t="s">
        <v>67</v>
      </c>
      <c r="F3893" t="s">
        <v>27987</v>
      </c>
      <c r="G3893" s="117">
        <v>8.09</v>
      </c>
    </row>
    <row r="3894" spans="1:7" x14ac:dyDescent="0.25">
      <c r="A3894" s="116" t="s">
        <v>28640</v>
      </c>
      <c r="B3894" s="117" t="s">
        <v>31126</v>
      </c>
      <c r="C3894" t="s">
        <v>67</v>
      </c>
      <c r="D3894" t="s">
        <v>67</v>
      </c>
      <c r="E3894" t="s">
        <v>67</v>
      </c>
      <c r="F3894" t="s">
        <v>27987</v>
      </c>
      <c r="G3894" s="117">
        <v>13</v>
      </c>
    </row>
    <row r="3895" spans="1:7" x14ac:dyDescent="0.25">
      <c r="A3895" s="116" t="s">
        <v>28641</v>
      </c>
      <c r="B3895" s="117" t="s">
        <v>5870</v>
      </c>
      <c r="C3895" t="s">
        <v>67</v>
      </c>
      <c r="D3895" t="s">
        <v>67</v>
      </c>
      <c r="E3895" t="s">
        <v>67</v>
      </c>
      <c r="F3895" t="s">
        <v>27987</v>
      </c>
      <c r="G3895" s="117">
        <v>4</v>
      </c>
    </row>
    <row r="3896" spans="1:7" x14ac:dyDescent="0.25">
      <c r="A3896" s="116" t="s">
        <v>28642</v>
      </c>
      <c r="B3896" s="117" t="s">
        <v>5786</v>
      </c>
      <c r="C3896" t="s">
        <v>67</v>
      </c>
      <c r="D3896" t="s">
        <v>67</v>
      </c>
      <c r="E3896" t="s">
        <v>67</v>
      </c>
      <c r="F3896" t="s">
        <v>27987</v>
      </c>
      <c r="G3896" s="117">
        <v>1</v>
      </c>
    </row>
    <row r="3897" spans="1:7" x14ac:dyDescent="0.25">
      <c r="A3897" s="116" t="s">
        <v>30863</v>
      </c>
      <c r="B3897" s="117" t="s">
        <v>30864</v>
      </c>
      <c r="C3897" t="s">
        <v>67</v>
      </c>
      <c r="D3897" t="s">
        <v>67</v>
      </c>
      <c r="E3897" t="s">
        <v>67</v>
      </c>
      <c r="F3897" t="s">
        <v>45</v>
      </c>
      <c r="G3897" s="117">
        <v>9999</v>
      </c>
    </row>
    <row r="3898" spans="1:7" x14ac:dyDescent="0.25">
      <c r="A3898" s="116" t="s">
        <v>6012</v>
      </c>
      <c r="B3898" s="117" t="s">
        <v>6013</v>
      </c>
      <c r="C3898" t="s">
        <v>67</v>
      </c>
      <c r="D3898" t="s">
        <v>67</v>
      </c>
      <c r="E3898" t="s">
        <v>67</v>
      </c>
      <c r="F3898" t="s">
        <v>27987</v>
      </c>
      <c r="G3898" s="117">
        <v>1.33</v>
      </c>
    </row>
    <row r="3899" spans="1:7" x14ac:dyDescent="0.25">
      <c r="A3899" s="116" t="s">
        <v>6014</v>
      </c>
      <c r="B3899" s="117" t="s">
        <v>6015</v>
      </c>
      <c r="C3899" t="s">
        <v>67</v>
      </c>
      <c r="D3899" t="s">
        <v>67</v>
      </c>
      <c r="E3899" t="s">
        <v>67</v>
      </c>
      <c r="F3899" t="s">
        <v>27987</v>
      </c>
      <c r="G3899" s="117">
        <v>3.12</v>
      </c>
    </row>
    <row r="3900" spans="1:7" x14ac:dyDescent="0.25">
      <c r="A3900" s="116" t="s">
        <v>6016</v>
      </c>
      <c r="B3900" s="117" t="s">
        <v>6017</v>
      </c>
      <c r="C3900" t="s">
        <v>67</v>
      </c>
      <c r="D3900" t="s">
        <v>67</v>
      </c>
      <c r="E3900" t="s">
        <v>67</v>
      </c>
      <c r="F3900" t="s">
        <v>45</v>
      </c>
      <c r="G3900" s="117">
        <v>6.14</v>
      </c>
    </row>
    <row r="3901" spans="1:7" x14ac:dyDescent="0.25">
      <c r="A3901" s="116" t="s">
        <v>6018</v>
      </c>
      <c r="B3901" s="117" t="s">
        <v>28643</v>
      </c>
      <c r="C3901" t="s">
        <v>67</v>
      </c>
      <c r="D3901" t="s">
        <v>67</v>
      </c>
      <c r="E3901" t="s">
        <v>67</v>
      </c>
      <c r="F3901" t="s">
        <v>49</v>
      </c>
      <c r="G3901" s="117">
        <v>1.69</v>
      </c>
    </row>
    <row r="3902" spans="1:7" x14ac:dyDescent="0.25">
      <c r="A3902" s="116" t="s">
        <v>6019</v>
      </c>
      <c r="B3902" s="117" t="s">
        <v>6020</v>
      </c>
      <c r="C3902" t="s">
        <v>67</v>
      </c>
      <c r="D3902" t="s">
        <v>67</v>
      </c>
      <c r="E3902" t="s">
        <v>67</v>
      </c>
      <c r="F3902" t="s">
        <v>27987</v>
      </c>
      <c r="G3902" s="117">
        <v>1.33</v>
      </c>
    </row>
    <row r="3903" spans="1:7" x14ac:dyDescent="0.25">
      <c r="A3903" s="116" t="s">
        <v>28644</v>
      </c>
      <c r="B3903" s="117" t="s">
        <v>28645</v>
      </c>
      <c r="C3903" t="s">
        <v>67</v>
      </c>
      <c r="D3903" t="s">
        <v>67</v>
      </c>
      <c r="E3903" t="s">
        <v>67</v>
      </c>
      <c r="F3903" t="s">
        <v>45</v>
      </c>
      <c r="G3903" s="117">
        <v>0</v>
      </c>
    </row>
    <row r="3904" spans="1:7" x14ac:dyDescent="0.25">
      <c r="A3904" s="116" t="s">
        <v>6021</v>
      </c>
      <c r="B3904" s="117" t="s">
        <v>6022</v>
      </c>
      <c r="C3904" t="s">
        <v>67</v>
      </c>
      <c r="D3904" t="s">
        <v>67</v>
      </c>
      <c r="E3904" t="s">
        <v>67</v>
      </c>
      <c r="F3904" t="s">
        <v>27987</v>
      </c>
      <c r="G3904" s="117">
        <v>2.58</v>
      </c>
    </row>
    <row r="3905" spans="1:7" x14ac:dyDescent="0.25">
      <c r="A3905" s="116" t="s">
        <v>6023</v>
      </c>
      <c r="B3905" s="117" t="s">
        <v>6024</v>
      </c>
      <c r="C3905" t="s">
        <v>67</v>
      </c>
      <c r="D3905" t="s">
        <v>67</v>
      </c>
      <c r="E3905" t="s">
        <v>67</v>
      </c>
      <c r="F3905" t="s">
        <v>51</v>
      </c>
      <c r="G3905" s="117">
        <v>4</v>
      </c>
    </row>
    <row r="3906" spans="1:7" x14ac:dyDescent="0.25">
      <c r="A3906" s="116" t="s">
        <v>6025</v>
      </c>
      <c r="B3906" s="117" t="s">
        <v>6026</v>
      </c>
      <c r="C3906" t="s">
        <v>67</v>
      </c>
      <c r="D3906" t="s">
        <v>67</v>
      </c>
      <c r="E3906" t="s">
        <v>67</v>
      </c>
      <c r="F3906" t="s">
        <v>49</v>
      </c>
      <c r="G3906" s="117">
        <v>4.8899999999999997</v>
      </c>
    </row>
    <row r="3907" spans="1:7" x14ac:dyDescent="0.25">
      <c r="A3907" s="116" t="s">
        <v>6027</v>
      </c>
      <c r="B3907" s="117" t="s">
        <v>6028</v>
      </c>
      <c r="C3907" t="s">
        <v>67</v>
      </c>
      <c r="D3907" t="s">
        <v>67</v>
      </c>
      <c r="E3907" t="s">
        <v>67</v>
      </c>
      <c r="F3907" t="s">
        <v>27987</v>
      </c>
      <c r="G3907" s="117">
        <v>4.2699999999999996</v>
      </c>
    </row>
    <row r="3908" spans="1:7" x14ac:dyDescent="0.25">
      <c r="A3908" s="116" t="s">
        <v>6029</v>
      </c>
      <c r="B3908" s="117" t="s">
        <v>6030</v>
      </c>
      <c r="C3908" t="s">
        <v>67</v>
      </c>
      <c r="D3908" t="s">
        <v>67</v>
      </c>
      <c r="E3908" t="s">
        <v>67</v>
      </c>
      <c r="F3908" t="s">
        <v>49</v>
      </c>
      <c r="G3908" s="117">
        <v>16.46</v>
      </c>
    </row>
    <row r="3909" spans="1:7" x14ac:dyDescent="0.25">
      <c r="A3909" s="116" t="s">
        <v>6031</v>
      </c>
      <c r="B3909" s="117" t="s">
        <v>6032</v>
      </c>
      <c r="C3909" t="s">
        <v>67</v>
      </c>
      <c r="D3909" t="s">
        <v>67</v>
      </c>
      <c r="E3909" t="s">
        <v>67</v>
      </c>
      <c r="F3909" t="s">
        <v>45</v>
      </c>
      <c r="G3909" s="117">
        <v>1.77</v>
      </c>
    </row>
    <row r="3910" spans="1:7" x14ac:dyDescent="0.25">
      <c r="A3910" s="116" t="s">
        <v>6033</v>
      </c>
      <c r="B3910" s="117" t="s">
        <v>6034</v>
      </c>
      <c r="C3910" t="s">
        <v>67</v>
      </c>
      <c r="D3910" t="s">
        <v>67</v>
      </c>
      <c r="E3910" t="s">
        <v>67</v>
      </c>
      <c r="F3910" t="s">
        <v>27987</v>
      </c>
      <c r="G3910" s="117">
        <v>32.119999999999997</v>
      </c>
    </row>
    <row r="3911" spans="1:7" x14ac:dyDescent="0.25">
      <c r="A3911" s="116" t="s">
        <v>27399</v>
      </c>
      <c r="B3911" s="117" t="s">
        <v>6035</v>
      </c>
      <c r="C3911" t="s">
        <v>67</v>
      </c>
      <c r="D3911" t="s">
        <v>67</v>
      </c>
      <c r="E3911" t="s">
        <v>67</v>
      </c>
      <c r="F3911" t="s">
        <v>45</v>
      </c>
      <c r="G3911" s="117">
        <v>3.12</v>
      </c>
    </row>
    <row r="3912" spans="1:7" x14ac:dyDescent="0.25">
      <c r="A3912" s="116" t="s">
        <v>27400</v>
      </c>
      <c r="B3912" s="117" t="s">
        <v>6036</v>
      </c>
      <c r="C3912" t="s">
        <v>67</v>
      </c>
      <c r="D3912" t="s">
        <v>67</v>
      </c>
      <c r="E3912" t="s">
        <v>67</v>
      </c>
      <c r="F3912" t="s">
        <v>45</v>
      </c>
      <c r="G3912" s="117">
        <v>19.13</v>
      </c>
    </row>
    <row r="3913" spans="1:7" x14ac:dyDescent="0.25">
      <c r="A3913" s="116" t="s">
        <v>6037</v>
      </c>
      <c r="B3913" s="117" t="s">
        <v>6038</v>
      </c>
      <c r="C3913" t="s">
        <v>67</v>
      </c>
      <c r="D3913" t="s">
        <v>67</v>
      </c>
      <c r="E3913" t="s">
        <v>67</v>
      </c>
      <c r="F3913" t="s">
        <v>51</v>
      </c>
      <c r="G3913" s="117">
        <v>0.44</v>
      </c>
    </row>
    <row r="3914" spans="1:7" x14ac:dyDescent="0.25">
      <c r="A3914" s="116" t="s">
        <v>6039</v>
      </c>
      <c r="B3914" s="117" t="s">
        <v>6040</v>
      </c>
      <c r="C3914" t="s">
        <v>67</v>
      </c>
      <c r="D3914" t="s">
        <v>67</v>
      </c>
      <c r="E3914" t="s">
        <v>67</v>
      </c>
      <c r="F3914" t="s">
        <v>51</v>
      </c>
      <c r="G3914" s="117">
        <v>0.44</v>
      </c>
    </row>
    <row r="3915" spans="1:7" x14ac:dyDescent="0.25">
      <c r="A3915" s="116" t="s">
        <v>6041</v>
      </c>
      <c r="B3915" s="117" t="s">
        <v>6042</v>
      </c>
      <c r="C3915" t="s">
        <v>67</v>
      </c>
      <c r="D3915" t="s">
        <v>67</v>
      </c>
      <c r="E3915" t="s">
        <v>67</v>
      </c>
      <c r="F3915" t="s">
        <v>27987</v>
      </c>
      <c r="G3915" s="117">
        <v>1.33</v>
      </c>
    </row>
    <row r="3916" spans="1:7" x14ac:dyDescent="0.25">
      <c r="A3916" s="116" t="s">
        <v>6043</v>
      </c>
      <c r="B3916" s="117" t="s">
        <v>6044</v>
      </c>
      <c r="C3916" t="s">
        <v>67</v>
      </c>
      <c r="D3916" t="s">
        <v>67</v>
      </c>
      <c r="E3916" t="s">
        <v>67</v>
      </c>
      <c r="F3916" t="s">
        <v>49</v>
      </c>
      <c r="G3916" s="117">
        <v>1.33</v>
      </c>
    </row>
    <row r="3917" spans="1:7" x14ac:dyDescent="0.25">
      <c r="A3917" s="116" t="s">
        <v>6045</v>
      </c>
      <c r="B3917" s="117" t="s">
        <v>6046</v>
      </c>
      <c r="C3917" t="s">
        <v>67</v>
      </c>
      <c r="D3917" t="s">
        <v>67</v>
      </c>
      <c r="E3917" t="s">
        <v>67</v>
      </c>
      <c r="F3917" t="s">
        <v>27987</v>
      </c>
      <c r="G3917" s="117">
        <v>0.44</v>
      </c>
    </row>
    <row r="3918" spans="1:7" x14ac:dyDescent="0.25">
      <c r="A3918" s="116" t="s">
        <v>6047</v>
      </c>
      <c r="B3918" s="117" t="s">
        <v>6048</v>
      </c>
      <c r="C3918" t="s">
        <v>67</v>
      </c>
      <c r="D3918" t="s">
        <v>67</v>
      </c>
      <c r="E3918" t="s">
        <v>67</v>
      </c>
      <c r="F3918" t="s">
        <v>27987</v>
      </c>
      <c r="G3918" s="117">
        <v>0.44</v>
      </c>
    </row>
    <row r="3919" spans="1:7" x14ac:dyDescent="0.25">
      <c r="A3919" s="116" t="s">
        <v>6049</v>
      </c>
      <c r="B3919" s="117" t="s">
        <v>6050</v>
      </c>
      <c r="C3919" t="s">
        <v>67</v>
      </c>
      <c r="D3919" t="s">
        <v>67</v>
      </c>
      <c r="E3919" t="s">
        <v>67</v>
      </c>
      <c r="F3919" t="s">
        <v>27990</v>
      </c>
      <c r="G3919" s="117">
        <v>0.8</v>
      </c>
    </row>
    <row r="3920" spans="1:7" x14ac:dyDescent="0.25">
      <c r="A3920" s="116" t="s">
        <v>6051</v>
      </c>
      <c r="B3920" s="117" t="s">
        <v>6052</v>
      </c>
      <c r="C3920" t="s">
        <v>67</v>
      </c>
      <c r="D3920" t="s">
        <v>67</v>
      </c>
      <c r="E3920" t="s">
        <v>67</v>
      </c>
      <c r="F3920" t="s">
        <v>27987</v>
      </c>
      <c r="G3920" s="117">
        <v>0.44</v>
      </c>
    </row>
    <row r="3921" spans="1:7" x14ac:dyDescent="0.25">
      <c r="A3921" s="116" t="s">
        <v>6053</v>
      </c>
      <c r="B3921" s="117" t="s">
        <v>6054</v>
      </c>
      <c r="C3921" t="s">
        <v>67</v>
      </c>
      <c r="D3921" t="s">
        <v>67</v>
      </c>
      <c r="E3921" t="s">
        <v>67</v>
      </c>
      <c r="F3921" t="s">
        <v>27987</v>
      </c>
      <c r="G3921" s="117">
        <v>0.8</v>
      </c>
    </row>
    <row r="3922" spans="1:7" x14ac:dyDescent="0.25">
      <c r="A3922" s="116" t="s">
        <v>6055</v>
      </c>
      <c r="B3922" s="117" t="s">
        <v>6056</v>
      </c>
      <c r="C3922" t="s">
        <v>67</v>
      </c>
      <c r="D3922" t="s">
        <v>67</v>
      </c>
      <c r="E3922" t="s">
        <v>67</v>
      </c>
      <c r="F3922" t="s">
        <v>27987</v>
      </c>
      <c r="G3922" s="117">
        <v>0.44</v>
      </c>
    </row>
    <row r="3923" spans="1:7" x14ac:dyDescent="0.25">
      <c r="A3923" s="116" t="s">
        <v>6057</v>
      </c>
      <c r="B3923" s="117" t="s">
        <v>28646</v>
      </c>
      <c r="C3923" t="s">
        <v>67</v>
      </c>
      <c r="D3923" t="s">
        <v>67</v>
      </c>
      <c r="E3923" t="s">
        <v>67</v>
      </c>
      <c r="F3923" t="s">
        <v>27987</v>
      </c>
      <c r="G3923" s="117">
        <v>0.24</v>
      </c>
    </row>
    <row r="3924" spans="1:7" x14ac:dyDescent="0.25">
      <c r="A3924" s="116" t="s">
        <v>6058</v>
      </c>
      <c r="B3924" s="117" t="s">
        <v>6059</v>
      </c>
      <c r="C3924" t="s">
        <v>67</v>
      </c>
      <c r="D3924" t="s">
        <v>67</v>
      </c>
      <c r="E3924" t="s">
        <v>67</v>
      </c>
      <c r="F3924" t="s">
        <v>49</v>
      </c>
      <c r="G3924" s="117">
        <v>0.44</v>
      </c>
    </row>
    <row r="3925" spans="1:7" x14ac:dyDescent="0.25">
      <c r="A3925" s="116" t="s">
        <v>6060</v>
      </c>
      <c r="B3925" s="117" t="s">
        <v>6061</v>
      </c>
      <c r="C3925" t="s">
        <v>67</v>
      </c>
      <c r="D3925" t="s">
        <v>67</v>
      </c>
      <c r="E3925" t="s">
        <v>67</v>
      </c>
      <c r="F3925" t="s">
        <v>51</v>
      </c>
      <c r="G3925" s="117">
        <v>0.44</v>
      </c>
    </row>
    <row r="3926" spans="1:7" x14ac:dyDescent="0.25">
      <c r="A3926" s="116" t="s">
        <v>6062</v>
      </c>
      <c r="B3926" s="117" t="s">
        <v>6063</v>
      </c>
      <c r="C3926" t="s">
        <v>67</v>
      </c>
      <c r="D3926" t="s">
        <v>67</v>
      </c>
      <c r="E3926" t="s">
        <v>67</v>
      </c>
      <c r="F3926" t="s">
        <v>51</v>
      </c>
      <c r="G3926" s="117">
        <v>0.44</v>
      </c>
    </row>
    <row r="3927" spans="1:7" x14ac:dyDescent="0.25">
      <c r="A3927" s="116" t="s">
        <v>6064</v>
      </c>
      <c r="B3927" s="117" t="s">
        <v>6065</v>
      </c>
      <c r="C3927" t="s">
        <v>67</v>
      </c>
      <c r="D3927" t="s">
        <v>67</v>
      </c>
      <c r="E3927" t="s">
        <v>67</v>
      </c>
      <c r="F3927" t="s">
        <v>27987</v>
      </c>
      <c r="G3927" s="117">
        <v>0.44</v>
      </c>
    </row>
    <row r="3928" spans="1:7" x14ac:dyDescent="0.25">
      <c r="A3928" s="116" t="s">
        <v>6066</v>
      </c>
      <c r="B3928" s="117" t="s">
        <v>6067</v>
      </c>
      <c r="C3928" t="s">
        <v>67</v>
      </c>
      <c r="D3928" t="s">
        <v>67</v>
      </c>
      <c r="E3928" t="s">
        <v>67</v>
      </c>
      <c r="F3928" t="s">
        <v>45</v>
      </c>
      <c r="G3928" s="117">
        <v>0.44</v>
      </c>
    </row>
    <row r="3929" spans="1:7" x14ac:dyDescent="0.25">
      <c r="A3929" s="116" t="s">
        <v>6068</v>
      </c>
      <c r="B3929" s="117" t="s">
        <v>6038</v>
      </c>
      <c r="C3929" t="s">
        <v>67</v>
      </c>
      <c r="D3929" t="s">
        <v>67</v>
      </c>
      <c r="E3929" t="s">
        <v>67</v>
      </c>
      <c r="F3929" t="s">
        <v>49</v>
      </c>
      <c r="G3929" s="117">
        <v>1.33</v>
      </c>
    </row>
    <row r="3930" spans="1:7" x14ac:dyDescent="0.25">
      <c r="A3930" s="116" t="s">
        <v>6069</v>
      </c>
      <c r="B3930" s="117" t="s">
        <v>6052</v>
      </c>
      <c r="C3930" t="s">
        <v>67</v>
      </c>
      <c r="D3930" t="s">
        <v>67</v>
      </c>
      <c r="E3930" t="s">
        <v>67</v>
      </c>
      <c r="F3930" t="s">
        <v>49</v>
      </c>
      <c r="G3930" s="117">
        <v>1.33</v>
      </c>
    </row>
    <row r="3931" spans="1:7" x14ac:dyDescent="0.25">
      <c r="A3931" s="116" t="s">
        <v>6070</v>
      </c>
      <c r="B3931" s="117" t="s">
        <v>6071</v>
      </c>
      <c r="C3931" t="s">
        <v>67</v>
      </c>
      <c r="D3931" t="s">
        <v>67</v>
      </c>
      <c r="E3931" t="s">
        <v>67</v>
      </c>
      <c r="F3931" t="s">
        <v>27987</v>
      </c>
      <c r="G3931" s="117">
        <v>0.44</v>
      </c>
    </row>
    <row r="3932" spans="1:7" x14ac:dyDescent="0.25">
      <c r="A3932" s="116" t="s">
        <v>26737</v>
      </c>
      <c r="B3932" s="117" t="s">
        <v>28647</v>
      </c>
      <c r="C3932" t="s">
        <v>67</v>
      </c>
      <c r="D3932" t="s">
        <v>67</v>
      </c>
      <c r="E3932" t="s">
        <v>67</v>
      </c>
      <c r="F3932" t="s">
        <v>27987</v>
      </c>
      <c r="G3932" s="117">
        <v>35</v>
      </c>
    </row>
    <row r="3933" spans="1:7" x14ac:dyDescent="0.25">
      <c r="A3933" s="116" t="s">
        <v>28171</v>
      </c>
      <c r="B3933" s="117" t="s">
        <v>6061</v>
      </c>
      <c r="C3933" t="s">
        <v>67</v>
      </c>
      <c r="D3933" t="s">
        <v>67</v>
      </c>
      <c r="E3933" t="s">
        <v>67</v>
      </c>
      <c r="F3933" t="s">
        <v>49</v>
      </c>
      <c r="G3933" s="117">
        <v>0.5</v>
      </c>
    </row>
    <row r="3934" spans="1:7" x14ac:dyDescent="0.25">
      <c r="A3934" s="116" t="s">
        <v>6072</v>
      </c>
      <c r="B3934" s="117" t="s">
        <v>6073</v>
      </c>
      <c r="C3934" t="s">
        <v>67</v>
      </c>
      <c r="D3934" t="s">
        <v>67</v>
      </c>
      <c r="E3934" t="s">
        <v>67</v>
      </c>
      <c r="F3934" t="s">
        <v>27987</v>
      </c>
      <c r="G3934" s="117">
        <v>17.36</v>
      </c>
    </row>
    <row r="3935" spans="1:7" x14ac:dyDescent="0.25">
      <c r="A3935" s="116" t="s">
        <v>6074</v>
      </c>
      <c r="B3935" s="117" t="s">
        <v>6075</v>
      </c>
      <c r="C3935" t="s">
        <v>67</v>
      </c>
      <c r="D3935" t="s">
        <v>67</v>
      </c>
      <c r="E3935" t="s">
        <v>67</v>
      </c>
      <c r="F3935" t="s">
        <v>27987</v>
      </c>
      <c r="G3935" s="117">
        <v>3.12</v>
      </c>
    </row>
    <row r="3936" spans="1:7" x14ac:dyDescent="0.25">
      <c r="A3936" s="116" t="s">
        <v>6076</v>
      </c>
      <c r="B3936" s="117" t="s">
        <v>6077</v>
      </c>
      <c r="C3936" t="s">
        <v>67</v>
      </c>
      <c r="D3936" t="s">
        <v>67</v>
      </c>
      <c r="E3936" t="s">
        <v>67</v>
      </c>
      <c r="F3936" t="s">
        <v>27987</v>
      </c>
      <c r="G3936" s="117">
        <v>4.8899999999999997</v>
      </c>
    </row>
    <row r="3937" spans="1:7" x14ac:dyDescent="0.25">
      <c r="A3937" s="116" t="s">
        <v>6078</v>
      </c>
      <c r="B3937" s="117" t="s">
        <v>6079</v>
      </c>
      <c r="C3937" t="s">
        <v>67</v>
      </c>
      <c r="D3937" t="s">
        <v>67</v>
      </c>
      <c r="E3937" t="s">
        <v>67</v>
      </c>
      <c r="F3937" t="s">
        <v>27987</v>
      </c>
      <c r="G3937" s="117">
        <v>12.01</v>
      </c>
    </row>
    <row r="3938" spans="1:7" x14ac:dyDescent="0.25">
      <c r="A3938" s="116" t="s">
        <v>6080</v>
      </c>
      <c r="B3938" s="117" t="s">
        <v>6081</v>
      </c>
      <c r="C3938" t="s">
        <v>67</v>
      </c>
      <c r="D3938" t="s">
        <v>67</v>
      </c>
      <c r="E3938" t="s">
        <v>67</v>
      </c>
      <c r="F3938" t="s">
        <v>27987</v>
      </c>
      <c r="G3938" s="117">
        <v>6.14</v>
      </c>
    </row>
    <row r="3939" spans="1:7" x14ac:dyDescent="0.25">
      <c r="A3939" s="116" t="s">
        <v>6082</v>
      </c>
      <c r="B3939" s="117" t="s">
        <v>6083</v>
      </c>
      <c r="C3939" t="s">
        <v>67</v>
      </c>
      <c r="D3939" t="s">
        <v>67</v>
      </c>
      <c r="E3939" t="s">
        <v>67</v>
      </c>
      <c r="F3939" t="s">
        <v>27987</v>
      </c>
      <c r="G3939" s="117">
        <v>178.76</v>
      </c>
    </row>
    <row r="3940" spans="1:7" x14ac:dyDescent="0.25">
      <c r="A3940" s="116" t="s">
        <v>6084</v>
      </c>
      <c r="B3940" s="117" t="s">
        <v>6085</v>
      </c>
      <c r="C3940" t="s">
        <v>67</v>
      </c>
      <c r="D3940" t="s">
        <v>67</v>
      </c>
      <c r="E3940" t="s">
        <v>67</v>
      </c>
      <c r="F3940" t="s">
        <v>27987</v>
      </c>
      <c r="G3940" s="117">
        <v>208.13</v>
      </c>
    </row>
    <row r="3941" spans="1:7" x14ac:dyDescent="0.25">
      <c r="A3941" s="116" t="s">
        <v>6086</v>
      </c>
      <c r="B3941" s="117" t="s">
        <v>6087</v>
      </c>
      <c r="C3941" t="s">
        <v>67</v>
      </c>
      <c r="D3941" t="s">
        <v>67</v>
      </c>
      <c r="E3941" t="s">
        <v>67</v>
      </c>
      <c r="F3941" t="s">
        <v>27987</v>
      </c>
      <c r="G3941" s="117">
        <v>93.88</v>
      </c>
    </row>
    <row r="3942" spans="1:7" x14ac:dyDescent="0.25">
      <c r="A3942" s="116" t="s">
        <v>6088</v>
      </c>
      <c r="B3942" s="117" t="s">
        <v>6089</v>
      </c>
      <c r="C3942" t="s">
        <v>67</v>
      </c>
      <c r="D3942" t="s">
        <v>67</v>
      </c>
      <c r="E3942" t="s">
        <v>67</v>
      </c>
      <c r="F3942" t="s">
        <v>27990</v>
      </c>
      <c r="G3942" s="117">
        <v>49.74</v>
      </c>
    </row>
    <row r="3943" spans="1:7" x14ac:dyDescent="0.25">
      <c r="A3943" s="116" t="s">
        <v>6090</v>
      </c>
      <c r="B3943" s="117" t="s">
        <v>6091</v>
      </c>
      <c r="C3943" t="s">
        <v>67</v>
      </c>
      <c r="D3943" t="s">
        <v>67</v>
      </c>
      <c r="E3943" t="s">
        <v>67</v>
      </c>
      <c r="F3943" t="s">
        <v>27987</v>
      </c>
      <c r="G3943" s="117">
        <v>95.12</v>
      </c>
    </row>
    <row r="3944" spans="1:7" x14ac:dyDescent="0.25">
      <c r="A3944" s="116" t="s">
        <v>6092</v>
      </c>
      <c r="B3944" s="117" t="s">
        <v>6093</v>
      </c>
      <c r="C3944" t="s">
        <v>67</v>
      </c>
      <c r="D3944" t="s">
        <v>67</v>
      </c>
      <c r="E3944" t="s">
        <v>67</v>
      </c>
      <c r="F3944" t="s">
        <v>27987</v>
      </c>
      <c r="G3944" s="117">
        <v>54.19</v>
      </c>
    </row>
    <row r="3945" spans="1:7" x14ac:dyDescent="0.25">
      <c r="A3945" s="116" t="s">
        <v>28139</v>
      </c>
      <c r="B3945" s="117" t="s">
        <v>28648</v>
      </c>
      <c r="C3945" t="s">
        <v>67</v>
      </c>
      <c r="D3945" t="s">
        <v>67</v>
      </c>
      <c r="E3945" t="s">
        <v>67</v>
      </c>
      <c r="F3945" t="s">
        <v>27987</v>
      </c>
      <c r="G3945" s="117">
        <v>70</v>
      </c>
    </row>
    <row r="3946" spans="1:7" x14ac:dyDescent="0.25">
      <c r="A3946" s="116" t="s">
        <v>6094</v>
      </c>
      <c r="B3946" s="117" t="s">
        <v>6095</v>
      </c>
      <c r="C3946" t="s">
        <v>67</v>
      </c>
      <c r="D3946" t="s">
        <v>67</v>
      </c>
      <c r="E3946" t="s">
        <v>67</v>
      </c>
      <c r="F3946" t="s">
        <v>27987</v>
      </c>
      <c r="G3946" s="117">
        <v>30.7</v>
      </c>
    </row>
    <row r="3947" spans="1:7" x14ac:dyDescent="0.25">
      <c r="A3947" s="116" t="s">
        <v>28649</v>
      </c>
      <c r="B3947" s="117" t="s">
        <v>28650</v>
      </c>
      <c r="C3947" t="s">
        <v>67</v>
      </c>
      <c r="D3947" t="s">
        <v>67</v>
      </c>
      <c r="E3947" t="s">
        <v>67</v>
      </c>
      <c r="F3947" t="s">
        <v>45</v>
      </c>
      <c r="G3947" s="117">
        <v>0</v>
      </c>
    </row>
    <row r="3948" spans="1:7" x14ac:dyDescent="0.25">
      <c r="A3948" s="116" t="s">
        <v>6096</v>
      </c>
      <c r="B3948" s="117" t="s">
        <v>6097</v>
      </c>
      <c r="C3948" t="s">
        <v>67</v>
      </c>
      <c r="D3948" t="s">
        <v>67</v>
      </c>
      <c r="E3948" t="s">
        <v>67</v>
      </c>
      <c r="F3948" t="s">
        <v>45</v>
      </c>
      <c r="G3948" s="117">
        <v>65.760000000000005</v>
      </c>
    </row>
    <row r="3949" spans="1:7" x14ac:dyDescent="0.25">
      <c r="A3949" s="116" t="s">
        <v>6098</v>
      </c>
      <c r="B3949" s="117" t="s">
        <v>6099</v>
      </c>
      <c r="C3949" t="s">
        <v>67</v>
      </c>
      <c r="D3949" t="s">
        <v>67</v>
      </c>
      <c r="E3949" t="s">
        <v>67</v>
      </c>
      <c r="F3949" t="s">
        <v>45</v>
      </c>
      <c r="G3949" s="117">
        <v>69.86</v>
      </c>
    </row>
    <row r="3950" spans="1:7" x14ac:dyDescent="0.25">
      <c r="A3950" s="116" t="s">
        <v>6100</v>
      </c>
      <c r="B3950" s="117" t="s">
        <v>6101</v>
      </c>
      <c r="C3950" t="s">
        <v>67</v>
      </c>
      <c r="D3950" t="s">
        <v>67</v>
      </c>
      <c r="E3950" t="s">
        <v>67</v>
      </c>
      <c r="F3950" t="s">
        <v>27987</v>
      </c>
      <c r="G3950" s="117">
        <v>48.5</v>
      </c>
    </row>
    <row r="3951" spans="1:7" x14ac:dyDescent="0.25">
      <c r="A3951" s="116" t="s">
        <v>6102</v>
      </c>
      <c r="B3951" s="117" t="s">
        <v>6103</v>
      </c>
      <c r="C3951" t="s">
        <v>67</v>
      </c>
      <c r="D3951" t="s">
        <v>67</v>
      </c>
      <c r="E3951" t="s">
        <v>67</v>
      </c>
      <c r="F3951" t="s">
        <v>45</v>
      </c>
      <c r="G3951" s="117">
        <v>54.19</v>
      </c>
    </row>
    <row r="3952" spans="1:7" x14ac:dyDescent="0.25">
      <c r="A3952" s="116" t="s">
        <v>6104</v>
      </c>
      <c r="B3952" s="117" t="s">
        <v>6105</v>
      </c>
      <c r="C3952" t="s">
        <v>67</v>
      </c>
      <c r="D3952" t="s">
        <v>67</v>
      </c>
      <c r="E3952" t="s">
        <v>67</v>
      </c>
      <c r="F3952" t="s">
        <v>27987</v>
      </c>
      <c r="G3952" s="117">
        <v>220.58</v>
      </c>
    </row>
    <row r="3953" spans="1:7" x14ac:dyDescent="0.25">
      <c r="A3953" s="116" t="s">
        <v>6106</v>
      </c>
      <c r="B3953" s="117" t="s">
        <v>6107</v>
      </c>
      <c r="C3953" t="s">
        <v>67</v>
      </c>
      <c r="D3953" t="s">
        <v>67</v>
      </c>
      <c r="E3953" t="s">
        <v>67</v>
      </c>
      <c r="F3953" t="s">
        <v>45</v>
      </c>
      <c r="G3953" s="117">
        <v>38.18</v>
      </c>
    </row>
    <row r="3954" spans="1:7" x14ac:dyDescent="0.25">
      <c r="A3954" s="116" t="s">
        <v>6108</v>
      </c>
      <c r="B3954" s="117" t="s">
        <v>6109</v>
      </c>
      <c r="C3954" t="s">
        <v>67</v>
      </c>
      <c r="D3954" t="s">
        <v>67</v>
      </c>
      <c r="E3954" t="s">
        <v>67</v>
      </c>
      <c r="F3954" t="s">
        <v>27987</v>
      </c>
      <c r="G3954" s="117">
        <v>36.04</v>
      </c>
    </row>
    <row r="3955" spans="1:7" x14ac:dyDescent="0.25">
      <c r="A3955" s="116" t="s">
        <v>28651</v>
      </c>
      <c r="B3955" s="117" t="s">
        <v>28652</v>
      </c>
      <c r="C3955" t="s">
        <v>67</v>
      </c>
      <c r="D3955" t="s">
        <v>67</v>
      </c>
      <c r="E3955" t="s">
        <v>67</v>
      </c>
      <c r="F3955" t="s">
        <v>45</v>
      </c>
      <c r="G3955" s="117">
        <v>0</v>
      </c>
    </row>
    <row r="3956" spans="1:7" x14ac:dyDescent="0.25">
      <c r="A3956" s="116" t="s">
        <v>28653</v>
      </c>
      <c r="B3956" s="117" t="s">
        <v>30725</v>
      </c>
      <c r="C3956" t="s">
        <v>67</v>
      </c>
      <c r="D3956" t="s">
        <v>67</v>
      </c>
      <c r="E3956" t="s">
        <v>67</v>
      </c>
      <c r="F3956" t="s">
        <v>27987</v>
      </c>
      <c r="G3956" s="117">
        <v>25</v>
      </c>
    </row>
    <row r="3957" spans="1:7" x14ac:dyDescent="0.25">
      <c r="A3957" s="116" t="s">
        <v>6110</v>
      </c>
      <c r="B3957" s="117" t="s">
        <v>6111</v>
      </c>
      <c r="C3957" t="s">
        <v>67</v>
      </c>
      <c r="D3957" t="s">
        <v>67</v>
      </c>
      <c r="E3957" t="s">
        <v>67</v>
      </c>
      <c r="F3957" t="s">
        <v>45</v>
      </c>
      <c r="G3957" s="117">
        <v>17.7</v>
      </c>
    </row>
    <row r="3958" spans="1:7" x14ac:dyDescent="0.25">
      <c r="A3958" s="116" t="s">
        <v>6112</v>
      </c>
      <c r="B3958" s="117" t="s">
        <v>6111</v>
      </c>
      <c r="C3958" t="s">
        <v>67</v>
      </c>
      <c r="D3958" t="s">
        <v>67</v>
      </c>
      <c r="E3958" t="s">
        <v>67</v>
      </c>
      <c r="F3958" t="s">
        <v>27990</v>
      </c>
      <c r="G3958" s="117">
        <v>12.37</v>
      </c>
    </row>
    <row r="3959" spans="1:7" x14ac:dyDescent="0.25">
      <c r="A3959" s="116" t="s">
        <v>6113</v>
      </c>
      <c r="B3959" s="117" t="s">
        <v>6114</v>
      </c>
      <c r="C3959" t="s">
        <v>67</v>
      </c>
      <c r="D3959" t="s">
        <v>67</v>
      </c>
      <c r="E3959" t="s">
        <v>67</v>
      </c>
      <c r="F3959" t="s">
        <v>27987</v>
      </c>
      <c r="G3959" s="117">
        <v>20.38</v>
      </c>
    </row>
    <row r="3960" spans="1:7" x14ac:dyDescent="0.25">
      <c r="A3960" s="116" t="s">
        <v>28654</v>
      </c>
      <c r="B3960" s="117" t="s">
        <v>28655</v>
      </c>
      <c r="C3960" t="s">
        <v>67</v>
      </c>
      <c r="D3960" t="s">
        <v>67</v>
      </c>
      <c r="E3960" t="s">
        <v>67</v>
      </c>
      <c r="F3960" t="s">
        <v>27987</v>
      </c>
      <c r="G3960" s="117">
        <v>9999</v>
      </c>
    </row>
    <row r="3961" spans="1:7" x14ac:dyDescent="0.25">
      <c r="A3961" s="116" t="s">
        <v>6115</v>
      </c>
      <c r="B3961" s="117" t="s">
        <v>6116</v>
      </c>
      <c r="C3961" t="s">
        <v>67</v>
      </c>
      <c r="D3961" t="s">
        <v>67</v>
      </c>
      <c r="E3961" t="s">
        <v>67</v>
      </c>
      <c r="F3961" t="s">
        <v>45</v>
      </c>
      <c r="G3961" s="117">
        <v>168.62</v>
      </c>
    </row>
    <row r="3962" spans="1:7" x14ac:dyDescent="0.25">
      <c r="A3962" s="116" t="s">
        <v>6117</v>
      </c>
      <c r="B3962" s="117" t="s">
        <v>6118</v>
      </c>
      <c r="C3962" t="s">
        <v>67</v>
      </c>
      <c r="D3962" t="s">
        <v>67</v>
      </c>
      <c r="E3962" t="s">
        <v>67</v>
      </c>
      <c r="F3962" t="s">
        <v>27987</v>
      </c>
      <c r="G3962" s="117">
        <v>23.94</v>
      </c>
    </row>
    <row r="3963" spans="1:7" x14ac:dyDescent="0.25">
      <c r="A3963" s="116" t="s">
        <v>6119</v>
      </c>
      <c r="B3963" s="117" t="s">
        <v>6120</v>
      </c>
      <c r="C3963" t="s">
        <v>67</v>
      </c>
      <c r="D3963" t="s">
        <v>67</v>
      </c>
      <c r="E3963" t="s">
        <v>67</v>
      </c>
      <c r="F3963" t="s">
        <v>27987</v>
      </c>
      <c r="G3963" s="117">
        <v>13.26</v>
      </c>
    </row>
    <row r="3964" spans="1:7" x14ac:dyDescent="0.25">
      <c r="A3964" s="116" t="s">
        <v>6121</v>
      </c>
      <c r="B3964" s="117" t="s">
        <v>6122</v>
      </c>
      <c r="C3964" t="s">
        <v>67</v>
      </c>
      <c r="D3964" t="s">
        <v>67</v>
      </c>
      <c r="E3964" t="s">
        <v>67</v>
      </c>
      <c r="F3964" t="s">
        <v>27987</v>
      </c>
      <c r="G3964" s="117">
        <v>5.25</v>
      </c>
    </row>
    <row r="3965" spans="1:7" x14ac:dyDescent="0.25">
      <c r="A3965" s="116" t="s">
        <v>6123</v>
      </c>
      <c r="B3965" s="117" t="s">
        <v>28656</v>
      </c>
      <c r="C3965" t="s">
        <v>67</v>
      </c>
      <c r="D3965" t="s">
        <v>67</v>
      </c>
      <c r="E3965" t="s">
        <v>67</v>
      </c>
      <c r="F3965" t="s">
        <v>27987</v>
      </c>
      <c r="G3965" s="117">
        <v>20.38</v>
      </c>
    </row>
    <row r="3966" spans="1:7" x14ac:dyDescent="0.25">
      <c r="A3966" s="116" t="s">
        <v>6124</v>
      </c>
      <c r="B3966" s="117" t="s">
        <v>6125</v>
      </c>
      <c r="C3966" t="s">
        <v>67</v>
      </c>
      <c r="D3966" t="s">
        <v>67</v>
      </c>
      <c r="E3966" t="s">
        <v>67</v>
      </c>
      <c r="F3966" t="s">
        <v>27990</v>
      </c>
      <c r="G3966" s="117">
        <v>5.79</v>
      </c>
    </row>
    <row r="3967" spans="1:7" x14ac:dyDescent="0.25">
      <c r="A3967" s="116" t="s">
        <v>6126</v>
      </c>
      <c r="B3967" s="117" t="s">
        <v>6127</v>
      </c>
      <c r="C3967" t="s">
        <v>67</v>
      </c>
      <c r="D3967" t="s">
        <v>67</v>
      </c>
      <c r="E3967" t="s">
        <v>67</v>
      </c>
      <c r="F3967" t="s">
        <v>49</v>
      </c>
      <c r="G3967" s="117">
        <v>5.79</v>
      </c>
    </row>
    <row r="3968" spans="1:7" x14ac:dyDescent="0.25">
      <c r="A3968" s="116" t="s">
        <v>6128</v>
      </c>
      <c r="B3968" s="117" t="s">
        <v>6129</v>
      </c>
      <c r="C3968" t="s">
        <v>67</v>
      </c>
      <c r="D3968" t="s">
        <v>67</v>
      </c>
      <c r="E3968" t="s">
        <v>67</v>
      </c>
      <c r="F3968" t="s">
        <v>49</v>
      </c>
      <c r="G3968" s="117">
        <v>10.68</v>
      </c>
    </row>
    <row r="3969" spans="1:7" x14ac:dyDescent="0.25">
      <c r="A3969" s="116" t="s">
        <v>6130</v>
      </c>
      <c r="B3969" s="117" t="s">
        <v>6131</v>
      </c>
      <c r="C3969" t="s">
        <v>67</v>
      </c>
      <c r="D3969" t="s">
        <v>67</v>
      </c>
      <c r="E3969" t="s">
        <v>67</v>
      </c>
      <c r="F3969" t="s">
        <v>27987</v>
      </c>
      <c r="G3969" s="117">
        <v>26.25</v>
      </c>
    </row>
    <row r="3970" spans="1:7" x14ac:dyDescent="0.25">
      <c r="A3970" s="116" t="s">
        <v>6132</v>
      </c>
      <c r="B3970" s="117" t="s">
        <v>6133</v>
      </c>
      <c r="C3970" t="s">
        <v>67</v>
      </c>
      <c r="D3970" t="s">
        <v>67</v>
      </c>
      <c r="E3970" t="s">
        <v>67</v>
      </c>
      <c r="F3970" t="s">
        <v>27987</v>
      </c>
      <c r="G3970" s="117">
        <v>27.14</v>
      </c>
    </row>
    <row r="3971" spans="1:7" x14ac:dyDescent="0.25">
      <c r="A3971" s="116" t="s">
        <v>6134</v>
      </c>
      <c r="B3971" s="117" t="s">
        <v>6135</v>
      </c>
      <c r="C3971" t="s">
        <v>67</v>
      </c>
      <c r="D3971" t="s">
        <v>67</v>
      </c>
      <c r="E3971" t="s">
        <v>67</v>
      </c>
      <c r="F3971" t="s">
        <v>27987</v>
      </c>
      <c r="G3971" s="117">
        <v>69.319999999999993</v>
      </c>
    </row>
    <row r="3972" spans="1:7" x14ac:dyDescent="0.25">
      <c r="A3972" s="116" t="s">
        <v>6136</v>
      </c>
      <c r="B3972" s="117" t="s">
        <v>6137</v>
      </c>
      <c r="C3972" t="s">
        <v>67</v>
      </c>
      <c r="D3972" t="s">
        <v>67</v>
      </c>
      <c r="E3972" t="s">
        <v>67</v>
      </c>
      <c r="F3972" t="s">
        <v>27987</v>
      </c>
      <c r="G3972" s="117">
        <v>10.58</v>
      </c>
    </row>
    <row r="3973" spans="1:7" x14ac:dyDescent="0.25">
      <c r="A3973" s="116" t="s">
        <v>6138</v>
      </c>
      <c r="B3973" s="117" t="s">
        <v>6139</v>
      </c>
      <c r="C3973" t="s">
        <v>67</v>
      </c>
      <c r="D3973" t="s">
        <v>67</v>
      </c>
      <c r="E3973" t="s">
        <v>67</v>
      </c>
      <c r="F3973" t="s">
        <v>49</v>
      </c>
      <c r="G3973" s="117">
        <v>3.12</v>
      </c>
    </row>
    <row r="3974" spans="1:7" x14ac:dyDescent="0.25">
      <c r="A3974" s="116" t="s">
        <v>6140</v>
      </c>
      <c r="B3974" s="117" t="s">
        <v>6141</v>
      </c>
      <c r="C3974" t="s">
        <v>67</v>
      </c>
      <c r="D3974" t="s">
        <v>67</v>
      </c>
      <c r="E3974" t="s">
        <v>67</v>
      </c>
      <c r="F3974" t="s">
        <v>51</v>
      </c>
      <c r="G3974" s="117">
        <v>12.37</v>
      </c>
    </row>
    <row r="3975" spans="1:7" x14ac:dyDescent="0.25">
      <c r="A3975" s="116" t="s">
        <v>6142</v>
      </c>
      <c r="B3975" s="117" t="s">
        <v>6143</v>
      </c>
      <c r="C3975" t="s">
        <v>67</v>
      </c>
      <c r="D3975" t="s">
        <v>67</v>
      </c>
      <c r="E3975" t="s">
        <v>67</v>
      </c>
      <c r="F3975" t="s">
        <v>27987</v>
      </c>
      <c r="G3975" s="117">
        <v>51.17</v>
      </c>
    </row>
    <row r="3976" spans="1:7" x14ac:dyDescent="0.25">
      <c r="A3976" s="116" t="s">
        <v>6144</v>
      </c>
      <c r="B3976" s="117" t="s">
        <v>6145</v>
      </c>
      <c r="C3976" t="s">
        <v>67</v>
      </c>
      <c r="D3976" t="s">
        <v>67</v>
      </c>
      <c r="E3976" t="s">
        <v>67</v>
      </c>
      <c r="F3976" t="s">
        <v>45</v>
      </c>
      <c r="G3976" s="117">
        <v>51.17</v>
      </c>
    </row>
    <row r="3977" spans="1:7" x14ac:dyDescent="0.25">
      <c r="A3977" s="116" t="s">
        <v>6146</v>
      </c>
      <c r="B3977" s="117" t="s">
        <v>6147</v>
      </c>
      <c r="C3977" t="s">
        <v>67</v>
      </c>
      <c r="D3977" t="s">
        <v>67</v>
      </c>
      <c r="E3977" t="s">
        <v>67</v>
      </c>
      <c r="F3977" t="s">
        <v>45</v>
      </c>
      <c r="G3977" s="117">
        <v>51.17</v>
      </c>
    </row>
    <row r="3978" spans="1:7" x14ac:dyDescent="0.25">
      <c r="A3978" s="116" t="s">
        <v>6148</v>
      </c>
      <c r="B3978" s="117" t="s">
        <v>6149</v>
      </c>
      <c r="C3978" t="s">
        <v>67</v>
      </c>
      <c r="D3978" t="s">
        <v>67</v>
      </c>
      <c r="E3978" t="s">
        <v>67</v>
      </c>
      <c r="F3978" t="s">
        <v>27987</v>
      </c>
      <c r="G3978" s="117">
        <v>51.17</v>
      </c>
    </row>
    <row r="3979" spans="1:7" x14ac:dyDescent="0.25">
      <c r="A3979" s="116" t="s">
        <v>6150</v>
      </c>
      <c r="B3979" s="117" t="s">
        <v>6151</v>
      </c>
      <c r="C3979" t="s">
        <v>67</v>
      </c>
      <c r="D3979" t="s">
        <v>67</v>
      </c>
      <c r="E3979" t="s">
        <v>67</v>
      </c>
      <c r="F3979" t="s">
        <v>45</v>
      </c>
      <c r="G3979" s="117">
        <v>82.67</v>
      </c>
    </row>
    <row r="3980" spans="1:7" x14ac:dyDescent="0.25">
      <c r="A3980" s="116" t="s">
        <v>6152</v>
      </c>
      <c r="B3980" s="117" t="s">
        <v>6153</v>
      </c>
      <c r="C3980" t="s">
        <v>67</v>
      </c>
      <c r="D3980" t="s">
        <v>67</v>
      </c>
      <c r="E3980" t="s">
        <v>67</v>
      </c>
      <c r="F3980" t="s">
        <v>45</v>
      </c>
      <c r="G3980" s="117">
        <v>23.94</v>
      </c>
    </row>
    <row r="3981" spans="1:7" x14ac:dyDescent="0.25">
      <c r="A3981" s="116" t="s">
        <v>6154</v>
      </c>
      <c r="B3981" s="117" t="s">
        <v>6155</v>
      </c>
      <c r="C3981" t="s">
        <v>67</v>
      </c>
      <c r="D3981" t="s">
        <v>67</v>
      </c>
      <c r="E3981" t="s">
        <v>67</v>
      </c>
      <c r="F3981" t="s">
        <v>27987</v>
      </c>
      <c r="G3981" s="117">
        <v>89.79</v>
      </c>
    </row>
    <row r="3982" spans="1:7" x14ac:dyDescent="0.25">
      <c r="A3982" s="116" t="s">
        <v>6156</v>
      </c>
      <c r="B3982" s="117" t="s">
        <v>6157</v>
      </c>
      <c r="C3982" t="s">
        <v>67</v>
      </c>
      <c r="D3982" t="s">
        <v>67</v>
      </c>
      <c r="E3982" t="s">
        <v>67</v>
      </c>
      <c r="F3982" t="s">
        <v>45</v>
      </c>
      <c r="G3982" s="117">
        <v>11.48</v>
      </c>
    </row>
    <row r="3983" spans="1:7" x14ac:dyDescent="0.25">
      <c r="A3983" s="116" t="s">
        <v>6158</v>
      </c>
      <c r="B3983" s="117" t="s">
        <v>6159</v>
      </c>
      <c r="C3983" t="s">
        <v>67</v>
      </c>
      <c r="D3983" t="s">
        <v>67</v>
      </c>
      <c r="E3983" t="s">
        <v>67</v>
      </c>
      <c r="F3983" t="s">
        <v>45</v>
      </c>
      <c r="G3983" s="117">
        <v>42.26</v>
      </c>
    </row>
    <row r="3984" spans="1:7" x14ac:dyDescent="0.25">
      <c r="A3984" s="116" t="s">
        <v>6160</v>
      </c>
      <c r="B3984" s="117" t="s">
        <v>6161</v>
      </c>
      <c r="C3984" t="s">
        <v>67</v>
      </c>
      <c r="D3984" t="s">
        <v>67</v>
      </c>
      <c r="E3984" t="s">
        <v>67</v>
      </c>
      <c r="F3984" t="s">
        <v>45</v>
      </c>
      <c r="G3984" s="117">
        <v>14.14</v>
      </c>
    </row>
    <row r="3985" spans="1:7" x14ac:dyDescent="0.25">
      <c r="A3985" s="116" t="s">
        <v>6162</v>
      </c>
      <c r="B3985" s="117" t="s">
        <v>6163</v>
      </c>
      <c r="C3985" t="s">
        <v>67</v>
      </c>
      <c r="D3985" t="s">
        <v>67</v>
      </c>
      <c r="E3985" t="s">
        <v>67</v>
      </c>
      <c r="F3985" t="s">
        <v>27987</v>
      </c>
      <c r="G3985" s="117">
        <v>13.26</v>
      </c>
    </row>
    <row r="3986" spans="1:7" x14ac:dyDescent="0.25">
      <c r="A3986" s="116" t="s">
        <v>6164</v>
      </c>
      <c r="B3986" s="117" t="s">
        <v>6165</v>
      </c>
      <c r="C3986" t="s">
        <v>67</v>
      </c>
      <c r="D3986" t="s">
        <v>67</v>
      </c>
      <c r="E3986" t="s">
        <v>67</v>
      </c>
      <c r="F3986" t="s">
        <v>27987</v>
      </c>
      <c r="G3986" s="117">
        <v>15.57</v>
      </c>
    </row>
    <row r="3987" spans="1:7" x14ac:dyDescent="0.25">
      <c r="A3987" s="116" t="s">
        <v>6166</v>
      </c>
      <c r="B3987" s="117" t="s">
        <v>6165</v>
      </c>
      <c r="C3987" t="s">
        <v>67</v>
      </c>
      <c r="D3987" t="s">
        <v>67</v>
      </c>
      <c r="E3987" t="s">
        <v>67</v>
      </c>
      <c r="F3987" t="s">
        <v>27987</v>
      </c>
      <c r="G3987" s="117">
        <v>15.57</v>
      </c>
    </row>
    <row r="3988" spans="1:7" x14ac:dyDescent="0.25">
      <c r="A3988" s="116" t="s">
        <v>6167</v>
      </c>
      <c r="B3988" s="117" t="s">
        <v>6168</v>
      </c>
      <c r="C3988" t="s">
        <v>67</v>
      </c>
      <c r="D3988" t="s">
        <v>67</v>
      </c>
      <c r="E3988" t="s">
        <v>67</v>
      </c>
      <c r="F3988" t="s">
        <v>27987</v>
      </c>
      <c r="G3988" s="117">
        <v>25.71</v>
      </c>
    </row>
    <row r="3989" spans="1:7" x14ac:dyDescent="0.25">
      <c r="A3989" s="116" t="s">
        <v>6169</v>
      </c>
      <c r="B3989" s="117" t="s">
        <v>6170</v>
      </c>
      <c r="C3989" t="s">
        <v>67</v>
      </c>
      <c r="D3989" t="s">
        <v>67</v>
      </c>
      <c r="E3989" t="s">
        <v>67</v>
      </c>
      <c r="F3989" t="s">
        <v>27987</v>
      </c>
      <c r="G3989" s="117">
        <v>20.38</v>
      </c>
    </row>
    <row r="3990" spans="1:7" x14ac:dyDescent="0.25">
      <c r="A3990" s="116" t="s">
        <v>6171</v>
      </c>
      <c r="B3990" s="117" t="s">
        <v>6172</v>
      </c>
      <c r="C3990" t="s">
        <v>67</v>
      </c>
      <c r="D3990" t="s">
        <v>67</v>
      </c>
      <c r="E3990" t="s">
        <v>67</v>
      </c>
      <c r="F3990" t="s">
        <v>45</v>
      </c>
      <c r="G3990" s="117">
        <v>110.25</v>
      </c>
    </row>
    <row r="3991" spans="1:7" x14ac:dyDescent="0.25">
      <c r="A3991" s="116" t="s">
        <v>6173</v>
      </c>
      <c r="B3991" s="117" t="s">
        <v>6174</v>
      </c>
      <c r="C3991" t="s">
        <v>67</v>
      </c>
      <c r="D3991" t="s">
        <v>67</v>
      </c>
      <c r="E3991" t="s">
        <v>67</v>
      </c>
      <c r="F3991" t="s">
        <v>27987</v>
      </c>
      <c r="G3991" s="117">
        <v>82.67</v>
      </c>
    </row>
    <row r="3992" spans="1:7" x14ac:dyDescent="0.25">
      <c r="A3992" s="116" t="s">
        <v>6175</v>
      </c>
      <c r="B3992" s="117" t="s">
        <v>6176</v>
      </c>
      <c r="C3992" t="s">
        <v>67</v>
      </c>
      <c r="D3992" t="s">
        <v>67</v>
      </c>
      <c r="E3992" t="s">
        <v>67</v>
      </c>
      <c r="F3992" t="s">
        <v>27987</v>
      </c>
      <c r="G3992" s="117">
        <v>112.02</v>
      </c>
    </row>
    <row r="3993" spans="1:7" x14ac:dyDescent="0.25">
      <c r="A3993" s="116" t="s">
        <v>6177</v>
      </c>
      <c r="B3993" s="117" t="s">
        <v>6178</v>
      </c>
      <c r="C3993" t="s">
        <v>67</v>
      </c>
      <c r="D3993" t="s">
        <v>67</v>
      </c>
      <c r="E3993" t="s">
        <v>67</v>
      </c>
      <c r="F3993" t="s">
        <v>45</v>
      </c>
      <c r="G3993" s="117">
        <v>165.95</v>
      </c>
    </row>
    <row r="3994" spans="1:7" x14ac:dyDescent="0.25">
      <c r="A3994" s="116" t="s">
        <v>6179</v>
      </c>
      <c r="B3994" s="117" t="s">
        <v>6180</v>
      </c>
      <c r="C3994" t="s">
        <v>67</v>
      </c>
      <c r="D3994" t="s">
        <v>67</v>
      </c>
      <c r="E3994" t="s">
        <v>67</v>
      </c>
      <c r="F3994" t="s">
        <v>27987</v>
      </c>
      <c r="G3994" s="117">
        <v>33.729999999999997</v>
      </c>
    </row>
    <row r="3995" spans="1:7" x14ac:dyDescent="0.25">
      <c r="A3995" s="116" t="s">
        <v>6181</v>
      </c>
      <c r="B3995" s="117" t="s">
        <v>6182</v>
      </c>
      <c r="C3995" t="s">
        <v>67</v>
      </c>
      <c r="D3995" t="s">
        <v>67</v>
      </c>
      <c r="E3995" t="s">
        <v>67</v>
      </c>
      <c r="F3995" t="s">
        <v>27987</v>
      </c>
      <c r="G3995" s="117">
        <v>49.74</v>
      </c>
    </row>
    <row r="3996" spans="1:7" x14ac:dyDescent="0.25">
      <c r="A3996" s="116" t="s">
        <v>6183</v>
      </c>
      <c r="B3996" s="117" t="s">
        <v>6184</v>
      </c>
      <c r="C3996" t="s">
        <v>67</v>
      </c>
      <c r="D3996" t="s">
        <v>67</v>
      </c>
      <c r="E3996" t="s">
        <v>67</v>
      </c>
      <c r="F3996" t="s">
        <v>27987</v>
      </c>
      <c r="G3996" s="117">
        <v>186.77</v>
      </c>
    </row>
    <row r="3997" spans="1:7" x14ac:dyDescent="0.25">
      <c r="A3997" s="116" t="s">
        <v>6185</v>
      </c>
      <c r="B3997" s="117" t="s">
        <v>6186</v>
      </c>
      <c r="C3997" t="s">
        <v>67</v>
      </c>
      <c r="D3997" t="s">
        <v>67</v>
      </c>
      <c r="E3997" t="s">
        <v>67</v>
      </c>
      <c r="F3997" t="s">
        <v>45</v>
      </c>
      <c r="G3997" s="117">
        <v>380.4</v>
      </c>
    </row>
    <row r="3998" spans="1:7" x14ac:dyDescent="0.25">
      <c r="A3998" s="116" t="s">
        <v>28657</v>
      </c>
      <c r="B3998" s="117" t="s">
        <v>28658</v>
      </c>
      <c r="C3998" t="s">
        <v>67</v>
      </c>
      <c r="D3998" t="s">
        <v>67</v>
      </c>
      <c r="E3998" t="s">
        <v>67</v>
      </c>
      <c r="F3998" t="s">
        <v>45</v>
      </c>
      <c r="G3998" s="117">
        <v>0</v>
      </c>
    </row>
    <row r="3999" spans="1:7" x14ac:dyDescent="0.25">
      <c r="A3999" s="116" t="s">
        <v>6187</v>
      </c>
      <c r="B3999" s="117" t="s">
        <v>6188</v>
      </c>
      <c r="C3999" t="s">
        <v>67</v>
      </c>
      <c r="D3999" t="s">
        <v>67</v>
      </c>
      <c r="E3999" t="s">
        <v>67</v>
      </c>
      <c r="F3999" t="s">
        <v>27987</v>
      </c>
      <c r="G3999" s="117">
        <v>24.82</v>
      </c>
    </row>
    <row r="4000" spans="1:7" x14ac:dyDescent="0.25">
      <c r="A4000" s="116" t="s">
        <v>6189</v>
      </c>
      <c r="B4000" s="117" t="s">
        <v>6190</v>
      </c>
      <c r="C4000" t="s">
        <v>67</v>
      </c>
      <c r="D4000" t="s">
        <v>67</v>
      </c>
      <c r="E4000" t="s">
        <v>67</v>
      </c>
      <c r="F4000" t="s">
        <v>27987</v>
      </c>
      <c r="G4000" s="117">
        <v>19.489999999999998</v>
      </c>
    </row>
    <row r="4001" spans="1:7" x14ac:dyDescent="0.25">
      <c r="A4001" s="116" t="s">
        <v>28659</v>
      </c>
      <c r="B4001" s="117" t="s">
        <v>28660</v>
      </c>
      <c r="C4001" t="s">
        <v>67</v>
      </c>
      <c r="D4001" t="s">
        <v>67</v>
      </c>
      <c r="E4001" t="s">
        <v>67</v>
      </c>
      <c r="F4001" t="s">
        <v>45</v>
      </c>
      <c r="G4001" s="117">
        <v>0</v>
      </c>
    </row>
    <row r="4002" spans="1:7" x14ac:dyDescent="0.25">
      <c r="A4002" s="116" t="s">
        <v>28661</v>
      </c>
      <c r="B4002" s="117" t="s">
        <v>28662</v>
      </c>
      <c r="C4002" t="s">
        <v>67</v>
      </c>
      <c r="D4002" t="s">
        <v>67</v>
      </c>
      <c r="E4002" t="s">
        <v>67</v>
      </c>
      <c r="F4002" t="s">
        <v>45</v>
      </c>
      <c r="G4002" s="117">
        <v>0</v>
      </c>
    </row>
    <row r="4003" spans="1:7" x14ac:dyDescent="0.25">
      <c r="A4003" s="116" t="s">
        <v>6191</v>
      </c>
      <c r="B4003" s="117" t="s">
        <v>6192</v>
      </c>
      <c r="C4003" t="s">
        <v>67</v>
      </c>
      <c r="D4003" t="s">
        <v>67</v>
      </c>
      <c r="E4003" t="s">
        <v>67</v>
      </c>
      <c r="F4003" t="s">
        <v>45</v>
      </c>
      <c r="G4003" s="117">
        <v>20.38</v>
      </c>
    </row>
    <row r="4004" spans="1:7" x14ac:dyDescent="0.25">
      <c r="A4004" s="116" t="s">
        <v>28663</v>
      </c>
      <c r="B4004" s="117" t="s">
        <v>28664</v>
      </c>
      <c r="C4004" t="s">
        <v>67</v>
      </c>
      <c r="D4004" t="s">
        <v>67</v>
      </c>
      <c r="E4004" t="s">
        <v>67</v>
      </c>
      <c r="F4004" t="s">
        <v>45</v>
      </c>
      <c r="G4004" s="117">
        <v>0</v>
      </c>
    </row>
    <row r="4005" spans="1:7" x14ac:dyDescent="0.25">
      <c r="A4005" s="116" t="s">
        <v>28665</v>
      </c>
      <c r="B4005" s="117" t="s">
        <v>28666</v>
      </c>
      <c r="C4005" t="s">
        <v>67</v>
      </c>
      <c r="D4005" t="s">
        <v>67</v>
      </c>
      <c r="E4005" t="s">
        <v>67</v>
      </c>
      <c r="F4005" t="s">
        <v>45</v>
      </c>
      <c r="G4005" s="117">
        <v>0</v>
      </c>
    </row>
    <row r="4006" spans="1:7" x14ac:dyDescent="0.25">
      <c r="A4006" s="116" t="s">
        <v>6193</v>
      </c>
      <c r="B4006" s="117" t="s">
        <v>6194</v>
      </c>
      <c r="C4006" t="s">
        <v>67</v>
      </c>
      <c r="D4006" t="s">
        <v>67</v>
      </c>
      <c r="E4006" t="s">
        <v>67</v>
      </c>
      <c r="F4006" t="s">
        <v>45</v>
      </c>
      <c r="G4006" s="117">
        <v>31.94</v>
      </c>
    </row>
    <row r="4007" spans="1:7" x14ac:dyDescent="0.25">
      <c r="A4007" s="116" t="s">
        <v>6195</v>
      </c>
      <c r="B4007" s="117" t="s">
        <v>6196</v>
      </c>
      <c r="C4007" t="s">
        <v>67</v>
      </c>
      <c r="D4007" t="s">
        <v>67</v>
      </c>
      <c r="E4007" t="s">
        <v>67</v>
      </c>
      <c r="F4007" t="s">
        <v>45</v>
      </c>
      <c r="G4007" s="117">
        <v>12.45</v>
      </c>
    </row>
    <row r="4008" spans="1:7" x14ac:dyDescent="0.25">
      <c r="A4008" s="116" t="s">
        <v>6197</v>
      </c>
      <c r="B4008" s="117" t="s">
        <v>6198</v>
      </c>
      <c r="C4008" t="s">
        <v>67</v>
      </c>
      <c r="D4008" t="s">
        <v>67</v>
      </c>
      <c r="E4008" t="s">
        <v>67</v>
      </c>
      <c r="F4008" t="s">
        <v>27987</v>
      </c>
      <c r="G4008" s="117">
        <v>18.600000000000001</v>
      </c>
    </row>
    <row r="4009" spans="1:7" x14ac:dyDescent="0.25">
      <c r="A4009" s="116" t="s">
        <v>6199</v>
      </c>
      <c r="B4009" s="117" t="s">
        <v>6200</v>
      </c>
      <c r="C4009" t="s">
        <v>67</v>
      </c>
      <c r="D4009" t="s">
        <v>67</v>
      </c>
      <c r="E4009" t="s">
        <v>67</v>
      </c>
      <c r="F4009" t="s">
        <v>27987</v>
      </c>
      <c r="G4009" s="117">
        <v>79.11</v>
      </c>
    </row>
    <row r="4010" spans="1:7" x14ac:dyDescent="0.25">
      <c r="A4010" s="116" t="s">
        <v>6201</v>
      </c>
      <c r="B4010" s="117" t="s">
        <v>6202</v>
      </c>
      <c r="C4010" t="s">
        <v>67</v>
      </c>
      <c r="D4010" t="s">
        <v>67</v>
      </c>
      <c r="E4010" t="s">
        <v>67</v>
      </c>
      <c r="F4010" t="s">
        <v>27987</v>
      </c>
      <c r="G4010" s="117">
        <v>66.3</v>
      </c>
    </row>
    <row r="4011" spans="1:7" x14ac:dyDescent="0.25">
      <c r="A4011" s="116" t="s">
        <v>28667</v>
      </c>
      <c r="B4011" s="117" t="s">
        <v>30102</v>
      </c>
      <c r="C4011" t="s">
        <v>67</v>
      </c>
      <c r="D4011" t="s">
        <v>67</v>
      </c>
      <c r="E4011" t="s">
        <v>67</v>
      </c>
      <c r="F4011" t="s">
        <v>27987</v>
      </c>
      <c r="G4011" s="117">
        <v>20</v>
      </c>
    </row>
    <row r="4012" spans="1:7" x14ac:dyDescent="0.25">
      <c r="A4012" s="116" t="s">
        <v>6203</v>
      </c>
      <c r="B4012" s="117" t="s">
        <v>6204</v>
      </c>
      <c r="C4012" t="s">
        <v>67</v>
      </c>
      <c r="D4012" t="s">
        <v>67</v>
      </c>
      <c r="E4012" t="s">
        <v>67</v>
      </c>
      <c r="F4012" t="s">
        <v>49</v>
      </c>
      <c r="G4012" s="117">
        <v>29.27</v>
      </c>
    </row>
    <row r="4013" spans="1:7" x14ac:dyDescent="0.25">
      <c r="A4013" s="116" t="s">
        <v>6205</v>
      </c>
      <c r="B4013" s="117" t="s">
        <v>6206</v>
      </c>
      <c r="C4013" t="s">
        <v>67</v>
      </c>
      <c r="D4013" t="s">
        <v>67</v>
      </c>
      <c r="E4013" t="s">
        <v>67</v>
      </c>
      <c r="F4013" t="s">
        <v>27987</v>
      </c>
      <c r="G4013" s="117">
        <v>31.94</v>
      </c>
    </row>
    <row r="4014" spans="1:7" x14ac:dyDescent="0.25">
      <c r="A4014" s="116" t="s">
        <v>6207</v>
      </c>
      <c r="B4014" s="117" t="s">
        <v>6208</v>
      </c>
      <c r="C4014" t="s">
        <v>67</v>
      </c>
      <c r="D4014" t="s">
        <v>67</v>
      </c>
      <c r="E4014" t="s">
        <v>67</v>
      </c>
      <c r="F4014" t="s">
        <v>27987</v>
      </c>
      <c r="G4014" s="117">
        <v>56.86</v>
      </c>
    </row>
    <row r="4015" spans="1:7" x14ac:dyDescent="0.25">
      <c r="A4015" s="116" t="s">
        <v>6209</v>
      </c>
      <c r="B4015" s="117" t="s">
        <v>6210</v>
      </c>
      <c r="C4015" t="s">
        <v>67</v>
      </c>
      <c r="D4015" t="s">
        <v>67</v>
      </c>
      <c r="E4015" t="s">
        <v>67</v>
      </c>
      <c r="F4015" t="s">
        <v>27987</v>
      </c>
      <c r="G4015" s="117">
        <v>30.17</v>
      </c>
    </row>
    <row r="4016" spans="1:7" x14ac:dyDescent="0.25">
      <c r="A4016" s="116" t="s">
        <v>6211</v>
      </c>
      <c r="B4016" s="117" t="s">
        <v>6212</v>
      </c>
      <c r="C4016" t="s">
        <v>67</v>
      </c>
      <c r="D4016" t="s">
        <v>67</v>
      </c>
      <c r="E4016" t="s">
        <v>67</v>
      </c>
      <c r="F4016" t="s">
        <v>27987</v>
      </c>
      <c r="G4016" s="117">
        <v>29.81</v>
      </c>
    </row>
    <row r="4017" spans="1:7" x14ac:dyDescent="0.25">
      <c r="A4017" s="116" t="s">
        <v>6213</v>
      </c>
      <c r="B4017" s="117" t="s">
        <v>6214</v>
      </c>
      <c r="C4017" t="s">
        <v>67</v>
      </c>
      <c r="D4017" t="s">
        <v>67</v>
      </c>
      <c r="E4017" t="s">
        <v>67</v>
      </c>
      <c r="F4017" t="s">
        <v>27987</v>
      </c>
      <c r="G4017" s="117">
        <v>6.14</v>
      </c>
    </row>
    <row r="4018" spans="1:7" x14ac:dyDescent="0.25">
      <c r="A4018" s="116" t="s">
        <v>6215</v>
      </c>
      <c r="B4018" s="117" t="s">
        <v>6216</v>
      </c>
      <c r="C4018" t="s">
        <v>67</v>
      </c>
      <c r="D4018" t="s">
        <v>67</v>
      </c>
      <c r="E4018" t="s">
        <v>67</v>
      </c>
      <c r="F4018" t="s">
        <v>45</v>
      </c>
      <c r="G4018" s="117">
        <v>13.8</v>
      </c>
    </row>
    <row r="4019" spans="1:7" x14ac:dyDescent="0.25">
      <c r="A4019" s="116" t="s">
        <v>6217</v>
      </c>
      <c r="B4019" s="117" t="s">
        <v>6218</v>
      </c>
      <c r="C4019" t="s">
        <v>67</v>
      </c>
      <c r="D4019" t="s">
        <v>67</v>
      </c>
      <c r="E4019" t="s">
        <v>67</v>
      </c>
      <c r="F4019" t="s">
        <v>27987</v>
      </c>
      <c r="G4019" s="117">
        <v>11.12</v>
      </c>
    </row>
    <row r="4020" spans="1:7" x14ac:dyDescent="0.25">
      <c r="A4020" s="116" t="s">
        <v>6219</v>
      </c>
      <c r="B4020" s="117" t="s">
        <v>6220</v>
      </c>
      <c r="C4020" t="s">
        <v>67</v>
      </c>
      <c r="D4020" t="s">
        <v>67</v>
      </c>
      <c r="E4020" t="s">
        <v>67</v>
      </c>
      <c r="F4020" t="s">
        <v>27987</v>
      </c>
      <c r="G4020" s="117">
        <v>8.81</v>
      </c>
    </row>
    <row r="4021" spans="1:7" x14ac:dyDescent="0.25">
      <c r="A4021" s="116" t="s">
        <v>6221</v>
      </c>
      <c r="B4021" s="117" t="s">
        <v>6222</v>
      </c>
      <c r="C4021" t="s">
        <v>67</v>
      </c>
      <c r="D4021" t="s">
        <v>67</v>
      </c>
      <c r="E4021" t="s">
        <v>67</v>
      </c>
      <c r="F4021" t="s">
        <v>27987</v>
      </c>
      <c r="G4021" s="117">
        <v>21.26</v>
      </c>
    </row>
    <row r="4022" spans="1:7" x14ac:dyDescent="0.25">
      <c r="A4022" s="116" t="s">
        <v>6223</v>
      </c>
      <c r="B4022" s="117" t="s">
        <v>6224</v>
      </c>
      <c r="C4022" t="s">
        <v>67</v>
      </c>
      <c r="D4022" t="s">
        <v>67</v>
      </c>
      <c r="E4022" t="s">
        <v>67</v>
      </c>
      <c r="F4022" t="s">
        <v>27987</v>
      </c>
      <c r="G4022" s="117">
        <v>24.82</v>
      </c>
    </row>
    <row r="4023" spans="1:7" x14ac:dyDescent="0.25">
      <c r="A4023" s="116" t="s">
        <v>6225</v>
      </c>
      <c r="B4023" s="117" t="s">
        <v>28668</v>
      </c>
      <c r="C4023" t="s">
        <v>67</v>
      </c>
      <c r="D4023" t="s">
        <v>67</v>
      </c>
      <c r="E4023" t="s">
        <v>67</v>
      </c>
      <c r="F4023" t="s">
        <v>27987</v>
      </c>
      <c r="G4023" s="117">
        <v>23.94</v>
      </c>
    </row>
    <row r="4024" spans="1:7" x14ac:dyDescent="0.25">
      <c r="A4024" s="116" t="s">
        <v>29912</v>
      </c>
      <c r="B4024" s="117" t="s">
        <v>30415</v>
      </c>
      <c r="C4024" t="s">
        <v>67</v>
      </c>
      <c r="D4024" t="s">
        <v>67</v>
      </c>
      <c r="E4024" t="s">
        <v>67</v>
      </c>
      <c r="F4024" t="s">
        <v>27987</v>
      </c>
      <c r="G4024" s="117">
        <v>30</v>
      </c>
    </row>
    <row r="4025" spans="1:7" x14ac:dyDescent="0.25">
      <c r="A4025" s="116" t="s">
        <v>6226</v>
      </c>
      <c r="B4025" s="117" t="s">
        <v>6227</v>
      </c>
      <c r="C4025" t="s">
        <v>67</v>
      </c>
      <c r="D4025" t="s">
        <v>67</v>
      </c>
      <c r="E4025" t="s">
        <v>67</v>
      </c>
      <c r="F4025" t="s">
        <v>27987</v>
      </c>
      <c r="G4025" s="117">
        <v>19.489999999999998</v>
      </c>
    </row>
    <row r="4026" spans="1:7" x14ac:dyDescent="0.25">
      <c r="A4026" s="116" t="s">
        <v>6228</v>
      </c>
      <c r="B4026" s="117" t="s">
        <v>6229</v>
      </c>
      <c r="C4026" t="s">
        <v>67</v>
      </c>
      <c r="D4026" t="s">
        <v>67</v>
      </c>
      <c r="E4026" t="s">
        <v>67</v>
      </c>
      <c r="F4026" t="s">
        <v>27987</v>
      </c>
      <c r="G4026" s="117">
        <v>22.16</v>
      </c>
    </row>
    <row r="4027" spans="1:7" x14ac:dyDescent="0.25">
      <c r="A4027" s="116" t="s">
        <v>6230</v>
      </c>
      <c r="B4027" s="117" t="s">
        <v>6231</v>
      </c>
      <c r="C4027" t="s">
        <v>67</v>
      </c>
      <c r="D4027" t="s">
        <v>67</v>
      </c>
      <c r="E4027" t="s">
        <v>67</v>
      </c>
      <c r="F4027" t="s">
        <v>27987</v>
      </c>
      <c r="G4027" s="117">
        <v>21.26</v>
      </c>
    </row>
    <row r="4028" spans="1:7" x14ac:dyDescent="0.25">
      <c r="A4028" s="116" t="s">
        <v>6232</v>
      </c>
      <c r="B4028" s="117" t="s">
        <v>6233</v>
      </c>
      <c r="C4028" t="s">
        <v>67</v>
      </c>
      <c r="D4028" t="s">
        <v>67</v>
      </c>
      <c r="E4028" t="s">
        <v>67</v>
      </c>
      <c r="F4028" t="s">
        <v>27987</v>
      </c>
      <c r="G4028" s="117">
        <v>22.69</v>
      </c>
    </row>
    <row r="4029" spans="1:7" x14ac:dyDescent="0.25">
      <c r="A4029" s="116" t="s">
        <v>26628</v>
      </c>
      <c r="B4029" s="117" t="s">
        <v>26629</v>
      </c>
      <c r="C4029" t="s">
        <v>67</v>
      </c>
      <c r="D4029" t="s">
        <v>67</v>
      </c>
      <c r="E4029" t="s">
        <v>67</v>
      </c>
      <c r="F4029" t="s">
        <v>45</v>
      </c>
      <c r="G4029" s="117">
        <v>33.36</v>
      </c>
    </row>
    <row r="4030" spans="1:7" x14ac:dyDescent="0.25">
      <c r="A4030" s="116" t="s">
        <v>28103</v>
      </c>
      <c r="B4030" s="117" t="s">
        <v>28104</v>
      </c>
      <c r="C4030" t="s">
        <v>67</v>
      </c>
      <c r="D4030" t="s">
        <v>67</v>
      </c>
      <c r="E4030" t="s">
        <v>67</v>
      </c>
      <c r="F4030" t="s">
        <v>45</v>
      </c>
      <c r="G4030" s="117">
        <v>25</v>
      </c>
    </row>
    <row r="4031" spans="1:7" x14ac:dyDescent="0.25">
      <c r="A4031" s="116" t="s">
        <v>28105</v>
      </c>
      <c r="B4031" s="117" t="s">
        <v>28106</v>
      </c>
      <c r="C4031" t="s">
        <v>67</v>
      </c>
      <c r="D4031" t="s">
        <v>67</v>
      </c>
      <c r="E4031" t="s">
        <v>67</v>
      </c>
      <c r="F4031" t="s">
        <v>45</v>
      </c>
      <c r="G4031" s="117">
        <v>18</v>
      </c>
    </row>
    <row r="4032" spans="1:7" x14ac:dyDescent="0.25">
      <c r="A4032" s="116" t="s">
        <v>26868</v>
      </c>
      <c r="B4032" s="117" t="s">
        <v>26869</v>
      </c>
      <c r="C4032" t="s">
        <v>67</v>
      </c>
      <c r="D4032" t="s">
        <v>67</v>
      </c>
      <c r="E4032" t="s">
        <v>67</v>
      </c>
      <c r="F4032" t="s">
        <v>45</v>
      </c>
      <c r="G4032" s="117">
        <v>40.950000000000003</v>
      </c>
    </row>
    <row r="4033" spans="1:7" x14ac:dyDescent="0.25">
      <c r="A4033" s="116" t="s">
        <v>26870</v>
      </c>
      <c r="B4033" s="117" t="s">
        <v>26871</v>
      </c>
      <c r="C4033" t="s">
        <v>67</v>
      </c>
      <c r="D4033" t="s">
        <v>67</v>
      </c>
      <c r="E4033" t="s">
        <v>67</v>
      </c>
      <c r="F4033" t="s">
        <v>45</v>
      </c>
      <c r="G4033" s="117">
        <v>22.12</v>
      </c>
    </row>
    <row r="4034" spans="1:7" x14ac:dyDescent="0.25">
      <c r="A4034" s="116" t="s">
        <v>28067</v>
      </c>
      <c r="B4034" s="117" t="s">
        <v>28669</v>
      </c>
      <c r="C4034" t="s">
        <v>67</v>
      </c>
      <c r="D4034" t="s">
        <v>67</v>
      </c>
      <c r="E4034" t="s">
        <v>67</v>
      </c>
      <c r="F4034" t="s">
        <v>27987</v>
      </c>
      <c r="G4034" s="117">
        <v>36</v>
      </c>
    </row>
    <row r="4035" spans="1:7" x14ac:dyDescent="0.25">
      <c r="A4035" s="116" t="s">
        <v>30623</v>
      </c>
      <c r="B4035" s="117" t="s">
        <v>30624</v>
      </c>
      <c r="C4035" t="s">
        <v>67</v>
      </c>
      <c r="D4035" t="s">
        <v>67</v>
      </c>
      <c r="E4035" t="s">
        <v>67</v>
      </c>
      <c r="F4035" t="s">
        <v>27987</v>
      </c>
      <c r="G4035" s="117">
        <v>8.3000000000000007</v>
      </c>
    </row>
    <row r="4036" spans="1:7" x14ac:dyDescent="0.25">
      <c r="A4036" s="116" t="s">
        <v>30625</v>
      </c>
      <c r="B4036" s="117" t="s">
        <v>30626</v>
      </c>
      <c r="C4036" t="s">
        <v>67</v>
      </c>
      <c r="D4036" t="s">
        <v>67</v>
      </c>
      <c r="E4036" t="s">
        <v>67</v>
      </c>
      <c r="F4036" t="s">
        <v>27987</v>
      </c>
      <c r="G4036" s="117">
        <v>4.41</v>
      </c>
    </row>
    <row r="4037" spans="1:7" x14ac:dyDescent="0.25">
      <c r="A4037" s="116" t="s">
        <v>28670</v>
      </c>
      <c r="B4037" s="117" t="s">
        <v>30726</v>
      </c>
      <c r="C4037" t="s">
        <v>67</v>
      </c>
      <c r="D4037" t="s">
        <v>67</v>
      </c>
      <c r="E4037" t="s">
        <v>67</v>
      </c>
      <c r="F4037" t="s">
        <v>27987</v>
      </c>
      <c r="G4037" s="117">
        <v>39</v>
      </c>
    </row>
    <row r="4038" spans="1:7" x14ac:dyDescent="0.25">
      <c r="A4038" s="116" t="s">
        <v>28671</v>
      </c>
      <c r="B4038" s="117" t="s">
        <v>30727</v>
      </c>
      <c r="C4038" t="s">
        <v>67</v>
      </c>
      <c r="D4038" t="s">
        <v>67</v>
      </c>
      <c r="E4038" t="s">
        <v>67</v>
      </c>
      <c r="F4038" t="s">
        <v>27987</v>
      </c>
      <c r="G4038" s="117">
        <v>39</v>
      </c>
    </row>
    <row r="4039" spans="1:7" x14ac:dyDescent="0.25">
      <c r="A4039" s="116" t="s">
        <v>6234</v>
      </c>
      <c r="B4039" s="117" t="s">
        <v>6235</v>
      </c>
      <c r="C4039" t="s">
        <v>67</v>
      </c>
      <c r="D4039" t="s">
        <v>67</v>
      </c>
      <c r="E4039" t="s">
        <v>67</v>
      </c>
      <c r="F4039" t="s">
        <v>27987</v>
      </c>
      <c r="G4039" s="117">
        <v>43.45</v>
      </c>
    </row>
    <row r="4040" spans="1:7" x14ac:dyDescent="0.25">
      <c r="A4040" s="116" t="s">
        <v>6236</v>
      </c>
      <c r="B4040" s="117" t="s">
        <v>6237</v>
      </c>
      <c r="C4040" t="s">
        <v>67</v>
      </c>
      <c r="D4040" t="s">
        <v>67</v>
      </c>
      <c r="E4040" t="s">
        <v>67</v>
      </c>
      <c r="F4040" t="s">
        <v>27987</v>
      </c>
      <c r="G4040" s="117">
        <v>33.369999999999997</v>
      </c>
    </row>
    <row r="4041" spans="1:7" x14ac:dyDescent="0.25">
      <c r="A4041" s="116" t="s">
        <v>6238</v>
      </c>
      <c r="B4041" s="117" t="s">
        <v>6239</v>
      </c>
      <c r="C4041" t="s">
        <v>67</v>
      </c>
      <c r="D4041" t="s">
        <v>67</v>
      </c>
      <c r="E4041" t="s">
        <v>67</v>
      </c>
      <c r="F4041" t="s">
        <v>27987</v>
      </c>
      <c r="G4041" s="117">
        <v>11.12</v>
      </c>
    </row>
    <row r="4042" spans="1:7" x14ac:dyDescent="0.25">
      <c r="A4042" s="116" t="s">
        <v>6240</v>
      </c>
      <c r="B4042" s="117" t="s">
        <v>6241</v>
      </c>
      <c r="C4042" t="s">
        <v>67</v>
      </c>
      <c r="D4042" t="s">
        <v>67</v>
      </c>
      <c r="E4042" t="s">
        <v>67</v>
      </c>
      <c r="F4042" t="s">
        <v>27987</v>
      </c>
      <c r="G4042" s="117">
        <v>7.12</v>
      </c>
    </row>
    <row r="4043" spans="1:7" x14ac:dyDescent="0.25">
      <c r="A4043" s="116" t="s">
        <v>6242</v>
      </c>
      <c r="B4043" s="117" t="s">
        <v>6243</v>
      </c>
      <c r="C4043" t="s">
        <v>67</v>
      </c>
      <c r="D4043" t="s">
        <v>67</v>
      </c>
      <c r="E4043" t="s">
        <v>67</v>
      </c>
      <c r="F4043" t="s">
        <v>45</v>
      </c>
      <c r="G4043" s="117">
        <v>12.01</v>
      </c>
    </row>
    <row r="4044" spans="1:7" x14ac:dyDescent="0.25">
      <c r="A4044" s="116" t="s">
        <v>6244</v>
      </c>
      <c r="B4044" s="117" t="s">
        <v>6245</v>
      </c>
      <c r="C4044" t="s">
        <v>67</v>
      </c>
      <c r="D4044" t="s">
        <v>67</v>
      </c>
      <c r="E4044" t="s">
        <v>67</v>
      </c>
      <c r="F4044" t="s">
        <v>27987</v>
      </c>
      <c r="G4044" s="117">
        <v>28.02</v>
      </c>
    </row>
    <row r="4045" spans="1:7" x14ac:dyDescent="0.25">
      <c r="A4045" s="116" t="s">
        <v>6246</v>
      </c>
      <c r="B4045" s="117" t="s">
        <v>6247</v>
      </c>
      <c r="C4045" t="s">
        <v>67</v>
      </c>
      <c r="D4045" t="s">
        <v>67</v>
      </c>
      <c r="E4045" t="s">
        <v>67</v>
      </c>
      <c r="F4045" t="s">
        <v>27987</v>
      </c>
      <c r="G4045" s="117">
        <v>6.68</v>
      </c>
    </row>
    <row r="4046" spans="1:7" x14ac:dyDescent="0.25">
      <c r="A4046" s="116" t="s">
        <v>6248</v>
      </c>
      <c r="B4046" s="117" t="s">
        <v>6249</v>
      </c>
      <c r="C4046" t="s">
        <v>67</v>
      </c>
      <c r="D4046" t="s">
        <v>67</v>
      </c>
      <c r="E4046" t="s">
        <v>67</v>
      </c>
      <c r="F4046" t="s">
        <v>27987</v>
      </c>
      <c r="G4046" s="117">
        <v>32.83</v>
      </c>
    </row>
    <row r="4047" spans="1:7" x14ac:dyDescent="0.25">
      <c r="A4047" s="116" t="s">
        <v>6250</v>
      </c>
      <c r="B4047" s="117" t="s">
        <v>6251</v>
      </c>
      <c r="C4047" t="s">
        <v>67</v>
      </c>
      <c r="D4047" t="s">
        <v>67</v>
      </c>
      <c r="E4047" t="s">
        <v>67</v>
      </c>
      <c r="F4047" t="s">
        <v>45</v>
      </c>
      <c r="G4047" s="117">
        <v>24.82</v>
      </c>
    </row>
    <row r="4048" spans="1:7" x14ac:dyDescent="0.25">
      <c r="A4048" s="116" t="s">
        <v>6252</v>
      </c>
      <c r="B4048" s="117" t="s">
        <v>6253</v>
      </c>
      <c r="C4048" t="s">
        <v>67</v>
      </c>
      <c r="D4048" t="s">
        <v>67</v>
      </c>
      <c r="E4048" t="s">
        <v>67</v>
      </c>
      <c r="F4048" t="s">
        <v>45</v>
      </c>
      <c r="G4048" s="117">
        <v>31.58</v>
      </c>
    </row>
    <row r="4049" spans="1:7" x14ac:dyDescent="0.25">
      <c r="A4049" s="116" t="s">
        <v>6254</v>
      </c>
      <c r="B4049" s="117" t="s">
        <v>6255</v>
      </c>
      <c r="C4049" t="s">
        <v>67</v>
      </c>
      <c r="D4049" t="s">
        <v>67</v>
      </c>
      <c r="E4049" t="s">
        <v>67</v>
      </c>
      <c r="F4049" t="s">
        <v>49</v>
      </c>
      <c r="G4049" s="117">
        <v>47.61</v>
      </c>
    </row>
    <row r="4050" spans="1:7" x14ac:dyDescent="0.25">
      <c r="A4050" s="116" t="s">
        <v>6256</v>
      </c>
      <c r="B4050" s="117" t="s">
        <v>6257</v>
      </c>
      <c r="C4050" t="s">
        <v>67</v>
      </c>
      <c r="D4050" t="s">
        <v>67</v>
      </c>
      <c r="E4050" t="s">
        <v>67</v>
      </c>
      <c r="F4050" t="s">
        <v>27987</v>
      </c>
      <c r="G4050" s="117">
        <v>71.989999999999995</v>
      </c>
    </row>
    <row r="4051" spans="1:7" x14ac:dyDescent="0.25">
      <c r="A4051" s="116" t="s">
        <v>6258</v>
      </c>
      <c r="B4051" s="117" t="s">
        <v>6259</v>
      </c>
      <c r="C4051" t="s">
        <v>67</v>
      </c>
      <c r="D4051" t="s">
        <v>67</v>
      </c>
      <c r="E4051" t="s">
        <v>67</v>
      </c>
      <c r="F4051" t="s">
        <v>27990</v>
      </c>
      <c r="G4051" s="117">
        <v>4.3600000000000003</v>
      </c>
    </row>
    <row r="4052" spans="1:7" x14ac:dyDescent="0.25">
      <c r="A4052" s="116" t="s">
        <v>6260</v>
      </c>
      <c r="B4052" s="117" t="s">
        <v>6261</v>
      </c>
      <c r="C4052" t="s">
        <v>67</v>
      </c>
      <c r="D4052" t="s">
        <v>67</v>
      </c>
      <c r="E4052" t="s">
        <v>67</v>
      </c>
      <c r="F4052" t="s">
        <v>27987</v>
      </c>
      <c r="G4052" s="117">
        <v>9.35</v>
      </c>
    </row>
    <row r="4053" spans="1:7" x14ac:dyDescent="0.25">
      <c r="A4053" s="116" t="s">
        <v>6262</v>
      </c>
      <c r="B4053" s="117" t="s">
        <v>6263</v>
      </c>
      <c r="C4053" t="s">
        <v>67</v>
      </c>
      <c r="D4053" t="s">
        <v>67</v>
      </c>
      <c r="E4053" t="s">
        <v>67</v>
      </c>
      <c r="F4053" t="s">
        <v>27987</v>
      </c>
      <c r="G4053" s="117">
        <v>11.12</v>
      </c>
    </row>
    <row r="4054" spans="1:7" x14ac:dyDescent="0.25">
      <c r="A4054" s="116" t="s">
        <v>6264</v>
      </c>
      <c r="B4054" s="117" t="s">
        <v>6265</v>
      </c>
      <c r="C4054" t="s">
        <v>67</v>
      </c>
      <c r="D4054" t="s">
        <v>67</v>
      </c>
      <c r="E4054" t="s">
        <v>67</v>
      </c>
      <c r="F4054" t="s">
        <v>27987</v>
      </c>
      <c r="G4054" s="117">
        <v>21.26</v>
      </c>
    </row>
    <row r="4055" spans="1:7" x14ac:dyDescent="0.25">
      <c r="A4055" s="116" t="s">
        <v>28672</v>
      </c>
      <c r="B4055" s="117" t="s">
        <v>28673</v>
      </c>
      <c r="C4055" t="s">
        <v>67</v>
      </c>
      <c r="D4055" t="s">
        <v>67</v>
      </c>
      <c r="E4055" t="s">
        <v>67</v>
      </c>
      <c r="F4055" t="s">
        <v>45</v>
      </c>
      <c r="G4055" s="117">
        <v>0</v>
      </c>
    </row>
    <row r="4056" spans="1:7" x14ac:dyDescent="0.25">
      <c r="A4056" s="116" t="s">
        <v>6266</v>
      </c>
      <c r="B4056" s="117" t="s">
        <v>6267</v>
      </c>
      <c r="C4056" t="s">
        <v>67</v>
      </c>
      <c r="D4056" t="s">
        <v>67</v>
      </c>
      <c r="E4056" t="s">
        <v>67</v>
      </c>
      <c r="F4056" t="s">
        <v>49</v>
      </c>
      <c r="G4056" s="117">
        <v>31.06</v>
      </c>
    </row>
    <row r="4057" spans="1:7" x14ac:dyDescent="0.25">
      <c r="A4057" s="116" t="s">
        <v>6268</v>
      </c>
      <c r="B4057" s="117" t="s">
        <v>6269</v>
      </c>
      <c r="C4057" t="s">
        <v>67</v>
      </c>
      <c r="D4057" t="s">
        <v>67</v>
      </c>
      <c r="E4057" t="s">
        <v>67</v>
      </c>
      <c r="F4057" t="s">
        <v>45</v>
      </c>
      <c r="G4057" s="117">
        <v>20.02</v>
      </c>
    </row>
    <row r="4058" spans="1:7" x14ac:dyDescent="0.25">
      <c r="A4058" s="116" t="s">
        <v>6270</v>
      </c>
      <c r="B4058" s="117" t="s">
        <v>6271</v>
      </c>
      <c r="C4058" t="s">
        <v>67</v>
      </c>
      <c r="D4058" t="s">
        <v>67</v>
      </c>
      <c r="E4058" t="s">
        <v>67</v>
      </c>
      <c r="F4058" t="s">
        <v>45</v>
      </c>
      <c r="G4058" s="117">
        <v>17.36</v>
      </c>
    </row>
    <row r="4059" spans="1:7" x14ac:dyDescent="0.25">
      <c r="A4059" s="116" t="s">
        <v>6272</v>
      </c>
      <c r="B4059" s="117" t="s">
        <v>28674</v>
      </c>
      <c r="C4059" t="s">
        <v>67</v>
      </c>
      <c r="D4059" t="s">
        <v>67</v>
      </c>
      <c r="E4059" t="s">
        <v>67</v>
      </c>
      <c r="F4059" t="s">
        <v>27987</v>
      </c>
      <c r="G4059" s="117">
        <v>67.540000000000006</v>
      </c>
    </row>
    <row r="4060" spans="1:7" x14ac:dyDescent="0.25">
      <c r="A4060" s="116" t="s">
        <v>26966</v>
      </c>
      <c r="B4060" s="117" t="s">
        <v>28675</v>
      </c>
      <c r="C4060" t="s">
        <v>67</v>
      </c>
      <c r="D4060" t="s">
        <v>67</v>
      </c>
      <c r="E4060" t="s">
        <v>67</v>
      </c>
      <c r="F4060" t="s">
        <v>27987</v>
      </c>
      <c r="G4060" s="117">
        <v>21.5</v>
      </c>
    </row>
    <row r="4061" spans="1:7" x14ac:dyDescent="0.25">
      <c r="A4061" s="116" t="s">
        <v>6273</v>
      </c>
      <c r="B4061" s="117" t="s">
        <v>6274</v>
      </c>
      <c r="C4061" t="s">
        <v>67</v>
      </c>
      <c r="D4061" t="s">
        <v>67</v>
      </c>
      <c r="E4061" t="s">
        <v>67</v>
      </c>
      <c r="F4061" t="s">
        <v>49</v>
      </c>
      <c r="G4061" s="117">
        <v>12.01</v>
      </c>
    </row>
    <row r="4062" spans="1:7" x14ac:dyDescent="0.25">
      <c r="A4062" s="116" t="s">
        <v>6275</v>
      </c>
      <c r="B4062" s="117" t="s">
        <v>6276</v>
      </c>
      <c r="C4062" t="s">
        <v>67</v>
      </c>
      <c r="D4062" t="s">
        <v>67</v>
      </c>
      <c r="E4062" t="s">
        <v>67</v>
      </c>
      <c r="F4062" t="s">
        <v>27987</v>
      </c>
      <c r="G4062" s="117">
        <v>16.46</v>
      </c>
    </row>
    <row r="4063" spans="1:7" x14ac:dyDescent="0.25">
      <c r="A4063" s="116" t="s">
        <v>6277</v>
      </c>
      <c r="B4063" s="117" t="s">
        <v>6263</v>
      </c>
      <c r="C4063" t="s">
        <v>67</v>
      </c>
      <c r="D4063" t="s">
        <v>67</v>
      </c>
      <c r="E4063" t="s">
        <v>67</v>
      </c>
      <c r="F4063" t="s">
        <v>27987</v>
      </c>
      <c r="G4063" s="117">
        <v>10.58</v>
      </c>
    </row>
    <row r="4064" spans="1:7" x14ac:dyDescent="0.25">
      <c r="A4064" s="116" t="s">
        <v>6278</v>
      </c>
      <c r="B4064" s="117" t="s">
        <v>6263</v>
      </c>
      <c r="C4064" t="s">
        <v>67</v>
      </c>
      <c r="D4064" t="s">
        <v>67</v>
      </c>
      <c r="E4064" t="s">
        <v>67</v>
      </c>
      <c r="F4064" t="s">
        <v>27987</v>
      </c>
      <c r="G4064" s="117">
        <v>4.8899999999999997</v>
      </c>
    </row>
    <row r="4065" spans="1:7" x14ac:dyDescent="0.25">
      <c r="A4065" s="116" t="s">
        <v>6279</v>
      </c>
      <c r="B4065" s="117" t="s">
        <v>6265</v>
      </c>
      <c r="C4065" t="s">
        <v>67</v>
      </c>
      <c r="D4065" t="s">
        <v>67</v>
      </c>
      <c r="E4065" t="s">
        <v>67</v>
      </c>
      <c r="F4065" t="s">
        <v>27987</v>
      </c>
      <c r="G4065" s="117">
        <v>6.68</v>
      </c>
    </row>
    <row r="4066" spans="1:7" x14ac:dyDescent="0.25">
      <c r="A4066" s="116" t="s">
        <v>6280</v>
      </c>
      <c r="B4066" s="117" t="s">
        <v>6281</v>
      </c>
      <c r="C4066" t="s">
        <v>67</v>
      </c>
      <c r="D4066" t="s">
        <v>67</v>
      </c>
      <c r="E4066" t="s">
        <v>67</v>
      </c>
      <c r="F4066" t="s">
        <v>27987</v>
      </c>
      <c r="G4066" s="117">
        <v>6.15</v>
      </c>
    </row>
    <row r="4067" spans="1:7" x14ac:dyDescent="0.25">
      <c r="A4067" s="116" t="s">
        <v>6282</v>
      </c>
      <c r="B4067" s="117" t="s">
        <v>6283</v>
      </c>
      <c r="C4067" t="s">
        <v>67</v>
      </c>
      <c r="D4067" t="s">
        <v>67</v>
      </c>
      <c r="E4067" t="s">
        <v>67</v>
      </c>
      <c r="F4067" t="s">
        <v>45</v>
      </c>
      <c r="G4067" s="117">
        <v>26.25</v>
      </c>
    </row>
    <row r="4068" spans="1:7" x14ac:dyDescent="0.25">
      <c r="A4068" s="116" t="s">
        <v>6284</v>
      </c>
      <c r="B4068" s="117" t="s">
        <v>6285</v>
      </c>
      <c r="C4068" t="s">
        <v>67</v>
      </c>
      <c r="D4068" t="s">
        <v>67</v>
      </c>
      <c r="E4068" t="s">
        <v>67</v>
      </c>
      <c r="F4068" t="s">
        <v>45</v>
      </c>
      <c r="G4068" s="117">
        <v>28.38</v>
      </c>
    </row>
    <row r="4069" spans="1:7" x14ac:dyDescent="0.25">
      <c r="A4069" s="116" t="s">
        <v>6286</v>
      </c>
      <c r="B4069" s="117" t="s">
        <v>6287</v>
      </c>
      <c r="C4069" t="s">
        <v>67</v>
      </c>
      <c r="D4069" t="s">
        <v>67</v>
      </c>
      <c r="E4069" t="s">
        <v>67</v>
      </c>
      <c r="F4069" t="s">
        <v>49</v>
      </c>
      <c r="G4069" s="117">
        <v>7.56</v>
      </c>
    </row>
    <row r="4070" spans="1:7" x14ac:dyDescent="0.25">
      <c r="A4070" s="116" t="s">
        <v>6288</v>
      </c>
      <c r="B4070" s="117" t="s">
        <v>6289</v>
      </c>
      <c r="C4070" t="s">
        <v>67</v>
      </c>
      <c r="D4070" t="s">
        <v>67</v>
      </c>
      <c r="E4070" t="s">
        <v>67</v>
      </c>
      <c r="F4070" t="s">
        <v>27990</v>
      </c>
      <c r="G4070" s="117">
        <v>4.8899999999999997</v>
      </c>
    </row>
    <row r="4071" spans="1:7" x14ac:dyDescent="0.25">
      <c r="A4071" s="116" t="s">
        <v>6290</v>
      </c>
      <c r="B4071" s="117" t="s">
        <v>6291</v>
      </c>
      <c r="C4071" t="s">
        <v>67</v>
      </c>
      <c r="D4071" t="s">
        <v>67</v>
      </c>
      <c r="E4071" t="s">
        <v>67</v>
      </c>
      <c r="F4071" t="s">
        <v>45</v>
      </c>
      <c r="G4071" s="117">
        <v>12.9</v>
      </c>
    </row>
    <row r="4072" spans="1:7" x14ac:dyDescent="0.25">
      <c r="A4072" s="116" t="s">
        <v>6292</v>
      </c>
      <c r="B4072" s="117" t="s">
        <v>6293</v>
      </c>
      <c r="C4072" t="s">
        <v>67</v>
      </c>
      <c r="D4072" t="s">
        <v>67</v>
      </c>
      <c r="E4072" t="s">
        <v>67</v>
      </c>
      <c r="F4072" t="s">
        <v>27990</v>
      </c>
      <c r="G4072" s="117">
        <v>7.92</v>
      </c>
    </row>
    <row r="4073" spans="1:7" x14ac:dyDescent="0.25">
      <c r="A4073" s="116" t="s">
        <v>6294</v>
      </c>
      <c r="B4073" s="117" t="s">
        <v>6295</v>
      </c>
      <c r="C4073" t="s">
        <v>67</v>
      </c>
      <c r="D4073" t="s">
        <v>67</v>
      </c>
      <c r="E4073" t="s">
        <v>67</v>
      </c>
      <c r="F4073" t="s">
        <v>27990</v>
      </c>
      <c r="G4073" s="117">
        <v>43.51</v>
      </c>
    </row>
    <row r="4074" spans="1:7" x14ac:dyDescent="0.25">
      <c r="A4074" s="116" t="s">
        <v>28676</v>
      </c>
      <c r="B4074" s="117" t="s">
        <v>28677</v>
      </c>
      <c r="C4074" t="s">
        <v>67</v>
      </c>
      <c r="D4074" t="s">
        <v>67</v>
      </c>
      <c r="E4074" t="s">
        <v>67</v>
      </c>
      <c r="F4074" t="s">
        <v>45</v>
      </c>
      <c r="G4074" s="117">
        <v>0</v>
      </c>
    </row>
    <row r="4075" spans="1:7" x14ac:dyDescent="0.25">
      <c r="A4075" s="116" t="s">
        <v>6296</v>
      </c>
      <c r="B4075" s="117" t="s">
        <v>6297</v>
      </c>
      <c r="C4075" t="s">
        <v>67</v>
      </c>
      <c r="D4075" t="s">
        <v>67</v>
      </c>
      <c r="E4075" t="s">
        <v>67</v>
      </c>
      <c r="F4075" t="s">
        <v>27987</v>
      </c>
      <c r="G4075" s="117">
        <v>12.37</v>
      </c>
    </row>
    <row r="4076" spans="1:7" x14ac:dyDescent="0.25">
      <c r="A4076" s="116" t="s">
        <v>6298</v>
      </c>
      <c r="B4076" s="117" t="s">
        <v>6299</v>
      </c>
      <c r="C4076" t="s">
        <v>67</v>
      </c>
      <c r="D4076" t="s">
        <v>67</v>
      </c>
      <c r="E4076" t="s">
        <v>67</v>
      </c>
      <c r="F4076" t="s">
        <v>27987</v>
      </c>
      <c r="G4076" s="117">
        <v>11.68</v>
      </c>
    </row>
    <row r="4077" spans="1:7" x14ac:dyDescent="0.25">
      <c r="A4077" s="116" t="s">
        <v>6300</v>
      </c>
      <c r="B4077" s="117" t="s">
        <v>6301</v>
      </c>
      <c r="C4077" t="s">
        <v>67</v>
      </c>
      <c r="D4077" t="s">
        <v>67</v>
      </c>
      <c r="E4077" t="s">
        <v>67</v>
      </c>
      <c r="F4077" t="s">
        <v>27987</v>
      </c>
      <c r="G4077" s="117">
        <v>9.7899999999999991</v>
      </c>
    </row>
    <row r="4078" spans="1:7" x14ac:dyDescent="0.25">
      <c r="A4078" s="116" t="s">
        <v>6302</v>
      </c>
      <c r="B4078" s="117" t="s">
        <v>6303</v>
      </c>
      <c r="C4078" t="s">
        <v>67</v>
      </c>
      <c r="D4078" t="s">
        <v>67</v>
      </c>
      <c r="E4078" t="s">
        <v>67</v>
      </c>
      <c r="F4078" t="s">
        <v>27987</v>
      </c>
      <c r="G4078" s="117">
        <v>31.06</v>
      </c>
    </row>
    <row r="4079" spans="1:7" x14ac:dyDescent="0.25">
      <c r="A4079" s="116" t="s">
        <v>6304</v>
      </c>
      <c r="B4079" s="117" t="s">
        <v>6263</v>
      </c>
      <c r="C4079" t="s">
        <v>67</v>
      </c>
      <c r="D4079" t="s">
        <v>67</v>
      </c>
      <c r="E4079" t="s">
        <v>67</v>
      </c>
      <c r="F4079" t="s">
        <v>27987</v>
      </c>
      <c r="G4079" s="117">
        <v>30.7</v>
      </c>
    </row>
    <row r="4080" spans="1:7" x14ac:dyDescent="0.25">
      <c r="A4080" s="116" t="s">
        <v>6305</v>
      </c>
      <c r="B4080" s="117" t="s">
        <v>6265</v>
      </c>
      <c r="C4080" t="s">
        <v>67</v>
      </c>
      <c r="D4080" t="s">
        <v>67</v>
      </c>
      <c r="E4080" t="s">
        <v>67</v>
      </c>
      <c r="F4080" t="s">
        <v>27987</v>
      </c>
      <c r="G4080" s="117">
        <v>30.7</v>
      </c>
    </row>
    <row r="4081" spans="1:7" x14ac:dyDescent="0.25">
      <c r="A4081" s="116" t="s">
        <v>6306</v>
      </c>
      <c r="B4081" s="117" t="s">
        <v>6307</v>
      </c>
      <c r="C4081" t="s">
        <v>67</v>
      </c>
      <c r="D4081" t="s">
        <v>67</v>
      </c>
      <c r="E4081" t="s">
        <v>67</v>
      </c>
      <c r="F4081" t="s">
        <v>49</v>
      </c>
      <c r="G4081" s="117">
        <v>18.239999999999998</v>
      </c>
    </row>
    <row r="4082" spans="1:7" x14ac:dyDescent="0.25">
      <c r="A4082" s="116" t="s">
        <v>6308</v>
      </c>
      <c r="B4082" s="117" t="s">
        <v>6309</v>
      </c>
      <c r="C4082" t="s">
        <v>67</v>
      </c>
      <c r="D4082" t="s">
        <v>67</v>
      </c>
      <c r="E4082" t="s">
        <v>67</v>
      </c>
      <c r="F4082" t="s">
        <v>27987</v>
      </c>
      <c r="G4082" s="117">
        <v>80.52</v>
      </c>
    </row>
    <row r="4083" spans="1:7" x14ac:dyDescent="0.25">
      <c r="A4083" s="116" t="s">
        <v>6310</v>
      </c>
      <c r="B4083" s="117" t="s">
        <v>6311</v>
      </c>
      <c r="C4083" t="s">
        <v>67</v>
      </c>
      <c r="D4083" t="s">
        <v>67</v>
      </c>
      <c r="E4083" t="s">
        <v>67</v>
      </c>
      <c r="F4083" t="s">
        <v>27987</v>
      </c>
      <c r="G4083" s="117">
        <v>57.75</v>
      </c>
    </row>
    <row r="4084" spans="1:7" x14ac:dyDescent="0.25">
      <c r="A4084" s="116" t="s">
        <v>6312</v>
      </c>
      <c r="B4084" s="117" t="s">
        <v>6313</v>
      </c>
      <c r="C4084" t="s">
        <v>67</v>
      </c>
      <c r="D4084" t="s">
        <v>67</v>
      </c>
      <c r="E4084" t="s">
        <v>67</v>
      </c>
      <c r="F4084" t="s">
        <v>27987</v>
      </c>
      <c r="G4084" s="117">
        <v>75.55</v>
      </c>
    </row>
    <row r="4085" spans="1:7" x14ac:dyDescent="0.25">
      <c r="A4085" s="116" t="s">
        <v>6314</v>
      </c>
      <c r="B4085" s="117" t="s">
        <v>6315</v>
      </c>
      <c r="C4085" t="s">
        <v>67</v>
      </c>
      <c r="D4085" t="s">
        <v>67</v>
      </c>
      <c r="E4085" t="s">
        <v>67</v>
      </c>
      <c r="F4085" t="s">
        <v>45</v>
      </c>
      <c r="G4085" s="117">
        <v>8.66</v>
      </c>
    </row>
    <row r="4086" spans="1:7" x14ac:dyDescent="0.25">
      <c r="A4086" s="116" t="s">
        <v>6316</v>
      </c>
      <c r="B4086" s="117" t="s">
        <v>6317</v>
      </c>
      <c r="C4086" t="s">
        <v>67</v>
      </c>
      <c r="D4086" t="s">
        <v>67</v>
      </c>
      <c r="E4086" t="s">
        <v>67</v>
      </c>
      <c r="F4086" t="s">
        <v>49</v>
      </c>
      <c r="G4086" s="117">
        <v>9.6999999999999993</v>
      </c>
    </row>
    <row r="4087" spans="1:7" x14ac:dyDescent="0.25">
      <c r="A4087" s="116" t="s">
        <v>6318</v>
      </c>
      <c r="B4087" s="117" t="s">
        <v>22189</v>
      </c>
      <c r="C4087" t="s">
        <v>67</v>
      </c>
      <c r="D4087" t="s">
        <v>67</v>
      </c>
      <c r="E4087" t="s">
        <v>67</v>
      </c>
      <c r="F4087" t="s">
        <v>51</v>
      </c>
      <c r="G4087" s="117">
        <v>9.6999999999999993</v>
      </c>
    </row>
    <row r="4088" spans="1:7" x14ac:dyDescent="0.25">
      <c r="A4088" s="116" t="s">
        <v>6319</v>
      </c>
      <c r="B4088" s="117" t="s">
        <v>6320</v>
      </c>
      <c r="C4088" t="s">
        <v>67</v>
      </c>
      <c r="D4088" t="s">
        <v>67</v>
      </c>
      <c r="E4088" t="s">
        <v>67</v>
      </c>
      <c r="F4088" t="s">
        <v>45</v>
      </c>
      <c r="G4088" s="117">
        <v>19.13</v>
      </c>
    </row>
    <row r="4089" spans="1:7" x14ac:dyDescent="0.25">
      <c r="A4089" s="116" t="s">
        <v>6321</v>
      </c>
      <c r="B4089" s="117" t="s">
        <v>6322</v>
      </c>
      <c r="C4089" t="s">
        <v>67</v>
      </c>
      <c r="D4089" t="s">
        <v>67</v>
      </c>
      <c r="E4089" t="s">
        <v>67</v>
      </c>
      <c r="F4089" t="s">
        <v>27987</v>
      </c>
      <c r="G4089" s="117">
        <v>12.01</v>
      </c>
    </row>
    <row r="4090" spans="1:7" x14ac:dyDescent="0.25">
      <c r="A4090" s="116" t="s">
        <v>6323</v>
      </c>
      <c r="B4090" s="117" t="s">
        <v>6324</v>
      </c>
      <c r="C4090" t="s">
        <v>67</v>
      </c>
      <c r="D4090" t="s">
        <v>67</v>
      </c>
      <c r="E4090" t="s">
        <v>67</v>
      </c>
      <c r="F4090" t="s">
        <v>49</v>
      </c>
      <c r="G4090" s="117">
        <v>17.7</v>
      </c>
    </row>
    <row r="4091" spans="1:7" x14ac:dyDescent="0.25">
      <c r="A4091" s="116" t="s">
        <v>6325</v>
      </c>
      <c r="B4091" s="117" t="s">
        <v>6326</v>
      </c>
      <c r="C4091" t="s">
        <v>67</v>
      </c>
      <c r="D4091" t="s">
        <v>67</v>
      </c>
      <c r="E4091" t="s">
        <v>67</v>
      </c>
      <c r="F4091" t="s">
        <v>27990</v>
      </c>
      <c r="G4091" s="117">
        <v>10.58</v>
      </c>
    </row>
    <row r="4092" spans="1:7" x14ac:dyDescent="0.25">
      <c r="A4092" s="116" t="s">
        <v>6327</v>
      </c>
      <c r="B4092" s="117" t="s">
        <v>6328</v>
      </c>
      <c r="C4092" t="s">
        <v>67</v>
      </c>
      <c r="D4092" t="s">
        <v>67</v>
      </c>
      <c r="E4092" t="s">
        <v>67</v>
      </c>
      <c r="F4092" t="s">
        <v>27990</v>
      </c>
      <c r="G4092" s="117">
        <v>10.58</v>
      </c>
    </row>
    <row r="4093" spans="1:7" x14ac:dyDescent="0.25">
      <c r="A4093" s="116" t="s">
        <v>6329</v>
      </c>
      <c r="B4093" s="117" t="s">
        <v>6330</v>
      </c>
      <c r="C4093" t="s">
        <v>67</v>
      </c>
      <c r="D4093" t="s">
        <v>67</v>
      </c>
      <c r="E4093" t="s">
        <v>67</v>
      </c>
      <c r="F4093" t="s">
        <v>27987</v>
      </c>
      <c r="G4093" s="117">
        <v>7.56</v>
      </c>
    </row>
    <row r="4094" spans="1:7" x14ac:dyDescent="0.25">
      <c r="A4094" s="116" t="s">
        <v>6331</v>
      </c>
      <c r="B4094" s="117" t="s">
        <v>6332</v>
      </c>
      <c r="C4094" t="s">
        <v>67</v>
      </c>
      <c r="D4094" t="s">
        <v>67</v>
      </c>
      <c r="E4094" t="s">
        <v>67</v>
      </c>
      <c r="F4094" t="s">
        <v>49</v>
      </c>
      <c r="G4094" s="117">
        <v>6.14</v>
      </c>
    </row>
    <row r="4095" spans="1:7" x14ac:dyDescent="0.25">
      <c r="A4095" s="116" t="s">
        <v>6333</v>
      </c>
      <c r="B4095" s="117" t="s">
        <v>6334</v>
      </c>
      <c r="C4095" t="s">
        <v>67</v>
      </c>
      <c r="D4095" t="s">
        <v>67</v>
      </c>
      <c r="E4095" t="s">
        <v>67</v>
      </c>
      <c r="F4095" t="s">
        <v>27987</v>
      </c>
      <c r="G4095" s="117">
        <v>6.14</v>
      </c>
    </row>
    <row r="4096" spans="1:7" x14ac:dyDescent="0.25">
      <c r="A4096" s="116" t="s">
        <v>6335</v>
      </c>
      <c r="B4096" s="117" t="s">
        <v>6336</v>
      </c>
      <c r="C4096" t="s">
        <v>67</v>
      </c>
      <c r="D4096" t="s">
        <v>67</v>
      </c>
      <c r="E4096" t="s">
        <v>67</v>
      </c>
      <c r="F4096" t="s">
        <v>27987</v>
      </c>
      <c r="G4096" s="117">
        <v>12.45</v>
      </c>
    </row>
    <row r="4097" spans="1:7" x14ac:dyDescent="0.25">
      <c r="A4097" s="116" t="s">
        <v>6337</v>
      </c>
      <c r="B4097" s="117" t="s">
        <v>6338</v>
      </c>
      <c r="C4097" t="s">
        <v>67</v>
      </c>
      <c r="D4097" t="s">
        <v>67</v>
      </c>
      <c r="E4097" t="s">
        <v>67</v>
      </c>
      <c r="F4097" t="s">
        <v>27987</v>
      </c>
      <c r="G4097" s="117">
        <v>11.48</v>
      </c>
    </row>
    <row r="4098" spans="1:7" x14ac:dyDescent="0.25">
      <c r="A4098" s="116" t="s">
        <v>6339</v>
      </c>
      <c r="B4098" s="117" t="s">
        <v>6340</v>
      </c>
      <c r="C4098" t="s">
        <v>67</v>
      </c>
      <c r="D4098" t="s">
        <v>67</v>
      </c>
      <c r="E4098" t="s">
        <v>67</v>
      </c>
      <c r="F4098" t="s">
        <v>27987</v>
      </c>
      <c r="G4098" s="117">
        <v>16.82</v>
      </c>
    </row>
    <row r="4099" spans="1:7" x14ac:dyDescent="0.25">
      <c r="A4099" s="116" t="s">
        <v>6341</v>
      </c>
      <c r="B4099" s="117" t="s">
        <v>6342</v>
      </c>
      <c r="C4099" t="s">
        <v>67</v>
      </c>
      <c r="D4099" t="s">
        <v>67</v>
      </c>
      <c r="E4099" t="s">
        <v>67</v>
      </c>
      <c r="F4099" t="s">
        <v>27987</v>
      </c>
      <c r="G4099" s="117">
        <v>43.82</v>
      </c>
    </row>
    <row r="4100" spans="1:7" x14ac:dyDescent="0.25">
      <c r="A4100" s="116" t="s">
        <v>29913</v>
      </c>
      <c r="B4100" s="117" t="s">
        <v>30416</v>
      </c>
      <c r="C4100" t="s">
        <v>67</v>
      </c>
      <c r="D4100" t="s">
        <v>67</v>
      </c>
      <c r="E4100" t="s">
        <v>67</v>
      </c>
      <c r="F4100" t="s">
        <v>27987</v>
      </c>
      <c r="G4100" s="117">
        <v>15</v>
      </c>
    </row>
    <row r="4101" spans="1:7" x14ac:dyDescent="0.25">
      <c r="A4101" s="116" t="s">
        <v>6343</v>
      </c>
      <c r="B4101" s="117" t="s">
        <v>6344</v>
      </c>
      <c r="C4101" t="s">
        <v>67</v>
      </c>
      <c r="D4101" t="s">
        <v>67</v>
      </c>
      <c r="E4101" t="s">
        <v>67</v>
      </c>
      <c r="F4101" t="s">
        <v>27987</v>
      </c>
      <c r="G4101" s="117">
        <v>39.06</v>
      </c>
    </row>
    <row r="4102" spans="1:7" x14ac:dyDescent="0.25">
      <c r="A4102" s="116" t="s">
        <v>6345</v>
      </c>
      <c r="B4102" s="117" t="s">
        <v>6346</v>
      </c>
      <c r="C4102" t="s">
        <v>67</v>
      </c>
      <c r="D4102" t="s">
        <v>67</v>
      </c>
      <c r="E4102" t="s">
        <v>67</v>
      </c>
      <c r="F4102" t="s">
        <v>27990</v>
      </c>
      <c r="G4102" s="117">
        <v>44.94</v>
      </c>
    </row>
    <row r="4103" spans="1:7" x14ac:dyDescent="0.25">
      <c r="A4103" s="116" t="s">
        <v>6347</v>
      </c>
      <c r="B4103" s="117" t="s">
        <v>6348</v>
      </c>
      <c r="C4103" t="s">
        <v>67</v>
      </c>
      <c r="D4103" t="s">
        <v>67</v>
      </c>
      <c r="E4103" t="s">
        <v>67</v>
      </c>
      <c r="F4103" t="s">
        <v>49</v>
      </c>
      <c r="G4103" s="117">
        <v>31.06</v>
      </c>
    </row>
    <row r="4104" spans="1:7" x14ac:dyDescent="0.25">
      <c r="A4104" s="116" t="s">
        <v>28678</v>
      </c>
      <c r="B4104" s="117" t="s">
        <v>28679</v>
      </c>
      <c r="C4104" t="s">
        <v>67</v>
      </c>
      <c r="D4104" t="s">
        <v>67</v>
      </c>
      <c r="E4104" t="s">
        <v>67</v>
      </c>
      <c r="F4104" t="s">
        <v>45</v>
      </c>
      <c r="G4104" s="117">
        <v>0</v>
      </c>
    </row>
    <row r="4105" spans="1:7" x14ac:dyDescent="0.25">
      <c r="A4105" s="116" t="s">
        <v>6349</v>
      </c>
      <c r="B4105" s="117" t="s">
        <v>6350</v>
      </c>
      <c r="C4105" t="s">
        <v>67</v>
      </c>
      <c r="D4105" t="s">
        <v>67</v>
      </c>
      <c r="E4105" t="s">
        <v>67</v>
      </c>
      <c r="F4105" t="s">
        <v>45</v>
      </c>
      <c r="G4105" s="117">
        <v>54.19</v>
      </c>
    </row>
    <row r="4106" spans="1:7" x14ac:dyDescent="0.25">
      <c r="A4106" s="116" t="s">
        <v>6351</v>
      </c>
      <c r="B4106" s="117" t="s">
        <v>6352</v>
      </c>
      <c r="C4106" t="s">
        <v>67</v>
      </c>
      <c r="D4106" t="s">
        <v>67</v>
      </c>
      <c r="E4106" t="s">
        <v>67</v>
      </c>
      <c r="F4106" t="s">
        <v>27987</v>
      </c>
      <c r="G4106" s="117">
        <v>23.94</v>
      </c>
    </row>
    <row r="4107" spans="1:7" x14ac:dyDescent="0.25">
      <c r="A4107" s="116" t="s">
        <v>6353</v>
      </c>
      <c r="B4107" s="117" t="s">
        <v>6354</v>
      </c>
      <c r="C4107" t="s">
        <v>67</v>
      </c>
      <c r="D4107" t="s">
        <v>67</v>
      </c>
      <c r="E4107" t="s">
        <v>67</v>
      </c>
      <c r="F4107" t="s">
        <v>27987</v>
      </c>
      <c r="G4107" s="117">
        <v>6.14</v>
      </c>
    </row>
    <row r="4108" spans="1:7" x14ac:dyDescent="0.25">
      <c r="A4108" s="116" t="s">
        <v>6355</v>
      </c>
      <c r="B4108" s="117" t="s">
        <v>6356</v>
      </c>
      <c r="C4108" t="s">
        <v>67</v>
      </c>
      <c r="D4108" t="s">
        <v>67</v>
      </c>
      <c r="E4108" t="s">
        <v>67</v>
      </c>
      <c r="F4108" t="s">
        <v>27987</v>
      </c>
      <c r="G4108" s="117">
        <v>36.39</v>
      </c>
    </row>
    <row r="4109" spans="1:7" x14ac:dyDescent="0.25">
      <c r="A4109" s="116" t="s">
        <v>6357</v>
      </c>
      <c r="B4109" s="117" t="s">
        <v>6358</v>
      </c>
      <c r="C4109" t="s">
        <v>67</v>
      </c>
      <c r="D4109" t="s">
        <v>67</v>
      </c>
      <c r="E4109" t="s">
        <v>67</v>
      </c>
      <c r="F4109" t="s">
        <v>27987</v>
      </c>
      <c r="G4109" s="117">
        <v>20.02</v>
      </c>
    </row>
    <row r="4110" spans="1:7" x14ac:dyDescent="0.25">
      <c r="A4110" s="116" t="s">
        <v>6359</v>
      </c>
      <c r="B4110" s="117" t="s">
        <v>6360</v>
      </c>
      <c r="C4110" t="s">
        <v>67</v>
      </c>
      <c r="D4110" t="s">
        <v>67</v>
      </c>
      <c r="E4110" t="s">
        <v>67</v>
      </c>
      <c r="F4110" t="s">
        <v>49</v>
      </c>
      <c r="G4110" s="117">
        <v>26.25</v>
      </c>
    </row>
    <row r="4111" spans="1:7" x14ac:dyDescent="0.25">
      <c r="A4111" s="116" t="s">
        <v>6361</v>
      </c>
      <c r="B4111" s="117" t="s">
        <v>6362</v>
      </c>
      <c r="C4111" t="s">
        <v>67</v>
      </c>
      <c r="D4111" t="s">
        <v>67</v>
      </c>
      <c r="E4111" t="s">
        <v>67</v>
      </c>
      <c r="F4111" t="s">
        <v>27987</v>
      </c>
      <c r="G4111" s="117">
        <v>15.57</v>
      </c>
    </row>
    <row r="4112" spans="1:7" x14ac:dyDescent="0.25">
      <c r="A4112" s="116" t="s">
        <v>6363</v>
      </c>
      <c r="B4112" s="117" t="s">
        <v>6364</v>
      </c>
      <c r="C4112" t="s">
        <v>67</v>
      </c>
      <c r="D4112" t="s">
        <v>67</v>
      </c>
      <c r="E4112" t="s">
        <v>67</v>
      </c>
      <c r="F4112" t="s">
        <v>27987</v>
      </c>
      <c r="G4112" s="117">
        <v>11.48</v>
      </c>
    </row>
    <row r="4113" spans="1:7" x14ac:dyDescent="0.25">
      <c r="A4113" s="116" t="s">
        <v>6365</v>
      </c>
      <c r="B4113" s="117" t="s">
        <v>6366</v>
      </c>
      <c r="C4113" t="s">
        <v>67</v>
      </c>
      <c r="D4113" t="s">
        <v>67</v>
      </c>
      <c r="E4113" t="s">
        <v>67</v>
      </c>
      <c r="F4113" t="s">
        <v>49</v>
      </c>
      <c r="G4113" s="117">
        <v>19.13</v>
      </c>
    </row>
    <row r="4114" spans="1:7" x14ac:dyDescent="0.25">
      <c r="A4114" s="116" t="s">
        <v>6367</v>
      </c>
      <c r="B4114" s="117" t="s">
        <v>6368</v>
      </c>
      <c r="C4114" t="s">
        <v>67</v>
      </c>
      <c r="D4114" t="s">
        <v>67</v>
      </c>
      <c r="E4114" t="s">
        <v>67</v>
      </c>
      <c r="F4114" t="s">
        <v>27987</v>
      </c>
      <c r="G4114" s="117">
        <v>56.86</v>
      </c>
    </row>
    <row r="4115" spans="1:7" x14ac:dyDescent="0.25">
      <c r="A4115" s="116" t="s">
        <v>6369</v>
      </c>
      <c r="B4115" s="117" t="s">
        <v>6370</v>
      </c>
      <c r="C4115" t="s">
        <v>67</v>
      </c>
      <c r="D4115" t="s">
        <v>67</v>
      </c>
      <c r="E4115" t="s">
        <v>67</v>
      </c>
      <c r="F4115" t="s">
        <v>27987</v>
      </c>
      <c r="G4115" s="117">
        <v>15.57</v>
      </c>
    </row>
    <row r="4116" spans="1:7" x14ac:dyDescent="0.25">
      <c r="A4116" s="116" t="s">
        <v>6371</v>
      </c>
      <c r="B4116" s="117" t="s">
        <v>6372</v>
      </c>
      <c r="C4116" t="s">
        <v>67</v>
      </c>
      <c r="D4116" t="s">
        <v>67</v>
      </c>
      <c r="E4116" t="s">
        <v>67</v>
      </c>
      <c r="F4116" t="s">
        <v>49</v>
      </c>
      <c r="G4116" s="117">
        <v>15.04</v>
      </c>
    </row>
    <row r="4117" spans="1:7" x14ac:dyDescent="0.25">
      <c r="A4117" s="116" t="s">
        <v>6373</v>
      </c>
      <c r="B4117" s="117" t="s">
        <v>28680</v>
      </c>
      <c r="C4117" t="s">
        <v>67</v>
      </c>
      <c r="D4117" t="s">
        <v>67</v>
      </c>
      <c r="E4117" t="s">
        <v>67</v>
      </c>
      <c r="F4117" t="s">
        <v>49</v>
      </c>
      <c r="G4117" s="117">
        <v>13.8</v>
      </c>
    </row>
    <row r="4118" spans="1:7" x14ac:dyDescent="0.25">
      <c r="A4118" s="116" t="s">
        <v>6374</v>
      </c>
      <c r="B4118" s="117" t="s">
        <v>6375</v>
      </c>
      <c r="C4118" t="s">
        <v>67</v>
      </c>
      <c r="D4118" t="s">
        <v>67</v>
      </c>
      <c r="E4118" t="s">
        <v>67</v>
      </c>
      <c r="F4118" t="s">
        <v>27990</v>
      </c>
      <c r="G4118" s="117">
        <v>164.18</v>
      </c>
    </row>
    <row r="4119" spans="1:7" x14ac:dyDescent="0.25">
      <c r="A4119" s="116" t="s">
        <v>29914</v>
      </c>
      <c r="B4119" s="117" t="s">
        <v>30417</v>
      </c>
      <c r="C4119" t="s">
        <v>67</v>
      </c>
      <c r="D4119" t="s">
        <v>67</v>
      </c>
      <c r="E4119" t="s">
        <v>67</v>
      </c>
      <c r="F4119" t="s">
        <v>27987</v>
      </c>
      <c r="G4119" s="117">
        <v>31</v>
      </c>
    </row>
    <row r="4120" spans="1:7" x14ac:dyDescent="0.25">
      <c r="A4120" s="116" t="s">
        <v>6376</v>
      </c>
      <c r="B4120" s="117" t="s">
        <v>6377</v>
      </c>
      <c r="C4120" t="s">
        <v>67</v>
      </c>
      <c r="D4120" t="s">
        <v>67</v>
      </c>
      <c r="E4120" t="s">
        <v>67</v>
      </c>
      <c r="F4120" t="s">
        <v>49</v>
      </c>
      <c r="G4120" s="117">
        <v>16.46</v>
      </c>
    </row>
    <row r="4121" spans="1:7" x14ac:dyDescent="0.25">
      <c r="A4121" s="116" t="s">
        <v>6378</v>
      </c>
      <c r="B4121" s="117" t="s">
        <v>6379</v>
      </c>
      <c r="C4121" t="s">
        <v>67</v>
      </c>
      <c r="D4121" t="s">
        <v>67</v>
      </c>
      <c r="E4121" t="s">
        <v>67</v>
      </c>
      <c r="F4121" t="s">
        <v>27987</v>
      </c>
      <c r="G4121" s="117">
        <v>19.13</v>
      </c>
    </row>
    <row r="4122" spans="1:7" x14ac:dyDescent="0.25">
      <c r="A4122" s="116" t="s">
        <v>6380</v>
      </c>
      <c r="B4122" s="117" t="s">
        <v>6381</v>
      </c>
      <c r="C4122" t="s">
        <v>67</v>
      </c>
      <c r="D4122" t="s">
        <v>67</v>
      </c>
      <c r="E4122" t="s">
        <v>67</v>
      </c>
      <c r="F4122" t="s">
        <v>45</v>
      </c>
      <c r="G4122" s="117">
        <v>84.98</v>
      </c>
    </row>
    <row r="4123" spans="1:7" x14ac:dyDescent="0.25">
      <c r="A4123" s="116" t="s">
        <v>6382</v>
      </c>
      <c r="B4123" s="117" t="s">
        <v>6383</v>
      </c>
      <c r="C4123" t="s">
        <v>67</v>
      </c>
      <c r="D4123" t="s">
        <v>67</v>
      </c>
      <c r="E4123" t="s">
        <v>67</v>
      </c>
      <c r="F4123" t="s">
        <v>27987</v>
      </c>
      <c r="G4123" s="117">
        <v>99.57</v>
      </c>
    </row>
    <row r="4124" spans="1:7" x14ac:dyDescent="0.25">
      <c r="A4124" s="116" t="s">
        <v>26630</v>
      </c>
      <c r="B4124" s="117" t="s">
        <v>26631</v>
      </c>
      <c r="C4124" t="s">
        <v>67</v>
      </c>
      <c r="D4124" t="s">
        <v>67</v>
      </c>
      <c r="E4124" t="s">
        <v>67</v>
      </c>
      <c r="F4124" t="s">
        <v>45</v>
      </c>
      <c r="G4124" s="117">
        <v>112.77</v>
      </c>
    </row>
    <row r="4125" spans="1:7" x14ac:dyDescent="0.25">
      <c r="A4125" s="116" t="s">
        <v>6384</v>
      </c>
      <c r="B4125" s="117" t="s">
        <v>6385</v>
      </c>
      <c r="C4125" t="s">
        <v>67</v>
      </c>
      <c r="D4125" t="s">
        <v>67</v>
      </c>
      <c r="E4125" t="s">
        <v>67</v>
      </c>
      <c r="F4125" t="s">
        <v>27987</v>
      </c>
      <c r="G4125" s="117">
        <v>10.92</v>
      </c>
    </row>
    <row r="4126" spans="1:7" x14ac:dyDescent="0.25">
      <c r="A4126" s="116" t="s">
        <v>6386</v>
      </c>
      <c r="B4126" s="117" t="s">
        <v>6387</v>
      </c>
      <c r="C4126" t="s">
        <v>67</v>
      </c>
      <c r="D4126" t="s">
        <v>67</v>
      </c>
      <c r="E4126" t="s">
        <v>67</v>
      </c>
      <c r="F4126" t="s">
        <v>27987</v>
      </c>
      <c r="G4126" s="117">
        <v>282.26</v>
      </c>
    </row>
    <row r="4127" spans="1:7" x14ac:dyDescent="0.25">
      <c r="A4127" s="116" t="s">
        <v>6388</v>
      </c>
      <c r="B4127" s="117" t="s">
        <v>28681</v>
      </c>
      <c r="C4127" t="s">
        <v>67</v>
      </c>
      <c r="D4127" t="s">
        <v>67</v>
      </c>
      <c r="E4127" t="s">
        <v>67</v>
      </c>
      <c r="F4127" t="s">
        <v>27987</v>
      </c>
      <c r="G4127" s="117">
        <v>324.43</v>
      </c>
    </row>
    <row r="4128" spans="1:7" x14ac:dyDescent="0.25">
      <c r="A4128" s="116" t="s">
        <v>26872</v>
      </c>
      <c r="B4128" s="117" t="s">
        <v>26873</v>
      </c>
      <c r="C4128" t="s">
        <v>67</v>
      </c>
      <c r="D4128" t="s">
        <v>67</v>
      </c>
      <c r="E4128" t="s">
        <v>67</v>
      </c>
      <c r="F4128" t="s">
        <v>27987</v>
      </c>
      <c r="G4128" s="117">
        <v>202.1</v>
      </c>
    </row>
    <row r="4129" spans="1:7" x14ac:dyDescent="0.25">
      <c r="A4129" s="116" t="s">
        <v>26992</v>
      </c>
      <c r="B4129" s="117" t="s">
        <v>30148</v>
      </c>
      <c r="C4129" t="s">
        <v>67</v>
      </c>
      <c r="D4129" t="s">
        <v>67</v>
      </c>
      <c r="E4129" t="s">
        <v>67</v>
      </c>
      <c r="F4129" t="s">
        <v>27987</v>
      </c>
      <c r="G4129" s="117">
        <v>78</v>
      </c>
    </row>
    <row r="4130" spans="1:7" x14ac:dyDescent="0.25">
      <c r="A4130" s="116" t="s">
        <v>28682</v>
      </c>
      <c r="B4130" s="117" t="s">
        <v>28683</v>
      </c>
      <c r="C4130" t="s">
        <v>67</v>
      </c>
      <c r="D4130" t="s">
        <v>67</v>
      </c>
      <c r="E4130" t="s">
        <v>67</v>
      </c>
      <c r="F4130" t="s">
        <v>27987</v>
      </c>
      <c r="G4130" s="117">
        <v>73.709999999999994</v>
      </c>
    </row>
    <row r="4131" spans="1:7" x14ac:dyDescent="0.25">
      <c r="A4131" s="116" t="s">
        <v>27024</v>
      </c>
      <c r="B4131" s="117" t="s">
        <v>28684</v>
      </c>
      <c r="C4131" t="s">
        <v>67</v>
      </c>
      <c r="D4131" t="s">
        <v>67</v>
      </c>
      <c r="E4131" t="s">
        <v>67</v>
      </c>
      <c r="F4131" t="s">
        <v>45</v>
      </c>
      <c r="G4131" s="117">
        <v>16</v>
      </c>
    </row>
    <row r="4132" spans="1:7" x14ac:dyDescent="0.25">
      <c r="A4132" s="116" t="s">
        <v>27401</v>
      </c>
      <c r="B4132" s="117" t="s">
        <v>6389</v>
      </c>
      <c r="C4132" t="s">
        <v>67</v>
      </c>
      <c r="D4132" t="s">
        <v>67</v>
      </c>
      <c r="E4132" t="s">
        <v>67</v>
      </c>
      <c r="F4132" t="s">
        <v>45</v>
      </c>
      <c r="G4132" s="117">
        <v>22.63</v>
      </c>
    </row>
    <row r="4133" spans="1:7" x14ac:dyDescent="0.25">
      <c r="A4133" s="116" t="s">
        <v>27402</v>
      </c>
      <c r="B4133" s="117" t="s">
        <v>6390</v>
      </c>
      <c r="C4133" t="s">
        <v>67</v>
      </c>
      <c r="D4133" t="s">
        <v>67</v>
      </c>
      <c r="E4133" t="s">
        <v>67</v>
      </c>
      <c r="F4133" t="s">
        <v>45</v>
      </c>
      <c r="G4133" s="117">
        <v>82.67</v>
      </c>
    </row>
    <row r="4134" spans="1:7" x14ac:dyDescent="0.25">
      <c r="A4134" s="116" t="s">
        <v>6391</v>
      </c>
      <c r="B4134" s="117" t="s">
        <v>6392</v>
      </c>
      <c r="C4134" t="s">
        <v>67</v>
      </c>
      <c r="D4134" t="s">
        <v>67</v>
      </c>
      <c r="E4134" t="s">
        <v>67</v>
      </c>
      <c r="F4134" t="s">
        <v>27987</v>
      </c>
      <c r="G4134" s="117">
        <v>41.38</v>
      </c>
    </row>
    <row r="4135" spans="1:7" x14ac:dyDescent="0.25">
      <c r="A4135" s="116" t="s">
        <v>6393</v>
      </c>
      <c r="B4135" s="117" t="s">
        <v>6394</v>
      </c>
      <c r="C4135" t="s">
        <v>67</v>
      </c>
      <c r="D4135" t="s">
        <v>67</v>
      </c>
      <c r="E4135" t="s">
        <v>67</v>
      </c>
      <c r="F4135" t="s">
        <v>27987</v>
      </c>
      <c r="G4135" s="117">
        <v>84.44</v>
      </c>
    </row>
    <row r="4136" spans="1:7" x14ac:dyDescent="0.25">
      <c r="A4136" s="116" t="s">
        <v>6395</v>
      </c>
      <c r="B4136" s="117" t="s">
        <v>6396</v>
      </c>
      <c r="C4136" t="s">
        <v>67</v>
      </c>
      <c r="D4136" t="s">
        <v>67</v>
      </c>
      <c r="E4136" t="s">
        <v>67</v>
      </c>
      <c r="F4136" t="s">
        <v>27987</v>
      </c>
      <c r="G4136" s="117">
        <v>60.42</v>
      </c>
    </row>
    <row r="4137" spans="1:7" x14ac:dyDescent="0.25">
      <c r="A4137" s="116" t="s">
        <v>30194</v>
      </c>
      <c r="B4137" s="117" t="s">
        <v>30195</v>
      </c>
      <c r="C4137" t="s">
        <v>67</v>
      </c>
      <c r="D4137" t="s">
        <v>67</v>
      </c>
      <c r="E4137" t="s">
        <v>67</v>
      </c>
      <c r="F4137" t="s">
        <v>27987</v>
      </c>
      <c r="G4137" s="117">
        <v>55</v>
      </c>
    </row>
    <row r="4138" spans="1:7" x14ac:dyDescent="0.25">
      <c r="A4138" s="116" t="s">
        <v>28685</v>
      </c>
      <c r="B4138" s="117" t="s">
        <v>28686</v>
      </c>
      <c r="C4138" t="s">
        <v>67</v>
      </c>
      <c r="D4138" t="s">
        <v>67</v>
      </c>
      <c r="E4138" t="s">
        <v>67</v>
      </c>
      <c r="F4138" t="s">
        <v>45</v>
      </c>
      <c r="G4138" s="117">
        <v>0</v>
      </c>
    </row>
    <row r="4139" spans="1:7" x14ac:dyDescent="0.25">
      <c r="A4139" s="116" t="s">
        <v>6397</v>
      </c>
      <c r="B4139" s="117" t="s">
        <v>6398</v>
      </c>
      <c r="C4139" t="s">
        <v>67</v>
      </c>
      <c r="D4139" t="s">
        <v>67</v>
      </c>
      <c r="E4139" t="s">
        <v>67</v>
      </c>
      <c r="F4139" t="s">
        <v>27987</v>
      </c>
      <c r="G4139" s="117">
        <v>141.04</v>
      </c>
    </row>
    <row r="4140" spans="1:7" x14ac:dyDescent="0.25">
      <c r="A4140" s="116" t="s">
        <v>6399</v>
      </c>
      <c r="B4140" s="117" t="s">
        <v>28687</v>
      </c>
      <c r="C4140" t="s">
        <v>67</v>
      </c>
      <c r="D4140" t="s">
        <v>67</v>
      </c>
      <c r="E4140" t="s">
        <v>67</v>
      </c>
      <c r="F4140" t="s">
        <v>45</v>
      </c>
      <c r="G4140" s="117">
        <v>98.32</v>
      </c>
    </row>
    <row r="4141" spans="1:7" x14ac:dyDescent="0.25">
      <c r="A4141" s="116" t="s">
        <v>6400</v>
      </c>
      <c r="B4141" s="117" t="s">
        <v>6401</v>
      </c>
      <c r="C4141" t="s">
        <v>67</v>
      </c>
      <c r="D4141" t="s">
        <v>67</v>
      </c>
      <c r="E4141" t="s">
        <v>67</v>
      </c>
      <c r="F4141" t="s">
        <v>27987</v>
      </c>
      <c r="G4141" s="117">
        <v>66.3</v>
      </c>
    </row>
    <row r="4142" spans="1:7" x14ac:dyDescent="0.25">
      <c r="A4142" s="116" t="s">
        <v>6402</v>
      </c>
      <c r="B4142" s="117" t="s">
        <v>6403</v>
      </c>
      <c r="C4142" t="s">
        <v>67</v>
      </c>
      <c r="D4142" t="s">
        <v>67</v>
      </c>
      <c r="E4142" t="s">
        <v>67</v>
      </c>
      <c r="F4142" t="s">
        <v>27987</v>
      </c>
      <c r="G4142" s="117">
        <v>38.700000000000003</v>
      </c>
    </row>
    <row r="4143" spans="1:7" x14ac:dyDescent="0.25">
      <c r="A4143" s="116" t="s">
        <v>6404</v>
      </c>
      <c r="B4143" s="117" t="s">
        <v>6405</v>
      </c>
      <c r="C4143" t="s">
        <v>67</v>
      </c>
      <c r="D4143" t="s">
        <v>67</v>
      </c>
      <c r="E4143" t="s">
        <v>67</v>
      </c>
      <c r="F4143" t="s">
        <v>45</v>
      </c>
      <c r="G4143" s="117">
        <v>42.26</v>
      </c>
    </row>
    <row r="4144" spans="1:7" x14ac:dyDescent="0.25">
      <c r="A4144" s="116" t="s">
        <v>6406</v>
      </c>
      <c r="B4144" s="117" t="s">
        <v>6407</v>
      </c>
      <c r="C4144" t="s">
        <v>67</v>
      </c>
      <c r="D4144" t="s">
        <v>67</v>
      </c>
      <c r="E4144" t="s">
        <v>67</v>
      </c>
      <c r="F4144" t="s">
        <v>27987</v>
      </c>
      <c r="G4144" s="117">
        <v>129.82</v>
      </c>
    </row>
    <row r="4145" spans="1:7" x14ac:dyDescent="0.25">
      <c r="A4145" s="116" t="s">
        <v>6408</v>
      </c>
      <c r="B4145" s="117" t="s">
        <v>6409</v>
      </c>
      <c r="C4145" t="s">
        <v>67</v>
      </c>
      <c r="D4145" t="s">
        <v>67</v>
      </c>
      <c r="E4145" t="s">
        <v>67</v>
      </c>
      <c r="F4145" t="s">
        <v>27987</v>
      </c>
      <c r="G4145" s="117">
        <v>250.49</v>
      </c>
    </row>
    <row r="4146" spans="1:7" x14ac:dyDescent="0.25">
      <c r="A4146" s="116" t="s">
        <v>6410</v>
      </c>
      <c r="B4146" s="117" t="s">
        <v>6411</v>
      </c>
      <c r="C4146" t="s">
        <v>67</v>
      </c>
      <c r="D4146" t="s">
        <v>67</v>
      </c>
      <c r="E4146" t="s">
        <v>67</v>
      </c>
      <c r="F4146" t="s">
        <v>27987</v>
      </c>
      <c r="G4146" s="117">
        <v>271.31</v>
      </c>
    </row>
    <row r="4147" spans="1:7" x14ac:dyDescent="0.25">
      <c r="A4147" s="116" t="s">
        <v>28688</v>
      </c>
      <c r="B4147" s="117" t="s">
        <v>28689</v>
      </c>
      <c r="C4147" t="s">
        <v>67</v>
      </c>
      <c r="D4147" t="s">
        <v>67</v>
      </c>
      <c r="E4147" t="s">
        <v>67</v>
      </c>
      <c r="F4147" t="s">
        <v>45</v>
      </c>
      <c r="G4147" s="117">
        <v>0</v>
      </c>
    </row>
    <row r="4148" spans="1:7" x14ac:dyDescent="0.25">
      <c r="A4148" s="116" t="s">
        <v>6412</v>
      </c>
      <c r="B4148" s="117" t="s">
        <v>6413</v>
      </c>
      <c r="C4148" t="s">
        <v>67</v>
      </c>
      <c r="D4148" t="s">
        <v>67</v>
      </c>
      <c r="E4148" t="s">
        <v>67</v>
      </c>
      <c r="F4148" t="s">
        <v>45</v>
      </c>
      <c r="G4148" s="117">
        <v>1.69</v>
      </c>
    </row>
    <row r="4149" spans="1:7" x14ac:dyDescent="0.25">
      <c r="A4149" s="116" t="s">
        <v>6414</v>
      </c>
      <c r="B4149" s="117" t="s">
        <v>6415</v>
      </c>
      <c r="C4149" t="s">
        <v>67</v>
      </c>
      <c r="D4149" t="s">
        <v>67</v>
      </c>
      <c r="E4149" t="s">
        <v>67</v>
      </c>
      <c r="F4149" t="s">
        <v>45</v>
      </c>
      <c r="G4149" s="117">
        <v>10.24</v>
      </c>
    </row>
    <row r="4150" spans="1:7" x14ac:dyDescent="0.25">
      <c r="A4150" s="116" t="s">
        <v>6416</v>
      </c>
      <c r="B4150" s="117" t="s">
        <v>6417</v>
      </c>
      <c r="C4150" t="s">
        <v>67</v>
      </c>
      <c r="D4150" t="s">
        <v>67</v>
      </c>
      <c r="E4150" t="s">
        <v>67</v>
      </c>
      <c r="F4150" t="s">
        <v>45</v>
      </c>
      <c r="G4150" s="117">
        <v>3.56</v>
      </c>
    </row>
    <row r="4151" spans="1:7" x14ac:dyDescent="0.25">
      <c r="A4151" s="116" t="s">
        <v>6418</v>
      </c>
      <c r="B4151" s="117" t="s">
        <v>6419</v>
      </c>
      <c r="C4151" t="s">
        <v>67</v>
      </c>
      <c r="D4151" t="s">
        <v>67</v>
      </c>
      <c r="E4151" t="s">
        <v>67</v>
      </c>
      <c r="F4151" t="s">
        <v>45</v>
      </c>
      <c r="G4151" s="117">
        <v>20.38</v>
      </c>
    </row>
    <row r="4152" spans="1:7" x14ac:dyDescent="0.25">
      <c r="A4152" s="116" t="s">
        <v>6420</v>
      </c>
      <c r="B4152" s="117" t="s">
        <v>6421</v>
      </c>
      <c r="C4152" t="s">
        <v>67</v>
      </c>
      <c r="D4152" t="s">
        <v>67</v>
      </c>
      <c r="E4152" t="s">
        <v>67</v>
      </c>
      <c r="F4152" t="s">
        <v>45</v>
      </c>
      <c r="G4152" s="117">
        <v>17.7</v>
      </c>
    </row>
    <row r="4153" spans="1:7" x14ac:dyDescent="0.25">
      <c r="A4153" s="116" t="s">
        <v>6422</v>
      </c>
      <c r="B4153" s="117" t="s">
        <v>6423</v>
      </c>
      <c r="C4153" t="s">
        <v>67</v>
      </c>
      <c r="D4153" t="s">
        <v>67</v>
      </c>
      <c r="E4153" t="s">
        <v>67</v>
      </c>
      <c r="F4153" t="s">
        <v>45</v>
      </c>
      <c r="G4153" s="117">
        <v>30.7</v>
      </c>
    </row>
    <row r="4154" spans="1:7" x14ac:dyDescent="0.25">
      <c r="A4154" s="116" t="s">
        <v>6424</v>
      </c>
      <c r="B4154" s="117" t="s">
        <v>6425</v>
      </c>
      <c r="C4154" t="s">
        <v>67</v>
      </c>
      <c r="D4154" t="s">
        <v>67</v>
      </c>
      <c r="E4154" t="s">
        <v>67</v>
      </c>
      <c r="F4154" t="s">
        <v>27987</v>
      </c>
      <c r="G4154" s="117">
        <v>23.94</v>
      </c>
    </row>
    <row r="4155" spans="1:7" x14ac:dyDescent="0.25">
      <c r="A4155" s="116" t="s">
        <v>6426</v>
      </c>
      <c r="B4155" s="117" t="s">
        <v>6427</v>
      </c>
      <c r="C4155" t="s">
        <v>67</v>
      </c>
      <c r="D4155" t="s">
        <v>67</v>
      </c>
      <c r="E4155" t="s">
        <v>67</v>
      </c>
      <c r="F4155" t="s">
        <v>45</v>
      </c>
      <c r="G4155" s="117">
        <v>19.13</v>
      </c>
    </row>
    <row r="4156" spans="1:7" x14ac:dyDescent="0.25">
      <c r="A4156" s="116" t="s">
        <v>6428</v>
      </c>
      <c r="B4156" s="117" t="s">
        <v>6429</v>
      </c>
      <c r="C4156" t="s">
        <v>67</v>
      </c>
      <c r="D4156" t="s">
        <v>67</v>
      </c>
      <c r="E4156" t="s">
        <v>67</v>
      </c>
      <c r="F4156" t="s">
        <v>45</v>
      </c>
      <c r="G4156" s="117">
        <v>20.38</v>
      </c>
    </row>
    <row r="4157" spans="1:7" x14ac:dyDescent="0.25">
      <c r="A4157" s="116" t="s">
        <v>6430</v>
      </c>
      <c r="B4157" s="117" t="s">
        <v>6431</v>
      </c>
      <c r="C4157" t="s">
        <v>67</v>
      </c>
      <c r="D4157" t="s">
        <v>67</v>
      </c>
      <c r="E4157" t="s">
        <v>67</v>
      </c>
      <c r="F4157" t="s">
        <v>27987</v>
      </c>
      <c r="G4157" s="117">
        <v>2.23</v>
      </c>
    </row>
    <row r="4158" spans="1:7" x14ac:dyDescent="0.25">
      <c r="A4158" s="116" t="s">
        <v>6432</v>
      </c>
      <c r="B4158" s="117" t="s">
        <v>6433</v>
      </c>
      <c r="C4158" t="s">
        <v>67</v>
      </c>
      <c r="D4158" t="s">
        <v>67</v>
      </c>
      <c r="E4158" t="s">
        <v>67</v>
      </c>
      <c r="F4158" t="s">
        <v>45</v>
      </c>
      <c r="G4158" s="117">
        <v>22.69</v>
      </c>
    </row>
    <row r="4159" spans="1:7" x14ac:dyDescent="0.25">
      <c r="A4159" s="116" t="s">
        <v>6434</v>
      </c>
      <c r="B4159" s="117" t="s">
        <v>6147</v>
      </c>
      <c r="C4159" t="s">
        <v>67</v>
      </c>
      <c r="D4159" t="s">
        <v>67</v>
      </c>
      <c r="E4159" t="s">
        <v>67</v>
      </c>
      <c r="F4159" t="s">
        <v>45</v>
      </c>
      <c r="G4159" s="117">
        <v>1.33</v>
      </c>
    </row>
    <row r="4160" spans="1:7" x14ac:dyDescent="0.25">
      <c r="A4160" s="116" t="s">
        <v>6435</v>
      </c>
      <c r="B4160" s="117" t="s">
        <v>6436</v>
      </c>
      <c r="C4160" t="s">
        <v>67</v>
      </c>
      <c r="D4160" t="s">
        <v>67</v>
      </c>
      <c r="E4160" t="s">
        <v>67</v>
      </c>
      <c r="F4160" t="s">
        <v>27987</v>
      </c>
      <c r="G4160" s="117">
        <v>7.12</v>
      </c>
    </row>
    <row r="4161" spans="1:7" x14ac:dyDescent="0.25">
      <c r="A4161" s="116" t="s">
        <v>6437</v>
      </c>
      <c r="B4161" s="117" t="s">
        <v>6438</v>
      </c>
      <c r="C4161" t="s">
        <v>67</v>
      </c>
      <c r="D4161" t="s">
        <v>67</v>
      </c>
      <c r="E4161" t="s">
        <v>67</v>
      </c>
      <c r="F4161" t="s">
        <v>45</v>
      </c>
      <c r="G4161" s="117">
        <v>14.68</v>
      </c>
    </row>
    <row r="4162" spans="1:7" x14ac:dyDescent="0.25">
      <c r="A4162" s="116" t="s">
        <v>6439</v>
      </c>
      <c r="B4162" s="117" t="s">
        <v>6440</v>
      </c>
      <c r="C4162" t="s">
        <v>67</v>
      </c>
      <c r="D4162" t="s">
        <v>67</v>
      </c>
      <c r="E4162" t="s">
        <v>67</v>
      </c>
      <c r="F4162" t="s">
        <v>49</v>
      </c>
      <c r="G4162" s="117">
        <v>3.12</v>
      </c>
    </row>
    <row r="4163" spans="1:7" x14ac:dyDescent="0.25">
      <c r="A4163" s="116" t="s">
        <v>6441</v>
      </c>
      <c r="B4163" s="117" t="s">
        <v>6442</v>
      </c>
      <c r="C4163" t="s">
        <v>67</v>
      </c>
      <c r="D4163" t="s">
        <v>67</v>
      </c>
      <c r="E4163" t="s">
        <v>67</v>
      </c>
      <c r="F4163" t="s">
        <v>45</v>
      </c>
      <c r="G4163" s="117">
        <v>189.08</v>
      </c>
    </row>
    <row r="4164" spans="1:7" x14ac:dyDescent="0.25">
      <c r="A4164" s="116" t="s">
        <v>6443</v>
      </c>
      <c r="B4164" s="117" t="s">
        <v>6444</v>
      </c>
      <c r="C4164" t="s">
        <v>67</v>
      </c>
      <c r="D4164" t="s">
        <v>67</v>
      </c>
      <c r="E4164" t="s">
        <v>67</v>
      </c>
      <c r="F4164" t="s">
        <v>27987</v>
      </c>
      <c r="G4164" s="117">
        <v>7.92</v>
      </c>
    </row>
    <row r="4165" spans="1:7" x14ac:dyDescent="0.25">
      <c r="A4165" s="116" t="s">
        <v>6445</v>
      </c>
      <c r="B4165" s="117" t="s">
        <v>6446</v>
      </c>
      <c r="C4165" t="s">
        <v>67</v>
      </c>
      <c r="D4165" t="s">
        <v>67</v>
      </c>
      <c r="E4165" t="s">
        <v>67</v>
      </c>
      <c r="F4165" t="s">
        <v>27987</v>
      </c>
      <c r="G4165" s="117">
        <v>4.8899999999999997</v>
      </c>
    </row>
    <row r="4166" spans="1:7" x14ac:dyDescent="0.25">
      <c r="A4166" s="116" t="s">
        <v>6447</v>
      </c>
      <c r="B4166" s="117" t="s">
        <v>6448</v>
      </c>
      <c r="C4166" t="s">
        <v>67</v>
      </c>
      <c r="D4166" t="s">
        <v>67</v>
      </c>
      <c r="E4166" t="s">
        <v>67</v>
      </c>
      <c r="F4166" t="s">
        <v>27987</v>
      </c>
      <c r="G4166" s="117">
        <v>76.98</v>
      </c>
    </row>
    <row r="4167" spans="1:7" x14ac:dyDescent="0.25">
      <c r="A4167" s="116" t="s">
        <v>6449</v>
      </c>
      <c r="B4167" s="117" t="s">
        <v>6450</v>
      </c>
      <c r="C4167" t="s">
        <v>67</v>
      </c>
      <c r="D4167" t="s">
        <v>67</v>
      </c>
      <c r="E4167" t="s">
        <v>67</v>
      </c>
      <c r="F4167" t="s">
        <v>27987</v>
      </c>
      <c r="G4167" s="117">
        <v>55.62</v>
      </c>
    </row>
    <row r="4168" spans="1:7" x14ac:dyDescent="0.25">
      <c r="A4168" s="116" t="s">
        <v>6451</v>
      </c>
      <c r="B4168" s="117" t="s">
        <v>6452</v>
      </c>
      <c r="C4168" t="s">
        <v>67</v>
      </c>
      <c r="D4168" t="s">
        <v>67</v>
      </c>
      <c r="E4168" t="s">
        <v>67</v>
      </c>
      <c r="F4168" t="s">
        <v>45</v>
      </c>
      <c r="G4168" s="117">
        <v>37.82</v>
      </c>
    </row>
    <row r="4169" spans="1:7" x14ac:dyDescent="0.25">
      <c r="A4169" s="116" t="s">
        <v>6453</v>
      </c>
      <c r="B4169" s="117" t="s">
        <v>6454</v>
      </c>
      <c r="C4169" t="s">
        <v>67</v>
      </c>
      <c r="D4169" t="s">
        <v>67</v>
      </c>
      <c r="E4169" t="s">
        <v>67</v>
      </c>
      <c r="F4169" t="s">
        <v>27987</v>
      </c>
      <c r="G4169" s="117">
        <v>40.49</v>
      </c>
    </row>
    <row r="4170" spans="1:7" x14ac:dyDescent="0.25">
      <c r="A4170" s="116" t="s">
        <v>6455</v>
      </c>
      <c r="B4170" s="117" t="s">
        <v>6456</v>
      </c>
      <c r="C4170" t="s">
        <v>67</v>
      </c>
      <c r="D4170" t="s">
        <v>67</v>
      </c>
      <c r="E4170" t="s">
        <v>67</v>
      </c>
      <c r="F4170" t="s">
        <v>27987</v>
      </c>
      <c r="G4170" s="117">
        <v>230.38</v>
      </c>
    </row>
    <row r="4171" spans="1:7" x14ac:dyDescent="0.25">
      <c r="A4171" s="116" t="s">
        <v>6457</v>
      </c>
      <c r="B4171" s="117" t="s">
        <v>6458</v>
      </c>
      <c r="C4171" t="s">
        <v>67</v>
      </c>
      <c r="D4171" t="s">
        <v>67</v>
      </c>
      <c r="E4171" t="s">
        <v>67</v>
      </c>
      <c r="F4171" t="s">
        <v>45</v>
      </c>
      <c r="G4171" s="117">
        <v>250.49</v>
      </c>
    </row>
    <row r="4172" spans="1:7" x14ac:dyDescent="0.25">
      <c r="A4172" s="116" t="s">
        <v>6459</v>
      </c>
      <c r="B4172" s="117" t="s">
        <v>6460</v>
      </c>
      <c r="C4172" t="s">
        <v>67</v>
      </c>
      <c r="D4172" t="s">
        <v>67</v>
      </c>
      <c r="E4172" t="s">
        <v>67</v>
      </c>
      <c r="F4172" t="s">
        <v>49</v>
      </c>
      <c r="G4172" s="117">
        <v>42.62</v>
      </c>
    </row>
    <row r="4173" spans="1:7" x14ac:dyDescent="0.25">
      <c r="A4173" s="116" t="s">
        <v>6461</v>
      </c>
      <c r="B4173" s="117" t="s">
        <v>6462</v>
      </c>
      <c r="C4173" t="s">
        <v>67</v>
      </c>
      <c r="D4173" t="s">
        <v>67</v>
      </c>
      <c r="E4173" t="s">
        <v>67</v>
      </c>
      <c r="F4173" t="s">
        <v>49</v>
      </c>
      <c r="G4173" s="117">
        <v>29.81</v>
      </c>
    </row>
    <row r="4174" spans="1:7" x14ac:dyDescent="0.25">
      <c r="A4174" s="116" t="s">
        <v>6463</v>
      </c>
      <c r="B4174" s="117" t="s">
        <v>6464</v>
      </c>
      <c r="C4174" t="s">
        <v>67</v>
      </c>
      <c r="D4174" t="s">
        <v>67</v>
      </c>
      <c r="E4174" t="s">
        <v>67</v>
      </c>
      <c r="F4174" t="s">
        <v>45</v>
      </c>
      <c r="G4174" s="117">
        <v>82.31</v>
      </c>
    </row>
    <row r="4175" spans="1:7" x14ac:dyDescent="0.25">
      <c r="A4175" s="116" t="s">
        <v>6465</v>
      </c>
      <c r="B4175" s="117" t="s">
        <v>6466</v>
      </c>
      <c r="C4175" t="s">
        <v>67</v>
      </c>
      <c r="D4175" t="s">
        <v>67</v>
      </c>
      <c r="E4175" t="s">
        <v>67</v>
      </c>
      <c r="F4175" t="s">
        <v>45</v>
      </c>
      <c r="G4175" s="117">
        <v>338.05</v>
      </c>
    </row>
    <row r="4176" spans="1:7" x14ac:dyDescent="0.25">
      <c r="A4176" s="116" t="s">
        <v>6467</v>
      </c>
      <c r="B4176" s="117" t="s">
        <v>6468</v>
      </c>
      <c r="C4176" t="s">
        <v>67</v>
      </c>
      <c r="D4176" t="s">
        <v>67</v>
      </c>
      <c r="E4176" t="s">
        <v>67</v>
      </c>
      <c r="F4176" t="s">
        <v>27987</v>
      </c>
      <c r="G4176" s="117">
        <v>23.94</v>
      </c>
    </row>
    <row r="4177" spans="1:7" x14ac:dyDescent="0.25">
      <c r="A4177" s="116" t="s">
        <v>6469</v>
      </c>
      <c r="B4177" s="117" t="s">
        <v>6470</v>
      </c>
      <c r="C4177" t="s">
        <v>67</v>
      </c>
      <c r="D4177" t="s">
        <v>67</v>
      </c>
      <c r="E4177" t="s">
        <v>67</v>
      </c>
      <c r="F4177" t="s">
        <v>27987</v>
      </c>
      <c r="G4177" s="117">
        <v>147.62</v>
      </c>
    </row>
    <row r="4178" spans="1:7" x14ac:dyDescent="0.25">
      <c r="A4178" s="116" t="s">
        <v>6471</v>
      </c>
      <c r="B4178" s="117" t="s">
        <v>6472</v>
      </c>
      <c r="C4178" t="s">
        <v>67</v>
      </c>
      <c r="D4178" t="s">
        <v>67</v>
      </c>
      <c r="E4178" t="s">
        <v>67</v>
      </c>
      <c r="F4178" t="s">
        <v>27987</v>
      </c>
      <c r="G4178" s="117">
        <v>21.26</v>
      </c>
    </row>
    <row r="4179" spans="1:7" x14ac:dyDescent="0.25">
      <c r="A4179" s="116" t="s">
        <v>6473</v>
      </c>
      <c r="B4179" s="117" t="s">
        <v>6474</v>
      </c>
      <c r="C4179" t="s">
        <v>67</v>
      </c>
      <c r="D4179" t="s">
        <v>67</v>
      </c>
      <c r="E4179" t="s">
        <v>67</v>
      </c>
      <c r="F4179" t="s">
        <v>27987</v>
      </c>
      <c r="G4179" s="117">
        <v>23.94</v>
      </c>
    </row>
    <row r="4180" spans="1:7" x14ac:dyDescent="0.25">
      <c r="A4180" s="116" t="s">
        <v>6475</v>
      </c>
      <c r="B4180" s="117" t="s">
        <v>6476</v>
      </c>
      <c r="C4180" t="s">
        <v>67</v>
      </c>
      <c r="D4180" t="s">
        <v>67</v>
      </c>
      <c r="E4180" t="s">
        <v>67</v>
      </c>
      <c r="F4180" t="s">
        <v>27987</v>
      </c>
      <c r="G4180" s="117">
        <v>35.5</v>
      </c>
    </row>
    <row r="4181" spans="1:7" x14ac:dyDescent="0.25">
      <c r="A4181" s="116" t="s">
        <v>27025</v>
      </c>
      <c r="B4181" s="117" t="s">
        <v>6101</v>
      </c>
      <c r="C4181" t="s">
        <v>67</v>
      </c>
      <c r="D4181" t="s">
        <v>67</v>
      </c>
      <c r="E4181" t="s">
        <v>67</v>
      </c>
      <c r="F4181" t="s">
        <v>45</v>
      </c>
      <c r="G4181" s="117">
        <v>39</v>
      </c>
    </row>
    <row r="4182" spans="1:7" x14ac:dyDescent="0.25">
      <c r="A4182" s="116" t="s">
        <v>6477</v>
      </c>
      <c r="B4182" s="117" t="s">
        <v>6478</v>
      </c>
      <c r="C4182" t="s">
        <v>67</v>
      </c>
      <c r="D4182" t="s">
        <v>67</v>
      </c>
      <c r="E4182" t="s">
        <v>67</v>
      </c>
      <c r="F4182" t="s">
        <v>45</v>
      </c>
      <c r="G4182" s="117">
        <v>42.62</v>
      </c>
    </row>
    <row r="4183" spans="1:7" x14ac:dyDescent="0.25">
      <c r="A4183" s="116" t="s">
        <v>6479</v>
      </c>
      <c r="B4183" s="117" t="s">
        <v>6480</v>
      </c>
      <c r="C4183" t="s">
        <v>67</v>
      </c>
      <c r="D4183" t="s">
        <v>67</v>
      </c>
      <c r="E4183" t="s">
        <v>67</v>
      </c>
      <c r="F4183" t="s">
        <v>27987</v>
      </c>
      <c r="G4183" s="117">
        <v>34.26</v>
      </c>
    </row>
    <row r="4184" spans="1:7" x14ac:dyDescent="0.25">
      <c r="A4184" s="116" t="s">
        <v>6481</v>
      </c>
      <c r="B4184" s="117" t="s">
        <v>6482</v>
      </c>
      <c r="C4184" t="s">
        <v>67</v>
      </c>
      <c r="D4184" t="s">
        <v>67</v>
      </c>
      <c r="E4184" t="s">
        <v>67</v>
      </c>
      <c r="F4184" t="s">
        <v>49</v>
      </c>
      <c r="G4184" s="117">
        <v>10.58</v>
      </c>
    </row>
    <row r="4185" spans="1:7" x14ac:dyDescent="0.25">
      <c r="A4185" s="116" t="s">
        <v>6483</v>
      </c>
      <c r="B4185" s="117" t="s">
        <v>6484</v>
      </c>
      <c r="C4185" t="s">
        <v>67</v>
      </c>
      <c r="D4185" t="s">
        <v>67</v>
      </c>
      <c r="E4185" t="s">
        <v>67</v>
      </c>
      <c r="F4185" t="s">
        <v>27987</v>
      </c>
      <c r="G4185" s="117">
        <v>26.25</v>
      </c>
    </row>
    <row r="4186" spans="1:7" x14ac:dyDescent="0.25">
      <c r="A4186" s="116" t="s">
        <v>6485</v>
      </c>
      <c r="B4186" s="117" t="s">
        <v>6486</v>
      </c>
      <c r="C4186" t="s">
        <v>67</v>
      </c>
      <c r="D4186" t="s">
        <v>67</v>
      </c>
      <c r="E4186" t="s">
        <v>67</v>
      </c>
      <c r="F4186" t="s">
        <v>27987</v>
      </c>
      <c r="G4186" s="117">
        <v>34.26</v>
      </c>
    </row>
    <row r="4187" spans="1:7" x14ac:dyDescent="0.25">
      <c r="A4187" s="116" t="s">
        <v>6487</v>
      </c>
      <c r="B4187" s="117" t="s">
        <v>6488</v>
      </c>
      <c r="C4187" t="s">
        <v>67</v>
      </c>
      <c r="D4187" t="s">
        <v>67</v>
      </c>
      <c r="E4187" t="s">
        <v>67</v>
      </c>
      <c r="F4187" t="s">
        <v>27987</v>
      </c>
      <c r="G4187" s="117">
        <v>4.8899999999999997</v>
      </c>
    </row>
    <row r="4188" spans="1:7" x14ac:dyDescent="0.25">
      <c r="A4188" s="116" t="s">
        <v>6489</v>
      </c>
      <c r="B4188" s="117" t="s">
        <v>6490</v>
      </c>
      <c r="C4188" t="s">
        <v>67</v>
      </c>
      <c r="D4188" t="s">
        <v>67</v>
      </c>
      <c r="E4188" t="s">
        <v>67</v>
      </c>
      <c r="F4188" t="s">
        <v>27987</v>
      </c>
      <c r="G4188" s="117">
        <v>47.61</v>
      </c>
    </row>
    <row r="4189" spans="1:7" x14ac:dyDescent="0.25">
      <c r="A4189" s="116" t="s">
        <v>6491</v>
      </c>
      <c r="B4189" s="117" t="s">
        <v>6492</v>
      </c>
      <c r="C4189" t="s">
        <v>67</v>
      </c>
      <c r="D4189" t="s">
        <v>67</v>
      </c>
      <c r="E4189" t="s">
        <v>67</v>
      </c>
      <c r="F4189" t="s">
        <v>27987</v>
      </c>
      <c r="G4189" s="117">
        <v>37.29</v>
      </c>
    </row>
    <row r="4190" spans="1:7" x14ac:dyDescent="0.25">
      <c r="A4190" s="116" t="s">
        <v>6493</v>
      </c>
      <c r="B4190" s="117" t="s">
        <v>6462</v>
      </c>
      <c r="C4190" t="s">
        <v>67</v>
      </c>
      <c r="D4190" t="s">
        <v>67</v>
      </c>
      <c r="E4190" t="s">
        <v>67</v>
      </c>
      <c r="F4190" t="s">
        <v>27987</v>
      </c>
      <c r="G4190" s="117">
        <v>26.25</v>
      </c>
    </row>
    <row r="4191" spans="1:7" x14ac:dyDescent="0.25">
      <c r="A4191" s="116" t="s">
        <v>6494</v>
      </c>
      <c r="B4191" s="117" t="s">
        <v>6495</v>
      </c>
      <c r="C4191" t="s">
        <v>67</v>
      </c>
      <c r="D4191" t="s">
        <v>67</v>
      </c>
      <c r="E4191" t="s">
        <v>67</v>
      </c>
      <c r="F4191" t="s">
        <v>27987</v>
      </c>
      <c r="G4191" s="117">
        <v>10.24</v>
      </c>
    </row>
    <row r="4192" spans="1:7" x14ac:dyDescent="0.25">
      <c r="A4192" s="116" t="s">
        <v>6496</v>
      </c>
      <c r="B4192" s="117" t="s">
        <v>6497</v>
      </c>
      <c r="C4192" t="s">
        <v>67</v>
      </c>
      <c r="D4192" t="s">
        <v>67</v>
      </c>
      <c r="E4192" t="s">
        <v>67</v>
      </c>
      <c r="F4192" t="s">
        <v>27987</v>
      </c>
      <c r="G4192" s="117">
        <v>22.16</v>
      </c>
    </row>
    <row r="4193" spans="1:7" x14ac:dyDescent="0.25">
      <c r="A4193" s="116" t="s">
        <v>6498</v>
      </c>
      <c r="B4193" s="117" t="s">
        <v>6499</v>
      </c>
      <c r="C4193" t="s">
        <v>67</v>
      </c>
      <c r="D4193" t="s">
        <v>67</v>
      </c>
      <c r="E4193" t="s">
        <v>67</v>
      </c>
      <c r="F4193" t="s">
        <v>27987</v>
      </c>
      <c r="G4193" s="117">
        <v>15.57</v>
      </c>
    </row>
    <row r="4194" spans="1:7" x14ac:dyDescent="0.25">
      <c r="A4194" s="116" t="s">
        <v>6500</v>
      </c>
      <c r="B4194" s="117" t="s">
        <v>6501</v>
      </c>
      <c r="C4194" t="s">
        <v>67</v>
      </c>
      <c r="D4194" t="s">
        <v>67</v>
      </c>
      <c r="E4194" t="s">
        <v>67</v>
      </c>
      <c r="F4194" t="s">
        <v>49</v>
      </c>
      <c r="G4194" s="117">
        <v>13.26</v>
      </c>
    </row>
    <row r="4195" spans="1:7" x14ac:dyDescent="0.25">
      <c r="A4195" s="116" t="s">
        <v>6502</v>
      </c>
      <c r="B4195" s="117" t="s">
        <v>6503</v>
      </c>
      <c r="C4195" t="s">
        <v>67</v>
      </c>
      <c r="D4195" t="s">
        <v>67</v>
      </c>
      <c r="E4195" t="s">
        <v>67</v>
      </c>
      <c r="F4195" t="s">
        <v>27987</v>
      </c>
      <c r="G4195" s="117">
        <v>75.55</v>
      </c>
    </row>
    <row r="4196" spans="1:7" x14ac:dyDescent="0.25">
      <c r="A4196" s="116" t="s">
        <v>6504</v>
      </c>
      <c r="B4196" s="117" t="s">
        <v>6505</v>
      </c>
      <c r="C4196" t="s">
        <v>67</v>
      </c>
      <c r="D4196" t="s">
        <v>67</v>
      </c>
      <c r="E4196" t="s">
        <v>67</v>
      </c>
      <c r="F4196" t="s">
        <v>27987</v>
      </c>
      <c r="G4196" s="117">
        <v>41.38</v>
      </c>
    </row>
    <row r="4197" spans="1:7" x14ac:dyDescent="0.25">
      <c r="A4197" s="116" t="s">
        <v>6506</v>
      </c>
      <c r="B4197" s="117" t="s">
        <v>6507</v>
      </c>
      <c r="C4197" t="s">
        <v>67</v>
      </c>
      <c r="D4197" t="s">
        <v>67</v>
      </c>
      <c r="E4197" t="s">
        <v>67</v>
      </c>
      <c r="F4197" t="s">
        <v>45</v>
      </c>
      <c r="G4197" s="117">
        <v>41.38</v>
      </c>
    </row>
    <row r="4198" spans="1:7" x14ac:dyDescent="0.25">
      <c r="A4198" s="116" t="s">
        <v>6508</v>
      </c>
      <c r="B4198" s="117" t="s">
        <v>6509</v>
      </c>
      <c r="C4198" t="s">
        <v>67</v>
      </c>
      <c r="D4198" t="s">
        <v>67</v>
      </c>
      <c r="E4198" t="s">
        <v>67</v>
      </c>
      <c r="F4198" t="s">
        <v>27987</v>
      </c>
      <c r="G4198" s="117">
        <v>88</v>
      </c>
    </row>
    <row r="4199" spans="1:7" x14ac:dyDescent="0.25">
      <c r="A4199" s="116" t="s">
        <v>6510</v>
      </c>
      <c r="B4199" s="117" t="s">
        <v>6509</v>
      </c>
      <c r="C4199" t="s">
        <v>67</v>
      </c>
      <c r="D4199" t="s">
        <v>67</v>
      </c>
      <c r="E4199" t="s">
        <v>67</v>
      </c>
      <c r="F4199" t="s">
        <v>27987</v>
      </c>
      <c r="G4199" s="117">
        <v>27.14</v>
      </c>
    </row>
    <row r="4200" spans="1:7" x14ac:dyDescent="0.25">
      <c r="A4200" s="116" t="s">
        <v>6511</v>
      </c>
      <c r="B4200" s="117" t="s">
        <v>6512</v>
      </c>
      <c r="C4200" t="s">
        <v>67</v>
      </c>
      <c r="D4200" t="s">
        <v>67</v>
      </c>
      <c r="E4200" t="s">
        <v>67</v>
      </c>
      <c r="F4200" t="s">
        <v>45</v>
      </c>
      <c r="G4200" s="117">
        <v>56.86</v>
      </c>
    </row>
    <row r="4201" spans="1:7" x14ac:dyDescent="0.25">
      <c r="A4201" s="116" t="s">
        <v>6513</v>
      </c>
      <c r="B4201" s="117" t="s">
        <v>3019</v>
      </c>
      <c r="C4201" t="s">
        <v>67</v>
      </c>
      <c r="D4201" t="s">
        <v>67</v>
      </c>
      <c r="E4201" t="s">
        <v>67</v>
      </c>
      <c r="F4201" t="s">
        <v>27987</v>
      </c>
      <c r="G4201" s="117">
        <v>14.14</v>
      </c>
    </row>
    <row r="4202" spans="1:7" x14ac:dyDescent="0.25">
      <c r="A4202" s="116" t="s">
        <v>27403</v>
      </c>
      <c r="B4202" s="117" t="s">
        <v>6514</v>
      </c>
      <c r="C4202" t="s">
        <v>67</v>
      </c>
      <c r="D4202" t="s">
        <v>67</v>
      </c>
      <c r="E4202" t="s">
        <v>67</v>
      </c>
      <c r="F4202" t="s">
        <v>45</v>
      </c>
      <c r="G4202" s="117">
        <v>59.18</v>
      </c>
    </row>
    <row r="4203" spans="1:7" x14ac:dyDescent="0.25">
      <c r="A4203" s="116" t="s">
        <v>6515</v>
      </c>
      <c r="B4203" s="117" t="s">
        <v>6516</v>
      </c>
      <c r="C4203" t="s">
        <v>67</v>
      </c>
      <c r="D4203" t="s">
        <v>67</v>
      </c>
      <c r="E4203" t="s">
        <v>67</v>
      </c>
      <c r="F4203" t="s">
        <v>27987</v>
      </c>
      <c r="G4203" s="117">
        <v>23.94</v>
      </c>
    </row>
    <row r="4204" spans="1:7" x14ac:dyDescent="0.25">
      <c r="A4204" s="116" t="s">
        <v>6517</v>
      </c>
      <c r="B4204" s="117" t="s">
        <v>6518</v>
      </c>
      <c r="C4204" t="s">
        <v>67</v>
      </c>
      <c r="D4204" t="s">
        <v>67</v>
      </c>
      <c r="E4204" t="s">
        <v>67</v>
      </c>
      <c r="F4204" t="s">
        <v>27987</v>
      </c>
      <c r="G4204" s="117">
        <v>42.62</v>
      </c>
    </row>
    <row r="4205" spans="1:7" x14ac:dyDescent="0.25">
      <c r="A4205" s="116" t="s">
        <v>6519</v>
      </c>
      <c r="B4205" s="117" t="s">
        <v>6520</v>
      </c>
      <c r="C4205" t="s">
        <v>67</v>
      </c>
      <c r="D4205" t="s">
        <v>67</v>
      </c>
      <c r="E4205" t="s">
        <v>67</v>
      </c>
      <c r="F4205" t="s">
        <v>49</v>
      </c>
      <c r="G4205" s="117">
        <v>65.680000000000007</v>
      </c>
    </row>
    <row r="4206" spans="1:7" x14ac:dyDescent="0.25">
      <c r="A4206" s="116" t="s">
        <v>6521</v>
      </c>
      <c r="B4206" s="117" t="s">
        <v>6522</v>
      </c>
      <c r="C4206" t="s">
        <v>67</v>
      </c>
      <c r="D4206" t="s">
        <v>67</v>
      </c>
      <c r="E4206" t="s">
        <v>67</v>
      </c>
      <c r="F4206" t="s">
        <v>45</v>
      </c>
      <c r="G4206" s="117">
        <v>224.14</v>
      </c>
    </row>
    <row r="4207" spans="1:7" x14ac:dyDescent="0.25">
      <c r="A4207" s="116" t="s">
        <v>6523</v>
      </c>
      <c r="B4207" s="117" t="s">
        <v>6524</v>
      </c>
      <c r="C4207" t="s">
        <v>67</v>
      </c>
      <c r="D4207" t="s">
        <v>67</v>
      </c>
      <c r="E4207" t="s">
        <v>67</v>
      </c>
      <c r="F4207" t="s">
        <v>27987</v>
      </c>
      <c r="G4207" s="117">
        <v>24.82</v>
      </c>
    </row>
    <row r="4208" spans="1:7" x14ac:dyDescent="0.25">
      <c r="A4208" s="116" t="s">
        <v>6525</v>
      </c>
      <c r="B4208" s="117" t="s">
        <v>6526</v>
      </c>
      <c r="C4208" t="s">
        <v>67</v>
      </c>
      <c r="D4208" t="s">
        <v>67</v>
      </c>
      <c r="E4208" t="s">
        <v>67</v>
      </c>
      <c r="F4208" t="s">
        <v>27987</v>
      </c>
      <c r="G4208" s="117">
        <v>17.7</v>
      </c>
    </row>
    <row r="4209" spans="1:7" x14ac:dyDescent="0.25">
      <c r="A4209" s="116" t="s">
        <v>6527</v>
      </c>
      <c r="B4209" s="117" t="s">
        <v>6528</v>
      </c>
      <c r="C4209" t="s">
        <v>67</v>
      </c>
      <c r="D4209" t="s">
        <v>67</v>
      </c>
      <c r="E4209" t="s">
        <v>67</v>
      </c>
      <c r="F4209" t="s">
        <v>27987</v>
      </c>
      <c r="G4209" s="117">
        <v>24.82</v>
      </c>
    </row>
    <row r="4210" spans="1:7" x14ac:dyDescent="0.25">
      <c r="A4210" s="116" t="s">
        <v>6529</v>
      </c>
      <c r="B4210" s="117" t="s">
        <v>6530</v>
      </c>
      <c r="C4210" t="s">
        <v>67</v>
      </c>
      <c r="D4210" t="s">
        <v>67</v>
      </c>
      <c r="E4210" t="s">
        <v>67</v>
      </c>
      <c r="F4210" t="s">
        <v>49</v>
      </c>
      <c r="G4210" s="117">
        <v>15.57</v>
      </c>
    </row>
    <row r="4211" spans="1:7" x14ac:dyDescent="0.25">
      <c r="A4211" s="116" t="s">
        <v>6531</v>
      </c>
      <c r="B4211" s="117" t="s">
        <v>6532</v>
      </c>
      <c r="C4211" t="s">
        <v>67</v>
      </c>
      <c r="D4211" t="s">
        <v>67</v>
      </c>
      <c r="E4211" t="s">
        <v>67</v>
      </c>
      <c r="F4211" t="s">
        <v>49</v>
      </c>
      <c r="G4211" s="117">
        <v>21.8</v>
      </c>
    </row>
    <row r="4212" spans="1:7" x14ac:dyDescent="0.25">
      <c r="A4212" s="116" t="s">
        <v>6533</v>
      </c>
      <c r="B4212" s="117" t="s">
        <v>6534</v>
      </c>
      <c r="C4212" t="s">
        <v>67</v>
      </c>
      <c r="D4212" t="s">
        <v>67</v>
      </c>
      <c r="E4212" t="s">
        <v>67</v>
      </c>
      <c r="F4212" t="s">
        <v>27987</v>
      </c>
      <c r="G4212" s="117">
        <v>23.94</v>
      </c>
    </row>
    <row r="4213" spans="1:7" x14ac:dyDescent="0.25">
      <c r="A4213" s="116" t="s">
        <v>6535</v>
      </c>
      <c r="B4213" s="117" t="s">
        <v>6536</v>
      </c>
      <c r="C4213" t="s">
        <v>67</v>
      </c>
      <c r="D4213" t="s">
        <v>67</v>
      </c>
      <c r="E4213" t="s">
        <v>67</v>
      </c>
      <c r="F4213" t="s">
        <v>45</v>
      </c>
      <c r="G4213" s="117">
        <v>22.69</v>
      </c>
    </row>
    <row r="4214" spans="1:7" x14ac:dyDescent="0.25">
      <c r="A4214" s="116" t="s">
        <v>6537</v>
      </c>
      <c r="B4214" s="117" t="s">
        <v>6538</v>
      </c>
      <c r="C4214" t="s">
        <v>67</v>
      </c>
      <c r="D4214" t="s">
        <v>67</v>
      </c>
      <c r="E4214" t="s">
        <v>67</v>
      </c>
      <c r="F4214" t="s">
        <v>27987</v>
      </c>
      <c r="G4214" s="117">
        <v>69.86</v>
      </c>
    </row>
    <row r="4215" spans="1:7" x14ac:dyDescent="0.25">
      <c r="A4215" s="116" t="s">
        <v>6539</v>
      </c>
      <c r="B4215" s="117" t="s">
        <v>6540</v>
      </c>
      <c r="C4215" t="s">
        <v>67</v>
      </c>
      <c r="D4215" t="s">
        <v>67</v>
      </c>
      <c r="E4215" t="s">
        <v>67</v>
      </c>
      <c r="F4215" t="s">
        <v>49</v>
      </c>
      <c r="G4215" s="117">
        <v>9.6999999999999993</v>
      </c>
    </row>
    <row r="4216" spans="1:7" x14ac:dyDescent="0.25">
      <c r="A4216" s="116" t="s">
        <v>6541</v>
      </c>
      <c r="B4216" s="117" t="s">
        <v>6542</v>
      </c>
      <c r="C4216" t="s">
        <v>67</v>
      </c>
      <c r="D4216" t="s">
        <v>67</v>
      </c>
      <c r="E4216" t="s">
        <v>67</v>
      </c>
      <c r="F4216" t="s">
        <v>49</v>
      </c>
      <c r="G4216" s="117">
        <v>17.7</v>
      </c>
    </row>
    <row r="4217" spans="1:7" x14ac:dyDescent="0.25">
      <c r="A4217" s="116" t="s">
        <v>6543</v>
      </c>
      <c r="B4217" s="117" t="s">
        <v>6544</v>
      </c>
      <c r="C4217" t="s">
        <v>67</v>
      </c>
      <c r="D4217" t="s">
        <v>67</v>
      </c>
      <c r="E4217" t="s">
        <v>67</v>
      </c>
      <c r="F4217" t="s">
        <v>27987</v>
      </c>
      <c r="G4217" s="117">
        <v>82.67</v>
      </c>
    </row>
    <row r="4218" spans="1:7" x14ac:dyDescent="0.25">
      <c r="A4218" s="116" t="s">
        <v>28690</v>
      </c>
      <c r="B4218" s="117" t="s">
        <v>30779</v>
      </c>
      <c r="C4218" t="s">
        <v>67</v>
      </c>
      <c r="D4218" t="s">
        <v>67</v>
      </c>
      <c r="E4218" t="s">
        <v>67</v>
      </c>
      <c r="F4218" t="s">
        <v>45</v>
      </c>
      <c r="G4218" s="117">
        <v>0</v>
      </c>
    </row>
    <row r="4219" spans="1:7" x14ac:dyDescent="0.25">
      <c r="A4219" s="116" t="s">
        <v>28691</v>
      </c>
      <c r="B4219" s="117" t="s">
        <v>28692</v>
      </c>
      <c r="C4219" t="s">
        <v>67</v>
      </c>
      <c r="D4219" t="s">
        <v>67</v>
      </c>
      <c r="E4219" t="s">
        <v>67</v>
      </c>
      <c r="F4219" t="s">
        <v>45</v>
      </c>
      <c r="G4219" s="117">
        <v>0</v>
      </c>
    </row>
    <row r="4220" spans="1:7" x14ac:dyDescent="0.25">
      <c r="A4220" s="116" t="s">
        <v>6545</v>
      </c>
      <c r="B4220" s="117" t="s">
        <v>6546</v>
      </c>
      <c r="C4220" t="s">
        <v>67</v>
      </c>
      <c r="D4220" t="s">
        <v>67</v>
      </c>
      <c r="E4220" t="s">
        <v>67</v>
      </c>
      <c r="F4220" t="s">
        <v>27987</v>
      </c>
      <c r="G4220" s="117">
        <v>93.35</v>
      </c>
    </row>
    <row r="4221" spans="1:7" x14ac:dyDescent="0.25">
      <c r="A4221" s="116" t="s">
        <v>6547</v>
      </c>
      <c r="B4221" s="117" t="s">
        <v>6548</v>
      </c>
      <c r="C4221" t="s">
        <v>67</v>
      </c>
      <c r="D4221" t="s">
        <v>67</v>
      </c>
      <c r="E4221" t="s">
        <v>67</v>
      </c>
      <c r="F4221" t="s">
        <v>27987</v>
      </c>
      <c r="G4221" s="117">
        <v>33.369999999999997</v>
      </c>
    </row>
    <row r="4222" spans="1:7" x14ac:dyDescent="0.25">
      <c r="A4222" s="116" t="s">
        <v>6549</v>
      </c>
      <c r="B4222" s="117" t="s">
        <v>6550</v>
      </c>
      <c r="C4222" t="s">
        <v>67</v>
      </c>
      <c r="D4222" t="s">
        <v>67</v>
      </c>
      <c r="E4222" t="s">
        <v>67</v>
      </c>
      <c r="F4222" t="s">
        <v>27987</v>
      </c>
      <c r="G4222" s="117">
        <v>276.64</v>
      </c>
    </row>
    <row r="4223" spans="1:7" x14ac:dyDescent="0.25">
      <c r="A4223" s="116" t="s">
        <v>6551</v>
      </c>
      <c r="B4223" s="117" t="s">
        <v>6552</v>
      </c>
      <c r="C4223" t="s">
        <v>67</v>
      </c>
      <c r="D4223" t="s">
        <v>67</v>
      </c>
      <c r="E4223" t="s">
        <v>67</v>
      </c>
      <c r="F4223" t="s">
        <v>45</v>
      </c>
      <c r="G4223" s="117">
        <v>460.49</v>
      </c>
    </row>
    <row r="4224" spans="1:7" x14ac:dyDescent="0.25">
      <c r="A4224" s="116" t="s">
        <v>6553</v>
      </c>
      <c r="B4224" s="117" t="s">
        <v>6554</v>
      </c>
      <c r="C4224" t="s">
        <v>67</v>
      </c>
      <c r="D4224" t="s">
        <v>67</v>
      </c>
      <c r="E4224" t="s">
        <v>67</v>
      </c>
      <c r="F4224" t="s">
        <v>27987</v>
      </c>
      <c r="G4224" s="117">
        <v>125.02</v>
      </c>
    </row>
    <row r="4225" spans="1:7" x14ac:dyDescent="0.25">
      <c r="A4225" s="116" t="s">
        <v>6555</v>
      </c>
      <c r="B4225" s="117" t="s">
        <v>6556</v>
      </c>
      <c r="C4225" t="s">
        <v>67</v>
      </c>
      <c r="D4225" t="s">
        <v>67</v>
      </c>
      <c r="E4225" t="s">
        <v>67</v>
      </c>
      <c r="F4225" t="s">
        <v>27987</v>
      </c>
      <c r="G4225" s="117">
        <v>49.38</v>
      </c>
    </row>
    <row r="4226" spans="1:7" x14ac:dyDescent="0.25">
      <c r="A4226" s="116" t="s">
        <v>6557</v>
      </c>
      <c r="B4226" s="117" t="s">
        <v>6558</v>
      </c>
      <c r="C4226" t="s">
        <v>67</v>
      </c>
      <c r="D4226" t="s">
        <v>67</v>
      </c>
      <c r="E4226" t="s">
        <v>67</v>
      </c>
      <c r="F4226" t="s">
        <v>27987</v>
      </c>
      <c r="G4226" s="117">
        <v>115.58</v>
      </c>
    </row>
    <row r="4227" spans="1:7" x14ac:dyDescent="0.25">
      <c r="A4227" s="116" t="s">
        <v>6559</v>
      </c>
      <c r="B4227" s="117" t="s">
        <v>6560</v>
      </c>
      <c r="C4227" t="s">
        <v>67</v>
      </c>
      <c r="D4227" t="s">
        <v>67</v>
      </c>
      <c r="E4227" t="s">
        <v>67</v>
      </c>
      <c r="F4227" t="s">
        <v>49</v>
      </c>
      <c r="G4227" s="117">
        <v>11.57</v>
      </c>
    </row>
    <row r="4228" spans="1:7" x14ac:dyDescent="0.25">
      <c r="A4228" s="116" t="s">
        <v>6561</v>
      </c>
      <c r="B4228" s="117" t="s">
        <v>6562</v>
      </c>
      <c r="C4228" t="s">
        <v>67</v>
      </c>
      <c r="D4228" t="s">
        <v>67</v>
      </c>
      <c r="E4228" t="s">
        <v>67</v>
      </c>
      <c r="F4228" t="s">
        <v>27987</v>
      </c>
      <c r="G4228" s="117">
        <v>12.37</v>
      </c>
    </row>
    <row r="4229" spans="1:7" x14ac:dyDescent="0.25">
      <c r="A4229" s="116" t="s">
        <v>6563</v>
      </c>
      <c r="B4229" s="117" t="s">
        <v>6564</v>
      </c>
      <c r="C4229" t="s">
        <v>67</v>
      </c>
      <c r="D4229" t="s">
        <v>67</v>
      </c>
      <c r="E4229" t="s">
        <v>67</v>
      </c>
      <c r="F4229" t="s">
        <v>27987</v>
      </c>
      <c r="G4229" s="117">
        <v>46.71</v>
      </c>
    </row>
    <row r="4230" spans="1:7" x14ac:dyDescent="0.25">
      <c r="A4230" s="116" t="s">
        <v>6565</v>
      </c>
      <c r="B4230" s="117" t="s">
        <v>6566</v>
      </c>
      <c r="C4230" t="s">
        <v>67</v>
      </c>
      <c r="D4230" t="s">
        <v>67</v>
      </c>
      <c r="E4230" t="s">
        <v>67</v>
      </c>
      <c r="F4230" t="s">
        <v>27987</v>
      </c>
      <c r="G4230" s="117">
        <v>88.54</v>
      </c>
    </row>
    <row r="4231" spans="1:7" x14ac:dyDescent="0.25">
      <c r="A4231" s="116" t="s">
        <v>28057</v>
      </c>
      <c r="B4231" s="117" t="s">
        <v>28058</v>
      </c>
      <c r="C4231" t="s">
        <v>67</v>
      </c>
      <c r="D4231" t="s">
        <v>67</v>
      </c>
      <c r="E4231" t="s">
        <v>67</v>
      </c>
      <c r="F4231" t="s">
        <v>27987</v>
      </c>
      <c r="G4231" s="117">
        <v>41</v>
      </c>
    </row>
    <row r="4232" spans="1:7" x14ac:dyDescent="0.25">
      <c r="A4232" s="116" t="s">
        <v>6567</v>
      </c>
      <c r="B4232" s="117" t="s">
        <v>6568</v>
      </c>
      <c r="C4232" t="s">
        <v>67</v>
      </c>
      <c r="D4232" t="s">
        <v>67</v>
      </c>
      <c r="E4232" t="s">
        <v>67</v>
      </c>
      <c r="F4232" t="s">
        <v>27987</v>
      </c>
      <c r="G4232" s="117">
        <v>24.82</v>
      </c>
    </row>
    <row r="4233" spans="1:7" x14ac:dyDescent="0.25">
      <c r="A4233" s="116" t="s">
        <v>6569</v>
      </c>
      <c r="B4233" s="117" t="s">
        <v>6570</v>
      </c>
      <c r="C4233" t="s">
        <v>67</v>
      </c>
      <c r="D4233" t="s">
        <v>67</v>
      </c>
      <c r="E4233" t="s">
        <v>67</v>
      </c>
      <c r="F4233" t="s">
        <v>27987</v>
      </c>
      <c r="G4233" s="117">
        <v>168.98</v>
      </c>
    </row>
    <row r="4234" spans="1:7" x14ac:dyDescent="0.25">
      <c r="A4234" s="116" t="s">
        <v>6571</v>
      </c>
      <c r="B4234" s="117" t="s">
        <v>6499</v>
      </c>
      <c r="C4234" t="s">
        <v>67</v>
      </c>
      <c r="D4234" t="s">
        <v>67</v>
      </c>
      <c r="E4234" t="s">
        <v>67</v>
      </c>
      <c r="F4234" t="s">
        <v>27987</v>
      </c>
      <c r="G4234" s="117">
        <v>17.36</v>
      </c>
    </row>
    <row r="4235" spans="1:7" x14ac:dyDescent="0.25">
      <c r="A4235" s="116" t="s">
        <v>6572</v>
      </c>
      <c r="B4235" s="117" t="s">
        <v>6573</v>
      </c>
      <c r="C4235" t="s">
        <v>67</v>
      </c>
      <c r="D4235" t="s">
        <v>67</v>
      </c>
      <c r="E4235" t="s">
        <v>67</v>
      </c>
      <c r="F4235" t="s">
        <v>45</v>
      </c>
      <c r="G4235" s="117">
        <v>12.9</v>
      </c>
    </row>
    <row r="4236" spans="1:7" x14ac:dyDescent="0.25">
      <c r="A4236" s="116" t="s">
        <v>6574</v>
      </c>
      <c r="B4236" s="117" t="s">
        <v>6575</v>
      </c>
      <c r="C4236" t="s">
        <v>67</v>
      </c>
      <c r="D4236" t="s">
        <v>67</v>
      </c>
      <c r="E4236" t="s">
        <v>67</v>
      </c>
      <c r="F4236" t="s">
        <v>27987</v>
      </c>
      <c r="G4236" s="117">
        <v>15.57</v>
      </c>
    </row>
    <row r="4237" spans="1:7" x14ac:dyDescent="0.25">
      <c r="A4237" s="116" t="s">
        <v>6576</v>
      </c>
      <c r="B4237" s="117" t="s">
        <v>6577</v>
      </c>
      <c r="C4237" t="s">
        <v>67</v>
      </c>
      <c r="D4237" t="s">
        <v>67</v>
      </c>
      <c r="E4237" t="s">
        <v>67</v>
      </c>
      <c r="F4237" t="s">
        <v>27987</v>
      </c>
      <c r="G4237" s="117">
        <v>10</v>
      </c>
    </row>
    <row r="4238" spans="1:7" x14ac:dyDescent="0.25">
      <c r="A4238" s="116" t="s">
        <v>6578</v>
      </c>
      <c r="B4238" s="117" t="s">
        <v>6579</v>
      </c>
      <c r="C4238" t="s">
        <v>67</v>
      </c>
      <c r="D4238" t="s">
        <v>67</v>
      </c>
      <c r="E4238" t="s">
        <v>67</v>
      </c>
      <c r="F4238" t="s">
        <v>27987</v>
      </c>
      <c r="G4238" s="117">
        <v>26.19</v>
      </c>
    </row>
    <row r="4239" spans="1:7" x14ac:dyDescent="0.25">
      <c r="A4239" s="116" t="s">
        <v>6580</v>
      </c>
      <c r="B4239" s="117" t="s">
        <v>6581</v>
      </c>
      <c r="C4239" t="s">
        <v>67</v>
      </c>
      <c r="D4239" t="s">
        <v>67</v>
      </c>
      <c r="E4239" t="s">
        <v>67</v>
      </c>
      <c r="F4239" t="s">
        <v>51</v>
      </c>
      <c r="G4239" s="117">
        <v>7.02</v>
      </c>
    </row>
    <row r="4240" spans="1:7" x14ac:dyDescent="0.25">
      <c r="A4240" s="116" t="s">
        <v>6582</v>
      </c>
      <c r="B4240" s="117" t="s">
        <v>6583</v>
      </c>
      <c r="C4240" t="s">
        <v>67</v>
      </c>
      <c r="D4240" t="s">
        <v>67</v>
      </c>
      <c r="E4240" t="s">
        <v>67</v>
      </c>
      <c r="F4240" t="s">
        <v>49</v>
      </c>
      <c r="G4240" s="117">
        <v>14.14</v>
      </c>
    </row>
    <row r="4241" spans="1:7" x14ac:dyDescent="0.25">
      <c r="A4241" s="116" t="s">
        <v>6584</v>
      </c>
      <c r="B4241" s="117" t="s">
        <v>6585</v>
      </c>
      <c r="C4241" t="s">
        <v>67</v>
      </c>
      <c r="D4241" t="s">
        <v>67</v>
      </c>
      <c r="E4241" t="s">
        <v>67</v>
      </c>
      <c r="F4241" t="s">
        <v>27987</v>
      </c>
      <c r="G4241" s="117">
        <v>3.48</v>
      </c>
    </row>
    <row r="4242" spans="1:7" x14ac:dyDescent="0.25">
      <c r="A4242" s="116" t="s">
        <v>6586</v>
      </c>
      <c r="B4242" s="117" t="s">
        <v>6587</v>
      </c>
      <c r="C4242" t="s">
        <v>67</v>
      </c>
      <c r="D4242" t="s">
        <v>67</v>
      </c>
      <c r="E4242" t="s">
        <v>67</v>
      </c>
      <c r="F4242" t="s">
        <v>27987</v>
      </c>
      <c r="G4242" s="117">
        <v>10.58</v>
      </c>
    </row>
    <row r="4243" spans="1:7" x14ac:dyDescent="0.25">
      <c r="A4243" s="116" t="s">
        <v>6588</v>
      </c>
      <c r="B4243" s="117" t="s">
        <v>6589</v>
      </c>
      <c r="C4243" t="s">
        <v>67</v>
      </c>
      <c r="D4243" t="s">
        <v>67</v>
      </c>
      <c r="E4243" t="s">
        <v>67</v>
      </c>
      <c r="F4243" t="s">
        <v>27987</v>
      </c>
      <c r="G4243" s="117">
        <v>30.17</v>
      </c>
    </row>
    <row r="4244" spans="1:7" x14ac:dyDescent="0.25">
      <c r="A4244" s="116" t="s">
        <v>6590</v>
      </c>
      <c r="B4244" s="117" t="s">
        <v>6591</v>
      </c>
      <c r="C4244" t="s">
        <v>67</v>
      </c>
      <c r="D4244" t="s">
        <v>67</v>
      </c>
      <c r="E4244" t="s">
        <v>67</v>
      </c>
      <c r="F4244" t="s">
        <v>27987</v>
      </c>
      <c r="G4244" s="117">
        <v>22.69</v>
      </c>
    </row>
    <row r="4245" spans="1:7" x14ac:dyDescent="0.25">
      <c r="A4245" s="116" t="s">
        <v>6592</v>
      </c>
      <c r="B4245" s="117" t="s">
        <v>6593</v>
      </c>
      <c r="C4245" t="s">
        <v>67</v>
      </c>
      <c r="D4245" t="s">
        <v>67</v>
      </c>
      <c r="E4245" t="s">
        <v>67</v>
      </c>
      <c r="F4245" t="s">
        <v>49</v>
      </c>
      <c r="G4245" s="117">
        <v>15.04</v>
      </c>
    </row>
    <row r="4246" spans="1:7" x14ac:dyDescent="0.25">
      <c r="A4246" s="116" t="s">
        <v>6594</v>
      </c>
      <c r="B4246" s="117" t="s">
        <v>6595</v>
      </c>
      <c r="C4246" t="s">
        <v>67</v>
      </c>
      <c r="D4246" t="s">
        <v>67</v>
      </c>
      <c r="E4246" t="s">
        <v>67</v>
      </c>
      <c r="F4246" t="s">
        <v>49</v>
      </c>
      <c r="G4246" s="117">
        <v>2.58</v>
      </c>
    </row>
    <row r="4247" spans="1:7" x14ac:dyDescent="0.25">
      <c r="A4247" s="116" t="s">
        <v>6596</v>
      </c>
      <c r="B4247" s="117" t="s">
        <v>6597</v>
      </c>
      <c r="C4247" t="s">
        <v>67</v>
      </c>
      <c r="D4247" t="s">
        <v>67</v>
      </c>
      <c r="E4247" t="s">
        <v>67</v>
      </c>
      <c r="F4247" t="s">
        <v>27987</v>
      </c>
      <c r="G4247" s="117">
        <v>1.33</v>
      </c>
    </row>
    <row r="4248" spans="1:7" x14ac:dyDescent="0.25">
      <c r="A4248" s="116" t="s">
        <v>6598</v>
      </c>
      <c r="B4248" s="117" t="s">
        <v>6599</v>
      </c>
      <c r="C4248" t="s">
        <v>67</v>
      </c>
      <c r="D4248" t="s">
        <v>67</v>
      </c>
      <c r="E4248" t="s">
        <v>67</v>
      </c>
      <c r="F4248" t="s">
        <v>27987</v>
      </c>
      <c r="G4248" s="117">
        <v>2.23</v>
      </c>
    </row>
    <row r="4249" spans="1:7" x14ac:dyDescent="0.25">
      <c r="A4249" s="116" t="s">
        <v>6600</v>
      </c>
      <c r="B4249" s="117" t="s">
        <v>6601</v>
      </c>
      <c r="C4249" t="s">
        <v>67</v>
      </c>
      <c r="D4249" t="s">
        <v>67</v>
      </c>
      <c r="E4249" t="s">
        <v>67</v>
      </c>
      <c r="F4249" t="s">
        <v>27987</v>
      </c>
      <c r="G4249" s="117">
        <v>6.68</v>
      </c>
    </row>
    <row r="4250" spans="1:7" x14ac:dyDescent="0.25">
      <c r="A4250" s="116" t="s">
        <v>6602</v>
      </c>
      <c r="B4250" s="117" t="s">
        <v>6603</v>
      </c>
      <c r="C4250" t="s">
        <v>67</v>
      </c>
      <c r="D4250" t="s">
        <v>67</v>
      </c>
      <c r="E4250" t="s">
        <v>67</v>
      </c>
      <c r="F4250" t="s">
        <v>27987</v>
      </c>
      <c r="G4250" s="117">
        <v>9.35</v>
      </c>
    </row>
    <row r="4251" spans="1:7" x14ac:dyDescent="0.25">
      <c r="A4251" s="116" t="s">
        <v>6604</v>
      </c>
      <c r="B4251" s="117" t="s">
        <v>6605</v>
      </c>
      <c r="C4251" t="s">
        <v>67</v>
      </c>
      <c r="D4251" t="s">
        <v>67</v>
      </c>
      <c r="E4251" t="s">
        <v>67</v>
      </c>
      <c r="F4251" t="s">
        <v>27987</v>
      </c>
      <c r="G4251" s="117">
        <v>4.3600000000000003</v>
      </c>
    </row>
    <row r="4252" spans="1:7" x14ac:dyDescent="0.25">
      <c r="A4252" s="116" t="s">
        <v>6606</v>
      </c>
      <c r="B4252" s="117" t="s">
        <v>6607</v>
      </c>
      <c r="C4252" t="s">
        <v>67</v>
      </c>
      <c r="D4252" t="s">
        <v>67</v>
      </c>
      <c r="E4252" t="s">
        <v>67</v>
      </c>
      <c r="F4252" t="s">
        <v>27987</v>
      </c>
      <c r="G4252" s="117">
        <v>6.14</v>
      </c>
    </row>
    <row r="4253" spans="1:7" x14ac:dyDescent="0.25">
      <c r="A4253" s="116" t="s">
        <v>6608</v>
      </c>
      <c r="B4253" s="117" t="s">
        <v>6609</v>
      </c>
      <c r="C4253" t="s">
        <v>67</v>
      </c>
      <c r="D4253" t="s">
        <v>67</v>
      </c>
      <c r="E4253" t="s">
        <v>67</v>
      </c>
      <c r="F4253" t="s">
        <v>27987</v>
      </c>
      <c r="G4253" s="117">
        <v>0.8</v>
      </c>
    </row>
    <row r="4254" spans="1:7" x14ac:dyDescent="0.25">
      <c r="A4254" s="116" t="s">
        <v>6610</v>
      </c>
      <c r="B4254" s="117" t="s">
        <v>6611</v>
      </c>
      <c r="C4254" t="s">
        <v>67</v>
      </c>
      <c r="D4254" t="s">
        <v>67</v>
      </c>
      <c r="E4254" t="s">
        <v>67</v>
      </c>
      <c r="F4254" t="s">
        <v>45</v>
      </c>
      <c r="G4254" s="117">
        <v>192.12</v>
      </c>
    </row>
    <row r="4255" spans="1:7" x14ac:dyDescent="0.25">
      <c r="A4255" s="116" t="s">
        <v>6612</v>
      </c>
      <c r="B4255" s="117" t="s">
        <v>6613</v>
      </c>
      <c r="C4255" t="s">
        <v>67</v>
      </c>
      <c r="D4255" t="s">
        <v>67</v>
      </c>
      <c r="E4255" t="s">
        <v>67</v>
      </c>
      <c r="F4255" t="s">
        <v>27987</v>
      </c>
      <c r="G4255" s="117">
        <v>12.37</v>
      </c>
    </row>
    <row r="4256" spans="1:7" x14ac:dyDescent="0.25">
      <c r="A4256" s="116" t="s">
        <v>6614</v>
      </c>
      <c r="B4256" s="117" t="s">
        <v>6615</v>
      </c>
      <c r="C4256" t="s">
        <v>67</v>
      </c>
      <c r="D4256" t="s">
        <v>67</v>
      </c>
      <c r="E4256" t="s">
        <v>67</v>
      </c>
      <c r="F4256" t="s">
        <v>27987</v>
      </c>
      <c r="G4256" s="117">
        <v>7.56</v>
      </c>
    </row>
    <row r="4257" spans="1:7" x14ac:dyDescent="0.25">
      <c r="A4257" s="116" t="s">
        <v>6616</v>
      </c>
      <c r="B4257" s="117" t="s">
        <v>6145</v>
      </c>
      <c r="C4257" t="s">
        <v>67</v>
      </c>
      <c r="D4257" t="s">
        <v>67</v>
      </c>
      <c r="E4257" t="s">
        <v>67</v>
      </c>
      <c r="F4257" t="s">
        <v>45</v>
      </c>
      <c r="G4257" s="117">
        <v>1.33</v>
      </c>
    </row>
    <row r="4258" spans="1:7" x14ac:dyDescent="0.25">
      <c r="A4258" s="116" t="s">
        <v>6617</v>
      </c>
      <c r="B4258" s="117" t="s">
        <v>6618</v>
      </c>
      <c r="C4258" t="s">
        <v>67</v>
      </c>
      <c r="D4258" t="s">
        <v>67</v>
      </c>
      <c r="E4258" t="s">
        <v>67</v>
      </c>
      <c r="F4258" t="s">
        <v>27987</v>
      </c>
      <c r="G4258" s="117">
        <v>1.69</v>
      </c>
    </row>
    <row r="4259" spans="1:7" x14ac:dyDescent="0.25">
      <c r="A4259" s="116" t="s">
        <v>6619</v>
      </c>
      <c r="B4259" s="117" t="s">
        <v>6620</v>
      </c>
      <c r="C4259" t="s">
        <v>67</v>
      </c>
      <c r="D4259" t="s">
        <v>67</v>
      </c>
      <c r="E4259" t="s">
        <v>67</v>
      </c>
      <c r="F4259" t="s">
        <v>27987</v>
      </c>
      <c r="G4259" s="117">
        <v>16.46</v>
      </c>
    </row>
    <row r="4260" spans="1:7" x14ac:dyDescent="0.25">
      <c r="A4260" s="116" t="s">
        <v>6621</v>
      </c>
      <c r="B4260" s="117" t="s">
        <v>6622</v>
      </c>
      <c r="C4260" t="s">
        <v>67</v>
      </c>
      <c r="D4260" t="s">
        <v>67</v>
      </c>
      <c r="E4260" t="s">
        <v>67</v>
      </c>
      <c r="F4260" t="s">
        <v>27987</v>
      </c>
      <c r="G4260" s="117">
        <v>13.8</v>
      </c>
    </row>
    <row r="4261" spans="1:7" x14ac:dyDescent="0.25">
      <c r="A4261" s="116" t="s">
        <v>6623</v>
      </c>
      <c r="B4261" s="117" t="s">
        <v>6624</v>
      </c>
      <c r="C4261" t="s">
        <v>67</v>
      </c>
      <c r="D4261" t="s">
        <v>67</v>
      </c>
      <c r="E4261" t="s">
        <v>67</v>
      </c>
      <c r="F4261" t="s">
        <v>27987</v>
      </c>
      <c r="G4261" s="117">
        <v>15.04</v>
      </c>
    </row>
    <row r="4262" spans="1:7" x14ac:dyDescent="0.25">
      <c r="A4262" s="116" t="s">
        <v>6625</v>
      </c>
      <c r="B4262" s="117" t="s">
        <v>6626</v>
      </c>
      <c r="C4262" t="s">
        <v>67</v>
      </c>
      <c r="D4262" t="s">
        <v>67</v>
      </c>
      <c r="E4262" t="s">
        <v>67</v>
      </c>
      <c r="F4262" t="s">
        <v>27987</v>
      </c>
      <c r="G4262" s="117">
        <v>12.37</v>
      </c>
    </row>
    <row r="4263" spans="1:7" x14ac:dyDescent="0.25">
      <c r="A4263" s="116" t="s">
        <v>6627</v>
      </c>
      <c r="B4263" s="117" t="s">
        <v>6628</v>
      </c>
      <c r="C4263" t="s">
        <v>67</v>
      </c>
      <c r="D4263" t="s">
        <v>67</v>
      </c>
      <c r="E4263" t="s">
        <v>67</v>
      </c>
      <c r="F4263" t="s">
        <v>27987</v>
      </c>
      <c r="G4263" s="117">
        <v>48.86</v>
      </c>
    </row>
    <row r="4264" spans="1:7" x14ac:dyDescent="0.25">
      <c r="A4264" s="116" t="s">
        <v>6629</v>
      </c>
      <c r="B4264" s="117" t="s">
        <v>6577</v>
      </c>
      <c r="C4264" t="s">
        <v>67</v>
      </c>
      <c r="D4264" t="s">
        <v>67</v>
      </c>
      <c r="E4264" t="s">
        <v>67</v>
      </c>
      <c r="F4264" t="s">
        <v>27987</v>
      </c>
      <c r="G4264" s="117">
        <v>14.94</v>
      </c>
    </row>
    <row r="4265" spans="1:7" x14ac:dyDescent="0.25">
      <c r="A4265" s="116" t="s">
        <v>6630</v>
      </c>
      <c r="B4265" s="117" t="s">
        <v>6631</v>
      </c>
      <c r="C4265" t="s">
        <v>67</v>
      </c>
      <c r="D4265" t="s">
        <v>67</v>
      </c>
      <c r="E4265" t="s">
        <v>67</v>
      </c>
      <c r="F4265" t="s">
        <v>27987</v>
      </c>
      <c r="G4265" s="117">
        <v>21.26</v>
      </c>
    </row>
    <row r="4266" spans="1:7" x14ac:dyDescent="0.25">
      <c r="A4266" s="116" t="s">
        <v>6632</v>
      </c>
      <c r="B4266" s="117" t="s">
        <v>6633</v>
      </c>
      <c r="C4266" t="s">
        <v>67</v>
      </c>
      <c r="D4266" t="s">
        <v>67</v>
      </c>
      <c r="E4266" t="s">
        <v>67</v>
      </c>
      <c r="F4266" t="s">
        <v>27987</v>
      </c>
      <c r="G4266" s="117">
        <v>6.14</v>
      </c>
    </row>
    <row r="4267" spans="1:7" x14ac:dyDescent="0.25">
      <c r="A4267" s="116" t="s">
        <v>6634</v>
      </c>
      <c r="B4267" s="117" t="s">
        <v>6635</v>
      </c>
      <c r="C4267" t="s">
        <v>67</v>
      </c>
      <c r="D4267" t="s">
        <v>67</v>
      </c>
      <c r="E4267" t="s">
        <v>67</v>
      </c>
      <c r="F4267" t="s">
        <v>27987</v>
      </c>
      <c r="G4267" s="117">
        <v>52.06</v>
      </c>
    </row>
    <row r="4268" spans="1:7" x14ac:dyDescent="0.25">
      <c r="A4268" s="116" t="s">
        <v>6636</v>
      </c>
      <c r="B4268" s="117" t="s">
        <v>6637</v>
      </c>
      <c r="C4268" t="s">
        <v>67</v>
      </c>
      <c r="D4268" t="s">
        <v>67</v>
      </c>
      <c r="E4268" t="s">
        <v>67</v>
      </c>
      <c r="F4268" t="s">
        <v>27987</v>
      </c>
      <c r="G4268" s="117">
        <v>7.12</v>
      </c>
    </row>
    <row r="4269" spans="1:7" x14ac:dyDescent="0.25">
      <c r="A4269" s="116" t="s">
        <v>6638</v>
      </c>
      <c r="B4269" s="117" t="s">
        <v>6639</v>
      </c>
      <c r="C4269" t="s">
        <v>67</v>
      </c>
      <c r="D4269" t="s">
        <v>67</v>
      </c>
      <c r="E4269" t="s">
        <v>67</v>
      </c>
      <c r="F4269" t="s">
        <v>27987</v>
      </c>
      <c r="G4269" s="117">
        <v>21.26</v>
      </c>
    </row>
    <row r="4270" spans="1:7" x14ac:dyDescent="0.25">
      <c r="A4270" s="116" t="s">
        <v>6640</v>
      </c>
      <c r="B4270" s="117" t="s">
        <v>6641</v>
      </c>
      <c r="C4270" t="s">
        <v>67</v>
      </c>
      <c r="D4270" t="s">
        <v>67</v>
      </c>
      <c r="E4270" t="s">
        <v>67</v>
      </c>
      <c r="F4270" t="s">
        <v>27987</v>
      </c>
      <c r="G4270" s="117">
        <v>17.36</v>
      </c>
    </row>
    <row r="4271" spans="1:7" x14ac:dyDescent="0.25">
      <c r="A4271" s="116" t="s">
        <v>6642</v>
      </c>
      <c r="B4271" s="117" t="s">
        <v>6643</v>
      </c>
      <c r="C4271" t="s">
        <v>67</v>
      </c>
      <c r="D4271" t="s">
        <v>67</v>
      </c>
      <c r="E4271" t="s">
        <v>67</v>
      </c>
      <c r="F4271" t="s">
        <v>49</v>
      </c>
      <c r="G4271" s="117">
        <v>12.45</v>
      </c>
    </row>
    <row r="4272" spans="1:7" x14ac:dyDescent="0.25">
      <c r="A4272" s="116" t="s">
        <v>6644</v>
      </c>
      <c r="B4272" s="117" t="s">
        <v>6645</v>
      </c>
      <c r="C4272" t="s">
        <v>67</v>
      </c>
      <c r="D4272" t="s">
        <v>67</v>
      </c>
      <c r="E4272" t="s">
        <v>67</v>
      </c>
      <c r="F4272" t="s">
        <v>27987</v>
      </c>
      <c r="G4272" s="117">
        <v>14.14</v>
      </c>
    </row>
    <row r="4273" spans="1:7" x14ac:dyDescent="0.25">
      <c r="A4273" s="116" t="s">
        <v>6646</v>
      </c>
      <c r="B4273" s="117" t="s">
        <v>6647</v>
      </c>
      <c r="C4273" t="s">
        <v>67</v>
      </c>
      <c r="D4273" t="s">
        <v>67</v>
      </c>
      <c r="E4273" t="s">
        <v>67</v>
      </c>
      <c r="F4273" t="s">
        <v>27987</v>
      </c>
      <c r="G4273" s="117">
        <v>14.14</v>
      </c>
    </row>
    <row r="4274" spans="1:7" x14ac:dyDescent="0.25">
      <c r="A4274" s="116" t="s">
        <v>6648</v>
      </c>
      <c r="B4274" s="117" t="s">
        <v>6649</v>
      </c>
      <c r="C4274" t="s">
        <v>67</v>
      </c>
      <c r="D4274" t="s">
        <v>67</v>
      </c>
      <c r="E4274" t="s">
        <v>67</v>
      </c>
      <c r="F4274" t="s">
        <v>27987</v>
      </c>
      <c r="G4274" s="117">
        <v>16.95</v>
      </c>
    </row>
    <row r="4275" spans="1:7" x14ac:dyDescent="0.25">
      <c r="A4275" s="116" t="s">
        <v>6650</v>
      </c>
      <c r="B4275" s="117" t="s">
        <v>6651</v>
      </c>
      <c r="C4275" t="s">
        <v>67</v>
      </c>
      <c r="D4275" t="s">
        <v>67</v>
      </c>
      <c r="E4275" t="s">
        <v>67</v>
      </c>
      <c r="F4275" t="s">
        <v>27987</v>
      </c>
      <c r="G4275" s="117">
        <v>9.7899999999999991</v>
      </c>
    </row>
    <row r="4276" spans="1:7" x14ac:dyDescent="0.25">
      <c r="A4276" s="116" t="s">
        <v>6652</v>
      </c>
      <c r="B4276" s="117" t="s">
        <v>6653</v>
      </c>
      <c r="C4276" t="s">
        <v>67</v>
      </c>
      <c r="D4276" t="s">
        <v>67</v>
      </c>
      <c r="E4276" t="s">
        <v>67</v>
      </c>
      <c r="F4276" t="s">
        <v>27987</v>
      </c>
      <c r="G4276" s="117">
        <v>13.26</v>
      </c>
    </row>
    <row r="4277" spans="1:7" x14ac:dyDescent="0.25">
      <c r="A4277" s="116" t="s">
        <v>6654</v>
      </c>
      <c r="B4277" s="117" t="s">
        <v>6655</v>
      </c>
      <c r="C4277" t="s">
        <v>67</v>
      </c>
      <c r="D4277" t="s">
        <v>67</v>
      </c>
      <c r="E4277" t="s">
        <v>67</v>
      </c>
      <c r="F4277" t="s">
        <v>27987</v>
      </c>
      <c r="G4277" s="117">
        <v>33.369999999999997</v>
      </c>
    </row>
    <row r="4278" spans="1:7" x14ac:dyDescent="0.25">
      <c r="A4278" s="116" t="s">
        <v>6656</v>
      </c>
      <c r="B4278" s="117" t="s">
        <v>6657</v>
      </c>
      <c r="C4278" t="s">
        <v>67</v>
      </c>
      <c r="D4278" t="s">
        <v>67</v>
      </c>
      <c r="E4278" t="s">
        <v>67</v>
      </c>
      <c r="F4278" t="s">
        <v>27987</v>
      </c>
      <c r="G4278" s="117">
        <v>42.62</v>
      </c>
    </row>
    <row r="4279" spans="1:7" x14ac:dyDescent="0.25">
      <c r="A4279" s="116" t="s">
        <v>6658</v>
      </c>
      <c r="B4279" s="117" t="s">
        <v>6659</v>
      </c>
      <c r="C4279" t="s">
        <v>67</v>
      </c>
      <c r="D4279" t="s">
        <v>67</v>
      </c>
      <c r="E4279" t="s">
        <v>67</v>
      </c>
      <c r="F4279" t="s">
        <v>45</v>
      </c>
      <c r="G4279" s="117">
        <v>19.13</v>
      </c>
    </row>
    <row r="4280" spans="1:7" x14ac:dyDescent="0.25">
      <c r="A4280" s="116" t="s">
        <v>6660</v>
      </c>
      <c r="B4280" s="117" t="s">
        <v>6657</v>
      </c>
      <c r="C4280" t="s">
        <v>67</v>
      </c>
      <c r="D4280" t="s">
        <v>67</v>
      </c>
      <c r="E4280" t="s">
        <v>67</v>
      </c>
      <c r="F4280" t="s">
        <v>27987</v>
      </c>
      <c r="G4280" s="117">
        <v>31.94</v>
      </c>
    </row>
    <row r="4281" spans="1:7" x14ac:dyDescent="0.25">
      <c r="A4281" s="116" t="s">
        <v>6661</v>
      </c>
      <c r="B4281" s="117" t="s">
        <v>6662</v>
      </c>
      <c r="C4281" t="s">
        <v>67</v>
      </c>
      <c r="D4281" t="s">
        <v>67</v>
      </c>
      <c r="E4281" t="s">
        <v>67</v>
      </c>
      <c r="F4281" t="s">
        <v>27987</v>
      </c>
      <c r="G4281" s="117">
        <v>39.06</v>
      </c>
    </row>
    <row r="4282" spans="1:7" x14ac:dyDescent="0.25">
      <c r="A4282" s="116" t="s">
        <v>6663</v>
      </c>
      <c r="B4282" s="117" t="s">
        <v>6664</v>
      </c>
      <c r="C4282" t="s">
        <v>67</v>
      </c>
      <c r="D4282" t="s">
        <v>67</v>
      </c>
      <c r="E4282" t="s">
        <v>67</v>
      </c>
      <c r="F4282" t="s">
        <v>49</v>
      </c>
      <c r="G4282" s="117">
        <v>10.24</v>
      </c>
    </row>
    <row r="4283" spans="1:7" x14ac:dyDescent="0.25">
      <c r="A4283" s="116" t="s">
        <v>6665</v>
      </c>
      <c r="B4283" s="117" t="s">
        <v>6666</v>
      </c>
      <c r="C4283" t="s">
        <v>67</v>
      </c>
      <c r="D4283" t="s">
        <v>67</v>
      </c>
      <c r="E4283" t="s">
        <v>67</v>
      </c>
      <c r="F4283" t="s">
        <v>27987</v>
      </c>
      <c r="G4283" s="117">
        <v>27.14</v>
      </c>
    </row>
    <row r="4284" spans="1:7" x14ac:dyDescent="0.25">
      <c r="A4284" s="116" t="s">
        <v>6667</v>
      </c>
      <c r="B4284" s="117" t="s">
        <v>6668</v>
      </c>
      <c r="C4284" t="s">
        <v>67</v>
      </c>
      <c r="D4284" t="s">
        <v>67</v>
      </c>
      <c r="E4284" t="s">
        <v>67</v>
      </c>
      <c r="F4284" t="s">
        <v>51</v>
      </c>
      <c r="G4284" s="117">
        <v>5.25</v>
      </c>
    </row>
    <row r="4285" spans="1:7" x14ac:dyDescent="0.25">
      <c r="A4285" s="116" t="s">
        <v>6669</v>
      </c>
      <c r="B4285" s="117" t="s">
        <v>6670</v>
      </c>
      <c r="C4285" t="s">
        <v>67</v>
      </c>
      <c r="D4285" t="s">
        <v>67</v>
      </c>
      <c r="E4285" t="s">
        <v>67</v>
      </c>
      <c r="F4285" t="s">
        <v>27987</v>
      </c>
      <c r="G4285" s="117">
        <v>30.17</v>
      </c>
    </row>
    <row r="4286" spans="1:7" x14ac:dyDescent="0.25">
      <c r="A4286" s="116" t="s">
        <v>6671</v>
      </c>
      <c r="B4286" s="117" t="s">
        <v>6672</v>
      </c>
      <c r="C4286" t="s">
        <v>67</v>
      </c>
      <c r="D4286" t="s">
        <v>67</v>
      </c>
      <c r="E4286" t="s">
        <v>67</v>
      </c>
      <c r="F4286" t="s">
        <v>27987</v>
      </c>
      <c r="G4286" s="117">
        <v>17.36</v>
      </c>
    </row>
    <row r="4287" spans="1:7" x14ac:dyDescent="0.25">
      <c r="A4287" s="116" t="s">
        <v>6673</v>
      </c>
      <c r="B4287" s="117" t="s">
        <v>6674</v>
      </c>
      <c r="C4287" t="s">
        <v>67</v>
      </c>
      <c r="D4287" t="s">
        <v>67</v>
      </c>
      <c r="E4287" t="s">
        <v>67</v>
      </c>
      <c r="F4287" t="s">
        <v>27987</v>
      </c>
      <c r="G4287" s="117">
        <v>12.01</v>
      </c>
    </row>
    <row r="4288" spans="1:7" x14ac:dyDescent="0.25">
      <c r="A4288" s="116" t="s">
        <v>6675</v>
      </c>
      <c r="B4288" s="117" t="s">
        <v>6676</v>
      </c>
      <c r="C4288" t="s">
        <v>67</v>
      </c>
      <c r="D4288" t="s">
        <v>67</v>
      </c>
      <c r="E4288" t="s">
        <v>67</v>
      </c>
      <c r="F4288" t="s">
        <v>45</v>
      </c>
      <c r="G4288" s="117">
        <v>125.38</v>
      </c>
    </row>
    <row r="4289" spans="1:7" x14ac:dyDescent="0.25">
      <c r="A4289" s="116" t="s">
        <v>6677</v>
      </c>
      <c r="B4289" s="117" t="s">
        <v>6678</v>
      </c>
      <c r="C4289" t="s">
        <v>67</v>
      </c>
      <c r="D4289" t="s">
        <v>67</v>
      </c>
      <c r="E4289" t="s">
        <v>67</v>
      </c>
      <c r="F4289" t="s">
        <v>45</v>
      </c>
      <c r="G4289" s="117">
        <v>5.25</v>
      </c>
    </row>
    <row r="4290" spans="1:7" x14ac:dyDescent="0.25">
      <c r="A4290" s="116" t="s">
        <v>6679</v>
      </c>
      <c r="B4290" s="117" t="s">
        <v>6680</v>
      </c>
      <c r="C4290" t="s">
        <v>67</v>
      </c>
      <c r="D4290" t="s">
        <v>67</v>
      </c>
      <c r="E4290" t="s">
        <v>67</v>
      </c>
      <c r="F4290" t="s">
        <v>45</v>
      </c>
      <c r="G4290" s="117">
        <v>30.08</v>
      </c>
    </row>
    <row r="4291" spans="1:7" x14ac:dyDescent="0.25">
      <c r="A4291" s="116" t="s">
        <v>6681</v>
      </c>
      <c r="B4291" s="117" t="s">
        <v>6448</v>
      </c>
      <c r="C4291" t="s">
        <v>67</v>
      </c>
      <c r="D4291" t="s">
        <v>67</v>
      </c>
      <c r="E4291" t="s">
        <v>67</v>
      </c>
      <c r="F4291" t="s">
        <v>49</v>
      </c>
      <c r="G4291" s="117">
        <v>73.760000000000005</v>
      </c>
    </row>
    <row r="4292" spans="1:7" x14ac:dyDescent="0.25">
      <c r="A4292" s="116" t="s">
        <v>6682</v>
      </c>
      <c r="B4292" s="117" t="s">
        <v>6683</v>
      </c>
      <c r="C4292" t="s">
        <v>67</v>
      </c>
      <c r="D4292" t="s">
        <v>67</v>
      </c>
      <c r="E4292" t="s">
        <v>67</v>
      </c>
      <c r="F4292" t="s">
        <v>49</v>
      </c>
      <c r="G4292" s="117">
        <v>29.81</v>
      </c>
    </row>
    <row r="4293" spans="1:7" x14ac:dyDescent="0.25">
      <c r="A4293" s="116" t="s">
        <v>6684</v>
      </c>
      <c r="B4293" s="117" t="s">
        <v>6685</v>
      </c>
      <c r="C4293" t="s">
        <v>67</v>
      </c>
      <c r="D4293" t="s">
        <v>67</v>
      </c>
      <c r="E4293" t="s">
        <v>67</v>
      </c>
      <c r="F4293" t="s">
        <v>27987</v>
      </c>
      <c r="G4293" s="117">
        <v>59.18</v>
      </c>
    </row>
    <row r="4294" spans="1:7" x14ac:dyDescent="0.25">
      <c r="A4294" s="116" t="s">
        <v>6686</v>
      </c>
      <c r="B4294" s="117" t="s">
        <v>6687</v>
      </c>
      <c r="C4294" t="s">
        <v>67</v>
      </c>
      <c r="D4294" t="s">
        <v>67</v>
      </c>
      <c r="E4294" t="s">
        <v>67</v>
      </c>
      <c r="F4294" t="s">
        <v>27987</v>
      </c>
      <c r="G4294" s="117">
        <v>2.23</v>
      </c>
    </row>
    <row r="4295" spans="1:7" x14ac:dyDescent="0.25">
      <c r="A4295" s="116" t="s">
        <v>6688</v>
      </c>
      <c r="B4295" s="117" t="s">
        <v>6689</v>
      </c>
      <c r="C4295" t="s">
        <v>67</v>
      </c>
      <c r="D4295" t="s">
        <v>67</v>
      </c>
      <c r="E4295" t="s">
        <v>67</v>
      </c>
      <c r="F4295" t="s">
        <v>27987</v>
      </c>
      <c r="G4295" s="117">
        <v>10.24</v>
      </c>
    </row>
    <row r="4296" spans="1:7" x14ac:dyDescent="0.25">
      <c r="A4296" s="116" t="s">
        <v>6690</v>
      </c>
      <c r="B4296" s="117" t="s">
        <v>6448</v>
      </c>
      <c r="C4296" t="s">
        <v>67</v>
      </c>
      <c r="D4296" t="s">
        <v>67</v>
      </c>
      <c r="E4296" t="s">
        <v>67</v>
      </c>
      <c r="F4296" t="s">
        <v>49</v>
      </c>
      <c r="G4296" s="117">
        <v>85.87</v>
      </c>
    </row>
    <row r="4297" spans="1:7" x14ac:dyDescent="0.25">
      <c r="A4297" s="116" t="s">
        <v>6691</v>
      </c>
      <c r="B4297" s="117" t="s">
        <v>6692</v>
      </c>
      <c r="C4297" t="s">
        <v>67</v>
      </c>
      <c r="D4297" t="s">
        <v>67</v>
      </c>
      <c r="E4297" t="s">
        <v>67</v>
      </c>
      <c r="F4297" t="s">
        <v>27987</v>
      </c>
      <c r="G4297" s="117">
        <v>10.58</v>
      </c>
    </row>
    <row r="4298" spans="1:7" x14ac:dyDescent="0.25">
      <c r="A4298" s="116" t="s">
        <v>6693</v>
      </c>
      <c r="B4298" s="117" t="s">
        <v>6694</v>
      </c>
      <c r="C4298" t="s">
        <v>67</v>
      </c>
      <c r="D4298" t="s">
        <v>67</v>
      </c>
      <c r="E4298" t="s">
        <v>67</v>
      </c>
      <c r="F4298" t="s">
        <v>45</v>
      </c>
      <c r="G4298" s="117">
        <v>47.53</v>
      </c>
    </row>
    <row r="4299" spans="1:7" x14ac:dyDescent="0.25">
      <c r="A4299" s="116" t="s">
        <v>6695</v>
      </c>
      <c r="B4299" s="117" t="s">
        <v>6696</v>
      </c>
      <c r="C4299" t="s">
        <v>67</v>
      </c>
      <c r="D4299" t="s">
        <v>67</v>
      </c>
      <c r="E4299" t="s">
        <v>67</v>
      </c>
      <c r="F4299" t="s">
        <v>45</v>
      </c>
      <c r="G4299" s="117">
        <v>48.5</v>
      </c>
    </row>
    <row r="4300" spans="1:7" x14ac:dyDescent="0.25">
      <c r="A4300" s="116" t="s">
        <v>6697</v>
      </c>
      <c r="B4300" s="117" t="s">
        <v>6698</v>
      </c>
      <c r="C4300" t="s">
        <v>67</v>
      </c>
      <c r="D4300" t="s">
        <v>67</v>
      </c>
      <c r="E4300" t="s">
        <v>67</v>
      </c>
      <c r="F4300" t="s">
        <v>27987</v>
      </c>
      <c r="G4300" s="117">
        <v>2.67</v>
      </c>
    </row>
    <row r="4301" spans="1:7" x14ac:dyDescent="0.25">
      <c r="A4301" s="116" t="s">
        <v>6699</v>
      </c>
      <c r="B4301" s="117" t="s">
        <v>6700</v>
      </c>
      <c r="C4301" t="s">
        <v>67</v>
      </c>
      <c r="D4301" t="s">
        <v>67</v>
      </c>
      <c r="E4301" t="s">
        <v>67</v>
      </c>
      <c r="F4301" t="s">
        <v>49</v>
      </c>
      <c r="G4301" s="117">
        <v>5.79</v>
      </c>
    </row>
    <row r="4302" spans="1:7" x14ac:dyDescent="0.25">
      <c r="A4302" s="116" t="s">
        <v>6701</v>
      </c>
      <c r="B4302" s="117" t="s">
        <v>6448</v>
      </c>
      <c r="C4302" t="s">
        <v>67</v>
      </c>
      <c r="D4302" t="s">
        <v>67</v>
      </c>
      <c r="E4302" t="s">
        <v>67</v>
      </c>
      <c r="F4302" t="s">
        <v>27987</v>
      </c>
      <c r="G4302" s="117">
        <v>17.36</v>
      </c>
    </row>
    <row r="4303" spans="1:7" x14ac:dyDescent="0.25">
      <c r="A4303" s="116" t="s">
        <v>6702</v>
      </c>
      <c r="B4303" s="117" t="s">
        <v>6703</v>
      </c>
      <c r="C4303" t="s">
        <v>67</v>
      </c>
      <c r="D4303" t="s">
        <v>67</v>
      </c>
      <c r="E4303" t="s">
        <v>67</v>
      </c>
      <c r="F4303" t="s">
        <v>27987</v>
      </c>
      <c r="G4303" s="117">
        <v>3.56</v>
      </c>
    </row>
    <row r="4304" spans="1:7" x14ac:dyDescent="0.25">
      <c r="A4304" s="116" t="s">
        <v>6704</v>
      </c>
      <c r="B4304" s="117" t="s">
        <v>2817</v>
      </c>
      <c r="C4304" t="s">
        <v>67</v>
      </c>
      <c r="D4304" t="s">
        <v>67</v>
      </c>
      <c r="E4304" t="s">
        <v>67</v>
      </c>
      <c r="F4304" t="s">
        <v>27987</v>
      </c>
      <c r="G4304" s="117">
        <v>11.48</v>
      </c>
    </row>
    <row r="4305" spans="1:7" x14ac:dyDescent="0.25">
      <c r="A4305" s="116" t="s">
        <v>6705</v>
      </c>
      <c r="B4305" s="117" t="s">
        <v>6706</v>
      </c>
      <c r="C4305" t="s">
        <v>67</v>
      </c>
      <c r="D4305" t="s">
        <v>67</v>
      </c>
      <c r="E4305" t="s">
        <v>67</v>
      </c>
      <c r="F4305" t="s">
        <v>27990</v>
      </c>
      <c r="G4305" s="117">
        <v>21.61</v>
      </c>
    </row>
    <row r="4306" spans="1:7" x14ac:dyDescent="0.25">
      <c r="A4306" s="116" t="s">
        <v>6707</v>
      </c>
      <c r="B4306" s="117" t="s">
        <v>6708</v>
      </c>
      <c r="C4306" t="s">
        <v>67</v>
      </c>
      <c r="D4306" t="s">
        <v>67</v>
      </c>
      <c r="E4306" t="s">
        <v>67</v>
      </c>
      <c r="F4306" t="s">
        <v>27987</v>
      </c>
      <c r="G4306" s="117">
        <v>23.94</v>
      </c>
    </row>
    <row r="4307" spans="1:7" x14ac:dyDescent="0.25">
      <c r="A4307" s="116" t="s">
        <v>6709</v>
      </c>
      <c r="B4307" s="117" t="s">
        <v>6710</v>
      </c>
      <c r="C4307" t="s">
        <v>67</v>
      </c>
      <c r="D4307" t="s">
        <v>67</v>
      </c>
      <c r="E4307" t="s">
        <v>67</v>
      </c>
      <c r="F4307" t="s">
        <v>49</v>
      </c>
      <c r="G4307" s="117">
        <v>15.93</v>
      </c>
    </row>
    <row r="4308" spans="1:7" x14ac:dyDescent="0.25">
      <c r="A4308" s="116" t="s">
        <v>28140</v>
      </c>
      <c r="B4308" s="117" t="s">
        <v>6444</v>
      </c>
      <c r="C4308" t="s">
        <v>67</v>
      </c>
      <c r="D4308" t="s">
        <v>67</v>
      </c>
      <c r="E4308" t="s">
        <v>67</v>
      </c>
      <c r="F4308" t="s">
        <v>27987</v>
      </c>
      <c r="G4308" s="117">
        <v>10</v>
      </c>
    </row>
    <row r="4309" spans="1:7" x14ac:dyDescent="0.25">
      <c r="A4309" s="116" t="s">
        <v>6711</v>
      </c>
      <c r="B4309" s="117" t="s">
        <v>6712</v>
      </c>
      <c r="C4309" t="s">
        <v>67</v>
      </c>
      <c r="D4309" t="s">
        <v>67</v>
      </c>
      <c r="E4309" t="s">
        <v>67</v>
      </c>
      <c r="F4309" t="s">
        <v>45</v>
      </c>
      <c r="G4309" s="117">
        <v>19.13</v>
      </c>
    </row>
    <row r="4310" spans="1:7" x14ac:dyDescent="0.25">
      <c r="A4310" s="116" t="s">
        <v>6713</v>
      </c>
      <c r="B4310" s="117" t="s">
        <v>6448</v>
      </c>
      <c r="C4310" t="s">
        <v>67</v>
      </c>
      <c r="D4310" t="s">
        <v>67</v>
      </c>
      <c r="E4310" t="s">
        <v>67</v>
      </c>
      <c r="F4310" t="s">
        <v>27987</v>
      </c>
      <c r="G4310" s="117">
        <v>59.18</v>
      </c>
    </row>
    <row r="4311" spans="1:7" x14ac:dyDescent="0.25">
      <c r="A4311" s="116" t="s">
        <v>6714</v>
      </c>
      <c r="B4311" s="117" t="s">
        <v>6657</v>
      </c>
      <c r="C4311" t="s">
        <v>67</v>
      </c>
      <c r="D4311" t="s">
        <v>67</v>
      </c>
      <c r="E4311" t="s">
        <v>67</v>
      </c>
      <c r="F4311" t="s">
        <v>27990</v>
      </c>
      <c r="G4311" s="117">
        <v>15.04</v>
      </c>
    </row>
    <row r="4312" spans="1:7" x14ac:dyDescent="0.25">
      <c r="A4312" s="116" t="s">
        <v>6715</v>
      </c>
      <c r="B4312" s="117" t="s">
        <v>6444</v>
      </c>
      <c r="C4312" t="s">
        <v>67</v>
      </c>
      <c r="D4312" t="s">
        <v>67</v>
      </c>
      <c r="E4312" t="s">
        <v>67</v>
      </c>
      <c r="F4312" t="s">
        <v>49</v>
      </c>
      <c r="G4312" s="117">
        <v>7.12</v>
      </c>
    </row>
    <row r="4313" spans="1:7" x14ac:dyDescent="0.25">
      <c r="A4313" s="116" t="s">
        <v>6716</v>
      </c>
      <c r="B4313" s="117" t="s">
        <v>6717</v>
      </c>
      <c r="C4313" t="s">
        <v>67</v>
      </c>
      <c r="D4313" t="s">
        <v>67</v>
      </c>
      <c r="E4313" t="s">
        <v>67</v>
      </c>
      <c r="F4313" t="s">
        <v>45</v>
      </c>
      <c r="G4313" s="117">
        <v>218.81</v>
      </c>
    </row>
    <row r="4314" spans="1:7" x14ac:dyDescent="0.25">
      <c r="A4314" s="116" t="s">
        <v>6718</v>
      </c>
      <c r="B4314" s="117" t="s">
        <v>6719</v>
      </c>
      <c r="C4314" t="s">
        <v>67</v>
      </c>
      <c r="D4314" t="s">
        <v>67</v>
      </c>
      <c r="E4314" t="s">
        <v>67</v>
      </c>
      <c r="F4314" t="s">
        <v>45</v>
      </c>
      <c r="G4314" s="117">
        <v>8.4499999999999993</v>
      </c>
    </row>
    <row r="4315" spans="1:7" x14ac:dyDescent="0.25">
      <c r="A4315" s="116" t="s">
        <v>6720</v>
      </c>
      <c r="B4315" s="117" t="s">
        <v>6721</v>
      </c>
      <c r="C4315" t="s">
        <v>67</v>
      </c>
      <c r="D4315" t="s">
        <v>67</v>
      </c>
      <c r="E4315" t="s">
        <v>67</v>
      </c>
      <c r="F4315" t="s">
        <v>45</v>
      </c>
      <c r="G4315" s="117">
        <v>6.14</v>
      </c>
    </row>
    <row r="4316" spans="1:7" x14ac:dyDescent="0.25">
      <c r="A4316" s="116" t="s">
        <v>6722</v>
      </c>
      <c r="B4316" s="117" t="s">
        <v>6723</v>
      </c>
      <c r="C4316" t="s">
        <v>67</v>
      </c>
      <c r="D4316" t="s">
        <v>67</v>
      </c>
      <c r="E4316" t="s">
        <v>67</v>
      </c>
      <c r="F4316" t="s">
        <v>27987</v>
      </c>
      <c r="G4316" s="117">
        <v>104.92</v>
      </c>
    </row>
    <row r="4317" spans="1:7" x14ac:dyDescent="0.25">
      <c r="A4317" s="116" t="s">
        <v>6724</v>
      </c>
      <c r="B4317" s="117" t="s">
        <v>6725</v>
      </c>
      <c r="C4317" t="s">
        <v>67</v>
      </c>
      <c r="D4317" t="s">
        <v>67</v>
      </c>
      <c r="E4317" t="s">
        <v>67</v>
      </c>
      <c r="F4317" t="s">
        <v>27987</v>
      </c>
      <c r="G4317" s="117">
        <v>121.82</v>
      </c>
    </row>
    <row r="4318" spans="1:7" x14ac:dyDescent="0.25">
      <c r="A4318" s="116" t="s">
        <v>6726</v>
      </c>
      <c r="B4318" s="117" t="s">
        <v>6727</v>
      </c>
      <c r="C4318" t="s">
        <v>67</v>
      </c>
      <c r="D4318" t="s">
        <v>67</v>
      </c>
      <c r="E4318" t="s">
        <v>67</v>
      </c>
      <c r="F4318" t="s">
        <v>45</v>
      </c>
      <c r="G4318" s="117">
        <v>0.8</v>
      </c>
    </row>
    <row r="4319" spans="1:7" x14ac:dyDescent="0.25">
      <c r="A4319" s="116" t="s">
        <v>6728</v>
      </c>
      <c r="B4319" s="117" t="s">
        <v>6729</v>
      </c>
      <c r="C4319" t="s">
        <v>67</v>
      </c>
      <c r="D4319" t="s">
        <v>67</v>
      </c>
      <c r="E4319" t="s">
        <v>67</v>
      </c>
      <c r="F4319" t="s">
        <v>45</v>
      </c>
      <c r="G4319" s="117">
        <v>10.58</v>
      </c>
    </row>
    <row r="4320" spans="1:7" x14ac:dyDescent="0.25">
      <c r="A4320" s="116" t="s">
        <v>6730</v>
      </c>
      <c r="B4320" s="117" t="s">
        <v>6731</v>
      </c>
      <c r="C4320" t="s">
        <v>67</v>
      </c>
      <c r="D4320" t="s">
        <v>67</v>
      </c>
      <c r="E4320" t="s">
        <v>67</v>
      </c>
      <c r="F4320" t="s">
        <v>27987</v>
      </c>
      <c r="G4320" s="117">
        <v>48.5</v>
      </c>
    </row>
    <row r="4321" spans="1:7" x14ac:dyDescent="0.25">
      <c r="A4321" s="116" t="s">
        <v>6732</v>
      </c>
      <c r="B4321" s="117" t="s">
        <v>6733</v>
      </c>
      <c r="C4321" t="s">
        <v>67</v>
      </c>
      <c r="D4321" t="s">
        <v>67</v>
      </c>
      <c r="E4321" t="s">
        <v>67</v>
      </c>
      <c r="F4321" t="s">
        <v>45</v>
      </c>
      <c r="G4321" s="117">
        <v>95.12</v>
      </c>
    </row>
    <row r="4322" spans="1:7" x14ac:dyDescent="0.25">
      <c r="A4322" s="116" t="s">
        <v>6734</v>
      </c>
      <c r="B4322" s="117" t="s">
        <v>6735</v>
      </c>
      <c r="C4322" t="s">
        <v>67</v>
      </c>
      <c r="D4322" t="s">
        <v>67</v>
      </c>
      <c r="E4322" t="s">
        <v>67</v>
      </c>
      <c r="F4322" t="s">
        <v>45</v>
      </c>
      <c r="G4322" s="117">
        <v>75.19</v>
      </c>
    </row>
    <row r="4323" spans="1:7" x14ac:dyDescent="0.25">
      <c r="A4323" s="116" t="s">
        <v>6736</v>
      </c>
      <c r="B4323" s="117" t="s">
        <v>6737</v>
      </c>
      <c r="C4323" t="s">
        <v>67</v>
      </c>
      <c r="D4323" t="s">
        <v>67</v>
      </c>
      <c r="E4323" t="s">
        <v>67</v>
      </c>
      <c r="F4323" t="s">
        <v>27987</v>
      </c>
      <c r="G4323" s="117">
        <v>51.17</v>
      </c>
    </row>
    <row r="4324" spans="1:7" x14ac:dyDescent="0.25">
      <c r="A4324" s="116" t="s">
        <v>6738</v>
      </c>
      <c r="B4324" s="117" t="s">
        <v>6739</v>
      </c>
      <c r="C4324" t="s">
        <v>67</v>
      </c>
      <c r="D4324" t="s">
        <v>67</v>
      </c>
      <c r="E4324" t="s">
        <v>67</v>
      </c>
      <c r="F4324" t="s">
        <v>27987</v>
      </c>
      <c r="G4324" s="117">
        <v>75.55</v>
      </c>
    </row>
    <row r="4325" spans="1:7" x14ac:dyDescent="0.25">
      <c r="A4325" s="116" t="s">
        <v>6740</v>
      </c>
      <c r="B4325" s="117" t="s">
        <v>6741</v>
      </c>
      <c r="C4325" t="s">
        <v>67</v>
      </c>
      <c r="D4325" t="s">
        <v>67</v>
      </c>
      <c r="E4325" t="s">
        <v>67</v>
      </c>
      <c r="F4325" t="s">
        <v>27987</v>
      </c>
      <c r="G4325" s="117">
        <v>75.55</v>
      </c>
    </row>
    <row r="4326" spans="1:7" x14ac:dyDescent="0.25">
      <c r="A4326" s="116" t="s">
        <v>6742</v>
      </c>
      <c r="B4326" s="117" t="s">
        <v>6743</v>
      </c>
      <c r="C4326" t="s">
        <v>67</v>
      </c>
      <c r="D4326" t="s">
        <v>67</v>
      </c>
      <c r="E4326" t="s">
        <v>67</v>
      </c>
      <c r="F4326" t="s">
        <v>45</v>
      </c>
      <c r="G4326" s="117">
        <v>75.55</v>
      </c>
    </row>
    <row r="4327" spans="1:7" x14ac:dyDescent="0.25">
      <c r="A4327" s="116" t="s">
        <v>6744</v>
      </c>
      <c r="B4327" s="117" t="s">
        <v>6564</v>
      </c>
      <c r="C4327" t="s">
        <v>67</v>
      </c>
      <c r="D4327" t="s">
        <v>67</v>
      </c>
      <c r="E4327" t="s">
        <v>67</v>
      </c>
      <c r="F4327" t="s">
        <v>27987</v>
      </c>
      <c r="G4327" s="117">
        <v>16.82</v>
      </c>
    </row>
    <row r="4328" spans="1:7" x14ac:dyDescent="0.25">
      <c r="A4328" s="116" t="s">
        <v>6745</v>
      </c>
      <c r="B4328" s="117" t="s">
        <v>6746</v>
      </c>
      <c r="C4328" t="s">
        <v>67</v>
      </c>
      <c r="D4328" t="s">
        <v>67</v>
      </c>
      <c r="E4328" t="s">
        <v>67</v>
      </c>
      <c r="F4328" t="s">
        <v>27987</v>
      </c>
      <c r="G4328" s="117">
        <v>16.82</v>
      </c>
    </row>
    <row r="4329" spans="1:7" x14ac:dyDescent="0.25">
      <c r="A4329" s="116" t="s">
        <v>6747</v>
      </c>
      <c r="B4329" s="117" t="s">
        <v>6748</v>
      </c>
      <c r="C4329" t="s">
        <v>67</v>
      </c>
      <c r="D4329" t="s">
        <v>67</v>
      </c>
      <c r="E4329" t="s">
        <v>67</v>
      </c>
      <c r="F4329" t="s">
        <v>45</v>
      </c>
      <c r="G4329" s="117">
        <v>141.38999999999999</v>
      </c>
    </row>
    <row r="4330" spans="1:7" x14ac:dyDescent="0.25">
      <c r="A4330" s="116" t="s">
        <v>6749</v>
      </c>
      <c r="B4330" s="117" t="s">
        <v>6750</v>
      </c>
      <c r="C4330" t="s">
        <v>67</v>
      </c>
      <c r="D4330" t="s">
        <v>67</v>
      </c>
      <c r="E4330" t="s">
        <v>67</v>
      </c>
      <c r="F4330" t="s">
        <v>27987</v>
      </c>
      <c r="G4330" s="117">
        <v>147.62</v>
      </c>
    </row>
    <row r="4331" spans="1:7" x14ac:dyDescent="0.25">
      <c r="A4331" s="116" t="s">
        <v>6751</v>
      </c>
      <c r="B4331" s="117" t="s">
        <v>6752</v>
      </c>
      <c r="C4331" t="s">
        <v>67</v>
      </c>
      <c r="D4331" t="s">
        <v>67</v>
      </c>
      <c r="E4331" t="s">
        <v>67</v>
      </c>
      <c r="F4331" t="s">
        <v>45</v>
      </c>
      <c r="G4331" s="117">
        <v>15.04</v>
      </c>
    </row>
    <row r="4332" spans="1:7" x14ac:dyDescent="0.25">
      <c r="A4332" s="116" t="s">
        <v>6753</v>
      </c>
      <c r="B4332" s="117" t="s">
        <v>6754</v>
      </c>
      <c r="C4332" t="s">
        <v>67</v>
      </c>
      <c r="D4332" t="s">
        <v>67</v>
      </c>
      <c r="E4332" t="s">
        <v>67</v>
      </c>
      <c r="F4332" t="s">
        <v>49</v>
      </c>
      <c r="G4332" s="117">
        <v>20.38</v>
      </c>
    </row>
    <row r="4333" spans="1:7" x14ac:dyDescent="0.25">
      <c r="A4333" s="116" t="s">
        <v>6755</v>
      </c>
      <c r="B4333" s="117" t="s">
        <v>6756</v>
      </c>
      <c r="C4333" t="s">
        <v>67</v>
      </c>
      <c r="D4333" t="s">
        <v>67</v>
      </c>
      <c r="E4333" t="s">
        <v>67</v>
      </c>
      <c r="F4333" t="s">
        <v>27987</v>
      </c>
      <c r="G4333" s="117">
        <v>50.63</v>
      </c>
    </row>
    <row r="4334" spans="1:7" x14ac:dyDescent="0.25">
      <c r="A4334" s="116" t="s">
        <v>6757</v>
      </c>
      <c r="B4334" s="117" t="s">
        <v>6758</v>
      </c>
      <c r="C4334" t="s">
        <v>67</v>
      </c>
      <c r="D4334" t="s">
        <v>67</v>
      </c>
      <c r="E4334" t="s">
        <v>67</v>
      </c>
      <c r="F4334" t="s">
        <v>49</v>
      </c>
      <c r="G4334" s="117">
        <v>21.26</v>
      </c>
    </row>
    <row r="4335" spans="1:7" x14ac:dyDescent="0.25">
      <c r="A4335" s="116" t="s">
        <v>6759</v>
      </c>
      <c r="B4335" s="117" t="s">
        <v>6760</v>
      </c>
      <c r="C4335" t="s">
        <v>67</v>
      </c>
      <c r="D4335" t="s">
        <v>67</v>
      </c>
      <c r="E4335" t="s">
        <v>67</v>
      </c>
      <c r="F4335" t="s">
        <v>27987</v>
      </c>
      <c r="G4335" s="117">
        <v>51.52</v>
      </c>
    </row>
    <row r="4336" spans="1:7" x14ac:dyDescent="0.25">
      <c r="A4336" s="116" t="s">
        <v>6761</v>
      </c>
      <c r="B4336" s="117" t="s">
        <v>6762</v>
      </c>
      <c r="C4336" t="s">
        <v>67</v>
      </c>
      <c r="D4336" t="s">
        <v>67</v>
      </c>
      <c r="E4336" t="s">
        <v>67</v>
      </c>
      <c r="F4336" t="s">
        <v>49</v>
      </c>
      <c r="G4336" s="117">
        <v>48.78</v>
      </c>
    </row>
    <row r="4337" spans="1:7" x14ac:dyDescent="0.25">
      <c r="A4337" s="116" t="s">
        <v>6763</v>
      </c>
      <c r="B4337" s="117" t="s">
        <v>6929</v>
      </c>
      <c r="C4337" t="s">
        <v>67</v>
      </c>
      <c r="D4337" t="s">
        <v>67</v>
      </c>
      <c r="E4337" t="s">
        <v>67</v>
      </c>
      <c r="F4337" t="s">
        <v>27987</v>
      </c>
      <c r="G4337" s="117">
        <v>40.49</v>
      </c>
    </row>
    <row r="4338" spans="1:7" x14ac:dyDescent="0.25">
      <c r="A4338" s="116" t="s">
        <v>6764</v>
      </c>
      <c r="B4338" s="117" t="s">
        <v>6765</v>
      </c>
      <c r="C4338" t="s">
        <v>67</v>
      </c>
      <c r="D4338" t="s">
        <v>67</v>
      </c>
      <c r="E4338" t="s">
        <v>67</v>
      </c>
      <c r="F4338" t="s">
        <v>49</v>
      </c>
      <c r="G4338" s="117">
        <v>21.26</v>
      </c>
    </row>
    <row r="4339" spans="1:7" x14ac:dyDescent="0.25">
      <c r="A4339" s="116" t="s">
        <v>6766</v>
      </c>
      <c r="B4339" s="117" t="s">
        <v>6767</v>
      </c>
      <c r="C4339" t="s">
        <v>67</v>
      </c>
      <c r="D4339" t="s">
        <v>67</v>
      </c>
      <c r="E4339" t="s">
        <v>67</v>
      </c>
      <c r="F4339" t="s">
        <v>51</v>
      </c>
      <c r="G4339" s="117">
        <v>4</v>
      </c>
    </row>
    <row r="4340" spans="1:7" x14ac:dyDescent="0.25">
      <c r="A4340" s="116" t="s">
        <v>6768</v>
      </c>
      <c r="B4340" s="117" t="s">
        <v>6769</v>
      </c>
      <c r="C4340" t="s">
        <v>67</v>
      </c>
      <c r="D4340" t="s">
        <v>67</v>
      </c>
      <c r="E4340" t="s">
        <v>67</v>
      </c>
      <c r="F4340" t="s">
        <v>27987</v>
      </c>
      <c r="G4340" s="117">
        <v>55.98</v>
      </c>
    </row>
    <row r="4341" spans="1:7" x14ac:dyDescent="0.25">
      <c r="A4341" s="116" t="s">
        <v>6770</v>
      </c>
      <c r="B4341" s="117" t="s">
        <v>6771</v>
      </c>
      <c r="C4341" t="s">
        <v>67</v>
      </c>
      <c r="D4341" t="s">
        <v>67</v>
      </c>
      <c r="E4341" t="s">
        <v>67</v>
      </c>
      <c r="F4341" t="s">
        <v>27987</v>
      </c>
      <c r="G4341" s="117">
        <v>19.13</v>
      </c>
    </row>
    <row r="4342" spans="1:7" x14ac:dyDescent="0.25">
      <c r="A4342" s="116" t="s">
        <v>6772</v>
      </c>
      <c r="B4342" s="117" t="s">
        <v>6773</v>
      </c>
      <c r="C4342" t="s">
        <v>67</v>
      </c>
      <c r="D4342" t="s">
        <v>67</v>
      </c>
      <c r="E4342" t="s">
        <v>67</v>
      </c>
      <c r="F4342" t="s">
        <v>45</v>
      </c>
      <c r="G4342" s="117">
        <v>62.2</v>
      </c>
    </row>
    <row r="4343" spans="1:7" x14ac:dyDescent="0.25">
      <c r="A4343" s="116" t="s">
        <v>6774</v>
      </c>
      <c r="B4343" s="117" t="s">
        <v>6775</v>
      </c>
      <c r="C4343" t="s">
        <v>67</v>
      </c>
      <c r="D4343" t="s">
        <v>67</v>
      </c>
      <c r="E4343" t="s">
        <v>67</v>
      </c>
      <c r="F4343" t="s">
        <v>27987</v>
      </c>
      <c r="G4343" s="117">
        <v>42.26</v>
      </c>
    </row>
    <row r="4344" spans="1:7" x14ac:dyDescent="0.25">
      <c r="A4344" s="116" t="s">
        <v>6776</v>
      </c>
      <c r="B4344" s="117" t="s">
        <v>6631</v>
      </c>
      <c r="C4344" t="s">
        <v>67</v>
      </c>
      <c r="D4344" t="s">
        <v>67</v>
      </c>
      <c r="E4344" t="s">
        <v>67</v>
      </c>
      <c r="F4344" t="s">
        <v>45</v>
      </c>
      <c r="G4344" s="117">
        <v>19.13</v>
      </c>
    </row>
    <row r="4345" spans="1:7" x14ac:dyDescent="0.25">
      <c r="A4345" s="116" t="s">
        <v>6777</v>
      </c>
      <c r="B4345" s="117" t="s">
        <v>6778</v>
      </c>
      <c r="C4345" t="s">
        <v>67</v>
      </c>
      <c r="D4345" t="s">
        <v>67</v>
      </c>
      <c r="E4345" t="s">
        <v>67</v>
      </c>
      <c r="F4345" t="s">
        <v>27987</v>
      </c>
      <c r="G4345" s="117">
        <v>127.69</v>
      </c>
    </row>
    <row r="4346" spans="1:7" x14ac:dyDescent="0.25">
      <c r="A4346" s="116" t="s">
        <v>6779</v>
      </c>
      <c r="B4346" s="117" t="s">
        <v>6780</v>
      </c>
      <c r="C4346" t="s">
        <v>67</v>
      </c>
      <c r="D4346" t="s">
        <v>67</v>
      </c>
      <c r="E4346" t="s">
        <v>67</v>
      </c>
      <c r="F4346" t="s">
        <v>45</v>
      </c>
      <c r="G4346" s="117">
        <v>209.75</v>
      </c>
    </row>
    <row r="4347" spans="1:7" x14ac:dyDescent="0.25">
      <c r="A4347" s="116" t="s">
        <v>6781</v>
      </c>
      <c r="B4347" s="117" t="s">
        <v>6782</v>
      </c>
      <c r="C4347" t="s">
        <v>67</v>
      </c>
      <c r="D4347" t="s">
        <v>67</v>
      </c>
      <c r="E4347" t="s">
        <v>67</v>
      </c>
      <c r="F4347" t="s">
        <v>49</v>
      </c>
      <c r="G4347" s="117">
        <v>156.16999999999999</v>
      </c>
    </row>
    <row r="4348" spans="1:7" x14ac:dyDescent="0.25">
      <c r="A4348" s="116" t="s">
        <v>6783</v>
      </c>
      <c r="B4348" s="117" t="s">
        <v>6564</v>
      </c>
      <c r="C4348" t="s">
        <v>67</v>
      </c>
      <c r="D4348" t="s">
        <v>67</v>
      </c>
      <c r="E4348" t="s">
        <v>67</v>
      </c>
      <c r="F4348" t="s">
        <v>49</v>
      </c>
      <c r="G4348" s="117">
        <v>23.94</v>
      </c>
    </row>
    <row r="4349" spans="1:7" x14ac:dyDescent="0.25">
      <c r="A4349" s="116" t="s">
        <v>6784</v>
      </c>
      <c r="B4349" s="117" t="s">
        <v>6785</v>
      </c>
      <c r="C4349" t="s">
        <v>67</v>
      </c>
      <c r="D4349" t="s">
        <v>67</v>
      </c>
      <c r="E4349" t="s">
        <v>67</v>
      </c>
      <c r="F4349" t="s">
        <v>49</v>
      </c>
      <c r="G4349" s="117">
        <v>53.3</v>
      </c>
    </row>
    <row r="4350" spans="1:7" x14ac:dyDescent="0.25">
      <c r="A4350" s="116" t="s">
        <v>6786</v>
      </c>
      <c r="B4350" s="117" t="s">
        <v>6787</v>
      </c>
      <c r="C4350" t="s">
        <v>67</v>
      </c>
      <c r="D4350" t="s">
        <v>67</v>
      </c>
      <c r="E4350" t="s">
        <v>67</v>
      </c>
      <c r="F4350" t="s">
        <v>45</v>
      </c>
      <c r="G4350" s="117">
        <v>15.04</v>
      </c>
    </row>
    <row r="4351" spans="1:7" x14ac:dyDescent="0.25">
      <c r="A4351" s="116" t="s">
        <v>6788</v>
      </c>
      <c r="B4351" s="117" t="s">
        <v>6789</v>
      </c>
      <c r="C4351" t="s">
        <v>67</v>
      </c>
      <c r="D4351" t="s">
        <v>67</v>
      </c>
      <c r="E4351" t="s">
        <v>67</v>
      </c>
      <c r="F4351" t="s">
        <v>27987</v>
      </c>
      <c r="G4351" s="117">
        <v>47.61</v>
      </c>
    </row>
    <row r="4352" spans="1:7" x14ac:dyDescent="0.25">
      <c r="A4352" s="116" t="s">
        <v>6790</v>
      </c>
      <c r="B4352" s="117" t="s">
        <v>6564</v>
      </c>
      <c r="C4352" t="s">
        <v>67</v>
      </c>
      <c r="D4352" t="s">
        <v>67</v>
      </c>
      <c r="E4352" t="s">
        <v>67</v>
      </c>
      <c r="F4352" t="s">
        <v>27987</v>
      </c>
      <c r="G4352" s="117">
        <v>13.8</v>
      </c>
    </row>
    <row r="4353" spans="1:7" x14ac:dyDescent="0.25">
      <c r="A4353" s="116" t="s">
        <v>6791</v>
      </c>
      <c r="B4353" s="117" t="s">
        <v>28693</v>
      </c>
      <c r="C4353" t="s">
        <v>67</v>
      </c>
      <c r="D4353" t="s">
        <v>67</v>
      </c>
      <c r="E4353" t="s">
        <v>67</v>
      </c>
      <c r="F4353" t="s">
        <v>45</v>
      </c>
      <c r="G4353" s="117">
        <v>27.5</v>
      </c>
    </row>
    <row r="4354" spans="1:7" x14ac:dyDescent="0.25">
      <c r="A4354" s="116" t="s">
        <v>6792</v>
      </c>
      <c r="B4354" s="117" t="s">
        <v>6793</v>
      </c>
      <c r="C4354" t="s">
        <v>67</v>
      </c>
      <c r="D4354" t="s">
        <v>67</v>
      </c>
      <c r="E4354" t="s">
        <v>67</v>
      </c>
      <c r="F4354" t="s">
        <v>27987</v>
      </c>
      <c r="G4354" s="117">
        <v>31.94</v>
      </c>
    </row>
    <row r="4355" spans="1:7" x14ac:dyDescent="0.25">
      <c r="A4355" s="116" t="s">
        <v>6794</v>
      </c>
      <c r="B4355" s="117" t="s">
        <v>6795</v>
      </c>
      <c r="C4355" t="s">
        <v>67</v>
      </c>
      <c r="D4355" t="s">
        <v>67</v>
      </c>
      <c r="E4355" t="s">
        <v>67</v>
      </c>
      <c r="F4355" t="s">
        <v>27987</v>
      </c>
      <c r="G4355" s="117">
        <v>69.86</v>
      </c>
    </row>
    <row r="4356" spans="1:7" x14ac:dyDescent="0.25">
      <c r="A4356" s="116" t="s">
        <v>6796</v>
      </c>
      <c r="B4356" s="117" t="s">
        <v>6797</v>
      </c>
      <c r="C4356" t="s">
        <v>67</v>
      </c>
      <c r="D4356" t="s">
        <v>67</v>
      </c>
      <c r="E4356" t="s">
        <v>67</v>
      </c>
      <c r="F4356" t="s">
        <v>27987</v>
      </c>
      <c r="G4356" s="117">
        <v>134.81</v>
      </c>
    </row>
    <row r="4357" spans="1:7" x14ac:dyDescent="0.25">
      <c r="A4357" s="116" t="s">
        <v>6798</v>
      </c>
      <c r="B4357" s="117" t="s">
        <v>6799</v>
      </c>
      <c r="C4357" t="s">
        <v>67</v>
      </c>
      <c r="D4357" t="s">
        <v>67</v>
      </c>
      <c r="E4357" t="s">
        <v>67</v>
      </c>
      <c r="F4357" t="s">
        <v>27987</v>
      </c>
      <c r="G4357" s="117">
        <v>115.58</v>
      </c>
    </row>
    <row r="4358" spans="1:7" x14ac:dyDescent="0.25">
      <c r="A4358" s="116" t="s">
        <v>6800</v>
      </c>
      <c r="B4358" s="117" t="s">
        <v>6801</v>
      </c>
      <c r="C4358" t="s">
        <v>67</v>
      </c>
      <c r="D4358" t="s">
        <v>67</v>
      </c>
      <c r="E4358" t="s">
        <v>67</v>
      </c>
      <c r="F4358" t="s">
        <v>49</v>
      </c>
      <c r="G4358" s="117">
        <v>67.540000000000006</v>
      </c>
    </row>
    <row r="4359" spans="1:7" x14ac:dyDescent="0.25">
      <c r="A4359" s="116" t="s">
        <v>6802</v>
      </c>
      <c r="B4359" s="117" t="s">
        <v>6803</v>
      </c>
      <c r="C4359" t="s">
        <v>67</v>
      </c>
      <c r="D4359" t="s">
        <v>67</v>
      </c>
      <c r="E4359" t="s">
        <v>67</v>
      </c>
      <c r="F4359" t="s">
        <v>27987</v>
      </c>
      <c r="G4359" s="117">
        <v>63.98</v>
      </c>
    </row>
    <row r="4360" spans="1:7" x14ac:dyDescent="0.25">
      <c r="A4360" s="116" t="s">
        <v>6804</v>
      </c>
      <c r="B4360" s="117" t="s">
        <v>6805</v>
      </c>
      <c r="C4360" t="s">
        <v>67</v>
      </c>
      <c r="D4360" t="s">
        <v>67</v>
      </c>
      <c r="E4360" t="s">
        <v>67</v>
      </c>
      <c r="F4360" t="s">
        <v>45</v>
      </c>
      <c r="G4360" s="117">
        <v>12.37</v>
      </c>
    </row>
    <row r="4361" spans="1:7" x14ac:dyDescent="0.25">
      <c r="A4361" s="116" t="s">
        <v>6806</v>
      </c>
      <c r="B4361" s="117" t="s">
        <v>6499</v>
      </c>
      <c r="C4361" t="s">
        <v>67</v>
      </c>
      <c r="D4361" t="s">
        <v>67</v>
      </c>
      <c r="E4361" t="s">
        <v>67</v>
      </c>
      <c r="F4361" t="s">
        <v>51</v>
      </c>
      <c r="G4361" s="117">
        <v>17.7</v>
      </c>
    </row>
    <row r="4362" spans="1:7" x14ac:dyDescent="0.25">
      <c r="A4362" s="116" t="s">
        <v>6807</v>
      </c>
      <c r="B4362" s="117" t="s">
        <v>6752</v>
      </c>
      <c r="C4362" t="s">
        <v>67</v>
      </c>
      <c r="D4362" t="s">
        <v>67</v>
      </c>
      <c r="E4362" t="s">
        <v>67</v>
      </c>
      <c r="F4362" t="s">
        <v>27990</v>
      </c>
      <c r="G4362" s="117">
        <v>9.6999999999999993</v>
      </c>
    </row>
    <row r="4363" spans="1:7" x14ac:dyDescent="0.25">
      <c r="A4363" s="116" t="s">
        <v>6808</v>
      </c>
      <c r="B4363" s="117" t="s">
        <v>6631</v>
      </c>
      <c r="C4363" t="s">
        <v>67</v>
      </c>
      <c r="D4363" t="s">
        <v>67</v>
      </c>
      <c r="E4363" t="s">
        <v>67</v>
      </c>
      <c r="F4363" t="s">
        <v>49</v>
      </c>
      <c r="G4363" s="117">
        <v>20.92</v>
      </c>
    </row>
    <row r="4364" spans="1:7" x14ac:dyDescent="0.25">
      <c r="A4364" s="116" t="s">
        <v>6809</v>
      </c>
      <c r="B4364" s="117" t="s">
        <v>6810</v>
      </c>
      <c r="C4364" t="s">
        <v>67</v>
      </c>
      <c r="D4364" t="s">
        <v>67</v>
      </c>
      <c r="E4364" t="s">
        <v>67</v>
      </c>
      <c r="F4364" t="s">
        <v>45</v>
      </c>
      <c r="G4364" s="117">
        <v>20.38</v>
      </c>
    </row>
    <row r="4365" spans="1:7" x14ac:dyDescent="0.25">
      <c r="A4365" s="116" t="s">
        <v>6811</v>
      </c>
      <c r="B4365" s="117" t="s">
        <v>6812</v>
      </c>
      <c r="C4365" t="s">
        <v>67</v>
      </c>
      <c r="D4365" t="s">
        <v>67</v>
      </c>
      <c r="E4365" t="s">
        <v>67</v>
      </c>
      <c r="F4365" t="s">
        <v>49</v>
      </c>
      <c r="G4365" s="117">
        <v>20.02</v>
      </c>
    </row>
    <row r="4366" spans="1:7" x14ac:dyDescent="0.25">
      <c r="A4366" s="116" t="s">
        <v>6813</v>
      </c>
      <c r="B4366" s="117" t="s">
        <v>6814</v>
      </c>
      <c r="C4366" t="s">
        <v>67</v>
      </c>
      <c r="D4366" t="s">
        <v>67</v>
      </c>
      <c r="E4366" t="s">
        <v>67</v>
      </c>
      <c r="F4366" t="s">
        <v>49</v>
      </c>
      <c r="G4366" s="117">
        <v>38.18</v>
      </c>
    </row>
    <row r="4367" spans="1:7" x14ac:dyDescent="0.25">
      <c r="A4367" s="116" t="s">
        <v>6815</v>
      </c>
      <c r="B4367" s="117" t="s">
        <v>6816</v>
      </c>
      <c r="C4367" t="s">
        <v>67</v>
      </c>
      <c r="D4367" t="s">
        <v>67</v>
      </c>
      <c r="E4367" t="s">
        <v>67</v>
      </c>
      <c r="F4367" t="s">
        <v>27987</v>
      </c>
      <c r="G4367" s="117">
        <v>42.62</v>
      </c>
    </row>
    <row r="4368" spans="1:7" x14ac:dyDescent="0.25">
      <c r="A4368" s="116" t="s">
        <v>6817</v>
      </c>
      <c r="B4368" s="117" t="s">
        <v>6818</v>
      </c>
      <c r="C4368" t="s">
        <v>67</v>
      </c>
      <c r="D4368" t="s">
        <v>67</v>
      </c>
      <c r="E4368" t="s">
        <v>67</v>
      </c>
      <c r="F4368" t="s">
        <v>27987</v>
      </c>
      <c r="G4368" s="117">
        <v>14.14</v>
      </c>
    </row>
    <row r="4369" spans="1:7" x14ac:dyDescent="0.25">
      <c r="A4369" s="116" t="s">
        <v>6819</v>
      </c>
      <c r="B4369" s="117" t="s">
        <v>6820</v>
      </c>
      <c r="C4369" t="s">
        <v>67</v>
      </c>
      <c r="D4369" t="s">
        <v>67</v>
      </c>
      <c r="E4369" t="s">
        <v>67</v>
      </c>
      <c r="F4369" t="s">
        <v>45</v>
      </c>
      <c r="G4369" s="117">
        <v>16.82</v>
      </c>
    </row>
    <row r="4370" spans="1:7" x14ac:dyDescent="0.25">
      <c r="A4370" s="116" t="s">
        <v>28059</v>
      </c>
      <c r="B4370" s="117" t="s">
        <v>28060</v>
      </c>
      <c r="C4370" t="s">
        <v>67</v>
      </c>
      <c r="D4370" t="s">
        <v>67</v>
      </c>
      <c r="E4370" t="s">
        <v>67</v>
      </c>
      <c r="F4370" t="s">
        <v>27987</v>
      </c>
      <c r="G4370" s="117">
        <v>167</v>
      </c>
    </row>
    <row r="4371" spans="1:7" x14ac:dyDescent="0.25">
      <c r="A4371" s="116" t="s">
        <v>6821</v>
      </c>
      <c r="B4371" s="117" t="s">
        <v>6822</v>
      </c>
      <c r="C4371" t="s">
        <v>67</v>
      </c>
      <c r="D4371" t="s">
        <v>67</v>
      </c>
      <c r="E4371" t="s">
        <v>67</v>
      </c>
      <c r="F4371" t="s">
        <v>49</v>
      </c>
      <c r="G4371" s="117">
        <v>10.24</v>
      </c>
    </row>
    <row r="4372" spans="1:7" x14ac:dyDescent="0.25">
      <c r="A4372" s="116" t="s">
        <v>6823</v>
      </c>
      <c r="B4372" s="117" t="s">
        <v>6824</v>
      </c>
      <c r="C4372" t="s">
        <v>67</v>
      </c>
      <c r="D4372" t="s">
        <v>67</v>
      </c>
      <c r="E4372" t="s">
        <v>67</v>
      </c>
      <c r="F4372" t="s">
        <v>27987</v>
      </c>
      <c r="G4372" s="117">
        <v>5.25</v>
      </c>
    </row>
    <row r="4373" spans="1:7" x14ac:dyDescent="0.25">
      <c r="A4373" s="116" t="s">
        <v>28694</v>
      </c>
      <c r="B4373" s="117" t="s">
        <v>30103</v>
      </c>
      <c r="C4373" t="s">
        <v>67</v>
      </c>
      <c r="D4373" t="s">
        <v>67</v>
      </c>
      <c r="E4373" t="s">
        <v>67</v>
      </c>
      <c r="F4373" t="s">
        <v>27987</v>
      </c>
      <c r="G4373" s="117">
        <v>20</v>
      </c>
    </row>
    <row r="4374" spans="1:7" x14ac:dyDescent="0.25">
      <c r="A4374" s="116" t="s">
        <v>6825</v>
      </c>
      <c r="B4374" s="117" t="s">
        <v>6752</v>
      </c>
      <c r="C4374" t="s">
        <v>67</v>
      </c>
      <c r="D4374" t="s">
        <v>67</v>
      </c>
      <c r="E4374" t="s">
        <v>67</v>
      </c>
      <c r="F4374" t="s">
        <v>27987</v>
      </c>
      <c r="G4374" s="117">
        <v>26.25</v>
      </c>
    </row>
    <row r="4375" spans="1:7" x14ac:dyDescent="0.25">
      <c r="A4375" s="116" t="s">
        <v>6826</v>
      </c>
      <c r="B4375" s="117" t="s">
        <v>6566</v>
      </c>
      <c r="C4375" t="s">
        <v>67</v>
      </c>
      <c r="D4375" t="s">
        <v>67</v>
      </c>
      <c r="E4375" t="s">
        <v>67</v>
      </c>
      <c r="F4375" t="s">
        <v>27987</v>
      </c>
      <c r="G4375" s="117">
        <v>26.25</v>
      </c>
    </row>
    <row r="4376" spans="1:7" x14ac:dyDescent="0.25">
      <c r="A4376" s="116" t="s">
        <v>6827</v>
      </c>
      <c r="B4376" s="117" t="s">
        <v>6828</v>
      </c>
      <c r="C4376" t="s">
        <v>67</v>
      </c>
      <c r="D4376" t="s">
        <v>67</v>
      </c>
      <c r="E4376" t="s">
        <v>67</v>
      </c>
      <c r="F4376" t="s">
        <v>27987</v>
      </c>
      <c r="G4376" s="117">
        <v>25</v>
      </c>
    </row>
    <row r="4377" spans="1:7" x14ac:dyDescent="0.25">
      <c r="A4377" s="116" t="s">
        <v>6829</v>
      </c>
      <c r="B4377" s="117" t="s">
        <v>6830</v>
      </c>
      <c r="C4377" t="s">
        <v>67</v>
      </c>
      <c r="D4377" t="s">
        <v>67</v>
      </c>
      <c r="E4377" t="s">
        <v>67</v>
      </c>
      <c r="F4377" t="s">
        <v>27987</v>
      </c>
      <c r="G4377" s="117">
        <v>26</v>
      </c>
    </row>
    <row r="4378" spans="1:7" x14ac:dyDescent="0.25">
      <c r="A4378" s="116" t="s">
        <v>6831</v>
      </c>
      <c r="B4378" s="117" t="s">
        <v>6832</v>
      </c>
      <c r="C4378" t="s">
        <v>67</v>
      </c>
      <c r="D4378" t="s">
        <v>67</v>
      </c>
      <c r="E4378" t="s">
        <v>67</v>
      </c>
      <c r="F4378" t="s">
        <v>45</v>
      </c>
      <c r="G4378" s="117">
        <v>21.26</v>
      </c>
    </row>
    <row r="4379" spans="1:7" x14ac:dyDescent="0.25">
      <c r="A4379" s="116" t="s">
        <v>6833</v>
      </c>
      <c r="B4379" s="117" t="s">
        <v>6834</v>
      </c>
      <c r="C4379" t="s">
        <v>67</v>
      </c>
      <c r="D4379" t="s">
        <v>67</v>
      </c>
      <c r="E4379" t="s">
        <v>67</v>
      </c>
      <c r="F4379" t="s">
        <v>45</v>
      </c>
      <c r="G4379" s="117">
        <v>23.94</v>
      </c>
    </row>
    <row r="4380" spans="1:7" x14ac:dyDescent="0.25">
      <c r="A4380" s="116" t="s">
        <v>6835</v>
      </c>
      <c r="B4380" s="117" t="s">
        <v>6752</v>
      </c>
      <c r="C4380" t="s">
        <v>67</v>
      </c>
      <c r="D4380" t="s">
        <v>67</v>
      </c>
      <c r="E4380" t="s">
        <v>67</v>
      </c>
      <c r="F4380" t="s">
        <v>45</v>
      </c>
      <c r="G4380" s="117">
        <v>36.93</v>
      </c>
    </row>
    <row r="4381" spans="1:7" x14ac:dyDescent="0.25">
      <c r="A4381" s="116" t="s">
        <v>6836</v>
      </c>
      <c r="B4381" s="117" t="s">
        <v>6837</v>
      </c>
      <c r="C4381" t="s">
        <v>67</v>
      </c>
      <c r="D4381" t="s">
        <v>67</v>
      </c>
      <c r="E4381" t="s">
        <v>67</v>
      </c>
      <c r="F4381" t="s">
        <v>27987</v>
      </c>
      <c r="G4381" s="117">
        <v>28.38</v>
      </c>
    </row>
    <row r="4382" spans="1:7" x14ac:dyDescent="0.25">
      <c r="A4382" s="116" t="s">
        <v>6838</v>
      </c>
      <c r="B4382" s="117" t="s">
        <v>6803</v>
      </c>
      <c r="C4382" t="s">
        <v>67</v>
      </c>
      <c r="D4382" t="s">
        <v>67</v>
      </c>
      <c r="E4382" t="s">
        <v>67</v>
      </c>
      <c r="F4382" t="s">
        <v>27987</v>
      </c>
      <c r="G4382" s="117">
        <v>57.39</v>
      </c>
    </row>
    <row r="4383" spans="1:7" x14ac:dyDescent="0.25">
      <c r="A4383" s="116" t="s">
        <v>6839</v>
      </c>
      <c r="B4383" s="117" t="s">
        <v>6840</v>
      </c>
      <c r="C4383" t="s">
        <v>67</v>
      </c>
      <c r="D4383" t="s">
        <v>67</v>
      </c>
      <c r="E4383" t="s">
        <v>67</v>
      </c>
      <c r="F4383" t="s">
        <v>45</v>
      </c>
      <c r="G4383" s="117">
        <v>31.58</v>
      </c>
    </row>
    <row r="4384" spans="1:7" x14ac:dyDescent="0.25">
      <c r="A4384" s="116" t="s">
        <v>6841</v>
      </c>
      <c r="B4384" s="117" t="s">
        <v>6842</v>
      </c>
      <c r="C4384" t="s">
        <v>67</v>
      </c>
      <c r="D4384" t="s">
        <v>67</v>
      </c>
      <c r="E4384" t="s">
        <v>67</v>
      </c>
      <c r="F4384" t="s">
        <v>45</v>
      </c>
      <c r="G4384" s="117">
        <v>14.14</v>
      </c>
    </row>
    <row r="4385" spans="1:7" x14ac:dyDescent="0.25">
      <c r="A4385" s="116" t="s">
        <v>6843</v>
      </c>
      <c r="B4385" s="117" t="s">
        <v>6844</v>
      </c>
      <c r="C4385" t="s">
        <v>67</v>
      </c>
      <c r="D4385" t="s">
        <v>67</v>
      </c>
      <c r="E4385" t="s">
        <v>67</v>
      </c>
      <c r="F4385" t="s">
        <v>27987</v>
      </c>
      <c r="G4385" s="117">
        <v>12.37</v>
      </c>
    </row>
    <row r="4386" spans="1:7" x14ac:dyDescent="0.25">
      <c r="A4386" s="116" t="s">
        <v>6845</v>
      </c>
      <c r="B4386" s="117" t="s">
        <v>6846</v>
      </c>
      <c r="C4386" t="s">
        <v>67</v>
      </c>
      <c r="D4386" t="s">
        <v>67</v>
      </c>
      <c r="E4386" t="s">
        <v>67</v>
      </c>
      <c r="F4386" t="s">
        <v>27987</v>
      </c>
      <c r="G4386" s="117">
        <v>31.06</v>
      </c>
    </row>
    <row r="4387" spans="1:7" x14ac:dyDescent="0.25">
      <c r="A4387" s="116" t="s">
        <v>6847</v>
      </c>
      <c r="B4387" s="117" t="s">
        <v>6848</v>
      </c>
      <c r="C4387" t="s">
        <v>67</v>
      </c>
      <c r="D4387" t="s">
        <v>67</v>
      </c>
      <c r="E4387" t="s">
        <v>67</v>
      </c>
      <c r="F4387" t="s">
        <v>45</v>
      </c>
      <c r="G4387" s="117">
        <v>4</v>
      </c>
    </row>
    <row r="4388" spans="1:7" x14ac:dyDescent="0.25">
      <c r="A4388" s="116" t="s">
        <v>6849</v>
      </c>
      <c r="B4388" s="117" t="s">
        <v>6850</v>
      </c>
      <c r="C4388" t="s">
        <v>67</v>
      </c>
      <c r="D4388" t="s">
        <v>67</v>
      </c>
      <c r="E4388" t="s">
        <v>67</v>
      </c>
      <c r="F4388" t="s">
        <v>51</v>
      </c>
      <c r="G4388" s="117">
        <v>65.680000000000007</v>
      </c>
    </row>
    <row r="4389" spans="1:7" x14ac:dyDescent="0.25">
      <c r="A4389" s="116" t="s">
        <v>6851</v>
      </c>
      <c r="B4389" s="117" t="s">
        <v>6844</v>
      </c>
      <c r="C4389" t="s">
        <v>67</v>
      </c>
      <c r="D4389" t="s">
        <v>67</v>
      </c>
      <c r="E4389" t="s">
        <v>67</v>
      </c>
      <c r="F4389" t="s">
        <v>27987</v>
      </c>
      <c r="G4389" s="117">
        <v>22.16</v>
      </c>
    </row>
    <row r="4390" spans="1:7" x14ac:dyDescent="0.25">
      <c r="A4390" s="116" t="s">
        <v>6852</v>
      </c>
      <c r="B4390" s="117" t="s">
        <v>6631</v>
      </c>
      <c r="C4390" t="s">
        <v>67</v>
      </c>
      <c r="D4390" t="s">
        <v>67</v>
      </c>
      <c r="E4390" t="s">
        <v>67</v>
      </c>
      <c r="F4390" t="s">
        <v>45</v>
      </c>
      <c r="G4390" s="117">
        <v>29.81</v>
      </c>
    </row>
    <row r="4391" spans="1:7" x14ac:dyDescent="0.25">
      <c r="A4391" s="116" t="s">
        <v>6853</v>
      </c>
      <c r="B4391" s="117" t="s">
        <v>6854</v>
      </c>
      <c r="C4391" t="s">
        <v>67</v>
      </c>
      <c r="D4391" t="s">
        <v>67</v>
      </c>
      <c r="E4391" t="s">
        <v>67</v>
      </c>
      <c r="F4391" t="s">
        <v>51</v>
      </c>
      <c r="G4391" s="117">
        <v>25</v>
      </c>
    </row>
    <row r="4392" spans="1:7" x14ac:dyDescent="0.25">
      <c r="A4392" s="116" t="s">
        <v>6855</v>
      </c>
      <c r="B4392" s="117" t="s">
        <v>6856</v>
      </c>
      <c r="C4392" t="s">
        <v>67</v>
      </c>
      <c r="D4392" t="s">
        <v>67</v>
      </c>
      <c r="E4392" t="s">
        <v>67</v>
      </c>
      <c r="F4392" t="s">
        <v>27987</v>
      </c>
      <c r="G4392" s="117">
        <v>12.01</v>
      </c>
    </row>
    <row r="4393" spans="1:7" x14ac:dyDescent="0.25">
      <c r="A4393" s="116" t="s">
        <v>6857</v>
      </c>
      <c r="B4393" s="117" t="s">
        <v>6858</v>
      </c>
      <c r="C4393" t="s">
        <v>67</v>
      </c>
      <c r="D4393" t="s">
        <v>67</v>
      </c>
      <c r="E4393" t="s">
        <v>67</v>
      </c>
      <c r="F4393" t="s">
        <v>45</v>
      </c>
      <c r="G4393" s="117">
        <v>24.48</v>
      </c>
    </row>
    <row r="4394" spans="1:7" x14ac:dyDescent="0.25">
      <c r="A4394" s="116" t="s">
        <v>6859</v>
      </c>
      <c r="B4394" s="117" t="s">
        <v>6860</v>
      </c>
      <c r="C4394" t="s">
        <v>67</v>
      </c>
      <c r="D4394" t="s">
        <v>67</v>
      </c>
      <c r="E4394" t="s">
        <v>67</v>
      </c>
      <c r="F4394" t="s">
        <v>45</v>
      </c>
      <c r="G4394" s="117">
        <v>168.08</v>
      </c>
    </row>
    <row r="4395" spans="1:7" x14ac:dyDescent="0.25">
      <c r="A4395" s="116" t="s">
        <v>6861</v>
      </c>
      <c r="B4395" s="117" t="s">
        <v>6862</v>
      </c>
      <c r="C4395" t="s">
        <v>67</v>
      </c>
      <c r="D4395" t="s">
        <v>67</v>
      </c>
      <c r="E4395" t="s">
        <v>67</v>
      </c>
      <c r="F4395" t="s">
        <v>45</v>
      </c>
      <c r="G4395" s="117">
        <v>47.61</v>
      </c>
    </row>
    <row r="4396" spans="1:7" x14ac:dyDescent="0.25">
      <c r="A4396" s="116" t="s">
        <v>6863</v>
      </c>
      <c r="B4396" s="117" t="s">
        <v>6864</v>
      </c>
      <c r="C4396" t="s">
        <v>67</v>
      </c>
      <c r="D4396" t="s">
        <v>67</v>
      </c>
      <c r="E4396" t="s">
        <v>67</v>
      </c>
      <c r="F4396" t="s">
        <v>45</v>
      </c>
      <c r="G4396" s="117">
        <v>113.45</v>
      </c>
    </row>
    <row r="4397" spans="1:7" x14ac:dyDescent="0.25">
      <c r="A4397" s="116" t="s">
        <v>6865</v>
      </c>
      <c r="B4397" s="117" t="s">
        <v>6866</v>
      </c>
      <c r="C4397" t="s">
        <v>67</v>
      </c>
      <c r="D4397" t="s">
        <v>67</v>
      </c>
      <c r="E4397" t="s">
        <v>67</v>
      </c>
      <c r="F4397" t="s">
        <v>45</v>
      </c>
      <c r="G4397" s="117">
        <v>31.06</v>
      </c>
    </row>
    <row r="4398" spans="1:7" x14ac:dyDescent="0.25">
      <c r="A4398" s="116" t="s">
        <v>6867</v>
      </c>
      <c r="B4398" s="117" t="s">
        <v>6868</v>
      </c>
      <c r="C4398" t="s">
        <v>67</v>
      </c>
      <c r="D4398" t="s">
        <v>67</v>
      </c>
      <c r="E4398" t="s">
        <v>67</v>
      </c>
      <c r="F4398" t="s">
        <v>27987</v>
      </c>
      <c r="G4398" s="117">
        <v>15.57</v>
      </c>
    </row>
    <row r="4399" spans="1:7" x14ac:dyDescent="0.25">
      <c r="A4399" s="116" t="s">
        <v>6869</v>
      </c>
      <c r="B4399" s="117" t="s">
        <v>6870</v>
      </c>
      <c r="C4399" t="s">
        <v>67</v>
      </c>
      <c r="D4399" t="s">
        <v>67</v>
      </c>
      <c r="E4399" t="s">
        <v>67</v>
      </c>
      <c r="F4399" t="s">
        <v>27987</v>
      </c>
      <c r="G4399" s="117">
        <v>15.93</v>
      </c>
    </row>
    <row r="4400" spans="1:7" x14ac:dyDescent="0.25">
      <c r="A4400" s="116" t="s">
        <v>6871</v>
      </c>
      <c r="B4400" s="117" t="s">
        <v>6872</v>
      </c>
      <c r="C4400" t="s">
        <v>67</v>
      </c>
      <c r="D4400" t="s">
        <v>67</v>
      </c>
      <c r="E4400" t="s">
        <v>67</v>
      </c>
      <c r="F4400" t="s">
        <v>27987</v>
      </c>
      <c r="G4400" s="117">
        <v>38.700000000000003</v>
      </c>
    </row>
    <row r="4401" spans="1:7" x14ac:dyDescent="0.25">
      <c r="A4401" s="116" t="s">
        <v>6873</v>
      </c>
      <c r="B4401" s="117" t="s">
        <v>6874</v>
      </c>
      <c r="C4401" t="s">
        <v>67</v>
      </c>
      <c r="D4401" t="s">
        <v>67</v>
      </c>
      <c r="E4401" t="s">
        <v>67</v>
      </c>
      <c r="F4401" t="s">
        <v>27987</v>
      </c>
      <c r="G4401" s="117">
        <v>14.14</v>
      </c>
    </row>
    <row r="4402" spans="1:7" x14ac:dyDescent="0.25">
      <c r="A4402" s="116" t="s">
        <v>6875</v>
      </c>
      <c r="B4402" s="117" t="s">
        <v>6876</v>
      </c>
      <c r="C4402" t="s">
        <v>67</v>
      </c>
      <c r="D4402" t="s">
        <v>67</v>
      </c>
      <c r="E4402" t="s">
        <v>67</v>
      </c>
      <c r="F4402" t="s">
        <v>45</v>
      </c>
      <c r="G4402" s="117">
        <v>16.82</v>
      </c>
    </row>
    <row r="4403" spans="1:7" x14ac:dyDescent="0.25">
      <c r="A4403" s="116" t="s">
        <v>6877</v>
      </c>
      <c r="B4403" s="117" t="s">
        <v>6878</v>
      </c>
      <c r="C4403" t="s">
        <v>67</v>
      </c>
      <c r="D4403" t="s">
        <v>67</v>
      </c>
      <c r="E4403" t="s">
        <v>67</v>
      </c>
      <c r="F4403" t="s">
        <v>27987</v>
      </c>
      <c r="G4403" s="117">
        <v>17.7</v>
      </c>
    </row>
    <row r="4404" spans="1:7" x14ac:dyDescent="0.25">
      <c r="A4404" s="116" t="s">
        <v>6879</v>
      </c>
      <c r="B4404" s="117" t="s">
        <v>6880</v>
      </c>
      <c r="C4404" t="s">
        <v>67</v>
      </c>
      <c r="D4404" t="s">
        <v>67</v>
      </c>
      <c r="E4404" t="s">
        <v>67</v>
      </c>
      <c r="F4404" t="s">
        <v>27987</v>
      </c>
      <c r="G4404" s="117">
        <v>149.94</v>
      </c>
    </row>
    <row r="4405" spans="1:7" x14ac:dyDescent="0.25">
      <c r="A4405" s="116" t="s">
        <v>6881</v>
      </c>
      <c r="B4405" s="117" t="s">
        <v>6484</v>
      </c>
      <c r="C4405" t="s">
        <v>67</v>
      </c>
      <c r="D4405" t="s">
        <v>67</v>
      </c>
      <c r="E4405" t="s">
        <v>67</v>
      </c>
      <c r="F4405" t="s">
        <v>27987</v>
      </c>
      <c r="G4405" s="117">
        <v>15.04</v>
      </c>
    </row>
    <row r="4406" spans="1:7" x14ac:dyDescent="0.25">
      <c r="A4406" s="116" t="s">
        <v>6882</v>
      </c>
      <c r="B4406" s="117" t="s">
        <v>6883</v>
      </c>
      <c r="C4406" t="s">
        <v>67</v>
      </c>
      <c r="D4406" t="s">
        <v>67</v>
      </c>
      <c r="E4406" t="s">
        <v>67</v>
      </c>
      <c r="F4406" t="s">
        <v>45</v>
      </c>
      <c r="G4406" s="117">
        <v>91.56</v>
      </c>
    </row>
    <row r="4407" spans="1:7" x14ac:dyDescent="0.25">
      <c r="A4407" s="116" t="s">
        <v>6884</v>
      </c>
      <c r="B4407" s="117" t="s">
        <v>6885</v>
      </c>
      <c r="C4407" t="s">
        <v>67</v>
      </c>
      <c r="D4407" t="s">
        <v>67</v>
      </c>
      <c r="E4407" t="s">
        <v>67</v>
      </c>
      <c r="F4407" t="s">
        <v>45</v>
      </c>
      <c r="G4407" s="117">
        <v>104.92</v>
      </c>
    </row>
    <row r="4408" spans="1:7" x14ac:dyDescent="0.25">
      <c r="A4408" s="116" t="s">
        <v>6886</v>
      </c>
      <c r="B4408" s="117" t="s">
        <v>6887</v>
      </c>
      <c r="C4408" t="s">
        <v>67</v>
      </c>
      <c r="D4408" t="s">
        <v>67</v>
      </c>
      <c r="E4408" t="s">
        <v>67</v>
      </c>
      <c r="F4408" t="s">
        <v>45</v>
      </c>
      <c r="G4408" s="117">
        <v>129.47999999999999</v>
      </c>
    </row>
    <row r="4409" spans="1:7" x14ac:dyDescent="0.25">
      <c r="A4409" s="116" t="s">
        <v>6888</v>
      </c>
      <c r="B4409" s="117" t="s">
        <v>6889</v>
      </c>
      <c r="C4409" t="s">
        <v>67</v>
      </c>
      <c r="D4409" t="s">
        <v>67</v>
      </c>
      <c r="E4409" t="s">
        <v>67</v>
      </c>
      <c r="F4409" t="s">
        <v>45</v>
      </c>
      <c r="G4409" s="117">
        <v>12.01</v>
      </c>
    </row>
    <row r="4410" spans="1:7" x14ac:dyDescent="0.25">
      <c r="A4410" s="116" t="s">
        <v>6890</v>
      </c>
      <c r="B4410" s="117" t="s">
        <v>6891</v>
      </c>
      <c r="C4410" t="s">
        <v>67</v>
      </c>
      <c r="D4410" t="s">
        <v>67</v>
      </c>
      <c r="E4410" t="s">
        <v>67</v>
      </c>
      <c r="F4410" t="s">
        <v>45</v>
      </c>
      <c r="G4410" s="117">
        <v>10.58</v>
      </c>
    </row>
    <row r="4411" spans="1:7" x14ac:dyDescent="0.25">
      <c r="A4411" s="116" t="s">
        <v>6892</v>
      </c>
      <c r="B4411" s="117" t="s">
        <v>6893</v>
      </c>
      <c r="C4411" t="s">
        <v>67</v>
      </c>
      <c r="D4411" t="s">
        <v>67</v>
      </c>
      <c r="E4411" t="s">
        <v>67</v>
      </c>
      <c r="F4411" t="s">
        <v>45</v>
      </c>
      <c r="G4411" s="117">
        <v>14.14</v>
      </c>
    </row>
    <row r="4412" spans="1:7" x14ac:dyDescent="0.25">
      <c r="A4412" s="116" t="s">
        <v>6894</v>
      </c>
      <c r="B4412" s="117" t="s">
        <v>6895</v>
      </c>
      <c r="C4412" t="s">
        <v>67</v>
      </c>
      <c r="D4412" t="s">
        <v>67</v>
      </c>
      <c r="E4412" t="s">
        <v>67</v>
      </c>
      <c r="F4412" t="s">
        <v>27987</v>
      </c>
      <c r="G4412" s="117">
        <v>14.14</v>
      </c>
    </row>
    <row r="4413" spans="1:7" x14ac:dyDescent="0.25">
      <c r="A4413" s="116" t="s">
        <v>6896</v>
      </c>
      <c r="B4413" s="117" t="s">
        <v>6897</v>
      </c>
      <c r="C4413" t="s">
        <v>67</v>
      </c>
      <c r="D4413" t="s">
        <v>67</v>
      </c>
      <c r="E4413" t="s">
        <v>67</v>
      </c>
      <c r="F4413" t="s">
        <v>27987</v>
      </c>
      <c r="G4413" s="117">
        <v>14.14</v>
      </c>
    </row>
    <row r="4414" spans="1:7" x14ac:dyDescent="0.25">
      <c r="A4414" s="116" t="s">
        <v>6898</v>
      </c>
      <c r="B4414" s="117" t="s">
        <v>6899</v>
      </c>
      <c r="C4414" t="s">
        <v>67</v>
      </c>
      <c r="D4414" t="s">
        <v>67</v>
      </c>
      <c r="E4414" t="s">
        <v>67</v>
      </c>
      <c r="F4414" t="s">
        <v>49</v>
      </c>
      <c r="G4414" s="117">
        <v>6.14</v>
      </c>
    </row>
    <row r="4415" spans="1:7" x14ac:dyDescent="0.25">
      <c r="A4415" s="116" t="s">
        <v>6900</v>
      </c>
      <c r="B4415" s="117" t="s">
        <v>6901</v>
      </c>
      <c r="C4415" t="s">
        <v>67</v>
      </c>
      <c r="D4415" t="s">
        <v>67</v>
      </c>
      <c r="E4415" t="s">
        <v>67</v>
      </c>
      <c r="F4415" t="s">
        <v>27987</v>
      </c>
      <c r="G4415" s="117">
        <v>3.12</v>
      </c>
    </row>
    <row r="4416" spans="1:7" x14ac:dyDescent="0.25">
      <c r="A4416" s="116" t="s">
        <v>6902</v>
      </c>
      <c r="B4416" s="117" t="s">
        <v>6903</v>
      </c>
      <c r="C4416" t="s">
        <v>67</v>
      </c>
      <c r="D4416" t="s">
        <v>67</v>
      </c>
      <c r="E4416" t="s">
        <v>67</v>
      </c>
      <c r="F4416" t="s">
        <v>27987</v>
      </c>
      <c r="G4416" s="117">
        <v>11.48</v>
      </c>
    </row>
    <row r="4417" spans="1:7" x14ac:dyDescent="0.25">
      <c r="A4417" s="116" t="s">
        <v>6904</v>
      </c>
      <c r="B4417" s="117" t="s">
        <v>6905</v>
      </c>
      <c r="C4417" t="s">
        <v>67</v>
      </c>
      <c r="D4417" t="s">
        <v>67</v>
      </c>
      <c r="E4417" t="s">
        <v>67</v>
      </c>
      <c r="F4417" t="s">
        <v>27987</v>
      </c>
      <c r="G4417" s="117">
        <v>12.01</v>
      </c>
    </row>
    <row r="4418" spans="1:7" x14ac:dyDescent="0.25">
      <c r="A4418" s="116" t="s">
        <v>6906</v>
      </c>
      <c r="B4418" s="117" t="s">
        <v>6907</v>
      </c>
      <c r="C4418" t="s">
        <v>67</v>
      </c>
      <c r="D4418" t="s">
        <v>67</v>
      </c>
      <c r="E4418" t="s">
        <v>67</v>
      </c>
      <c r="F4418" t="s">
        <v>27987</v>
      </c>
      <c r="G4418" s="117">
        <v>62.74</v>
      </c>
    </row>
    <row r="4419" spans="1:7" x14ac:dyDescent="0.25">
      <c r="A4419" s="116" t="s">
        <v>6908</v>
      </c>
      <c r="B4419" s="117" t="s">
        <v>6909</v>
      </c>
      <c r="C4419" t="s">
        <v>67</v>
      </c>
      <c r="D4419" t="s">
        <v>67</v>
      </c>
      <c r="E4419" t="s">
        <v>67</v>
      </c>
      <c r="F4419" t="s">
        <v>49</v>
      </c>
      <c r="G4419" s="117">
        <v>8.4499999999999993</v>
      </c>
    </row>
    <row r="4420" spans="1:7" x14ac:dyDescent="0.25">
      <c r="A4420" s="116" t="s">
        <v>6910</v>
      </c>
      <c r="B4420" s="117" t="s">
        <v>6854</v>
      </c>
      <c r="C4420" t="s">
        <v>67</v>
      </c>
      <c r="D4420" t="s">
        <v>67</v>
      </c>
      <c r="E4420" t="s">
        <v>67</v>
      </c>
      <c r="F4420" t="s">
        <v>49</v>
      </c>
      <c r="G4420" s="117">
        <v>23.94</v>
      </c>
    </row>
    <row r="4421" spans="1:7" x14ac:dyDescent="0.25">
      <c r="A4421" s="116" t="s">
        <v>6911</v>
      </c>
      <c r="B4421" s="117" t="s">
        <v>6583</v>
      </c>
      <c r="C4421" t="s">
        <v>67</v>
      </c>
      <c r="D4421" t="s">
        <v>67</v>
      </c>
      <c r="E4421" t="s">
        <v>67</v>
      </c>
      <c r="F4421" t="s">
        <v>45</v>
      </c>
      <c r="G4421" s="117">
        <v>26.25</v>
      </c>
    </row>
    <row r="4422" spans="1:7" x14ac:dyDescent="0.25">
      <c r="A4422" s="116" t="s">
        <v>6912</v>
      </c>
      <c r="B4422" s="117" t="s">
        <v>6913</v>
      </c>
      <c r="C4422" t="s">
        <v>67</v>
      </c>
      <c r="D4422" t="s">
        <v>67</v>
      </c>
      <c r="E4422" t="s">
        <v>67</v>
      </c>
      <c r="F4422" t="s">
        <v>51</v>
      </c>
      <c r="G4422" s="117">
        <v>31.78</v>
      </c>
    </row>
    <row r="4423" spans="1:7" x14ac:dyDescent="0.25">
      <c r="A4423" s="116" t="s">
        <v>26648</v>
      </c>
      <c r="B4423" s="117" t="s">
        <v>26649</v>
      </c>
      <c r="C4423" t="s">
        <v>67</v>
      </c>
      <c r="D4423" t="s">
        <v>67</v>
      </c>
      <c r="E4423" t="s">
        <v>67</v>
      </c>
      <c r="F4423" t="s">
        <v>27987</v>
      </c>
      <c r="G4423" s="117">
        <v>22.24</v>
      </c>
    </row>
    <row r="4424" spans="1:7" x14ac:dyDescent="0.25">
      <c r="A4424" s="116" t="s">
        <v>6914</v>
      </c>
      <c r="B4424" s="117" t="s">
        <v>6915</v>
      </c>
      <c r="C4424" t="s">
        <v>67</v>
      </c>
      <c r="D4424" t="s">
        <v>67</v>
      </c>
      <c r="E4424" t="s">
        <v>67</v>
      </c>
      <c r="F4424" t="s">
        <v>27987</v>
      </c>
      <c r="G4424" s="117">
        <v>20.38</v>
      </c>
    </row>
    <row r="4425" spans="1:7" x14ac:dyDescent="0.25">
      <c r="A4425" s="116" t="s">
        <v>6916</v>
      </c>
      <c r="B4425" s="117" t="s">
        <v>6917</v>
      </c>
      <c r="C4425" t="s">
        <v>67</v>
      </c>
      <c r="D4425" t="s">
        <v>67</v>
      </c>
      <c r="E4425" t="s">
        <v>67</v>
      </c>
      <c r="F4425" t="s">
        <v>45</v>
      </c>
      <c r="G4425" s="117">
        <v>147.62</v>
      </c>
    </row>
    <row r="4426" spans="1:7" x14ac:dyDescent="0.25">
      <c r="A4426" s="116" t="s">
        <v>6918</v>
      </c>
      <c r="B4426" s="117" t="s">
        <v>6919</v>
      </c>
      <c r="C4426" t="s">
        <v>67</v>
      </c>
      <c r="D4426" t="s">
        <v>67</v>
      </c>
      <c r="E4426" t="s">
        <v>67</v>
      </c>
      <c r="F4426" t="s">
        <v>27990</v>
      </c>
      <c r="G4426" s="117">
        <v>28.02</v>
      </c>
    </row>
    <row r="4427" spans="1:7" x14ac:dyDescent="0.25">
      <c r="A4427" s="116" t="s">
        <v>6920</v>
      </c>
      <c r="B4427" s="117" t="s">
        <v>6921</v>
      </c>
      <c r="C4427" t="s">
        <v>67</v>
      </c>
      <c r="D4427" t="s">
        <v>67</v>
      </c>
      <c r="E4427" t="s">
        <v>67</v>
      </c>
      <c r="F4427" t="s">
        <v>45</v>
      </c>
      <c r="G4427" s="117">
        <v>40.49</v>
      </c>
    </row>
    <row r="4428" spans="1:7" x14ac:dyDescent="0.25">
      <c r="A4428" s="116" t="s">
        <v>6922</v>
      </c>
      <c r="B4428" s="117" t="s">
        <v>6923</v>
      </c>
      <c r="C4428" t="s">
        <v>67</v>
      </c>
      <c r="D4428" t="s">
        <v>67</v>
      </c>
      <c r="E4428" t="s">
        <v>67</v>
      </c>
      <c r="F4428" t="s">
        <v>27987</v>
      </c>
      <c r="G4428" s="117">
        <v>8.4499999999999993</v>
      </c>
    </row>
    <row r="4429" spans="1:7" x14ac:dyDescent="0.25">
      <c r="A4429" s="116" t="s">
        <v>6924</v>
      </c>
      <c r="B4429" s="117" t="s">
        <v>6925</v>
      </c>
      <c r="C4429" t="s">
        <v>67</v>
      </c>
      <c r="D4429" t="s">
        <v>67</v>
      </c>
      <c r="E4429" t="s">
        <v>67</v>
      </c>
      <c r="F4429" t="s">
        <v>27987</v>
      </c>
      <c r="G4429" s="117">
        <v>15.04</v>
      </c>
    </row>
    <row r="4430" spans="1:7" x14ac:dyDescent="0.25">
      <c r="A4430" s="116" t="s">
        <v>6926</v>
      </c>
      <c r="B4430" s="117" t="s">
        <v>6927</v>
      </c>
      <c r="C4430" t="s">
        <v>67</v>
      </c>
      <c r="D4430" t="s">
        <v>67</v>
      </c>
      <c r="E4430" t="s">
        <v>67</v>
      </c>
      <c r="F4430" t="s">
        <v>27987</v>
      </c>
      <c r="G4430" s="117">
        <v>7.12</v>
      </c>
    </row>
    <row r="4431" spans="1:7" x14ac:dyDescent="0.25">
      <c r="A4431" s="116" t="s">
        <v>6928</v>
      </c>
      <c r="B4431" s="117" t="s">
        <v>6929</v>
      </c>
      <c r="C4431" t="s">
        <v>67</v>
      </c>
      <c r="D4431" t="s">
        <v>67</v>
      </c>
      <c r="E4431" t="s">
        <v>67</v>
      </c>
      <c r="F4431" t="s">
        <v>27987</v>
      </c>
      <c r="G4431" s="117">
        <v>53.83</v>
      </c>
    </row>
    <row r="4432" spans="1:7" x14ac:dyDescent="0.25">
      <c r="A4432" s="116" t="s">
        <v>6930</v>
      </c>
      <c r="B4432" s="117" t="s">
        <v>6931</v>
      </c>
      <c r="C4432" t="s">
        <v>67</v>
      </c>
      <c r="D4432" t="s">
        <v>67</v>
      </c>
      <c r="E4432" t="s">
        <v>67</v>
      </c>
      <c r="F4432" t="s">
        <v>27987</v>
      </c>
      <c r="G4432" s="117">
        <v>72.88</v>
      </c>
    </row>
    <row r="4433" spans="1:7" x14ac:dyDescent="0.25">
      <c r="A4433" s="116" t="s">
        <v>6932</v>
      </c>
      <c r="B4433" s="117" t="s">
        <v>6933</v>
      </c>
      <c r="C4433" t="s">
        <v>67</v>
      </c>
      <c r="D4433" t="s">
        <v>67</v>
      </c>
      <c r="E4433" t="s">
        <v>67</v>
      </c>
      <c r="F4433" t="s">
        <v>27987</v>
      </c>
      <c r="G4433" s="117">
        <v>9.6999999999999993</v>
      </c>
    </row>
    <row r="4434" spans="1:7" x14ac:dyDescent="0.25">
      <c r="A4434" s="116" t="s">
        <v>6934</v>
      </c>
      <c r="B4434" s="117" t="s">
        <v>6935</v>
      </c>
      <c r="C4434" t="s">
        <v>67</v>
      </c>
      <c r="D4434" t="s">
        <v>67</v>
      </c>
      <c r="E4434" t="s">
        <v>67</v>
      </c>
      <c r="F4434" t="s">
        <v>27987</v>
      </c>
      <c r="G4434" s="117">
        <v>12.37</v>
      </c>
    </row>
    <row r="4435" spans="1:7" x14ac:dyDescent="0.25">
      <c r="A4435" s="116" t="s">
        <v>6936</v>
      </c>
      <c r="B4435" s="117" t="s">
        <v>6937</v>
      </c>
      <c r="C4435" t="s">
        <v>67</v>
      </c>
      <c r="D4435" t="s">
        <v>67</v>
      </c>
      <c r="E4435" t="s">
        <v>67</v>
      </c>
      <c r="F4435" t="s">
        <v>27987</v>
      </c>
      <c r="G4435" s="117">
        <v>40.49</v>
      </c>
    </row>
    <row r="4436" spans="1:7" x14ac:dyDescent="0.25">
      <c r="A4436" s="116" t="s">
        <v>6938</v>
      </c>
      <c r="B4436" s="117" t="s">
        <v>6939</v>
      </c>
      <c r="C4436" t="s">
        <v>67</v>
      </c>
      <c r="D4436" t="s">
        <v>67</v>
      </c>
      <c r="E4436" t="s">
        <v>67</v>
      </c>
      <c r="F4436" t="s">
        <v>27987</v>
      </c>
      <c r="G4436" s="117">
        <v>9.6999999999999993</v>
      </c>
    </row>
    <row r="4437" spans="1:7" x14ac:dyDescent="0.25">
      <c r="A4437" s="116" t="s">
        <v>6940</v>
      </c>
      <c r="B4437" s="117" t="s">
        <v>6941</v>
      </c>
      <c r="C4437" t="s">
        <v>67</v>
      </c>
      <c r="D4437" t="s">
        <v>67</v>
      </c>
      <c r="E4437" t="s">
        <v>67</v>
      </c>
      <c r="F4437" t="s">
        <v>27987</v>
      </c>
      <c r="G4437" s="117">
        <v>40.49</v>
      </c>
    </row>
    <row r="4438" spans="1:7" x14ac:dyDescent="0.25">
      <c r="A4438" s="116" t="s">
        <v>26855</v>
      </c>
      <c r="B4438" s="117" t="s">
        <v>26856</v>
      </c>
      <c r="C4438" t="s">
        <v>67</v>
      </c>
      <c r="D4438" t="s">
        <v>67</v>
      </c>
      <c r="E4438" t="s">
        <v>67</v>
      </c>
      <c r="F4438" t="s">
        <v>27987</v>
      </c>
      <c r="G4438" s="117">
        <v>10</v>
      </c>
    </row>
    <row r="4439" spans="1:7" x14ac:dyDescent="0.25">
      <c r="A4439" s="116" t="s">
        <v>6942</v>
      </c>
      <c r="B4439" s="117" t="s">
        <v>6943</v>
      </c>
      <c r="C4439" t="s">
        <v>67</v>
      </c>
      <c r="D4439" t="s">
        <v>67</v>
      </c>
      <c r="E4439" t="s">
        <v>67</v>
      </c>
      <c r="F4439" t="s">
        <v>45</v>
      </c>
      <c r="G4439" s="117">
        <v>40.49</v>
      </c>
    </row>
    <row r="4440" spans="1:7" x14ac:dyDescent="0.25">
      <c r="A4440" s="116" t="s">
        <v>6944</v>
      </c>
      <c r="B4440" s="117" t="s">
        <v>6945</v>
      </c>
      <c r="C4440" t="s">
        <v>67</v>
      </c>
      <c r="D4440" t="s">
        <v>67</v>
      </c>
      <c r="E4440" t="s">
        <v>67</v>
      </c>
      <c r="F4440" t="s">
        <v>49</v>
      </c>
      <c r="G4440" s="117">
        <v>15.82</v>
      </c>
    </row>
    <row r="4441" spans="1:7" x14ac:dyDescent="0.25">
      <c r="A4441" s="116" t="s">
        <v>6946</v>
      </c>
      <c r="B4441" s="117" t="s">
        <v>6947</v>
      </c>
      <c r="C4441" t="s">
        <v>67</v>
      </c>
      <c r="D4441" t="s">
        <v>67</v>
      </c>
      <c r="E4441" t="s">
        <v>67</v>
      </c>
      <c r="F4441" t="s">
        <v>49</v>
      </c>
      <c r="G4441" s="117">
        <v>29.22</v>
      </c>
    </row>
    <row r="4442" spans="1:7" x14ac:dyDescent="0.25">
      <c r="A4442" s="116" t="s">
        <v>6948</v>
      </c>
      <c r="B4442" s="117" t="s">
        <v>28695</v>
      </c>
      <c r="C4442" t="s">
        <v>67</v>
      </c>
      <c r="D4442" t="s">
        <v>67</v>
      </c>
      <c r="E4442" t="s">
        <v>67</v>
      </c>
      <c r="F4442" t="s">
        <v>27987</v>
      </c>
      <c r="G4442" s="117">
        <v>26.67</v>
      </c>
    </row>
    <row r="4443" spans="1:7" x14ac:dyDescent="0.25">
      <c r="A4443" s="116" t="s">
        <v>6949</v>
      </c>
      <c r="B4443" s="117" t="s">
        <v>6950</v>
      </c>
      <c r="C4443" t="s">
        <v>67</v>
      </c>
      <c r="D4443" t="s">
        <v>67</v>
      </c>
      <c r="E4443" t="s">
        <v>67</v>
      </c>
      <c r="F4443" t="s">
        <v>27987</v>
      </c>
      <c r="G4443" s="117">
        <v>15.82</v>
      </c>
    </row>
    <row r="4444" spans="1:7" x14ac:dyDescent="0.25">
      <c r="A4444" s="116" t="s">
        <v>6951</v>
      </c>
      <c r="B4444" s="117" t="s">
        <v>6564</v>
      </c>
      <c r="C4444" t="s">
        <v>67</v>
      </c>
      <c r="D4444" t="s">
        <v>67</v>
      </c>
      <c r="E4444" t="s">
        <v>67</v>
      </c>
      <c r="F4444" t="s">
        <v>27987</v>
      </c>
      <c r="G4444" s="117">
        <v>20.97</v>
      </c>
    </row>
    <row r="4445" spans="1:7" x14ac:dyDescent="0.25">
      <c r="A4445" s="116" t="s">
        <v>6952</v>
      </c>
      <c r="B4445" s="117" t="s">
        <v>6953</v>
      </c>
      <c r="C4445" t="s">
        <v>67</v>
      </c>
      <c r="D4445" t="s">
        <v>67</v>
      </c>
      <c r="E4445" t="s">
        <v>67</v>
      </c>
      <c r="F4445" t="s">
        <v>27987</v>
      </c>
      <c r="G4445" s="117">
        <v>19.84</v>
      </c>
    </row>
    <row r="4446" spans="1:7" x14ac:dyDescent="0.25">
      <c r="A4446" s="116" t="s">
        <v>6954</v>
      </c>
      <c r="B4446" s="117" t="s">
        <v>6955</v>
      </c>
      <c r="C4446" t="s">
        <v>67</v>
      </c>
      <c r="D4446" t="s">
        <v>67</v>
      </c>
      <c r="E4446" t="s">
        <v>67</v>
      </c>
      <c r="F4446" t="s">
        <v>27987</v>
      </c>
      <c r="G4446" s="117">
        <v>27.62</v>
      </c>
    </row>
    <row r="4447" spans="1:7" x14ac:dyDescent="0.25">
      <c r="A4447" s="116" t="s">
        <v>6956</v>
      </c>
      <c r="B4447" s="117" t="s">
        <v>6957</v>
      </c>
      <c r="C4447" t="s">
        <v>67</v>
      </c>
      <c r="D4447" t="s">
        <v>67</v>
      </c>
      <c r="E4447" t="s">
        <v>67</v>
      </c>
      <c r="F4447" t="s">
        <v>27987</v>
      </c>
      <c r="G4447" s="117">
        <v>20.46</v>
      </c>
    </row>
    <row r="4448" spans="1:7" x14ac:dyDescent="0.25">
      <c r="A4448" s="116" t="s">
        <v>28141</v>
      </c>
      <c r="B4448" s="117" t="s">
        <v>6548</v>
      </c>
      <c r="C4448" t="s">
        <v>67</v>
      </c>
      <c r="D4448" t="s">
        <v>67</v>
      </c>
      <c r="E4448" t="s">
        <v>67</v>
      </c>
      <c r="F4448" t="s">
        <v>27987</v>
      </c>
      <c r="G4448" s="117">
        <v>12.92</v>
      </c>
    </row>
    <row r="4449" spans="1:7" x14ac:dyDescent="0.25">
      <c r="A4449" s="116" t="s">
        <v>6958</v>
      </c>
      <c r="B4449" s="117" t="s">
        <v>28696</v>
      </c>
      <c r="C4449" t="s">
        <v>67</v>
      </c>
      <c r="D4449" t="s">
        <v>67</v>
      </c>
      <c r="E4449" t="s">
        <v>67</v>
      </c>
      <c r="F4449" t="s">
        <v>49</v>
      </c>
      <c r="G4449" s="117">
        <v>5</v>
      </c>
    </row>
    <row r="4450" spans="1:7" x14ac:dyDescent="0.25">
      <c r="A4450" s="116" t="s">
        <v>6959</v>
      </c>
      <c r="B4450" s="117" t="s">
        <v>6960</v>
      </c>
      <c r="C4450" t="s">
        <v>67</v>
      </c>
      <c r="D4450" t="s">
        <v>67</v>
      </c>
      <c r="E4450" t="s">
        <v>67</v>
      </c>
      <c r="F4450" t="s">
        <v>27987</v>
      </c>
      <c r="G4450" s="117">
        <v>27.62</v>
      </c>
    </row>
    <row r="4451" spans="1:7" x14ac:dyDescent="0.25">
      <c r="A4451" s="116" t="s">
        <v>26676</v>
      </c>
      <c r="B4451" s="117" t="s">
        <v>26677</v>
      </c>
      <c r="C4451" t="s">
        <v>67</v>
      </c>
      <c r="D4451" t="s">
        <v>67</v>
      </c>
      <c r="E4451" t="s">
        <v>67</v>
      </c>
      <c r="F4451" t="s">
        <v>27987</v>
      </c>
      <c r="G4451" s="117">
        <v>20</v>
      </c>
    </row>
    <row r="4452" spans="1:7" x14ac:dyDescent="0.25">
      <c r="A4452" s="116" t="s">
        <v>6961</v>
      </c>
      <c r="B4452" s="117" t="s">
        <v>28697</v>
      </c>
      <c r="C4452" t="s">
        <v>67</v>
      </c>
      <c r="D4452" t="s">
        <v>67</v>
      </c>
      <c r="E4452" t="s">
        <v>67</v>
      </c>
      <c r="F4452" t="s">
        <v>27987</v>
      </c>
      <c r="G4452" s="117">
        <v>9.33</v>
      </c>
    </row>
    <row r="4453" spans="1:7" x14ac:dyDescent="0.25">
      <c r="A4453" s="116" t="s">
        <v>6962</v>
      </c>
      <c r="B4453" s="117" t="s">
        <v>28698</v>
      </c>
      <c r="C4453" t="s">
        <v>67</v>
      </c>
      <c r="D4453" t="s">
        <v>67</v>
      </c>
      <c r="E4453" t="s">
        <v>67</v>
      </c>
      <c r="F4453" t="s">
        <v>27987</v>
      </c>
      <c r="G4453" s="117">
        <v>6.58</v>
      </c>
    </row>
    <row r="4454" spans="1:7" x14ac:dyDescent="0.25">
      <c r="A4454" s="116" t="s">
        <v>6963</v>
      </c>
      <c r="B4454" s="117" t="s">
        <v>6964</v>
      </c>
      <c r="C4454" t="s">
        <v>67</v>
      </c>
      <c r="D4454" t="s">
        <v>67</v>
      </c>
      <c r="E4454" t="s">
        <v>67</v>
      </c>
      <c r="F4454" t="s">
        <v>27987</v>
      </c>
      <c r="G4454" s="117">
        <v>20.72</v>
      </c>
    </row>
    <row r="4455" spans="1:7" x14ac:dyDescent="0.25">
      <c r="A4455" s="116" t="s">
        <v>6965</v>
      </c>
      <c r="B4455" s="117" t="s">
        <v>6966</v>
      </c>
      <c r="C4455" t="s">
        <v>67</v>
      </c>
      <c r="D4455" t="s">
        <v>67</v>
      </c>
      <c r="E4455" t="s">
        <v>67</v>
      </c>
      <c r="F4455" t="s">
        <v>27987</v>
      </c>
      <c r="G4455" s="117">
        <v>10.55</v>
      </c>
    </row>
    <row r="4456" spans="1:7" x14ac:dyDescent="0.25">
      <c r="A4456" s="116" t="s">
        <v>6967</v>
      </c>
      <c r="B4456" s="117" t="s">
        <v>6968</v>
      </c>
      <c r="C4456" t="s">
        <v>67</v>
      </c>
      <c r="D4456" t="s">
        <v>67</v>
      </c>
      <c r="E4456" t="s">
        <v>67</v>
      </c>
      <c r="F4456" t="s">
        <v>27987</v>
      </c>
      <c r="G4456" s="117">
        <v>15.82</v>
      </c>
    </row>
    <row r="4457" spans="1:7" x14ac:dyDescent="0.25">
      <c r="A4457" s="116" t="s">
        <v>26729</v>
      </c>
      <c r="B4457" s="117" t="s">
        <v>26730</v>
      </c>
      <c r="C4457" t="s">
        <v>67</v>
      </c>
      <c r="D4457" t="s">
        <v>67</v>
      </c>
      <c r="E4457" t="s">
        <v>67</v>
      </c>
      <c r="F4457" t="s">
        <v>27987</v>
      </c>
      <c r="G4457" s="117">
        <v>35.64</v>
      </c>
    </row>
    <row r="4458" spans="1:7" x14ac:dyDescent="0.25">
      <c r="A4458" s="116" t="s">
        <v>6969</v>
      </c>
      <c r="B4458" s="117" t="s">
        <v>6929</v>
      </c>
      <c r="C4458" t="s">
        <v>67</v>
      </c>
      <c r="D4458" t="s">
        <v>67</v>
      </c>
      <c r="E4458" t="s">
        <v>67</v>
      </c>
      <c r="F4458" t="s">
        <v>27987</v>
      </c>
      <c r="G4458" s="117">
        <v>25.59</v>
      </c>
    </row>
    <row r="4459" spans="1:7" x14ac:dyDescent="0.25">
      <c r="A4459" s="116" t="s">
        <v>6970</v>
      </c>
      <c r="B4459" s="117" t="s">
        <v>6971</v>
      </c>
      <c r="C4459" t="s">
        <v>67</v>
      </c>
      <c r="D4459" t="s">
        <v>67</v>
      </c>
      <c r="E4459" t="s">
        <v>67</v>
      </c>
      <c r="F4459" t="s">
        <v>27987</v>
      </c>
      <c r="G4459" s="117">
        <v>15.79</v>
      </c>
    </row>
    <row r="4460" spans="1:7" x14ac:dyDescent="0.25">
      <c r="A4460" s="116" t="s">
        <v>28699</v>
      </c>
      <c r="B4460" s="117" t="s">
        <v>29781</v>
      </c>
      <c r="C4460" t="s">
        <v>67</v>
      </c>
      <c r="D4460" t="s">
        <v>67</v>
      </c>
      <c r="E4460" t="s">
        <v>67</v>
      </c>
      <c r="F4460" t="s">
        <v>27987</v>
      </c>
      <c r="G4460" s="117">
        <v>181.13</v>
      </c>
    </row>
    <row r="4461" spans="1:7" x14ac:dyDescent="0.25">
      <c r="A4461" s="116" t="s">
        <v>30170</v>
      </c>
      <c r="B4461" s="117" t="s">
        <v>6651</v>
      </c>
      <c r="C4461" t="s">
        <v>67</v>
      </c>
      <c r="D4461" t="s">
        <v>67</v>
      </c>
      <c r="E4461" t="s">
        <v>67</v>
      </c>
      <c r="F4461" t="s">
        <v>27987</v>
      </c>
      <c r="G4461" s="117">
        <v>12</v>
      </c>
    </row>
    <row r="4462" spans="1:7" x14ac:dyDescent="0.25">
      <c r="A4462" s="116" t="s">
        <v>28187</v>
      </c>
      <c r="B4462" s="117" t="s">
        <v>28188</v>
      </c>
      <c r="C4462" t="s">
        <v>67</v>
      </c>
      <c r="D4462" t="s">
        <v>67</v>
      </c>
      <c r="E4462" t="s">
        <v>67</v>
      </c>
      <c r="F4462" t="s">
        <v>45</v>
      </c>
      <c r="G4462" s="117">
        <v>9999</v>
      </c>
    </row>
    <row r="4463" spans="1:7" x14ac:dyDescent="0.25">
      <c r="A4463" s="116" t="s">
        <v>28700</v>
      </c>
      <c r="B4463" s="117" t="s">
        <v>28701</v>
      </c>
      <c r="C4463" t="s">
        <v>67</v>
      </c>
      <c r="D4463" t="s">
        <v>67</v>
      </c>
      <c r="E4463" t="s">
        <v>67</v>
      </c>
      <c r="F4463" t="s">
        <v>27987</v>
      </c>
      <c r="G4463" s="117">
        <v>15</v>
      </c>
    </row>
    <row r="4464" spans="1:7" x14ac:dyDescent="0.25">
      <c r="A4464" s="116" t="s">
        <v>26606</v>
      </c>
      <c r="B4464" s="117" t="s">
        <v>26894</v>
      </c>
      <c r="C4464" t="s">
        <v>67</v>
      </c>
      <c r="D4464" t="s">
        <v>67</v>
      </c>
      <c r="E4464" t="s">
        <v>67</v>
      </c>
      <c r="F4464" t="s">
        <v>27987</v>
      </c>
      <c r="G4464" s="117">
        <v>31.33</v>
      </c>
    </row>
    <row r="4465" spans="1:7" x14ac:dyDescent="0.25">
      <c r="A4465" s="116" t="s">
        <v>26572</v>
      </c>
      <c r="B4465" s="117" t="s">
        <v>26895</v>
      </c>
      <c r="C4465" t="s">
        <v>67</v>
      </c>
      <c r="D4465" t="s">
        <v>67</v>
      </c>
      <c r="E4465" t="s">
        <v>67</v>
      </c>
      <c r="F4465" t="s">
        <v>27987</v>
      </c>
      <c r="G4465" s="117">
        <v>32.409999999999997</v>
      </c>
    </row>
    <row r="4466" spans="1:7" x14ac:dyDescent="0.25">
      <c r="A4466" s="116" t="s">
        <v>26607</v>
      </c>
      <c r="B4466" s="117" t="s">
        <v>28702</v>
      </c>
      <c r="C4466" t="s">
        <v>67</v>
      </c>
      <c r="D4466" t="s">
        <v>67</v>
      </c>
      <c r="E4466" t="s">
        <v>67</v>
      </c>
      <c r="F4466" t="s">
        <v>27987</v>
      </c>
      <c r="G4466" s="117">
        <v>12.68</v>
      </c>
    </row>
    <row r="4467" spans="1:7" x14ac:dyDescent="0.25">
      <c r="A4467" s="116" t="s">
        <v>28703</v>
      </c>
      <c r="B4467" s="117" t="s">
        <v>28704</v>
      </c>
      <c r="C4467" t="s">
        <v>67</v>
      </c>
      <c r="D4467" t="s">
        <v>67</v>
      </c>
      <c r="E4467" t="s">
        <v>67</v>
      </c>
      <c r="F4467" t="s">
        <v>27987</v>
      </c>
      <c r="G4467" s="117">
        <v>38</v>
      </c>
    </row>
    <row r="4468" spans="1:7" x14ac:dyDescent="0.25">
      <c r="A4468" s="116" t="s">
        <v>28705</v>
      </c>
      <c r="B4468" s="117" t="s">
        <v>30728</v>
      </c>
      <c r="C4468" t="s">
        <v>67</v>
      </c>
      <c r="D4468" t="s">
        <v>67</v>
      </c>
      <c r="E4468" t="s">
        <v>67</v>
      </c>
      <c r="F4468" t="s">
        <v>27987</v>
      </c>
      <c r="G4468" s="117">
        <v>8</v>
      </c>
    </row>
    <row r="4469" spans="1:7" x14ac:dyDescent="0.25">
      <c r="A4469" s="116" t="s">
        <v>28706</v>
      </c>
      <c r="B4469" s="117" t="s">
        <v>30729</v>
      </c>
      <c r="C4469" t="s">
        <v>67</v>
      </c>
      <c r="D4469" t="s">
        <v>67</v>
      </c>
      <c r="E4469" t="s">
        <v>67</v>
      </c>
      <c r="F4469" t="s">
        <v>27987</v>
      </c>
      <c r="G4469" s="117">
        <v>5</v>
      </c>
    </row>
    <row r="4470" spans="1:7" x14ac:dyDescent="0.25">
      <c r="A4470" s="116" t="s">
        <v>28707</v>
      </c>
      <c r="B4470" s="117" t="s">
        <v>30730</v>
      </c>
      <c r="C4470" t="s">
        <v>67</v>
      </c>
      <c r="D4470" t="s">
        <v>67</v>
      </c>
      <c r="E4470" t="s">
        <v>67</v>
      </c>
      <c r="F4470" t="s">
        <v>27987</v>
      </c>
      <c r="G4470" s="117">
        <v>15</v>
      </c>
    </row>
    <row r="4471" spans="1:7" x14ac:dyDescent="0.25">
      <c r="A4471" s="116" t="s">
        <v>28142</v>
      </c>
      <c r="B4471" s="117" t="s">
        <v>28708</v>
      </c>
      <c r="C4471" t="s">
        <v>67</v>
      </c>
      <c r="D4471" t="s">
        <v>67</v>
      </c>
      <c r="E4471" t="s">
        <v>67</v>
      </c>
      <c r="F4471" t="s">
        <v>27987</v>
      </c>
      <c r="G4471" s="117">
        <v>15</v>
      </c>
    </row>
    <row r="4472" spans="1:7" x14ac:dyDescent="0.25">
      <c r="A4472" s="116" t="s">
        <v>26697</v>
      </c>
      <c r="B4472" s="117" t="s">
        <v>28709</v>
      </c>
      <c r="C4472" t="s">
        <v>67</v>
      </c>
      <c r="D4472" t="s">
        <v>67</v>
      </c>
      <c r="E4472" t="s">
        <v>67</v>
      </c>
      <c r="F4472" t="s">
        <v>27987</v>
      </c>
      <c r="G4472" s="117">
        <v>42</v>
      </c>
    </row>
    <row r="4473" spans="1:7" x14ac:dyDescent="0.25">
      <c r="A4473" s="116" t="s">
        <v>29915</v>
      </c>
      <c r="B4473" s="117" t="s">
        <v>30418</v>
      </c>
      <c r="C4473" t="s">
        <v>67</v>
      </c>
      <c r="D4473" t="s">
        <v>67</v>
      </c>
      <c r="E4473" t="s">
        <v>67</v>
      </c>
      <c r="F4473" t="s">
        <v>27987</v>
      </c>
      <c r="G4473" s="117">
        <v>1.5</v>
      </c>
    </row>
    <row r="4474" spans="1:7" x14ac:dyDescent="0.25">
      <c r="A4474" s="116" t="s">
        <v>27026</v>
      </c>
      <c r="B4474" s="117" t="s">
        <v>28710</v>
      </c>
      <c r="C4474" t="s">
        <v>67</v>
      </c>
      <c r="D4474" t="s">
        <v>67</v>
      </c>
      <c r="E4474" t="s">
        <v>67</v>
      </c>
      <c r="F4474" t="s">
        <v>27987</v>
      </c>
      <c r="G4474" s="117">
        <v>50</v>
      </c>
    </row>
    <row r="4475" spans="1:7" x14ac:dyDescent="0.25">
      <c r="A4475" s="116" t="s">
        <v>28711</v>
      </c>
      <c r="B4475" s="117" t="s">
        <v>6631</v>
      </c>
      <c r="C4475" t="s">
        <v>67</v>
      </c>
      <c r="D4475" t="s">
        <v>67</v>
      </c>
      <c r="E4475" t="s">
        <v>67</v>
      </c>
      <c r="F4475" t="s">
        <v>45</v>
      </c>
      <c r="G4475" s="117">
        <v>9999</v>
      </c>
    </row>
    <row r="4476" spans="1:7" x14ac:dyDescent="0.25">
      <c r="A4476" s="116" t="s">
        <v>28712</v>
      </c>
      <c r="B4476" s="117" t="s">
        <v>28713</v>
      </c>
      <c r="C4476" t="s">
        <v>67</v>
      </c>
      <c r="D4476" t="s">
        <v>67</v>
      </c>
      <c r="E4476" t="s">
        <v>67</v>
      </c>
      <c r="F4476" t="s">
        <v>49</v>
      </c>
      <c r="G4476" s="117">
        <v>12</v>
      </c>
    </row>
    <row r="4477" spans="1:7" x14ac:dyDescent="0.25">
      <c r="A4477" s="116" t="s">
        <v>28714</v>
      </c>
      <c r="B4477" s="117" t="s">
        <v>31127</v>
      </c>
      <c r="C4477" t="s">
        <v>67</v>
      </c>
      <c r="D4477" t="s">
        <v>67</v>
      </c>
      <c r="E4477" t="s">
        <v>67</v>
      </c>
      <c r="F4477" t="s">
        <v>49</v>
      </c>
      <c r="G4477" s="117">
        <v>35</v>
      </c>
    </row>
    <row r="4478" spans="1:7" x14ac:dyDescent="0.25">
      <c r="A4478" s="116" t="s">
        <v>28715</v>
      </c>
      <c r="B4478" s="117" t="s">
        <v>30419</v>
      </c>
      <c r="C4478" t="s">
        <v>67</v>
      </c>
      <c r="D4478" t="s">
        <v>67</v>
      </c>
      <c r="E4478" t="s">
        <v>67</v>
      </c>
      <c r="F4478" t="s">
        <v>27987</v>
      </c>
      <c r="G4478" s="117">
        <v>15.33</v>
      </c>
    </row>
    <row r="4479" spans="1:7" x14ac:dyDescent="0.25">
      <c r="A4479" s="116" t="s">
        <v>28716</v>
      </c>
      <c r="B4479" s="117" t="s">
        <v>30420</v>
      </c>
      <c r="C4479" t="s">
        <v>67</v>
      </c>
      <c r="D4479" t="s">
        <v>67</v>
      </c>
      <c r="E4479" t="s">
        <v>67</v>
      </c>
      <c r="F4479" t="s">
        <v>27987</v>
      </c>
      <c r="G4479" s="117">
        <v>50</v>
      </c>
    </row>
    <row r="4480" spans="1:7" x14ac:dyDescent="0.25">
      <c r="A4480" s="116" t="s">
        <v>28717</v>
      </c>
      <c r="B4480" s="117" t="s">
        <v>30421</v>
      </c>
      <c r="C4480" t="s">
        <v>67</v>
      </c>
      <c r="D4480" t="s">
        <v>67</v>
      </c>
      <c r="E4480" t="s">
        <v>67</v>
      </c>
      <c r="F4480" t="s">
        <v>49</v>
      </c>
      <c r="G4480" s="117">
        <v>8</v>
      </c>
    </row>
    <row r="4481" spans="1:7" x14ac:dyDescent="0.25">
      <c r="A4481" s="116" t="s">
        <v>28718</v>
      </c>
      <c r="B4481" s="117" t="s">
        <v>30422</v>
      </c>
      <c r="C4481" t="s">
        <v>67</v>
      </c>
      <c r="D4481" t="s">
        <v>67</v>
      </c>
      <c r="E4481" t="s">
        <v>67</v>
      </c>
      <c r="F4481" t="s">
        <v>49</v>
      </c>
      <c r="G4481" s="117">
        <v>8</v>
      </c>
    </row>
    <row r="4482" spans="1:7" x14ac:dyDescent="0.25">
      <c r="A4482" s="116" t="s">
        <v>28719</v>
      </c>
      <c r="B4482" s="117" t="s">
        <v>30423</v>
      </c>
      <c r="C4482" t="s">
        <v>67</v>
      </c>
      <c r="D4482" t="s">
        <v>67</v>
      </c>
      <c r="E4482" t="s">
        <v>67</v>
      </c>
      <c r="F4482" t="s">
        <v>27987</v>
      </c>
      <c r="G4482" s="117">
        <v>17.96</v>
      </c>
    </row>
    <row r="4483" spans="1:7" x14ac:dyDescent="0.25">
      <c r="A4483" s="116" t="s">
        <v>29916</v>
      </c>
      <c r="B4483" s="117" t="s">
        <v>29917</v>
      </c>
      <c r="C4483" t="s">
        <v>67</v>
      </c>
      <c r="D4483" t="s">
        <v>67</v>
      </c>
      <c r="E4483" t="s">
        <v>67</v>
      </c>
      <c r="F4483" t="s">
        <v>27987</v>
      </c>
      <c r="G4483" s="117">
        <v>9999</v>
      </c>
    </row>
    <row r="4484" spans="1:7" x14ac:dyDescent="0.25">
      <c r="A4484" s="116" t="s">
        <v>29918</v>
      </c>
      <c r="B4484" s="117" t="s">
        <v>30424</v>
      </c>
      <c r="C4484" t="s">
        <v>67</v>
      </c>
      <c r="D4484" t="s">
        <v>67</v>
      </c>
      <c r="E4484" t="s">
        <v>67</v>
      </c>
      <c r="F4484" t="s">
        <v>27987</v>
      </c>
      <c r="G4484" s="117">
        <v>19.64</v>
      </c>
    </row>
    <row r="4485" spans="1:7" x14ac:dyDescent="0.25">
      <c r="A4485" s="116" t="s">
        <v>6972</v>
      </c>
      <c r="B4485" s="117" t="s">
        <v>6973</v>
      </c>
      <c r="C4485" t="s">
        <v>67</v>
      </c>
      <c r="D4485" t="s">
        <v>67</v>
      </c>
      <c r="E4485" t="s">
        <v>67</v>
      </c>
      <c r="F4485" t="s">
        <v>27987</v>
      </c>
      <c r="G4485" s="117">
        <v>3.48</v>
      </c>
    </row>
    <row r="4486" spans="1:7" x14ac:dyDescent="0.25">
      <c r="A4486" s="116" t="s">
        <v>6974</v>
      </c>
      <c r="B4486" s="117" t="s">
        <v>6975</v>
      </c>
      <c r="C4486" t="s">
        <v>67</v>
      </c>
      <c r="D4486" t="s">
        <v>67</v>
      </c>
      <c r="E4486" t="s">
        <v>67</v>
      </c>
      <c r="F4486" t="s">
        <v>27987</v>
      </c>
      <c r="G4486" s="117">
        <v>0.44</v>
      </c>
    </row>
    <row r="4487" spans="1:7" x14ac:dyDescent="0.25">
      <c r="A4487" s="116" t="s">
        <v>6976</v>
      </c>
      <c r="B4487" s="117" t="s">
        <v>6977</v>
      </c>
      <c r="C4487" t="s">
        <v>67</v>
      </c>
      <c r="D4487" t="s">
        <v>67</v>
      </c>
      <c r="E4487" t="s">
        <v>67</v>
      </c>
      <c r="F4487" t="s">
        <v>49</v>
      </c>
      <c r="G4487" s="117">
        <v>0.44</v>
      </c>
    </row>
    <row r="4488" spans="1:7" x14ac:dyDescent="0.25">
      <c r="A4488" s="116" t="s">
        <v>6978</v>
      </c>
      <c r="B4488" s="117" t="s">
        <v>6979</v>
      </c>
      <c r="C4488" t="s">
        <v>67</v>
      </c>
      <c r="D4488" t="s">
        <v>67</v>
      </c>
      <c r="E4488" t="s">
        <v>67</v>
      </c>
      <c r="F4488" t="s">
        <v>45</v>
      </c>
      <c r="G4488" s="117">
        <v>0.44</v>
      </c>
    </row>
    <row r="4489" spans="1:7" x14ac:dyDescent="0.25">
      <c r="A4489" s="116" t="s">
        <v>6980</v>
      </c>
      <c r="B4489" s="117" t="s">
        <v>6981</v>
      </c>
      <c r="C4489" t="s">
        <v>67</v>
      </c>
      <c r="D4489" t="s">
        <v>67</v>
      </c>
      <c r="E4489" t="s">
        <v>67</v>
      </c>
      <c r="F4489" t="s">
        <v>27987</v>
      </c>
      <c r="G4489" s="117">
        <v>0.2</v>
      </c>
    </row>
    <row r="4490" spans="1:7" x14ac:dyDescent="0.25">
      <c r="A4490" s="116" t="s">
        <v>6982</v>
      </c>
      <c r="B4490" s="117" t="s">
        <v>6983</v>
      </c>
      <c r="C4490" t="s">
        <v>67</v>
      </c>
      <c r="D4490" t="s">
        <v>67</v>
      </c>
      <c r="E4490" t="s">
        <v>67</v>
      </c>
      <c r="F4490" t="s">
        <v>27987</v>
      </c>
      <c r="G4490" s="117">
        <v>2.58</v>
      </c>
    </row>
    <row r="4491" spans="1:7" x14ac:dyDescent="0.25">
      <c r="A4491" s="116" t="s">
        <v>6984</v>
      </c>
      <c r="B4491" s="117" t="s">
        <v>6985</v>
      </c>
      <c r="C4491" t="s">
        <v>67</v>
      </c>
      <c r="D4491" t="s">
        <v>67</v>
      </c>
      <c r="E4491" t="s">
        <v>67</v>
      </c>
      <c r="F4491" t="s">
        <v>27987</v>
      </c>
      <c r="G4491" s="117">
        <v>1.33</v>
      </c>
    </row>
    <row r="4492" spans="1:7" x14ac:dyDescent="0.25">
      <c r="A4492" s="116" t="s">
        <v>6986</v>
      </c>
      <c r="B4492" s="117" t="s">
        <v>6987</v>
      </c>
      <c r="C4492" t="s">
        <v>67</v>
      </c>
      <c r="D4492" t="s">
        <v>67</v>
      </c>
      <c r="E4492" t="s">
        <v>67</v>
      </c>
      <c r="F4492" t="s">
        <v>27987</v>
      </c>
      <c r="G4492" s="117">
        <v>0.8</v>
      </c>
    </row>
    <row r="4493" spans="1:7" x14ac:dyDescent="0.25">
      <c r="A4493" s="116" t="s">
        <v>6988</v>
      </c>
      <c r="B4493" s="117" t="s">
        <v>6989</v>
      </c>
      <c r="C4493" t="s">
        <v>67</v>
      </c>
      <c r="D4493" t="s">
        <v>67</v>
      </c>
      <c r="E4493" t="s">
        <v>67</v>
      </c>
      <c r="F4493" t="s">
        <v>45</v>
      </c>
      <c r="G4493" s="117">
        <v>0.44</v>
      </c>
    </row>
    <row r="4494" spans="1:7" x14ac:dyDescent="0.25">
      <c r="A4494" s="116" t="s">
        <v>6990</v>
      </c>
      <c r="B4494" s="117" t="s">
        <v>6991</v>
      </c>
      <c r="C4494" t="s">
        <v>67</v>
      </c>
      <c r="D4494" t="s">
        <v>67</v>
      </c>
      <c r="E4494" t="s">
        <v>67</v>
      </c>
      <c r="F4494" t="s">
        <v>45</v>
      </c>
      <c r="G4494" s="117">
        <v>23.94</v>
      </c>
    </row>
    <row r="4495" spans="1:7" x14ac:dyDescent="0.25">
      <c r="A4495" s="116" t="s">
        <v>6992</v>
      </c>
      <c r="B4495" s="117" t="s">
        <v>6993</v>
      </c>
      <c r="C4495" t="s">
        <v>67</v>
      </c>
      <c r="D4495" t="s">
        <v>67</v>
      </c>
      <c r="E4495" t="s">
        <v>67</v>
      </c>
      <c r="F4495" t="s">
        <v>27987</v>
      </c>
      <c r="G4495" s="117">
        <v>0.44</v>
      </c>
    </row>
    <row r="4496" spans="1:7" x14ac:dyDescent="0.25">
      <c r="A4496" s="116" t="s">
        <v>6994</v>
      </c>
      <c r="B4496" s="117" t="s">
        <v>6995</v>
      </c>
      <c r="C4496" t="s">
        <v>67</v>
      </c>
      <c r="D4496" t="s">
        <v>67</v>
      </c>
      <c r="E4496" t="s">
        <v>67</v>
      </c>
      <c r="F4496" t="s">
        <v>27987</v>
      </c>
      <c r="G4496" s="117">
        <v>9.35</v>
      </c>
    </row>
    <row r="4497" spans="1:7" x14ac:dyDescent="0.25">
      <c r="A4497" s="116" t="s">
        <v>6996</v>
      </c>
      <c r="B4497" s="117" t="s">
        <v>6997</v>
      </c>
      <c r="C4497" t="s">
        <v>67</v>
      </c>
      <c r="D4497" t="s">
        <v>67</v>
      </c>
      <c r="E4497" t="s">
        <v>67</v>
      </c>
      <c r="F4497" t="s">
        <v>49</v>
      </c>
      <c r="G4497" s="117">
        <v>1.33</v>
      </c>
    </row>
    <row r="4498" spans="1:7" x14ac:dyDescent="0.25">
      <c r="A4498" s="116" t="s">
        <v>6998</v>
      </c>
      <c r="B4498" s="117" t="s">
        <v>6999</v>
      </c>
      <c r="C4498" t="s">
        <v>67</v>
      </c>
      <c r="D4498" t="s">
        <v>67</v>
      </c>
      <c r="E4498" t="s">
        <v>67</v>
      </c>
      <c r="F4498" t="s">
        <v>49</v>
      </c>
      <c r="G4498" s="117">
        <v>0.8</v>
      </c>
    </row>
    <row r="4499" spans="1:7" x14ac:dyDescent="0.25">
      <c r="A4499" s="116" t="s">
        <v>7000</v>
      </c>
      <c r="B4499" s="117" t="s">
        <v>7001</v>
      </c>
      <c r="C4499" t="s">
        <v>67</v>
      </c>
      <c r="D4499" t="s">
        <v>67</v>
      </c>
      <c r="E4499" t="s">
        <v>67</v>
      </c>
      <c r="F4499" t="s">
        <v>27987</v>
      </c>
      <c r="G4499" s="117">
        <v>0.89</v>
      </c>
    </row>
    <row r="4500" spans="1:7" x14ac:dyDescent="0.25">
      <c r="A4500" s="116" t="s">
        <v>7002</v>
      </c>
      <c r="B4500" s="117" t="s">
        <v>6979</v>
      </c>
      <c r="C4500" t="s">
        <v>67</v>
      </c>
      <c r="D4500" t="s">
        <v>67</v>
      </c>
      <c r="E4500" t="s">
        <v>67</v>
      </c>
      <c r="F4500" t="s">
        <v>49</v>
      </c>
      <c r="G4500" s="117">
        <v>0.44</v>
      </c>
    </row>
    <row r="4501" spans="1:7" x14ac:dyDescent="0.25">
      <c r="A4501" s="116" t="s">
        <v>7003</v>
      </c>
      <c r="B4501" s="117" t="s">
        <v>7004</v>
      </c>
      <c r="C4501" t="s">
        <v>67</v>
      </c>
      <c r="D4501" t="s">
        <v>67</v>
      </c>
      <c r="E4501" t="s">
        <v>67</v>
      </c>
      <c r="F4501" t="s">
        <v>49</v>
      </c>
      <c r="G4501" s="117">
        <v>0.44</v>
      </c>
    </row>
    <row r="4502" spans="1:7" x14ac:dyDescent="0.25">
      <c r="A4502" s="116" t="s">
        <v>7005</v>
      </c>
      <c r="B4502" s="117" t="s">
        <v>7006</v>
      </c>
      <c r="C4502" t="s">
        <v>67</v>
      </c>
      <c r="D4502" t="s">
        <v>67</v>
      </c>
      <c r="E4502" t="s">
        <v>67</v>
      </c>
      <c r="F4502" t="s">
        <v>27987</v>
      </c>
      <c r="G4502" s="117">
        <v>1.33</v>
      </c>
    </row>
    <row r="4503" spans="1:7" x14ac:dyDescent="0.25">
      <c r="A4503" s="116" t="s">
        <v>7007</v>
      </c>
      <c r="B4503" s="117" t="s">
        <v>7008</v>
      </c>
      <c r="C4503" t="s">
        <v>67</v>
      </c>
      <c r="D4503" t="s">
        <v>67</v>
      </c>
      <c r="E4503" t="s">
        <v>67</v>
      </c>
      <c r="F4503" t="s">
        <v>49</v>
      </c>
      <c r="G4503" s="117">
        <v>1.69</v>
      </c>
    </row>
    <row r="4504" spans="1:7" x14ac:dyDescent="0.25">
      <c r="A4504" s="116" t="s">
        <v>7009</v>
      </c>
      <c r="B4504" s="117" t="s">
        <v>7010</v>
      </c>
      <c r="C4504" t="s">
        <v>67</v>
      </c>
      <c r="D4504" t="s">
        <v>67</v>
      </c>
      <c r="E4504" t="s">
        <v>67</v>
      </c>
      <c r="F4504" t="s">
        <v>27987</v>
      </c>
      <c r="G4504" s="117">
        <v>1.33</v>
      </c>
    </row>
    <row r="4505" spans="1:7" x14ac:dyDescent="0.25">
      <c r="A4505" s="116" t="s">
        <v>7011</v>
      </c>
      <c r="B4505" s="117" t="s">
        <v>7012</v>
      </c>
      <c r="C4505" t="s">
        <v>67</v>
      </c>
      <c r="D4505" t="s">
        <v>67</v>
      </c>
      <c r="E4505" t="s">
        <v>67</v>
      </c>
      <c r="F4505" t="s">
        <v>27987</v>
      </c>
      <c r="G4505" s="117">
        <v>0.8</v>
      </c>
    </row>
    <row r="4506" spans="1:7" x14ac:dyDescent="0.25">
      <c r="A4506" s="116" t="s">
        <v>7013</v>
      </c>
      <c r="B4506" s="117" t="s">
        <v>7014</v>
      </c>
      <c r="C4506" t="s">
        <v>67</v>
      </c>
      <c r="D4506" t="s">
        <v>67</v>
      </c>
      <c r="E4506" t="s">
        <v>67</v>
      </c>
      <c r="F4506" t="s">
        <v>27987</v>
      </c>
      <c r="G4506" s="117">
        <v>3.12</v>
      </c>
    </row>
    <row r="4507" spans="1:7" x14ac:dyDescent="0.25">
      <c r="A4507" s="116" t="s">
        <v>7015</v>
      </c>
      <c r="B4507" s="117" t="s">
        <v>6979</v>
      </c>
      <c r="C4507" t="s">
        <v>67</v>
      </c>
      <c r="D4507" t="s">
        <v>67</v>
      </c>
      <c r="E4507" t="s">
        <v>67</v>
      </c>
      <c r="F4507" t="s">
        <v>27987</v>
      </c>
      <c r="G4507" s="117">
        <v>0.89</v>
      </c>
    </row>
    <row r="4508" spans="1:7" x14ac:dyDescent="0.25">
      <c r="A4508" s="116" t="s">
        <v>7016</v>
      </c>
      <c r="B4508" s="117" t="s">
        <v>7017</v>
      </c>
      <c r="C4508" t="s">
        <v>67</v>
      </c>
      <c r="D4508" t="s">
        <v>67</v>
      </c>
      <c r="E4508" t="s">
        <v>67</v>
      </c>
      <c r="F4508" t="s">
        <v>27987</v>
      </c>
      <c r="G4508" s="117">
        <v>0.8</v>
      </c>
    </row>
    <row r="4509" spans="1:7" x14ac:dyDescent="0.25">
      <c r="A4509" s="116" t="s">
        <v>7018</v>
      </c>
      <c r="B4509" s="117" t="s">
        <v>7019</v>
      </c>
      <c r="C4509" t="s">
        <v>67</v>
      </c>
      <c r="D4509" t="s">
        <v>67</v>
      </c>
      <c r="E4509" t="s">
        <v>67</v>
      </c>
      <c r="F4509" t="s">
        <v>27987</v>
      </c>
      <c r="G4509" s="117">
        <v>3.56</v>
      </c>
    </row>
    <row r="4510" spans="1:7" x14ac:dyDescent="0.25">
      <c r="A4510" s="116" t="s">
        <v>7020</v>
      </c>
      <c r="B4510" s="117" t="s">
        <v>7021</v>
      </c>
      <c r="C4510" t="s">
        <v>67</v>
      </c>
      <c r="D4510" t="s">
        <v>67</v>
      </c>
      <c r="E4510" t="s">
        <v>67</v>
      </c>
      <c r="F4510" t="s">
        <v>49</v>
      </c>
      <c r="G4510" s="117">
        <v>1.69</v>
      </c>
    </row>
    <row r="4511" spans="1:7" x14ac:dyDescent="0.25">
      <c r="A4511" s="116" t="s">
        <v>7022</v>
      </c>
      <c r="B4511" s="117" t="s">
        <v>6977</v>
      </c>
      <c r="C4511" t="s">
        <v>67</v>
      </c>
      <c r="D4511" t="s">
        <v>67</v>
      </c>
      <c r="E4511" t="s">
        <v>67</v>
      </c>
      <c r="F4511" t="s">
        <v>49</v>
      </c>
      <c r="G4511" s="117">
        <v>0.8</v>
      </c>
    </row>
    <row r="4512" spans="1:7" x14ac:dyDescent="0.25">
      <c r="A4512" s="116" t="s">
        <v>7023</v>
      </c>
      <c r="B4512" s="117" t="s">
        <v>7024</v>
      </c>
      <c r="C4512" t="s">
        <v>67</v>
      </c>
      <c r="D4512" t="s">
        <v>67</v>
      </c>
      <c r="E4512" t="s">
        <v>67</v>
      </c>
      <c r="F4512" t="s">
        <v>27987</v>
      </c>
      <c r="G4512" s="117">
        <v>3.56</v>
      </c>
    </row>
    <row r="4513" spans="1:7" x14ac:dyDescent="0.25">
      <c r="A4513" s="116" t="s">
        <v>7025</v>
      </c>
      <c r="B4513" s="117" t="s">
        <v>7024</v>
      </c>
      <c r="C4513" t="s">
        <v>67</v>
      </c>
      <c r="D4513" t="s">
        <v>67</v>
      </c>
      <c r="E4513" t="s">
        <v>67</v>
      </c>
      <c r="F4513" t="s">
        <v>27987</v>
      </c>
      <c r="G4513" s="117">
        <v>3.56</v>
      </c>
    </row>
    <row r="4514" spans="1:7" x14ac:dyDescent="0.25">
      <c r="A4514" s="116" t="s">
        <v>7026</v>
      </c>
      <c r="B4514" s="117" t="s">
        <v>7021</v>
      </c>
      <c r="C4514" t="s">
        <v>67</v>
      </c>
      <c r="D4514" t="s">
        <v>67</v>
      </c>
      <c r="E4514" t="s">
        <v>67</v>
      </c>
      <c r="F4514" t="s">
        <v>27987</v>
      </c>
      <c r="G4514" s="117">
        <v>3.12</v>
      </c>
    </row>
    <row r="4515" spans="1:7" x14ac:dyDescent="0.25">
      <c r="A4515" s="116" t="s">
        <v>7027</v>
      </c>
      <c r="B4515" s="117" t="s">
        <v>7028</v>
      </c>
      <c r="C4515" t="s">
        <v>67</v>
      </c>
      <c r="D4515" t="s">
        <v>67</v>
      </c>
      <c r="E4515" t="s">
        <v>67</v>
      </c>
      <c r="F4515" t="s">
        <v>27987</v>
      </c>
      <c r="G4515" s="117">
        <v>3.48</v>
      </c>
    </row>
    <row r="4516" spans="1:7" x14ac:dyDescent="0.25">
      <c r="A4516" s="116" t="s">
        <v>7029</v>
      </c>
      <c r="B4516" s="117" t="s">
        <v>6977</v>
      </c>
      <c r="C4516" t="s">
        <v>67</v>
      </c>
      <c r="D4516" t="s">
        <v>67</v>
      </c>
      <c r="E4516" t="s">
        <v>67</v>
      </c>
      <c r="F4516" t="s">
        <v>27990</v>
      </c>
      <c r="G4516" s="117">
        <v>0.44</v>
      </c>
    </row>
    <row r="4517" spans="1:7" x14ac:dyDescent="0.25">
      <c r="A4517" s="116" t="s">
        <v>7030</v>
      </c>
      <c r="B4517" s="117" t="s">
        <v>7031</v>
      </c>
      <c r="C4517" t="s">
        <v>67</v>
      </c>
      <c r="D4517" t="s">
        <v>67</v>
      </c>
      <c r="E4517" t="s">
        <v>67</v>
      </c>
      <c r="F4517" t="s">
        <v>27987</v>
      </c>
      <c r="G4517" s="117">
        <v>0.44</v>
      </c>
    </row>
    <row r="4518" spans="1:7" x14ac:dyDescent="0.25">
      <c r="A4518" s="116" t="s">
        <v>7032</v>
      </c>
      <c r="B4518" s="117" t="s">
        <v>7033</v>
      </c>
      <c r="C4518" t="s">
        <v>67</v>
      </c>
      <c r="D4518" t="s">
        <v>67</v>
      </c>
      <c r="E4518" t="s">
        <v>67</v>
      </c>
      <c r="F4518" t="s">
        <v>27987</v>
      </c>
      <c r="G4518" s="117">
        <v>3.56</v>
      </c>
    </row>
    <row r="4519" spans="1:7" x14ac:dyDescent="0.25">
      <c r="A4519" s="116" t="s">
        <v>7034</v>
      </c>
      <c r="B4519" s="117" t="s">
        <v>6977</v>
      </c>
      <c r="C4519" t="s">
        <v>67</v>
      </c>
      <c r="D4519" t="s">
        <v>67</v>
      </c>
      <c r="E4519" t="s">
        <v>67</v>
      </c>
      <c r="F4519" t="s">
        <v>27987</v>
      </c>
      <c r="G4519" s="117">
        <v>0.8</v>
      </c>
    </row>
    <row r="4520" spans="1:7" x14ac:dyDescent="0.25">
      <c r="A4520" s="116" t="s">
        <v>7035</v>
      </c>
      <c r="B4520" s="117" t="s">
        <v>6977</v>
      </c>
      <c r="C4520" t="s">
        <v>67</v>
      </c>
      <c r="D4520" t="s">
        <v>67</v>
      </c>
      <c r="E4520" t="s">
        <v>67</v>
      </c>
      <c r="F4520" t="s">
        <v>45</v>
      </c>
      <c r="G4520" s="117">
        <v>1.33</v>
      </c>
    </row>
    <row r="4521" spans="1:7" x14ac:dyDescent="0.25">
      <c r="A4521" s="116" t="s">
        <v>7036</v>
      </c>
      <c r="B4521" s="117" t="s">
        <v>7037</v>
      </c>
      <c r="C4521" t="s">
        <v>67</v>
      </c>
      <c r="D4521" t="s">
        <v>67</v>
      </c>
      <c r="E4521" t="s">
        <v>67</v>
      </c>
      <c r="F4521" t="s">
        <v>27987</v>
      </c>
      <c r="G4521" s="117">
        <v>0.89</v>
      </c>
    </row>
    <row r="4522" spans="1:7" x14ac:dyDescent="0.25">
      <c r="A4522" s="116" t="s">
        <v>7038</v>
      </c>
      <c r="B4522" s="117" t="s">
        <v>7039</v>
      </c>
      <c r="C4522" t="s">
        <v>67</v>
      </c>
      <c r="D4522" t="s">
        <v>67</v>
      </c>
      <c r="E4522" t="s">
        <v>67</v>
      </c>
      <c r="F4522" t="s">
        <v>27987</v>
      </c>
      <c r="G4522" s="117">
        <v>8.4499999999999993</v>
      </c>
    </row>
    <row r="4523" spans="1:7" x14ac:dyDescent="0.25">
      <c r="A4523" s="116" t="s">
        <v>7040</v>
      </c>
      <c r="B4523" s="117" t="s">
        <v>7041</v>
      </c>
      <c r="C4523" t="s">
        <v>67</v>
      </c>
      <c r="D4523" t="s">
        <v>67</v>
      </c>
      <c r="E4523" t="s">
        <v>67</v>
      </c>
      <c r="F4523" t="s">
        <v>45</v>
      </c>
      <c r="G4523" s="117">
        <v>0.84</v>
      </c>
    </row>
    <row r="4524" spans="1:7" x14ac:dyDescent="0.25">
      <c r="A4524" s="116" t="s">
        <v>7042</v>
      </c>
      <c r="B4524" s="117" t="s">
        <v>7043</v>
      </c>
      <c r="C4524" t="s">
        <v>67</v>
      </c>
      <c r="D4524" t="s">
        <v>67</v>
      </c>
      <c r="E4524" t="s">
        <v>67</v>
      </c>
      <c r="F4524" t="s">
        <v>49</v>
      </c>
      <c r="G4524" s="117">
        <v>2.58</v>
      </c>
    </row>
    <row r="4525" spans="1:7" x14ac:dyDescent="0.25">
      <c r="A4525" s="116" t="s">
        <v>7044</v>
      </c>
      <c r="B4525" s="117" t="s">
        <v>7045</v>
      </c>
      <c r="C4525" t="s">
        <v>67</v>
      </c>
      <c r="D4525" t="s">
        <v>67</v>
      </c>
      <c r="E4525" t="s">
        <v>67</v>
      </c>
      <c r="F4525" t="s">
        <v>49</v>
      </c>
      <c r="G4525" s="117">
        <v>1.33</v>
      </c>
    </row>
    <row r="4526" spans="1:7" x14ac:dyDescent="0.25">
      <c r="A4526" s="116" t="s">
        <v>7046</v>
      </c>
      <c r="B4526" s="117" t="s">
        <v>7047</v>
      </c>
      <c r="C4526" t="s">
        <v>67</v>
      </c>
      <c r="D4526" t="s">
        <v>67</v>
      </c>
      <c r="E4526" t="s">
        <v>67</v>
      </c>
      <c r="F4526" t="s">
        <v>27987</v>
      </c>
      <c r="G4526" s="117">
        <v>1.69</v>
      </c>
    </row>
    <row r="4527" spans="1:7" x14ac:dyDescent="0.25">
      <c r="A4527" s="116" t="s">
        <v>7048</v>
      </c>
      <c r="B4527" s="117" t="s">
        <v>7049</v>
      </c>
      <c r="C4527" t="s">
        <v>67</v>
      </c>
      <c r="D4527" t="s">
        <v>67</v>
      </c>
      <c r="E4527" t="s">
        <v>67</v>
      </c>
      <c r="F4527" t="s">
        <v>45</v>
      </c>
      <c r="G4527" s="117">
        <v>1.33</v>
      </c>
    </row>
    <row r="4528" spans="1:7" x14ac:dyDescent="0.25">
      <c r="A4528" s="116" t="s">
        <v>7050</v>
      </c>
      <c r="B4528" s="117" t="s">
        <v>7051</v>
      </c>
      <c r="C4528" t="s">
        <v>67</v>
      </c>
      <c r="D4528" t="s">
        <v>67</v>
      </c>
      <c r="E4528" t="s">
        <v>67</v>
      </c>
      <c r="F4528" t="s">
        <v>49</v>
      </c>
      <c r="G4528" s="117">
        <v>35.14</v>
      </c>
    </row>
    <row r="4529" spans="1:7" x14ac:dyDescent="0.25">
      <c r="A4529" s="116" t="s">
        <v>7052</v>
      </c>
      <c r="B4529" s="117" t="s">
        <v>7053</v>
      </c>
      <c r="C4529" t="s">
        <v>67</v>
      </c>
      <c r="D4529" t="s">
        <v>67</v>
      </c>
      <c r="E4529" t="s">
        <v>67</v>
      </c>
      <c r="F4529" t="s">
        <v>49</v>
      </c>
      <c r="G4529" s="117">
        <v>15.93</v>
      </c>
    </row>
    <row r="4530" spans="1:7" x14ac:dyDescent="0.25">
      <c r="A4530" s="116" t="s">
        <v>7054</v>
      </c>
      <c r="B4530" s="117" t="s">
        <v>7055</v>
      </c>
      <c r="C4530" t="s">
        <v>67</v>
      </c>
      <c r="D4530" t="s">
        <v>67</v>
      </c>
      <c r="E4530" t="s">
        <v>67</v>
      </c>
      <c r="F4530" t="s">
        <v>27987</v>
      </c>
      <c r="G4530" s="117">
        <v>0.8</v>
      </c>
    </row>
    <row r="4531" spans="1:7" x14ac:dyDescent="0.25">
      <c r="A4531" s="116" t="s">
        <v>7056</v>
      </c>
      <c r="B4531" s="117" t="s">
        <v>7057</v>
      </c>
      <c r="C4531" t="s">
        <v>67</v>
      </c>
      <c r="D4531" t="s">
        <v>67</v>
      </c>
      <c r="E4531" t="s">
        <v>67</v>
      </c>
      <c r="F4531" t="s">
        <v>27987</v>
      </c>
      <c r="G4531" s="117">
        <v>3.56</v>
      </c>
    </row>
    <row r="4532" spans="1:7" x14ac:dyDescent="0.25">
      <c r="A4532" s="116" t="s">
        <v>7058</v>
      </c>
      <c r="B4532" s="117" t="s">
        <v>7059</v>
      </c>
      <c r="C4532" t="s">
        <v>67</v>
      </c>
      <c r="D4532" t="s">
        <v>67</v>
      </c>
      <c r="E4532" t="s">
        <v>67</v>
      </c>
      <c r="F4532" t="s">
        <v>45</v>
      </c>
      <c r="G4532" s="117">
        <v>1.33</v>
      </c>
    </row>
    <row r="4533" spans="1:7" x14ac:dyDescent="0.25">
      <c r="A4533" s="116" t="s">
        <v>7060</v>
      </c>
      <c r="B4533" s="117" t="s">
        <v>7061</v>
      </c>
      <c r="C4533" t="s">
        <v>67</v>
      </c>
      <c r="D4533" t="s">
        <v>67</v>
      </c>
      <c r="E4533" t="s">
        <v>67</v>
      </c>
      <c r="F4533" t="s">
        <v>49</v>
      </c>
      <c r="G4533" s="117">
        <v>1.77</v>
      </c>
    </row>
    <row r="4534" spans="1:7" x14ac:dyDescent="0.25">
      <c r="A4534" s="116" t="s">
        <v>7062</v>
      </c>
      <c r="B4534" s="117" t="s">
        <v>7063</v>
      </c>
      <c r="C4534" t="s">
        <v>67</v>
      </c>
      <c r="D4534" t="s">
        <v>67</v>
      </c>
      <c r="E4534" t="s">
        <v>67</v>
      </c>
      <c r="F4534" t="s">
        <v>49</v>
      </c>
      <c r="G4534" s="117">
        <v>4.8899999999999997</v>
      </c>
    </row>
    <row r="4535" spans="1:7" x14ac:dyDescent="0.25">
      <c r="A4535" s="116" t="s">
        <v>7064</v>
      </c>
      <c r="B4535" s="117" t="s">
        <v>7065</v>
      </c>
      <c r="C4535" t="s">
        <v>67</v>
      </c>
      <c r="D4535" t="s">
        <v>67</v>
      </c>
      <c r="E4535" t="s">
        <v>67</v>
      </c>
      <c r="F4535" t="s">
        <v>27987</v>
      </c>
      <c r="G4535" s="117">
        <v>20.92</v>
      </c>
    </row>
    <row r="4536" spans="1:7" x14ac:dyDescent="0.25">
      <c r="A4536" s="116" t="s">
        <v>7066</v>
      </c>
      <c r="B4536" s="117" t="s">
        <v>7067</v>
      </c>
      <c r="C4536" t="s">
        <v>67</v>
      </c>
      <c r="D4536" t="s">
        <v>67</v>
      </c>
      <c r="E4536" t="s">
        <v>67</v>
      </c>
      <c r="F4536" t="s">
        <v>27987</v>
      </c>
      <c r="G4536" s="117">
        <v>0.8</v>
      </c>
    </row>
    <row r="4537" spans="1:7" x14ac:dyDescent="0.25">
      <c r="A4537" s="116" t="s">
        <v>7068</v>
      </c>
      <c r="B4537" s="117" t="s">
        <v>7069</v>
      </c>
      <c r="C4537" t="s">
        <v>67</v>
      </c>
      <c r="D4537" t="s">
        <v>67</v>
      </c>
      <c r="E4537" t="s">
        <v>67</v>
      </c>
      <c r="F4537" t="s">
        <v>49</v>
      </c>
      <c r="G4537" s="117">
        <v>0.44</v>
      </c>
    </row>
    <row r="4538" spans="1:7" x14ac:dyDescent="0.25">
      <c r="A4538" s="116" t="s">
        <v>7070</v>
      </c>
      <c r="B4538" s="117" t="s">
        <v>7071</v>
      </c>
      <c r="C4538" t="s">
        <v>67</v>
      </c>
      <c r="D4538" t="s">
        <v>67</v>
      </c>
      <c r="E4538" t="s">
        <v>67</v>
      </c>
      <c r="F4538" t="s">
        <v>27987</v>
      </c>
      <c r="G4538" s="117">
        <v>0.44</v>
      </c>
    </row>
    <row r="4539" spans="1:7" x14ac:dyDescent="0.25">
      <c r="A4539" s="116" t="s">
        <v>7072</v>
      </c>
      <c r="B4539" s="117" t="s">
        <v>7073</v>
      </c>
      <c r="C4539" t="s">
        <v>67</v>
      </c>
      <c r="D4539" t="s">
        <v>67</v>
      </c>
      <c r="E4539" t="s">
        <v>67</v>
      </c>
      <c r="F4539" t="s">
        <v>27990</v>
      </c>
      <c r="G4539" s="117">
        <v>0.8</v>
      </c>
    </row>
    <row r="4540" spans="1:7" x14ac:dyDescent="0.25">
      <c r="A4540" s="116" t="s">
        <v>7074</v>
      </c>
      <c r="B4540" s="117" t="s">
        <v>6979</v>
      </c>
      <c r="C4540" t="s">
        <v>67</v>
      </c>
      <c r="D4540" t="s">
        <v>67</v>
      </c>
      <c r="E4540" t="s">
        <v>67</v>
      </c>
      <c r="F4540" t="s">
        <v>49</v>
      </c>
      <c r="G4540" s="117">
        <v>1.69</v>
      </c>
    </row>
    <row r="4541" spans="1:7" x14ac:dyDescent="0.25">
      <c r="A4541" s="116" t="s">
        <v>7075</v>
      </c>
      <c r="B4541" s="117" t="s">
        <v>7076</v>
      </c>
      <c r="C4541" t="s">
        <v>67</v>
      </c>
      <c r="D4541" t="s">
        <v>67</v>
      </c>
      <c r="E4541" t="s">
        <v>67</v>
      </c>
      <c r="F4541" t="s">
        <v>49</v>
      </c>
      <c r="G4541" s="117">
        <v>6.14</v>
      </c>
    </row>
    <row r="4542" spans="1:7" x14ac:dyDescent="0.25">
      <c r="A4542" s="116" t="s">
        <v>7077</v>
      </c>
      <c r="B4542" s="117" t="s">
        <v>7078</v>
      </c>
      <c r="C4542" t="s">
        <v>67</v>
      </c>
      <c r="D4542" t="s">
        <v>67</v>
      </c>
      <c r="E4542" t="s">
        <v>67</v>
      </c>
      <c r="F4542" t="s">
        <v>49</v>
      </c>
      <c r="G4542" s="117">
        <v>2.58</v>
      </c>
    </row>
    <row r="4543" spans="1:7" x14ac:dyDescent="0.25">
      <c r="A4543" s="116" t="s">
        <v>7079</v>
      </c>
      <c r="B4543" s="117" t="s">
        <v>7080</v>
      </c>
      <c r="C4543" t="s">
        <v>67</v>
      </c>
      <c r="D4543" t="s">
        <v>67</v>
      </c>
      <c r="E4543" t="s">
        <v>67</v>
      </c>
      <c r="F4543" t="s">
        <v>49</v>
      </c>
      <c r="G4543" s="117">
        <v>1.33</v>
      </c>
    </row>
    <row r="4544" spans="1:7" x14ac:dyDescent="0.25">
      <c r="A4544" s="116" t="s">
        <v>7081</v>
      </c>
      <c r="B4544" s="117" t="s">
        <v>7082</v>
      </c>
      <c r="C4544" t="s">
        <v>67</v>
      </c>
      <c r="D4544" t="s">
        <v>67</v>
      </c>
      <c r="E4544" t="s">
        <v>67</v>
      </c>
      <c r="F4544" t="s">
        <v>27987</v>
      </c>
      <c r="G4544" s="117">
        <v>4</v>
      </c>
    </row>
    <row r="4545" spans="1:7" x14ac:dyDescent="0.25">
      <c r="A4545" s="116" t="s">
        <v>26967</v>
      </c>
      <c r="B4545" s="117" t="s">
        <v>28720</v>
      </c>
      <c r="C4545" t="s">
        <v>67</v>
      </c>
      <c r="D4545" t="s">
        <v>67</v>
      </c>
      <c r="E4545" t="s">
        <v>67</v>
      </c>
      <c r="F4545" t="s">
        <v>27987</v>
      </c>
      <c r="G4545" s="117">
        <v>40</v>
      </c>
    </row>
    <row r="4546" spans="1:7" x14ac:dyDescent="0.25">
      <c r="A4546" s="116" t="s">
        <v>7083</v>
      </c>
      <c r="B4546" s="117" t="s">
        <v>7082</v>
      </c>
      <c r="C4546" t="s">
        <v>67</v>
      </c>
      <c r="D4546" t="s">
        <v>67</v>
      </c>
      <c r="E4546" t="s">
        <v>67</v>
      </c>
      <c r="F4546" t="s">
        <v>45</v>
      </c>
      <c r="G4546" s="117">
        <v>2.23</v>
      </c>
    </row>
    <row r="4547" spans="1:7" x14ac:dyDescent="0.25">
      <c r="A4547" s="116" t="s">
        <v>7084</v>
      </c>
      <c r="B4547" s="117" t="s">
        <v>7085</v>
      </c>
      <c r="C4547" t="s">
        <v>67</v>
      </c>
      <c r="D4547" t="s">
        <v>67</v>
      </c>
      <c r="E4547" t="s">
        <v>67</v>
      </c>
      <c r="F4547" t="s">
        <v>27987</v>
      </c>
      <c r="G4547" s="117">
        <v>3.56</v>
      </c>
    </row>
    <row r="4548" spans="1:7" x14ac:dyDescent="0.25">
      <c r="A4548" s="116" t="s">
        <v>7086</v>
      </c>
      <c r="B4548" s="117" t="s">
        <v>7087</v>
      </c>
      <c r="C4548" t="s">
        <v>67</v>
      </c>
      <c r="D4548" t="s">
        <v>67</v>
      </c>
      <c r="E4548" t="s">
        <v>67</v>
      </c>
      <c r="F4548" t="s">
        <v>27987</v>
      </c>
      <c r="G4548" s="117">
        <v>1.33</v>
      </c>
    </row>
    <row r="4549" spans="1:7" x14ac:dyDescent="0.25">
      <c r="A4549" s="116" t="s">
        <v>7088</v>
      </c>
      <c r="B4549" s="117" t="s">
        <v>7089</v>
      </c>
      <c r="C4549" t="s">
        <v>67</v>
      </c>
      <c r="D4549" t="s">
        <v>67</v>
      </c>
      <c r="E4549" t="s">
        <v>67</v>
      </c>
      <c r="F4549" t="s">
        <v>45</v>
      </c>
      <c r="G4549" s="117">
        <v>14.14</v>
      </c>
    </row>
    <row r="4550" spans="1:7" x14ac:dyDescent="0.25">
      <c r="A4550" s="116" t="s">
        <v>7090</v>
      </c>
      <c r="B4550" s="117" t="s">
        <v>7091</v>
      </c>
      <c r="C4550" t="s">
        <v>67</v>
      </c>
      <c r="D4550" t="s">
        <v>67</v>
      </c>
      <c r="E4550" t="s">
        <v>67</v>
      </c>
      <c r="F4550" t="s">
        <v>49</v>
      </c>
      <c r="G4550" s="117">
        <v>2.58</v>
      </c>
    </row>
    <row r="4551" spans="1:7" x14ac:dyDescent="0.25">
      <c r="A4551" s="116" t="s">
        <v>7092</v>
      </c>
      <c r="B4551" s="117" t="s">
        <v>7093</v>
      </c>
      <c r="C4551" t="s">
        <v>67</v>
      </c>
      <c r="D4551" t="s">
        <v>67</v>
      </c>
      <c r="E4551" t="s">
        <v>67</v>
      </c>
      <c r="F4551" t="s">
        <v>49</v>
      </c>
      <c r="G4551" s="117">
        <v>5.79</v>
      </c>
    </row>
    <row r="4552" spans="1:7" x14ac:dyDescent="0.25">
      <c r="A4552" s="116" t="s">
        <v>7094</v>
      </c>
      <c r="B4552" s="117" t="s">
        <v>7095</v>
      </c>
      <c r="C4552" t="s">
        <v>67</v>
      </c>
      <c r="D4552" t="s">
        <v>67</v>
      </c>
      <c r="E4552" t="s">
        <v>67</v>
      </c>
      <c r="F4552" t="s">
        <v>45</v>
      </c>
      <c r="G4552" s="117">
        <v>6.14</v>
      </c>
    </row>
    <row r="4553" spans="1:7" x14ac:dyDescent="0.25">
      <c r="A4553" s="116" t="s">
        <v>7096</v>
      </c>
      <c r="B4553" s="117" t="s">
        <v>7053</v>
      </c>
      <c r="C4553" t="s">
        <v>67</v>
      </c>
      <c r="D4553" t="s">
        <v>67</v>
      </c>
      <c r="E4553" t="s">
        <v>67</v>
      </c>
      <c r="F4553" t="s">
        <v>45</v>
      </c>
      <c r="G4553" s="117">
        <v>9.42</v>
      </c>
    </row>
    <row r="4554" spans="1:7" x14ac:dyDescent="0.25">
      <c r="A4554" s="116" t="s">
        <v>7097</v>
      </c>
      <c r="B4554" s="117" t="s">
        <v>7053</v>
      </c>
      <c r="C4554" t="s">
        <v>67</v>
      </c>
      <c r="D4554" t="s">
        <v>67</v>
      </c>
      <c r="E4554" t="s">
        <v>67</v>
      </c>
      <c r="F4554" t="s">
        <v>27987</v>
      </c>
      <c r="G4554" s="117">
        <v>4.3600000000000003</v>
      </c>
    </row>
    <row r="4555" spans="1:7" x14ac:dyDescent="0.25">
      <c r="A4555" s="116" t="s">
        <v>7098</v>
      </c>
      <c r="B4555" s="117" t="s">
        <v>7099</v>
      </c>
      <c r="C4555" t="s">
        <v>67</v>
      </c>
      <c r="D4555" t="s">
        <v>67</v>
      </c>
      <c r="E4555" t="s">
        <v>67</v>
      </c>
      <c r="F4555" t="s">
        <v>27987</v>
      </c>
      <c r="G4555" s="117">
        <v>1.69</v>
      </c>
    </row>
    <row r="4556" spans="1:7" x14ac:dyDescent="0.25">
      <c r="A4556" s="116" t="s">
        <v>7100</v>
      </c>
      <c r="B4556" s="117" t="s">
        <v>28721</v>
      </c>
      <c r="C4556" t="s">
        <v>67</v>
      </c>
      <c r="D4556" t="s">
        <v>67</v>
      </c>
      <c r="E4556" t="s">
        <v>67</v>
      </c>
      <c r="F4556" t="s">
        <v>27987</v>
      </c>
      <c r="G4556" s="117">
        <v>0.96</v>
      </c>
    </row>
    <row r="4557" spans="1:7" x14ac:dyDescent="0.25">
      <c r="A4557" s="116" t="s">
        <v>7101</v>
      </c>
      <c r="B4557" s="117" t="s">
        <v>7102</v>
      </c>
      <c r="C4557" t="s">
        <v>67</v>
      </c>
      <c r="D4557" t="s">
        <v>67</v>
      </c>
      <c r="E4557" t="s">
        <v>67</v>
      </c>
      <c r="F4557" t="s">
        <v>45</v>
      </c>
      <c r="G4557" s="117">
        <v>7.02</v>
      </c>
    </row>
    <row r="4558" spans="1:7" x14ac:dyDescent="0.25">
      <c r="A4558" s="116" t="s">
        <v>7103</v>
      </c>
      <c r="B4558" s="117" t="s">
        <v>7104</v>
      </c>
      <c r="C4558" t="s">
        <v>67</v>
      </c>
      <c r="D4558" t="s">
        <v>67</v>
      </c>
      <c r="E4558" t="s">
        <v>67</v>
      </c>
      <c r="F4558" t="s">
        <v>27990</v>
      </c>
      <c r="G4558" s="117">
        <v>14.14</v>
      </c>
    </row>
    <row r="4559" spans="1:7" x14ac:dyDescent="0.25">
      <c r="A4559" s="116" t="s">
        <v>7105</v>
      </c>
      <c r="B4559" s="117" t="s">
        <v>7082</v>
      </c>
      <c r="C4559" t="s">
        <v>67</v>
      </c>
      <c r="D4559" t="s">
        <v>67</v>
      </c>
      <c r="E4559" t="s">
        <v>67</v>
      </c>
      <c r="F4559" t="s">
        <v>45</v>
      </c>
      <c r="G4559" s="117">
        <v>4.8899999999999997</v>
      </c>
    </row>
    <row r="4560" spans="1:7" x14ac:dyDescent="0.25">
      <c r="A4560" s="116" t="s">
        <v>7106</v>
      </c>
      <c r="B4560" s="117" t="s">
        <v>7107</v>
      </c>
      <c r="C4560" t="s">
        <v>67</v>
      </c>
      <c r="D4560" t="s">
        <v>67</v>
      </c>
      <c r="E4560" t="s">
        <v>67</v>
      </c>
      <c r="F4560" t="s">
        <v>27987</v>
      </c>
      <c r="G4560" s="117">
        <v>14.14</v>
      </c>
    </row>
    <row r="4561" spans="1:7" x14ac:dyDescent="0.25">
      <c r="A4561" s="116" t="s">
        <v>7108</v>
      </c>
      <c r="B4561" s="117" t="s">
        <v>7109</v>
      </c>
      <c r="C4561" t="s">
        <v>67</v>
      </c>
      <c r="D4561" t="s">
        <v>67</v>
      </c>
      <c r="E4561" t="s">
        <v>67</v>
      </c>
      <c r="F4561" t="s">
        <v>27987</v>
      </c>
      <c r="G4561" s="117">
        <v>0.44</v>
      </c>
    </row>
    <row r="4562" spans="1:7" x14ac:dyDescent="0.25">
      <c r="A4562" s="116" t="s">
        <v>7110</v>
      </c>
      <c r="B4562" s="117" t="s">
        <v>7111</v>
      </c>
      <c r="C4562" t="s">
        <v>67</v>
      </c>
      <c r="D4562" t="s">
        <v>67</v>
      </c>
      <c r="E4562" t="s">
        <v>67</v>
      </c>
      <c r="F4562" t="s">
        <v>51</v>
      </c>
      <c r="G4562" s="117">
        <v>0.8</v>
      </c>
    </row>
    <row r="4563" spans="1:7" x14ac:dyDescent="0.25">
      <c r="A4563" s="116" t="s">
        <v>7112</v>
      </c>
      <c r="B4563" s="117" t="s">
        <v>7113</v>
      </c>
      <c r="C4563" t="s">
        <v>67</v>
      </c>
      <c r="D4563" t="s">
        <v>67</v>
      </c>
      <c r="E4563" t="s">
        <v>67</v>
      </c>
      <c r="F4563" t="s">
        <v>49</v>
      </c>
      <c r="G4563" s="117">
        <v>1.33</v>
      </c>
    </row>
    <row r="4564" spans="1:7" x14ac:dyDescent="0.25">
      <c r="A4564" s="116" t="s">
        <v>7114</v>
      </c>
      <c r="B4564" s="117" t="s">
        <v>7115</v>
      </c>
      <c r="C4564" t="s">
        <v>67</v>
      </c>
      <c r="D4564" t="s">
        <v>67</v>
      </c>
      <c r="E4564" t="s">
        <v>67</v>
      </c>
      <c r="F4564" t="s">
        <v>49</v>
      </c>
      <c r="G4564" s="117">
        <v>3.12</v>
      </c>
    </row>
    <row r="4565" spans="1:7" x14ac:dyDescent="0.25">
      <c r="A4565" s="116" t="s">
        <v>7116</v>
      </c>
      <c r="B4565" s="117" t="s">
        <v>7117</v>
      </c>
      <c r="C4565" t="s">
        <v>67</v>
      </c>
      <c r="D4565" t="s">
        <v>67</v>
      </c>
      <c r="E4565" t="s">
        <v>67</v>
      </c>
      <c r="F4565" t="s">
        <v>49</v>
      </c>
      <c r="G4565" s="117">
        <v>0.44</v>
      </c>
    </row>
    <row r="4566" spans="1:7" x14ac:dyDescent="0.25">
      <c r="A4566" s="116" t="s">
        <v>7118</v>
      </c>
      <c r="B4566" s="117" t="s">
        <v>7119</v>
      </c>
      <c r="C4566" t="s">
        <v>67</v>
      </c>
      <c r="D4566" t="s">
        <v>67</v>
      </c>
      <c r="E4566" t="s">
        <v>67</v>
      </c>
      <c r="F4566" t="s">
        <v>27987</v>
      </c>
      <c r="G4566" s="117">
        <v>4.3600000000000003</v>
      </c>
    </row>
    <row r="4567" spans="1:7" x14ac:dyDescent="0.25">
      <c r="A4567" s="116" t="s">
        <v>7120</v>
      </c>
      <c r="B4567" s="117" t="s">
        <v>7121</v>
      </c>
      <c r="C4567" t="s">
        <v>67</v>
      </c>
      <c r="D4567" t="s">
        <v>67</v>
      </c>
      <c r="E4567" t="s">
        <v>67</v>
      </c>
      <c r="F4567" t="s">
        <v>27987</v>
      </c>
      <c r="G4567" s="117">
        <v>0.89</v>
      </c>
    </row>
    <row r="4568" spans="1:7" x14ac:dyDescent="0.25">
      <c r="A4568" s="116" t="s">
        <v>7122</v>
      </c>
      <c r="B4568" s="117" t="s">
        <v>7123</v>
      </c>
      <c r="C4568" t="s">
        <v>67</v>
      </c>
      <c r="D4568" t="s">
        <v>67</v>
      </c>
      <c r="E4568" t="s">
        <v>67</v>
      </c>
      <c r="F4568" t="s">
        <v>27987</v>
      </c>
      <c r="G4568" s="117">
        <v>3.12</v>
      </c>
    </row>
    <row r="4569" spans="1:7" x14ac:dyDescent="0.25">
      <c r="A4569" s="116" t="s">
        <v>7124</v>
      </c>
      <c r="B4569" s="117" t="s">
        <v>7125</v>
      </c>
      <c r="C4569" t="s">
        <v>67</v>
      </c>
      <c r="D4569" t="s">
        <v>67</v>
      </c>
      <c r="E4569" t="s">
        <v>67</v>
      </c>
      <c r="F4569" t="s">
        <v>49</v>
      </c>
      <c r="G4569" s="117">
        <v>0.89</v>
      </c>
    </row>
    <row r="4570" spans="1:7" x14ac:dyDescent="0.25">
      <c r="A4570" s="116" t="s">
        <v>7126</v>
      </c>
      <c r="B4570" s="117" t="s">
        <v>7127</v>
      </c>
      <c r="C4570" t="s">
        <v>67</v>
      </c>
      <c r="D4570" t="s">
        <v>67</v>
      </c>
      <c r="E4570" t="s">
        <v>67</v>
      </c>
      <c r="F4570" t="s">
        <v>27987</v>
      </c>
      <c r="G4570" s="117">
        <v>5.25</v>
      </c>
    </row>
    <row r="4571" spans="1:7" x14ac:dyDescent="0.25">
      <c r="A4571" s="116" t="s">
        <v>7128</v>
      </c>
      <c r="B4571" s="117" t="s">
        <v>7129</v>
      </c>
      <c r="C4571" t="s">
        <v>67</v>
      </c>
      <c r="D4571" t="s">
        <v>67</v>
      </c>
      <c r="E4571" t="s">
        <v>67</v>
      </c>
      <c r="F4571" t="s">
        <v>27987</v>
      </c>
      <c r="G4571" s="117">
        <v>1.69</v>
      </c>
    </row>
    <row r="4572" spans="1:7" x14ac:dyDescent="0.25">
      <c r="A4572" s="116" t="s">
        <v>7130</v>
      </c>
      <c r="B4572" s="117" t="s">
        <v>7131</v>
      </c>
      <c r="C4572" t="s">
        <v>67</v>
      </c>
      <c r="D4572" t="s">
        <v>67</v>
      </c>
      <c r="E4572" t="s">
        <v>67</v>
      </c>
      <c r="F4572" t="s">
        <v>49</v>
      </c>
      <c r="G4572" s="117">
        <v>0.8</v>
      </c>
    </row>
    <row r="4573" spans="1:7" x14ac:dyDescent="0.25">
      <c r="A4573" s="116" t="s">
        <v>7132</v>
      </c>
      <c r="B4573" s="117" t="s">
        <v>7133</v>
      </c>
      <c r="C4573" t="s">
        <v>67</v>
      </c>
      <c r="D4573" t="s">
        <v>67</v>
      </c>
      <c r="E4573" t="s">
        <v>67</v>
      </c>
      <c r="F4573" t="s">
        <v>49</v>
      </c>
      <c r="G4573" s="117">
        <v>0.44</v>
      </c>
    </row>
    <row r="4574" spans="1:7" x14ac:dyDescent="0.25">
      <c r="A4574" s="116" t="s">
        <v>7134</v>
      </c>
      <c r="B4574" s="117" t="s">
        <v>7135</v>
      </c>
      <c r="C4574" t="s">
        <v>67</v>
      </c>
      <c r="D4574" t="s">
        <v>67</v>
      </c>
      <c r="E4574" t="s">
        <v>67</v>
      </c>
      <c r="F4574" t="s">
        <v>49</v>
      </c>
      <c r="G4574" s="117">
        <v>3.12</v>
      </c>
    </row>
    <row r="4575" spans="1:7" x14ac:dyDescent="0.25">
      <c r="A4575" s="116" t="s">
        <v>7136</v>
      </c>
      <c r="B4575" s="117" t="s">
        <v>7137</v>
      </c>
      <c r="C4575" t="s">
        <v>67</v>
      </c>
      <c r="D4575" t="s">
        <v>67</v>
      </c>
      <c r="E4575" t="s">
        <v>67</v>
      </c>
      <c r="F4575" t="s">
        <v>49</v>
      </c>
      <c r="G4575" s="117">
        <v>3.56</v>
      </c>
    </row>
    <row r="4576" spans="1:7" x14ac:dyDescent="0.25">
      <c r="A4576" s="116" t="s">
        <v>7138</v>
      </c>
      <c r="B4576" s="117" t="s">
        <v>7139</v>
      </c>
      <c r="C4576" t="s">
        <v>67</v>
      </c>
      <c r="D4576" t="s">
        <v>67</v>
      </c>
      <c r="E4576" t="s">
        <v>67</v>
      </c>
      <c r="F4576" t="s">
        <v>27987</v>
      </c>
      <c r="G4576" s="117">
        <v>1.33</v>
      </c>
    </row>
    <row r="4577" spans="1:7" x14ac:dyDescent="0.25">
      <c r="A4577" s="116" t="s">
        <v>7140</v>
      </c>
      <c r="B4577" s="117" t="s">
        <v>7141</v>
      </c>
      <c r="C4577" t="s">
        <v>67</v>
      </c>
      <c r="D4577" t="s">
        <v>67</v>
      </c>
      <c r="E4577" t="s">
        <v>67</v>
      </c>
      <c r="F4577" t="s">
        <v>51</v>
      </c>
      <c r="G4577" s="117">
        <v>2.97</v>
      </c>
    </row>
    <row r="4578" spans="1:7" x14ac:dyDescent="0.25">
      <c r="A4578" s="116" t="s">
        <v>7142</v>
      </c>
      <c r="B4578" s="117" t="s">
        <v>7143</v>
      </c>
      <c r="C4578" t="s">
        <v>67</v>
      </c>
      <c r="D4578" t="s">
        <v>67</v>
      </c>
      <c r="E4578" t="s">
        <v>67</v>
      </c>
      <c r="F4578" t="s">
        <v>27987</v>
      </c>
      <c r="G4578" s="117">
        <v>2.58</v>
      </c>
    </row>
    <row r="4579" spans="1:7" x14ac:dyDescent="0.25">
      <c r="A4579" s="116" t="s">
        <v>7144</v>
      </c>
      <c r="B4579" s="117" t="s">
        <v>7145</v>
      </c>
      <c r="C4579" t="s">
        <v>67</v>
      </c>
      <c r="D4579" t="s">
        <v>67</v>
      </c>
      <c r="E4579" t="s">
        <v>67</v>
      </c>
      <c r="F4579" t="s">
        <v>27987</v>
      </c>
      <c r="G4579" s="117">
        <v>2.23</v>
      </c>
    </row>
    <row r="4580" spans="1:7" x14ac:dyDescent="0.25">
      <c r="A4580" s="116" t="s">
        <v>7146</v>
      </c>
      <c r="B4580" s="117" t="s">
        <v>7147</v>
      </c>
      <c r="C4580" t="s">
        <v>67</v>
      </c>
      <c r="D4580" t="s">
        <v>67</v>
      </c>
      <c r="E4580" t="s">
        <v>67</v>
      </c>
      <c r="F4580" t="s">
        <v>27987</v>
      </c>
      <c r="G4580" s="117">
        <v>0.89</v>
      </c>
    </row>
    <row r="4581" spans="1:7" x14ac:dyDescent="0.25">
      <c r="A4581" s="116" t="s">
        <v>7148</v>
      </c>
      <c r="B4581" s="117" t="s">
        <v>7149</v>
      </c>
      <c r="C4581" t="s">
        <v>67</v>
      </c>
      <c r="D4581" t="s">
        <v>67</v>
      </c>
      <c r="E4581" t="s">
        <v>67</v>
      </c>
      <c r="F4581" t="s">
        <v>27987</v>
      </c>
      <c r="G4581" s="117">
        <v>0.8</v>
      </c>
    </row>
    <row r="4582" spans="1:7" x14ac:dyDescent="0.25">
      <c r="A4582" s="116" t="s">
        <v>7150</v>
      </c>
      <c r="B4582" s="117" t="s">
        <v>7151</v>
      </c>
      <c r="C4582" t="s">
        <v>67</v>
      </c>
      <c r="D4582" t="s">
        <v>67</v>
      </c>
      <c r="E4582" t="s">
        <v>67</v>
      </c>
      <c r="F4582" t="s">
        <v>27987</v>
      </c>
      <c r="G4582" s="117">
        <v>1.33</v>
      </c>
    </row>
    <row r="4583" spans="1:7" x14ac:dyDescent="0.25">
      <c r="A4583" s="116" t="s">
        <v>7152</v>
      </c>
      <c r="B4583" s="117" t="s">
        <v>7153</v>
      </c>
      <c r="C4583" t="s">
        <v>67</v>
      </c>
      <c r="D4583" t="s">
        <v>67</v>
      </c>
      <c r="E4583" t="s">
        <v>67</v>
      </c>
      <c r="F4583" t="s">
        <v>27987</v>
      </c>
      <c r="G4583" s="117">
        <v>1.69</v>
      </c>
    </row>
    <row r="4584" spans="1:7" x14ac:dyDescent="0.25">
      <c r="A4584" s="116" t="s">
        <v>7154</v>
      </c>
      <c r="B4584" s="117" t="s">
        <v>7147</v>
      </c>
      <c r="C4584" t="s">
        <v>67</v>
      </c>
      <c r="D4584" t="s">
        <v>67</v>
      </c>
      <c r="E4584" t="s">
        <v>67</v>
      </c>
      <c r="F4584" t="s">
        <v>49</v>
      </c>
      <c r="G4584" s="117">
        <v>2.67</v>
      </c>
    </row>
    <row r="4585" spans="1:7" x14ac:dyDescent="0.25">
      <c r="A4585" s="116" t="s">
        <v>7155</v>
      </c>
      <c r="B4585" s="117" t="s">
        <v>7156</v>
      </c>
      <c r="C4585" t="s">
        <v>67</v>
      </c>
      <c r="D4585" t="s">
        <v>67</v>
      </c>
      <c r="E4585" t="s">
        <v>67</v>
      </c>
      <c r="F4585" t="s">
        <v>49</v>
      </c>
      <c r="G4585" s="117">
        <v>6.68</v>
      </c>
    </row>
    <row r="4586" spans="1:7" x14ac:dyDescent="0.25">
      <c r="A4586" s="116" t="s">
        <v>7157</v>
      </c>
      <c r="B4586" s="117" t="s">
        <v>7158</v>
      </c>
      <c r="C4586" t="s">
        <v>67</v>
      </c>
      <c r="D4586" t="s">
        <v>67</v>
      </c>
      <c r="E4586" t="s">
        <v>67</v>
      </c>
      <c r="F4586" t="s">
        <v>27987</v>
      </c>
      <c r="G4586" s="117">
        <v>4.3600000000000003</v>
      </c>
    </row>
    <row r="4587" spans="1:7" x14ac:dyDescent="0.25">
      <c r="A4587" s="116" t="s">
        <v>7159</v>
      </c>
      <c r="B4587" s="117" t="s">
        <v>7160</v>
      </c>
      <c r="C4587" t="s">
        <v>67</v>
      </c>
      <c r="D4587" t="s">
        <v>67</v>
      </c>
      <c r="E4587" t="s">
        <v>67</v>
      </c>
      <c r="F4587" t="s">
        <v>27987</v>
      </c>
      <c r="G4587" s="117">
        <v>2.58</v>
      </c>
    </row>
    <row r="4588" spans="1:7" x14ac:dyDescent="0.25">
      <c r="A4588" s="116" t="s">
        <v>7161</v>
      </c>
      <c r="B4588" s="117" t="s">
        <v>7162</v>
      </c>
      <c r="C4588" t="s">
        <v>67</v>
      </c>
      <c r="D4588" t="s">
        <v>67</v>
      </c>
      <c r="E4588" t="s">
        <v>67</v>
      </c>
      <c r="F4588" t="s">
        <v>27987</v>
      </c>
      <c r="G4588" s="117">
        <v>11.48</v>
      </c>
    </row>
    <row r="4589" spans="1:7" x14ac:dyDescent="0.25">
      <c r="A4589" s="116" t="s">
        <v>7163</v>
      </c>
      <c r="B4589" s="117" t="s">
        <v>7164</v>
      </c>
      <c r="C4589" t="s">
        <v>67</v>
      </c>
      <c r="D4589" t="s">
        <v>67</v>
      </c>
      <c r="E4589" t="s">
        <v>67</v>
      </c>
      <c r="F4589" t="s">
        <v>49</v>
      </c>
      <c r="G4589" s="117">
        <v>1.69</v>
      </c>
    </row>
    <row r="4590" spans="1:7" x14ac:dyDescent="0.25">
      <c r="A4590" s="116" t="s">
        <v>7165</v>
      </c>
      <c r="B4590" s="117" t="s">
        <v>7147</v>
      </c>
      <c r="C4590" t="s">
        <v>67</v>
      </c>
      <c r="D4590" t="s">
        <v>67</v>
      </c>
      <c r="E4590" t="s">
        <v>67</v>
      </c>
      <c r="F4590" t="s">
        <v>49</v>
      </c>
      <c r="G4590" s="117">
        <v>2.23</v>
      </c>
    </row>
    <row r="4591" spans="1:7" x14ac:dyDescent="0.25">
      <c r="A4591" s="116" t="s">
        <v>7166</v>
      </c>
      <c r="B4591" s="117" t="s">
        <v>7147</v>
      </c>
      <c r="C4591" t="s">
        <v>67</v>
      </c>
      <c r="D4591" t="s">
        <v>67</v>
      </c>
      <c r="E4591" t="s">
        <v>67</v>
      </c>
      <c r="F4591" t="s">
        <v>49</v>
      </c>
      <c r="G4591" s="117">
        <v>4</v>
      </c>
    </row>
    <row r="4592" spans="1:7" x14ac:dyDescent="0.25">
      <c r="A4592" s="116" t="s">
        <v>7167</v>
      </c>
      <c r="B4592" s="117" t="s">
        <v>7168</v>
      </c>
      <c r="C4592" t="s">
        <v>67</v>
      </c>
      <c r="D4592" t="s">
        <v>67</v>
      </c>
      <c r="E4592" t="s">
        <v>67</v>
      </c>
      <c r="F4592" t="s">
        <v>27987</v>
      </c>
      <c r="G4592" s="117">
        <v>7.12</v>
      </c>
    </row>
    <row r="4593" spans="1:7" x14ac:dyDescent="0.25">
      <c r="A4593" s="116" t="s">
        <v>30179</v>
      </c>
      <c r="B4593" s="117" t="s">
        <v>7147</v>
      </c>
      <c r="C4593" t="s">
        <v>67</v>
      </c>
      <c r="D4593" t="s">
        <v>67</v>
      </c>
      <c r="E4593" t="s">
        <v>67</v>
      </c>
      <c r="F4593" t="s">
        <v>27987</v>
      </c>
      <c r="G4593" s="117">
        <v>2.5</v>
      </c>
    </row>
    <row r="4594" spans="1:7" x14ac:dyDescent="0.25">
      <c r="A4594" s="116" t="s">
        <v>7169</v>
      </c>
      <c r="B4594" s="117" t="s">
        <v>7170</v>
      </c>
      <c r="C4594" t="s">
        <v>67</v>
      </c>
      <c r="D4594" t="s">
        <v>67</v>
      </c>
      <c r="E4594" t="s">
        <v>67</v>
      </c>
      <c r="F4594" t="s">
        <v>49</v>
      </c>
      <c r="G4594" s="117">
        <v>2.23</v>
      </c>
    </row>
    <row r="4595" spans="1:7" x14ac:dyDescent="0.25">
      <c r="A4595" s="116" t="s">
        <v>7171</v>
      </c>
      <c r="B4595" s="117" t="s">
        <v>7170</v>
      </c>
      <c r="C4595" t="s">
        <v>67</v>
      </c>
      <c r="D4595" t="s">
        <v>67</v>
      </c>
      <c r="E4595" t="s">
        <v>67</v>
      </c>
      <c r="F4595" t="s">
        <v>27987</v>
      </c>
      <c r="G4595" s="117">
        <v>1.77</v>
      </c>
    </row>
    <row r="4596" spans="1:7" x14ac:dyDescent="0.25">
      <c r="A4596" s="116" t="s">
        <v>7172</v>
      </c>
      <c r="B4596" s="117" t="s">
        <v>7173</v>
      </c>
      <c r="C4596" t="s">
        <v>67</v>
      </c>
      <c r="D4596" t="s">
        <v>67</v>
      </c>
      <c r="E4596" t="s">
        <v>67</v>
      </c>
      <c r="F4596" t="s">
        <v>45</v>
      </c>
      <c r="G4596" s="117">
        <v>2.23</v>
      </c>
    </row>
    <row r="4597" spans="1:7" x14ac:dyDescent="0.25">
      <c r="A4597" s="116" t="s">
        <v>7174</v>
      </c>
      <c r="B4597" s="117" t="s">
        <v>7173</v>
      </c>
      <c r="C4597" t="s">
        <v>67</v>
      </c>
      <c r="D4597" t="s">
        <v>67</v>
      </c>
      <c r="E4597" t="s">
        <v>67</v>
      </c>
      <c r="F4597" t="s">
        <v>49</v>
      </c>
      <c r="G4597" s="117">
        <v>0.76</v>
      </c>
    </row>
    <row r="4598" spans="1:7" x14ac:dyDescent="0.25">
      <c r="A4598" s="116" t="s">
        <v>7175</v>
      </c>
      <c r="B4598" s="117" t="s">
        <v>7147</v>
      </c>
      <c r="C4598" t="s">
        <v>67</v>
      </c>
      <c r="D4598" t="s">
        <v>67</v>
      </c>
      <c r="E4598" t="s">
        <v>67</v>
      </c>
      <c r="F4598" t="s">
        <v>27990</v>
      </c>
      <c r="G4598" s="117">
        <v>0.8</v>
      </c>
    </row>
    <row r="4599" spans="1:7" x14ac:dyDescent="0.25">
      <c r="A4599" s="116" t="s">
        <v>7176</v>
      </c>
      <c r="B4599" s="117" t="s">
        <v>7177</v>
      </c>
      <c r="C4599" t="s">
        <v>67</v>
      </c>
      <c r="D4599" t="s">
        <v>67</v>
      </c>
      <c r="E4599" t="s">
        <v>67</v>
      </c>
      <c r="F4599" t="s">
        <v>27987</v>
      </c>
      <c r="G4599" s="117">
        <v>0.8</v>
      </c>
    </row>
    <row r="4600" spans="1:7" x14ac:dyDescent="0.25">
      <c r="A4600" s="116" t="s">
        <v>7178</v>
      </c>
      <c r="B4600" s="117" t="s">
        <v>7179</v>
      </c>
      <c r="C4600" t="s">
        <v>67</v>
      </c>
      <c r="D4600" t="s">
        <v>67</v>
      </c>
      <c r="E4600" t="s">
        <v>67</v>
      </c>
      <c r="F4600" t="s">
        <v>27987</v>
      </c>
      <c r="G4600" s="117">
        <v>1.69</v>
      </c>
    </row>
    <row r="4601" spans="1:7" x14ac:dyDescent="0.25">
      <c r="A4601" s="116" t="s">
        <v>7180</v>
      </c>
      <c r="B4601" s="117" t="s">
        <v>7147</v>
      </c>
      <c r="C4601" t="s">
        <v>67</v>
      </c>
      <c r="D4601" t="s">
        <v>67</v>
      </c>
      <c r="E4601" t="s">
        <v>67</v>
      </c>
      <c r="F4601" t="s">
        <v>49</v>
      </c>
      <c r="G4601" s="117">
        <v>0.8</v>
      </c>
    </row>
    <row r="4602" spans="1:7" x14ac:dyDescent="0.25">
      <c r="A4602" s="116" t="s">
        <v>7181</v>
      </c>
      <c r="B4602" s="117" t="s">
        <v>7147</v>
      </c>
      <c r="C4602" t="s">
        <v>67</v>
      </c>
      <c r="D4602" t="s">
        <v>67</v>
      </c>
      <c r="E4602" t="s">
        <v>67</v>
      </c>
      <c r="F4602" t="s">
        <v>27987</v>
      </c>
      <c r="G4602" s="117">
        <v>9.35</v>
      </c>
    </row>
    <row r="4603" spans="1:7" x14ac:dyDescent="0.25">
      <c r="A4603" s="116" t="s">
        <v>7182</v>
      </c>
      <c r="B4603" s="117" t="s">
        <v>7173</v>
      </c>
      <c r="C4603" t="s">
        <v>67</v>
      </c>
      <c r="D4603" t="s">
        <v>67</v>
      </c>
      <c r="E4603" t="s">
        <v>67</v>
      </c>
      <c r="F4603" t="s">
        <v>27987</v>
      </c>
      <c r="G4603" s="117">
        <v>1.69</v>
      </c>
    </row>
    <row r="4604" spans="1:7" x14ac:dyDescent="0.25">
      <c r="A4604" s="116" t="s">
        <v>7183</v>
      </c>
      <c r="B4604" s="117" t="s">
        <v>7184</v>
      </c>
      <c r="C4604" t="s">
        <v>67</v>
      </c>
      <c r="D4604" t="s">
        <v>67</v>
      </c>
      <c r="E4604" t="s">
        <v>67</v>
      </c>
      <c r="F4604" t="s">
        <v>27990</v>
      </c>
      <c r="G4604" s="117">
        <v>27.5</v>
      </c>
    </row>
    <row r="4605" spans="1:7" x14ac:dyDescent="0.25">
      <c r="A4605" s="116" t="s">
        <v>7185</v>
      </c>
      <c r="B4605" s="117" t="s">
        <v>7184</v>
      </c>
      <c r="C4605" t="s">
        <v>67</v>
      </c>
      <c r="D4605" t="s">
        <v>67</v>
      </c>
      <c r="E4605" t="s">
        <v>67</v>
      </c>
      <c r="F4605" t="s">
        <v>27987</v>
      </c>
      <c r="G4605" s="117">
        <v>25.36</v>
      </c>
    </row>
    <row r="4606" spans="1:7" x14ac:dyDescent="0.25">
      <c r="A4606" s="116" t="s">
        <v>7186</v>
      </c>
      <c r="B4606" s="117" t="s">
        <v>7173</v>
      </c>
      <c r="C4606" t="s">
        <v>67</v>
      </c>
      <c r="D4606" t="s">
        <v>67</v>
      </c>
      <c r="E4606" t="s">
        <v>67</v>
      </c>
      <c r="F4606" t="s">
        <v>45</v>
      </c>
      <c r="G4606" s="117">
        <v>2.23</v>
      </c>
    </row>
    <row r="4607" spans="1:7" x14ac:dyDescent="0.25">
      <c r="A4607" s="116" t="s">
        <v>7187</v>
      </c>
      <c r="B4607" s="117" t="s">
        <v>7188</v>
      </c>
      <c r="C4607" t="s">
        <v>67</v>
      </c>
      <c r="D4607" t="s">
        <v>67</v>
      </c>
      <c r="E4607" t="s">
        <v>67</v>
      </c>
      <c r="F4607" t="s">
        <v>51</v>
      </c>
      <c r="G4607" s="117">
        <v>1.61</v>
      </c>
    </row>
    <row r="4608" spans="1:7" x14ac:dyDescent="0.25">
      <c r="A4608" s="116" t="s">
        <v>7189</v>
      </c>
      <c r="B4608" s="117" t="s">
        <v>7173</v>
      </c>
      <c r="C4608" t="s">
        <v>67</v>
      </c>
      <c r="D4608" t="s">
        <v>67</v>
      </c>
      <c r="E4608" t="s">
        <v>67</v>
      </c>
      <c r="F4608" t="s">
        <v>45</v>
      </c>
      <c r="G4608" s="117">
        <v>1.33</v>
      </c>
    </row>
    <row r="4609" spans="1:7" x14ac:dyDescent="0.25">
      <c r="A4609" s="116" t="s">
        <v>7190</v>
      </c>
      <c r="B4609" s="117" t="s">
        <v>7191</v>
      </c>
      <c r="C4609" t="s">
        <v>67</v>
      </c>
      <c r="D4609" t="s">
        <v>67</v>
      </c>
      <c r="E4609" t="s">
        <v>67</v>
      </c>
      <c r="F4609" t="s">
        <v>49</v>
      </c>
      <c r="G4609" s="117">
        <v>12.01</v>
      </c>
    </row>
    <row r="4610" spans="1:7" x14ac:dyDescent="0.25">
      <c r="A4610" s="116" t="s">
        <v>7192</v>
      </c>
      <c r="B4610" s="117" t="s">
        <v>7193</v>
      </c>
      <c r="C4610" t="s">
        <v>67</v>
      </c>
      <c r="D4610" t="s">
        <v>67</v>
      </c>
      <c r="E4610" t="s">
        <v>67</v>
      </c>
      <c r="F4610" t="s">
        <v>27987</v>
      </c>
      <c r="G4610" s="117">
        <v>11.12</v>
      </c>
    </row>
    <row r="4611" spans="1:7" x14ac:dyDescent="0.25">
      <c r="A4611" s="116" t="s">
        <v>7194</v>
      </c>
      <c r="B4611" s="117" t="s">
        <v>7195</v>
      </c>
      <c r="C4611" t="s">
        <v>67</v>
      </c>
      <c r="D4611" t="s">
        <v>67</v>
      </c>
      <c r="E4611" t="s">
        <v>67</v>
      </c>
      <c r="F4611" t="s">
        <v>45</v>
      </c>
      <c r="G4611" s="117">
        <v>5.25</v>
      </c>
    </row>
    <row r="4612" spans="1:7" x14ac:dyDescent="0.25">
      <c r="A4612" s="116" t="s">
        <v>7196</v>
      </c>
      <c r="B4612" s="117" t="s">
        <v>7195</v>
      </c>
      <c r="C4612" t="s">
        <v>67</v>
      </c>
      <c r="D4612" t="s">
        <v>67</v>
      </c>
      <c r="E4612" t="s">
        <v>67</v>
      </c>
      <c r="F4612" t="s">
        <v>45</v>
      </c>
      <c r="G4612" s="117">
        <v>4</v>
      </c>
    </row>
    <row r="4613" spans="1:7" x14ac:dyDescent="0.25">
      <c r="A4613" s="116" t="s">
        <v>7197</v>
      </c>
      <c r="B4613" s="117" t="s">
        <v>7198</v>
      </c>
      <c r="C4613" t="s">
        <v>67</v>
      </c>
      <c r="D4613" t="s">
        <v>67</v>
      </c>
      <c r="E4613" t="s">
        <v>67</v>
      </c>
      <c r="F4613" t="s">
        <v>45</v>
      </c>
      <c r="G4613" s="117">
        <v>14.68</v>
      </c>
    </row>
    <row r="4614" spans="1:7" x14ac:dyDescent="0.25">
      <c r="A4614" s="116" t="s">
        <v>7199</v>
      </c>
      <c r="B4614" s="117" t="s">
        <v>7200</v>
      </c>
      <c r="C4614" t="s">
        <v>67</v>
      </c>
      <c r="D4614" t="s">
        <v>67</v>
      </c>
      <c r="E4614" t="s">
        <v>67</v>
      </c>
      <c r="F4614" t="s">
        <v>27987</v>
      </c>
      <c r="G4614" s="117">
        <v>10.58</v>
      </c>
    </row>
    <row r="4615" spans="1:7" x14ac:dyDescent="0.25">
      <c r="A4615" s="116" t="s">
        <v>7201</v>
      </c>
      <c r="B4615" s="117" t="s">
        <v>7202</v>
      </c>
      <c r="C4615" t="s">
        <v>67</v>
      </c>
      <c r="D4615" t="s">
        <v>67</v>
      </c>
      <c r="E4615" t="s">
        <v>67</v>
      </c>
      <c r="F4615" t="s">
        <v>45</v>
      </c>
      <c r="G4615" s="117">
        <v>1.69</v>
      </c>
    </row>
    <row r="4616" spans="1:7" x14ac:dyDescent="0.25">
      <c r="A4616" s="116" t="s">
        <v>7203</v>
      </c>
      <c r="B4616" s="117" t="s">
        <v>7204</v>
      </c>
      <c r="C4616" t="s">
        <v>67</v>
      </c>
      <c r="D4616" t="s">
        <v>67</v>
      </c>
      <c r="E4616" t="s">
        <v>67</v>
      </c>
      <c r="F4616" t="s">
        <v>45</v>
      </c>
      <c r="G4616" s="117">
        <v>0.44</v>
      </c>
    </row>
    <row r="4617" spans="1:7" x14ac:dyDescent="0.25">
      <c r="A4617" s="116" t="s">
        <v>7205</v>
      </c>
      <c r="B4617" s="117" t="s">
        <v>7206</v>
      </c>
      <c r="C4617" t="s">
        <v>67</v>
      </c>
      <c r="D4617" t="s">
        <v>67</v>
      </c>
      <c r="E4617" t="s">
        <v>67</v>
      </c>
      <c r="F4617" t="s">
        <v>27987</v>
      </c>
      <c r="G4617" s="117">
        <v>0.44</v>
      </c>
    </row>
    <row r="4618" spans="1:7" x14ac:dyDescent="0.25">
      <c r="A4618" s="116" t="s">
        <v>7207</v>
      </c>
      <c r="B4618" s="117" t="s">
        <v>7208</v>
      </c>
      <c r="C4618" t="s">
        <v>67</v>
      </c>
      <c r="D4618" t="s">
        <v>67</v>
      </c>
      <c r="E4618" t="s">
        <v>67</v>
      </c>
      <c r="F4618" t="s">
        <v>27987</v>
      </c>
      <c r="G4618" s="117">
        <v>0.8</v>
      </c>
    </row>
    <row r="4619" spans="1:7" x14ac:dyDescent="0.25">
      <c r="A4619" s="116" t="s">
        <v>7209</v>
      </c>
      <c r="B4619" s="117" t="s">
        <v>7210</v>
      </c>
      <c r="C4619" t="s">
        <v>67</v>
      </c>
      <c r="D4619" t="s">
        <v>67</v>
      </c>
      <c r="E4619" t="s">
        <v>67</v>
      </c>
      <c r="F4619" t="s">
        <v>45</v>
      </c>
      <c r="G4619" s="117">
        <v>5.25</v>
      </c>
    </row>
    <row r="4620" spans="1:7" x14ac:dyDescent="0.25">
      <c r="A4620" s="116" t="s">
        <v>30272</v>
      </c>
      <c r="B4620" s="117" t="s">
        <v>30273</v>
      </c>
      <c r="C4620" t="s">
        <v>67</v>
      </c>
      <c r="D4620" t="s">
        <v>67</v>
      </c>
      <c r="E4620" t="s">
        <v>67</v>
      </c>
      <c r="F4620" t="s">
        <v>45</v>
      </c>
      <c r="G4620" s="117">
        <v>11</v>
      </c>
    </row>
    <row r="4621" spans="1:7" x14ac:dyDescent="0.25">
      <c r="A4621" s="116" t="s">
        <v>7211</v>
      </c>
      <c r="B4621" s="117" t="s">
        <v>5084</v>
      </c>
      <c r="C4621" t="s">
        <v>67</v>
      </c>
      <c r="D4621" t="s">
        <v>67</v>
      </c>
      <c r="E4621" t="s">
        <v>67</v>
      </c>
      <c r="F4621" t="s">
        <v>49</v>
      </c>
      <c r="G4621" s="117">
        <v>1.33</v>
      </c>
    </row>
    <row r="4622" spans="1:7" x14ac:dyDescent="0.25">
      <c r="A4622" s="116" t="s">
        <v>7212</v>
      </c>
      <c r="B4622" s="117" t="s">
        <v>7213</v>
      </c>
      <c r="C4622" t="s">
        <v>67</v>
      </c>
      <c r="D4622" t="s">
        <v>67</v>
      </c>
      <c r="E4622" t="s">
        <v>67</v>
      </c>
      <c r="F4622" t="s">
        <v>27987</v>
      </c>
      <c r="G4622" s="117">
        <v>4.3600000000000003</v>
      </c>
    </row>
    <row r="4623" spans="1:7" x14ac:dyDescent="0.25">
      <c r="A4623" s="116" t="s">
        <v>7214</v>
      </c>
      <c r="B4623" s="117" t="s">
        <v>7213</v>
      </c>
      <c r="C4623" t="s">
        <v>67</v>
      </c>
      <c r="D4623" t="s">
        <v>67</v>
      </c>
      <c r="E4623" t="s">
        <v>67</v>
      </c>
      <c r="F4623" t="s">
        <v>27987</v>
      </c>
      <c r="G4623" s="117">
        <v>4.8899999999999997</v>
      </c>
    </row>
    <row r="4624" spans="1:7" x14ac:dyDescent="0.25">
      <c r="A4624" s="116" t="s">
        <v>7215</v>
      </c>
      <c r="B4624" s="117" t="s">
        <v>7216</v>
      </c>
      <c r="C4624" t="s">
        <v>67</v>
      </c>
      <c r="D4624" t="s">
        <v>67</v>
      </c>
      <c r="E4624" t="s">
        <v>67</v>
      </c>
      <c r="F4624" t="s">
        <v>45</v>
      </c>
      <c r="G4624" s="117">
        <v>3.12</v>
      </c>
    </row>
    <row r="4625" spans="1:7" x14ac:dyDescent="0.25">
      <c r="A4625" s="116" t="s">
        <v>7217</v>
      </c>
      <c r="B4625" s="117" t="s">
        <v>7216</v>
      </c>
      <c r="C4625" t="s">
        <v>67</v>
      </c>
      <c r="D4625" t="s">
        <v>67</v>
      </c>
      <c r="E4625" t="s">
        <v>67</v>
      </c>
      <c r="F4625" t="s">
        <v>45</v>
      </c>
      <c r="G4625" s="117">
        <v>2.23</v>
      </c>
    </row>
    <row r="4626" spans="1:7" x14ac:dyDescent="0.25">
      <c r="A4626" s="116" t="s">
        <v>7218</v>
      </c>
      <c r="B4626" s="117" t="s">
        <v>7219</v>
      </c>
      <c r="C4626" t="s">
        <v>67</v>
      </c>
      <c r="D4626" t="s">
        <v>67</v>
      </c>
      <c r="E4626" t="s">
        <v>67</v>
      </c>
      <c r="F4626" t="s">
        <v>45</v>
      </c>
      <c r="G4626" s="117">
        <v>4</v>
      </c>
    </row>
    <row r="4627" spans="1:7" x14ac:dyDescent="0.25">
      <c r="A4627" s="116" t="s">
        <v>7220</v>
      </c>
      <c r="B4627" s="117" t="s">
        <v>7221</v>
      </c>
      <c r="C4627" t="s">
        <v>67</v>
      </c>
      <c r="D4627" t="s">
        <v>67</v>
      </c>
      <c r="E4627" t="s">
        <v>67</v>
      </c>
      <c r="F4627" t="s">
        <v>27987</v>
      </c>
      <c r="G4627" s="117">
        <v>0.53</v>
      </c>
    </row>
    <row r="4628" spans="1:7" x14ac:dyDescent="0.25">
      <c r="A4628" s="116" t="s">
        <v>7222</v>
      </c>
      <c r="B4628" s="117" t="s">
        <v>7223</v>
      </c>
      <c r="C4628" t="s">
        <v>67</v>
      </c>
      <c r="D4628" t="s">
        <v>67</v>
      </c>
      <c r="E4628" t="s">
        <v>67</v>
      </c>
      <c r="F4628" t="s">
        <v>27987</v>
      </c>
      <c r="G4628" s="117">
        <v>4</v>
      </c>
    </row>
    <row r="4629" spans="1:7" x14ac:dyDescent="0.25">
      <c r="A4629" s="116" t="s">
        <v>7224</v>
      </c>
      <c r="B4629" s="117" t="s">
        <v>7225</v>
      </c>
      <c r="C4629" t="s">
        <v>67</v>
      </c>
      <c r="D4629" t="s">
        <v>67</v>
      </c>
      <c r="E4629" t="s">
        <v>67</v>
      </c>
      <c r="F4629" t="s">
        <v>49</v>
      </c>
      <c r="G4629" s="117">
        <v>1.69</v>
      </c>
    </row>
    <row r="4630" spans="1:7" x14ac:dyDescent="0.25">
      <c r="A4630" s="116" t="s">
        <v>7226</v>
      </c>
      <c r="B4630" s="117" t="s">
        <v>7227</v>
      </c>
      <c r="C4630" t="s">
        <v>67</v>
      </c>
      <c r="D4630" t="s">
        <v>67</v>
      </c>
      <c r="E4630" t="s">
        <v>67</v>
      </c>
      <c r="F4630" t="s">
        <v>27987</v>
      </c>
      <c r="G4630" s="117">
        <v>1.33</v>
      </c>
    </row>
    <row r="4631" spans="1:7" x14ac:dyDescent="0.25">
      <c r="A4631" s="116" t="s">
        <v>7228</v>
      </c>
      <c r="B4631" s="117" t="s">
        <v>7229</v>
      </c>
      <c r="C4631" t="s">
        <v>67</v>
      </c>
      <c r="D4631" t="s">
        <v>67</v>
      </c>
      <c r="E4631" t="s">
        <v>67</v>
      </c>
      <c r="F4631" t="s">
        <v>27987</v>
      </c>
      <c r="G4631" s="117">
        <v>1.33</v>
      </c>
    </row>
    <row r="4632" spans="1:7" x14ac:dyDescent="0.25">
      <c r="A4632" s="116" t="s">
        <v>28722</v>
      </c>
      <c r="B4632" s="117" t="s">
        <v>28723</v>
      </c>
      <c r="C4632" t="s">
        <v>67</v>
      </c>
      <c r="D4632" t="s">
        <v>67</v>
      </c>
      <c r="E4632" t="s">
        <v>67</v>
      </c>
      <c r="F4632" t="s">
        <v>45</v>
      </c>
      <c r="G4632" s="117">
        <v>1.5</v>
      </c>
    </row>
    <row r="4633" spans="1:7" x14ac:dyDescent="0.25">
      <c r="A4633" s="116" t="s">
        <v>7230</v>
      </c>
      <c r="B4633" s="117" t="s">
        <v>7231</v>
      </c>
      <c r="C4633" t="s">
        <v>67</v>
      </c>
      <c r="D4633" t="s">
        <v>67</v>
      </c>
      <c r="E4633" t="s">
        <v>67</v>
      </c>
      <c r="F4633" t="s">
        <v>49</v>
      </c>
      <c r="G4633" s="117">
        <v>0.3</v>
      </c>
    </row>
    <row r="4634" spans="1:7" x14ac:dyDescent="0.25">
      <c r="A4634" s="116" t="s">
        <v>7232</v>
      </c>
      <c r="B4634" s="117" t="s">
        <v>7233</v>
      </c>
      <c r="C4634" t="s">
        <v>67</v>
      </c>
      <c r="D4634" t="s">
        <v>67</v>
      </c>
      <c r="E4634" t="s">
        <v>67</v>
      </c>
      <c r="F4634" t="s">
        <v>27987</v>
      </c>
      <c r="G4634" s="117">
        <v>51.17</v>
      </c>
    </row>
    <row r="4635" spans="1:7" x14ac:dyDescent="0.25">
      <c r="A4635" s="116" t="s">
        <v>7234</v>
      </c>
      <c r="B4635" s="117" t="s">
        <v>7235</v>
      </c>
      <c r="C4635" t="s">
        <v>67</v>
      </c>
      <c r="D4635" t="s">
        <v>67</v>
      </c>
      <c r="E4635" t="s">
        <v>67</v>
      </c>
      <c r="F4635" t="s">
        <v>27987</v>
      </c>
      <c r="G4635" s="117">
        <v>50.63</v>
      </c>
    </row>
    <row r="4636" spans="1:7" x14ac:dyDescent="0.25">
      <c r="A4636" s="116" t="s">
        <v>7236</v>
      </c>
      <c r="B4636" s="117" t="s">
        <v>7237</v>
      </c>
      <c r="C4636" t="s">
        <v>67</v>
      </c>
      <c r="D4636" t="s">
        <v>67</v>
      </c>
      <c r="E4636" t="s">
        <v>67</v>
      </c>
      <c r="F4636" t="s">
        <v>27987</v>
      </c>
      <c r="G4636" s="117">
        <v>6.14</v>
      </c>
    </row>
    <row r="4637" spans="1:7" x14ac:dyDescent="0.25">
      <c r="A4637" s="116" t="s">
        <v>7238</v>
      </c>
      <c r="B4637" s="117" t="s">
        <v>7239</v>
      </c>
      <c r="C4637" t="s">
        <v>67</v>
      </c>
      <c r="D4637" t="s">
        <v>67</v>
      </c>
      <c r="E4637" t="s">
        <v>67</v>
      </c>
      <c r="F4637" t="s">
        <v>27987</v>
      </c>
      <c r="G4637" s="117">
        <v>2.58</v>
      </c>
    </row>
    <row r="4638" spans="1:7" x14ac:dyDescent="0.25">
      <c r="A4638" s="116" t="s">
        <v>7240</v>
      </c>
      <c r="B4638" s="117" t="s">
        <v>7241</v>
      </c>
      <c r="C4638" t="s">
        <v>67</v>
      </c>
      <c r="D4638" t="s">
        <v>67</v>
      </c>
      <c r="E4638" t="s">
        <v>67</v>
      </c>
      <c r="F4638" t="s">
        <v>27987</v>
      </c>
      <c r="G4638" s="117">
        <v>3.63</v>
      </c>
    </row>
    <row r="4639" spans="1:7" x14ac:dyDescent="0.25">
      <c r="A4639" s="116" t="s">
        <v>7242</v>
      </c>
      <c r="B4639" s="117" t="s">
        <v>7243</v>
      </c>
      <c r="C4639" t="s">
        <v>67</v>
      </c>
      <c r="D4639" t="s">
        <v>67</v>
      </c>
      <c r="E4639" t="s">
        <v>67</v>
      </c>
      <c r="F4639" t="s">
        <v>27987</v>
      </c>
      <c r="G4639" s="117">
        <v>0.8</v>
      </c>
    </row>
    <row r="4640" spans="1:7" x14ac:dyDescent="0.25">
      <c r="A4640" s="116" t="s">
        <v>7244</v>
      </c>
      <c r="B4640" s="117" t="s">
        <v>7245</v>
      </c>
      <c r="C4640" t="s">
        <v>67</v>
      </c>
      <c r="D4640" t="s">
        <v>67</v>
      </c>
      <c r="E4640" t="s">
        <v>67</v>
      </c>
      <c r="F4640" t="s">
        <v>45</v>
      </c>
      <c r="G4640" s="117">
        <v>2.58</v>
      </c>
    </row>
    <row r="4641" spans="1:7" x14ac:dyDescent="0.25">
      <c r="A4641" s="116" t="s">
        <v>7246</v>
      </c>
      <c r="B4641" s="117" t="s">
        <v>7247</v>
      </c>
      <c r="C4641" t="s">
        <v>67</v>
      </c>
      <c r="D4641" t="s">
        <v>67</v>
      </c>
      <c r="E4641" t="s">
        <v>67</v>
      </c>
      <c r="F4641" t="s">
        <v>27987</v>
      </c>
      <c r="G4641" s="117">
        <v>1.33</v>
      </c>
    </row>
    <row r="4642" spans="1:7" x14ac:dyDescent="0.25">
      <c r="A4642" s="116" t="s">
        <v>7248</v>
      </c>
      <c r="B4642" s="117" t="s">
        <v>7249</v>
      </c>
      <c r="C4642" t="s">
        <v>67</v>
      </c>
      <c r="D4642" t="s">
        <v>67</v>
      </c>
      <c r="E4642" t="s">
        <v>67</v>
      </c>
      <c r="F4642" t="s">
        <v>27987</v>
      </c>
      <c r="G4642" s="117">
        <v>3.56</v>
      </c>
    </row>
    <row r="4643" spans="1:7" x14ac:dyDescent="0.25">
      <c r="A4643" s="116" t="s">
        <v>7250</v>
      </c>
      <c r="B4643" s="117" t="s">
        <v>7251</v>
      </c>
      <c r="C4643" t="s">
        <v>67</v>
      </c>
      <c r="D4643" t="s">
        <v>67</v>
      </c>
      <c r="E4643" t="s">
        <v>67</v>
      </c>
      <c r="F4643" t="s">
        <v>27987</v>
      </c>
      <c r="G4643" s="117">
        <v>0.44</v>
      </c>
    </row>
    <row r="4644" spans="1:7" x14ac:dyDescent="0.25">
      <c r="A4644" s="116" t="s">
        <v>7252</v>
      </c>
      <c r="B4644" s="117" t="s">
        <v>7253</v>
      </c>
      <c r="C4644" t="s">
        <v>67</v>
      </c>
      <c r="D4644" t="s">
        <v>67</v>
      </c>
      <c r="E4644" t="s">
        <v>67</v>
      </c>
      <c r="F4644" t="s">
        <v>27987</v>
      </c>
      <c r="G4644" s="117">
        <v>0.44</v>
      </c>
    </row>
    <row r="4645" spans="1:7" x14ac:dyDescent="0.25">
      <c r="A4645" s="116" t="s">
        <v>7254</v>
      </c>
      <c r="B4645" s="117" t="s">
        <v>7255</v>
      </c>
      <c r="C4645" t="s">
        <v>67</v>
      </c>
      <c r="D4645" t="s">
        <v>67</v>
      </c>
      <c r="E4645" t="s">
        <v>67</v>
      </c>
      <c r="F4645" t="s">
        <v>27987</v>
      </c>
      <c r="G4645" s="117">
        <v>3.56</v>
      </c>
    </row>
    <row r="4646" spans="1:7" x14ac:dyDescent="0.25">
      <c r="A4646" s="116" t="s">
        <v>7256</v>
      </c>
      <c r="B4646" s="117" t="s">
        <v>7257</v>
      </c>
      <c r="C4646" t="s">
        <v>67</v>
      </c>
      <c r="D4646" t="s">
        <v>67</v>
      </c>
      <c r="E4646" t="s">
        <v>67</v>
      </c>
      <c r="F4646" t="s">
        <v>27987</v>
      </c>
      <c r="G4646" s="117">
        <v>2.58</v>
      </c>
    </row>
    <row r="4647" spans="1:7" x14ac:dyDescent="0.25">
      <c r="A4647" s="116" t="s">
        <v>7258</v>
      </c>
      <c r="B4647" s="117" t="s">
        <v>7257</v>
      </c>
      <c r="C4647" t="s">
        <v>67</v>
      </c>
      <c r="D4647" t="s">
        <v>67</v>
      </c>
      <c r="E4647" t="s">
        <v>67</v>
      </c>
      <c r="F4647" t="s">
        <v>27987</v>
      </c>
      <c r="G4647" s="117">
        <v>0.8</v>
      </c>
    </row>
    <row r="4648" spans="1:7" x14ac:dyDescent="0.25">
      <c r="A4648" s="116" t="s">
        <v>7259</v>
      </c>
      <c r="B4648" s="117" t="s">
        <v>7260</v>
      </c>
      <c r="C4648" t="s">
        <v>67</v>
      </c>
      <c r="D4648" t="s">
        <v>67</v>
      </c>
      <c r="E4648" t="s">
        <v>67</v>
      </c>
      <c r="F4648" t="s">
        <v>27987</v>
      </c>
      <c r="G4648" s="117">
        <v>14.14</v>
      </c>
    </row>
    <row r="4649" spans="1:7" x14ac:dyDescent="0.25">
      <c r="A4649" s="116" t="s">
        <v>7261</v>
      </c>
      <c r="B4649" s="117" t="s">
        <v>7260</v>
      </c>
      <c r="C4649" t="s">
        <v>67</v>
      </c>
      <c r="D4649" t="s">
        <v>67</v>
      </c>
      <c r="E4649" t="s">
        <v>67</v>
      </c>
      <c r="F4649" t="s">
        <v>27987</v>
      </c>
      <c r="G4649" s="117">
        <v>14.14</v>
      </c>
    </row>
    <row r="4650" spans="1:7" x14ac:dyDescent="0.25">
      <c r="A4650" s="116" t="s">
        <v>7262</v>
      </c>
      <c r="B4650" s="117" t="s">
        <v>7263</v>
      </c>
      <c r="C4650" t="s">
        <v>67</v>
      </c>
      <c r="D4650" t="s">
        <v>67</v>
      </c>
      <c r="E4650" t="s">
        <v>67</v>
      </c>
      <c r="F4650" t="s">
        <v>45</v>
      </c>
      <c r="G4650" s="117">
        <v>7.92</v>
      </c>
    </row>
    <row r="4651" spans="1:7" x14ac:dyDescent="0.25">
      <c r="A4651" s="116" t="s">
        <v>7264</v>
      </c>
      <c r="B4651" s="117" t="s">
        <v>7265</v>
      </c>
      <c r="C4651" t="s">
        <v>67</v>
      </c>
      <c r="D4651" t="s">
        <v>67</v>
      </c>
      <c r="E4651" t="s">
        <v>67</v>
      </c>
      <c r="F4651" t="s">
        <v>27987</v>
      </c>
      <c r="G4651" s="117">
        <v>1.69</v>
      </c>
    </row>
    <row r="4652" spans="1:7" x14ac:dyDescent="0.25">
      <c r="A4652" s="116" t="s">
        <v>7266</v>
      </c>
      <c r="B4652" s="117" t="s">
        <v>7267</v>
      </c>
      <c r="C4652" t="s">
        <v>67</v>
      </c>
      <c r="D4652" t="s">
        <v>67</v>
      </c>
      <c r="E4652" t="s">
        <v>67</v>
      </c>
      <c r="F4652" t="s">
        <v>27987</v>
      </c>
      <c r="G4652" s="117">
        <v>3.12</v>
      </c>
    </row>
    <row r="4653" spans="1:7" x14ac:dyDescent="0.25">
      <c r="A4653" s="116" t="s">
        <v>7268</v>
      </c>
      <c r="B4653" s="117" t="s">
        <v>7269</v>
      </c>
      <c r="C4653" t="s">
        <v>67</v>
      </c>
      <c r="D4653" t="s">
        <v>67</v>
      </c>
      <c r="E4653" t="s">
        <v>67</v>
      </c>
      <c r="F4653" t="s">
        <v>27987</v>
      </c>
      <c r="G4653" s="117">
        <v>1.33</v>
      </c>
    </row>
    <row r="4654" spans="1:7" x14ac:dyDescent="0.25">
      <c r="A4654" s="116" t="s">
        <v>7270</v>
      </c>
      <c r="B4654" s="117" t="s">
        <v>7271</v>
      </c>
      <c r="C4654" t="s">
        <v>67</v>
      </c>
      <c r="D4654" t="s">
        <v>67</v>
      </c>
      <c r="E4654" t="s">
        <v>67</v>
      </c>
      <c r="F4654" t="s">
        <v>27987</v>
      </c>
      <c r="G4654" s="117">
        <v>0.44</v>
      </c>
    </row>
    <row r="4655" spans="1:7" x14ac:dyDescent="0.25">
      <c r="A4655" s="116" t="s">
        <v>7272</v>
      </c>
      <c r="B4655" s="117" t="s">
        <v>7031</v>
      </c>
      <c r="C4655" t="s">
        <v>67</v>
      </c>
      <c r="D4655" t="s">
        <v>67</v>
      </c>
      <c r="E4655" t="s">
        <v>67</v>
      </c>
      <c r="F4655" t="s">
        <v>45</v>
      </c>
      <c r="G4655" s="117">
        <v>0.8</v>
      </c>
    </row>
    <row r="4656" spans="1:7" x14ac:dyDescent="0.25">
      <c r="A4656" s="116" t="s">
        <v>7273</v>
      </c>
      <c r="B4656" s="117" t="s">
        <v>7274</v>
      </c>
      <c r="C4656" t="s">
        <v>67</v>
      </c>
      <c r="D4656" t="s">
        <v>67</v>
      </c>
      <c r="E4656" t="s">
        <v>67</v>
      </c>
      <c r="F4656" t="s">
        <v>27987</v>
      </c>
      <c r="G4656" s="117">
        <v>0.8</v>
      </c>
    </row>
    <row r="4657" spans="1:7" x14ac:dyDescent="0.25">
      <c r="A4657" s="116" t="s">
        <v>7275</v>
      </c>
      <c r="B4657" s="117" t="s">
        <v>7276</v>
      </c>
      <c r="C4657" t="s">
        <v>67</v>
      </c>
      <c r="D4657" t="s">
        <v>67</v>
      </c>
      <c r="E4657" t="s">
        <v>67</v>
      </c>
      <c r="F4657" t="s">
        <v>27987</v>
      </c>
      <c r="G4657" s="117">
        <v>0.44</v>
      </c>
    </row>
    <row r="4658" spans="1:7" x14ac:dyDescent="0.25">
      <c r="A4658" s="116" t="s">
        <v>7277</v>
      </c>
      <c r="B4658" s="117" t="s">
        <v>7278</v>
      </c>
      <c r="C4658" t="s">
        <v>67</v>
      </c>
      <c r="D4658" t="s">
        <v>67</v>
      </c>
      <c r="E4658" t="s">
        <v>67</v>
      </c>
      <c r="F4658" t="s">
        <v>27987</v>
      </c>
      <c r="G4658" s="117">
        <v>0.44</v>
      </c>
    </row>
    <row r="4659" spans="1:7" x14ac:dyDescent="0.25">
      <c r="A4659" s="116" t="s">
        <v>7279</v>
      </c>
      <c r="B4659" s="117" t="s">
        <v>7280</v>
      </c>
      <c r="C4659" t="s">
        <v>67</v>
      </c>
      <c r="D4659" t="s">
        <v>67</v>
      </c>
      <c r="E4659" t="s">
        <v>67</v>
      </c>
      <c r="F4659" t="s">
        <v>27987</v>
      </c>
      <c r="G4659" s="117">
        <v>1.33</v>
      </c>
    </row>
    <row r="4660" spans="1:7" x14ac:dyDescent="0.25">
      <c r="A4660" s="116" t="s">
        <v>7281</v>
      </c>
      <c r="B4660" s="117" t="s">
        <v>7282</v>
      </c>
      <c r="C4660" t="s">
        <v>67</v>
      </c>
      <c r="D4660" t="s">
        <v>67</v>
      </c>
      <c r="E4660" t="s">
        <v>67</v>
      </c>
      <c r="F4660" t="s">
        <v>27987</v>
      </c>
      <c r="G4660" s="117">
        <v>0.44</v>
      </c>
    </row>
    <row r="4661" spans="1:7" x14ac:dyDescent="0.25">
      <c r="A4661" s="116" t="s">
        <v>7283</v>
      </c>
      <c r="B4661" s="117" t="s">
        <v>7284</v>
      </c>
      <c r="C4661" t="s">
        <v>67</v>
      </c>
      <c r="D4661" t="s">
        <v>67</v>
      </c>
      <c r="E4661" t="s">
        <v>67</v>
      </c>
      <c r="F4661" t="s">
        <v>27987</v>
      </c>
      <c r="G4661" s="117">
        <v>0.8</v>
      </c>
    </row>
    <row r="4662" spans="1:7" x14ac:dyDescent="0.25">
      <c r="A4662" s="116" t="s">
        <v>7285</v>
      </c>
      <c r="B4662" s="117" t="s">
        <v>7286</v>
      </c>
      <c r="C4662" t="s">
        <v>67</v>
      </c>
      <c r="D4662" t="s">
        <v>67</v>
      </c>
      <c r="E4662" t="s">
        <v>67</v>
      </c>
      <c r="F4662" t="s">
        <v>27987</v>
      </c>
      <c r="G4662" s="117">
        <v>3.12</v>
      </c>
    </row>
    <row r="4663" spans="1:7" x14ac:dyDescent="0.25">
      <c r="A4663" s="116" t="s">
        <v>7287</v>
      </c>
      <c r="B4663" s="117" t="s">
        <v>7286</v>
      </c>
      <c r="C4663" t="s">
        <v>67</v>
      </c>
      <c r="D4663" t="s">
        <v>67</v>
      </c>
      <c r="E4663" t="s">
        <v>67</v>
      </c>
      <c r="F4663" t="s">
        <v>27987</v>
      </c>
      <c r="G4663" s="117">
        <v>1.77</v>
      </c>
    </row>
    <row r="4664" spans="1:7" x14ac:dyDescent="0.25">
      <c r="A4664" s="116" t="s">
        <v>27971</v>
      </c>
      <c r="B4664" s="117" t="s">
        <v>27972</v>
      </c>
      <c r="C4664" t="s">
        <v>67</v>
      </c>
      <c r="D4664" t="s">
        <v>67</v>
      </c>
      <c r="E4664" t="s">
        <v>67</v>
      </c>
      <c r="F4664" t="s">
        <v>27987</v>
      </c>
      <c r="G4664" s="117">
        <v>2</v>
      </c>
    </row>
    <row r="4665" spans="1:7" x14ac:dyDescent="0.25">
      <c r="A4665" s="116" t="s">
        <v>7288</v>
      </c>
      <c r="B4665" s="117" t="s">
        <v>7289</v>
      </c>
      <c r="C4665" t="s">
        <v>67</v>
      </c>
      <c r="D4665" t="s">
        <v>67</v>
      </c>
      <c r="E4665" t="s">
        <v>67</v>
      </c>
      <c r="F4665" t="s">
        <v>27987</v>
      </c>
      <c r="G4665" s="117">
        <v>1.77</v>
      </c>
    </row>
    <row r="4666" spans="1:7" x14ac:dyDescent="0.25">
      <c r="A4666" s="116" t="s">
        <v>7290</v>
      </c>
      <c r="B4666" s="117" t="s">
        <v>7006</v>
      </c>
      <c r="C4666" t="s">
        <v>67</v>
      </c>
      <c r="D4666" t="s">
        <v>67</v>
      </c>
      <c r="E4666" t="s">
        <v>67</v>
      </c>
      <c r="F4666" t="s">
        <v>27987</v>
      </c>
      <c r="G4666" s="117">
        <v>3.56</v>
      </c>
    </row>
    <row r="4667" spans="1:7" x14ac:dyDescent="0.25">
      <c r="A4667" s="116" t="s">
        <v>7291</v>
      </c>
      <c r="B4667" s="117" t="s">
        <v>7292</v>
      </c>
      <c r="C4667" t="s">
        <v>67</v>
      </c>
      <c r="D4667" t="s">
        <v>67</v>
      </c>
      <c r="E4667" t="s">
        <v>67</v>
      </c>
      <c r="F4667" t="s">
        <v>27987</v>
      </c>
      <c r="G4667" s="117">
        <v>0.8</v>
      </c>
    </row>
    <row r="4668" spans="1:7" x14ac:dyDescent="0.25">
      <c r="A4668" s="116" t="s">
        <v>7293</v>
      </c>
      <c r="B4668" s="117" t="s">
        <v>7294</v>
      </c>
      <c r="C4668" t="s">
        <v>67</v>
      </c>
      <c r="D4668" t="s">
        <v>67</v>
      </c>
      <c r="E4668" t="s">
        <v>67</v>
      </c>
      <c r="F4668" t="s">
        <v>27987</v>
      </c>
      <c r="G4668" s="117">
        <v>2.58</v>
      </c>
    </row>
    <row r="4669" spans="1:7" x14ac:dyDescent="0.25">
      <c r="A4669" s="116" t="s">
        <v>7295</v>
      </c>
      <c r="B4669" s="117" t="s">
        <v>7296</v>
      </c>
      <c r="C4669" t="s">
        <v>67</v>
      </c>
      <c r="D4669" t="s">
        <v>67</v>
      </c>
      <c r="E4669" t="s">
        <v>67</v>
      </c>
      <c r="F4669" t="s">
        <v>27987</v>
      </c>
      <c r="G4669" s="117">
        <v>0.8</v>
      </c>
    </row>
    <row r="4670" spans="1:7" x14ac:dyDescent="0.25">
      <c r="A4670" s="116" t="s">
        <v>7297</v>
      </c>
      <c r="B4670" s="117" t="s">
        <v>7298</v>
      </c>
      <c r="C4670" t="s">
        <v>67</v>
      </c>
      <c r="D4670" t="s">
        <v>67</v>
      </c>
      <c r="E4670" t="s">
        <v>67</v>
      </c>
      <c r="F4670" t="s">
        <v>45</v>
      </c>
      <c r="G4670" s="117">
        <v>0.44</v>
      </c>
    </row>
    <row r="4671" spans="1:7" x14ac:dyDescent="0.25">
      <c r="A4671" s="116" t="s">
        <v>7299</v>
      </c>
      <c r="B4671" s="117" t="s">
        <v>7300</v>
      </c>
      <c r="C4671" t="s">
        <v>67</v>
      </c>
      <c r="D4671" t="s">
        <v>67</v>
      </c>
      <c r="E4671" t="s">
        <v>67</v>
      </c>
      <c r="F4671" t="s">
        <v>27987</v>
      </c>
      <c r="G4671" s="117">
        <v>15.57</v>
      </c>
    </row>
    <row r="4672" spans="1:7" x14ac:dyDescent="0.25">
      <c r="A4672" s="116" t="s">
        <v>7301</v>
      </c>
      <c r="B4672" s="117" t="s">
        <v>7302</v>
      </c>
      <c r="C4672" t="s">
        <v>67</v>
      </c>
      <c r="D4672" t="s">
        <v>67</v>
      </c>
      <c r="E4672" t="s">
        <v>67</v>
      </c>
      <c r="F4672" t="s">
        <v>27987</v>
      </c>
      <c r="G4672" s="117">
        <v>2.58</v>
      </c>
    </row>
    <row r="4673" spans="1:7" x14ac:dyDescent="0.25">
      <c r="A4673" s="116" t="s">
        <v>7303</v>
      </c>
      <c r="B4673" s="117" t="s">
        <v>7304</v>
      </c>
      <c r="C4673" t="s">
        <v>67</v>
      </c>
      <c r="D4673" t="s">
        <v>67</v>
      </c>
      <c r="E4673" t="s">
        <v>67</v>
      </c>
      <c r="F4673" t="s">
        <v>45</v>
      </c>
      <c r="G4673" s="117">
        <v>3.56</v>
      </c>
    </row>
    <row r="4674" spans="1:7" x14ac:dyDescent="0.25">
      <c r="A4674" s="116" t="s">
        <v>7305</v>
      </c>
      <c r="B4674" s="117" t="s">
        <v>7306</v>
      </c>
      <c r="C4674" t="s">
        <v>67</v>
      </c>
      <c r="D4674" t="s">
        <v>67</v>
      </c>
      <c r="E4674" t="s">
        <v>67</v>
      </c>
      <c r="F4674" t="s">
        <v>45</v>
      </c>
      <c r="G4674" s="117">
        <v>0.8</v>
      </c>
    </row>
    <row r="4675" spans="1:7" x14ac:dyDescent="0.25">
      <c r="A4675" s="116" t="s">
        <v>7307</v>
      </c>
      <c r="B4675" s="117" t="s">
        <v>7308</v>
      </c>
      <c r="C4675" t="s">
        <v>67</v>
      </c>
      <c r="D4675" t="s">
        <v>67</v>
      </c>
      <c r="E4675" t="s">
        <v>67</v>
      </c>
      <c r="F4675" t="s">
        <v>27987</v>
      </c>
      <c r="G4675" s="117">
        <v>4.8899999999999997</v>
      </c>
    </row>
    <row r="4676" spans="1:7" x14ac:dyDescent="0.25">
      <c r="A4676" s="116" t="s">
        <v>7309</v>
      </c>
      <c r="B4676" s="117" t="s">
        <v>5084</v>
      </c>
      <c r="C4676" t="s">
        <v>67</v>
      </c>
      <c r="D4676" t="s">
        <v>67</v>
      </c>
      <c r="E4676" t="s">
        <v>67</v>
      </c>
      <c r="F4676" t="s">
        <v>51</v>
      </c>
      <c r="G4676" s="117">
        <v>0.44</v>
      </c>
    </row>
    <row r="4677" spans="1:7" x14ac:dyDescent="0.25">
      <c r="A4677" s="116" t="s">
        <v>7310</v>
      </c>
      <c r="B4677" s="117" t="s">
        <v>7311</v>
      </c>
      <c r="C4677" t="s">
        <v>67</v>
      </c>
      <c r="D4677" t="s">
        <v>67</v>
      </c>
      <c r="E4677" t="s">
        <v>67</v>
      </c>
      <c r="F4677" t="s">
        <v>27987</v>
      </c>
      <c r="G4677" s="117">
        <v>0.8</v>
      </c>
    </row>
    <row r="4678" spans="1:7" x14ac:dyDescent="0.25">
      <c r="A4678" s="116" t="s">
        <v>7312</v>
      </c>
      <c r="B4678" s="117" t="s">
        <v>7313</v>
      </c>
      <c r="C4678" t="s">
        <v>67</v>
      </c>
      <c r="D4678" t="s">
        <v>67</v>
      </c>
      <c r="E4678" t="s">
        <v>67</v>
      </c>
      <c r="F4678" t="s">
        <v>27987</v>
      </c>
      <c r="G4678" s="117">
        <v>0.44</v>
      </c>
    </row>
    <row r="4679" spans="1:7" x14ac:dyDescent="0.25">
      <c r="A4679" s="116" t="s">
        <v>7314</v>
      </c>
      <c r="B4679" s="117" t="s">
        <v>7315</v>
      </c>
      <c r="C4679" t="s">
        <v>67</v>
      </c>
      <c r="D4679" t="s">
        <v>67</v>
      </c>
      <c r="E4679" t="s">
        <v>67</v>
      </c>
      <c r="F4679" t="s">
        <v>27987</v>
      </c>
      <c r="G4679" s="117">
        <v>29.27</v>
      </c>
    </row>
    <row r="4680" spans="1:7" x14ac:dyDescent="0.25">
      <c r="A4680" s="116" t="s">
        <v>7316</v>
      </c>
      <c r="B4680" s="117" t="s">
        <v>7317</v>
      </c>
      <c r="C4680" t="s">
        <v>67</v>
      </c>
      <c r="D4680" t="s">
        <v>67</v>
      </c>
      <c r="E4680" t="s">
        <v>67</v>
      </c>
      <c r="F4680" t="s">
        <v>27987</v>
      </c>
      <c r="G4680" s="117">
        <v>0.44</v>
      </c>
    </row>
    <row r="4681" spans="1:7" x14ac:dyDescent="0.25">
      <c r="A4681" s="116" t="s">
        <v>7318</v>
      </c>
      <c r="B4681" s="117" t="s">
        <v>7319</v>
      </c>
      <c r="C4681" t="s">
        <v>67</v>
      </c>
      <c r="D4681" t="s">
        <v>67</v>
      </c>
      <c r="E4681" t="s">
        <v>67</v>
      </c>
      <c r="F4681" t="s">
        <v>45</v>
      </c>
      <c r="G4681" s="117">
        <v>0.44</v>
      </c>
    </row>
    <row r="4682" spans="1:7" x14ac:dyDescent="0.25">
      <c r="A4682" s="116" t="s">
        <v>7320</v>
      </c>
      <c r="B4682" s="117" t="s">
        <v>7321</v>
      </c>
      <c r="C4682" t="s">
        <v>67</v>
      </c>
      <c r="D4682" t="s">
        <v>67</v>
      </c>
      <c r="E4682" t="s">
        <v>67</v>
      </c>
      <c r="F4682" t="s">
        <v>27987</v>
      </c>
      <c r="G4682" s="117">
        <v>15.57</v>
      </c>
    </row>
    <row r="4683" spans="1:7" x14ac:dyDescent="0.25">
      <c r="A4683" s="116" t="s">
        <v>7322</v>
      </c>
      <c r="B4683" s="117" t="s">
        <v>6977</v>
      </c>
      <c r="C4683" t="s">
        <v>67</v>
      </c>
      <c r="D4683" t="s">
        <v>67</v>
      </c>
      <c r="E4683" t="s">
        <v>67</v>
      </c>
      <c r="F4683" t="s">
        <v>49</v>
      </c>
      <c r="G4683" s="117">
        <v>0.44</v>
      </c>
    </row>
    <row r="4684" spans="1:7" x14ac:dyDescent="0.25">
      <c r="A4684" s="116" t="s">
        <v>7323</v>
      </c>
      <c r="B4684" s="117" t="s">
        <v>7324</v>
      </c>
      <c r="C4684" t="s">
        <v>67</v>
      </c>
      <c r="D4684" t="s">
        <v>67</v>
      </c>
      <c r="E4684" t="s">
        <v>67</v>
      </c>
      <c r="F4684" t="s">
        <v>27987</v>
      </c>
      <c r="G4684" s="117">
        <v>0.24</v>
      </c>
    </row>
    <row r="4685" spans="1:7" x14ac:dyDescent="0.25">
      <c r="A4685" s="116" t="s">
        <v>7325</v>
      </c>
      <c r="B4685" s="117" t="s">
        <v>7326</v>
      </c>
      <c r="C4685" t="s">
        <v>67</v>
      </c>
      <c r="D4685" t="s">
        <v>67</v>
      </c>
      <c r="E4685" t="s">
        <v>67</v>
      </c>
      <c r="F4685" t="s">
        <v>49</v>
      </c>
      <c r="G4685" s="117">
        <v>0.44</v>
      </c>
    </row>
    <row r="4686" spans="1:7" x14ac:dyDescent="0.25">
      <c r="A4686" s="116" t="s">
        <v>7327</v>
      </c>
      <c r="B4686" s="117" t="s">
        <v>7328</v>
      </c>
      <c r="C4686" t="s">
        <v>67</v>
      </c>
      <c r="D4686" t="s">
        <v>67</v>
      </c>
      <c r="E4686" t="s">
        <v>67</v>
      </c>
      <c r="F4686" t="s">
        <v>27987</v>
      </c>
      <c r="G4686" s="117">
        <v>0.44</v>
      </c>
    </row>
    <row r="4687" spans="1:7" x14ac:dyDescent="0.25">
      <c r="A4687" s="116" t="s">
        <v>7329</v>
      </c>
      <c r="B4687" s="117" t="s">
        <v>7330</v>
      </c>
      <c r="C4687" t="s">
        <v>67</v>
      </c>
      <c r="D4687" t="s">
        <v>67</v>
      </c>
      <c r="E4687" t="s">
        <v>67</v>
      </c>
      <c r="F4687" t="s">
        <v>27987</v>
      </c>
      <c r="G4687" s="117">
        <v>0.8</v>
      </c>
    </row>
    <row r="4688" spans="1:7" x14ac:dyDescent="0.25">
      <c r="A4688" s="116" t="s">
        <v>7331</v>
      </c>
      <c r="B4688" s="117" t="s">
        <v>7332</v>
      </c>
      <c r="C4688" t="s">
        <v>67</v>
      </c>
      <c r="D4688" t="s">
        <v>67</v>
      </c>
      <c r="E4688" t="s">
        <v>67</v>
      </c>
      <c r="F4688" t="s">
        <v>27987</v>
      </c>
      <c r="G4688" s="117">
        <v>7.56</v>
      </c>
    </row>
    <row r="4689" spans="1:7" x14ac:dyDescent="0.25">
      <c r="A4689" s="116" t="s">
        <v>7333</v>
      </c>
      <c r="B4689" s="117" t="s">
        <v>7334</v>
      </c>
      <c r="C4689" t="s">
        <v>67</v>
      </c>
      <c r="D4689" t="s">
        <v>67</v>
      </c>
      <c r="E4689" t="s">
        <v>67</v>
      </c>
      <c r="F4689" t="s">
        <v>27987</v>
      </c>
      <c r="G4689" s="117">
        <v>76.98</v>
      </c>
    </row>
    <row r="4690" spans="1:7" x14ac:dyDescent="0.25">
      <c r="A4690" s="116" t="s">
        <v>7335</v>
      </c>
      <c r="B4690" s="117" t="s">
        <v>7336</v>
      </c>
      <c r="C4690" t="s">
        <v>67</v>
      </c>
      <c r="D4690" t="s">
        <v>67</v>
      </c>
      <c r="E4690" t="s">
        <v>67</v>
      </c>
      <c r="F4690" t="s">
        <v>27987</v>
      </c>
      <c r="G4690" s="117">
        <v>1.01</v>
      </c>
    </row>
    <row r="4691" spans="1:7" x14ac:dyDescent="0.25">
      <c r="A4691" s="116" t="s">
        <v>7337</v>
      </c>
      <c r="B4691" s="117" t="s">
        <v>7336</v>
      </c>
      <c r="C4691" t="s">
        <v>67</v>
      </c>
      <c r="D4691" t="s">
        <v>67</v>
      </c>
      <c r="E4691" t="s">
        <v>67</v>
      </c>
      <c r="F4691" t="s">
        <v>27987</v>
      </c>
      <c r="G4691" s="117">
        <v>1.77</v>
      </c>
    </row>
    <row r="4692" spans="1:7" x14ac:dyDescent="0.25">
      <c r="A4692" s="116" t="s">
        <v>7338</v>
      </c>
      <c r="B4692" s="117" t="s">
        <v>7339</v>
      </c>
      <c r="C4692" t="s">
        <v>67</v>
      </c>
      <c r="D4692" t="s">
        <v>67</v>
      </c>
      <c r="E4692" t="s">
        <v>67</v>
      </c>
      <c r="F4692" t="s">
        <v>27987</v>
      </c>
      <c r="G4692" s="117">
        <v>2.23</v>
      </c>
    </row>
    <row r="4693" spans="1:7" x14ac:dyDescent="0.25">
      <c r="A4693" s="116" t="s">
        <v>7340</v>
      </c>
      <c r="B4693" s="117" t="s">
        <v>7341</v>
      </c>
      <c r="C4693" t="s">
        <v>67</v>
      </c>
      <c r="D4693" t="s">
        <v>67</v>
      </c>
      <c r="E4693" t="s">
        <v>67</v>
      </c>
      <c r="F4693" t="s">
        <v>45</v>
      </c>
      <c r="G4693" s="117">
        <v>10.58</v>
      </c>
    </row>
    <row r="4694" spans="1:7" x14ac:dyDescent="0.25">
      <c r="A4694" s="116" t="s">
        <v>7342</v>
      </c>
      <c r="B4694" s="117" t="s">
        <v>7343</v>
      </c>
      <c r="C4694" t="s">
        <v>67</v>
      </c>
      <c r="D4694" t="s">
        <v>67</v>
      </c>
      <c r="E4694" t="s">
        <v>67</v>
      </c>
      <c r="F4694" t="s">
        <v>27987</v>
      </c>
      <c r="G4694" s="117">
        <v>9.35</v>
      </c>
    </row>
    <row r="4695" spans="1:7" x14ac:dyDescent="0.25">
      <c r="A4695" s="116" t="s">
        <v>7344</v>
      </c>
      <c r="B4695" s="117" t="s">
        <v>7332</v>
      </c>
      <c r="C4695" t="s">
        <v>67</v>
      </c>
      <c r="D4695" t="s">
        <v>67</v>
      </c>
      <c r="E4695" t="s">
        <v>67</v>
      </c>
      <c r="F4695" t="s">
        <v>27987</v>
      </c>
      <c r="G4695" s="117">
        <v>9.35</v>
      </c>
    </row>
    <row r="4696" spans="1:7" x14ac:dyDescent="0.25">
      <c r="A4696" s="116" t="s">
        <v>7345</v>
      </c>
      <c r="B4696" s="117" t="s">
        <v>7346</v>
      </c>
      <c r="C4696" t="s">
        <v>67</v>
      </c>
      <c r="D4696" t="s">
        <v>67</v>
      </c>
      <c r="E4696" t="s">
        <v>67</v>
      </c>
      <c r="F4696" t="s">
        <v>27987</v>
      </c>
      <c r="G4696" s="117">
        <v>1.69</v>
      </c>
    </row>
    <row r="4697" spans="1:7" x14ac:dyDescent="0.25">
      <c r="A4697" s="116" t="s">
        <v>7347</v>
      </c>
      <c r="B4697" s="117" t="s">
        <v>7348</v>
      </c>
      <c r="C4697" t="s">
        <v>67</v>
      </c>
      <c r="D4697" t="s">
        <v>67</v>
      </c>
      <c r="E4697" t="s">
        <v>67</v>
      </c>
      <c r="F4697" t="s">
        <v>27987</v>
      </c>
      <c r="G4697" s="117">
        <v>0.44</v>
      </c>
    </row>
    <row r="4698" spans="1:7" x14ac:dyDescent="0.25">
      <c r="A4698" s="116" t="s">
        <v>7349</v>
      </c>
      <c r="B4698" s="117" t="s">
        <v>7350</v>
      </c>
      <c r="C4698" t="s">
        <v>67</v>
      </c>
      <c r="D4698" t="s">
        <v>67</v>
      </c>
      <c r="E4698" t="s">
        <v>67</v>
      </c>
      <c r="F4698" t="s">
        <v>27987</v>
      </c>
      <c r="G4698" s="117">
        <v>1.69</v>
      </c>
    </row>
    <row r="4699" spans="1:7" x14ac:dyDescent="0.25">
      <c r="A4699" s="116" t="s">
        <v>7351</v>
      </c>
      <c r="B4699" s="117" t="s">
        <v>7352</v>
      </c>
      <c r="C4699" t="s">
        <v>67</v>
      </c>
      <c r="D4699" t="s">
        <v>67</v>
      </c>
      <c r="E4699" t="s">
        <v>67</v>
      </c>
      <c r="F4699" t="s">
        <v>27987</v>
      </c>
      <c r="G4699" s="117">
        <v>1.69</v>
      </c>
    </row>
    <row r="4700" spans="1:7" x14ac:dyDescent="0.25">
      <c r="A4700" s="116" t="s">
        <v>7353</v>
      </c>
      <c r="B4700" s="117" t="s">
        <v>7354</v>
      </c>
      <c r="C4700" t="s">
        <v>67</v>
      </c>
      <c r="D4700" t="s">
        <v>67</v>
      </c>
      <c r="E4700" t="s">
        <v>67</v>
      </c>
      <c r="F4700" t="s">
        <v>27987</v>
      </c>
      <c r="G4700" s="117">
        <v>12.01</v>
      </c>
    </row>
    <row r="4701" spans="1:7" x14ac:dyDescent="0.25">
      <c r="A4701" s="116" t="s">
        <v>7355</v>
      </c>
      <c r="B4701" s="117" t="s">
        <v>7356</v>
      </c>
      <c r="C4701" t="s">
        <v>67</v>
      </c>
      <c r="D4701" t="s">
        <v>67</v>
      </c>
      <c r="E4701" t="s">
        <v>67</v>
      </c>
      <c r="F4701" t="s">
        <v>27987</v>
      </c>
      <c r="G4701" s="117">
        <v>2.23</v>
      </c>
    </row>
    <row r="4702" spans="1:7" x14ac:dyDescent="0.25">
      <c r="A4702" s="116" t="s">
        <v>7357</v>
      </c>
      <c r="B4702" s="117" t="s">
        <v>7358</v>
      </c>
      <c r="C4702" t="s">
        <v>67</v>
      </c>
      <c r="D4702" t="s">
        <v>67</v>
      </c>
      <c r="E4702" t="s">
        <v>67</v>
      </c>
      <c r="F4702" t="s">
        <v>27987</v>
      </c>
      <c r="G4702" s="117">
        <v>1.33</v>
      </c>
    </row>
    <row r="4703" spans="1:7" x14ac:dyDescent="0.25">
      <c r="A4703" s="116" t="s">
        <v>7359</v>
      </c>
      <c r="B4703" s="117" t="s">
        <v>7360</v>
      </c>
      <c r="C4703" t="s">
        <v>67</v>
      </c>
      <c r="D4703" t="s">
        <v>67</v>
      </c>
      <c r="E4703" t="s">
        <v>67</v>
      </c>
      <c r="F4703" t="s">
        <v>27987</v>
      </c>
      <c r="G4703" s="117">
        <v>4</v>
      </c>
    </row>
    <row r="4704" spans="1:7" x14ac:dyDescent="0.25">
      <c r="A4704" s="116" t="s">
        <v>7361</v>
      </c>
      <c r="B4704" s="117" t="s">
        <v>7362</v>
      </c>
      <c r="C4704" t="s">
        <v>67</v>
      </c>
      <c r="D4704" t="s">
        <v>67</v>
      </c>
      <c r="E4704" t="s">
        <v>67</v>
      </c>
      <c r="F4704" t="s">
        <v>27987</v>
      </c>
      <c r="G4704" s="117">
        <v>0.44</v>
      </c>
    </row>
    <row r="4705" spans="1:7" x14ac:dyDescent="0.25">
      <c r="A4705" s="116" t="s">
        <v>7363</v>
      </c>
      <c r="B4705" s="117" t="s">
        <v>7364</v>
      </c>
      <c r="C4705" t="s">
        <v>67</v>
      </c>
      <c r="D4705" t="s">
        <v>67</v>
      </c>
      <c r="E4705" t="s">
        <v>67</v>
      </c>
      <c r="F4705" t="s">
        <v>27987</v>
      </c>
      <c r="G4705" s="117">
        <v>3.12</v>
      </c>
    </row>
    <row r="4706" spans="1:7" x14ac:dyDescent="0.25">
      <c r="A4706" s="116" t="s">
        <v>7365</v>
      </c>
      <c r="B4706" s="117" t="s">
        <v>7366</v>
      </c>
      <c r="C4706" t="s">
        <v>67</v>
      </c>
      <c r="D4706" t="s">
        <v>67</v>
      </c>
      <c r="E4706" t="s">
        <v>67</v>
      </c>
      <c r="F4706" t="s">
        <v>27987</v>
      </c>
      <c r="G4706" s="117">
        <v>1.69</v>
      </c>
    </row>
    <row r="4707" spans="1:7" x14ac:dyDescent="0.25">
      <c r="A4707" s="116" t="s">
        <v>7367</v>
      </c>
      <c r="B4707" s="117" t="s">
        <v>7368</v>
      </c>
      <c r="C4707" t="s">
        <v>67</v>
      </c>
      <c r="D4707" t="s">
        <v>67</v>
      </c>
      <c r="E4707" t="s">
        <v>67</v>
      </c>
      <c r="F4707" t="s">
        <v>27987</v>
      </c>
      <c r="G4707" s="117">
        <v>0.8</v>
      </c>
    </row>
    <row r="4708" spans="1:7" x14ac:dyDescent="0.25">
      <c r="A4708" s="116" t="s">
        <v>7369</v>
      </c>
      <c r="B4708" s="117" t="s">
        <v>7370</v>
      </c>
      <c r="C4708" t="s">
        <v>67</v>
      </c>
      <c r="D4708" t="s">
        <v>67</v>
      </c>
      <c r="E4708" t="s">
        <v>67</v>
      </c>
      <c r="F4708" t="s">
        <v>27987</v>
      </c>
      <c r="G4708" s="117">
        <v>0.44</v>
      </c>
    </row>
    <row r="4709" spans="1:7" x14ac:dyDescent="0.25">
      <c r="A4709" s="116" t="s">
        <v>7371</v>
      </c>
      <c r="B4709" s="117" t="s">
        <v>28724</v>
      </c>
      <c r="C4709" t="s">
        <v>67</v>
      </c>
      <c r="D4709" t="s">
        <v>67</v>
      </c>
      <c r="E4709" t="s">
        <v>67</v>
      </c>
      <c r="F4709" t="s">
        <v>27987</v>
      </c>
      <c r="G4709" s="117">
        <v>27.5</v>
      </c>
    </row>
    <row r="4710" spans="1:7" x14ac:dyDescent="0.25">
      <c r="A4710" s="116" t="s">
        <v>7372</v>
      </c>
      <c r="B4710" s="117" t="s">
        <v>7373</v>
      </c>
      <c r="C4710" t="s">
        <v>67</v>
      </c>
      <c r="D4710" t="s">
        <v>67</v>
      </c>
      <c r="E4710" t="s">
        <v>67</v>
      </c>
      <c r="F4710" t="s">
        <v>27987</v>
      </c>
      <c r="G4710" s="117">
        <v>3.12</v>
      </c>
    </row>
    <row r="4711" spans="1:7" x14ac:dyDescent="0.25">
      <c r="A4711" s="116" t="s">
        <v>7374</v>
      </c>
      <c r="B4711" s="117" t="s">
        <v>7375</v>
      </c>
      <c r="C4711" t="s">
        <v>67</v>
      </c>
      <c r="D4711" t="s">
        <v>67</v>
      </c>
      <c r="E4711" t="s">
        <v>67</v>
      </c>
      <c r="F4711" t="s">
        <v>27987</v>
      </c>
      <c r="G4711" s="117">
        <v>0.44</v>
      </c>
    </row>
    <row r="4712" spans="1:7" x14ac:dyDescent="0.25">
      <c r="A4712" s="116" t="s">
        <v>7376</v>
      </c>
      <c r="B4712" s="117" t="s">
        <v>7377</v>
      </c>
      <c r="C4712" t="s">
        <v>67</v>
      </c>
      <c r="D4712" t="s">
        <v>67</v>
      </c>
      <c r="E4712" t="s">
        <v>67</v>
      </c>
      <c r="F4712" t="s">
        <v>27987</v>
      </c>
      <c r="G4712" s="117">
        <v>11.48</v>
      </c>
    </row>
    <row r="4713" spans="1:7" x14ac:dyDescent="0.25">
      <c r="A4713" s="116" t="s">
        <v>7378</v>
      </c>
      <c r="B4713" s="117" t="s">
        <v>7379</v>
      </c>
      <c r="C4713" t="s">
        <v>67</v>
      </c>
      <c r="D4713" t="s">
        <v>67</v>
      </c>
      <c r="E4713" t="s">
        <v>67</v>
      </c>
      <c r="F4713" t="s">
        <v>27987</v>
      </c>
      <c r="G4713" s="117">
        <v>0.8</v>
      </c>
    </row>
    <row r="4714" spans="1:7" x14ac:dyDescent="0.25">
      <c r="A4714" s="116" t="s">
        <v>7380</v>
      </c>
      <c r="B4714" s="117" t="s">
        <v>7381</v>
      </c>
      <c r="C4714" t="s">
        <v>67</v>
      </c>
      <c r="D4714" t="s">
        <v>67</v>
      </c>
      <c r="E4714" t="s">
        <v>67</v>
      </c>
      <c r="F4714" t="s">
        <v>27987</v>
      </c>
      <c r="G4714" s="117">
        <v>0.8</v>
      </c>
    </row>
    <row r="4715" spans="1:7" x14ac:dyDescent="0.25">
      <c r="A4715" s="116" t="s">
        <v>7382</v>
      </c>
      <c r="B4715" s="117" t="s">
        <v>7383</v>
      </c>
      <c r="C4715" t="s">
        <v>67</v>
      </c>
      <c r="D4715" t="s">
        <v>67</v>
      </c>
      <c r="E4715" t="s">
        <v>67</v>
      </c>
      <c r="F4715" t="s">
        <v>27987</v>
      </c>
      <c r="G4715" s="117">
        <v>1.33</v>
      </c>
    </row>
    <row r="4716" spans="1:7" x14ac:dyDescent="0.25">
      <c r="A4716" s="116" t="s">
        <v>7384</v>
      </c>
      <c r="B4716" s="117" t="s">
        <v>7385</v>
      </c>
      <c r="C4716" t="s">
        <v>67</v>
      </c>
      <c r="D4716" t="s">
        <v>67</v>
      </c>
      <c r="E4716" t="s">
        <v>67</v>
      </c>
      <c r="F4716" t="s">
        <v>27987</v>
      </c>
      <c r="G4716" s="117">
        <v>0.89</v>
      </c>
    </row>
    <row r="4717" spans="1:7" x14ac:dyDescent="0.25">
      <c r="A4717" s="116" t="s">
        <v>7386</v>
      </c>
      <c r="B4717" s="117" t="s">
        <v>7387</v>
      </c>
      <c r="C4717" t="s">
        <v>67</v>
      </c>
      <c r="D4717" t="s">
        <v>67</v>
      </c>
      <c r="E4717" t="s">
        <v>67</v>
      </c>
      <c r="F4717" t="s">
        <v>27987</v>
      </c>
      <c r="G4717" s="117">
        <v>3.48</v>
      </c>
    </row>
    <row r="4718" spans="1:7" x14ac:dyDescent="0.25">
      <c r="A4718" s="116" t="s">
        <v>7388</v>
      </c>
      <c r="B4718" s="117" t="s">
        <v>7389</v>
      </c>
      <c r="C4718" t="s">
        <v>67</v>
      </c>
      <c r="D4718" t="s">
        <v>67</v>
      </c>
      <c r="E4718" t="s">
        <v>67</v>
      </c>
      <c r="F4718" t="s">
        <v>27987</v>
      </c>
      <c r="G4718" s="117">
        <v>4</v>
      </c>
    </row>
    <row r="4719" spans="1:7" x14ac:dyDescent="0.25">
      <c r="A4719" s="116" t="s">
        <v>7390</v>
      </c>
      <c r="B4719" s="117" t="s">
        <v>7391</v>
      </c>
      <c r="C4719" t="s">
        <v>67</v>
      </c>
      <c r="D4719" t="s">
        <v>67</v>
      </c>
      <c r="E4719" t="s">
        <v>67</v>
      </c>
      <c r="F4719" t="s">
        <v>27987</v>
      </c>
      <c r="G4719" s="117">
        <v>9.6999999999999993</v>
      </c>
    </row>
    <row r="4720" spans="1:7" x14ac:dyDescent="0.25">
      <c r="A4720" s="116" t="s">
        <v>30658</v>
      </c>
      <c r="B4720" s="117" t="s">
        <v>30659</v>
      </c>
      <c r="C4720" t="s">
        <v>67</v>
      </c>
      <c r="D4720" t="s">
        <v>67</v>
      </c>
      <c r="E4720" t="s">
        <v>67</v>
      </c>
      <c r="F4720" t="s">
        <v>45</v>
      </c>
      <c r="G4720" s="117">
        <v>3</v>
      </c>
    </row>
    <row r="4721" spans="1:7" x14ac:dyDescent="0.25">
      <c r="A4721" s="116" t="s">
        <v>7392</v>
      </c>
      <c r="B4721" s="117" t="s">
        <v>7393</v>
      </c>
      <c r="C4721" t="s">
        <v>67</v>
      </c>
      <c r="D4721" t="s">
        <v>67</v>
      </c>
      <c r="E4721" t="s">
        <v>67</v>
      </c>
      <c r="F4721" t="s">
        <v>27987</v>
      </c>
      <c r="G4721" s="117">
        <v>32.479999999999997</v>
      </c>
    </row>
    <row r="4722" spans="1:7" x14ac:dyDescent="0.25">
      <c r="A4722" s="116" t="s">
        <v>29782</v>
      </c>
      <c r="B4722" s="117" t="s">
        <v>30425</v>
      </c>
      <c r="C4722" t="s">
        <v>67</v>
      </c>
      <c r="D4722" t="s">
        <v>67</v>
      </c>
      <c r="E4722" t="s">
        <v>67</v>
      </c>
      <c r="F4722" t="s">
        <v>45</v>
      </c>
      <c r="G4722" s="117">
        <v>1.47</v>
      </c>
    </row>
    <row r="4723" spans="1:7" x14ac:dyDescent="0.25">
      <c r="A4723" s="116" t="s">
        <v>29783</v>
      </c>
      <c r="B4723" s="117" t="s">
        <v>29784</v>
      </c>
      <c r="C4723" t="s">
        <v>67</v>
      </c>
      <c r="D4723" t="s">
        <v>67</v>
      </c>
      <c r="E4723" t="s">
        <v>67</v>
      </c>
      <c r="F4723" t="s">
        <v>45</v>
      </c>
      <c r="G4723" s="117">
        <v>1.68</v>
      </c>
    </row>
    <row r="4724" spans="1:7" x14ac:dyDescent="0.25">
      <c r="A4724" s="116" t="s">
        <v>26763</v>
      </c>
      <c r="B4724" s="117" t="s">
        <v>26764</v>
      </c>
      <c r="C4724" t="s">
        <v>67</v>
      </c>
      <c r="D4724" t="s">
        <v>67</v>
      </c>
      <c r="E4724" t="s">
        <v>67</v>
      </c>
      <c r="F4724" t="s">
        <v>45</v>
      </c>
      <c r="G4724" s="117">
        <v>0.5</v>
      </c>
    </row>
    <row r="4725" spans="1:7" x14ac:dyDescent="0.25">
      <c r="A4725" s="116" t="s">
        <v>7394</v>
      </c>
      <c r="B4725" s="117" t="s">
        <v>7395</v>
      </c>
      <c r="C4725" t="s">
        <v>67</v>
      </c>
      <c r="D4725" t="s">
        <v>67</v>
      </c>
      <c r="E4725" t="s">
        <v>67</v>
      </c>
      <c r="F4725" t="s">
        <v>45</v>
      </c>
      <c r="G4725" s="117">
        <v>10.68</v>
      </c>
    </row>
    <row r="4726" spans="1:7" x14ac:dyDescent="0.25">
      <c r="A4726" s="116" t="s">
        <v>7396</v>
      </c>
      <c r="B4726" s="117" t="s">
        <v>7397</v>
      </c>
      <c r="C4726" t="s">
        <v>67</v>
      </c>
      <c r="D4726" t="s">
        <v>67</v>
      </c>
      <c r="E4726" t="s">
        <v>67</v>
      </c>
      <c r="F4726" t="s">
        <v>27987</v>
      </c>
      <c r="G4726" s="117">
        <v>18.600000000000001</v>
      </c>
    </row>
    <row r="4727" spans="1:7" x14ac:dyDescent="0.25">
      <c r="A4727" s="116" t="s">
        <v>7398</v>
      </c>
      <c r="B4727" s="117" t="s">
        <v>7399</v>
      </c>
      <c r="C4727" t="s">
        <v>67</v>
      </c>
      <c r="D4727" t="s">
        <v>67</v>
      </c>
      <c r="E4727" t="s">
        <v>67</v>
      </c>
      <c r="F4727" t="s">
        <v>27987</v>
      </c>
      <c r="G4727" s="117">
        <v>4.3600000000000003</v>
      </c>
    </row>
    <row r="4728" spans="1:7" x14ac:dyDescent="0.25">
      <c r="A4728" s="116" t="s">
        <v>7400</v>
      </c>
      <c r="B4728" s="117" t="s">
        <v>7401</v>
      </c>
      <c r="C4728" t="s">
        <v>67</v>
      </c>
      <c r="D4728" t="s">
        <v>67</v>
      </c>
      <c r="E4728" t="s">
        <v>67</v>
      </c>
      <c r="F4728" t="s">
        <v>27987</v>
      </c>
      <c r="G4728" s="117">
        <v>0.8</v>
      </c>
    </row>
    <row r="4729" spans="1:7" x14ac:dyDescent="0.25">
      <c r="A4729" s="116" t="s">
        <v>7402</v>
      </c>
      <c r="B4729" s="117" t="s">
        <v>7403</v>
      </c>
      <c r="C4729" t="s">
        <v>67</v>
      </c>
      <c r="D4729" t="s">
        <v>67</v>
      </c>
      <c r="E4729" t="s">
        <v>67</v>
      </c>
      <c r="F4729" t="s">
        <v>27987</v>
      </c>
      <c r="G4729" s="117">
        <v>2.58</v>
      </c>
    </row>
    <row r="4730" spans="1:7" x14ac:dyDescent="0.25">
      <c r="A4730" s="116" t="s">
        <v>7404</v>
      </c>
      <c r="B4730" s="117" t="s">
        <v>7405</v>
      </c>
      <c r="C4730" t="s">
        <v>67</v>
      </c>
      <c r="D4730" t="s">
        <v>67</v>
      </c>
      <c r="E4730" t="s">
        <v>67</v>
      </c>
      <c r="F4730" t="s">
        <v>27987</v>
      </c>
      <c r="G4730" s="117">
        <v>21.8</v>
      </c>
    </row>
    <row r="4731" spans="1:7" x14ac:dyDescent="0.25">
      <c r="A4731" s="116" t="s">
        <v>7406</v>
      </c>
      <c r="B4731" s="117" t="s">
        <v>7407</v>
      </c>
      <c r="C4731" t="s">
        <v>67</v>
      </c>
      <c r="D4731" t="s">
        <v>67</v>
      </c>
      <c r="E4731" t="s">
        <v>67</v>
      </c>
      <c r="F4731" t="s">
        <v>27987</v>
      </c>
      <c r="G4731" s="117">
        <v>0.8</v>
      </c>
    </row>
    <row r="4732" spans="1:7" x14ac:dyDescent="0.25">
      <c r="A4732" s="116" t="s">
        <v>7408</v>
      </c>
      <c r="B4732" s="117" t="s">
        <v>7409</v>
      </c>
      <c r="C4732" t="s">
        <v>67</v>
      </c>
      <c r="D4732" t="s">
        <v>67</v>
      </c>
      <c r="E4732" t="s">
        <v>67</v>
      </c>
      <c r="F4732" t="s">
        <v>27987</v>
      </c>
      <c r="G4732" s="117">
        <v>17.36</v>
      </c>
    </row>
    <row r="4733" spans="1:7" x14ac:dyDescent="0.25">
      <c r="A4733" s="116" t="s">
        <v>7410</v>
      </c>
      <c r="B4733" s="117" t="s">
        <v>7411</v>
      </c>
      <c r="C4733" t="s">
        <v>67</v>
      </c>
      <c r="D4733" t="s">
        <v>67</v>
      </c>
      <c r="E4733" t="s">
        <v>67</v>
      </c>
      <c r="F4733" t="s">
        <v>27987</v>
      </c>
      <c r="G4733" s="117">
        <v>0.8</v>
      </c>
    </row>
    <row r="4734" spans="1:7" x14ac:dyDescent="0.25">
      <c r="A4734" s="116" t="s">
        <v>7412</v>
      </c>
      <c r="B4734" s="117" t="s">
        <v>7413</v>
      </c>
      <c r="C4734" t="s">
        <v>67</v>
      </c>
      <c r="D4734" t="s">
        <v>67</v>
      </c>
      <c r="E4734" t="s">
        <v>67</v>
      </c>
      <c r="F4734" t="s">
        <v>27987</v>
      </c>
      <c r="G4734" s="117">
        <v>0.8</v>
      </c>
    </row>
    <row r="4735" spans="1:7" x14ac:dyDescent="0.25">
      <c r="A4735" s="116" t="s">
        <v>7414</v>
      </c>
      <c r="B4735" s="117" t="s">
        <v>7415</v>
      </c>
      <c r="C4735" t="s">
        <v>67</v>
      </c>
      <c r="D4735" t="s">
        <v>67</v>
      </c>
      <c r="E4735" t="s">
        <v>67</v>
      </c>
      <c r="F4735" t="s">
        <v>27987</v>
      </c>
      <c r="G4735" s="117">
        <v>0.44</v>
      </c>
    </row>
    <row r="4736" spans="1:7" x14ac:dyDescent="0.25">
      <c r="A4736" s="116" t="s">
        <v>7416</v>
      </c>
      <c r="B4736" s="117" t="s">
        <v>7417</v>
      </c>
      <c r="C4736" t="s">
        <v>67</v>
      </c>
      <c r="D4736" t="s">
        <v>67</v>
      </c>
      <c r="E4736" t="s">
        <v>67</v>
      </c>
      <c r="F4736" t="s">
        <v>27987</v>
      </c>
      <c r="G4736" s="117">
        <v>1.33</v>
      </c>
    </row>
    <row r="4737" spans="1:7" x14ac:dyDescent="0.25">
      <c r="A4737" s="116" t="s">
        <v>7418</v>
      </c>
      <c r="B4737" s="117" t="s">
        <v>7419</v>
      </c>
      <c r="C4737" t="s">
        <v>67</v>
      </c>
      <c r="D4737" t="s">
        <v>67</v>
      </c>
      <c r="E4737" t="s">
        <v>67</v>
      </c>
      <c r="F4737" t="s">
        <v>27987</v>
      </c>
      <c r="G4737" s="117">
        <v>1.33</v>
      </c>
    </row>
    <row r="4738" spans="1:7" x14ac:dyDescent="0.25">
      <c r="A4738" s="116" t="s">
        <v>7420</v>
      </c>
      <c r="B4738" s="117" t="s">
        <v>7421</v>
      </c>
      <c r="C4738" t="s">
        <v>67</v>
      </c>
      <c r="D4738" t="s">
        <v>67</v>
      </c>
      <c r="E4738" t="s">
        <v>67</v>
      </c>
      <c r="F4738" t="s">
        <v>27987</v>
      </c>
      <c r="G4738" s="117">
        <v>5.25</v>
      </c>
    </row>
    <row r="4739" spans="1:7" x14ac:dyDescent="0.25">
      <c r="A4739" s="116" t="s">
        <v>7422</v>
      </c>
      <c r="B4739" s="117" t="s">
        <v>7423</v>
      </c>
      <c r="C4739" t="s">
        <v>67</v>
      </c>
      <c r="D4739" t="s">
        <v>67</v>
      </c>
      <c r="E4739" t="s">
        <v>67</v>
      </c>
      <c r="F4739" t="s">
        <v>27987</v>
      </c>
      <c r="G4739" s="117">
        <v>7.54</v>
      </c>
    </row>
    <row r="4740" spans="1:7" x14ac:dyDescent="0.25">
      <c r="A4740" s="116" t="s">
        <v>7424</v>
      </c>
      <c r="B4740" s="117" t="s">
        <v>7425</v>
      </c>
      <c r="C4740" t="s">
        <v>67</v>
      </c>
      <c r="D4740" t="s">
        <v>67</v>
      </c>
      <c r="E4740" t="s">
        <v>67</v>
      </c>
      <c r="F4740" t="s">
        <v>27987</v>
      </c>
      <c r="G4740" s="117">
        <v>7.91</v>
      </c>
    </row>
    <row r="4741" spans="1:7" x14ac:dyDescent="0.25">
      <c r="A4741" s="116" t="s">
        <v>30120</v>
      </c>
      <c r="B4741" s="117" t="s">
        <v>30121</v>
      </c>
      <c r="C4741" t="s">
        <v>67</v>
      </c>
      <c r="D4741" t="s">
        <v>67</v>
      </c>
      <c r="E4741" t="s">
        <v>67</v>
      </c>
      <c r="F4741" t="s">
        <v>27987</v>
      </c>
      <c r="G4741" s="117">
        <v>1</v>
      </c>
    </row>
    <row r="4742" spans="1:7" x14ac:dyDescent="0.25">
      <c r="A4742" s="116" t="s">
        <v>7426</v>
      </c>
      <c r="B4742" s="117" t="s">
        <v>7427</v>
      </c>
      <c r="C4742" t="s">
        <v>67</v>
      </c>
      <c r="D4742" t="s">
        <v>67</v>
      </c>
      <c r="E4742" t="s">
        <v>67</v>
      </c>
      <c r="F4742" t="s">
        <v>27987</v>
      </c>
      <c r="G4742" s="117">
        <v>5.0199999999999996</v>
      </c>
    </row>
    <row r="4743" spans="1:7" x14ac:dyDescent="0.25">
      <c r="A4743" s="116" t="s">
        <v>7428</v>
      </c>
      <c r="B4743" s="117" t="s">
        <v>28725</v>
      </c>
      <c r="C4743" t="s">
        <v>67</v>
      </c>
      <c r="D4743" t="s">
        <v>67</v>
      </c>
      <c r="E4743" t="s">
        <v>67</v>
      </c>
      <c r="F4743" t="s">
        <v>27987</v>
      </c>
      <c r="G4743" s="117">
        <v>0.5</v>
      </c>
    </row>
    <row r="4744" spans="1:7" x14ac:dyDescent="0.25">
      <c r="A4744" s="116" t="s">
        <v>28726</v>
      </c>
      <c r="B4744" s="117" t="s">
        <v>29785</v>
      </c>
      <c r="C4744" t="s">
        <v>67</v>
      </c>
      <c r="D4744" t="s">
        <v>67</v>
      </c>
      <c r="E4744" t="s">
        <v>67</v>
      </c>
      <c r="F4744" t="s">
        <v>27987</v>
      </c>
      <c r="G4744" s="117">
        <v>2</v>
      </c>
    </row>
    <row r="4745" spans="1:7" x14ac:dyDescent="0.25">
      <c r="A4745" s="116" t="s">
        <v>7429</v>
      </c>
      <c r="B4745" s="117" t="s">
        <v>28727</v>
      </c>
      <c r="C4745" t="s">
        <v>67</v>
      </c>
      <c r="D4745" t="s">
        <v>67</v>
      </c>
      <c r="E4745" t="s">
        <v>67</v>
      </c>
      <c r="F4745" t="s">
        <v>27987</v>
      </c>
      <c r="G4745" s="117">
        <v>0.15</v>
      </c>
    </row>
    <row r="4746" spans="1:7" x14ac:dyDescent="0.25">
      <c r="A4746" s="116" t="s">
        <v>30693</v>
      </c>
      <c r="B4746" s="117" t="s">
        <v>30694</v>
      </c>
      <c r="C4746" t="s">
        <v>67</v>
      </c>
      <c r="D4746" t="s">
        <v>67</v>
      </c>
      <c r="E4746" t="s">
        <v>67</v>
      </c>
      <c r="F4746" t="s">
        <v>27987</v>
      </c>
      <c r="G4746" s="117">
        <v>1.5</v>
      </c>
    </row>
    <row r="4747" spans="1:7" x14ac:dyDescent="0.25">
      <c r="A4747" s="116" t="s">
        <v>29861</v>
      </c>
      <c r="B4747" s="117" t="s">
        <v>30426</v>
      </c>
      <c r="C4747" t="s">
        <v>67</v>
      </c>
      <c r="D4747" t="s">
        <v>67</v>
      </c>
      <c r="E4747" t="s">
        <v>67</v>
      </c>
      <c r="F4747" t="s">
        <v>27987</v>
      </c>
      <c r="G4747" s="117">
        <v>6.41</v>
      </c>
    </row>
    <row r="4748" spans="1:7" x14ac:dyDescent="0.25">
      <c r="A4748" s="116" t="s">
        <v>30627</v>
      </c>
      <c r="B4748" s="117" t="s">
        <v>30628</v>
      </c>
      <c r="C4748" t="s">
        <v>67</v>
      </c>
      <c r="D4748" t="s">
        <v>67</v>
      </c>
      <c r="E4748" t="s">
        <v>67</v>
      </c>
      <c r="F4748" t="s">
        <v>27987</v>
      </c>
      <c r="G4748" s="117">
        <v>0.84</v>
      </c>
    </row>
    <row r="4749" spans="1:7" x14ac:dyDescent="0.25">
      <c r="A4749" s="116" t="s">
        <v>28728</v>
      </c>
      <c r="B4749" s="117" t="s">
        <v>28729</v>
      </c>
      <c r="C4749" t="s">
        <v>67</v>
      </c>
      <c r="D4749" t="s">
        <v>67</v>
      </c>
      <c r="E4749" t="s">
        <v>67</v>
      </c>
      <c r="F4749" t="s">
        <v>27987</v>
      </c>
      <c r="G4749" s="117">
        <v>1.43</v>
      </c>
    </row>
    <row r="4750" spans="1:7" x14ac:dyDescent="0.25">
      <c r="A4750" s="116" t="s">
        <v>31220</v>
      </c>
      <c r="B4750" s="117" t="s">
        <v>31221</v>
      </c>
      <c r="C4750" t="s">
        <v>67</v>
      </c>
      <c r="D4750" t="s">
        <v>67</v>
      </c>
      <c r="E4750" t="s">
        <v>67</v>
      </c>
      <c r="F4750" t="s">
        <v>45</v>
      </c>
      <c r="G4750" s="117">
        <v>1</v>
      </c>
    </row>
    <row r="4751" spans="1:7" x14ac:dyDescent="0.25">
      <c r="A4751" s="116" t="s">
        <v>26968</v>
      </c>
      <c r="B4751" s="117" t="s">
        <v>28730</v>
      </c>
      <c r="C4751" t="s">
        <v>67</v>
      </c>
      <c r="D4751" t="s">
        <v>67</v>
      </c>
      <c r="E4751" t="s">
        <v>67</v>
      </c>
      <c r="F4751" t="s">
        <v>27987</v>
      </c>
      <c r="G4751" s="117">
        <v>3</v>
      </c>
    </row>
    <row r="4752" spans="1:7" x14ac:dyDescent="0.25">
      <c r="A4752" s="116" t="s">
        <v>27027</v>
      </c>
      <c r="B4752" s="117" t="s">
        <v>28731</v>
      </c>
      <c r="C4752" t="s">
        <v>67</v>
      </c>
      <c r="D4752" t="s">
        <v>67</v>
      </c>
      <c r="E4752" t="s">
        <v>67</v>
      </c>
      <c r="F4752" t="s">
        <v>27987</v>
      </c>
      <c r="G4752" s="117">
        <v>2</v>
      </c>
    </row>
    <row r="4753" spans="1:7" x14ac:dyDescent="0.25">
      <c r="A4753" s="116" t="s">
        <v>28143</v>
      </c>
      <c r="B4753" s="117" t="s">
        <v>30025</v>
      </c>
      <c r="C4753" t="s">
        <v>67</v>
      </c>
      <c r="D4753" t="s">
        <v>67</v>
      </c>
      <c r="E4753" t="s">
        <v>67</v>
      </c>
      <c r="F4753" t="s">
        <v>27987</v>
      </c>
      <c r="G4753" s="117">
        <v>0.5</v>
      </c>
    </row>
    <row r="4754" spans="1:7" x14ac:dyDescent="0.25">
      <c r="A4754" s="116" t="s">
        <v>29919</v>
      </c>
      <c r="B4754" s="117" t="s">
        <v>30427</v>
      </c>
      <c r="C4754" t="s">
        <v>67</v>
      </c>
      <c r="D4754" t="s">
        <v>67</v>
      </c>
      <c r="E4754" t="s">
        <v>67</v>
      </c>
      <c r="F4754" t="s">
        <v>27987</v>
      </c>
      <c r="G4754" s="117">
        <v>3.89</v>
      </c>
    </row>
    <row r="4755" spans="1:7" x14ac:dyDescent="0.25">
      <c r="A4755" s="116" t="s">
        <v>31080</v>
      </c>
      <c r="B4755" s="117" t="s">
        <v>31081</v>
      </c>
      <c r="C4755" t="s">
        <v>67</v>
      </c>
      <c r="D4755" t="s">
        <v>67</v>
      </c>
      <c r="E4755" t="s">
        <v>67</v>
      </c>
      <c r="F4755" t="s">
        <v>45</v>
      </c>
      <c r="G4755" s="117">
        <v>9999</v>
      </c>
    </row>
    <row r="4756" spans="1:7" x14ac:dyDescent="0.25">
      <c r="A4756" s="116" t="s">
        <v>30865</v>
      </c>
      <c r="B4756" s="117" t="s">
        <v>30866</v>
      </c>
      <c r="C4756" t="s">
        <v>67</v>
      </c>
      <c r="D4756" t="s">
        <v>67</v>
      </c>
      <c r="E4756" t="s">
        <v>67</v>
      </c>
      <c r="F4756" t="s">
        <v>27987</v>
      </c>
      <c r="G4756" s="117">
        <v>9999</v>
      </c>
    </row>
    <row r="4757" spans="1:7" x14ac:dyDescent="0.25">
      <c r="A4757" s="116" t="s">
        <v>7430</v>
      </c>
      <c r="B4757" s="117" t="s">
        <v>7031</v>
      </c>
      <c r="C4757" t="s">
        <v>67</v>
      </c>
      <c r="D4757" t="s">
        <v>67</v>
      </c>
      <c r="E4757" t="s">
        <v>67</v>
      </c>
      <c r="F4757" t="s">
        <v>49</v>
      </c>
      <c r="G4757" s="117">
        <v>0.8</v>
      </c>
    </row>
    <row r="4758" spans="1:7" x14ac:dyDescent="0.25">
      <c r="A4758" s="116" t="s">
        <v>7431</v>
      </c>
      <c r="B4758" s="117" t="s">
        <v>7432</v>
      </c>
      <c r="C4758" t="s">
        <v>67</v>
      </c>
      <c r="D4758" t="s">
        <v>67</v>
      </c>
      <c r="E4758" t="s">
        <v>67</v>
      </c>
      <c r="F4758" t="s">
        <v>27987</v>
      </c>
      <c r="G4758" s="117">
        <v>0.8</v>
      </c>
    </row>
    <row r="4759" spans="1:7" x14ac:dyDescent="0.25">
      <c r="A4759" s="116" t="s">
        <v>7433</v>
      </c>
      <c r="B4759" s="117" t="s">
        <v>7434</v>
      </c>
      <c r="C4759" t="s">
        <v>67</v>
      </c>
      <c r="D4759" t="s">
        <v>67</v>
      </c>
      <c r="E4759" t="s">
        <v>67</v>
      </c>
      <c r="F4759" t="s">
        <v>27987</v>
      </c>
      <c r="G4759" s="117">
        <v>1.33</v>
      </c>
    </row>
    <row r="4760" spans="1:7" x14ac:dyDescent="0.25">
      <c r="A4760" s="116" t="s">
        <v>7435</v>
      </c>
      <c r="B4760" s="117" t="s">
        <v>7271</v>
      </c>
      <c r="C4760" t="s">
        <v>67</v>
      </c>
      <c r="D4760" t="s">
        <v>67</v>
      </c>
      <c r="E4760" t="s">
        <v>67</v>
      </c>
      <c r="F4760" t="s">
        <v>45</v>
      </c>
      <c r="G4760" s="117">
        <v>1.33</v>
      </c>
    </row>
    <row r="4761" spans="1:7" x14ac:dyDescent="0.25">
      <c r="A4761" s="116" t="s">
        <v>7436</v>
      </c>
      <c r="B4761" s="117" t="s">
        <v>7437</v>
      </c>
      <c r="C4761" t="s">
        <v>67</v>
      </c>
      <c r="D4761" t="s">
        <v>67</v>
      </c>
      <c r="E4761" t="s">
        <v>67</v>
      </c>
      <c r="F4761" t="s">
        <v>49</v>
      </c>
      <c r="G4761" s="117">
        <v>0.44</v>
      </c>
    </row>
    <row r="4762" spans="1:7" x14ac:dyDescent="0.25">
      <c r="A4762" s="116" t="s">
        <v>7438</v>
      </c>
      <c r="B4762" s="117" t="s">
        <v>7439</v>
      </c>
      <c r="C4762" t="s">
        <v>67</v>
      </c>
      <c r="D4762" t="s">
        <v>67</v>
      </c>
      <c r="E4762" t="s">
        <v>67</v>
      </c>
      <c r="F4762" t="s">
        <v>49</v>
      </c>
      <c r="G4762" s="117">
        <v>1.33</v>
      </c>
    </row>
    <row r="4763" spans="1:7" x14ac:dyDescent="0.25">
      <c r="A4763" s="116" t="s">
        <v>7440</v>
      </c>
      <c r="B4763" s="117" t="s">
        <v>7441</v>
      </c>
      <c r="C4763" t="s">
        <v>67</v>
      </c>
      <c r="D4763" t="s">
        <v>67</v>
      </c>
      <c r="E4763" t="s">
        <v>67</v>
      </c>
      <c r="F4763" t="s">
        <v>49</v>
      </c>
      <c r="G4763" s="117">
        <v>1.69</v>
      </c>
    </row>
    <row r="4764" spans="1:7" x14ac:dyDescent="0.25">
      <c r="A4764" s="116" t="s">
        <v>7442</v>
      </c>
      <c r="B4764" s="117" t="s">
        <v>7443</v>
      </c>
      <c r="C4764" t="s">
        <v>67</v>
      </c>
      <c r="D4764" t="s">
        <v>67</v>
      </c>
      <c r="E4764" t="s">
        <v>67</v>
      </c>
      <c r="F4764" t="s">
        <v>27987</v>
      </c>
      <c r="G4764" s="117">
        <v>1.33</v>
      </c>
    </row>
    <row r="4765" spans="1:7" x14ac:dyDescent="0.25">
      <c r="A4765" s="116" t="s">
        <v>7444</v>
      </c>
      <c r="B4765" s="117" t="s">
        <v>6977</v>
      </c>
      <c r="C4765" t="s">
        <v>67</v>
      </c>
      <c r="D4765" t="s">
        <v>67</v>
      </c>
      <c r="E4765" t="s">
        <v>67</v>
      </c>
      <c r="F4765" t="s">
        <v>49</v>
      </c>
      <c r="G4765" s="117">
        <v>0.8</v>
      </c>
    </row>
    <row r="4766" spans="1:7" x14ac:dyDescent="0.25">
      <c r="A4766" s="116" t="s">
        <v>7445</v>
      </c>
      <c r="B4766" s="117" t="s">
        <v>7446</v>
      </c>
      <c r="C4766" t="s">
        <v>67</v>
      </c>
      <c r="D4766" t="s">
        <v>67</v>
      </c>
      <c r="E4766" t="s">
        <v>67</v>
      </c>
      <c r="F4766" t="s">
        <v>49</v>
      </c>
      <c r="G4766" s="117">
        <v>0.44</v>
      </c>
    </row>
    <row r="4767" spans="1:7" x14ac:dyDescent="0.25">
      <c r="A4767" s="116" t="s">
        <v>7447</v>
      </c>
      <c r="B4767" s="117" t="s">
        <v>6999</v>
      </c>
      <c r="C4767" t="s">
        <v>67</v>
      </c>
      <c r="D4767" t="s">
        <v>67</v>
      </c>
      <c r="E4767" t="s">
        <v>67</v>
      </c>
      <c r="F4767" t="s">
        <v>49</v>
      </c>
      <c r="G4767" s="117">
        <v>4.3600000000000003</v>
      </c>
    </row>
    <row r="4768" spans="1:7" x14ac:dyDescent="0.25">
      <c r="A4768" s="116" t="s">
        <v>7448</v>
      </c>
      <c r="B4768" s="117" t="s">
        <v>7017</v>
      </c>
      <c r="C4768" t="s">
        <v>67</v>
      </c>
      <c r="D4768" t="s">
        <v>67</v>
      </c>
      <c r="E4768" t="s">
        <v>67</v>
      </c>
      <c r="F4768" t="s">
        <v>27987</v>
      </c>
      <c r="G4768" s="117">
        <v>0.8</v>
      </c>
    </row>
    <row r="4769" spans="1:7" x14ac:dyDescent="0.25">
      <c r="A4769" s="116" t="s">
        <v>7449</v>
      </c>
      <c r="B4769" s="117" t="s">
        <v>6999</v>
      </c>
      <c r="C4769" t="s">
        <v>67</v>
      </c>
      <c r="D4769" t="s">
        <v>67</v>
      </c>
      <c r="E4769" t="s">
        <v>67</v>
      </c>
      <c r="F4769" t="s">
        <v>27987</v>
      </c>
      <c r="G4769" s="117">
        <v>0.8</v>
      </c>
    </row>
    <row r="4770" spans="1:7" x14ac:dyDescent="0.25">
      <c r="A4770" s="116" t="s">
        <v>7450</v>
      </c>
      <c r="B4770" s="117" t="s">
        <v>7451</v>
      </c>
      <c r="C4770" t="s">
        <v>67</v>
      </c>
      <c r="D4770" t="s">
        <v>67</v>
      </c>
      <c r="E4770" t="s">
        <v>67</v>
      </c>
      <c r="F4770" t="s">
        <v>49</v>
      </c>
      <c r="G4770" s="117">
        <v>0.8</v>
      </c>
    </row>
    <row r="4771" spans="1:7" x14ac:dyDescent="0.25">
      <c r="A4771" s="116" t="s">
        <v>7452</v>
      </c>
      <c r="B4771" s="117" t="s">
        <v>6977</v>
      </c>
      <c r="C4771" t="s">
        <v>67</v>
      </c>
      <c r="D4771" t="s">
        <v>67</v>
      </c>
      <c r="E4771" t="s">
        <v>67</v>
      </c>
      <c r="F4771" t="s">
        <v>49</v>
      </c>
      <c r="G4771" s="117">
        <v>0.8</v>
      </c>
    </row>
    <row r="4772" spans="1:7" x14ac:dyDescent="0.25">
      <c r="A4772" s="116" t="s">
        <v>7453</v>
      </c>
      <c r="B4772" s="117" t="s">
        <v>7454</v>
      </c>
      <c r="C4772" t="s">
        <v>67</v>
      </c>
      <c r="D4772" t="s">
        <v>67</v>
      </c>
      <c r="E4772" t="s">
        <v>67</v>
      </c>
      <c r="F4772" t="s">
        <v>27987</v>
      </c>
      <c r="G4772" s="117">
        <v>27.14</v>
      </c>
    </row>
    <row r="4773" spans="1:7" x14ac:dyDescent="0.25">
      <c r="A4773" s="116" t="s">
        <v>7455</v>
      </c>
      <c r="B4773" s="117" t="s">
        <v>7434</v>
      </c>
      <c r="C4773" t="s">
        <v>67</v>
      </c>
      <c r="D4773" t="s">
        <v>67</v>
      </c>
      <c r="E4773" t="s">
        <v>67</v>
      </c>
      <c r="F4773" t="s">
        <v>49</v>
      </c>
      <c r="G4773" s="117">
        <v>0.8</v>
      </c>
    </row>
    <row r="4774" spans="1:7" x14ac:dyDescent="0.25">
      <c r="A4774" s="116" t="s">
        <v>7456</v>
      </c>
      <c r="B4774" s="117" t="s">
        <v>7446</v>
      </c>
      <c r="C4774" t="s">
        <v>67</v>
      </c>
      <c r="D4774" t="s">
        <v>67</v>
      </c>
      <c r="E4774" t="s">
        <v>67</v>
      </c>
      <c r="F4774" t="s">
        <v>27987</v>
      </c>
      <c r="G4774" s="117">
        <v>0.44</v>
      </c>
    </row>
    <row r="4775" spans="1:7" x14ac:dyDescent="0.25">
      <c r="A4775" s="116" t="s">
        <v>7457</v>
      </c>
      <c r="B4775" s="117" t="s">
        <v>7017</v>
      </c>
      <c r="C4775" t="s">
        <v>67</v>
      </c>
      <c r="D4775" t="s">
        <v>67</v>
      </c>
      <c r="E4775" t="s">
        <v>67</v>
      </c>
      <c r="F4775" t="s">
        <v>45</v>
      </c>
      <c r="G4775" s="117">
        <v>0.8</v>
      </c>
    </row>
    <row r="4776" spans="1:7" x14ac:dyDescent="0.25">
      <c r="A4776" s="116" t="s">
        <v>7458</v>
      </c>
      <c r="B4776" s="117" t="s">
        <v>6977</v>
      </c>
      <c r="C4776" t="s">
        <v>67</v>
      </c>
      <c r="D4776" t="s">
        <v>67</v>
      </c>
      <c r="E4776" t="s">
        <v>67</v>
      </c>
      <c r="F4776" t="s">
        <v>27987</v>
      </c>
      <c r="G4776" s="117">
        <v>0.8</v>
      </c>
    </row>
    <row r="4777" spans="1:7" x14ac:dyDescent="0.25">
      <c r="A4777" s="116" t="s">
        <v>7459</v>
      </c>
      <c r="B4777" s="117" t="s">
        <v>6977</v>
      </c>
      <c r="C4777" t="s">
        <v>67</v>
      </c>
      <c r="D4777" t="s">
        <v>67</v>
      </c>
      <c r="E4777" t="s">
        <v>67</v>
      </c>
      <c r="F4777" t="s">
        <v>49</v>
      </c>
      <c r="G4777" s="117">
        <v>0.8</v>
      </c>
    </row>
    <row r="4778" spans="1:7" x14ac:dyDescent="0.25">
      <c r="A4778" s="116" t="s">
        <v>7460</v>
      </c>
      <c r="B4778" s="117" t="s">
        <v>7017</v>
      </c>
      <c r="C4778" t="s">
        <v>67</v>
      </c>
      <c r="D4778" t="s">
        <v>67</v>
      </c>
      <c r="E4778" t="s">
        <v>67</v>
      </c>
      <c r="F4778" t="s">
        <v>49</v>
      </c>
      <c r="G4778" s="117">
        <v>0.44</v>
      </c>
    </row>
    <row r="4779" spans="1:7" x14ac:dyDescent="0.25">
      <c r="A4779" s="116" t="s">
        <v>7461</v>
      </c>
      <c r="B4779" s="117" t="s">
        <v>7462</v>
      </c>
      <c r="C4779" t="s">
        <v>67</v>
      </c>
      <c r="D4779" t="s">
        <v>67</v>
      </c>
      <c r="E4779" t="s">
        <v>67</v>
      </c>
      <c r="F4779" t="s">
        <v>27987</v>
      </c>
      <c r="G4779" s="117">
        <v>0.8</v>
      </c>
    </row>
    <row r="4780" spans="1:7" x14ac:dyDescent="0.25">
      <c r="A4780" s="116" t="s">
        <v>7463</v>
      </c>
      <c r="B4780" s="117" t="s">
        <v>7464</v>
      </c>
      <c r="C4780" t="s">
        <v>67</v>
      </c>
      <c r="D4780" t="s">
        <v>67</v>
      </c>
      <c r="E4780" t="s">
        <v>67</v>
      </c>
      <c r="F4780" t="s">
        <v>27987</v>
      </c>
      <c r="G4780" s="117">
        <v>1.33</v>
      </c>
    </row>
    <row r="4781" spans="1:7" x14ac:dyDescent="0.25">
      <c r="A4781" s="116" t="s">
        <v>7465</v>
      </c>
      <c r="B4781" s="117" t="s">
        <v>28732</v>
      </c>
      <c r="C4781" t="s">
        <v>67</v>
      </c>
      <c r="D4781" t="s">
        <v>67</v>
      </c>
      <c r="E4781" t="s">
        <v>67</v>
      </c>
      <c r="F4781" t="s">
        <v>45</v>
      </c>
      <c r="G4781" s="117">
        <v>4.07</v>
      </c>
    </row>
    <row r="4782" spans="1:7" x14ac:dyDescent="0.25">
      <c r="A4782" s="116" t="s">
        <v>7466</v>
      </c>
      <c r="B4782" s="117" t="s">
        <v>6977</v>
      </c>
      <c r="C4782" t="s">
        <v>67</v>
      </c>
      <c r="D4782" t="s">
        <v>67</v>
      </c>
      <c r="E4782" t="s">
        <v>67</v>
      </c>
      <c r="F4782" t="s">
        <v>27987</v>
      </c>
      <c r="G4782" s="117">
        <v>1.69</v>
      </c>
    </row>
    <row r="4783" spans="1:7" x14ac:dyDescent="0.25">
      <c r="A4783" s="116" t="s">
        <v>7467</v>
      </c>
      <c r="B4783" s="117" t="s">
        <v>7468</v>
      </c>
      <c r="C4783" t="s">
        <v>67</v>
      </c>
      <c r="D4783" t="s">
        <v>67</v>
      </c>
      <c r="E4783" t="s">
        <v>67</v>
      </c>
      <c r="F4783" t="s">
        <v>49</v>
      </c>
      <c r="G4783" s="117">
        <v>12.01</v>
      </c>
    </row>
    <row r="4784" spans="1:7" x14ac:dyDescent="0.25">
      <c r="A4784" s="116" t="s">
        <v>7469</v>
      </c>
      <c r="B4784" s="117" t="s">
        <v>6977</v>
      </c>
      <c r="C4784" t="s">
        <v>67</v>
      </c>
      <c r="D4784" t="s">
        <v>67</v>
      </c>
      <c r="E4784" t="s">
        <v>67</v>
      </c>
      <c r="F4784" t="s">
        <v>45</v>
      </c>
      <c r="G4784" s="117">
        <v>0.8</v>
      </c>
    </row>
    <row r="4785" spans="1:7" x14ac:dyDescent="0.25">
      <c r="A4785" s="116" t="s">
        <v>7470</v>
      </c>
      <c r="B4785" s="117" t="s">
        <v>7017</v>
      </c>
      <c r="C4785" t="s">
        <v>67</v>
      </c>
      <c r="D4785" t="s">
        <v>67</v>
      </c>
      <c r="E4785" t="s">
        <v>67</v>
      </c>
      <c r="F4785" t="s">
        <v>27987</v>
      </c>
      <c r="G4785" s="117">
        <v>0.24</v>
      </c>
    </row>
    <row r="4786" spans="1:7" x14ac:dyDescent="0.25">
      <c r="A4786" s="116" t="s">
        <v>7471</v>
      </c>
      <c r="B4786" s="117" t="s">
        <v>7472</v>
      </c>
      <c r="C4786" t="s">
        <v>67</v>
      </c>
      <c r="D4786" t="s">
        <v>67</v>
      </c>
      <c r="E4786" t="s">
        <v>67</v>
      </c>
      <c r="F4786" t="s">
        <v>49</v>
      </c>
      <c r="G4786" s="117">
        <v>3.12</v>
      </c>
    </row>
    <row r="4787" spans="1:7" x14ac:dyDescent="0.25">
      <c r="A4787" s="116" t="s">
        <v>7473</v>
      </c>
      <c r="B4787" s="117" t="s">
        <v>7031</v>
      </c>
      <c r="C4787" t="s">
        <v>67</v>
      </c>
      <c r="D4787" t="s">
        <v>67</v>
      </c>
      <c r="E4787" t="s">
        <v>67</v>
      </c>
      <c r="F4787" t="s">
        <v>49</v>
      </c>
      <c r="G4787" s="117">
        <v>0.89</v>
      </c>
    </row>
    <row r="4788" spans="1:7" x14ac:dyDescent="0.25">
      <c r="A4788" s="116" t="s">
        <v>7474</v>
      </c>
      <c r="B4788" s="117" t="s">
        <v>7475</v>
      </c>
      <c r="C4788" t="s">
        <v>67</v>
      </c>
      <c r="D4788" t="s">
        <v>67</v>
      </c>
      <c r="E4788" t="s">
        <v>67</v>
      </c>
      <c r="F4788" t="s">
        <v>49</v>
      </c>
      <c r="G4788" s="117">
        <v>0.8</v>
      </c>
    </row>
    <row r="4789" spans="1:7" x14ac:dyDescent="0.25">
      <c r="A4789" s="116" t="s">
        <v>30731</v>
      </c>
      <c r="B4789" s="117" t="s">
        <v>30732</v>
      </c>
      <c r="C4789" t="s">
        <v>67</v>
      </c>
      <c r="D4789" t="s">
        <v>67</v>
      </c>
      <c r="E4789" t="s">
        <v>67</v>
      </c>
      <c r="F4789" t="s">
        <v>27987</v>
      </c>
      <c r="G4789" s="117">
        <v>1</v>
      </c>
    </row>
    <row r="4790" spans="1:7" x14ac:dyDescent="0.25">
      <c r="A4790" s="116" t="s">
        <v>7476</v>
      </c>
      <c r="B4790" s="117" t="s">
        <v>7477</v>
      </c>
      <c r="C4790" t="s">
        <v>67</v>
      </c>
      <c r="D4790" t="s">
        <v>67</v>
      </c>
      <c r="E4790" t="s">
        <v>67</v>
      </c>
      <c r="F4790" t="s">
        <v>27987</v>
      </c>
      <c r="G4790" s="117">
        <v>6.14</v>
      </c>
    </row>
    <row r="4791" spans="1:7" x14ac:dyDescent="0.25">
      <c r="A4791" s="116" t="s">
        <v>7478</v>
      </c>
      <c r="B4791" s="117" t="s">
        <v>7479</v>
      </c>
      <c r="C4791" t="s">
        <v>67</v>
      </c>
      <c r="D4791" t="s">
        <v>67</v>
      </c>
      <c r="E4791" t="s">
        <v>67</v>
      </c>
      <c r="F4791" t="s">
        <v>45</v>
      </c>
      <c r="G4791" s="117">
        <v>14.14</v>
      </c>
    </row>
    <row r="4792" spans="1:7" x14ac:dyDescent="0.25">
      <c r="A4792" s="116" t="s">
        <v>7480</v>
      </c>
      <c r="B4792" s="117" t="s">
        <v>7481</v>
      </c>
      <c r="C4792" t="s">
        <v>67</v>
      </c>
      <c r="D4792" t="s">
        <v>67</v>
      </c>
      <c r="E4792" t="s">
        <v>67</v>
      </c>
      <c r="F4792" t="s">
        <v>27987</v>
      </c>
      <c r="G4792" s="117">
        <v>1.33</v>
      </c>
    </row>
    <row r="4793" spans="1:7" x14ac:dyDescent="0.25">
      <c r="A4793" s="116" t="s">
        <v>7482</v>
      </c>
      <c r="B4793" s="117" t="s">
        <v>7483</v>
      </c>
      <c r="C4793" t="s">
        <v>67</v>
      </c>
      <c r="D4793" t="s">
        <v>67</v>
      </c>
      <c r="E4793" t="s">
        <v>67</v>
      </c>
      <c r="F4793" t="s">
        <v>27987</v>
      </c>
      <c r="G4793" s="117">
        <v>7.12</v>
      </c>
    </row>
    <row r="4794" spans="1:7" x14ac:dyDescent="0.25">
      <c r="A4794" s="116" t="s">
        <v>7484</v>
      </c>
      <c r="B4794" s="117" t="s">
        <v>7485</v>
      </c>
      <c r="C4794" t="s">
        <v>67</v>
      </c>
      <c r="D4794" t="s">
        <v>67</v>
      </c>
      <c r="E4794" t="s">
        <v>67</v>
      </c>
      <c r="F4794" t="s">
        <v>27987</v>
      </c>
      <c r="G4794" s="117">
        <v>6.14</v>
      </c>
    </row>
    <row r="4795" spans="1:7" x14ac:dyDescent="0.25">
      <c r="A4795" s="116" t="s">
        <v>7486</v>
      </c>
      <c r="B4795" s="117" t="s">
        <v>7487</v>
      </c>
      <c r="C4795" t="s">
        <v>67</v>
      </c>
      <c r="D4795" t="s">
        <v>67</v>
      </c>
      <c r="E4795" t="s">
        <v>67</v>
      </c>
      <c r="F4795" t="s">
        <v>27987</v>
      </c>
      <c r="G4795" s="117">
        <v>4</v>
      </c>
    </row>
    <row r="4796" spans="1:7" x14ac:dyDescent="0.25">
      <c r="A4796" s="116" t="s">
        <v>7488</v>
      </c>
      <c r="B4796" s="117" t="s">
        <v>7489</v>
      </c>
      <c r="C4796" t="s">
        <v>67</v>
      </c>
      <c r="D4796" t="s">
        <v>67</v>
      </c>
      <c r="E4796" t="s">
        <v>67</v>
      </c>
      <c r="F4796" t="s">
        <v>49</v>
      </c>
      <c r="G4796" s="117">
        <v>3.12</v>
      </c>
    </row>
    <row r="4797" spans="1:7" x14ac:dyDescent="0.25">
      <c r="A4797" s="116" t="s">
        <v>7490</v>
      </c>
      <c r="B4797" s="117" t="s">
        <v>7491</v>
      </c>
      <c r="C4797" t="s">
        <v>67</v>
      </c>
      <c r="D4797" t="s">
        <v>67</v>
      </c>
      <c r="E4797" t="s">
        <v>67</v>
      </c>
      <c r="F4797" t="s">
        <v>27987</v>
      </c>
      <c r="G4797" s="117">
        <v>0.8</v>
      </c>
    </row>
    <row r="4798" spans="1:7" x14ac:dyDescent="0.25">
      <c r="A4798" s="116" t="s">
        <v>7492</v>
      </c>
      <c r="B4798" s="117" t="s">
        <v>7493</v>
      </c>
      <c r="C4798" t="s">
        <v>67</v>
      </c>
      <c r="D4798" t="s">
        <v>67</v>
      </c>
      <c r="E4798" t="s">
        <v>67</v>
      </c>
      <c r="F4798" t="s">
        <v>27987</v>
      </c>
      <c r="G4798" s="117">
        <v>1.33</v>
      </c>
    </row>
    <row r="4799" spans="1:7" x14ac:dyDescent="0.25">
      <c r="A4799" s="116" t="s">
        <v>7494</v>
      </c>
      <c r="B4799" s="117" t="s">
        <v>7495</v>
      </c>
      <c r="C4799" t="s">
        <v>67</v>
      </c>
      <c r="D4799" t="s">
        <v>67</v>
      </c>
      <c r="E4799" t="s">
        <v>67</v>
      </c>
      <c r="F4799" t="s">
        <v>45</v>
      </c>
      <c r="G4799" s="117">
        <v>5.79</v>
      </c>
    </row>
    <row r="4800" spans="1:7" x14ac:dyDescent="0.25">
      <c r="A4800" s="116" t="s">
        <v>7496</v>
      </c>
      <c r="B4800" s="117" t="s">
        <v>7497</v>
      </c>
      <c r="C4800" t="s">
        <v>67</v>
      </c>
      <c r="D4800" t="s">
        <v>67</v>
      </c>
      <c r="E4800" t="s">
        <v>67</v>
      </c>
      <c r="F4800" t="s">
        <v>45</v>
      </c>
      <c r="G4800" s="117">
        <v>1.69</v>
      </c>
    </row>
    <row r="4801" spans="1:7" x14ac:dyDescent="0.25">
      <c r="A4801" s="116" t="s">
        <v>7498</v>
      </c>
      <c r="B4801" s="117" t="s">
        <v>7499</v>
      </c>
      <c r="C4801" t="s">
        <v>67</v>
      </c>
      <c r="D4801" t="s">
        <v>67</v>
      </c>
      <c r="E4801" t="s">
        <v>67</v>
      </c>
      <c r="F4801" t="s">
        <v>27987</v>
      </c>
      <c r="G4801" s="117">
        <v>2.23</v>
      </c>
    </row>
    <row r="4802" spans="1:7" x14ac:dyDescent="0.25">
      <c r="A4802" s="116" t="s">
        <v>7500</v>
      </c>
      <c r="B4802" s="117" t="s">
        <v>7501</v>
      </c>
      <c r="C4802" t="s">
        <v>67</v>
      </c>
      <c r="D4802" t="s">
        <v>67</v>
      </c>
      <c r="E4802" t="s">
        <v>67</v>
      </c>
      <c r="F4802" t="s">
        <v>45</v>
      </c>
      <c r="G4802" s="117">
        <v>1.33</v>
      </c>
    </row>
    <row r="4803" spans="1:7" x14ac:dyDescent="0.25">
      <c r="A4803" s="116" t="s">
        <v>7502</v>
      </c>
      <c r="B4803" s="117" t="s">
        <v>7503</v>
      </c>
      <c r="C4803" t="s">
        <v>67</v>
      </c>
      <c r="D4803" t="s">
        <v>67</v>
      </c>
      <c r="E4803" t="s">
        <v>67</v>
      </c>
      <c r="F4803" t="s">
        <v>27987</v>
      </c>
      <c r="G4803" s="117">
        <v>1.69</v>
      </c>
    </row>
    <row r="4804" spans="1:7" x14ac:dyDescent="0.25">
      <c r="A4804" s="116" t="s">
        <v>7504</v>
      </c>
      <c r="B4804" s="117" t="s">
        <v>7505</v>
      </c>
      <c r="C4804" t="s">
        <v>67</v>
      </c>
      <c r="D4804" t="s">
        <v>67</v>
      </c>
      <c r="E4804" t="s">
        <v>67</v>
      </c>
      <c r="F4804" t="s">
        <v>27987</v>
      </c>
      <c r="G4804" s="117">
        <v>1.33</v>
      </c>
    </row>
    <row r="4805" spans="1:7" x14ac:dyDescent="0.25">
      <c r="A4805" s="116" t="s">
        <v>7506</v>
      </c>
      <c r="B4805" s="117" t="s">
        <v>6979</v>
      </c>
      <c r="C4805" t="s">
        <v>67</v>
      </c>
      <c r="D4805" t="s">
        <v>67</v>
      </c>
      <c r="E4805" t="s">
        <v>67</v>
      </c>
      <c r="F4805" t="s">
        <v>27987</v>
      </c>
      <c r="G4805" s="117">
        <v>2.23</v>
      </c>
    </row>
    <row r="4806" spans="1:7" x14ac:dyDescent="0.25">
      <c r="A4806" s="116" t="s">
        <v>7507</v>
      </c>
      <c r="B4806" s="117" t="s">
        <v>7508</v>
      </c>
      <c r="C4806" t="s">
        <v>67</v>
      </c>
      <c r="D4806" t="s">
        <v>67</v>
      </c>
      <c r="E4806" t="s">
        <v>67</v>
      </c>
      <c r="F4806" t="s">
        <v>27987</v>
      </c>
      <c r="G4806" s="117">
        <v>1.33</v>
      </c>
    </row>
    <row r="4807" spans="1:7" x14ac:dyDescent="0.25">
      <c r="A4807" s="116" t="s">
        <v>7509</v>
      </c>
      <c r="B4807" s="117" t="s">
        <v>7505</v>
      </c>
      <c r="C4807" t="s">
        <v>67</v>
      </c>
      <c r="D4807" t="s">
        <v>67</v>
      </c>
      <c r="E4807" t="s">
        <v>67</v>
      </c>
      <c r="F4807" t="s">
        <v>27987</v>
      </c>
      <c r="G4807" s="117">
        <v>0.44</v>
      </c>
    </row>
    <row r="4808" spans="1:7" x14ac:dyDescent="0.25">
      <c r="A4808" s="116" t="s">
        <v>7510</v>
      </c>
      <c r="B4808" s="117" t="s">
        <v>6999</v>
      </c>
      <c r="C4808" t="s">
        <v>67</v>
      </c>
      <c r="D4808" t="s">
        <v>67</v>
      </c>
      <c r="E4808" t="s">
        <v>67</v>
      </c>
      <c r="F4808" t="s">
        <v>49</v>
      </c>
      <c r="G4808" s="117">
        <v>0.8</v>
      </c>
    </row>
    <row r="4809" spans="1:7" x14ac:dyDescent="0.25">
      <c r="A4809" s="116" t="s">
        <v>7511</v>
      </c>
      <c r="B4809" s="117" t="s">
        <v>7512</v>
      </c>
      <c r="C4809" t="s">
        <v>67</v>
      </c>
      <c r="D4809" t="s">
        <v>67</v>
      </c>
      <c r="E4809" t="s">
        <v>67</v>
      </c>
      <c r="F4809" t="s">
        <v>49</v>
      </c>
      <c r="G4809" s="117">
        <v>4.8899999999999997</v>
      </c>
    </row>
    <row r="4810" spans="1:7" x14ac:dyDescent="0.25">
      <c r="A4810" s="116" t="s">
        <v>7513</v>
      </c>
      <c r="B4810" s="117" t="s">
        <v>6977</v>
      </c>
      <c r="C4810" t="s">
        <v>67</v>
      </c>
      <c r="D4810" t="s">
        <v>67</v>
      </c>
      <c r="E4810" t="s">
        <v>67</v>
      </c>
      <c r="F4810" t="s">
        <v>51</v>
      </c>
      <c r="G4810" s="117">
        <v>1.77</v>
      </c>
    </row>
    <row r="4811" spans="1:7" x14ac:dyDescent="0.25">
      <c r="A4811" s="116" t="s">
        <v>7514</v>
      </c>
      <c r="B4811" s="117" t="s">
        <v>7515</v>
      </c>
      <c r="C4811" t="s">
        <v>67</v>
      </c>
      <c r="D4811" t="s">
        <v>67</v>
      </c>
      <c r="E4811" t="s">
        <v>67</v>
      </c>
      <c r="F4811" t="s">
        <v>49</v>
      </c>
      <c r="G4811" s="117">
        <v>4</v>
      </c>
    </row>
    <row r="4812" spans="1:7" x14ac:dyDescent="0.25">
      <c r="A4812" s="116" t="s">
        <v>7516</v>
      </c>
      <c r="B4812" s="117" t="s">
        <v>7517</v>
      </c>
      <c r="C4812" t="s">
        <v>67</v>
      </c>
      <c r="D4812" t="s">
        <v>67</v>
      </c>
      <c r="E4812" t="s">
        <v>67</v>
      </c>
      <c r="F4812" t="s">
        <v>49</v>
      </c>
      <c r="G4812" s="117">
        <v>0.44</v>
      </c>
    </row>
    <row r="4813" spans="1:7" x14ac:dyDescent="0.25">
      <c r="A4813" s="116" t="s">
        <v>7518</v>
      </c>
      <c r="B4813" s="117" t="s">
        <v>7519</v>
      </c>
      <c r="C4813" t="s">
        <v>67</v>
      </c>
      <c r="D4813" t="s">
        <v>67</v>
      </c>
      <c r="E4813" t="s">
        <v>67</v>
      </c>
      <c r="F4813" t="s">
        <v>45</v>
      </c>
      <c r="G4813" s="117">
        <v>0.8</v>
      </c>
    </row>
    <row r="4814" spans="1:7" x14ac:dyDescent="0.25">
      <c r="A4814" s="116" t="s">
        <v>7520</v>
      </c>
      <c r="B4814" s="117" t="s">
        <v>7017</v>
      </c>
      <c r="C4814" t="s">
        <v>67</v>
      </c>
      <c r="D4814" t="s">
        <v>67</v>
      </c>
      <c r="E4814" t="s">
        <v>67</v>
      </c>
      <c r="F4814" t="s">
        <v>49</v>
      </c>
      <c r="G4814" s="117">
        <v>0.8</v>
      </c>
    </row>
    <row r="4815" spans="1:7" x14ac:dyDescent="0.25">
      <c r="A4815" s="116" t="s">
        <v>7521</v>
      </c>
      <c r="B4815" s="117" t="s">
        <v>6979</v>
      </c>
      <c r="C4815" t="s">
        <v>67</v>
      </c>
      <c r="D4815" t="s">
        <v>67</v>
      </c>
      <c r="E4815" t="s">
        <v>67</v>
      </c>
      <c r="F4815" t="s">
        <v>49</v>
      </c>
      <c r="G4815" s="117">
        <v>0.8</v>
      </c>
    </row>
    <row r="4816" spans="1:7" x14ac:dyDescent="0.25">
      <c r="A4816" s="116" t="s">
        <v>7522</v>
      </c>
      <c r="B4816" s="117" t="s">
        <v>6977</v>
      </c>
      <c r="C4816" t="s">
        <v>67</v>
      </c>
      <c r="D4816" t="s">
        <v>67</v>
      </c>
      <c r="E4816" t="s">
        <v>67</v>
      </c>
      <c r="F4816" t="s">
        <v>45</v>
      </c>
      <c r="G4816" s="117">
        <v>0.8</v>
      </c>
    </row>
    <row r="4817" spans="1:7" x14ac:dyDescent="0.25">
      <c r="A4817" s="116" t="s">
        <v>7523</v>
      </c>
      <c r="B4817" s="117" t="s">
        <v>7017</v>
      </c>
      <c r="C4817" t="s">
        <v>67</v>
      </c>
      <c r="D4817" t="s">
        <v>67</v>
      </c>
      <c r="E4817" t="s">
        <v>67</v>
      </c>
      <c r="F4817" t="s">
        <v>49</v>
      </c>
      <c r="G4817" s="117">
        <v>1.33</v>
      </c>
    </row>
    <row r="4818" spans="1:7" x14ac:dyDescent="0.25">
      <c r="A4818" s="116" t="s">
        <v>7524</v>
      </c>
      <c r="B4818" s="117" t="s">
        <v>7525</v>
      </c>
      <c r="C4818" t="s">
        <v>67</v>
      </c>
      <c r="D4818" t="s">
        <v>67</v>
      </c>
      <c r="E4818" t="s">
        <v>67</v>
      </c>
      <c r="F4818" t="s">
        <v>49</v>
      </c>
      <c r="G4818" s="117">
        <v>0.8</v>
      </c>
    </row>
    <row r="4819" spans="1:7" x14ac:dyDescent="0.25">
      <c r="A4819" s="116" t="s">
        <v>7526</v>
      </c>
      <c r="B4819" s="117" t="s">
        <v>6977</v>
      </c>
      <c r="C4819" t="s">
        <v>67</v>
      </c>
      <c r="D4819" t="s">
        <v>67</v>
      </c>
      <c r="E4819" t="s">
        <v>67</v>
      </c>
      <c r="F4819" t="s">
        <v>49</v>
      </c>
      <c r="G4819" s="117">
        <v>0.44</v>
      </c>
    </row>
    <row r="4820" spans="1:7" x14ac:dyDescent="0.25">
      <c r="A4820" s="116" t="s">
        <v>7527</v>
      </c>
      <c r="B4820" s="117" t="s">
        <v>7528</v>
      </c>
      <c r="C4820" t="s">
        <v>67</v>
      </c>
      <c r="D4820" t="s">
        <v>67</v>
      </c>
      <c r="E4820" t="s">
        <v>67</v>
      </c>
      <c r="F4820" t="s">
        <v>49</v>
      </c>
      <c r="G4820" s="117">
        <v>0.44</v>
      </c>
    </row>
    <row r="4821" spans="1:7" x14ac:dyDescent="0.25">
      <c r="A4821" s="116" t="s">
        <v>7529</v>
      </c>
      <c r="B4821" s="117" t="s">
        <v>6979</v>
      </c>
      <c r="C4821" t="s">
        <v>67</v>
      </c>
      <c r="D4821" t="s">
        <v>67</v>
      </c>
      <c r="E4821" t="s">
        <v>67</v>
      </c>
      <c r="F4821" t="s">
        <v>49</v>
      </c>
      <c r="G4821" s="117">
        <v>0.44</v>
      </c>
    </row>
    <row r="4822" spans="1:7" x14ac:dyDescent="0.25">
      <c r="A4822" s="116" t="s">
        <v>7530</v>
      </c>
      <c r="B4822" s="117" t="s">
        <v>7446</v>
      </c>
      <c r="C4822" t="s">
        <v>67</v>
      </c>
      <c r="D4822" t="s">
        <v>67</v>
      </c>
      <c r="E4822" t="s">
        <v>67</v>
      </c>
      <c r="F4822" t="s">
        <v>27987</v>
      </c>
      <c r="G4822" s="117">
        <v>0.44</v>
      </c>
    </row>
    <row r="4823" spans="1:7" x14ac:dyDescent="0.25">
      <c r="A4823" s="116" t="s">
        <v>7531</v>
      </c>
      <c r="B4823" s="117" t="s">
        <v>7532</v>
      </c>
      <c r="C4823" t="s">
        <v>67</v>
      </c>
      <c r="D4823" t="s">
        <v>67</v>
      </c>
      <c r="E4823" t="s">
        <v>67</v>
      </c>
      <c r="F4823" t="s">
        <v>27987</v>
      </c>
      <c r="G4823" s="117">
        <v>3.12</v>
      </c>
    </row>
    <row r="4824" spans="1:7" x14ac:dyDescent="0.25">
      <c r="A4824" s="116" t="s">
        <v>7533</v>
      </c>
      <c r="B4824" s="117" t="s">
        <v>7534</v>
      </c>
      <c r="C4824" t="s">
        <v>67</v>
      </c>
      <c r="D4824" t="s">
        <v>67</v>
      </c>
      <c r="E4824" t="s">
        <v>67</v>
      </c>
      <c r="F4824" t="s">
        <v>27987</v>
      </c>
      <c r="G4824" s="117">
        <v>3.48</v>
      </c>
    </row>
    <row r="4825" spans="1:7" x14ac:dyDescent="0.25">
      <c r="A4825" s="116" t="s">
        <v>7535</v>
      </c>
      <c r="B4825" s="117" t="s">
        <v>7536</v>
      </c>
      <c r="C4825" t="s">
        <v>67</v>
      </c>
      <c r="D4825" t="s">
        <v>67</v>
      </c>
      <c r="E4825" t="s">
        <v>67</v>
      </c>
      <c r="F4825" t="s">
        <v>49</v>
      </c>
      <c r="G4825" s="117">
        <v>0.44</v>
      </c>
    </row>
    <row r="4826" spans="1:7" x14ac:dyDescent="0.25">
      <c r="A4826" s="116" t="s">
        <v>7537</v>
      </c>
      <c r="B4826" s="117" t="s">
        <v>7538</v>
      </c>
      <c r="C4826" t="s">
        <v>67</v>
      </c>
      <c r="D4826" t="s">
        <v>67</v>
      </c>
      <c r="E4826" t="s">
        <v>67</v>
      </c>
      <c r="F4826" t="s">
        <v>27987</v>
      </c>
      <c r="G4826" s="117">
        <v>1.33</v>
      </c>
    </row>
    <row r="4827" spans="1:7" x14ac:dyDescent="0.25">
      <c r="A4827" s="116" t="s">
        <v>7539</v>
      </c>
      <c r="B4827" s="117" t="s">
        <v>7540</v>
      </c>
      <c r="C4827" t="s">
        <v>67</v>
      </c>
      <c r="D4827" t="s">
        <v>67</v>
      </c>
      <c r="E4827" t="s">
        <v>67</v>
      </c>
      <c r="F4827" t="s">
        <v>27987</v>
      </c>
      <c r="G4827" s="117">
        <v>1.69</v>
      </c>
    </row>
    <row r="4828" spans="1:7" x14ac:dyDescent="0.25">
      <c r="A4828" s="116" t="s">
        <v>7541</v>
      </c>
      <c r="B4828" s="117" t="s">
        <v>7542</v>
      </c>
      <c r="C4828" t="s">
        <v>67</v>
      </c>
      <c r="D4828" t="s">
        <v>67</v>
      </c>
      <c r="E4828" t="s">
        <v>67</v>
      </c>
      <c r="F4828" t="s">
        <v>49</v>
      </c>
      <c r="G4828" s="117">
        <v>0.44</v>
      </c>
    </row>
    <row r="4829" spans="1:7" x14ac:dyDescent="0.25">
      <c r="A4829" s="116" t="s">
        <v>7543</v>
      </c>
      <c r="B4829" s="117" t="s">
        <v>7544</v>
      </c>
      <c r="C4829" t="s">
        <v>67</v>
      </c>
      <c r="D4829" t="s">
        <v>67</v>
      </c>
      <c r="E4829" t="s">
        <v>67</v>
      </c>
      <c r="F4829" t="s">
        <v>49</v>
      </c>
      <c r="G4829" s="117">
        <v>0.8</v>
      </c>
    </row>
    <row r="4830" spans="1:7" x14ac:dyDescent="0.25">
      <c r="A4830" s="116" t="s">
        <v>7545</v>
      </c>
      <c r="B4830" s="117" t="s">
        <v>7546</v>
      </c>
      <c r="C4830" t="s">
        <v>67</v>
      </c>
      <c r="D4830" t="s">
        <v>67</v>
      </c>
      <c r="E4830" t="s">
        <v>67</v>
      </c>
      <c r="F4830" t="s">
        <v>49</v>
      </c>
      <c r="G4830" s="117">
        <v>0.44</v>
      </c>
    </row>
    <row r="4831" spans="1:7" x14ac:dyDescent="0.25">
      <c r="A4831" s="116" t="s">
        <v>7547</v>
      </c>
      <c r="B4831" s="117" t="s">
        <v>7548</v>
      </c>
      <c r="C4831" t="s">
        <v>67</v>
      </c>
      <c r="D4831" t="s">
        <v>67</v>
      </c>
      <c r="E4831" t="s">
        <v>67</v>
      </c>
      <c r="F4831" t="s">
        <v>27987</v>
      </c>
      <c r="G4831" s="117">
        <v>1.69</v>
      </c>
    </row>
    <row r="4832" spans="1:7" x14ac:dyDescent="0.25">
      <c r="A4832" s="116" t="s">
        <v>7549</v>
      </c>
      <c r="B4832" s="117" t="s">
        <v>7550</v>
      </c>
      <c r="C4832" t="s">
        <v>67</v>
      </c>
      <c r="D4832" t="s">
        <v>67</v>
      </c>
      <c r="E4832" t="s">
        <v>67</v>
      </c>
      <c r="F4832" t="s">
        <v>27987</v>
      </c>
      <c r="G4832" s="117">
        <v>1.69</v>
      </c>
    </row>
    <row r="4833" spans="1:7" x14ac:dyDescent="0.25">
      <c r="A4833" s="116" t="s">
        <v>7551</v>
      </c>
      <c r="B4833" s="117" t="s">
        <v>7552</v>
      </c>
      <c r="C4833" t="s">
        <v>67</v>
      </c>
      <c r="D4833" t="s">
        <v>67</v>
      </c>
      <c r="E4833" t="s">
        <v>67</v>
      </c>
      <c r="F4833" t="s">
        <v>27987</v>
      </c>
      <c r="G4833" s="117">
        <v>2.23</v>
      </c>
    </row>
    <row r="4834" spans="1:7" x14ac:dyDescent="0.25">
      <c r="A4834" s="116" t="s">
        <v>7553</v>
      </c>
      <c r="B4834" s="117" t="s">
        <v>7554</v>
      </c>
      <c r="C4834" t="s">
        <v>67</v>
      </c>
      <c r="D4834" t="s">
        <v>67</v>
      </c>
      <c r="E4834" t="s">
        <v>67</v>
      </c>
      <c r="F4834" t="s">
        <v>49</v>
      </c>
      <c r="G4834" s="117">
        <v>0.8</v>
      </c>
    </row>
    <row r="4835" spans="1:7" x14ac:dyDescent="0.25">
      <c r="A4835" s="116" t="s">
        <v>7555</v>
      </c>
      <c r="B4835" s="117" t="s">
        <v>7556</v>
      </c>
      <c r="C4835" t="s">
        <v>67</v>
      </c>
      <c r="D4835" t="s">
        <v>67</v>
      </c>
      <c r="E4835" t="s">
        <v>67</v>
      </c>
      <c r="F4835" t="s">
        <v>45</v>
      </c>
      <c r="G4835" s="117">
        <v>0.8</v>
      </c>
    </row>
    <row r="4836" spans="1:7" x14ac:dyDescent="0.25">
      <c r="A4836" s="116" t="s">
        <v>7557</v>
      </c>
      <c r="B4836" s="117" t="s">
        <v>7558</v>
      </c>
      <c r="C4836" t="s">
        <v>67</v>
      </c>
      <c r="D4836" t="s">
        <v>67</v>
      </c>
      <c r="E4836" t="s">
        <v>67</v>
      </c>
      <c r="F4836" t="s">
        <v>27987</v>
      </c>
      <c r="G4836" s="117">
        <v>4.3600000000000003</v>
      </c>
    </row>
    <row r="4837" spans="1:7" x14ac:dyDescent="0.25">
      <c r="A4837" s="116" t="s">
        <v>7559</v>
      </c>
      <c r="B4837" s="117" t="s">
        <v>7560</v>
      </c>
      <c r="C4837" t="s">
        <v>67</v>
      </c>
      <c r="D4837" t="s">
        <v>67</v>
      </c>
      <c r="E4837" t="s">
        <v>67</v>
      </c>
      <c r="F4837" t="s">
        <v>49</v>
      </c>
      <c r="G4837" s="117">
        <v>2.23</v>
      </c>
    </row>
    <row r="4838" spans="1:7" x14ac:dyDescent="0.25">
      <c r="A4838" s="116" t="s">
        <v>7561</v>
      </c>
      <c r="B4838" s="117" t="s">
        <v>28733</v>
      </c>
      <c r="C4838" t="s">
        <v>67</v>
      </c>
      <c r="D4838" t="s">
        <v>67</v>
      </c>
      <c r="E4838" t="s">
        <v>67</v>
      </c>
      <c r="F4838" t="s">
        <v>27987</v>
      </c>
      <c r="G4838" s="117">
        <v>1.27</v>
      </c>
    </row>
    <row r="4839" spans="1:7" x14ac:dyDescent="0.25">
      <c r="A4839" s="116" t="s">
        <v>7562</v>
      </c>
      <c r="B4839" s="117" t="s">
        <v>7495</v>
      </c>
      <c r="C4839" t="s">
        <v>67</v>
      </c>
      <c r="D4839" t="s">
        <v>67</v>
      </c>
      <c r="E4839" t="s">
        <v>67</v>
      </c>
      <c r="F4839" t="s">
        <v>45</v>
      </c>
      <c r="G4839" s="117">
        <v>0.44</v>
      </c>
    </row>
    <row r="4840" spans="1:7" x14ac:dyDescent="0.25">
      <c r="A4840" s="116" t="s">
        <v>7563</v>
      </c>
      <c r="B4840" s="117" t="s">
        <v>7019</v>
      </c>
      <c r="C4840" t="s">
        <v>67</v>
      </c>
      <c r="D4840" t="s">
        <v>67</v>
      </c>
      <c r="E4840" t="s">
        <v>67</v>
      </c>
      <c r="F4840" t="s">
        <v>49</v>
      </c>
      <c r="G4840" s="117">
        <v>4.3600000000000003</v>
      </c>
    </row>
    <row r="4841" spans="1:7" x14ac:dyDescent="0.25">
      <c r="A4841" s="116" t="s">
        <v>7564</v>
      </c>
      <c r="B4841" s="117" t="s">
        <v>7565</v>
      </c>
      <c r="C4841" t="s">
        <v>67</v>
      </c>
      <c r="D4841" t="s">
        <v>67</v>
      </c>
      <c r="E4841" t="s">
        <v>67</v>
      </c>
      <c r="F4841" t="s">
        <v>49</v>
      </c>
      <c r="G4841" s="117">
        <v>0.44</v>
      </c>
    </row>
    <row r="4842" spans="1:7" x14ac:dyDescent="0.25">
      <c r="A4842" s="116" t="s">
        <v>7566</v>
      </c>
      <c r="B4842" s="117" t="s">
        <v>6977</v>
      </c>
      <c r="C4842" t="s">
        <v>67</v>
      </c>
      <c r="D4842" t="s">
        <v>67</v>
      </c>
      <c r="E4842" t="s">
        <v>67</v>
      </c>
      <c r="F4842" t="s">
        <v>27987</v>
      </c>
      <c r="G4842" s="117">
        <v>0.8</v>
      </c>
    </row>
    <row r="4843" spans="1:7" x14ac:dyDescent="0.25">
      <c r="A4843" s="116" t="s">
        <v>7567</v>
      </c>
      <c r="B4843" s="117" t="s">
        <v>7568</v>
      </c>
      <c r="C4843" t="s">
        <v>67</v>
      </c>
      <c r="D4843" t="s">
        <v>67</v>
      </c>
      <c r="E4843" t="s">
        <v>67</v>
      </c>
      <c r="F4843" t="s">
        <v>45</v>
      </c>
      <c r="G4843" s="117">
        <v>1.69</v>
      </c>
    </row>
    <row r="4844" spans="1:7" x14ac:dyDescent="0.25">
      <c r="A4844" s="116" t="s">
        <v>7569</v>
      </c>
      <c r="B4844" s="117" t="s">
        <v>7570</v>
      </c>
      <c r="C4844" t="s">
        <v>67</v>
      </c>
      <c r="D4844" t="s">
        <v>67</v>
      </c>
      <c r="E4844" t="s">
        <v>67</v>
      </c>
      <c r="F4844" t="s">
        <v>27987</v>
      </c>
      <c r="G4844" s="117">
        <v>3.12</v>
      </c>
    </row>
    <row r="4845" spans="1:7" x14ac:dyDescent="0.25">
      <c r="A4845" s="116" t="s">
        <v>7571</v>
      </c>
      <c r="B4845" s="117" t="s">
        <v>7572</v>
      </c>
      <c r="C4845" t="s">
        <v>67</v>
      </c>
      <c r="D4845" t="s">
        <v>67</v>
      </c>
      <c r="E4845" t="s">
        <v>67</v>
      </c>
      <c r="F4845" t="s">
        <v>27987</v>
      </c>
      <c r="G4845" s="117">
        <v>0.44</v>
      </c>
    </row>
    <row r="4846" spans="1:7" x14ac:dyDescent="0.25">
      <c r="A4846" s="116" t="s">
        <v>7573</v>
      </c>
      <c r="B4846" s="117" t="s">
        <v>7544</v>
      </c>
      <c r="C4846" t="s">
        <v>67</v>
      </c>
      <c r="D4846" t="s">
        <v>67</v>
      </c>
      <c r="E4846" t="s">
        <v>67</v>
      </c>
      <c r="F4846" t="s">
        <v>27987</v>
      </c>
      <c r="G4846" s="117">
        <v>0.8</v>
      </c>
    </row>
    <row r="4847" spans="1:7" x14ac:dyDescent="0.25">
      <c r="A4847" s="116" t="s">
        <v>7574</v>
      </c>
      <c r="B4847" s="117" t="s">
        <v>7575</v>
      </c>
      <c r="C4847" t="s">
        <v>67</v>
      </c>
      <c r="D4847" t="s">
        <v>67</v>
      </c>
      <c r="E4847" t="s">
        <v>67</v>
      </c>
      <c r="F4847" t="s">
        <v>27987</v>
      </c>
      <c r="G4847" s="117">
        <v>1.77</v>
      </c>
    </row>
    <row r="4848" spans="1:7" x14ac:dyDescent="0.25">
      <c r="A4848" s="116" t="s">
        <v>7576</v>
      </c>
      <c r="B4848" s="117" t="s">
        <v>7031</v>
      </c>
      <c r="C4848" t="s">
        <v>67</v>
      </c>
      <c r="D4848" t="s">
        <v>67</v>
      </c>
      <c r="E4848" t="s">
        <v>67</v>
      </c>
      <c r="F4848" t="s">
        <v>27987</v>
      </c>
      <c r="G4848" s="117">
        <v>0.44</v>
      </c>
    </row>
    <row r="4849" spans="1:7" x14ac:dyDescent="0.25">
      <c r="A4849" s="116" t="s">
        <v>28734</v>
      </c>
      <c r="B4849" s="117" t="s">
        <v>28735</v>
      </c>
      <c r="C4849" t="s">
        <v>67</v>
      </c>
      <c r="D4849" t="s">
        <v>67</v>
      </c>
      <c r="E4849" t="s">
        <v>67</v>
      </c>
      <c r="F4849" t="s">
        <v>45</v>
      </c>
      <c r="G4849" s="117">
        <v>0</v>
      </c>
    </row>
    <row r="4850" spans="1:7" x14ac:dyDescent="0.25">
      <c r="A4850" s="116" t="s">
        <v>7577</v>
      </c>
      <c r="B4850" s="117" t="s">
        <v>7019</v>
      </c>
      <c r="C4850" t="s">
        <v>67</v>
      </c>
      <c r="D4850" t="s">
        <v>67</v>
      </c>
      <c r="E4850" t="s">
        <v>67</v>
      </c>
      <c r="F4850" t="s">
        <v>27987</v>
      </c>
      <c r="G4850" s="117">
        <v>2.39</v>
      </c>
    </row>
    <row r="4851" spans="1:7" x14ac:dyDescent="0.25">
      <c r="A4851" s="116" t="s">
        <v>7578</v>
      </c>
      <c r="B4851" s="117" t="s">
        <v>7579</v>
      </c>
      <c r="C4851" t="s">
        <v>67</v>
      </c>
      <c r="D4851" t="s">
        <v>67</v>
      </c>
      <c r="E4851" t="s">
        <v>67</v>
      </c>
      <c r="F4851" t="s">
        <v>45</v>
      </c>
      <c r="G4851" s="117">
        <v>1.69</v>
      </c>
    </row>
    <row r="4852" spans="1:7" x14ac:dyDescent="0.25">
      <c r="A4852" s="116" t="s">
        <v>7580</v>
      </c>
      <c r="B4852" s="117" t="s">
        <v>7581</v>
      </c>
      <c r="C4852" t="s">
        <v>67</v>
      </c>
      <c r="D4852" t="s">
        <v>67</v>
      </c>
      <c r="E4852" t="s">
        <v>67</v>
      </c>
      <c r="F4852" t="s">
        <v>27987</v>
      </c>
      <c r="G4852" s="117">
        <v>8.89</v>
      </c>
    </row>
    <row r="4853" spans="1:7" x14ac:dyDescent="0.25">
      <c r="A4853" s="116" t="s">
        <v>7582</v>
      </c>
      <c r="B4853" s="117" t="s">
        <v>7583</v>
      </c>
      <c r="C4853" t="s">
        <v>67</v>
      </c>
      <c r="D4853" t="s">
        <v>67</v>
      </c>
      <c r="E4853" t="s">
        <v>67</v>
      </c>
      <c r="F4853" t="s">
        <v>27990</v>
      </c>
      <c r="G4853" s="117">
        <v>6.69</v>
      </c>
    </row>
    <row r="4854" spans="1:7" x14ac:dyDescent="0.25">
      <c r="A4854" s="116" t="s">
        <v>7584</v>
      </c>
      <c r="B4854" s="117" t="s">
        <v>7585</v>
      </c>
      <c r="C4854" t="s">
        <v>67</v>
      </c>
      <c r="D4854" t="s">
        <v>67</v>
      </c>
      <c r="E4854" t="s">
        <v>67</v>
      </c>
      <c r="F4854" t="s">
        <v>49</v>
      </c>
      <c r="G4854" s="117">
        <v>11.44</v>
      </c>
    </row>
    <row r="4855" spans="1:7" x14ac:dyDescent="0.25">
      <c r="A4855" s="116" t="s">
        <v>7586</v>
      </c>
      <c r="B4855" s="117" t="s">
        <v>7587</v>
      </c>
      <c r="C4855" t="s">
        <v>67</v>
      </c>
      <c r="D4855" t="s">
        <v>67</v>
      </c>
      <c r="E4855" t="s">
        <v>67</v>
      </c>
      <c r="F4855" t="s">
        <v>49</v>
      </c>
      <c r="G4855" s="117">
        <v>2.67</v>
      </c>
    </row>
    <row r="4856" spans="1:7" x14ac:dyDescent="0.25">
      <c r="A4856" s="116" t="s">
        <v>7588</v>
      </c>
      <c r="B4856" s="117" t="s">
        <v>7589</v>
      </c>
      <c r="C4856" t="s">
        <v>67</v>
      </c>
      <c r="D4856" t="s">
        <v>67</v>
      </c>
      <c r="E4856" t="s">
        <v>67</v>
      </c>
      <c r="F4856" t="s">
        <v>49</v>
      </c>
      <c r="G4856" s="117">
        <v>4.3600000000000003</v>
      </c>
    </row>
    <row r="4857" spans="1:7" x14ac:dyDescent="0.25">
      <c r="A4857" s="116" t="s">
        <v>26632</v>
      </c>
      <c r="B4857" s="117" t="s">
        <v>26633</v>
      </c>
      <c r="C4857" t="s">
        <v>67</v>
      </c>
      <c r="D4857" t="s">
        <v>67</v>
      </c>
      <c r="E4857" t="s">
        <v>67</v>
      </c>
      <c r="F4857" t="s">
        <v>27987</v>
      </c>
      <c r="G4857" s="117">
        <v>2.63</v>
      </c>
    </row>
    <row r="4858" spans="1:7" x14ac:dyDescent="0.25">
      <c r="A4858" s="116" t="s">
        <v>7590</v>
      </c>
      <c r="B4858" s="117" t="s">
        <v>7591</v>
      </c>
      <c r="C4858" t="s">
        <v>67</v>
      </c>
      <c r="D4858" t="s">
        <v>67</v>
      </c>
      <c r="E4858" t="s">
        <v>67</v>
      </c>
      <c r="F4858" t="s">
        <v>27987</v>
      </c>
      <c r="G4858" s="117">
        <v>12.45</v>
      </c>
    </row>
    <row r="4859" spans="1:7" x14ac:dyDescent="0.25">
      <c r="A4859" s="116" t="s">
        <v>7592</v>
      </c>
      <c r="B4859" s="117" t="s">
        <v>7593</v>
      </c>
      <c r="C4859" t="s">
        <v>67</v>
      </c>
      <c r="D4859" t="s">
        <v>67</v>
      </c>
      <c r="E4859" t="s">
        <v>67</v>
      </c>
      <c r="F4859" t="s">
        <v>27987</v>
      </c>
      <c r="G4859" s="117">
        <v>1.33</v>
      </c>
    </row>
    <row r="4860" spans="1:7" x14ac:dyDescent="0.25">
      <c r="A4860" s="116" t="s">
        <v>7594</v>
      </c>
      <c r="B4860" s="117" t="s">
        <v>7019</v>
      </c>
      <c r="C4860" t="s">
        <v>67</v>
      </c>
      <c r="D4860" t="s">
        <v>67</v>
      </c>
      <c r="E4860" t="s">
        <v>67</v>
      </c>
      <c r="F4860" t="s">
        <v>49</v>
      </c>
      <c r="G4860" s="117">
        <v>4.8899999999999997</v>
      </c>
    </row>
    <row r="4861" spans="1:7" x14ac:dyDescent="0.25">
      <c r="A4861" s="116" t="s">
        <v>7595</v>
      </c>
      <c r="B4861" s="117" t="s">
        <v>7596</v>
      </c>
      <c r="C4861" t="s">
        <v>67</v>
      </c>
      <c r="D4861" t="s">
        <v>67</v>
      </c>
      <c r="E4861" t="s">
        <v>67</v>
      </c>
      <c r="F4861" t="s">
        <v>27987</v>
      </c>
      <c r="G4861" s="117">
        <v>0.5</v>
      </c>
    </row>
    <row r="4862" spans="1:7" x14ac:dyDescent="0.25">
      <c r="A4862" s="116" t="s">
        <v>7597</v>
      </c>
      <c r="B4862" s="117" t="s">
        <v>7598</v>
      </c>
      <c r="C4862" t="s">
        <v>67</v>
      </c>
      <c r="D4862" t="s">
        <v>67</v>
      </c>
      <c r="E4862" t="s">
        <v>67</v>
      </c>
      <c r="F4862" t="s">
        <v>27987</v>
      </c>
      <c r="G4862" s="117">
        <v>60.95</v>
      </c>
    </row>
    <row r="4863" spans="1:7" x14ac:dyDescent="0.25">
      <c r="A4863" s="116" t="s">
        <v>7599</v>
      </c>
      <c r="B4863" s="117" t="s">
        <v>7600</v>
      </c>
      <c r="C4863" t="s">
        <v>67</v>
      </c>
      <c r="D4863" t="s">
        <v>67</v>
      </c>
      <c r="E4863" t="s">
        <v>67</v>
      </c>
      <c r="F4863" t="s">
        <v>45</v>
      </c>
      <c r="G4863" s="117">
        <v>2.58</v>
      </c>
    </row>
    <row r="4864" spans="1:7" x14ac:dyDescent="0.25">
      <c r="A4864" s="116" t="s">
        <v>7601</v>
      </c>
      <c r="B4864" s="117" t="s">
        <v>7602</v>
      </c>
      <c r="C4864" t="s">
        <v>67</v>
      </c>
      <c r="D4864" t="s">
        <v>67</v>
      </c>
      <c r="E4864" t="s">
        <v>67</v>
      </c>
      <c r="F4864" t="s">
        <v>45</v>
      </c>
      <c r="G4864" s="117">
        <v>34.26</v>
      </c>
    </row>
    <row r="4865" spans="1:7" x14ac:dyDescent="0.25">
      <c r="A4865" s="116" t="s">
        <v>7603</v>
      </c>
      <c r="B4865" s="117" t="s">
        <v>7604</v>
      </c>
      <c r="C4865" t="s">
        <v>67</v>
      </c>
      <c r="D4865" t="s">
        <v>67</v>
      </c>
      <c r="E4865" t="s">
        <v>67</v>
      </c>
      <c r="F4865" t="s">
        <v>45</v>
      </c>
      <c r="G4865" s="117">
        <v>3.12</v>
      </c>
    </row>
    <row r="4866" spans="1:7" x14ac:dyDescent="0.25">
      <c r="A4866" s="116" t="s">
        <v>7605</v>
      </c>
      <c r="B4866" s="117" t="s">
        <v>7606</v>
      </c>
      <c r="C4866" t="s">
        <v>67</v>
      </c>
      <c r="D4866" t="s">
        <v>67</v>
      </c>
      <c r="E4866" t="s">
        <v>67</v>
      </c>
      <c r="F4866" t="s">
        <v>27987</v>
      </c>
      <c r="G4866" s="117">
        <v>0.8</v>
      </c>
    </row>
    <row r="4867" spans="1:7" x14ac:dyDescent="0.25">
      <c r="A4867" s="116" t="s">
        <v>7607</v>
      </c>
      <c r="B4867" s="117" t="s">
        <v>7608</v>
      </c>
      <c r="C4867" t="s">
        <v>67</v>
      </c>
      <c r="D4867" t="s">
        <v>67</v>
      </c>
      <c r="E4867" t="s">
        <v>67</v>
      </c>
      <c r="F4867" t="s">
        <v>51</v>
      </c>
      <c r="G4867" s="117">
        <v>0.44</v>
      </c>
    </row>
    <row r="4868" spans="1:7" x14ac:dyDescent="0.25">
      <c r="A4868" s="116" t="s">
        <v>7609</v>
      </c>
      <c r="B4868" s="117" t="s">
        <v>7017</v>
      </c>
      <c r="C4868" t="s">
        <v>67</v>
      </c>
      <c r="D4868" t="s">
        <v>67</v>
      </c>
      <c r="E4868" t="s">
        <v>67</v>
      </c>
      <c r="F4868" t="s">
        <v>27987</v>
      </c>
      <c r="G4868" s="117">
        <v>0.8</v>
      </c>
    </row>
    <row r="4869" spans="1:7" x14ac:dyDescent="0.25">
      <c r="A4869" s="116" t="s">
        <v>7610</v>
      </c>
      <c r="B4869" s="117" t="s">
        <v>7611</v>
      </c>
      <c r="C4869" t="s">
        <v>67</v>
      </c>
      <c r="D4869" t="s">
        <v>67</v>
      </c>
      <c r="E4869" t="s">
        <v>67</v>
      </c>
      <c r="F4869" t="s">
        <v>49</v>
      </c>
      <c r="G4869" s="117">
        <v>9.6999999999999993</v>
      </c>
    </row>
    <row r="4870" spans="1:7" x14ac:dyDescent="0.25">
      <c r="A4870" s="116" t="s">
        <v>7612</v>
      </c>
      <c r="B4870" s="117" t="s">
        <v>6979</v>
      </c>
      <c r="C4870" t="s">
        <v>67</v>
      </c>
      <c r="D4870" t="s">
        <v>67</v>
      </c>
      <c r="E4870" t="s">
        <v>67</v>
      </c>
      <c r="F4870" t="s">
        <v>27987</v>
      </c>
      <c r="G4870" s="117">
        <v>0.44</v>
      </c>
    </row>
    <row r="4871" spans="1:7" x14ac:dyDescent="0.25">
      <c r="A4871" s="116" t="s">
        <v>7613</v>
      </c>
      <c r="B4871" s="117" t="s">
        <v>6979</v>
      </c>
      <c r="C4871" t="s">
        <v>67</v>
      </c>
      <c r="D4871" t="s">
        <v>67</v>
      </c>
      <c r="E4871" t="s">
        <v>67</v>
      </c>
      <c r="F4871" t="s">
        <v>27990</v>
      </c>
      <c r="G4871" s="117">
        <v>3.31</v>
      </c>
    </row>
    <row r="4872" spans="1:7" x14ac:dyDescent="0.25">
      <c r="A4872" s="116" t="s">
        <v>7614</v>
      </c>
      <c r="B4872" s="117" t="s">
        <v>7615</v>
      </c>
      <c r="C4872" t="s">
        <v>67</v>
      </c>
      <c r="D4872" t="s">
        <v>67</v>
      </c>
      <c r="E4872" t="s">
        <v>67</v>
      </c>
      <c r="F4872" t="s">
        <v>45</v>
      </c>
      <c r="G4872" s="117">
        <v>3.48</v>
      </c>
    </row>
    <row r="4873" spans="1:7" x14ac:dyDescent="0.25">
      <c r="A4873" s="116" t="s">
        <v>7616</v>
      </c>
      <c r="B4873" s="117" t="s">
        <v>7617</v>
      </c>
      <c r="C4873" t="s">
        <v>67</v>
      </c>
      <c r="D4873" t="s">
        <v>67</v>
      </c>
      <c r="E4873" t="s">
        <v>67</v>
      </c>
      <c r="F4873" t="s">
        <v>45</v>
      </c>
      <c r="G4873" s="117">
        <v>3.12</v>
      </c>
    </row>
    <row r="4874" spans="1:7" x14ac:dyDescent="0.25">
      <c r="A4874" s="116" t="s">
        <v>7618</v>
      </c>
      <c r="B4874" s="117" t="s">
        <v>7619</v>
      </c>
      <c r="C4874" t="s">
        <v>67</v>
      </c>
      <c r="D4874" t="s">
        <v>67</v>
      </c>
      <c r="E4874" t="s">
        <v>67</v>
      </c>
      <c r="F4874" t="s">
        <v>45</v>
      </c>
      <c r="G4874" s="117">
        <v>0.88</v>
      </c>
    </row>
    <row r="4875" spans="1:7" x14ac:dyDescent="0.25">
      <c r="A4875" s="116" t="s">
        <v>7620</v>
      </c>
      <c r="B4875" s="117" t="s">
        <v>7619</v>
      </c>
      <c r="C4875" t="s">
        <v>67</v>
      </c>
      <c r="D4875" t="s">
        <v>67</v>
      </c>
      <c r="E4875" t="s">
        <v>67</v>
      </c>
      <c r="F4875" t="s">
        <v>45</v>
      </c>
      <c r="G4875" s="117">
        <v>2.38</v>
      </c>
    </row>
    <row r="4876" spans="1:7" x14ac:dyDescent="0.25">
      <c r="A4876" s="116" t="s">
        <v>7621</v>
      </c>
      <c r="B4876" s="117" t="s">
        <v>7622</v>
      </c>
      <c r="C4876" t="s">
        <v>67</v>
      </c>
      <c r="D4876" t="s">
        <v>67</v>
      </c>
      <c r="E4876" t="s">
        <v>67</v>
      </c>
      <c r="F4876" t="s">
        <v>49</v>
      </c>
      <c r="G4876" s="117">
        <v>0.8</v>
      </c>
    </row>
    <row r="4877" spans="1:7" x14ac:dyDescent="0.25">
      <c r="A4877" s="116" t="s">
        <v>7623</v>
      </c>
      <c r="B4877" s="117" t="s">
        <v>7624</v>
      </c>
      <c r="C4877" t="s">
        <v>67</v>
      </c>
      <c r="D4877" t="s">
        <v>67</v>
      </c>
      <c r="E4877" t="s">
        <v>67</v>
      </c>
      <c r="F4877" t="s">
        <v>27987</v>
      </c>
      <c r="G4877" s="117">
        <v>0.44</v>
      </c>
    </row>
    <row r="4878" spans="1:7" x14ac:dyDescent="0.25">
      <c r="A4878" s="116" t="s">
        <v>7625</v>
      </c>
      <c r="B4878" s="117" t="s">
        <v>7626</v>
      </c>
      <c r="C4878" t="s">
        <v>67</v>
      </c>
      <c r="D4878" t="s">
        <v>67</v>
      </c>
      <c r="E4878" t="s">
        <v>67</v>
      </c>
      <c r="F4878" t="s">
        <v>45</v>
      </c>
      <c r="G4878" s="117">
        <v>9.6999999999999993</v>
      </c>
    </row>
    <row r="4879" spans="1:7" x14ac:dyDescent="0.25">
      <c r="A4879" s="116" t="s">
        <v>7627</v>
      </c>
      <c r="B4879" s="117" t="s">
        <v>7628</v>
      </c>
      <c r="C4879" t="s">
        <v>67</v>
      </c>
      <c r="D4879" t="s">
        <v>67</v>
      </c>
      <c r="E4879" t="s">
        <v>67</v>
      </c>
      <c r="F4879" t="s">
        <v>45</v>
      </c>
      <c r="G4879" s="117">
        <v>0.44</v>
      </c>
    </row>
    <row r="4880" spans="1:7" x14ac:dyDescent="0.25">
      <c r="A4880" s="116" t="s">
        <v>7629</v>
      </c>
      <c r="B4880" s="117" t="s">
        <v>7630</v>
      </c>
      <c r="C4880" t="s">
        <v>67</v>
      </c>
      <c r="D4880" t="s">
        <v>67</v>
      </c>
      <c r="E4880" t="s">
        <v>67</v>
      </c>
      <c r="F4880" t="s">
        <v>45</v>
      </c>
      <c r="G4880" s="117">
        <v>31.94</v>
      </c>
    </row>
    <row r="4881" spans="1:7" x14ac:dyDescent="0.25">
      <c r="A4881" s="116" t="s">
        <v>7631</v>
      </c>
      <c r="B4881" s="117" t="s">
        <v>7632</v>
      </c>
      <c r="C4881" t="s">
        <v>67</v>
      </c>
      <c r="D4881" t="s">
        <v>67</v>
      </c>
      <c r="E4881" t="s">
        <v>67</v>
      </c>
      <c r="F4881" t="s">
        <v>49</v>
      </c>
      <c r="G4881" s="117">
        <v>9.6999999999999993</v>
      </c>
    </row>
    <row r="4882" spans="1:7" x14ac:dyDescent="0.25">
      <c r="A4882" s="116" t="s">
        <v>7633</v>
      </c>
      <c r="B4882" s="117" t="s">
        <v>7634</v>
      </c>
      <c r="C4882" t="s">
        <v>67</v>
      </c>
      <c r="D4882" t="s">
        <v>67</v>
      </c>
      <c r="E4882" t="s">
        <v>67</v>
      </c>
      <c r="F4882" t="s">
        <v>49</v>
      </c>
      <c r="G4882" s="117">
        <v>4.3600000000000003</v>
      </c>
    </row>
    <row r="4883" spans="1:7" x14ac:dyDescent="0.25">
      <c r="A4883" s="116" t="s">
        <v>7635</v>
      </c>
      <c r="B4883" s="117" t="s">
        <v>7636</v>
      </c>
      <c r="C4883" t="s">
        <v>67</v>
      </c>
      <c r="D4883" t="s">
        <v>67</v>
      </c>
      <c r="E4883" t="s">
        <v>67</v>
      </c>
      <c r="F4883" t="s">
        <v>27987</v>
      </c>
      <c r="G4883" s="117">
        <v>0.8</v>
      </c>
    </row>
    <row r="4884" spans="1:7" x14ac:dyDescent="0.25">
      <c r="A4884" s="116" t="s">
        <v>7637</v>
      </c>
      <c r="B4884" s="117" t="s">
        <v>7221</v>
      </c>
      <c r="C4884" t="s">
        <v>67</v>
      </c>
      <c r="D4884" t="s">
        <v>67</v>
      </c>
      <c r="E4884" t="s">
        <v>67</v>
      </c>
      <c r="F4884" t="s">
        <v>49</v>
      </c>
      <c r="G4884" s="117">
        <v>0.8</v>
      </c>
    </row>
    <row r="4885" spans="1:7" x14ac:dyDescent="0.25">
      <c r="A4885" s="116" t="s">
        <v>7638</v>
      </c>
      <c r="B4885" s="117" t="s">
        <v>7639</v>
      </c>
      <c r="C4885" t="s">
        <v>67</v>
      </c>
      <c r="D4885" t="s">
        <v>67</v>
      </c>
      <c r="E4885" t="s">
        <v>67</v>
      </c>
      <c r="F4885" t="s">
        <v>49</v>
      </c>
      <c r="G4885" s="117">
        <v>0.8</v>
      </c>
    </row>
    <row r="4886" spans="1:7" x14ac:dyDescent="0.25">
      <c r="A4886" s="116" t="s">
        <v>7640</v>
      </c>
      <c r="B4886" s="117" t="s">
        <v>7641</v>
      </c>
      <c r="C4886" t="s">
        <v>67</v>
      </c>
      <c r="D4886" t="s">
        <v>67</v>
      </c>
      <c r="E4886" t="s">
        <v>67</v>
      </c>
      <c r="F4886" t="s">
        <v>27987</v>
      </c>
      <c r="G4886" s="117">
        <v>0.44</v>
      </c>
    </row>
    <row r="4887" spans="1:7" x14ac:dyDescent="0.25">
      <c r="A4887" s="116" t="s">
        <v>7642</v>
      </c>
      <c r="B4887" s="117" t="s">
        <v>7643</v>
      </c>
      <c r="C4887" t="s">
        <v>67</v>
      </c>
      <c r="D4887" t="s">
        <v>67</v>
      </c>
      <c r="E4887" t="s">
        <v>67</v>
      </c>
      <c r="F4887" t="s">
        <v>49</v>
      </c>
      <c r="G4887" s="117">
        <v>0.89</v>
      </c>
    </row>
    <row r="4888" spans="1:7" x14ac:dyDescent="0.25">
      <c r="A4888" s="116" t="s">
        <v>7644</v>
      </c>
      <c r="B4888" s="117" t="s">
        <v>7645</v>
      </c>
      <c r="C4888" t="s">
        <v>67</v>
      </c>
      <c r="D4888" t="s">
        <v>67</v>
      </c>
      <c r="E4888" t="s">
        <v>67</v>
      </c>
      <c r="F4888" t="s">
        <v>49</v>
      </c>
      <c r="G4888" s="117">
        <v>0.8</v>
      </c>
    </row>
    <row r="4889" spans="1:7" x14ac:dyDescent="0.25">
      <c r="A4889" s="116" t="s">
        <v>7646</v>
      </c>
      <c r="B4889" s="117" t="s">
        <v>7647</v>
      </c>
      <c r="C4889" t="s">
        <v>67</v>
      </c>
      <c r="D4889" t="s">
        <v>67</v>
      </c>
      <c r="E4889" t="s">
        <v>67</v>
      </c>
      <c r="F4889" t="s">
        <v>27987</v>
      </c>
      <c r="G4889" s="117">
        <v>0.8</v>
      </c>
    </row>
    <row r="4890" spans="1:7" x14ac:dyDescent="0.25">
      <c r="A4890" s="116" t="s">
        <v>7648</v>
      </c>
      <c r="B4890" s="117" t="s">
        <v>7649</v>
      </c>
      <c r="C4890" t="s">
        <v>67</v>
      </c>
      <c r="D4890" t="s">
        <v>67</v>
      </c>
      <c r="E4890" t="s">
        <v>67</v>
      </c>
      <c r="F4890" t="s">
        <v>27990</v>
      </c>
      <c r="G4890" s="117">
        <v>0.44</v>
      </c>
    </row>
    <row r="4891" spans="1:7" x14ac:dyDescent="0.25">
      <c r="A4891" s="116" t="s">
        <v>7650</v>
      </c>
      <c r="B4891" s="117" t="s">
        <v>7651</v>
      </c>
      <c r="C4891" t="s">
        <v>67</v>
      </c>
      <c r="D4891" t="s">
        <v>67</v>
      </c>
      <c r="E4891" t="s">
        <v>67</v>
      </c>
      <c r="F4891" t="s">
        <v>49</v>
      </c>
      <c r="G4891" s="117">
        <v>4</v>
      </c>
    </row>
    <row r="4892" spans="1:7" x14ac:dyDescent="0.25">
      <c r="A4892" s="116" t="s">
        <v>7652</v>
      </c>
      <c r="B4892" s="117" t="s">
        <v>7653</v>
      </c>
      <c r="C4892" t="s">
        <v>67</v>
      </c>
      <c r="D4892" t="s">
        <v>67</v>
      </c>
      <c r="E4892" t="s">
        <v>67</v>
      </c>
      <c r="F4892" t="s">
        <v>51</v>
      </c>
      <c r="G4892" s="117">
        <v>0.8</v>
      </c>
    </row>
    <row r="4893" spans="1:7" x14ac:dyDescent="0.25">
      <c r="A4893" s="116" t="s">
        <v>7654</v>
      </c>
      <c r="B4893" s="117" t="s">
        <v>7655</v>
      </c>
      <c r="C4893" t="s">
        <v>67</v>
      </c>
      <c r="D4893" t="s">
        <v>67</v>
      </c>
      <c r="E4893" t="s">
        <v>67</v>
      </c>
      <c r="F4893" t="s">
        <v>49</v>
      </c>
      <c r="G4893" s="117">
        <v>0.8</v>
      </c>
    </row>
    <row r="4894" spans="1:7" x14ac:dyDescent="0.25">
      <c r="A4894" s="116" t="s">
        <v>7656</v>
      </c>
      <c r="B4894" s="117" t="s">
        <v>7657</v>
      </c>
      <c r="C4894" t="s">
        <v>67</v>
      </c>
      <c r="D4894" t="s">
        <v>67</v>
      </c>
      <c r="E4894" t="s">
        <v>67</v>
      </c>
      <c r="F4894" t="s">
        <v>45</v>
      </c>
      <c r="G4894" s="117">
        <v>0.44</v>
      </c>
    </row>
    <row r="4895" spans="1:7" x14ac:dyDescent="0.25">
      <c r="A4895" s="116" t="s">
        <v>7658</v>
      </c>
      <c r="B4895" s="117" t="s">
        <v>7659</v>
      </c>
      <c r="C4895" t="s">
        <v>67</v>
      </c>
      <c r="D4895" t="s">
        <v>67</v>
      </c>
      <c r="E4895" t="s">
        <v>67</v>
      </c>
      <c r="F4895" t="s">
        <v>27987</v>
      </c>
      <c r="G4895" s="117">
        <v>0.44</v>
      </c>
    </row>
    <row r="4896" spans="1:7" x14ac:dyDescent="0.25">
      <c r="A4896" s="116" t="s">
        <v>7660</v>
      </c>
      <c r="B4896" s="117" t="s">
        <v>7661</v>
      </c>
      <c r="C4896" t="s">
        <v>67</v>
      </c>
      <c r="D4896" t="s">
        <v>67</v>
      </c>
      <c r="E4896" t="s">
        <v>67</v>
      </c>
      <c r="F4896" t="s">
        <v>27990</v>
      </c>
      <c r="G4896" s="117">
        <v>6.14</v>
      </c>
    </row>
    <row r="4897" spans="1:7" x14ac:dyDescent="0.25">
      <c r="A4897" s="116" t="s">
        <v>7662</v>
      </c>
      <c r="B4897" s="117" t="s">
        <v>7663</v>
      </c>
      <c r="C4897" t="s">
        <v>67</v>
      </c>
      <c r="D4897" t="s">
        <v>67</v>
      </c>
      <c r="E4897" t="s">
        <v>67</v>
      </c>
      <c r="F4897" t="s">
        <v>49</v>
      </c>
      <c r="G4897" s="117">
        <v>2.23</v>
      </c>
    </row>
    <row r="4898" spans="1:7" x14ac:dyDescent="0.25">
      <c r="A4898" s="116" t="s">
        <v>7664</v>
      </c>
      <c r="B4898" s="117" t="s">
        <v>7665</v>
      </c>
      <c r="C4898" t="s">
        <v>67</v>
      </c>
      <c r="D4898" t="s">
        <v>67</v>
      </c>
      <c r="E4898" t="s">
        <v>67</v>
      </c>
      <c r="F4898" t="s">
        <v>49</v>
      </c>
      <c r="G4898" s="117">
        <v>0.44</v>
      </c>
    </row>
    <row r="4899" spans="1:7" x14ac:dyDescent="0.25">
      <c r="A4899" s="116" t="s">
        <v>7666</v>
      </c>
      <c r="B4899" s="117" t="s">
        <v>7135</v>
      </c>
      <c r="C4899" t="s">
        <v>67</v>
      </c>
      <c r="D4899" t="s">
        <v>67</v>
      </c>
      <c r="E4899" t="s">
        <v>67</v>
      </c>
      <c r="F4899" t="s">
        <v>51</v>
      </c>
      <c r="G4899" s="117">
        <v>3.81</v>
      </c>
    </row>
    <row r="4900" spans="1:7" x14ac:dyDescent="0.25">
      <c r="A4900" s="116" t="s">
        <v>7667</v>
      </c>
      <c r="B4900" s="117" t="s">
        <v>7668</v>
      </c>
      <c r="C4900" t="s">
        <v>67</v>
      </c>
      <c r="D4900" t="s">
        <v>67</v>
      </c>
      <c r="E4900" t="s">
        <v>67</v>
      </c>
      <c r="F4900" t="s">
        <v>51</v>
      </c>
      <c r="G4900" s="117">
        <v>1.27</v>
      </c>
    </row>
    <row r="4901" spans="1:7" x14ac:dyDescent="0.25">
      <c r="A4901" s="116" t="s">
        <v>7669</v>
      </c>
      <c r="B4901" s="117" t="s">
        <v>7125</v>
      </c>
      <c r="C4901" t="s">
        <v>67</v>
      </c>
      <c r="D4901" t="s">
        <v>67</v>
      </c>
      <c r="E4901" t="s">
        <v>67</v>
      </c>
      <c r="F4901" t="s">
        <v>49</v>
      </c>
      <c r="G4901" s="117">
        <v>0.44</v>
      </c>
    </row>
    <row r="4902" spans="1:7" x14ac:dyDescent="0.25">
      <c r="A4902" s="116" t="s">
        <v>7670</v>
      </c>
      <c r="B4902" s="117" t="s">
        <v>7671</v>
      </c>
      <c r="C4902" t="s">
        <v>67</v>
      </c>
      <c r="D4902" t="s">
        <v>67</v>
      </c>
      <c r="E4902" t="s">
        <v>67</v>
      </c>
      <c r="F4902" t="s">
        <v>49</v>
      </c>
      <c r="G4902" s="117">
        <v>0.8</v>
      </c>
    </row>
    <row r="4903" spans="1:7" x14ac:dyDescent="0.25">
      <c r="A4903" s="116" t="s">
        <v>7672</v>
      </c>
      <c r="B4903" s="117" t="s">
        <v>7673</v>
      </c>
      <c r="C4903" t="s">
        <v>67</v>
      </c>
      <c r="D4903" t="s">
        <v>67</v>
      </c>
      <c r="E4903" t="s">
        <v>67</v>
      </c>
      <c r="F4903" t="s">
        <v>49</v>
      </c>
      <c r="G4903" s="117">
        <v>0.8</v>
      </c>
    </row>
    <row r="4904" spans="1:7" x14ac:dyDescent="0.25">
      <c r="A4904" s="116" t="s">
        <v>7674</v>
      </c>
      <c r="B4904" s="117" t="s">
        <v>28736</v>
      </c>
      <c r="C4904" t="s">
        <v>67</v>
      </c>
      <c r="D4904" t="s">
        <v>67</v>
      </c>
      <c r="E4904" t="s">
        <v>67</v>
      </c>
      <c r="F4904" t="s">
        <v>27987</v>
      </c>
      <c r="G4904" s="117">
        <v>0.44</v>
      </c>
    </row>
    <row r="4905" spans="1:7" x14ac:dyDescent="0.25">
      <c r="A4905" s="116" t="s">
        <v>28737</v>
      </c>
      <c r="B4905" s="117" t="s">
        <v>28738</v>
      </c>
      <c r="C4905" t="s">
        <v>67</v>
      </c>
      <c r="D4905" t="s">
        <v>67</v>
      </c>
      <c r="E4905" t="s">
        <v>67</v>
      </c>
      <c r="F4905" t="s">
        <v>45</v>
      </c>
      <c r="G4905" s="117">
        <v>0</v>
      </c>
    </row>
    <row r="4906" spans="1:7" x14ac:dyDescent="0.25">
      <c r="A4906" s="116" t="s">
        <v>7675</v>
      </c>
      <c r="B4906" s="117" t="s">
        <v>7676</v>
      </c>
      <c r="C4906" t="s">
        <v>67</v>
      </c>
      <c r="D4906" t="s">
        <v>67</v>
      </c>
      <c r="E4906" t="s">
        <v>67</v>
      </c>
      <c r="F4906" t="s">
        <v>49</v>
      </c>
      <c r="G4906" s="117">
        <v>3.12</v>
      </c>
    </row>
    <row r="4907" spans="1:7" x14ac:dyDescent="0.25">
      <c r="A4907" s="116" t="s">
        <v>7677</v>
      </c>
      <c r="B4907" s="117" t="s">
        <v>7678</v>
      </c>
      <c r="C4907" t="s">
        <v>67</v>
      </c>
      <c r="D4907" t="s">
        <v>67</v>
      </c>
      <c r="E4907" t="s">
        <v>67</v>
      </c>
      <c r="F4907" t="s">
        <v>45</v>
      </c>
      <c r="G4907" s="117">
        <v>4.3600000000000003</v>
      </c>
    </row>
    <row r="4908" spans="1:7" x14ac:dyDescent="0.25">
      <c r="A4908" s="116" t="s">
        <v>7679</v>
      </c>
      <c r="B4908" s="117" t="s">
        <v>7680</v>
      </c>
      <c r="C4908" t="s">
        <v>67</v>
      </c>
      <c r="D4908" t="s">
        <v>67</v>
      </c>
      <c r="E4908" t="s">
        <v>67</v>
      </c>
      <c r="F4908" t="s">
        <v>27990</v>
      </c>
      <c r="G4908" s="117">
        <v>4</v>
      </c>
    </row>
    <row r="4909" spans="1:7" x14ac:dyDescent="0.25">
      <c r="A4909" s="116" t="s">
        <v>7681</v>
      </c>
      <c r="B4909" s="117" t="s">
        <v>7682</v>
      </c>
      <c r="C4909" t="s">
        <v>67</v>
      </c>
      <c r="D4909" t="s">
        <v>67</v>
      </c>
      <c r="E4909" t="s">
        <v>67</v>
      </c>
      <c r="F4909" t="s">
        <v>49</v>
      </c>
      <c r="G4909" s="117">
        <v>0.44</v>
      </c>
    </row>
    <row r="4910" spans="1:7" x14ac:dyDescent="0.25">
      <c r="A4910" s="116" t="s">
        <v>7683</v>
      </c>
      <c r="B4910" s="117" t="s">
        <v>7684</v>
      </c>
      <c r="C4910" t="s">
        <v>67</v>
      </c>
      <c r="D4910" t="s">
        <v>67</v>
      </c>
      <c r="E4910" t="s">
        <v>67</v>
      </c>
      <c r="F4910" t="s">
        <v>27987</v>
      </c>
      <c r="G4910" s="117">
        <v>0.44</v>
      </c>
    </row>
    <row r="4911" spans="1:7" x14ac:dyDescent="0.25">
      <c r="A4911" s="116" t="s">
        <v>7685</v>
      </c>
      <c r="B4911" s="117" t="s">
        <v>7686</v>
      </c>
      <c r="C4911" t="s">
        <v>67</v>
      </c>
      <c r="D4911" t="s">
        <v>67</v>
      </c>
      <c r="E4911" t="s">
        <v>67</v>
      </c>
      <c r="F4911" t="s">
        <v>27987</v>
      </c>
      <c r="G4911" s="117">
        <v>3.12</v>
      </c>
    </row>
    <row r="4912" spans="1:7" x14ac:dyDescent="0.25">
      <c r="A4912" s="116" t="s">
        <v>7687</v>
      </c>
      <c r="B4912" s="117" t="s">
        <v>7639</v>
      </c>
      <c r="C4912" t="s">
        <v>67</v>
      </c>
      <c r="D4912" t="s">
        <v>67</v>
      </c>
      <c r="E4912" t="s">
        <v>67</v>
      </c>
      <c r="F4912" t="s">
        <v>51</v>
      </c>
      <c r="G4912" s="117">
        <v>0.44</v>
      </c>
    </row>
    <row r="4913" spans="1:7" x14ac:dyDescent="0.25">
      <c r="A4913" s="116" t="s">
        <v>7688</v>
      </c>
      <c r="B4913" s="117" t="s">
        <v>7689</v>
      </c>
      <c r="C4913" t="s">
        <v>67</v>
      </c>
      <c r="D4913" t="s">
        <v>67</v>
      </c>
      <c r="E4913" t="s">
        <v>67</v>
      </c>
      <c r="F4913" t="s">
        <v>49</v>
      </c>
      <c r="G4913" s="117">
        <v>3.56</v>
      </c>
    </row>
    <row r="4914" spans="1:7" x14ac:dyDescent="0.25">
      <c r="A4914" s="116" t="s">
        <v>7690</v>
      </c>
      <c r="B4914" s="117" t="s">
        <v>7691</v>
      </c>
      <c r="C4914" t="s">
        <v>67</v>
      </c>
      <c r="D4914" t="s">
        <v>67</v>
      </c>
      <c r="E4914" t="s">
        <v>67</v>
      </c>
      <c r="F4914" t="s">
        <v>49</v>
      </c>
      <c r="G4914" s="117">
        <v>3.48</v>
      </c>
    </row>
    <row r="4915" spans="1:7" x14ac:dyDescent="0.25">
      <c r="A4915" s="116" t="s">
        <v>7692</v>
      </c>
      <c r="B4915" s="117" t="s">
        <v>7693</v>
      </c>
      <c r="C4915" t="s">
        <v>67</v>
      </c>
      <c r="D4915" t="s">
        <v>67</v>
      </c>
      <c r="E4915" t="s">
        <v>67</v>
      </c>
      <c r="F4915" t="s">
        <v>49</v>
      </c>
      <c r="G4915" s="117">
        <v>0.89</v>
      </c>
    </row>
    <row r="4916" spans="1:7" x14ac:dyDescent="0.25">
      <c r="A4916" s="116" t="s">
        <v>7694</v>
      </c>
      <c r="B4916" s="117" t="s">
        <v>7695</v>
      </c>
      <c r="C4916" t="s">
        <v>67</v>
      </c>
      <c r="D4916" t="s">
        <v>67</v>
      </c>
      <c r="E4916" t="s">
        <v>67</v>
      </c>
      <c r="F4916" t="s">
        <v>49</v>
      </c>
      <c r="G4916" s="117">
        <v>0.8</v>
      </c>
    </row>
    <row r="4917" spans="1:7" x14ac:dyDescent="0.25">
      <c r="A4917" s="116" t="s">
        <v>7696</v>
      </c>
      <c r="B4917" s="117" t="s">
        <v>7665</v>
      </c>
      <c r="C4917" t="s">
        <v>67</v>
      </c>
      <c r="D4917" t="s">
        <v>67</v>
      </c>
      <c r="E4917" t="s">
        <v>67</v>
      </c>
      <c r="F4917" t="s">
        <v>27990</v>
      </c>
      <c r="G4917" s="117">
        <v>0.8</v>
      </c>
    </row>
    <row r="4918" spans="1:7" x14ac:dyDescent="0.25">
      <c r="A4918" s="116" t="s">
        <v>7697</v>
      </c>
      <c r="B4918" s="117" t="s">
        <v>7698</v>
      </c>
      <c r="C4918" t="s">
        <v>67</v>
      </c>
      <c r="D4918" t="s">
        <v>67</v>
      </c>
      <c r="E4918" t="s">
        <v>67</v>
      </c>
      <c r="F4918" t="s">
        <v>27990</v>
      </c>
      <c r="G4918" s="117">
        <v>0.8</v>
      </c>
    </row>
    <row r="4919" spans="1:7" x14ac:dyDescent="0.25">
      <c r="A4919" s="116" t="s">
        <v>7699</v>
      </c>
      <c r="B4919" s="117" t="s">
        <v>7700</v>
      </c>
      <c r="C4919" t="s">
        <v>67</v>
      </c>
      <c r="D4919" t="s">
        <v>67</v>
      </c>
      <c r="E4919" t="s">
        <v>67</v>
      </c>
      <c r="F4919" t="s">
        <v>49</v>
      </c>
      <c r="G4919" s="117">
        <v>0.44</v>
      </c>
    </row>
    <row r="4920" spans="1:7" x14ac:dyDescent="0.25">
      <c r="A4920" s="116" t="s">
        <v>7701</v>
      </c>
      <c r="B4920" s="117" t="s">
        <v>7702</v>
      </c>
      <c r="C4920" t="s">
        <v>67</v>
      </c>
      <c r="D4920" t="s">
        <v>67</v>
      </c>
      <c r="E4920" t="s">
        <v>67</v>
      </c>
      <c r="F4920" t="s">
        <v>49</v>
      </c>
      <c r="G4920" s="117">
        <v>1.33</v>
      </c>
    </row>
    <row r="4921" spans="1:7" x14ac:dyDescent="0.25">
      <c r="A4921" s="116" t="s">
        <v>7703</v>
      </c>
      <c r="B4921" s="117" t="s">
        <v>7704</v>
      </c>
      <c r="C4921" t="s">
        <v>67</v>
      </c>
      <c r="D4921" t="s">
        <v>67</v>
      </c>
      <c r="E4921" t="s">
        <v>67</v>
      </c>
      <c r="F4921" t="s">
        <v>49</v>
      </c>
      <c r="G4921" s="117">
        <v>0.8</v>
      </c>
    </row>
    <row r="4922" spans="1:7" x14ac:dyDescent="0.25">
      <c r="A4922" s="116" t="s">
        <v>7705</v>
      </c>
      <c r="B4922" s="117" t="s">
        <v>7021</v>
      </c>
      <c r="C4922" t="s">
        <v>67</v>
      </c>
      <c r="D4922" t="s">
        <v>67</v>
      </c>
      <c r="E4922" t="s">
        <v>67</v>
      </c>
      <c r="F4922" t="s">
        <v>49</v>
      </c>
      <c r="G4922" s="117">
        <v>2.5</v>
      </c>
    </row>
    <row r="4923" spans="1:7" x14ac:dyDescent="0.25">
      <c r="A4923" s="116" t="s">
        <v>7706</v>
      </c>
      <c r="B4923" s="117" t="s">
        <v>7707</v>
      </c>
      <c r="C4923" t="s">
        <v>67</v>
      </c>
      <c r="D4923" t="s">
        <v>67</v>
      </c>
      <c r="E4923" t="s">
        <v>67</v>
      </c>
      <c r="F4923" t="s">
        <v>45</v>
      </c>
      <c r="G4923" s="117">
        <v>3.56</v>
      </c>
    </row>
    <row r="4924" spans="1:7" x14ac:dyDescent="0.25">
      <c r="A4924" s="116" t="s">
        <v>7708</v>
      </c>
      <c r="B4924" s="117" t="s">
        <v>7709</v>
      </c>
      <c r="C4924" t="s">
        <v>67</v>
      </c>
      <c r="D4924" t="s">
        <v>67</v>
      </c>
      <c r="E4924" t="s">
        <v>67</v>
      </c>
      <c r="F4924" t="s">
        <v>27987</v>
      </c>
      <c r="G4924" s="117">
        <v>1.77</v>
      </c>
    </row>
    <row r="4925" spans="1:7" x14ac:dyDescent="0.25">
      <c r="A4925" s="116" t="s">
        <v>7710</v>
      </c>
      <c r="B4925" s="117" t="s">
        <v>7446</v>
      </c>
      <c r="C4925" t="s">
        <v>67</v>
      </c>
      <c r="D4925" t="s">
        <v>67</v>
      </c>
      <c r="E4925" t="s">
        <v>67</v>
      </c>
      <c r="F4925" t="s">
        <v>49</v>
      </c>
      <c r="G4925" s="117">
        <v>0.44</v>
      </c>
    </row>
    <row r="4926" spans="1:7" x14ac:dyDescent="0.25">
      <c r="A4926" s="116" t="s">
        <v>7711</v>
      </c>
      <c r="B4926" s="117" t="s">
        <v>7712</v>
      </c>
      <c r="C4926" t="s">
        <v>67</v>
      </c>
      <c r="D4926" t="s">
        <v>67</v>
      </c>
      <c r="E4926" t="s">
        <v>67</v>
      </c>
      <c r="F4926" t="s">
        <v>27987</v>
      </c>
      <c r="G4926" s="117">
        <v>1.33</v>
      </c>
    </row>
    <row r="4927" spans="1:7" x14ac:dyDescent="0.25">
      <c r="A4927" s="116" t="s">
        <v>7713</v>
      </c>
      <c r="B4927" s="117" t="s">
        <v>7714</v>
      </c>
      <c r="C4927" t="s">
        <v>67</v>
      </c>
      <c r="D4927" t="s">
        <v>67</v>
      </c>
      <c r="E4927" t="s">
        <v>67</v>
      </c>
      <c r="F4927" t="s">
        <v>45</v>
      </c>
      <c r="G4927" s="117">
        <v>4.47</v>
      </c>
    </row>
    <row r="4928" spans="1:7" x14ac:dyDescent="0.25">
      <c r="A4928" s="116" t="s">
        <v>7715</v>
      </c>
      <c r="B4928" s="117" t="s">
        <v>7716</v>
      </c>
      <c r="C4928" t="s">
        <v>67</v>
      </c>
      <c r="D4928" t="s">
        <v>67</v>
      </c>
      <c r="E4928" t="s">
        <v>67</v>
      </c>
      <c r="F4928" t="s">
        <v>49</v>
      </c>
      <c r="G4928" s="117">
        <v>2.23</v>
      </c>
    </row>
    <row r="4929" spans="1:7" x14ac:dyDescent="0.25">
      <c r="A4929" s="116" t="s">
        <v>7717</v>
      </c>
      <c r="B4929" s="117" t="s">
        <v>7031</v>
      </c>
      <c r="C4929" t="s">
        <v>67</v>
      </c>
      <c r="D4929" t="s">
        <v>67</v>
      </c>
      <c r="E4929" t="s">
        <v>67</v>
      </c>
      <c r="F4929" t="s">
        <v>27987</v>
      </c>
      <c r="G4929" s="117">
        <v>2.5</v>
      </c>
    </row>
    <row r="4930" spans="1:7" x14ac:dyDescent="0.25">
      <c r="A4930" s="116" t="s">
        <v>7718</v>
      </c>
      <c r="B4930" s="117" t="s">
        <v>7719</v>
      </c>
      <c r="C4930" t="s">
        <v>67</v>
      </c>
      <c r="D4930" t="s">
        <v>67</v>
      </c>
      <c r="E4930" t="s">
        <v>67</v>
      </c>
      <c r="F4930" t="s">
        <v>45</v>
      </c>
      <c r="G4930" s="117">
        <v>0.8</v>
      </c>
    </row>
    <row r="4931" spans="1:7" x14ac:dyDescent="0.25">
      <c r="A4931" s="116" t="s">
        <v>7720</v>
      </c>
      <c r="B4931" s="117" t="s">
        <v>7379</v>
      </c>
      <c r="C4931" t="s">
        <v>67</v>
      </c>
      <c r="D4931" t="s">
        <v>67</v>
      </c>
      <c r="E4931" t="s">
        <v>67</v>
      </c>
      <c r="F4931" t="s">
        <v>49</v>
      </c>
      <c r="G4931" s="117">
        <v>0.8</v>
      </c>
    </row>
    <row r="4932" spans="1:7" x14ac:dyDescent="0.25">
      <c r="A4932" s="116" t="s">
        <v>7721</v>
      </c>
      <c r="B4932" s="117" t="s">
        <v>7722</v>
      </c>
      <c r="C4932" t="s">
        <v>67</v>
      </c>
      <c r="D4932" t="s">
        <v>67</v>
      </c>
      <c r="E4932" t="s">
        <v>67</v>
      </c>
      <c r="F4932" t="s">
        <v>27987</v>
      </c>
      <c r="G4932" s="117">
        <v>1.33</v>
      </c>
    </row>
    <row r="4933" spans="1:7" x14ac:dyDescent="0.25">
      <c r="A4933" s="116" t="s">
        <v>7723</v>
      </c>
      <c r="B4933" s="117" t="s">
        <v>7724</v>
      </c>
      <c r="C4933" t="s">
        <v>67</v>
      </c>
      <c r="D4933" t="s">
        <v>67</v>
      </c>
      <c r="E4933" t="s">
        <v>67</v>
      </c>
      <c r="F4933" t="s">
        <v>27987</v>
      </c>
      <c r="G4933" s="117">
        <v>6.14</v>
      </c>
    </row>
    <row r="4934" spans="1:7" x14ac:dyDescent="0.25">
      <c r="A4934" s="116" t="s">
        <v>7725</v>
      </c>
      <c r="B4934" s="117" t="s">
        <v>7726</v>
      </c>
      <c r="C4934" t="s">
        <v>67</v>
      </c>
      <c r="D4934" t="s">
        <v>67</v>
      </c>
      <c r="E4934" t="s">
        <v>67</v>
      </c>
      <c r="F4934" t="s">
        <v>27987</v>
      </c>
      <c r="G4934" s="117">
        <v>5.25</v>
      </c>
    </row>
    <row r="4935" spans="1:7" x14ac:dyDescent="0.25">
      <c r="A4935" s="116" t="s">
        <v>7727</v>
      </c>
      <c r="B4935" s="117" t="s">
        <v>7728</v>
      </c>
      <c r="C4935" t="s">
        <v>67</v>
      </c>
      <c r="D4935" t="s">
        <v>67</v>
      </c>
      <c r="E4935" t="s">
        <v>67</v>
      </c>
      <c r="F4935" t="s">
        <v>49</v>
      </c>
      <c r="G4935" s="117">
        <v>23.94</v>
      </c>
    </row>
    <row r="4936" spans="1:7" x14ac:dyDescent="0.25">
      <c r="A4936" s="116" t="s">
        <v>7729</v>
      </c>
      <c r="B4936" s="117" t="s">
        <v>7730</v>
      </c>
      <c r="C4936" t="s">
        <v>67</v>
      </c>
      <c r="D4936" t="s">
        <v>67</v>
      </c>
      <c r="E4936" t="s">
        <v>67</v>
      </c>
      <c r="F4936" t="s">
        <v>45</v>
      </c>
      <c r="G4936" s="117">
        <v>7.92</v>
      </c>
    </row>
    <row r="4937" spans="1:7" x14ac:dyDescent="0.25">
      <c r="A4937" s="116" t="s">
        <v>7731</v>
      </c>
      <c r="B4937" s="117" t="s">
        <v>1028</v>
      </c>
      <c r="C4937" t="s">
        <v>67</v>
      </c>
      <c r="D4937" t="s">
        <v>67</v>
      </c>
      <c r="E4937" t="s">
        <v>67</v>
      </c>
      <c r="F4937" t="s">
        <v>27987</v>
      </c>
      <c r="G4937" s="117">
        <v>37.29</v>
      </c>
    </row>
    <row r="4938" spans="1:7" x14ac:dyDescent="0.25">
      <c r="A4938" s="116" t="s">
        <v>7732</v>
      </c>
      <c r="B4938" s="117" t="s">
        <v>7733</v>
      </c>
      <c r="C4938" t="s">
        <v>67</v>
      </c>
      <c r="D4938" t="s">
        <v>67</v>
      </c>
      <c r="E4938" t="s">
        <v>67</v>
      </c>
      <c r="F4938" t="s">
        <v>27987</v>
      </c>
      <c r="G4938" s="117">
        <v>0.8</v>
      </c>
    </row>
    <row r="4939" spans="1:7" x14ac:dyDescent="0.25">
      <c r="A4939" s="116" t="s">
        <v>7734</v>
      </c>
      <c r="B4939" s="117" t="s">
        <v>7735</v>
      </c>
      <c r="C4939" t="s">
        <v>67</v>
      </c>
      <c r="D4939" t="s">
        <v>67</v>
      </c>
      <c r="E4939" t="s">
        <v>67</v>
      </c>
      <c r="F4939" t="s">
        <v>27987</v>
      </c>
      <c r="G4939" s="117">
        <v>2.58</v>
      </c>
    </row>
    <row r="4940" spans="1:7" x14ac:dyDescent="0.25">
      <c r="A4940" s="116" t="s">
        <v>7736</v>
      </c>
      <c r="B4940" s="117" t="s">
        <v>7021</v>
      </c>
      <c r="C4940" t="s">
        <v>67</v>
      </c>
      <c r="D4940" t="s">
        <v>67</v>
      </c>
      <c r="E4940" t="s">
        <v>67</v>
      </c>
      <c r="F4940" t="s">
        <v>49</v>
      </c>
      <c r="G4940" s="117">
        <v>0.44</v>
      </c>
    </row>
    <row r="4941" spans="1:7" x14ac:dyDescent="0.25">
      <c r="A4941" s="116" t="s">
        <v>7737</v>
      </c>
      <c r="B4941" s="117" t="s">
        <v>7738</v>
      </c>
      <c r="C4941" t="s">
        <v>67</v>
      </c>
      <c r="D4941" t="s">
        <v>67</v>
      </c>
      <c r="E4941" t="s">
        <v>67</v>
      </c>
      <c r="F4941" t="s">
        <v>27987</v>
      </c>
      <c r="G4941" s="117">
        <v>4.3600000000000003</v>
      </c>
    </row>
    <row r="4942" spans="1:7" x14ac:dyDescent="0.25">
      <c r="A4942" s="116" t="s">
        <v>7739</v>
      </c>
      <c r="B4942" s="117" t="s">
        <v>7479</v>
      </c>
      <c r="C4942" t="s">
        <v>67</v>
      </c>
      <c r="D4942" t="s">
        <v>67</v>
      </c>
      <c r="E4942" t="s">
        <v>67</v>
      </c>
      <c r="F4942" t="s">
        <v>27987</v>
      </c>
      <c r="G4942" s="117">
        <v>3.12</v>
      </c>
    </row>
    <row r="4943" spans="1:7" x14ac:dyDescent="0.25">
      <c r="A4943" s="116" t="s">
        <v>7740</v>
      </c>
      <c r="B4943" s="117" t="s">
        <v>7741</v>
      </c>
      <c r="C4943" t="s">
        <v>67</v>
      </c>
      <c r="D4943" t="s">
        <v>67</v>
      </c>
      <c r="E4943" t="s">
        <v>67</v>
      </c>
      <c r="F4943" t="s">
        <v>27987</v>
      </c>
      <c r="G4943" s="117">
        <v>7.56</v>
      </c>
    </row>
    <row r="4944" spans="1:7" x14ac:dyDescent="0.25">
      <c r="A4944" s="116" t="s">
        <v>7742</v>
      </c>
      <c r="B4944" s="117" t="s">
        <v>7743</v>
      </c>
      <c r="C4944" t="s">
        <v>67</v>
      </c>
      <c r="D4944" t="s">
        <v>67</v>
      </c>
      <c r="E4944" t="s">
        <v>67</v>
      </c>
      <c r="F4944" t="s">
        <v>27987</v>
      </c>
      <c r="G4944" s="117">
        <v>3.12</v>
      </c>
    </row>
    <row r="4945" spans="1:7" x14ac:dyDescent="0.25">
      <c r="A4945" s="116" t="s">
        <v>7744</v>
      </c>
      <c r="B4945" s="117" t="s">
        <v>7568</v>
      </c>
      <c r="C4945" t="s">
        <v>67</v>
      </c>
      <c r="D4945" t="s">
        <v>67</v>
      </c>
      <c r="E4945" t="s">
        <v>67</v>
      </c>
      <c r="F4945" t="s">
        <v>45</v>
      </c>
      <c r="G4945" s="117">
        <v>2.23</v>
      </c>
    </row>
    <row r="4946" spans="1:7" x14ac:dyDescent="0.25">
      <c r="A4946" s="116" t="s">
        <v>7745</v>
      </c>
      <c r="B4946" s="117" t="s">
        <v>7746</v>
      </c>
      <c r="C4946" t="s">
        <v>67</v>
      </c>
      <c r="D4946" t="s">
        <v>67</v>
      </c>
      <c r="E4946" t="s">
        <v>67</v>
      </c>
      <c r="F4946" t="s">
        <v>27990</v>
      </c>
      <c r="G4946" s="117">
        <v>0.8</v>
      </c>
    </row>
    <row r="4947" spans="1:7" x14ac:dyDescent="0.25">
      <c r="A4947" s="116" t="s">
        <v>7747</v>
      </c>
      <c r="B4947" s="117" t="s">
        <v>7748</v>
      </c>
      <c r="C4947" t="s">
        <v>67</v>
      </c>
      <c r="D4947" t="s">
        <v>67</v>
      </c>
      <c r="E4947" t="s">
        <v>67</v>
      </c>
      <c r="F4947" t="s">
        <v>49</v>
      </c>
      <c r="G4947" s="117">
        <v>2.58</v>
      </c>
    </row>
    <row r="4948" spans="1:7" x14ac:dyDescent="0.25">
      <c r="A4948" s="116" t="s">
        <v>7749</v>
      </c>
      <c r="B4948" s="117" t="s">
        <v>7750</v>
      </c>
      <c r="C4948" t="s">
        <v>67</v>
      </c>
      <c r="D4948" t="s">
        <v>67</v>
      </c>
      <c r="E4948" t="s">
        <v>67</v>
      </c>
      <c r="F4948" t="s">
        <v>27990</v>
      </c>
      <c r="G4948" s="117">
        <v>8.4499999999999993</v>
      </c>
    </row>
    <row r="4949" spans="1:7" x14ac:dyDescent="0.25">
      <c r="A4949" s="116" t="s">
        <v>7751</v>
      </c>
      <c r="B4949" s="117" t="s">
        <v>7752</v>
      </c>
      <c r="C4949" t="s">
        <v>67</v>
      </c>
      <c r="D4949" t="s">
        <v>67</v>
      </c>
      <c r="E4949" t="s">
        <v>67</v>
      </c>
      <c r="F4949" t="s">
        <v>49</v>
      </c>
      <c r="G4949" s="117">
        <v>5.33</v>
      </c>
    </row>
    <row r="4950" spans="1:7" x14ac:dyDescent="0.25">
      <c r="A4950" s="116" t="s">
        <v>7753</v>
      </c>
      <c r="B4950" s="117" t="s">
        <v>7754</v>
      </c>
      <c r="C4950" t="s">
        <v>67</v>
      </c>
      <c r="D4950" t="s">
        <v>67</v>
      </c>
      <c r="E4950" t="s">
        <v>67</v>
      </c>
      <c r="F4950" t="s">
        <v>45</v>
      </c>
      <c r="G4950" s="117">
        <v>4.3600000000000003</v>
      </c>
    </row>
    <row r="4951" spans="1:7" x14ac:dyDescent="0.25">
      <c r="A4951" s="116" t="s">
        <v>7755</v>
      </c>
      <c r="B4951" s="117" t="s">
        <v>7568</v>
      </c>
      <c r="C4951" t="s">
        <v>67</v>
      </c>
      <c r="D4951" t="s">
        <v>67</v>
      </c>
      <c r="E4951" t="s">
        <v>67</v>
      </c>
      <c r="F4951" t="s">
        <v>27987</v>
      </c>
      <c r="G4951" s="117">
        <v>2.58</v>
      </c>
    </row>
    <row r="4952" spans="1:7" x14ac:dyDescent="0.25">
      <c r="A4952" s="116" t="s">
        <v>7756</v>
      </c>
      <c r="B4952" s="117" t="s">
        <v>7757</v>
      </c>
      <c r="C4952" t="s">
        <v>67</v>
      </c>
      <c r="D4952" t="s">
        <v>67</v>
      </c>
      <c r="E4952" t="s">
        <v>67</v>
      </c>
      <c r="F4952" t="s">
        <v>27987</v>
      </c>
      <c r="G4952" s="117">
        <v>2.58</v>
      </c>
    </row>
    <row r="4953" spans="1:7" x14ac:dyDescent="0.25">
      <c r="A4953" s="116" t="s">
        <v>7758</v>
      </c>
      <c r="B4953" s="117" t="s">
        <v>7759</v>
      </c>
      <c r="C4953" t="s">
        <v>67</v>
      </c>
      <c r="D4953" t="s">
        <v>67</v>
      </c>
      <c r="E4953" t="s">
        <v>67</v>
      </c>
      <c r="F4953" t="s">
        <v>45</v>
      </c>
      <c r="G4953" s="117">
        <v>4.3600000000000003</v>
      </c>
    </row>
    <row r="4954" spans="1:7" x14ac:dyDescent="0.25">
      <c r="A4954" s="116" t="s">
        <v>7760</v>
      </c>
      <c r="B4954" s="117" t="s">
        <v>7761</v>
      </c>
      <c r="C4954" t="s">
        <v>67</v>
      </c>
      <c r="D4954" t="s">
        <v>67</v>
      </c>
      <c r="E4954" t="s">
        <v>67</v>
      </c>
      <c r="F4954" t="s">
        <v>49</v>
      </c>
      <c r="G4954" s="117">
        <v>0.44</v>
      </c>
    </row>
    <row r="4955" spans="1:7" x14ac:dyDescent="0.25">
      <c r="A4955" s="116" t="s">
        <v>7762</v>
      </c>
      <c r="B4955" s="117" t="s">
        <v>7763</v>
      </c>
      <c r="C4955" t="s">
        <v>67</v>
      </c>
      <c r="D4955" t="s">
        <v>67</v>
      </c>
      <c r="E4955" t="s">
        <v>67</v>
      </c>
      <c r="F4955" t="s">
        <v>27987</v>
      </c>
      <c r="G4955" s="117">
        <v>0.8</v>
      </c>
    </row>
    <row r="4956" spans="1:7" x14ac:dyDescent="0.25">
      <c r="A4956" s="116" t="s">
        <v>7764</v>
      </c>
      <c r="B4956" s="117" t="s">
        <v>7765</v>
      </c>
      <c r="C4956" t="s">
        <v>67</v>
      </c>
      <c r="D4956" t="s">
        <v>67</v>
      </c>
      <c r="E4956" t="s">
        <v>67</v>
      </c>
      <c r="F4956" t="s">
        <v>27990</v>
      </c>
      <c r="G4956" s="117">
        <v>4.8899999999999997</v>
      </c>
    </row>
    <row r="4957" spans="1:7" x14ac:dyDescent="0.25">
      <c r="A4957" s="116" t="s">
        <v>7766</v>
      </c>
      <c r="B4957" s="117" t="s">
        <v>7767</v>
      </c>
      <c r="C4957" t="s">
        <v>67</v>
      </c>
      <c r="D4957" t="s">
        <v>67</v>
      </c>
      <c r="E4957" t="s">
        <v>67</v>
      </c>
      <c r="F4957" t="s">
        <v>27987</v>
      </c>
      <c r="G4957" s="117">
        <v>7.02</v>
      </c>
    </row>
    <row r="4958" spans="1:7" x14ac:dyDescent="0.25">
      <c r="A4958" s="116" t="s">
        <v>7768</v>
      </c>
      <c r="B4958" s="117" t="s">
        <v>7769</v>
      </c>
      <c r="C4958" t="s">
        <v>67</v>
      </c>
      <c r="D4958" t="s">
        <v>67</v>
      </c>
      <c r="E4958" t="s">
        <v>67</v>
      </c>
      <c r="F4958" t="s">
        <v>49</v>
      </c>
      <c r="G4958" s="117">
        <v>7.12</v>
      </c>
    </row>
    <row r="4959" spans="1:7" x14ac:dyDescent="0.25">
      <c r="A4959" s="116" t="s">
        <v>7770</v>
      </c>
      <c r="B4959" s="117" t="s">
        <v>7771</v>
      </c>
      <c r="C4959" t="s">
        <v>67</v>
      </c>
      <c r="D4959" t="s">
        <v>67</v>
      </c>
      <c r="E4959" t="s">
        <v>67</v>
      </c>
      <c r="F4959" t="s">
        <v>45</v>
      </c>
      <c r="G4959" s="117">
        <v>20.38</v>
      </c>
    </row>
    <row r="4960" spans="1:7" x14ac:dyDescent="0.25">
      <c r="A4960" s="116" t="s">
        <v>7772</v>
      </c>
      <c r="B4960" s="117" t="s">
        <v>7031</v>
      </c>
      <c r="C4960" t="s">
        <v>67</v>
      </c>
      <c r="D4960" t="s">
        <v>67</v>
      </c>
      <c r="E4960" t="s">
        <v>67</v>
      </c>
      <c r="F4960" t="s">
        <v>49</v>
      </c>
      <c r="G4960" s="117">
        <v>0.8</v>
      </c>
    </row>
    <row r="4961" spans="1:7" x14ac:dyDescent="0.25">
      <c r="A4961" s="116" t="s">
        <v>7773</v>
      </c>
      <c r="B4961" s="117" t="s">
        <v>7017</v>
      </c>
      <c r="C4961" t="s">
        <v>67</v>
      </c>
      <c r="D4961" t="s">
        <v>67</v>
      </c>
      <c r="E4961" t="s">
        <v>67</v>
      </c>
      <c r="F4961" t="s">
        <v>51</v>
      </c>
      <c r="G4961" s="117">
        <v>0.42</v>
      </c>
    </row>
    <row r="4962" spans="1:7" x14ac:dyDescent="0.25">
      <c r="A4962" s="116" t="s">
        <v>7774</v>
      </c>
      <c r="B4962" s="117" t="s">
        <v>6999</v>
      </c>
      <c r="C4962" t="s">
        <v>67</v>
      </c>
      <c r="D4962" t="s">
        <v>67</v>
      </c>
      <c r="E4962" t="s">
        <v>67</v>
      </c>
      <c r="F4962" t="s">
        <v>27987</v>
      </c>
      <c r="G4962" s="117">
        <v>0.89</v>
      </c>
    </row>
    <row r="4963" spans="1:7" x14ac:dyDescent="0.25">
      <c r="A4963" s="116" t="s">
        <v>7775</v>
      </c>
      <c r="B4963" s="117" t="s">
        <v>7776</v>
      </c>
      <c r="C4963" t="s">
        <v>67</v>
      </c>
      <c r="D4963" t="s">
        <v>67</v>
      </c>
      <c r="E4963" t="s">
        <v>67</v>
      </c>
      <c r="F4963" t="s">
        <v>45</v>
      </c>
      <c r="G4963" s="117">
        <v>0.76</v>
      </c>
    </row>
    <row r="4964" spans="1:7" x14ac:dyDescent="0.25">
      <c r="A4964" s="116" t="s">
        <v>7777</v>
      </c>
      <c r="B4964" s="117" t="s">
        <v>6977</v>
      </c>
      <c r="C4964" t="s">
        <v>67</v>
      </c>
      <c r="D4964" t="s">
        <v>67</v>
      </c>
      <c r="E4964" t="s">
        <v>67</v>
      </c>
      <c r="F4964" t="s">
        <v>51</v>
      </c>
      <c r="G4964" s="117">
        <v>0.42</v>
      </c>
    </row>
    <row r="4965" spans="1:7" x14ac:dyDescent="0.25">
      <c r="A4965" s="116" t="s">
        <v>7778</v>
      </c>
      <c r="B4965" s="117" t="s">
        <v>7779</v>
      </c>
      <c r="C4965" t="s">
        <v>67</v>
      </c>
      <c r="D4965" t="s">
        <v>67</v>
      </c>
      <c r="E4965" t="s">
        <v>67</v>
      </c>
      <c r="F4965" t="s">
        <v>49</v>
      </c>
      <c r="G4965" s="117">
        <v>0.76</v>
      </c>
    </row>
    <row r="4966" spans="1:7" x14ac:dyDescent="0.25">
      <c r="A4966" s="116" t="s">
        <v>7780</v>
      </c>
      <c r="B4966" s="117" t="s">
        <v>7019</v>
      </c>
      <c r="C4966" t="s">
        <v>67</v>
      </c>
      <c r="D4966" t="s">
        <v>67</v>
      </c>
      <c r="E4966" t="s">
        <v>67</v>
      </c>
      <c r="F4966" t="s">
        <v>27987</v>
      </c>
      <c r="G4966" s="117">
        <v>1.33</v>
      </c>
    </row>
    <row r="4967" spans="1:7" x14ac:dyDescent="0.25">
      <c r="A4967" s="116" t="s">
        <v>7781</v>
      </c>
      <c r="B4967" s="117" t="s">
        <v>7782</v>
      </c>
      <c r="C4967" t="s">
        <v>67</v>
      </c>
      <c r="D4967" t="s">
        <v>67</v>
      </c>
      <c r="E4967" t="s">
        <v>67</v>
      </c>
      <c r="F4967" t="s">
        <v>27987</v>
      </c>
      <c r="G4967" s="117">
        <v>1.77</v>
      </c>
    </row>
    <row r="4968" spans="1:7" x14ac:dyDescent="0.25">
      <c r="A4968" s="116" t="s">
        <v>7783</v>
      </c>
      <c r="B4968" s="117" t="s">
        <v>7784</v>
      </c>
      <c r="C4968" t="s">
        <v>67</v>
      </c>
      <c r="D4968" t="s">
        <v>67</v>
      </c>
      <c r="E4968" t="s">
        <v>67</v>
      </c>
      <c r="F4968" t="s">
        <v>27987</v>
      </c>
      <c r="G4968" s="117">
        <v>1.33</v>
      </c>
    </row>
    <row r="4969" spans="1:7" x14ac:dyDescent="0.25">
      <c r="A4969" s="116" t="s">
        <v>7785</v>
      </c>
      <c r="B4969" s="117" t="s">
        <v>7786</v>
      </c>
      <c r="C4969" t="s">
        <v>67</v>
      </c>
      <c r="D4969" t="s">
        <v>67</v>
      </c>
      <c r="E4969" t="s">
        <v>67</v>
      </c>
      <c r="F4969" t="s">
        <v>49</v>
      </c>
      <c r="G4969" s="117">
        <v>0.44</v>
      </c>
    </row>
    <row r="4970" spans="1:7" x14ac:dyDescent="0.25">
      <c r="A4970" s="116" t="s">
        <v>7787</v>
      </c>
      <c r="B4970" s="117" t="s">
        <v>28739</v>
      </c>
      <c r="C4970" t="s">
        <v>67</v>
      </c>
      <c r="D4970" t="s">
        <v>67</v>
      </c>
      <c r="E4970" t="s">
        <v>67</v>
      </c>
      <c r="F4970" t="s">
        <v>49</v>
      </c>
      <c r="G4970" s="117">
        <v>0.44</v>
      </c>
    </row>
    <row r="4971" spans="1:7" x14ac:dyDescent="0.25">
      <c r="A4971" s="116" t="s">
        <v>7788</v>
      </c>
      <c r="B4971" s="117" t="s">
        <v>7789</v>
      </c>
      <c r="C4971" t="s">
        <v>67</v>
      </c>
      <c r="D4971" t="s">
        <v>67</v>
      </c>
      <c r="E4971" t="s">
        <v>67</v>
      </c>
      <c r="F4971" t="s">
        <v>27990</v>
      </c>
      <c r="G4971" s="117">
        <v>0.44</v>
      </c>
    </row>
    <row r="4972" spans="1:7" x14ac:dyDescent="0.25">
      <c r="A4972" s="116" t="s">
        <v>7790</v>
      </c>
      <c r="B4972" s="117" t="s">
        <v>7791</v>
      </c>
      <c r="C4972" t="s">
        <v>67</v>
      </c>
      <c r="D4972" t="s">
        <v>67</v>
      </c>
      <c r="E4972" t="s">
        <v>67</v>
      </c>
      <c r="F4972" t="s">
        <v>49</v>
      </c>
      <c r="G4972" s="117">
        <v>0.44</v>
      </c>
    </row>
    <row r="4973" spans="1:7" x14ac:dyDescent="0.25">
      <c r="A4973" s="116" t="s">
        <v>7792</v>
      </c>
      <c r="B4973" s="117" t="s">
        <v>7793</v>
      </c>
      <c r="C4973" t="s">
        <v>67</v>
      </c>
      <c r="D4973" t="s">
        <v>67</v>
      </c>
      <c r="E4973" t="s">
        <v>67</v>
      </c>
      <c r="F4973" t="s">
        <v>49</v>
      </c>
      <c r="G4973" s="117">
        <v>0.44</v>
      </c>
    </row>
    <row r="4974" spans="1:7" x14ac:dyDescent="0.25">
      <c r="A4974" s="116" t="s">
        <v>7794</v>
      </c>
      <c r="B4974" s="117" t="s">
        <v>7008</v>
      </c>
      <c r="C4974" t="s">
        <v>67</v>
      </c>
      <c r="D4974" t="s">
        <v>67</v>
      </c>
      <c r="E4974" t="s">
        <v>67</v>
      </c>
      <c r="F4974" t="s">
        <v>27987</v>
      </c>
      <c r="G4974" s="117">
        <v>2.58</v>
      </c>
    </row>
    <row r="4975" spans="1:7" x14ac:dyDescent="0.25">
      <c r="A4975" s="116" t="s">
        <v>7795</v>
      </c>
      <c r="B4975" s="117" t="s">
        <v>7796</v>
      </c>
      <c r="C4975" t="s">
        <v>67</v>
      </c>
      <c r="D4975" t="s">
        <v>67</v>
      </c>
      <c r="E4975" t="s">
        <v>67</v>
      </c>
      <c r="F4975" t="s">
        <v>49</v>
      </c>
      <c r="G4975" s="117">
        <v>4.66</v>
      </c>
    </row>
    <row r="4976" spans="1:7" x14ac:dyDescent="0.25">
      <c r="A4976" s="116" t="s">
        <v>7797</v>
      </c>
      <c r="B4976" s="117" t="s">
        <v>7798</v>
      </c>
      <c r="C4976" t="s">
        <v>67</v>
      </c>
      <c r="D4976" t="s">
        <v>67</v>
      </c>
      <c r="E4976" t="s">
        <v>67</v>
      </c>
      <c r="F4976" t="s">
        <v>49</v>
      </c>
      <c r="G4976" s="117">
        <v>3.81</v>
      </c>
    </row>
    <row r="4977" spans="1:7" x14ac:dyDescent="0.25">
      <c r="A4977" s="116" t="s">
        <v>7799</v>
      </c>
      <c r="B4977" s="117" t="s">
        <v>7784</v>
      </c>
      <c r="C4977" t="s">
        <v>67</v>
      </c>
      <c r="D4977" t="s">
        <v>67</v>
      </c>
      <c r="E4977" t="s">
        <v>67</v>
      </c>
      <c r="F4977" t="s">
        <v>49</v>
      </c>
      <c r="G4977" s="117">
        <v>10.93</v>
      </c>
    </row>
    <row r="4978" spans="1:7" x14ac:dyDescent="0.25">
      <c r="A4978" s="116" t="s">
        <v>7800</v>
      </c>
      <c r="B4978" s="117" t="s">
        <v>7801</v>
      </c>
      <c r="C4978" t="s">
        <v>67</v>
      </c>
      <c r="D4978" t="s">
        <v>67</v>
      </c>
      <c r="E4978" t="s">
        <v>67</v>
      </c>
      <c r="F4978" t="s">
        <v>51</v>
      </c>
      <c r="G4978" s="117">
        <v>2.46</v>
      </c>
    </row>
    <row r="4979" spans="1:7" x14ac:dyDescent="0.25">
      <c r="A4979" s="116" t="s">
        <v>7802</v>
      </c>
      <c r="B4979" s="117" t="s">
        <v>7803</v>
      </c>
      <c r="C4979" t="s">
        <v>67</v>
      </c>
      <c r="D4979" t="s">
        <v>67</v>
      </c>
      <c r="E4979" t="s">
        <v>67</v>
      </c>
      <c r="F4979" t="s">
        <v>45</v>
      </c>
      <c r="G4979" s="117">
        <v>10.58</v>
      </c>
    </row>
    <row r="4980" spans="1:7" x14ac:dyDescent="0.25">
      <c r="A4980" s="116" t="s">
        <v>7804</v>
      </c>
      <c r="B4980" s="117" t="s">
        <v>7805</v>
      </c>
      <c r="C4980" t="s">
        <v>67</v>
      </c>
      <c r="D4980" t="s">
        <v>67</v>
      </c>
      <c r="E4980" t="s">
        <v>67</v>
      </c>
      <c r="F4980" t="s">
        <v>27987</v>
      </c>
      <c r="G4980" s="117">
        <v>2.67</v>
      </c>
    </row>
    <row r="4981" spans="1:7" x14ac:dyDescent="0.25">
      <c r="A4981" s="116" t="s">
        <v>7806</v>
      </c>
      <c r="B4981" s="117" t="s">
        <v>7807</v>
      </c>
      <c r="C4981" t="s">
        <v>67</v>
      </c>
      <c r="D4981" t="s">
        <v>67</v>
      </c>
      <c r="E4981" t="s">
        <v>67</v>
      </c>
      <c r="F4981" t="s">
        <v>45</v>
      </c>
      <c r="G4981" s="117">
        <v>2.58</v>
      </c>
    </row>
    <row r="4982" spans="1:7" x14ac:dyDescent="0.25">
      <c r="A4982" s="116" t="s">
        <v>7808</v>
      </c>
      <c r="B4982" s="117" t="s">
        <v>7807</v>
      </c>
      <c r="C4982" t="s">
        <v>67</v>
      </c>
      <c r="D4982" t="s">
        <v>67</v>
      </c>
      <c r="E4982" t="s">
        <v>67</v>
      </c>
      <c r="F4982" t="s">
        <v>45</v>
      </c>
      <c r="G4982" s="117">
        <v>2.58</v>
      </c>
    </row>
    <row r="4983" spans="1:7" x14ac:dyDescent="0.25">
      <c r="A4983" s="116" t="s">
        <v>7809</v>
      </c>
      <c r="B4983" s="117" t="s">
        <v>7810</v>
      </c>
      <c r="C4983" t="s">
        <v>67</v>
      </c>
      <c r="D4983" t="s">
        <v>67</v>
      </c>
      <c r="E4983" t="s">
        <v>67</v>
      </c>
      <c r="F4983" t="s">
        <v>45</v>
      </c>
      <c r="G4983" s="117">
        <v>0.44</v>
      </c>
    </row>
    <row r="4984" spans="1:7" x14ac:dyDescent="0.25">
      <c r="A4984" s="116" t="s">
        <v>7811</v>
      </c>
      <c r="B4984" s="117" t="s">
        <v>7812</v>
      </c>
      <c r="C4984" t="s">
        <v>67</v>
      </c>
      <c r="D4984" t="s">
        <v>67</v>
      </c>
      <c r="E4984" t="s">
        <v>67</v>
      </c>
      <c r="F4984" t="s">
        <v>45</v>
      </c>
      <c r="G4984" s="117">
        <v>20.84</v>
      </c>
    </row>
    <row r="4985" spans="1:7" x14ac:dyDescent="0.25">
      <c r="A4985" s="116" t="s">
        <v>7813</v>
      </c>
      <c r="B4985" s="117" t="s">
        <v>7814</v>
      </c>
      <c r="C4985" t="s">
        <v>67</v>
      </c>
      <c r="D4985" t="s">
        <v>67</v>
      </c>
      <c r="E4985" t="s">
        <v>67</v>
      </c>
      <c r="F4985" t="s">
        <v>45</v>
      </c>
      <c r="G4985" s="117">
        <v>3.14</v>
      </c>
    </row>
    <row r="4986" spans="1:7" x14ac:dyDescent="0.25">
      <c r="A4986" s="116" t="s">
        <v>7815</v>
      </c>
      <c r="B4986" s="117" t="s">
        <v>7816</v>
      </c>
      <c r="C4986" t="s">
        <v>67</v>
      </c>
      <c r="D4986" t="s">
        <v>67</v>
      </c>
      <c r="E4986" t="s">
        <v>67</v>
      </c>
      <c r="F4986" t="s">
        <v>27987</v>
      </c>
      <c r="G4986" s="117">
        <v>7.28</v>
      </c>
    </row>
    <row r="4987" spans="1:7" x14ac:dyDescent="0.25">
      <c r="A4987" s="116" t="s">
        <v>7817</v>
      </c>
      <c r="B4987" s="117" t="s">
        <v>7818</v>
      </c>
      <c r="C4987" t="s">
        <v>67</v>
      </c>
      <c r="D4987" t="s">
        <v>67</v>
      </c>
      <c r="E4987" t="s">
        <v>67</v>
      </c>
      <c r="F4987" t="s">
        <v>27987</v>
      </c>
      <c r="G4987" s="117">
        <v>18.600000000000001</v>
      </c>
    </row>
    <row r="4988" spans="1:7" x14ac:dyDescent="0.25">
      <c r="A4988" s="116" t="s">
        <v>7819</v>
      </c>
      <c r="B4988" s="117" t="s">
        <v>7820</v>
      </c>
      <c r="C4988" t="s">
        <v>67</v>
      </c>
      <c r="D4988" t="s">
        <v>67</v>
      </c>
      <c r="E4988" t="s">
        <v>67</v>
      </c>
      <c r="F4988" t="s">
        <v>45</v>
      </c>
      <c r="G4988" s="117">
        <v>0.8</v>
      </c>
    </row>
    <row r="4989" spans="1:7" x14ac:dyDescent="0.25">
      <c r="A4989" s="116" t="s">
        <v>7821</v>
      </c>
      <c r="B4989" s="117" t="s">
        <v>7822</v>
      </c>
      <c r="C4989" t="s">
        <v>67</v>
      </c>
      <c r="D4989" t="s">
        <v>67</v>
      </c>
      <c r="E4989" t="s">
        <v>67</v>
      </c>
      <c r="F4989" t="s">
        <v>27987</v>
      </c>
      <c r="G4989" s="117">
        <v>0.44</v>
      </c>
    </row>
    <row r="4990" spans="1:7" x14ac:dyDescent="0.25">
      <c r="A4990" s="116" t="s">
        <v>7823</v>
      </c>
      <c r="B4990" s="117" t="s">
        <v>7021</v>
      </c>
      <c r="C4990" t="s">
        <v>67</v>
      </c>
      <c r="D4990" t="s">
        <v>67</v>
      </c>
      <c r="E4990" t="s">
        <v>67</v>
      </c>
      <c r="F4990" t="s">
        <v>49</v>
      </c>
      <c r="G4990" s="117">
        <v>0.44</v>
      </c>
    </row>
    <row r="4991" spans="1:7" x14ac:dyDescent="0.25">
      <c r="A4991" s="116" t="s">
        <v>7824</v>
      </c>
      <c r="B4991" s="117" t="s">
        <v>7825</v>
      </c>
      <c r="C4991" t="s">
        <v>67</v>
      </c>
      <c r="D4991" t="s">
        <v>67</v>
      </c>
      <c r="E4991" t="s">
        <v>67</v>
      </c>
      <c r="F4991" t="s">
        <v>45</v>
      </c>
      <c r="G4991" s="117">
        <v>2.58</v>
      </c>
    </row>
    <row r="4992" spans="1:7" x14ac:dyDescent="0.25">
      <c r="A4992" s="116" t="s">
        <v>7826</v>
      </c>
      <c r="B4992" s="117" t="s">
        <v>7827</v>
      </c>
      <c r="C4992" t="s">
        <v>67</v>
      </c>
      <c r="D4992" t="s">
        <v>67</v>
      </c>
      <c r="E4992" t="s">
        <v>67</v>
      </c>
      <c r="F4992" t="s">
        <v>49</v>
      </c>
      <c r="G4992" s="117">
        <v>2.58</v>
      </c>
    </row>
    <row r="4993" spans="1:7" x14ac:dyDescent="0.25">
      <c r="A4993" s="116" t="s">
        <v>7828</v>
      </c>
      <c r="B4993" s="117" t="s">
        <v>7829</v>
      </c>
      <c r="C4993" t="s">
        <v>67</v>
      </c>
      <c r="D4993" t="s">
        <v>67</v>
      </c>
      <c r="E4993" t="s">
        <v>67</v>
      </c>
      <c r="F4993" t="s">
        <v>27990</v>
      </c>
      <c r="G4993" s="117">
        <v>17.7</v>
      </c>
    </row>
    <row r="4994" spans="1:7" x14ac:dyDescent="0.25">
      <c r="A4994" s="116" t="s">
        <v>7830</v>
      </c>
      <c r="B4994" s="117" t="s">
        <v>7019</v>
      </c>
      <c r="C4994" t="s">
        <v>67</v>
      </c>
      <c r="D4994" t="s">
        <v>67</v>
      </c>
      <c r="E4994" t="s">
        <v>67</v>
      </c>
      <c r="F4994" t="s">
        <v>45</v>
      </c>
      <c r="G4994" s="117">
        <v>2.58</v>
      </c>
    </row>
    <row r="4995" spans="1:7" x14ac:dyDescent="0.25">
      <c r="A4995" s="116" t="s">
        <v>7831</v>
      </c>
      <c r="B4995" s="117" t="s">
        <v>7832</v>
      </c>
      <c r="C4995" t="s">
        <v>67</v>
      </c>
      <c r="D4995" t="s">
        <v>67</v>
      </c>
      <c r="E4995" t="s">
        <v>67</v>
      </c>
      <c r="F4995" t="s">
        <v>45</v>
      </c>
      <c r="G4995" s="117">
        <v>5.79</v>
      </c>
    </row>
    <row r="4996" spans="1:7" x14ac:dyDescent="0.25">
      <c r="A4996" s="116" t="s">
        <v>7833</v>
      </c>
      <c r="B4996" s="117" t="s">
        <v>7834</v>
      </c>
      <c r="C4996" t="s">
        <v>67</v>
      </c>
      <c r="D4996" t="s">
        <v>67</v>
      </c>
      <c r="E4996" t="s">
        <v>67</v>
      </c>
      <c r="F4996" t="s">
        <v>49</v>
      </c>
      <c r="G4996" s="117">
        <v>0.44</v>
      </c>
    </row>
    <row r="4997" spans="1:7" x14ac:dyDescent="0.25">
      <c r="A4997" s="116" t="s">
        <v>7835</v>
      </c>
      <c r="B4997" s="117" t="s">
        <v>7836</v>
      </c>
      <c r="C4997" t="s">
        <v>67</v>
      </c>
      <c r="D4997" t="s">
        <v>67</v>
      </c>
      <c r="E4997" t="s">
        <v>67</v>
      </c>
      <c r="F4997" t="s">
        <v>27987</v>
      </c>
      <c r="G4997" s="117">
        <v>0.8</v>
      </c>
    </row>
    <row r="4998" spans="1:7" x14ac:dyDescent="0.25">
      <c r="A4998" s="116" t="s">
        <v>7837</v>
      </c>
      <c r="B4998" s="117" t="s">
        <v>7838</v>
      </c>
      <c r="C4998" t="s">
        <v>67</v>
      </c>
      <c r="D4998" t="s">
        <v>67</v>
      </c>
      <c r="E4998" t="s">
        <v>67</v>
      </c>
      <c r="F4998" t="s">
        <v>27987</v>
      </c>
      <c r="G4998" s="117">
        <v>36.93</v>
      </c>
    </row>
    <row r="4999" spans="1:7" x14ac:dyDescent="0.25">
      <c r="A4999" s="116" t="s">
        <v>7839</v>
      </c>
      <c r="B4999" s="117" t="s">
        <v>7446</v>
      </c>
      <c r="C4999" t="s">
        <v>67</v>
      </c>
      <c r="D4999" t="s">
        <v>67</v>
      </c>
      <c r="E4999" t="s">
        <v>67</v>
      </c>
      <c r="F4999" t="s">
        <v>27987</v>
      </c>
      <c r="G4999" s="117">
        <v>0.44</v>
      </c>
    </row>
    <row r="5000" spans="1:7" x14ac:dyDescent="0.25">
      <c r="A5000" s="116" t="s">
        <v>7840</v>
      </c>
      <c r="B5000" s="117" t="s">
        <v>7841</v>
      </c>
      <c r="C5000" t="s">
        <v>67</v>
      </c>
      <c r="D5000" t="s">
        <v>67</v>
      </c>
      <c r="E5000" t="s">
        <v>67</v>
      </c>
      <c r="F5000" t="s">
        <v>45</v>
      </c>
      <c r="G5000" s="117">
        <v>3.56</v>
      </c>
    </row>
    <row r="5001" spans="1:7" x14ac:dyDescent="0.25">
      <c r="A5001" s="116" t="s">
        <v>27404</v>
      </c>
      <c r="B5001" s="117" t="s">
        <v>7842</v>
      </c>
      <c r="C5001" t="s">
        <v>67</v>
      </c>
      <c r="D5001" t="s">
        <v>67</v>
      </c>
      <c r="E5001" t="s">
        <v>67</v>
      </c>
      <c r="F5001" t="s">
        <v>45</v>
      </c>
      <c r="G5001" s="117">
        <v>112.02</v>
      </c>
    </row>
    <row r="5002" spans="1:7" x14ac:dyDescent="0.25">
      <c r="A5002" s="116" t="s">
        <v>7843</v>
      </c>
      <c r="B5002" s="117" t="s">
        <v>7844</v>
      </c>
      <c r="C5002" t="s">
        <v>67</v>
      </c>
      <c r="D5002" t="s">
        <v>67</v>
      </c>
      <c r="E5002" t="s">
        <v>67</v>
      </c>
      <c r="F5002" t="s">
        <v>27987</v>
      </c>
      <c r="G5002" s="117">
        <v>6.14</v>
      </c>
    </row>
    <row r="5003" spans="1:7" x14ac:dyDescent="0.25">
      <c r="A5003" s="116" t="s">
        <v>7845</v>
      </c>
      <c r="B5003" s="117" t="s">
        <v>7846</v>
      </c>
      <c r="C5003" t="s">
        <v>67</v>
      </c>
      <c r="D5003" t="s">
        <v>67</v>
      </c>
      <c r="E5003" t="s">
        <v>67</v>
      </c>
      <c r="F5003" t="s">
        <v>27987</v>
      </c>
      <c r="G5003" s="117">
        <v>7.12</v>
      </c>
    </row>
    <row r="5004" spans="1:7" x14ac:dyDescent="0.25">
      <c r="A5004" s="116" t="s">
        <v>7847</v>
      </c>
      <c r="B5004" s="117" t="s">
        <v>7844</v>
      </c>
      <c r="C5004" t="s">
        <v>67</v>
      </c>
      <c r="D5004" t="s">
        <v>67</v>
      </c>
      <c r="E5004" t="s">
        <v>67</v>
      </c>
      <c r="F5004" t="s">
        <v>27987</v>
      </c>
      <c r="G5004" s="117">
        <v>10.58</v>
      </c>
    </row>
    <row r="5005" spans="1:7" x14ac:dyDescent="0.25">
      <c r="A5005" s="116" t="s">
        <v>7848</v>
      </c>
      <c r="B5005" s="117" t="s">
        <v>7849</v>
      </c>
      <c r="C5005" t="s">
        <v>67</v>
      </c>
      <c r="D5005" t="s">
        <v>67</v>
      </c>
      <c r="E5005" t="s">
        <v>67</v>
      </c>
      <c r="F5005" t="s">
        <v>27987</v>
      </c>
      <c r="G5005" s="117">
        <v>9.35</v>
      </c>
    </row>
    <row r="5006" spans="1:7" x14ac:dyDescent="0.25">
      <c r="A5006" s="116" t="s">
        <v>7850</v>
      </c>
      <c r="B5006" s="117" t="s">
        <v>7851</v>
      </c>
      <c r="C5006" t="s">
        <v>67</v>
      </c>
      <c r="D5006" t="s">
        <v>67</v>
      </c>
      <c r="E5006" t="s">
        <v>67</v>
      </c>
      <c r="F5006" t="s">
        <v>51</v>
      </c>
      <c r="G5006" s="117">
        <v>13.14</v>
      </c>
    </row>
    <row r="5007" spans="1:7" x14ac:dyDescent="0.25">
      <c r="A5007" s="116" t="s">
        <v>7852</v>
      </c>
      <c r="B5007" s="117" t="s">
        <v>7853</v>
      </c>
      <c r="C5007" t="s">
        <v>67</v>
      </c>
      <c r="D5007" t="s">
        <v>67</v>
      </c>
      <c r="E5007" t="s">
        <v>67</v>
      </c>
      <c r="F5007" t="s">
        <v>27987</v>
      </c>
      <c r="G5007" s="117">
        <v>23.94</v>
      </c>
    </row>
    <row r="5008" spans="1:7" x14ac:dyDescent="0.25">
      <c r="A5008" s="116" t="s">
        <v>7854</v>
      </c>
      <c r="B5008" s="117" t="s">
        <v>7855</v>
      </c>
      <c r="C5008" t="s">
        <v>67</v>
      </c>
      <c r="D5008" t="s">
        <v>67</v>
      </c>
      <c r="E5008" t="s">
        <v>67</v>
      </c>
      <c r="F5008" t="s">
        <v>27987</v>
      </c>
      <c r="G5008" s="117">
        <v>12.01</v>
      </c>
    </row>
    <row r="5009" spans="1:7" x14ac:dyDescent="0.25">
      <c r="A5009" s="116" t="s">
        <v>7856</v>
      </c>
      <c r="B5009" s="117" t="s">
        <v>7857</v>
      </c>
      <c r="C5009" t="s">
        <v>67</v>
      </c>
      <c r="D5009" t="s">
        <v>67</v>
      </c>
      <c r="E5009" t="s">
        <v>67</v>
      </c>
      <c r="F5009" t="s">
        <v>27987</v>
      </c>
      <c r="G5009" s="117">
        <v>10.24</v>
      </c>
    </row>
    <row r="5010" spans="1:7" x14ac:dyDescent="0.25">
      <c r="A5010" s="116" t="s">
        <v>7858</v>
      </c>
      <c r="B5010" s="117" t="s">
        <v>28740</v>
      </c>
      <c r="C5010" t="s">
        <v>67</v>
      </c>
      <c r="D5010" t="s">
        <v>67</v>
      </c>
      <c r="E5010" t="s">
        <v>67</v>
      </c>
      <c r="F5010" t="s">
        <v>45</v>
      </c>
      <c r="G5010" s="117">
        <v>17.36</v>
      </c>
    </row>
    <row r="5011" spans="1:7" x14ac:dyDescent="0.25">
      <c r="A5011" s="116" t="s">
        <v>7859</v>
      </c>
      <c r="B5011" s="117" t="s">
        <v>7860</v>
      </c>
      <c r="C5011" t="s">
        <v>67</v>
      </c>
      <c r="D5011" t="s">
        <v>67</v>
      </c>
      <c r="E5011" t="s">
        <v>67</v>
      </c>
      <c r="F5011" t="s">
        <v>49</v>
      </c>
      <c r="G5011" s="117">
        <v>4</v>
      </c>
    </row>
    <row r="5012" spans="1:7" x14ac:dyDescent="0.25">
      <c r="A5012" s="116" t="s">
        <v>7861</v>
      </c>
      <c r="B5012" s="117" t="s">
        <v>7862</v>
      </c>
      <c r="C5012" t="s">
        <v>67</v>
      </c>
      <c r="D5012" t="s">
        <v>67</v>
      </c>
      <c r="E5012" t="s">
        <v>67</v>
      </c>
      <c r="F5012" t="s">
        <v>27987</v>
      </c>
      <c r="G5012" s="117">
        <v>23.05</v>
      </c>
    </row>
    <row r="5013" spans="1:7" x14ac:dyDescent="0.25">
      <c r="A5013" s="116" t="s">
        <v>7863</v>
      </c>
      <c r="B5013" s="117" t="s">
        <v>7864</v>
      </c>
      <c r="C5013" t="s">
        <v>67</v>
      </c>
      <c r="D5013" t="s">
        <v>67</v>
      </c>
      <c r="E5013" t="s">
        <v>67</v>
      </c>
      <c r="F5013" t="s">
        <v>27987</v>
      </c>
      <c r="G5013" s="117">
        <v>5.25</v>
      </c>
    </row>
    <row r="5014" spans="1:7" x14ac:dyDescent="0.25">
      <c r="A5014" s="116" t="s">
        <v>7865</v>
      </c>
      <c r="B5014" s="117" t="s">
        <v>7866</v>
      </c>
      <c r="C5014" t="s">
        <v>67</v>
      </c>
      <c r="D5014" t="s">
        <v>67</v>
      </c>
      <c r="E5014" t="s">
        <v>67</v>
      </c>
      <c r="F5014" t="s">
        <v>27987</v>
      </c>
      <c r="G5014" s="117">
        <v>12.01</v>
      </c>
    </row>
    <row r="5015" spans="1:7" x14ac:dyDescent="0.25">
      <c r="A5015" s="116" t="s">
        <v>7867</v>
      </c>
      <c r="B5015" s="117" t="s">
        <v>7868</v>
      </c>
      <c r="C5015" t="s">
        <v>67</v>
      </c>
      <c r="D5015" t="s">
        <v>67</v>
      </c>
      <c r="E5015" t="s">
        <v>67</v>
      </c>
      <c r="F5015" t="s">
        <v>49</v>
      </c>
      <c r="G5015" s="117">
        <v>3.12</v>
      </c>
    </row>
    <row r="5016" spans="1:7" x14ac:dyDescent="0.25">
      <c r="A5016" s="116" t="s">
        <v>7869</v>
      </c>
      <c r="B5016" s="117" t="s">
        <v>7870</v>
      </c>
      <c r="C5016" t="s">
        <v>67</v>
      </c>
      <c r="D5016" t="s">
        <v>67</v>
      </c>
      <c r="E5016" t="s">
        <v>67</v>
      </c>
      <c r="F5016" t="s">
        <v>27987</v>
      </c>
      <c r="G5016" s="117">
        <v>10.58</v>
      </c>
    </row>
    <row r="5017" spans="1:7" x14ac:dyDescent="0.25">
      <c r="A5017" s="116" t="s">
        <v>7871</v>
      </c>
      <c r="B5017" s="117" t="s">
        <v>7872</v>
      </c>
      <c r="C5017" t="s">
        <v>67</v>
      </c>
      <c r="D5017" t="s">
        <v>67</v>
      </c>
      <c r="E5017" t="s">
        <v>67</v>
      </c>
      <c r="F5017" t="s">
        <v>27987</v>
      </c>
      <c r="G5017" s="117">
        <v>4.8899999999999997</v>
      </c>
    </row>
    <row r="5018" spans="1:7" x14ac:dyDescent="0.25">
      <c r="A5018" s="116" t="s">
        <v>7873</v>
      </c>
      <c r="B5018" s="117" t="s">
        <v>7874</v>
      </c>
      <c r="C5018" t="s">
        <v>67</v>
      </c>
      <c r="D5018" t="s">
        <v>67</v>
      </c>
      <c r="E5018" t="s">
        <v>67</v>
      </c>
      <c r="F5018" t="s">
        <v>27987</v>
      </c>
      <c r="G5018" s="117">
        <v>13.26</v>
      </c>
    </row>
    <row r="5019" spans="1:7" x14ac:dyDescent="0.25">
      <c r="A5019" s="116" t="s">
        <v>7875</v>
      </c>
      <c r="B5019" s="117" t="s">
        <v>7876</v>
      </c>
      <c r="C5019" t="s">
        <v>67</v>
      </c>
      <c r="D5019" t="s">
        <v>67</v>
      </c>
      <c r="E5019" t="s">
        <v>67</v>
      </c>
      <c r="F5019" t="s">
        <v>27987</v>
      </c>
      <c r="G5019" s="117">
        <v>3.48</v>
      </c>
    </row>
    <row r="5020" spans="1:7" x14ac:dyDescent="0.25">
      <c r="A5020" s="116" t="s">
        <v>7877</v>
      </c>
      <c r="B5020" s="117" t="s">
        <v>7878</v>
      </c>
      <c r="C5020" t="s">
        <v>67</v>
      </c>
      <c r="D5020" t="s">
        <v>67</v>
      </c>
      <c r="E5020" t="s">
        <v>67</v>
      </c>
      <c r="F5020" t="s">
        <v>49</v>
      </c>
      <c r="G5020" s="117">
        <v>2.58</v>
      </c>
    </row>
    <row r="5021" spans="1:7" x14ac:dyDescent="0.25">
      <c r="A5021" s="116" t="s">
        <v>7879</v>
      </c>
      <c r="B5021" s="117" t="s">
        <v>7880</v>
      </c>
      <c r="C5021" t="s">
        <v>67</v>
      </c>
      <c r="D5021" t="s">
        <v>67</v>
      </c>
      <c r="E5021" t="s">
        <v>67</v>
      </c>
      <c r="F5021" t="s">
        <v>27987</v>
      </c>
      <c r="G5021" s="117">
        <v>3.48</v>
      </c>
    </row>
    <row r="5022" spans="1:7" x14ac:dyDescent="0.25">
      <c r="A5022" s="116" t="s">
        <v>7881</v>
      </c>
      <c r="B5022" s="117" t="s">
        <v>7882</v>
      </c>
      <c r="C5022" t="s">
        <v>67</v>
      </c>
      <c r="D5022" t="s">
        <v>67</v>
      </c>
      <c r="E5022" t="s">
        <v>67</v>
      </c>
      <c r="F5022" t="s">
        <v>27987</v>
      </c>
      <c r="G5022" s="117">
        <v>3.48</v>
      </c>
    </row>
    <row r="5023" spans="1:7" x14ac:dyDescent="0.25">
      <c r="A5023" s="116" t="s">
        <v>7883</v>
      </c>
      <c r="B5023" s="117" t="s">
        <v>7884</v>
      </c>
      <c r="C5023" t="s">
        <v>67</v>
      </c>
      <c r="D5023" t="s">
        <v>67</v>
      </c>
      <c r="E5023" t="s">
        <v>67</v>
      </c>
      <c r="F5023" t="s">
        <v>27987</v>
      </c>
      <c r="G5023" s="117">
        <v>25.36</v>
      </c>
    </row>
    <row r="5024" spans="1:7" x14ac:dyDescent="0.25">
      <c r="A5024" s="116" t="s">
        <v>7885</v>
      </c>
      <c r="B5024" s="117" t="s">
        <v>7886</v>
      </c>
      <c r="C5024" t="s">
        <v>67</v>
      </c>
      <c r="D5024" t="s">
        <v>67</v>
      </c>
      <c r="E5024" t="s">
        <v>67</v>
      </c>
      <c r="F5024" t="s">
        <v>27987</v>
      </c>
      <c r="G5024" s="117">
        <v>31.94</v>
      </c>
    </row>
    <row r="5025" spans="1:7" x14ac:dyDescent="0.25">
      <c r="A5025" s="116" t="s">
        <v>7887</v>
      </c>
      <c r="B5025" s="117" t="s">
        <v>28741</v>
      </c>
      <c r="C5025" t="s">
        <v>67</v>
      </c>
      <c r="D5025" t="s">
        <v>67</v>
      </c>
      <c r="E5025" t="s">
        <v>67</v>
      </c>
      <c r="F5025" t="s">
        <v>45</v>
      </c>
      <c r="G5025" s="117">
        <v>11.48</v>
      </c>
    </row>
    <row r="5026" spans="1:7" x14ac:dyDescent="0.25">
      <c r="A5026" s="116" t="s">
        <v>7888</v>
      </c>
      <c r="B5026" s="117" t="s">
        <v>7889</v>
      </c>
      <c r="C5026" t="s">
        <v>67</v>
      </c>
      <c r="D5026" t="s">
        <v>67</v>
      </c>
      <c r="E5026" t="s">
        <v>67</v>
      </c>
      <c r="F5026" t="s">
        <v>27987</v>
      </c>
      <c r="G5026" s="117">
        <v>5.25</v>
      </c>
    </row>
    <row r="5027" spans="1:7" x14ac:dyDescent="0.25">
      <c r="A5027" s="116" t="s">
        <v>7890</v>
      </c>
      <c r="B5027" s="117" t="s">
        <v>7891</v>
      </c>
      <c r="C5027" t="s">
        <v>67</v>
      </c>
      <c r="D5027" t="s">
        <v>67</v>
      </c>
      <c r="E5027" t="s">
        <v>67</v>
      </c>
      <c r="F5027" t="s">
        <v>27987</v>
      </c>
      <c r="G5027" s="117">
        <v>4</v>
      </c>
    </row>
    <row r="5028" spans="1:7" x14ac:dyDescent="0.25">
      <c r="A5028" s="116" t="s">
        <v>7892</v>
      </c>
      <c r="B5028" s="117" t="s">
        <v>7893</v>
      </c>
      <c r="C5028" t="s">
        <v>67</v>
      </c>
      <c r="D5028" t="s">
        <v>67</v>
      </c>
      <c r="E5028" t="s">
        <v>67</v>
      </c>
      <c r="F5028" t="s">
        <v>27987</v>
      </c>
      <c r="G5028" s="117">
        <v>2.23</v>
      </c>
    </row>
    <row r="5029" spans="1:7" x14ac:dyDescent="0.25">
      <c r="A5029" s="116" t="s">
        <v>29920</v>
      </c>
      <c r="B5029" s="117" t="s">
        <v>30428</v>
      </c>
      <c r="C5029" t="s">
        <v>67</v>
      </c>
      <c r="D5029" t="s">
        <v>67</v>
      </c>
      <c r="E5029" t="s">
        <v>67</v>
      </c>
      <c r="F5029" t="s">
        <v>27987</v>
      </c>
      <c r="G5029" s="117">
        <v>20</v>
      </c>
    </row>
    <row r="5030" spans="1:7" x14ac:dyDescent="0.25">
      <c r="A5030" s="116" t="s">
        <v>7894</v>
      </c>
      <c r="B5030" s="117" t="s">
        <v>7895</v>
      </c>
      <c r="C5030" t="s">
        <v>67</v>
      </c>
      <c r="D5030" t="s">
        <v>67</v>
      </c>
      <c r="E5030" t="s">
        <v>67</v>
      </c>
      <c r="F5030" t="s">
        <v>27987</v>
      </c>
      <c r="G5030" s="117">
        <v>2.58</v>
      </c>
    </row>
    <row r="5031" spans="1:7" x14ac:dyDescent="0.25">
      <c r="A5031" s="116" t="s">
        <v>7896</v>
      </c>
      <c r="B5031" s="117" t="s">
        <v>7897</v>
      </c>
      <c r="C5031" t="s">
        <v>67</v>
      </c>
      <c r="D5031" t="s">
        <v>67</v>
      </c>
      <c r="E5031" t="s">
        <v>67</v>
      </c>
      <c r="F5031" t="s">
        <v>27987</v>
      </c>
      <c r="G5031" s="117">
        <v>28.38</v>
      </c>
    </row>
    <row r="5032" spans="1:7" x14ac:dyDescent="0.25">
      <c r="A5032" s="116" t="s">
        <v>7898</v>
      </c>
      <c r="B5032" s="117" t="s">
        <v>7899</v>
      </c>
      <c r="C5032" t="s">
        <v>67</v>
      </c>
      <c r="D5032" t="s">
        <v>67</v>
      </c>
      <c r="E5032" t="s">
        <v>67</v>
      </c>
      <c r="F5032" t="s">
        <v>27987</v>
      </c>
      <c r="G5032" s="117">
        <v>13.35</v>
      </c>
    </row>
    <row r="5033" spans="1:7" x14ac:dyDescent="0.25">
      <c r="A5033" s="116" t="s">
        <v>7900</v>
      </c>
      <c r="B5033" s="117" t="s">
        <v>7901</v>
      </c>
      <c r="C5033" t="s">
        <v>67</v>
      </c>
      <c r="D5033" t="s">
        <v>67</v>
      </c>
      <c r="E5033" t="s">
        <v>67</v>
      </c>
      <c r="F5033" t="s">
        <v>45</v>
      </c>
      <c r="G5033" s="117">
        <v>212.58</v>
      </c>
    </row>
    <row r="5034" spans="1:7" x14ac:dyDescent="0.25">
      <c r="A5034" s="116" t="s">
        <v>7902</v>
      </c>
      <c r="B5034" s="117" t="s">
        <v>7903</v>
      </c>
      <c r="C5034" t="s">
        <v>67</v>
      </c>
      <c r="D5034" t="s">
        <v>67</v>
      </c>
      <c r="E5034" t="s">
        <v>67</v>
      </c>
      <c r="F5034" t="s">
        <v>45</v>
      </c>
      <c r="G5034" s="117">
        <v>29.76</v>
      </c>
    </row>
    <row r="5035" spans="1:7" x14ac:dyDescent="0.25">
      <c r="A5035" s="116" t="s">
        <v>7904</v>
      </c>
      <c r="B5035" s="117" t="s">
        <v>7905</v>
      </c>
      <c r="C5035" t="s">
        <v>67</v>
      </c>
      <c r="D5035" t="s">
        <v>67</v>
      </c>
      <c r="E5035" t="s">
        <v>67</v>
      </c>
      <c r="F5035" t="s">
        <v>45</v>
      </c>
      <c r="G5035" s="117">
        <v>24.82</v>
      </c>
    </row>
    <row r="5036" spans="1:7" x14ac:dyDescent="0.25">
      <c r="A5036" s="116" t="s">
        <v>7906</v>
      </c>
      <c r="B5036" s="117" t="s">
        <v>7907</v>
      </c>
      <c r="C5036" t="s">
        <v>67</v>
      </c>
      <c r="D5036" t="s">
        <v>67</v>
      </c>
      <c r="E5036" t="s">
        <v>67</v>
      </c>
      <c r="F5036" t="s">
        <v>27987</v>
      </c>
      <c r="G5036" s="117">
        <v>14.68</v>
      </c>
    </row>
    <row r="5037" spans="1:7" x14ac:dyDescent="0.25">
      <c r="A5037" s="116" t="s">
        <v>7908</v>
      </c>
      <c r="B5037" s="117" t="s">
        <v>7909</v>
      </c>
      <c r="C5037" t="s">
        <v>67</v>
      </c>
      <c r="D5037" t="s">
        <v>67</v>
      </c>
      <c r="E5037" t="s">
        <v>67</v>
      </c>
      <c r="F5037" t="s">
        <v>45</v>
      </c>
      <c r="G5037" s="117">
        <v>52.06</v>
      </c>
    </row>
    <row r="5038" spans="1:7" x14ac:dyDescent="0.25">
      <c r="A5038" s="116" t="s">
        <v>7910</v>
      </c>
      <c r="B5038" s="117" t="s">
        <v>7911</v>
      </c>
      <c r="C5038" t="s">
        <v>67</v>
      </c>
      <c r="D5038" t="s">
        <v>67</v>
      </c>
      <c r="E5038" t="s">
        <v>67</v>
      </c>
      <c r="F5038" t="s">
        <v>27987</v>
      </c>
      <c r="G5038" s="117">
        <v>21.26</v>
      </c>
    </row>
    <row r="5039" spans="1:7" x14ac:dyDescent="0.25">
      <c r="A5039" s="116" t="s">
        <v>7912</v>
      </c>
      <c r="B5039" s="117" t="s">
        <v>7870</v>
      </c>
      <c r="C5039" t="s">
        <v>67</v>
      </c>
      <c r="D5039" t="s">
        <v>67</v>
      </c>
      <c r="E5039" t="s">
        <v>67</v>
      </c>
      <c r="F5039" t="s">
        <v>27987</v>
      </c>
      <c r="G5039" s="117">
        <v>51.17</v>
      </c>
    </row>
    <row r="5040" spans="1:7" x14ac:dyDescent="0.25">
      <c r="A5040" s="116" t="s">
        <v>7913</v>
      </c>
      <c r="B5040" s="117" t="s">
        <v>7876</v>
      </c>
      <c r="C5040" t="s">
        <v>67</v>
      </c>
      <c r="D5040" t="s">
        <v>67</v>
      </c>
      <c r="E5040" t="s">
        <v>67</v>
      </c>
      <c r="F5040" t="s">
        <v>27987</v>
      </c>
      <c r="G5040" s="117">
        <v>10</v>
      </c>
    </row>
    <row r="5041" spans="1:7" x14ac:dyDescent="0.25">
      <c r="A5041" s="116" t="s">
        <v>7914</v>
      </c>
      <c r="B5041" s="117" t="s">
        <v>7915</v>
      </c>
      <c r="C5041" t="s">
        <v>67</v>
      </c>
      <c r="D5041" t="s">
        <v>67</v>
      </c>
      <c r="E5041" t="s">
        <v>67</v>
      </c>
      <c r="F5041" t="s">
        <v>27987</v>
      </c>
      <c r="G5041" s="117">
        <v>63.98</v>
      </c>
    </row>
    <row r="5042" spans="1:7" x14ac:dyDescent="0.25">
      <c r="A5042" s="116" t="s">
        <v>7916</v>
      </c>
      <c r="B5042" s="117" t="s">
        <v>7917</v>
      </c>
      <c r="C5042" t="s">
        <v>67</v>
      </c>
      <c r="D5042" t="s">
        <v>67</v>
      </c>
      <c r="E5042" t="s">
        <v>67</v>
      </c>
      <c r="F5042" t="s">
        <v>27987</v>
      </c>
      <c r="G5042" s="117">
        <v>51.17</v>
      </c>
    </row>
    <row r="5043" spans="1:7" x14ac:dyDescent="0.25">
      <c r="A5043" s="116" t="s">
        <v>7918</v>
      </c>
      <c r="B5043" s="117" t="s">
        <v>7919</v>
      </c>
      <c r="C5043" t="s">
        <v>67</v>
      </c>
      <c r="D5043" t="s">
        <v>67</v>
      </c>
      <c r="E5043" t="s">
        <v>67</v>
      </c>
      <c r="F5043" t="s">
        <v>27987</v>
      </c>
      <c r="G5043" s="117">
        <v>41.38</v>
      </c>
    </row>
    <row r="5044" spans="1:7" x14ac:dyDescent="0.25">
      <c r="A5044" s="116" t="s">
        <v>7920</v>
      </c>
      <c r="B5044" s="117" t="s">
        <v>7874</v>
      </c>
      <c r="C5044" t="s">
        <v>67</v>
      </c>
      <c r="D5044" t="s">
        <v>67</v>
      </c>
      <c r="E5044" t="s">
        <v>67</v>
      </c>
      <c r="F5044" t="s">
        <v>27987</v>
      </c>
      <c r="G5044" s="117">
        <v>48.5</v>
      </c>
    </row>
    <row r="5045" spans="1:7" x14ac:dyDescent="0.25">
      <c r="A5045" s="116" t="s">
        <v>7921</v>
      </c>
      <c r="B5045" s="117" t="s">
        <v>7922</v>
      </c>
      <c r="C5045" t="s">
        <v>67</v>
      </c>
      <c r="D5045" t="s">
        <v>67</v>
      </c>
      <c r="E5045" t="s">
        <v>67</v>
      </c>
      <c r="F5045" t="s">
        <v>45</v>
      </c>
      <c r="G5045" s="117">
        <v>6.15</v>
      </c>
    </row>
    <row r="5046" spans="1:7" x14ac:dyDescent="0.25">
      <c r="A5046" s="116" t="s">
        <v>7923</v>
      </c>
      <c r="B5046" s="117" t="s">
        <v>7924</v>
      </c>
      <c r="C5046" t="s">
        <v>67</v>
      </c>
      <c r="D5046" t="s">
        <v>67</v>
      </c>
      <c r="E5046" t="s">
        <v>67</v>
      </c>
      <c r="F5046" t="s">
        <v>27987</v>
      </c>
      <c r="G5046" s="117">
        <v>29.51</v>
      </c>
    </row>
    <row r="5047" spans="1:7" x14ac:dyDescent="0.25">
      <c r="A5047" s="116" t="s">
        <v>7925</v>
      </c>
      <c r="B5047" s="117" t="s">
        <v>26462</v>
      </c>
      <c r="C5047" t="s">
        <v>67</v>
      </c>
      <c r="D5047" t="s">
        <v>67</v>
      </c>
      <c r="E5047" t="s">
        <v>67</v>
      </c>
      <c r="F5047" t="s">
        <v>27987</v>
      </c>
      <c r="G5047" s="117">
        <v>15.72</v>
      </c>
    </row>
    <row r="5048" spans="1:7" x14ac:dyDescent="0.25">
      <c r="A5048" s="116" t="s">
        <v>28742</v>
      </c>
      <c r="B5048" s="117" t="s">
        <v>28743</v>
      </c>
      <c r="C5048" t="s">
        <v>67</v>
      </c>
      <c r="D5048" t="s">
        <v>67</v>
      </c>
      <c r="E5048" t="s">
        <v>67</v>
      </c>
      <c r="F5048" t="s">
        <v>27987</v>
      </c>
      <c r="G5048" s="117">
        <v>9999</v>
      </c>
    </row>
    <row r="5049" spans="1:7" x14ac:dyDescent="0.25">
      <c r="A5049" s="116" t="s">
        <v>28744</v>
      </c>
      <c r="B5049" s="117" t="s">
        <v>28745</v>
      </c>
      <c r="C5049" t="s">
        <v>67</v>
      </c>
      <c r="D5049" t="s">
        <v>67</v>
      </c>
      <c r="E5049" t="s">
        <v>67</v>
      </c>
      <c r="F5049" t="s">
        <v>27987</v>
      </c>
      <c r="G5049" s="117">
        <v>68</v>
      </c>
    </row>
    <row r="5050" spans="1:7" x14ac:dyDescent="0.25">
      <c r="A5050" s="116" t="s">
        <v>30327</v>
      </c>
      <c r="B5050" s="117" t="s">
        <v>30328</v>
      </c>
      <c r="C5050" t="s">
        <v>67</v>
      </c>
      <c r="D5050" t="s">
        <v>67</v>
      </c>
      <c r="E5050" t="s">
        <v>67</v>
      </c>
      <c r="F5050" t="s">
        <v>45</v>
      </c>
      <c r="G5050" s="117">
        <v>9999</v>
      </c>
    </row>
    <row r="5051" spans="1:7" x14ac:dyDescent="0.25">
      <c r="A5051" s="116" t="s">
        <v>7926</v>
      </c>
      <c r="B5051" s="117" t="s">
        <v>7927</v>
      </c>
      <c r="C5051" t="s">
        <v>67</v>
      </c>
      <c r="D5051" t="s">
        <v>67</v>
      </c>
      <c r="E5051" t="s">
        <v>67</v>
      </c>
      <c r="F5051" t="s">
        <v>27987</v>
      </c>
      <c r="G5051" s="117">
        <v>17.37</v>
      </c>
    </row>
    <row r="5052" spans="1:7" x14ac:dyDescent="0.25">
      <c r="A5052" s="116" t="s">
        <v>7928</v>
      </c>
      <c r="B5052" s="117" t="s">
        <v>7929</v>
      </c>
      <c r="C5052" t="s">
        <v>67</v>
      </c>
      <c r="D5052" t="s">
        <v>67</v>
      </c>
      <c r="E5052" t="s">
        <v>67</v>
      </c>
      <c r="F5052" t="s">
        <v>45</v>
      </c>
      <c r="G5052" s="117">
        <v>17.36</v>
      </c>
    </row>
    <row r="5053" spans="1:7" x14ac:dyDescent="0.25">
      <c r="A5053" s="116" t="s">
        <v>7930</v>
      </c>
      <c r="B5053" s="117" t="s">
        <v>7931</v>
      </c>
      <c r="C5053" t="s">
        <v>67</v>
      </c>
      <c r="D5053" t="s">
        <v>67</v>
      </c>
      <c r="E5053" t="s">
        <v>67</v>
      </c>
      <c r="F5053" t="s">
        <v>49</v>
      </c>
      <c r="G5053" s="117">
        <v>3.48</v>
      </c>
    </row>
    <row r="5054" spans="1:7" x14ac:dyDescent="0.25">
      <c r="A5054" s="116" t="s">
        <v>7932</v>
      </c>
      <c r="B5054" s="117" t="s">
        <v>7933</v>
      </c>
      <c r="C5054" t="s">
        <v>67</v>
      </c>
      <c r="D5054" t="s">
        <v>67</v>
      </c>
      <c r="E5054" t="s">
        <v>67</v>
      </c>
      <c r="F5054" t="s">
        <v>27987</v>
      </c>
      <c r="G5054" s="117">
        <v>20.38</v>
      </c>
    </row>
    <row r="5055" spans="1:7" x14ac:dyDescent="0.25">
      <c r="A5055" s="116" t="s">
        <v>7934</v>
      </c>
      <c r="B5055" s="117" t="s">
        <v>7935</v>
      </c>
      <c r="C5055" t="s">
        <v>67</v>
      </c>
      <c r="D5055" t="s">
        <v>67</v>
      </c>
      <c r="E5055" t="s">
        <v>67</v>
      </c>
      <c r="F5055" t="s">
        <v>27987</v>
      </c>
      <c r="G5055" s="117">
        <v>19.13</v>
      </c>
    </row>
    <row r="5056" spans="1:7" x14ac:dyDescent="0.25">
      <c r="A5056" s="116" t="s">
        <v>7936</v>
      </c>
      <c r="B5056" s="117" t="s">
        <v>7937</v>
      </c>
      <c r="C5056" t="s">
        <v>67</v>
      </c>
      <c r="D5056" t="s">
        <v>67</v>
      </c>
      <c r="E5056" t="s">
        <v>67</v>
      </c>
      <c r="F5056" t="s">
        <v>27987</v>
      </c>
      <c r="G5056" s="117">
        <v>36.93</v>
      </c>
    </row>
    <row r="5057" spans="1:7" x14ac:dyDescent="0.25">
      <c r="A5057" s="116" t="s">
        <v>7938</v>
      </c>
      <c r="B5057" s="117" t="s">
        <v>7939</v>
      </c>
      <c r="C5057" t="s">
        <v>67</v>
      </c>
      <c r="D5057" t="s">
        <v>67</v>
      </c>
      <c r="E5057" t="s">
        <v>67</v>
      </c>
      <c r="F5057" t="s">
        <v>45</v>
      </c>
      <c r="G5057" s="117">
        <v>23.05</v>
      </c>
    </row>
    <row r="5058" spans="1:7" x14ac:dyDescent="0.25">
      <c r="A5058" s="116" t="s">
        <v>7940</v>
      </c>
      <c r="B5058" s="117" t="s">
        <v>7941</v>
      </c>
      <c r="C5058" t="s">
        <v>67</v>
      </c>
      <c r="D5058" t="s">
        <v>67</v>
      </c>
      <c r="E5058" t="s">
        <v>67</v>
      </c>
      <c r="F5058" t="s">
        <v>27987</v>
      </c>
      <c r="G5058" s="117">
        <v>46.18</v>
      </c>
    </row>
    <row r="5059" spans="1:7" x14ac:dyDescent="0.25">
      <c r="A5059" s="116" t="s">
        <v>7942</v>
      </c>
      <c r="B5059" s="117" t="s">
        <v>7943</v>
      </c>
      <c r="C5059" t="s">
        <v>67</v>
      </c>
      <c r="D5059" t="s">
        <v>67</v>
      </c>
      <c r="E5059" t="s">
        <v>67</v>
      </c>
      <c r="F5059" t="s">
        <v>27987</v>
      </c>
      <c r="G5059" s="117">
        <v>154.74</v>
      </c>
    </row>
    <row r="5060" spans="1:7" x14ac:dyDescent="0.25">
      <c r="A5060" s="116" t="s">
        <v>7944</v>
      </c>
      <c r="B5060" s="117" t="s">
        <v>7945</v>
      </c>
      <c r="C5060" t="s">
        <v>67</v>
      </c>
      <c r="D5060" t="s">
        <v>67</v>
      </c>
      <c r="E5060" t="s">
        <v>67</v>
      </c>
      <c r="F5060" t="s">
        <v>27987</v>
      </c>
      <c r="G5060" s="117">
        <v>16.88</v>
      </c>
    </row>
    <row r="5061" spans="1:7" x14ac:dyDescent="0.25">
      <c r="A5061" s="116" t="s">
        <v>7946</v>
      </c>
      <c r="B5061" s="117" t="s">
        <v>7889</v>
      </c>
      <c r="C5061" t="s">
        <v>67</v>
      </c>
      <c r="D5061" t="s">
        <v>67</v>
      </c>
      <c r="E5061" t="s">
        <v>67</v>
      </c>
      <c r="F5061" t="s">
        <v>27987</v>
      </c>
      <c r="G5061" s="117">
        <v>15.04</v>
      </c>
    </row>
    <row r="5062" spans="1:7" x14ac:dyDescent="0.25">
      <c r="A5062" s="116" t="s">
        <v>7947</v>
      </c>
      <c r="B5062" s="117" t="s">
        <v>7948</v>
      </c>
      <c r="C5062" t="s">
        <v>67</v>
      </c>
      <c r="D5062" t="s">
        <v>67</v>
      </c>
      <c r="E5062" t="s">
        <v>67</v>
      </c>
      <c r="F5062" t="s">
        <v>49</v>
      </c>
      <c r="G5062" s="117">
        <v>17.36</v>
      </c>
    </row>
    <row r="5063" spans="1:7" x14ac:dyDescent="0.25">
      <c r="A5063" s="116" t="s">
        <v>7949</v>
      </c>
      <c r="B5063" s="117" t="s">
        <v>28746</v>
      </c>
      <c r="C5063" t="s">
        <v>67</v>
      </c>
      <c r="D5063" t="s">
        <v>67</v>
      </c>
      <c r="E5063" t="s">
        <v>67</v>
      </c>
      <c r="F5063" t="s">
        <v>27987</v>
      </c>
      <c r="G5063" s="117">
        <v>14.14</v>
      </c>
    </row>
    <row r="5064" spans="1:7" x14ac:dyDescent="0.25">
      <c r="A5064" s="116" t="s">
        <v>7950</v>
      </c>
      <c r="B5064" s="117" t="s">
        <v>7951</v>
      </c>
      <c r="C5064" t="s">
        <v>67</v>
      </c>
      <c r="D5064" t="s">
        <v>67</v>
      </c>
      <c r="E5064" t="s">
        <v>67</v>
      </c>
      <c r="F5064" t="s">
        <v>27987</v>
      </c>
      <c r="G5064" s="117">
        <v>17.7</v>
      </c>
    </row>
    <row r="5065" spans="1:7" x14ac:dyDescent="0.25">
      <c r="A5065" s="116" t="s">
        <v>7952</v>
      </c>
      <c r="B5065" s="117" t="s">
        <v>7953</v>
      </c>
      <c r="C5065" t="s">
        <v>67</v>
      </c>
      <c r="D5065" t="s">
        <v>67</v>
      </c>
      <c r="E5065" t="s">
        <v>67</v>
      </c>
      <c r="F5065" t="s">
        <v>27987</v>
      </c>
      <c r="G5065" s="117">
        <v>17.7</v>
      </c>
    </row>
    <row r="5066" spans="1:7" x14ac:dyDescent="0.25">
      <c r="A5066" s="116" t="s">
        <v>7954</v>
      </c>
      <c r="B5066" s="117" t="s">
        <v>7955</v>
      </c>
      <c r="C5066" t="s">
        <v>67</v>
      </c>
      <c r="D5066" t="s">
        <v>67</v>
      </c>
      <c r="E5066" t="s">
        <v>67</v>
      </c>
      <c r="F5066" t="s">
        <v>27987</v>
      </c>
      <c r="G5066" s="117">
        <v>12.9</v>
      </c>
    </row>
    <row r="5067" spans="1:7" x14ac:dyDescent="0.25">
      <c r="A5067" s="116" t="s">
        <v>7956</v>
      </c>
      <c r="B5067" s="117" t="s">
        <v>28747</v>
      </c>
      <c r="C5067" t="s">
        <v>67</v>
      </c>
      <c r="D5067" t="s">
        <v>67</v>
      </c>
      <c r="E5067" t="s">
        <v>67</v>
      </c>
      <c r="F5067" t="s">
        <v>45</v>
      </c>
      <c r="G5067" s="117">
        <v>19.41</v>
      </c>
    </row>
    <row r="5068" spans="1:7" x14ac:dyDescent="0.25">
      <c r="A5068" s="116" t="s">
        <v>7957</v>
      </c>
      <c r="B5068" s="117" t="s">
        <v>7876</v>
      </c>
      <c r="C5068" t="s">
        <v>67</v>
      </c>
      <c r="D5068" t="s">
        <v>67</v>
      </c>
      <c r="E5068" t="s">
        <v>67</v>
      </c>
      <c r="F5068" t="s">
        <v>27987</v>
      </c>
      <c r="G5068" s="117">
        <v>7.12</v>
      </c>
    </row>
    <row r="5069" spans="1:7" x14ac:dyDescent="0.25">
      <c r="A5069" s="116" t="s">
        <v>7958</v>
      </c>
      <c r="B5069" s="117" t="s">
        <v>7959</v>
      </c>
      <c r="C5069" t="s">
        <v>67</v>
      </c>
      <c r="D5069" t="s">
        <v>67</v>
      </c>
      <c r="E5069" t="s">
        <v>67</v>
      </c>
      <c r="F5069" t="s">
        <v>49</v>
      </c>
      <c r="G5069" s="117">
        <v>17.7</v>
      </c>
    </row>
    <row r="5070" spans="1:7" x14ac:dyDescent="0.25">
      <c r="A5070" s="116" t="s">
        <v>7960</v>
      </c>
      <c r="B5070" s="117" t="s">
        <v>7961</v>
      </c>
      <c r="C5070" t="s">
        <v>67</v>
      </c>
      <c r="D5070" t="s">
        <v>67</v>
      </c>
      <c r="E5070" t="s">
        <v>67</v>
      </c>
      <c r="F5070" t="s">
        <v>27987</v>
      </c>
      <c r="G5070" s="117">
        <v>30.17</v>
      </c>
    </row>
    <row r="5071" spans="1:7" x14ac:dyDescent="0.25">
      <c r="A5071" s="116" t="s">
        <v>7962</v>
      </c>
      <c r="B5071" s="117" t="s">
        <v>7880</v>
      </c>
      <c r="C5071" t="s">
        <v>67</v>
      </c>
      <c r="D5071" t="s">
        <v>67</v>
      </c>
      <c r="E5071" t="s">
        <v>67</v>
      </c>
      <c r="F5071" t="s">
        <v>27987</v>
      </c>
      <c r="G5071" s="117">
        <v>9.6999999999999993</v>
      </c>
    </row>
    <row r="5072" spans="1:7" x14ac:dyDescent="0.25">
      <c r="A5072" s="116" t="s">
        <v>7963</v>
      </c>
      <c r="B5072" s="117" t="s">
        <v>7964</v>
      </c>
      <c r="C5072" t="s">
        <v>67</v>
      </c>
      <c r="D5072" t="s">
        <v>67</v>
      </c>
      <c r="E5072" t="s">
        <v>67</v>
      </c>
      <c r="F5072" t="s">
        <v>45</v>
      </c>
      <c r="G5072" s="117">
        <v>9.6999999999999993</v>
      </c>
    </row>
    <row r="5073" spans="1:7" x14ac:dyDescent="0.25">
      <c r="A5073" s="116" t="s">
        <v>7965</v>
      </c>
      <c r="B5073" s="117" t="s">
        <v>7966</v>
      </c>
      <c r="C5073" t="s">
        <v>67</v>
      </c>
      <c r="D5073" t="s">
        <v>67</v>
      </c>
      <c r="E5073" t="s">
        <v>67</v>
      </c>
      <c r="F5073" t="s">
        <v>27987</v>
      </c>
      <c r="G5073" s="117">
        <v>37.82</v>
      </c>
    </row>
    <row r="5074" spans="1:7" x14ac:dyDescent="0.25">
      <c r="A5074" s="116" t="s">
        <v>7967</v>
      </c>
      <c r="B5074" s="117" t="s">
        <v>7945</v>
      </c>
      <c r="C5074" t="s">
        <v>67</v>
      </c>
      <c r="D5074" t="s">
        <v>67</v>
      </c>
      <c r="E5074" t="s">
        <v>67</v>
      </c>
      <c r="F5074" t="s">
        <v>27987</v>
      </c>
      <c r="G5074" s="117">
        <v>7.12</v>
      </c>
    </row>
    <row r="5075" spans="1:7" x14ac:dyDescent="0.25">
      <c r="A5075" s="116" t="s">
        <v>7968</v>
      </c>
      <c r="B5075" s="117" t="s">
        <v>7969</v>
      </c>
      <c r="C5075" t="s">
        <v>67</v>
      </c>
      <c r="D5075" t="s">
        <v>67</v>
      </c>
      <c r="E5075" t="s">
        <v>67</v>
      </c>
      <c r="F5075" t="s">
        <v>45</v>
      </c>
      <c r="G5075" s="117">
        <v>42.62</v>
      </c>
    </row>
    <row r="5076" spans="1:7" x14ac:dyDescent="0.25">
      <c r="A5076" s="116" t="s">
        <v>7970</v>
      </c>
      <c r="B5076" s="117" t="s">
        <v>7844</v>
      </c>
      <c r="C5076" t="s">
        <v>67</v>
      </c>
      <c r="D5076" t="s">
        <v>67</v>
      </c>
      <c r="E5076" t="s">
        <v>67</v>
      </c>
      <c r="F5076" t="s">
        <v>27987</v>
      </c>
      <c r="G5076" s="117">
        <v>8.4499999999999993</v>
      </c>
    </row>
    <row r="5077" spans="1:7" x14ac:dyDescent="0.25">
      <c r="A5077" s="116" t="s">
        <v>7971</v>
      </c>
      <c r="B5077" s="117" t="s">
        <v>7972</v>
      </c>
      <c r="C5077" t="s">
        <v>67</v>
      </c>
      <c r="D5077" t="s">
        <v>67</v>
      </c>
      <c r="E5077" t="s">
        <v>67</v>
      </c>
      <c r="F5077" t="s">
        <v>27987</v>
      </c>
      <c r="G5077" s="117">
        <v>4.8899999999999997</v>
      </c>
    </row>
    <row r="5078" spans="1:7" x14ac:dyDescent="0.25">
      <c r="A5078" s="116" t="s">
        <v>7973</v>
      </c>
      <c r="B5078" s="117" t="s">
        <v>7974</v>
      </c>
      <c r="C5078" t="s">
        <v>67</v>
      </c>
      <c r="D5078" t="s">
        <v>67</v>
      </c>
      <c r="E5078" t="s">
        <v>67</v>
      </c>
      <c r="F5078" t="s">
        <v>49</v>
      </c>
      <c r="G5078" s="117">
        <v>9.6999999999999993</v>
      </c>
    </row>
    <row r="5079" spans="1:7" x14ac:dyDescent="0.25">
      <c r="A5079" s="116" t="s">
        <v>7975</v>
      </c>
      <c r="B5079" s="117" t="s">
        <v>7976</v>
      </c>
      <c r="C5079" t="s">
        <v>67</v>
      </c>
      <c r="D5079" t="s">
        <v>67</v>
      </c>
      <c r="E5079" t="s">
        <v>67</v>
      </c>
      <c r="F5079" t="s">
        <v>45</v>
      </c>
      <c r="G5079" s="117">
        <v>14.68</v>
      </c>
    </row>
    <row r="5080" spans="1:7" x14ac:dyDescent="0.25">
      <c r="A5080" s="116" t="s">
        <v>7977</v>
      </c>
      <c r="B5080" s="117" t="s">
        <v>7978</v>
      </c>
      <c r="C5080" t="s">
        <v>67</v>
      </c>
      <c r="D5080" t="s">
        <v>67</v>
      </c>
      <c r="E5080" t="s">
        <v>67</v>
      </c>
      <c r="F5080" t="s">
        <v>45</v>
      </c>
      <c r="G5080" s="117">
        <v>42.62</v>
      </c>
    </row>
    <row r="5081" spans="1:7" x14ac:dyDescent="0.25">
      <c r="A5081" s="116" t="s">
        <v>7979</v>
      </c>
      <c r="B5081" s="117" t="s">
        <v>7980</v>
      </c>
      <c r="C5081" t="s">
        <v>67</v>
      </c>
      <c r="D5081" t="s">
        <v>67</v>
      </c>
      <c r="E5081" t="s">
        <v>67</v>
      </c>
      <c r="F5081" t="s">
        <v>27987</v>
      </c>
      <c r="G5081" s="117">
        <v>29.81</v>
      </c>
    </row>
    <row r="5082" spans="1:7" x14ac:dyDescent="0.25">
      <c r="A5082" s="116" t="s">
        <v>7981</v>
      </c>
      <c r="B5082" s="117" t="s">
        <v>7982</v>
      </c>
      <c r="C5082" t="s">
        <v>67</v>
      </c>
      <c r="D5082" t="s">
        <v>67</v>
      </c>
      <c r="E5082" t="s">
        <v>67</v>
      </c>
      <c r="F5082" t="s">
        <v>45</v>
      </c>
      <c r="G5082" s="117">
        <v>67.540000000000006</v>
      </c>
    </row>
    <row r="5083" spans="1:7" x14ac:dyDescent="0.25">
      <c r="A5083" s="116" t="s">
        <v>7983</v>
      </c>
      <c r="B5083" s="117" t="s">
        <v>7984</v>
      </c>
      <c r="C5083" t="s">
        <v>67</v>
      </c>
      <c r="D5083" t="s">
        <v>67</v>
      </c>
      <c r="E5083" t="s">
        <v>67</v>
      </c>
      <c r="F5083" t="s">
        <v>45</v>
      </c>
      <c r="G5083" s="117">
        <v>18.239999999999998</v>
      </c>
    </row>
    <row r="5084" spans="1:7" x14ac:dyDescent="0.25">
      <c r="A5084" s="116" t="s">
        <v>7985</v>
      </c>
      <c r="B5084" s="117" t="s">
        <v>7986</v>
      </c>
      <c r="C5084" t="s">
        <v>67</v>
      </c>
      <c r="D5084" t="s">
        <v>67</v>
      </c>
      <c r="E5084" t="s">
        <v>67</v>
      </c>
      <c r="F5084" t="s">
        <v>27987</v>
      </c>
      <c r="G5084" s="117">
        <v>10.68</v>
      </c>
    </row>
    <row r="5085" spans="1:7" x14ac:dyDescent="0.25">
      <c r="A5085" s="116" t="s">
        <v>30867</v>
      </c>
      <c r="B5085" s="117" t="s">
        <v>30868</v>
      </c>
      <c r="C5085" t="s">
        <v>67</v>
      </c>
      <c r="D5085" t="s">
        <v>67</v>
      </c>
      <c r="E5085" t="s">
        <v>67</v>
      </c>
      <c r="F5085" t="s">
        <v>45</v>
      </c>
      <c r="G5085" s="117">
        <v>9999</v>
      </c>
    </row>
    <row r="5086" spans="1:7" x14ac:dyDescent="0.25">
      <c r="A5086" s="116" t="s">
        <v>30869</v>
      </c>
      <c r="B5086" s="117" t="s">
        <v>30870</v>
      </c>
      <c r="C5086" t="s">
        <v>67</v>
      </c>
      <c r="D5086" t="s">
        <v>67</v>
      </c>
      <c r="E5086" t="s">
        <v>67</v>
      </c>
      <c r="F5086" t="s">
        <v>45</v>
      </c>
      <c r="G5086" s="117">
        <v>9999</v>
      </c>
    </row>
    <row r="5087" spans="1:7" x14ac:dyDescent="0.25">
      <c r="A5087" s="116" t="s">
        <v>30871</v>
      </c>
      <c r="B5087" s="117" t="s">
        <v>30872</v>
      </c>
      <c r="C5087" t="s">
        <v>67</v>
      </c>
      <c r="D5087" t="s">
        <v>67</v>
      </c>
      <c r="E5087" t="s">
        <v>67</v>
      </c>
      <c r="F5087" t="s">
        <v>45</v>
      </c>
      <c r="G5087" s="117">
        <v>9999</v>
      </c>
    </row>
    <row r="5088" spans="1:7" x14ac:dyDescent="0.25">
      <c r="A5088" s="116" t="s">
        <v>7987</v>
      </c>
      <c r="B5088" s="117" t="s">
        <v>7988</v>
      </c>
      <c r="C5088" t="s">
        <v>67</v>
      </c>
      <c r="D5088" t="s">
        <v>67</v>
      </c>
      <c r="E5088" t="s">
        <v>67</v>
      </c>
      <c r="F5088" t="s">
        <v>27987</v>
      </c>
      <c r="G5088" s="117">
        <v>20.38</v>
      </c>
    </row>
    <row r="5089" spans="1:7" x14ac:dyDescent="0.25">
      <c r="A5089" s="116" t="s">
        <v>7989</v>
      </c>
      <c r="B5089" s="117" t="s">
        <v>7990</v>
      </c>
      <c r="C5089" t="s">
        <v>67</v>
      </c>
      <c r="D5089" t="s">
        <v>67</v>
      </c>
      <c r="E5089" t="s">
        <v>67</v>
      </c>
      <c r="F5089" t="s">
        <v>27987</v>
      </c>
      <c r="G5089" s="117">
        <v>15.04</v>
      </c>
    </row>
    <row r="5090" spans="1:7" x14ac:dyDescent="0.25">
      <c r="A5090" s="116" t="s">
        <v>7991</v>
      </c>
      <c r="B5090" s="117" t="s">
        <v>7992</v>
      </c>
      <c r="C5090" t="s">
        <v>67</v>
      </c>
      <c r="D5090" t="s">
        <v>67</v>
      </c>
      <c r="E5090" t="s">
        <v>67</v>
      </c>
      <c r="F5090" t="s">
        <v>27987</v>
      </c>
      <c r="G5090" s="117">
        <v>20.02</v>
      </c>
    </row>
    <row r="5091" spans="1:7" x14ac:dyDescent="0.25">
      <c r="A5091" s="116" t="s">
        <v>7993</v>
      </c>
      <c r="B5091" s="117" t="s">
        <v>7994</v>
      </c>
      <c r="C5091" t="s">
        <v>67</v>
      </c>
      <c r="D5091" t="s">
        <v>67</v>
      </c>
      <c r="E5091" t="s">
        <v>67</v>
      </c>
      <c r="F5091" t="s">
        <v>51</v>
      </c>
      <c r="G5091" s="117">
        <v>0.8</v>
      </c>
    </row>
    <row r="5092" spans="1:7" x14ac:dyDescent="0.25">
      <c r="A5092" s="116" t="s">
        <v>7995</v>
      </c>
      <c r="B5092" s="117" t="s">
        <v>7996</v>
      </c>
      <c r="C5092" t="s">
        <v>67</v>
      </c>
      <c r="D5092" t="s">
        <v>67</v>
      </c>
      <c r="E5092" t="s">
        <v>67</v>
      </c>
      <c r="F5092" t="s">
        <v>49</v>
      </c>
      <c r="G5092" s="117">
        <v>3.48</v>
      </c>
    </row>
    <row r="5093" spans="1:7" x14ac:dyDescent="0.25">
      <c r="A5093" s="116" t="s">
        <v>7997</v>
      </c>
      <c r="B5093" s="117" t="s">
        <v>7998</v>
      </c>
      <c r="C5093" t="s">
        <v>67</v>
      </c>
      <c r="D5093" t="s">
        <v>67</v>
      </c>
      <c r="E5093" t="s">
        <v>67</v>
      </c>
      <c r="F5093" t="s">
        <v>49</v>
      </c>
      <c r="G5093" s="117">
        <v>3.23</v>
      </c>
    </row>
    <row r="5094" spans="1:7" x14ac:dyDescent="0.25">
      <c r="A5094" s="116" t="s">
        <v>7999</v>
      </c>
      <c r="B5094" s="117" t="s">
        <v>8000</v>
      </c>
      <c r="C5094" t="s">
        <v>67</v>
      </c>
      <c r="D5094" t="s">
        <v>67</v>
      </c>
      <c r="E5094" t="s">
        <v>67</v>
      </c>
      <c r="F5094" t="s">
        <v>49</v>
      </c>
      <c r="G5094" s="117">
        <v>0.44</v>
      </c>
    </row>
    <row r="5095" spans="1:7" x14ac:dyDescent="0.25">
      <c r="A5095" s="116" t="s">
        <v>8001</v>
      </c>
      <c r="B5095" s="117" t="s">
        <v>30429</v>
      </c>
      <c r="C5095" t="s">
        <v>67</v>
      </c>
      <c r="D5095" t="s">
        <v>67</v>
      </c>
      <c r="E5095" t="s">
        <v>67</v>
      </c>
      <c r="F5095" t="s">
        <v>49</v>
      </c>
      <c r="G5095" s="117">
        <v>0.8</v>
      </c>
    </row>
    <row r="5096" spans="1:7" x14ac:dyDescent="0.25">
      <c r="A5096" s="116" t="s">
        <v>8002</v>
      </c>
      <c r="B5096" s="117" t="s">
        <v>8003</v>
      </c>
      <c r="C5096" t="s">
        <v>67</v>
      </c>
      <c r="D5096" t="s">
        <v>67</v>
      </c>
      <c r="E5096" t="s">
        <v>67</v>
      </c>
      <c r="F5096" t="s">
        <v>49</v>
      </c>
      <c r="G5096" s="117">
        <v>1.77</v>
      </c>
    </row>
    <row r="5097" spans="1:7" x14ac:dyDescent="0.25">
      <c r="A5097" s="116" t="s">
        <v>8004</v>
      </c>
      <c r="B5097" s="117" t="s">
        <v>28748</v>
      </c>
      <c r="C5097" t="s">
        <v>67</v>
      </c>
      <c r="D5097" t="s">
        <v>67</v>
      </c>
      <c r="E5097" t="s">
        <v>67</v>
      </c>
      <c r="F5097" t="s">
        <v>49</v>
      </c>
      <c r="G5097" s="117">
        <v>1.69</v>
      </c>
    </row>
    <row r="5098" spans="1:7" x14ac:dyDescent="0.25">
      <c r="A5098" s="116" t="s">
        <v>8005</v>
      </c>
      <c r="B5098" s="117" t="s">
        <v>8006</v>
      </c>
      <c r="C5098" t="s">
        <v>67</v>
      </c>
      <c r="D5098" t="s">
        <v>67</v>
      </c>
      <c r="E5098" t="s">
        <v>67</v>
      </c>
      <c r="F5098" t="s">
        <v>27987</v>
      </c>
      <c r="G5098" s="117">
        <v>0.25</v>
      </c>
    </row>
    <row r="5099" spans="1:7" x14ac:dyDescent="0.25">
      <c r="A5099" s="116" t="s">
        <v>8007</v>
      </c>
      <c r="B5099" s="117" t="s">
        <v>8008</v>
      </c>
      <c r="C5099" t="s">
        <v>67</v>
      </c>
      <c r="D5099" t="s">
        <v>67</v>
      </c>
      <c r="E5099" t="s">
        <v>67</v>
      </c>
      <c r="F5099" t="s">
        <v>49</v>
      </c>
      <c r="G5099" s="117">
        <v>0.8</v>
      </c>
    </row>
    <row r="5100" spans="1:7" x14ac:dyDescent="0.25">
      <c r="A5100" s="116" t="s">
        <v>8009</v>
      </c>
      <c r="B5100" s="117" t="s">
        <v>8010</v>
      </c>
      <c r="C5100" t="s">
        <v>67</v>
      </c>
      <c r="D5100" t="s">
        <v>67</v>
      </c>
      <c r="E5100" t="s">
        <v>67</v>
      </c>
      <c r="F5100" t="s">
        <v>49</v>
      </c>
      <c r="G5100" s="117">
        <v>0.44</v>
      </c>
    </row>
    <row r="5101" spans="1:7" x14ac:dyDescent="0.25">
      <c r="A5101" s="116" t="s">
        <v>8011</v>
      </c>
      <c r="B5101" s="117" t="s">
        <v>8012</v>
      </c>
      <c r="C5101" t="s">
        <v>67</v>
      </c>
      <c r="D5101" t="s">
        <v>67</v>
      </c>
      <c r="E5101" t="s">
        <v>67</v>
      </c>
      <c r="F5101" t="s">
        <v>45</v>
      </c>
      <c r="G5101" s="117">
        <v>1.33</v>
      </c>
    </row>
    <row r="5102" spans="1:7" x14ac:dyDescent="0.25">
      <c r="A5102" s="116" t="s">
        <v>8013</v>
      </c>
      <c r="B5102" s="117" t="s">
        <v>8014</v>
      </c>
      <c r="C5102" t="s">
        <v>67</v>
      </c>
      <c r="D5102" t="s">
        <v>67</v>
      </c>
      <c r="E5102" t="s">
        <v>67</v>
      </c>
      <c r="F5102" t="s">
        <v>49</v>
      </c>
      <c r="G5102" s="117">
        <v>2.58</v>
      </c>
    </row>
    <row r="5103" spans="1:7" x14ac:dyDescent="0.25">
      <c r="A5103" s="116" t="s">
        <v>8015</v>
      </c>
      <c r="B5103" s="117" t="s">
        <v>8016</v>
      </c>
      <c r="C5103" t="s">
        <v>67</v>
      </c>
      <c r="D5103" t="s">
        <v>67</v>
      </c>
      <c r="E5103" t="s">
        <v>67</v>
      </c>
      <c r="F5103" t="s">
        <v>27987</v>
      </c>
      <c r="G5103" s="117">
        <v>0.8</v>
      </c>
    </row>
    <row r="5104" spans="1:7" x14ac:dyDescent="0.25">
      <c r="A5104" s="116" t="s">
        <v>8017</v>
      </c>
      <c r="B5104" s="117" t="s">
        <v>8018</v>
      </c>
      <c r="C5104" t="s">
        <v>67</v>
      </c>
      <c r="D5104" t="s">
        <v>67</v>
      </c>
      <c r="E5104" t="s">
        <v>67</v>
      </c>
      <c r="F5104" t="s">
        <v>27987</v>
      </c>
      <c r="G5104" s="117">
        <v>0.44</v>
      </c>
    </row>
    <row r="5105" spans="1:7" x14ac:dyDescent="0.25">
      <c r="A5105" s="116" t="s">
        <v>8019</v>
      </c>
      <c r="B5105" s="117" t="s">
        <v>8020</v>
      </c>
      <c r="C5105" t="s">
        <v>67</v>
      </c>
      <c r="D5105" t="s">
        <v>67</v>
      </c>
      <c r="E5105" t="s">
        <v>67</v>
      </c>
      <c r="F5105" t="s">
        <v>49</v>
      </c>
      <c r="G5105" s="117">
        <v>0.8</v>
      </c>
    </row>
    <row r="5106" spans="1:7" x14ac:dyDescent="0.25">
      <c r="A5106" s="116" t="s">
        <v>8021</v>
      </c>
      <c r="B5106" s="117" t="s">
        <v>8022</v>
      </c>
      <c r="C5106" t="s">
        <v>67</v>
      </c>
      <c r="D5106" t="s">
        <v>67</v>
      </c>
      <c r="E5106" t="s">
        <v>67</v>
      </c>
      <c r="F5106" t="s">
        <v>27987</v>
      </c>
      <c r="G5106" s="117">
        <v>1.33</v>
      </c>
    </row>
    <row r="5107" spans="1:7" x14ac:dyDescent="0.25">
      <c r="A5107" s="116" t="s">
        <v>8023</v>
      </c>
      <c r="B5107" s="117" t="s">
        <v>8024</v>
      </c>
      <c r="C5107" t="s">
        <v>67</v>
      </c>
      <c r="D5107" t="s">
        <v>67</v>
      </c>
      <c r="E5107" t="s">
        <v>67</v>
      </c>
      <c r="F5107" t="s">
        <v>27987</v>
      </c>
      <c r="G5107" s="117">
        <v>13.26</v>
      </c>
    </row>
    <row r="5108" spans="1:7" x14ac:dyDescent="0.25">
      <c r="A5108" s="116" t="s">
        <v>8025</v>
      </c>
      <c r="B5108" s="117" t="s">
        <v>8026</v>
      </c>
      <c r="C5108" t="s">
        <v>67</v>
      </c>
      <c r="D5108" t="s">
        <v>67</v>
      </c>
      <c r="E5108" t="s">
        <v>67</v>
      </c>
      <c r="F5108" t="s">
        <v>49</v>
      </c>
      <c r="G5108" s="117">
        <v>4.8899999999999997</v>
      </c>
    </row>
    <row r="5109" spans="1:7" x14ac:dyDescent="0.25">
      <c r="A5109" s="116" t="s">
        <v>8027</v>
      </c>
      <c r="B5109" s="117" t="s">
        <v>8028</v>
      </c>
      <c r="C5109" t="s">
        <v>67</v>
      </c>
      <c r="D5109" t="s">
        <v>67</v>
      </c>
      <c r="E5109" t="s">
        <v>67</v>
      </c>
      <c r="F5109" t="s">
        <v>45</v>
      </c>
      <c r="G5109" s="117">
        <v>3.12</v>
      </c>
    </row>
    <row r="5110" spans="1:7" x14ac:dyDescent="0.25">
      <c r="A5110" s="116" t="s">
        <v>8029</v>
      </c>
      <c r="B5110" s="117" t="s">
        <v>8030</v>
      </c>
      <c r="C5110" t="s">
        <v>67</v>
      </c>
      <c r="D5110" t="s">
        <v>67</v>
      </c>
      <c r="E5110" t="s">
        <v>67</v>
      </c>
      <c r="F5110" t="s">
        <v>27987</v>
      </c>
      <c r="G5110" s="117">
        <v>2.23</v>
      </c>
    </row>
    <row r="5111" spans="1:7" x14ac:dyDescent="0.25">
      <c r="A5111" s="116" t="s">
        <v>8031</v>
      </c>
      <c r="B5111" s="117" t="s">
        <v>8032</v>
      </c>
      <c r="C5111" t="s">
        <v>67</v>
      </c>
      <c r="D5111" t="s">
        <v>67</v>
      </c>
      <c r="E5111" t="s">
        <v>67</v>
      </c>
      <c r="F5111" t="s">
        <v>49</v>
      </c>
      <c r="G5111" s="117">
        <v>10.58</v>
      </c>
    </row>
    <row r="5112" spans="1:7" x14ac:dyDescent="0.25">
      <c r="A5112" s="116" t="s">
        <v>8033</v>
      </c>
      <c r="B5112" s="117" t="s">
        <v>184</v>
      </c>
      <c r="C5112" t="s">
        <v>67</v>
      </c>
      <c r="D5112" t="s">
        <v>67</v>
      </c>
      <c r="E5112" t="s">
        <v>67</v>
      </c>
      <c r="F5112" t="s">
        <v>49</v>
      </c>
      <c r="G5112" s="117">
        <v>8.4499999999999993</v>
      </c>
    </row>
    <row r="5113" spans="1:7" x14ac:dyDescent="0.25">
      <c r="A5113" s="116" t="s">
        <v>8034</v>
      </c>
      <c r="B5113" s="117" t="s">
        <v>8035</v>
      </c>
      <c r="C5113" t="s">
        <v>67</v>
      </c>
      <c r="D5113" t="s">
        <v>67</v>
      </c>
      <c r="E5113" t="s">
        <v>67</v>
      </c>
      <c r="F5113" t="s">
        <v>27987</v>
      </c>
      <c r="G5113" s="117">
        <v>1.27</v>
      </c>
    </row>
    <row r="5114" spans="1:7" x14ac:dyDescent="0.25">
      <c r="A5114" s="116" t="s">
        <v>8036</v>
      </c>
      <c r="B5114" s="117" t="s">
        <v>8037</v>
      </c>
      <c r="C5114" t="s">
        <v>67</v>
      </c>
      <c r="D5114" t="s">
        <v>67</v>
      </c>
      <c r="E5114" t="s">
        <v>67</v>
      </c>
      <c r="F5114" t="s">
        <v>49</v>
      </c>
      <c r="G5114" s="117">
        <v>1.77</v>
      </c>
    </row>
    <row r="5115" spans="1:7" x14ac:dyDescent="0.25">
      <c r="A5115" s="116" t="s">
        <v>8038</v>
      </c>
      <c r="B5115" s="117" t="s">
        <v>8039</v>
      </c>
      <c r="C5115" t="s">
        <v>67</v>
      </c>
      <c r="D5115" t="s">
        <v>67</v>
      </c>
      <c r="E5115" t="s">
        <v>67</v>
      </c>
      <c r="F5115" t="s">
        <v>27990</v>
      </c>
      <c r="G5115" s="117">
        <v>0.8</v>
      </c>
    </row>
    <row r="5116" spans="1:7" x14ac:dyDescent="0.25">
      <c r="A5116" s="116" t="s">
        <v>8040</v>
      </c>
      <c r="B5116" s="117" t="s">
        <v>8026</v>
      </c>
      <c r="C5116" t="s">
        <v>67</v>
      </c>
      <c r="D5116" t="s">
        <v>67</v>
      </c>
      <c r="E5116" t="s">
        <v>67</v>
      </c>
      <c r="F5116" t="s">
        <v>27987</v>
      </c>
      <c r="G5116" s="117">
        <v>33.369999999999997</v>
      </c>
    </row>
    <row r="5117" spans="1:7" x14ac:dyDescent="0.25">
      <c r="A5117" s="116" t="s">
        <v>8041</v>
      </c>
      <c r="B5117" s="117" t="s">
        <v>8042</v>
      </c>
      <c r="C5117" t="s">
        <v>67</v>
      </c>
      <c r="D5117" t="s">
        <v>67</v>
      </c>
      <c r="E5117" t="s">
        <v>67</v>
      </c>
      <c r="F5117" t="s">
        <v>45</v>
      </c>
      <c r="G5117" s="117">
        <v>1.69</v>
      </c>
    </row>
    <row r="5118" spans="1:7" x14ac:dyDescent="0.25">
      <c r="A5118" s="116" t="s">
        <v>8043</v>
      </c>
      <c r="B5118" s="117" t="s">
        <v>8044</v>
      </c>
      <c r="C5118" t="s">
        <v>67</v>
      </c>
      <c r="D5118" t="s">
        <v>67</v>
      </c>
      <c r="E5118" t="s">
        <v>67</v>
      </c>
      <c r="F5118" t="s">
        <v>45</v>
      </c>
      <c r="G5118" s="117">
        <v>2.58</v>
      </c>
    </row>
    <row r="5119" spans="1:7" x14ac:dyDescent="0.25">
      <c r="A5119" s="116" t="s">
        <v>8045</v>
      </c>
      <c r="B5119" s="117" t="s">
        <v>8046</v>
      </c>
      <c r="C5119" t="s">
        <v>67</v>
      </c>
      <c r="D5119" t="s">
        <v>67</v>
      </c>
      <c r="E5119" t="s">
        <v>67</v>
      </c>
      <c r="F5119" t="s">
        <v>27987</v>
      </c>
      <c r="G5119" s="117">
        <v>4.3600000000000003</v>
      </c>
    </row>
    <row r="5120" spans="1:7" x14ac:dyDescent="0.25">
      <c r="A5120" s="116" t="s">
        <v>8047</v>
      </c>
      <c r="B5120" s="117" t="s">
        <v>8048</v>
      </c>
      <c r="C5120" t="s">
        <v>67</v>
      </c>
      <c r="D5120" t="s">
        <v>67</v>
      </c>
      <c r="E5120" t="s">
        <v>67</v>
      </c>
      <c r="F5120" t="s">
        <v>49</v>
      </c>
      <c r="G5120" s="117">
        <v>1.33</v>
      </c>
    </row>
    <row r="5121" spans="1:7" x14ac:dyDescent="0.25">
      <c r="A5121" s="116" t="s">
        <v>8049</v>
      </c>
      <c r="B5121" s="117" t="s">
        <v>8050</v>
      </c>
      <c r="C5121" t="s">
        <v>67</v>
      </c>
      <c r="D5121" t="s">
        <v>67</v>
      </c>
      <c r="E5121" t="s">
        <v>67</v>
      </c>
      <c r="F5121" t="s">
        <v>45</v>
      </c>
      <c r="G5121" s="117">
        <v>1.69</v>
      </c>
    </row>
    <row r="5122" spans="1:7" x14ac:dyDescent="0.25">
      <c r="A5122" s="116" t="s">
        <v>26640</v>
      </c>
      <c r="B5122" s="117" t="s">
        <v>28749</v>
      </c>
      <c r="C5122" t="s">
        <v>67</v>
      </c>
      <c r="D5122" t="s">
        <v>67</v>
      </c>
      <c r="E5122" t="s">
        <v>67</v>
      </c>
      <c r="F5122" t="s">
        <v>49</v>
      </c>
      <c r="G5122" s="117">
        <v>0.9</v>
      </c>
    </row>
    <row r="5123" spans="1:7" x14ac:dyDescent="0.25">
      <c r="A5123" s="116" t="s">
        <v>8051</v>
      </c>
      <c r="B5123" s="117" t="s">
        <v>8052</v>
      </c>
      <c r="C5123" t="s">
        <v>67</v>
      </c>
      <c r="D5123" t="s">
        <v>67</v>
      </c>
      <c r="E5123" t="s">
        <v>67</v>
      </c>
      <c r="F5123" t="s">
        <v>27987</v>
      </c>
      <c r="G5123" s="117">
        <v>10.58</v>
      </c>
    </row>
    <row r="5124" spans="1:7" x14ac:dyDescent="0.25">
      <c r="A5124" s="116" t="s">
        <v>8053</v>
      </c>
      <c r="B5124" s="117" t="s">
        <v>8054</v>
      </c>
      <c r="C5124" t="s">
        <v>67</v>
      </c>
      <c r="D5124" t="s">
        <v>67</v>
      </c>
      <c r="E5124" t="s">
        <v>67</v>
      </c>
      <c r="F5124" t="s">
        <v>45</v>
      </c>
      <c r="G5124" s="117">
        <v>1.33</v>
      </c>
    </row>
    <row r="5125" spans="1:7" x14ac:dyDescent="0.25">
      <c r="A5125" s="116" t="s">
        <v>8055</v>
      </c>
      <c r="B5125" s="117" t="s">
        <v>8056</v>
      </c>
      <c r="C5125" t="s">
        <v>67</v>
      </c>
      <c r="D5125" t="s">
        <v>67</v>
      </c>
      <c r="E5125" t="s">
        <v>67</v>
      </c>
      <c r="F5125" t="s">
        <v>49</v>
      </c>
      <c r="G5125" s="117">
        <v>0.44</v>
      </c>
    </row>
    <row r="5126" spans="1:7" x14ac:dyDescent="0.25">
      <c r="A5126" s="116" t="s">
        <v>8057</v>
      </c>
      <c r="B5126" s="117" t="s">
        <v>8058</v>
      </c>
      <c r="C5126" t="s">
        <v>67</v>
      </c>
      <c r="D5126" t="s">
        <v>67</v>
      </c>
      <c r="E5126" t="s">
        <v>67</v>
      </c>
      <c r="F5126" t="s">
        <v>45</v>
      </c>
      <c r="G5126" s="117">
        <v>5.25</v>
      </c>
    </row>
    <row r="5127" spans="1:7" x14ac:dyDescent="0.25">
      <c r="A5127" s="116" t="s">
        <v>8059</v>
      </c>
      <c r="B5127" s="117" t="s">
        <v>8060</v>
      </c>
      <c r="C5127" t="s">
        <v>67</v>
      </c>
      <c r="D5127" t="s">
        <v>67</v>
      </c>
      <c r="E5127" t="s">
        <v>67</v>
      </c>
      <c r="F5127" t="s">
        <v>49</v>
      </c>
      <c r="G5127" s="117">
        <v>0.8</v>
      </c>
    </row>
    <row r="5128" spans="1:7" x14ac:dyDescent="0.25">
      <c r="A5128" s="116" t="s">
        <v>8061</v>
      </c>
      <c r="B5128" s="117" t="s">
        <v>8062</v>
      </c>
      <c r="C5128" t="s">
        <v>67</v>
      </c>
      <c r="D5128" t="s">
        <v>67</v>
      </c>
      <c r="E5128" t="s">
        <v>67</v>
      </c>
      <c r="F5128" t="s">
        <v>27987</v>
      </c>
      <c r="G5128" s="117">
        <v>3.56</v>
      </c>
    </row>
    <row r="5129" spans="1:7" x14ac:dyDescent="0.25">
      <c r="A5129" s="116" t="s">
        <v>8063</v>
      </c>
      <c r="B5129" s="117" t="s">
        <v>8064</v>
      </c>
      <c r="C5129" t="s">
        <v>67</v>
      </c>
      <c r="D5129" t="s">
        <v>67</v>
      </c>
      <c r="E5129" t="s">
        <v>67</v>
      </c>
      <c r="F5129" t="s">
        <v>27987</v>
      </c>
      <c r="G5129" s="117">
        <v>1.69</v>
      </c>
    </row>
    <row r="5130" spans="1:7" x14ac:dyDescent="0.25">
      <c r="A5130" s="116" t="s">
        <v>8065</v>
      </c>
      <c r="B5130" s="117" t="s">
        <v>8066</v>
      </c>
      <c r="C5130" t="s">
        <v>67</v>
      </c>
      <c r="D5130" t="s">
        <v>67</v>
      </c>
      <c r="E5130" t="s">
        <v>67</v>
      </c>
      <c r="F5130" t="s">
        <v>27987</v>
      </c>
      <c r="G5130" s="117">
        <v>3.12</v>
      </c>
    </row>
    <row r="5131" spans="1:7" x14ac:dyDescent="0.25">
      <c r="A5131" s="116" t="s">
        <v>8067</v>
      </c>
      <c r="B5131" s="117" t="s">
        <v>8068</v>
      </c>
      <c r="C5131" t="s">
        <v>67</v>
      </c>
      <c r="D5131" t="s">
        <v>67</v>
      </c>
      <c r="E5131" t="s">
        <v>67</v>
      </c>
      <c r="F5131" t="s">
        <v>45</v>
      </c>
      <c r="G5131" s="117">
        <v>1.77</v>
      </c>
    </row>
    <row r="5132" spans="1:7" x14ac:dyDescent="0.25">
      <c r="A5132" s="116" t="s">
        <v>8069</v>
      </c>
      <c r="B5132" s="117" t="s">
        <v>8070</v>
      </c>
      <c r="C5132" t="s">
        <v>67</v>
      </c>
      <c r="D5132" t="s">
        <v>67</v>
      </c>
      <c r="E5132" t="s">
        <v>67</v>
      </c>
      <c r="F5132" t="s">
        <v>27987</v>
      </c>
      <c r="G5132" s="117">
        <v>10.67</v>
      </c>
    </row>
    <row r="5133" spans="1:7" x14ac:dyDescent="0.25">
      <c r="A5133" s="116" t="s">
        <v>8071</v>
      </c>
      <c r="B5133" s="117" t="s">
        <v>8072</v>
      </c>
      <c r="C5133" t="s">
        <v>67</v>
      </c>
      <c r="D5133" t="s">
        <v>67</v>
      </c>
      <c r="E5133" t="s">
        <v>67</v>
      </c>
      <c r="F5133" t="s">
        <v>27987</v>
      </c>
      <c r="G5133" s="117">
        <v>0.8</v>
      </c>
    </row>
    <row r="5134" spans="1:7" x14ac:dyDescent="0.25">
      <c r="A5134" s="116" t="s">
        <v>8073</v>
      </c>
      <c r="B5134" s="117" t="s">
        <v>8074</v>
      </c>
      <c r="C5134" t="s">
        <v>67</v>
      </c>
      <c r="D5134" t="s">
        <v>67</v>
      </c>
      <c r="E5134" t="s">
        <v>67</v>
      </c>
      <c r="F5134" t="s">
        <v>27987</v>
      </c>
      <c r="G5134" s="117">
        <v>2.23</v>
      </c>
    </row>
    <row r="5135" spans="1:7" x14ac:dyDescent="0.25">
      <c r="A5135" s="116" t="s">
        <v>8075</v>
      </c>
      <c r="B5135" s="117" t="s">
        <v>8076</v>
      </c>
      <c r="C5135" t="s">
        <v>67</v>
      </c>
      <c r="D5135" t="s">
        <v>67</v>
      </c>
      <c r="E5135" t="s">
        <v>67</v>
      </c>
      <c r="F5135" t="s">
        <v>49</v>
      </c>
      <c r="G5135" s="117">
        <v>2.23</v>
      </c>
    </row>
    <row r="5136" spans="1:7" x14ac:dyDescent="0.25">
      <c r="A5136" s="116" t="s">
        <v>8077</v>
      </c>
      <c r="B5136" s="117" t="s">
        <v>8078</v>
      </c>
      <c r="C5136" t="s">
        <v>67</v>
      </c>
      <c r="D5136" t="s">
        <v>67</v>
      </c>
      <c r="E5136" t="s">
        <v>67</v>
      </c>
      <c r="F5136" t="s">
        <v>49</v>
      </c>
      <c r="G5136" s="117">
        <v>1.77</v>
      </c>
    </row>
    <row r="5137" spans="1:7" x14ac:dyDescent="0.25">
      <c r="A5137" s="116" t="s">
        <v>8079</v>
      </c>
      <c r="B5137" s="117" t="s">
        <v>8080</v>
      </c>
      <c r="C5137" t="s">
        <v>67</v>
      </c>
      <c r="D5137" t="s">
        <v>67</v>
      </c>
      <c r="E5137" t="s">
        <v>67</v>
      </c>
      <c r="F5137" t="s">
        <v>45</v>
      </c>
      <c r="G5137" s="117">
        <v>1.33</v>
      </c>
    </row>
    <row r="5138" spans="1:7" x14ac:dyDescent="0.25">
      <c r="A5138" s="116" t="s">
        <v>8081</v>
      </c>
      <c r="B5138" s="117" t="s">
        <v>8082</v>
      </c>
      <c r="C5138" t="s">
        <v>67</v>
      </c>
      <c r="D5138" t="s">
        <v>67</v>
      </c>
      <c r="E5138" t="s">
        <v>67</v>
      </c>
      <c r="F5138" t="s">
        <v>27987</v>
      </c>
      <c r="G5138" s="117">
        <v>3.56</v>
      </c>
    </row>
    <row r="5139" spans="1:7" x14ac:dyDescent="0.25">
      <c r="A5139" s="116" t="s">
        <v>8083</v>
      </c>
      <c r="B5139" s="117" t="s">
        <v>8084</v>
      </c>
      <c r="C5139" t="s">
        <v>67</v>
      </c>
      <c r="D5139" t="s">
        <v>67</v>
      </c>
      <c r="E5139" t="s">
        <v>67</v>
      </c>
      <c r="F5139" t="s">
        <v>45</v>
      </c>
      <c r="G5139" s="117">
        <v>3.12</v>
      </c>
    </row>
    <row r="5140" spans="1:7" x14ac:dyDescent="0.25">
      <c r="A5140" s="116" t="s">
        <v>8085</v>
      </c>
      <c r="B5140" s="117" t="s">
        <v>8086</v>
      </c>
      <c r="C5140" t="s">
        <v>67</v>
      </c>
      <c r="D5140" t="s">
        <v>67</v>
      </c>
      <c r="E5140" t="s">
        <v>67</v>
      </c>
      <c r="F5140" t="s">
        <v>27987</v>
      </c>
      <c r="G5140" s="117">
        <v>3.12</v>
      </c>
    </row>
    <row r="5141" spans="1:7" x14ac:dyDescent="0.25">
      <c r="A5141" s="116" t="s">
        <v>8087</v>
      </c>
      <c r="B5141" s="117" t="s">
        <v>8088</v>
      </c>
      <c r="C5141" t="s">
        <v>67</v>
      </c>
      <c r="D5141" t="s">
        <v>67</v>
      </c>
      <c r="E5141" t="s">
        <v>67</v>
      </c>
      <c r="F5141" t="s">
        <v>27987</v>
      </c>
      <c r="G5141" s="117">
        <v>0.44</v>
      </c>
    </row>
    <row r="5142" spans="1:7" x14ac:dyDescent="0.25">
      <c r="A5142" s="116" t="s">
        <v>8089</v>
      </c>
      <c r="B5142" s="117" t="s">
        <v>8090</v>
      </c>
      <c r="C5142" t="s">
        <v>67</v>
      </c>
      <c r="D5142" t="s">
        <v>67</v>
      </c>
      <c r="E5142" t="s">
        <v>67</v>
      </c>
      <c r="F5142" t="s">
        <v>45</v>
      </c>
      <c r="G5142" s="117">
        <v>3.12</v>
      </c>
    </row>
    <row r="5143" spans="1:7" x14ac:dyDescent="0.25">
      <c r="A5143" s="116" t="s">
        <v>8091</v>
      </c>
      <c r="B5143" s="117" t="s">
        <v>8092</v>
      </c>
      <c r="C5143" t="s">
        <v>67</v>
      </c>
      <c r="D5143" t="s">
        <v>67</v>
      </c>
      <c r="E5143" t="s">
        <v>67</v>
      </c>
      <c r="F5143" t="s">
        <v>27987</v>
      </c>
      <c r="G5143" s="117">
        <v>3.56</v>
      </c>
    </row>
    <row r="5144" spans="1:7" x14ac:dyDescent="0.25">
      <c r="A5144" s="116" t="s">
        <v>8093</v>
      </c>
      <c r="B5144" s="117" t="s">
        <v>8094</v>
      </c>
      <c r="C5144" t="s">
        <v>67</v>
      </c>
      <c r="D5144" t="s">
        <v>67</v>
      </c>
      <c r="E5144" t="s">
        <v>67</v>
      </c>
      <c r="F5144" t="s">
        <v>27987</v>
      </c>
      <c r="G5144" s="117">
        <v>3.12</v>
      </c>
    </row>
    <row r="5145" spans="1:7" x14ac:dyDescent="0.25">
      <c r="A5145" s="116" t="s">
        <v>8095</v>
      </c>
      <c r="B5145" s="117" t="s">
        <v>8096</v>
      </c>
      <c r="C5145" t="s">
        <v>67</v>
      </c>
      <c r="D5145" t="s">
        <v>67</v>
      </c>
      <c r="E5145" t="s">
        <v>67</v>
      </c>
      <c r="F5145" t="s">
        <v>27987</v>
      </c>
      <c r="G5145" s="117">
        <v>1.33</v>
      </c>
    </row>
    <row r="5146" spans="1:7" x14ac:dyDescent="0.25">
      <c r="A5146" s="116" t="s">
        <v>8097</v>
      </c>
      <c r="B5146" s="117" t="s">
        <v>8098</v>
      </c>
      <c r="C5146" t="s">
        <v>67</v>
      </c>
      <c r="D5146" t="s">
        <v>67</v>
      </c>
      <c r="E5146" t="s">
        <v>67</v>
      </c>
      <c r="F5146" t="s">
        <v>27987</v>
      </c>
      <c r="G5146" s="117">
        <v>2.58</v>
      </c>
    </row>
    <row r="5147" spans="1:7" x14ac:dyDescent="0.25">
      <c r="A5147" s="116" t="s">
        <v>8099</v>
      </c>
      <c r="B5147" s="117" t="s">
        <v>8100</v>
      </c>
      <c r="C5147" t="s">
        <v>67</v>
      </c>
      <c r="D5147" t="s">
        <v>67</v>
      </c>
      <c r="E5147" t="s">
        <v>67</v>
      </c>
      <c r="F5147" t="s">
        <v>49</v>
      </c>
      <c r="G5147" s="117">
        <v>3.56</v>
      </c>
    </row>
    <row r="5148" spans="1:7" x14ac:dyDescent="0.25">
      <c r="A5148" s="116" t="s">
        <v>8101</v>
      </c>
      <c r="B5148" s="117" t="s">
        <v>8102</v>
      </c>
      <c r="C5148" t="s">
        <v>67</v>
      </c>
      <c r="D5148" t="s">
        <v>67</v>
      </c>
      <c r="E5148" t="s">
        <v>67</v>
      </c>
      <c r="F5148" t="s">
        <v>49</v>
      </c>
      <c r="G5148" s="117">
        <v>1.77</v>
      </c>
    </row>
    <row r="5149" spans="1:7" x14ac:dyDescent="0.25">
      <c r="A5149" s="116" t="s">
        <v>8103</v>
      </c>
      <c r="B5149" s="117" t="s">
        <v>8072</v>
      </c>
      <c r="C5149" t="s">
        <v>67</v>
      </c>
      <c r="D5149" t="s">
        <v>67</v>
      </c>
      <c r="E5149" t="s">
        <v>67</v>
      </c>
      <c r="F5149" t="s">
        <v>45</v>
      </c>
      <c r="G5149" s="117">
        <v>2.58</v>
      </c>
    </row>
    <row r="5150" spans="1:7" x14ac:dyDescent="0.25">
      <c r="A5150" s="116" t="s">
        <v>8104</v>
      </c>
      <c r="B5150" s="117" t="s">
        <v>8105</v>
      </c>
      <c r="C5150" t="s">
        <v>67</v>
      </c>
      <c r="D5150" t="s">
        <v>67</v>
      </c>
      <c r="E5150" t="s">
        <v>67</v>
      </c>
      <c r="F5150" t="s">
        <v>27987</v>
      </c>
      <c r="G5150" s="117">
        <v>1.69</v>
      </c>
    </row>
    <row r="5151" spans="1:7" x14ac:dyDescent="0.25">
      <c r="A5151" s="116" t="s">
        <v>8106</v>
      </c>
      <c r="B5151" s="117" t="s">
        <v>8107</v>
      </c>
      <c r="C5151" t="s">
        <v>67</v>
      </c>
      <c r="D5151" t="s">
        <v>67</v>
      </c>
      <c r="E5151" t="s">
        <v>67</v>
      </c>
      <c r="F5151" t="s">
        <v>27987</v>
      </c>
      <c r="G5151" s="117">
        <v>1.33</v>
      </c>
    </row>
    <row r="5152" spans="1:7" x14ac:dyDescent="0.25">
      <c r="A5152" s="116" t="s">
        <v>8108</v>
      </c>
      <c r="B5152" s="117" t="s">
        <v>8109</v>
      </c>
      <c r="C5152" t="s">
        <v>67</v>
      </c>
      <c r="D5152" t="s">
        <v>67</v>
      </c>
      <c r="E5152" t="s">
        <v>67</v>
      </c>
      <c r="F5152" t="s">
        <v>45</v>
      </c>
      <c r="G5152" s="117">
        <v>0.8</v>
      </c>
    </row>
    <row r="5153" spans="1:7" x14ac:dyDescent="0.25">
      <c r="A5153" s="116" t="s">
        <v>8110</v>
      </c>
      <c r="B5153" s="117" t="s">
        <v>8111</v>
      </c>
      <c r="C5153" t="s">
        <v>67</v>
      </c>
      <c r="D5153" t="s">
        <v>67</v>
      </c>
      <c r="E5153" t="s">
        <v>67</v>
      </c>
      <c r="F5153" t="s">
        <v>27987</v>
      </c>
      <c r="G5153" s="117">
        <v>1.77</v>
      </c>
    </row>
    <row r="5154" spans="1:7" x14ac:dyDescent="0.25">
      <c r="A5154" s="116" t="s">
        <v>8112</v>
      </c>
      <c r="B5154" s="117" t="s">
        <v>8113</v>
      </c>
      <c r="C5154" t="s">
        <v>67</v>
      </c>
      <c r="D5154" t="s">
        <v>67</v>
      </c>
      <c r="E5154" t="s">
        <v>67</v>
      </c>
      <c r="F5154" t="s">
        <v>45</v>
      </c>
      <c r="G5154" s="117">
        <v>3.12</v>
      </c>
    </row>
    <row r="5155" spans="1:7" x14ac:dyDescent="0.25">
      <c r="A5155" s="116" t="s">
        <v>8114</v>
      </c>
      <c r="B5155" s="117" t="s">
        <v>8115</v>
      </c>
      <c r="C5155" t="s">
        <v>67</v>
      </c>
      <c r="D5155" t="s">
        <v>67</v>
      </c>
      <c r="E5155" t="s">
        <v>67</v>
      </c>
      <c r="F5155" t="s">
        <v>51</v>
      </c>
      <c r="G5155" s="117">
        <v>1.33</v>
      </c>
    </row>
    <row r="5156" spans="1:7" x14ac:dyDescent="0.25">
      <c r="A5156" s="116" t="s">
        <v>8116</v>
      </c>
      <c r="B5156" s="117" t="s">
        <v>8117</v>
      </c>
      <c r="C5156" t="s">
        <v>67</v>
      </c>
      <c r="D5156" t="s">
        <v>67</v>
      </c>
      <c r="E5156" t="s">
        <v>67</v>
      </c>
      <c r="F5156" t="s">
        <v>27987</v>
      </c>
      <c r="G5156" s="117">
        <v>2.58</v>
      </c>
    </row>
    <row r="5157" spans="1:7" x14ac:dyDescent="0.25">
      <c r="A5157" s="116" t="s">
        <v>8118</v>
      </c>
      <c r="B5157" s="117" t="s">
        <v>28750</v>
      </c>
      <c r="C5157" t="s">
        <v>67</v>
      </c>
      <c r="D5157" t="s">
        <v>67</v>
      </c>
      <c r="E5157" t="s">
        <v>67</v>
      </c>
      <c r="F5157" t="s">
        <v>27987</v>
      </c>
      <c r="G5157" s="117">
        <v>2.58</v>
      </c>
    </row>
    <row r="5158" spans="1:7" x14ac:dyDescent="0.25">
      <c r="A5158" s="116" t="s">
        <v>8119</v>
      </c>
      <c r="B5158" s="117" t="s">
        <v>8120</v>
      </c>
      <c r="C5158" t="s">
        <v>67</v>
      </c>
      <c r="D5158" t="s">
        <v>67</v>
      </c>
      <c r="E5158" t="s">
        <v>67</v>
      </c>
      <c r="F5158" t="s">
        <v>49</v>
      </c>
      <c r="G5158" s="117">
        <v>11.48</v>
      </c>
    </row>
    <row r="5159" spans="1:7" x14ac:dyDescent="0.25">
      <c r="A5159" s="116" t="s">
        <v>8121</v>
      </c>
      <c r="B5159" s="117" t="s">
        <v>8122</v>
      </c>
      <c r="C5159" t="s">
        <v>67</v>
      </c>
      <c r="D5159" t="s">
        <v>67</v>
      </c>
      <c r="E5159" t="s">
        <v>67</v>
      </c>
      <c r="F5159" t="s">
        <v>27987</v>
      </c>
      <c r="G5159" s="117">
        <v>3.48</v>
      </c>
    </row>
    <row r="5160" spans="1:7" x14ac:dyDescent="0.25">
      <c r="A5160" s="116" t="s">
        <v>28189</v>
      </c>
      <c r="B5160" s="117" t="s">
        <v>28190</v>
      </c>
      <c r="C5160" t="s">
        <v>67</v>
      </c>
      <c r="D5160" t="s">
        <v>67</v>
      </c>
      <c r="E5160" t="s">
        <v>67</v>
      </c>
      <c r="F5160" t="s">
        <v>45</v>
      </c>
      <c r="G5160" s="117">
        <v>3.31</v>
      </c>
    </row>
    <row r="5161" spans="1:7" x14ac:dyDescent="0.25">
      <c r="A5161" s="116" t="s">
        <v>8123</v>
      </c>
      <c r="B5161" s="117" t="s">
        <v>8124</v>
      </c>
      <c r="C5161" t="s">
        <v>67</v>
      </c>
      <c r="D5161" t="s">
        <v>67</v>
      </c>
      <c r="E5161" t="s">
        <v>67</v>
      </c>
      <c r="F5161" t="s">
        <v>27987</v>
      </c>
      <c r="G5161" s="117">
        <v>4.3600000000000003</v>
      </c>
    </row>
    <row r="5162" spans="1:7" x14ac:dyDescent="0.25">
      <c r="A5162" s="116" t="s">
        <v>8125</v>
      </c>
      <c r="B5162" s="117" t="s">
        <v>8126</v>
      </c>
      <c r="C5162" t="s">
        <v>67</v>
      </c>
      <c r="D5162" t="s">
        <v>67</v>
      </c>
      <c r="E5162" t="s">
        <v>67</v>
      </c>
      <c r="F5162" t="s">
        <v>27987</v>
      </c>
      <c r="G5162" s="117">
        <v>13.8</v>
      </c>
    </row>
    <row r="5163" spans="1:7" x14ac:dyDescent="0.25">
      <c r="A5163" s="116" t="s">
        <v>8127</v>
      </c>
      <c r="B5163" s="117" t="s">
        <v>8128</v>
      </c>
      <c r="C5163" t="s">
        <v>67</v>
      </c>
      <c r="D5163" t="s">
        <v>67</v>
      </c>
      <c r="E5163" t="s">
        <v>67</v>
      </c>
      <c r="F5163" t="s">
        <v>27987</v>
      </c>
      <c r="G5163" s="117">
        <v>5.79</v>
      </c>
    </row>
    <row r="5164" spans="1:7" x14ac:dyDescent="0.25">
      <c r="A5164" s="116" t="s">
        <v>8129</v>
      </c>
      <c r="B5164" s="117" t="s">
        <v>8130</v>
      </c>
      <c r="C5164" t="s">
        <v>67</v>
      </c>
      <c r="D5164" t="s">
        <v>67</v>
      </c>
      <c r="E5164" t="s">
        <v>67</v>
      </c>
      <c r="F5164" t="s">
        <v>45</v>
      </c>
      <c r="G5164" s="117">
        <v>6.14</v>
      </c>
    </row>
    <row r="5165" spans="1:7" x14ac:dyDescent="0.25">
      <c r="A5165" s="116" t="s">
        <v>8131</v>
      </c>
      <c r="B5165" s="117" t="s">
        <v>8046</v>
      </c>
      <c r="C5165" t="s">
        <v>67</v>
      </c>
      <c r="D5165" t="s">
        <v>67</v>
      </c>
      <c r="E5165" t="s">
        <v>67</v>
      </c>
      <c r="F5165" t="s">
        <v>49</v>
      </c>
      <c r="G5165" s="117">
        <v>5.79</v>
      </c>
    </row>
    <row r="5166" spans="1:7" x14ac:dyDescent="0.25">
      <c r="A5166" s="116" t="s">
        <v>8132</v>
      </c>
      <c r="B5166" s="117" t="s">
        <v>8133</v>
      </c>
      <c r="C5166" t="s">
        <v>67</v>
      </c>
      <c r="D5166" t="s">
        <v>67</v>
      </c>
      <c r="E5166" t="s">
        <v>67</v>
      </c>
      <c r="F5166" t="s">
        <v>49</v>
      </c>
      <c r="G5166" s="117">
        <v>4.3600000000000003</v>
      </c>
    </row>
    <row r="5167" spans="1:7" x14ac:dyDescent="0.25">
      <c r="A5167" s="116" t="s">
        <v>28751</v>
      </c>
      <c r="B5167" s="117" t="s">
        <v>8046</v>
      </c>
      <c r="C5167" t="s">
        <v>67</v>
      </c>
      <c r="D5167" t="s">
        <v>67</v>
      </c>
      <c r="E5167" t="s">
        <v>67</v>
      </c>
      <c r="F5167" t="s">
        <v>49</v>
      </c>
      <c r="G5167" s="117">
        <v>9999</v>
      </c>
    </row>
    <row r="5168" spans="1:7" x14ac:dyDescent="0.25">
      <c r="A5168" s="116" t="s">
        <v>8134</v>
      </c>
      <c r="B5168" s="117" t="s">
        <v>8135</v>
      </c>
      <c r="C5168" t="s">
        <v>67</v>
      </c>
      <c r="D5168" t="s">
        <v>67</v>
      </c>
      <c r="E5168" t="s">
        <v>67</v>
      </c>
      <c r="F5168" t="s">
        <v>27987</v>
      </c>
      <c r="G5168" s="117">
        <v>1.33</v>
      </c>
    </row>
    <row r="5169" spans="1:7" x14ac:dyDescent="0.25">
      <c r="A5169" s="116" t="s">
        <v>8136</v>
      </c>
      <c r="B5169" s="117" t="s">
        <v>8137</v>
      </c>
      <c r="C5169" t="s">
        <v>67</v>
      </c>
      <c r="D5169" t="s">
        <v>67</v>
      </c>
      <c r="E5169" t="s">
        <v>67</v>
      </c>
      <c r="F5169" t="s">
        <v>27990</v>
      </c>
      <c r="G5169" s="117">
        <v>1.33</v>
      </c>
    </row>
    <row r="5170" spans="1:7" x14ac:dyDescent="0.25">
      <c r="A5170" s="116" t="s">
        <v>8138</v>
      </c>
      <c r="B5170" s="117" t="s">
        <v>8139</v>
      </c>
      <c r="C5170" t="s">
        <v>67</v>
      </c>
      <c r="D5170" t="s">
        <v>67</v>
      </c>
      <c r="E5170" t="s">
        <v>67</v>
      </c>
      <c r="F5170" t="s">
        <v>49</v>
      </c>
      <c r="G5170" s="117">
        <v>0.8</v>
      </c>
    </row>
    <row r="5171" spans="1:7" x14ac:dyDescent="0.25">
      <c r="A5171" s="116" t="s">
        <v>8140</v>
      </c>
      <c r="B5171" s="117" t="s">
        <v>8141</v>
      </c>
      <c r="C5171" t="s">
        <v>67</v>
      </c>
      <c r="D5171" t="s">
        <v>67</v>
      </c>
      <c r="E5171" t="s">
        <v>67</v>
      </c>
      <c r="F5171" t="s">
        <v>27987</v>
      </c>
      <c r="G5171" s="117">
        <v>0.8</v>
      </c>
    </row>
    <row r="5172" spans="1:7" x14ac:dyDescent="0.25">
      <c r="A5172" s="116" t="s">
        <v>8142</v>
      </c>
      <c r="B5172" s="117" t="s">
        <v>28752</v>
      </c>
      <c r="C5172" t="s">
        <v>67</v>
      </c>
      <c r="D5172" t="s">
        <v>67</v>
      </c>
      <c r="E5172" t="s">
        <v>67</v>
      </c>
      <c r="F5172" t="s">
        <v>45</v>
      </c>
      <c r="G5172" s="117">
        <v>8.4499999999999993</v>
      </c>
    </row>
    <row r="5173" spans="1:7" x14ac:dyDescent="0.25">
      <c r="A5173" s="116" t="s">
        <v>8143</v>
      </c>
      <c r="B5173" s="117" t="s">
        <v>28753</v>
      </c>
      <c r="C5173" t="s">
        <v>67</v>
      </c>
      <c r="D5173" t="s">
        <v>67</v>
      </c>
      <c r="E5173" t="s">
        <v>67</v>
      </c>
      <c r="F5173" t="s">
        <v>45</v>
      </c>
      <c r="G5173" s="117">
        <v>3.48</v>
      </c>
    </row>
    <row r="5174" spans="1:7" x14ac:dyDescent="0.25">
      <c r="A5174" s="116" t="s">
        <v>8144</v>
      </c>
      <c r="B5174" s="117" t="s">
        <v>8145</v>
      </c>
      <c r="C5174" t="s">
        <v>67</v>
      </c>
      <c r="D5174" t="s">
        <v>67</v>
      </c>
      <c r="E5174" t="s">
        <v>67</v>
      </c>
      <c r="F5174" t="s">
        <v>27990</v>
      </c>
      <c r="G5174" s="117">
        <v>4.8899999999999997</v>
      </c>
    </row>
    <row r="5175" spans="1:7" x14ac:dyDescent="0.25">
      <c r="A5175" s="116" t="s">
        <v>8146</v>
      </c>
      <c r="B5175" s="117" t="s">
        <v>70</v>
      </c>
      <c r="C5175" t="s">
        <v>67</v>
      </c>
      <c r="D5175" t="s">
        <v>67</v>
      </c>
      <c r="E5175" t="s">
        <v>67</v>
      </c>
      <c r="F5175" t="s">
        <v>49</v>
      </c>
      <c r="G5175" s="117">
        <v>1.33</v>
      </c>
    </row>
    <row r="5176" spans="1:7" x14ac:dyDescent="0.25">
      <c r="A5176" s="116" t="s">
        <v>8147</v>
      </c>
      <c r="B5176" s="117" t="s">
        <v>8148</v>
      </c>
      <c r="C5176" t="s">
        <v>67</v>
      </c>
      <c r="D5176" t="s">
        <v>67</v>
      </c>
      <c r="E5176" t="s">
        <v>67</v>
      </c>
      <c r="F5176" t="s">
        <v>27987</v>
      </c>
      <c r="G5176" s="117">
        <v>17.7</v>
      </c>
    </row>
    <row r="5177" spans="1:7" x14ac:dyDescent="0.25">
      <c r="A5177" s="116" t="s">
        <v>8149</v>
      </c>
      <c r="B5177" s="117" t="s">
        <v>28754</v>
      </c>
      <c r="C5177" t="s">
        <v>67</v>
      </c>
      <c r="D5177" t="s">
        <v>67</v>
      </c>
      <c r="E5177" t="s">
        <v>67</v>
      </c>
      <c r="F5177" t="s">
        <v>27987</v>
      </c>
      <c r="G5177" s="117">
        <v>3.12</v>
      </c>
    </row>
    <row r="5178" spans="1:7" x14ac:dyDescent="0.25">
      <c r="A5178" s="116" t="s">
        <v>8150</v>
      </c>
      <c r="B5178" s="117" t="s">
        <v>8151</v>
      </c>
      <c r="C5178" t="s">
        <v>67</v>
      </c>
      <c r="D5178" t="s">
        <v>67</v>
      </c>
      <c r="E5178" t="s">
        <v>67</v>
      </c>
      <c r="F5178" t="s">
        <v>27987</v>
      </c>
      <c r="G5178" s="117">
        <v>3.12</v>
      </c>
    </row>
    <row r="5179" spans="1:7" x14ac:dyDescent="0.25">
      <c r="A5179" s="116" t="s">
        <v>8152</v>
      </c>
      <c r="B5179" s="117" t="s">
        <v>8153</v>
      </c>
      <c r="C5179" t="s">
        <v>67</v>
      </c>
      <c r="D5179" t="s">
        <v>67</v>
      </c>
      <c r="E5179" t="s">
        <v>67</v>
      </c>
      <c r="F5179" t="s">
        <v>49</v>
      </c>
      <c r="G5179" s="117">
        <v>7.12</v>
      </c>
    </row>
    <row r="5180" spans="1:7" x14ac:dyDescent="0.25">
      <c r="A5180" s="116" t="s">
        <v>8154</v>
      </c>
      <c r="B5180" s="117" t="s">
        <v>8155</v>
      </c>
      <c r="C5180" t="s">
        <v>67</v>
      </c>
      <c r="D5180" t="s">
        <v>67</v>
      </c>
      <c r="E5180" t="s">
        <v>67</v>
      </c>
      <c r="F5180" t="s">
        <v>27987</v>
      </c>
      <c r="G5180" s="117">
        <v>1.33</v>
      </c>
    </row>
    <row r="5181" spans="1:7" x14ac:dyDescent="0.25">
      <c r="A5181" s="116" t="s">
        <v>8156</v>
      </c>
      <c r="B5181" s="117" t="s">
        <v>8157</v>
      </c>
      <c r="C5181" t="s">
        <v>67</v>
      </c>
      <c r="D5181" t="s">
        <v>67</v>
      </c>
      <c r="E5181" t="s">
        <v>67</v>
      </c>
      <c r="F5181" t="s">
        <v>49</v>
      </c>
      <c r="G5181" s="117">
        <v>2.58</v>
      </c>
    </row>
    <row r="5182" spans="1:7" x14ac:dyDescent="0.25">
      <c r="A5182" s="116" t="s">
        <v>8158</v>
      </c>
      <c r="B5182" s="117" t="s">
        <v>8159</v>
      </c>
      <c r="C5182" t="s">
        <v>67</v>
      </c>
      <c r="D5182" t="s">
        <v>67</v>
      </c>
      <c r="E5182" t="s">
        <v>67</v>
      </c>
      <c r="F5182" t="s">
        <v>49</v>
      </c>
      <c r="G5182" s="117">
        <v>0.8</v>
      </c>
    </row>
    <row r="5183" spans="1:7" x14ac:dyDescent="0.25">
      <c r="A5183" s="116" t="s">
        <v>8160</v>
      </c>
      <c r="B5183" s="117" t="s">
        <v>8161</v>
      </c>
      <c r="C5183" t="s">
        <v>67</v>
      </c>
      <c r="D5183" t="s">
        <v>67</v>
      </c>
      <c r="E5183" t="s">
        <v>67</v>
      </c>
      <c r="F5183" t="s">
        <v>27987</v>
      </c>
      <c r="G5183" s="117">
        <v>6.14</v>
      </c>
    </row>
    <row r="5184" spans="1:7" x14ac:dyDescent="0.25">
      <c r="A5184" s="116" t="s">
        <v>8162</v>
      </c>
      <c r="B5184" s="117" t="s">
        <v>8163</v>
      </c>
      <c r="C5184" t="s">
        <v>67</v>
      </c>
      <c r="D5184" t="s">
        <v>67</v>
      </c>
      <c r="E5184" t="s">
        <v>67</v>
      </c>
      <c r="F5184" t="s">
        <v>27987</v>
      </c>
      <c r="G5184" s="117">
        <v>8.89</v>
      </c>
    </row>
    <row r="5185" spans="1:7" x14ac:dyDescent="0.25">
      <c r="A5185" s="116" t="s">
        <v>8164</v>
      </c>
      <c r="B5185" s="117" t="s">
        <v>8165</v>
      </c>
      <c r="C5185" t="s">
        <v>67</v>
      </c>
      <c r="D5185" t="s">
        <v>67</v>
      </c>
      <c r="E5185" t="s">
        <v>67</v>
      </c>
      <c r="F5185" t="s">
        <v>27987</v>
      </c>
      <c r="G5185" s="117">
        <v>0.44</v>
      </c>
    </row>
    <row r="5186" spans="1:7" x14ac:dyDescent="0.25">
      <c r="A5186" s="116" t="s">
        <v>8166</v>
      </c>
      <c r="B5186" s="117" t="s">
        <v>28755</v>
      </c>
      <c r="C5186" t="s">
        <v>67</v>
      </c>
      <c r="D5186" t="s">
        <v>67</v>
      </c>
      <c r="E5186" t="s">
        <v>67</v>
      </c>
      <c r="F5186" t="s">
        <v>27987</v>
      </c>
      <c r="G5186" s="117">
        <v>1.69</v>
      </c>
    </row>
    <row r="5187" spans="1:7" x14ac:dyDescent="0.25">
      <c r="A5187" s="116" t="s">
        <v>8168</v>
      </c>
      <c r="B5187" s="117" t="s">
        <v>8169</v>
      </c>
      <c r="C5187" t="s">
        <v>67</v>
      </c>
      <c r="D5187" t="s">
        <v>67</v>
      </c>
      <c r="E5187" t="s">
        <v>67</v>
      </c>
      <c r="F5187" t="s">
        <v>27987</v>
      </c>
      <c r="G5187" s="117">
        <v>1.69</v>
      </c>
    </row>
    <row r="5188" spans="1:7" x14ac:dyDescent="0.25">
      <c r="A5188" s="116" t="s">
        <v>8170</v>
      </c>
      <c r="B5188" s="117" t="s">
        <v>8171</v>
      </c>
      <c r="C5188" t="s">
        <v>67</v>
      </c>
      <c r="D5188" t="s">
        <v>67</v>
      </c>
      <c r="E5188" t="s">
        <v>67</v>
      </c>
      <c r="F5188" t="s">
        <v>27987</v>
      </c>
      <c r="G5188" s="117">
        <v>1.33</v>
      </c>
    </row>
    <row r="5189" spans="1:7" x14ac:dyDescent="0.25">
      <c r="A5189" s="116" t="s">
        <v>8172</v>
      </c>
      <c r="B5189" s="117" t="s">
        <v>8151</v>
      </c>
      <c r="C5189" t="s">
        <v>67</v>
      </c>
      <c r="D5189" t="s">
        <v>67</v>
      </c>
      <c r="E5189" t="s">
        <v>67</v>
      </c>
      <c r="F5189" t="s">
        <v>27987</v>
      </c>
      <c r="G5189" s="117">
        <v>5.25</v>
      </c>
    </row>
    <row r="5190" spans="1:7" x14ac:dyDescent="0.25">
      <c r="A5190" s="116" t="s">
        <v>8173</v>
      </c>
      <c r="B5190" s="117" t="s">
        <v>8174</v>
      </c>
      <c r="C5190" t="s">
        <v>67</v>
      </c>
      <c r="D5190" t="s">
        <v>67</v>
      </c>
      <c r="E5190" t="s">
        <v>67</v>
      </c>
      <c r="F5190" t="s">
        <v>27990</v>
      </c>
      <c r="G5190" s="117">
        <v>0.8</v>
      </c>
    </row>
    <row r="5191" spans="1:7" x14ac:dyDescent="0.25">
      <c r="A5191" s="116" t="s">
        <v>8175</v>
      </c>
      <c r="B5191" s="117" t="s">
        <v>8176</v>
      </c>
      <c r="C5191" t="s">
        <v>67</v>
      </c>
      <c r="D5191" t="s">
        <v>67</v>
      </c>
      <c r="E5191" t="s">
        <v>67</v>
      </c>
      <c r="F5191" t="s">
        <v>27987</v>
      </c>
      <c r="G5191" s="117">
        <v>5.79</v>
      </c>
    </row>
    <row r="5192" spans="1:7" x14ac:dyDescent="0.25">
      <c r="A5192" s="116" t="s">
        <v>8177</v>
      </c>
      <c r="B5192" s="117" t="s">
        <v>8178</v>
      </c>
      <c r="C5192" t="s">
        <v>67</v>
      </c>
      <c r="D5192" t="s">
        <v>67</v>
      </c>
      <c r="E5192" t="s">
        <v>67</v>
      </c>
      <c r="F5192" t="s">
        <v>27987</v>
      </c>
      <c r="G5192" s="117">
        <v>5.41</v>
      </c>
    </row>
    <row r="5193" spans="1:7" x14ac:dyDescent="0.25">
      <c r="A5193" s="116" t="s">
        <v>8179</v>
      </c>
      <c r="B5193" s="117" t="s">
        <v>8180</v>
      </c>
      <c r="C5193" t="s">
        <v>67</v>
      </c>
      <c r="D5193" t="s">
        <v>67</v>
      </c>
      <c r="E5193" t="s">
        <v>67</v>
      </c>
      <c r="F5193" t="s">
        <v>45</v>
      </c>
      <c r="G5193" s="117">
        <v>2.58</v>
      </c>
    </row>
    <row r="5194" spans="1:7" x14ac:dyDescent="0.25">
      <c r="A5194" s="116" t="s">
        <v>8181</v>
      </c>
      <c r="B5194" s="117" t="s">
        <v>8182</v>
      </c>
      <c r="C5194" t="s">
        <v>67</v>
      </c>
      <c r="D5194" t="s">
        <v>67</v>
      </c>
      <c r="E5194" t="s">
        <v>67</v>
      </c>
      <c r="F5194" t="s">
        <v>49</v>
      </c>
      <c r="G5194" s="117">
        <v>8.81</v>
      </c>
    </row>
    <row r="5195" spans="1:7" x14ac:dyDescent="0.25">
      <c r="A5195" s="116" t="s">
        <v>8183</v>
      </c>
      <c r="B5195" s="117" t="s">
        <v>8184</v>
      </c>
      <c r="C5195" t="s">
        <v>67</v>
      </c>
      <c r="D5195" t="s">
        <v>67</v>
      </c>
      <c r="E5195" t="s">
        <v>67</v>
      </c>
      <c r="F5195" t="s">
        <v>49</v>
      </c>
      <c r="G5195" s="117">
        <v>1.69</v>
      </c>
    </row>
    <row r="5196" spans="1:7" x14ac:dyDescent="0.25">
      <c r="A5196" s="116" t="s">
        <v>8185</v>
      </c>
      <c r="B5196" s="117" t="s">
        <v>8186</v>
      </c>
      <c r="C5196" t="s">
        <v>67</v>
      </c>
      <c r="D5196" t="s">
        <v>67</v>
      </c>
      <c r="E5196" t="s">
        <v>67</v>
      </c>
      <c r="F5196" t="s">
        <v>51</v>
      </c>
      <c r="G5196" s="117">
        <v>1.61</v>
      </c>
    </row>
    <row r="5197" spans="1:7" x14ac:dyDescent="0.25">
      <c r="A5197" s="116" t="s">
        <v>8187</v>
      </c>
      <c r="B5197" s="117" t="s">
        <v>8188</v>
      </c>
      <c r="C5197" t="s">
        <v>67</v>
      </c>
      <c r="D5197" t="s">
        <v>67</v>
      </c>
      <c r="E5197" t="s">
        <v>67</v>
      </c>
      <c r="F5197" t="s">
        <v>45</v>
      </c>
      <c r="G5197" s="117">
        <v>1.69</v>
      </c>
    </row>
    <row r="5198" spans="1:7" x14ac:dyDescent="0.25">
      <c r="A5198" s="116" t="s">
        <v>8189</v>
      </c>
      <c r="B5198" s="117" t="s">
        <v>8190</v>
      </c>
      <c r="C5198" t="s">
        <v>67</v>
      </c>
      <c r="D5198" t="s">
        <v>67</v>
      </c>
      <c r="E5198" t="s">
        <v>67</v>
      </c>
      <c r="F5198" t="s">
        <v>27987</v>
      </c>
      <c r="G5198" s="117">
        <v>0.8</v>
      </c>
    </row>
    <row r="5199" spans="1:7" x14ac:dyDescent="0.25">
      <c r="A5199" s="116" t="s">
        <v>8191</v>
      </c>
      <c r="B5199" s="117" t="s">
        <v>8192</v>
      </c>
      <c r="C5199" t="s">
        <v>67</v>
      </c>
      <c r="D5199" t="s">
        <v>67</v>
      </c>
      <c r="E5199" t="s">
        <v>67</v>
      </c>
      <c r="F5199" t="s">
        <v>49</v>
      </c>
      <c r="G5199" s="117">
        <v>0.44</v>
      </c>
    </row>
    <row r="5200" spans="1:7" x14ac:dyDescent="0.25">
      <c r="A5200" s="116" t="s">
        <v>8193</v>
      </c>
      <c r="B5200" s="117" t="s">
        <v>8153</v>
      </c>
      <c r="C5200" t="s">
        <v>67</v>
      </c>
      <c r="D5200" t="s">
        <v>67</v>
      </c>
      <c r="E5200" t="s">
        <v>67</v>
      </c>
      <c r="F5200" t="s">
        <v>27987</v>
      </c>
      <c r="G5200" s="117">
        <v>0.8</v>
      </c>
    </row>
    <row r="5201" spans="1:7" x14ac:dyDescent="0.25">
      <c r="A5201" s="116" t="s">
        <v>8194</v>
      </c>
      <c r="B5201" s="117" t="s">
        <v>8157</v>
      </c>
      <c r="C5201" t="s">
        <v>67</v>
      </c>
      <c r="D5201" t="s">
        <v>67</v>
      </c>
      <c r="E5201" t="s">
        <v>67</v>
      </c>
      <c r="F5201" t="s">
        <v>49</v>
      </c>
      <c r="G5201" s="117">
        <v>1.69</v>
      </c>
    </row>
    <row r="5202" spans="1:7" x14ac:dyDescent="0.25">
      <c r="A5202" s="116" t="s">
        <v>8195</v>
      </c>
      <c r="B5202" s="117" t="s">
        <v>8196</v>
      </c>
      <c r="C5202" t="s">
        <v>67</v>
      </c>
      <c r="D5202" t="s">
        <v>67</v>
      </c>
      <c r="E5202" t="s">
        <v>67</v>
      </c>
      <c r="F5202" t="s">
        <v>45</v>
      </c>
      <c r="G5202" s="117">
        <v>9.6999999999999993</v>
      </c>
    </row>
    <row r="5203" spans="1:7" x14ac:dyDescent="0.25">
      <c r="A5203" s="116" t="s">
        <v>8197</v>
      </c>
      <c r="B5203" s="117" t="s">
        <v>28756</v>
      </c>
      <c r="C5203" t="s">
        <v>67</v>
      </c>
      <c r="D5203" t="s">
        <v>67</v>
      </c>
      <c r="E5203" t="s">
        <v>67</v>
      </c>
      <c r="F5203" t="s">
        <v>27987</v>
      </c>
      <c r="G5203" s="117">
        <v>10.58</v>
      </c>
    </row>
    <row r="5204" spans="1:7" x14ac:dyDescent="0.25">
      <c r="A5204" s="116" t="s">
        <v>8198</v>
      </c>
      <c r="B5204" s="117" t="s">
        <v>8199</v>
      </c>
      <c r="C5204" t="s">
        <v>67</v>
      </c>
      <c r="D5204" t="s">
        <v>67</v>
      </c>
      <c r="E5204" t="s">
        <v>67</v>
      </c>
      <c r="F5204" t="s">
        <v>27987</v>
      </c>
      <c r="G5204" s="117">
        <v>14.14</v>
      </c>
    </row>
    <row r="5205" spans="1:7" x14ac:dyDescent="0.25">
      <c r="A5205" s="116" t="s">
        <v>8200</v>
      </c>
      <c r="B5205" s="117" t="s">
        <v>8180</v>
      </c>
      <c r="C5205" t="s">
        <v>67</v>
      </c>
      <c r="D5205" t="s">
        <v>67</v>
      </c>
      <c r="E5205" t="s">
        <v>67</v>
      </c>
      <c r="F5205" t="s">
        <v>27987</v>
      </c>
      <c r="G5205" s="117">
        <v>7.12</v>
      </c>
    </row>
    <row r="5206" spans="1:7" x14ac:dyDescent="0.25">
      <c r="A5206" s="116" t="s">
        <v>8201</v>
      </c>
      <c r="B5206" s="117" t="s">
        <v>8167</v>
      </c>
      <c r="C5206" t="s">
        <v>67</v>
      </c>
      <c r="D5206" t="s">
        <v>67</v>
      </c>
      <c r="E5206" t="s">
        <v>67</v>
      </c>
      <c r="F5206" t="s">
        <v>45</v>
      </c>
      <c r="G5206" s="117">
        <v>3.48</v>
      </c>
    </row>
    <row r="5207" spans="1:7" x14ac:dyDescent="0.25">
      <c r="A5207" s="116" t="s">
        <v>8202</v>
      </c>
      <c r="B5207" s="117" t="s">
        <v>8203</v>
      </c>
      <c r="C5207" t="s">
        <v>67</v>
      </c>
      <c r="D5207" t="s">
        <v>67</v>
      </c>
      <c r="E5207" t="s">
        <v>67</v>
      </c>
      <c r="F5207" t="s">
        <v>27987</v>
      </c>
      <c r="G5207" s="117">
        <v>3.56</v>
      </c>
    </row>
    <row r="5208" spans="1:7" x14ac:dyDescent="0.25">
      <c r="A5208" s="116" t="s">
        <v>26765</v>
      </c>
      <c r="B5208" s="117" t="s">
        <v>26766</v>
      </c>
      <c r="C5208" t="s">
        <v>67</v>
      </c>
      <c r="D5208" t="s">
        <v>67</v>
      </c>
      <c r="E5208" t="s">
        <v>67</v>
      </c>
      <c r="F5208" t="s">
        <v>45</v>
      </c>
      <c r="G5208" s="117">
        <v>1</v>
      </c>
    </row>
    <row r="5209" spans="1:7" x14ac:dyDescent="0.25">
      <c r="A5209" s="116" t="s">
        <v>8204</v>
      </c>
      <c r="B5209" s="117" t="s">
        <v>8205</v>
      </c>
      <c r="C5209" t="s">
        <v>67</v>
      </c>
      <c r="D5209" t="s">
        <v>67</v>
      </c>
      <c r="E5209" t="s">
        <v>67</v>
      </c>
      <c r="F5209" t="s">
        <v>45</v>
      </c>
      <c r="G5209" s="117">
        <v>4.3600000000000003</v>
      </c>
    </row>
    <row r="5210" spans="1:7" x14ac:dyDescent="0.25">
      <c r="A5210" s="116" t="s">
        <v>8206</v>
      </c>
      <c r="B5210" s="117" t="s">
        <v>8207</v>
      </c>
      <c r="C5210" t="s">
        <v>67</v>
      </c>
      <c r="D5210" t="s">
        <v>67</v>
      </c>
      <c r="E5210" t="s">
        <v>67</v>
      </c>
      <c r="F5210" t="s">
        <v>27987</v>
      </c>
      <c r="G5210" s="117">
        <v>3.12</v>
      </c>
    </row>
    <row r="5211" spans="1:7" x14ac:dyDescent="0.25">
      <c r="A5211" s="116" t="s">
        <v>8208</v>
      </c>
      <c r="B5211" s="117" t="s">
        <v>28757</v>
      </c>
      <c r="C5211" t="s">
        <v>67</v>
      </c>
      <c r="D5211" t="s">
        <v>67</v>
      </c>
      <c r="E5211" t="s">
        <v>67</v>
      </c>
      <c r="F5211" t="s">
        <v>45</v>
      </c>
      <c r="G5211" s="117">
        <v>4.3600000000000003</v>
      </c>
    </row>
    <row r="5212" spans="1:7" x14ac:dyDescent="0.25">
      <c r="A5212" s="116" t="s">
        <v>8209</v>
      </c>
      <c r="B5212" s="117" t="s">
        <v>8196</v>
      </c>
      <c r="C5212" t="s">
        <v>67</v>
      </c>
      <c r="D5212" t="s">
        <v>67</v>
      </c>
      <c r="E5212" t="s">
        <v>67</v>
      </c>
      <c r="F5212" t="s">
        <v>45</v>
      </c>
      <c r="G5212" s="117">
        <v>4</v>
      </c>
    </row>
    <row r="5213" spans="1:7" x14ac:dyDescent="0.25">
      <c r="A5213" s="116" t="s">
        <v>8210</v>
      </c>
      <c r="B5213" s="117" t="s">
        <v>8155</v>
      </c>
      <c r="C5213" t="s">
        <v>67</v>
      </c>
      <c r="D5213" t="s">
        <v>67</v>
      </c>
      <c r="E5213" t="s">
        <v>67</v>
      </c>
      <c r="F5213" t="s">
        <v>49</v>
      </c>
      <c r="G5213" s="117">
        <v>0.8</v>
      </c>
    </row>
    <row r="5214" spans="1:7" x14ac:dyDescent="0.25">
      <c r="A5214" s="116" t="s">
        <v>29786</v>
      </c>
      <c r="B5214" s="117" t="s">
        <v>8227</v>
      </c>
      <c r="C5214" t="s">
        <v>67</v>
      </c>
      <c r="D5214" t="s">
        <v>67</v>
      </c>
      <c r="E5214" t="s">
        <v>67</v>
      </c>
      <c r="F5214" t="s">
        <v>45</v>
      </c>
      <c r="G5214" s="117">
        <v>1.79</v>
      </c>
    </row>
    <row r="5215" spans="1:7" x14ac:dyDescent="0.25">
      <c r="A5215" s="116" t="s">
        <v>28758</v>
      </c>
      <c r="B5215" s="117" t="s">
        <v>29787</v>
      </c>
      <c r="C5215" t="s">
        <v>67</v>
      </c>
      <c r="D5215" t="s">
        <v>67</v>
      </c>
      <c r="E5215" t="s">
        <v>67</v>
      </c>
      <c r="F5215" t="s">
        <v>27987</v>
      </c>
      <c r="G5215" s="117">
        <v>10.61</v>
      </c>
    </row>
    <row r="5216" spans="1:7" x14ac:dyDescent="0.25">
      <c r="A5216" s="116" t="s">
        <v>27028</v>
      </c>
      <c r="B5216" s="117" t="s">
        <v>28759</v>
      </c>
      <c r="C5216" t="s">
        <v>67</v>
      </c>
      <c r="D5216" t="s">
        <v>67</v>
      </c>
      <c r="E5216" t="s">
        <v>67</v>
      </c>
      <c r="F5216" t="s">
        <v>27987</v>
      </c>
      <c r="G5216" s="117">
        <v>14</v>
      </c>
    </row>
    <row r="5217" spans="1:7" x14ac:dyDescent="0.25">
      <c r="A5217" s="116" t="s">
        <v>26952</v>
      </c>
      <c r="B5217" s="117" t="s">
        <v>28760</v>
      </c>
      <c r="C5217" t="s">
        <v>67</v>
      </c>
      <c r="D5217" t="s">
        <v>67</v>
      </c>
      <c r="E5217" t="s">
        <v>67</v>
      </c>
      <c r="F5217" t="s">
        <v>27987</v>
      </c>
      <c r="G5217" s="117">
        <v>17</v>
      </c>
    </row>
    <row r="5218" spans="1:7" x14ac:dyDescent="0.25">
      <c r="A5218" s="116" t="s">
        <v>28761</v>
      </c>
      <c r="B5218" s="117" t="s">
        <v>30430</v>
      </c>
      <c r="C5218" t="s">
        <v>67</v>
      </c>
      <c r="D5218" t="s">
        <v>67</v>
      </c>
      <c r="E5218" t="s">
        <v>67</v>
      </c>
      <c r="F5218" t="s">
        <v>27987</v>
      </c>
      <c r="G5218" s="117">
        <v>0.8</v>
      </c>
    </row>
    <row r="5219" spans="1:7" x14ac:dyDescent="0.25">
      <c r="A5219" s="116" t="s">
        <v>8211</v>
      </c>
      <c r="B5219" s="117" t="s">
        <v>8212</v>
      </c>
      <c r="C5219" t="s">
        <v>67</v>
      </c>
      <c r="D5219" t="s">
        <v>67</v>
      </c>
      <c r="E5219" t="s">
        <v>67</v>
      </c>
      <c r="F5219" t="s">
        <v>27987</v>
      </c>
      <c r="G5219" s="117">
        <v>46.71</v>
      </c>
    </row>
    <row r="5220" spans="1:7" x14ac:dyDescent="0.25">
      <c r="A5220" s="116" t="s">
        <v>8213</v>
      </c>
      <c r="B5220" s="117" t="s">
        <v>8214</v>
      </c>
      <c r="C5220" t="s">
        <v>67</v>
      </c>
      <c r="D5220" t="s">
        <v>67</v>
      </c>
      <c r="E5220" t="s">
        <v>67</v>
      </c>
      <c r="F5220" t="s">
        <v>27987</v>
      </c>
      <c r="G5220" s="117">
        <v>60.06</v>
      </c>
    </row>
    <row r="5221" spans="1:7" x14ac:dyDescent="0.25">
      <c r="A5221" s="116" t="s">
        <v>8215</v>
      </c>
      <c r="B5221" s="117" t="s">
        <v>8216</v>
      </c>
      <c r="C5221" t="s">
        <v>67</v>
      </c>
      <c r="D5221" t="s">
        <v>67</v>
      </c>
      <c r="E5221" t="s">
        <v>67</v>
      </c>
      <c r="F5221" t="s">
        <v>27987</v>
      </c>
      <c r="G5221" s="117">
        <v>4.45</v>
      </c>
    </row>
    <row r="5222" spans="1:7" x14ac:dyDescent="0.25">
      <c r="A5222" s="116" t="s">
        <v>8217</v>
      </c>
      <c r="B5222" s="117" t="s">
        <v>8218</v>
      </c>
      <c r="C5222" t="s">
        <v>67</v>
      </c>
      <c r="D5222" t="s">
        <v>67</v>
      </c>
      <c r="E5222" t="s">
        <v>67</v>
      </c>
      <c r="F5222" t="s">
        <v>45</v>
      </c>
      <c r="G5222" s="117">
        <v>9.6999999999999993</v>
      </c>
    </row>
    <row r="5223" spans="1:7" x14ac:dyDescent="0.25">
      <c r="A5223" s="116" t="s">
        <v>8219</v>
      </c>
      <c r="B5223" s="117" t="s">
        <v>8220</v>
      </c>
      <c r="C5223" t="s">
        <v>67</v>
      </c>
      <c r="D5223" t="s">
        <v>67</v>
      </c>
      <c r="E5223" t="s">
        <v>67</v>
      </c>
      <c r="F5223" t="s">
        <v>27987</v>
      </c>
      <c r="G5223" s="117">
        <v>8.4499999999999993</v>
      </c>
    </row>
    <row r="5224" spans="1:7" x14ac:dyDescent="0.25">
      <c r="A5224" s="116" t="s">
        <v>8221</v>
      </c>
      <c r="B5224" s="117" t="s">
        <v>8220</v>
      </c>
      <c r="C5224" t="s">
        <v>67</v>
      </c>
      <c r="D5224" t="s">
        <v>67</v>
      </c>
      <c r="E5224" t="s">
        <v>67</v>
      </c>
      <c r="F5224" t="s">
        <v>27987</v>
      </c>
      <c r="G5224" s="117">
        <v>20.38</v>
      </c>
    </row>
    <row r="5225" spans="1:7" x14ac:dyDescent="0.25">
      <c r="A5225" s="116" t="s">
        <v>8222</v>
      </c>
      <c r="B5225" s="117" t="s">
        <v>8223</v>
      </c>
      <c r="C5225" t="s">
        <v>67</v>
      </c>
      <c r="D5225" t="s">
        <v>67</v>
      </c>
      <c r="E5225" t="s">
        <v>67</v>
      </c>
      <c r="F5225" t="s">
        <v>49</v>
      </c>
      <c r="G5225" s="117">
        <v>20.38</v>
      </c>
    </row>
    <row r="5226" spans="1:7" x14ac:dyDescent="0.25">
      <c r="A5226" s="116" t="s">
        <v>8224</v>
      </c>
      <c r="B5226" s="117" t="s">
        <v>8225</v>
      </c>
      <c r="C5226" t="s">
        <v>67</v>
      </c>
      <c r="D5226" t="s">
        <v>67</v>
      </c>
      <c r="E5226" t="s">
        <v>67</v>
      </c>
      <c r="F5226" t="s">
        <v>49</v>
      </c>
      <c r="G5226" s="117">
        <v>4.3600000000000003</v>
      </c>
    </row>
    <row r="5227" spans="1:7" x14ac:dyDescent="0.25">
      <c r="A5227" s="116" t="s">
        <v>8226</v>
      </c>
      <c r="B5227" s="117" t="s">
        <v>8227</v>
      </c>
      <c r="C5227" t="s">
        <v>67</v>
      </c>
      <c r="D5227" t="s">
        <v>67</v>
      </c>
      <c r="E5227" t="s">
        <v>67</v>
      </c>
      <c r="F5227" t="s">
        <v>27990</v>
      </c>
      <c r="G5227" s="117">
        <v>1.69</v>
      </c>
    </row>
    <row r="5228" spans="1:7" x14ac:dyDescent="0.25">
      <c r="A5228" s="116" t="s">
        <v>8228</v>
      </c>
      <c r="B5228" s="117" t="s">
        <v>8229</v>
      </c>
      <c r="C5228" t="s">
        <v>67</v>
      </c>
      <c r="D5228" t="s">
        <v>67</v>
      </c>
      <c r="E5228" t="s">
        <v>67</v>
      </c>
      <c r="F5228" t="s">
        <v>27990</v>
      </c>
      <c r="G5228" s="117">
        <v>2.23</v>
      </c>
    </row>
    <row r="5229" spans="1:7" x14ac:dyDescent="0.25">
      <c r="A5229" s="116" t="s">
        <v>8230</v>
      </c>
      <c r="B5229" s="117" t="s">
        <v>8231</v>
      </c>
      <c r="C5229" t="s">
        <v>67</v>
      </c>
      <c r="D5229" t="s">
        <v>67</v>
      </c>
      <c r="E5229" t="s">
        <v>67</v>
      </c>
      <c r="F5229" t="s">
        <v>49</v>
      </c>
      <c r="G5229" s="117">
        <v>15.04</v>
      </c>
    </row>
    <row r="5230" spans="1:7" x14ac:dyDescent="0.25">
      <c r="A5230" s="116" t="s">
        <v>8232</v>
      </c>
      <c r="B5230" s="117" t="s">
        <v>8233</v>
      </c>
      <c r="C5230" t="s">
        <v>67</v>
      </c>
      <c r="D5230" t="s">
        <v>67</v>
      </c>
      <c r="E5230" t="s">
        <v>67</v>
      </c>
      <c r="F5230" t="s">
        <v>27987</v>
      </c>
      <c r="G5230" s="117">
        <v>1.33</v>
      </c>
    </row>
    <row r="5231" spans="1:7" x14ac:dyDescent="0.25">
      <c r="A5231" s="116" t="s">
        <v>8234</v>
      </c>
      <c r="B5231" s="117" t="s">
        <v>8233</v>
      </c>
      <c r="C5231" t="s">
        <v>67</v>
      </c>
      <c r="D5231" t="s">
        <v>67</v>
      </c>
      <c r="E5231" t="s">
        <v>67</v>
      </c>
      <c r="F5231" t="s">
        <v>27987</v>
      </c>
      <c r="G5231" s="117">
        <v>0.8</v>
      </c>
    </row>
    <row r="5232" spans="1:7" x14ac:dyDescent="0.25">
      <c r="A5232" s="116" t="s">
        <v>8235</v>
      </c>
      <c r="B5232" s="117" t="s">
        <v>8236</v>
      </c>
      <c r="C5232" t="s">
        <v>67</v>
      </c>
      <c r="D5232" t="s">
        <v>67</v>
      </c>
      <c r="E5232" t="s">
        <v>67</v>
      </c>
      <c r="F5232" t="s">
        <v>27987</v>
      </c>
      <c r="G5232" s="117">
        <v>1.33</v>
      </c>
    </row>
    <row r="5233" spans="1:7" x14ac:dyDescent="0.25">
      <c r="A5233" s="116" t="s">
        <v>8237</v>
      </c>
      <c r="B5233" s="117" t="s">
        <v>8233</v>
      </c>
      <c r="C5233" t="s">
        <v>67</v>
      </c>
      <c r="D5233" t="s">
        <v>67</v>
      </c>
      <c r="E5233" t="s">
        <v>67</v>
      </c>
      <c r="F5233" t="s">
        <v>27987</v>
      </c>
      <c r="G5233" s="117">
        <v>0.8</v>
      </c>
    </row>
    <row r="5234" spans="1:7" x14ac:dyDescent="0.25">
      <c r="A5234" s="116" t="s">
        <v>8238</v>
      </c>
      <c r="B5234" s="117" t="s">
        <v>8239</v>
      </c>
      <c r="C5234" t="s">
        <v>67</v>
      </c>
      <c r="D5234" t="s">
        <v>67</v>
      </c>
      <c r="E5234" t="s">
        <v>67</v>
      </c>
      <c r="F5234" t="s">
        <v>49</v>
      </c>
      <c r="G5234" s="117">
        <v>1.33</v>
      </c>
    </row>
    <row r="5235" spans="1:7" x14ac:dyDescent="0.25">
      <c r="A5235" s="116" t="s">
        <v>8240</v>
      </c>
      <c r="B5235" s="117" t="s">
        <v>8233</v>
      </c>
      <c r="C5235" t="s">
        <v>67</v>
      </c>
      <c r="D5235" t="s">
        <v>67</v>
      </c>
      <c r="E5235" t="s">
        <v>67</v>
      </c>
      <c r="F5235" t="s">
        <v>27987</v>
      </c>
      <c r="G5235" s="117">
        <v>0.8</v>
      </c>
    </row>
    <row r="5236" spans="1:7" x14ac:dyDescent="0.25">
      <c r="A5236" s="116" t="s">
        <v>8241</v>
      </c>
      <c r="B5236" s="117" t="s">
        <v>8239</v>
      </c>
      <c r="C5236" t="s">
        <v>67</v>
      </c>
      <c r="D5236" t="s">
        <v>67</v>
      </c>
      <c r="E5236" t="s">
        <v>67</v>
      </c>
      <c r="F5236" t="s">
        <v>27987</v>
      </c>
      <c r="G5236" s="117">
        <v>1.33</v>
      </c>
    </row>
    <row r="5237" spans="1:7" x14ac:dyDescent="0.25">
      <c r="A5237" s="116" t="s">
        <v>8242</v>
      </c>
      <c r="B5237" s="117" t="s">
        <v>8233</v>
      </c>
      <c r="C5237" t="s">
        <v>67</v>
      </c>
      <c r="D5237" t="s">
        <v>67</v>
      </c>
      <c r="E5237" t="s">
        <v>67</v>
      </c>
      <c r="F5237" t="s">
        <v>49</v>
      </c>
      <c r="G5237" s="117">
        <v>0.8</v>
      </c>
    </row>
    <row r="5238" spans="1:7" x14ac:dyDescent="0.25">
      <c r="A5238" s="116" t="s">
        <v>8243</v>
      </c>
      <c r="B5238" s="117" t="s">
        <v>8244</v>
      </c>
      <c r="C5238" t="s">
        <v>67</v>
      </c>
      <c r="D5238" t="s">
        <v>67</v>
      </c>
      <c r="E5238" t="s">
        <v>67</v>
      </c>
      <c r="F5238" t="s">
        <v>27987</v>
      </c>
      <c r="G5238" s="117">
        <v>1.33</v>
      </c>
    </row>
    <row r="5239" spans="1:7" x14ac:dyDescent="0.25">
      <c r="A5239" s="116" t="s">
        <v>8245</v>
      </c>
      <c r="B5239" s="117" t="s">
        <v>8246</v>
      </c>
      <c r="C5239" t="s">
        <v>67</v>
      </c>
      <c r="D5239" t="s">
        <v>67</v>
      </c>
      <c r="E5239" t="s">
        <v>67</v>
      </c>
      <c r="F5239" t="s">
        <v>27987</v>
      </c>
      <c r="G5239" s="117">
        <v>1.33</v>
      </c>
    </row>
    <row r="5240" spans="1:7" x14ac:dyDescent="0.25">
      <c r="A5240" s="116" t="s">
        <v>8247</v>
      </c>
      <c r="B5240" s="117" t="s">
        <v>8248</v>
      </c>
      <c r="C5240" t="s">
        <v>67</v>
      </c>
      <c r="D5240" t="s">
        <v>67</v>
      </c>
      <c r="E5240" t="s">
        <v>67</v>
      </c>
      <c r="F5240" t="s">
        <v>51</v>
      </c>
      <c r="G5240" s="117">
        <v>1.27</v>
      </c>
    </row>
    <row r="5241" spans="1:7" x14ac:dyDescent="0.25">
      <c r="A5241" s="116" t="s">
        <v>8249</v>
      </c>
      <c r="B5241" s="117" t="s">
        <v>8236</v>
      </c>
      <c r="C5241" t="s">
        <v>67</v>
      </c>
      <c r="D5241" t="s">
        <v>67</v>
      </c>
      <c r="E5241" t="s">
        <v>67</v>
      </c>
      <c r="F5241" t="s">
        <v>49</v>
      </c>
      <c r="G5241" s="117">
        <v>0.89</v>
      </c>
    </row>
    <row r="5242" spans="1:7" x14ac:dyDescent="0.25">
      <c r="A5242" s="116" t="s">
        <v>8250</v>
      </c>
      <c r="B5242" s="117" t="s">
        <v>8251</v>
      </c>
      <c r="C5242" t="s">
        <v>67</v>
      </c>
      <c r="D5242" t="s">
        <v>67</v>
      </c>
      <c r="E5242" t="s">
        <v>67</v>
      </c>
      <c r="F5242" t="s">
        <v>49</v>
      </c>
      <c r="G5242" s="117">
        <v>1.69</v>
      </c>
    </row>
    <row r="5243" spans="1:7" x14ac:dyDescent="0.25">
      <c r="A5243" s="116" t="s">
        <v>8252</v>
      </c>
      <c r="B5243" s="117" t="s">
        <v>8244</v>
      </c>
      <c r="C5243" t="s">
        <v>67</v>
      </c>
      <c r="D5243" t="s">
        <v>67</v>
      </c>
      <c r="E5243" t="s">
        <v>67</v>
      </c>
      <c r="F5243" t="s">
        <v>49</v>
      </c>
      <c r="G5243" s="117">
        <v>1.77</v>
      </c>
    </row>
    <row r="5244" spans="1:7" x14ac:dyDescent="0.25">
      <c r="A5244" s="116" t="s">
        <v>8253</v>
      </c>
      <c r="B5244" s="117" t="s">
        <v>8254</v>
      </c>
      <c r="C5244" t="s">
        <v>67</v>
      </c>
      <c r="D5244" t="s">
        <v>67</v>
      </c>
      <c r="E5244" t="s">
        <v>67</v>
      </c>
      <c r="F5244" t="s">
        <v>49</v>
      </c>
      <c r="G5244" s="117">
        <v>1.33</v>
      </c>
    </row>
    <row r="5245" spans="1:7" x14ac:dyDescent="0.25">
      <c r="A5245" s="116" t="s">
        <v>8255</v>
      </c>
      <c r="B5245" s="117" t="s">
        <v>8256</v>
      </c>
      <c r="C5245" t="s">
        <v>67</v>
      </c>
      <c r="D5245" t="s">
        <v>67</v>
      </c>
      <c r="E5245" t="s">
        <v>67</v>
      </c>
      <c r="F5245" t="s">
        <v>27987</v>
      </c>
      <c r="G5245" s="117">
        <v>0.85</v>
      </c>
    </row>
    <row r="5246" spans="1:7" x14ac:dyDescent="0.25">
      <c r="A5246" s="116" t="s">
        <v>8257</v>
      </c>
      <c r="B5246" s="117" t="s">
        <v>8233</v>
      </c>
      <c r="C5246" t="s">
        <v>67</v>
      </c>
      <c r="D5246" t="s">
        <v>67</v>
      </c>
      <c r="E5246" t="s">
        <v>67</v>
      </c>
      <c r="F5246" t="s">
        <v>27987</v>
      </c>
      <c r="G5246" s="117">
        <v>2.58</v>
      </c>
    </row>
    <row r="5247" spans="1:7" x14ac:dyDescent="0.25">
      <c r="A5247" s="116" t="s">
        <v>8258</v>
      </c>
      <c r="B5247" s="117" t="s">
        <v>8236</v>
      </c>
      <c r="C5247" t="s">
        <v>67</v>
      </c>
      <c r="D5247" t="s">
        <v>67</v>
      </c>
      <c r="E5247" t="s">
        <v>67</v>
      </c>
      <c r="F5247" t="s">
        <v>27987</v>
      </c>
      <c r="G5247" s="117">
        <v>0.8</v>
      </c>
    </row>
    <row r="5248" spans="1:7" x14ac:dyDescent="0.25">
      <c r="A5248" s="116" t="s">
        <v>8259</v>
      </c>
      <c r="B5248" s="117" t="s">
        <v>8260</v>
      </c>
      <c r="C5248" t="s">
        <v>67</v>
      </c>
      <c r="D5248" t="s">
        <v>67</v>
      </c>
      <c r="E5248" t="s">
        <v>67</v>
      </c>
      <c r="F5248" t="s">
        <v>27987</v>
      </c>
      <c r="G5248" s="117">
        <v>3.12</v>
      </c>
    </row>
    <row r="5249" spans="1:7" x14ac:dyDescent="0.25">
      <c r="A5249" s="116" t="s">
        <v>8261</v>
      </c>
      <c r="B5249" s="117" t="s">
        <v>8262</v>
      </c>
      <c r="C5249" t="s">
        <v>67</v>
      </c>
      <c r="D5249" t="s">
        <v>67</v>
      </c>
      <c r="E5249" t="s">
        <v>67</v>
      </c>
      <c r="F5249" t="s">
        <v>27990</v>
      </c>
      <c r="G5249" s="117">
        <v>0.76</v>
      </c>
    </row>
    <row r="5250" spans="1:7" x14ac:dyDescent="0.25">
      <c r="A5250" s="116" t="s">
        <v>8263</v>
      </c>
      <c r="B5250" s="117" t="s">
        <v>8264</v>
      </c>
      <c r="C5250" t="s">
        <v>67</v>
      </c>
      <c r="D5250" t="s">
        <v>67</v>
      </c>
      <c r="E5250" t="s">
        <v>67</v>
      </c>
      <c r="F5250" t="s">
        <v>49</v>
      </c>
      <c r="G5250" s="117">
        <v>0.8</v>
      </c>
    </row>
    <row r="5251" spans="1:7" x14ac:dyDescent="0.25">
      <c r="A5251" s="116" t="s">
        <v>8265</v>
      </c>
      <c r="B5251" s="117" t="s">
        <v>8239</v>
      </c>
      <c r="C5251" t="s">
        <v>67</v>
      </c>
      <c r="D5251" t="s">
        <v>67</v>
      </c>
      <c r="E5251" t="s">
        <v>67</v>
      </c>
      <c r="F5251" t="s">
        <v>27987</v>
      </c>
      <c r="G5251" s="117">
        <v>0.8</v>
      </c>
    </row>
    <row r="5252" spans="1:7" x14ac:dyDescent="0.25">
      <c r="A5252" s="116" t="s">
        <v>8266</v>
      </c>
      <c r="B5252" s="117" t="s">
        <v>8267</v>
      </c>
      <c r="C5252" t="s">
        <v>67</v>
      </c>
      <c r="D5252" t="s">
        <v>67</v>
      </c>
      <c r="E5252" t="s">
        <v>67</v>
      </c>
      <c r="F5252" t="s">
        <v>27987</v>
      </c>
      <c r="G5252" s="117">
        <v>0.89</v>
      </c>
    </row>
    <row r="5253" spans="1:7" x14ac:dyDescent="0.25">
      <c r="A5253" s="116" t="s">
        <v>8268</v>
      </c>
      <c r="B5253" s="117" t="s">
        <v>8269</v>
      </c>
      <c r="C5253" t="s">
        <v>67</v>
      </c>
      <c r="D5253" t="s">
        <v>67</v>
      </c>
      <c r="E5253" t="s">
        <v>67</v>
      </c>
      <c r="F5253" t="s">
        <v>45</v>
      </c>
      <c r="G5253" s="117">
        <v>1.77</v>
      </c>
    </row>
    <row r="5254" spans="1:7" x14ac:dyDescent="0.25">
      <c r="A5254" s="116" t="s">
        <v>8270</v>
      </c>
      <c r="B5254" s="117" t="s">
        <v>8246</v>
      </c>
      <c r="C5254" t="s">
        <v>67</v>
      </c>
      <c r="D5254" t="s">
        <v>67</v>
      </c>
      <c r="E5254" t="s">
        <v>67</v>
      </c>
      <c r="F5254" t="s">
        <v>27987</v>
      </c>
      <c r="G5254" s="117">
        <v>1.77</v>
      </c>
    </row>
    <row r="5255" spans="1:7" x14ac:dyDescent="0.25">
      <c r="A5255" s="116" t="s">
        <v>8271</v>
      </c>
      <c r="B5255" s="117" t="s">
        <v>28762</v>
      </c>
      <c r="C5255" t="s">
        <v>67</v>
      </c>
      <c r="D5255" t="s">
        <v>67</v>
      </c>
      <c r="E5255" t="s">
        <v>67</v>
      </c>
      <c r="F5255" t="s">
        <v>27987</v>
      </c>
      <c r="G5255" s="117">
        <v>0.8</v>
      </c>
    </row>
    <row r="5256" spans="1:7" x14ac:dyDescent="0.25">
      <c r="A5256" s="116" t="s">
        <v>8272</v>
      </c>
      <c r="B5256" s="117" t="s">
        <v>8244</v>
      </c>
      <c r="C5256" t="s">
        <v>67</v>
      </c>
      <c r="D5256" t="s">
        <v>67</v>
      </c>
      <c r="E5256" t="s">
        <v>67</v>
      </c>
      <c r="F5256" t="s">
        <v>27987</v>
      </c>
      <c r="G5256" s="117">
        <v>3.48</v>
      </c>
    </row>
    <row r="5257" spans="1:7" x14ac:dyDescent="0.25">
      <c r="A5257" s="116" t="s">
        <v>8273</v>
      </c>
      <c r="B5257" s="117" t="s">
        <v>8274</v>
      </c>
      <c r="C5257" t="s">
        <v>67</v>
      </c>
      <c r="D5257" t="s">
        <v>67</v>
      </c>
      <c r="E5257" t="s">
        <v>67</v>
      </c>
      <c r="F5257" t="s">
        <v>27987</v>
      </c>
      <c r="G5257" s="117">
        <v>1.69</v>
      </c>
    </row>
    <row r="5258" spans="1:7" x14ac:dyDescent="0.25">
      <c r="A5258" s="116" t="s">
        <v>8275</v>
      </c>
      <c r="B5258" s="117" t="s">
        <v>8276</v>
      </c>
      <c r="C5258" t="s">
        <v>67</v>
      </c>
      <c r="D5258" t="s">
        <v>67</v>
      </c>
      <c r="E5258" t="s">
        <v>67</v>
      </c>
      <c r="F5258" t="s">
        <v>27987</v>
      </c>
      <c r="G5258" s="117">
        <v>0.8</v>
      </c>
    </row>
    <row r="5259" spans="1:7" x14ac:dyDescent="0.25">
      <c r="A5259" s="116" t="s">
        <v>8277</v>
      </c>
      <c r="B5259" s="117" t="s">
        <v>8278</v>
      </c>
      <c r="C5259" t="s">
        <v>67</v>
      </c>
      <c r="D5259" t="s">
        <v>67</v>
      </c>
      <c r="E5259" t="s">
        <v>67</v>
      </c>
      <c r="F5259" t="s">
        <v>45</v>
      </c>
      <c r="G5259" s="117">
        <v>1.33</v>
      </c>
    </row>
    <row r="5260" spans="1:7" x14ac:dyDescent="0.25">
      <c r="A5260" s="116" t="s">
        <v>8279</v>
      </c>
      <c r="B5260" s="117" t="s">
        <v>8280</v>
      </c>
      <c r="C5260" t="s">
        <v>67</v>
      </c>
      <c r="D5260" t="s">
        <v>67</v>
      </c>
      <c r="E5260" t="s">
        <v>67</v>
      </c>
      <c r="F5260" t="s">
        <v>27987</v>
      </c>
      <c r="G5260" s="117">
        <v>0.63</v>
      </c>
    </row>
    <row r="5261" spans="1:7" x14ac:dyDescent="0.25">
      <c r="A5261" s="116" t="s">
        <v>8281</v>
      </c>
      <c r="B5261" s="117" t="s">
        <v>8282</v>
      </c>
      <c r="C5261" t="s">
        <v>67</v>
      </c>
      <c r="D5261" t="s">
        <v>67</v>
      </c>
      <c r="E5261" t="s">
        <v>67</v>
      </c>
      <c r="F5261" t="s">
        <v>27987</v>
      </c>
      <c r="G5261" s="117">
        <v>0.63</v>
      </c>
    </row>
    <row r="5262" spans="1:7" x14ac:dyDescent="0.25">
      <c r="A5262" s="116" t="s">
        <v>8283</v>
      </c>
      <c r="B5262" s="117" t="s">
        <v>8262</v>
      </c>
      <c r="C5262" t="s">
        <v>67</v>
      </c>
      <c r="D5262" t="s">
        <v>67</v>
      </c>
      <c r="E5262" t="s">
        <v>67</v>
      </c>
      <c r="F5262" t="s">
        <v>45</v>
      </c>
      <c r="G5262" s="117">
        <v>7.12</v>
      </c>
    </row>
    <row r="5263" spans="1:7" x14ac:dyDescent="0.25">
      <c r="A5263" s="116" t="s">
        <v>8284</v>
      </c>
      <c r="B5263" s="117" t="s">
        <v>8285</v>
      </c>
      <c r="C5263" t="s">
        <v>67</v>
      </c>
      <c r="D5263" t="s">
        <v>67</v>
      </c>
      <c r="E5263" t="s">
        <v>67</v>
      </c>
      <c r="F5263" t="s">
        <v>45</v>
      </c>
      <c r="G5263" s="117">
        <v>6.78</v>
      </c>
    </row>
    <row r="5264" spans="1:7" x14ac:dyDescent="0.25">
      <c r="A5264" s="116" t="s">
        <v>8286</v>
      </c>
      <c r="B5264" s="117" t="s">
        <v>8236</v>
      </c>
      <c r="C5264" t="s">
        <v>67</v>
      </c>
      <c r="D5264" t="s">
        <v>67</v>
      </c>
      <c r="E5264" t="s">
        <v>67</v>
      </c>
      <c r="F5264" t="s">
        <v>27987</v>
      </c>
      <c r="G5264" s="117">
        <v>2.58</v>
      </c>
    </row>
    <row r="5265" spans="1:7" x14ac:dyDescent="0.25">
      <c r="A5265" s="116" t="s">
        <v>8287</v>
      </c>
      <c r="B5265" s="117" t="s">
        <v>8288</v>
      </c>
      <c r="C5265" t="s">
        <v>67</v>
      </c>
      <c r="D5265" t="s">
        <v>67</v>
      </c>
      <c r="E5265" t="s">
        <v>67</v>
      </c>
      <c r="F5265" t="s">
        <v>27987</v>
      </c>
      <c r="G5265" s="117">
        <v>3.12</v>
      </c>
    </row>
    <row r="5266" spans="1:7" x14ac:dyDescent="0.25">
      <c r="A5266" s="116" t="s">
        <v>8289</v>
      </c>
      <c r="B5266" s="117" t="s">
        <v>8290</v>
      </c>
      <c r="C5266" t="s">
        <v>67</v>
      </c>
      <c r="D5266" t="s">
        <v>67</v>
      </c>
      <c r="E5266" t="s">
        <v>67</v>
      </c>
      <c r="F5266" t="s">
        <v>27987</v>
      </c>
      <c r="G5266" s="117">
        <v>1.69</v>
      </c>
    </row>
    <row r="5267" spans="1:7" x14ac:dyDescent="0.25">
      <c r="A5267" s="116" t="s">
        <v>8291</v>
      </c>
      <c r="B5267" s="117" t="s">
        <v>8236</v>
      </c>
      <c r="C5267" t="s">
        <v>67</v>
      </c>
      <c r="D5267" t="s">
        <v>67</v>
      </c>
      <c r="E5267" t="s">
        <v>67</v>
      </c>
      <c r="F5267" t="s">
        <v>27987</v>
      </c>
      <c r="G5267" s="117">
        <v>1.33</v>
      </c>
    </row>
    <row r="5268" spans="1:7" x14ac:dyDescent="0.25">
      <c r="A5268" s="116" t="s">
        <v>8292</v>
      </c>
      <c r="B5268" s="117" t="s">
        <v>8293</v>
      </c>
      <c r="C5268" t="s">
        <v>67</v>
      </c>
      <c r="D5268" t="s">
        <v>67</v>
      </c>
      <c r="E5268" t="s">
        <v>67</v>
      </c>
      <c r="F5268" t="s">
        <v>45</v>
      </c>
      <c r="G5268" s="117">
        <v>2.58</v>
      </c>
    </row>
    <row r="5269" spans="1:7" x14ac:dyDescent="0.25">
      <c r="A5269" s="116" t="s">
        <v>8294</v>
      </c>
      <c r="B5269" s="117" t="s">
        <v>8295</v>
      </c>
      <c r="C5269" t="s">
        <v>67</v>
      </c>
      <c r="D5269" t="s">
        <v>67</v>
      </c>
      <c r="E5269" t="s">
        <v>67</v>
      </c>
      <c r="F5269" t="s">
        <v>27987</v>
      </c>
      <c r="G5269" s="117">
        <v>2.58</v>
      </c>
    </row>
    <row r="5270" spans="1:7" x14ac:dyDescent="0.25">
      <c r="A5270" s="116" t="s">
        <v>8296</v>
      </c>
      <c r="B5270" s="117" t="s">
        <v>8297</v>
      </c>
      <c r="C5270" t="s">
        <v>67</v>
      </c>
      <c r="D5270" t="s">
        <v>67</v>
      </c>
      <c r="E5270" t="s">
        <v>67</v>
      </c>
      <c r="F5270" t="s">
        <v>27987</v>
      </c>
      <c r="G5270" s="117">
        <v>2.58</v>
      </c>
    </row>
    <row r="5271" spans="1:7" x14ac:dyDescent="0.25">
      <c r="A5271" s="116" t="s">
        <v>8298</v>
      </c>
      <c r="B5271" s="117" t="s">
        <v>8299</v>
      </c>
      <c r="C5271" t="s">
        <v>67</v>
      </c>
      <c r="D5271" t="s">
        <v>67</v>
      </c>
      <c r="E5271" t="s">
        <v>67</v>
      </c>
      <c r="F5271" t="s">
        <v>45</v>
      </c>
      <c r="G5271" s="117">
        <v>1.33</v>
      </c>
    </row>
    <row r="5272" spans="1:7" x14ac:dyDescent="0.25">
      <c r="A5272" s="116" t="s">
        <v>8300</v>
      </c>
      <c r="B5272" s="117" t="s">
        <v>8301</v>
      </c>
      <c r="C5272" t="s">
        <v>67</v>
      </c>
      <c r="D5272" t="s">
        <v>67</v>
      </c>
      <c r="E5272" t="s">
        <v>67</v>
      </c>
      <c r="F5272" t="s">
        <v>45</v>
      </c>
      <c r="G5272" s="117">
        <v>0.89</v>
      </c>
    </row>
    <row r="5273" spans="1:7" x14ac:dyDescent="0.25">
      <c r="A5273" s="116" t="s">
        <v>8302</v>
      </c>
      <c r="B5273" s="117" t="s">
        <v>8303</v>
      </c>
      <c r="C5273" t="s">
        <v>67</v>
      </c>
      <c r="D5273" t="s">
        <v>67</v>
      </c>
      <c r="E5273" t="s">
        <v>67</v>
      </c>
      <c r="F5273" t="s">
        <v>45</v>
      </c>
      <c r="G5273" s="117">
        <v>1.33</v>
      </c>
    </row>
    <row r="5274" spans="1:7" x14ac:dyDescent="0.25">
      <c r="A5274" s="116" t="s">
        <v>8304</v>
      </c>
      <c r="B5274" s="117" t="s">
        <v>8305</v>
      </c>
      <c r="C5274" t="s">
        <v>67</v>
      </c>
      <c r="D5274" t="s">
        <v>67</v>
      </c>
      <c r="E5274" t="s">
        <v>67</v>
      </c>
      <c r="F5274" t="s">
        <v>45</v>
      </c>
      <c r="G5274" s="117">
        <v>2.58</v>
      </c>
    </row>
    <row r="5275" spans="1:7" x14ac:dyDescent="0.25">
      <c r="A5275" s="116" t="s">
        <v>8306</v>
      </c>
      <c r="B5275" s="117" t="s">
        <v>8307</v>
      </c>
      <c r="C5275" t="s">
        <v>67</v>
      </c>
      <c r="D5275" t="s">
        <v>67</v>
      </c>
      <c r="E5275" t="s">
        <v>67</v>
      </c>
      <c r="F5275" t="s">
        <v>27987</v>
      </c>
      <c r="G5275" s="117">
        <v>3.48</v>
      </c>
    </row>
    <row r="5276" spans="1:7" x14ac:dyDescent="0.25">
      <c r="A5276" s="116" t="s">
        <v>8308</v>
      </c>
      <c r="B5276" s="117" t="s">
        <v>8309</v>
      </c>
      <c r="C5276" t="s">
        <v>67</v>
      </c>
      <c r="D5276" t="s">
        <v>67</v>
      </c>
      <c r="E5276" t="s">
        <v>67</v>
      </c>
      <c r="F5276" t="s">
        <v>45</v>
      </c>
      <c r="G5276" s="117">
        <v>0.44</v>
      </c>
    </row>
    <row r="5277" spans="1:7" x14ac:dyDescent="0.25">
      <c r="A5277" s="116" t="s">
        <v>8310</v>
      </c>
      <c r="B5277" s="117" t="s">
        <v>8311</v>
      </c>
      <c r="C5277" t="s">
        <v>67</v>
      </c>
      <c r="D5277" t="s">
        <v>67</v>
      </c>
      <c r="E5277" t="s">
        <v>67</v>
      </c>
      <c r="F5277" t="s">
        <v>49</v>
      </c>
      <c r="G5277" s="117">
        <v>0.44</v>
      </c>
    </row>
    <row r="5278" spans="1:7" x14ac:dyDescent="0.25">
      <c r="A5278" s="116" t="s">
        <v>30660</v>
      </c>
      <c r="B5278" s="117" t="s">
        <v>8262</v>
      </c>
      <c r="C5278" t="s">
        <v>67</v>
      </c>
      <c r="D5278" t="s">
        <v>67</v>
      </c>
      <c r="E5278" t="s">
        <v>67</v>
      </c>
      <c r="F5278" t="s">
        <v>45</v>
      </c>
      <c r="G5278" s="117">
        <v>1</v>
      </c>
    </row>
    <row r="5279" spans="1:7" x14ac:dyDescent="0.25">
      <c r="A5279" s="116" t="s">
        <v>8312</v>
      </c>
      <c r="B5279" s="117" t="s">
        <v>8313</v>
      </c>
      <c r="C5279" t="s">
        <v>67</v>
      </c>
      <c r="D5279" t="s">
        <v>67</v>
      </c>
      <c r="E5279" t="s">
        <v>67</v>
      </c>
      <c r="F5279" t="s">
        <v>27987</v>
      </c>
      <c r="G5279" s="117">
        <v>2.67</v>
      </c>
    </row>
    <row r="5280" spans="1:7" x14ac:dyDescent="0.25">
      <c r="A5280" s="116" t="s">
        <v>8314</v>
      </c>
      <c r="B5280" s="117" t="s">
        <v>8315</v>
      </c>
      <c r="C5280" t="s">
        <v>67</v>
      </c>
      <c r="D5280" t="s">
        <v>67</v>
      </c>
      <c r="E5280" t="s">
        <v>67</v>
      </c>
      <c r="F5280" t="s">
        <v>27987</v>
      </c>
      <c r="G5280" s="117">
        <v>1.69</v>
      </c>
    </row>
    <row r="5281" spans="1:7" x14ac:dyDescent="0.25">
      <c r="A5281" s="116" t="s">
        <v>8316</v>
      </c>
      <c r="B5281" s="117" t="s">
        <v>8239</v>
      </c>
      <c r="C5281" t="s">
        <v>67</v>
      </c>
      <c r="D5281" t="s">
        <v>67</v>
      </c>
      <c r="E5281" t="s">
        <v>67</v>
      </c>
      <c r="F5281" t="s">
        <v>45</v>
      </c>
      <c r="G5281" s="117">
        <v>2.58</v>
      </c>
    </row>
    <row r="5282" spans="1:7" x14ac:dyDescent="0.25">
      <c r="A5282" s="116" t="s">
        <v>8317</v>
      </c>
      <c r="B5282" s="117" t="s">
        <v>8239</v>
      </c>
      <c r="C5282" t="s">
        <v>67</v>
      </c>
      <c r="D5282" t="s">
        <v>67</v>
      </c>
      <c r="E5282" t="s">
        <v>67</v>
      </c>
      <c r="F5282" t="s">
        <v>27987</v>
      </c>
      <c r="G5282" s="117">
        <v>1.33</v>
      </c>
    </row>
    <row r="5283" spans="1:7" x14ac:dyDescent="0.25">
      <c r="A5283" s="116" t="s">
        <v>8318</v>
      </c>
      <c r="B5283" s="117" t="s">
        <v>8319</v>
      </c>
      <c r="C5283" t="s">
        <v>67</v>
      </c>
      <c r="D5283" t="s">
        <v>67</v>
      </c>
      <c r="E5283" t="s">
        <v>67</v>
      </c>
      <c r="F5283" t="s">
        <v>27987</v>
      </c>
      <c r="G5283" s="117">
        <v>0.89</v>
      </c>
    </row>
    <row r="5284" spans="1:7" x14ac:dyDescent="0.25">
      <c r="A5284" s="116" t="s">
        <v>8320</v>
      </c>
      <c r="B5284" s="117" t="s">
        <v>8321</v>
      </c>
      <c r="C5284" t="s">
        <v>67</v>
      </c>
      <c r="D5284" t="s">
        <v>67</v>
      </c>
      <c r="E5284" t="s">
        <v>67</v>
      </c>
      <c r="F5284" t="s">
        <v>27987</v>
      </c>
      <c r="G5284" s="117">
        <v>10.58</v>
      </c>
    </row>
    <row r="5285" spans="1:7" x14ac:dyDescent="0.25">
      <c r="A5285" s="116" t="s">
        <v>8322</v>
      </c>
      <c r="B5285" s="117" t="s">
        <v>8323</v>
      </c>
      <c r="C5285" t="s">
        <v>67</v>
      </c>
      <c r="D5285" t="s">
        <v>67</v>
      </c>
      <c r="E5285" t="s">
        <v>67</v>
      </c>
      <c r="F5285" t="s">
        <v>27987</v>
      </c>
      <c r="G5285" s="117">
        <v>15.57</v>
      </c>
    </row>
    <row r="5286" spans="1:7" x14ac:dyDescent="0.25">
      <c r="A5286" s="116" t="s">
        <v>8324</v>
      </c>
      <c r="B5286" s="117" t="s">
        <v>8325</v>
      </c>
      <c r="C5286" t="s">
        <v>67</v>
      </c>
      <c r="D5286" t="s">
        <v>67</v>
      </c>
      <c r="E5286" t="s">
        <v>67</v>
      </c>
      <c r="F5286" t="s">
        <v>27987</v>
      </c>
      <c r="G5286" s="117">
        <v>2.58</v>
      </c>
    </row>
    <row r="5287" spans="1:7" x14ac:dyDescent="0.25">
      <c r="A5287" s="116" t="s">
        <v>8326</v>
      </c>
      <c r="B5287" s="117" t="s">
        <v>8327</v>
      </c>
      <c r="C5287" t="s">
        <v>67</v>
      </c>
      <c r="D5287" t="s">
        <v>67</v>
      </c>
      <c r="E5287" t="s">
        <v>67</v>
      </c>
      <c r="F5287" t="s">
        <v>27987</v>
      </c>
      <c r="G5287" s="117">
        <v>0.8</v>
      </c>
    </row>
    <row r="5288" spans="1:7" x14ac:dyDescent="0.25">
      <c r="A5288" s="116" t="s">
        <v>8328</v>
      </c>
      <c r="B5288" s="117" t="s">
        <v>8329</v>
      </c>
      <c r="C5288" t="s">
        <v>67</v>
      </c>
      <c r="D5288" t="s">
        <v>67</v>
      </c>
      <c r="E5288" t="s">
        <v>67</v>
      </c>
      <c r="F5288" t="s">
        <v>27987</v>
      </c>
      <c r="G5288" s="117">
        <v>2.13</v>
      </c>
    </row>
    <row r="5289" spans="1:7" x14ac:dyDescent="0.25">
      <c r="A5289" s="116" t="s">
        <v>27960</v>
      </c>
      <c r="B5289" s="117" t="s">
        <v>9812</v>
      </c>
      <c r="C5289" t="s">
        <v>67</v>
      </c>
      <c r="D5289" t="s">
        <v>67</v>
      </c>
      <c r="E5289" t="s">
        <v>67</v>
      </c>
      <c r="F5289" t="s">
        <v>51</v>
      </c>
      <c r="G5289" s="117">
        <v>1.5</v>
      </c>
    </row>
    <row r="5290" spans="1:7" x14ac:dyDescent="0.25">
      <c r="A5290" s="116" t="s">
        <v>30695</v>
      </c>
      <c r="B5290" s="117" t="s">
        <v>30696</v>
      </c>
      <c r="C5290" t="s">
        <v>67</v>
      </c>
      <c r="D5290" t="s">
        <v>67</v>
      </c>
      <c r="E5290" t="s">
        <v>67</v>
      </c>
      <c r="F5290" t="s">
        <v>27987</v>
      </c>
      <c r="G5290" s="117">
        <v>1.5</v>
      </c>
    </row>
    <row r="5291" spans="1:7" x14ac:dyDescent="0.25">
      <c r="A5291" s="116" t="s">
        <v>28763</v>
      </c>
      <c r="B5291" s="117" t="s">
        <v>29788</v>
      </c>
      <c r="C5291" t="s">
        <v>67</v>
      </c>
      <c r="D5291" t="s">
        <v>67</v>
      </c>
      <c r="E5291" t="s">
        <v>67</v>
      </c>
      <c r="F5291" t="s">
        <v>27987</v>
      </c>
      <c r="G5291" s="117">
        <v>5.78</v>
      </c>
    </row>
    <row r="5292" spans="1:7" x14ac:dyDescent="0.25">
      <c r="A5292" s="116" t="s">
        <v>28764</v>
      </c>
      <c r="B5292" s="117" t="s">
        <v>8290</v>
      </c>
      <c r="C5292" t="s">
        <v>67</v>
      </c>
      <c r="D5292" t="s">
        <v>67</v>
      </c>
      <c r="E5292" t="s">
        <v>67</v>
      </c>
      <c r="F5292" t="s">
        <v>27987</v>
      </c>
      <c r="G5292" s="117">
        <v>3</v>
      </c>
    </row>
    <row r="5293" spans="1:7" x14ac:dyDescent="0.25">
      <c r="A5293" s="116" t="s">
        <v>8330</v>
      </c>
      <c r="B5293" s="117" t="s">
        <v>8331</v>
      </c>
      <c r="C5293" t="s">
        <v>67</v>
      </c>
      <c r="D5293" t="s">
        <v>67</v>
      </c>
      <c r="E5293" t="s">
        <v>67</v>
      </c>
      <c r="F5293" t="s">
        <v>27987</v>
      </c>
      <c r="G5293" s="117">
        <v>1.33</v>
      </c>
    </row>
    <row r="5294" spans="1:7" x14ac:dyDescent="0.25">
      <c r="A5294" s="116" t="s">
        <v>8332</v>
      </c>
      <c r="B5294" s="117" t="s">
        <v>8333</v>
      </c>
      <c r="C5294" t="s">
        <v>67</v>
      </c>
      <c r="D5294" t="s">
        <v>67</v>
      </c>
      <c r="E5294" t="s">
        <v>67</v>
      </c>
      <c r="F5294" t="s">
        <v>45</v>
      </c>
      <c r="G5294" s="117">
        <v>17.36</v>
      </c>
    </row>
    <row r="5295" spans="1:7" x14ac:dyDescent="0.25">
      <c r="A5295" s="116" t="s">
        <v>8334</v>
      </c>
      <c r="B5295" s="117" t="s">
        <v>8335</v>
      </c>
      <c r="C5295" t="s">
        <v>67</v>
      </c>
      <c r="D5295" t="s">
        <v>67</v>
      </c>
      <c r="E5295" t="s">
        <v>67</v>
      </c>
      <c r="F5295" t="s">
        <v>27987</v>
      </c>
      <c r="G5295" s="117">
        <v>0.8</v>
      </c>
    </row>
    <row r="5296" spans="1:7" x14ac:dyDescent="0.25">
      <c r="A5296" s="116" t="s">
        <v>8336</v>
      </c>
      <c r="B5296" s="117" t="s">
        <v>8337</v>
      </c>
      <c r="C5296" t="s">
        <v>67</v>
      </c>
      <c r="D5296" t="s">
        <v>67</v>
      </c>
      <c r="E5296" t="s">
        <v>67</v>
      </c>
      <c r="F5296" t="s">
        <v>49</v>
      </c>
      <c r="G5296" s="117">
        <v>1.33</v>
      </c>
    </row>
    <row r="5297" spans="1:7" x14ac:dyDescent="0.25">
      <c r="A5297" s="116" t="s">
        <v>8338</v>
      </c>
      <c r="B5297" s="117" t="s">
        <v>8339</v>
      </c>
      <c r="C5297" t="s">
        <v>67</v>
      </c>
      <c r="D5297" t="s">
        <v>67</v>
      </c>
      <c r="E5297" t="s">
        <v>67</v>
      </c>
      <c r="F5297" t="s">
        <v>49</v>
      </c>
      <c r="G5297" s="117">
        <v>2.23</v>
      </c>
    </row>
    <row r="5298" spans="1:7" x14ac:dyDescent="0.25">
      <c r="A5298" s="116" t="s">
        <v>8340</v>
      </c>
      <c r="B5298" s="117" t="s">
        <v>8341</v>
      </c>
      <c r="C5298" t="s">
        <v>67</v>
      </c>
      <c r="D5298" t="s">
        <v>67</v>
      </c>
      <c r="E5298" t="s">
        <v>67</v>
      </c>
      <c r="F5298" t="s">
        <v>49</v>
      </c>
      <c r="G5298" s="117">
        <v>0.8</v>
      </c>
    </row>
    <row r="5299" spans="1:7" x14ac:dyDescent="0.25">
      <c r="A5299" s="116" t="s">
        <v>8342</v>
      </c>
      <c r="B5299" s="117" t="s">
        <v>8343</v>
      </c>
      <c r="C5299" t="s">
        <v>67</v>
      </c>
      <c r="D5299" t="s">
        <v>67</v>
      </c>
      <c r="E5299" t="s">
        <v>67</v>
      </c>
      <c r="F5299" t="s">
        <v>27990</v>
      </c>
      <c r="G5299" s="117">
        <v>1.33</v>
      </c>
    </row>
    <row r="5300" spans="1:7" x14ac:dyDescent="0.25">
      <c r="A5300" s="116" t="s">
        <v>8344</v>
      </c>
      <c r="B5300" s="117" t="s">
        <v>8248</v>
      </c>
      <c r="C5300" t="s">
        <v>67</v>
      </c>
      <c r="D5300" t="s">
        <v>67</v>
      </c>
      <c r="E5300" t="s">
        <v>67</v>
      </c>
      <c r="F5300" t="s">
        <v>49</v>
      </c>
      <c r="G5300" s="117">
        <v>2.23</v>
      </c>
    </row>
    <row r="5301" spans="1:7" x14ac:dyDescent="0.25">
      <c r="A5301" s="116" t="s">
        <v>8345</v>
      </c>
      <c r="B5301" s="117" t="s">
        <v>8236</v>
      </c>
      <c r="C5301" t="s">
        <v>67</v>
      </c>
      <c r="D5301" t="s">
        <v>67</v>
      </c>
      <c r="E5301" t="s">
        <v>67</v>
      </c>
      <c r="F5301" t="s">
        <v>27987</v>
      </c>
      <c r="G5301" s="117">
        <v>0.8</v>
      </c>
    </row>
    <row r="5302" spans="1:7" x14ac:dyDescent="0.25">
      <c r="A5302" s="116" t="s">
        <v>8346</v>
      </c>
      <c r="B5302" s="117" t="s">
        <v>28765</v>
      </c>
      <c r="C5302" t="s">
        <v>67</v>
      </c>
      <c r="D5302" t="s">
        <v>67</v>
      </c>
      <c r="E5302" t="s">
        <v>67</v>
      </c>
      <c r="F5302" t="s">
        <v>27990</v>
      </c>
      <c r="G5302" s="117">
        <v>1.33</v>
      </c>
    </row>
    <row r="5303" spans="1:7" x14ac:dyDescent="0.25">
      <c r="A5303" s="116" t="s">
        <v>8348</v>
      </c>
      <c r="B5303" s="117" t="s">
        <v>8262</v>
      </c>
      <c r="C5303" t="s">
        <v>67</v>
      </c>
      <c r="D5303" t="s">
        <v>67</v>
      </c>
      <c r="E5303" t="s">
        <v>67</v>
      </c>
      <c r="F5303" t="s">
        <v>27987</v>
      </c>
      <c r="G5303" s="117">
        <v>2.58</v>
      </c>
    </row>
    <row r="5304" spans="1:7" x14ac:dyDescent="0.25">
      <c r="A5304" s="116" t="s">
        <v>8349</v>
      </c>
      <c r="B5304" s="117" t="s">
        <v>8350</v>
      </c>
      <c r="C5304" t="s">
        <v>67</v>
      </c>
      <c r="D5304" t="s">
        <v>67</v>
      </c>
      <c r="E5304" t="s">
        <v>67</v>
      </c>
      <c r="F5304" t="s">
        <v>45</v>
      </c>
      <c r="G5304" s="117">
        <v>6.68</v>
      </c>
    </row>
    <row r="5305" spans="1:7" x14ac:dyDescent="0.25">
      <c r="A5305" s="116" t="s">
        <v>8351</v>
      </c>
      <c r="B5305" s="117" t="s">
        <v>8352</v>
      </c>
      <c r="C5305" t="s">
        <v>67</v>
      </c>
      <c r="D5305" t="s">
        <v>67</v>
      </c>
      <c r="E5305" t="s">
        <v>67</v>
      </c>
      <c r="F5305" t="s">
        <v>27987</v>
      </c>
      <c r="G5305" s="117">
        <v>3.56</v>
      </c>
    </row>
    <row r="5306" spans="1:7" x14ac:dyDescent="0.25">
      <c r="A5306" s="116" t="s">
        <v>8353</v>
      </c>
      <c r="B5306" s="117" t="s">
        <v>8354</v>
      </c>
      <c r="C5306" t="s">
        <v>67</v>
      </c>
      <c r="D5306" t="s">
        <v>67</v>
      </c>
      <c r="E5306" t="s">
        <v>67</v>
      </c>
      <c r="F5306" t="s">
        <v>49</v>
      </c>
      <c r="G5306" s="117">
        <v>1.77</v>
      </c>
    </row>
    <row r="5307" spans="1:7" x14ac:dyDescent="0.25">
      <c r="A5307" s="116" t="s">
        <v>8355</v>
      </c>
      <c r="B5307" s="117" t="s">
        <v>8356</v>
      </c>
      <c r="C5307" t="s">
        <v>67</v>
      </c>
      <c r="D5307" t="s">
        <v>67</v>
      </c>
      <c r="E5307" t="s">
        <v>67</v>
      </c>
      <c r="F5307" t="s">
        <v>45</v>
      </c>
      <c r="G5307" s="117">
        <v>8.4499999999999993</v>
      </c>
    </row>
    <row r="5308" spans="1:7" x14ac:dyDescent="0.25">
      <c r="A5308" s="116" t="s">
        <v>8357</v>
      </c>
      <c r="B5308" s="117" t="s">
        <v>8233</v>
      </c>
      <c r="C5308" t="s">
        <v>67</v>
      </c>
      <c r="D5308" t="s">
        <v>67</v>
      </c>
      <c r="E5308" t="s">
        <v>67</v>
      </c>
      <c r="F5308" t="s">
        <v>27987</v>
      </c>
      <c r="G5308" s="117">
        <v>1.33</v>
      </c>
    </row>
    <row r="5309" spans="1:7" x14ac:dyDescent="0.25">
      <c r="A5309" s="116" t="s">
        <v>8358</v>
      </c>
      <c r="B5309" s="117" t="s">
        <v>8359</v>
      </c>
      <c r="C5309" t="s">
        <v>67</v>
      </c>
      <c r="D5309" t="s">
        <v>67</v>
      </c>
      <c r="E5309" t="s">
        <v>67</v>
      </c>
      <c r="F5309" t="s">
        <v>27987</v>
      </c>
      <c r="G5309" s="117">
        <v>1.33</v>
      </c>
    </row>
    <row r="5310" spans="1:7" x14ac:dyDescent="0.25">
      <c r="A5310" s="116" t="s">
        <v>28766</v>
      </c>
      <c r="B5310" s="117" t="s">
        <v>28767</v>
      </c>
      <c r="C5310" t="s">
        <v>67</v>
      </c>
      <c r="D5310" t="s">
        <v>67</v>
      </c>
      <c r="E5310" t="s">
        <v>67</v>
      </c>
      <c r="F5310" t="s">
        <v>45</v>
      </c>
      <c r="G5310" s="117">
        <v>0</v>
      </c>
    </row>
    <row r="5311" spans="1:7" x14ac:dyDescent="0.25">
      <c r="A5311" s="116" t="s">
        <v>8360</v>
      </c>
      <c r="B5311" s="117" t="s">
        <v>125</v>
      </c>
      <c r="C5311" t="s">
        <v>67</v>
      </c>
      <c r="D5311" t="s">
        <v>67</v>
      </c>
      <c r="E5311" t="s">
        <v>67</v>
      </c>
      <c r="F5311" t="s">
        <v>27987</v>
      </c>
      <c r="G5311" s="117">
        <v>0.8</v>
      </c>
    </row>
    <row r="5312" spans="1:7" x14ac:dyDescent="0.25">
      <c r="A5312" s="116" t="s">
        <v>8361</v>
      </c>
      <c r="B5312" s="117" t="s">
        <v>8362</v>
      </c>
      <c r="C5312" t="s">
        <v>67</v>
      </c>
      <c r="D5312" t="s">
        <v>67</v>
      </c>
      <c r="E5312" t="s">
        <v>67</v>
      </c>
      <c r="F5312" t="s">
        <v>27987</v>
      </c>
      <c r="G5312" s="117">
        <v>0.8</v>
      </c>
    </row>
    <row r="5313" spans="1:7" x14ac:dyDescent="0.25">
      <c r="A5313" s="116" t="s">
        <v>8363</v>
      </c>
      <c r="B5313" s="117" t="s">
        <v>8335</v>
      </c>
      <c r="C5313" t="s">
        <v>67</v>
      </c>
      <c r="D5313" t="s">
        <v>67</v>
      </c>
      <c r="E5313" t="s">
        <v>67</v>
      </c>
      <c r="F5313" t="s">
        <v>49</v>
      </c>
      <c r="G5313" s="117">
        <v>0.8</v>
      </c>
    </row>
    <row r="5314" spans="1:7" x14ac:dyDescent="0.25">
      <c r="A5314" s="116" t="s">
        <v>8364</v>
      </c>
      <c r="B5314" s="117" t="s">
        <v>8352</v>
      </c>
      <c r="C5314" t="s">
        <v>67</v>
      </c>
      <c r="D5314" t="s">
        <v>67</v>
      </c>
      <c r="E5314" t="s">
        <v>67</v>
      </c>
      <c r="F5314" t="s">
        <v>45</v>
      </c>
      <c r="G5314" s="117">
        <v>3.12</v>
      </c>
    </row>
    <row r="5315" spans="1:7" x14ac:dyDescent="0.25">
      <c r="A5315" s="116" t="s">
        <v>8365</v>
      </c>
      <c r="B5315" s="117" t="s">
        <v>8366</v>
      </c>
      <c r="C5315" t="s">
        <v>67</v>
      </c>
      <c r="D5315" t="s">
        <v>67</v>
      </c>
      <c r="E5315" t="s">
        <v>67</v>
      </c>
      <c r="F5315" t="s">
        <v>45</v>
      </c>
      <c r="G5315" s="117">
        <v>0.8</v>
      </c>
    </row>
    <row r="5316" spans="1:7" x14ac:dyDescent="0.25">
      <c r="A5316" s="116" t="s">
        <v>8367</v>
      </c>
      <c r="B5316" s="117" t="s">
        <v>8239</v>
      </c>
      <c r="C5316" t="s">
        <v>67</v>
      </c>
      <c r="D5316" t="s">
        <v>67</v>
      </c>
      <c r="E5316" t="s">
        <v>67</v>
      </c>
      <c r="F5316" t="s">
        <v>27987</v>
      </c>
      <c r="G5316" s="117">
        <v>2.67</v>
      </c>
    </row>
    <row r="5317" spans="1:7" x14ac:dyDescent="0.25">
      <c r="A5317" s="116" t="s">
        <v>8368</v>
      </c>
      <c r="B5317" s="117" t="s">
        <v>8369</v>
      </c>
      <c r="C5317" t="s">
        <v>67</v>
      </c>
      <c r="D5317" t="s">
        <v>67</v>
      </c>
      <c r="E5317" t="s">
        <v>67</v>
      </c>
      <c r="F5317" t="s">
        <v>27987</v>
      </c>
      <c r="G5317" s="117">
        <v>1.33</v>
      </c>
    </row>
    <row r="5318" spans="1:7" x14ac:dyDescent="0.25">
      <c r="A5318" s="116" t="s">
        <v>8370</v>
      </c>
      <c r="B5318" s="117" t="s">
        <v>8371</v>
      </c>
      <c r="C5318" t="s">
        <v>67</v>
      </c>
      <c r="D5318" t="s">
        <v>67</v>
      </c>
      <c r="E5318" t="s">
        <v>67</v>
      </c>
      <c r="F5318" t="s">
        <v>49</v>
      </c>
      <c r="G5318" s="117">
        <v>1.33</v>
      </c>
    </row>
    <row r="5319" spans="1:7" x14ac:dyDescent="0.25">
      <c r="A5319" s="116" t="s">
        <v>8372</v>
      </c>
      <c r="B5319" s="117" t="s">
        <v>8373</v>
      </c>
      <c r="C5319" t="s">
        <v>67</v>
      </c>
      <c r="D5319" t="s">
        <v>67</v>
      </c>
      <c r="E5319" t="s">
        <v>67</v>
      </c>
      <c r="F5319" t="s">
        <v>27987</v>
      </c>
      <c r="G5319" s="117">
        <v>1.61</v>
      </c>
    </row>
    <row r="5320" spans="1:7" x14ac:dyDescent="0.25">
      <c r="A5320" s="116" t="s">
        <v>8374</v>
      </c>
      <c r="B5320" s="117" t="s">
        <v>8248</v>
      </c>
      <c r="C5320" t="s">
        <v>67</v>
      </c>
      <c r="D5320" t="s">
        <v>67</v>
      </c>
      <c r="E5320" t="s">
        <v>67</v>
      </c>
      <c r="F5320" t="s">
        <v>27987</v>
      </c>
      <c r="G5320" s="117">
        <v>0.89</v>
      </c>
    </row>
    <row r="5321" spans="1:7" x14ac:dyDescent="0.25">
      <c r="A5321" s="116" t="s">
        <v>8375</v>
      </c>
      <c r="B5321" s="117" t="s">
        <v>8343</v>
      </c>
      <c r="C5321" t="s">
        <v>67</v>
      </c>
      <c r="D5321" t="s">
        <v>67</v>
      </c>
      <c r="E5321" t="s">
        <v>67</v>
      </c>
      <c r="F5321" t="s">
        <v>49</v>
      </c>
      <c r="G5321" s="117">
        <v>4.1500000000000004</v>
      </c>
    </row>
    <row r="5322" spans="1:7" x14ac:dyDescent="0.25">
      <c r="A5322" s="116" t="s">
        <v>8376</v>
      </c>
      <c r="B5322" s="117" t="s">
        <v>8377</v>
      </c>
      <c r="C5322" t="s">
        <v>67</v>
      </c>
      <c r="D5322" t="s">
        <v>67</v>
      </c>
      <c r="E5322" t="s">
        <v>67</v>
      </c>
      <c r="F5322" t="s">
        <v>45</v>
      </c>
      <c r="G5322" s="117">
        <v>38.700000000000003</v>
      </c>
    </row>
    <row r="5323" spans="1:7" x14ac:dyDescent="0.25">
      <c r="A5323" s="116" t="s">
        <v>8378</v>
      </c>
      <c r="B5323" s="117" t="s">
        <v>8379</v>
      </c>
      <c r="C5323" t="s">
        <v>67</v>
      </c>
      <c r="D5323" t="s">
        <v>67</v>
      </c>
      <c r="E5323" t="s">
        <v>67</v>
      </c>
      <c r="F5323" t="s">
        <v>27987</v>
      </c>
      <c r="G5323" s="117">
        <v>1.69</v>
      </c>
    </row>
    <row r="5324" spans="1:7" x14ac:dyDescent="0.25">
      <c r="A5324" s="116" t="s">
        <v>8380</v>
      </c>
      <c r="B5324" s="117" t="s">
        <v>8381</v>
      </c>
      <c r="C5324" t="s">
        <v>67</v>
      </c>
      <c r="D5324" t="s">
        <v>67</v>
      </c>
      <c r="E5324" t="s">
        <v>67</v>
      </c>
      <c r="F5324" t="s">
        <v>45</v>
      </c>
      <c r="G5324" s="117">
        <v>15.57</v>
      </c>
    </row>
    <row r="5325" spans="1:7" x14ac:dyDescent="0.25">
      <c r="A5325" s="116" t="s">
        <v>8382</v>
      </c>
      <c r="B5325" s="117" t="s">
        <v>125</v>
      </c>
      <c r="C5325" t="s">
        <v>67</v>
      </c>
      <c r="D5325" t="s">
        <v>67</v>
      </c>
      <c r="E5325" t="s">
        <v>67</v>
      </c>
      <c r="F5325" t="s">
        <v>27987</v>
      </c>
      <c r="G5325" s="117">
        <v>1.69</v>
      </c>
    </row>
    <row r="5326" spans="1:7" x14ac:dyDescent="0.25">
      <c r="A5326" s="116" t="s">
        <v>8383</v>
      </c>
      <c r="B5326" s="117" t="s">
        <v>8384</v>
      </c>
      <c r="C5326" t="s">
        <v>67</v>
      </c>
      <c r="D5326" t="s">
        <v>67</v>
      </c>
      <c r="E5326" t="s">
        <v>67</v>
      </c>
      <c r="F5326" t="s">
        <v>27987</v>
      </c>
      <c r="G5326" s="117">
        <v>1.33</v>
      </c>
    </row>
    <row r="5327" spans="1:7" x14ac:dyDescent="0.25">
      <c r="A5327" s="116" t="s">
        <v>8385</v>
      </c>
      <c r="B5327" s="117" t="s">
        <v>8262</v>
      </c>
      <c r="C5327" t="s">
        <v>67</v>
      </c>
      <c r="D5327" t="s">
        <v>67</v>
      </c>
      <c r="E5327" t="s">
        <v>67</v>
      </c>
      <c r="F5327" t="s">
        <v>27987</v>
      </c>
      <c r="G5327" s="117">
        <v>2.58</v>
      </c>
    </row>
    <row r="5328" spans="1:7" x14ac:dyDescent="0.25">
      <c r="A5328" s="116" t="s">
        <v>8386</v>
      </c>
      <c r="B5328" s="117" t="s">
        <v>8236</v>
      </c>
      <c r="C5328" t="s">
        <v>67</v>
      </c>
      <c r="D5328" t="s">
        <v>67</v>
      </c>
      <c r="E5328" t="s">
        <v>67</v>
      </c>
      <c r="F5328" t="s">
        <v>27987</v>
      </c>
      <c r="G5328" s="117">
        <v>1.33</v>
      </c>
    </row>
    <row r="5329" spans="1:7" x14ac:dyDescent="0.25">
      <c r="A5329" s="116" t="s">
        <v>8387</v>
      </c>
      <c r="B5329" s="117" t="s">
        <v>8388</v>
      </c>
      <c r="C5329" t="s">
        <v>67</v>
      </c>
      <c r="D5329" t="s">
        <v>67</v>
      </c>
      <c r="E5329" t="s">
        <v>67</v>
      </c>
      <c r="F5329" t="s">
        <v>27987</v>
      </c>
      <c r="G5329" s="117">
        <v>0.8</v>
      </c>
    </row>
    <row r="5330" spans="1:7" x14ac:dyDescent="0.25">
      <c r="A5330" s="116" t="s">
        <v>8389</v>
      </c>
      <c r="B5330" s="117" t="s">
        <v>8390</v>
      </c>
      <c r="C5330" t="s">
        <v>67</v>
      </c>
      <c r="D5330" t="s">
        <v>67</v>
      </c>
      <c r="E5330" t="s">
        <v>67</v>
      </c>
      <c r="F5330" t="s">
        <v>27987</v>
      </c>
      <c r="G5330" s="117">
        <v>1.33</v>
      </c>
    </row>
    <row r="5331" spans="1:7" x14ac:dyDescent="0.25">
      <c r="A5331" s="116" t="s">
        <v>8391</v>
      </c>
      <c r="B5331" s="117" t="s">
        <v>8392</v>
      </c>
      <c r="C5331" t="s">
        <v>67</v>
      </c>
      <c r="D5331" t="s">
        <v>67</v>
      </c>
      <c r="E5331" t="s">
        <v>67</v>
      </c>
      <c r="F5331" t="s">
        <v>49</v>
      </c>
      <c r="G5331" s="117">
        <v>1.33</v>
      </c>
    </row>
    <row r="5332" spans="1:7" x14ac:dyDescent="0.25">
      <c r="A5332" s="116" t="s">
        <v>8393</v>
      </c>
      <c r="B5332" s="117" t="s">
        <v>125</v>
      </c>
      <c r="C5332" t="s">
        <v>67</v>
      </c>
      <c r="D5332" t="s">
        <v>67</v>
      </c>
      <c r="E5332" t="s">
        <v>67</v>
      </c>
      <c r="F5332" t="s">
        <v>45</v>
      </c>
      <c r="G5332" s="117">
        <v>45.3</v>
      </c>
    </row>
    <row r="5333" spans="1:7" x14ac:dyDescent="0.25">
      <c r="A5333" s="116" t="s">
        <v>8394</v>
      </c>
      <c r="B5333" s="117" t="s">
        <v>8395</v>
      </c>
      <c r="C5333" t="s">
        <v>67</v>
      </c>
      <c r="D5333" t="s">
        <v>67</v>
      </c>
      <c r="E5333" t="s">
        <v>67</v>
      </c>
      <c r="F5333" t="s">
        <v>49</v>
      </c>
      <c r="G5333" s="117">
        <v>1.69</v>
      </c>
    </row>
    <row r="5334" spans="1:7" x14ac:dyDescent="0.25">
      <c r="A5334" s="116" t="s">
        <v>8396</v>
      </c>
      <c r="B5334" s="117" t="s">
        <v>8397</v>
      </c>
      <c r="C5334" t="s">
        <v>67</v>
      </c>
      <c r="D5334" t="s">
        <v>67</v>
      </c>
      <c r="E5334" t="s">
        <v>67</v>
      </c>
      <c r="F5334" t="s">
        <v>27987</v>
      </c>
      <c r="G5334" s="117">
        <v>1.33</v>
      </c>
    </row>
    <row r="5335" spans="1:7" x14ac:dyDescent="0.25">
      <c r="A5335" s="116" t="s">
        <v>8398</v>
      </c>
      <c r="B5335" s="117" t="s">
        <v>8399</v>
      </c>
      <c r="C5335" t="s">
        <v>67</v>
      </c>
      <c r="D5335" t="s">
        <v>67</v>
      </c>
      <c r="E5335" t="s">
        <v>67</v>
      </c>
      <c r="F5335" t="s">
        <v>49</v>
      </c>
      <c r="G5335" s="117">
        <v>0.8</v>
      </c>
    </row>
    <row r="5336" spans="1:7" x14ac:dyDescent="0.25">
      <c r="A5336" s="116" t="s">
        <v>8400</v>
      </c>
      <c r="B5336" s="117" t="s">
        <v>8260</v>
      </c>
      <c r="C5336" t="s">
        <v>67</v>
      </c>
      <c r="D5336" t="s">
        <v>67</v>
      </c>
      <c r="E5336" t="s">
        <v>67</v>
      </c>
      <c r="F5336" t="s">
        <v>27987</v>
      </c>
      <c r="G5336" s="117">
        <v>14.14</v>
      </c>
    </row>
    <row r="5337" spans="1:7" x14ac:dyDescent="0.25">
      <c r="A5337" s="116" t="s">
        <v>8401</v>
      </c>
      <c r="B5337" s="117" t="s">
        <v>8402</v>
      </c>
      <c r="C5337" t="s">
        <v>67</v>
      </c>
      <c r="D5337" t="s">
        <v>67</v>
      </c>
      <c r="E5337" t="s">
        <v>67</v>
      </c>
      <c r="F5337" t="s">
        <v>27987</v>
      </c>
      <c r="G5337" s="117">
        <v>18.600000000000001</v>
      </c>
    </row>
    <row r="5338" spans="1:7" x14ac:dyDescent="0.25">
      <c r="A5338" s="116" t="s">
        <v>8403</v>
      </c>
      <c r="B5338" s="117" t="s">
        <v>8404</v>
      </c>
      <c r="C5338" t="s">
        <v>67</v>
      </c>
      <c r="D5338" t="s">
        <v>67</v>
      </c>
      <c r="E5338" t="s">
        <v>67</v>
      </c>
      <c r="F5338" t="s">
        <v>27987</v>
      </c>
      <c r="G5338" s="117">
        <v>0.8</v>
      </c>
    </row>
    <row r="5339" spans="1:7" x14ac:dyDescent="0.25">
      <c r="A5339" s="116" t="s">
        <v>8405</v>
      </c>
      <c r="B5339" s="117" t="s">
        <v>8406</v>
      </c>
      <c r="C5339" t="s">
        <v>67</v>
      </c>
      <c r="D5339" t="s">
        <v>67</v>
      </c>
      <c r="E5339" t="s">
        <v>67</v>
      </c>
      <c r="F5339" t="s">
        <v>27987</v>
      </c>
      <c r="G5339" s="117">
        <v>28.38</v>
      </c>
    </row>
    <row r="5340" spans="1:7" x14ac:dyDescent="0.25">
      <c r="A5340" s="116" t="s">
        <v>8407</v>
      </c>
      <c r="B5340" s="117" t="s">
        <v>8408</v>
      </c>
      <c r="C5340" t="s">
        <v>67</v>
      </c>
      <c r="D5340" t="s">
        <v>67</v>
      </c>
      <c r="E5340" t="s">
        <v>67</v>
      </c>
      <c r="F5340" t="s">
        <v>27987</v>
      </c>
      <c r="G5340" s="117">
        <v>2.58</v>
      </c>
    </row>
    <row r="5341" spans="1:7" x14ac:dyDescent="0.25">
      <c r="A5341" s="116" t="s">
        <v>8409</v>
      </c>
      <c r="B5341" s="117" t="s">
        <v>8410</v>
      </c>
      <c r="C5341" t="s">
        <v>67</v>
      </c>
      <c r="D5341" t="s">
        <v>67</v>
      </c>
      <c r="E5341" t="s">
        <v>67</v>
      </c>
      <c r="F5341" t="s">
        <v>51</v>
      </c>
      <c r="G5341" s="117">
        <v>1.69</v>
      </c>
    </row>
    <row r="5342" spans="1:7" x14ac:dyDescent="0.25">
      <c r="A5342" s="116" t="s">
        <v>8411</v>
      </c>
      <c r="B5342" s="117" t="s">
        <v>8412</v>
      </c>
      <c r="C5342" t="s">
        <v>67</v>
      </c>
      <c r="D5342" t="s">
        <v>67</v>
      </c>
      <c r="E5342" t="s">
        <v>67</v>
      </c>
      <c r="F5342" t="s">
        <v>27987</v>
      </c>
      <c r="G5342" s="117">
        <v>1.33</v>
      </c>
    </row>
    <row r="5343" spans="1:7" x14ac:dyDescent="0.25">
      <c r="A5343" s="116" t="s">
        <v>8413</v>
      </c>
      <c r="B5343" s="117" t="s">
        <v>8414</v>
      </c>
      <c r="C5343" t="s">
        <v>67</v>
      </c>
      <c r="D5343" t="s">
        <v>67</v>
      </c>
      <c r="E5343" t="s">
        <v>67</v>
      </c>
      <c r="F5343" t="s">
        <v>49</v>
      </c>
      <c r="G5343" s="117">
        <v>1.69</v>
      </c>
    </row>
    <row r="5344" spans="1:7" x14ac:dyDescent="0.25">
      <c r="A5344" s="116" t="s">
        <v>8415</v>
      </c>
      <c r="B5344" s="117" t="s">
        <v>8416</v>
      </c>
      <c r="C5344" t="s">
        <v>67</v>
      </c>
      <c r="D5344" t="s">
        <v>67</v>
      </c>
      <c r="E5344" t="s">
        <v>67</v>
      </c>
      <c r="F5344" t="s">
        <v>27987</v>
      </c>
      <c r="G5344" s="117">
        <v>4.3099999999999996</v>
      </c>
    </row>
    <row r="5345" spans="1:7" x14ac:dyDescent="0.25">
      <c r="A5345" s="116" t="s">
        <v>8417</v>
      </c>
      <c r="B5345" s="117" t="s">
        <v>8418</v>
      </c>
      <c r="C5345" t="s">
        <v>67</v>
      </c>
      <c r="D5345" t="s">
        <v>67</v>
      </c>
      <c r="E5345" t="s">
        <v>67</v>
      </c>
      <c r="F5345" t="s">
        <v>45</v>
      </c>
      <c r="G5345" s="117">
        <v>3.48</v>
      </c>
    </row>
    <row r="5346" spans="1:7" x14ac:dyDescent="0.25">
      <c r="A5346" s="116" t="s">
        <v>8419</v>
      </c>
      <c r="B5346" s="117" t="s">
        <v>8420</v>
      </c>
      <c r="C5346" t="s">
        <v>67</v>
      </c>
      <c r="D5346" t="s">
        <v>67</v>
      </c>
      <c r="E5346" t="s">
        <v>67</v>
      </c>
      <c r="F5346" t="s">
        <v>27987</v>
      </c>
      <c r="G5346" s="117">
        <v>1.69</v>
      </c>
    </row>
    <row r="5347" spans="1:7" x14ac:dyDescent="0.25">
      <c r="A5347" s="116" t="s">
        <v>8421</v>
      </c>
      <c r="B5347" s="117" t="s">
        <v>8422</v>
      </c>
      <c r="C5347" t="s">
        <v>67</v>
      </c>
      <c r="D5347" t="s">
        <v>67</v>
      </c>
      <c r="E5347" t="s">
        <v>67</v>
      </c>
      <c r="F5347" t="s">
        <v>49</v>
      </c>
      <c r="G5347" s="117">
        <v>1.69</v>
      </c>
    </row>
    <row r="5348" spans="1:7" x14ac:dyDescent="0.25">
      <c r="A5348" s="116" t="s">
        <v>8423</v>
      </c>
      <c r="B5348" s="117" t="s">
        <v>8424</v>
      </c>
      <c r="C5348" t="s">
        <v>67</v>
      </c>
      <c r="D5348" t="s">
        <v>67</v>
      </c>
      <c r="E5348" t="s">
        <v>67</v>
      </c>
      <c r="F5348" t="s">
        <v>27987</v>
      </c>
      <c r="G5348" s="117">
        <v>3.48</v>
      </c>
    </row>
    <row r="5349" spans="1:7" x14ac:dyDescent="0.25">
      <c r="A5349" s="116" t="s">
        <v>8425</v>
      </c>
      <c r="B5349" s="117" t="s">
        <v>8426</v>
      </c>
      <c r="C5349" t="s">
        <v>67</v>
      </c>
      <c r="D5349" t="s">
        <v>67</v>
      </c>
      <c r="E5349" t="s">
        <v>67</v>
      </c>
      <c r="F5349" t="s">
        <v>49</v>
      </c>
      <c r="G5349" s="117">
        <v>2.58</v>
      </c>
    </row>
    <row r="5350" spans="1:7" x14ac:dyDescent="0.25">
      <c r="A5350" s="116" t="s">
        <v>8427</v>
      </c>
      <c r="B5350" s="117" t="s">
        <v>8428</v>
      </c>
      <c r="C5350" t="s">
        <v>67</v>
      </c>
      <c r="D5350" t="s">
        <v>67</v>
      </c>
      <c r="E5350" t="s">
        <v>67</v>
      </c>
      <c r="F5350" t="s">
        <v>45</v>
      </c>
      <c r="G5350" s="117">
        <v>3.12</v>
      </c>
    </row>
    <row r="5351" spans="1:7" x14ac:dyDescent="0.25">
      <c r="A5351" s="116" t="s">
        <v>8429</v>
      </c>
      <c r="B5351" s="117" t="s">
        <v>8430</v>
      </c>
      <c r="C5351" t="s">
        <v>67</v>
      </c>
      <c r="D5351" t="s">
        <v>67</v>
      </c>
      <c r="E5351" t="s">
        <v>67</v>
      </c>
      <c r="F5351" t="s">
        <v>27987</v>
      </c>
      <c r="G5351" s="117">
        <v>4.8899999999999997</v>
      </c>
    </row>
    <row r="5352" spans="1:7" x14ac:dyDescent="0.25">
      <c r="A5352" s="116" t="s">
        <v>8431</v>
      </c>
      <c r="B5352" s="117" t="s">
        <v>8428</v>
      </c>
      <c r="C5352" t="s">
        <v>67</v>
      </c>
      <c r="D5352" t="s">
        <v>67</v>
      </c>
      <c r="E5352" t="s">
        <v>67</v>
      </c>
      <c r="F5352" t="s">
        <v>45</v>
      </c>
      <c r="G5352" s="117">
        <v>2.58</v>
      </c>
    </row>
    <row r="5353" spans="1:7" x14ac:dyDescent="0.25">
      <c r="A5353" s="116" t="s">
        <v>8432</v>
      </c>
      <c r="B5353" s="117" t="s">
        <v>8426</v>
      </c>
      <c r="C5353" t="s">
        <v>67</v>
      </c>
      <c r="D5353" t="s">
        <v>67</v>
      </c>
      <c r="E5353" t="s">
        <v>67</v>
      </c>
      <c r="F5353" t="s">
        <v>51</v>
      </c>
      <c r="G5353" s="117">
        <v>2.46</v>
      </c>
    </row>
    <row r="5354" spans="1:7" x14ac:dyDescent="0.25">
      <c r="A5354" s="116" t="s">
        <v>8433</v>
      </c>
      <c r="B5354" s="117" t="s">
        <v>8434</v>
      </c>
      <c r="C5354" t="s">
        <v>67</v>
      </c>
      <c r="D5354" t="s">
        <v>67</v>
      </c>
      <c r="E5354" t="s">
        <v>67</v>
      </c>
      <c r="F5354" t="s">
        <v>49</v>
      </c>
      <c r="G5354" s="117">
        <v>3.12</v>
      </c>
    </row>
    <row r="5355" spans="1:7" x14ac:dyDescent="0.25">
      <c r="A5355" s="116" t="s">
        <v>8435</v>
      </c>
      <c r="B5355" s="117" t="s">
        <v>8436</v>
      </c>
      <c r="C5355" t="s">
        <v>67</v>
      </c>
      <c r="D5355" t="s">
        <v>67</v>
      </c>
      <c r="E5355" t="s">
        <v>67</v>
      </c>
      <c r="F5355" t="s">
        <v>49</v>
      </c>
      <c r="G5355" s="117">
        <v>0.44</v>
      </c>
    </row>
    <row r="5356" spans="1:7" x14ac:dyDescent="0.25">
      <c r="A5356" s="116" t="s">
        <v>8437</v>
      </c>
      <c r="B5356" s="117" t="s">
        <v>8438</v>
      </c>
      <c r="C5356" t="s">
        <v>67</v>
      </c>
      <c r="D5356" t="s">
        <v>67</v>
      </c>
      <c r="E5356" t="s">
        <v>67</v>
      </c>
      <c r="F5356" t="s">
        <v>27987</v>
      </c>
      <c r="G5356" s="117">
        <v>2.58</v>
      </c>
    </row>
    <row r="5357" spans="1:7" x14ac:dyDescent="0.25">
      <c r="A5357" s="116" t="s">
        <v>8439</v>
      </c>
      <c r="B5357" s="117" t="s">
        <v>8440</v>
      </c>
      <c r="C5357" t="s">
        <v>67</v>
      </c>
      <c r="D5357" t="s">
        <v>67</v>
      </c>
      <c r="E5357" t="s">
        <v>67</v>
      </c>
      <c r="F5357" t="s">
        <v>27987</v>
      </c>
      <c r="G5357" s="117">
        <v>1.77</v>
      </c>
    </row>
    <row r="5358" spans="1:7" x14ac:dyDescent="0.25">
      <c r="A5358" s="116" t="s">
        <v>8441</v>
      </c>
      <c r="B5358" s="117" t="s">
        <v>8442</v>
      </c>
      <c r="C5358" t="s">
        <v>67</v>
      </c>
      <c r="D5358" t="s">
        <v>67</v>
      </c>
      <c r="E5358" t="s">
        <v>67</v>
      </c>
      <c r="F5358" t="s">
        <v>27987</v>
      </c>
      <c r="G5358" s="117">
        <v>2.23</v>
      </c>
    </row>
    <row r="5359" spans="1:7" x14ac:dyDescent="0.25">
      <c r="A5359" s="116" t="s">
        <v>8443</v>
      </c>
      <c r="B5359" s="117" t="s">
        <v>8444</v>
      </c>
      <c r="C5359" t="s">
        <v>67</v>
      </c>
      <c r="D5359" t="s">
        <v>67</v>
      </c>
      <c r="E5359" t="s">
        <v>67</v>
      </c>
      <c r="F5359" t="s">
        <v>27987</v>
      </c>
      <c r="G5359" s="117">
        <v>2.23</v>
      </c>
    </row>
    <row r="5360" spans="1:7" x14ac:dyDescent="0.25">
      <c r="A5360" s="116" t="s">
        <v>8445</v>
      </c>
      <c r="B5360" s="117" t="s">
        <v>8446</v>
      </c>
      <c r="C5360" t="s">
        <v>67</v>
      </c>
      <c r="D5360" t="s">
        <v>67</v>
      </c>
      <c r="E5360" t="s">
        <v>67</v>
      </c>
      <c r="F5360" t="s">
        <v>27987</v>
      </c>
      <c r="G5360" s="117">
        <v>1.33</v>
      </c>
    </row>
    <row r="5361" spans="1:7" x14ac:dyDescent="0.25">
      <c r="A5361" s="116" t="s">
        <v>8447</v>
      </c>
      <c r="B5361" s="117" t="s">
        <v>8448</v>
      </c>
      <c r="C5361" t="s">
        <v>67</v>
      </c>
      <c r="D5361" t="s">
        <v>67</v>
      </c>
      <c r="E5361" t="s">
        <v>67</v>
      </c>
      <c r="F5361" t="s">
        <v>27987</v>
      </c>
      <c r="G5361" s="117">
        <v>1.77</v>
      </c>
    </row>
    <row r="5362" spans="1:7" x14ac:dyDescent="0.25">
      <c r="A5362" s="116" t="s">
        <v>8449</v>
      </c>
      <c r="B5362" s="117" t="s">
        <v>8450</v>
      </c>
      <c r="C5362" t="s">
        <v>67</v>
      </c>
      <c r="D5362" t="s">
        <v>67</v>
      </c>
      <c r="E5362" t="s">
        <v>67</v>
      </c>
      <c r="F5362" t="s">
        <v>27987</v>
      </c>
      <c r="G5362" s="117">
        <v>3.56</v>
      </c>
    </row>
    <row r="5363" spans="1:7" x14ac:dyDescent="0.25">
      <c r="A5363" s="116" t="s">
        <v>8451</v>
      </c>
      <c r="B5363" s="117" t="s">
        <v>8452</v>
      </c>
      <c r="C5363" t="s">
        <v>67</v>
      </c>
      <c r="D5363" t="s">
        <v>67</v>
      </c>
      <c r="E5363" t="s">
        <v>67</v>
      </c>
      <c r="F5363" t="s">
        <v>49</v>
      </c>
      <c r="G5363" s="117">
        <v>2.58</v>
      </c>
    </row>
    <row r="5364" spans="1:7" x14ac:dyDescent="0.25">
      <c r="A5364" s="116" t="s">
        <v>8453</v>
      </c>
      <c r="B5364" s="117" t="s">
        <v>8454</v>
      </c>
      <c r="C5364" t="s">
        <v>67</v>
      </c>
      <c r="D5364" t="s">
        <v>67</v>
      </c>
      <c r="E5364" t="s">
        <v>67</v>
      </c>
      <c r="F5364" t="s">
        <v>49</v>
      </c>
      <c r="G5364" s="117">
        <v>0.8</v>
      </c>
    </row>
    <row r="5365" spans="1:7" x14ac:dyDescent="0.25">
      <c r="A5365" s="116" t="s">
        <v>8455</v>
      </c>
      <c r="B5365" s="117" t="s">
        <v>8456</v>
      </c>
      <c r="C5365" t="s">
        <v>67</v>
      </c>
      <c r="D5365" t="s">
        <v>67</v>
      </c>
      <c r="E5365" t="s">
        <v>67</v>
      </c>
      <c r="F5365" t="s">
        <v>49</v>
      </c>
      <c r="G5365" s="117">
        <v>1.69</v>
      </c>
    </row>
    <row r="5366" spans="1:7" x14ac:dyDescent="0.25">
      <c r="A5366" s="116" t="s">
        <v>8457</v>
      </c>
      <c r="B5366" s="117" t="s">
        <v>8458</v>
      </c>
      <c r="C5366" t="s">
        <v>67</v>
      </c>
      <c r="D5366" t="s">
        <v>67</v>
      </c>
      <c r="E5366" t="s">
        <v>67</v>
      </c>
      <c r="F5366" t="s">
        <v>45</v>
      </c>
      <c r="G5366" s="117">
        <v>9.6999999999999993</v>
      </c>
    </row>
    <row r="5367" spans="1:7" x14ac:dyDescent="0.25">
      <c r="A5367" s="116" t="s">
        <v>8459</v>
      </c>
      <c r="B5367" s="117" t="s">
        <v>8460</v>
      </c>
      <c r="C5367" t="s">
        <v>67</v>
      </c>
      <c r="D5367" t="s">
        <v>67</v>
      </c>
      <c r="E5367" t="s">
        <v>67</v>
      </c>
      <c r="F5367" t="s">
        <v>49</v>
      </c>
      <c r="G5367" s="117">
        <v>3.12</v>
      </c>
    </row>
    <row r="5368" spans="1:7" x14ac:dyDescent="0.25">
      <c r="A5368" s="116" t="s">
        <v>8461</v>
      </c>
      <c r="B5368" s="117" t="s">
        <v>8462</v>
      </c>
      <c r="C5368" t="s">
        <v>67</v>
      </c>
      <c r="D5368" t="s">
        <v>67</v>
      </c>
      <c r="E5368" t="s">
        <v>67</v>
      </c>
      <c r="F5368" t="s">
        <v>27987</v>
      </c>
      <c r="G5368" s="117">
        <v>1.69</v>
      </c>
    </row>
    <row r="5369" spans="1:7" x14ac:dyDescent="0.25">
      <c r="A5369" s="116" t="s">
        <v>8463</v>
      </c>
      <c r="B5369" s="117" t="s">
        <v>8464</v>
      </c>
      <c r="C5369" t="s">
        <v>67</v>
      </c>
      <c r="D5369" t="s">
        <v>67</v>
      </c>
      <c r="E5369" t="s">
        <v>67</v>
      </c>
      <c r="F5369" t="s">
        <v>27987</v>
      </c>
      <c r="G5369" s="117">
        <v>2.23</v>
      </c>
    </row>
    <row r="5370" spans="1:7" x14ac:dyDescent="0.25">
      <c r="A5370" s="116" t="s">
        <v>8465</v>
      </c>
      <c r="B5370" s="117" t="s">
        <v>8466</v>
      </c>
      <c r="C5370" t="s">
        <v>67</v>
      </c>
      <c r="D5370" t="s">
        <v>67</v>
      </c>
      <c r="E5370" t="s">
        <v>67</v>
      </c>
      <c r="F5370" t="s">
        <v>27987</v>
      </c>
      <c r="G5370" s="117">
        <v>1.33</v>
      </c>
    </row>
    <row r="5371" spans="1:7" x14ac:dyDescent="0.25">
      <c r="A5371" s="116" t="s">
        <v>8467</v>
      </c>
      <c r="B5371" s="117" t="s">
        <v>8468</v>
      </c>
      <c r="C5371" t="s">
        <v>67</v>
      </c>
      <c r="D5371" t="s">
        <v>67</v>
      </c>
      <c r="E5371" t="s">
        <v>67</v>
      </c>
      <c r="F5371" t="s">
        <v>49</v>
      </c>
      <c r="G5371" s="117">
        <v>1.33</v>
      </c>
    </row>
    <row r="5372" spans="1:7" x14ac:dyDescent="0.25">
      <c r="A5372" s="116" t="s">
        <v>30196</v>
      </c>
      <c r="B5372" s="117" t="s">
        <v>8524</v>
      </c>
      <c r="C5372" t="s">
        <v>67</v>
      </c>
      <c r="D5372" t="s">
        <v>67</v>
      </c>
      <c r="E5372" t="s">
        <v>67</v>
      </c>
      <c r="F5372" t="s">
        <v>27987</v>
      </c>
      <c r="G5372" s="117">
        <v>2.46</v>
      </c>
    </row>
    <row r="5373" spans="1:7" x14ac:dyDescent="0.25">
      <c r="A5373" s="116" t="s">
        <v>8469</v>
      </c>
      <c r="B5373" s="117" t="s">
        <v>8470</v>
      </c>
      <c r="C5373" t="s">
        <v>67</v>
      </c>
      <c r="D5373" t="s">
        <v>67</v>
      </c>
      <c r="E5373" t="s">
        <v>67</v>
      </c>
      <c r="F5373" t="s">
        <v>45</v>
      </c>
      <c r="G5373" s="117">
        <v>0.89</v>
      </c>
    </row>
    <row r="5374" spans="1:7" x14ac:dyDescent="0.25">
      <c r="A5374" s="116" t="s">
        <v>8471</v>
      </c>
      <c r="B5374" s="117" t="s">
        <v>8468</v>
      </c>
      <c r="C5374" t="s">
        <v>67</v>
      </c>
      <c r="D5374" t="s">
        <v>67</v>
      </c>
      <c r="E5374" t="s">
        <v>67</v>
      </c>
      <c r="F5374" t="s">
        <v>27987</v>
      </c>
      <c r="G5374" s="117">
        <v>0.8</v>
      </c>
    </row>
    <row r="5375" spans="1:7" x14ac:dyDescent="0.25">
      <c r="A5375" s="116" t="s">
        <v>8472</v>
      </c>
      <c r="B5375" s="117" t="s">
        <v>8473</v>
      </c>
      <c r="C5375" t="s">
        <v>67</v>
      </c>
      <c r="D5375" t="s">
        <v>67</v>
      </c>
      <c r="E5375" t="s">
        <v>67</v>
      </c>
      <c r="F5375" t="s">
        <v>27987</v>
      </c>
      <c r="G5375" s="117">
        <v>1.77</v>
      </c>
    </row>
    <row r="5376" spans="1:7" x14ac:dyDescent="0.25">
      <c r="A5376" s="116" t="s">
        <v>8474</v>
      </c>
      <c r="B5376" s="117" t="s">
        <v>8475</v>
      </c>
      <c r="C5376" t="s">
        <v>67</v>
      </c>
      <c r="D5376" t="s">
        <v>67</v>
      </c>
      <c r="E5376" t="s">
        <v>67</v>
      </c>
      <c r="F5376" t="s">
        <v>27987</v>
      </c>
      <c r="G5376" s="117">
        <v>1.77</v>
      </c>
    </row>
    <row r="5377" spans="1:7" x14ac:dyDescent="0.25">
      <c r="A5377" s="116" t="s">
        <v>8476</v>
      </c>
      <c r="B5377" s="117" t="s">
        <v>8473</v>
      </c>
      <c r="C5377" t="s">
        <v>67</v>
      </c>
      <c r="D5377" t="s">
        <v>67</v>
      </c>
      <c r="E5377" t="s">
        <v>67</v>
      </c>
      <c r="F5377" t="s">
        <v>27987</v>
      </c>
      <c r="G5377" s="117">
        <v>0.8</v>
      </c>
    </row>
    <row r="5378" spans="1:7" x14ac:dyDescent="0.25">
      <c r="A5378" s="116" t="s">
        <v>8477</v>
      </c>
      <c r="B5378" s="117" t="s">
        <v>8456</v>
      </c>
      <c r="C5378" t="s">
        <v>67</v>
      </c>
      <c r="D5378" t="s">
        <v>67</v>
      </c>
      <c r="E5378" t="s">
        <v>67</v>
      </c>
      <c r="F5378" t="s">
        <v>27987</v>
      </c>
      <c r="G5378" s="117">
        <v>1.33</v>
      </c>
    </row>
    <row r="5379" spans="1:7" x14ac:dyDescent="0.25">
      <c r="A5379" s="116" t="s">
        <v>8478</v>
      </c>
      <c r="B5379" s="117" t="s">
        <v>8466</v>
      </c>
      <c r="C5379" t="s">
        <v>67</v>
      </c>
      <c r="D5379" t="s">
        <v>67</v>
      </c>
      <c r="E5379" t="s">
        <v>67</v>
      </c>
      <c r="F5379" t="s">
        <v>27987</v>
      </c>
      <c r="G5379" s="117">
        <v>0.8</v>
      </c>
    </row>
    <row r="5380" spans="1:7" x14ac:dyDescent="0.25">
      <c r="A5380" s="116" t="s">
        <v>28191</v>
      </c>
      <c r="B5380" s="117" t="s">
        <v>8456</v>
      </c>
      <c r="C5380" t="s">
        <v>67</v>
      </c>
      <c r="D5380" t="s">
        <v>67</v>
      </c>
      <c r="E5380" t="s">
        <v>67</v>
      </c>
      <c r="F5380" t="s">
        <v>45</v>
      </c>
      <c r="G5380" s="117">
        <v>0.72</v>
      </c>
    </row>
    <row r="5381" spans="1:7" x14ac:dyDescent="0.25">
      <c r="A5381" s="116" t="s">
        <v>8479</v>
      </c>
      <c r="B5381" s="117" t="s">
        <v>8456</v>
      </c>
      <c r="C5381" t="s">
        <v>67</v>
      </c>
      <c r="D5381" t="s">
        <v>67</v>
      </c>
      <c r="E5381" t="s">
        <v>67</v>
      </c>
      <c r="F5381" t="s">
        <v>49</v>
      </c>
      <c r="G5381" s="117">
        <v>1.33</v>
      </c>
    </row>
    <row r="5382" spans="1:7" x14ac:dyDescent="0.25">
      <c r="A5382" s="116" t="s">
        <v>8480</v>
      </c>
      <c r="B5382" s="117" t="s">
        <v>8481</v>
      </c>
      <c r="C5382" t="s">
        <v>67</v>
      </c>
      <c r="D5382" t="s">
        <v>67</v>
      </c>
      <c r="E5382" t="s">
        <v>67</v>
      </c>
      <c r="F5382" t="s">
        <v>27987</v>
      </c>
      <c r="G5382" s="117">
        <v>0.8</v>
      </c>
    </row>
    <row r="5383" spans="1:7" x14ac:dyDescent="0.25">
      <c r="A5383" s="116" t="s">
        <v>8482</v>
      </c>
      <c r="B5383" s="117" t="s">
        <v>8483</v>
      </c>
      <c r="C5383" t="s">
        <v>67</v>
      </c>
      <c r="D5383" t="s">
        <v>67</v>
      </c>
      <c r="E5383" t="s">
        <v>67</v>
      </c>
      <c r="F5383" t="s">
        <v>27987</v>
      </c>
      <c r="G5383" s="117">
        <v>0.8</v>
      </c>
    </row>
    <row r="5384" spans="1:7" x14ac:dyDescent="0.25">
      <c r="A5384" s="116" t="s">
        <v>8484</v>
      </c>
      <c r="B5384" s="117" t="s">
        <v>8485</v>
      </c>
      <c r="C5384" t="s">
        <v>67</v>
      </c>
      <c r="D5384" t="s">
        <v>67</v>
      </c>
      <c r="E5384" t="s">
        <v>67</v>
      </c>
      <c r="F5384" t="s">
        <v>27987</v>
      </c>
      <c r="G5384" s="117">
        <v>10.24</v>
      </c>
    </row>
    <row r="5385" spans="1:7" x14ac:dyDescent="0.25">
      <c r="A5385" s="116" t="s">
        <v>8486</v>
      </c>
      <c r="B5385" s="117" t="s">
        <v>8487</v>
      </c>
      <c r="C5385" t="s">
        <v>67</v>
      </c>
      <c r="D5385" t="s">
        <v>67</v>
      </c>
      <c r="E5385" t="s">
        <v>67</v>
      </c>
      <c r="F5385" t="s">
        <v>45</v>
      </c>
      <c r="G5385" s="117">
        <v>0.8</v>
      </c>
    </row>
    <row r="5386" spans="1:7" x14ac:dyDescent="0.25">
      <c r="A5386" s="116" t="s">
        <v>8488</v>
      </c>
      <c r="B5386" s="117" t="s">
        <v>8473</v>
      </c>
      <c r="C5386" t="s">
        <v>67</v>
      </c>
      <c r="D5386" t="s">
        <v>67</v>
      </c>
      <c r="E5386" t="s">
        <v>67</v>
      </c>
      <c r="F5386" t="s">
        <v>27987</v>
      </c>
      <c r="G5386" s="117">
        <v>0.89</v>
      </c>
    </row>
    <row r="5387" spans="1:7" x14ac:dyDescent="0.25">
      <c r="A5387" s="116" t="s">
        <v>8489</v>
      </c>
      <c r="B5387" s="117" t="s">
        <v>8468</v>
      </c>
      <c r="C5387" t="s">
        <v>67</v>
      </c>
      <c r="D5387" t="s">
        <v>67</v>
      </c>
      <c r="E5387" t="s">
        <v>67</v>
      </c>
      <c r="F5387" t="s">
        <v>27987</v>
      </c>
      <c r="G5387" s="117">
        <v>0.8</v>
      </c>
    </row>
    <row r="5388" spans="1:7" x14ac:dyDescent="0.25">
      <c r="A5388" s="116" t="s">
        <v>8490</v>
      </c>
      <c r="B5388" s="117" t="s">
        <v>8491</v>
      </c>
      <c r="C5388" t="s">
        <v>67</v>
      </c>
      <c r="D5388" t="s">
        <v>67</v>
      </c>
      <c r="E5388" t="s">
        <v>67</v>
      </c>
      <c r="F5388" t="s">
        <v>27987</v>
      </c>
      <c r="G5388" s="117">
        <v>0.44</v>
      </c>
    </row>
    <row r="5389" spans="1:7" x14ac:dyDescent="0.25">
      <c r="A5389" s="116" t="s">
        <v>8492</v>
      </c>
      <c r="B5389" s="117" t="s">
        <v>8464</v>
      </c>
      <c r="C5389" t="s">
        <v>67</v>
      </c>
      <c r="D5389" t="s">
        <v>67</v>
      </c>
      <c r="E5389" t="s">
        <v>67</v>
      </c>
      <c r="F5389" t="s">
        <v>27987</v>
      </c>
      <c r="G5389" s="117">
        <v>2.58</v>
      </c>
    </row>
    <row r="5390" spans="1:7" x14ac:dyDescent="0.25">
      <c r="A5390" s="116" t="s">
        <v>8493</v>
      </c>
      <c r="B5390" s="117" t="s">
        <v>8494</v>
      </c>
      <c r="C5390" t="s">
        <v>67</v>
      </c>
      <c r="D5390" t="s">
        <v>67</v>
      </c>
      <c r="E5390" t="s">
        <v>67</v>
      </c>
      <c r="F5390" t="s">
        <v>51</v>
      </c>
      <c r="G5390" s="117">
        <v>7.54</v>
      </c>
    </row>
    <row r="5391" spans="1:7" x14ac:dyDescent="0.25">
      <c r="A5391" s="116" t="s">
        <v>8495</v>
      </c>
      <c r="B5391" s="117" t="s">
        <v>8452</v>
      </c>
      <c r="C5391" t="s">
        <v>67</v>
      </c>
      <c r="D5391" t="s">
        <v>67</v>
      </c>
      <c r="E5391" t="s">
        <v>67</v>
      </c>
      <c r="F5391" t="s">
        <v>49</v>
      </c>
      <c r="G5391" s="117">
        <v>1.33</v>
      </c>
    </row>
    <row r="5392" spans="1:7" x14ac:dyDescent="0.25">
      <c r="A5392" s="116" t="s">
        <v>8496</v>
      </c>
      <c r="B5392" s="117" t="s">
        <v>8497</v>
      </c>
      <c r="C5392" t="s">
        <v>67</v>
      </c>
      <c r="D5392" t="s">
        <v>67</v>
      </c>
      <c r="E5392" t="s">
        <v>67</v>
      </c>
      <c r="F5392" t="s">
        <v>45</v>
      </c>
      <c r="G5392" s="117">
        <v>0.8</v>
      </c>
    </row>
    <row r="5393" spans="1:7" x14ac:dyDescent="0.25">
      <c r="A5393" s="116" t="s">
        <v>8498</v>
      </c>
      <c r="B5393" s="117" t="s">
        <v>8499</v>
      </c>
      <c r="C5393" t="s">
        <v>67</v>
      </c>
      <c r="D5393" t="s">
        <v>67</v>
      </c>
      <c r="E5393" t="s">
        <v>67</v>
      </c>
      <c r="F5393" t="s">
        <v>49</v>
      </c>
      <c r="G5393" s="117">
        <v>2.58</v>
      </c>
    </row>
    <row r="5394" spans="1:7" x14ac:dyDescent="0.25">
      <c r="A5394" s="116" t="s">
        <v>8500</v>
      </c>
      <c r="B5394" s="117" t="s">
        <v>8501</v>
      </c>
      <c r="C5394" t="s">
        <v>67</v>
      </c>
      <c r="D5394" t="s">
        <v>67</v>
      </c>
      <c r="E5394" t="s">
        <v>67</v>
      </c>
      <c r="F5394" t="s">
        <v>27987</v>
      </c>
      <c r="G5394" s="117">
        <v>6.14</v>
      </c>
    </row>
    <row r="5395" spans="1:7" x14ac:dyDescent="0.25">
      <c r="A5395" s="116" t="s">
        <v>8502</v>
      </c>
      <c r="B5395" s="117" t="s">
        <v>8503</v>
      </c>
      <c r="C5395" t="s">
        <v>67</v>
      </c>
      <c r="D5395" t="s">
        <v>67</v>
      </c>
      <c r="E5395" t="s">
        <v>67</v>
      </c>
      <c r="F5395" t="s">
        <v>27987</v>
      </c>
      <c r="G5395" s="117">
        <v>6.14</v>
      </c>
    </row>
    <row r="5396" spans="1:7" x14ac:dyDescent="0.25">
      <c r="A5396" s="116" t="s">
        <v>8504</v>
      </c>
      <c r="B5396" s="117" t="s">
        <v>8505</v>
      </c>
      <c r="C5396" t="s">
        <v>67</v>
      </c>
      <c r="D5396" t="s">
        <v>67</v>
      </c>
      <c r="E5396" t="s">
        <v>67</v>
      </c>
      <c r="F5396" t="s">
        <v>27987</v>
      </c>
      <c r="G5396" s="117">
        <v>0.8</v>
      </c>
    </row>
    <row r="5397" spans="1:7" x14ac:dyDescent="0.25">
      <c r="A5397" s="116" t="s">
        <v>8506</v>
      </c>
      <c r="B5397" s="117" t="s">
        <v>8507</v>
      </c>
      <c r="C5397" t="s">
        <v>67</v>
      </c>
      <c r="D5397" t="s">
        <v>67</v>
      </c>
      <c r="E5397" t="s">
        <v>67</v>
      </c>
      <c r="F5397" t="s">
        <v>45</v>
      </c>
      <c r="G5397" s="117">
        <v>53.3</v>
      </c>
    </row>
    <row r="5398" spans="1:7" x14ac:dyDescent="0.25">
      <c r="A5398" s="116" t="s">
        <v>8508</v>
      </c>
      <c r="B5398" s="117" t="s">
        <v>8509</v>
      </c>
      <c r="C5398" t="s">
        <v>67</v>
      </c>
      <c r="D5398" t="s">
        <v>67</v>
      </c>
      <c r="E5398" t="s">
        <v>67</v>
      </c>
      <c r="F5398" t="s">
        <v>27987</v>
      </c>
      <c r="G5398" s="117">
        <v>1.33</v>
      </c>
    </row>
    <row r="5399" spans="1:7" x14ac:dyDescent="0.25">
      <c r="A5399" s="116" t="s">
        <v>8510</v>
      </c>
      <c r="B5399" s="117" t="s">
        <v>8456</v>
      </c>
      <c r="C5399" t="s">
        <v>67</v>
      </c>
      <c r="D5399" t="s">
        <v>67</v>
      </c>
      <c r="E5399" t="s">
        <v>67</v>
      </c>
      <c r="F5399" t="s">
        <v>27987</v>
      </c>
      <c r="G5399" s="117">
        <v>3.56</v>
      </c>
    </row>
    <row r="5400" spans="1:7" x14ac:dyDescent="0.25">
      <c r="A5400" s="116" t="s">
        <v>8511</v>
      </c>
      <c r="B5400" s="117" t="s">
        <v>8512</v>
      </c>
      <c r="C5400" t="s">
        <v>67</v>
      </c>
      <c r="D5400" t="s">
        <v>67</v>
      </c>
      <c r="E5400" t="s">
        <v>67</v>
      </c>
      <c r="F5400" t="s">
        <v>27987</v>
      </c>
      <c r="G5400" s="117">
        <v>0.8</v>
      </c>
    </row>
    <row r="5401" spans="1:7" x14ac:dyDescent="0.25">
      <c r="A5401" s="116" t="s">
        <v>8513</v>
      </c>
      <c r="B5401" s="117" t="s">
        <v>8514</v>
      </c>
      <c r="C5401" t="s">
        <v>67</v>
      </c>
      <c r="D5401" t="s">
        <v>67</v>
      </c>
      <c r="E5401" t="s">
        <v>67</v>
      </c>
      <c r="F5401" t="s">
        <v>45</v>
      </c>
      <c r="G5401" s="117">
        <v>2.58</v>
      </c>
    </row>
    <row r="5402" spans="1:7" x14ac:dyDescent="0.25">
      <c r="A5402" s="116" t="s">
        <v>8515</v>
      </c>
      <c r="B5402" s="117" t="s">
        <v>8516</v>
      </c>
      <c r="C5402" t="s">
        <v>67</v>
      </c>
      <c r="D5402" t="s">
        <v>67</v>
      </c>
      <c r="E5402" t="s">
        <v>67</v>
      </c>
      <c r="F5402" t="s">
        <v>45</v>
      </c>
      <c r="G5402" s="117">
        <v>14.14</v>
      </c>
    </row>
    <row r="5403" spans="1:7" x14ac:dyDescent="0.25">
      <c r="A5403" s="116" t="s">
        <v>8517</v>
      </c>
      <c r="B5403" s="117" t="s">
        <v>8518</v>
      </c>
      <c r="C5403" t="s">
        <v>67</v>
      </c>
      <c r="D5403" t="s">
        <v>67</v>
      </c>
      <c r="E5403" t="s">
        <v>67</v>
      </c>
      <c r="F5403" t="s">
        <v>27987</v>
      </c>
      <c r="G5403" s="117">
        <v>1.69</v>
      </c>
    </row>
    <row r="5404" spans="1:7" x14ac:dyDescent="0.25">
      <c r="A5404" s="116" t="s">
        <v>8519</v>
      </c>
      <c r="B5404" s="117" t="s">
        <v>8520</v>
      </c>
      <c r="C5404" t="s">
        <v>67</v>
      </c>
      <c r="D5404" t="s">
        <v>67</v>
      </c>
      <c r="E5404" t="s">
        <v>67</v>
      </c>
      <c r="F5404" t="s">
        <v>45</v>
      </c>
      <c r="G5404" s="117">
        <v>2.23</v>
      </c>
    </row>
    <row r="5405" spans="1:7" x14ac:dyDescent="0.25">
      <c r="A5405" s="116" t="s">
        <v>8521</v>
      </c>
      <c r="B5405" s="117" t="s">
        <v>8522</v>
      </c>
      <c r="C5405" t="s">
        <v>67</v>
      </c>
      <c r="D5405" t="s">
        <v>67</v>
      </c>
      <c r="E5405" t="s">
        <v>67</v>
      </c>
      <c r="F5405" t="s">
        <v>49</v>
      </c>
      <c r="G5405" s="117">
        <v>2.58</v>
      </c>
    </row>
    <row r="5406" spans="1:7" x14ac:dyDescent="0.25">
      <c r="A5406" s="116" t="s">
        <v>8523</v>
      </c>
      <c r="B5406" s="117" t="s">
        <v>8524</v>
      </c>
      <c r="C5406" t="s">
        <v>67</v>
      </c>
      <c r="D5406" t="s">
        <v>67</v>
      </c>
      <c r="E5406" t="s">
        <v>67</v>
      </c>
      <c r="F5406" t="s">
        <v>27987</v>
      </c>
      <c r="G5406" s="117">
        <v>7.12</v>
      </c>
    </row>
    <row r="5407" spans="1:7" x14ac:dyDescent="0.25">
      <c r="A5407" s="116" t="s">
        <v>8525</v>
      </c>
      <c r="B5407" s="117" t="s">
        <v>8526</v>
      </c>
      <c r="C5407" t="s">
        <v>67</v>
      </c>
      <c r="D5407" t="s">
        <v>67</v>
      </c>
      <c r="E5407" t="s">
        <v>67</v>
      </c>
      <c r="F5407" t="s">
        <v>27987</v>
      </c>
      <c r="G5407" s="117">
        <v>3.56</v>
      </c>
    </row>
    <row r="5408" spans="1:7" x14ac:dyDescent="0.25">
      <c r="A5408" s="116" t="s">
        <v>8527</v>
      </c>
      <c r="B5408" s="117" t="s">
        <v>8528</v>
      </c>
      <c r="C5408" t="s">
        <v>67</v>
      </c>
      <c r="D5408" t="s">
        <v>67</v>
      </c>
      <c r="E5408" t="s">
        <v>67</v>
      </c>
      <c r="F5408" t="s">
        <v>27987</v>
      </c>
      <c r="G5408" s="117">
        <v>3.56</v>
      </c>
    </row>
    <row r="5409" spans="1:7" x14ac:dyDescent="0.25">
      <c r="A5409" s="116" t="s">
        <v>8529</v>
      </c>
      <c r="B5409" s="117" t="s">
        <v>8530</v>
      </c>
      <c r="C5409" t="s">
        <v>67</v>
      </c>
      <c r="D5409" t="s">
        <v>67</v>
      </c>
      <c r="E5409" t="s">
        <v>67</v>
      </c>
      <c r="F5409" t="s">
        <v>49</v>
      </c>
      <c r="G5409" s="117">
        <v>2.58</v>
      </c>
    </row>
    <row r="5410" spans="1:7" x14ac:dyDescent="0.25">
      <c r="A5410" s="116" t="s">
        <v>8531</v>
      </c>
      <c r="B5410" s="117" t="s">
        <v>8532</v>
      </c>
      <c r="C5410" t="s">
        <v>67</v>
      </c>
      <c r="D5410" t="s">
        <v>67</v>
      </c>
      <c r="E5410" t="s">
        <v>67</v>
      </c>
      <c r="F5410" t="s">
        <v>49</v>
      </c>
      <c r="G5410" s="117">
        <v>2.58</v>
      </c>
    </row>
    <row r="5411" spans="1:7" x14ac:dyDescent="0.25">
      <c r="A5411" s="116" t="s">
        <v>8533</v>
      </c>
      <c r="B5411" s="117" t="s">
        <v>8534</v>
      </c>
      <c r="C5411" t="s">
        <v>67</v>
      </c>
      <c r="D5411" t="s">
        <v>67</v>
      </c>
      <c r="E5411" t="s">
        <v>67</v>
      </c>
      <c r="F5411" t="s">
        <v>27987</v>
      </c>
      <c r="G5411" s="117">
        <v>1.33</v>
      </c>
    </row>
    <row r="5412" spans="1:7" x14ac:dyDescent="0.25">
      <c r="A5412" s="116" t="s">
        <v>8535</v>
      </c>
      <c r="B5412" s="117" t="s">
        <v>8536</v>
      </c>
      <c r="C5412" t="s">
        <v>67</v>
      </c>
      <c r="D5412" t="s">
        <v>67</v>
      </c>
      <c r="E5412" t="s">
        <v>67</v>
      </c>
      <c r="F5412" t="s">
        <v>27987</v>
      </c>
      <c r="G5412" s="117">
        <v>3.56</v>
      </c>
    </row>
    <row r="5413" spans="1:7" x14ac:dyDescent="0.25">
      <c r="A5413" s="116" t="s">
        <v>8537</v>
      </c>
      <c r="B5413" s="117" t="s">
        <v>8538</v>
      </c>
      <c r="C5413" t="s">
        <v>67</v>
      </c>
      <c r="D5413" t="s">
        <v>67</v>
      </c>
      <c r="E5413" t="s">
        <v>67</v>
      </c>
      <c r="F5413" t="s">
        <v>49</v>
      </c>
      <c r="G5413" s="117">
        <v>2.58</v>
      </c>
    </row>
    <row r="5414" spans="1:7" x14ac:dyDescent="0.25">
      <c r="A5414" s="116" t="s">
        <v>8539</v>
      </c>
      <c r="B5414" s="117" t="s">
        <v>8540</v>
      </c>
      <c r="C5414" t="s">
        <v>67</v>
      </c>
      <c r="D5414" t="s">
        <v>67</v>
      </c>
      <c r="E5414" t="s">
        <v>67</v>
      </c>
      <c r="F5414" t="s">
        <v>27987</v>
      </c>
      <c r="G5414" s="117">
        <v>5.79</v>
      </c>
    </row>
    <row r="5415" spans="1:7" x14ac:dyDescent="0.25">
      <c r="A5415" s="116" t="s">
        <v>8541</v>
      </c>
      <c r="B5415" s="117" t="s">
        <v>8542</v>
      </c>
      <c r="C5415" t="s">
        <v>67</v>
      </c>
      <c r="D5415" t="s">
        <v>67</v>
      </c>
      <c r="E5415" t="s">
        <v>67</v>
      </c>
      <c r="F5415" t="s">
        <v>27987</v>
      </c>
      <c r="G5415" s="117">
        <v>9.6999999999999993</v>
      </c>
    </row>
    <row r="5416" spans="1:7" x14ac:dyDescent="0.25">
      <c r="A5416" s="116" t="s">
        <v>8543</v>
      </c>
      <c r="B5416" s="117" t="s">
        <v>8544</v>
      </c>
      <c r="C5416" t="s">
        <v>67</v>
      </c>
      <c r="D5416" t="s">
        <v>67</v>
      </c>
      <c r="E5416" t="s">
        <v>67</v>
      </c>
      <c r="F5416" t="s">
        <v>49</v>
      </c>
      <c r="G5416" s="117">
        <v>2.67</v>
      </c>
    </row>
    <row r="5417" spans="1:7" x14ac:dyDescent="0.25">
      <c r="A5417" s="116" t="s">
        <v>8545</v>
      </c>
      <c r="B5417" s="117" t="s">
        <v>28768</v>
      </c>
      <c r="C5417" t="s">
        <v>67</v>
      </c>
      <c r="D5417" t="s">
        <v>67</v>
      </c>
      <c r="E5417" t="s">
        <v>67</v>
      </c>
      <c r="F5417" t="s">
        <v>27990</v>
      </c>
      <c r="G5417" s="117">
        <v>1.69</v>
      </c>
    </row>
    <row r="5418" spans="1:7" x14ac:dyDescent="0.25">
      <c r="A5418" s="116" t="s">
        <v>8546</v>
      </c>
      <c r="B5418" s="117" t="s">
        <v>8547</v>
      </c>
      <c r="C5418" t="s">
        <v>67</v>
      </c>
      <c r="D5418" t="s">
        <v>67</v>
      </c>
      <c r="E5418" t="s">
        <v>67</v>
      </c>
      <c r="F5418" t="s">
        <v>45</v>
      </c>
      <c r="G5418" s="117">
        <v>0.8</v>
      </c>
    </row>
    <row r="5419" spans="1:7" x14ac:dyDescent="0.25">
      <c r="A5419" s="116" t="s">
        <v>8548</v>
      </c>
      <c r="B5419" s="117" t="s">
        <v>8549</v>
      </c>
      <c r="C5419" t="s">
        <v>67</v>
      </c>
      <c r="D5419" t="s">
        <v>67</v>
      </c>
      <c r="E5419" t="s">
        <v>67</v>
      </c>
      <c r="F5419" t="s">
        <v>49</v>
      </c>
      <c r="G5419" s="117">
        <v>3.56</v>
      </c>
    </row>
    <row r="5420" spans="1:7" x14ac:dyDescent="0.25">
      <c r="A5420" s="116" t="s">
        <v>8550</v>
      </c>
      <c r="B5420" s="117" t="s">
        <v>8551</v>
      </c>
      <c r="C5420" t="s">
        <v>67</v>
      </c>
      <c r="D5420" t="s">
        <v>67</v>
      </c>
      <c r="E5420" t="s">
        <v>67</v>
      </c>
      <c r="F5420" t="s">
        <v>45</v>
      </c>
      <c r="G5420" s="117">
        <v>1.77</v>
      </c>
    </row>
    <row r="5421" spans="1:7" x14ac:dyDescent="0.25">
      <c r="A5421" s="116" t="s">
        <v>8552</v>
      </c>
      <c r="B5421" s="117" t="s">
        <v>8553</v>
      </c>
      <c r="C5421" t="s">
        <v>67</v>
      </c>
      <c r="D5421" t="s">
        <v>67</v>
      </c>
      <c r="E5421" t="s">
        <v>67</v>
      </c>
      <c r="F5421" t="s">
        <v>49</v>
      </c>
      <c r="G5421" s="117">
        <v>5.25</v>
      </c>
    </row>
    <row r="5422" spans="1:7" x14ac:dyDescent="0.25">
      <c r="A5422" s="116" t="s">
        <v>8554</v>
      </c>
      <c r="B5422" s="117" t="s">
        <v>8555</v>
      </c>
      <c r="C5422" t="s">
        <v>67</v>
      </c>
      <c r="D5422" t="s">
        <v>67</v>
      </c>
      <c r="E5422" t="s">
        <v>67</v>
      </c>
      <c r="F5422" t="s">
        <v>27987</v>
      </c>
      <c r="G5422" s="117">
        <v>1.33</v>
      </c>
    </row>
    <row r="5423" spans="1:7" x14ac:dyDescent="0.25">
      <c r="A5423" s="116" t="s">
        <v>8556</v>
      </c>
      <c r="B5423" s="117" t="s">
        <v>8557</v>
      </c>
      <c r="C5423" t="s">
        <v>67</v>
      </c>
      <c r="D5423" t="s">
        <v>67</v>
      </c>
      <c r="E5423" t="s">
        <v>67</v>
      </c>
      <c r="F5423" t="s">
        <v>49</v>
      </c>
      <c r="G5423" s="117">
        <v>2.58</v>
      </c>
    </row>
    <row r="5424" spans="1:7" x14ac:dyDescent="0.25">
      <c r="A5424" s="116" t="s">
        <v>8558</v>
      </c>
      <c r="B5424" s="117" t="s">
        <v>8559</v>
      </c>
      <c r="C5424" t="s">
        <v>67</v>
      </c>
      <c r="D5424" t="s">
        <v>67</v>
      </c>
      <c r="E5424" t="s">
        <v>67</v>
      </c>
      <c r="F5424" t="s">
        <v>27987</v>
      </c>
      <c r="G5424" s="117">
        <v>3.48</v>
      </c>
    </row>
    <row r="5425" spans="1:7" x14ac:dyDescent="0.25">
      <c r="A5425" s="116" t="s">
        <v>8560</v>
      </c>
      <c r="B5425" s="117" t="s">
        <v>8561</v>
      </c>
      <c r="C5425" t="s">
        <v>67</v>
      </c>
      <c r="D5425" t="s">
        <v>67</v>
      </c>
      <c r="E5425" t="s">
        <v>67</v>
      </c>
      <c r="F5425" t="s">
        <v>45</v>
      </c>
      <c r="G5425" s="117">
        <v>7.12</v>
      </c>
    </row>
    <row r="5426" spans="1:7" x14ac:dyDescent="0.25">
      <c r="A5426" s="116" t="s">
        <v>8562</v>
      </c>
      <c r="B5426" s="117" t="s">
        <v>8528</v>
      </c>
      <c r="C5426" t="s">
        <v>67</v>
      </c>
      <c r="D5426" t="s">
        <v>67</v>
      </c>
      <c r="E5426" t="s">
        <v>67</v>
      </c>
      <c r="F5426" t="s">
        <v>27990</v>
      </c>
      <c r="G5426" s="117">
        <v>2.67</v>
      </c>
    </row>
    <row r="5427" spans="1:7" x14ac:dyDescent="0.25">
      <c r="A5427" s="116" t="s">
        <v>8563</v>
      </c>
      <c r="B5427" s="117" t="s">
        <v>8452</v>
      </c>
      <c r="C5427" t="s">
        <v>67</v>
      </c>
      <c r="D5427" t="s">
        <v>67</v>
      </c>
      <c r="E5427" t="s">
        <v>67</v>
      </c>
      <c r="F5427" t="s">
        <v>51</v>
      </c>
      <c r="G5427" s="117">
        <v>1.61</v>
      </c>
    </row>
    <row r="5428" spans="1:7" x14ac:dyDescent="0.25">
      <c r="A5428" s="116" t="s">
        <v>8564</v>
      </c>
      <c r="B5428" s="117" t="s">
        <v>8565</v>
      </c>
      <c r="C5428" t="s">
        <v>67</v>
      </c>
      <c r="D5428" t="s">
        <v>67</v>
      </c>
      <c r="E5428" t="s">
        <v>67</v>
      </c>
      <c r="F5428" t="s">
        <v>49</v>
      </c>
      <c r="G5428" s="117">
        <v>2.58</v>
      </c>
    </row>
    <row r="5429" spans="1:7" x14ac:dyDescent="0.25">
      <c r="A5429" s="116" t="s">
        <v>8566</v>
      </c>
      <c r="B5429" s="117" t="s">
        <v>8567</v>
      </c>
      <c r="C5429" t="s">
        <v>67</v>
      </c>
      <c r="D5429" t="s">
        <v>67</v>
      </c>
      <c r="E5429" t="s">
        <v>67</v>
      </c>
      <c r="F5429" t="s">
        <v>49</v>
      </c>
      <c r="G5429" s="117">
        <v>1.33</v>
      </c>
    </row>
    <row r="5430" spans="1:7" x14ac:dyDescent="0.25">
      <c r="A5430" s="116" t="s">
        <v>8568</v>
      </c>
      <c r="B5430" s="117" t="s">
        <v>8569</v>
      </c>
      <c r="C5430" t="s">
        <v>67</v>
      </c>
      <c r="D5430" t="s">
        <v>67</v>
      </c>
      <c r="E5430" t="s">
        <v>67</v>
      </c>
      <c r="F5430" t="s">
        <v>45</v>
      </c>
      <c r="G5430" s="117">
        <v>2.58</v>
      </c>
    </row>
    <row r="5431" spans="1:7" x14ac:dyDescent="0.25">
      <c r="A5431" s="116" t="s">
        <v>8570</v>
      </c>
      <c r="B5431" s="117" t="s">
        <v>8571</v>
      </c>
      <c r="C5431" t="s">
        <v>67</v>
      </c>
      <c r="D5431" t="s">
        <v>67</v>
      </c>
      <c r="E5431" t="s">
        <v>67</v>
      </c>
      <c r="F5431" t="s">
        <v>45</v>
      </c>
      <c r="G5431" s="117">
        <v>12.01</v>
      </c>
    </row>
    <row r="5432" spans="1:7" x14ac:dyDescent="0.25">
      <c r="A5432" s="116" t="s">
        <v>8572</v>
      </c>
      <c r="B5432" s="117" t="s">
        <v>8573</v>
      </c>
      <c r="C5432" t="s">
        <v>67</v>
      </c>
      <c r="D5432" t="s">
        <v>67</v>
      </c>
      <c r="E5432" t="s">
        <v>67</v>
      </c>
      <c r="F5432" t="s">
        <v>49</v>
      </c>
      <c r="G5432" s="117">
        <v>2.58</v>
      </c>
    </row>
    <row r="5433" spans="1:7" x14ac:dyDescent="0.25">
      <c r="A5433" s="116" t="s">
        <v>8574</v>
      </c>
      <c r="B5433" s="117" t="s">
        <v>8575</v>
      </c>
      <c r="C5433" t="s">
        <v>67</v>
      </c>
      <c r="D5433" t="s">
        <v>67</v>
      </c>
      <c r="E5433" t="s">
        <v>67</v>
      </c>
      <c r="F5433" t="s">
        <v>27987</v>
      </c>
      <c r="G5433" s="117">
        <v>3.12</v>
      </c>
    </row>
    <row r="5434" spans="1:7" x14ac:dyDescent="0.25">
      <c r="A5434" s="116" t="s">
        <v>8576</v>
      </c>
      <c r="B5434" s="117" t="s">
        <v>8577</v>
      </c>
      <c r="C5434" t="s">
        <v>67</v>
      </c>
      <c r="D5434" t="s">
        <v>67</v>
      </c>
      <c r="E5434" t="s">
        <v>67</v>
      </c>
      <c r="F5434" t="s">
        <v>27987</v>
      </c>
      <c r="G5434" s="117">
        <v>2.58</v>
      </c>
    </row>
    <row r="5435" spans="1:7" x14ac:dyDescent="0.25">
      <c r="A5435" s="116" t="s">
        <v>8578</v>
      </c>
      <c r="B5435" s="117" t="s">
        <v>8579</v>
      </c>
      <c r="C5435" t="s">
        <v>67</v>
      </c>
      <c r="D5435" t="s">
        <v>67</v>
      </c>
      <c r="E5435" t="s">
        <v>67</v>
      </c>
      <c r="F5435" t="s">
        <v>27987</v>
      </c>
      <c r="G5435" s="117">
        <v>2.58</v>
      </c>
    </row>
    <row r="5436" spans="1:7" x14ac:dyDescent="0.25">
      <c r="A5436" s="116" t="s">
        <v>8580</v>
      </c>
      <c r="B5436" s="117" t="s">
        <v>8581</v>
      </c>
      <c r="C5436" t="s">
        <v>67</v>
      </c>
      <c r="D5436" t="s">
        <v>67</v>
      </c>
      <c r="E5436" t="s">
        <v>67</v>
      </c>
      <c r="F5436" t="s">
        <v>27987</v>
      </c>
      <c r="G5436" s="117">
        <v>0.8</v>
      </c>
    </row>
    <row r="5437" spans="1:7" x14ac:dyDescent="0.25">
      <c r="A5437" s="116" t="s">
        <v>8582</v>
      </c>
      <c r="B5437" s="117" t="s">
        <v>8583</v>
      </c>
      <c r="C5437" t="s">
        <v>67</v>
      </c>
      <c r="D5437" t="s">
        <v>67</v>
      </c>
      <c r="E5437" t="s">
        <v>67</v>
      </c>
      <c r="F5437" t="s">
        <v>27987</v>
      </c>
      <c r="G5437" s="117">
        <v>2.58</v>
      </c>
    </row>
    <row r="5438" spans="1:7" x14ac:dyDescent="0.25">
      <c r="A5438" s="116" t="s">
        <v>8584</v>
      </c>
      <c r="B5438" s="117" t="s">
        <v>8585</v>
      </c>
      <c r="C5438" t="s">
        <v>67</v>
      </c>
      <c r="D5438" t="s">
        <v>67</v>
      </c>
      <c r="E5438" t="s">
        <v>67</v>
      </c>
      <c r="F5438" t="s">
        <v>27987</v>
      </c>
      <c r="G5438" s="117">
        <v>3</v>
      </c>
    </row>
    <row r="5439" spans="1:7" x14ac:dyDescent="0.25">
      <c r="A5439" s="116" t="s">
        <v>8586</v>
      </c>
      <c r="B5439" s="117" t="s">
        <v>8587</v>
      </c>
      <c r="C5439" t="s">
        <v>67</v>
      </c>
      <c r="D5439" t="s">
        <v>67</v>
      </c>
      <c r="E5439" t="s">
        <v>67</v>
      </c>
      <c r="F5439" t="s">
        <v>27987</v>
      </c>
      <c r="G5439" s="117">
        <v>3.48</v>
      </c>
    </row>
    <row r="5440" spans="1:7" x14ac:dyDescent="0.25">
      <c r="A5440" s="116" t="s">
        <v>8588</v>
      </c>
      <c r="B5440" s="117" t="s">
        <v>8589</v>
      </c>
      <c r="C5440" t="s">
        <v>67</v>
      </c>
      <c r="D5440" t="s">
        <v>67</v>
      </c>
      <c r="E5440" t="s">
        <v>67</v>
      </c>
      <c r="F5440" t="s">
        <v>27987</v>
      </c>
      <c r="G5440" s="117">
        <v>3.56</v>
      </c>
    </row>
    <row r="5441" spans="1:7" x14ac:dyDescent="0.25">
      <c r="A5441" s="116" t="s">
        <v>8590</v>
      </c>
      <c r="B5441" s="117" t="s">
        <v>8591</v>
      </c>
      <c r="C5441" t="s">
        <v>67</v>
      </c>
      <c r="D5441" t="s">
        <v>67</v>
      </c>
      <c r="E5441" t="s">
        <v>67</v>
      </c>
      <c r="F5441" t="s">
        <v>27987</v>
      </c>
      <c r="G5441" s="117">
        <v>7.12</v>
      </c>
    </row>
    <row r="5442" spans="1:7" x14ac:dyDescent="0.25">
      <c r="A5442" s="116" t="s">
        <v>8592</v>
      </c>
      <c r="B5442" s="117" t="s">
        <v>8452</v>
      </c>
      <c r="C5442" t="s">
        <v>67</v>
      </c>
      <c r="D5442" t="s">
        <v>67</v>
      </c>
      <c r="E5442" t="s">
        <v>67</v>
      </c>
      <c r="F5442" t="s">
        <v>27987</v>
      </c>
      <c r="G5442" s="117">
        <v>1.77</v>
      </c>
    </row>
    <row r="5443" spans="1:7" x14ac:dyDescent="0.25">
      <c r="A5443" s="116" t="s">
        <v>8593</v>
      </c>
      <c r="B5443" s="117" t="s">
        <v>8594</v>
      </c>
      <c r="C5443" t="s">
        <v>67</v>
      </c>
      <c r="D5443" t="s">
        <v>67</v>
      </c>
      <c r="E5443" t="s">
        <v>67</v>
      </c>
      <c r="F5443" t="s">
        <v>49</v>
      </c>
      <c r="G5443" s="117">
        <v>3.48</v>
      </c>
    </row>
    <row r="5444" spans="1:7" x14ac:dyDescent="0.25">
      <c r="A5444" s="116" t="s">
        <v>8595</v>
      </c>
      <c r="B5444" s="117" t="s">
        <v>8524</v>
      </c>
      <c r="C5444" t="s">
        <v>67</v>
      </c>
      <c r="D5444" t="s">
        <v>67</v>
      </c>
      <c r="E5444" t="s">
        <v>67</v>
      </c>
      <c r="F5444" t="s">
        <v>27987</v>
      </c>
      <c r="G5444" s="117">
        <v>10.68</v>
      </c>
    </row>
    <row r="5445" spans="1:7" x14ac:dyDescent="0.25">
      <c r="A5445" s="116" t="s">
        <v>8596</v>
      </c>
      <c r="B5445" s="117" t="s">
        <v>8597</v>
      </c>
      <c r="C5445" t="s">
        <v>67</v>
      </c>
      <c r="D5445" t="s">
        <v>67</v>
      </c>
      <c r="E5445" t="s">
        <v>67</v>
      </c>
      <c r="F5445" t="s">
        <v>27987</v>
      </c>
      <c r="G5445" s="117">
        <v>8.4499999999999993</v>
      </c>
    </row>
    <row r="5446" spans="1:7" x14ac:dyDescent="0.25">
      <c r="A5446" s="116" t="s">
        <v>8598</v>
      </c>
      <c r="B5446" s="117" t="s">
        <v>8599</v>
      </c>
      <c r="C5446" t="s">
        <v>67</v>
      </c>
      <c r="D5446" t="s">
        <v>67</v>
      </c>
      <c r="E5446" t="s">
        <v>67</v>
      </c>
      <c r="F5446" t="s">
        <v>45</v>
      </c>
      <c r="G5446" s="117">
        <v>8.4499999999999993</v>
      </c>
    </row>
    <row r="5447" spans="1:7" x14ac:dyDescent="0.25">
      <c r="A5447" s="116" t="s">
        <v>8600</v>
      </c>
      <c r="B5447" s="117" t="s">
        <v>8601</v>
      </c>
      <c r="C5447" t="s">
        <v>67</v>
      </c>
      <c r="D5447" t="s">
        <v>67</v>
      </c>
      <c r="E5447" t="s">
        <v>67</v>
      </c>
      <c r="F5447" t="s">
        <v>45</v>
      </c>
      <c r="G5447" s="117">
        <v>1.77</v>
      </c>
    </row>
    <row r="5448" spans="1:7" x14ac:dyDescent="0.25">
      <c r="A5448" s="116" t="s">
        <v>8602</v>
      </c>
      <c r="B5448" s="117" t="s">
        <v>8603</v>
      </c>
      <c r="C5448" t="s">
        <v>67</v>
      </c>
      <c r="D5448" t="s">
        <v>67</v>
      </c>
      <c r="E5448" t="s">
        <v>67</v>
      </c>
      <c r="F5448" t="s">
        <v>27987</v>
      </c>
      <c r="G5448" s="117">
        <v>10.24</v>
      </c>
    </row>
    <row r="5449" spans="1:7" x14ac:dyDescent="0.25">
      <c r="A5449" s="116" t="s">
        <v>8604</v>
      </c>
      <c r="B5449" s="117" t="s">
        <v>8605</v>
      </c>
      <c r="C5449" t="s">
        <v>67</v>
      </c>
      <c r="D5449" t="s">
        <v>67</v>
      </c>
      <c r="E5449" t="s">
        <v>67</v>
      </c>
      <c r="F5449" t="s">
        <v>27987</v>
      </c>
      <c r="G5449" s="117">
        <v>1.33</v>
      </c>
    </row>
    <row r="5450" spans="1:7" x14ac:dyDescent="0.25">
      <c r="A5450" s="116" t="s">
        <v>8606</v>
      </c>
      <c r="B5450" s="117" t="s">
        <v>8607</v>
      </c>
      <c r="C5450" t="s">
        <v>67</v>
      </c>
      <c r="D5450" t="s">
        <v>67</v>
      </c>
      <c r="E5450" t="s">
        <v>67</v>
      </c>
      <c r="F5450" t="s">
        <v>51</v>
      </c>
      <c r="G5450" s="117">
        <v>1.77</v>
      </c>
    </row>
    <row r="5451" spans="1:7" x14ac:dyDescent="0.25">
      <c r="A5451" s="116" t="s">
        <v>8608</v>
      </c>
      <c r="B5451" s="117" t="s">
        <v>8609</v>
      </c>
      <c r="C5451" t="s">
        <v>67</v>
      </c>
      <c r="D5451" t="s">
        <v>67</v>
      </c>
      <c r="E5451" t="s">
        <v>67</v>
      </c>
      <c r="F5451" t="s">
        <v>45</v>
      </c>
      <c r="G5451" s="117">
        <v>2.23</v>
      </c>
    </row>
    <row r="5452" spans="1:7" x14ac:dyDescent="0.25">
      <c r="A5452" s="116" t="s">
        <v>8610</v>
      </c>
      <c r="B5452" s="117" t="s">
        <v>8611</v>
      </c>
      <c r="C5452" t="s">
        <v>67</v>
      </c>
      <c r="D5452" t="s">
        <v>67</v>
      </c>
      <c r="E5452" t="s">
        <v>67</v>
      </c>
      <c r="F5452" t="s">
        <v>27987</v>
      </c>
      <c r="G5452" s="117">
        <v>8.81</v>
      </c>
    </row>
    <row r="5453" spans="1:7" x14ac:dyDescent="0.25">
      <c r="A5453" s="116" t="s">
        <v>8612</v>
      </c>
      <c r="B5453" s="117" t="s">
        <v>8613</v>
      </c>
      <c r="C5453" t="s">
        <v>67</v>
      </c>
      <c r="D5453" t="s">
        <v>67</v>
      </c>
      <c r="E5453" t="s">
        <v>67</v>
      </c>
      <c r="F5453" t="s">
        <v>27987</v>
      </c>
      <c r="G5453" s="117">
        <v>18.239999999999998</v>
      </c>
    </row>
    <row r="5454" spans="1:7" x14ac:dyDescent="0.25">
      <c r="A5454" s="116" t="s">
        <v>8614</v>
      </c>
      <c r="B5454" s="117" t="s">
        <v>8615</v>
      </c>
      <c r="C5454" t="s">
        <v>67</v>
      </c>
      <c r="D5454" t="s">
        <v>67</v>
      </c>
      <c r="E5454" t="s">
        <v>67</v>
      </c>
      <c r="F5454" t="s">
        <v>27987</v>
      </c>
      <c r="G5454" s="117">
        <v>6.14</v>
      </c>
    </row>
    <row r="5455" spans="1:7" x14ac:dyDescent="0.25">
      <c r="A5455" s="116" t="s">
        <v>8616</v>
      </c>
      <c r="B5455" s="117" t="s">
        <v>8617</v>
      </c>
      <c r="C5455" t="s">
        <v>67</v>
      </c>
      <c r="D5455" t="s">
        <v>67</v>
      </c>
      <c r="E5455" t="s">
        <v>67</v>
      </c>
      <c r="F5455" t="s">
        <v>27987</v>
      </c>
      <c r="G5455" s="117">
        <v>1.69</v>
      </c>
    </row>
    <row r="5456" spans="1:7" x14ac:dyDescent="0.25">
      <c r="A5456" s="116" t="s">
        <v>8618</v>
      </c>
      <c r="B5456" s="117" t="s">
        <v>8619</v>
      </c>
      <c r="C5456" t="s">
        <v>67</v>
      </c>
      <c r="D5456" t="s">
        <v>67</v>
      </c>
      <c r="E5456" t="s">
        <v>67</v>
      </c>
      <c r="F5456" t="s">
        <v>49</v>
      </c>
      <c r="G5456" s="117">
        <v>3.56</v>
      </c>
    </row>
    <row r="5457" spans="1:7" x14ac:dyDescent="0.25">
      <c r="A5457" s="116" t="s">
        <v>8620</v>
      </c>
      <c r="B5457" s="117" t="s">
        <v>8613</v>
      </c>
      <c r="C5457" t="s">
        <v>67</v>
      </c>
      <c r="D5457" t="s">
        <v>67</v>
      </c>
      <c r="E5457" t="s">
        <v>67</v>
      </c>
      <c r="F5457" t="s">
        <v>27987</v>
      </c>
      <c r="G5457" s="117">
        <v>4.3600000000000003</v>
      </c>
    </row>
    <row r="5458" spans="1:7" x14ac:dyDescent="0.25">
      <c r="A5458" s="116" t="s">
        <v>8621</v>
      </c>
      <c r="B5458" s="117" t="s">
        <v>8622</v>
      </c>
      <c r="C5458" t="s">
        <v>67</v>
      </c>
      <c r="D5458" t="s">
        <v>67</v>
      </c>
      <c r="E5458" t="s">
        <v>67</v>
      </c>
      <c r="F5458" t="s">
        <v>27987</v>
      </c>
      <c r="G5458" s="117">
        <v>1.33</v>
      </c>
    </row>
    <row r="5459" spans="1:7" x14ac:dyDescent="0.25">
      <c r="A5459" s="116" t="s">
        <v>26767</v>
      </c>
      <c r="B5459" s="117" t="s">
        <v>26768</v>
      </c>
      <c r="C5459" t="s">
        <v>67</v>
      </c>
      <c r="D5459" t="s">
        <v>67</v>
      </c>
      <c r="E5459" t="s">
        <v>67</v>
      </c>
      <c r="F5459" t="s">
        <v>45</v>
      </c>
      <c r="G5459" s="117">
        <v>1.5</v>
      </c>
    </row>
    <row r="5460" spans="1:7" x14ac:dyDescent="0.25">
      <c r="A5460" s="116" t="s">
        <v>26541</v>
      </c>
      <c r="B5460" s="117" t="s">
        <v>26542</v>
      </c>
      <c r="C5460" t="s">
        <v>67</v>
      </c>
      <c r="D5460" t="s">
        <v>67</v>
      </c>
      <c r="E5460" t="s">
        <v>67</v>
      </c>
      <c r="F5460" t="s">
        <v>45</v>
      </c>
      <c r="G5460" s="117">
        <v>0.4</v>
      </c>
    </row>
    <row r="5461" spans="1:7" x14ac:dyDescent="0.25">
      <c r="A5461" s="116" t="s">
        <v>26769</v>
      </c>
      <c r="B5461" s="117" t="s">
        <v>26770</v>
      </c>
      <c r="C5461" t="s">
        <v>67</v>
      </c>
      <c r="D5461" t="s">
        <v>67</v>
      </c>
      <c r="E5461" t="s">
        <v>67</v>
      </c>
      <c r="F5461" t="s">
        <v>45</v>
      </c>
      <c r="G5461" s="117">
        <v>0.84</v>
      </c>
    </row>
    <row r="5462" spans="1:7" x14ac:dyDescent="0.25">
      <c r="A5462" s="116" t="s">
        <v>8623</v>
      </c>
      <c r="B5462" s="117" t="s">
        <v>8624</v>
      </c>
      <c r="C5462" t="s">
        <v>67</v>
      </c>
      <c r="D5462" t="s">
        <v>67</v>
      </c>
      <c r="E5462" t="s">
        <v>67</v>
      </c>
      <c r="F5462" t="s">
        <v>27987</v>
      </c>
      <c r="G5462" s="117">
        <v>0.5</v>
      </c>
    </row>
    <row r="5463" spans="1:7" x14ac:dyDescent="0.25">
      <c r="A5463" s="116" t="s">
        <v>8625</v>
      </c>
      <c r="B5463" s="117" t="s">
        <v>8626</v>
      </c>
      <c r="C5463" t="s">
        <v>67</v>
      </c>
      <c r="D5463" t="s">
        <v>67</v>
      </c>
      <c r="E5463" t="s">
        <v>67</v>
      </c>
      <c r="F5463" t="s">
        <v>27987</v>
      </c>
      <c r="G5463" s="117">
        <v>1.33</v>
      </c>
    </row>
    <row r="5464" spans="1:7" x14ac:dyDescent="0.25">
      <c r="A5464" s="116" t="s">
        <v>8627</v>
      </c>
      <c r="B5464" s="117" t="s">
        <v>8628</v>
      </c>
      <c r="C5464" t="s">
        <v>67</v>
      </c>
      <c r="D5464" t="s">
        <v>67</v>
      </c>
      <c r="E5464" t="s">
        <v>67</v>
      </c>
      <c r="F5464" t="s">
        <v>27987</v>
      </c>
      <c r="G5464" s="117">
        <v>6.14</v>
      </c>
    </row>
    <row r="5465" spans="1:7" x14ac:dyDescent="0.25">
      <c r="A5465" s="116" t="s">
        <v>8629</v>
      </c>
      <c r="B5465" s="117" t="s">
        <v>8630</v>
      </c>
      <c r="C5465" t="s">
        <v>67</v>
      </c>
      <c r="D5465" t="s">
        <v>67</v>
      </c>
      <c r="E5465" t="s">
        <v>67</v>
      </c>
      <c r="F5465" t="s">
        <v>49</v>
      </c>
      <c r="G5465" s="117">
        <v>7.56</v>
      </c>
    </row>
    <row r="5466" spans="1:7" x14ac:dyDescent="0.25">
      <c r="A5466" s="116" t="s">
        <v>8631</v>
      </c>
      <c r="B5466" s="117" t="s">
        <v>8632</v>
      </c>
      <c r="C5466" t="s">
        <v>67</v>
      </c>
      <c r="D5466" t="s">
        <v>67</v>
      </c>
      <c r="E5466" t="s">
        <v>67</v>
      </c>
      <c r="F5466" t="s">
        <v>27987</v>
      </c>
      <c r="G5466" s="117">
        <v>1.69</v>
      </c>
    </row>
    <row r="5467" spans="1:7" x14ac:dyDescent="0.25">
      <c r="A5467" s="116" t="s">
        <v>8633</v>
      </c>
      <c r="B5467" s="117" t="s">
        <v>8634</v>
      </c>
      <c r="C5467" t="s">
        <v>67</v>
      </c>
      <c r="D5467" t="s">
        <v>67</v>
      </c>
      <c r="E5467" t="s">
        <v>67</v>
      </c>
      <c r="F5467" t="s">
        <v>45</v>
      </c>
      <c r="G5467" s="117">
        <v>100.46</v>
      </c>
    </row>
    <row r="5468" spans="1:7" x14ac:dyDescent="0.25">
      <c r="A5468" s="116" t="s">
        <v>8635</v>
      </c>
      <c r="B5468" s="117" t="s">
        <v>8636</v>
      </c>
      <c r="C5468" t="s">
        <v>67</v>
      </c>
      <c r="D5468" t="s">
        <v>67</v>
      </c>
      <c r="E5468" t="s">
        <v>67</v>
      </c>
      <c r="F5468" t="s">
        <v>45</v>
      </c>
      <c r="G5468" s="117">
        <v>7.12</v>
      </c>
    </row>
    <row r="5469" spans="1:7" x14ac:dyDescent="0.25">
      <c r="A5469" s="116" t="s">
        <v>8637</v>
      </c>
      <c r="B5469" s="117" t="s">
        <v>8638</v>
      </c>
      <c r="C5469" t="s">
        <v>67</v>
      </c>
      <c r="D5469" t="s">
        <v>67</v>
      </c>
      <c r="E5469" t="s">
        <v>67</v>
      </c>
      <c r="F5469" t="s">
        <v>45</v>
      </c>
      <c r="G5469" s="117">
        <v>4.8899999999999997</v>
      </c>
    </row>
    <row r="5470" spans="1:7" x14ac:dyDescent="0.25">
      <c r="A5470" s="116" t="s">
        <v>8639</v>
      </c>
      <c r="B5470" s="117" t="s">
        <v>8640</v>
      </c>
      <c r="C5470" t="s">
        <v>67</v>
      </c>
      <c r="D5470" t="s">
        <v>67</v>
      </c>
      <c r="E5470" t="s">
        <v>67</v>
      </c>
      <c r="F5470" t="s">
        <v>49</v>
      </c>
      <c r="G5470" s="117">
        <v>6.14</v>
      </c>
    </row>
    <row r="5471" spans="1:7" x14ac:dyDescent="0.25">
      <c r="A5471" s="116" t="s">
        <v>8641</v>
      </c>
      <c r="B5471" s="117" t="s">
        <v>26463</v>
      </c>
      <c r="C5471" t="s">
        <v>67</v>
      </c>
      <c r="D5471" t="s">
        <v>67</v>
      </c>
      <c r="E5471" t="s">
        <v>67</v>
      </c>
      <c r="F5471" t="s">
        <v>27987</v>
      </c>
      <c r="G5471" s="117">
        <v>5.38</v>
      </c>
    </row>
    <row r="5472" spans="1:7" x14ac:dyDescent="0.25">
      <c r="A5472" s="116" t="s">
        <v>8642</v>
      </c>
      <c r="B5472" s="117" t="s">
        <v>8643</v>
      </c>
      <c r="C5472" t="s">
        <v>67</v>
      </c>
      <c r="D5472" t="s">
        <v>67</v>
      </c>
      <c r="E5472" t="s">
        <v>67</v>
      </c>
      <c r="F5472" t="s">
        <v>49</v>
      </c>
      <c r="G5472" s="117">
        <v>4.3600000000000003</v>
      </c>
    </row>
    <row r="5473" spans="1:7" x14ac:dyDescent="0.25">
      <c r="A5473" s="116" t="s">
        <v>8644</v>
      </c>
      <c r="B5473" s="117" t="s">
        <v>8645</v>
      </c>
      <c r="C5473" t="s">
        <v>67</v>
      </c>
      <c r="D5473" t="s">
        <v>67</v>
      </c>
      <c r="E5473" t="s">
        <v>67</v>
      </c>
      <c r="F5473" t="s">
        <v>49</v>
      </c>
      <c r="G5473" s="117">
        <v>0.8</v>
      </c>
    </row>
    <row r="5474" spans="1:7" x14ac:dyDescent="0.25">
      <c r="A5474" s="116" t="s">
        <v>8646</v>
      </c>
      <c r="B5474" s="117" t="s">
        <v>8647</v>
      </c>
      <c r="C5474" t="s">
        <v>67</v>
      </c>
      <c r="D5474" t="s">
        <v>67</v>
      </c>
      <c r="E5474" t="s">
        <v>67</v>
      </c>
      <c r="F5474" t="s">
        <v>49</v>
      </c>
      <c r="G5474" s="117">
        <v>2.58</v>
      </c>
    </row>
    <row r="5475" spans="1:7" x14ac:dyDescent="0.25">
      <c r="A5475" s="116" t="s">
        <v>8648</v>
      </c>
      <c r="B5475" s="117" t="s">
        <v>8649</v>
      </c>
      <c r="C5475" t="s">
        <v>67</v>
      </c>
      <c r="D5475" t="s">
        <v>67</v>
      </c>
      <c r="E5475" t="s">
        <v>67</v>
      </c>
      <c r="F5475" t="s">
        <v>27987</v>
      </c>
      <c r="G5475" s="117">
        <v>5.33</v>
      </c>
    </row>
    <row r="5476" spans="1:7" x14ac:dyDescent="0.25">
      <c r="A5476" s="116" t="s">
        <v>8650</v>
      </c>
      <c r="B5476" s="117" t="s">
        <v>8651</v>
      </c>
      <c r="C5476" t="s">
        <v>67</v>
      </c>
      <c r="D5476" t="s">
        <v>67</v>
      </c>
      <c r="E5476" t="s">
        <v>67</v>
      </c>
      <c r="F5476" t="s">
        <v>27987</v>
      </c>
      <c r="G5476" s="117">
        <v>7.02</v>
      </c>
    </row>
    <row r="5477" spans="1:7" x14ac:dyDescent="0.25">
      <c r="A5477" s="116" t="s">
        <v>8652</v>
      </c>
      <c r="B5477" s="117" t="s">
        <v>8653</v>
      </c>
      <c r="C5477" t="s">
        <v>67</v>
      </c>
      <c r="D5477" t="s">
        <v>67</v>
      </c>
      <c r="E5477" t="s">
        <v>67</v>
      </c>
      <c r="F5477" t="s">
        <v>27987</v>
      </c>
      <c r="G5477" s="117">
        <v>11.57</v>
      </c>
    </row>
    <row r="5478" spans="1:7" x14ac:dyDescent="0.25">
      <c r="A5478" s="116" t="s">
        <v>8654</v>
      </c>
      <c r="B5478" s="117" t="s">
        <v>8655</v>
      </c>
      <c r="C5478" t="s">
        <v>67</v>
      </c>
      <c r="D5478" t="s">
        <v>67</v>
      </c>
      <c r="E5478" t="s">
        <v>67</v>
      </c>
      <c r="F5478" t="s">
        <v>45</v>
      </c>
      <c r="G5478" s="117">
        <v>8.4499999999999993</v>
      </c>
    </row>
    <row r="5479" spans="1:7" x14ac:dyDescent="0.25">
      <c r="A5479" s="116" t="s">
        <v>8656</v>
      </c>
      <c r="B5479" s="117" t="s">
        <v>8657</v>
      </c>
      <c r="C5479" t="s">
        <v>67</v>
      </c>
      <c r="D5479" t="s">
        <v>67</v>
      </c>
      <c r="E5479" t="s">
        <v>67</v>
      </c>
      <c r="F5479" t="s">
        <v>27987</v>
      </c>
      <c r="G5479" s="117">
        <v>21.8</v>
      </c>
    </row>
    <row r="5480" spans="1:7" x14ac:dyDescent="0.25">
      <c r="A5480" s="116" t="s">
        <v>8658</v>
      </c>
      <c r="B5480" s="117" t="s">
        <v>8659</v>
      </c>
      <c r="C5480" t="s">
        <v>67</v>
      </c>
      <c r="D5480" t="s">
        <v>67</v>
      </c>
      <c r="E5480" t="s">
        <v>67</v>
      </c>
      <c r="F5480" t="s">
        <v>45</v>
      </c>
      <c r="G5480" s="117">
        <v>3.56</v>
      </c>
    </row>
    <row r="5481" spans="1:7" x14ac:dyDescent="0.25">
      <c r="A5481" s="116" t="s">
        <v>8660</v>
      </c>
      <c r="B5481" s="117" t="s">
        <v>8661</v>
      </c>
      <c r="C5481" t="s">
        <v>67</v>
      </c>
      <c r="D5481" t="s">
        <v>67</v>
      </c>
      <c r="E5481" t="s">
        <v>67</v>
      </c>
      <c r="F5481" t="s">
        <v>49</v>
      </c>
      <c r="G5481" s="117">
        <v>6.14</v>
      </c>
    </row>
    <row r="5482" spans="1:7" x14ac:dyDescent="0.25">
      <c r="A5482" s="116" t="s">
        <v>26969</v>
      </c>
      <c r="B5482" s="117" t="s">
        <v>28769</v>
      </c>
      <c r="C5482" t="s">
        <v>67</v>
      </c>
      <c r="D5482" t="s">
        <v>67</v>
      </c>
      <c r="E5482" t="s">
        <v>67</v>
      </c>
      <c r="F5482" t="s">
        <v>27987</v>
      </c>
      <c r="G5482" s="117">
        <v>5</v>
      </c>
    </row>
    <row r="5483" spans="1:7" x14ac:dyDescent="0.25">
      <c r="A5483" s="116" t="s">
        <v>8662</v>
      </c>
      <c r="B5483" s="117" t="s">
        <v>6008</v>
      </c>
      <c r="C5483" t="s">
        <v>67</v>
      </c>
      <c r="D5483" t="s">
        <v>67</v>
      </c>
      <c r="E5483" t="s">
        <v>67</v>
      </c>
      <c r="F5483" t="s">
        <v>49</v>
      </c>
      <c r="G5483" s="117">
        <v>4.8899999999999997</v>
      </c>
    </row>
    <row r="5484" spans="1:7" x14ac:dyDescent="0.25">
      <c r="A5484" s="116" t="s">
        <v>8663</v>
      </c>
      <c r="B5484" s="117" t="s">
        <v>8664</v>
      </c>
      <c r="C5484" t="s">
        <v>67</v>
      </c>
      <c r="D5484" t="s">
        <v>67</v>
      </c>
      <c r="E5484" t="s">
        <v>67</v>
      </c>
      <c r="F5484" t="s">
        <v>27987</v>
      </c>
      <c r="G5484" s="117">
        <v>0.8</v>
      </c>
    </row>
    <row r="5485" spans="1:7" x14ac:dyDescent="0.25">
      <c r="A5485" s="116" t="s">
        <v>28770</v>
      </c>
      <c r="B5485" s="117" t="s">
        <v>5693</v>
      </c>
      <c r="C5485" t="s">
        <v>67</v>
      </c>
      <c r="D5485" t="s">
        <v>67</v>
      </c>
      <c r="E5485" t="s">
        <v>67</v>
      </c>
      <c r="F5485" t="s">
        <v>27987</v>
      </c>
      <c r="G5485" s="117">
        <v>6.51</v>
      </c>
    </row>
    <row r="5486" spans="1:7" x14ac:dyDescent="0.25">
      <c r="A5486" s="116" t="s">
        <v>8665</v>
      </c>
      <c r="B5486" s="117" t="s">
        <v>8666</v>
      </c>
      <c r="C5486" t="s">
        <v>67</v>
      </c>
      <c r="D5486" t="s">
        <v>67</v>
      </c>
      <c r="E5486" t="s">
        <v>67</v>
      </c>
      <c r="F5486" t="s">
        <v>49</v>
      </c>
      <c r="G5486" s="117">
        <v>1.33</v>
      </c>
    </row>
    <row r="5487" spans="1:7" x14ac:dyDescent="0.25">
      <c r="A5487" s="116" t="s">
        <v>8667</v>
      </c>
      <c r="B5487" s="117" t="s">
        <v>8668</v>
      </c>
      <c r="C5487" t="s">
        <v>67</v>
      </c>
      <c r="D5487" t="s">
        <v>67</v>
      </c>
      <c r="E5487" t="s">
        <v>67</v>
      </c>
      <c r="F5487" t="s">
        <v>49</v>
      </c>
      <c r="G5487" s="117">
        <v>3.12</v>
      </c>
    </row>
    <row r="5488" spans="1:7" x14ac:dyDescent="0.25">
      <c r="A5488" s="116" t="s">
        <v>8669</v>
      </c>
      <c r="B5488" s="117" t="s">
        <v>8670</v>
      </c>
      <c r="C5488" t="s">
        <v>67</v>
      </c>
      <c r="D5488" t="s">
        <v>67</v>
      </c>
      <c r="E5488" t="s">
        <v>67</v>
      </c>
      <c r="F5488" t="s">
        <v>27987</v>
      </c>
      <c r="G5488" s="117">
        <v>13.26</v>
      </c>
    </row>
    <row r="5489" spans="1:7" x14ac:dyDescent="0.25">
      <c r="A5489" s="116" t="s">
        <v>8671</v>
      </c>
      <c r="B5489" s="117" t="s">
        <v>8672</v>
      </c>
      <c r="C5489" t="s">
        <v>67</v>
      </c>
      <c r="D5489" t="s">
        <v>67</v>
      </c>
      <c r="E5489" t="s">
        <v>67</v>
      </c>
      <c r="F5489" t="s">
        <v>45</v>
      </c>
      <c r="G5489" s="117">
        <v>3.56</v>
      </c>
    </row>
    <row r="5490" spans="1:7" x14ac:dyDescent="0.25">
      <c r="A5490" s="116" t="s">
        <v>28771</v>
      </c>
      <c r="B5490" s="117" t="s">
        <v>28772</v>
      </c>
      <c r="C5490" t="s">
        <v>67</v>
      </c>
      <c r="D5490" t="s">
        <v>67</v>
      </c>
      <c r="E5490" t="s">
        <v>67</v>
      </c>
      <c r="F5490" t="s">
        <v>45</v>
      </c>
      <c r="G5490" s="117">
        <v>0</v>
      </c>
    </row>
    <row r="5491" spans="1:7" x14ac:dyDescent="0.25">
      <c r="A5491" s="116" t="s">
        <v>8673</v>
      </c>
      <c r="B5491" s="117" t="s">
        <v>8674</v>
      </c>
      <c r="C5491" t="s">
        <v>67</v>
      </c>
      <c r="D5491" t="s">
        <v>67</v>
      </c>
      <c r="E5491" t="s">
        <v>67</v>
      </c>
      <c r="F5491" t="s">
        <v>49</v>
      </c>
      <c r="G5491" s="117">
        <v>6.68</v>
      </c>
    </row>
    <row r="5492" spans="1:7" x14ac:dyDescent="0.25">
      <c r="A5492" s="116" t="s">
        <v>8675</v>
      </c>
      <c r="B5492" s="117" t="s">
        <v>8676</v>
      </c>
      <c r="C5492" t="s">
        <v>67</v>
      </c>
      <c r="D5492" t="s">
        <v>67</v>
      </c>
      <c r="E5492" t="s">
        <v>67</v>
      </c>
      <c r="F5492" t="s">
        <v>49</v>
      </c>
      <c r="G5492" s="117">
        <v>1.69</v>
      </c>
    </row>
    <row r="5493" spans="1:7" x14ac:dyDescent="0.25">
      <c r="A5493" s="116" t="s">
        <v>8677</v>
      </c>
      <c r="B5493" s="117" t="s">
        <v>8678</v>
      </c>
      <c r="C5493" t="s">
        <v>67</v>
      </c>
      <c r="D5493" t="s">
        <v>67</v>
      </c>
      <c r="E5493" t="s">
        <v>67</v>
      </c>
      <c r="F5493" t="s">
        <v>51</v>
      </c>
      <c r="G5493" s="117">
        <v>18.559999999999999</v>
      </c>
    </row>
    <row r="5494" spans="1:7" x14ac:dyDescent="0.25">
      <c r="A5494" s="116" t="s">
        <v>8679</v>
      </c>
      <c r="B5494" s="117" t="s">
        <v>28773</v>
      </c>
      <c r="C5494" t="s">
        <v>67</v>
      </c>
      <c r="D5494" t="s">
        <v>67</v>
      </c>
      <c r="E5494" t="s">
        <v>67</v>
      </c>
      <c r="F5494" t="s">
        <v>27987</v>
      </c>
      <c r="G5494" s="117">
        <v>26.19</v>
      </c>
    </row>
    <row r="5495" spans="1:7" x14ac:dyDescent="0.25">
      <c r="A5495" s="116" t="s">
        <v>8680</v>
      </c>
      <c r="B5495" s="117" t="s">
        <v>8681</v>
      </c>
      <c r="C5495" t="s">
        <v>67</v>
      </c>
      <c r="D5495" t="s">
        <v>67</v>
      </c>
      <c r="E5495" t="s">
        <v>67</v>
      </c>
      <c r="F5495" t="s">
        <v>27987</v>
      </c>
      <c r="G5495" s="117">
        <v>119.92</v>
      </c>
    </row>
    <row r="5496" spans="1:7" x14ac:dyDescent="0.25">
      <c r="A5496" s="116" t="s">
        <v>8682</v>
      </c>
      <c r="B5496" s="117" t="s">
        <v>8683</v>
      </c>
      <c r="C5496" t="s">
        <v>67</v>
      </c>
      <c r="D5496" t="s">
        <v>67</v>
      </c>
      <c r="E5496" t="s">
        <v>67</v>
      </c>
      <c r="F5496" t="s">
        <v>49</v>
      </c>
      <c r="G5496" s="117">
        <v>38.18</v>
      </c>
    </row>
    <row r="5497" spans="1:7" x14ac:dyDescent="0.25">
      <c r="A5497" s="116" t="s">
        <v>8684</v>
      </c>
      <c r="B5497" s="117" t="s">
        <v>8685</v>
      </c>
      <c r="C5497" t="s">
        <v>67</v>
      </c>
      <c r="D5497" t="s">
        <v>67</v>
      </c>
      <c r="E5497" t="s">
        <v>67</v>
      </c>
      <c r="F5497" t="s">
        <v>45</v>
      </c>
      <c r="G5497" s="117">
        <v>6.14</v>
      </c>
    </row>
    <row r="5498" spans="1:7" x14ac:dyDescent="0.25">
      <c r="A5498" s="116" t="s">
        <v>8686</v>
      </c>
      <c r="B5498" s="117" t="s">
        <v>8687</v>
      </c>
      <c r="C5498" t="s">
        <v>67</v>
      </c>
      <c r="D5498" t="s">
        <v>67</v>
      </c>
      <c r="E5498" t="s">
        <v>67</v>
      </c>
      <c r="F5498" t="s">
        <v>27990</v>
      </c>
      <c r="G5498" s="117">
        <v>19.489999999999998</v>
      </c>
    </row>
    <row r="5499" spans="1:7" x14ac:dyDescent="0.25">
      <c r="A5499" s="116" t="s">
        <v>8688</v>
      </c>
      <c r="B5499" s="117" t="s">
        <v>8689</v>
      </c>
      <c r="C5499" t="s">
        <v>67</v>
      </c>
      <c r="D5499" t="s">
        <v>67</v>
      </c>
      <c r="E5499" t="s">
        <v>67</v>
      </c>
      <c r="F5499" t="s">
        <v>27987</v>
      </c>
      <c r="G5499" s="117">
        <v>36.04</v>
      </c>
    </row>
    <row r="5500" spans="1:7" x14ac:dyDescent="0.25">
      <c r="A5500" s="116" t="s">
        <v>8690</v>
      </c>
      <c r="B5500" s="117" t="s">
        <v>8691</v>
      </c>
      <c r="C5500" t="s">
        <v>67</v>
      </c>
      <c r="D5500" t="s">
        <v>67</v>
      </c>
      <c r="E5500" t="s">
        <v>67</v>
      </c>
      <c r="F5500" t="s">
        <v>49</v>
      </c>
      <c r="G5500" s="117">
        <v>5.25</v>
      </c>
    </row>
    <row r="5501" spans="1:7" x14ac:dyDescent="0.25">
      <c r="A5501" s="116" t="s">
        <v>8692</v>
      </c>
      <c r="B5501" s="117" t="s">
        <v>8693</v>
      </c>
      <c r="C5501" t="s">
        <v>67</v>
      </c>
      <c r="D5501" t="s">
        <v>67</v>
      </c>
      <c r="E5501" t="s">
        <v>67</v>
      </c>
      <c r="F5501" t="s">
        <v>49</v>
      </c>
      <c r="G5501" s="117">
        <v>7.56</v>
      </c>
    </row>
    <row r="5502" spans="1:7" x14ac:dyDescent="0.25">
      <c r="A5502" s="116" t="s">
        <v>8694</v>
      </c>
      <c r="B5502" s="117" t="s">
        <v>8695</v>
      </c>
      <c r="C5502" t="s">
        <v>67</v>
      </c>
      <c r="D5502" t="s">
        <v>67</v>
      </c>
      <c r="E5502" t="s">
        <v>67</v>
      </c>
      <c r="F5502" t="s">
        <v>27987</v>
      </c>
      <c r="G5502" s="117">
        <v>4</v>
      </c>
    </row>
    <row r="5503" spans="1:7" x14ac:dyDescent="0.25">
      <c r="A5503" s="116" t="s">
        <v>8696</v>
      </c>
      <c r="B5503" s="117" t="s">
        <v>8697</v>
      </c>
      <c r="C5503" t="s">
        <v>67</v>
      </c>
      <c r="D5503" t="s">
        <v>67</v>
      </c>
      <c r="E5503" t="s">
        <v>67</v>
      </c>
      <c r="F5503" t="s">
        <v>49</v>
      </c>
      <c r="G5503" s="117">
        <v>1.33</v>
      </c>
    </row>
    <row r="5504" spans="1:7" x14ac:dyDescent="0.25">
      <c r="A5504" s="116" t="s">
        <v>8698</v>
      </c>
      <c r="B5504" s="117" t="s">
        <v>8699</v>
      </c>
      <c r="C5504" t="s">
        <v>67</v>
      </c>
      <c r="D5504" t="s">
        <v>67</v>
      </c>
      <c r="E5504" t="s">
        <v>67</v>
      </c>
      <c r="F5504" t="s">
        <v>49</v>
      </c>
      <c r="G5504" s="117">
        <v>9.35</v>
      </c>
    </row>
    <row r="5505" spans="1:7" x14ac:dyDescent="0.25">
      <c r="A5505" s="116" t="s">
        <v>8700</v>
      </c>
      <c r="B5505" s="117" t="s">
        <v>8701</v>
      </c>
      <c r="C5505" t="s">
        <v>67</v>
      </c>
      <c r="D5505" t="s">
        <v>67</v>
      </c>
      <c r="E5505" t="s">
        <v>67</v>
      </c>
      <c r="F5505" t="s">
        <v>49</v>
      </c>
      <c r="G5505" s="117">
        <v>0.8</v>
      </c>
    </row>
    <row r="5506" spans="1:7" x14ac:dyDescent="0.25">
      <c r="A5506" s="116" t="s">
        <v>8702</v>
      </c>
      <c r="B5506" s="117" t="s">
        <v>8703</v>
      </c>
      <c r="C5506" t="s">
        <v>67</v>
      </c>
      <c r="D5506" t="s">
        <v>67</v>
      </c>
      <c r="E5506" t="s">
        <v>67</v>
      </c>
      <c r="F5506" t="s">
        <v>27987</v>
      </c>
      <c r="G5506" s="117">
        <v>3.48</v>
      </c>
    </row>
    <row r="5507" spans="1:7" x14ac:dyDescent="0.25">
      <c r="A5507" s="116" t="s">
        <v>8704</v>
      </c>
      <c r="B5507" s="117" t="s">
        <v>8705</v>
      </c>
      <c r="C5507" t="s">
        <v>67</v>
      </c>
      <c r="D5507" t="s">
        <v>67</v>
      </c>
      <c r="E5507" t="s">
        <v>67</v>
      </c>
      <c r="F5507" t="s">
        <v>27987</v>
      </c>
      <c r="G5507" s="117">
        <v>8.4499999999999993</v>
      </c>
    </row>
    <row r="5508" spans="1:7" x14ac:dyDescent="0.25">
      <c r="A5508" s="116" t="s">
        <v>8706</v>
      </c>
      <c r="B5508" s="117" t="s">
        <v>8707</v>
      </c>
      <c r="C5508" t="s">
        <v>67</v>
      </c>
      <c r="D5508" t="s">
        <v>67</v>
      </c>
      <c r="E5508" t="s">
        <v>67</v>
      </c>
      <c r="F5508" t="s">
        <v>27987</v>
      </c>
      <c r="G5508" s="117">
        <v>2.23</v>
      </c>
    </row>
    <row r="5509" spans="1:7" x14ac:dyDescent="0.25">
      <c r="A5509" s="116" t="s">
        <v>8708</v>
      </c>
      <c r="B5509" s="117" t="s">
        <v>8709</v>
      </c>
      <c r="C5509" t="s">
        <v>67</v>
      </c>
      <c r="D5509" t="s">
        <v>67</v>
      </c>
      <c r="E5509" t="s">
        <v>67</v>
      </c>
      <c r="F5509" t="s">
        <v>27990</v>
      </c>
      <c r="G5509" s="117">
        <v>6.69</v>
      </c>
    </row>
    <row r="5510" spans="1:7" x14ac:dyDescent="0.25">
      <c r="A5510" s="116" t="s">
        <v>8710</v>
      </c>
      <c r="B5510" s="117" t="s">
        <v>28774</v>
      </c>
      <c r="C5510" t="s">
        <v>67</v>
      </c>
      <c r="D5510" t="s">
        <v>67</v>
      </c>
      <c r="E5510" t="s">
        <v>67</v>
      </c>
      <c r="F5510" t="s">
        <v>27990</v>
      </c>
      <c r="G5510" s="117">
        <v>11.78</v>
      </c>
    </row>
    <row r="5511" spans="1:7" x14ac:dyDescent="0.25">
      <c r="A5511" s="116" t="s">
        <v>8711</v>
      </c>
      <c r="B5511" s="117" t="s">
        <v>8712</v>
      </c>
      <c r="C5511" t="s">
        <v>67</v>
      </c>
      <c r="D5511" t="s">
        <v>67</v>
      </c>
      <c r="E5511" t="s">
        <v>67</v>
      </c>
      <c r="F5511" t="s">
        <v>27987</v>
      </c>
      <c r="G5511" s="117">
        <v>5.51</v>
      </c>
    </row>
    <row r="5512" spans="1:7" x14ac:dyDescent="0.25">
      <c r="A5512" s="116" t="s">
        <v>8713</v>
      </c>
      <c r="B5512" s="117" t="s">
        <v>8714</v>
      </c>
      <c r="C5512" t="s">
        <v>67</v>
      </c>
      <c r="D5512" t="s">
        <v>67</v>
      </c>
      <c r="E5512" t="s">
        <v>67</v>
      </c>
      <c r="F5512" t="s">
        <v>49</v>
      </c>
      <c r="G5512" s="117">
        <v>6.14</v>
      </c>
    </row>
    <row r="5513" spans="1:7" x14ac:dyDescent="0.25">
      <c r="A5513" s="116" t="s">
        <v>8715</v>
      </c>
      <c r="B5513" s="117" t="s">
        <v>8716</v>
      </c>
      <c r="C5513" t="s">
        <v>67</v>
      </c>
      <c r="D5513" t="s">
        <v>67</v>
      </c>
      <c r="E5513" t="s">
        <v>67</v>
      </c>
      <c r="F5513" t="s">
        <v>27987</v>
      </c>
      <c r="G5513" s="117">
        <v>6.68</v>
      </c>
    </row>
    <row r="5514" spans="1:7" x14ac:dyDescent="0.25">
      <c r="A5514" s="116" t="s">
        <v>8717</v>
      </c>
      <c r="B5514" s="117" t="s">
        <v>8718</v>
      </c>
      <c r="C5514" t="s">
        <v>67</v>
      </c>
      <c r="D5514" t="s">
        <v>67</v>
      </c>
      <c r="E5514" t="s">
        <v>67</v>
      </c>
      <c r="F5514" t="s">
        <v>45</v>
      </c>
      <c r="G5514" s="117">
        <v>14.14</v>
      </c>
    </row>
    <row r="5515" spans="1:7" x14ac:dyDescent="0.25">
      <c r="A5515" s="116" t="s">
        <v>8719</v>
      </c>
      <c r="B5515" s="117" t="s">
        <v>8691</v>
      </c>
      <c r="C5515" t="s">
        <v>67</v>
      </c>
      <c r="D5515" t="s">
        <v>67</v>
      </c>
      <c r="E5515" t="s">
        <v>67</v>
      </c>
      <c r="F5515" t="s">
        <v>45</v>
      </c>
      <c r="G5515" s="117">
        <v>6.36</v>
      </c>
    </row>
    <row r="5516" spans="1:7" x14ac:dyDescent="0.25">
      <c r="A5516" s="116" t="s">
        <v>8720</v>
      </c>
      <c r="B5516" s="117" t="s">
        <v>8721</v>
      </c>
      <c r="C5516" t="s">
        <v>67</v>
      </c>
      <c r="D5516" t="s">
        <v>67</v>
      </c>
      <c r="E5516" t="s">
        <v>67</v>
      </c>
      <c r="F5516" t="s">
        <v>27987</v>
      </c>
      <c r="G5516" s="117">
        <v>76.08</v>
      </c>
    </row>
    <row r="5517" spans="1:7" x14ac:dyDescent="0.25">
      <c r="A5517" s="116" t="s">
        <v>8722</v>
      </c>
      <c r="B5517" s="117" t="s">
        <v>8723</v>
      </c>
      <c r="C5517" t="s">
        <v>67</v>
      </c>
      <c r="D5517" t="s">
        <v>67</v>
      </c>
      <c r="E5517" t="s">
        <v>67</v>
      </c>
      <c r="F5517" t="s">
        <v>27987</v>
      </c>
      <c r="G5517" s="117">
        <v>58.48</v>
      </c>
    </row>
    <row r="5518" spans="1:7" x14ac:dyDescent="0.25">
      <c r="A5518" s="116" t="s">
        <v>8724</v>
      </c>
      <c r="B5518" s="117" t="s">
        <v>8725</v>
      </c>
      <c r="C5518" t="s">
        <v>67</v>
      </c>
      <c r="D5518" t="s">
        <v>67</v>
      </c>
      <c r="E5518" t="s">
        <v>67</v>
      </c>
      <c r="F5518" t="s">
        <v>45</v>
      </c>
      <c r="G5518" s="117">
        <v>4.8899999999999997</v>
      </c>
    </row>
    <row r="5519" spans="1:7" x14ac:dyDescent="0.25">
      <c r="A5519" s="116" t="s">
        <v>8726</v>
      </c>
      <c r="B5519" s="117" t="s">
        <v>8727</v>
      </c>
      <c r="C5519" t="s">
        <v>67</v>
      </c>
      <c r="D5519" t="s">
        <v>67</v>
      </c>
      <c r="E5519" t="s">
        <v>67</v>
      </c>
      <c r="F5519" t="s">
        <v>27987</v>
      </c>
      <c r="G5519" s="117">
        <v>9.6999999999999993</v>
      </c>
    </row>
    <row r="5520" spans="1:7" x14ac:dyDescent="0.25">
      <c r="A5520" s="116" t="s">
        <v>8728</v>
      </c>
      <c r="B5520" s="117" t="s">
        <v>8729</v>
      </c>
      <c r="C5520" t="s">
        <v>67</v>
      </c>
      <c r="D5520" t="s">
        <v>67</v>
      </c>
      <c r="E5520" t="s">
        <v>67</v>
      </c>
      <c r="F5520" t="s">
        <v>27987</v>
      </c>
      <c r="G5520" s="117">
        <v>3.12</v>
      </c>
    </row>
    <row r="5521" spans="1:7" x14ac:dyDescent="0.25">
      <c r="A5521" s="116" t="s">
        <v>8730</v>
      </c>
      <c r="B5521" s="117" t="s">
        <v>6008</v>
      </c>
      <c r="C5521" t="s">
        <v>67</v>
      </c>
      <c r="D5521" t="s">
        <v>67</v>
      </c>
      <c r="E5521" t="s">
        <v>67</v>
      </c>
      <c r="F5521" t="s">
        <v>27987</v>
      </c>
      <c r="G5521" s="117">
        <v>3.15</v>
      </c>
    </row>
    <row r="5522" spans="1:7" x14ac:dyDescent="0.25">
      <c r="A5522" s="116" t="s">
        <v>8731</v>
      </c>
      <c r="B5522" s="117" t="s">
        <v>8732</v>
      </c>
      <c r="C5522" t="s">
        <v>67</v>
      </c>
      <c r="D5522" t="s">
        <v>67</v>
      </c>
      <c r="E5522" t="s">
        <v>67</v>
      </c>
      <c r="F5522" t="s">
        <v>49</v>
      </c>
      <c r="G5522" s="117">
        <v>2.58</v>
      </c>
    </row>
    <row r="5523" spans="1:7" x14ac:dyDescent="0.25">
      <c r="A5523" s="116" t="s">
        <v>8733</v>
      </c>
      <c r="B5523" s="117" t="s">
        <v>8734</v>
      </c>
      <c r="C5523" t="s">
        <v>67</v>
      </c>
      <c r="D5523" t="s">
        <v>67</v>
      </c>
      <c r="E5523" t="s">
        <v>67</v>
      </c>
      <c r="F5523" t="s">
        <v>27987</v>
      </c>
      <c r="G5523" s="117">
        <v>3.56</v>
      </c>
    </row>
    <row r="5524" spans="1:7" x14ac:dyDescent="0.25">
      <c r="A5524" s="116" t="s">
        <v>8735</v>
      </c>
      <c r="B5524" s="117" t="s">
        <v>8736</v>
      </c>
      <c r="C5524" t="s">
        <v>67</v>
      </c>
      <c r="D5524" t="s">
        <v>67</v>
      </c>
      <c r="E5524" t="s">
        <v>67</v>
      </c>
      <c r="F5524" t="s">
        <v>27990</v>
      </c>
      <c r="G5524" s="117">
        <v>3.12</v>
      </c>
    </row>
    <row r="5525" spans="1:7" x14ac:dyDescent="0.25">
      <c r="A5525" s="116" t="s">
        <v>8737</v>
      </c>
      <c r="B5525" s="117" t="s">
        <v>8738</v>
      </c>
      <c r="C5525" t="s">
        <v>67</v>
      </c>
      <c r="D5525" t="s">
        <v>67</v>
      </c>
      <c r="E5525" t="s">
        <v>67</v>
      </c>
      <c r="F5525" t="s">
        <v>45</v>
      </c>
      <c r="G5525" s="117">
        <v>5.25</v>
      </c>
    </row>
    <row r="5526" spans="1:7" x14ac:dyDescent="0.25">
      <c r="A5526" s="116" t="s">
        <v>8739</v>
      </c>
      <c r="B5526" s="117" t="s">
        <v>8740</v>
      </c>
      <c r="C5526" t="s">
        <v>67</v>
      </c>
      <c r="D5526" t="s">
        <v>67</v>
      </c>
      <c r="E5526" t="s">
        <v>67</v>
      </c>
      <c r="F5526" t="s">
        <v>27987</v>
      </c>
      <c r="G5526" s="117">
        <v>5.25</v>
      </c>
    </row>
    <row r="5527" spans="1:7" x14ac:dyDescent="0.25">
      <c r="A5527" s="116" t="s">
        <v>8741</v>
      </c>
      <c r="B5527" s="117" t="s">
        <v>8742</v>
      </c>
      <c r="C5527" t="s">
        <v>67</v>
      </c>
      <c r="D5527" t="s">
        <v>67</v>
      </c>
      <c r="E5527" t="s">
        <v>67</v>
      </c>
      <c r="F5527" t="s">
        <v>27987</v>
      </c>
      <c r="G5527" s="117">
        <v>3.56</v>
      </c>
    </row>
    <row r="5528" spans="1:7" x14ac:dyDescent="0.25">
      <c r="A5528" s="116" t="s">
        <v>8743</v>
      </c>
      <c r="B5528" s="117" t="s">
        <v>8744</v>
      </c>
      <c r="C5528" t="s">
        <v>67</v>
      </c>
      <c r="D5528" t="s">
        <v>67</v>
      </c>
      <c r="E5528" t="s">
        <v>67</v>
      </c>
      <c r="F5528" t="s">
        <v>45</v>
      </c>
      <c r="G5528" s="117">
        <v>4.3600000000000003</v>
      </c>
    </row>
    <row r="5529" spans="1:7" x14ac:dyDescent="0.25">
      <c r="A5529" s="116" t="s">
        <v>8745</v>
      </c>
      <c r="B5529" s="117" t="s">
        <v>8746</v>
      </c>
      <c r="C5529" t="s">
        <v>67</v>
      </c>
      <c r="D5529" t="s">
        <v>67</v>
      </c>
      <c r="E5529" t="s">
        <v>67</v>
      </c>
      <c r="F5529" t="s">
        <v>45</v>
      </c>
      <c r="G5529" s="117">
        <v>3.48</v>
      </c>
    </row>
    <row r="5530" spans="1:7" x14ac:dyDescent="0.25">
      <c r="A5530" s="116" t="s">
        <v>8747</v>
      </c>
      <c r="B5530" s="117" t="s">
        <v>8748</v>
      </c>
      <c r="C5530" t="s">
        <v>67</v>
      </c>
      <c r="D5530" t="s">
        <v>67</v>
      </c>
      <c r="E5530" t="s">
        <v>67</v>
      </c>
      <c r="F5530" t="s">
        <v>49</v>
      </c>
      <c r="G5530" s="117">
        <v>3.56</v>
      </c>
    </row>
    <row r="5531" spans="1:7" x14ac:dyDescent="0.25">
      <c r="A5531" s="116" t="s">
        <v>8749</v>
      </c>
      <c r="B5531" s="117" t="s">
        <v>28775</v>
      </c>
      <c r="C5531" t="s">
        <v>67</v>
      </c>
      <c r="D5531" t="s">
        <v>67</v>
      </c>
      <c r="E5531" t="s">
        <v>67</v>
      </c>
      <c r="F5531" t="s">
        <v>27987</v>
      </c>
      <c r="G5531" s="117">
        <v>1.33</v>
      </c>
    </row>
    <row r="5532" spans="1:7" x14ac:dyDescent="0.25">
      <c r="A5532" s="116" t="s">
        <v>8750</v>
      </c>
      <c r="B5532" s="117" t="s">
        <v>8751</v>
      </c>
      <c r="C5532" t="s">
        <v>67</v>
      </c>
      <c r="D5532" t="s">
        <v>67</v>
      </c>
      <c r="E5532" t="s">
        <v>67</v>
      </c>
      <c r="F5532" t="s">
        <v>51</v>
      </c>
      <c r="G5532" s="117">
        <v>0.8</v>
      </c>
    </row>
    <row r="5533" spans="1:7" x14ac:dyDescent="0.25">
      <c r="A5533" s="116" t="s">
        <v>28776</v>
      </c>
      <c r="B5533" s="117" t="s">
        <v>28777</v>
      </c>
      <c r="C5533" t="s">
        <v>67</v>
      </c>
      <c r="D5533" t="s">
        <v>67</v>
      </c>
      <c r="E5533" t="s">
        <v>67</v>
      </c>
      <c r="F5533" t="s">
        <v>45</v>
      </c>
      <c r="G5533" s="117">
        <v>7.5</v>
      </c>
    </row>
    <row r="5534" spans="1:7" x14ac:dyDescent="0.25">
      <c r="A5534" s="116" t="s">
        <v>30431</v>
      </c>
      <c r="B5534" s="117" t="s">
        <v>30432</v>
      </c>
      <c r="C5534" t="s">
        <v>67</v>
      </c>
      <c r="D5534" t="s">
        <v>67</v>
      </c>
      <c r="E5534" t="s">
        <v>67</v>
      </c>
      <c r="F5534" t="s">
        <v>27987</v>
      </c>
      <c r="G5534" s="117">
        <v>15</v>
      </c>
    </row>
    <row r="5535" spans="1:7" x14ac:dyDescent="0.25">
      <c r="A5535" s="116" t="s">
        <v>8752</v>
      </c>
      <c r="B5535" s="117" t="s">
        <v>8753</v>
      </c>
      <c r="C5535" t="s">
        <v>67</v>
      </c>
      <c r="D5535" t="s">
        <v>67</v>
      </c>
      <c r="E5535" t="s">
        <v>67</v>
      </c>
      <c r="F5535" t="s">
        <v>45</v>
      </c>
      <c r="G5535" s="117">
        <v>7.12</v>
      </c>
    </row>
    <row r="5536" spans="1:7" x14ac:dyDescent="0.25">
      <c r="A5536" s="116" t="s">
        <v>8754</v>
      </c>
      <c r="B5536" s="117" t="s">
        <v>8755</v>
      </c>
      <c r="C5536" t="s">
        <v>67</v>
      </c>
      <c r="D5536" t="s">
        <v>67</v>
      </c>
      <c r="E5536" t="s">
        <v>67</v>
      </c>
      <c r="F5536" t="s">
        <v>27987</v>
      </c>
      <c r="G5536" s="117">
        <v>2.58</v>
      </c>
    </row>
    <row r="5537" spans="1:7" x14ac:dyDescent="0.25">
      <c r="A5537" s="116" t="s">
        <v>8756</v>
      </c>
      <c r="B5537" s="117" t="s">
        <v>8757</v>
      </c>
      <c r="C5537" t="s">
        <v>67</v>
      </c>
      <c r="D5537" t="s">
        <v>67</v>
      </c>
      <c r="E5537" t="s">
        <v>67</v>
      </c>
      <c r="F5537" t="s">
        <v>27987</v>
      </c>
      <c r="G5537" s="117">
        <v>2.67</v>
      </c>
    </row>
    <row r="5538" spans="1:7" x14ac:dyDescent="0.25">
      <c r="A5538" s="116" t="s">
        <v>8758</v>
      </c>
      <c r="B5538" s="117" t="s">
        <v>8759</v>
      </c>
      <c r="C5538" t="s">
        <v>67</v>
      </c>
      <c r="D5538" t="s">
        <v>67</v>
      </c>
      <c r="E5538" t="s">
        <v>67</v>
      </c>
      <c r="F5538" t="s">
        <v>27987</v>
      </c>
      <c r="G5538" s="117">
        <v>5.33</v>
      </c>
    </row>
    <row r="5539" spans="1:7" x14ac:dyDescent="0.25">
      <c r="A5539" s="116" t="s">
        <v>8760</v>
      </c>
      <c r="B5539" s="117" t="s">
        <v>8761</v>
      </c>
      <c r="C5539" t="s">
        <v>67</v>
      </c>
      <c r="D5539" t="s">
        <v>67</v>
      </c>
      <c r="E5539" t="s">
        <v>67</v>
      </c>
      <c r="F5539" t="s">
        <v>45</v>
      </c>
      <c r="G5539" s="117">
        <v>3.56</v>
      </c>
    </row>
    <row r="5540" spans="1:7" x14ac:dyDescent="0.25">
      <c r="A5540" s="116" t="s">
        <v>8762</v>
      </c>
      <c r="B5540" s="117" t="s">
        <v>8763</v>
      </c>
      <c r="C5540" t="s">
        <v>67</v>
      </c>
      <c r="D5540" t="s">
        <v>67</v>
      </c>
      <c r="E5540" t="s">
        <v>67</v>
      </c>
      <c r="F5540" t="s">
        <v>27987</v>
      </c>
      <c r="G5540" s="117">
        <v>20.92</v>
      </c>
    </row>
    <row r="5541" spans="1:7" x14ac:dyDescent="0.25">
      <c r="A5541" s="116" t="s">
        <v>8764</v>
      </c>
      <c r="B5541" s="117" t="s">
        <v>8765</v>
      </c>
      <c r="C5541" t="s">
        <v>67</v>
      </c>
      <c r="D5541" t="s">
        <v>67</v>
      </c>
      <c r="E5541" t="s">
        <v>67</v>
      </c>
      <c r="F5541" t="s">
        <v>49</v>
      </c>
      <c r="G5541" s="117">
        <v>3.48</v>
      </c>
    </row>
    <row r="5542" spans="1:7" x14ac:dyDescent="0.25">
      <c r="A5542" s="116" t="s">
        <v>8766</v>
      </c>
      <c r="B5542" s="117" t="s">
        <v>8767</v>
      </c>
      <c r="C5542" t="s">
        <v>67</v>
      </c>
      <c r="D5542" t="s">
        <v>67</v>
      </c>
      <c r="E5542" t="s">
        <v>67</v>
      </c>
      <c r="F5542" t="s">
        <v>27987</v>
      </c>
      <c r="G5542" s="117">
        <v>2.23</v>
      </c>
    </row>
    <row r="5543" spans="1:7" x14ac:dyDescent="0.25">
      <c r="A5543" s="116" t="s">
        <v>8768</v>
      </c>
      <c r="B5543" s="117" t="s">
        <v>8753</v>
      </c>
      <c r="C5543" t="s">
        <v>67</v>
      </c>
      <c r="D5543" t="s">
        <v>67</v>
      </c>
      <c r="E5543" t="s">
        <v>67</v>
      </c>
      <c r="F5543" t="s">
        <v>27987</v>
      </c>
      <c r="G5543" s="117">
        <v>5.79</v>
      </c>
    </row>
    <row r="5544" spans="1:7" x14ac:dyDescent="0.25">
      <c r="A5544" s="116" t="s">
        <v>8769</v>
      </c>
      <c r="B5544" s="117" t="s">
        <v>8770</v>
      </c>
      <c r="C5544" t="s">
        <v>67</v>
      </c>
      <c r="D5544" t="s">
        <v>67</v>
      </c>
      <c r="E5544" t="s">
        <v>67</v>
      </c>
      <c r="F5544" t="s">
        <v>49</v>
      </c>
      <c r="G5544" s="117">
        <v>0.8</v>
      </c>
    </row>
    <row r="5545" spans="1:7" x14ac:dyDescent="0.25">
      <c r="A5545" s="116" t="s">
        <v>8771</v>
      </c>
      <c r="B5545" s="117" t="s">
        <v>8772</v>
      </c>
      <c r="C5545" t="s">
        <v>67</v>
      </c>
      <c r="D5545" t="s">
        <v>67</v>
      </c>
      <c r="E5545" t="s">
        <v>67</v>
      </c>
      <c r="F5545" t="s">
        <v>27987</v>
      </c>
      <c r="G5545" s="117">
        <v>8.4499999999999993</v>
      </c>
    </row>
    <row r="5546" spans="1:7" x14ac:dyDescent="0.25">
      <c r="A5546" s="116" t="s">
        <v>8773</v>
      </c>
      <c r="B5546" s="117" t="s">
        <v>8774</v>
      </c>
      <c r="C5546" t="s">
        <v>67</v>
      </c>
      <c r="D5546" t="s">
        <v>67</v>
      </c>
      <c r="E5546" t="s">
        <v>67</v>
      </c>
      <c r="F5546" t="s">
        <v>49</v>
      </c>
      <c r="G5546" s="117">
        <v>1.33</v>
      </c>
    </row>
    <row r="5547" spans="1:7" x14ac:dyDescent="0.25">
      <c r="A5547" s="116" t="s">
        <v>8775</v>
      </c>
      <c r="B5547" s="117" t="s">
        <v>8776</v>
      </c>
      <c r="C5547" t="s">
        <v>67</v>
      </c>
      <c r="D5547" t="s">
        <v>67</v>
      </c>
      <c r="E5547" t="s">
        <v>67</v>
      </c>
      <c r="F5547" t="s">
        <v>27987</v>
      </c>
      <c r="G5547" s="117">
        <v>5.79</v>
      </c>
    </row>
    <row r="5548" spans="1:7" x14ac:dyDescent="0.25">
      <c r="A5548" s="116" t="s">
        <v>8777</v>
      </c>
      <c r="B5548" s="117" t="s">
        <v>8778</v>
      </c>
      <c r="C5548" t="s">
        <v>67</v>
      </c>
      <c r="D5548" t="s">
        <v>67</v>
      </c>
      <c r="E5548" t="s">
        <v>67</v>
      </c>
      <c r="F5548" t="s">
        <v>45</v>
      </c>
      <c r="G5548" s="117">
        <v>2.58</v>
      </c>
    </row>
    <row r="5549" spans="1:7" x14ac:dyDescent="0.25">
      <c r="A5549" s="116" t="s">
        <v>8779</v>
      </c>
      <c r="B5549" s="117" t="s">
        <v>8780</v>
      </c>
      <c r="C5549" t="s">
        <v>67</v>
      </c>
      <c r="D5549" t="s">
        <v>67</v>
      </c>
      <c r="E5549" t="s">
        <v>67</v>
      </c>
      <c r="F5549" t="s">
        <v>45</v>
      </c>
      <c r="G5549" s="117">
        <v>1.69</v>
      </c>
    </row>
    <row r="5550" spans="1:7" x14ac:dyDescent="0.25">
      <c r="A5550" s="116" t="s">
        <v>8781</v>
      </c>
      <c r="B5550" s="117" t="s">
        <v>8561</v>
      </c>
      <c r="C5550" t="s">
        <v>67</v>
      </c>
      <c r="D5550" t="s">
        <v>67</v>
      </c>
      <c r="E5550" t="s">
        <v>67</v>
      </c>
      <c r="F5550" t="s">
        <v>27987</v>
      </c>
      <c r="G5550" s="117">
        <v>4.3600000000000003</v>
      </c>
    </row>
    <row r="5551" spans="1:7" x14ac:dyDescent="0.25">
      <c r="A5551" s="116" t="s">
        <v>8782</v>
      </c>
      <c r="B5551" s="117" t="s">
        <v>8783</v>
      </c>
      <c r="C5551" t="s">
        <v>67</v>
      </c>
      <c r="D5551" t="s">
        <v>67</v>
      </c>
      <c r="E5551" t="s">
        <v>67</v>
      </c>
      <c r="F5551" t="s">
        <v>45</v>
      </c>
      <c r="G5551" s="117">
        <v>68.430000000000007</v>
      </c>
    </row>
    <row r="5552" spans="1:7" x14ac:dyDescent="0.25">
      <c r="A5552" s="116" t="s">
        <v>8784</v>
      </c>
      <c r="B5552" s="117" t="s">
        <v>8785</v>
      </c>
      <c r="C5552" t="s">
        <v>67</v>
      </c>
      <c r="D5552" t="s">
        <v>67</v>
      </c>
      <c r="E5552" t="s">
        <v>67</v>
      </c>
      <c r="F5552" t="s">
        <v>27987</v>
      </c>
      <c r="G5552" s="117">
        <v>113.45</v>
      </c>
    </row>
    <row r="5553" spans="1:7" x14ac:dyDescent="0.25">
      <c r="A5553" s="116" t="s">
        <v>8786</v>
      </c>
      <c r="B5553" s="117" t="s">
        <v>8561</v>
      </c>
      <c r="C5553" t="s">
        <v>67</v>
      </c>
      <c r="D5553" t="s">
        <v>67</v>
      </c>
      <c r="E5553" t="s">
        <v>67</v>
      </c>
      <c r="F5553" t="s">
        <v>49</v>
      </c>
      <c r="G5553" s="117">
        <v>2.58</v>
      </c>
    </row>
    <row r="5554" spans="1:7" x14ac:dyDescent="0.25">
      <c r="A5554" s="116" t="s">
        <v>8787</v>
      </c>
      <c r="B5554" s="117" t="s">
        <v>8561</v>
      </c>
      <c r="C5554" t="s">
        <v>67</v>
      </c>
      <c r="D5554" t="s">
        <v>67</v>
      </c>
      <c r="E5554" t="s">
        <v>67</v>
      </c>
      <c r="F5554" t="s">
        <v>27987</v>
      </c>
      <c r="G5554" s="117">
        <v>4.3600000000000003</v>
      </c>
    </row>
    <row r="5555" spans="1:7" x14ac:dyDescent="0.25">
      <c r="A5555" s="116" t="s">
        <v>8788</v>
      </c>
      <c r="B5555" s="117" t="s">
        <v>8789</v>
      </c>
      <c r="C5555" t="s">
        <v>67</v>
      </c>
      <c r="D5555" t="s">
        <v>67</v>
      </c>
      <c r="E5555" t="s">
        <v>67</v>
      </c>
      <c r="F5555" t="s">
        <v>27987</v>
      </c>
      <c r="G5555" s="117">
        <v>6.14</v>
      </c>
    </row>
    <row r="5556" spans="1:7" x14ac:dyDescent="0.25">
      <c r="A5556" s="116" t="s">
        <v>8790</v>
      </c>
      <c r="B5556" s="117" t="s">
        <v>8791</v>
      </c>
      <c r="C5556" t="s">
        <v>67</v>
      </c>
      <c r="D5556" t="s">
        <v>67</v>
      </c>
      <c r="E5556" t="s">
        <v>67</v>
      </c>
      <c r="F5556" t="s">
        <v>27987</v>
      </c>
      <c r="G5556" s="117">
        <v>2.46</v>
      </c>
    </row>
    <row r="5557" spans="1:7" x14ac:dyDescent="0.25">
      <c r="A5557" s="116" t="s">
        <v>8792</v>
      </c>
      <c r="B5557" s="117" t="s">
        <v>8793</v>
      </c>
      <c r="C5557" t="s">
        <v>67</v>
      </c>
      <c r="D5557" t="s">
        <v>67</v>
      </c>
      <c r="E5557" t="s">
        <v>67</v>
      </c>
      <c r="F5557" t="s">
        <v>51</v>
      </c>
      <c r="G5557" s="117">
        <v>13.14</v>
      </c>
    </row>
    <row r="5558" spans="1:7" x14ac:dyDescent="0.25">
      <c r="A5558" s="116" t="s">
        <v>8794</v>
      </c>
      <c r="B5558" s="117" t="s">
        <v>8795</v>
      </c>
      <c r="C5558" t="s">
        <v>67</v>
      </c>
      <c r="D5558" t="s">
        <v>67</v>
      </c>
      <c r="E5558" t="s">
        <v>67</v>
      </c>
      <c r="F5558" t="s">
        <v>45</v>
      </c>
      <c r="G5558" s="117">
        <v>7.12</v>
      </c>
    </row>
    <row r="5559" spans="1:7" x14ac:dyDescent="0.25">
      <c r="A5559" s="116" t="s">
        <v>8796</v>
      </c>
      <c r="B5559" s="117" t="s">
        <v>8797</v>
      </c>
      <c r="C5559" t="s">
        <v>67</v>
      </c>
      <c r="D5559" t="s">
        <v>67</v>
      </c>
      <c r="E5559" t="s">
        <v>67</v>
      </c>
      <c r="F5559" t="s">
        <v>27987</v>
      </c>
      <c r="G5559" s="117">
        <v>1.33</v>
      </c>
    </row>
    <row r="5560" spans="1:7" x14ac:dyDescent="0.25">
      <c r="A5560" s="116" t="s">
        <v>8798</v>
      </c>
      <c r="B5560" s="117" t="s">
        <v>8799</v>
      </c>
      <c r="C5560" t="s">
        <v>67</v>
      </c>
      <c r="D5560" t="s">
        <v>67</v>
      </c>
      <c r="E5560" t="s">
        <v>67</v>
      </c>
      <c r="F5560" t="s">
        <v>27987</v>
      </c>
      <c r="G5560" s="117">
        <v>4</v>
      </c>
    </row>
    <row r="5561" spans="1:7" x14ac:dyDescent="0.25">
      <c r="A5561" s="116" t="s">
        <v>8800</v>
      </c>
      <c r="B5561" s="117" t="s">
        <v>8801</v>
      </c>
      <c r="C5561" t="s">
        <v>67</v>
      </c>
      <c r="D5561" t="s">
        <v>67</v>
      </c>
      <c r="E5561" t="s">
        <v>67</v>
      </c>
      <c r="F5561" t="s">
        <v>27987</v>
      </c>
      <c r="G5561" s="117">
        <v>1.33</v>
      </c>
    </row>
    <row r="5562" spans="1:7" x14ac:dyDescent="0.25">
      <c r="A5562" s="116" t="s">
        <v>8802</v>
      </c>
      <c r="B5562" s="117" t="s">
        <v>28778</v>
      </c>
      <c r="C5562" t="s">
        <v>67</v>
      </c>
      <c r="D5562" t="s">
        <v>67</v>
      </c>
      <c r="E5562" t="s">
        <v>67</v>
      </c>
      <c r="F5562" t="s">
        <v>27987</v>
      </c>
      <c r="G5562" s="117">
        <v>6.58</v>
      </c>
    </row>
    <row r="5563" spans="1:7" x14ac:dyDescent="0.25">
      <c r="A5563" s="116" t="s">
        <v>8803</v>
      </c>
      <c r="B5563" s="117" t="s">
        <v>8804</v>
      </c>
      <c r="C5563" t="s">
        <v>67</v>
      </c>
      <c r="D5563" t="s">
        <v>67</v>
      </c>
      <c r="E5563" t="s">
        <v>67</v>
      </c>
      <c r="F5563" t="s">
        <v>49</v>
      </c>
      <c r="G5563" s="117">
        <v>1.69</v>
      </c>
    </row>
    <row r="5564" spans="1:7" x14ac:dyDescent="0.25">
      <c r="A5564" s="116" t="s">
        <v>8805</v>
      </c>
      <c r="B5564" s="117" t="s">
        <v>7437</v>
      </c>
      <c r="C5564" t="s">
        <v>67</v>
      </c>
      <c r="D5564" t="s">
        <v>67</v>
      </c>
      <c r="E5564" t="s">
        <v>67</v>
      </c>
      <c r="F5564" t="s">
        <v>49</v>
      </c>
      <c r="G5564" s="117">
        <v>1.33</v>
      </c>
    </row>
    <row r="5565" spans="1:7" x14ac:dyDescent="0.25">
      <c r="A5565" s="116" t="s">
        <v>8806</v>
      </c>
      <c r="B5565" s="117" t="s">
        <v>8807</v>
      </c>
      <c r="C5565" t="s">
        <v>67</v>
      </c>
      <c r="D5565" t="s">
        <v>67</v>
      </c>
      <c r="E5565" t="s">
        <v>67</v>
      </c>
      <c r="F5565" t="s">
        <v>27987</v>
      </c>
      <c r="G5565" s="117">
        <v>15.93</v>
      </c>
    </row>
    <row r="5566" spans="1:7" x14ac:dyDescent="0.25">
      <c r="A5566" s="116" t="s">
        <v>8808</v>
      </c>
      <c r="B5566" s="117" t="s">
        <v>8809</v>
      </c>
      <c r="C5566" t="s">
        <v>67</v>
      </c>
      <c r="D5566" t="s">
        <v>67</v>
      </c>
      <c r="E5566" t="s">
        <v>67</v>
      </c>
      <c r="F5566" t="s">
        <v>27987</v>
      </c>
      <c r="G5566" s="117">
        <v>14.68</v>
      </c>
    </row>
    <row r="5567" spans="1:7" x14ac:dyDescent="0.25">
      <c r="A5567" s="116" t="s">
        <v>8810</v>
      </c>
      <c r="B5567" s="117" t="s">
        <v>8811</v>
      </c>
      <c r="C5567" t="s">
        <v>67</v>
      </c>
      <c r="D5567" t="s">
        <v>67</v>
      </c>
      <c r="E5567" t="s">
        <v>67</v>
      </c>
      <c r="F5567" t="s">
        <v>45</v>
      </c>
      <c r="G5567" s="117">
        <v>4.8899999999999997</v>
      </c>
    </row>
    <row r="5568" spans="1:7" x14ac:dyDescent="0.25">
      <c r="A5568" s="116" t="s">
        <v>8812</v>
      </c>
      <c r="B5568" s="117" t="s">
        <v>8813</v>
      </c>
      <c r="C5568" t="s">
        <v>67</v>
      </c>
      <c r="D5568" t="s">
        <v>67</v>
      </c>
      <c r="E5568" t="s">
        <v>67</v>
      </c>
      <c r="F5568" t="s">
        <v>45</v>
      </c>
      <c r="G5568" s="117">
        <v>1.33</v>
      </c>
    </row>
    <row r="5569" spans="1:7" x14ac:dyDescent="0.25">
      <c r="A5569" s="116" t="s">
        <v>8814</v>
      </c>
      <c r="B5569" s="117" t="s">
        <v>8815</v>
      </c>
      <c r="C5569" t="s">
        <v>67</v>
      </c>
      <c r="D5569" t="s">
        <v>67</v>
      </c>
      <c r="E5569" t="s">
        <v>67</v>
      </c>
      <c r="F5569" t="s">
        <v>45</v>
      </c>
      <c r="G5569" s="117">
        <v>3.12</v>
      </c>
    </row>
    <row r="5570" spans="1:7" x14ac:dyDescent="0.25">
      <c r="A5570" s="116" t="s">
        <v>8816</v>
      </c>
      <c r="B5570" s="117" t="s">
        <v>8817</v>
      </c>
      <c r="C5570" t="s">
        <v>67</v>
      </c>
      <c r="D5570" t="s">
        <v>67</v>
      </c>
      <c r="E5570" t="s">
        <v>67</v>
      </c>
      <c r="F5570" t="s">
        <v>51</v>
      </c>
      <c r="G5570" s="117">
        <v>4.8899999999999997</v>
      </c>
    </row>
    <row r="5571" spans="1:7" x14ac:dyDescent="0.25">
      <c r="A5571" s="116" t="s">
        <v>8818</v>
      </c>
      <c r="B5571" s="117" t="s">
        <v>8809</v>
      </c>
      <c r="C5571" t="s">
        <v>67</v>
      </c>
      <c r="D5571" t="s">
        <v>67</v>
      </c>
      <c r="E5571" t="s">
        <v>67</v>
      </c>
      <c r="F5571" t="s">
        <v>27987</v>
      </c>
      <c r="G5571" s="117">
        <v>0.8</v>
      </c>
    </row>
    <row r="5572" spans="1:7" x14ac:dyDescent="0.25">
      <c r="A5572" s="116" t="s">
        <v>8819</v>
      </c>
      <c r="B5572" s="117" t="s">
        <v>7111</v>
      </c>
      <c r="C5572" t="s">
        <v>67</v>
      </c>
      <c r="D5572" t="s">
        <v>67</v>
      </c>
      <c r="E5572" t="s">
        <v>67</v>
      </c>
      <c r="F5572" t="s">
        <v>49</v>
      </c>
      <c r="G5572" s="117">
        <v>4</v>
      </c>
    </row>
    <row r="5573" spans="1:7" x14ac:dyDescent="0.25">
      <c r="A5573" s="116" t="s">
        <v>8820</v>
      </c>
      <c r="B5573" s="117" t="s">
        <v>8821</v>
      </c>
      <c r="C5573" t="s">
        <v>67</v>
      </c>
      <c r="D5573" t="s">
        <v>67</v>
      </c>
      <c r="E5573" t="s">
        <v>67</v>
      </c>
      <c r="F5573" t="s">
        <v>27987</v>
      </c>
      <c r="G5573" s="117">
        <v>5.25</v>
      </c>
    </row>
    <row r="5574" spans="1:7" x14ac:dyDescent="0.25">
      <c r="A5574" s="116" t="s">
        <v>8822</v>
      </c>
      <c r="B5574" s="117" t="s">
        <v>8823</v>
      </c>
      <c r="C5574" t="s">
        <v>67</v>
      </c>
      <c r="D5574" t="s">
        <v>67</v>
      </c>
      <c r="E5574" t="s">
        <v>67</v>
      </c>
      <c r="F5574" t="s">
        <v>27987</v>
      </c>
      <c r="G5574" s="117">
        <v>1.33</v>
      </c>
    </row>
    <row r="5575" spans="1:7" x14ac:dyDescent="0.25">
      <c r="A5575" s="116" t="s">
        <v>8824</v>
      </c>
      <c r="B5575" s="117" t="s">
        <v>8825</v>
      </c>
      <c r="C5575" t="s">
        <v>67</v>
      </c>
      <c r="D5575" t="s">
        <v>67</v>
      </c>
      <c r="E5575" t="s">
        <v>67</v>
      </c>
      <c r="F5575" t="s">
        <v>49</v>
      </c>
      <c r="G5575" s="117">
        <v>2.58</v>
      </c>
    </row>
    <row r="5576" spans="1:7" x14ac:dyDescent="0.25">
      <c r="A5576" s="116" t="s">
        <v>8826</v>
      </c>
      <c r="B5576" s="117" t="s">
        <v>8827</v>
      </c>
      <c r="C5576" t="s">
        <v>67</v>
      </c>
      <c r="D5576" t="s">
        <v>67</v>
      </c>
      <c r="E5576" t="s">
        <v>67</v>
      </c>
      <c r="F5576" t="s">
        <v>27987</v>
      </c>
      <c r="G5576" s="117">
        <v>0.44</v>
      </c>
    </row>
    <row r="5577" spans="1:7" x14ac:dyDescent="0.25">
      <c r="A5577" s="116" t="s">
        <v>8828</v>
      </c>
      <c r="B5577" s="117" t="s">
        <v>8829</v>
      </c>
      <c r="C5577" t="s">
        <v>67</v>
      </c>
      <c r="D5577" t="s">
        <v>67</v>
      </c>
      <c r="E5577" t="s">
        <v>67</v>
      </c>
      <c r="F5577" t="s">
        <v>27990</v>
      </c>
      <c r="G5577" s="117">
        <v>6.36</v>
      </c>
    </row>
    <row r="5578" spans="1:7" x14ac:dyDescent="0.25">
      <c r="A5578" s="116" t="s">
        <v>27029</v>
      </c>
      <c r="B5578" s="117" t="s">
        <v>28779</v>
      </c>
      <c r="C5578" t="s">
        <v>67</v>
      </c>
      <c r="D5578" t="s">
        <v>67</v>
      </c>
      <c r="E5578" t="s">
        <v>67</v>
      </c>
      <c r="F5578" t="s">
        <v>27987</v>
      </c>
      <c r="G5578" s="117">
        <v>6.5</v>
      </c>
    </row>
    <row r="5579" spans="1:7" x14ac:dyDescent="0.25">
      <c r="A5579" s="116" t="s">
        <v>27030</v>
      </c>
      <c r="B5579" s="117" t="s">
        <v>28779</v>
      </c>
      <c r="C5579" t="s">
        <v>67</v>
      </c>
      <c r="D5579" t="s">
        <v>67</v>
      </c>
      <c r="E5579" t="s">
        <v>67</v>
      </c>
      <c r="F5579" t="s">
        <v>27987</v>
      </c>
      <c r="G5579" s="117">
        <v>4</v>
      </c>
    </row>
    <row r="5580" spans="1:7" x14ac:dyDescent="0.25">
      <c r="A5580" s="116" t="s">
        <v>8830</v>
      </c>
      <c r="B5580" s="117" t="s">
        <v>8831</v>
      </c>
      <c r="C5580" t="s">
        <v>67</v>
      </c>
      <c r="D5580" t="s">
        <v>67</v>
      </c>
      <c r="E5580" t="s">
        <v>67</v>
      </c>
      <c r="F5580" t="s">
        <v>27987</v>
      </c>
      <c r="G5580" s="117">
        <v>0.44</v>
      </c>
    </row>
    <row r="5581" spans="1:7" x14ac:dyDescent="0.25">
      <c r="A5581" s="116" t="s">
        <v>8832</v>
      </c>
      <c r="B5581" s="117" t="s">
        <v>8833</v>
      </c>
      <c r="C5581" t="s">
        <v>67</v>
      </c>
      <c r="D5581" t="s">
        <v>67</v>
      </c>
      <c r="E5581" t="s">
        <v>67</v>
      </c>
      <c r="F5581" t="s">
        <v>27987</v>
      </c>
      <c r="G5581" s="117">
        <v>2.58</v>
      </c>
    </row>
    <row r="5582" spans="1:7" x14ac:dyDescent="0.25">
      <c r="A5582" s="116" t="s">
        <v>8834</v>
      </c>
      <c r="B5582" s="117" t="s">
        <v>8835</v>
      </c>
      <c r="C5582" t="s">
        <v>67</v>
      </c>
      <c r="D5582" t="s">
        <v>67</v>
      </c>
      <c r="E5582" t="s">
        <v>67</v>
      </c>
      <c r="F5582" t="s">
        <v>27987</v>
      </c>
      <c r="G5582" s="117">
        <v>0.8</v>
      </c>
    </row>
    <row r="5583" spans="1:7" x14ac:dyDescent="0.25">
      <c r="A5583" s="116" t="s">
        <v>8836</v>
      </c>
      <c r="B5583" s="117" t="s">
        <v>8837</v>
      </c>
      <c r="C5583" t="s">
        <v>67</v>
      </c>
      <c r="D5583" t="s">
        <v>67</v>
      </c>
      <c r="E5583" t="s">
        <v>67</v>
      </c>
      <c r="F5583" t="s">
        <v>51</v>
      </c>
      <c r="G5583" s="117">
        <v>0.8</v>
      </c>
    </row>
    <row r="5584" spans="1:7" x14ac:dyDescent="0.25">
      <c r="A5584" s="116" t="s">
        <v>8838</v>
      </c>
      <c r="B5584" s="117" t="s">
        <v>8839</v>
      </c>
      <c r="C5584" t="s">
        <v>67</v>
      </c>
      <c r="D5584" t="s">
        <v>67</v>
      </c>
      <c r="E5584" t="s">
        <v>67</v>
      </c>
      <c r="F5584" t="s">
        <v>49</v>
      </c>
      <c r="G5584" s="117">
        <v>0.44</v>
      </c>
    </row>
    <row r="5585" spans="1:7" x14ac:dyDescent="0.25">
      <c r="A5585" s="116" t="s">
        <v>8840</v>
      </c>
      <c r="B5585" s="117" t="s">
        <v>8841</v>
      </c>
      <c r="C5585" t="s">
        <v>67</v>
      </c>
      <c r="D5585" t="s">
        <v>67</v>
      </c>
      <c r="E5585" t="s">
        <v>67</v>
      </c>
      <c r="F5585" t="s">
        <v>27987</v>
      </c>
      <c r="G5585" s="117">
        <v>0.89</v>
      </c>
    </row>
    <row r="5586" spans="1:7" x14ac:dyDescent="0.25">
      <c r="A5586" s="116" t="s">
        <v>8842</v>
      </c>
      <c r="B5586" s="117" t="s">
        <v>8843</v>
      </c>
      <c r="C5586" t="s">
        <v>67</v>
      </c>
      <c r="D5586" t="s">
        <v>67</v>
      </c>
      <c r="E5586" t="s">
        <v>67</v>
      </c>
      <c r="F5586" t="s">
        <v>49</v>
      </c>
      <c r="G5586" s="117">
        <v>1.61</v>
      </c>
    </row>
    <row r="5587" spans="1:7" x14ac:dyDescent="0.25">
      <c r="A5587" s="116" t="s">
        <v>8844</v>
      </c>
      <c r="B5587" s="117" t="s">
        <v>8845</v>
      </c>
      <c r="C5587" t="s">
        <v>67</v>
      </c>
      <c r="D5587" t="s">
        <v>67</v>
      </c>
      <c r="E5587" t="s">
        <v>67</v>
      </c>
      <c r="F5587" t="s">
        <v>49</v>
      </c>
      <c r="G5587" s="117">
        <v>2.97</v>
      </c>
    </row>
    <row r="5588" spans="1:7" x14ac:dyDescent="0.25">
      <c r="A5588" s="116" t="s">
        <v>8846</v>
      </c>
      <c r="B5588" s="117" t="s">
        <v>8847</v>
      </c>
      <c r="C5588" t="s">
        <v>67</v>
      </c>
      <c r="D5588" t="s">
        <v>67</v>
      </c>
      <c r="E5588" t="s">
        <v>67</v>
      </c>
      <c r="F5588" t="s">
        <v>27987</v>
      </c>
      <c r="G5588" s="117">
        <v>5.79</v>
      </c>
    </row>
    <row r="5589" spans="1:7" x14ac:dyDescent="0.25">
      <c r="A5589" s="116" t="s">
        <v>8848</v>
      </c>
      <c r="B5589" s="117" t="s">
        <v>8849</v>
      </c>
      <c r="C5589" t="s">
        <v>67</v>
      </c>
      <c r="D5589" t="s">
        <v>67</v>
      </c>
      <c r="E5589" t="s">
        <v>67</v>
      </c>
      <c r="F5589" t="s">
        <v>27987</v>
      </c>
      <c r="G5589" s="117">
        <v>2.23</v>
      </c>
    </row>
    <row r="5590" spans="1:7" x14ac:dyDescent="0.25">
      <c r="A5590" s="116" t="s">
        <v>29921</v>
      </c>
      <c r="B5590" s="117" t="s">
        <v>30433</v>
      </c>
      <c r="C5590" t="s">
        <v>67</v>
      </c>
      <c r="D5590" t="s">
        <v>67</v>
      </c>
      <c r="E5590" t="s">
        <v>67</v>
      </c>
      <c r="F5590" t="s">
        <v>27987</v>
      </c>
      <c r="G5590" s="117">
        <v>3.78</v>
      </c>
    </row>
    <row r="5591" spans="1:7" x14ac:dyDescent="0.25">
      <c r="A5591" s="116" t="s">
        <v>28780</v>
      </c>
      <c r="B5591" s="117" t="s">
        <v>22027</v>
      </c>
      <c r="C5591" t="s">
        <v>67</v>
      </c>
      <c r="D5591" t="s">
        <v>67</v>
      </c>
      <c r="E5591" t="s">
        <v>67</v>
      </c>
      <c r="F5591" t="s">
        <v>27987</v>
      </c>
      <c r="G5591" s="117">
        <v>5</v>
      </c>
    </row>
    <row r="5592" spans="1:7" x14ac:dyDescent="0.25">
      <c r="A5592" s="116" t="s">
        <v>8850</v>
      </c>
      <c r="B5592" s="117" t="s">
        <v>8851</v>
      </c>
      <c r="C5592" t="s">
        <v>67</v>
      </c>
      <c r="D5592" t="s">
        <v>67</v>
      </c>
      <c r="E5592" t="s">
        <v>67</v>
      </c>
      <c r="F5592" t="s">
        <v>45</v>
      </c>
      <c r="G5592" s="117">
        <v>0.8</v>
      </c>
    </row>
    <row r="5593" spans="1:7" x14ac:dyDescent="0.25">
      <c r="A5593" s="116" t="s">
        <v>8852</v>
      </c>
      <c r="B5593" s="117" t="s">
        <v>8853</v>
      </c>
      <c r="C5593" t="s">
        <v>67</v>
      </c>
      <c r="D5593" t="s">
        <v>67</v>
      </c>
      <c r="E5593" t="s">
        <v>67</v>
      </c>
      <c r="F5593" t="s">
        <v>27987</v>
      </c>
      <c r="G5593" s="117">
        <v>6.14</v>
      </c>
    </row>
    <row r="5594" spans="1:7" x14ac:dyDescent="0.25">
      <c r="A5594" s="116" t="s">
        <v>8854</v>
      </c>
      <c r="B5594" s="117" t="s">
        <v>8855</v>
      </c>
      <c r="C5594" t="s">
        <v>67</v>
      </c>
      <c r="D5594" t="s">
        <v>67</v>
      </c>
      <c r="E5594" t="s">
        <v>67</v>
      </c>
      <c r="F5594" t="s">
        <v>27987</v>
      </c>
      <c r="G5594" s="117">
        <v>2.58</v>
      </c>
    </row>
    <row r="5595" spans="1:7" x14ac:dyDescent="0.25">
      <c r="A5595" s="116" t="s">
        <v>8856</v>
      </c>
      <c r="B5595" s="117" t="s">
        <v>8857</v>
      </c>
      <c r="C5595" t="s">
        <v>67</v>
      </c>
      <c r="D5595" t="s">
        <v>67</v>
      </c>
      <c r="E5595" t="s">
        <v>67</v>
      </c>
      <c r="F5595" t="s">
        <v>45</v>
      </c>
      <c r="G5595" s="117">
        <v>18.239999999999998</v>
      </c>
    </row>
    <row r="5596" spans="1:7" x14ac:dyDescent="0.25">
      <c r="A5596" s="116" t="s">
        <v>8858</v>
      </c>
      <c r="B5596" s="117" t="s">
        <v>8859</v>
      </c>
      <c r="C5596" t="s">
        <v>67</v>
      </c>
      <c r="D5596" t="s">
        <v>67</v>
      </c>
      <c r="E5596" t="s">
        <v>67</v>
      </c>
      <c r="F5596" t="s">
        <v>45</v>
      </c>
      <c r="G5596" s="117">
        <v>3.63</v>
      </c>
    </row>
    <row r="5597" spans="1:7" x14ac:dyDescent="0.25">
      <c r="A5597" s="116" t="s">
        <v>8860</v>
      </c>
      <c r="B5597" s="117" t="s">
        <v>8861</v>
      </c>
      <c r="C5597" t="s">
        <v>67</v>
      </c>
      <c r="D5597" t="s">
        <v>67</v>
      </c>
      <c r="E5597" t="s">
        <v>67</v>
      </c>
      <c r="F5597" t="s">
        <v>27987</v>
      </c>
      <c r="G5597" s="117">
        <v>4.3600000000000003</v>
      </c>
    </row>
    <row r="5598" spans="1:7" x14ac:dyDescent="0.25">
      <c r="A5598" s="116" t="s">
        <v>8862</v>
      </c>
      <c r="B5598" s="117" t="s">
        <v>8863</v>
      </c>
      <c r="C5598" t="s">
        <v>67</v>
      </c>
      <c r="D5598" t="s">
        <v>67</v>
      </c>
      <c r="E5598" t="s">
        <v>67</v>
      </c>
      <c r="F5598" t="s">
        <v>27987</v>
      </c>
      <c r="G5598" s="117">
        <v>4.3600000000000003</v>
      </c>
    </row>
    <row r="5599" spans="1:7" x14ac:dyDescent="0.25">
      <c r="A5599" s="116" t="s">
        <v>8864</v>
      </c>
      <c r="B5599" s="117" t="s">
        <v>28781</v>
      </c>
      <c r="C5599" t="s">
        <v>67</v>
      </c>
      <c r="D5599" t="s">
        <v>67</v>
      </c>
      <c r="E5599" t="s">
        <v>67</v>
      </c>
      <c r="F5599" t="s">
        <v>49</v>
      </c>
      <c r="G5599" s="117">
        <v>2.58</v>
      </c>
    </row>
    <row r="5600" spans="1:7" x14ac:dyDescent="0.25">
      <c r="A5600" s="116" t="s">
        <v>8865</v>
      </c>
      <c r="B5600" s="117" t="s">
        <v>8866</v>
      </c>
      <c r="C5600" t="s">
        <v>67</v>
      </c>
      <c r="D5600" t="s">
        <v>67</v>
      </c>
      <c r="E5600" t="s">
        <v>67</v>
      </c>
      <c r="F5600" t="s">
        <v>45</v>
      </c>
      <c r="G5600" s="117">
        <v>2.39</v>
      </c>
    </row>
    <row r="5601" spans="1:7" x14ac:dyDescent="0.25">
      <c r="A5601" s="116" t="s">
        <v>8867</v>
      </c>
      <c r="B5601" s="117" t="s">
        <v>8868</v>
      </c>
      <c r="C5601" t="s">
        <v>67</v>
      </c>
      <c r="D5601" t="s">
        <v>67</v>
      </c>
      <c r="E5601" t="s">
        <v>67</v>
      </c>
      <c r="F5601" t="s">
        <v>27987</v>
      </c>
      <c r="G5601" s="117">
        <v>4</v>
      </c>
    </row>
    <row r="5602" spans="1:7" x14ac:dyDescent="0.25">
      <c r="A5602" s="116" t="s">
        <v>8869</v>
      </c>
      <c r="B5602" s="117" t="s">
        <v>8870</v>
      </c>
      <c r="C5602" t="s">
        <v>67</v>
      </c>
      <c r="D5602" t="s">
        <v>67</v>
      </c>
      <c r="E5602" t="s">
        <v>67</v>
      </c>
      <c r="F5602" t="s">
        <v>27987</v>
      </c>
      <c r="G5602" s="117">
        <v>2.23</v>
      </c>
    </row>
    <row r="5603" spans="1:7" x14ac:dyDescent="0.25">
      <c r="A5603" s="116" t="s">
        <v>8871</v>
      </c>
      <c r="B5603" s="117" t="s">
        <v>8872</v>
      </c>
      <c r="C5603" t="s">
        <v>67</v>
      </c>
      <c r="D5603" t="s">
        <v>67</v>
      </c>
      <c r="E5603" t="s">
        <v>67</v>
      </c>
      <c r="F5603" t="s">
        <v>27987</v>
      </c>
      <c r="G5603" s="117">
        <v>3.12</v>
      </c>
    </row>
    <row r="5604" spans="1:7" x14ac:dyDescent="0.25">
      <c r="A5604" s="116" t="s">
        <v>8873</v>
      </c>
      <c r="B5604" s="117" t="s">
        <v>8874</v>
      </c>
      <c r="C5604" t="s">
        <v>67</v>
      </c>
      <c r="D5604" t="s">
        <v>67</v>
      </c>
      <c r="E5604" t="s">
        <v>67</v>
      </c>
      <c r="F5604" t="s">
        <v>49</v>
      </c>
      <c r="G5604" s="117">
        <v>1.69</v>
      </c>
    </row>
    <row r="5605" spans="1:7" x14ac:dyDescent="0.25">
      <c r="A5605" s="116" t="s">
        <v>8875</v>
      </c>
      <c r="B5605" s="117" t="s">
        <v>8876</v>
      </c>
      <c r="C5605" t="s">
        <v>67</v>
      </c>
      <c r="D5605" t="s">
        <v>67</v>
      </c>
      <c r="E5605" t="s">
        <v>67</v>
      </c>
      <c r="F5605" t="s">
        <v>49</v>
      </c>
      <c r="G5605" s="117">
        <v>1.69</v>
      </c>
    </row>
    <row r="5606" spans="1:7" x14ac:dyDescent="0.25">
      <c r="A5606" s="116" t="s">
        <v>8877</v>
      </c>
      <c r="B5606" s="117" t="s">
        <v>8878</v>
      </c>
      <c r="C5606" t="s">
        <v>67</v>
      </c>
      <c r="D5606" t="s">
        <v>67</v>
      </c>
      <c r="E5606" t="s">
        <v>67</v>
      </c>
      <c r="F5606" t="s">
        <v>27987</v>
      </c>
      <c r="G5606" s="117">
        <v>0.8</v>
      </c>
    </row>
    <row r="5607" spans="1:7" x14ac:dyDescent="0.25">
      <c r="A5607" s="116" t="s">
        <v>8879</v>
      </c>
      <c r="B5607" s="117" t="s">
        <v>8880</v>
      </c>
      <c r="C5607" t="s">
        <v>67</v>
      </c>
      <c r="D5607" t="s">
        <v>67</v>
      </c>
      <c r="E5607" t="s">
        <v>67</v>
      </c>
      <c r="F5607" t="s">
        <v>27987</v>
      </c>
      <c r="G5607" s="117">
        <v>5.79</v>
      </c>
    </row>
    <row r="5608" spans="1:7" x14ac:dyDescent="0.25">
      <c r="A5608" s="116" t="s">
        <v>8881</v>
      </c>
      <c r="B5608" s="117" t="s">
        <v>8882</v>
      </c>
      <c r="C5608" t="s">
        <v>67</v>
      </c>
      <c r="D5608" t="s">
        <v>67</v>
      </c>
      <c r="E5608" t="s">
        <v>67</v>
      </c>
      <c r="F5608" t="s">
        <v>27987</v>
      </c>
      <c r="G5608" s="117">
        <v>1.33</v>
      </c>
    </row>
    <row r="5609" spans="1:7" x14ac:dyDescent="0.25">
      <c r="A5609" s="116" t="s">
        <v>8883</v>
      </c>
      <c r="B5609" s="117" t="s">
        <v>8884</v>
      </c>
      <c r="C5609" t="s">
        <v>67</v>
      </c>
      <c r="D5609" t="s">
        <v>67</v>
      </c>
      <c r="E5609" t="s">
        <v>67</v>
      </c>
      <c r="F5609" t="s">
        <v>49</v>
      </c>
      <c r="G5609" s="117">
        <v>1.33</v>
      </c>
    </row>
    <row r="5610" spans="1:7" x14ac:dyDescent="0.25">
      <c r="A5610" s="116" t="s">
        <v>8885</v>
      </c>
      <c r="B5610" s="117" t="s">
        <v>8886</v>
      </c>
      <c r="C5610" t="s">
        <v>67</v>
      </c>
      <c r="D5610" t="s">
        <v>67</v>
      </c>
      <c r="E5610" t="s">
        <v>67</v>
      </c>
      <c r="F5610" t="s">
        <v>27987</v>
      </c>
      <c r="G5610" s="117">
        <v>1.69</v>
      </c>
    </row>
    <row r="5611" spans="1:7" x14ac:dyDescent="0.25">
      <c r="A5611" s="116" t="s">
        <v>8887</v>
      </c>
      <c r="B5611" s="117" t="s">
        <v>8888</v>
      </c>
      <c r="C5611" t="s">
        <v>67</v>
      </c>
      <c r="D5611" t="s">
        <v>67</v>
      </c>
      <c r="E5611" t="s">
        <v>67</v>
      </c>
      <c r="F5611" t="s">
        <v>27987</v>
      </c>
      <c r="G5611" s="117">
        <v>1.77</v>
      </c>
    </row>
    <row r="5612" spans="1:7" x14ac:dyDescent="0.25">
      <c r="A5612" s="116" t="s">
        <v>8889</v>
      </c>
      <c r="B5612" s="117" t="s">
        <v>8890</v>
      </c>
      <c r="C5612" t="s">
        <v>67</v>
      </c>
      <c r="D5612" t="s">
        <v>67</v>
      </c>
      <c r="E5612" t="s">
        <v>67</v>
      </c>
      <c r="F5612" t="s">
        <v>27987</v>
      </c>
      <c r="G5612" s="117">
        <v>2.58</v>
      </c>
    </row>
    <row r="5613" spans="1:7" x14ac:dyDescent="0.25">
      <c r="A5613" s="116" t="s">
        <v>8891</v>
      </c>
      <c r="B5613" s="117" t="s">
        <v>8892</v>
      </c>
      <c r="C5613" t="s">
        <v>67</v>
      </c>
      <c r="D5613" t="s">
        <v>67</v>
      </c>
      <c r="E5613" t="s">
        <v>67</v>
      </c>
      <c r="F5613" t="s">
        <v>27987</v>
      </c>
      <c r="G5613" s="117">
        <v>2.58</v>
      </c>
    </row>
    <row r="5614" spans="1:7" x14ac:dyDescent="0.25">
      <c r="A5614" s="116" t="s">
        <v>8893</v>
      </c>
      <c r="B5614" s="117" t="s">
        <v>8894</v>
      </c>
      <c r="C5614" t="s">
        <v>67</v>
      </c>
      <c r="D5614" t="s">
        <v>67</v>
      </c>
      <c r="E5614" t="s">
        <v>67</v>
      </c>
      <c r="F5614" t="s">
        <v>49</v>
      </c>
      <c r="G5614" s="117">
        <v>1.33</v>
      </c>
    </row>
    <row r="5615" spans="1:7" x14ac:dyDescent="0.25">
      <c r="A5615" s="116" t="s">
        <v>8895</v>
      </c>
      <c r="B5615" s="117" t="s">
        <v>8896</v>
      </c>
      <c r="C5615" t="s">
        <v>67</v>
      </c>
      <c r="D5615" t="s">
        <v>67</v>
      </c>
      <c r="E5615" t="s">
        <v>67</v>
      </c>
      <c r="F5615" t="s">
        <v>49</v>
      </c>
      <c r="G5615" s="117">
        <v>1.33</v>
      </c>
    </row>
    <row r="5616" spans="1:7" x14ac:dyDescent="0.25">
      <c r="A5616" s="116" t="s">
        <v>8897</v>
      </c>
      <c r="B5616" s="117" t="s">
        <v>8898</v>
      </c>
      <c r="C5616" t="s">
        <v>67</v>
      </c>
      <c r="D5616" t="s">
        <v>67</v>
      </c>
      <c r="E5616" t="s">
        <v>67</v>
      </c>
      <c r="F5616" t="s">
        <v>49</v>
      </c>
      <c r="G5616" s="117">
        <v>3.56</v>
      </c>
    </row>
    <row r="5617" spans="1:7" x14ac:dyDescent="0.25">
      <c r="A5617" s="116" t="s">
        <v>8899</v>
      </c>
      <c r="B5617" s="117" t="s">
        <v>8900</v>
      </c>
      <c r="C5617" t="s">
        <v>67</v>
      </c>
      <c r="D5617" t="s">
        <v>67</v>
      </c>
      <c r="E5617" t="s">
        <v>67</v>
      </c>
      <c r="F5617" t="s">
        <v>27987</v>
      </c>
      <c r="G5617" s="117">
        <v>4</v>
      </c>
    </row>
    <row r="5618" spans="1:7" x14ac:dyDescent="0.25">
      <c r="A5618" s="116" t="s">
        <v>8901</v>
      </c>
      <c r="B5618" s="117" t="s">
        <v>8902</v>
      </c>
      <c r="C5618" t="s">
        <v>67</v>
      </c>
      <c r="D5618" t="s">
        <v>67</v>
      </c>
      <c r="E5618" t="s">
        <v>67</v>
      </c>
      <c r="F5618" t="s">
        <v>27987</v>
      </c>
      <c r="G5618" s="117">
        <v>13.8</v>
      </c>
    </row>
    <row r="5619" spans="1:7" x14ac:dyDescent="0.25">
      <c r="A5619" s="116" t="s">
        <v>8903</v>
      </c>
      <c r="B5619" s="117" t="s">
        <v>8904</v>
      </c>
      <c r="C5619" t="s">
        <v>67</v>
      </c>
      <c r="D5619" t="s">
        <v>67</v>
      </c>
      <c r="E5619" t="s">
        <v>67</v>
      </c>
      <c r="F5619" t="s">
        <v>27987</v>
      </c>
      <c r="G5619" s="117">
        <v>1.33</v>
      </c>
    </row>
    <row r="5620" spans="1:7" x14ac:dyDescent="0.25">
      <c r="A5620" s="116" t="s">
        <v>8905</v>
      </c>
      <c r="B5620" s="117" t="s">
        <v>8906</v>
      </c>
      <c r="C5620" t="s">
        <v>67</v>
      </c>
      <c r="D5620" t="s">
        <v>67</v>
      </c>
      <c r="E5620" t="s">
        <v>67</v>
      </c>
      <c r="F5620" t="s">
        <v>27987</v>
      </c>
      <c r="G5620" s="117">
        <v>5.79</v>
      </c>
    </row>
    <row r="5621" spans="1:7" x14ac:dyDescent="0.25">
      <c r="A5621" s="116" t="s">
        <v>28782</v>
      </c>
      <c r="B5621" s="117" t="s">
        <v>28783</v>
      </c>
      <c r="C5621" t="s">
        <v>67</v>
      </c>
      <c r="D5621" t="s">
        <v>67</v>
      </c>
      <c r="E5621" t="s">
        <v>67</v>
      </c>
      <c r="F5621" t="s">
        <v>45</v>
      </c>
      <c r="G5621" s="117">
        <v>0</v>
      </c>
    </row>
    <row r="5622" spans="1:7" x14ac:dyDescent="0.25">
      <c r="A5622" s="116" t="s">
        <v>8907</v>
      </c>
      <c r="B5622" s="117" t="s">
        <v>8908</v>
      </c>
      <c r="C5622" t="s">
        <v>67</v>
      </c>
      <c r="D5622" t="s">
        <v>67</v>
      </c>
      <c r="E5622" t="s">
        <v>67</v>
      </c>
      <c r="F5622" t="s">
        <v>27987</v>
      </c>
      <c r="G5622" s="117">
        <v>7.92</v>
      </c>
    </row>
    <row r="5623" spans="1:7" x14ac:dyDescent="0.25">
      <c r="A5623" s="116" t="s">
        <v>8909</v>
      </c>
      <c r="B5623" s="117" t="s">
        <v>5783</v>
      </c>
      <c r="C5623" t="s">
        <v>67</v>
      </c>
      <c r="D5623" t="s">
        <v>67</v>
      </c>
      <c r="E5623" t="s">
        <v>67</v>
      </c>
      <c r="F5623" t="s">
        <v>49</v>
      </c>
      <c r="G5623" s="117">
        <v>2.58</v>
      </c>
    </row>
    <row r="5624" spans="1:7" x14ac:dyDescent="0.25">
      <c r="A5624" s="116" t="s">
        <v>8910</v>
      </c>
      <c r="B5624" s="117" t="s">
        <v>8797</v>
      </c>
      <c r="C5624" t="s">
        <v>67</v>
      </c>
      <c r="D5624" t="s">
        <v>67</v>
      </c>
      <c r="E5624" t="s">
        <v>67</v>
      </c>
      <c r="F5624" t="s">
        <v>45</v>
      </c>
      <c r="G5624" s="117">
        <v>1.33</v>
      </c>
    </row>
    <row r="5625" spans="1:7" x14ac:dyDescent="0.25">
      <c r="A5625" s="116" t="s">
        <v>8911</v>
      </c>
      <c r="B5625" s="117" t="s">
        <v>8912</v>
      </c>
      <c r="C5625" t="s">
        <v>67</v>
      </c>
      <c r="D5625" t="s">
        <v>67</v>
      </c>
      <c r="E5625" t="s">
        <v>67</v>
      </c>
      <c r="F5625" t="s">
        <v>27987</v>
      </c>
      <c r="G5625" s="117">
        <v>10.58</v>
      </c>
    </row>
    <row r="5626" spans="1:7" x14ac:dyDescent="0.25">
      <c r="A5626" s="116" t="s">
        <v>8913</v>
      </c>
      <c r="B5626" s="117" t="s">
        <v>8914</v>
      </c>
      <c r="C5626" t="s">
        <v>67</v>
      </c>
      <c r="D5626" t="s">
        <v>67</v>
      </c>
      <c r="E5626" t="s">
        <v>67</v>
      </c>
      <c r="F5626" t="s">
        <v>27987</v>
      </c>
      <c r="G5626" s="117">
        <v>37.82</v>
      </c>
    </row>
    <row r="5627" spans="1:7" x14ac:dyDescent="0.25">
      <c r="A5627" s="116" t="s">
        <v>8915</v>
      </c>
      <c r="B5627" s="117" t="s">
        <v>8916</v>
      </c>
      <c r="C5627" t="s">
        <v>67</v>
      </c>
      <c r="D5627" t="s">
        <v>67</v>
      </c>
      <c r="E5627" t="s">
        <v>67</v>
      </c>
      <c r="F5627" t="s">
        <v>27987</v>
      </c>
      <c r="G5627" s="117">
        <v>12.01</v>
      </c>
    </row>
    <row r="5628" spans="1:7" x14ac:dyDescent="0.25">
      <c r="A5628" s="116" t="s">
        <v>8917</v>
      </c>
      <c r="B5628" s="117" t="s">
        <v>8918</v>
      </c>
      <c r="C5628" t="s">
        <v>67</v>
      </c>
      <c r="D5628" t="s">
        <v>67</v>
      </c>
      <c r="E5628" t="s">
        <v>67</v>
      </c>
      <c r="F5628" t="s">
        <v>27987</v>
      </c>
      <c r="G5628" s="117">
        <v>20.38</v>
      </c>
    </row>
    <row r="5629" spans="1:7" x14ac:dyDescent="0.25">
      <c r="A5629" s="116" t="s">
        <v>8919</v>
      </c>
      <c r="B5629" s="117" t="s">
        <v>8920</v>
      </c>
      <c r="C5629" t="s">
        <v>67</v>
      </c>
      <c r="D5629" t="s">
        <v>67</v>
      </c>
      <c r="E5629" t="s">
        <v>67</v>
      </c>
      <c r="F5629" t="s">
        <v>49</v>
      </c>
      <c r="G5629" s="117">
        <v>1.77</v>
      </c>
    </row>
    <row r="5630" spans="1:7" x14ac:dyDescent="0.25">
      <c r="A5630" s="116" t="s">
        <v>8921</v>
      </c>
      <c r="B5630" s="117" t="s">
        <v>28784</v>
      </c>
      <c r="C5630" t="s">
        <v>67</v>
      </c>
      <c r="D5630" t="s">
        <v>67</v>
      </c>
      <c r="E5630" t="s">
        <v>67</v>
      </c>
      <c r="F5630" t="s">
        <v>49</v>
      </c>
      <c r="G5630" s="117">
        <v>45.68</v>
      </c>
    </row>
    <row r="5631" spans="1:7" x14ac:dyDescent="0.25">
      <c r="A5631" s="116" t="s">
        <v>8922</v>
      </c>
      <c r="B5631" s="117" t="s">
        <v>8923</v>
      </c>
      <c r="C5631" t="s">
        <v>67</v>
      </c>
      <c r="D5631" t="s">
        <v>67</v>
      </c>
      <c r="E5631" t="s">
        <v>67</v>
      </c>
      <c r="F5631" t="s">
        <v>27987</v>
      </c>
      <c r="G5631" s="117">
        <v>8.4499999999999993</v>
      </c>
    </row>
    <row r="5632" spans="1:7" x14ac:dyDescent="0.25">
      <c r="A5632" s="116" t="s">
        <v>8924</v>
      </c>
      <c r="B5632" s="117" t="s">
        <v>8925</v>
      </c>
      <c r="C5632" t="s">
        <v>67</v>
      </c>
      <c r="D5632" t="s">
        <v>67</v>
      </c>
      <c r="E5632" t="s">
        <v>67</v>
      </c>
      <c r="F5632" t="s">
        <v>27990</v>
      </c>
      <c r="G5632" s="117">
        <v>1.33</v>
      </c>
    </row>
    <row r="5633" spans="1:7" x14ac:dyDescent="0.25">
      <c r="A5633" s="116" t="s">
        <v>8926</v>
      </c>
      <c r="B5633" s="117" t="s">
        <v>8927</v>
      </c>
      <c r="C5633" t="s">
        <v>67</v>
      </c>
      <c r="D5633" t="s">
        <v>67</v>
      </c>
      <c r="E5633" t="s">
        <v>67</v>
      </c>
      <c r="F5633" t="s">
        <v>49</v>
      </c>
      <c r="G5633" s="117">
        <v>15.93</v>
      </c>
    </row>
    <row r="5634" spans="1:7" x14ac:dyDescent="0.25">
      <c r="A5634" s="116" t="s">
        <v>8928</v>
      </c>
      <c r="B5634" s="117" t="s">
        <v>8929</v>
      </c>
      <c r="C5634" t="s">
        <v>67</v>
      </c>
      <c r="D5634" t="s">
        <v>67</v>
      </c>
      <c r="E5634" t="s">
        <v>67</v>
      </c>
      <c r="F5634" t="s">
        <v>27987</v>
      </c>
      <c r="G5634" s="117">
        <v>7.92</v>
      </c>
    </row>
    <row r="5635" spans="1:7" x14ac:dyDescent="0.25">
      <c r="A5635" s="116" t="s">
        <v>8930</v>
      </c>
      <c r="B5635" s="117" t="s">
        <v>5730</v>
      </c>
      <c r="C5635" t="s">
        <v>67</v>
      </c>
      <c r="D5635" t="s">
        <v>67</v>
      </c>
      <c r="E5635" t="s">
        <v>67</v>
      </c>
      <c r="F5635" t="s">
        <v>27987</v>
      </c>
      <c r="G5635" s="117">
        <v>15.04</v>
      </c>
    </row>
    <row r="5636" spans="1:7" x14ac:dyDescent="0.25">
      <c r="A5636" s="116" t="s">
        <v>8931</v>
      </c>
      <c r="B5636" s="117" t="s">
        <v>5786</v>
      </c>
      <c r="C5636" t="s">
        <v>67</v>
      </c>
      <c r="D5636" t="s">
        <v>67</v>
      </c>
      <c r="E5636" t="s">
        <v>67</v>
      </c>
      <c r="F5636" t="s">
        <v>49</v>
      </c>
      <c r="G5636" s="117">
        <v>12.01</v>
      </c>
    </row>
    <row r="5637" spans="1:7" x14ac:dyDescent="0.25">
      <c r="A5637" s="116" t="s">
        <v>8932</v>
      </c>
      <c r="B5637" s="117" t="s">
        <v>6001</v>
      </c>
      <c r="C5637" t="s">
        <v>67</v>
      </c>
      <c r="D5637" t="s">
        <v>67</v>
      </c>
      <c r="E5637" t="s">
        <v>67</v>
      </c>
      <c r="F5637" t="s">
        <v>49</v>
      </c>
      <c r="G5637" s="117">
        <v>26.25</v>
      </c>
    </row>
    <row r="5638" spans="1:7" x14ac:dyDescent="0.25">
      <c r="A5638" s="116" t="s">
        <v>8933</v>
      </c>
      <c r="B5638" s="117" t="s">
        <v>8934</v>
      </c>
      <c r="C5638" t="s">
        <v>67</v>
      </c>
      <c r="D5638" t="s">
        <v>67</v>
      </c>
      <c r="E5638" t="s">
        <v>67</v>
      </c>
      <c r="F5638" t="s">
        <v>49</v>
      </c>
      <c r="G5638" s="117">
        <v>39.6</v>
      </c>
    </row>
    <row r="5639" spans="1:7" x14ac:dyDescent="0.25">
      <c r="A5639" s="116" t="s">
        <v>8935</v>
      </c>
      <c r="B5639" s="117" t="s">
        <v>28785</v>
      </c>
      <c r="C5639" t="s">
        <v>67</v>
      </c>
      <c r="D5639" t="s">
        <v>67</v>
      </c>
      <c r="E5639" t="s">
        <v>67</v>
      </c>
      <c r="F5639" t="s">
        <v>27987</v>
      </c>
      <c r="G5639" s="117">
        <v>21.8</v>
      </c>
    </row>
    <row r="5640" spans="1:7" x14ac:dyDescent="0.25">
      <c r="A5640" s="116" t="s">
        <v>8936</v>
      </c>
      <c r="B5640" s="117" t="s">
        <v>8937</v>
      </c>
      <c r="C5640" t="s">
        <v>67</v>
      </c>
      <c r="D5640" t="s">
        <v>67</v>
      </c>
      <c r="E5640" t="s">
        <v>67</v>
      </c>
      <c r="F5640" t="s">
        <v>27987</v>
      </c>
      <c r="G5640" s="117">
        <v>5.79</v>
      </c>
    </row>
    <row r="5641" spans="1:7" x14ac:dyDescent="0.25">
      <c r="A5641" s="116" t="s">
        <v>8938</v>
      </c>
      <c r="B5641" s="117" t="s">
        <v>8939</v>
      </c>
      <c r="C5641" t="s">
        <v>67</v>
      </c>
      <c r="D5641" t="s">
        <v>67</v>
      </c>
      <c r="E5641" t="s">
        <v>67</v>
      </c>
      <c r="F5641" t="s">
        <v>27987</v>
      </c>
      <c r="G5641" s="117">
        <v>0.8</v>
      </c>
    </row>
    <row r="5642" spans="1:7" x14ac:dyDescent="0.25">
      <c r="A5642" s="116" t="s">
        <v>8940</v>
      </c>
      <c r="B5642" s="117" t="s">
        <v>8941</v>
      </c>
      <c r="C5642" t="s">
        <v>67</v>
      </c>
      <c r="D5642" t="s">
        <v>67</v>
      </c>
      <c r="E5642" t="s">
        <v>67</v>
      </c>
      <c r="F5642" t="s">
        <v>27987</v>
      </c>
      <c r="G5642" s="117">
        <v>15.57</v>
      </c>
    </row>
    <row r="5643" spans="1:7" x14ac:dyDescent="0.25">
      <c r="A5643" s="116" t="s">
        <v>8942</v>
      </c>
      <c r="B5643" s="117" t="s">
        <v>8943</v>
      </c>
      <c r="C5643" t="s">
        <v>67</v>
      </c>
      <c r="D5643" t="s">
        <v>67</v>
      </c>
      <c r="E5643" t="s">
        <v>67</v>
      </c>
      <c r="F5643" t="s">
        <v>45</v>
      </c>
      <c r="G5643" s="117">
        <v>17.7</v>
      </c>
    </row>
    <row r="5644" spans="1:7" x14ac:dyDescent="0.25">
      <c r="A5644" s="116" t="s">
        <v>8944</v>
      </c>
      <c r="B5644" s="117" t="s">
        <v>5730</v>
      </c>
      <c r="C5644" t="s">
        <v>67</v>
      </c>
      <c r="D5644" t="s">
        <v>67</v>
      </c>
      <c r="E5644" t="s">
        <v>67</v>
      </c>
      <c r="F5644" t="s">
        <v>27987</v>
      </c>
      <c r="G5644" s="117">
        <v>17.7</v>
      </c>
    </row>
    <row r="5645" spans="1:7" x14ac:dyDescent="0.25">
      <c r="A5645" s="116" t="s">
        <v>8945</v>
      </c>
      <c r="B5645" s="117" t="s">
        <v>5754</v>
      </c>
      <c r="C5645" t="s">
        <v>67</v>
      </c>
      <c r="D5645" t="s">
        <v>67</v>
      </c>
      <c r="E5645" t="s">
        <v>67</v>
      </c>
      <c r="F5645" t="s">
        <v>45</v>
      </c>
      <c r="G5645" s="117">
        <v>7.92</v>
      </c>
    </row>
    <row r="5646" spans="1:7" x14ac:dyDescent="0.25">
      <c r="A5646" s="116" t="s">
        <v>8946</v>
      </c>
      <c r="B5646" s="117" t="s">
        <v>5863</v>
      </c>
      <c r="C5646" t="s">
        <v>67</v>
      </c>
      <c r="D5646" t="s">
        <v>67</v>
      </c>
      <c r="E5646" t="s">
        <v>67</v>
      </c>
      <c r="F5646" t="s">
        <v>49</v>
      </c>
      <c r="G5646" s="117">
        <v>13.98</v>
      </c>
    </row>
    <row r="5647" spans="1:7" x14ac:dyDescent="0.25">
      <c r="A5647" s="116" t="s">
        <v>8947</v>
      </c>
      <c r="B5647" s="117" t="s">
        <v>8948</v>
      </c>
      <c r="C5647" t="s">
        <v>67</v>
      </c>
      <c r="D5647" t="s">
        <v>67</v>
      </c>
      <c r="E5647" t="s">
        <v>67</v>
      </c>
      <c r="F5647" t="s">
        <v>51</v>
      </c>
      <c r="G5647" s="117">
        <v>19.07</v>
      </c>
    </row>
    <row r="5648" spans="1:7" x14ac:dyDescent="0.25">
      <c r="A5648" s="116" t="s">
        <v>8949</v>
      </c>
      <c r="B5648" s="117" t="s">
        <v>28786</v>
      </c>
      <c r="C5648" t="s">
        <v>67</v>
      </c>
      <c r="D5648" t="s">
        <v>67</v>
      </c>
      <c r="E5648" t="s">
        <v>67</v>
      </c>
      <c r="F5648" t="s">
        <v>45</v>
      </c>
      <c r="G5648" s="117">
        <v>16.02</v>
      </c>
    </row>
    <row r="5649" spans="1:7" x14ac:dyDescent="0.25">
      <c r="A5649" s="116" t="s">
        <v>8950</v>
      </c>
      <c r="B5649" s="117" t="s">
        <v>8951</v>
      </c>
      <c r="C5649" t="s">
        <v>67</v>
      </c>
      <c r="D5649" t="s">
        <v>67</v>
      </c>
      <c r="E5649" t="s">
        <v>67</v>
      </c>
      <c r="F5649" t="s">
        <v>27987</v>
      </c>
      <c r="G5649" s="117">
        <v>63.98</v>
      </c>
    </row>
    <row r="5650" spans="1:7" x14ac:dyDescent="0.25">
      <c r="A5650" s="116" t="s">
        <v>8952</v>
      </c>
      <c r="B5650" s="117" t="s">
        <v>8953</v>
      </c>
      <c r="C5650" t="s">
        <v>67</v>
      </c>
      <c r="D5650" t="s">
        <v>67</v>
      </c>
      <c r="E5650" t="s">
        <v>67</v>
      </c>
      <c r="F5650" t="s">
        <v>45</v>
      </c>
      <c r="G5650" s="117">
        <v>6.14</v>
      </c>
    </row>
    <row r="5651" spans="1:7" x14ac:dyDescent="0.25">
      <c r="A5651" s="116" t="s">
        <v>8954</v>
      </c>
      <c r="B5651" s="117" t="s">
        <v>5774</v>
      </c>
      <c r="C5651" t="s">
        <v>67</v>
      </c>
      <c r="D5651" t="s">
        <v>67</v>
      </c>
      <c r="E5651" t="s">
        <v>67</v>
      </c>
      <c r="F5651" t="s">
        <v>27987</v>
      </c>
      <c r="G5651" s="117">
        <v>56.5</v>
      </c>
    </row>
    <row r="5652" spans="1:7" x14ac:dyDescent="0.25">
      <c r="A5652" s="116" t="s">
        <v>8955</v>
      </c>
      <c r="B5652" s="117" t="s">
        <v>8956</v>
      </c>
      <c r="C5652" t="s">
        <v>67</v>
      </c>
      <c r="D5652" t="s">
        <v>67</v>
      </c>
      <c r="E5652" t="s">
        <v>67</v>
      </c>
      <c r="F5652" t="s">
        <v>49</v>
      </c>
      <c r="G5652" s="117">
        <v>1.69</v>
      </c>
    </row>
    <row r="5653" spans="1:7" x14ac:dyDescent="0.25">
      <c r="A5653" s="116" t="s">
        <v>8957</v>
      </c>
      <c r="B5653" s="117" t="s">
        <v>8958</v>
      </c>
      <c r="C5653" t="s">
        <v>67</v>
      </c>
      <c r="D5653" t="s">
        <v>67</v>
      </c>
      <c r="E5653" t="s">
        <v>67</v>
      </c>
      <c r="F5653" t="s">
        <v>27987</v>
      </c>
      <c r="G5653" s="117">
        <v>1.33</v>
      </c>
    </row>
    <row r="5654" spans="1:7" x14ac:dyDescent="0.25">
      <c r="A5654" s="116" t="s">
        <v>8959</v>
      </c>
      <c r="B5654" s="117" t="s">
        <v>8755</v>
      </c>
      <c r="C5654" t="s">
        <v>67</v>
      </c>
      <c r="D5654" t="s">
        <v>67</v>
      </c>
      <c r="E5654" t="s">
        <v>67</v>
      </c>
      <c r="F5654" t="s">
        <v>45</v>
      </c>
      <c r="G5654" s="117">
        <v>0.8</v>
      </c>
    </row>
    <row r="5655" spans="1:7" x14ac:dyDescent="0.25">
      <c r="A5655" s="116" t="s">
        <v>8960</v>
      </c>
      <c r="B5655" s="117" t="s">
        <v>8961</v>
      </c>
      <c r="C5655" t="s">
        <v>67</v>
      </c>
      <c r="D5655" t="s">
        <v>67</v>
      </c>
      <c r="E5655" t="s">
        <v>67</v>
      </c>
      <c r="F5655" t="s">
        <v>27987</v>
      </c>
      <c r="G5655" s="117">
        <v>8.4499999999999993</v>
      </c>
    </row>
    <row r="5656" spans="1:7" x14ac:dyDescent="0.25">
      <c r="A5656" s="116" t="s">
        <v>28787</v>
      </c>
      <c r="B5656" s="117" t="s">
        <v>28788</v>
      </c>
      <c r="C5656" t="s">
        <v>67</v>
      </c>
      <c r="D5656" t="s">
        <v>67</v>
      </c>
      <c r="E5656" t="s">
        <v>67</v>
      </c>
      <c r="F5656" t="s">
        <v>45</v>
      </c>
      <c r="G5656" s="117">
        <v>0</v>
      </c>
    </row>
    <row r="5657" spans="1:7" x14ac:dyDescent="0.25">
      <c r="A5657" s="116" t="s">
        <v>28789</v>
      </c>
      <c r="B5657" s="117" t="s">
        <v>28790</v>
      </c>
      <c r="C5657" t="s">
        <v>67</v>
      </c>
      <c r="D5657" t="s">
        <v>67</v>
      </c>
      <c r="E5657" t="s">
        <v>67</v>
      </c>
      <c r="F5657" t="s">
        <v>27987</v>
      </c>
      <c r="G5657" s="117">
        <v>1.7</v>
      </c>
    </row>
    <row r="5658" spans="1:7" x14ac:dyDescent="0.25">
      <c r="A5658" s="116" t="s">
        <v>8962</v>
      </c>
      <c r="B5658" s="117" t="s">
        <v>8963</v>
      </c>
      <c r="C5658" t="s">
        <v>67</v>
      </c>
      <c r="D5658" t="s">
        <v>67</v>
      </c>
      <c r="E5658" t="s">
        <v>67</v>
      </c>
      <c r="F5658" t="s">
        <v>45</v>
      </c>
      <c r="G5658" s="117">
        <v>6.14</v>
      </c>
    </row>
    <row r="5659" spans="1:7" x14ac:dyDescent="0.25">
      <c r="A5659" s="116" t="s">
        <v>8964</v>
      </c>
      <c r="B5659" s="117" t="s">
        <v>8965</v>
      </c>
      <c r="C5659" t="s">
        <v>67</v>
      </c>
      <c r="D5659" t="s">
        <v>67</v>
      </c>
      <c r="E5659" t="s">
        <v>67</v>
      </c>
      <c r="F5659" t="s">
        <v>27987</v>
      </c>
      <c r="G5659" s="117">
        <v>1.33</v>
      </c>
    </row>
    <row r="5660" spans="1:7" x14ac:dyDescent="0.25">
      <c r="A5660" s="116" t="s">
        <v>8966</v>
      </c>
      <c r="B5660" s="117" t="s">
        <v>8967</v>
      </c>
      <c r="C5660" t="s">
        <v>67</v>
      </c>
      <c r="D5660" t="s">
        <v>67</v>
      </c>
      <c r="E5660" t="s">
        <v>67</v>
      </c>
      <c r="F5660" t="s">
        <v>27987</v>
      </c>
      <c r="G5660" s="117">
        <v>0.8</v>
      </c>
    </row>
    <row r="5661" spans="1:7" x14ac:dyDescent="0.25">
      <c r="A5661" s="116" t="s">
        <v>8968</v>
      </c>
      <c r="B5661" s="117" t="s">
        <v>28791</v>
      </c>
      <c r="C5661" t="s">
        <v>67</v>
      </c>
      <c r="D5661" t="s">
        <v>67</v>
      </c>
      <c r="E5661" t="s">
        <v>67</v>
      </c>
      <c r="F5661" t="s">
        <v>27987</v>
      </c>
      <c r="G5661" s="117">
        <v>5.85</v>
      </c>
    </row>
    <row r="5662" spans="1:7" x14ac:dyDescent="0.25">
      <c r="A5662" s="116" t="s">
        <v>8969</v>
      </c>
      <c r="B5662" s="117" t="s">
        <v>8970</v>
      </c>
      <c r="C5662" t="s">
        <v>67</v>
      </c>
      <c r="D5662" t="s">
        <v>67</v>
      </c>
      <c r="E5662" t="s">
        <v>67</v>
      </c>
      <c r="F5662" t="s">
        <v>27987</v>
      </c>
      <c r="G5662" s="117">
        <v>4</v>
      </c>
    </row>
    <row r="5663" spans="1:7" x14ac:dyDescent="0.25">
      <c r="A5663" s="116" t="s">
        <v>8971</v>
      </c>
      <c r="B5663" s="117" t="s">
        <v>8972</v>
      </c>
      <c r="C5663" t="s">
        <v>67</v>
      </c>
      <c r="D5663" t="s">
        <v>67</v>
      </c>
      <c r="E5663" t="s">
        <v>67</v>
      </c>
      <c r="F5663" t="s">
        <v>27987</v>
      </c>
      <c r="G5663" s="117">
        <v>3.12</v>
      </c>
    </row>
    <row r="5664" spans="1:7" x14ac:dyDescent="0.25">
      <c r="A5664" s="116" t="s">
        <v>8973</v>
      </c>
      <c r="B5664" s="117" t="s">
        <v>8974</v>
      </c>
      <c r="C5664" t="s">
        <v>67</v>
      </c>
      <c r="D5664" t="s">
        <v>67</v>
      </c>
      <c r="E5664" t="s">
        <v>67</v>
      </c>
      <c r="F5664" t="s">
        <v>45</v>
      </c>
      <c r="G5664" s="117">
        <v>4.8899999999999997</v>
      </c>
    </row>
    <row r="5665" spans="1:7" x14ac:dyDescent="0.25">
      <c r="A5665" s="116" t="s">
        <v>8975</v>
      </c>
      <c r="B5665" s="117" t="s">
        <v>8487</v>
      </c>
      <c r="C5665" t="s">
        <v>67</v>
      </c>
      <c r="D5665" t="s">
        <v>67</v>
      </c>
      <c r="E5665" t="s">
        <v>67</v>
      </c>
      <c r="F5665" t="s">
        <v>51</v>
      </c>
      <c r="G5665" s="117">
        <v>0.8</v>
      </c>
    </row>
    <row r="5666" spans="1:7" x14ac:dyDescent="0.25">
      <c r="A5666" s="116" t="s">
        <v>8976</v>
      </c>
      <c r="B5666" s="117" t="s">
        <v>8977</v>
      </c>
      <c r="C5666" t="s">
        <v>67</v>
      </c>
      <c r="D5666" t="s">
        <v>67</v>
      </c>
      <c r="E5666" t="s">
        <v>67</v>
      </c>
      <c r="F5666" t="s">
        <v>27987</v>
      </c>
      <c r="G5666" s="117">
        <v>0.44</v>
      </c>
    </row>
    <row r="5667" spans="1:7" x14ac:dyDescent="0.25">
      <c r="A5667" s="116" t="s">
        <v>8978</v>
      </c>
      <c r="B5667" s="117" t="s">
        <v>8487</v>
      </c>
      <c r="C5667" t="s">
        <v>67</v>
      </c>
      <c r="D5667" t="s">
        <v>67</v>
      </c>
      <c r="E5667" t="s">
        <v>67</v>
      </c>
      <c r="F5667" t="s">
        <v>49</v>
      </c>
      <c r="G5667" s="117">
        <v>0.89</v>
      </c>
    </row>
    <row r="5668" spans="1:7" x14ac:dyDescent="0.25">
      <c r="A5668" s="116" t="s">
        <v>8979</v>
      </c>
      <c r="B5668" s="117" t="s">
        <v>8487</v>
      </c>
      <c r="C5668" t="s">
        <v>67</v>
      </c>
      <c r="D5668" t="s">
        <v>67</v>
      </c>
      <c r="E5668" t="s">
        <v>67</v>
      </c>
      <c r="F5668" t="s">
        <v>49</v>
      </c>
      <c r="G5668" s="117">
        <v>0.8</v>
      </c>
    </row>
    <row r="5669" spans="1:7" x14ac:dyDescent="0.25">
      <c r="A5669" s="116" t="s">
        <v>8980</v>
      </c>
      <c r="B5669" s="117" t="s">
        <v>8981</v>
      </c>
      <c r="C5669" t="s">
        <v>67</v>
      </c>
      <c r="D5669" t="s">
        <v>67</v>
      </c>
      <c r="E5669" t="s">
        <v>67</v>
      </c>
      <c r="F5669" t="s">
        <v>27987</v>
      </c>
      <c r="G5669" s="117">
        <v>1.69</v>
      </c>
    </row>
    <row r="5670" spans="1:7" x14ac:dyDescent="0.25">
      <c r="A5670" s="116" t="s">
        <v>8982</v>
      </c>
      <c r="B5670" s="117" t="s">
        <v>8983</v>
      </c>
      <c r="C5670" t="s">
        <v>67</v>
      </c>
      <c r="D5670" t="s">
        <v>67</v>
      </c>
      <c r="E5670" t="s">
        <v>67</v>
      </c>
      <c r="F5670" t="s">
        <v>27987</v>
      </c>
      <c r="G5670" s="117">
        <v>0.8</v>
      </c>
    </row>
    <row r="5671" spans="1:7" x14ac:dyDescent="0.25">
      <c r="A5671" s="116" t="s">
        <v>8984</v>
      </c>
      <c r="B5671" s="117" t="s">
        <v>8985</v>
      </c>
      <c r="C5671" t="s">
        <v>67</v>
      </c>
      <c r="D5671" t="s">
        <v>67</v>
      </c>
      <c r="E5671" t="s">
        <v>67</v>
      </c>
      <c r="F5671" t="s">
        <v>27987</v>
      </c>
      <c r="G5671" s="117">
        <v>1.33</v>
      </c>
    </row>
    <row r="5672" spans="1:7" x14ac:dyDescent="0.25">
      <c r="A5672" s="116" t="s">
        <v>8986</v>
      </c>
      <c r="B5672" s="117" t="s">
        <v>8987</v>
      </c>
      <c r="C5672" t="s">
        <v>67</v>
      </c>
      <c r="D5672" t="s">
        <v>67</v>
      </c>
      <c r="E5672" t="s">
        <v>67</v>
      </c>
      <c r="F5672" t="s">
        <v>49</v>
      </c>
      <c r="G5672" s="117">
        <v>0.44</v>
      </c>
    </row>
    <row r="5673" spans="1:7" x14ac:dyDescent="0.25">
      <c r="A5673" s="116" t="s">
        <v>8988</v>
      </c>
      <c r="B5673" s="117" t="s">
        <v>8989</v>
      </c>
      <c r="C5673" t="s">
        <v>67</v>
      </c>
      <c r="D5673" t="s">
        <v>67</v>
      </c>
      <c r="E5673" t="s">
        <v>67</v>
      </c>
      <c r="F5673" t="s">
        <v>49</v>
      </c>
      <c r="G5673" s="117">
        <v>1.33</v>
      </c>
    </row>
    <row r="5674" spans="1:7" x14ac:dyDescent="0.25">
      <c r="A5674" s="116" t="s">
        <v>8990</v>
      </c>
      <c r="B5674" s="117" t="s">
        <v>8991</v>
      </c>
      <c r="C5674" t="s">
        <v>67</v>
      </c>
      <c r="D5674" t="s">
        <v>67</v>
      </c>
      <c r="E5674" t="s">
        <v>67</v>
      </c>
      <c r="F5674" t="s">
        <v>27987</v>
      </c>
      <c r="G5674" s="117">
        <v>2.23</v>
      </c>
    </row>
    <row r="5675" spans="1:7" x14ac:dyDescent="0.25">
      <c r="A5675" s="116" t="s">
        <v>8992</v>
      </c>
      <c r="B5675" s="117" t="s">
        <v>8993</v>
      </c>
      <c r="C5675" t="s">
        <v>67</v>
      </c>
      <c r="D5675" t="s">
        <v>67</v>
      </c>
      <c r="E5675" t="s">
        <v>67</v>
      </c>
      <c r="F5675" t="s">
        <v>49</v>
      </c>
      <c r="G5675" s="117">
        <v>0.8</v>
      </c>
    </row>
    <row r="5676" spans="1:7" x14ac:dyDescent="0.25">
      <c r="A5676" s="116" t="s">
        <v>8994</v>
      </c>
      <c r="B5676" s="117" t="s">
        <v>8995</v>
      </c>
      <c r="C5676" t="s">
        <v>67</v>
      </c>
      <c r="D5676" t="s">
        <v>67</v>
      </c>
      <c r="E5676" t="s">
        <v>67</v>
      </c>
      <c r="F5676" t="s">
        <v>51</v>
      </c>
      <c r="G5676" s="117">
        <v>0.44</v>
      </c>
    </row>
    <row r="5677" spans="1:7" x14ac:dyDescent="0.25">
      <c r="A5677" s="116" t="s">
        <v>8996</v>
      </c>
      <c r="B5677" s="117" t="s">
        <v>8997</v>
      </c>
      <c r="C5677" t="s">
        <v>67</v>
      </c>
      <c r="D5677" t="s">
        <v>67</v>
      </c>
      <c r="E5677" t="s">
        <v>67</v>
      </c>
      <c r="F5677" t="s">
        <v>27987</v>
      </c>
      <c r="G5677" s="117">
        <v>3.12</v>
      </c>
    </row>
    <row r="5678" spans="1:7" x14ac:dyDescent="0.25">
      <c r="A5678" s="116" t="s">
        <v>8998</v>
      </c>
      <c r="B5678" s="117" t="s">
        <v>8999</v>
      </c>
      <c r="C5678" t="s">
        <v>67</v>
      </c>
      <c r="D5678" t="s">
        <v>67</v>
      </c>
      <c r="E5678" t="s">
        <v>67</v>
      </c>
      <c r="F5678" t="s">
        <v>49</v>
      </c>
      <c r="G5678" s="117">
        <v>8.4499999999999993</v>
      </c>
    </row>
    <row r="5679" spans="1:7" x14ac:dyDescent="0.25">
      <c r="A5679" s="116" t="s">
        <v>9000</v>
      </c>
      <c r="B5679" s="117" t="s">
        <v>8196</v>
      </c>
      <c r="C5679" t="s">
        <v>67</v>
      </c>
      <c r="D5679" t="s">
        <v>67</v>
      </c>
      <c r="E5679" t="s">
        <v>67</v>
      </c>
      <c r="F5679" t="s">
        <v>27987</v>
      </c>
      <c r="G5679" s="117">
        <v>2.58</v>
      </c>
    </row>
    <row r="5680" spans="1:7" x14ac:dyDescent="0.25">
      <c r="A5680" s="116" t="s">
        <v>9001</v>
      </c>
      <c r="B5680" s="117" t="s">
        <v>28792</v>
      </c>
      <c r="C5680" t="s">
        <v>67</v>
      </c>
      <c r="D5680" t="s">
        <v>67</v>
      </c>
      <c r="E5680" t="s">
        <v>67</v>
      </c>
      <c r="F5680" t="s">
        <v>27987</v>
      </c>
      <c r="G5680" s="117">
        <v>1.33</v>
      </c>
    </row>
    <row r="5681" spans="1:7" x14ac:dyDescent="0.25">
      <c r="A5681" s="116" t="s">
        <v>9002</v>
      </c>
      <c r="B5681" s="117" t="s">
        <v>9003</v>
      </c>
      <c r="C5681" t="s">
        <v>67</v>
      </c>
      <c r="D5681" t="s">
        <v>67</v>
      </c>
      <c r="E5681" t="s">
        <v>67</v>
      </c>
      <c r="F5681" t="s">
        <v>45</v>
      </c>
      <c r="G5681" s="117">
        <v>2.5099999999999998</v>
      </c>
    </row>
    <row r="5682" spans="1:7" x14ac:dyDescent="0.25">
      <c r="A5682" s="116" t="s">
        <v>9004</v>
      </c>
      <c r="B5682" s="117" t="s">
        <v>9005</v>
      </c>
      <c r="C5682" t="s">
        <v>67</v>
      </c>
      <c r="D5682" t="s">
        <v>67</v>
      </c>
      <c r="E5682" t="s">
        <v>67</v>
      </c>
      <c r="F5682" t="s">
        <v>45</v>
      </c>
      <c r="G5682" s="117">
        <v>2.23</v>
      </c>
    </row>
    <row r="5683" spans="1:7" x14ac:dyDescent="0.25">
      <c r="A5683" s="116" t="s">
        <v>9006</v>
      </c>
      <c r="B5683" s="117" t="s">
        <v>9007</v>
      </c>
      <c r="C5683" t="s">
        <v>67</v>
      </c>
      <c r="D5683" t="s">
        <v>67</v>
      </c>
      <c r="E5683" t="s">
        <v>67</v>
      </c>
      <c r="F5683" t="s">
        <v>49</v>
      </c>
      <c r="G5683" s="117">
        <v>12.9</v>
      </c>
    </row>
    <row r="5684" spans="1:7" x14ac:dyDescent="0.25">
      <c r="A5684" s="116" t="s">
        <v>9008</v>
      </c>
      <c r="B5684" s="117" t="s">
        <v>9009</v>
      </c>
      <c r="C5684" t="s">
        <v>67</v>
      </c>
      <c r="D5684" t="s">
        <v>67</v>
      </c>
      <c r="E5684" t="s">
        <v>67</v>
      </c>
      <c r="F5684" t="s">
        <v>27987</v>
      </c>
      <c r="G5684" s="117">
        <v>0.89</v>
      </c>
    </row>
    <row r="5685" spans="1:7" x14ac:dyDescent="0.25">
      <c r="A5685" s="116" t="s">
        <v>9010</v>
      </c>
      <c r="B5685" s="117" t="s">
        <v>8997</v>
      </c>
      <c r="C5685" t="s">
        <v>67</v>
      </c>
      <c r="D5685" t="s">
        <v>67</v>
      </c>
      <c r="E5685" t="s">
        <v>67</v>
      </c>
      <c r="F5685" t="s">
        <v>45</v>
      </c>
      <c r="G5685" s="117">
        <v>1.33</v>
      </c>
    </row>
    <row r="5686" spans="1:7" x14ac:dyDescent="0.25">
      <c r="A5686" s="116" t="s">
        <v>9011</v>
      </c>
      <c r="B5686" s="117" t="s">
        <v>9012</v>
      </c>
      <c r="C5686" t="s">
        <v>67</v>
      </c>
      <c r="D5686" t="s">
        <v>67</v>
      </c>
      <c r="E5686" t="s">
        <v>67</v>
      </c>
      <c r="F5686" t="s">
        <v>49</v>
      </c>
      <c r="G5686" s="117">
        <v>0.8</v>
      </c>
    </row>
    <row r="5687" spans="1:7" x14ac:dyDescent="0.25">
      <c r="A5687" s="116" t="s">
        <v>9013</v>
      </c>
      <c r="B5687" s="117" t="s">
        <v>9014</v>
      </c>
      <c r="C5687" t="s">
        <v>67</v>
      </c>
      <c r="D5687" t="s">
        <v>67</v>
      </c>
      <c r="E5687" t="s">
        <v>67</v>
      </c>
      <c r="F5687" t="s">
        <v>27987</v>
      </c>
      <c r="G5687" s="117">
        <v>3.56</v>
      </c>
    </row>
    <row r="5688" spans="1:7" x14ac:dyDescent="0.25">
      <c r="A5688" s="116" t="s">
        <v>9015</v>
      </c>
      <c r="B5688" s="117" t="s">
        <v>8997</v>
      </c>
      <c r="C5688" t="s">
        <v>67</v>
      </c>
      <c r="D5688" t="s">
        <v>67</v>
      </c>
      <c r="E5688" t="s">
        <v>67</v>
      </c>
      <c r="F5688" t="s">
        <v>45</v>
      </c>
      <c r="G5688" s="117">
        <v>1.33</v>
      </c>
    </row>
    <row r="5689" spans="1:7" x14ac:dyDescent="0.25">
      <c r="A5689" s="116" t="s">
        <v>9016</v>
      </c>
      <c r="B5689" s="117" t="s">
        <v>9017</v>
      </c>
      <c r="C5689" t="s">
        <v>67</v>
      </c>
      <c r="D5689" t="s">
        <v>67</v>
      </c>
      <c r="E5689" t="s">
        <v>67</v>
      </c>
      <c r="F5689" t="s">
        <v>27987</v>
      </c>
      <c r="G5689" s="117">
        <v>7.12</v>
      </c>
    </row>
    <row r="5690" spans="1:7" x14ac:dyDescent="0.25">
      <c r="A5690" s="116" t="s">
        <v>9018</v>
      </c>
      <c r="B5690" s="117" t="s">
        <v>8997</v>
      </c>
      <c r="C5690" t="s">
        <v>67</v>
      </c>
      <c r="D5690" t="s">
        <v>67</v>
      </c>
      <c r="E5690" t="s">
        <v>67</v>
      </c>
      <c r="F5690" t="s">
        <v>27987</v>
      </c>
      <c r="G5690" s="117">
        <v>1.69</v>
      </c>
    </row>
    <row r="5691" spans="1:7" x14ac:dyDescent="0.25">
      <c r="A5691" s="116" t="s">
        <v>9019</v>
      </c>
      <c r="B5691" s="117" t="s">
        <v>9020</v>
      </c>
      <c r="C5691" t="s">
        <v>67</v>
      </c>
      <c r="D5691" t="s">
        <v>67</v>
      </c>
      <c r="E5691" t="s">
        <v>67</v>
      </c>
      <c r="F5691" t="s">
        <v>27987</v>
      </c>
      <c r="G5691" s="117">
        <v>6.14</v>
      </c>
    </row>
    <row r="5692" spans="1:7" x14ac:dyDescent="0.25">
      <c r="A5692" s="116" t="s">
        <v>9021</v>
      </c>
      <c r="B5692" s="117" t="s">
        <v>28793</v>
      </c>
      <c r="C5692" t="s">
        <v>67</v>
      </c>
      <c r="D5692" t="s">
        <v>67</v>
      </c>
      <c r="E5692" t="s">
        <v>67</v>
      </c>
      <c r="F5692" t="s">
        <v>27987</v>
      </c>
      <c r="G5692" s="117">
        <v>1.7</v>
      </c>
    </row>
    <row r="5693" spans="1:7" x14ac:dyDescent="0.25">
      <c r="A5693" s="116" t="s">
        <v>9022</v>
      </c>
      <c r="B5693" s="117" t="s">
        <v>9023</v>
      </c>
      <c r="C5693" t="s">
        <v>67</v>
      </c>
      <c r="D5693" t="s">
        <v>67</v>
      </c>
      <c r="E5693" t="s">
        <v>67</v>
      </c>
      <c r="F5693" t="s">
        <v>45</v>
      </c>
      <c r="G5693" s="117">
        <v>27.14</v>
      </c>
    </row>
    <row r="5694" spans="1:7" x14ac:dyDescent="0.25">
      <c r="A5694" s="116" t="s">
        <v>9024</v>
      </c>
      <c r="B5694" s="117" t="s">
        <v>8997</v>
      </c>
      <c r="C5694" t="s">
        <v>67</v>
      </c>
      <c r="D5694" t="s">
        <v>67</v>
      </c>
      <c r="E5694" t="s">
        <v>67</v>
      </c>
      <c r="F5694" t="s">
        <v>45</v>
      </c>
      <c r="G5694" s="117">
        <v>12.01</v>
      </c>
    </row>
    <row r="5695" spans="1:7" x14ac:dyDescent="0.25">
      <c r="A5695" s="116" t="s">
        <v>9025</v>
      </c>
      <c r="B5695" s="117" t="s">
        <v>9026</v>
      </c>
      <c r="C5695" t="s">
        <v>67</v>
      </c>
      <c r="D5695" t="s">
        <v>67</v>
      </c>
      <c r="E5695" t="s">
        <v>67</v>
      </c>
      <c r="F5695" t="s">
        <v>49</v>
      </c>
      <c r="G5695" s="117">
        <v>0.38</v>
      </c>
    </row>
    <row r="5696" spans="1:7" x14ac:dyDescent="0.25">
      <c r="A5696" s="116" t="s">
        <v>9027</v>
      </c>
      <c r="B5696" s="117" t="s">
        <v>9028</v>
      </c>
      <c r="C5696" t="s">
        <v>67</v>
      </c>
      <c r="D5696" t="s">
        <v>67</v>
      </c>
      <c r="E5696" t="s">
        <v>67</v>
      </c>
      <c r="F5696" t="s">
        <v>51</v>
      </c>
      <c r="G5696" s="117">
        <v>3.48</v>
      </c>
    </row>
    <row r="5697" spans="1:7" x14ac:dyDescent="0.25">
      <c r="A5697" s="116" t="s">
        <v>9029</v>
      </c>
      <c r="B5697" s="117" t="s">
        <v>9030</v>
      </c>
      <c r="C5697" t="s">
        <v>67</v>
      </c>
      <c r="D5697" t="s">
        <v>67</v>
      </c>
      <c r="E5697" t="s">
        <v>67</v>
      </c>
      <c r="F5697" t="s">
        <v>49</v>
      </c>
      <c r="G5697" s="117">
        <v>3.12</v>
      </c>
    </row>
    <row r="5698" spans="1:7" x14ac:dyDescent="0.25">
      <c r="A5698" s="116" t="s">
        <v>9031</v>
      </c>
      <c r="B5698" s="117" t="s">
        <v>9032</v>
      </c>
      <c r="C5698" t="s">
        <v>67</v>
      </c>
      <c r="D5698" t="s">
        <v>67</v>
      </c>
      <c r="E5698" t="s">
        <v>67</v>
      </c>
      <c r="F5698" t="s">
        <v>27987</v>
      </c>
      <c r="G5698" s="117">
        <v>4.8899999999999997</v>
      </c>
    </row>
    <row r="5699" spans="1:7" x14ac:dyDescent="0.25">
      <c r="A5699" s="116" t="s">
        <v>9033</v>
      </c>
      <c r="B5699" s="117" t="s">
        <v>28794</v>
      </c>
      <c r="C5699" t="s">
        <v>67</v>
      </c>
      <c r="D5699" t="s">
        <v>67</v>
      </c>
      <c r="E5699" t="s">
        <v>67</v>
      </c>
      <c r="F5699" t="s">
        <v>49</v>
      </c>
      <c r="G5699" s="117">
        <v>1.33</v>
      </c>
    </row>
    <row r="5700" spans="1:7" x14ac:dyDescent="0.25">
      <c r="A5700" s="116" t="s">
        <v>9034</v>
      </c>
      <c r="B5700" s="117" t="s">
        <v>9035</v>
      </c>
      <c r="C5700" t="s">
        <v>67</v>
      </c>
      <c r="D5700" t="s">
        <v>67</v>
      </c>
      <c r="E5700" t="s">
        <v>67</v>
      </c>
      <c r="F5700" t="s">
        <v>49</v>
      </c>
      <c r="G5700" s="117">
        <v>1.69</v>
      </c>
    </row>
    <row r="5701" spans="1:7" x14ac:dyDescent="0.25">
      <c r="A5701" s="116" t="s">
        <v>9036</v>
      </c>
      <c r="B5701" s="117" t="s">
        <v>9037</v>
      </c>
      <c r="C5701" t="s">
        <v>67</v>
      </c>
      <c r="D5701" t="s">
        <v>67</v>
      </c>
      <c r="E5701" t="s">
        <v>67</v>
      </c>
      <c r="F5701" t="s">
        <v>27987</v>
      </c>
      <c r="G5701" s="117">
        <v>1.33</v>
      </c>
    </row>
    <row r="5702" spans="1:7" x14ac:dyDescent="0.25">
      <c r="A5702" s="116" t="s">
        <v>9038</v>
      </c>
      <c r="B5702" s="117" t="s">
        <v>9039</v>
      </c>
      <c r="C5702" t="s">
        <v>67</v>
      </c>
      <c r="D5702" t="s">
        <v>67</v>
      </c>
      <c r="E5702" t="s">
        <v>67</v>
      </c>
      <c r="F5702" t="s">
        <v>49</v>
      </c>
      <c r="G5702" s="117">
        <v>1.33</v>
      </c>
    </row>
    <row r="5703" spans="1:7" x14ac:dyDescent="0.25">
      <c r="A5703" s="116" t="s">
        <v>9040</v>
      </c>
      <c r="B5703" s="117" t="s">
        <v>9028</v>
      </c>
      <c r="C5703" t="s">
        <v>67</v>
      </c>
      <c r="D5703" t="s">
        <v>67</v>
      </c>
      <c r="E5703" t="s">
        <v>67</v>
      </c>
      <c r="F5703" t="s">
        <v>49</v>
      </c>
      <c r="G5703" s="117">
        <v>1.69</v>
      </c>
    </row>
    <row r="5704" spans="1:7" x14ac:dyDescent="0.25">
      <c r="A5704" s="116" t="s">
        <v>9041</v>
      </c>
      <c r="B5704" s="117" t="s">
        <v>9042</v>
      </c>
      <c r="C5704" t="s">
        <v>67</v>
      </c>
      <c r="D5704" t="s">
        <v>67</v>
      </c>
      <c r="E5704" t="s">
        <v>67</v>
      </c>
      <c r="F5704" t="s">
        <v>27987</v>
      </c>
      <c r="G5704" s="117">
        <v>2.58</v>
      </c>
    </row>
    <row r="5705" spans="1:7" x14ac:dyDescent="0.25">
      <c r="A5705" s="116" t="s">
        <v>9043</v>
      </c>
      <c r="B5705" s="117" t="s">
        <v>9044</v>
      </c>
      <c r="C5705" t="s">
        <v>67</v>
      </c>
      <c r="D5705" t="s">
        <v>67</v>
      </c>
      <c r="E5705" t="s">
        <v>67</v>
      </c>
      <c r="F5705" t="s">
        <v>27987</v>
      </c>
      <c r="G5705" s="117">
        <v>2.58</v>
      </c>
    </row>
    <row r="5706" spans="1:7" x14ac:dyDescent="0.25">
      <c r="A5706" s="116" t="s">
        <v>9045</v>
      </c>
      <c r="B5706" s="117" t="s">
        <v>9028</v>
      </c>
      <c r="C5706" t="s">
        <v>67</v>
      </c>
      <c r="D5706" t="s">
        <v>67</v>
      </c>
      <c r="E5706" t="s">
        <v>67</v>
      </c>
      <c r="F5706" t="s">
        <v>45</v>
      </c>
      <c r="G5706" s="117">
        <v>4</v>
      </c>
    </row>
    <row r="5707" spans="1:7" x14ac:dyDescent="0.25">
      <c r="A5707" s="116" t="s">
        <v>9046</v>
      </c>
      <c r="B5707" s="117" t="s">
        <v>8006</v>
      </c>
      <c r="C5707" t="s">
        <v>67</v>
      </c>
      <c r="D5707" t="s">
        <v>67</v>
      </c>
      <c r="E5707" t="s">
        <v>67</v>
      </c>
      <c r="F5707" t="s">
        <v>27987</v>
      </c>
      <c r="G5707" s="117">
        <v>1.69</v>
      </c>
    </row>
    <row r="5708" spans="1:7" x14ac:dyDescent="0.25">
      <c r="A5708" s="116" t="s">
        <v>9047</v>
      </c>
      <c r="B5708" s="117" t="s">
        <v>9048</v>
      </c>
      <c r="C5708" t="s">
        <v>67</v>
      </c>
      <c r="D5708" t="s">
        <v>67</v>
      </c>
      <c r="E5708" t="s">
        <v>67</v>
      </c>
      <c r="F5708" t="s">
        <v>49</v>
      </c>
      <c r="G5708" s="117">
        <v>3</v>
      </c>
    </row>
    <row r="5709" spans="1:7" x14ac:dyDescent="0.25">
      <c r="A5709" s="116" t="s">
        <v>9049</v>
      </c>
      <c r="B5709" s="117" t="s">
        <v>9050</v>
      </c>
      <c r="C5709" t="s">
        <v>67</v>
      </c>
      <c r="D5709" t="s">
        <v>67</v>
      </c>
      <c r="E5709" t="s">
        <v>67</v>
      </c>
      <c r="F5709" t="s">
        <v>49</v>
      </c>
      <c r="G5709" s="117">
        <v>1.69</v>
      </c>
    </row>
    <row r="5710" spans="1:7" x14ac:dyDescent="0.25">
      <c r="A5710" s="116" t="s">
        <v>9051</v>
      </c>
      <c r="B5710" s="117" t="s">
        <v>28795</v>
      </c>
      <c r="C5710" t="s">
        <v>67</v>
      </c>
      <c r="D5710" t="s">
        <v>67</v>
      </c>
      <c r="E5710" t="s">
        <v>67</v>
      </c>
      <c r="F5710" t="s">
        <v>49</v>
      </c>
      <c r="G5710" s="117">
        <v>1.94</v>
      </c>
    </row>
    <row r="5711" spans="1:7" x14ac:dyDescent="0.25">
      <c r="A5711" s="116" t="s">
        <v>9052</v>
      </c>
      <c r="B5711" s="117" t="s">
        <v>9053</v>
      </c>
      <c r="C5711" t="s">
        <v>67</v>
      </c>
      <c r="D5711" t="s">
        <v>67</v>
      </c>
      <c r="E5711" t="s">
        <v>67</v>
      </c>
      <c r="F5711" t="s">
        <v>27987</v>
      </c>
      <c r="G5711" s="117">
        <v>1.33</v>
      </c>
    </row>
    <row r="5712" spans="1:7" x14ac:dyDescent="0.25">
      <c r="A5712" s="116" t="s">
        <v>9054</v>
      </c>
      <c r="B5712" s="117" t="s">
        <v>9055</v>
      </c>
      <c r="C5712" t="s">
        <v>67</v>
      </c>
      <c r="D5712" t="s">
        <v>67</v>
      </c>
      <c r="E5712" t="s">
        <v>67</v>
      </c>
      <c r="F5712" t="s">
        <v>27987</v>
      </c>
      <c r="G5712" s="117">
        <v>1.33</v>
      </c>
    </row>
    <row r="5713" spans="1:7" x14ac:dyDescent="0.25">
      <c r="A5713" s="116" t="s">
        <v>9056</v>
      </c>
      <c r="B5713" s="117" t="s">
        <v>8076</v>
      </c>
      <c r="C5713" t="s">
        <v>67</v>
      </c>
      <c r="D5713" t="s">
        <v>67</v>
      </c>
      <c r="E5713" t="s">
        <v>67</v>
      </c>
      <c r="F5713" t="s">
        <v>51</v>
      </c>
      <c r="G5713" s="117">
        <v>0.44</v>
      </c>
    </row>
    <row r="5714" spans="1:7" x14ac:dyDescent="0.25">
      <c r="A5714" s="116" t="s">
        <v>9057</v>
      </c>
      <c r="B5714" s="117" t="s">
        <v>9058</v>
      </c>
      <c r="C5714" t="s">
        <v>67</v>
      </c>
      <c r="D5714" t="s">
        <v>67</v>
      </c>
      <c r="E5714" t="s">
        <v>67</v>
      </c>
      <c r="F5714" t="s">
        <v>49</v>
      </c>
      <c r="G5714" s="117">
        <v>0.44</v>
      </c>
    </row>
    <row r="5715" spans="1:7" x14ac:dyDescent="0.25">
      <c r="A5715" s="116" t="s">
        <v>9059</v>
      </c>
      <c r="B5715" s="117" t="s">
        <v>9060</v>
      </c>
      <c r="C5715" t="s">
        <v>67</v>
      </c>
      <c r="D5715" t="s">
        <v>67</v>
      </c>
      <c r="E5715" t="s">
        <v>67</v>
      </c>
      <c r="F5715" t="s">
        <v>27990</v>
      </c>
      <c r="G5715" s="117">
        <v>0.44</v>
      </c>
    </row>
    <row r="5716" spans="1:7" x14ac:dyDescent="0.25">
      <c r="A5716" s="116" t="s">
        <v>9061</v>
      </c>
      <c r="B5716" s="117" t="s">
        <v>9062</v>
      </c>
      <c r="C5716" t="s">
        <v>67</v>
      </c>
      <c r="D5716" t="s">
        <v>67</v>
      </c>
      <c r="E5716" t="s">
        <v>67</v>
      </c>
      <c r="F5716" t="s">
        <v>49</v>
      </c>
      <c r="G5716" s="117">
        <v>0.44</v>
      </c>
    </row>
    <row r="5717" spans="1:7" x14ac:dyDescent="0.25">
      <c r="A5717" s="116" t="s">
        <v>9063</v>
      </c>
      <c r="B5717" s="117" t="s">
        <v>9064</v>
      </c>
      <c r="C5717" t="s">
        <v>67</v>
      </c>
      <c r="D5717" t="s">
        <v>67</v>
      </c>
      <c r="E5717" t="s">
        <v>67</v>
      </c>
      <c r="F5717" t="s">
        <v>49</v>
      </c>
      <c r="G5717" s="117">
        <v>1.33</v>
      </c>
    </row>
    <row r="5718" spans="1:7" x14ac:dyDescent="0.25">
      <c r="A5718" s="116" t="s">
        <v>9065</v>
      </c>
      <c r="B5718" s="117" t="s">
        <v>9066</v>
      </c>
      <c r="C5718" t="s">
        <v>67</v>
      </c>
      <c r="D5718" t="s">
        <v>67</v>
      </c>
      <c r="E5718" t="s">
        <v>67</v>
      </c>
      <c r="F5718" t="s">
        <v>27987</v>
      </c>
      <c r="G5718" s="117">
        <v>0.44</v>
      </c>
    </row>
    <row r="5719" spans="1:7" x14ac:dyDescent="0.25">
      <c r="A5719" s="116" t="s">
        <v>9067</v>
      </c>
      <c r="B5719" s="117" t="s">
        <v>9068</v>
      </c>
      <c r="C5719" t="s">
        <v>67</v>
      </c>
      <c r="D5719" t="s">
        <v>67</v>
      </c>
      <c r="E5719" t="s">
        <v>67</v>
      </c>
      <c r="F5719" t="s">
        <v>45</v>
      </c>
      <c r="G5719" s="117">
        <v>0.8</v>
      </c>
    </row>
    <row r="5720" spans="1:7" x14ac:dyDescent="0.25">
      <c r="A5720" s="116" t="s">
        <v>9069</v>
      </c>
      <c r="B5720" s="117" t="s">
        <v>9070</v>
      </c>
      <c r="C5720" t="s">
        <v>67</v>
      </c>
      <c r="D5720" t="s">
        <v>67</v>
      </c>
      <c r="E5720" t="s">
        <v>67</v>
      </c>
      <c r="F5720" t="s">
        <v>51</v>
      </c>
      <c r="G5720" s="117">
        <v>0.44</v>
      </c>
    </row>
    <row r="5721" spans="1:7" x14ac:dyDescent="0.25">
      <c r="A5721" s="116" t="s">
        <v>9071</v>
      </c>
      <c r="B5721" s="117" t="s">
        <v>9072</v>
      </c>
      <c r="C5721" t="s">
        <v>67</v>
      </c>
      <c r="D5721" t="s">
        <v>67</v>
      </c>
      <c r="E5721" t="s">
        <v>67</v>
      </c>
      <c r="F5721" t="s">
        <v>27987</v>
      </c>
      <c r="G5721" s="117">
        <v>1.33</v>
      </c>
    </row>
    <row r="5722" spans="1:7" x14ac:dyDescent="0.25">
      <c r="A5722" s="116" t="s">
        <v>9073</v>
      </c>
      <c r="B5722" s="117" t="s">
        <v>9074</v>
      </c>
      <c r="C5722" t="s">
        <v>67</v>
      </c>
      <c r="D5722" t="s">
        <v>67</v>
      </c>
      <c r="E5722" t="s">
        <v>67</v>
      </c>
      <c r="F5722" t="s">
        <v>49</v>
      </c>
      <c r="G5722" s="117">
        <v>0.8</v>
      </c>
    </row>
    <row r="5723" spans="1:7" x14ac:dyDescent="0.25">
      <c r="A5723" s="116" t="s">
        <v>9075</v>
      </c>
      <c r="B5723" s="117" t="s">
        <v>9076</v>
      </c>
      <c r="C5723" t="s">
        <v>67</v>
      </c>
      <c r="D5723" t="s">
        <v>67</v>
      </c>
      <c r="E5723" t="s">
        <v>67</v>
      </c>
      <c r="F5723" t="s">
        <v>49</v>
      </c>
      <c r="G5723" s="117">
        <v>1.33</v>
      </c>
    </row>
    <row r="5724" spans="1:7" x14ac:dyDescent="0.25">
      <c r="A5724" s="116" t="s">
        <v>9077</v>
      </c>
      <c r="B5724" s="117" t="s">
        <v>9078</v>
      </c>
      <c r="C5724" t="s">
        <v>67</v>
      </c>
      <c r="D5724" t="s">
        <v>67</v>
      </c>
      <c r="E5724" t="s">
        <v>67</v>
      </c>
      <c r="F5724" t="s">
        <v>27990</v>
      </c>
      <c r="G5724" s="117">
        <v>0.8</v>
      </c>
    </row>
    <row r="5725" spans="1:7" x14ac:dyDescent="0.25">
      <c r="A5725" s="116" t="s">
        <v>9079</v>
      </c>
      <c r="B5725" s="117" t="s">
        <v>9080</v>
      </c>
      <c r="C5725" t="s">
        <v>67</v>
      </c>
      <c r="D5725" t="s">
        <v>67</v>
      </c>
      <c r="E5725" t="s">
        <v>67</v>
      </c>
      <c r="F5725" t="s">
        <v>27987</v>
      </c>
      <c r="G5725" s="117">
        <v>1.69</v>
      </c>
    </row>
    <row r="5726" spans="1:7" x14ac:dyDescent="0.25">
      <c r="A5726" s="116" t="s">
        <v>9081</v>
      </c>
      <c r="B5726" s="117" t="s">
        <v>9082</v>
      </c>
      <c r="C5726" t="s">
        <v>67</v>
      </c>
      <c r="D5726" t="s">
        <v>67</v>
      </c>
      <c r="E5726" t="s">
        <v>67</v>
      </c>
      <c r="F5726" t="s">
        <v>49</v>
      </c>
      <c r="G5726" s="117">
        <v>0.8</v>
      </c>
    </row>
    <row r="5727" spans="1:7" x14ac:dyDescent="0.25">
      <c r="A5727" s="116" t="s">
        <v>9083</v>
      </c>
      <c r="B5727" s="117" t="s">
        <v>9084</v>
      </c>
      <c r="C5727" t="s">
        <v>67</v>
      </c>
      <c r="D5727" t="s">
        <v>67</v>
      </c>
      <c r="E5727" t="s">
        <v>67</v>
      </c>
      <c r="F5727" t="s">
        <v>49</v>
      </c>
      <c r="G5727" s="117">
        <v>0.44</v>
      </c>
    </row>
    <row r="5728" spans="1:7" x14ac:dyDescent="0.25">
      <c r="A5728" s="116" t="s">
        <v>9085</v>
      </c>
      <c r="B5728" s="117" t="s">
        <v>9086</v>
      </c>
      <c r="C5728" t="s">
        <v>67</v>
      </c>
      <c r="D5728" t="s">
        <v>67</v>
      </c>
      <c r="E5728" t="s">
        <v>67</v>
      </c>
      <c r="F5728" t="s">
        <v>45</v>
      </c>
      <c r="G5728" s="117">
        <v>0.44</v>
      </c>
    </row>
    <row r="5729" spans="1:7" x14ac:dyDescent="0.25">
      <c r="A5729" s="116" t="s">
        <v>9087</v>
      </c>
      <c r="B5729" s="117" t="s">
        <v>9088</v>
      </c>
      <c r="C5729" t="s">
        <v>67</v>
      </c>
      <c r="D5729" t="s">
        <v>67</v>
      </c>
      <c r="E5729" t="s">
        <v>67</v>
      </c>
      <c r="F5729" t="s">
        <v>49</v>
      </c>
      <c r="G5729" s="117">
        <v>1.33</v>
      </c>
    </row>
    <row r="5730" spans="1:7" x14ac:dyDescent="0.25">
      <c r="A5730" s="116" t="s">
        <v>9089</v>
      </c>
      <c r="B5730" s="117" t="s">
        <v>8008</v>
      </c>
      <c r="C5730" t="s">
        <v>67</v>
      </c>
      <c r="D5730" t="s">
        <v>67</v>
      </c>
      <c r="E5730" t="s">
        <v>67</v>
      </c>
      <c r="F5730" t="s">
        <v>51</v>
      </c>
      <c r="G5730" s="117">
        <v>0.8</v>
      </c>
    </row>
    <row r="5731" spans="1:7" x14ac:dyDescent="0.25">
      <c r="A5731" s="116" t="s">
        <v>9090</v>
      </c>
      <c r="B5731" s="117" t="s">
        <v>9091</v>
      </c>
      <c r="C5731" t="s">
        <v>67</v>
      </c>
      <c r="D5731" t="s">
        <v>67</v>
      </c>
      <c r="E5731" t="s">
        <v>67</v>
      </c>
      <c r="F5731" t="s">
        <v>49</v>
      </c>
      <c r="G5731" s="117">
        <v>0.8</v>
      </c>
    </row>
    <row r="5732" spans="1:7" x14ac:dyDescent="0.25">
      <c r="A5732" s="116" t="s">
        <v>9092</v>
      </c>
      <c r="B5732" s="117" t="s">
        <v>9093</v>
      </c>
      <c r="C5732" t="s">
        <v>67</v>
      </c>
      <c r="D5732" t="s">
        <v>67</v>
      </c>
      <c r="E5732" t="s">
        <v>67</v>
      </c>
      <c r="F5732" t="s">
        <v>51</v>
      </c>
      <c r="G5732" s="117">
        <v>0.44</v>
      </c>
    </row>
    <row r="5733" spans="1:7" x14ac:dyDescent="0.25">
      <c r="A5733" s="116" t="s">
        <v>9094</v>
      </c>
      <c r="B5733" s="117" t="s">
        <v>9095</v>
      </c>
      <c r="C5733" t="s">
        <v>67</v>
      </c>
      <c r="D5733" t="s">
        <v>67</v>
      </c>
      <c r="E5733" t="s">
        <v>67</v>
      </c>
      <c r="F5733" t="s">
        <v>45</v>
      </c>
      <c r="G5733" s="117">
        <v>0.8</v>
      </c>
    </row>
    <row r="5734" spans="1:7" x14ac:dyDescent="0.25">
      <c r="A5734" s="116" t="s">
        <v>9096</v>
      </c>
      <c r="B5734" s="117" t="s">
        <v>9097</v>
      </c>
      <c r="C5734" t="s">
        <v>67</v>
      </c>
      <c r="D5734" t="s">
        <v>67</v>
      </c>
      <c r="E5734" t="s">
        <v>67</v>
      </c>
      <c r="F5734" t="s">
        <v>49</v>
      </c>
      <c r="G5734" s="117">
        <v>0.44</v>
      </c>
    </row>
    <row r="5735" spans="1:7" x14ac:dyDescent="0.25">
      <c r="A5735" s="116" t="s">
        <v>9098</v>
      </c>
      <c r="B5735" s="117" t="s">
        <v>9099</v>
      </c>
      <c r="C5735" t="s">
        <v>67</v>
      </c>
      <c r="D5735" t="s">
        <v>67</v>
      </c>
      <c r="E5735" t="s">
        <v>67</v>
      </c>
      <c r="F5735" t="s">
        <v>49</v>
      </c>
      <c r="G5735" s="117">
        <v>2.23</v>
      </c>
    </row>
    <row r="5736" spans="1:7" x14ac:dyDescent="0.25">
      <c r="A5736" s="116" t="s">
        <v>9100</v>
      </c>
      <c r="B5736" s="117" t="s">
        <v>9101</v>
      </c>
      <c r="C5736" t="s">
        <v>67</v>
      </c>
      <c r="D5736" t="s">
        <v>67</v>
      </c>
      <c r="E5736" t="s">
        <v>67</v>
      </c>
      <c r="F5736" t="s">
        <v>45</v>
      </c>
      <c r="G5736" s="117">
        <v>1.33</v>
      </c>
    </row>
    <row r="5737" spans="1:7" x14ac:dyDescent="0.25">
      <c r="A5737" s="116" t="s">
        <v>9102</v>
      </c>
      <c r="B5737" s="117" t="s">
        <v>9103</v>
      </c>
      <c r="C5737" t="s">
        <v>67</v>
      </c>
      <c r="D5737" t="s">
        <v>67</v>
      </c>
      <c r="E5737" t="s">
        <v>67</v>
      </c>
      <c r="F5737" t="s">
        <v>27987</v>
      </c>
      <c r="G5737" s="117">
        <v>1.33</v>
      </c>
    </row>
    <row r="5738" spans="1:7" x14ac:dyDescent="0.25">
      <c r="A5738" s="116" t="s">
        <v>9104</v>
      </c>
      <c r="B5738" s="117" t="s">
        <v>9105</v>
      </c>
      <c r="C5738" t="s">
        <v>67</v>
      </c>
      <c r="D5738" t="s">
        <v>67</v>
      </c>
      <c r="E5738" t="s">
        <v>67</v>
      </c>
      <c r="F5738" t="s">
        <v>49</v>
      </c>
      <c r="G5738" s="117">
        <v>1.33</v>
      </c>
    </row>
    <row r="5739" spans="1:7" x14ac:dyDescent="0.25">
      <c r="A5739" s="116" t="s">
        <v>9106</v>
      </c>
      <c r="B5739" s="117" t="s">
        <v>9107</v>
      </c>
      <c r="C5739" t="s">
        <v>67</v>
      </c>
      <c r="D5739" t="s">
        <v>67</v>
      </c>
      <c r="E5739" t="s">
        <v>67</v>
      </c>
      <c r="F5739" t="s">
        <v>49</v>
      </c>
      <c r="G5739" s="117">
        <v>0.8</v>
      </c>
    </row>
    <row r="5740" spans="1:7" x14ac:dyDescent="0.25">
      <c r="A5740" s="116" t="s">
        <v>9108</v>
      </c>
      <c r="B5740" s="117" t="s">
        <v>9109</v>
      </c>
      <c r="C5740" t="s">
        <v>67</v>
      </c>
      <c r="D5740" t="s">
        <v>67</v>
      </c>
      <c r="E5740" t="s">
        <v>67</v>
      </c>
      <c r="F5740" t="s">
        <v>27987</v>
      </c>
      <c r="G5740" s="117">
        <v>0.8</v>
      </c>
    </row>
    <row r="5741" spans="1:7" x14ac:dyDescent="0.25">
      <c r="A5741" s="116" t="s">
        <v>9110</v>
      </c>
      <c r="B5741" s="117" t="s">
        <v>9111</v>
      </c>
      <c r="C5741" t="s">
        <v>67</v>
      </c>
      <c r="D5741" t="s">
        <v>67</v>
      </c>
      <c r="E5741" t="s">
        <v>67</v>
      </c>
      <c r="F5741" t="s">
        <v>27987</v>
      </c>
      <c r="G5741" s="117">
        <v>0.8</v>
      </c>
    </row>
    <row r="5742" spans="1:7" x14ac:dyDescent="0.25">
      <c r="A5742" s="116" t="s">
        <v>9112</v>
      </c>
      <c r="B5742" s="117" t="s">
        <v>9113</v>
      </c>
      <c r="C5742" t="s">
        <v>67</v>
      </c>
      <c r="D5742" t="s">
        <v>67</v>
      </c>
      <c r="E5742" t="s">
        <v>67</v>
      </c>
      <c r="F5742" t="s">
        <v>27987</v>
      </c>
      <c r="G5742" s="117">
        <v>0.44</v>
      </c>
    </row>
    <row r="5743" spans="1:7" x14ac:dyDescent="0.25">
      <c r="A5743" s="116" t="s">
        <v>9114</v>
      </c>
      <c r="B5743" s="117" t="s">
        <v>9028</v>
      </c>
      <c r="C5743" t="s">
        <v>67</v>
      </c>
      <c r="D5743" t="s">
        <v>67</v>
      </c>
      <c r="E5743" t="s">
        <v>67</v>
      </c>
      <c r="F5743" t="s">
        <v>49</v>
      </c>
      <c r="G5743" s="117">
        <v>0.44</v>
      </c>
    </row>
    <row r="5744" spans="1:7" x14ac:dyDescent="0.25">
      <c r="A5744" s="116" t="s">
        <v>9115</v>
      </c>
      <c r="B5744" s="117" t="s">
        <v>9037</v>
      </c>
      <c r="C5744" t="s">
        <v>67</v>
      </c>
      <c r="D5744" t="s">
        <v>67</v>
      </c>
      <c r="E5744" t="s">
        <v>67</v>
      </c>
      <c r="F5744" t="s">
        <v>27987</v>
      </c>
      <c r="G5744" s="117">
        <v>0.44</v>
      </c>
    </row>
    <row r="5745" spans="1:7" x14ac:dyDescent="0.25">
      <c r="A5745" s="116" t="s">
        <v>9116</v>
      </c>
      <c r="B5745" s="117" t="s">
        <v>28796</v>
      </c>
      <c r="C5745" t="s">
        <v>67</v>
      </c>
      <c r="D5745" t="s">
        <v>67</v>
      </c>
      <c r="E5745" t="s">
        <v>67</v>
      </c>
      <c r="F5745" t="s">
        <v>45</v>
      </c>
      <c r="G5745" s="117">
        <v>0.44</v>
      </c>
    </row>
    <row r="5746" spans="1:7" x14ac:dyDescent="0.25">
      <c r="A5746" s="116" t="s">
        <v>9117</v>
      </c>
      <c r="B5746" s="117" t="s">
        <v>9074</v>
      </c>
      <c r="C5746" t="s">
        <v>67</v>
      </c>
      <c r="D5746" t="s">
        <v>67</v>
      </c>
      <c r="E5746" t="s">
        <v>67</v>
      </c>
      <c r="F5746" t="s">
        <v>27987</v>
      </c>
      <c r="G5746" s="117">
        <v>0.8</v>
      </c>
    </row>
    <row r="5747" spans="1:7" x14ac:dyDescent="0.25">
      <c r="A5747" s="116" t="s">
        <v>9118</v>
      </c>
      <c r="B5747" s="117" t="s">
        <v>9119</v>
      </c>
      <c r="C5747" t="s">
        <v>67</v>
      </c>
      <c r="D5747" t="s">
        <v>67</v>
      </c>
      <c r="E5747" t="s">
        <v>67</v>
      </c>
      <c r="F5747" t="s">
        <v>27987</v>
      </c>
      <c r="G5747" s="117">
        <v>1.33</v>
      </c>
    </row>
    <row r="5748" spans="1:7" x14ac:dyDescent="0.25">
      <c r="A5748" s="116" t="s">
        <v>9120</v>
      </c>
      <c r="B5748" s="117" t="s">
        <v>9121</v>
      </c>
      <c r="C5748" t="s">
        <v>67</v>
      </c>
      <c r="D5748" t="s">
        <v>67</v>
      </c>
      <c r="E5748" t="s">
        <v>67</v>
      </c>
      <c r="F5748" t="s">
        <v>27987</v>
      </c>
      <c r="G5748" s="117">
        <v>0.88</v>
      </c>
    </row>
    <row r="5749" spans="1:7" x14ac:dyDescent="0.25">
      <c r="A5749" s="116" t="s">
        <v>9122</v>
      </c>
      <c r="B5749" s="117" t="s">
        <v>9123</v>
      </c>
      <c r="C5749" t="s">
        <v>67</v>
      </c>
      <c r="D5749" t="s">
        <v>67</v>
      </c>
      <c r="E5749" t="s">
        <v>67</v>
      </c>
      <c r="F5749" t="s">
        <v>27990</v>
      </c>
      <c r="G5749" s="117">
        <v>1.69</v>
      </c>
    </row>
    <row r="5750" spans="1:7" x14ac:dyDescent="0.25">
      <c r="A5750" s="116" t="s">
        <v>9124</v>
      </c>
      <c r="B5750" s="117" t="s">
        <v>9125</v>
      </c>
      <c r="C5750" t="s">
        <v>67</v>
      </c>
      <c r="D5750" t="s">
        <v>67</v>
      </c>
      <c r="E5750" t="s">
        <v>67</v>
      </c>
      <c r="F5750" t="s">
        <v>49</v>
      </c>
      <c r="G5750" s="117">
        <v>0.8</v>
      </c>
    </row>
    <row r="5751" spans="1:7" x14ac:dyDescent="0.25">
      <c r="A5751" s="116" t="s">
        <v>9126</v>
      </c>
      <c r="B5751" s="117" t="s">
        <v>9127</v>
      </c>
      <c r="C5751" t="s">
        <v>67</v>
      </c>
      <c r="D5751" t="s">
        <v>67</v>
      </c>
      <c r="E5751" t="s">
        <v>67</v>
      </c>
      <c r="F5751" t="s">
        <v>49</v>
      </c>
      <c r="G5751" s="117">
        <v>3.12</v>
      </c>
    </row>
    <row r="5752" spans="1:7" x14ac:dyDescent="0.25">
      <c r="A5752" s="116" t="s">
        <v>9128</v>
      </c>
      <c r="B5752" s="117" t="s">
        <v>28797</v>
      </c>
      <c r="C5752" t="s">
        <v>67</v>
      </c>
      <c r="D5752" t="s">
        <v>67</v>
      </c>
      <c r="E5752" t="s">
        <v>67</v>
      </c>
      <c r="F5752" t="s">
        <v>45</v>
      </c>
      <c r="G5752" s="117">
        <v>1.33</v>
      </c>
    </row>
    <row r="5753" spans="1:7" x14ac:dyDescent="0.25">
      <c r="A5753" s="116" t="s">
        <v>9129</v>
      </c>
      <c r="B5753" s="117" t="s">
        <v>9130</v>
      </c>
      <c r="C5753" t="s">
        <v>67</v>
      </c>
      <c r="D5753" t="s">
        <v>67</v>
      </c>
      <c r="E5753" t="s">
        <v>67</v>
      </c>
      <c r="F5753" t="s">
        <v>49</v>
      </c>
      <c r="G5753" s="117">
        <v>8.01</v>
      </c>
    </row>
    <row r="5754" spans="1:7" x14ac:dyDescent="0.25">
      <c r="A5754" s="116" t="s">
        <v>9131</v>
      </c>
      <c r="B5754" s="117" t="s">
        <v>9132</v>
      </c>
      <c r="C5754" t="s">
        <v>67</v>
      </c>
      <c r="D5754" t="s">
        <v>67</v>
      </c>
      <c r="E5754" t="s">
        <v>67</v>
      </c>
      <c r="F5754" t="s">
        <v>27987</v>
      </c>
      <c r="G5754" s="117">
        <v>6.68</v>
      </c>
    </row>
    <row r="5755" spans="1:7" x14ac:dyDescent="0.25">
      <c r="A5755" s="116" t="s">
        <v>30251</v>
      </c>
      <c r="B5755" s="117" t="s">
        <v>30252</v>
      </c>
      <c r="C5755" t="s">
        <v>67</v>
      </c>
      <c r="D5755" t="s">
        <v>67</v>
      </c>
      <c r="E5755" t="s">
        <v>67</v>
      </c>
      <c r="F5755" t="s">
        <v>27987</v>
      </c>
      <c r="G5755" s="117">
        <v>3.25</v>
      </c>
    </row>
    <row r="5756" spans="1:7" x14ac:dyDescent="0.25">
      <c r="A5756" s="116" t="s">
        <v>9133</v>
      </c>
      <c r="B5756" s="117" t="s">
        <v>9134</v>
      </c>
      <c r="C5756" t="s">
        <v>67</v>
      </c>
      <c r="D5756" t="s">
        <v>67</v>
      </c>
      <c r="E5756" t="s">
        <v>67</v>
      </c>
      <c r="F5756" t="s">
        <v>27990</v>
      </c>
      <c r="G5756" s="117">
        <v>3.12</v>
      </c>
    </row>
    <row r="5757" spans="1:7" x14ac:dyDescent="0.25">
      <c r="A5757" s="116" t="s">
        <v>9135</v>
      </c>
      <c r="B5757" s="117" t="s">
        <v>9136</v>
      </c>
      <c r="C5757" t="s">
        <v>67</v>
      </c>
      <c r="D5757" t="s">
        <v>67</v>
      </c>
      <c r="E5757" t="s">
        <v>67</v>
      </c>
      <c r="F5757" t="s">
        <v>51</v>
      </c>
      <c r="G5757" s="117">
        <v>2.23</v>
      </c>
    </row>
    <row r="5758" spans="1:7" x14ac:dyDescent="0.25">
      <c r="A5758" s="116" t="s">
        <v>9137</v>
      </c>
      <c r="B5758" s="117" t="s">
        <v>9138</v>
      </c>
      <c r="C5758" t="s">
        <v>67</v>
      </c>
      <c r="D5758" t="s">
        <v>67</v>
      </c>
      <c r="E5758" t="s">
        <v>67</v>
      </c>
      <c r="F5758" t="s">
        <v>49</v>
      </c>
      <c r="G5758" s="117">
        <v>4.3600000000000003</v>
      </c>
    </row>
    <row r="5759" spans="1:7" x14ac:dyDescent="0.25">
      <c r="A5759" s="116" t="s">
        <v>9139</v>
      </c>
      <c r="B5759" s="117" t="s">
        <v>9140</v>
      </c>
      <c r="C5759" t="s">
        <v>67</v>
      </c>
      <c r="D5759" t="s">
        <v>67</v>
      </c>
      <c r="E5759" t="s">
        <v>67</v>
      </c>
      <c r="F5759" t="s">
        <v>45</v>
      </c>
      <c r="G5759" s="117">
        <v>4.3600000000000003</v>
      </c>
    </row>
    <row r="5760" spans="1:7" x14ac:dyDescent="0.25">
      <c r="A5760" s="116" t="s">
        <v>9141</v>
      </c>
      <c r="B5760" s="117" t="s">
        <v>8012</v>
      </c>
      <c r="C5760" t="s">
        <v>67</v>
      </c>
      <c r="D5760" t="s">
        <v>67</v>
      </c>
      <c r="E5760" t="s">
        <v>67</v>
      </c>
      <c r="F5760" t="s">
        <v>27987</v>
      </c>
      <c r="G5760" s="117">
        <v>3.12</v>
      </c>
    </row>
    <row r="5761" spans="1:7" x14ac:dyDescent="0.25">
      <c r="A5761" s="116" t="s">
        <v>9142</v>
      </c>
      <c r="B5761" s="117" t="s">
        <v>9143</v>
      </c>
      <c r="C5761" t="s">
        <v>67</v>
      </c>
      <c r="D5761" t="s">
        <v>67</v>
      </c>
      <c r="E5761" t="s">
        <v>67</v>
      </c>
      <c r="F5761" t="s">
        <v>27987</v>
      </c>
      <c r="G5761" s="117">
        <v>3.48</v>
      </c>
    </row>
    <row r="5762" spans="1:7" x14ac:dyDescent="0.25">
      <c r="A5762" s="116" t="s">
        <v>9144</v>
      </c>
      <c r="B5762" s="117" t="s">
        <v>9145</v>
      </c>
      <c r="C5762" t="s">
        <v>67</v>
      </c>
      <c r="D5762" t="s">
        <v>67</v>
      </c>
      <c r="E5762" t="s">
        <v>67</v>
      </c>
      <c r="F5762" t="s">
        <v>27987</v>
      </c>
      <c r="G5762" s="117">
        <v>3.48</v>
      </c>
    </row>
    <row r="5763" spans="1:7" x14ac:dyDescent="0.25">
      <c r="A5763" s="116" t="s">
        <v>9146</v>
      </c>
      <c r="B5763" s="117" t="s">
        <v>9147</v>
      </c>
      <c r="C5763" t="s">
        <v>67</v>
      </c>
      <c r="D5763" t="s">
        <v>67</v>
      </c>
      <c r="E5763" t="s">
        <v>67</v>
      </c>
      <c r="F5763" t="s">
        <v>27987</v>
      </c>
      <c r="G5763" s="117">
        <v>6.68</v>
      </c>
    </row>
    <row r="5764" spans="1:7" x14ac:dyDescent="0.25">
      <c r="A5764" s="116" t="s">
        <v>9148</v>
      </c>
      <c r="B5764" s="117" t="s">
        <v>9149</v>
      </c>
      <c r="C5764" t="s">
        <v>67</v>
      </c>
      <c r="D5764" t="s">
        <v>67</v>
      </c>
      <c r="E5764" t="s">
        <v>67</v>
      </c>
      <c r="F5764" t="s">
        <v>45</v>
      </c>
      <c r="G5764" s="117">
        <v>30.7</v>
      </c>
    </row>
    <row r="5765" spans="1:7" x14ac:dyDescent="0.25">
      <c r="A5765" s="116" t="s">
        <v>9150</v>
      </c>
      <c r="B5765" s="117" t="s">
        <v>9151</v>
      </c>
      <c r="C5765" t="s">
        <v>67</v>
      </c>
      <c r="D5765" t="s">
        <v>67</v>
      </c>
      <c r="E5765" t="s">
        <v>67</v>
      </c>
      <c r="F5765" t="s">
        <v>27987</v>
      </c>
      <c r="G5765" s="117">
        <v>8.4499999999999993</v>
      </c>
    </row>
    <row r="5766" spans="1:7" x14ac:dyDescent="0.25">
      <c r="A5766" s="116" t="s">
        <v>9152</v>
      </c>
      <c r="B5766" s="117" t="s">
        <v>9153</v>
      </c>
      <c r="C5766" t="s">
        <v>67</v>
      </c>
      <c r="D5766" t="s">
        <v>67</v>
      </c>
      <c r="E5766" t="s">
        <v>67</v>
      </c>
      <c r="F5766" t="s">
        <v>27987</v>
      </c>
      <c r="G5766" s="117">
        <v>9.6999999999999993</v>
      </c>
    </row>
    <row r="5767" spans="1:7" x14ac:dyDescent="0.25">
      <c r="A5767" s="116" t="s">
        <v>9154</v>
      </c>
      <c r="B5767" s="117" t="s">
        <v>9155</v>
      </c>
      <c r="C5767" t="s">
        <v>67</v>
      </c>
      <c r="D5767" t="s">
        <v>67</v>
      </c>
      <c r="E5767" t="s">
        <v>67</v>
      </c>
      <c r="F5767" t="s">
        <v>27987</v>
      </c>
      <c r="G5767" s="117">
        <v>0.8</v>
      </c>
    </row>
    <row r="5768" spans="1:7" x14ac:dyDescent="0.25">
      <c r="A5768" s="116" t="s">
        <v>30661</v>
      </c>
      <c r="B5768" s="117" t="s">
        <v>30662</v>
      </c>
      <c r="C5768" t="s">
        <v>67</v>
      </c>
      <c r="D5768" t="s">
        <v>67</v>
      </c>
      <c r="E5768" t="s">
        <v>67</v>
      </c>
      <c r="F5768" t="s">
        <v>45</v>
      </c>
      <c r="G5768" s="117">
        <v>3</v>
      </c>
    </row>
    <row r="5769" spans="1:7" x14ac:dyDescent="0.25">
      <c r="A5769" s="116" t="s">
        <v>9156</v>
      </c>
      <c r="B5769" s="117" t="s">
        <v>9157</v>
      </c>
      <c r="C5769" t="s">
        <v>67</v>
      </c>
      <c r="D5769" t="s">
        <v>67</v>
      </c>
      <c r="E5769" t="s">
        <v>67</v>
      </c>
      <c r="F5769" t="s">
        <v>49</v>
      </c>
      <c r="G5769" s="117">
        <v>3.48</v>
      </c>
    </row>
    <row r="5770" spans="1:7" x14ac:dyDescent="0.25">
      <c r="A5770" s="116" t="s">
        <v>9158</v>
      </c>
      <c r="B5770" s="117" t="s">
        <v>9159</v>
      </c>
      <c r="C5770" t="s">
        <v>67</v>
      </c>
      <c r="D5770" t="s">
        <v>67</v>
      </c>
      <c r="E5770" t="s">
        <v>67</v>
      </c>
      <c r="F5770" t="s">
        <v>27990</v>
      </c>
      <c r="G5770" s="117">
        <v>1.33</v>
      </c>
    </row>
    <row r="5771" spans="1:7" x14ac:dyDescent="0.25">
      <c r="A5771" s="116" t="s">
        <v>9160</v>
      </c>
      <c r="B5771" s="117" t="s">
        <v>28798</v>
      </c>
      <c r="C5771" t="s">
        <v>67</v>
      </c>
      <c r="D5771" t="s">
        <v>67</v>
      </c>
      <c r="E5771" t="s">
        <v>67</v>
      </c>
      <c r="F5771" t="s">
        <v>27987</v>
      </c>
      <c r="G5771" s="117">
        <v>0.44</v>
      </c>
    </row>
    <row r="5772" spans="1:7" x14ac:dyDescent="0.25">
      <c r="A5772" s="116" t="s">
        <v>9161</v>
      </c>
      <c r="B5772" s="117" t="s">
        <v>9140</v>
      </c>
      <c r="C5772" t="s">
        <v>67</v>
      </c>
      <c r="D5772" t="s">
        <v>67</v>
      </c>
      <c r="E5772" t="s">
        <v>67</v>
      </c>
      <c r="F5772" t="s">
        <v>27987</v>
      </c>
      <c r="G5772" s="117">
        <v>5.25</v>
      </c>
    </row>
    <row r="5773" spans="1:7" x14ac:dyDescent="0.25">
      <c r="A5773" s="116" t="s">
        <v>9162</v>
      </c>
      <c r="B5773" s="117" t="s">
        <v>9163</v>
      </c>
      <c r="C5773" t="s">
        <v>67</v>
      </c>
      <c r="D5773" t="s">
        <v>67</v>
      </c>
      <c r="E5773" t="s">
        <v>67</v>
      </c>
      <c r="F5773" t="s">
        <v>49</v>
      </c>
      <c r="G5773" s="117">
        <v>0.8</v>
      </c>
    </row>
    <row r="5774" spans="1:7" x14ac:dyDescent="0.25">
      <c r="A5774" s="116" t="s">
        <v>9164</v>
      </c>
      <c r="B5774" s="117" t="s">
        <v>9165</v>
      </c>
      <c r="C5774" t="s">
        <v>67</v>
      </c>
      <c r="D5774" t="s">
        <v>67</v>
      </c>
      <c r="E5774" t="s">
        <v>67</v>
      </c>
      <c r="F5774" t="s">
        <v>49</v>
      </c>
      <c r="G5774" s="117">
        <v>2.58</v>
      </c>
    </row>
    <row r="5775" spans="1:7" x14ac:dyDescent="0.25">
      <c r="A5775" s="116" t="s">
        <v>9166</v>
      </c>
      <c r="B5775" s="117" t="s">
        <v>9145</v>
      </c>
      <c r="C5775" t="s">
        <v>67</v>
      </c>
      <c r="D5775" t="s">
        <v>67</v>
      </c>
      <c r="E5775" t="s">
        <v>67</v>
      </c>
      <c r="F5775" t="s">
        <v>27987</v>
      </c>
      <c r="G5775" s="117">
        <v>0.44</v>
      </c>
    </row>
    <row r="5776" spans="1:7" x14ac:dyDescent="0.25">
      <c r="A5776" s="116" t="s">
        <v>9167</v>
      </c>
      <c r="B5776" s="117" t="s">
        <v>9168</v>
      </c>
      <c r="C5776" t="s">
        <v>67</v>
      </c>
      <c r="D5776" t="s">
        <v>67</v>
      </c>
      <c r="E5776" t="s">
        <v>67</v>
      </c>
      <c r="F5776" t="s">
        <v>27987</v>
      </c>
      <c r="G5776" s="117">
        <v>2.67</v>
      </c>
    </row>
    <row r="5777" spans="1:7" x14ac:dyDescent="0.25">
      <c r="A5777" s="116" t="s">
        <v>9169</v>
      </c>
      <c r="B5777" s="117" t="s">
        <v>9170</v>
      </c>
      <c r="C5777" t="s">
        <v>67</v>
      </c>
      <c r="D5777" t="s">
        <v>67</v>
      </c>
      <c r="E5777" t="s">
        <v>67</v>
      </c>
      <c r="F5777" t="s">
        <v>27987</v>
      </c>
      <c r="G5777" s="117">
        <v>4.8899999999999997</v>
      </c>
    </row>
    <row r="5778" spans="1:7" x14ac:dyDescent="0.25">
      <c r="A5778" s="116" t="s">
        <v>9171</v>
      </c>
      <c r="B5778" s="117" t="s">
        <v>9172</v>
      </c>
      <c r="C5778" t="s">
        <v>67</v>
      </c>
      <c r="D5778" t="s">
        <v>67</v>
      </c>
      <c r="E5778" t="s">
        <v>67</v>
      </c>
      <c r="F5778" t="s">
        <v>27990</v>
      </c>
      <c r="G5778" s="117">
        <v>12.01</v>
      </c>
    </row>
    <row r="5779" spans="1:7" x14ac:dyDescent="0.25">
      <c r="A5779" s="116" t="s">
        <v>9173</v>
      </c>
      <c r="B5779" s="117" t="s">
        <v>9174</v>
      </c>
      <c r="C5779" t="s">
        <v>67</v>
      </c>
      <c r="D5779" t="s">
        <v>67</v>
      </c>
      <c r="E5779" t="s">
        <v>67</v>
      </c>
      <c r="F5779" t="s">
        <v>45</v>
      </c>
      <c r="G5779" s="117">
        <v>0.44</v>
      </c>
    </row>
    <row r="5780" spans="1:7" x14ac:dyDescent="0.25">
      <c r="A5780" s="116" t="s">
        <v>9175</v>
      </c>
      <c r="B5780" s="117" t="s">
        <v>9176</v>
      </c>
      <c r="C5780" t="s">
        <v>67</v>
      </c>
      <c r="D5780" t="s">
        <v>67</v>
      </c>
      <c r="E5780" t="s">
        <v>67</v>
      </c>
      <c r="F5780" t="s">
        <v>45</v>
      </c>
      <c r="G5780" s="117">
        <v>0.8</v>
      </c>
    </row>
    <row r="5781" spans="1:7" x14ac:dyDescent="0.25">
      <c r="A5781" s="116" t="s">
        <v>9177</v>
      </c>
      <c r="B5781" s="117" t="s">
        <v>9178</v>
      </c>
      <c r="C5781" t="s">
        <v>67</v>
      </c>
      <c r="D5781" t="s">
        <v>67</v>
      </c>
      <c r="E5781" t="s">
        <v>67</v>
      </c>
      <c r="F5781" t="s">
        <v>45</v>
      </c>
      <c r="G5781" s="117">
        <v>0.8</v>
      </c>
    </row>
    <row r="5782" spans="1:7" x14ac:dyDescent="0.25">
      <c r="A5782" s="116" t="s">
        <v>9179</v>
      </c>
      <c r="B5782" s="117" t="s">
        <v>9180</v>
      </c>
      <c r="C5782" t="s">
        <v>67</v>
      </c>
      <c r="D5782" t="s">
        <v>67</v>
      </c>
      <c r="E5782" t="s">
        <v>67</v>
      </c>
      <c r="F5782" t="s">
        <v>27987</v>
      </c>
      <c r="G5782" s="117">
        <v>0.8</v>
      </c>
    </row>
    <row r="5783" spans="1:7" x14ac:dyDescent="0.25">
      <c r="A5783" s="116" t="s">
        <v>9181</v>
      </c>
      <c r="B5783" s="117" t="s">
        <v>9182</v>
      </c>
      <c r="C5783" t="s">
        <v>67</v>
      </c>
      <c r="D5783" t="s">
        <v>67</v>
      </c>
      <c r="E5783" t="s">
        <v>67</v>
      </c>
      <c r="F5783" t="s">
        <v>49</v>
      </c>
      <c r="G5783" s="117">
        <v>1.33</v>
      </c>
    </row>
    <row r="5784" spans="1:7" x14ac:dyDescent="0.25">
      <c r="A5784" s="116" t="s">
        <v>9183</v>
      </c>
      <c r="B5784" s="117" t="s">
        <v>9184</v>
      </c>
      <c r="C5784" t="s">
        <v>67</v>
      </c>
      <c r="D5784" t="s">
        <v>67</v>
      </c>
      <c r="E5784" t="s">
        <v>67</v>
      </c>
      <c r="F5784" t="s">
        <v>49</v>
      </c>
      <c r="G5784" s="117">
        <v>3.48</v>
      </c>
    </row>
    <row r="5785" spans="1:7" x14ac:dyDescent="0.25">
      <c r="A5785" s="116" t="s">
        <v>9185</v>
      </c>
      <c r="B5785" s="117" t="s">
        <v>9186</v>
      </c>
      <c r="C5785" t="s">
        <v>67</v>
      </c>
      <c r="D5785" t="s">
        <v>67</v>
      </c>
      <c r="E5785" t="s">
        <v>67</v>
      </c>
      <c r="F5785" t="s">
        <v>49</v>
      </c>
      <c r="G5785" s="117">
        <v>1.33</v>
      </c>
    </row>
    <row r="5786" spans="1:7" x14ac:dyDescent="0.25">
      <c r="A5786" s="116" t="s">
        <v>9187</v>
      </c>
      <c r="B5786" s="117" t="s">
        <v>9188</v>
      </c>
      <c r="C5786" t="s">
        <v>67</v>
      </c>
      <c r="D5786" t="s">
        <v>67</v>
      </c>
      <c r="E5786" t="s">
        <v>67</v>
      </c>
      <c r="F5786" t="s">
        <v>27987</v>
      </c>
      <c r="G5786" s="117">
        <v>2.58</v>
      </c>
    </row>
    <row r="5787" spans="1:7" x14ac:dyDescent="0.25">
      <c r="A5787" s="116" t="s">
        <v>28799</v>
      </c>
      <c r="B5787" s="117" t="s">
        <v>28800</v>
      </c>
      <c r="C5787" t="s">
        <v>67</v>
      </c>
      <c r="D5787" t="s">
        <v>67</v>
      </c>
      <c r="E5787" t="s">
        <v>67</v>
      </c>
      <c r="F5787" t="s">
        <v>45</v>
      </c>
      <c r="G5787" s="117">
        <v>0</v>
      </c>
    </row>
    <row r="5788" spans="1:7" x14ac:dyDescent="0.25">
      <c r="A5788" s="116" t="s">
        <v>9189</v>
      </c>
      <c r="B5788" s="117" t="s">
        <v>9182</v>
      </c>
      <c r="C5788" t="s">
        <v>67</v>
      </c>
      <c r="D5788" t="s">
        <v>67</v>
      </c>
      <c r="E5788" t="s">
        <v>67</v>
      </c>
      <c r="F5788" t="s">
        <v>49</v>
      </c>
      <c r="G5788" s="117">
        <v>1.33</v>
      </c>
    </row>
    <row r="5789" spans="1:7" x14ac:dyDescent="0.25">
      <c r="A5789" s="116" t="s">
        <v>9190</v>
      </c>
      <c r="B5789" s="117" t="s">
        <v>9145</v>
      </c>
      <c r="C5789" t="s">
        <v>67</v>
      </c>
      <c r="D5789" t="s">
        <v>67</v>
      </c>
      <c r="E5789" t="s">
        <v>67</v>
      </c>
      <c r="F5789" t="s">
        <v>49</v>
      </c>
      <c r="G5789" s="117">
        <v>1.33</v>
      </c>
    </row>
    <row r="5790" spans="1:7" x14ac:dyDescent="0.25">
      <c r="A5790" s="116" t="s">
        <v>9191</v>
      </c>
      <c r="B5790" s="117" t="s">
        <v>9192</v>
      </c>
      <c r="C5790" t="s">
        <v>67</v>
      </c>
      <c r="D5790" t="s">
        <v>67</v>
      </c>
      <c r="E5790" t="s">
        <v>67</v>
      </c>
      <c r="F5790" t="s">
        <v>27987</v>
      </c>
      <c r="G5790" s="117">
        <v>0.89</v>
      </c>
    </row>
    <row r="5791" spans="1:7" x14ac:dyDescent="0.25">
      <c r="A5791" s="116" t="s">
        <v>9193</v>
      </c>
      <c r="B5791" s="117" t="s">
        <v>9194</v>
      </c>
      <c r="C5791" t="s">
        <v>67</v>
      </c>
      <c r="D5791" t="s">
        <v>67</v>
      </c>
      <c r="E5791" t="s">
        <v>67</v>
      </c>
      <c r="F5791" t="s">
        <v>27987</v>
      </c>
      <c r="G5791" s="117">
        <v>1.33</v>
      </c>
    </row>
    <row r="5792" spans="1:7" x14ac:dyDescent="0.25">
      <c r="A5792" s="116" t="s">
        <v>9195</v>
      </c>
      <c r="B5792" s="117" t="s">
        <v>9196</v>
      </c>
      <c r="C5792" t="s">
        <v>67</v>
      </c>
      <c r="D5792" t="s">
        <v>67</v>
      </c>
      <c r="E5792" t="s">
        <v>67</v>
      </c>
      <c r="F5792" t="s">
        <v>27987</v>
      </c>
      <c r="G5792" s="117">
        <v>3.56</v>
      </c>
    </row>
    <row r="5793" spans="1:7" x14ac:dyDescent="0.25">
      <c r="A5793" s="116" t="s">
        <v>9197</v>
      </c>
      <c r="B5793" s="117" t="s">
        <v>9028</v>
      </c>
      <c r="C5793" t="s">
        <v>67</v>
      </c>
      <c r="D5793" t="s">
        <v>67</v>
      </c>
      <c r="E5793" t="s">
        <v>67</v>
      </c>
      <c r="F5793" t="s">
        <v>45</v>
      </c>
      <c r="G5793" s="117">
        <v>0.8</v>
      </c>
    </row>
    <row r="5794" spans="1:7" x14ac:dyDescent="0.25">
      <c r="A5794" s="116" t="s">
        <v>9198</v>
      </c>
      <c r="B5794" s="117" t="s">
        <v>9199</v>
      </c>
      <c r="C5794" t="s">
        <v>67</v>
      </c>
      <c r="D5794" t="s">
        <v>67</v>
      </c>
      <c r="E5794" t="s">
        <v>67</v>
      </c>
      <c r="F5794" t="s">
        <v>27987</v>
      </c>
      <c r="G5794" s="117">
        <v>0.8</v>
      </c>
    </row>
    <row r="5795" spans="1:7" x14ac:dyDescent="0.25">
      <c r="A5795" s="116" t="s">
        <v>9200</v>
      </c>
      <c r="B5795" s="117" t="s">
        <v>9201</v>
      </c>
      <c r="C5795" t="s">
        <v>67</v>
      </c>
      <c r="D5795" t="s">
        <v>67</v>
      </c>
      <c r="E5795" t="s">
        <v>67</v>
      </c>
      <c r="F5795" t="s">
        <v>27987</v>
      </c>
      <c r="G5795" s="117">
        <v>0.38</v>
      </c>
    </row>
    <row r="5796" spans="1:7" x14ac:dyDescent="0.25">
      <c r="A5796" s="116" t="s">
        <v>9202</v>
      </c>
      <c r="B5796" s="117" t="s">
        <v>9203</v>
      </c>
      <c r="C5796" t="s">
        <v>67</v>
      </c>
      <c r="D5796" t="s">
        <v>67</v>
      </c>
      <c r="E5796" t="s">
        <v>67</v>
      </c>
      <c r="F5796" t="s">
        <v>49</v>
      </c>
      <c r="G5796" s="117">
        <v>1.69</v>
      </c>
    </row>
    <row r="5797" spans="1:7" x14ac:dyDescent="0.25">
      <c r="A5797" s="116" t="s">
        <v>9204</v>
      </c>
      <c r="B5797" s="117" t="s">
        <v>9205</v>
      </c>
      <c r="C5797" t="s">
        <v>67</v>
      </c>
      <c r="D5797" t="s">
        <v>67</v>
      </c>
      <c r="E5797" t="s">
        <v>67</v>
      </c>
      <c r="F5797" t="s">
        <v>45</v>
      </c>
      <c r="G5797" s="117">
        <v>1.33</v>
      </c>
    </row>
    <row r="5798" spans="1:7" x14ac:dyDescent="0.25">
      <c r="A5798" s="116" t="s">
        <v>9206</v>
      </c>
      <c r="B5798" s="117" t="s">
        <v>28801</v>
      </c>
      <c r="C5798" t="s">
        <v>67</v>
      </c>
      <c r="D5798" t="s">
        <v>67</v>
      </c>
      <c r="E5798" t="s">
        <v>67</v>
      </c>
      <c r="F5798" t="s">
        <v>45</v>
      </c>
      <c r="G5798" s="117">
        <v>1.69</v>
      </c>
    </row>
    <row r="5799" spans="1:7" x14ac:dyDescent="0.25">
      <c r="A5799" s="116" t="s">
        <v>9207</v>
      </c>
      <c r="B5799" s="117" t="s">
        <v>8006</v>
      </c>
      <c r="C5799" t="s">
        <v>67</v>
      </c>
      <c r="D5799" t="s">
        <v>67</v>
      </c>
      <c r="E5799" t="s">
        <v>67</v>
      </c>
      <c r="F5799" t="s">
        <v>27987</v>
      </c>
      <c r="G5799" s="117">
        <v>0.8</v>
      </c>
    </row>
    <row r="5800" spans="1:7" x14ac:dyDescent="0.25">
      <c r="A5800" s="116" t="s">
        <v>9208</v>
      </c>
      <c r="B5800" s="117" t="s">
        <v>9209</v>
      </c>
      <c r="C5800" t="s">
        <v>67</v>
      </c>
      <c r="D5800" t="s">
        <v>67</v>
      </c>
      <c r="E5800" t="s">
        <v>67</v>
      </c>
      <c r="F5800" t="s">
        <v>45</v>
      </c>
      <c r="G5800" s="117">
        <v>2.58</v>
      </c>
    </row>
    <row r="5801" spans="1:7" x14ac:dyDescent="0.25">
      <c r="A5801" s="116" t="s">
        <v>9210</v>
      </c>
      <c r="B5801" s="117" t="s">
        <v>9211</v>
      </c>
      <c r="C5801" t="s">
        <v>67</v>
      </c>
      <c r="D5801" t="s">
        <v>67</v>
      </c>
      <c r="E5801" t="s">
        <v>67</v>
      </c>
      <c r="F5801" t="s">
        <v>49</v>
      </c>
      <c r="G5801" s="117">
        <v>3.56</v>
      </c>
    </row>
    <row r="5802" spans="1:7" x14ac:dyDescent="0.25">
      <c r="A5802" s="116" t="s">
        <v>9212</v>
      </c>
      <c r="B5802" s="117" t="s">
        <v>28802</v>
      </c>
      <c r="C5802" t="s">
        <v>67</v>
      </c>
      <c r="D5802" t="s">
        <v>67</v>
      </c>
      <c r="E5802" t="s">
        <v>67</v>
      </c>
      <c r="F5802" t="s">
        <v>27987</v>
      </c>
      <c r="G5802" s="117">
        <v>0.36</v>
      </c>
    </row>
    <row r="5803" spans="1:7" x14ac:dyDescent="0.25">
      <c r="A5803" s="116" t="s">
        <v>9213</v>
      </c>
      <c r="B5803" s="117" t="s">
        <v>9214</v>
      </c>
      <c r="C5803" t="s">
        <v>67</v>
      </c>
      <c r="D5803" t="s">
        <v>67</v>
      </c>
      <c r="E5803" t="s">
        <v>67</v>
      </c>
      <c r="F5803" t="s">
        <v>27987</v>
      </c>
      <c r="G5803" s="117">
        <v>0.8</v>
      </c>
    </row>
    <row r="5804" spans="1:7" x14ac:dyDescent="0.25">
      <c r="A5804" s="116" t="s">
        <v>9215</v>
      </c>
      <c r="B5804" s="117" t="s">
        <v>9216</v>
      </c>
      <c r="C5804" t="s">
        <v>67</v>
      </c>
      <c r="D5804" t="s">
        <v>67</v>
      </c>
      <c r="E5804" t="s">
        <v>67</v>
      </c>
      <c r="F5804" t="s">
        <v>27987</v>
      </c>
      <c r="G5804" s="117">
        <v>0.12</v>
      </c>
    </row>
    <row r="5805" spans="1:7" x14ac:dyDescent="0.25">
      <c r="A5805" s="116" t="s">
        <v>9217</v>
      </c>
      <c r="B5805" s="117" t="s">
        <v>9218</v>
      </c>
      <c r="C5805" t="s">
        <v>67</v>
      </c>
      <c r="D5805" t="s">
        <v>67</v>
      </c>
      <c r="E5805" t="s">
        <v>67</v>
      </c>
      <c r="F5805" t="s">
        <v>45</v>
      </c>
      <c r="G5805" s="117">
        <v>3.56</v>
      </c>
    </row>
    <row r="5806" spans="1:7" x14ac:dyDescent="0.25">
      <c r="A5806" s="116" t="s">
        <v>9219</v>
      </c>
      <c r="B5806" s="117" t="s">
        <v>9157</v>
      </c>
      <c r="C5806" t="s">
        <v>67</v>
      </c>
      <c r="D5806" t="s">
        <v>67</v>
      </c>
      <c r="E5806" t="s">
        <v>67</v>
      </c>
      <c r="F5806" t="s">
        <v>27987</v>
      </c>
      <c r="G5806" s="117">
        <v>0.8</v>
      </c>
    </row>
    <row r="5807" spans="1:7" x14ac:dyDescent="0.25">
      <c r="A5807" s="116" t="s">
        <v>9220</v>
      </c>
      <c r="B5807" s="117" t="s">
        <v>9221</v>
      </c>
      <c r="C5807" t="s">
        <v>67</v>
      </c>
      <c r="D5807" t="s">
        <v>67</v>
      </c>
      <c r="E5807" t="s">
        <v>67</v>
      </c>
      <c r="F5807" t="s">
        <v>49</v>
      </c>
      <c r="G5807" s="117">
        <v>3.56</v>
      </c>
    </row>
    <row r="5808" spans="1:7" x14ac:dyDescent="0.25">
      <c r="A5808" s="116" t="s">
        <v>9222</v>
      </c>
      <c r="B5808" s="117" t="s">
        <v>9223</v>
      </c>
      <c r="C5808" t="s">
        <v>67</v>
      </c>
      <c r="D5808" t="s">
        <v>67</v>
      </c>
      <c r="E5808" t="s">
        <v>67</v>
      </c>
      <c r="F5808" t="s">
        <v>27987</v>
      </c>
      <c r="G5808" s="117">
        <v>4</v>
      </c>
    </row>
    <row r="5809" spans="1:7" x14ac:dyDescent="0.25">
      <c r="A5809" s="116" t="s">
        <v>9224</v>
      </c>
      <c r="B5809" s="117" t="s">
        <v>9225</v>
      </c>
      <c r="C5809" t="s">
        <v>67</v>
      </c>
      <c r="D5809" t="s">
        <v>67</v>
      </c>
      <c r="E5809" t="s">
        <v>67</v>
      </c>
      <c r="F5809" t="s">
        <v>27990</v>
      </c>
      <c r="G5809" s="117">
        <v>5.79</v>
      </c>
    </row>
    <row r="5810" spans="1:7" x14ac:dyDescent="0.25">
      <c r="A5810" s="116" t="s">
        <v>9226</v>
      </c>
      <c r="B5810" s="117" t="s">
        <v>9227</v>
      </c>
      <c r="C5810" t="s">
        <v>67</v>
      </c>
      <c r="D5810" t="s">
        <v>67</v>
      </c>
      <c r="E5810" t="s">
        <v>67</v>
      </c>
      <c r="F5810" t="s">
        <v>49</v>
      </c>
      <c r="G5810" s="117">
        <v>3.48</v>
      </c>
    </row>
    <row r="5811" spans="1:7" x14ac:dyDescent="0.25">
      <c r="A5811" s="116" t="s">
        <v>9228</v>
      </c>
      <c r="B5811" s="117" t="s">
        <v>9229</v>
      </c>
      <c r="C5811" t="s">
        <v>67</v>
      </c>
      <c r="D5811" t="s">
        <v>67</v>
      </c>
      <c r="E5811" t="s">
        <v>67</v>
      </c>
      <c r="F5811" t="s">
        <v>27987</v>
      </c>
      <c r="G5811" s="117">
        <v>3.56</v>
      </c>
    </row>
    <row r="5812" spans="1:7" x14ac:dyDescent="0.25">
      <c r="A5812" s="116" t="s">
        <v>9230</v>
      </c>
      <c r="B5812" s="117" t="s">
        <v>9231</v>
      </c>
      <c r="C5812" t="s">
        <v>67</v>
      </c>
      <c r="D5812" t="s">
        <v>67</v>
      </c>
      <c r="E5812" t="s">
        <v>67</v>
      </c>
      <c r="F5812" t="s">
        <v>45</v>
      </c>
      <c r="G5812" s="117">
        <v>5.25</v>
      </c>
    </row>
    <row r="5813" spans="1:7" x14ac:dyDescent="0.25">
      <c r="A5813" s="116" t="s">
        <v>9232</v>
      </c>
      <c r="B5813" s="117" t="s">
        <v>9233</v>
      </c>
      <c r="C5813" t="s">
        <v>67</v>
      </c>
      <c r="D5813" t="s">
        <v>67</v>
      </c>
      <c r="E5813" t="s">
        <v>67</v>
      </c>
      <c r="F5813" t="s">
        <v>49</v>
      </c>
      <c r="G5813" s="117">
        <v>1.69</v>
      </c>
    </row>
    <row r="5814" spans="1:7" x14ac:dyDescent="0.25">
      <c r="A5814" s="116" t="s">
        <v>9234</v>
      </c>
      <c r="B5814" s="117" t="s">
        <v>28803</v>
      </c>
      <c r="C5814" t="s">
        <v>67</v>
      </c>
      <c r="D5814" t="s">
        <v>67</v>
      </c>
      <c r="E5814" t="s">
        <v>67</v>
      </c>
      <c r="F5814" t="s">
        <v>27987</v>
      </c>
      <c r="G5814" s="117">
        <v>0.8</v>
      </c>
    </row>
    <row r="5815" spans="1:7" x14ac:dyDescent="0.25">
      <c r="A5815" s="116" t="s">
        <v>9235</v>
      </c>
      <c r="B5815" s="117" t="s">
        <v>9236</v>
      </c>
      <c r="C5815" t="s">
        <v>67</v>
      </c>
      <c r="D5815" t="s">
        <v>67</v>
      </c>
      <c r="E5815" t="s">
        <v>67</v>
      </c>
      <c r="F5815" t="s">
        <v>27987</v>
      </c>
      <c r="G5815" s="117">
        <v>8.81</v>
      </c>
    </row>
    <row r="5816" spans="1:7" x14ac:dyDescent="0.25">
      <c r="A5816" s="116" t="s">
        <v>9237</v>
      </c>
      <c r="B5816" s="117" t="s">
        <v>9238</v>
      </c>
      <c r="C5816" t="s">
        <v>67</v>
      </c>
      <c r="D5816" t="s">
        <v>67</v>
      </c>
      <c r="E5816" t="s">
        <v>67</v>
      </c>
      <c r="F5816" t="s">
        <v>49</v>
      </c>
      <c r="G5816" s="117">
        <v>4.8899999999999997</v>
      </c>
    </row>
    <row r="5817" spans="1:7" x14ac:dyDescent="0.25">
      <c r="A5817" s="116" t="s">
        <v>9239</v>
      </c>
      <c r="B5817" s="117" t="s">
        <v>9240</v>
      </c>
      <c r="C5817" t="s">
        <v>67</v>
      </c>
      <c r="D5817" t="s">
        <v>67</v>
      </c>
      <c r="E5817" t="s">
        <v>67</v>
      </c>
      <c r="F5817" t="s">
        <v>49</v>
      </c>
      <c r="G5817" s="117">
        <v>1.33</v>
      </c>
    </row>
    <row r="5818" spans="1:7" x14ac:dyDescent="0.25">
      <c r="A5818" s="116" t="s">
        <v>9241</v>
      </c>
      <c r="B5818" s="117" t="s">
        <v>9242</v>
      </c>
      <c r="C5818" t="s">
        <v>67</v>
      </c>
      <c r="D5818" t="s">
        <v>67</v>
      </c>
      <c r="E5818" t="s">
        <v>67</v>
      </c>
      <c r="F5818" t="s">
        <v>27987</v>
      </c>
      <c r="G5818" s="117">
        <v>1.33</v>
      </c>
    </row>
    <row r="5819" spans="1:7" x14ac:dyDescent="0.25">
      <c r="A5819" s="116" t="s">
        <v>9243</v>
      </c>
      <c r="B5819" s="117" t="s">
        <v>8124</v>
      </c>
      <c r="C5819" t="s">
        <v>67</v>
      </c>
      <c r="D5819" t="s">
        <v>67</v>
      </c>
      <c r="E5819" t="s">
        <v>67</v>
      </c>
      <c r="F5819" t="s">
        <v>49</v>
      </c>
      <c r="G5819" s="117">
        <v>1.33</v>
      </c>
    </row>
    <row r="5820" spans="1:7" x14ac:dyDescent="0.25">
      <c r="A5820" s="116" t="s">
        <v>9244</v>
      </c>
      <c r="B5820" s="117" t="s">
        <v>9245</v>
      </c>
      <c r="C5820" t="s">
        <v>67</v>
      </c>
      <c r="D5820" t="s">
        <v>67</v>
      </c>
      <c r="E5820" t="s">
        <v>67</v>
      </c>
      <c r="F5820" t="s">
        <v>27987</v>
      </c>
      <c r="G5820" s="117">
        <v>1.69</v>
      </c>
    </row>
    <row r="5821" spans="1:7" x14ac:dyDescent="0.25">
      <c r="A5821" s="116" t="s">
        <v>9246</v>
      </c>
      <c r="B5821" s="117" t="s">
        <v>9247</v>
      </c>
      <c r="C5821" t="s">
        <v>67</v>
      </c>
      <c r="D5821" t="s">
        <v>67</v>
      </c>
      <c r="E5821" t="s">
        <v>67</v>
      </c>
      <c r="F5821" t="s">
        <v>27990</v>
      </c>
      <c r="G5821" s="117">
        <v>4.3600000000000003</v>
      </c>
    </row>
    <row r="5822" spans="1:7" x14ac:dyDescent="0.25">
      <c r="A5822" s="116" t="s">
        <v>9248</v>
      </c>
      <c r="B5822" s="117" t="s">
        <v>9249</v>
      </c>
      <c r="C5822" t="s">
        <v>67</v>
      </c>
      <c r="D5822" t="s">
        <v>67</v>
      </c>
      <c r="E5822" t="s">
        <v>67</v>
      </c>
      <c r="F5822" t="s">
        <v>27987</v>
      </c>
      <c r="G5822" s="117">
        <v>4.3600000000000003</v>
      </c>
    </row>
    <row r="5823" spans="1:7" x14ac:dyDescent="0.25">
      <c r="A5823" s="116" t="s">
        <v>9250</v>
      </c>
      <c r="B5823" s="117" t="s">
        <v>9251</v>
      </c>
      <c r="C5823" t="s">
        <v>67</v>
      </c>
      <c r="D5823" t="s">
        <v>67</v>
      </c>
      <c r="E5823" t="s">
        <v>67</v>
      </c>
      <c r="F5823" t="s">
        <v>49</v>
      </c>
      <c r="G5823" s="117">
        <v>2.23</v>
      </c>
    </row>
    <row r="5824" spans="1:7" x14ac:dyDescent="0.25">
      <c r="A5824" s="116" t="s">
        <v>9252</v>
      </c>
      <c r="B5824" s="117" t="s">
        <v>9253</v>
      </c>
      <c r="C5824" t="s">
        <v>67</v>
      </c>
      <c r="D5824" t="s">
        <v>67</v>
      </c>
      <c r="E5824" t="s">
        <v>67</v>
      </c>
      <c r="F5824" t="s">
        <v>49</v>
      </c>
      <c r="G5824" s="117">
        <v>3.12</v>
      </c>
    </row>
    <row r="5825" spans="1:7" x14ac:dyDescent="0.25">
      <c r="A5825" s="116" t="s">
        <v>9254</v>
      </c>
      <c r="B5825" s="117" t="s">
        <v>9255</v>
      </c>
      <c r="C5825" t="s">
        <v>67</v>
      </c>
      <c r="D5825" t="s">
        <v>67</v>
      </c>
      <c r="E5825" t="s">
        <v>67</v>
      </c>
      <c r="F5825" t="s">
        <v>49</v>
      </c>
      <c r="G5825" s="117">
        <v>1.33</v>
      </c>
    </row>
    <row r="5826" spans="1:7" x14ac:dyDescent="0.25">
      <c r="A5826" s="116" t="s">
        <v>9256</v>
      </c>
      <c r="B5826" s="117" t="s">
        <v>9257</v>
      </c>
      <c r="C5826" t="s">
        <v>67</v>
      </c>
      <c r="D5826" t="s">
        <v>67</v>
      </c>
      <c r="E5826" t="s">
        <v>67</v>
      </c>
      <c r="F5826" t="s">
        <v>27987</v>
      </c>
      <c r="G5826" s="117">
        <v>6.14</v>
      </c>
    </row>
    <row r="5827" spans="1:7" x14ac:dyDescent="0.25">
      <c r="A5827" s="116" t="s">
        <v>9258</v>
      </c>
      <c r="B5827" s="117" t="s">
        <v>9259</v>
      </c>
      <c r="C5827" t="s">
        <v>67</v>
      </c>
      <c r="D5827" t="s">
        <v>67</v>
      </c>
      <c r="E5827" t="s">
        <v>67</v>
      </c>
      <c r="F5827" t="s">
        <v>49</v>
      </c>
      <c r="G5827" s="117">
        <v>3.48</v>
      </c>
    </row>
    <row r="5828" spans="1:7" x14ac:dyDescent="0.25">
      <c r="A5828" s="116" t="s">
        <v>9260</v>
      </c>
      <c r="B5828" s="117" t="s">
        <v>9261</v>
      </c>
      <c r="C5828" t="s">
        <v>67</v>
      </c>
      <c r="D5828" t="s">
        <v>67</v>
      </c>
      <c r="E5828" t="s">
        <v>67</v>
      </c>
      <c r="F5828" t="s">
        <v>45</v>
      </c>
      <c r="G5828" s="117">
        <v>6.14</v>
      </c>
    </row>
    <row r="5829" spans="1:7" x14ac:dyDescent="0.25">
      <c r="A5829" s="116" t="s">
        <v>9262</v>
      </c>
      <c r="B5829" s="117" t="s">
        <v>9155</v>
      </c>
      <c r="C5829" t="s">
        <v>67</v>
      </c>
      <c r="D5829" t="s">
        <v>67</v>
      </c>
      <c r="E5829" t="s">
        <v>67</v>
      </c>
      <c r="F5829" t="s">
        <v>49</v>
      </c>
      <c r="G5829" s="117">
        <v>2.58</v>
      </c>
    </row>
    <row r="5830" spans="1:7" x14ac:dyDescent="0.25">
      <c r="A5830" s="116" t="s">
        <v>9263</v>
      </c>
      <c r="B5830" s="117" t="s">
        <v>9264</v>
      </c>
      <c r="C5830" t="s">
        <v>67</v>
      </c>
      <c r="D5830" t="s">
        <v>67</v>
      </c>
      <c r="E5830" t="s">
        <v>67</v>
      </c>
      <c r="F5830" t="s">
        <v>45</v>
      </c>
      <c r="G5830" s="117">
        <v>17.7</v>
      </c>
    </row>
    <row r="5831" spans="1:7" x14ac:dyDescent="0.25">
      <c r="A5831" s="116" t="s">
        <v>9265</v>
      </c>
      <c r="B5831" s="117" t="s">
        <v>9266</v>
      </c>
      <c r="C5831" t="s">
        <v>67</v>
      </c>
      <c r="D5831" t="s">
        <v>67</v>
      </c>
      <c r="E5831" t="s">
        <v>67</v>
      </c>
      <c r="F5831" t="s">
        <v>49</v>
      </c>
      <c r="G5831" s="117">
        <v>0.8</v>
      </c>
    </row>
    <row r="5832" spans="1:7" x14ac:dyDescent="0.25">
      <c r="A5832" s="116" t="s">
        <v>9267</v>
      </c>
      <c r="B5832" s="117" t="s">
        <v>9268</v>
      </c>
      <c r="C5832" t="s">
        <v>67</v>
      </c>
      <c r="D5832" t="s">
        <v>67</v>
      </c>
      <c r="E5832" t="s">
        <v>67</v>
      </c>
      <c r="F5832" t="s">
        <v>27987</v>
      </c>
      <c r="G5832" s="117">
        <v>0.8</v>
      </c>
    </row>
    <row r="5833" spans="1:7" x14ac:dyDescent="0.25">
      <c r="A5833" s="116" t="s">
        <v>9269</v>
      </c>
      <c r="B5833" s="117" t="s">
        <v>8139</v>
      </c>
      <c r="C5833" t="s">
        <v>67</v>
      </c>
      <c r="D5833" t="s">
        <v>67</v>
      </c>
      <c r="E5833" t="s">
        <v>67</v>
      </c>
      <c r="F5833" t="s">
        <v>27987</v>
      </c>
      <c r="G5833" s="117">
        <v>1.69</v>
      </c>
    </row>
    <row r="5834" spans="1:7" x14ac:dyDescent="0.25">
      <c r="A5834" s="116" t="s">
        <v>28804</v>
      </c>
      <c r="B5834" s="117" t="s">
        <v>28805</v>
      </c>
      <c r="C5834" t="s">
        <v>67</v>
      </c>
      <c r="D5834" t="s">
        <v>67</v>
      </c>
      <c r="E5834" t="s">
        <v>67</v>
      </c>
      <c r="F5834" t="s">
        <v>45</v>
      </c>
      <c r="G5834" s="117">
        <v>0</v>
      </c>
    </row>
    <row r="5835" spans="1:7" x14ac:dyDescent="0.25">
      <c r="A5835" s="116" t="s">
        <v>9270</v>
      </c>
      <c r="B5835" s="117" t="s">
        <v>9180</v>
      </c>
      <c r="C5835" t="s">
        <v>67</v>
      </c>
      <c r="D5835" t="s">
        <v>67</v>
      </c>
      <c r="E5835" t="s">
        <v>67</v>
      </c>
      <c r="F5835" t="s">
        <v>27987</v>
      </c>
      <c r="G5835" s="117">
        <v>2.71</v>
      </c>
    </row>
    <row r="5836" spans="1:7" x14ac:dyDescent="0.25">
      <c r="A5836" s="116" t="s">
        <v>9271</v>
      </c>
      <c r="B5836" s="117" t="s">
        <v>9272</v>
      </c>
      <c r="C5836" t="s">
        <v>67</v>
      </c>
      <c r="D5836" t="s">
        <v>67</v>
      </c>
      <c r="E5836" t="s">
        <v>67</v>
      </c>
      <c r="F5836" t="s">
        <v>27987</v>
      </c>
      <c r="G5836" s="117">
        <v>2.23</v>
      </c>
    </row>
    <row r="5837" spans="1:7" x14ac:dyDescent="0.25">
      <c r="A5837" s="116" t="s">
        <v>9273</v>
      </c>
      <c r="B5837" s="117" t="s">
        <v>9274</v>
      </c>
      <c r="C5837" t="s">
        <v>67</v>
      </c>
      <c r="D5837" t="s">
        <v>67</v>
      </c>
      <c r="E5837" t="s">
        <v>67</v>
      </c>
      <c r="F5837" t="s">
        <v>49</v>
      </c>
      <c r="G5837" s="117">
        <v>0.8</v>
      </c>
    </row>
    <row r="5838" spans="1:7" x14ac:dyDescent="0.25">
      <c r="A5838" s="116" t="s">
        <v>9275</v>
      </c>
      <c r="B5838" s="117" t="s">
        <v>9276</v>
      </c>
      <c r="C5838" t="s">
        <v>67</v>
      </c>
      <c r="D5838" t="s">
        <v>67</v>
      </c>
      <c r="E5838" t="s">
        <v>67</v>
      </c>
      <c r="F5838" t="s">
        <v>49</v>
      </c>
      <c r="G5838" s="117">
        <v>2.58</v>
      </c>
    </row>
    <row r="5839" spans="1:7" x14ac:dyDescent="0.25">
      <c r="A5839" s="116" t="s">
        <v>9277</v>
      </c>
      <c r="B5839" s="117" t="s">
        <v>9278</v>
      </c>
      <c r="C5839" t="s">
        <v>67</v>
      </c>
      <c r="D5839" t="s">
        <v>67</v>
      </c>
      <c r="E5839" t="s">
        <v>67</v>
      </c>
      <c r="F5839" t="s">
        <v>49</v>
      </c>
      <c r="G5839" s="117">
        <v>5.25</v>
      </c>
    </row>
    <row r="5840" spans="1:7" x14ac:dyDescent="0.25">
      <c r="A5840" s="116" t="s">
        <v>9279</v>
      </c>
      <c r="B5840" s="117" t="s">
        <v>9280</v>
      </c>
      <c r="C5840" t="s">
        <v>67</v>
      </c>
      <c r="D5840" t="s">
        <v>67</v>
      </c>
      <c r="E5840" t="s">
        <v>67</v>
      </c>
      <c r="F5840" t="s">
        <v>49</v>
      </c>
      <c r="G5840" s="117">
        <v>4.8899999999999997</v>
      </c>
    </row>
    <row r="5841" spans="1:7" x14ac:dyDescent="0.25">
      <c r="A5841" s="116" t="s">
        <v>9281</v>
      </c>
      <c r="B5841" s="117" t="s">
        <v>28806</v>
      </c>
      <c r="C5841" t="s">
        <v>67</v>
      </c>
      <c r="D5841" t="s">
        <v>67</v>
      </c>
      <c r="E5841" t="s">
        <v>67</v>
      </c>
      <c r="F5841" t="s">
        <v>27987</v>
      </c>
      <c r="G5841" s="117">
        <v>6.68</v>
      </c>
    </row>
    <row r="5842" spans="1:7" x14ac:dyDescent="0.25">
      <c r="A5842" s="116" t="s">
        <v>9282</v>
      </c>
      <c r="B5842" s="117" t="s">
        <v>9283</v>
      </c>
      <c r="C5842" t="s">
        <v>67</v>
      </c>
      <c r="D5842" t="s">
        <v>67</v>
      </c>
      <c r="E5842" t="s">
        <v>67</v>
      </c>
      <c r="F5842" t="s">
        <v>51</v>
      </c>
      <c r="G5842" s="117">
        <v>0.76</v>
      </c>
    </row>
    <row r="5843" spans="1:7" x14ac:dyDescent="0.25">
      <c r="A5843" s="116" t="s">
        <v>9284</v>
      </c>
      <c r="B5843" s="117" t="s">
        <v>9285</v>
      </c>
      <c r="C5843" t="s">
        <v>67</v>
      </c>
      <c r="D5843" t="s">
        <v>67</v>
      </c>
      <c r="E5843" t="s">
        <v>67</v>
      </c>
      <c r="F5843" t="s">
        <v>51</v>
      </c>
      <c r="G5843" s="117">
        <v>0.8</v>
      </c>
    </row>
    <row r="5844" spans="1:7" x14ac:dyDescent="0.25">
      <c r="A5844" s="116" t="s">
        <v>9286</v>
      </c>
      <c r="B5844" s="117" t="s">
        <v>9287</v>
      </c>
      <c r="C5844" t="s">
        <v>67</v>
      </c>
      <c r="D5844" t="s">
        <v>67</v>
      </c>
      <c r="E5844" t="s">
        <v>67</v>
      </c>
      <c r="F5844" t="s">
        <v>27987</v>
      </c>
      <c r="G5844" s="117">
        <v>1.69</v>
      </c>
    </row>
    <row r="5845" spans="1:7" x14ac:dyDescent="0.25">
      <c r="A5845" s="116" t="s">
        <v>9288</v>
      </c>
      <c r="B5845" s="117" t="s">
        <v>9289</v>
      </c>
      <c r="C5845" t="s">
        <v>67</v>
      </c>
      <c r="D5845" t="s">
        <v>67</v>
      </c>
      <c r="E5845" t="s">
        <v>67</v>
      </c>
      <c r="F5845" t="s">
        <v>45</v>
      </c>
      <c r="G5845" s="117">
        <v>1.33</v>
      </c>
    </row>
    <row r="5846" spans="1:7" x14ac:dyDescent="0.25">
      <c r="A5846" s="116" t="s">
        <v>9290</v>
      </c>
      <c r="B5846" s="117" t="s">
        <v>9291</v>
      </c>
      <c r="C5846" t="s">
        <v>67</v>
      </c>
      <c r="D5846" t="s">
        <v>67</v>
      </c>
      <c r="E5846" t="s">
        <v>67</v>
      </c>
      <c r="F5846" t="s">
        <v>49</v>
      </c>
      <c r="G5846" s="117">
        <v>1.33</v>
      </c>
    </row>
    <row r="5847" spans="1:7" x14ac:dyDescent="0.25">
      <c r="A5847" s="116" t="s">
        <v>9292</v>
      </c>
      <c r="B5847" s="117" t="s">
        <v>9163</v>
      </c>
      <c r="C5847" t="s">
        <v>67</v>
      </c>
      <c r="D5847" t="s">
        <v>67</v>
      </c>
      <c r="E5847" t="s">
        <v>67</v>
      </c>
      <c r="F5847" t="s">
        <v>49</v>
      </c>
      <c r="G5847" s="117">
        <v>1.69</v>
      </c>
    </row>
    <row r="5848" spans="1:7" x14ac:dyDescent="0.25">
      <c r="A5848" s="116" t="s">
        <v>9293</v>
      </c>
      <c r="B5848" s="117" t="s">
        <v>8054</v>
      </c>
      <c r="C5848" t="s">
        <v>67</v>
      </c>
      <c r="D5848" t="s">
        <v>67</v>
      </c>
      <c r="E5848" t="s">
        <v>67</v>
      </c>
      <c r="F5848" t="s">
        <v>49</v>
      </c>
      <c r="G5848" s="117">
        <v>0.8</v>
      </c>
    </row>
    <row r="5849" spans="1:7" x14ac:dyDescent="0.25">
      <c r="A5849" s="116" t="s">
        <v>9294</v>
      </c>
      <c r="B5849" s="117" t="s">
        <v>9155</v>
      </c>
      <c r="C5849" t="s">
        <v>67</v>
      </c>
      <c r="D5849" t="s">
        <v>67</v>
      </c>
      <c r="E5849" t="s">
        <v>67</v>
      </c>
      <c r="F5849" t="s">
        <v>27987</v>
      </c>
      <c r="G5849" s="117">
        <v>1.33</v>
      </c>
    </row>
    <row r="5850" spans="1:7" x14ac:dyDescent="0.25">
      <c r="A5850" s="116" t="s">
        <v>9295</v>
      </c>
      <c r="B5850" s="117" t="s">
        <v>9296</v>
      </c>
      <c r="C5850" t="s">
        <v>67</v>
      </c>
      <c r="D5850" t="s">
        <v>67</v>
      </c>
      <c r="E5850" t="s">
        <v>67</v>
      </c>
      <c r="F5850" t="s">
        <v>27987</v>
      </c>
      <c r="G5850" s="117">
        <v>1.33</v>
      </c>
    </row>
    <row r="5851" spans="1:7" x14ac:dyDescent="0.25">
      <c r="A5851" s="116" t="s">
        <v>9297</v>
      </c>
      <c r="B5851" s="117" t="s">
        <v>9298</v>
      </c>
      <c r="C5851" t="s">
        <v>67</v>
      </c>
      <c r="D5851" t="s">
        <v>67</v>
      </c>
      <c r="E5851" t="s">
        <v>67</v>
      </c>
      <c r="F5851" t="s">
        <v>27987</v>
      </c>
      <c r="G5851" s="117">
        <v>0.8</v>
      </c>
    </row>
    <row r="5852" spans="1:7" x14ac:dyDescent="0.25">
      <c r="A5852" s="116" t="s">
        <v>9299</v>
      </c>
      <c r="B5852" s="117" t="s">
        <v>9300</v>
      </c>
      <c r="C5852" t="s">
        <v>67</v>
      </c>
      <c r="D5852" t="s">
        <v>67</v>
      </c>
      <c r="E5852" t="s">
        <v>67</v>
      </c>
      <c r="F5852" t="s">
        <v>27987</v>
      </c>
      <c r="G5852" s="117">
        <v>0.8</v>
      </c>
    </row>
    <row r="5853" spans="1:7" x14ac:dyDescent="0.25">
      <c r="A5853" s="116" t="s">
        <v>27961</v>
      </c>
      <c r="B5853" s="117" t="s">
        <v>27962</v>
      </c>
      <c r="C5853" t="s">
        <v>67</v>
      </c>
      <c r="D5853" t="s">
        <v>67</v>
      </c>
      <c r="E5853" t="s">
        <v>67</v>
      </c>
      <c r="F5853" t="s">
        <v>51</v>
      </c>
      <c r="G5853" s="117">
        <v>2.5</v>
      </c>
    </row>
    <row r="5854" spans="1:7" x14ac:dyDescent="0.25">
      <c r="A5854" s="116" t="s">
        <v>9301</v>
      </c>
      <c r="B5854" s="117" t="s">
        <v>28802</v>
      </c>
      <c r="C5854" t="s">
        <v>67</v>
      </c>
      <c r="D5854" t="s">
        <v>67</v>
      </c>
      <c r="E5854" t="s">
        <v>67</v>
      </c>
      <c r="F5854" t="s">
        <v>27987</v>
      </c>
      <c r="G5854" s="117">
        <v>0.84</v>
      </c>
    </row>
    <row r="5855" spans="1:7" x14ac:dyDescent="0.25">
      <c r="A5855" s="116" t="s">
        <v>9302</v>
      </c>
      <c r="B5855" s="117" t="s">
        <v>9303</v>
      </c>
      <c r="C5855" t="s">
        <v>67</v>
      </c>
      <c r="D5855" t="s">
        <v>67</v>
      </c>
      <c r="E5855" t="s">
        <v>67</v>
      </c>
      <c r="F5855" t="s">
        <v>27987</v>
      </c>
      <c r="G5855" s="117">
        <v>4.3600000000000003</v>
      </c>
    </row>
    <row r="5856" spans="1:7" x14ac:dyDescent="0.25">
      <c r="A5856" s="116" t="s">
        <v>9304</v>
      </c>
      <c r="B5856" s="117" t="s">
        <v>9305</v>
      </c>
      <c r="C5856" t="s">
        <v>67</v>
      </c>
      <c r="D5856" t="s">
        <v>67</v>
      </c>
      <c r="E5856" t="s">
        <v>67</v>
      </c>
      <c r="F5856" t="s">
        <v>27987</v>
      </c>
      <c r="G5856" s="117">
        <v>1.69</v>
      </c>
    </row>
    <row r="5857" spans="1:7" x14ac:dyDescent="0.25">
      <c r="A5857" s="116" t="s">
        <v>9306</v>
      </c>
      <c r="B5857" s="117" t="s">
        <v>9307</v>
      </c>
      <c r="C5857" t="s">
        <v>67</v>
      </c>
      <c r="D5857" t="s">
        <v>67</v>
      </c>
      <c r="E5857" t="s">
        <v>67</v>
      </c>
      <c r="F5857" t="s">
        <v>27987</v>
      </c>
      <c r="G5857" s="117">
        <v>23.94</v>
      </c>
    </row>
    <row r="5858" spans="1:7" x14ac:dyDescent="0.25">
      <c r="A5858" s="116" t="s">
        <v>9308</v>
      </c>
      <c r="B5858" s="117" t="s">
        <v>9309</v>
      </c>
      <c r="C5858" t="s">
        <v>67</v>
      </c>
      <c r="D5858" t="s">
        <v>67</v>
      </c>
      <c r="E5858" t="s">
        <v>67</v>
      </c>
      <c r="F5858" t="s">
        <v>45</v>
      </c>
      <c r="G5858" s="117">
        <v>1.33</v>
      </c>
    </row>
    <row r="5859" spans="1:7" x14ac:dyDescent="0.25">
      <c r="A5859" s="116" t="s">
        <v>9310</v>
      </c>
      <c r="B5859" s="117" t="s">
        <v>9311</v>
      </c>
      <c r="C5859" t="s">
        <v>67</v>
      </c>
      <c r="D5859" t="s">
        <v>67</v>
      </c>
      <c r="E5859" t="s">
        <v>67</v>
      </c>
      <c r="F5859" t="s">
        <v>27987</v>
      </c>
      <c r="G5859" s="117">
        <v>2.23</v>
      </c>
    </row>
    <row r="5860" spans="1:7" x14ac:dyDescent="0.25">
      <c r="A5860" s="116" t="s">
        <v>9312</v>
      </c>
      <c r="B5860" s="117" t="s">
        <v>9313</v>
      </c>
      <c r="C5860" t="s">
        <v>67</v>
      </c>
      <c r="D5860" t="s">
        <v>67</v>
      </c>
      <c r="E5860" t="s">
        <v>67</v>
      </c>
      <c r="F5860" t="s">
        <v>27987</v>
      </c>
      <c r="G5860" s="117">
        <v>10.58</v>
      </c>
    </row>
    <row r="5861" spans="1:7" x14ac:dyDescent="0.25">
      <c r="A5861" s="116" t="s">
        <v>9314</v>
      </c>
      <c r="B5861" s="117" t="s">
        <v>9315</v>
      </c>
      <c r="C5861" t="s">
        <v>67</v>
      </c>
      <c r="D5861" t="s">
        <v>67</v>
      </c>
      <c r="E5861" t="s">
        <v>67</v>
      </c>
      <c r="F5861" t="s">
        <v>45</v>
      </c>
      <c r="G5861" s="117">
        <v>2.58</v>
      </c>
    </row>
    <row r="5862" spans="1:7" x14ac:dyDescent="0.25">
      <c r="A5862" s="116" t="s">
        <v>9316</v>
      </c>
      <c r="B5862" s="117" t="s">
        <v>9317</v>
      </c>
      <c r="C5862" t="s">
        <v>67</v>
      </c>
      <c r="D5862" t="s">
        <v>67</v>
      </c>
      <c r="E5862" t="s">
        <v>67</v>
      </c>
      <c r="F5862" t="s">
        <v>27987</v>
      </c>
      <c r="G5862" s="117">
        <v>0.44</v>
      </c>
    </row>
    <row r="5863" spans="1:7" x14ac:dyDescent="0.25">
      <c r="A5863" s="116" t="s">
        <v>9318</v>
      </c>
      <c r="B5863" s="117" t="s">
        <v>9319</v>
      </c>
      <c r="C5863" t="s">
        <v>67</v>
      </c>
      <c r="D5863" t="s">
        <v>67</v>
      </c>
      <c r="E5863" t="s">
        <v>67</v>
      </c>
      <c r="F5863" t="s">
        <v>27987</v>
      </c>
      <c r="G5863" s="117">
        <v>1.33</v>
      </c>
    </row>
    <row r="5864" spans="1:7" x14ac:dyDescent="0.25">
      <c r="A5864" s="116" t="s">
        <v>9320</v>
      </c>
      <c r="B5864" s="117" t="s">
        <v>28807</v>
      </c>
      <c r="C5864" t="s">
        <v>67</v>
      </c>
      <c r="D5864" t="s">
        <v>67</v>
      </c>
      <c r="E5864" t="s">
        <v>67</v>
      </c>
      <c r="F5864" t="s">
        <v>27987</v>
      </c>
      <c r="G5864" s="117">
        <v>1.33</v>
      </c>
    </row>
    <row r="5865" spans="1:7" x14ac:dyDescent="0.25">
      <c r="A5865" s="116" t="s">
        <v>9321</v>
      </c>
      <c r="B5865" s="117" t="s">
        <v>9322</v>
      </c>
      <c r="C5865" t="s">
        <v>67</v>
      </c>
      <c r="D5865" t="s">
        <v>67</v>
      </c>
      <c r="E5865" t="s">
        <v>67</v>
      </c>
      <c r="F5865" t="s">
        <v>27987</v>
      </c>
      <c r="G5865" s="117">
        <v>0.8</v>
      </c>
    </row>
    <row r="5866" spans="1:7" x14ac:dyDescent="0.25">
      <c r="A5866" s="116" t="s">
        <v>9323</v>
      </c>
      <c r="B5866" s="117" t="s">
        <v>9324</v>
      </c>
      <c r="C5866" t="s">
        <v>67</v>
      </c>
      <c r="D5866" t="s">
        <v>67</v>
      </c>
      <c r="E5866" t="s">
        <v>67</v>
      </c>
      <c r="F5866" t="s">
        <v>45</v>
      </c>
      <c r="G5866" s="117">
        <v>1.33</v>
      </c>
    </row>
    <row r="5867" spans="1:7" x14ac:dyDescent="0.25">
      <c r="A5867" s="116" t="s">
        <v>9325</v>
      </c>
      <c r="B5867" s="117" t="s">
        <v>9326</v>
      </c>
      <c r="C5867" t="s">
        <v>67</v>
      </c>
      <c r="D5867" t="s">
        <v>67</v>
      </c>
      <c r="E5867" t="s">
        <v>67</v>
      </c>
      <c r="F5867" t="s">
        <v>27990</v>
      </c>
      <c r="G5867" s="117">
        <v>0.89</v>
      </c>
    </row>
    <row r="5868" spans="1:7" x14ac:dyDescent="0.25">
      <c r="A5868" s="116" t="s">
        <v>9327</v>
      </c>
      <c r="B5868" s="117" t="s">
        <v>9328</v>
      </c>
      <c r="C5868" t="s">
        <v>67</v>
      </c>
      <c r="D5868" t="s">
        <v>67</v>
      </c>
      <c r="E5868" t="s">
        <v>67</v>
      </c>
      <c r="F5868" t="s">
        <v>27987</v>
      </c>
      <c r="G5868" s="117">
        <v>1.33</v>
      </c>
    </row>
    <row r="5869" spans="1:7" x14ac:dyDescent="0.25">
      <c r="A5869" s="116" t="s">
        <v>31186</v>
      </c>
      <c r="B5869" s="117" t="s">
        <v>31187</v>
      </c>
      <c r="C5869" t="s">
        <v>67</v>
      </c>
      <c r="D5869" t="s">
        <v>67</v>
      </c>
      <c r="E5869" t="s">
        <v>67</v>
      </c>
      <c r="F5869" t="s">
        <v>45</v>
      </c>
      <c r="G5869" s="117">
        <v>0.8</v>
      </c>
    </row>
    <row r="5870" spans="1:7" x14ac:dyDescent="0.25">
      <c r="A5870" s="116" t="s">
        <v>9329</v>
      </c>
      <c r="B5870" s="117" t="s">
        <v>9330</v>
      </c>
      <c r="C5870" t="s">
        <v>67</v>
      </c>
      <c r="D5870" t="s">
        <v>67</v>
      </c>
      <c r="E5870" t="s">
        <v>67</v>
      </c>
      <c r="F5870" t="s">
        <v>49</v>
      </c>
      <c r="G5870" s="117">
        <v>4</v>
      </c>
    </row>
    <row r="5871" spans="1:7" x14ac:dyDescent="0.25">
      <c r="A5871" s="116" t="s">
        <v>9331</v>
      </c>
      <c r="B5871" s="117" t="s">
        <v>9113</v>
      </c>
      <c r="C5871" t="s">
        <v>67</v>
      </c>
      <c r="D5871" t="s">
        <v>67</v>
      </c>
      <c r="E5871" t="s">
        <v>67</v>
      </c>
      <c r="F5871" t="s">
        <v>27987</v>
      </c>
      <c r="G5871" s="117">
        <v>3.48</v>
      </c>
    </row>
    <row r="5872" spans="1:7" x14ac:dyDescent="0.25">
      <c r="A5872" s="116" t="s">
        <v>9332</v>
      </c>
      <c r="B5872" s="117" t="s">
        <v>9333</v>
      </c>
      <c r="C5872" t="s">
        <v>67</v>
      </c>
      <c r="D5872" t="s">
        <v>67</v>
      </c>
      <c r="E5872" t="s">
        <v>67</v>
      </c>
      <c r="F5872" t="s">
        <v>27987</v>
      </c>
      <c r="G5872" s="117">
        <v>3.48</v>
      </c>
    </row>
    <row r="5873" spans="1:7" x14ac:dyDescent="0.25">
      <c r="A5873" s="116" t="s">
        <v>9334</v>
      </c>
      <c r="B5873" s="117" t="s">
        <v>9335</v>
      </c>
      <c r="C5873" t="s">
        <v>67</v>
      </c>
      <c r="D5873" t="s">
        <v>67</v>
      </c>
      <c r="E5873" t="s">
        <v>67</v>
      </c>
      <c r="F5873" t="s">
        <v>45</v>
      </c>
      <c r="G5873" s="117">
        <v>0.8</v>
      </c>
    </row>
    <row r="5874" spans="1:7" x14ac:dyDescent="0.25">
      <c r="A5874" s="116" t="s">
        <v>9336</v>
      </c>
      <c r="B5874" s="117" t="s">
        <v>9337</v>
      </c>
      <c r="C5874" t="s">
        <v>67</v>
      </c>
      <c r="D5874" t="s">
        <v>67</v>
      </c>
      <c r="E5874" t="s">
        <v>67</v>
      </c>
      <c r="F5874" t="s">
        <v>27987</v>
      </c>
      <c r="G5874" s="117">
        <v>1.69</v>
      </c>
    </row>
    <row r="5875" spans="1:7" x14ac:dyDescent="0.25">
      <c r="A5875" s="116" t="s">
        <v>31188</v>
      </c>
      <c r="B5875" s="117" t="s">
        <v>31189</v>
      </c>
      <c r="C5875" t="s">
        <v>67</v>
      </c>
      <c r="D5875" t="s">
        <v>67</v>
      </c>
      <c r="E5875" t="s">
        <v>67</v>
      </c>
      <c r="F5875" t="s">
        <v>45</v>
      </c>
      <c r="G5875" s="117">
        <v>0.95</v>
      </c>
    </row>
    <row r="5876" spans="1:7" x14ac:dyDescent="0.25">
      <c r="A5876" s="116" t="s">
        <v>31190</v>
      </c>
      <c r="B5876" s="117" t="s">
        <v>31191</v>
      </c>
      <c r="C5876" t="s">
        <v>67</v>
      </c>
      <c r="D5876" t="s">
        <v>67</v>
      </c>
      <c r="E5876" t="s">
        <v>67</v>
      </c>
      <c r="F5876" t="s">
        <v>45</v>
      </c>
      <c r="G5876" s="117">
        <v>0.9</v>
      </c>
    </row>
    <row r="5877" spans="1:7" x14ac:dyDescent="0.25">
      <c r="A5877" s="116" t="s">
        <v>30663</v>
      </c>
      <c r="B5877" s="117" t="s">
        <v>30664</v>
      </c>
      <c r="C5877" t="s">
        <v>67</v>
      </c>
      <c r="D5877" t="s">
        <v>67</v>
      </c>
      <c r="E5877" t="s">
        <v>67</v>
      </c>
      <c r="F5877" t="s">
        <v>45</v>
      </c>
      <c r="G5877" s="117">
        <v>1</v>
      </c>
    </row>
    <row r="5878" spans="1:7" x14ac:dyDescent="0.25">
      <c r="A5878" s="116" t="s">
        <v>9338</v>
      </c>
      <c r="B5878" s="117" t="s">
        <v>9339</v>
      </c>
      <c r="C5878" t="s">
        <v>67</v>
      </c>
      <c r="D5878" t="s">
        <v>67</v>
      </c>
      <c r="E5878" t="s">
        <v>67</v>
      </c>
      <c r="F5878" t="s">
        <v>27987</v>
      </c>
      <c r="G5878" s="117">
        <v>0.8</v>
      </c>
    </row>
    <row r="5879" spans="1:7" x14ac:dyDescent="0.25">
      <c r="A5879" s="116" t="s">
        <v>9340</v>
      </c>
      <c r="B5879" s="117" t="s">
        <v>8054</v>
      </c>
      <c r="C5879" t="s">
        <v>67</v>
      </c>
      <c r="D5879" t="s">
        <v>67</v>
      </c>
      <c r="E5879" t="s">
        <v>67</v>
      </c>
      <c r="F5879" t="s">
        <v>27987</v>
      </c>
      <c r="G5879" s="117">
        <v>3.12</v>
      </c>
    </row>
    <row r="5880" spans="1:7" x14ac:dyDescent="0.25">
      <c r="A5880" s="116" t="s">
        <v>9341</v>
      </c>
      <c r="B5880" s="117" t="s">
        <v>28808</v>
      </c>
      <c r="C5880" t="s">
        <v>67</v>
      </c>
      <c r="D5880" t="s">
        <v>67</v>
      </c>
      <c r="E5880" t="s">
        <v>67</v>
      </c>
      <c r="F5880" t="s">
        <v>27987</v>
      </c>
      <c r="G5880" s="117">
        <v>5.79</v>
      </c>
    </row>
    <row r="5881" spans="1:7" x14ac:dyDescent="0.25">
      <c r="A5881" s="116" t="s">
        <v>9343</v>
      </c>
      <c r="B5881" s="117" t="s">
        <v>28809</v>
      </c>
      <c r="C5881" t="s">
        <v>67</v>
      </c>
      <c r="D5881" t="s">
        <v>67</v>
      </c>
      <c r="E5881" t="s">
        <v>67</v>
      </c>
      <c r="F5881" t="s">
        <v>27987</v>
      </c>
      <c r="G5881" s="117">
        <v>7.56</v>
      </c>
    </row>
    <row r="5882" spans="1:7" x14ac:dyDescent="0.25">
      <c r="A5882" s="116" t="s">
        <v>9344</v>
      </c>
      <c r="B5882" s="117" t="s">
        <v>28810</v>
      </c>
      <c r="C5882" t="s">
        <v>67</v>
      </c>
      <c r="D5882" t="s">
        <v>67</v>
      </c>
      <c r="E5882" t="s">
        <v>67</v>
      </c>
      <c r="F5882" t="s">
        <v>27987</v>
      </c>
      <c r="G5882" s="117">
        <v>7.56</v>
      </c>
    </row>
    <row r="5883" spans="1:7" x14ac:dyDescent="0.25">
      <c r="A5883" s="116" t="s">
        <v>9345</v>
      </c>
      <c r="B5883" s="117" t="s">
        <v>28811</v>
      </c>
      <c r="C5883" t="s">
        <v>67</v>
      </c>
      <c r="D5883" t="s">
        <v>67</v>
      </c>
      <c r="E5883" t="s">
        <v>67</v>
      </c>
      <c r="F5883" t="s">
        <v>27987</v>
      </c>
      <c r="G5883" s="117">
        <v>6.14</v>
      </c>
    </row>
    <row r="5884" spans="1:7" x14ac:dyDescent="0.25">
      <c r="A5884" s="116" t="s">
        <v>9346</v>
      </c>
      <c r="B5884" s="117" t="s">
        <v>9347</v>
      </c>
      <c r="C5884" t="s">
        <v>67</v>
      </c>
      <c r="D5884" t="s">
        <v>67</v>
      </c>
      <c r="E5884" t="s">
        <v>67</v>
      </c>
      <c r="F5884" t="s">
        <v>49</v>
      </c>
      <c r="G5884" s="117">
        <v>1.33</v>
      </c>
    </row>
    <row r="5885" spans="1:7" x14ac:dyDescent="0.25">
      <c r="A5885" s="116" t="s">
        <v>31157</v>
      </c>
      <c r="B5885" s="117" t="s">
        <v>31158</v>
      </c>
      <c r="C5885" t="s">
        <v>67</v>
      </c>
      <c r="D5885" t="s">
        <v>67</v>
      </c>
      <c r="E5885" t="s">
        <v>67</v>
      </c>
      <c r="F5885" t="s">
        <v>45</v>
      </c>
      <c r="G5885" s="117">
        <v>2.12</v>
      </c>
    </row>
    <row r="5886" spans="1:7" x14ac:dyDescent="0.25">
      <c r="A5886" s="116" t="s">
        <v>31222</v>
      </c>
      <c r="B5886" s="117" t="s">
        <v>31223</v>
      </c>
      <c r="C5886" t="s">
        <v>67</v>
      </c>
      <c r="D5886" t="s">
        <v>67</v>
      </c>
      <c r="E5886" t="s">
        <v>67</v>
      </c>
      <c r="F5886" t="s">
        <v>45</v>
      </c>
      <c r="G5886" s="117">
        <v>1</v>
      </c>
    </row>
    <row r="5887" spans="1:7" x14ac:dyDescent="0.25">
      <c r="A5887" s="116" t="s">
        <v>28812</v>
      </c>
      <c r="B5887" s="117" t="s">
        <v>9424</v>
      </c>
      <c r="C5887" t="s">
        <v>67</v>
      </c>
      <c r="D5887" t="s">
        <v>67</v>
      </c>
      <c r="E5887" t="s">
        <v>67</v>
      </c>
      <c r="F5887" t="s">
        <v>27987</v>
      </c>
      <c r="G5887" s="117">
        <v>3.8</v>
      </c>
    </row>
    <row r="5888" spans="1:7" x14ac:dyDescent="0.25">
      <c r="A5888" s="116" t="s">
        <v>9348</v>
      </c>
      <c r="B5888" s="117" t="s">
        <v>28813</v>
      </c>
      <c r="C5888" t="s">
        <v>67</v>
      </c>
      <c r="D5888" t="s">
        <v>67</v>
      </c>
      <c r="E5888" t="s">
        <v>67</v>
      </c>
      <c r="F5888" t="s">
        <v>27987</v>
      </c>
      <c r="G5888" s="117">
        <v>5.45</v>
      </c>
    </row>
    <row r="5889" spans="1:7" x14ac:dyDescent="0.25">
      <c r="A5889" s="116" t="s">
        <v>31192</v>
      </c>
      <c r="B5889" s="117" t="s">
        <v>31193</v>
      </c>
      <c r="C5889" t="s">
        <v>67</v>
      </c>
      <c r="D5889" t="s">
        <v>67</v>
      </c>
      <c r="E5889" t="s">
        <v>67</v>
      </c>
      <c r="F5889" t="s">
        <v>27987</v>
      </c>
      <c r="G5889" s="117">
        <v>0.8</v>
      </c>
    </row>
    <row r="5890" spans="1:7" x14ac:dyDescent="0.25">
      <c r="A5890" s="116" t="s">
        <v>30665</v>
      </c>
      <c r="B5890" s="117" t="s">
        <v>30666</v>
      </c>
      <c r="C5890" t="s">
        <v>67</v>
      </c>
      <c r="D5890" t="s">
        <v>67</v>
      </c>
      <c r="E5890" t="s">
        <v>67</v>
      </c>
      <c r="F5890" t="s">
        <v>45</v>
      </c>
      <c r="G5890" s="117">
        <v>1</v>
      </c>
    </row>
    <row r="5891" spans="1:7" x14ac:dyDescent="0.25">
      <c r="A5891" s="116" t="s">
        <v>30667</v>
      </c>
      <c r="B5891" s="117" t="s">
        <v>30668</v>
      </c>
      <c r="C5891" t="s">
        <v>67</v>
      </c>
      <c r="D5891" t="s">
        <v>67</v>
      </c>
      <c r="E5891" t="s">
        <v>67</v>
      </c>
      <c r="F5891" t="s">
        <v>45</v>
      </c>
      <c r="G5891" s="117">
        <v>1</v>
      </c>
    </row>
    <row r="5892" spans="1:7" x14ac:dyDescent="0.25">
      <c r="A5892" s="116" t="s">
        <v>28814</v>
      </c>
      <c r="B5892" s="117" t="s">
        <v>9182</v>
      </c>
      <c r="C5892" t="s">
        <v>67</v>
      </c>
      <c r="D5892" t="s">
        <v>67</v>
      </c>
      <c r="E5892" t="s">
        <v>67</v>
      </c>
      <c r="F5892" t="s">
        <v>27987</v>
      </c>
      <c r="G5892" s="117">
        <v>3</v>
      </c>
    </row>
    <row r="5893" spans="1:7" x14ac:dyDescent="0.25">
      <c r="A5893" s="116" t="s">
        <v>28192</v>
      </c>
      <c r="B5893" s="117" t="s">
        <v>28193</v>
      </c>
      <c r="C5893" t="s">
        <v>67</v>
      </c>
      <c r="D5893" t="s">
        <v>67</v>
      </c>
      <c r="E5893" t="s">
        <v>67</v>
      </c>
      <c r="F5893" t="s">
        <v>49</v>
      </c>
      <c r="G5893" s="117">
        <v>2.6</v>
      </c>
    </row>
    <row r="5894" spans="1:7" x14ac:dyDescent="0.25">
      <c r="A5894" s="116" t="s">
        <v>31194</v>
      </c>
      <c r="B5894" s="117" t="s">
        <v>31195</v>
      </c>
      <c r="C5894" t="s">
        <v>67</v>
      </c>
      <c r="D5894" t="s">
        <v>67</v>
      </c>
      <c r="E5894" t="s">
        <v>67</v>
      </c>
      <c r="F5894" t="s">
        <v>45</v>
      </c>
      <c r="G5894" s="117">
        <v>3.47</v>
      </c>
    </row>
    <row r="5895" spans="1:7" x14ac:dyDescent="0.25">
      <c r="A5895" s="116" t="s">
        <v>26970</v>
      </c>
      <c r="B5895" s="117" t="s">
        <v>28815</v>
      </c>
      <c r="C5895" t="s">
        <v>67</v>
      </c>
      <c r="D5895" t="s">
        <v>67</v>
      </c>
      <c r="E5895" t="s">
        <v>67</v>
      </c>
      <c r="F5895" t="s">
        <v>27987</v>
      </c>
      <c r="G5895" s="117">
        <v>14</v>
      </c>
    </row>
    <row r="5896" spans="1:7" x14ac:dyDescent="0.25">
      <c r="A5896" s="116" t="s">
        <v>28816</v>
      </c>
      <c r="B5896" s="117" t="s">
        <v>30434</v>
      </c>
      <c r="C5896" t="s">
        <v>67</v>
      </c>
      <c r="D5896" t="s">
        <v>67</v>
      </c>
      <c r="E5896" t="s">
        <v>67</v>
      </c>
      <c r="F5896" t="s">
        <v>49</v>
      </c>
      <c r="G5896" s="117">
        <v>1.5</v>
      </c>
    </row>
    <row r="5897" spans="1:7" x14ac:dyDescent="0.25">
      <c r="A5897" s="116" t="s">
        <v>28817</v>
      </c>
      <c r="B5897" s="117" t="s">
        <v>28818</v>
      </c>
      <c r="C5897" t="s">
        <v>67</v>
      </c>
      <c r="D5897" t="s">
        <v>67</v>
      </c>
      <c r="E5897" t="s">
        <v>67</v>
      </c>
      <c r="F5897" t="s">
        <v>27987</v>
      </c>
      <c r="G5897" s="117">
        <v>9999</v>
      </c>
    </row>
    <row r="5898" spans="1:7" x14ac:dyDescent="0.25">
      <c r="A5898" s="116" t="s">
        <v>30234</v>
      </c>
      <c r="B5898" s="117" t="s">
        <v>30235</v>
      </c>
      <c r="C5898" t="s">
        <v>67</v>
      </c>
      <c r="D5898" t="s">
        <v>67</v>
      </c>
      <c r="E5898" t="s">
        <v>67</v>
      </c>
      <c r="F5898" t="s">
        <v>27987</v>
      </c>
      <c r="G5898" s="117">
        <v>9999</v>
      </c>
    </row>
    <row r="5899" spans="1:7" x14ac:dyDescent="0.25">
      <c r="A5899" s="116" t="s">
        <v>30873</v>
      </c>
      <c r="B5899" s="117" t="s">
        <v>30874</v>
      </c>
      <c r="C5899" t="s">
        <v>67</v>
      </c>
      <c r="D5899" t="s">
        <v>67</v>
      </c>
      <c r="E5899" t="s">
        <v>67</v>
      </c>
      <c r="F5899" t="s">
        <v>27987</v>
      </c>
      <c r="G5899" s="117">
        <v>9999</v>
      </c>
    </row>
    <row r="5900" spans="1:7" x14ac:dyDescent="0.25">
      <c r="A5900" s="116" t="s">
        <v>30875</v>
      </c>
      <c r="B5900" s="117" t="s">
        <v>30876</v>
      </c>
      <c r="C5900" t="s">
        <v>67</v>
      </c>
      <c r="D5900" t="s">
        <v>67</v>
      </c>
      <c r="E5900" t="s">
        <v>67</v>
      </c>
      <c r="F5900" t="s">
        <v>45</v>
      </c>
      <c r="G5900" s="117">
        <v>9999</v>
      </c>
    </row>
    <row r="5901" spans="1:7" x14ac:dyDescent="0.25">
      <c r="A5901" s="116" t="s">
        <v>9349</v>
      </c>
      <c r="B5901" s="117" t="s">
        <v>9350</v>
      </c>
      <c r="C5901" t="s">
        <v>67</v>
      </c>
      <c r="D5901" t="s">
        <v>67</v>
      </c>
      <c r="E5901" t="s">
        <v>67</v>
      </c>
      <c r="F5901" t="s">
        <v>51</v>
      </c>
      <c r="G5901" s="117">
        <v>0.44</v>
      </c>
    </row>
    <row r="5902" spans="1:7" x14ac:dyDescent="0.25">
      <c r="A5902" s="116" t="s">
        <v>9351</v>
      </c>
      <c r="B5902" s="117" t="s">
        <v>9140</v>
      </c>
      <c r="C5902" t="s">
        <v>67</v>
      </c>
      <c r="D5902" t="s">
        <v>67</v>
      </c>
      <c r="E5902" t="s">
        <v>67</v>
      </c>
      <c r="F5902" t="s">
        <v>49</v>
      </c>
      <c r="G5902" s="117">
        <v>3.56</v>
      </c>
    </row>
    <row r="5903" spans="1:7" x14ac:dyDescent="0.25">
      <c r="A5903" s="116" t="s">
        <v>9352</v>
      </c>
      <c r="B5903" s="117" t="s">
        <v>9353</v>
      </c>
      <c r="C5903" t="s">
        <v>67</v>
      </c>
      <c r="D5903" t="s">
        <v>67</v>
      </c>
      <c r="E5903" t="s">
        <v>67</v>
      </c>
      <c r="F5903" t="s">
        <v>49</v>
      </c>
      <c r="G5903" s="117">
        <v>5.33</v>
      </c>
    </row>
    <row r="5904" spans="1:7" x14ac:dyDescent="0.25">
      <c r="A5904" s="116" t="s">
        <v>9354</v>
      </c>
      <c r="B5904" s="117" t="s">
        <v>9355</v>
      </c>
      <c r="C5904" t="s">
        <v>67</v>
      </c>
      <c r="D5904" t="s">
        <v>67</v>
      </c>
      <c r="E5904" t="s">
        <v>67</v>
      </c>
      <c r="F5904" t="s">
        <v>51</v>
      </c>
      <c r="G5904" s="117">
        <v>1.69</v>
      </c>
    </row>
    <row r="5905" spans="1:7" x14ac:dyDescent="0.25">
      <c r="A5905" s="116" t="s">
        <v>9356</v>
      </c>
      <c r="B5905" s="117" t="s">
        <v>9357</v>
      </c>
      <c r="C5905" t="s">
        <v>67</v>
      </c>
      <c r="D5905" t="s">
        <v>67</v>
      </c>
      <c r="E5905" t="s">
        <v>67</v>
      </c>
      <c r="F5905" t="s">
        <v>45</v>
      </c>
      <c r="G5905" s="117">
        <v>6.68</v>
      </c>
    </row>
    <row r="5906" spans="1:7" x14ac:dyDescent="0.25">
      <c r="A5906" s="116" t="s">
        <v>9358</v>
      </c>
      <c r="B5906" s="117" t="s">
        <v>9359</v>
      </c>
      <c r="C5906" t="s">
        <v>67</v>
      </c>
      <c r="D5906" t="s">
        <v>67</v>
      </c>
      <c r="E5906" t="s">
        <v>67</v>
      </c>
      <c r="F5906" t="s">
        <v>27987</v>
      </c>
      <c r="G5906" s="117">
        <v>10.24</v>
      </c>
    </row>
    <row r="5907" spans="1:7" x14ac:dyDescent="0.25">
      <c r="A5907" s="116" t="s">
        <v>9360</v>
      </c>
      <c r="B5907" s="117" t="s">
        <v>9361</v>
      </c>
      <c r="C5907" t="s">
        <v>67</v>
      </c>
      <c r="D5907" t="s">
        <v>67</v>
      </c>
      <c r="E5907" t="s">
        <v>67</v>
      </c>
      <c r="F5907" t="s">
        <v>45</v>
      </c>
      <c r="G5907" s="117">
        <v>0.8</v>
      </c>
    </row>
    <row r="5908" spans="1:7" x14ac:dyDescent="0.25">
      <c r="A5908" s="116" t="s">
        <v>9362</v>
      </c>
      <c r="B5908" s="117" t="s">
        <v>9363</v>
      </c>
      <c r="C5908" t="s">
        <v>67</v>
      </c>
      <c r="D5908" t="s">
        <v>67</v>
      </c>
      <c r="E5908" t="s">
        <v>67</v>
      </c>
      <c r="F5908" t="s">
        <v>27990</v>
      </c>
      <c r="G5908" s="117">
        <v>1.33</v>
      </c>
    </row>
    <row r="5909" spans="1:7" x14ac:dyDescent="0.25">
      <c r="A5909" s="116" t="s">
        <v>9364</v>
      </c>
      <c r="B5909" s="117" t="s">
        <v>9365</v>
      </c>
      <c r="C5909" t="s">
        <v>67</v>
      </c>
      <c r="D5909" t="s">
        <v>67</v>
      </c>
      <c r="E5909" t="s">
        <v>67</v>
      </c>
      <c r="F5909" t="s">
        <v>27987</v>
      </c>
      <c r="G5909" s="117">
        <v>2.67</v>
      </c>
    </row>
    <row r="5910" spans="1:7" x14ac:dyDescent="0.25">
      <c r="A5910" s="116" t="s">
        <v>9366</v>
      </c>
      <c r="B5910" s="117" t="s">
        <v>9367</v>
      </c>
      <c r="C5910" t="s">
        <v>67</v>
      </c>
      <c r="D5910" t="s">
        <v>67</v>
      </c>
      <c r="E5910" t="s">
        <v>67</v>
      </c>
      <c r="F5910" t="s">
        <v>27987</v>
      </c>
      <c r="G5910" s="117">
        <v>0.44</v>
      </c>
    </row>
    <row r="5911" spans="1:7" x14ac:dyDescent="0.25">
      <c r="A5911" s="116" t="s">
        <v>9368</v>
      </c>
      <c r="B5911" s="117" t="s">
        <v>9369</v>
      </c>
      <c r="C5911" t="s">
        <v>67</v>
      </c>
      <c r="D5911" t="s">
        <v>67</v>
      </c>
      <c r="E5911" t="s">
        <v>67</v>
      </c>
      <c r="F5911" t="s">
        <v>45</v>
      </c>
      <c r="G5911" s="117">
        <v>4.8899999999999997</v>
      </c>
    </row>
    <row r="5912" spans="1:7" x14ac:dyDescent="0.25">
      <c r="A5912" s="116" t="s">
        <v>9370</v>
      </c>
      <c r="B5912" s="117" t="s">
        <v>9371</v>
      </c>
      <c r="C5912" t="s">
        <v>67</v>
      </c>
      <c r="D5912" t="s">
        <v>67</v>
      </c>
      <c r="E5912" t="s">
        <v>67</v>
      </c>
      <c r="F5912" t="s">
        <v>27990</v>
      </c>
      <c r="G5912" s="117">
        <v>0.8</v>
      </c>
    </row>
    <row r="5913" spans="1:7" x14ac:dyDescent="0.25">
      <c r="A5913" s="116" t="s">
        <v>9372</v>
      </c>
      <c r="B5913" s="117" t="s">
        <v>9355</v>
      </c>
      <c r="C5913" t="s">
        <v>67</v>
      </c>
      <c r="D5913" t="s">
        <v>67</v>
      </c>
      <c r="E5913" t="s">
        <v>67</v>
      </c>
      <c r="F5913" t="s">
        <v>27990</v>
      </c>
      <c r="G5913" s="117">
        <v>2.58</v>
      </c>
    </row>
    <row r="5914" spans="1:7" x14ac:dyDescent="0.25">
      <c r="A5914" s="116" t="s">
        <v>9373</v>
      </c>
      <c r="B5914" s="117" t="s">
        <v>9374</v>
      </c>
      <c r="C5914" t="s">
        <v>67</v>
      </c>
      <c r="D5914" t="s">
        <v>67</v>
      </c>
      <c r="E5914" t="s">
        <v>67</v>
      </c>
      <c r="F5914" t="s">
        <v>49</v>
      </c>
      <c r="G5914" s="117">
        <v>0.8</v>
      </c>
    </row>
    <row r="5915" spans="1:7" x14ac:dyDescent="0.25">
      <c r="A5915" s="116" t="s">
        <v>9375</v>
      </c>
      <c r="B5915" s="117" t="s">
        <v>9376</v>
      </c>
      <c r="C5915" t="s">
        <v>67</v>
      </c>
      <c r="D5915" t="s">
        <v>67</v>
      </c>
      <c r="E5915" t="s">
        <v>67</v>
      </c>
      <c r="F5915" t="s">
        <v>51</v>
      </c>
      <c r="G5915" s="117">
        <v>1.27</v>
      </c>
    </row>
    <row r="5916" spans="1:7" x14ac:dyDescent="0.25">
      <c r="A5916" s="116" t="s">
        <v>9377</v>
      </c>
      <c r="B5916" s="117" t="s">
        <v>9378</v>
      </c>
      <c r="C5916" t="s">
        <v>67</v>
      </c>
      <c r="D5916" t="s">
        <v>67</v>
      </c>
      <c r="E5916" t="s">
        <v>67</v>
      </c>
      <c r="F5916" t="s">
        <v>49</v>
      </c>
      <c r="G5916" s="117">
        <v>0.8</v>
      </c>
    </row>
    <row r="5917" spans="1:7" x14ac:dyDescent="0.25">
      <c r="A5917" s="116" t="s">
        <v>9379</v>
      </c>
      <c r="B5917" s="117" t="s">
        <v>9380</v>
      </c>
      <c r="C5917" t="s">
        <v>67</v>
      </c>
      <c r="D5917" t="s">
        <v>67</v>
      </c>
      <c r="E5917" t="s">
        <v>67</v>
      </c>
      <c r="F5917" t="s">
        <v>49</v>
      </c>
      <c r="G5917" s="117">
        <v>3.12</v>
      </c>
    </row>
    <row r="5918" spans="1:7" x14ac:dyDescent="0.25">
      <c r="A5918" s="116" t="s">
        <v>9381</v>
      </c>
      <c r="B5918" s="117" t="s">
        <v>9382</v>
      </c>
      <c r="C5918" t="s">
        <v>67</v>
      </c>
      <c r="D5918" t="s">
        <v>67</v>
      </c>
      <c r="E5918" t="s">
        <v>67</v>
      </c>
      <c r="F5918" t="s">
        <v>49</v>
      </c>
      <c r="G5918" s="117">
        <v>0.8</v>
      </c>
    </row>
    <row r="5919" spans="1:7" x14ac:dyDescent="0.25">
      <c r="A5919" s="116" t="s">
        <v>9383</v>
      </c>
      <c r="B5919" s="117" t="s">
        <v>9384</v>
      </c>
      <c r="C5919" t="s">
        <v>67</v>
      </c>
      <c r="D5919" t="s">
        <v>67</v>
      </c>
      <c r="E5919" t="s">
        <v>67</v>
      </c>
      <c r="F5919" t="s">
        <v>49</v>
      </c>
      <c r="G5919" s="117">
        <v>1.69</v>
      </c>
    </row>
    <row r="5920" spans="1:7" x14ac:dyDescent="0.25">
      <c r="A5920" s="116" t="s">
        <v>9385</v>
      </c>
      <c r="B5920" s="117" t="s">
        <v>9386</v>
      </c>
      <c r="C5920" t="s">
        <v>67</v>
      </c>
      <c r="D5920" t="s">
        <v>67</v>
      </c>
      <c r="E5920" t="s">
        <v>67</v>
      </c>
      <c r="F5920" t="s">
        <v>49</v>
      </c>
      <c r="G5920" s="117">
        <v>1.33</v>
      </c>
    </row>
    <row r="5921" spans="1:7" x14ac:dyDescent="0.25">
      <c r="A5921" s="116" t="s">
        <v>9387</v>
      </c>
      <c r="B5921" s="117" t="s">
        <v>9388</v>
      </c>
      <c r="C5921" t="s">
        <v>67</v>
      </c>
      <c r="D5921" t="s">
        <v>67</v>
      </c>
      <c r="E5921" t="s">
        <v>67</v>
      </c>
      <c r="F5921" t="s">
        <v>45</v>
      </c>
      <c r="G5921" s="117">
        <v>2.23</v>
      </c>
    </row>
    <row r="5922" spans="1:7" x14ac:dyDescent="0.25">
      <c r="A5922" s="116" t="s">
        <v>9389</v>
      </c>
      <c r="B5922" s="117" t="s">
        <v>9390</v>
      </c>
      <c r="C5922" t="s">
        <v>67</v>
      </c>
      <c r="D5922" t="s">
        <v>67</v>
      </c>
      <c r="E5922" t="s">
        <v>67</v>
      </c>
      <c r="F5922" t="s">
        <v>45</v>
      </c>
      <c r="G5922" s="117">
        <v>1.33</v>
      </c>
    </row>
    <row r="5923" spans="1:7" x14ac:dyDescent="0.25">
      <c r="A5923" s="116" t="s">
        <v>9391</v>
      </c>
      <c r="B5923" s="117" t="s">
        <v>9392</v>
      </c>
      <c r="C5923" t="s">
        <v>67</v>
      </c>
      <c r="D5923" t="s">
        <v>67</v>
      </c>
      <c r="E5923" t="s">
        <v>67</v>
      </c>
      <c r="F5923" t="s">
        <v>49</v>
      </c>
      <c r="G5923" s="117">
        <v>2.58</v>
      </c>
    </row>
    <row r="5924" spans="1:7" x14ac:dyDescent="0.25">
      <c r="A5924" s="116" t="s">
        <v>9393</v>
      </c>
      <c r="B5924" s="117" t="s">
        <v>9394</v>
      </c>
      <c r="C5924" t="s">
        <v>67</v>
      </c>
      <c r="D5924" t="s">
        <v>67</v>
      </c>
      <c r="E5924" t="s">
        <v>67</v>
      </c>
      <c r="F5924" t="s">
        <v>49</v>
      </c>
      <c r="G5924" s="117">
        <v>1.33</v>
      </c>
    </row>
    <row r="5925" spans="1:7" x14ac:dyDescent="0.25">
      <c r="A5925" s="116" t="s">
        <v>9395</v>
      </c>
      <c r="B5925" s="117" t="s">
        <v>9396</v>
      </c>
      <c r="C5925" t="s">
        <v>67</v>
      </c>
      <c r="D5925" t="s">
        <v>67</v>
      </c>
      <c r="E5925" t="s">
        <v>67</v>
      </c>
      <c r="F5925" t="s">
        <v>49</v>
      </c>
      <c r="G5925" s="117">
        <v>2.58</v>
      </c>
    </row>
    <row r="5926" spans="1:7" x14ac:dyDescent="0.25">
      <c r="A5926" s="116" t="s">
        <v>9397</v>
      </c>
      <c r="B5926" s="117" t="s">
        <v>9398</v>
      </c>
      <c r="C5926" t="s">
        <v>67</v>
      </c>
      <c r="D5926" t="s">
        <v>67</v>
      </c>
      <c r="E5926" t="s">
        <v>67</v>
      </c>
      <c r="F5926" t="s">
        <v>27987</v>
      </c>
      <c r="G5926" s="117">
        <v>0.8</v>
      </c>
    </row>
    <row r="5927" spans="1:7" x14ac:dyDescent="0.25">
      <c r="A5927" s="116" t="s">
        <v>9399</v>
      </c>
      <c r="B5927" s="117" t="s">
        <v>9400</v>
      </c>
      <c r="C5927" t="s">
        <v>67</v>
      </c>
      <c r="D5927" t="s">
        <v>67</v>
      </c>
      <c r="E5927" t="s">
        <v>67</v>
      </c>
      <c r="F5927" t="s">
        <v>27987</v>
      </c>
      <c r="G5927" s="117">
        <v>1.69</v>
      </c>
    </row>
    <row r="5928" spans="1:7" x14ac:dyDescent="0.25">
      <c r="A5928" s="116" t="s">
        <v>9401</v>
      </c>
      <c r="B5928" s="117" t="s">
        <v>9174</v>
      </c>
      <c r="C5928" t="s">
        <v>67</v>
      </c>
      <c r="D5928" t="s">
        <v>67</v>
      </c>
      <c r="E5928" t="s">
        <v>67</v>
      </c>
      <c r="F5928" t="s">
        <v>27987</v>
      </c>
      <c r="G5928" s="117">
        <v>2.58</v>
      </c>
    </row>
    <row r="5929" spans="1:7" x14ac:dyDescent="0.25">
      <c r="A5929" s="116" t="s">
        <v>9402</v>
      </c>
      <c r="B5929" s="117" t="s">
        <v>9403</v>
      </c>
      <c r="C5929" t="s">
        <v>67</v>
      </c>
      <c r="D5929" t="s">
        <v>67</v>
      </c>
      <c r="E5929" t="s">
        <v>67</v>
      </c>
      <c r="F5929" t="s">
        <v>49</v>
      </c>
      <c r="G5929" s="117">
        <v>0.44</v>
      </c>
    </row>
    <row r="5930" spans="1:7" x14ac:dyDescent="0.25">
      <c r="A5930" s="116" t="s">
        <v>9404</v>
      </c>
      <c r="B5930" s="117" t="s">
        <v>9405</v>
      </c>
      <c r="C5930" t="s">
        <v>67</v>
      </c>
      <c r="D5930" t="s">
        <v>67</v>
      </c>
      <c r="E5930" t="s">
        <v>67</v>
      </c>
      <c r="F5930" t="s">
        <v>27987</v>
      </c>
      <c r="G5930" s="117">
        <v>1.33</v>
      </c>
    </row>
    <row r="5931" spans="1:7" x14ac:dyDescent="0.25">
      <c r="A5931" s="116" t="s">
        <v>9406</v>
      </c>
      <c r="B5931" s="117" t="s">
        <v>9174</v>
      </c>
      <c r="C5931" t="s">
        <v>67</v>
      </c>
      <c r="D5931" t="s">
        <v>67</v>
      </c>
      <c r="E5931" t="s">
        <v>67</v>
      </c>
      <c r="F5931" t="s">
        <v>27987</v>
      </c>
      <c r="G5931" s="117">
        <v>1.69</v>
      </c>
    </row>
    <row r="5932" spans="1:7" x14ac:dyDescent="0.25">
      <c r="A5932" s="116" t="s">
        <v>9407</v>
      </c>
      <c r="B5932" s="117" t="s">
        <v>9272</v>
      </c>
      <c r="C5932" t="s">
        <v>67</v>
      </c>
      <c r="D5932" t="s">
        <v>67</v>
      </c>
      <c r="E5932" t="s">
        <v>67</v>
      </c>
      <c r="F5932" t="s">
        <v>27987</v>
      </c>
      <c r="G5932" s="117">
        <v>3.12</v>
      </c>
    </row>
    <row r="5933" spans="1:7" x14ac:dyDescent="0.25">
      <c r="A5933" s="116" t="s">
        <v>9408</v>
      </c>
      <c r="B5933" s="117" t="s">
        <v>9409</v>
      </c>
      <c r="C5933" t="s">
        <v>67</v>
      </c>
      <c r="D5933" t="s">
        <v>67</v>
      </c>
      <c r="E5933" t="s">
        <v>67</v>
      </c>
      <c r="F5933" t="s">
        <v>49</v>
      </c>
      <c r="G5933" s="117">
        <v>2</v>
      </c>
    </row>
    <row r="5934" spans="1:7" x14ac:dyDescent="0.25">
      <c r="A5934" s="116" t="s">
        <v>9410</v>
      </c>
      <c r="B5934" s="117" t="s">
        <v>9411</v>
      </c>
      <c r="C5934" t="s">
        <v>67</v>
      </c>
      <c r="D5934" t="s">
        <v>67</v>
      </c>
      <c r="E5934" t="s">
        <v>67</v>
      </c>
      <c r="F5934" t="s">
        <v>49</v>
      </c>
      <c r="G5934" s="117">
        <v>1.33</v>
      </c>
    </row>
    <row r="5935" spans="1:7" x14ac:dyDescent="0.25">
      <c r="A5935" s="116" t="s">
        <v>9412</v>
      </c>
      <c r="B5935" s="117" t="s">
        <v>9413</v>
      </c>
      <c r="C5935" t="s">
        <v>67</v>
      </c>
      <c r="D5935" t="s">
        <v>67</v>
      </c>
      <c r="E5935" t="s">
        <v>67</v>
      </c>
      <c r="F5935" t="s">
        <v>49</v>
      </c>
      <c r="G5935" s="117">
        <v>3.12</v>
      </c>
    </row>
    <row r="5936" spans="1:7" x14ac:dyDescent="0.25">
      <c r="A5936" s="116" t="s">
        <v>9414</v>
      </c>
      <c r="B5936" s="117" t="s">
        <v>9415</v>
      </c>
      <c r="C5936" t="s">
        <v>67</v>
      </c>
      <c r="D5936" t="s">
        <v>67</v>
      </c>
      <c r="E5936" t="s">
        <v>67</v>
      </c>
      <c r="F5936" t="s">
        <v>49</v>
      </c>
      <c r="G5936" s="117">
        <v>0.8</v>
      </c>
    </row>
    <row r="5937" spans="1:7" x14ac:dyDescent="0.25">
      <c r="A5937" s="116" t="s">
        <v>9416</v>
      </c>
      <c r="B5937" s="117" t="s">
        <v>9417</v>
      </c>
      <c r="C5937" t="s">
        <v>67</v>
      </c>
      <c r="D5937" t="s">
        <v>67</v>
      </c>
      <c r="E5937" t="s">
        <v>67</v>
      </c>
      <c r="F5937" t="s">
        <v>27990</v>
      </c>
      <c r="G5937" s="117">
        <v>0.44</v>
      </c>
    </row>
    <row r="5938" spans="1:7" x14ac:dyDescent="0.25">
      <c r="A5938" s="116" t="s">
        <v>9418</v>
      </c>
      <c r="B5938" s="117" t="s">
        <v>9419</v>
      </c>
      <c r="C5938" t="s">
        <v>67</v>
      </c>
      <c r="D5938" t="s">
        <v>67</v>
      </c>
      <c r="E5938" t="s">
        <v>67</v>
      </c>
      <c r="F5938" t="s">
        <v>49</v>
      </c>
      <c r="G5938" s="117">
        <v>1.69</v>
      </c>
    </row>
    <row r="5939" spans="1:7" x14ac:dyDescent="0.25">
      <c r="A5939" s="116" t="s">
        <v>9420</v>
      </c>
      <c r="B5939" s="117" t="s">
        <v>9264</v>
      </c>
      <c r="C5939" t="s">
        <v>67</v>
      </c>
      <c r="D5939" t="s">
        <v>67</v>
      </c>
      <c r="E5939" t="s">
        <v>67</v>
      </c>
      <c r="F5939" t="s">
        <v>27987</v>
      </c>
      <c r="G5939" s="117">
        <v>6.14</v>
      </c>
    </row>
    <row r="5940" spans="1:7" x14ac:dyDescent="0.25">
      <c r="A5940" s="116" t="s">
        <v>9421</v>
      </c>
      <c r="B5940" s="117" t="s">
        <v>9422</v>
      </c>
      <c r="C5940" t="s">
        <v>67</v>
      </c>
      <c r="D5940" t="s">
        <v>67</v>
      </c>
      <c r="E5940" t="s">
        <v>67</v>
      </c>
      <c r="F5940" t="s">
        <v>27987</v>
      </c>
      <c r="G5940" s="117">
        <v>12.01</v>
      </c>
    </row>
    <row r="5941" spans="1:7" x14ac:dyDescent="0.25">
      <c r="A5941" s="116" t="s">
        <v>9423</v>
      </c>
      <c r="B5941" s="117" t="s">
        <v>9424</v>
      </c>
      <c r="C5941" t="s">
        <v>67</v>
      </c>
      <c r="D5941" t="s">
        <v>67</v>
      </c>
      <c r="E5941" t="s">
        <v>67</v>
      </c>
      <c r="F5941" t="s">
        <v>49</v>
      </c>
      <c r="G5941" s="117">
        <v>2.67</v>
      </c>
    </row>
    <row r="5942" spans="1:7" x14ac:dyDescent="0.25">
      <c r="A5942" s="116" t="s">
        <v>9425</v>
      </c>
      <c r="B5942" s="117" t="s">
        <v>9426</v>
      </c>
      <c r="C5942" t="s">
        <v>67</v>
      </c>
      <c r="D5942" t="s">
        <v>67</v>
      </c>
      <c r="E5942" t="s">
        <v>67</v>
      </c>
      <c r="F5942" t="s">
        <v>27990</v>
      </c>
      <c r="G5942" s="117">
        <v>1.33</v>
      </c>
    </row>
    <row r="5943" spans="1:7" x14ac:dyDescent="0.25">
      <c r="A5943" s="116" t="s">
        <v>9427</v>
      </c>
      <c r="B5943" s="117" t="s">
        <v>9428</v>
      </c>
      <c r="C5943" t="s">
        <v>67</v>
      </c>
      <c r="D5943" t="s">
        <v>67</v>
      </c>
      <c r="E5943" t="s">
        <v>67</v>
      </c>
      <c r="F5943" t="s">
        <v>49</v>
      </c>
      <c r="G5943" s="117">
        <v>0.8</v>
      </c>
    </row>
    <row r="5944" spans="1:7" x14ac:dyDescent="0.25">
      <c r="A5944" s="116" t="s">
        <v>9429</v>
      </c>
      <c r="B5944" s="117" t="s">
        <v>9430</v>
      </c>
      <c r="C5944" t="s">
        <v>67</v>
      </c>
      <c r="D5944" t="s">
        <v>67</v>
      </c>
      <c r="E5944" t="s">
        <v>67</v>
      </c>
      <c r="F5944" t="s">
        <v>27990</v>
      </c>
      <c r="G5944" s="117">
        <v>0.89</v>
      </c>
    </row>
    <row r="5945" spans="1:7" x14ac:dyDescent="0.25">
      <c r="A5945" s="116" t="s">
        <v>9431</v>
      </c>
      <c r="B5945" s="117" t="s">
        <v>28819</v>
      </c>
      <c r="C5945" t="s">
        <v>67</v>
      </c>
      <c r="D5945" t="s">
        <v>67</v>
      </c>
      <c r="E5945" t="s">
        <v>67</v>
      </c>
      <c r="F5945" t="s">
        <v>49</v>
      </c>
      <c r="G5945" s="117">
        <v>1.6</v>
      </c>
    </row>
    <row r="5946" spans="1:7" x14ac:dyDescent="0.25">
      <c r="A5946" s="116" t="s">
        <v>9432</v>
      </c>
      <c r="B5946" s="117" t="s">
        <v>9433</v>
      </c>
      <c r="C5946" t="s">
        <v>67</v>
      </c>
      <c r="D5946" t="s">
        <v>67</v>
      </c>
      <c r="E5946" t="s">
        <v>67</v>
      </c>
      <c r="F5946" t="s">
        <v>27987</v>
      </c>
      <c r="G5946" s="117">
        <v>1.33</v>
      </c>
    </row>
    <row r="5947" spans="1:7" x14ac:dyDescent="0.25">
      <c r="A5947" s="116" t="s">
        <v>9434</v>
      </c>
      <c r="B5947" s="117" t="s">
        <v>9435</v>
      </c>
      <c r="C5947" t="s">
        <v>67</v>
      </c>
      <c r="D5947" t="s">
        <v>67</v>
      </c>
      <c r="E5947" t="s">
        <v>67</v>
      </c>
      <c r="F5947" t="s">
        <v>51</v>
      </c>
      <c r="G5947" s="117">
        <v>1.33</v>
      </c>
    </row>
    <row r="5948" spans="1:7" x14ac:dyDescent="0.25">
      <c r="A5948" s="116" t="s">
        <v>9436</v>
      </c>
      <c r="B5948" s="117" t="s">
        <v>9437</v>
      </c>
      <c r="C5948" t="s">
        <v>67</v>
      </c>
      <c r="D5948" t="s">
        <v>67</v>
      </c>
      <c r="E5948" t="s">
        <v>67</v>
      </c>
      <c r="F5948" t="s">
        <v>45</v>
      </c>
      <c r="G5948" s="117">
        <v>0.89</v>
      </c>
    </row>
    <row r="5949" spans="1:7" x14ac:dyDescent="0.25">
      <c r="A5949" s="116" t="s">
        <v>9438</v>
      </c>
      <c r="B5949" s="117" t="s">
        <v>28820</v>
      </c>
      <c r="C5949" t="s">
        <v>67</v>
      </c>
      <c r="D5949" t="s">
        <v>67</v>
      </c>
      <c r="E5949" t="s">
        <v>67</v>
      </c>
      <c r="F5949" t="s">
        <v>49</v>
      </c>
      <c r="G5949" s="117">
        <v>17.36</v>
      </c>
    </row>
    <row r="5950" spans="1:7" x14ac:dyDescent="0.25">
      <c r="A5950" s="116" t="s">
        <v>9439</v>
      </c>
      <c r="B5950" s="117" t="s">
        <v>9440</v>
      </c>
      <c r="C5950" t="s">
        <v>67</v>
      </c>
      <c r="D5950" t="s">
        <v>67</v>
      </c>
      <c r="E5950" t="s">
        <v>67</v>
      </c>
      <c r="F5950" t="s">
        <v>49</v>
      </c>
      <c r="G5950" s="117">
        <v>1.33</v>
      </c>
    </row>
    <row r="5951" spans="1:7" x14ac:dyDescent="0.25">
      <c r="A5951" s="116" t="s">
        <v>9441</v>
      </c>
      <c r="B5951" s="117" t="s">
        <v>9442</v>
      </c>
      <c r="C5951" t="s">
        <v>67</v>
      </c>
      <c r="D5951" t="s">
        <v>67</v>
      </c>
      <c r="E5951" t="s">
        <v>67</v>
      </c>
      <c r="F5951" t="s">
        <v>49</v>
      </c>
      <c r="G5951" s="117">
        <v>6.68</v>
      </c>
    </row>
    <row r="5952" spans="1:7" x14ac:dyDescent="0.25">
      <c r="A5952" s="116" t="s">
        <v>9443</v>
      </c>
      <c r="B5952" s="117" t="s">
        <v>9444</v>
      </c>
      <c r="C5952" t="s">
        <v>67</v>
      </c>
      <c r="D5952" t="s">
        <v>67</v>
      </c>
      <c r="E5952" t="s">
        <v>67</v>
      </c>
      <c r="F5952" t="s">
        <v>49</v>
      </c>
      <c r="G5952" s="117">
        <v>0.89</v>
      </c>
    </row>
    <row r="5953" spans="1:7" x14ac:dyDescent="0.25">
      <c r="A5953" s="116" t="s">
        <v>9445</v>
      </c>
      <c r="B5953" s="117" t="s">
        <v>9446</v>
      </c>
      <c r="C5953" t="s">
        <v>67</v>
      </c>
      <c r="D5953" t="s">
        <v>67</v>
      </c>
      <c r="E5953" t="s">
        <v>67</v>
      </c>
      <c r="F5953" t="s">
        <v>51</v>
      </c>
      <c r="G5953" s="117">
        <v>0.8</v>
      </c>
    </row>
    <row r="5954" spans="1:7" x14ac:dyDescent="0.25">
      <c r="A5954" s="116" t="s">
        <v>9447</v>
      </c>
      <c r="B5954" s="117" t="s">
        <v>9448</v>
      </c>
      <c r="C5954" t="s">
        <v>67</v>
      </c>
      <c r="D5954" t="s">
        <v>67</v>
      </c>
      <c r="E5954" t="s">
        <v>67</v>
      </c>
      <c r="F5954" t="s">
        <v>49</v>
      </c>
      <c r="G5954" s="117">
        <v>2.58</v>
      </c>
    </row>
    <row r="5955" spans="1:7" x14ac:dyDescent="0.25">
      <c r="A5955" s="116" t="s">
        <v>9449</v>
      </c>
      <c r="B5955" s="117" t="s">
        <v>9450</v>
      </c>
      <c r="C5955" t="s">
        <v>67</v>
      </c>
      <c r="D5955" t="s">
        <v>67</v>
      </c>
      <c r="E5955" t="s">
        <v>67</v>
      </c>
      <c r="F5955" t="s">
        <v>27987</v>
      </c>
      <c r="G5955" s="117">
        <v>1.69</v>
      </c>
    </row>
    <row r="5956" spans="1:7" x14ac:dyDescent="0.25">
      <c r="A5956" s="116" t="s">
        <v>9451</v>
      </c>
      <c r="B5956" s="117" t="s">
        <v>9452</v>
      </c>
      <c r="C5956" t="s">
        <v>67</v>
      </c>
      <c r="D5956" t="s">
        <v>67</v>
      </c>
      <c r="E5956" t="s">
        <v>67</v>
      </c>
      <c r="F5956" t="s">
        <v>27987</v>
      </c>
      <c r="G5956" s="117">
        <v>2.23</v>
      </c>
    </row>
    <row r="5957" spans="1:7" x14ac:dyDescent="0.25">
      <c r="A5957" s="116" t="s">
        <v>9453</v>
      </c>
      <c r="B5957" s="117" t="s">
        <v>9454</v>
      </c>
      <c r="C5957" t="s">
        <v>67</v>
      </c>
      <c r="D5957" t="s">
        <v>67</v>
      </c>
      <c r="E5957" t="s">
        <v>67</v>
      </c>
      <c r="F5957" t="s">
        <v>45</v>
      </c>
      <c r="G5957" s="117">
        <v>3.56</v>
      </c>
    </row>
    <row r="5958" spans="1:7" x14ac:dyDescent="0.25">
      <c r="A5958" s="116" t="s">
        <v>9455</v>
      </c>
      <c r="B5958" s="117" t="s">
        <v>9322</v>
      </c>
      <c r="C5958" t="s">
        <v>67</v>
      </c>
      <c r="D5958" t="s">
        <v>67</v>
      </c>
      <c r="E5958" t="s">
        <v>67</v>
      </c>
      <c r="F5958" t="s">
        <v>49</v>
      </c>
      <c r="G5958" s="117">
        <v>2.5299999999999998</v>
      </c>
    </row>
    <row r="5959" spans="1:7" x14ac:dyDescent="0.25">
      <c r="A5959" s="116" t="s">
        <v>9456</v>
      </c>
      <c r="B5959" s="117" t="s">
        <v>28821</v>
      </c>
      <c r="C5959" t="s">
        <v>67</v>
      </c>
      <c r="D5959" t="s">
        <v>67</v>
      </c>
      <c r="E5959" t="s">
        <v>67</v>
      </c>
      <c r="F5959" t="s">
        <v>45</v>
      </c>
      <c r="G5959" s="117">
        <v>8.4499999999999993</v>
      </c>
    </row>
    <row r="5960" spans="1:7" x14ac:dyDescent="0.25">
      <c r="A5960" s="116" t="s">
        <v>9457</v>
      </c>
      <c r="B5960" s="117" t="s">
        <v>28822</v>
      </c>
      <c r="C5960" t="s">
        <v>67</v>
      </c>
      <c r="D5960" t="s">
        <v>67</v>
      </c>
      <c r="E5960" t="s">
        <v>67</v>
      </c>
      <c r="F5960" t="s">
        <v>45</v>
      </c>
      <c r="G5960" s="117">
        <v>4</v>
      </c>
    </row>
    <row r="5961" spans="1:7" x14ac:dyDescent="0.25">
      <c r="A5961" s="116" t="s">
        <v>9458</v>
      </c>
      <c r="B5961" s="117" t="s">
        <v>9459</v>
      </c>
      <c r="C5961" t="s">
        <v>67</v>
      </c>
      <c r="D5961" t="s">
        <v>67</v>
      </c>
      <c r="E5961" t="s">
        <v>67</v>
      </c>
      <c r="F5961" t="s">
        <v>49</v>
      </c>
      <c r="G5961" s="117">
        <v>1.69</v>
      </c>
    </row>
    <row r="5962" spans="1:7" x14ac:dyDescent="0.25">
      <c r="A5962" s="116" t="s">
        <v>9460</v>
      </c>
      <c r="B5962" s="117" t="s">
        <v>28823</v>
      </c>
      <c r="C5962" t="s">
        <v>67</v>
      </c>
      <c r="D5962" t="s">
        <v>67</v>
      </c>
      <c r="E5962" t="s">
        <v>67</v>
      </c>
      <c r="F5962" t="s">
        <v>49</v>
      </c>
      <c r="G5962" s="117">
        <v>1.69</v>
      </c>
    </row>
    <row r="5963" spans="1:7" x14ac:dyDescent="0.25">
      <c r="A5963" s="116" t="s">
        <v>9462</v>
      </c>
      <c r="B5963" s="117" t="s">
        <v>28824</v>
      </c>
      <c r="C5963" t="s">
        <v>67</v>
      </c>
      <c r="D5963" t="s">
        <v>67</v>
      </c>
      <c r="E5963" t="s">
        <v>67</v>
      </c>
      <c r="F5963" t="s">
        <v>27987</v>
      </c>
      <c r="G5963" s="117">
        <v>18.600000000000001</v>
      </c>
    </row>
    <row r="5964" spans="1:7" x14ac:dyDescent="0.25">
      <c r="A5964" s="116" t="s">
        <v>9463</v>
      </c>
      <c r="B5964" s="117" t="s">
        <v>9464</v>
      </c>
      <c r="C5964" t="s">
        <v>67</v>
      </c>
      <c r="D5964" t="s">
        <v>67</v>
      </c>
      <c r="E5964" t="s">
        <v>67</v>
      </c>
      <c r="F5964" t="s">
        <v>27987</v>
      </c>
      <c r="G5964" s="117">
        <v>2.58</v>
      </c>
    </row>
    <row r="5965" spans="1:7" x14ac:dyDescent="0.25">
      <c r="A5965" s="116" t="s">
        <v>9465</v>
      </c>
      <c r="B5965" s="117" t="s">
        <v>9466</v>
      </c>
      <c r="C5965" t="s">
        <v>67</v>
      </c>
      <c r="D5965" t="s">
        <v>67</v>
      </c>
      <c r="E5965" t="s">
        <v>67</v>
      </c>
      <c r="F5965" t="s">
        <v>49</v>
      </c>
      <c r="G5965" s="117">
        <v>5.79</v>
      </c>
    </row>
    <row r="5966" spans="1:7" x14ac:dyDescent="0.25">
      <c r="A5966" s="116" t="s">
        <v>9467</v>
      </c>
      <c r="B5966" s="117" t="s">
        <v>9155</v>
      </c>
      <c r="C5966" t="s">
        <v>67</v>
      </c>
      <c r="D5966" t="s">
        <v>67</v>
      </c>
      <c r="E5966" t="s">
        <v>67</v>
      </c>
      <c r="F5966" t="s">
        <v>27987</v>
      </c>
      <c r="G5966" s="117">
        <v>2.23</v>
      </c>
    </row>
    <row r="5967" spans="1:7" x14ac:dyDescent="0.25">
      <c r="A5967" s="116" t="s">
        <v>9468</v>
      </c>
      <c r="B5967" s="117" t="s">
        <v>9469</v>
      </c>
      <c r="C5967" t="s">
        <v>67</v>
      </c>
      <c r="D5967" t="s">
        <v>67</v>
      </c>
      <c r="E5967" t="s">
        <v>67</v>
      </c>
      <c r="F5967" t="s">
        <v>49</v>
      </c>
      <c r="G5967" s="117">
        <v>1.77</v>
      </c>
    </row>
    <row r="5968" spans="1:7" x14ac:dyDescent="0.25">
      <c r="A5968" s="116" t="s">
        <v>28825</v>
      </c>
      <c r="B5968" s="117" t="s">
        <v>30104</v>
      </c>
      <c r="C5968" t="s">
        <v>67</v>
      </c>
      <c r="D5968" t="s">
        <v>67</v>
      </c>
      <c r="E5968" t="s">
        <v>67</v>
      </c>
      <c r="F5968" t="s">
        <v>27987</v>
      </c>
      <c r="G5968" s="117">
        <v>7.46</v>
      </c>
    </row>
    <row r="5969" spans="1:7" x14ac:dyDescent="0.25">
      <c r="A5969" s="116" t="s">
        <v>9470</v>
      </c>
      <c r="B5969" s="117" t="s">
        <v>9471</v>
      </c>
      <c r="C5969" t="s">
        <v>67</v>
      </c>
      <c r="D5969" t="s">
        <v>67</v>
      </c>
      <c r="E5969" t="s">
        <v>67</v>
      </c>
      <c r="F5969" t="s">
        <v>27987</v>
      </c>
      <c r="G5969" s="117">
        <v>0.8</v>
      </c>
    </row>
    <row r="5970" spans="1:7" x14ac:dyDescent="0.25">
      <c r="A5970" s="116" t="s">
        <v>9472</v>
      </c>
      <c r="B5970" s="117" t="s">
        <v>28826</v>
      </c>
      <c r="C5970" t="s">
        <v>67</v>
      </c>
      <c r="D5970" t="s">
        <v>67</v>
      </c>
      <c r="E5970" t="s">
        <v>67</v>
      </c>
      <c r="F5970" t="s">
        <v>45</v>
      </c>
      <c r="G5970" s="117">
        <v>9.35</v>
      </c>
    </row>
    <row r="5971" spans="1:7" x14ac:dyDescent="0.25">
      <c r="A5971" s="116" t="s">
        <v>9473</v>
      </c>
      <c r="B5971" s="117" t="s">
        <v>9474</v>
      </c>
      <c r="C5971" t="s">
        <v>67</v>
      </c>
      <c r="D5971" t="s">
        <v>67</v>
      </c>
      <c r="E5971" t="s">
        <v>67</v>
      </c>
      <c r="F5971" t="s">
        <v>27990</v>
      </c>
      <c r="G5971" s="117">
        <v>0.44</v>
      </c>
    </row>
    <row r="5972" spans="1:7" x14ac:dyDescent="0.25">
      <c r="A5972" s="116" t="s">
        <v>9475</v>
      </c>
      <c r="B5972" s="117" t="s">
        <v>9476</v>
      </c>
      <c r="C5972" t="s">
        <v>67</v>
      </c>
      <c r="D5972" t="s">
        <v>67</v>
      </c>
      <c r="E5972" t="s">
        <v>67</v>
      </c>
      <c r="F5972" t="s">
        <v>27987</v>
      </c>
      <c r="G5972" s="117">
        <v>0.8</v>
      </c>
    </row>
    <row r="5973" spans="1:7" x14ac:dyDescent="0.25">
      <c r="A5973" s="116" t="s">
        <v>9477</v>
      </c>
      <c r="B5973" s="117" t="s">
        <v>9464</v>
      </c>
      <c r="C5973" t="s">
        <v>67</v>
      </c>
      <c r="D5973" t="s">
        <v>67</v>
      </c>
      <c r="E5973" t="s">
        <v>67</v>
      </c>
      <c r="F5973" t="s">
        <v>49</v>
      </c>
      <c r="G5973" s="117">
        <v>0.44</v>
      </c>
    </row>
    <row r="5974" spans="1:7" x14ac:dyDescent="0.25">
      <c r="A5974" s="116" t="s">
        <v>9478</v>
      </c>
      <c r="B5974" s="117" t="s">
        <v>9479</v>
      </c>
      <c r="C5974" t="s">
        <v>67</v>
      </c>
      <c r="D5974" t="s">
        <v>67</v>
      </c>
      <c r="E5974" t="s">
        <v>67</v>
      </c>
      <c r="F5974" t="s">
        <v>27987</v>
      </c>
      <c r="G5974" s="117">
        <v>1.33</v>
      </c>
    </row>
    <row r="5975" spans="1:7" x14ac:dyDescent="0.25">
      <c r="A5975" s="116" t="s">
        <v>9480</v>
      </c>
      <c r="B5975" s="117" t="s">
        <v>9481</v>
      </c>
      <c r="C5975" t="s">
        <v>67</v>
      </c>
      <c r="D5975" t="s">
        <v>67</v>
      </c>
      <c r="E5975" t="s">
        <v>67</v>
      </c>
      <c r="F5975" t="s">
        <v>27987</v>
      </c>
      <c r="G5975" s="117">
        <v>0.8</v>
      </c>
    </row>
    <row r="5976" spans="1:7" x14ac:dyDescent="0.25">
      <c r="A5976" s="116" t="s">
        <v>9482</v>
      </c>
      <c r="B5976" s="117" t="s">
        <v>28827</v>
      </c>
      <c r="C5976" t="s">
        <v>67</v>
      </c>
      <c r="D5976" t="s">
        <v>67</v>
      </c>
      <c r="E5976" t="s">
        <v>67</v>
      </c>
      <c r="F5976" t="s">
        <v>27987</v>
      </c>
      <c r="G5976" s="117">
        <v>1.27</v>
      </c>
    </row>
    <row r="5977" spans="1:7" x14ac:dyDescent="0.25">
      <c r="A5977" s="116" t="s">
        <v>9483</v>
      </c>
      <c r="B5977" s="117" t="s">
        <v>9484</v>
      </c>
      <c r="C5977" t="s">
        <v>67</v>
      </c>
      <c r="D5977" t="s">
        <v>67</v>
      </c>
      <c r="E5977" t="s">
        <v>67</v>
      </c>
      <c r="F5977" t="s">
        <v>49</v>
      </c>
      <c r="G5977" s="117">
        <v>0.44</v>
      </c>
    </row>
    <row r="5978" spans="1:7" x14ac:dyDescent="0.25">
      <c r="A5978" s="116" t="s">
        <v>9485</v>
      </c>
      <c r="B5978" s="117" t="s">
        <v>9486</v>
      </c>
      <c r="C5978" t="s">
        <v>67</v>
      </c>
      <c r="D5978" t="s">
        <v>67</v>
      </c>
      <c r="E5978" t="s">
        <v>67</v>
      </c>
      <c r="F5978" t="s">
        <v>27987</v>
      </c>
      <c r="G5978" s="117">
        <v>1.69</v>
      </c>
    </row>
    <row r="5979" spans="1:7" x14ac:dyDescent="0.25">
      <c r="A5979" s="116" t="s">
        <v>9487</v>
      </c>
      <c r="B5979" s="117" t="s">
        <v>9488</v>
      </c>
      <c r="C5979" t="s">
        <v>67</v>
      </c>
      <c r="D5979" t="s">
        <v>67</v>
      </c>
      <c r="E5979" t="s">
        <v>67</v>
      </c>
      <c r="F5979" t="s">
        <v>49</v>
      </c>
      <c r="G5979" s="117">
        <v>1.33</v>
      </c>
    </row>
    <row r="5980" spans="1:7" x14ac:dyDescent="0.25">
      <c r="A5980" s="116" t="s">
        <v>9489</v>
      </c>
      <c r="B5980" s="117" t="s">
        <v>9490</v>
      </c>
      <c r="C5980" t="s">
        <v>67</v>
      </c>
      <c r="D5980" t="s">
        <v>67</v>
      </c>
      <c r="E5980" t="s">
        <v>67</v>
      </c>
      <c r="F5980" t="s">
        <v>49</v>
      </c>
      <c r="G5980" s="117">
        <v>0.8</v>
      </c>
    </row>
    <row r="5981" spans="1:7" x14ac:dyDescent="0.25">
      <c r="A5981" s="116" t="s">
        <v>9491</v>
      </c>
      <c r="B5981" s="117" t="s">
        <v>28828</v>
      </c>
      <c r="C5981" t="s">
        <v>67</v>
      </c>
      <c r="D5981" t="s">
        <v>67</v>
      </c>
      <c r="E5981" t="s">
        <v>67</v>
      </c>
      <c r="F5981" t="s">
        <v>49</v>
      </c>
      <c r="G5981" s="117">
        <v>0.8</v>
      </c>
    </row>
    <row r="5982" spans="1:7" x14ac:dyDescent="0.25">
      <c r="A5982" s="116" t="s">
        <v>9492</v>
      </c>
      <c r="B5982" s="117" t="s">
        <v>9493</v>
      </c>
      <c r="C5982" t="s">
        <v>67</v>
      </c>
      <c r="D5982" t="s">
        <v>67</v>
      </c>
      <c r="E5982" t="s">
        <v>67</v>
      </c>
      <c r="F5982" t="s">
        <v>49</v>
      </c>
      <c r="G5982" s="117">
        <v>0.8</v>
      </c>
    </row>
    <row r="5983" spans="1:7" x14ac:dyDescent="0.25">
      <c r="A5983" s="116" t="s">
        <v>9494</v>
      </c>
      <c r="B5983" s="117" t="s">
        <v>9390</v>
      </c>
      <c r="C5983" t="s">
        <v>67</v>
      </c>
      <c r="D5983" t="s">
        <v>67</v>
      </c>
      <c r="E5983" t="s">
        <v>67</v>
      </c>
      <c r="F5983" t="s">
        <v>49</v>
      </c>
      <c r="G5983" s="117">
        <v>0.8</v>
      </c>
    </row>
    <row r="5984" spans="1:7" x14ac:dyDescent="0.25">
      <c r="A5984" s="116" t="s">
        <v>9495</v>
      </c>
      <c r="B5984" s="117" t="s">
        <v>9496</v>
      </c>
      <c r="C5984" t="s">
        <v>67</v>
      </c>
      <c r="D5984" t="s">
        <v>67</v>
      </c>
      <c r="E5984" t="s">
        <v>67</v>
      </c>
      <c r="F5984" t="s">
        <v>49</v>
      </c>
      <c r="G5984" s="117">
        <v>0.8</v>
      </c>
    </row>
    <row r="5985" spans="1:7" x14ac:dyDescent="0.25">
      <c r="A5985" s="116" t="s">
        <v>9497</v>
      </c>
      <c r="B5985" s="117" t="s">
        <v>9498</v>
      </c>
      <c r="C5985" t="s">
        <v>67</v>
      </c>
      <c r="D5985" t="s">
        <v>67</v>
      </c>
      <c r="E5985" t="s">
        <v>67</v>
      </c>
      <c r="F5985" t="s">
        <v>51</v>
      </c>
      <c r="G5985" s="117">
        <v>0.44</v>
      </c>
    </row>
    <row r="5986" spans="1:7" x14ac:dyDescent="0.25">
      <c r="A5986" s="116" t="s">
        <v>9499</v>
      </c>
      <c r="B5986" s="117" t="s">
        <v>28829</v>
      </c>
      <c r="C5986" t="s">
        <v>67</v>
      </c>
      <c r="D5986" t="s">
        <v>67</v>
      </c>
      <c r="E5986" t="s">
        <v>67</v>
      </c>
      <c r="F5986" t="s">
        <v>49</v>
      </c>
      <c r="G5986" s="117">
        <v>2.58</v>
      </c>
    </row>
    <row r="5987" spans="1:7" x14ac:dyDescent="0.25">
      <c r="A5987" s="116" t="s">
        <v>9500</v>
      </c>
      <c r="B5987" s="117" t="s">
        <v>9501</v>
      </c>
      <c r="C5987" t="s">
        <v>67</v>
      </c>
      <c r="D5987" t="s">
        <v>67</v>
      </c>
      <c r="E5987" t="s">
        <v>67</v>
      </c>
      <c r="F5987" t="s">
        <v>45</v>
      </c>
      <c r="G5987" s="117">
        <v>0.8</v>
      </c>
    </row>
    <row r="5988" spans="1:7" x14ac:dyDescent="0.25">
      <c r="A5988" s="116" t="s">
        <v>9502</v>
      </c>
      <c r="B5988" s="117" t="s">
        <v>9355</v>
      </c>
      <c r="C5988" t="s">
        <v>67</v>
      </c>
      <c r="D5988" t="s">
        <v>67</v>
      </c>
      <c r="E5988" t="s">
        <v>67</v>
      </c>
      <c r="F5988" t="s">
        <v>51</v>
      </c>
      <c r="G5988" s="117">
        <v>0.8</v>
      </c>
    </row>
    <row r="5989" spans="1:7" x14ac:dyDescent="0.25">
      <c r="A5989" s="116" t="s">
        <v>9503</v>
      </c>
      <c r="B5989" s="117" t="s">
        <v>9504</v>
      </c>
      <c r="C5989" t="s">
        <v>67</v>
      </c>
      <c r="D5989" t="s">
        <v>67</v>
      </c>
      <c r="E5989" t="s">
        <v>67</v>
      </c>
      <c r="F5989" t="s">
        <v>49</v>
      </c>
      <c r="G5989" s="117">
        <v>0.44</v>
      </c>
    </row>
    <row r="5990" spans="1:7" x14ac:dyDescent="0.25">
      <c r="A5990" s="116" t="s">
        <v>9505</v>
      </c>
      <c r="B5990" s="117" t="s">
        <v>9506</v>
      </c>
      <c r="C5990" t="s">
        <v>67</v>
      </c>
      <c r="D5990" t="s">
        <v>67</v>
      </c>
      <c r="E5990" t="s">
        <v>67</v>
      </c>
      <c r="F5990" t="s">
        <v>49</v>
      </c>
      <c r="G5990" s="117">
        <v>0.8</v>
      </c>
    </row>
    <row r="5991" spans="1:7" x14ac:dyDescent="0.25">
      <c r="A5991" s="116" t="s">
        <v>9507</v>
      </c>
      <c r="B5991" s="117" t="s">
        <v>9508</v>
      </c>
      <c r="C5991" t="s">
        <v>67</v>
      </c>
      <c r="D5991" t="s">
        <v>67</v>
      </c>
      <c r="E5991" t="s">
        <v>67</v>
      </c>
      <c r="F5991" t="s">
        <v>49</v>
      </c>
      <c r="G5991" s="117">
        <v>1.33</v>
      </c>
    </row>
    <row r="5992" spans="1:7" x14ac:dyDescent="0.25">
      <c r="A5992" s="116" t="s">
        <v>9509</v>
      </c>
      <c r="B5992" s="117" t="s">
        <v>9510</v>
      </c>
      <c r="C5992" t="s">
        <v>67</v>
      </c>
      <c r="D5992" t="s">
        <v>67</v>
      </c>
      <c r="E5992" t="s">
        <v>67</v>
      </c>
      <c r="F5992" t="s">
        <v>49</v>
      </c>
      <c r="G5992" s="117">
        <v>0.8</v>
      </c>
    </row>
    <row r="5993" spans="1:7" x14ac:dyDescent="0.25">
      <c r="A5993" s="116" t="s">
        <v>9511</v>
      </c>
      <c r="B5993" s="117" t="s">
        <v>9512</v>
      </c>
      <c r="C5993" t="s">
        <v>67</v>
      </c>
      <c r="D5993" t="s">
        <v>67</v>
      </c>
      <c r="E5993" t="s">
        <v>67</v>
      </c>
      <c r="F5993" t="s">
        <v>49</v>
      </c>
      <c r="G5993" s="117">
        <v>0.44</v>
      </c>
    </row>
    <row r="5994" spans="1:7" x14ac:dyDescent="0.25">
      <c r="A5994" s="116" t="s">
        <v>9513</v>
      </c>
      <c r="B5994" s="117" t="s">
        <v>9134</v>
      </c>
      <c r="C5994" t="s">
        <v>67</v>
      </c>
      <c r="D5994" t="s">
        <v>67</v>
      </c>
      <c r="E5994" t="s">
        <v>67</v>
      </c>
      <c r="F5994" t="s">
        <v>27987</v>
      </c>
      <c r="G5994" s="117">
        <v>1.33</v>
      </c>
    </row>
    <row r="5995" spans="1:7" x14ac:dyDescent="0.25">
      <c r="A5995" s="116" t="s">
        <v>9514</v>
      </c>
      <c r="B5995" s="117" t="s">
        <v>9155</v>
      </c>
      <c r="C5995" t="s">
        <v>67</v>
      </c>
      <c r="D5995" t="s">
        <v>67</v>
      </c>
      <c r="E5995" t="s">
        <v>67</v>
      </c>
      <c r="F5995" t="s">
        <v>27987</v>
      </c>
      <c r="G5995" s="117">
        <v>7.02</v>
      </c>
    </row>
    <row r="5996" spans="1:7" x14ac:dyDescent="0.25">
      <c r="A5996" s="116" t="s">
        <v>9515</v>
      </c>
      <c r="B5996" s="117" t="s">
        <v>9516</v>
      </c>
      <c r="C5996" t="s">
        <v>67</v>
      </c>
      <c r="D5996" t="s">
        <v>67</v>
      </c>
      <c r="E5996" t="s">
        <v>67</v>
      </c>
      <c r="F5996" t="s">
        <v>45</v>
      </c>
      <c r="G5996" s="117">
        <v>2.23</v>
      </c>
    </row>
    <row r="5997" spans="1:7" x14ac:dyDescent="0.25">
      <c r="A5997" s="116" t="s">
        <v>9517</v>
      </c>
      <c r="B5997" s="117" t="s">
        <v>9518</v>
      </c>
      <c r="C5997" t="s">
        <v>67</v>
      </c>
      <c r="D5997" t="s">
        <v>67</v>
      </c>
      <c r="E5997" t="s">
        <v>67</v>
      </c>
      <c r="F5997" t="s">
        <v>49</v>
      </c>
      <c r="G5997" s="117">
        <v>0.8</v>
      </c>
    </row>
    <row r="5998" spans="1:7" x14ac:dyDescent="0.25">
      <c r="A5998" s="116" t="s">
        <v>9519</v>
      </c>
      <c r="B5998" s="117" t="s">
        <v>9520</v>
      </c>
      <c r="C5998" t="s">
        <v>67</v>
      </c>
      <c r="D5998" t="s">
        <v>67</v>
      </c>
      <c r="E5998" t="s">
        <v>67</v>
      </c>
      <c r="F5998" t="s">
        <v>49</v>
      </c>
      <c r="G5998" s="117">
        <v>0.8</v>
      </c>
    </row>
    <row r="5999" spans="1:7" x14ac:dyDescent="0.25">
      <c r="A5999" s="116" t="s">
        <v>9521</v>
      </c>
      <c r="B5999" s="117" t="s">
        <v>9522</v>
      </c>
      <c r="C5999" t="s">
        <v>67</v>
      </c>
      <c r="D5999" t="s">
        <v>67</v>
      </c>
      <c r="E5999" t="s">
        <v>67</v>
      </c>
      <c r="F5999" t="s">
        <v>49</v>
      </c>
      <c r="G5999" s="117">
        <v>1.33</v>
      </c>
    </row>
    <row r="6000" spans="1:7" x14ac:dyDescent="0.25">
      <c r="A6000" s="116" t="s">
        <v>9523</v>
      </c>
      <c r="B6000" s="117" t="s">
        <v>9317</v>
      </c>
      <c r="C6000" t="s">
        <v>67</v>
      </c>
      <c r="D6000" t="s">
        <v>67</v>
      </c>
      <c r="E6000" t="s">
        <v>67</v>
      </c>
      <c r="F6000" t="s">
        <v>49</v>
      </c>
      <c r="G6000" s="117">
        <v>0.44</v>
      </c>
    </row>
    <row r="6001" spans="1:7" x14ac:dyDescent="0.25">
      <c r="A6001" s="116" t="s">
        <v>9524</v>
      </c>
      <c r="B6001" s="117" t="s">
        <v>9382</v>
      </c>
      <c r="C6001" t="s">
        <v>67</v>
      </c>
      <c r="D6001" t="s">
        <v>67</v>
      </c>
      <c r="E6001" t="s">
        <v>67</v>
      </c>
      <c r="F6001" t="s">
        <v>49</v>
      </c>
      <c r="G6001" s="117">
        <v>0.44</v>
      </c>
    </row>
    <row r="6002" spans="1:7" x14ac:dyDescent="0.25">
      <c r="A6002" s="116" t="s">
        <v>9525</v>
      </c>
      <c r="B6002" s="117" t="s">
        <v>9526</v>
      </c>
      <c r="C6002" t="s">
        <v>67</v>
      </c>
      <c r="D6002" t="s">
        <v>67</v>
      </c>
      <c r="E6002" t="s">
        <v>67</v>
      </c>
      <c r="F6002" t="s">
        <v>27987</v>
      </c>
      <c r="G6002" s="117">
        <v>0.44</v>
      </c>
    </row>
    <row r="6003" spans="1:7" x14ac:dyDescent="0.25">
      <c r="A6003" s="116" t="s">
        <v>9527</v>
      </c>
      <c r="B6003" s="117" t="s">
        <v>9361</v>
      </c>
      <c r="C6003" t="s">
        <v>67</v>
      </c>
      <c r="D6003" t="s">
        <v>67</v>
      </c>
      <c r="E6003" t="s">
        <v>67</v>
      </c>
      <c r="F6003" t="s">
        <v>51</v>
      </c>
      <c r="G6003" s="117">
        <v>1.69</v>
      </c>
    </row>
    <row r="6004" spans="1:7" x14ac:dyDescent="0.25">
      <c r="A6004" s="116" t="s">
        <v>9528</v>
      </c>
      <c r="B6004" s="117" t="s">
        <v>9529</v>
      </c>
      <c r="C6004" t="s">
        <v>67</v>
      </c>
      <c r="D6004" t="s">
        <v>67</v>
      </c>
      <c r="E6004" t="s">
        <v>67</v>
      </c>
      <c r="F6004" t="s">
        <v>27990</v>
      </c>
      <c r="G6004" s="117">
        <v>0.44</v>
      </c>
    </row>
    <row r="6005" spans="1:7" x14ac:dyDescent="0.25">
      <c r="A6005" s="116" t="s">
        <v>9530</v>
      </c>
      <c r="B6005" s="117" t="s">
        <v>9163</v>
      </c>
      <c r="C6005" t="s">
        <v>67</v>
      </c>
      <c r="D6005" t="s">
        <v>67</v>
      </c>
      <c r="E6005" t="s">
        <v>67</v>
      </c>
      <c r="F6005" t="s">
        <v>27990</v>
      </c>
      <c r="G6005" s="117">
        <v>1.94</v>
      </c>
    </row>
    <row r="6006" spans="1:7" x14ac:dyDescent="0.25">
      <c r="A6006" s="116" t="s">
        <v>9531</v>
      </c>
      <c r="B6006" s="117" t="s">
        <v>8010</v>
      </c>
      <c r="C6006" t="s">
        <v>67</v>
      </c>
      <c r="D6006" t="s">
        <v>67</v>
      </c>
      <c r="E6006" t="s">
        <v>67</v>
      </c>
      <c r="F6006" t="s">
        <v>49</v>
      </c>
      <c r="G6006" s="117">
        <v>1.33</v>
      </c>
    </row>
    <row r="6007" spans="1:7" x14ac:dyDescent="0.25">
      <c r="A6007" s="116" t="s">
        <v>9532</v>
      </c>
      <c r="B6007" s="117" t="s">
        <v>9159</v>
      </c>
      <c r="C6007" t="s">
        <v>67</v>
      </c>
      <c r="D6007" t="s">
        <v>67</v>
      </c>
      <c r="E6007" t="s">
        <v>67</v>
      </c>
      <c r="F6007" t="s">
        <v>49</v>
      </c>
      <c r="G6007" s="117">
        <v>1.33</v>
      </c>
    </row>
    <row r="6008" spans="1:7" x14ac:dyDescent="0.25">
      <c r="A6008" s="116" t="s">
        <v>9533</v>
      </c>
      <c r="B6008" s="117" t="s">
        <v>9534</v>
      </c>
      <c r="C6008" t="s">
        <v>67</v>
      </c>
      <c r="D6008" t="s">
        <v>67</v>
      </c>
      <c r="E6008" t="s">
        <v>67</v>
      </c>
      <c r="F6008" t="s">
        <v>51</v>
      </c>
      <c r="G6008" s="117">
        <v>0.44</v>
      </c>
    </row>
    <row r="6009" spans="1:7" x14ac:dyDescent="0.25">
      <c r="A6009" s="116" t="s">
        <v>9535</v>
      </c>
      <c r="B6009" s="117" t="s">
        <v>28830</v>
      </c>
      <c r="C6009" t="s">
        <v>67</v>
      </c>
      <c r="D6009" t="s">
        <v>67</v>
      </c>
      <c r="E6009" t="s">
        <v>67</v>
      </c>
      <c r="F6009" t="s">
        <v>45</v>
      </c>
      <c r="G6009" s="117">
        <v>4.3600000000000003</v>
      </c>
    </row>
    <row r="6010" spans="1:7" x14ac:dyDescent="0.25">
      <c r="A6010" s="116" t="s">
        <v>9536</v>
      </c>
      <c r="B6010" s="117" t="s">
        <v>28831</v>
      </c>
      <c r="C6010" t="s">
        <v>67</v>
      </c>
      <c r="D6010" t="s">
        <v>67</v>
      </c>
      <c r="E6010" t="s">
        <v>67</v>
      </c>
      <c r="F6010" t="s">
        <v>27987</v>
      </c>
      <c r="G6010" s="117">
        <v>1.33</v>
      </c>
    </row>
    <row r="6011" spans="1:7" x14ac:dyDescent="0.25">
      <c r="A6011" s="116" t="s">
        <v>9537</v>
      </c>
      <c r="B6011" s="117" t="s">
        <v>7998</v>
      </c>
      <c r="C6011" t="s">
        <v>67</v>
      </c>
      <c r="D6011" t="s">
        <v>67</v>
      </c>
      <c r="E6011" t="s">
        <v>67</v>
      </c>
      <c r="F6011" t="s">
        <v>51</v>
      </c>
      <c r="G6011" s="117">
        <v>2.58</v>
      </c>
    </row>
    <row r="6012" spans="1:7" x14ac:dyDescent="0.25">
      <c r="A6012" s="116" t="s">
        <v>9538</v>
      </c>
      <c r="B6012" s="117" t="s">
        <v>9539</v>
      </c>
      <c r="C6012" t="s">
        <v>67</v>
      </c>
      <c r="D6012" t="s">
        <v>67</v>
      </c>
      <c r="E6012" t="s">
        <v>67</v>
      </c>
      <c r="F6012" t="s">
        <v>27987</v>
      </c>
      <c r="G6012" s="117">
        <v>0.44</v>
      </c>
    </row>
    <row r="6013" spans="1:7" x14ac:dyDescent="0.25">
      <c r="A6013" s="116" t="s">
        <v>9540</v>
      </c>
      <c r="B6013" s="117" t="s">
        <v>9541</v>
      </c>
      <c r="C6013" t="s">
        <v>67</v>
      </c>
      <c r="D6013" t="s">
        <v>67</v>
      </c>
      <c r="E6013" t="s">
        <v>67</v>
      </c>
      <c r="F6013" t="s">
        <v>49</v>
      </c>
      <c r="G6013" s="117">
        <v>0.48</v>
      </c>
    </row>
    <row r="6014" spans="1:7" x14ac:dyDescent="0.25">
      <c r="A6014" s="116" t="s">
        <v>9542</v>
      </c>
      <c r="B6014" s="117" t="s">
        <v>9543</v>
      </c>
      <c r="C6014" t="s">
        <v>67</v>
      </c>
      <c r="D6014" t="s">
        <v>67</v>
      </c>
      <c r="E6014" t="s">
        <v>67</v>
      </c>
      <c r="F6014" t="s">
        <v>27987</v>
      </c>
      <c r="G6014" s="117">
        <v>3.11</v>
      </c>
    </row>
    <row r="6015" spans="1:7" x14ac:dyDescent="0.25">
      <c r="A6015" s="116" t="s">
        <v>9544</v>
      </c>
      <c r="B6015" s="117" t="s">
        <v>9545</v>
      </c>
      <c r="C6015" t="s">
        <v>67</v>
      </c>
      <c r="D6015" t="s">
        <v>67</v>
      </c>
      <c r="E6015" t="s">
        <v>67</v>
      </c>
      <c r="F6015" t="s">
        <v>45</v>
      </c>
      <c r="G6015" s="117">
        <v>2.23</v>
      </c>
    </row>
    <row r="6016" spans="1:7" x14ac:dyDescent="0.25">
      <c r="A6016" s="116" t="s">
        <v>9546</v>
      </c>
      <c r="B6016" s="117" t="s">
        <v>28832</v>
      </c>
      <c r="C6016" t="s">
        <v>67</v>
      </c>
      <c r="D6016" t="s">
        <v>67</v>
      </c>
      <c r="E6016" t="s">
        <v>67</v>
      </c>
      <c r="F6016" t="s">
        <v>45</v>
      </c>
      <c r="G6016" s="117">
        <v>1.33</v>
      </c>
    </row>
    <row r="6017" spans="1:7" x14ac:dyDescent="0.25">
      <c r="A6017" s="116" t="s">
        <v>9547</v>
      </c>
      <c r="B6017" s="117" t="s">
        <v>28833</v>
      </c>
      <c r="C6017" t="s">
        <v>67</v>
      </c>
      <c r="D6017" t="s">
        <v>67</v>
      </c>
      <c r="E6017" t="s">
        <v>67</v>
      </c>
      <c r="F6017" t="s">
        <v>27987</v>
      </c>
      <c r="G6017" s="117">
        <v>0.8</v>
      </c>
    </row>
    <row r="6018" spans="1:7" x14ac:dyDescent="0.25">
      <c r="A6018" s="116" t="s">
        <v>9548</v>
      </c>
      <c r="B6018" s="117" t="s">
        <v>28834</v>
      </c>
      <c r="C6018" t="s">
        <v>67</v>
      </c>
      <c r="D6018" t="s">
        <v>67</v>
      </c>
      <c r="E6018" t="s">
        <v>67</v>
      </c>
      <c r="F6018" t="s">
        <v>45</v>
      </c>
      <c r="G6018" s="117">
        <v>3.48</v>
      </c>
    </row>
    <row r="6019" spans="1:7" x14ac:dyDescent="0.25">
      <c r="A6019" s="116" t="s">
        <v>9549</v>
      </c>
      <c r="B6019" s="117" t="s">
        <v>28832</v>
      </c>
      <c r="C6019" t="s">
        <v>67</v>
      </c>
      <c r="D6019" t="s">
        <v>67</v>
      </c>
      <c r="E6019" t="s">
        <v>67</v>
      </c>
      <c r="F6019" t="s">
        <v>45</v>
      </c>
      <c r="G6019" s="117">
        <v>0.8</v>
      </c>
    </row>
    <row r="6020" spans="1:7" x14ac:dyDescent="0.25">
      <c r="A6020" s="116" t="s">
        <v>9550</v>
      </c>
      <c r="B6020" s="117" t="s">
        <v>9551</v>
      </c>
      <c r="C6020" t="s">
        <v>67</v>
      </c>
      <c r="D6020" t="s">
        <v>67</v>
      </c>
      <c r="E6020" t="s">
        <v>67</v>
      </c>
      <c r="F6020" t="s">
        <v>49</v>
      </c>
      <c r="G6020" s="117">
        <v>3.48</v>
      </c>
    </row>
    <row r="6021" spans="1:7" x14ac:dyDescent="0.25">
      <c r="A6021" s="116" t="s">
        <v>9552</v>
      </c>
      <c r="B6021" s="117" t="s">
        <v>9553</v>
      </c>
      <c r="C6021" t="s">
        <v>67</v>
      </c>
      <c r="D6021" t="s">
        <v>67</v>
      </c>
      <c r="E6021" t="s">
        <v>67</v>
      </c>
      <c r="F6021" t="s">
        <v>51</v>
      </c>
      <c r="G6021" s="117">
        <v>0.44</v>
      </c>
    </row>
    <row r="6022" spans="1:7" x14ac:dyDescent="0.25">
      <c r="A6022" s="116" t="s">
        <v>9554</v>
      </c>
      <c r="B6022" s="117" t="s">
        <v>9555</v>
      </c>
      <c r="C6022" t="s">
        <v>67</v>
      </c>
      <c r="D6022" t="s">
        <v>67</v>
      </c>
      <c r="E6022" t="s">
        <v>67</v>
      </c>
      <c r="F6022" t="s">
        <v>49</v>
      </c>
      <c r="G6022" s="117">
        <v>1.69</v>
      </c>
    </row>
    <row r="6023" spans="1:7" x14ac:dyDescent="0.25">
      <c r="A6023" s="116" t="s">
        <v>9556</v>
      </c>
      <c r="B6023" s="117" t="s">
        <v>9557</v>
      </c>
      <c r="C6023" t="s">
        <v>67</v>
      </c>
      <c r="D6023" t="s">
        <v>67</v>
      </c>
      <c r="E6023" t="s">
        <v>67</v>
      </c>
      <c r="F6023" t="s">
        <v>49</v>
      </c>
      <c r="G6023" s="117">
        <v>2.58</v>
      </c>
    </row>
    <row r="6024" spans="1:7" x14ac:dyDescent="0.25">
      <c r="A6024" s="116" t="s">
        <v>9558</v>
      </c>
      <c r="B6024" s="117" t="s">
        <v>28835</v>
      </c>
      <c r="C6024" t="s">
        <v>67</v>
      </c>
      <c r="D6024" t="s">
        <v>67</v>
      </c>
      <c r="E6024" t="s">
        <v>67</v>
      </c>
      <c r="F6024" t="s">
        <v>49</v>
      </c>
      <c r="G6024" s="117">
        <v>2.58</v>
      </c>
    </row>
    <row r="6025" spans="1:7" x14ac:dyDescent="0.25">
      <c r="A6025" s="116" t="s">
        <v>9559</v>
      </c>
      <c r="B6025" s="117" t="s">
        <v>28823</v>
      </c>
      <c r="C6025" t="s">
        <v>67</v>
      </c>
      <c r="D6025" t="s">
        <v>67</v>
      </c>
      <c r="E6025" t="s">
        <v>67</v>
      </c>
      <c r="F6025" t="s">
        <v>27990</v>
      </c>
      <c r="G6025" s="117">
        <v>1.33</v>
      </c>
    </row>
    <row r="6026" spans="1:7" x14ac:dyDescent="0.25">
      <c r="A6026" s="116" t="s">
        <v>9560</v>
      </c>
      <c r="B6026" s="117" t="s">
        <v>9028</v>
      </c>
      <c r="C6026" t="s">
        <v>67</v>
      </c>
      <c r="D6026" t="s">
        <v>67</v>
      </c>
      <c r="E6026" t="s">
        <v>67</v>
      </c>
      <c r="F6026" t="s">
        <v>27987</v>
      </c>
      <c r="G6026" s="117">
        <v>1.33</v>
      </c>
    </row>
    <row r="6027" spans="1:7" x14ac:dyDescent="0.25">
      <c r="A6027" s="116" t="s">
        <v>9561</v>
      </c>
      <c r="B6027" s="117" t="s">
        <v>9562</v>
      </c>
      <c r="C6027" t="s">
        <v>67</v>
      </c>
      <c r="D6027" t="s">
        <v>67</v>
      </c>
      <c r="E6027" t="s">
        <v>67</v>
      </c>
      <c r="F6027" t="s">
        <v>27987</v>
      </c>
      <c r="G6027" s="117">
        <v>20.02</v>
      </c>
    </row>
    <row r="6028" spans="1:7" x14ac:dyDescent="0.25">
      <c r="A6028" s="116" t="s">
        <v>9563</v>
      </c>
      <c r="B6028" s="117" t="s">
        <v>9564</v>
      </c>
      <c r="C6028" t="s">
        <v>67</v>
      </c>
      <c r="D6028" t="s">
        <v>67</v>
      </c>
      <c r="E6028" t="s">
        <v>67</v>
      </c>
      <c r="F6028" t="s">
        <v>27990</v>
      </c>
      <c r="G6028" s="117">
        <v>1.33</v>
      </c>
    </row>
    <row r="6029" spans="1:7" x14ac:dyDescent="0.25">
      <c r="A6029" s="116" t="s">
        <v>9565</v>
      </c>
      <c r="B6029" s="117" t="s">
        <v>9566</v>
      </c>
      <c r="C6029" t="s">
        <v>67</v>
      </c>
      <c r="D6029" t="s">
        <v>67</v>
      </c>
      <c r="E6029" t="s">
        <v>67</v>
      </c>
      <c r="F6029" t="s">
        <v>27987</v>
      </c>
      <c r="G6029" s="117">
        <v>14.14</v>
      </c>
    </row>
    <row r="6030" spans="1:7" x14ac:dyDescent="0.25">
      <c r="A6030" s="116" t="s">
        <v>9567</v>
      </c>
      <c r="B6030" s="117" t="s">
        <v>9568</v>
      </c>
      <c r="C6030" t="s">
        <v>67</v>
      </c>
      <c r="D6030" t="s">
        <v>67</v>
      </c>
      <c r="E6030" t="s">
        <v>67</v>
      </c>
      <c r="F6030" t="s">
        <v>49</v>
      </c>
      <c r="G6030" s="117">
        <v>0.44</v>
      </c>
    </row>
    <row r="6031" spans="1:7" x14ac:dyDescent="0.25">
      <c r="A6031" s="116" t="s">
        <v>9569</v>
      </c>
      <c r="B6031" s="117" t="s">
        <v>28836</v>
      </c>
      <c r="C6031" t="s">
        <v>67</v>
      </c>
      <c r="D6031" t="s">
        <v>67</v>
      </c>
      <c r="E6031" t="s">
        <v>67</v>
      </c>
      <c r="F6031" t="s">
        <v>49</v>
      </c>
      <c r="G6031" s="117">
        <v>7.02</v>
      </c>
    </row>
    <row r="6032" spans="1:7" x14ac:dyDescent="0.25">
      <c r="A6032" s="116" t="s">
        <v>9570</v>
      </c>
      <c r="B6032" s="117" t="s">
        <v>9571</v>
      </c>
      <c r="C6032" t="s">
        <v>67</v>
      </c>
      <c r="D6032" t="s">
        <v>67</v>
      </c>
      <c r="E6032" t="s">
        <v>67</v>
      </c>
      <c r="F6032" t="s">
        <v>27990</v>
      </c>
      <c r="G6032" s="117">
        <v>5</v>
      </c>
    </row>
    <row r="6033" spans="1:7" x14ac:dyDescent="0.25">
      <c r="A6033" s="116" t="s">
        <v>9572</v>
      </c>
      <c r="B6033" s="117" t="s">
        <v>28837</v>
      </c>
      <c r="C6033" t="s">
        <v>67</v>
      </c>
      <c r="D6033" t="s">
        <v>67</v>
      </c>
      <c r="E6033" t="s">
        <v>67</v>
      </c>
      <c r="F6033" t="s">
        <v>27987</v>
      </c>
      <c r="G6033" s="117">
        <v>0.44</v>
      </c>
    </row>
    <row r="6034" spans="1:7" x14ac:dyDescent="0.25">
      <c r="A6034" s="116" t="s">
        <v>9573</v>
      </c>
      <c r="B6034" s="117" t="s">
        <v>28838</v>
      </c>
      <c r="C6034" t="s">
        <v>67</v>
      </c>
      <c r="D6034" t="s">
        <v>67</v>
      </c>
      <c r="E6034" t="s">
        <v>67</v>
      </c>
      <c r="F6034" t="s">
        <v>49</v>
      </c>
      <c r="G6034" s="117">
        <v>0.8</v>
      </c>
    </row>
    <row r="6035" spans="1:7" x14ac:dyDescent="0.25">
      <c r="A6035" s="116" t="s">
        <v>9574</v>
      </c>
      <c r="B6035" s="117" t="s">
        <v>28839</v>
      </c>
      <c r="C6035" t="s">
        <v>67</v>
      </c>
      <c r="D6035" t="s">
        <v>67</v>
      </c>
      <c r="E6035" t="s">
        <v>67</v>
      </c>
      <c r="F6035" t="s">
        <v>49</v>
      </c>
      <c r="G6035" s="117">
        <v>1.33</v>
      </c>
    </row>
    <row r="6036" spans="1:7" x14ac:dyDescent="0.25">
      <c r="A6036" s="116" t="s">
        <v>9575</v>
      </c>
      <c r="B6036" s="117" t="s">
        <v>9576</v>
      </c>
      <c r="C6036" t="s">
        <v>67</v>
      </c>
      <c r="D6036" t="s">
        <v>67</v>
      </c>
      <c r="E6036" t="s">
        <v>67</v>
      </c>
      <c r="F6036" t="s">
        <v>49</v>
      </c>
      <c r="G6036" s="117">
        <v>0.8</v>
      </c>
    </row>
    <row r="6037" spans="1:7" x14ac:dyDescent="0.25">
      <c r="A6037" s="116" t="s">
        <v>9577</v>
      </c>
      <c r="B6037" s="117" t="s">
        <v>9578</v>
      </c>
      <c r="C6037" t="s">
        <v>67</v>
      </c>
      <c r="D6037" t="s">
        <v>67</v>
      </c>
      <c r="E6037" t="s">
        <v>67</v>
      </c>
      <c r="F6037" t="s">
        <v>45</v>
      </c>
      <c r="G6037" s="117">
        <v>2.23</v>
      </c>
    </row>
    <row r="6038" spans="1:7" x14ac:dyDescent="0.25">
      <c r="A6038" s="116" t="s">
        <v>9579</v>
      </c>
      <c r="B6038" s="117" t="s">
        <v>9580</v>
      </c>
      <c r="C6038" t="s">
        <v>67</v>
      </c>
      <c r="D6038" t="s">
        <v>67</v>
      </c>
      <c r="E6038" t="s">
        <v>67</v>
      </c>
      <c r="F6038" t="s">
        <v>27987</v>
      </c>
      <c r="G6038" s="117">
        <v>2.58</v>
      </c>
    </row>
    <row r="6039" spans="1:7" x14ac:dyDescent="0.25">
      <c r="A6039" s="116" t="s">
        <v>9581</v>
      </c>
      <c r="B6039" s="117" t="s">
        <v>9582</v>
      </c>
      <c r="C6039" t="s">
        <v>67</v>
      </c>
      <c r="D6039" t="s">
        <v>67</v>
      </c>
      <c r="E6039" t="s">
        <v>67</v>
      </c>
      <c r="F6039" t="s">
        <v>27987</v>
      </c>
      <c r="G6039" s="117">
        <v>11.48</v>
      </c>
    </row>
    <row r="6040" spans="1:7" x14ac:dyDescent="0.25">
      <c r="A6040" s="116" t="s">
        <v>9583</v>
      </c>
      <c r="B6040" s="117" t="s">
        <v>9584</v>
      </c>
      <c r="C6040" t="s">
        <v>67</v>
      </c>
      <c r="D6040" t="s">
        <v>67</v>
      </c>
      <c r="E6040" t="s">
        <v>67</v>
      </c>
      <c r="F6040" t="s">
        <v>27987</v>
      </c>
      <c r="G6040" s="117">
        <v>1.63</v>
      </c>
    </row>
    <row r="6041" spans="1:7" x14ac:dyDescent="0.25">
      <c r="A6041" s="116" t="s">
        <v>9585</v>
      </c>
      <c r="B6041" s="117" t="s">
        <v>9586</v>
      </c>
      <c r="C6041" t="s">
        <v>67</v>
      </c>
      <c r="D6041" t="s">
        <v>67</v>
      </c>
      <c r="E6041" t="s">
        <v>67</v>
      </c>
      <c r="F6041" t="s">
        <v>45</v>
      </c>
      <c r="G6041" s="117">
        <v>6.14</v>
      </c>
    </row>
    <row r="6042" spans="1:7" x14ac:dyDescent="0.25">
      <c r="A6042" s="116" t="s">
        <v>9587</v>
      </c>
      <c r="B6042" s="117" t="s">
        <v>9328</v>
      </c>
      <c r="C6042" t="s">
        <v>67</v>
      </c>
      <c r="D6042" t="s">
        <v>67</v>
      </c>
      <c r="E6042" t="s">
        <v>67</v>
      </c>
      <c r="F6042" t="s">
        <v>45</v>
      </c>
      <c r="G6042" s="117">
        <v>4</v>
      </c>
    </row>
    <row r="6043" spans="1:7" x14ac:dyDescent="0.25">
      <c r="A6043" s="116" t="s">
        <v>9588</v>
      </c>
      <c r="B6043" s="117" t="s">
        <v>9589</v>
      </c>
      <c r="C6043" t="s">
        <v>67</v>
      </c>
      <c r="D6043" t="s">
        <v>67</v>
      </c>
      <c r="E6043" t="s">
        <v>67</v>
      </c>
      <c r="F6043" t="s">
        <v>45</v>
      </c>
      <c r="G6043" s="117">
        <v>3.56</v>
      </c>
    </row>
    <row r="6044" spans="1:7" x14ac:dyDescent="0.25">
      <c r="A6044" s="116" t="s">
        <v>9590</v>
      </c>
      <c r="B6044" s="117" t="s">
        <v>9591</v>
      </c>
      <c r="C6044" t="s">
        <v>67</v>
      </c>
      <c r="D6044" t="s">
        <v>67</v>
      </c>
      <c r="E6044" t="s">
        <v>67</v>
      </c>
      <c r="F6044" t="s">
        <v>45</v>
      </c>
      <c r="G6044" s="117">
        <v>0.8</v>
      </c>
    </row>
    <row r="6045" spans="1:7" x14ac:dyDescent="0.25">
      <c r="A6045" s="116" t="s">
        <v>9592</v>
      </c>
      <c r="B6045" s="117" t="s">
        <v>9174</v>
      </c>
      <c r="C6045" t="s">
        <v>67</v>
      </c>
      <c r="D6045" t="s">
        <v>67</v>
      </c>
      <c r="E6045" t="s">
        <v>67</v>
      </c>
      <c r="F6045" t="s">
        <v>45</v>
      </c>
      <c r="G6045" s="117">
        <v>0.8</v>
      </c>
    </row>
    <row r="6046" spans="1:7" x14ac:dyDescent="0.25">
      <c r="A6046" s="116" t="s">
        <v>9593</v>
      </c>
      <c r="B6046" s="117" t="s">
        <v>9594</v>
      </c>
      <c r="C6046" t="s">
        <v>67</v>
      </c>
      <c r="D6046" t="s">
        <v>67</v>
      </c>
      <c r="E6046" t="s">
        <v>67</v>
      </c>
      <c r="F6046" t="s">
        <v>49</v>
      </c>
      <c r="G6046" s="117">
        <v>0.8</v>
      </c>
    </row>
    <row r="6047" spans="1:7" x14ac:dyDescent="0.25">
      <c r="A6047" s="116" t="s">
        <v>9595</v>
      </c>
      <c r="B6047" s="117" t="s">
        <v>9596</v>
      </c>
      <c r="C6047" t="s">
        <v>67</v>
      </c>
      <c r="D6047" t="s">
        <v>67</v>
      </c>
      <c r="E6047" t="s">
        <v>67</v>
      </c>
      <c r="F6047" t="s">
        <v>45</v>
      </c>
      <c r="G6047" s="117">
        <v>0.8</v>
      </c>
    </row>
    <row r="6048" spans="1:7" x14ac:dyDescent="0.25">
      <c r="A6048" s="116" t="s">
        <v>9597</v>
      </c>
      <c r="B6048" s="117" t="s">
        <v>9598</v>
      </c>
      <c r="C6048" t="s">
        <v>67</v>
      </c>
      <c r="D6048" t="s">
        <v>67</v>
      </c>
      <c r="E6048" t="s">
        <v>67</v>
      </c>
      <c r="F6048" t="s">
        <v>45</v>
      </c>
      <c r="G6048" s="117">
        <v>2.58</v>
      </c>
    </row>
    <row r="6049" spans="1:7" x14ac:dyDescent="0.25">
      <c r="A6049" s="116" t="s">
        <v>9599</v>
      </c>
      <c r="B6049" s="117" t="s">
        <v>9600</v>
      </c>
      <c r="C6049" t="s">
        <v>67</v>
      </c>
      <c r="D6049" t="s">
        <v>67</v>
      </c>
      <c r="E6049" t="s">
        <v>67</v>
      </c>
      <c r="F6049" t="s">
        <v>45</v>
      </c>
      <c r="G6049" s="117">
        <v>0.8</v>
      </c>
    </row>
    <row r="6050" spans="1:7" x14ac:dyDescent="0.25">
      <c r="A6050" s="116" t="s">
        <v>9601</v>
      </c>
      <c r="B6050" s="117" t="s">
        <v>28840</v>
      </c>
      <c r="C6050" t="s">
        <v>67</v>
      </c>
      <c r="D6050" t="s">
        <v>67</v>
      </c>
      <c r="E6050" t="s">
        <v>67</v>
      </c>
      <c r="F6050" t="s">
        <v>45</v>
      </c>
      <c r="G6050" s="117">
        <v>0.8</v>
      </c>
    </row>
    <row r="6051" spans="1:7" x14ac:dyDescent="0.25">
      <c r="A6051" s="116" t="s">
        <v>9602</v>
      </c>
      <c r="B6051" s="117" t="s">
        <v>9603</v>
      </c>
      <c r="C6051" t="s">
        <v>67</v>
      </c>
      <c r="D6051" t="s">
        <v>67</v>
      </c>
      <c r="E6051" t="s">
        <v>67</v>
      </c>
      <c r="F6051" t="s">
        <v>45</v>
      </c>
      <c r="G6051" s="117">
        <v>1.33</v>
      </c>
    </row>
    <row r="6052" spans="1:7" x14ac:dyDescent="0.25">
      <c r="A6052" s="116" t="s">
        <v>9604</v>
      </c>
      <c r="B6052" s="117" t="s">
        <v>9605</v>
      </c>
      <c r="C6052" t="s">
        <v>67</v>
      </c>
      <c r="D6052" t="s">
        <v>67</v>
      </c>
      <c r="E6052" t="s">
        <v>67</v>
      </c>
      <c r="F6052" t="s">
        <v>45</v>
      </c>
      <c r="G6052" s="117">
        <v>0.44</v>
      </c>
    </row>
    <row r="6053" spans="1:7" x14ac:dyDescent="0.25">
      <c r="A6053" s="116" t="s">
        <v>9606</v>
      </c>
      <c r="B6053" s="117" t="s">
        <v>28841</v>
      </c>
      <c r="C6053" t="s">
        <v>67</v>
      </c>
      <c r="D6053" t="s">
        <v>67</v>
      </c>
      <c r="E6053" t="s">
        <v>67</v>
      </c>
      <c r="F6053" t="s">
        <v>49</v>
      </c>
      <c r="G6053" s="117">
        <v>1.69</v>
      </c>
    </row>
    <row r="6054" spans="1:7" x14ac:dyDescent="0.25">
      <c r="A6054" s="116" t="s">
        <v>9607</v>
      </c>
      <c r="B6054" s="117" t="s">
        <v>28842</v>
      </c>
      <c r="C6054" t="s">
        <v>67</v>
      </c>
      <c r="D6054" t="s">
        <v>67</v>
      </c>
      <c r="E6054" t="s">
        <v>67</v>
      </c>
      <c r="F6054" t="s">
        <v>27987</v>
      </c>
      <c r="G6054" s="117">
        <v>0.8</v>
      </c>
    </row>
    <row r="6055" spans="1:7" x14ac:dyDescent="0.25">
      <c r="A6055" s="116" t="s">
        <v>9608</v>
      </c>
      <c r="B6055" s="117" t="s">
        <v>28801</v>
      </c>
      <c r="C6055" t="s">
        <v>67</v>
      </c>
      <c r="D6055" t="s">
        <v>67</v>
      </c>
      <c r="E6055" t="s">
        <v>67</v>
      </c>
      <c r="F6055" t="s">
        <v>49</v>
      </c>
      <c r="G6055" s="117">
        <v>2.58</v>
      </c>
    </row>
    <row r="6056" spans="1:7" x14ac:dyDescent="0.25">
      <c r="A6056" s="116" t="s">
        <v>9609</v>
      </c>
      <c r="B6056" s="117" t="s">
        <v>9610</v>
      </c>
      <c r="C6056" t="s">
        <v>67</v>
      </c>
      <c r="D6056" t="s">
        <v>67</v>
      </c>
      <c r="E6056" t="s">
        <v>67</v>
      </c>
      <c r="F6056" t="s">
        <v>27987</v>
      </c>
      <c r="G6056" s="117">
        <v>0.8</v>
      </c>
    </row>
    <row r="6057" spans="1:7" x14ac:dyDescent="0.25">
      <c r="A6057" s="116" t="s">
        <v>9611</v>
      </c>
      <c r="B6057" s="117" t="s">
        <v>9612</v>
      </c>
      <c r="C6057" t="s">
        <v>67</v>
      </c>
      <c r="D6057" t="s">
        <v>67</v>
      </c>
      <c r="E6057" t="s">
        <v>67</v>
      </c>
      <c r="F6057" t="s">
        <v>45</v>
      </c>
      <c r="G6057" s="117">
        <v>1.33</v>
      </c>
    </row>
    <row r="6058" spans="1:7" x14ac:dyDescent="0.25">
      <c r="A6058" s="116" t="s">
        <v>9613</v>
      </c>
      <c r="B6058" s="117" t="s">
        <v>7998</v>
      </c>
      <c r="C6058" t="s">
        <v>67</v>
      </c>
      <c r="D6058" t="s">
        <v>67</v>
      </c>
      <c r="E6058" t="s">
        <v>67</v>
      </c>
      <c r="F6058" t="s">
        <v>45</v>
      </c>
      <c r="G6058" s="117">
        <v>2.58</v>
      </c>
    </row>
    <row r="6059" spans="1:7" x14ac:dyDescent="0.25">
      <c r="A6059" s="116" t="s">
        <v>9614</v>
      </c>
      <c r="B6059" s="117" t="s">
        <v>9615</v>
      </c>
      <c r="C6059" t="s">
        <v>67</v>
      </c>
      <c r="D6059" t="s">
        <v>67</v>
      </c>
      <c r="E6059" t="s">
        <v>67</v>
      </c>
      <c r="F6059" t="s">
        <v>49</v>
      </c>
      <c r="G6059" s="117">
        <v>4.3600000000000003</v>
      </c>
    </row>
    <row r="6060" spans="1:7" x14ac:dyDescent="0.25">
      <c r="A6060" s="116" t="s">
        <v>9616</v>
      </c>
      <c r="B6060" s="117" t="s">
        <v>9617</v>
      </c>
      <c r="C6060" t="s">
        <v>67</v>
      </c>
      <c r="D6060" t="s">
        <v>67</v>
      </c>
      <c r="E6060" t="s">
        <v>67</v>
      </c>
      <c r="F6060" t="s">
        <v>49</v>
      </c>
      <c r="G6060" s="117">
        <v>4.3600000000000003</v>
      </c>
    </row>
    <row r="6061" spans="1:7" x14ac:dyDescent="0.25">
      <c r="A6061" s="116" t="s">
        <v>9618</v>
      </c>
      <c r="B6061" s="117" t="s">
        <v>9619</v>
      </c>
      <c r="C6061" t="s">
        <v>67</v>
      </c>
      <c r="D6061" t="s">
        <v>67</v>
      </c>
      <c r="E6061" t="s">
        <v>67</v>
      </c>
      <c r="F6061" t="s">
        <v>27987</v>
      </c>
      <c r="G6061" s="117">
        <v>2.58</v>
      </c>
    </row>
    <row r="6062" spans="1:7" x14ac:dyDescent="0.25">
      <c r="A6062" s="116" t="s">
        <v>9620</v>
      </c>
      <c r="B6062" s="117" t="s">
        <v>9621</v>
      </c>
      <c r="C6062" t="s">
        <v>67</v>
      </c>
      <c r="D6062" t="s">
        <v>67</v>
      </c>
      <c r="E6062" t="s">
        <v>67</v>
      </c>
      <c r="F6062" t="s">
        <v>49</v>
      </c>
      <c r="G6062" s="117">
        <v>1.69</v>
      </c>
    </row>
    <row r="6063" spans="1:7" x14ac:dyDescent="0.25">
      <c r="A6063" s="116" t="s">
        <v>9622</v>
      </c>
      <c r="B6063" s="117" t="s">
        <v>9623</v>
      </c>
      <c r="C6063" t="s">
        <v>67</v>
      </c>
      <c r="D6063" t="s">
        <v>67</v>
      </c>
      <c r="E6063" t="s">
        <v>67</v>
      </c>
      <c r="F6063" t="s">
        <v>49</v>
      </c>
      <c r="G6063" s="117">
        <v>1.77</v>
      </c>
    </row>
    <row r="6064" spans="1:7" x14ac:dyDescent="0.25">
      <c r="A6064" s="116" t="s">
        <v>9624</v>
      </c>
      <c r="B6064" s="117" t="s">
        <v>9625</v>
      </c>
      <c r="C6064" t="s">
        <v>67</v>
      </c>
      <c r="D6064" t="s">
        <v>67</v>
      </c>
      <c r="E6064" t="s">
        <v>67</v>
      </c>
      <c r="F6064" t="s">
        <v>49</v>
      </c>
      <c r="G6064" s="117">
        <v>2.58</v>
      </c>
    </row>
    <row r="6065" spans="1:7" x14ac:dyDescent="0.25">
      <c r="A6065" s="116" t="s">
        <v>9626</v>
      </c>
      <c r="B6065" s="117" t="s">
        <v>9461</v>
      </c>
      <c r="C6065" t="s">
        <v>67</v>
      </c>
      <c r="D6065" t="s">
        <v>67</v>
      </c>
      <c r="E6065" t="s">
        <v>67</v>
      </c>
      <c r="F6065" t="s">
        <v>49</v>
      </c>
      <c r="G6065" s="117">
        <v>1.69</v>
      </c>
    </row>
    <row r="6066" spans="1:7" x14ac:dyDescent="0.25">
      <c r="A6066" s="116" t="s">
        <v>9627</v>
      </c>
      <c r="B6066" s="117" t="s">
        <v>28843</v>
      </c>
      <c r="C6066" t="s">
        <v>67</v>
      </c>
      <c r="D6066" t="s">
        <v>67</v>
      </c>
      <c r="E6066" t="s">
        <v>67</v>
      </c>
      <c r="F6066" t="s">
        <v>45</v>
      </c>
      <c r="G6066" s="117">
        <v>1.69</v>
      </c>
    </row>
    <row r="6067" spans="1:7" x14ac:dyDescent="0.25">
      <c r="A6067" s="116" t="s">
        <v>9628</v>
      </c>
      <c r="B6067" s="117" t="s">
        <v>28844</v>
      </c>
      <c r="C6067" t="s">
        <v>67</v>
      </c>
      <c r="D6067" t="s">
        <v>67</v>
      </c>
      <c r="E6067" t="s">
        <v>67</v>
      </c>
      <c r="F6067" t="s">
        <v>27987</v>
      </c>
      <c r="G6067" s="117">
        <v>3.48</v>
      </c>
    </row>
    <row r="6068" spans="1:7" x14ac:dyDescent="0.25">
      <c r="A6068" s="116" t="s">
        <v>9629</v>
      </c>
      <c r="B6068" s="117" t="s">
        <v>9630</v>
      </c>
      <c r="C6068" t="s">
        <v>67</v>
      </c>
      <c r="D6068" t="s">
        <v>67</v>
      </c>
      <c r="E6068" t="s">
        <v>67</v>
      </c>
      <c r="F6068" t="s">
        <v>27987</v>
      </c>
      <c r="G6068" s="117">
        <v>4.3600000000000003</v>
      </c>
    </row>
    <row r="6069" spans="1:7" x14ac:dyDescent="0.25">
      <c r="A6069" s="116" t="s">
        <v>9631</v>
      </c>
      <c r="B6069" s="117" t="s">
        <v>28845</v>
      </c>
      <c r="C6069" t="s">
        <v>67</v>
      </c>
      <c r="D6069" t="s">
        <v>67</v>
      </c>
      <c r="E6069" t="s">
        <v>67</v>
      </c>
      <c r="F6069" t="s">
        <v>49</v>
      </c>
      <c r="G6069" s="117">
        <v>6.68</v>
      </c>
    </row>
    <row r="6070" spans="1:7" x14ac:dyDescent="0.25">
      <c r="A6070" s="116" t="s">
        <v>9632</v>
      </c>
      <c r="B6070" s="117" t="s">
        <v>28846</v>
      </c>
      <c r="C6070" t="s">
        <v>67</v>
      </c>
      <c r="D6070" t="s">
        <v>67</v>
      </c>
      <c r="E6070" t="s">
        <v>67</v>
      </c>
      <c r="F6070" t="s">
        <v>45</v>
      </c>
      <c r="G6070" s="117">
        <v>5.25</v>
      </c>
    </row>
    <row r="6071" spans="1:7" x14ac:dyDescent="0.25">
      <c r="A6071" s="116" t="s">
        <v>9633</v>
      </c>
      <c r="B6071" s="117" t="s">
        <v>9634</v>
      </c>
      <c r="C6071" t="s">
        <v>67</v>
      </c>
      <c r="D6071" t="s">
        <v>67</v>
      </c>
      <c r="E6071" t="s">
        <v>67</v>
      </c>
      <c r="F6071" t="s">
        <v>49</v>
      </c>
      <c r="G6071" s="117">
        <v>11.48</v>
      </c>
    </row>
    <row r="6072" spans="1:7" x14ac:dyDescent="0.25">
      <c r="A6072" s="116" t="s">
        <v>9635</v>
      </c>
      <c r="B6072" s="117" t="s">
        <v>28847</v>
      </c>
      <c r="C6072" t="s">
        <v>67</v>
      </c>
      <c r="D6072" t="s">
        <v>67</v>
      </c>
      <c r="E6072" t="s">
        <v>67</v>
      </c>
      <c r="F6072" t="s">
        <v>49</v>
      </c>
      <c r="G6072" s="117">
        <v>1.69</v>
      </c>
    </row>
    <row r="6073" spans="1:7" x14ac:dyDescent="0.25">
      <c r="A6073" s="116" t="s">
        <v>9636</v>
      </c>
      <c r="B6073" s="117" t="s">
        <v>9612</v>
      </c>
      <c r="C6073" t="s">
        <v>67</v>
      </c>
      <c r="D6073" t="s">
        <v>67</v>
      </c>
      <c r="E6073" t="s">
        <v>67</v>
      </c>
      <c r="F6073" t="s">
        <v>45</v>
      </c>
      <c r="G6073" s="117">
        <v>1.33</v>
      </c>
    </row>
    <row r="6074" spans="1:7" x14ac:dyDescent="0.25">
      <c r="A6074" s="116" t="s">
        <v>9637</v>
      </c>
      <c r="B6074" s="117" t="s">
        <v>28848</v>
      </c>
      <c r="C6074" t="s">
        <v>67</v>
      </c>
      <c r="D6074" t="s">
        <v>67</v>
      </c>
      <c r="E6074" t="s">
        <v>67</v>
      </c>
      <c r="F6074" t="s">
        <v>27987</v>
      </c>
      <c r="G6074" s="117">
        <v>5.79</v>
      </c>
    </row>
    <row r="6075" spans="1:7" x14ac:dyDescent="0.25">
      <c r="A6075" s="116" t="s">
        <v>9638</v>
      </c>
      <c r="B6075" s="117" t="s">
        <v>28849</v>
      </c>
      <c r="C6075" t="s">
        <v>67</v>
      </c>
      <c r="D6075" t="s">
        <v>67</v>
      </c>
      <c r="E6075" t="s">
        <v>67</v>
      </c>
      <c r="F6075" t="s">
        <v>27987</v>
      </c>
      <c r="G6075" s="117">
        <v>2.58</v>
      </c>
    </row>
    <row r="6076" spans="1:7" x14ac:dyDescent="0.25">
      <c r="A6076" s="116" t="s">
        <v>9639</v>
      </c>
      <c r="B6076" s="117" t="s">
        <v>28850</v>
      </c>
      <c r="C6076" t="s">
        <v>67</v>
      </c>
      <c r="D6076" t="s">
        <v>67</v>
      </c>
      <c r="E6076" t="s">
        <v>67</v>
      </c>
      <c r="F6076" t="s">
        <v>27987</v>
      </c>
      <c r="G6076" s="117">
        <v>0.8</v>
      </c>
    </row>
    <row r="6077" spans="1:7" x14ac:dyDescent="0.25">
      <c r="A6077" s="116" t="s">
        <v>9641</v>
      </c>
      <c r="B6077" s="117" t="s">
        <v>9640</v>
      </c>
      <c r="C6077" t="s">
        <v>67</v>
      </c>
      <c r="D6077" t="s">
        <v>67</v>
      </c>
      <c r="E6077" t="s">
        <v>67</v>
      </c>
      <c r="F6077" t="s">
        <v>49</v>
      </c>
      <c r="G6077" s="117">
        <v>1.69</v>
      </c>
    </row>
    <row r="6078" spans="1:7" x14ac:dyDescent="0.25">
      <c r="A6078" s="116" t="s">
        <v>9642</v>
      </c>
      <c r="B6078" s="117" t="s">
        <v>9145</v>
      </c>
      <c r="C6078" t="s">
        <v>67</v>
      </c>
      <c r="D6078" t="s">
        <v>67</v>
      </c>
      <c r="E6078" t="s">
        <v>67</v>
      </c>
      <c r="F6078" t="s">
        <v>45</v>
      </c>
      <c r="G6078" s="117">
        <v>3.56</v>
      </c>
    </row>
    <row r="6079" spans="1:7" x14ac:dyDescent="0.25">
      <c r="A6079" s="116" t="s">
        <v>9643</v>
      </c>
      <c r="B6079" s="117" t="s">
        <v>9644</v>
      </c>
      <c r="C6079" t="s">
        <v>67</v>
      </c>
      <c r="D6079" t="s">
        <v>67</v>
      </c>
      <c r="E6079" t="s">
        <v>67</v>
      </c>
      <c r="F6079" t="s">
        <v>45</v>
      </c>
      <c r="G6079" s="117">
        <v>4.3600000000000003</v>
      </c>
    </row>
    <row r="6080" spans="1:7" x14ac:dyDescent="0.25">
      <c r="A6080" s="116" t="s">
        <v>9645</v>
      </c>
      <c r="B6080" s="117" t="s">
        <v>9646</v>
      </c>
      <c r="C6080" t="s">
        <v>67</v>
      </c>
      <c r="D6080" t="s">
        <v>67</v>
      </c>
      <c r="E6080" t="s">
        <v>67</v>
      </c>
      <c r="F6080" t="s">
        <v>27987</v>
      </c>
      <c r="G6080" s="117">
        <v>7.12</v>
      </c>
    </row>
    <row r="6081" spans="1:7" x14ac:dyDescent="0.25">
      <c r="A6081" s="116" t="s">
        <v>9647</v>
      </c>
      <c r="B6081" s="117" t="s">
        <v>9648</v>
      </c>
      <c r="C6081" t="s">
        <v>67</v>
      </c>
      <c r="D6081" t="s">
        <v>67</v>
      </c>
      <c r="E6081" t="s">
        <v>67</v>
      </c>
      <c r="F6081" t="s">
        <v>49</v>
      </c>
      <c r="G6081" s="117">
        <v>3.12</v>
      </c>
    </row>
    <row r="6082" spans="1:7" x14ac:dyDescent="0.25">
      <c r="A6082" s="116" t="s">
        <v>9649</v>
      </c>
      <c r="B6082" s="117" t="s">
        <v>9650</v>
      </c>
      <c r="C6082" t="s">
        <v>67</v>
      </c>
      <c r="D6082" t="s">
        <v>67</v>
      </c>
      <c r="E6082" t="s">
        <v>67</v>
      </c>
      <c r="F6082" t="s">
        <v>45</v>
      </c>
      <c r="G6082" s="117">
        <v>1.77</v>
      </c>
    </row>
    <row r="6083" spans="1:7" x14ac:dyDescent="0.25">
      <c r="A6083" s="116" t="s">
        <v>9651</v>
      </c>
      <c r="B6083" s="117" t="s">
        <v>9342</v>
      </c>
      <c r="C6083" t="s">
        <v>67</v>
      </c>
      <c r="D6083" t="s">
        <v>67</v>
      </c>
      <c r="E6083" t="s">
        <v>67</v>
      </c>
      <c r="F6083" t="s">
        <v>27987</v>
      </c>
      <c r="G6083" s="117">
        <v>5.79</v>
      </c>
    </row>
    <row r="6084" spans="1:7" x14ac:dyDescent="0.25">
      <c r="A6084" s="116" t="s">
        <v>9652</v>
      </c>
      <c r="B6084" s="117" t="s">
        <v>8012</v>
      </c>
      <c r="C6084" t="s">
        <v>67</v>
      </c>
      <c r="D6084" t="s">
        <v>67</v>
      </c>
      <c r="E6084" t="s">
        <v>67</v>
      </c>
      <c r="F6084" t="s">
        <v>27987</v>
      </c>
      <c r="G6084" s="117">
        <v>0.89</v>
      </c>
    </row>
    <row r="6085" spans="1:7" x14ac:dyDescent="0.25">
      <c r="A6085" s="116" t="s">
        <v>9653</v>
      </c>
      <c r="B6085" s="117" t="s">
        <v>9654</v>
      </c>
      <c r="C6085" t="s">
        <v>67</v>
      </c>
      <c r="D6085" t="s">
        <v>67</v>
      </c>
      <c r="E6085" t="s">
        <v>67</v>
      </c>
      <c r="F6085" t="s">
        <v>45</v>
      </c>
      <c r="G6085" s="117">
        <v>4</v>
      </c>
    </row>
    <row r="6086" spans="1:7" x14ac:dyDescent="0.25">
      <c r="A6086" s="116" t="s">
        <v>9655</v>
      </c>
      <c r="B6086" s="117" t="s">
        <v>9159</v>
      </c>
      <c r="C6086" t="s">
        <v>67</v>
      </c>
      <c r="D6086" t="s">
        <v>67</v>
      </c>
      <c r="E6086" t="s">
        <v>67</v>
      </c>
      <c r="F6086" t="s">
        <v>49</v>
      </c>
      <c r="G6086" s="117">
        <v>2.58</v>
      </c>
    </row>
    <row r="6087" spans="1:7" x14ac:dyDescent="0.25">
      <c r="A6087" s="116" t="s">
        <v>9656</v>
      </c>
      <c r="B6087" s="117" t="s">
        <v>9657</v>
      </c>
      <c r="C6087" t="s">
        <v>67</v>
      </c>
      <c r="D6087" t="s">
        <v>67</v>
      </c>
      <c r="E6087" t="s">
        <v>67</v>
      </c>
      <c r="F6087" t="s">
        <v>45</v>
      </c>
      <c r="G6087" s="117">
        <v>1.77</v>
      </c>
    </row>
    <row r="6088" spans="1:7" x14ac:dyDescent="0.25">
      <c r="A6088" s="116" t="s">
        <v>9658</v>
      </c>
      <c r="B6088" s="117" t="s">
        <v>9659</v>
      </c>
      <c r="C6088" t="s">
        <v>67</v>
      </c>
      <c r="D6088" t="s">
        <v>67</v>
      </c>
      <c r="E6088" t="s">
        <v>67</v>
      </c>
      <c r="F6088" t="s">
        <v>27987</v>
      </c>
      <c r="G6088" s="117">
        <v>3.12</v>
      </c>
    </row>
    <row r="6089" spans="1:7" x14ac:dyDescent="0.25">
      <c r="A6089" s="116" t="s">
        <v>9660</v>
      </c>
      <c r="B6089" s="117" t="s">
        <v>9661</v>
      </c>
      <c r="C6089" t="s">
        <v>67</v>
      </c>
      <c r="D6089" t="s">
        <v>67</v>
      </c>
      <c r="E6089" t="s">
        <v>67</v>
      </c>
      <c r="F6089" t="s">
        <v>49</v>
      </c>
      <c r="G6089" s="117">
        <v>1.33</v>
      </c>
    </row>
    <row r="6090" spans="1:7" x14ac:dyDescent="0.25">
      <c r="A6090" s="116" t="s">
        <v>9662</v>
      </c>
      <c r="B6090" s="117" t="s">
        <v>9663</v>
      </c>
      <c r="C6090" t="s">
        <v>67</v>
      </c>
      <c r="D6090" t="s">
        <v>67</v>
      </c>
      <c r="E6090" t="s">
        <v>67</v>
      </c>
      <c r="F6090" t="s">
        <v>45</v>
      </c>
      <c r="G6090" s="117">
        <v>0.44</v>
      </c>
    </row>
    <row r="6091" spans="1:7" x14ac:dyDescent="0.25">
      <c r="A6091" s="116" t="s">
        <v>9664</v>
      </c>
      <c r="B6091" s="117" t="s">
        <v>8100</v>
      </c>
      <c r="C6091" t="s">
        <v>67</v>
      </c>
      <c r="D6091" t="s">
        <v>67</v>
      </c>
      <c r="E6091" t="s">
        <v>67</v>
      </c>
      <c r="F6091" t="s">
        <v>27990</v>
      </c>
      <c r="G6091" s="117">
        <v>1.69</v>
      </c>
    </row>
    <row r="6092" spans="1:7" x14ac:dyDescent="0.25">
      <c r="A6092" s="116" t="s">
        <v>9665</v>
      </c>
      <c r="B6092" s="117" t="s">
        <v>9666</v>
      </c>
      <c r="C6092" t="s">
        <v>67</v>
      </c>
      <c r="D6092" t="s">
        <v>67</v>
      </c>
      <c r="E6092" t="s">
        <v>67</v>
      </c>
      <c r="F6092" t="s">
        <v>49</v>
      </c>
      <c r="G6092" s="117">
        <v>2.23</v>
      </c>
    </row>
    <row r="6093" spans="1:7" x14ac:dyDescent="0.25">
      <c r="A6093" s="116" t="s">
        <v>9667</v>
      </c>
      <c r="B6093" s="117" t="s">
        <v>9668</v>
      </c>
      <c r="C6093" t="s">
        <v>67</v>
      </c>
      <c r="D6093" t="s">
        <v>67</v>
      </c>
      <c r="E6093" t="s">
        <v>67</v>
      </c>
      <c r="F6093" t="s">
        <v>49</v>
      </c>
      <c r="G6093" s="117">
        <v>4.8899999999999997</v>
      </c>
    </row>
    <row r="6094" spans="1:7" x14ac:dyDescent="0.25">
      <c r="A6094" s="116" t="s">
        <v>9669</v>
      </c>
      <c r="B6094" s="117" t="s">
        <v>9584</v>
      </c>
      <c r="C6094" t="s">
        <v>67</v>
      </c>
      <c r="D6094" t="s">
        <v>67</v>
      </c>
      <c r="E6094" t="s">
        <v>67</v>
      </c>
      <c r="F6094" t="s">
        <v>49</v>
      </c>
      <c r="G6094" s="117">
        <v>1.33</v>
      </c>
    </row>
    <row r="6095" spans="1:7" x14ac:dyDescent="0.25">
      <c r="A6095" s="116" t="s">
        <v>9670</v>
      </c>
      <c r="B6095" s="117" t="s">
        <v>28851</v>
      </c>
      <c r="C6095" t="s">
        <v>67</v>
      </c>
      <c r="D6095" t="s">
        <v>67</v>
      </c>
      <c r="E6095" t="s">
        <v>67</v>
      </c>
      <c r="F6095" t="s">
        <v>45</v>
      </c>
      <c r="G6095" s="117">
        <v>13.26</v>
      </c>
    </row>
    <row r="6096" spans="1:7" x14ac:dyDescent="0.25">
      <c r="A6096" s="116" t="s">
        <v>9671</v>
      </c>
      <c r="B6096" s="117" t="s">
        <v>9672</v>
      </c>
      <c r="C6096" t="s">
        <v>67</v>
      </c>
      <c r="D6096" t="s">
        <v>67</v>
      </c>
      <c r="E6096" t="s">
        <v>67</v>
      </c>
      <c r="F6096" t="s">
        <v>45</v>
      </c>
      <c r="G6096" s="117">
        <v>1.69</v>
      </c>
    </row>
    <row r="6097" spans="1:7" x14ac:dyDescent="0.25">
      <c r="A6097" s="116" t="s">
        <v>9673</v>
      </c>
      <c r="B6097" s="117" t="s">
        <v>9674</v>
      </c>
      <c r="C6097" t="s">
        <v>67</v>
      </c>
      <c r="D6097" t="s">
        <v>67</v>
      </c>
      <c r="E6097" t="s">
        <v>67</v>
      </c>
      <c r="F6097" t="s">
        <v>49</v>
      </c>
      <c r="G6097" s="117">
        <v>0.8</v>
      </c>
    </row>
    <row r="6098" spans="1:7" x14ac:dyDescent="0.25">
      <c r="A6098" s="116" t="s">
        <v>9675</v>
      </c>
      <c r="B6098" s="117" t="s">
        <v>9676</v>
      </c>
      <c r="C6098" t="s">
        <v>67</v>
      </c>
      <c r="D6098" t="s">
        <v>67</v>
      </c>
      <c r="E6098" t="s">
        <v>67</v>
      </c>
      <c r="F6098" t="s">
        <v>27987</v>
      </c>
      <c r="G6098" s="117">
        <v>0.89</v>
      </c>
    </row>
    <row r="6099" spans="1:7" x14ac:dyDescent="0.25">
      <c r="A6099" s="116" t="s">
        <v>9677</v>
      </c>
      <c r="B6099" s="117" t="s">
        <v>90</v>
      </c>
      <c r="C6099" t="s">
        <v>67</v>
      </c>
      <c r="D6099" t="s">
        <v>67</v>
      </c>
      <c r="E6099" t="s">
        <v>67</v>
      </c>
      <c r="F6099" t="s">
        <v>45</v>
      </c>
      <c r="G6099" s="117">
        <v>0.8</v>
      </c>
    </row>
    <row r="6100" spans="1:7" x14ac:dyDescent="0.25">
      <c r="A6100" s="116" t="s">
        <v>9678</v>
      </c>
      <c r="B6100" s="117" t="s">
        <v>9174</v>
      </c>
      <c r="C6100" t="s">
        <v>67</v>
      </c>
      <c r="D6100" t="s">
        <v>67</v>
      </c>
      <c r="E6100" t="s">
        <v>67</v>
      </c>
      <c r="F6100" t="s">
        <v>49</v>
      </c>
      <c r="G6100" s="117">
        <v>1.33</v>
      </c>
    </row>
    <row r="6101" spans="1:7" x14ac:dyDescent="0.25">
      <c r="A6101" s="116" t="s">
        <v>9679</v>
      </c>
      <c r="B6101" s="117" t="s">
        <v>9145</v>
      </c>
      <c r="C6101" t="s">
        <v>67</v>
      </c>
      <c r="D6101" t="s">
        <v>67</v>
      </c>
      <c r="E6101" t="s">
        <v>67</v>
      </c>
      <c r="F6101" t="s">
        <v>45</v>
      </c>
      <c r="G6101" s="117">
        <v>1.33</v>
      </c>
    </row>
    <row r="6102" spans="1:7" x14ac:dyDescent="0.25">
      <c r="A6102" s="116" t="s">
        <v>9680</v>
      </c>
      <c r="B6102" s="117" t="s">
        <v>9681</v>
      </c>
      <c r="C6102" t="s">
        <v>67</v>
      </c>
      <c r="D6102" t="s">
        <v>67</v>
      </c>
      <c r="E6102" t="s">
        <v>67</v>
      </c>
      <c r="F6102" t="s">
        <v>27987</v>
      </c>
      <c r="G6102" s="117">
        <v>0.51</v>
      </c>
    </row>
    <row r="6103" spans="1:7" x14ac:dyDescent="0.25">
      <c r="A6103" s="116" t="s">
        <v>9682</v>
      </c>
      <c r="B6103" s="117" t="s">
        <v>9683</v>
      </c>
      <c r="C6103" t="s">
        <v>67</v>
      </c>
      <c r="D6103" t="s">
        <v>67</v>
      </c>
      <c r="E6103" t="s">
        <v>67</v>
      </c>
      <c r="F6103" t="s">
        <v>49</v>
      </c>
      <c r="G6103" s="117">
        <v>1.33</v>
      </c>
    </row>
    <row r="6104" spans="1:7" x14ac:dyDescent="0.25">
      <c r="A6104" s="116" t="s">
        <v>9684</v>
      </c>
      <c r="B6104" s="117" t="s">
        <v>9194</v>
      </c>
      <c r="C6104" t="s">
        <v>67</v>
      </c>
      <c r="D6104" t="s">
        <v>67</v>
      </c>
      <c r="E6104" t="s">
        <v>67</v>
      </c>
      <c r="F6104" t="s">
        <v>45</v>
      </c>
      <c r="G6104" s="117">
        <v>1.69</v>
      </c>
    </row>
    <row r="6105" spans="1:7" x14ac:dyDescent="0.25">
      <c r="A6105" s="116" t="s">
        <v>9685</v>
      </c>
      <c r="B6105" s="117" t="s">
        <v>9686</v>
      </c>
      <c r="C6105" t="s">
        <v>67</v>
      </c>
      <c r="D6105" t="s">
        <v>67</v>
      </c>
      <c r="E6105" t="s">
        <v>67</v>
      </c>
      <c r="F6105" t="s">
        <v>45</v>
      </c>
      <c r="G6105" s="117">
        <v>0.8</v>
      </c>
    </row>
    <row r="6106" spans="1:7" x14ac:dyDescent="0.25">
      <c r="A6106" s="116" t="s">
        <v>9687</v>
      </c>
      <c r="B6106" s="117" t="s">
        <v>9688</v>
      </c>
      <c r="C6106" t="s">
        <v>67</v>
      </c>
      <c r="D6106" t="s">
        <v>67</v>
      </c>
      <c r="E6106" t="s">
        <v>67</v>
      </c>
      <c r="F6106" t="s">
        <v>27990</v>
      </c>
      <c r="G6106" s="117">
        <v>2.58</v>
      </c>
    </row>
    <row r="6107" spans="1:7" x14ac:dyDescent="0.25">
      <c r="A6107" s="116" t="s">
        <v>9689</v>
      </c>
      <c r="B6107" s="117" t="s">
        <v>9501</v>
      </c>
      <c r="C6107" t="s">
        <v>67</v>
      </c>
      <c r="D6107" t="s">
        <v>67</v>
      </c>
      <c r="E6107" t="s">
        <v>67</v>
      </c>
      <c r="F6107" t="s">
        <v>27987</v>
      </c>
      <c r="G6107" s="117">
        <v>0.8</v>
      </c>
    </row>
    <row r="6108" spans="1:7" x14ac:dyDescent="0.25">
      <c r="A6108" s="116" t="s">
        <v>9690</v>
      </c>
      <c r="B6108" s="117" t="s">
        <v>9464</v>
      </c>
      <c r="C6108" t="s">
        <v>67</v>
      </c>
      <c r="D6108" t="s">
        <v>67</v>
      </c>
      <c r="E6108" t="s">
        <v>67</v>
      </c>
      <c r="F6108" t="s">
        <v>51</v>
      </c>
      <c r="G6108" s="117">
        <v>0.44</v>
      </c>
    </row>
    <row r="6109" spans="1:7" x14ac:dyDescent="0.25">
      <c r="A6109" s="116" t="s">
        <v>9691</v>
      </c>
      <c r="B6109" s="117" t="s">
        <v>9692</v>
      </c>
      <c r="C6109" t="s">
        <v>67</v>
      </c>
      <c r="D6109" t="s">
        <v>67</v>
      </c>
      <c r="E6109" t="s">
        <v>67</v>
      </c>
      <c r="F6109" t="s">
        <v>27990</v>
      </c>
      <c r="G6109" s="117">
        <v>0.8</v>
      </c>
    </row>
    <row r="6110" spans="1:7" x14ac:dyDescent="0.25">
      <c r="A6110" s="116" t="s">
        <v>26590</v>
      </c>
      <c r="B6110" s="117" t="s">
        <v>9612</v>
      </c>
      <c r="C6110" t="s">
        <v>67</v>
      </c>
      <c r="D6110" t="s">
        <v>67</v>
      </c>
      <c r="E6110" t="s">
        <v>67</v>
      </c>
      <c r="F6110" t="s">
        <v>49</v>
      </c>
      <c r="G6110" s="117">
        <v>1.33</v>
      </c>
    </row>
    <row r="6111" spans="1:7" x14ac:dyDescent="0.25">
      <c r="A6111" s="116" t="s">
        <v>9693</v>
      </c>
      <c r="B6111" s="117" t="s">
        <v>9694</v>
      </c>
      <c r="C6111" t="s">
        <v>67</v>
      </c>
      <c r="D6111" t="s">
        <v>67</v>
      </c>
      <c r="E6111" t="s">
        <v>67</v>
      </c>
      <c r="F6111" t="s">
        <v>27987</v>
      </c>
      <c r="G6111" s="117">
        <v>0.8</v>
      </c>
    </row>
    <row r="6112" spans="1:7" x14ac:dyDescent="0.25">
      <c r="A6112" s="116" t="s">
        <v>9695</v>
      </c>
      <c r="B6112" s="117" t="s">
        <v>9696</v>
      </c>
      <c r="C6112" t="s">
        <v>67</v>
      </c>
      <c r="D6112" t="s">
        <v>67</v>
      </c>
      <c r="E6112" t="s">
        <v>67</v>
      </c>
      <c r="F6112" t="s">
        <v>49</v>
      </c>
      <c r="G6112" s="117">
        <v>0.8</v>
      </c>
    </row>
    <row r="6113" spans="1:7" x14ac:dyDescent="0.25">
      <c r="A6113" s="116" t="s">
        <v>9697</v>
      </c>
      <c r="B6113" s="117" t="s">
        <v>9698</v>
      </c>
      <c r="C6113" t="s">
        <v>67</v>
      </c>
      <c r="D6113" t="s">
        <v>67</v>
      </c>
      <c r="E6113" t="s">
        <v>67</v>
      </c>
      <c r="F6113" t="s">
        <v>45</v>
      </c>
      <c r="G6113" s="117">
        <v>2.23</v>
      </c>
    </row>
    <row r="6114" spans="1:7" x14ac:dyDescent="0.25">
      <c r="A6114" s="116" t="s">
        <v>9699</v>
      </c>
      <c r="B6114" s="117" t="s">
        <v>9700</v>
      </c>
      <c r="C6114" t="s">
        <v>67</v>
      </c>
      <c r="D6114" t="s">
        <v>67</v>
      </c>
      <c r="E6114" t="s">
        <v>67</v>
      </c>
      <c r="F6114" t="s">
        <v>45</v>
      </c>
      <c r="G6114" s="117">
        <v>2.23</v>
      </c>
    </row>
    <row r="6115" spans="1:7" x14ac:dyDescent="0.25">
      <c r="A6115" s="116" t="s">
        <v>9701</v>
      </c>
      <c r="B6115" s="117" t="s">
        <v>9702</v>
      </c>
      <c r="C6115" t="s">
        <v>67</v>
      </c>
      <c r="D6115" t="s">
        <v>67</v>
      </c>
      <c r="E6115" t="s">
        <v>67</v>
      </c>
      <c r="F6115" t="s">
        <v>45</v>
      </c>
      <c r="G6115" s="117">
        <v>2.58</v>
      </c>
    </row>
    <row r="6116" spans="1:7" x14ac:dyDescent="0.25">
      <c r="A6116" s="116" t="s">
        <v>9703</v>
      </c>
      <c r="B6116" s="117" t="s">
        <v>9704</v>
      </c>
      <c r="C6116" t="s">
        <v>67</v>
      </c>
      <c r="D6116" t="s">
        <v>67</v>
      </c>
      <c r="E6116" t="s">
        <v>67</v>
      </c>
      <c r="F6116" t="s">
        <v>27987</v>
      </c>
      <c r="G6116" s="117">
        <v>4</v>
      </c>
    </row>
    <row r="6117" spans="1:7" x14ac:dyDescent="0.25">
      <c r="A6117" s="116" t="s">
        <v>9705</v>
      </c>
      <c r="B6117" s="117" t="s">
        <v>9706</v>
      </c>
      <c r="C6117" t="s">
        <v>67</v>
      </c>
      <c r="D6117" t="s">
        <v>67</v>
      </c>
      <c r="E6117" t="s">
        <v>67</v>
      </c>
      <c r="F6117" t="s">
        <v>27987</v>
      </c>
      <c r="G6117" s="117">
        <v>0.8</v>
      </c>
    </row>
    <row r="6118" spans="1:7" x14ac:dyDescent="0.25">
      <c r="A6118" s="116" t="s">
        <v>9707</v>
      </c>
      <c r="B6118" s="117" t="s">
        <v>9708</v>
      </c>
      <c r="C6118" t="s">
        <v>67</v>
      </c>
      <c r="D6118" t="s">
        <v>67</v>
      </c>
      <c r="E6118" t="s">
        <v>67</v>
      </c>
      <c r="F6118" t="s">
        <v>27987</v>
      </c>
      <c r="G6118" s="117">
        <v>3.12</v>
      </c>
    </row>
    <row r="6119" spans="1:7" x14ac:dyDescent="0.25">
      <c r="A6119" s="116" t="s">
        <v>9709</v>
      </c>
      <c r="B6119" s="117" t="s">
        <v>9710</v>
      </c>
      <c r="C6119" t="s">
        <v>67</v>
      </c>
      <c r="D6119" t="s">
        <v>67</v>
      </c>
      <c r="E6119" t="s">
        <v>67</v>
      </c>
      <c r="F6119" t="s">
        <v>27987</v>
      </c>
      <c r="G6119" s="117">
        <v>6.14</v>
      </c>
    </row>
    <row r="6120" spans="1:7" x14ac:dyDescent="0.25">
      <c r="A6120" s="116" t="s">
        <v>9711</v>
      </c>
      <c r="B6120" s="117" t="s">
        <v>9712</v>
      </c>
      <c r="C6120" t="s">
        <v>67</v>
      </c>
      <c r="D6120" t="s">
        <v>67</v>
      </c>
      <c r="E6120" t="s">
        <v>67</v>
      </c>
      <c r="F6120" t="s">
        <v>27987</v>
      </c>
      <c r="G6120" s="117">
        <v>10.24</v>
      </c>
    </row>
    <row r="6121" spans="1:7" x14ac:dyDescent="0.25">
      <c r="A6121" s="116" t="s">
        <v>9713</v>
      </c>
      <c r="B6121" s="117" t="s">
        <v>9714</v>
      </c>
      <c r="C6121" t="s">
        <v>67</v>
      </c>
      <c r="D6121" t="s">
        <v>67</v>
      </c>
      <c r="E6121" t="s">
        <v>67</v>
      </c>
      <c r="F6121" t="s">
        <v>49</v>
      </c>
      <c r="G6121" s="117">
        <v>1.77</v>
      </c>
    </row>
    <row r="6122" spans="1:7" x14ac:dyDescent="0.25">
      <c r="A6122" s="116" t="s">
        <v>9715</v>
      </c>
      <c r="B6122" s="117" t="s">
        <v>9716</v>
      </c>
      <c r="C6122" t="s">
        <v>67</v>
      </c>
      <c r="D6122" t="s">
        <v>67</v>
      </c>
      <c r="E6122" t="s">
        <v>67</v>
      </c>
      <c r="F6122" t="s">
        <v>27987</v>
      </c>
      <c r="G6122" s="117">
        <v>1.69</v>
      </c>
    </row>
    <row r="6123" spans="1:7" x14ac:dyDescent="0.25">
      <c r="A6123" s="116" t="s">
        <v>9717</v>
      </c>
      <c r="B6123" s="117" t="s">
        <v>9718</v>
      </c>
      <c r="C6123" t="s">
        <v>67</v>
      </c>
      <c r="D6123" t="s">
        <v>67</v>
      </c>
      <c r="E6123" t="s">
        <v>67</v>
      </c>
      <c r="F6123" t="s">
        <v>27987</v>
      </c>
      <c r="G6123" s="117">
        <v>2.23</v>
      </c>
    </row>
    <row r="6124" spans="1:7" x14ac:dyDescent="0.25">
      <c r="A6124" s="116" t="s">
        <v>9719</v>
      </c>
      <c r="B6124" s="117" t="s">
        <v>9720</v>
      </c>
      <c r="C6124" t="s">
        <v>67</v>
      </c>
      <c r="D6124" t="s">
        <v>67</v>
      </c>
      <c r="E6124" t="s">
        <v>67</v>
      </c>
      <c r="F6124" t="s">
        <v>49</v>
      </c>
      <c r="G6124" s="117">
        <v>1.69</v>
      </c>
    </row>
    <row r="6125" spans="1:7" x14ac:dyDescent="0.25">
      <c r="A6125" s="116" t="s">
        <v>9721</v>
      </c>
      <c r="B6125" s="117" t="s">
        <v>9722</v>
      </c>
      <c r="C6125" t="s">
        <v>67</v>
      </c>
      <c r="D6125" t="s">
        <v>67</v>
      </c>
      <c r="E6125" t="s">
        <v>67</v>
      </c>
      <c r="F6125" t="s">
        <v>45</v>
      </c>
      <c r="G6125" s="117">
        <v>0.25</v>
      </c>
    </row>
    <row r="6126" spans="1:7" x14ac:dyDescent="0.25">
      <c r="A6126" s="116" t="s">
        <v>9723</v>
      </c>
      <c r="B6126" s="117" t="s">
        <v>9724</v>
      </c>
      <c r="C6126" t="s">
        <v>67</v>
      </c>
      <c r="D6126" t="s">
        <v>67</v>
      </c>
      <c r="E6126" t="s">
        <v>67</v>
      </c>
      <c r="F6126" t="s">
        <v>45</v>
      </c>
      <c r="G6126" s="117">
        <v>1.01</v>
      </c>
    </row>
    <row r="6127" spans="1:7" x14ac:dyDescent="0.25">
      <c r="A6127" s="116" t="s">
        <v>9725</v>
      </c>
      <c r="B6127" s="117" t="s">
        <v>9722</v>
      </c>
      <c r="C6127" t="s">
        <v>67</v>
      </c>
      <c r="D6127" t="s">
        <v>67</v>
      </c>
      <c r="E6127" t="s">
        <v>67</v>
      </c>
      <c r="F6127" t="s">
        <v>45</v>
      </c>
      <c r="G6127" s="117">
        <v>9.2899999999999991</v>
      </c>
    </row>
    <row r="6128" spans="1:7" x14ac:dyDescent="0.25">
      <c r="A6128" s="116" t="s">
        <v>9726</v>
      </c>
      <c r="B6128" s="117" t="s">
        <v>9727</v>
      </c>
      <c r="C6128" t="s">
        <v>67</v>
      </c>
      <c r="D6128" t="s">
        <v>67</v>
      </c>
      <c r="E6128" t="s">
        <v>67</v>
      </c>
      <c r="F6128" t="s">
        <v>45</v>
      </c>
      <c r="G6128" s="117">
        <v>1.33</v>
      </c>
    </row>
    <row r="6129" spans="1:7" x14ac:dyDescent="0.25">
      <c r="A6129" s="116" t="s">
        <v>9728</v>
      </c>
      <c r="B6129" s="117" t="s">
        <v>9729</v>
      </c>
      <c r="C6129" t="s">
        <v>67</v>
      </c>
      <c r="D6129" t="s">
        <v>67</v>
      </c>
      <c r="E6129" t="s">
        <v>67</v>
      </c>
      <c r="F6129" t="s">
        <v>27987</v>
      </c>
      <c r="G6129" s="117">
        <v>4.8899999999999997</v>
      </c>
    </row>
    <row r="6130" spans="1:7" x14ac:dyDescent="0.25">
      <c r="A6130" s="116" t="s">
        <v>9730</v>
      </c>
      <c r="B6130" s="117" t="s">
        <v>9731</v>
      </c>
      <c r="C6130" t="s">
        <v>67</v>
      </c>
      <c r="D6130" t="s">
        <v>67</v>
      </c>
      <c r="E6130" t="s">
        <v>67</v>
      </c>
      <c r="F6130" t="s">
        <v>27987</v>
      </c>
      <c r="G6130" s="117">
        <v>8.81</v>
      </c>
    </row>
    <row r="6131" spans="1:7" x14ac:dyDescent="0.25">
      <c r="A6131" s="116" t="s">
        <v>9732</v>
      </c>
      <c r="B6131" s="117" t="s">
        <v>9733</v>
      </c>
      <c r="C6131" t="s">
        <v>67</v>
      </c>
      <c r="D6131" t="s">
        <v>67</v>
      </c>
      <c r="E6131" t="s">
        <v>67</v>
      </c>
      <c r="F6131" t="s">
        <v>27990</v>
      </c>
      <c r="G6131" s="117">
        <v>2.23</v>
      </c>
    </row>
    <row r="6132" spans="1:7" x14ac:dyDescent="0.25">
      <c r="A6132" s="116" t="s">
        <v>9734</v>
      </c>
      <c r="B6132" s="117" t="s">
        <v>28852</v>
      </c>
      <c r="C6132" t="s">
        <v>67</v>
      </c>
      <c r="D6132" t="s">
        <v>67</v>
      </c>
      <c r="E6132" t="s">
        <v>67</v>
      </c>
      <c r="F6132" t="s">
        <v>27987</v>
      </c>
      <c r="G6132" s="117">
        <v>1.32</v>
      </c>
    </row>
    <row r="6133" spans="1:7" x14ac:dyDescent="0.25">
      <c r="A6133" s="116" t="s">
        <v>9735</v>
      </c>
      <c r="B6133" s="117" t="s">
        <v>9736</v>
      </c>
      <c r="C6133" t="s">
        <v>67</v>
      </c>
      <c r="D6133" t="s">
        <v>67</v>
      </c>
      <c r="E6133" t="s">
        <v>67</v>
      </c>
      <c r="F6133" t="s">
        <v>45</v>
      </c>
      <c r="G6133" s="117">
        <v>0.84</v>
      </c>
    </row>
    <row r="6134" spans="1:7" x14ac:dyDescent="0.25">
      <c r="A6134" s="116" t="s">
        <v>9737</v>
      </c>
      <c r="B6134" s="117" t="s">
        <v>9738</v>
      </c>
      <c r="C6134" t="s">
        <v>67</v>
      </c>
      <c r="D6134" t="s">
        <v>67</v>
      </c>
      <c r="E6134" t="s">
        <v>67</v>
      </c>
      <c r="F6134" t="s">
        <v>45</v>
      </c>
      <c r="G6134" s="117">
        <v>1.69</v>
      </c>
    </row>
    <row r="6135" spans="1:7" x14ac:dyDescent="0.25">
      <c r="A6135" s="116" t="s">
        <v>9739</v>
      </c>
      <c r="B6135" s="117" t="s">
        <v>9209</v>
      </c>
      <c r="C6135" t="s">
        <v>67</v>
      </c>
      <c r="D6135" t="s">
        <v>67</v>
      </c>
      <c r="E6135" t="s">
        <v>67</v>
      </c>
      <c r="F6135" t="s">
        <v>45</v>
      </c>
      <c r="G6135" s="117">
        <v>2.23</v>
      </c>
    </row>
    <row r="6136" spans="1:7" x14ac:dyDescent="0.25">
      <c r="A6136" s="116" t="s">
        <v>9740</v>
      </c>
      <c r="B6136" s="117" t="s">
        <v>9182</v>
      </c>
      <c r="C6136" t="s">
        <v>67</v>
      </c>
      <c r="D6136" t="s">
        <v>67</v>
      </c>
      <c r="E6136" t="s">
        <v>67</v>
      </c>
      <c r="F6136" t="s">
        <v>45</v>
      </c>
      <c r="G6136" s="117">
        <v>2.23</v>
      </c>
    </row>
    <row r="6137" spans="1:7" x14ac:dyDescent="0.25">
      <c r="A6137" s="116" t="s">
        <v>31159</v>
      </c>
      <c r="B6137" s="117" t="s">
        <v>31160</v>
      </c>
      <c r="C6137" t="s">
        <v>67</v>
      </c>
      <c r="D6137" t="s">
        <v>67</v>
      </c>
      <c r="E6137" t="s">
        <v>67</v>
      </c>
      <c r="F6137" t="s">
        <v>45</v>
      </c>
      <c r="G6137" s="117">
        <v>1.5</v>
      </c>
    </row>
    <row r="6138" spans="1:7" x14ac:dyDescent="0.25">
      <c r="A6138" s="116" t="s">
        <v>9741</v>
      </c>
      <c r="B6138" s="117" t="s">
        <v>9596</v>
      </c>
      <c r="C6138" t="s">
        <v>67</v>
      </c>
      <c r="D6138" t="s">
        <v>67</v>
      </c>
      <c r="E6138" t="s">
        <v>67</v>
      </c>
      <c r="F6138" t="s">
        <v>45</v>
      </c>
      <c r="G6138" s="117">
        <v>2.23</v>
      </c>
    </row>
    <row r="6139" spans="1:7" x14ac:dyDescent="0.25">
      <c r="A6139" s="116" t="s">
        <v>9742</v>
      </c>
      <c r="B6139" s="117" t="s">
        <v>9743</v>
      </c>
      <c r="C6139" t="s">
        <v>67</v>
      </c>
      <c r="D6139" t="s">
        <v>67</v>
      </c>
      <c r="E6139" t="s">
        <v>67</v>
      </c>
      <c r="F6139" t="s">
        <v>27987</v>
      </c>
      <c r="G6139" s="117">
        <v>22.69</v>
      </c>
    </row>
    <row r="6140" spans="1:7" x14ac:dyDescent="0.25">
      <c r="A6140" s="116" t="s">
        <v>9744</v>
      </c>
      <c r="B6140" s="117" t="s">
        <v>9745</v>
      </c>
      <c r="C6140" t="s">
        <v>67</v>
      </c>
      <c r="D6140" t="s">
        <v>67</v>
      </c>
      <c r="E6140" t="s">
        <v>67</v>
      </c>
      <c r="F6140" t="s">
        <v>45</v>
      </c>
      <c r="G6140" s="117">
        <v>7.78</v>
      </c>
    </row>
    <row r="6141" spans="1:7" x14ac:dyDescent="0.25">
      <c r="A6141" s="116" t="s">
        <v>9746</v>
      </c>
      <c r="B6141" s="117" t="s">
        <v>9747</v>
      </c>
      <c r="C6141" t="s">
        <v>67</v>
      </c>
      <c r="D6141" t="s">
        <v>67</v>
      </c>
      <c r="E6141" t="s">
        <v>67</v>
      </c>
      <c r="F6141" t="s">
        <v>49</v>
      </c>
      <c r="G6141" s="117">
        <v>3.12</v>
      </c>
    </row>
    <row r="6142" spans="1:7" x14ac:dyDescent="0.25">
      <c r="A6142" s="116" t="s">
        <v>9748</v>
      </c>
      <c r="B6142" s="117" t="s">
        <v>9749</v>
      </c>
      <c r="C6142" t="s">
        <v>67</v>
      </c>
      <c r="D6142" t="s">
        <v>67</v>
      </c>
      <c r="E6142" t="s">
        <v>67</v>
      </c>
      <c r="F6142" t="s">
        <v>45</v>
      </c>
      <c r="G6142" s="117">
        <v>0.8</v>
      </c>
    </row>
    <row r="6143" spans="1:7" x14ac:dyDescent="0.25">
      <c r="A6143" s="116" t="s">
        <v>9750</v>
      </c>
      <c r="B6143" s="117" t="s">
        <v>9751</v>
      </c>
      <c r="C6143" t="s">
        <v>67</v>
      </c>
      <c r="D6143" t="s">
        <v>67</v>
      </c>
      <c r="E6143" t="s">
        <v>67</v>
      </c>
      <c r="F6143" t="s">
        <v>49</v>
      </c>
      <c r="G6143" s="117">
        <v>1.33</v>
      </c>
    </row>
    <row r="6144" spans="1:7" x14ac:dyDescent="0.25">
      <c r="A6144" s="116" t="s">
        <v>9752</v>
      </c>
      <c r="B6144" s="117" t="s">
        <v>9182</v>
      </c>
      <c r="C6144" t="s">
        <v>67</v>
      </c>
      <c r="D6144" t="s">
        <v>67</v>
      </c>
      <c r="E6144" t="s">
        <v>67</v>
      </c>
      <c r="F6144" t="s">
        <v>27987</v>
      </c>
      <c r="G6144" s="117">
        <v>1.43</v>
      </c>
    </row>
    <row r="6145" spans="1:7" x14ac:dyDescent="0.25">
      <c r="A6145" s="116" t="s">
        <v>9753</v>
      </c>
      <c r="B6145" s="117" t="s">
        <v>9754</v>
      </c>
      <c r="C6145" t="s">
        <v>67</v>
      </c>
      <c r="D6145" t="s">
        <v>67</v>
      </c>
      <c r="E6145" t="s">
        <v>67</v>
      </c>
      <c r="F6145" t="s">
        <v>45</v>
      </c>
      <c r="G6145" s="117">
        <v>8.89</v>
      </c>
    </row>
    <row r="6146" spans="1:7" x14ac:dyDescent="0.25">
      <c r="A6146" s="116" t="s">
        <v>9755</v>
      </c>
      <c r="B6146" s="117" t="s">
        <v>9756</v>
      </c>
      <c r="C6146" t="s">
        <v>67</v>
      </c>
      <c r="D6146" t="s">
        <v>67</v>
      </c>
      <c r="E6146" t="s">
        <v>67</v>
      </c>
      <c r="F6146" t="s">
        <v>27987</v>
      </c>
      <c r="G6146" s="117">
        <v>5.79</v>
      </c>
    </row>
    <row r="6147" spans="1:7" x14ac:dyDescent="0.25">
      <c r="A6147" s="116" t="s">
        <v>9757</v>
      </c>
      <c r="B6147" s="117" t="s">
        <v>9758</v>
      </c>
      <c r="C6147" t="s">
        <v>67</v>
      </c>
      <c r="D6147" t="s">
        <v>67</v>
      </c>
      <c r="E6147" t="s">
        <v>67</v>
      </c>
      <c r="F6147" t="s">
        <v>49</v>
      </c>
      <c r="G6147" s="117">
        <v>7.16</v>
      </c>
    </row>
    <row r="6148" spans="1:7" x14ac:dyDescent="0.25">
      <c r="A6148" s="116" t="s">
        <v>9759</v>
      </c>
      <c r="B6148" s="117" t="s">
        <v>8244</v>
      </c>
      <c r="C6148" t="s">
        <v>67</v>
      </c>
      <c r="D6148" t="s">
        <v>67</v>
      </c>
      <c r="E6148" t="s">
        <v>67</v>
      </c>
      <c r="F6148" t="s">
        <v>27987</v>
      </c>
      <c r="G6148" s="117">
        <v>1.69</v>
      </c>
    </row>
    <row r="6149" spans="1:7" x14ac:dyDescent="0.25">
      <c r="A6149" s="116" t="s">
        <v>9760</v>
      </c>
      <c r="B6149" s="117" t="s">
        <v>9761</v>
      </c>
      <c r="C6149" t="s">
        <v>67</v>
      </c>
      <c r="D6149" t="s">
        <v>67</v>
      </c>
      <c r="E6149" t="s">
        <v>67</v>
      </c>
      <c r="F6149" t="s">
        <v>27987</v>
      </c>
      <c r="G6149" s="117">
        <v>1.33</v>
      </c>
    </row>
    <row r="6150" spans="1:7" x14ac:dyDescent="0.25">
      <c r="A6150" s="116" t="s">
        <v>9762</v>
      </c>
      <c r="B6150" s="117" t="s">
        <v>8256</v>
      </c>
      <c r="C6150" t="s">
        <v>67</v>
      </c>
      <c r="D6150" t="s">
        <v>67</v>
      </c>
      <c r="E6150" t="s">
        <v>67</v>
      </c>
      <c r="F6150" t="s">
        <v>27987</v>
      </c>
      <c r="G6150" s="117">
        <v>1.69</v>
      </c>
    </row>
    <row r="6151" spans="1:7" x14ac:dyDescent="0.25">
      <c r="A6151" s="116" t="s">
        <v>9763</v>
      </c>
      <c r="B6151" s="117" t="s">
        <v>9764</v>
      </c>
      <c r="C6151" t="s">
        <v>67</v>
      </c>
      <c r="D6151" t="s">
        <v>67</v>
      </c>
      <c r="E6151" t="s">
        <v>67</v>
      </c>
      <c r="F6151" t="s">
        <v>27987</v>
      </c>
      <c r="G6151" s="117">
        <v>1.69</v>
      </c>
    </row>
    <row r="6152" spans="1:7" x14ac:dyDescent="0.25">
      <c r="A6152" s="116" t="s">
        <v>28061</v>
      </c>
      <c r="B6152" s="117" t="s">
        <v>28062</v>
      </c>
      <c r="C6152" t="s">
        <v>67</v>
      </c>
      <c r="D6152" t="s">
        <v>67</v>
      </c>
      <c r="E6152" t="s">
        <v>67</v>
      </c>
      <c r="F6152" t="s">
        <v>27987</v>
      </c>
      <c r="G6152" s="117">
        <v>1.5</v>
      </c>
    </row>
    <row r="6153" spans="1:7" x14ac:dyDescent="0.25">
      <c r="A6153" s="116" t="s">
        <v>9765</v>
      </c>
      <c r="B6153" s="117" t="s">
        <v>8325</v>
      </c>
      <c r="C6153" t="s">
        <v>67</v>
      </c>
      <c r="D6153" t="s">
        <v>67</v>
      </c>
      <c r="E6153" t="s">
        <v>67</v>
      </c>
      <c r="F6153" t="s">
        <v>27987</v>
      </c>
      <c r="G6153" s="117">
        <v>1.69</v>
      </c>
    </row>
    <row r="6154" spans="1:7" x14ac:dyDescent="0.25">
      <c r="A6154" s="116" t="s">
        <v>9766</v>
      </c>
      <c r="B6154" s="117" t="s">
        <v>125</v>
      </c>
      <c r="C6154" t="s">
        <v>67</v>
      </c>
      <c r="D6154" t="s">
        <v>67</v>
      </c>
      <c r="E6154" t="s">
        <v>67</v>
      </c>
      <c r="F6154" t="s">
        <v>27987</v>
      </c>
      <c r="G6154" s="117">
        <v>0.89</v>
      </c>
    </row>
    <row r="6155" spans="1:7" x14ac:dyDescent="0.25">
      <c r="A6155" s="116" t="s">
        <v>9767</v>
      </c>
      <c r="B6155" s="117" t="s">
        <v>9768</v>
      </c>
      <c r="C6155" t="s">
        <v>67</v>
      </c>
      <c r="D6155" t="s">
        <v>67</v>
      </c>
      <c r="E6155" t="s">
        <v>67</v>
      </c>
      <c r="F6155" t="s">
        <v>45</v>
      </c>
      <c r="G6155" s="117">
        <v>55.62</v>
      </c>
    </row>
    <row r="6156" spans="1:7" x14ac:dyDescent="0.25">
      <c r="A6156" s="116" t="s">
        <v>9769</v>
      </c>
      <c r="B6156" s="117" t="s">
        <v>9770</v>
      </c>
      <c r="C6156" t="s">
        <v>67</v>
      </c>
      <c r="D6156" t="s">
        <v>67</v>
      </c>
      <c r="E6156" t="s">
        <v>67</v>
      </c>
      <c r="F6156" t="s">
        <v>49</v>
      </c>
      <c r="G6156" s="117">
        <v>5.33</v>
      </c>
    </row>
    <row r="6157" spans="1:7" x14ac:dyDescent="0.25">
      <c r="A6157" s="116" t="s">
        <v>9771</v>
      </c>
      <c r="B6157" s="117" t="s">
        <v>8233</v>
      </c>
      <c r="C6157" t="s">
        <v>67</v>
      </c>
      <c r="D6157" t="s">
        <v>67</v>
      </c>
      <c r="E6157" t="s">
        <v>67</v>
      </c>
      <c r="F6157" t="s">
        <v>27987</v>
      </c>
      <c r="G6157" s="117">
        <v>1.33</v>
      </c>
    </row>
    <row r="6158" spans="1:7" x14ac:dyDescent="0.25">
      <c r="A6158" s="116" t="s">
        <v>9772</v>
      </c>
      <c r="B6158" s="117" t="s">
        <v>8239</v>
      </c>
      <c r="C6158" t="s">
        <v>67</v>
      </c>
      <c r="D6158" t="s">
        <v>67</v>
      </c>
      <c r="E6158" t="s">
        <v>67</v>
      </c>
      <c r="F6158" t="s">
        <v>49</v>
      </c>
      <c r="G6158" s="117">
        <v>1.33</v>
      </c>
    </row>
    <row r="6159" spans="1:7" x14ac:dyDescent="0.25">
      <c r="A6159" s="116" t="s">
        <v>9773</v>
      </c>
      <c r="B6159" s="117" t="s">
        <v>8343</v>
      </c>
      <c r="C6159" t="s">
        <v>67</v>
      </c>
      <c r="D6159" t="s">
        <v>67</v>
      </c>
      <c r="E6159" t="s">
        <v>67</v>
      </c>
      <c r="F6159" t="s">
        <v>49</v>
      </c>
      <c r="G6159" s="117">
        <v>1.69</v>
      </c>
    </row>
    <row r="6160" spans="1:7" x14ac:dyDescent="0.25">
      <c r="A6160" s="116" t="s">
        <v>9774</v>
      </c>
      <c r="B6160" s="117" t="s">
        <v>9775</v>
      </c>
      <c r="C6160" t="s">
        <v>67</v>
      </c>
      <c r="D6160" t="s">
        <v>67</v>
      </c>
      <c r="E6160" t="s">
        <v>67</v>
      </c>
      <c r="F6160" t="s">
        <v>49</v>
      </c>
      <c r="G6160" s="117">
        <v>3.12</v>
      </c>
    </row>
    <row r="6161" spans="1:7" x14ac:dyDescent="0.25">
      <c r="A6161" s="116" t="s">
        <v>9776</v>
      </c>
      <c r="B6161" s="117" t="s">
        <v>9777</v>
      </c>
      <c r="C6161" t="s">
        <v>67</v>
      </c>
      <c r="D6161" t="s">
        <v>67</v>
      </c>
      <c r="E6161" t="s">
        <v>67</v>
      </c>
      <c r="F6161" t="s">
        <v>27987</v>
      </c>
      <c r="G6161" s="117">
        <v>1.69</v>
      </c>
    </row>
    <row r="6162" spans="1:7" x14ac:dyDescent="0.25">
      <c r="A6162" s="116" t="s">
        <v>9778</v>
      </c>
      <c r="B6162" s="117" t="s">
        <v>8239</v>
      </c>
      <c r="C6162" t="s">
        <v>67</v>
      </c>
      <c r="D6162" t="s">
        <v>67</v>
      </c>
      <c r="E6162" t="s">
        <v>67</v>
      </c>
      <c r="F6162" t="s">
        <v>45</v>
      </c>
      <c r="G6162" s="117">
        <v>1.69</v>
      </c>
    </row>
    <row r="6163" spans="1:7" x14ac:dyDescent="0.25">
      <c r="A6163" s="116" t="s">
        <v>9779</v>
      </c>
      <c r="B6163" s="117" t="s">
        <v>9780</v>
      </c>
      <c r="C6163" t="s">
        <v>67</v>
      </c>
      <c r="D6163" t="s">
        <v>67</v>
      </c>
      <c r="E6163" t="s">
        <v>67</v>
      </c>
      <c r="F6163" t="s">
        <v>27987</v>
      </c>
      <c r="G6163" s="117">
        <v>1.69</v>
      </c>
    </row>
    <row r="6164" spans="1:7" x14ac:dyDescent="0.25">
      <c r="A6164" s="116" t="s">
        <v>9781</v>
      </c>
      <c r="B6164" s="117" t="s">
        <v>9782</v>
      </c>
      <c r="C6164" t="s">
        <v>67</v>
      </c>
      <c r="D6164" t="s">
        <v>67</v>
      </c>
      <c r="E6164" t="s">
        <v>67</v>
      </c>
      <c r="F6164" t="s">
        <v>49</v>
      </c>
      <c r="G6164" s="117">
        <v>2.23</v>
      </c>
    </row>
    <row r="6165" spans="1:7" x14ac:dyDescent="0.25">
      <c r="A6165" s="116" t="s">
        <v>9783</v>
      </c>
      <c r="B6165" s="117" t="s">
        <v>9784</v>
      </c>
      <c r="C6165" t="s">
        <v>67</v>
      </c>
      <c r="D6165" t="s">
        <v>67</v>
      </c>
      <c r="E6165" t="s">
        <v>67</v>
      </c>
      <c r="F6165" t="s">
        <v>27987</v>
      </c>
      <c r="G6165" s="117">
        <v>2.23</v>
      </c>
    </row>
    <row r="6166" spans="1:7" x14ac:dyDescent="0.25">
      <c r="A6166" s="116" t="s">
        <v>9785</v>
      </c>
      <c r="B6166" s="117" t="s">
        <v>8366</v>
      </c>
      <c r="C6166" t="s">
        <v>67</v>
      </c>
      <c r="D6166" t="s">
        <v>67</v>
      </c>
      <c r="E6166" t="s">
        <v>67</v>
      </c>
      <c r="F6166" t="s">
        <v>49</v>
      </c>
      <c r="G6166" s="117">
        <v>2.58</v>
      </c>
    </row>
    <row r="6167" spans="1:7" x14ac:dyDescent="0.25">
      <c r="A6167" s="116" t="s">
        <v>9786</v>
      </c>
      <c r="B6167" s="117" t="s">
        <v>9787</v>
      </c>
      <c r="C6167" t="s">
        <v>67</v>
      </c>
      <c r="D6167" t="s">
        <v>67</v>
      </c>
      <c r="E6167" t="s">
        <v>67</v>
      </c>
      <c r="F6167" t="s">
        <v>49</v>
      </c>
      <c r="G6167" s="117">
        <v>2.23</v>
      </c>
    </row>
    <row r="6168" spans="1:7" x14ac:dyDescent="0.25">
      <c r="A6168" s="116" t="s">
        <v>28853</v>
      </c>
      <c r="B6168" s="117" t="s">
        <v>28854</v>
      </c>
      <c r="C6168" t="s">
        <v>67</v>
      </c>
      <c r="D6168" t="s">
        <v>67</v>
      </c>
      <c r="E6168" t="s">
        <v>67</v>
      </c>
      <c r="F6168" t="s">
        <v>45</v>
      </c>
      <c r="G6168" s="117">
        <v>0</v>
      </c>
    </row>
    <row r="6169" spans="1:7" x14ac:dyDescent="0.25">
      <c r="A6169" s="116" t="s">
        <v>9788</v>
      </c>
      <c r="B6169" s="117" t="s">
        <v>9789</v>
      </c>
      <c r="C6169" t="s">
        <v>67</v>
      </c>
      <c r="D6169" t="s">
        <v>67</v>
      </c>
      <c r="E6169" t="s">
        <v>67</v>
      </c>
      <c r="F6169" t="s">
        <v>49</v>
      </c>
      <c r="G6169" s="117">
        <v>1.33</v>
      </c>
    </row>
    <row r="6170" spans="1:7" x14ac:dyDescent="0.25">
      <c r="A6170" s="116" t="s">
        <v>9790</v>
      </c>
      <c r="B6170" s="117" t="s">
        <v>8246</v>
      </c>
      <c r="C6170" t="s">
        <v>67</v>
      </c>
      <c r="D6170" t="s">
        <v>67</v>
      </c>
      <c r="E6170" t="s">
        <v>67</v>
      </c>
      <c r="F6170" t="s">
        <v>49</v>
      </c>
      <c r="G6170" s="117">
        <v>1.33</v>
      </c>
    </row>
    <row r="6171" spans="1:7" x14ac:dyDescent="0.25">
      <c r="A6171" s="116" t="s">
        <v>9791</v>
      </c>
      <c r="B6171" s="117" t="s">
        <v>125</v>
      </c>
      <c r="C6171" t="s">
        <v>67</v>
      </c>
      <c r="D6171" t="s">
        <v>67</v>
      </c>
      <c r="E6171" t="s">
        <v>67</v>
      </c>
      <c r="F6171" t="s">
        <v>27987</v>
      </c>
      <c r="G6171" s="117">
        <v>3.48</v>
      </c>
    </row>
    <row r="6172" spans="1:7" x14ac:dyDescent="0.25">
      <c r="A6172" s="116" t="s">
        <v>9792</v>
      </c>
      <c r="B6172" s="117" t="s">
        <v>8379</v>
      </c>
      <c r="C6172" t="s">
        <v>67</v>
      </c>
      <c r="D6172" t="s">
        <v>67</v>
      </c>
      <c r="E6172" t="s">
        <v>67</v>
      </c>
      <c r="F6172" t="s">
        <v>49</v>
      </c>
      <c r="G6172" s="117">
        <v>2.58</v>
      </c>
    </row>
    <row r="6173" spans="1:7" x14ac:dyDescent="0.25">
      <c r="A6173" s="116" t="s">
        <v>9793</v>
      </c>
      <c r="B6173" s="117" t="s">
        <v>9794</v>
      </c>
      <c r="C6173" t="s">
        <v>67</v>
      </c>
      <c r="D6173" t="s">
        <v>67</v>
      </c>
      <c r="E6173" t="s">
        <v>67</v>
      </c>
      <c r="F6173" t="s">
        <v>45</v>
      </c>
      <c r="G6173" s="117">
        <v>5.33</v>
      </c>
    </row>
    <row r="6174" spans="1:7" x14ac:dyDescent="0.25">
      <c r="A6174" s="116" t="s">
        <v>9795</v>
      </c>
      <c r="B6174" s="117" t="s">
        <v>8264</v>
      </c>
      <c r="C6174" t="s">
        <v>67</v>
      </c>
      <c r="D6174" t="s">
        <v>67</v>
      </c>
      <c r="E6174" t="s">
        <v>67</v>
      </c>
      <c r="F6174" t="s">
        <v>27987</v>
      </c>
      <c r="G6174" s="117">
        <v>2.23</v>
      </c>
    </row>
    <row r="6175" spans="1:7" x14ac:dyDescent="0.25">
      <c r="A6175" s="116" t="s">
        <v>9796</v>
      </c>
      <c r="B6175" s="117" t="s">
        <v>8264</v>
      </c>
      <c r="C6175" t="s">
        <v>67</v>
      </c>
      <c r="D6175" t="s">
        <v>67</v>
      </c>
      <c r="E6175" t="s">
        <v>67</v>
      </c>
      <c r="F6175" t="s">
        <v>27987</v>
      </c>
      <c r="G6175" s="117">
        <v>2.58</v>
      </c>
    </row>
    <row r="6176" spans="1:7" x14ac:dyDescent="0.25">
      <c r="A6176" s="116" t="s">
        <v>9797</v>
      </c>
      <c r="B6176" s="117" t="s">
        <v>8406</v>
      </c>
      <c r="C6176" t="s">
        <v>67</v>
      </c>
      <c r="D6176" t="s">
        <v>67</v>
      </c>
      <c r="E6176" t="s">
        <v>67</v>
      </c>
      <c r="F6176" t="s">
        <v>27987</v>
      </c>
      <c r="G6176" s="117">
        <v>1.69</v>
      </c>
    </row>
    <row r="6177" spans="1:7" x14ac:dyDescent="0.25">
      <c r="A6177" s="116" t="s">
        <v>9798</v>
      </c>
      <c r="B6177" s="117" t="s">
        <v>8239</v>
      </c>
      <c r="C6177" t="s">
        <v>67</v>
      </c>
      <c r="D6177" t="s">
        <v>67</v>
      </c>
      <c r="E6177" t="s">
        <v>67</v>
      </c>
      <c r="F6177" t="s">
        <v>27987</v>
      </c>
      <c r="G6177" s="117">
        <v>2.58</v>
      </c>
    </row>
    <row r="6178" spans="1:7" x14ac:dyDescent="0.25">
      <c r="A6178" s="116" t="s">
        <v>9799</v>
      </c>
      <c r="B6178" s="117" t="s">
        <v>9800</v>
      </c>
      <c r="C6178" t="s">
        <v>67</v>
      </c>
      <c r="D6178" t="s">
        <v>67</v>
      </c>
      <c r="E6178" t="s">
        <v>67</v>
      </c>
      <c r="F6178" t="s">
        <v>27987</v>
      </c>
      <c r="G6178" s="117">
        <v>1.33</v>
      </c>
    </row>
    <row r="6179" spans="1:7" x14ac:dyDescent="0.25">
      <c r="A6179" s="116" t="s">
        <v>9801</v>
      </c>
      <c r="B6179" s="117" t="s">
        <v>9802</v>
      </c>
      <c r="C6179" t="s">
        <v>67</v>
      </c>
      <c r="D6179" t="s">
        <v>67</v>
      </c>
      <c r="E6179" t="s">
        <v>67</v>
      </c>
      <c r="F6179" t="s">
        <v>27987</v>
      </c>
      <c r="G6179" s="117">
        <v>9.6999999999999993</v>
      </c>
    </row>
    <row r="6180" spans="1:7" x14ac:dyDescent="0.25">
      <c r="A6180" s="116" t="s">
        <v>9803</v>
      </c>
      <c r="B6180" s="117" t="s">
        <v>9804</v>
      </c>
      <c r="C6180" t="s">
        <v>67</v>
      </c>
      <c r="D6180" t="s">
        <v>67</v>
      </c>
      <c r="E6180" t="s">
        <v>67</v>
      </c>
      <c r="F6180" t="s">
        <v>27987</v>
      </c>
      <c r="G6180" s="117">
        <v>2.58</v>
      </c>
    </row>
    <row r="6181" spans="1:7" x14ac:dyDescent="0.25">
      <c r="A6181" s="116" t="s">
        <v>9805</v>
      </c>
      <c r="B6181" s="117" t="s">
        <v>9806</v>
      </c>
      <c r="C6181" t="s">
        <v>67</v>
      </c>
      <c r="D6181" t="s">
        <v>67</v>
      </c>
      <c r="E6181" t="s">
        <v>67</v>
      </c>
      <c r="F6181" t="s">
        <v>49</v>
      </c>
      <c r="G6181" s="117">
        <v>3.12</v>
      </c>
    </row>
    <row r="6182" spans="1:7" x14ac:dyDescent="0.25">
      <c r="A6182" s="116" t="s">
        <v>9807</v>
      </c>
      <c r="B6182" s="117" t="s">
        <v>9808</v>
      </c>
      <c r="C6182" t="s">
        <v>67</v>
      </c>
      <c r="D6182" t="s">
        <v>67</v>
      </c>
      <c r="E6182" t="s">
        <v>67</v>
      </c>
      <c r="F6182" t="s">
        <v>27987</v>
      </c>
      <c r="G6182" s="117">
        <v>0.44</v>
      </c>
    </row>
    <row r="6183" spans="1:7" x14ac:dyDescent="0.25">
      <c r="A6183" s="116" t="s">
        <v>9809</v>
      </c>
      <c r="B6183" s="117" t="s">
        <v>8239</v>
      </c>
      <c r="C6183" t="s">
        <v>67</v>
      </c>
      <c r="D6183" t="s">
        <v>67</v>
      </c>
      <c r="E6183" t="s">
        <v>67</v>
      </c>
      <c r="F6183" t="s">
        <v>49</v>
      </c>
      <c r="G6183" s="117">
        <v>0.8</v>
      </c>
    </row>
    <row r="6184" spans="1:7" x14ac:dyDescent="0.25">
      <c r="A6184" s="116" t="s">
        <v>9810</v>
      </c>
      <c r="B6184" s="117" t="s">
        <v>8236</v>
      </c>
      <c r="C6184" t="s">
        <v>67</v>
      </c>
      <c r="D6184" t="s">
        <v>67</v>
      </c>
      <c r="E6184" t="s">
        <v>67</v>
      </c>
      <c r="F6184" t="s">
        <v>27987</v>
      </c>
      <c r="G6184" s="117">
        <v>0.8</v>
      </c>
    </row>
    <row r="6185" spans="1:7" x14ac:dyDescent="0.25">
      <c r="A6185" s="116" t="s">
        <v>9811</v>
      </c>
      <c r="B6185" s="117" t="s">
        <v>9812</v>
      </c>
      <c r="C6185" t="s">
        <v>67</v>
      </c>
      <c r="D6185" t="s">
        <v>67</v>
      </c>
      <c r="E6185" t="s">
        <v>67</v>
      </c>
      <c r="F6185" t="s">
        <v>49</v>
      </c>
      <c r="G6185" s="117">
        <v>2.12</v>
      </c>
    </row>
    <row r="6186" spans="1:7" x14ac:dyDescent="0.25">
      <c r="A6186" s="116" t="s">
        <v>9813</v>
      </c>
      <c r="B6186" s="117" t="s">
        <v>9814</v>
      </c>
      <c r="C6186" t="s">
        <v>67</v>
      </c>
      <c r="D6186" t="s">
        <v>67</v>
      </c>
      <c r="E6186" t="s">
        <v>67</v>
      </c>
      <c r="F6186" t="s">
        <v>27987</v>
      </c>
      <c r="G6186" s="117">
        <v>1.33</v>
      </c>
    </row>
    <row r="6187" spans="1:7" x14ac:dyDescent="0.25">
      <c r="A6187" s="116" t="s">
        <v>9815</v>
      </c>
      <c r="B6187" s="117" t="s">
        <v>125</v>
      </c>
      <c r="C6187" t="s">
        <v>67</v>
      </c>
      <c r="D6187" t="s">
        <v>67</v>
      </c>
      <c r="E6187" t="s">
        <v>67</v>
      </c>
      <c r="F6187" t="s">
        <v>27990</v>
      </c>
      <c r="G6187" s="117">
        <v>1.69</v>
      </c>
    </row>
    <row r="6188" spans="1:7" x14ac:dyDescent="0.25">
      <c r="A6188" s="116" t="s">
        <v>9816</v>
      </c>
      <c r="B6188" s="117" t="s">
        <v>8341</v>
      </c>
      <c r="C6188" t="s">
        <v>67</v>
      </c>
      <c r="D6188" t="s">
        <v>67</v>
      </c>
      <c r="E6188" t="s">
        <v>67</v>
      </c>
      <c r="F6188" t="s">
        <v>27987</v>
      </c>
      <c r="G6188" s="117">
        <v>0.8</v>
      </c>
    </row>
    <row r="6189" spans="1:7" x14ac:dyDescent="0.25">
      <c r="A6189" s="116" t="s">
        <v>9817</v>
      </c>
      <c r="B6189" s="117" t="s">
        <v>9818</v>
      </c>
      <c r="C6189" t="s">
        <v>67</v>
      </c>
      <c r="D6189" t="s">
        <v>67</v>
      </c>
      <c r="E6189" t="s">
        <v>67</v>
      </c>
      <c r="F6189" t="s">
        <v>27987</v>
      </c>
      <c r="G6189" s="117">
        <v>37.82</v>
      </c>
    </row>
    <row r="6190" spans="1:7" x14ac:dyDescent="0.25">
      <c r="A6190" s="116" t="s">
        <v>9819</v>
      </c>
      <c r="B6190" s="117" t="s">
        <v>9820</v>
      </c>
      <c r="C6190" t="s">
        <v>67</v>
      </c>
      <c r="D6190" t="s">
        <v>67</v>
      </c>
      <c r="E6190" t="s">
        <v>67</v>
      </c>
      <c r="F6190" t="s">
        <v>27987</v>
      </c>
      <c r="G6190" s="117">
        <v>8.4499999999999993</v>
      </c>
    </row>
    <row r="6191" spans="1:7" x14ac:dyDescent="0.25">
      <c r="A6191" s="116" t="s">
        <v>9821</v>
      </c>
      <c r="B6191" s="117" t="s">
        <v>8262</v>
      </c>
      <c r="C6191" t="s">
        <v>67</v>
      </c>
      <c r="D6191" t="s">
        <v>67</v>
      </c>
      <c r="E6191" t="s">
        <v>67</v>
      </c>
      <c r="F6191" t="s">
        <v>49</v>
      </c>
      <c r="G6191" s="117">
        <v>1.33</v>
      </c>
    </row>
    <row r="6192" spans="1:7" x14ac:dyDescent="0.25">
      <c r="A6192" s="116" t="s">
        <v>9822</v>
      </c>
      <c r="B6192" s="117" t="s">
        <v>8260</v>
      </c>
      <c r="C6192" t="s">
        <v>67</v>
      </c>
      <c r="D6192" t="s">
        <v>67</v>
      </c>
      <c r="E6192" t="s">
        <v>67</v>
      </c>
      <c r="F6192" t="s">
        <v>27987</v>
      </c>
      <c r="G6192" s="117">
        <v>4</v>
      </c>
    </row>
    <row r="6193" spans="1:7" x14ac:dyDescent="0.25">
      <c r="A6193" s="116" t="s">
        <v>9823</v>
      </c>
      <c r="B6193" s="117" t="s">
        <v>125</v>
      </c>
      <c r="C6193" t="s">
        <v>67</v>
      </c>
      <c r="D6193" t="s">
        <v>67</v>
      </c>
      <c r="E6193" t="s">
        <v>67</v>
      </c>
      <c r="F6193" t="s">
        <v>27987</v>
      </c>
      <c r="G6193" s="117">
        <v>1.77</v>
      </c>
    </row>
    <row r="6194" spans="1:7" x14ac:dyDescent="0.25">
      <c r="A6194" s="116" t="s">
        <v>9824</v>
      </c>
      <c r="B6194" s="117" t="s">
        <v>9825</v>
      </c>
      <c r="C6194" t="s">
        <v>67</v>
      </c>
      <c r="D6194" t="s">
        <v>67</v>
      </c>
      <c r="E6194" t="s">
        <v>67</v>
      </c>
      <c r="F6194" t="s">
        <v>27987</v>
      </c>
      <c r="G6194" s="117">
        <v>0.44</v>
      </c>
    </row>
    <row r="6195" spans="1:7" x14ac:dyDescent="0.25">
      <c r="A6195" s="116" t="s">
        <v>9826</v>
      </c>
      <c r="B6195" s="117" t="s">
        <v>8343</v>
      </c>
      <c r="C6195" t="s">
        <v>67</v>
      </c>
      <c r="D6195" t="s">
        <v>67</v>
      </c>
      <c r="E6195" t="s">
        <v>67</v>
      </c>
      <c r="F6195" t="s">
        <v>49</v>
      </c>
      <c r="G6195" s="117">
        <v>0.44</v>
      </c>
    </row>
    <row r="6196" spans="1:7" x14ac:dyDescent="0.25">
      <c r="A6196" s="116" t="s">
        <v>9827</v>
      </c>
      <c r="B6196" s="117" t="s">
        <v>8244</v>
      </c>
      <c r="C6196" t="s">
        <v>67</v>
      </c>
      <c r="D6196" t="s">
        <v>67</v>
      </c>
      <c r="E6196" t="s">
        <v>67</v>
      </c>
      <c r="F6196" t="s">
        <v>27987</v>
      </c>
      <c r="G6196" s="117">
        <v>0.44</v>
      </c>
    </row>
    <row r="6197" spans="1:7" x14ac:dyDescent="0.25">
      <c r="A6197" s="116" t="s">
        <v>9828</v>
      </c>
      <c r="B6197" s="117" t="s">
        <v>28855</v>
      </c>
      <c r="C6197" t="s">
        <v>67</v>
      </c>
      <c r="D6197" t="s">
        <v>67</v>
      </c>
      <c r="E6197" t="s">
        <v>67</v>
      </c>
      <c r="F6197" t="s">
        <v>27987</v>
      </c>
      <c r="G6197" s="117">
        <v>0.25</v>
      </c>
    </row>
    <row r="6198" spans="1:7" x14ac:dyDescent="0.25">
      <c r="A6198" s="116" t="s">
        <v>9829</v>
      </c>
      <c r="B6198" s="117" t="s">
        <v>9830</v>
      </c>
      <c r="C6198" t="s">
        <v>67</v>
      </c>
      <c r="D6198" t="s">
        <v>67</v>
      </c>
      <c r="E6198" t="s">
        <v>67</v>
      </c>
      <c r="F6198" t="s">
        <v>27987</v>
      </c>
      <c r="G6198" s="117">
        <v>5.79</v>
      </c>
    </row>
    <row r="6199" spans="1:7" x14ac:dyDescent="0.25">
      <c r="A6199" s="116" t="s">
        <v>9831</v>
      </c>
      <c r="B6199" s="117" t="s">
        <v>8236</v>
      </c>
      <c r="C6199" t="s">
        <v>67</v>
      </c>
      <c r="D6199" t="s">
        <v>67</v>
      </c>
      <c r="E6199" t="s">
        <v>67</v>
      </c>
      <c r="F6199" t="s">
        <v>27987</v>
      </c>
      <c r="G6199" s="117">
        <v>0.44</v>
      </c>
    </row>
    <row r="6200" spans="1:7" x14ac:dyDescent="0.25">
      <c r="A6200" s="116" t="s">
        <v>9832</v>
      </c>
      <c r="B6200" s="117" t="s">
        <v>8236</v>
      </c>
      <c r="C6200" t="s">
        <v>67</v>
      </c>
      <c r="D6200" t="s">
        <v>67</v>
      </c>
      <c r="E6200" t="s">
        <v>67</v>
      </c>
      <c r="F6200" t="s">
        <v>27987</v>
      </c>
      <c r="G6200" s="117">
        <v>0.44</v>
      </c>
    </row>
    <row r="6201" spans="1:7" x14ac:dyDescent="0.25">
      <c r="A6201" s="116" t="s">
        <v>9833</v>
      </c>
      <c r="B6201" s="117" t="s">
        <v>9834</v>
      </c>
      <c r="C6201" t="s">
        <v>67</v>
      </c>
      <c r="D6201" t="s">
        <v>67</v>
      </c>
      <c r="E6201" t="s">
        <v>67</v>
      </c>
      <c r="F6201" t="s">
        <v>27987</v>
      </c>
      <c r="G6201" s="117">
        <v>3.56</v>
      </c>
    </row>
    <row r="6202" spans="1:7" x14ac:dyDescent="0.25">
      <c r="A6202" s="116" t="s">
        <v>9835</v>
      </c>
      <c r="B6202" s="117" t="s">
        <v>8406</v>
      </c>
      <c r="C6202" t="s">
        <v>67</v>
      </c>
      <c r="D6202" t="s">
        <v>67</v>
      </c>
      <c r="E6202" t="s">
        <v>67</v>
      </c>
      <c r="F6202" t="s">
        <v>27987</v>
      </c>
      <c r="G6202" s="117">
        <v>1.77</v>
      </c>
    </row>
    <row r="6203" spans="1:7" x14ac:dyDescent="0.25">
      <c r="A6203" s="116" t="s">
        <v>9836</v>
      </c>
      <c r="B6203" s="117" t="s">
        <v>9837</v>
      </c>
      <c r="C6203" t="s">
        <v>67</v>
      </c>
      <c r="D6203" t="s">
        <v>67</v>
      </c>
      <c r="E6203" t="s">
        <v>67</v>
      </c>
      <c r="F6203" t="s">
        <v>49</v>
      </c>
      <c r="G6203" s="117">
        <v>3.12</v>
      </c>
    </row>
    <row r="6204" spans="1:7" x14ac:dyDescent="0.25">
      <c r="A6204" s="116" t="s">
        <v>9838</v>
      </c>
      <c r="B6204" s="117" t="s">
        <v>9775</v>
      </c>
      <c r="C6204" t="s">
        <v>67</v>
      </c>
      <c r="D6204" t="s">
        <v>67</v>
      </c>
      <c r="E6204" t="s">
        <v>67</v>
      </c>
      <c r="F6204" t="s">
        <v>45</v>
      </c>
      <c r="G6204" s="117">
        <v>3.48</v>
      </c>
    </row>
    <row r="6205" spans="1:7" x14ac:dyDescent="0.25">
      <c r="A6205" s="116" t="s">
        <v>9839</v>
      </c>
      <c r="B6205" s="117" t="s">
        <v>8246</v>
      </c>
      <c r="C6205" t="s">
        <v>67</v>
      </c>
      <c r="D6205" t="s">
        <v>67</v>
      </c>
      <c r="E6205" t="s">
        <v>67</v>
      </c>
      <c r="F6205" t="s">
        <v>49</v>
      </c>
      <c r="G6205" s="117">
        <v>0.8</v>
      </c>
    </row>
    <row r="6206" spans="1:7" x14ac:dyDescent="0.25">
      <c r="A6206" s="116" t="s">
        <v>9840</v>
      </c>
      <c r="B6206" s="117" t="s">
        <v>9841</v>
      </c>
      <c r="C6206" t="s">
        <v>67</v>
      </c>
      <c r="D6206" t="s">
        <v>67</v>
      </c>
      <c r="E6206" t="s">
        <v>67</v>
      </c>
      <c r="F6206" t="s">
        <v>27987</v>
      </c>
      <c r="G6206" s="117">
        <v>0.44</v>
      </c>
    </row>
    <row r="6207" spans="1:7" x14ac:dyDescent="0.25">
      <c r="A6207" s="116" t="s">
        <v>9842</v>
      </c>
      <c r="B6207" s="117" t="s">
        <v>9843</v>
      </c>
      <c r="C6207" t="s">
        <v>67</v>
      </c>
      <c r="D6207" t="s">
        <v>67</v>
      </c>
      <c r="E6207" t="s">
        <v>67</v>
      </c>
      <c r="F6207" t="s">
        <v>49</v>
      </c>
      <c r="G6207" s="117">
        <v>0.8</v>
      </c>
    </row>
    <row r="6208" spans="1:7" x14ac:dyDescent="0.25">
      <c r="A6208" s="116" t="s">
        <v>9844</v>
      </c>
      <c r="B6208" s="117" t="s">
        <v>8379</v>
      </c>
      <c r="C6208" t="s">
        <v>67</v>
      </c>
      <c r="D6208" t="s">
        <v>67</v>
      </c>
      <c r="E6208" t="s">
        <v>67</v>
      </c>
      <c r="F6208" t="s">
        <v>49</v>
      </c>
      <c r="G6208" s="117">
        <v>0.8</v>
      </c>
    </row>
    <row r="6209" spans="1:7" x14ac:dyDescent="0.25">
      <c r="A6209" s="116" t="s">
        <v>9845</v>
      </c>
      <c r="B6209" s="117" t="s">
        <v>8248</v>
      </c>
      <c r="C6209" t="s">
        <v>67</v>
      </c>
      <c r="D6209" t="s">
        <v>67</v>
      </c>
      <c r="E6209" t="s">
        <v>67</v>
      </c>
      <c r="F6209" t="s">
        <v>45</v>
      </c>
      <c r="G6209" s="117">
        <v>0.8</v>
      </c>
    </row>
    <row r="6210" spans="1:7" x14ac:dyDescent="0.25">
      <c r="A6210" s="116" t="s">
        <v>9846</v>
      </c>
      <c r="B6210" s="117" t="s">
        <v>9847</v>
      </c>
      <c r="C6210" t="s">
        <v>67</v>
      </c>
      <c r="D6210" t="s">
        <v>67</v>
      </c>
      <c r="E6210" t="s">
        <v>67</v>
      </c>
      <c r="F6210" t="s">
        <v>27990</v>
      </c>
      <c r="G6210" s="117">
        <v>4.45</v>
      </c>
    </row>
    <row r="6211" spans="1:7" x14ac:dyDescent="0.25">
      <c r="A6211" s="116" t="s">
        <v>9848</v>
      </c>
      <c r="B6211" s="117" t="s">
        <v>8260</v>
      </c>
      <c r="C6211" t="s">
        <v>67</v>
      </c>
      <c r="D6211" t="s">
        <v>67</v>
      </c>
      <c r="E6211" t="s">
        <v>67</v>
      </c>
      <c r="F6211" t="s">
        <v>27987</v>
      </c>
      <c r="G6211" s="117">
        <v>1.69</v>
      </c>
    </row>
    <row r="6212" spans="1:7" x14ac:dyDescent="0.25">
      <c r="A6212" s="116" t="s">
        <v>9849</v>
      </c>
      <c r="B6212" s="117" t="s">
        <v>8244</v>
      </c>
      <c r="C6212" t="s">
        <v>67</v>
      </c>
      <c r="D6212" t="s">
        <v>67</v>
      </c>
      <c r="E6212" t="s">
        <v>67</v>
      </c>
      <c r="F6212" t="s">
        <v>27987</v>
      </c>
      <c r="G6212" s="117">
        <v>0.44</v>
      </c>
    </row>
    <row r="6213" spans="1:7" x14ac:dyDescent="0.25">
      <c r="A6213" s="116" t="s">
        <v>9850</v>
      </c>
      <c r="B6213" s="117" t="s">
        <v>9851</v>
      </c>
      <c r="C6213" t="s">
        <v>67</v>
      </c>
      <c r="D6213" t="s">
        <v>67</v>
      </c>
      <c r="E6213" t="s">
        <v>67</v>
      </c>
      <c r="F6213" t="s">
        <v>49</v>
      </c>
      <c r="G6213" s="117">
        <v>0.44</v>
      </c>
    </row>
    <row r="6214" spans="1:7" x14ac:dyDescent="0.25">
      <c r="A6214" s="116" t="s">
        <v>9852</v>
      </c>
      <c r="B6214" s="117" t="s">
        <v>9853</v>
      </c>
      <c r="C6214" t="s">
        <v>67</v>
      </c>
      <c r="D6214" t="s">
        <v>67</v>
      </c>
      <c r="E6214" t="s">
        <v>67</v>
      </c>
      <c r="F6214" t="s">
        <v>27987</v>
      </c>
      <c r="G6214" s="117">
        <v>14.14</v>
      </c>
    </row>
    <row r="6215" spans="1:7" x14ac:dyDescent="0.25">
      <c r="A6215" s="116" t="s">
        <v>9854</v>
      </c>
      <c r="B6215" s="117" t="s">
        <v>8356</v>
      </c>
      <c r="C6215" t="s">
        <v>67</v>
      </c>
      <c r="D6215" t="s">
        <v>67</v>
      </c>
      <c r="E6215" t="s">
        <v>67</v>
      </c>
      <c r="F6215" t="s">
        <v>27987</v>
      </c>
      <c r="G6215" s="117">
        <v>14.14</v>
      </c>
    </row>
    <row r="6216" spans="1:7" x14ac:dyDescent="0.25">
      <c r="A6216" s="116" t="s">
        <v>9855</v>
      </c>
      <c r="B6216" s="117" t="s">
        <v>8325</v>
      </c>
      <c r="C6216" t="s">
        <v>67</v>
      </c>
      <c r="D6216" t="s">
        <v>67</v>
      </c>
      <c r="E6216" t="s">
        <v>67</v>
      </c>
      <c r="F6216" t="s">
        <v>27987</v>
      </c>
      <c r="G6216" s="117">
        <v>2.23</v>
      </c>
    </row>
    <row r="6217" spans="1:7" x14ac:dyDescent="0.25">
      <c r="A6217" s="116" t="s">
        <v>9856</v>
      </c>
      <c r="B6217" s="117" t="s">
        <v>8402</v>
      </c>
      <c r="C6217" t="s">
        <v>67</v>
      </c>
      <c r="D6217" t="s">
        <v>67</v>
      </c>
      <c r="E6217" t="s">
        <v>67</v>
      </c>
      <c r="F6217" t="s">
        <v>27987</v>
      </c>
      <c r="G6217" s="117">
        <v>1.69</v>
      </c>
    </row>
    <row r="6218" spans="1:7" x14ac:dyDescent="0.25">
      <c r="A6218" s="116" t="s">
        <v>9857</v>
      </c>
      <c r="B6218" s="117" t="s">
        <v>9858</v>
      </c>
      <c r="C6218" t="s">
        <v>67</v>
      </c>
      <c r="D6218" t="s">
        <v>67</v>
      </c>
      <c r="E6218" t="s">
        <v>67</v>
      </c>
      <c r="F6218" t="s">
        <v>27987</v>
      </c>
      <c r="G6218" s="117">
        <v>1.69</v>
      </c>
    </row>
    <row r="6219" spans="1:7" x14ac:dyDescent="0.25">
      <c r="A6219" s="116" t="s">
        <v>9859</v>
      </c>
      <c r="B6219" s="117" t="s">
        <v>8260</v>
      </c>
      <c r="C6219" t="s">
        <v>67</v>
      </c>
      <c r="D6219" t="s">
        <v>67</v>
      </c>
      <c r="E6219" t="s">
        <v>67</v>
      </c>
      <c r="F6219" t="s">
        <v>27987</v>
      </c>
      <c r="G6219" s="117">
        <v>0.8</v>
      </c>
    </row>
    <row r="6220" spans="1:7" x14ac:dyDescent="0.25">
      <c r="A6220" s="116" t="s">
        <v>9860</v>
      </c>
      <c r="B6220" s="117" t="s">
        <v>8325</v>
      </c>
      <c r="C6220" t="s">
        <v>67</v>
      </c>
      <c r="D6220" t="s">
        <v>67</v>
      </c>
      <c r="E6220" t="s">
        <v>67</v>
      </c>
      <c r="F6220" t="s">
        <v>45</v>
      </c>
      <c r="G6220" s="117">
        <v>0.8</v>
      </c>
    </row>
    <row r="6221" spans="1:7" x14ac:dyDescent="0.25">
      <c r="A6221" s="116" t="s">
        <v>28856</v>
      </c>
      <c r="B6221" s="117" t="s">
        <v>28857</v>
      </c>
      <c r="C6221" t="s">
        <v>67</v>
      </c>
      <c r="D6221" t="s">
        <v>67</v>
      </c>
      <c r="E6221" t="s">
        <v>67</v>
      </c>
      <c r="F6221" t="s">
        <v>45</v>
      </c>
      <c r="G6221" s="117">
        <v>0</v>
      </c>
    </row>
    <row r="6222" spans="1:7" x14ac:dyDescent="0.25">
      <c r="A6222" s="116" t="s">
        <v>9861</v>
      </c>
      <c r="B6222" s="117" t="s">
        <v>9862</v>
      </c>
      <c r="C6222" t="s">
        <v>67</v>
      </c>
      <c r="D6222" t="s">
        <v>67</v>
      </c>
      <c r="E6222" t="s">
        <v>67</v>
      </c>
      <c r="F6222" t="s">
        <v>27987</v>
      </c>
      <c r="G6222" s="117">
        <v>2.58</v>
      </c>
    </row>
    <row r="6223" spans="1:7" x14ac:dyDescent="0.25">
      <c r="A6223" s="116" t="s">
        <v>9863</v>
      </c>
      <c r="B6223" s="117" t="s">
        <v>9864</v>
      </c>
      <c r="C6223" t="s">
        <v>67</v>
      </c>
      <c r="D6223" t="s">
        <v>67</v>
      </c>
      <c r="E6223" t="s">
        <v>67</v>
      </c>
      <c r="F6223" t="s">
        <v>27987</v>
      </c>
      <c r="G6223" s="117">
        <v>4.3600000000000003</v>
      </c>
    </row>
    <row r="6224" spans="1:7" x14ac:dyDescent="0.25">
      <c r="A6224" s="116" t="s">
        <v>9865</v>
      </c>
      <c r="B6224" s="117" t="s">
        <v>8233</v>
      </c>
      <c r="C6224" t="s">
        <v>67</v>
      </c>
      <c r="D6224" t="s">
        <v>67</v>
      </c>
      <c r="E6224" t="s">
        <v>67</v>
      </c>
      <c r="F6224" t="s">
        <v>27987</v>
      </c>
      <c r="G6224" s="117">
        <v>1.33</v>
      </c>
    </row>
    <row r="6225" spans="1:7" x14ac:dyDescent="0.25">
      <c r="A6225" s="116" t="s">
        <v>9866</v>
      </c>
      <c r="B6225" s="117" t="s">
        <v>9867</v>
      </c>
      <c r="C6225" t="s">
        <v>67</v>
      </c>
      <c r="D6225" t="s">
        <v>67</v>
      </c>
      <c r="E6225" t="s">
        <v>67</v>
      </c>
      <c r="F6225" t="s">
        <v>27987</v>
      </c>
      <c r="G6225" s="117">
        <v>1.69</v>
      </c>
    </row>
    <row r="6226" spans="1:7" x14ac:dyDescent="0.25">
      <c r="A6226" s="116" t="s">
        <v>9868</v>
      </c>
      <c r="B6226" s="117" t="s">
        <v>8262</v>
      </c>
      <c r="C6226" t="s">
        <v>67</v>
      </c>
      <c r="D6226" t="s">
        <v>67</v>
      </c>
      <c r="E6226" t="s">
        <v>67</v>
      </c>
      <c r="F6226" t="s">
        <v>27987</v>
      </c>
      <c r="G6226" s="117">
        <v>0.8</v>
      </c>
    </row>
    <row r="6227" spans="1:7" x14ac:dyDescent="0.25">
      <c r="A6227" s="116" t="s">
        <v>9869</v>
      </c>
      <c r="B6227" s="117" t="s">
        <v>125</v>
      </c>
      <c r="C6227" t="s">
        <v>67</v>
      </c>
      <c r="D6227" t="s">
        <v>67</v>
      </c>
      <c r="E6227" t="s">
        <v>67</v>
      </c>
      <c r="F6227" t="s">
        <v>27987</v>
      </c>
      <c r="G6227" s="117">
        <v>1.77</v>
      </c>
    </row>
    <row r="6228" spans="1:7" x14ac:dyDescent="0.25">
      <c r="A6228" s="116" t="s">
        <v>9870</v>
      </c>
      <c r="B6228" s="117" t="s">
        <v>8325</v>
      </c>
      <c r="C6228" t="s">
        <v>67</v>
      </c>
      <c r="D6228" t="s">
        <v>67</v>
      </c>
      <c r="E6228" t="s">
        <v>67</v>
      </c>
      <c r="F6228" t="s">
        <v>27987</v>
      </c>
      <c r="G6228" s="117">
        <v>0.8</v>
      </c>
    </row>
    <row r="6229" spans="1:7" x14ac:dyDescent="0.25">
      <c r="A6229" s="116" t="s">
        <v>9871</v>
      </c>
      <c r="B6229" s="117" t="s">
        <v>8350</v>
      </c>
      <c r="C6229" t="s">
        <v>67</v>
      </c>
      <c r="D6229" t="s">
        <v>67</v>
      </c>
      <c r="E6229" t="s">
        <v>67</v>
      </c>
      <c r="F6229" t="s">
        <v>49</v>
      </c>
      <c r="G6229" s="117">
        <v>17.7</v>
      </c>
    </row>
    <row r="6230" spans="1:7" x14ac:dyDescent="0.25">
      <c r="A6230" s="116" t="s">
        <v>9872</v>
      </c>
      <c r="B6230" s="117" t="s">
        <v>9873</v>
      </c>
      <c r="C6230" t="s">
        <v>67</v>
      </c>
      <c r="D6230" t="s">
        <v>67</v>
      </c>
      <c r="E6230" t="s">
        <v>67</v>
      </c>
      <c r="F6230" t="s">
        <v>27987</v>
      </c>
      <c r="G6230" s="117">
        <v>4.3600000000000003</v>
      </c>
    </row>
    <row r="6231" spans="1:7" x14ac:dyDescent="0.25">
      <c r="A6231" s="116" t="s">
        <v>9874</v>
      </c>
      <c r="B6231" s="117" t="s">
        <v>9875</v>
      </c>
      <c r="C6231" t="s">
        <v>67</v>
      </c>
      <c r="D6231" t="s">
        <v>67</v>
      </c>
      <c r="E6231" t="s">
        <v>67</v>
      </c>
      <c r="F6231" t="s">
        <v>45</v>
      </c>
      <c r="G6231" s="117">
        <v>7.12</v>
      </c>
    </row>
    <row r="6232" spans="1:7" x14ac:dyDescent="0.25">
      <c r="A6232" s="116" t="s">
        <v>9876</v>
      </c>
      <c r="B6232" s="117" t="s">
        <v>8246</v>
      </c>
      <c r="C6232" t="s">
        <v>67</v>
      </c>
      <c r="D6232" t="s">
        <v>67</v>
      </c>
      <c r="E6232" t="s">
        <v>67</v>
      </c>
      <c r="F6232" t="s">
        <v>27987</v>
      </c>
      <c r="G6232" s="117">
        <v>3.12</v>
      </c>
    </row>
    <row r="6233" spans="1:7" x14ac:dyDescent="0.25">
      <c r="A6233" s="116" t="s">
        <v>9877</v>
      </c>
      <c r="B6233" s="117" t="s">
        <v>8347</v>
      </c>
      <c r="C6233" t="s">
        <v>67</v>
      </c>
      <c r="D6233" t="s">
        <v>67</v>
      </c>
      <c r="E6233" t="s">
        <v>67</v>
      </c>
      <c r="F6233" t="s">
        <v>27987</v>
      </c>
      <c r="G6233" s="117">
        <v>4.3600000000000003</v>
      </c>
    </row>
    <row r="6234" spans="1:7" x14ac:dyDescent="0.25">
      <c r="A6234" s="116" t="s">
        <v>9878</v>
      </c>
      <c r="B6234" s="117" t="s">
        <v>8406</v>
      </c>
      <c r="C6234" t="s">
        <v>67</v>
      </c>
      <c r="D6234" t="s">
        <v>67</v>
      </c>
      <c r="E6234" t="s">
        <v>67</v>
      </c>
      <c r="F6234" t="s">
        <v>45</v>
      </c>
      <c r="G6234" s="117">
        <v>29.81</v>
      </c>
    </row>
    <row r="6235" spans="1:7" x14ac:dyDescent="0.25">
      <c r="A6235" s="116" t="s">
        <v>9879</v>
      </c>
      <c r="B6235" s="117" t="s">
        <v>8262</v>
      </c>
      <c r="C6235" t="s">
        <v>67</v>
      </c>
      <c r="D6235" t="s">
        <v>67</v>
      </c>
      <c r="E6235" t="s">
        <v>67</v>
      </c>
      <c r="F6235" t="s">
        <v>27987</v>
      </c>
      <c r="G6235" s="117">
        <v>1.33</v>
      </c>
    </row>
    <row r="6236" spans="1:7" x14ac:dyDescent="0.25">
      <c r="A6236" s="116" t="s">
        <v>9880</v>
      </c>
      <c r="B6236" s="117" t="s">
        <v>9881</v>
      </c>
      <c r="C6236" t="s">
        <v>67</v>
      </c>
      <c r="D6236" t="s">
        <v>67</v>
      </c>
      <c r="E6236" t="s">
        <v>67</v>
      </c>
      <c r="F6236" t="s">
        <v>49</v>
      </c>
      <c r="G6236" s="117">
        <v>4</v>
      </c>
    </row>
    <row r="6237" spans="1:7" x14ac:dyDescent="0.25">
      <c r="A6237" s="116" t="s">
        <v>9882</v>
      </c>
      <c r="B6237" s="117" t="s">
        <v>8350</v>
      </c>
      <c r="C6237" t="s">
        <v>67</v>
      </c>
      <c r="D6237" t="s">
        <v>67</v>
      </c>
      <c r="E6237" t="s">
        <v>67</v>
      </c>
      <c r="F6237" t="s">
        <v>27987</v>
      </c>
      <c r="G6237" s="117">
        <v>2.58</v>
      </c>
    </row>
    <row r="6238" spans="1:7" x14ac:dyDescent="0.25">
      <c r="A6238" s="116" t="s">
        <v>9883</v>
      </c>
      <c r="B6238" s="117" t="s">
        <v>9884</v>
      </c>
      <c r="C6238" t="s">
        <v>67</v>
      </c>
      <c r="D6238" t="s">
        <v>67</v>
      </c>
      <c r="E6238" t="s">
        <v>67</v>
      </c>
      <c r="F6238" t="s">
        <v>45</v>
      </c>
      <c r="G6238" s="117">
        <v>1.33</v>
      </c>
    </row>
    <row r="6239" spans="1:7" x14ac:dyDescent="0.25">
      <c r="A6239" s="116" t="s">
        <v>26678</v>
      </c>
      <c r="B6239" s="117" t="s">
        <v>26679</v>
      </c>
      <c r="C6239" t="s">
        <v>67</v>
      </c>
      <c r="D6239" t="s">
        <v>67</v>
      </c>
      <c r="E6239" t="s">
        <v>67</v>
      </c>
      <c r="F6239" t="s">
        <v>27987</v>
      </c>
      <c r="G6239" s="117">
        <v>6.69</v>
      </c>
    </row>
    <row r="6240" spans="1:7" x14ac:dyDescent="0.25">
      <c r="A6240" s="116" t="s">
        <v>9885</v>
      </c>
      <c r="B6240" s="117" t="s">
        <v>9886</v>
      </c>
      <c r="C6240" t="s">
        <v>67</v>
      </c>
      <c r="D6240" t="s">
        <v>67</v>
      </c>
      <c r="E6240" t="s">
        <v>67</v>
      </c>
      <c r="F6240" t="s">
        <v>45</v>
      </c>
      <c r="G6240" s="117">
        <v>1.33</v>
      </c>
    </row>
    <row r="6241" spans="1:7" x14ac:dyDescent="0.25">
      <c r="A6241" s="116" t="s">
        <v>9887</v>
      </c>
      <c r="B6241" s="117" t="s">
        <v>9888</v>
      </c>
      <c r="C6241" t="s">
        <v>67</v>
      </c>
      <c r="D6241" t="s">
        <v>67</v>
      </c>
      <c r="E6241" t="s">
        <v>67</v>
      </c>
      <c r="F6241" t="s">
        <v>27987</v>
      </c>
      <c r="G6241" s="117">
        <v>2.58</v>
      </c>
    </row>
    <row r="6242" spans="1:7" x14ac:dyDescent="0.25">
      <c r="A6242" s="116" t="s">
        <v>9889</v>
      </c>
      <c r="B6242" s="117" t="s">
        <v>8264</v>
      </c>
      <c r="C6242" t="s">
        <v>67</v>
      </c>
      <c r="D6242" t="s">
        <v>67</v>
      </c>
      <c r="E6242" t="s">
        <v>67</v>
      </c>
      <c r="F6242" t="s">
        <v>49</v>
      </c>
      <c r="G6242" s="117">
        <v>2.58</v>
      </c>
    </row>
    <row r="6243" spans="1:7" x14ac:dyDescent="0.25">
      <c r="A6243" s="116" t="s">
        <v>9890</v>
      </c>
      <c r="B6243" s="117" t="s">
        <v>9891</v>
      </c>
      <c r="C6243" t="s">
        <v>67</v>
      </c>
      <c r="D6243" t="s">
        <v>67</v>
      </c>
      <c r="E6243" t="s">
        <v>67</v>
      </c>
      <c r="F6243" t="s">
        <v>27987</v>
      </c>
      <c r="G6243" s="117">
        <v>0.8</v>
      </c>
    </row>
    <row r="6244" spans="1:7" x14ac:dyDescent="0.25">
      <c r="A6244" s="116" t="s">
        <v>9892</v>
      </c>
      <c r="B6244" s="117" t="s">
        <v>9891</v>
      </c>
      <c r="C6244" t="s">
        <v>67</v>
      </c>
      <c r="D6244" t="s">
        <v>67</v>
      </c>
      <c r="E6244" t="s">
        <v>67</v>
      </c>
      <c r="F6244" t="s">
        <v>45</v>
      </c>
      <c r="G6244" s="117">
        <v>1.69</v>
      </c>
    </row>
    <row r="6245" spans="1:7" x14ac:dyDescent="0.25">
      <c r="A6245" s="116" t="s">
        <v>9893</v>
      </c>
      <c r="B6245" s="117" t="s">
        <v>8280</v>
      </c>
      <c r="C6245" t="s">
        <v>67</v>
      </c>
      <c r="D6245" t="s">
        <v>67</v>
      </c>
      <c r="E6245" t="s">
        <v>67</v>
      </c>
      <c r="F6245" t="s">
        <v>27987</v>
      </c>
      <c r="G6245" s="117">
        <v>3.12</v>
      </c>
    </row>
    <row r="6246" spans="1:7" x14ac:dyDescent="0.25">
      <c r="A6246" s="116" t="s">
        <v>9894</v>
      </c>
      <c r="B6246" s="117" t="s">
        <v>8359</v>
      </c>
      <c r="C6246" t="s">
        <v>67</v>
      </c>
      <c r="D6246" t="s">
        <v>67</v>
      </c>
      <c r="E6246" t="s">
        <v>67</v>
      </c>
      <c r="F6246" t="s">
        <v>27990</v>
      </c>
      <c r="G6246" s="117">
        <v>4</v>
      </c>
    </row>
    <row r="6247" spans="1:7" x14ac:dyDescent="0.25">
      <c r="A6247" s="116" t="s">
        <v>9895</v>
      </c>
      <c r="B6247" s="117" t="s">
        <v>9896</v>
      </c>
      <c r="C6247" t="s">
        <v>67</v>
      </c>
      <c r="D6247" t="s">
        <v>67</v>
      </c>
      <c r="E6247" t="s">
        <v>67</v>
      </c>
      <c r="F6247" t="s">
        <v>49</v>
      </c>
      <c r="G6247" s="117">
        <v>3.56</v>
      </c>
    </row>
    <row r="6248" spans="1:7" x14ac:dyDescent="0.25">
      <c r="A6248" s="116" t="s">
        <v>9897</v>
      </c>
      <c r="B6248" s="117" t="s">
        <v>8244</v>
      </c>
      <c r="C6248" t="s">
        <v>67</v>
      </c>
      <c r="D6248" t="s">
        <v>67</v>
      </c>
      <c r="E6248" t="s">
        <v>67</v>
      </c>
      <c r="F6248" t="s">
        <v>27987</v>
      </c>
      <c r="G6248" s="117">
        <v>10.14</v>
      </c>
    </row>
    <row r="6249" spans="1:7" x14ac:dyDescent="0.25">
      <c r="A6249" s="116" t="s">
        <v>9898</v>
      </c>
      <c r="B6249" s="117" t="s">
        <v>9899</v>
      </c>
      <c r="C6249" t="s">
        <v>67</v>
      </c>
      <c r="D6249" t="s">
        <v>67</v>
      </c>
      <c r="E6249" t="s">
        <v>67</v>
      </c>
      <c r="F6249" t="s">
        <v>49</v>
      </c>
      <c r="G6249" s="117">
        <v>4</v>
      </c>
    </row>
    <row r="6250" spans="1:7" x14ac:dyDescent="0.25">
      <c r="A6250" s="116" t="s">
        <v>9900</v>
      </c>
      <c r="B6250" s="117" t="s">
        <v>9901</v>
      </c>
      <c r="C6250" t="s">
        <v>67</v>
      </c>
      <c r="D6250" t="s">
        <v>67</v>
      </c>
      <c r="E6250" t="s">
        <v>67</v>
      </c>
      <c r="F6250" t="s">
        <v>27987</v>
      </c>
      <c r="G6250" s="117">
        <v>1.33</v>
      </c>
    </row>
    <row r="6251" spans="1:7" x14ac:dyDescent="0.25">
      <c r="A6251" s="116" t="s">
        <v>9902</v>
      </c>
      <c r="B6251" s="117" t="s">
        <v>9864</v>
      </c>
      <c r="C6251" t="s">
        <v>67</v>
      </c>
      <c r="D6251" t="s">
        <v>67</v>
      </c>
      <c r="E6251" t="s">
        <v>67</v>
      </c>
      <c r="F6251" t="s">
        <v>27987</v>
      </c>
      <c r="G6251" s="117">
        <v>1.33</v>
      </c>
    </row>
    <row r="6252" spans="1:7" x14ac:dyDescent="0.25">
      <c r="A6252" s="116" t="s">
        <v>9903</v>
      </c>
      <c r="B6252" s="117" t="s">
        <v>9884</v>
      </c>
      <c r="C6252" t="s">
        <v>67</v>
      </c>
      <c r="D6252" t="s">
        <v>67</v>
      </c>
      <c r="E6252" t="s">
        <v>67</v>
      </c>
      <c r="F6252" t="s">
        <v>27987</v>
      </c>
      <c r="G6252" s="117">
        <v>3.48</v>
      </c>
    </row>
    <row r="6253" spans="1:7" x14ac:dyDescent="0.25">
      <c r="A6253" s="116" t="s">
        <v>9904</v>
      </c>
      <c r="B6253" s="117" t="s">
        <v>9905</v>
      </c>
      <c r="C6253" t="s">
        <v>67</v>
      </c>
      <c r="D6253" t="s">
        <v>67</v>
      </c>
      <c r="E6253" t="s">
        <v>67</v>
      </c>
      <c r="F6253" t="s">
        <v>51</v>
      </c>
      <c r="G6253" s="117">
        <v>4.66</v>
      </c>
    </row>
    <row r="6254" spans="1:7" x14ac:dyDescent="0.25">
      <c r="A6254" s="116" t="s">
        <v>9906</v>
      </c>
      <c r="B6254" s="117" t="s">
        <v>9907</v>
      </c>
      <c r="C6254" t="s">
        <v>67</v>
      </c>
      <c r="D6254" t="s">
        <v>67</v>
      </c>
      <c r="E6254" t="s">
        <v>67</v>
      </c>
      <c r="F6254" t="s">
        <v>45</v>
      </c>
      <c r="G6254" s="117">
        <v>5.51</v>
      </c>
    </row>
    <row r="6255" spans="1:7" x14ac:dyDescent="0.25">
      <c r="A6255" s="116" t="s">
        <v>9908</v>
      </c>
      <c r="B6255" s="117" t="s">
        <v>9909</v>
      </c>
      <c r="C6255" t="s">
        <v>67</v>
      </c>
      <c r="D6255" t="s">
        <v>67</v>
      </c>
      <c r="E6255" t="s">
        <v>67</v>
      </c>
      <c r="F6255" t="s">
        <v>27987</v>
      </c>
      <c r="G6255" s="117">
        <v>6.68</v>
      </c>
    </row>
    <row r="6256" spans="1:7" x14ac:dyDescent="0.25">
      <c r="A6256" s="116" t="s">
        <v>9910</v>
      </c>
      <c r="B6256" s="117" t="s">
        <v>9780</v>
      </c>
      <c r="C6256" t="s">
        <v>67</v>
      </c>
      <c r="D6256" t="s">
        <v>67</v>
      </c>
      <c r="E6256" t="s">
        <v>67</v>
      </c>
      <c r="F6256" t="s">
        <v>27987</v>
      </c>
      <c r="G6256" s="117">
        <v>1.77</v>
      </c>
    </row>
    <row r="6257" spans="1:7" x14ac:dyDescent="0.25">
      <c r="A6257" s="116" t="s">
        <v>9911</v>
      </c>
      <c r="B6257" s="117" t="s">
        <v>9912</v>
      </c>
      <c r="C6257" t="s">
        <v>67</v>
      </c>
      <c r="D6257" t="s">
        <v>67</v>
      </c>
      <c r="E6257" t="s">
        <v>67</v>
      </c>
      <c r="F6257" t="s">
        <v>45</v>
      </c>
      <c r="G6257" s="117">
        <v>6.14</v>
      </c>
    </row>
    <row r="6258" spans="1:7" x14ac:dyDescent="0.25">
      <c r="A6258" s="116" t="s">
        <v>9913</v>
      </c>
      <c r="B6258" s="117" t="s">
        <v>9888</v>
      </c>
      <c r="C6258" t="s">
        <v>67</v>
      </c>
      <c r="D6258" t="s">
        <v>67</v>
      </c>
      <c r="E6258" t="s">
        <v>67</v>
      </c>
      <c r="F6258" t="s">
        <v>45</v>
      </c>
      <c r="G6258" s="117">
        <v>1.01</v>
      </c>
    </row>
    <row r="6259" spans="1:7" x14ac:dyDescent="0.25">
      <c r="A6259" s="116" t="s">
        <v>9914</v>
      </c>
      <c r="B6259" s="117" t="s">
        <v>9915</v>
      </c>
      <c r="C6259" t="s">
        <v>67</v>
      </c>
      <c r="D6259" t="s">
        <v>67</v>
      </c>
      <c r="E6259" t="s">
        <v>67</v>
      </c>
      <c r="F6259" t="s">
        <v>27987</v>
      </c>
      <c r="G6259" s="117">
        <v>6.14</v>
      </c>
    </row>
    <row r="6260" spans="1:7" x14ac:dyDescent="0.25">
      <c r="A6260" s="116" t="s">
        <v>9916</v>
      </c>
      <c r="B6260" s="117" t="s">
        <v>9917</v>
      </c>
      <c r="C6260" t="s">
        <v>67</v>
      </c>
      <c r="D6260" t="s">
        <v>67</v>
      </c>
      <c r="E6260" t="s">
        <v>67</v>
      </c>
      <c r="F6260" t="s">
        <v>27987</v>
      </c>
      <c r="G6260" s="117">
        <v>2.23</v>
      </c>
    </row>
    <row r="6261" spans="1:7" x14ac:dyDescent="0.25">
      <c r="A6261" s="116" t="s">
        <v>9918</v>
      </c>
      <c r="B6261" s="117" t="s">
        <v>9919</v>
      </c>
      <c r="C6261" t="s">
        <v>67</v>
      </c>
      <c r="D6261" t="s">
        <v>67</v>
      </c>
      <c r="E6261" t="s">
        <v>67</v>
      </c>
      <c r="F6261" t="s">
        <v>27987</v>
      </c>
      <c r="G6261" s="117">
        <v>1.33</v>
      </c>
    </row>
    <row r="6262" spans="1:7" x14ac:dyDescent="0.25">
      <c r="A6262" s="116" t="s">
        <v>9920</v>
      </c>
      <c r="B6262" s="117" t="s">
        <v>28858</v>
      </c>
      <c r="C6262" t="s">
        <v>67</v>
      </c>
      <c r="D6262" t="s">
        <v>67</v>
      </c>
      <c r="E6262" t="s">
        <v>67</v>
      </c>
      <c r="F6262" t="s">
        <v>49</v>
      </c>
      <c r="G6262" s="117">
        <v>0.8</v>
      </c>
    </row>
    <row r="6263" spans="1:7" x14ac:dyDescent="0.25">
      <c r="A6263" s="116" t="s">
        <v>9922</v>
      </c>
      <c r="B6263" s="117" t="s">
        <v>9923</v>
      </c>
      <c r="C6263" t="s">
        <v>67</v>
      </c>
      <c r="D6263" t="s">
        <v>67</v>
      </c>
      <c r="E6263" t="s">
        <v>67</v>
      </c>
      <c r="F6263" t="s">
        <v>27987</v>
      </c>
      <c r="G6263" s="117">
        <v>1.69</v>
      </c>
    </row>
    <row r="6264" spans="1:7" x14ac:dyDescent="0.25">
      <c r="A6264" s="116" t="s">
        <v>9924</v>
      </c>
      <c r="B6264" s="117" t="s">
        <v>9925</v>
      </c>
      <c r="C6264" t="s">
        <v>67</v>
      </c>
      <c r="D6264" t="s">
        <v>67</v>
      </c>
      <c r="E6264" t="s">
        <v>67</v>
      </c>
      <c r="F6264" t="s">
        <v>45</v>
      </c>
      <c r="G6264" s="117">
        <v>5.25</v>
      </c>
    </row>
    <row r="6265" spans="1:7" x14ac:dyDescent="0.25">
      <c r="A6265" s="116" t="s">
        <v>28859</v>
      </c>
      <c r="B6265" s="117" t="s">
        <v>28860</v>
      </c>
      <c r="C6265" t="s">
        <v>67</v>
      </c>
      <c r="D6265" t="s">
        <v>67</v>
      </c>
      <c r="E6265" t="s">
        <v>67</v>
      </c>
      <c r="F6265" t="s">
        <v>45</v>
      </c>
      <c r="G6265" s="117">
        <v>0</v>
      </c>
    </row>
    <row r="6266" spans="1:7" x14ac:dyDescent="0.25">
      <c r="A6266" s="116" t="s">
        <v>9926</v>
      </c>
      <c r="B6266" s="117" t="s">
        <v>9802</v>
      </c>
      <c r="C6266" t="s">
        <v>67</v>
      </c>
      <c r="D6266" t="s">
        <v>67</v>
      </c>
      <c r="E6266" t="s">
        <v>67</v>
      </c>
      <c r="F6266" t="s">
        <v>27987</v>
      </c>
      <c r="G6266" s="117">
        <v>8.4499999999999993</v>
      </c>
    </row>
    <row r="6267" spans="1:7" x14ac:dyDescent="0.25">
      <c r="A6267" s="116" t="s">
        <v>9927</v>
      </c>
      <c r="B6267" s="117" t="s">
        <v>9928</v>
      </c>
      <c r="C6267" t="s">
        <v>67</v>
      </c>
      <c r="D6267" t="s">
        <v>67</v>
      </c>
      <c r="E6267" t="s">
        <v>67</v>
      </c>
      <c r="F6267" t="s">
        <v>49</v>
      </c>
      <c r="G6267" s="117">
        <v>0.8</v>
      </c>
    </row>
    <row r="6268" spans="1:7" x14ac:dyDescent="0.25">
      <c r="A6268" s="116" t="s">
        <v>9929</v>
      </c>
      <c r="B6268" s="117" t="s">
        <v>9930</v>
      </c>
      <c r="C6268" t="s">
        <v>67</v>
      </c>
      <c r="D6268" t="s">
        <v>67</v>
      </c>
      <c r="E6268" t="s">
        <v>67</v>
      </c>
      <c r="F6268" t="s">
        <v>27987</v>
      </c>
      <c r="G6268" s="117">
        <v>23.94</v>
      </c>
    </row>
    <row r="6269" spans="1:7" x14ac:dyDescent="0.25">
      <c r="A6269" s="116" t="s">
        <v>9931</v>
      </c>
      <c r="B6269" s="117" t="s">
        <v>9932</v>
      </c>
      <c r="C6269" t="s">
        <v>67</v>
      </c>
      <c r="D6269" t="s">
        <v>67</v>
      </c>
      <c r="E6269" t="s">
        <v>67</v>
      </c>
      <c r="F6269" t="s">
        <v>45</v>
      </c>
      <c r="G6269" s="117">
        <v>1.69</v>
      </c>
    </row>
    <row r="6270" spans="1:7" x14ac:dyDescent="0.25">
      <c r="A6270" s="116" t="s">
        <v>9933</v>
      </c>
      <c r="B6270" s="117" t="s">
        <v>9934</v>
      </c>
      <c r="C6270" t="s">
        <v>67</v>
      </c>
      <c r="D6270" t="s">
        <v>67</v>
      </c>
      <c r="E6270" t="s">
        <v>67</v>
      </c>
      <c r="F6270" t="s">
        <v>45</v>
      </c>
      <c r="G6270" s="117">
        <v>10.24</v>
      </c>
    </row>
    <row r="6271" spans="1:7" x14ac:dyDescent="0.25">
      <c r="A6271" s="116" t="s">
        <v>9935</v>
      </c>
      <c r="B6271" s="117" t="s">
        <v>9936</v>
      </c>
      <c r="C6271" t="s">
        <v>67</v>
      </c>
      <c r="D6271" t="s">
        <v>67</v>
      </c>
      <c r="E6271" t="s">
        <v>67</v>
      </c>
      <c r="F6271" t="s">
        <v>45</v>
      </c>
      <c r="G6271" s="117">
        <v>4.8899999999999997</v>
      </c>
    </row>
    <row r="6272" spans="1:7" x14ac:dyDescent="0.25">
      <c r="A6272" s="116" t="s">
        <v>9937</v>
      </c>
      <c r="B6272" s="117" t="s">
        <v>9938</v>
      </c>
      <c r="C6272" t="s">
        <v>67</v>
      </c>
      <c r="D6272" t="s">
        <v>67</v>
      </c>
      <c r="E6272" t="s">
        <v>67</v>
      </c>
      <c r="F6272" t="s">
        <v>27987</v>
      </c>
      <c r="G6272" s="117">
        <v>4.8899999999999997</v>
      </c>
    </row>
    <row r="6273" spans="1:7" x14ac:dyDescent="0.25">
      <c r="A6273" s="116" t="s">
        <v>9939</v>
      </c>
      <c r="B6273" s="117" t="s">
        <v>9940</v>
      </c>
      <c r="C6273" t="s">
        <v>67</v>
      </c>
      <c r="D6273" t="s">
        <v>67</v>
      </c>
      <c r="E6273" t="s">
        <v>67</v>
      </c>
      <c r="F6273" t="s">
        <v>49</v>
      </c>
      <c r="G6273" s="117">
        <v>0.8</v>
      </c>
    </row>
    <row r="6274" spans="1:7" x14ac:dyDescent="0.25">
      <c r="A6274" s="116" t="s">
        <v>9941</v>
      </c>
      <c r="B6274" s="117" t="s">
        <v>9942</v>
      </c>
      <c r="C6274" t="s">
        <v>67</v>
      </c>
      <c r="D6274" t="s">
        <v>67</v>
      </c>
      <c r="E6274" t="s">
        <v>67</v>
      </c>
      <c r="F6274" t="s">
        <v>27990</v>
      </c>
      <c r="G6274" s="117">
        <v>0.8</v>
      </c>
    </row>
    <row r="6275" spans="1:7" x14ac:dyDescent="0.25">
      <c r="A6275" s="116" t="s">
        <v>9943</v>
      </c>
      <c r="B6275" s="117" t="s">
        <v>9944</v>
      </c>
      <c r="C6275" t="s">
        <v>67</v>
      </c>
      <c r="D6275" t="s">
        <v>67</v>
      </c>
      <c r="E6275" t="s">
        <v>67</v>
      </c>
      <c r="F6275" t="s">
        <v>49</v>
      </c>
      <c r="G6275" s="117">
        <v>10.58</v>
      </c>
    </row>
    <row r="6276" spans="1:7" x14ac:dyDescent="0.25">
      <c r="A6276" s="116" t="s">
        <v>9945</v>
      </c>
      <c r="B6276" s="117" t="s">
        <v>9946</v>
      </c>
      <c r="C6276" t="s">
        <v>67</v>
      </c>
      <c r="D6276" t="s">
        <v>67</v>
      </c>
      <c r="E6276" t="s">
        <v>67</v>
      </c>
      <c r="F6276" t="s">
        <v>45</v>
      </c>
      <c r="G6276" s="117">
        <v>4.8899999999999997</v>
      </c>
    </row>
    <row r="6277" spans="1:7" x14ac:dyDescent="0.25">
      <c r="A6277" s="116" t="s">
        <v>9947</v>
      </c>
      <c r="B6277" s="117" t="s">
        <v>9948</v>
      </c>
      <c r="C6277" t="s">
        <v>67</v>
      </c>
      <c r="D6277" t="s">
        <v>67</v>
      </c>
      <c r="E6277" t="s">
        <v>67</v>
      </c>
      <c r="F6277" t="s">
        <v>27990</v>
      </c>
      <c r="G6277" s="117">
        <v>0.8</v>
      </c>
    </row>
    <row r="6278" spans="1:7" x14ac:dyDescent="0.25">
      <c r="A6278" s="116" t="s">
        <v>9949</v>
      </c>
      <c r="B6278" s="117" t="s">
        <v>9950</v>
      </c>
      <c r="C6278" t="s">
        <v>67</v>
      </c>
      <c r="D6278" t="s">
        <v>67</v>
      </c>
      <c r="E6278" t="s">
        <v>67</v>
      </c>
      <c r="F6278" t="s">
        <v>49</v>
      </c>
      <c r="G6278" s="117">
        <v>1.69</v>
      </c>
    </row>
    <row r="6279" spans="1:7" x14ac:dyDescent="0.25">
      <c r="A6279" s="116" t="s">
        <v>9951</v>
      </c>
      <c r="B6279" s="117" t="s">
        <v>9952</v>
      </c>
      <c r="C6279" t="s">
        <v>67</v>
      </c>
      <c r="D6279" t="s">
        <v>67</v>
      </c>
      <c r="E6279" t="s">
        <v>67</v>
      </c>
      <c r="F6279" t="s">
        <v>27987</v>
      </c>
      <c r="G6279" s="117">
        <v>2.23</v>
      </c>
    </row>
    <row r="6280" spans="1:7" x14ac:dyDescent="0.25">
      <c r="A6280" s="116" t="s">
        <v>9953</v>
      </c>
      <c r="B6280" s="117" t="s">
        <v>9954</v>
      </c>
      <c r="C6280" t="s">
        <v>67</v>
      </c>
      <c r="D6280" t="s">
        <v>67</v>
      </c>
      <c r="E6280" t="s">
        <v>67</v>
      </c>
      <c r="F6280" t="s">
        <v>49</v>
      </c>
      <c r="G6280" s="117">
        <v>1.33</v>
      </c>
    </row>
    <row r="6281" spans="1:7" x14ac:dyDescent="0.25">
      <c r="A6281" s="116" t="s">
        <v>9955</v>
      </c>
      <c r="B6281" s="117" t="s">
        <v>9956</v>
      </c>
      <c r="C6281" t="s">
        <v>67</v>
      </c>
      <c r="D6281" t="s">
        <v>67</v>
      </c>
      <c r="E6281" t="s">
        <v>67</v>
      </c>
      <c r="F6281" t="s">
        <v>27987</v>
      </c>
      <c r="G6281" s="117">
        <v>8.89</v>
      </c>
    </row>
    <row r="6282" spans="1:7" x14ac:dyDescent="0.25">
      <c r="A6282" s="116" t="s">
        <v>9957</v>
      </c>
      <c r="B6282" s="117" t="s">
        <v>9958</v>
      </c>
      <c r="C6282" t="s">
        <v>67</v>
      </c>
      <c r="D6282" t="s">
        <v>67</v>
      </c>
      <c r="E6282" t="s">
        <v>67</v>
      </c>
      <c r="F6282" t="s">
        <v>27987</v>
      </c>
      <c r="G6282" s="117">
        <v>0.8</v>
      </c>
    </row>
    <row r="6283" spans="1:7" x14ac:dyDescent="0.25">
      <c r="A6283" s="116" t="s">
        <v>9959</v>
      </c>
      <c r="B6283" s="117" t="s">
        <v>9960</v>
      </c>
      <c r="C6283" t="s">
        <v>67</v>
      </c>
      <c r="D6283" t="s">
        <v>67</v>
      </c>
      <c r="E6283" t="s">
        <v>67</v>
      </c>
      <c r="F6283" t="s">
        <v>27987</v>
      </c>
      <c r="G6283" s="117">
        <v>0.8</v>
      </c>
    </row>
    <row r="6284" spans="1:7" x14ac:dyDescent="0.25">
      <c r="A6284" s="116" t="s">
        <v>9961</v>
      </c>
      <c r="B6284" s="117" t="s">
        <v>9962</v>
      </c>
      <c r="C6284" t="s">
        <v>67</v>
      </c>
      <c r="D6284" t="s">
        <v>67</v>
      </c>
      <c r="E6284" t="s">
        <v>67</v>
      </c>
      <c r="F6284" t="s">
        <v>27987</v>
      </c>
      <c r="G6284" s="117">
        <v>7.92</v>
      </c>
    </row>
    <row r="6285" spans="1:7" x14ac:dyDescent="0.25">
      <c r="A6285" s="116" t="s">
        <v>9963</v>
      </c>
      <c r="B6285" s="117" t="s">
        <v>9964</v>
      </c>
      <c r="C6285" t="s">
        <v>67</v>
      </c>
      <c r="D6285" t="s">
        <v>67</v>
      </c>
      <c r="E6285" t="s">
        <v>67</v>
      </c>
      <c r="F6285" t="s">
        <v>45</v>
      </c>
      <c r="G6285" s="117">
        <v>0.44</v>
      </c>
    </row>
    <row r="6286" spans="1:7" x14ac:dyDescent="0.25">
      <c r="A6286" s="116" t="s">
        <v>9965</v>
      </c>
      <c r="B6286" s="117" t="s">
        <v>9966</v>
      </c>
      <c r="C6286" t="s">
        <v>67</v>
      </c>
      <c r="D6286" t="s">
        <v>67</v>
      </c>
      <c r="E6286" t="s">
        <v>67</v>
      </c>
      <c r="F6286" t="s">
        <v>49</v>
      </c>
      <c r="G6286" s="117">
        <v>1.69</v>
      </c>
    </row>
    <row r="6287" spans="1:7" x14ac:dyDescent="0.25">
      <c r="A6287" s="116" t="s">
        <v>9967</v>
      </c>
      <c r="B6287" s="117" t="s">
        <v>9968</v>
      </c>
      <c r="C6287" t="s">
        <v>67</v>
      </c>
      <c r="D6287" t="s">
        <v>67</v>
      </c>
      <c r="E6287" t="s">
        <v>67</v>
      </c>
      <c r="F6287" t="s">
        <v>45</v>
      </c>
      <c r="G6287" s="117">
        <v>1.33</v>
      </c>
    </row>
    <row r="6288" spans="1:7" x14ac:dyDescent="0.25">
      <c r="A6288" s="116" t="s">
        <v>9969</v>
      </c>
      <c r="B6288" s="117" t="s">
        <v>9970</v>
      </c>
      <c r="C6288" t="s">
        <v>67</v>
      </c>
      <c r="D6288" t="s">
        <v>67</v>
      </c>
      <c r="E6288" t="s">
        <v>67</v>
      </c>
      <c r="F6288" t="s">
        <v>49</v>
      </c>
      <c r="G6288" s="117">
        <v>1.69</v>
      </c>
    </row>
    <row r="6289" spans="1:7" x14ac:dyDescent="0.25">
      <c r="A6289" s="116" t="s">
        <v>9971</v>
      </c>
      <c r="B6289" s="117" t="s">
        <v>9972</v>
      </c>
      <c r="C6289" t="s">
        <v>67</v>
      </c>
      <c r="D6289" t="s">
        <v>67</v>
      </c>
      <c r="E6289" t="s">
        <v>67</v>
      </c>
      <c r="F6289" t="s">
        <v>27987</v>
      </c>
      <c r="G6289" s="117">
        <v>3.48</v>
      </c>
    </row>
    <row r="6290" spans="1:7" x14ac:dyDescent="0.25">
      <c r="A6290" s="116" t="s">
        <v>9973</v>
      </c>
      <c r="B6290" s="117" t="s">
        <v>9974</v>
      </c>
      <c r="C6290" t="s">
        <v>67</v>
      </c>
      <c r="D6290" t="s">
        <v>67</v>
      </c>
      <c r="E6290" t="s">
        <v>67</v>
      </c>
      <c r="F6290" t="s">
        <v>49</v>
      </c>
      <c r="G6290" s="117">
        <v>12.63</v>
      </c>
    </row>
    <row r="6291" spans="1:7" x14ac:dyDescent="0.25">
      <c r="A6291" s="116" t="s">
        <v>9975</v>
      </c>
      <c r="B6291" s="117" t="s">
        <v>9976</v>
      </c>
      <c r="C6291" t="s">
        <v>67</v>
      </c>
      <c r="D6291" t="s">
        <v>67</v>
      </c>
      <c r="E6291" t="s">
        <v>67</v>
      </c>
      <c r="F6291" t="s">
        <v>27987</v>
      </c>
      <c r="G6291" s="117">
        <v>35.5</v>
      </c>
    </row>
    <row r="6292" spans="1:7" x14ac:dyDescent="0.25">
      <c r="A6292" s="116" t="s">
        <v>9977</v>
      </c>
      <c r="B6292" s="117" t="s">
        <v>9978</v>
      </c>
      <c r="C6292" t="s">
        <v>67</v>
      </c>
      <c r="D6292" t="s">
        <v>67</v>
      </c>
      <c r="E6292" t="s">
        <v>67</v>
      </c>
      <c r="F6292" t="s">
        <v>45</v>
      </c>
      <c r="G6292" s="117">
        <v>4.8899999999999997</v>
      </c>
    </row>
    <row r="6293" spans="1:7" x14ac:dyDescent="0.25">
      <c r="A6293" s="116" t="s">
        <v>9979</v>
      </c>
      <c r="B6293" s="117" t="s">
        <v>9980</v>
      </c>
      <c r="C6293" t="s">
        <v>67</v>
      </c>
      <c r="D6293" t="s">
        <v>67</v>
      </c>
      <c r="E6293" t="s">
        <v>67</v>
      </c>
      <c r="F6293" t="s">
        <v>27987</v>
      </c>
      <c r="G6293" s="117">
        <v>11.48</v>
      </c>
    </row>
    <row r="6294" spans="1:7" x14ac:dyDescent="0.25">
      <c r="A6294" s="116" t="s">
        <v>9981</v>
      </c>
      <c r="B6294" s="117" t="s">
        <v>8452</v>
      </c>
      <c r="C6294" t="s">
        <v>67</v>
      </c>
      <c r="D6294" t="s">
        <v>67</v>
      </c>
      <c r="E6294" t="s">
        <v>67</v>
      </c>
      <c r="F6294" t="s">
        <v>27987</v>
      </c>
      <c r="G6294" s="117">
        <v>2.58</v>
      </c>
    </row>
    <row r="6295" spans="1:7" x14ac:dyDescent="0.25">
      <c r="A6295" s="116" t="s">
        <v>9982</v>
      </c>
      <c r="B6295" s="117" t="s">
        <v>9983</v>
      </c>
      <c r="C6295" t="s">
        <v>67</v>
      </c>
      <c r="D6295" t="s">
        <v>67</v>
      </c>
      <c r="E6295" t="s">
        <v>67</v>
      </c>
      <c r="F6295" t="s">
        <v>27987</v>
      </c>
      <c r="G6295" s="117">
        <v>2.58</v>
      </c>
    </row>
    <row r="6296" spans="1:7" x14ac:dyDescent="0.25">
      <c r="A6296" s="116" t="s">
        <v>9984</v>
      </c>
      <c r="B6296" s="117" t="s">
        <v>8456</v>
      </c>
      <c r="C6296" t="s">
        <v>67</v>
      </c>
      <c r="D6296" t="s">
        <v>67</v>
      </c>
      <c r="E6296" t="s">
        <v>67</v>
      </c>
      <c r="F6296" t="s">
        <v>27987</v>
      </c>
      <c r="G6296" s="117">
        <v>4.3600000000000003</v>
      </c>
    </row>
    <row r="6297" spans="1:7" x14ac:dyDescent="0.25">
      <c r="A6297" s="116" t="s">
        <v>9985</v>
      </c>
      <c r="B6297" s="117" t="s">
        <v>8456</v>
      </c>
      <c r="C6297" t="s">
        <v>67</v>
      </c>
      <c r="D6297" t="s">
        <v>67</v>
      </c>
      <c r="E6297" t="s">
        <v>67</v>
      </c>
      <c r="F6297" t="s">
        <v>27987</v>
      </c>
      <c r="G6297" s="117">
        <v>1.33</v>
      </c>
    </row>
    <row r="6298" spans="1:7" x14ac:dyDescent="0.25">
      <c r="A6298" s="116" t="s">
        <v>9986</v>
      </c>
      <c r="B6298" s="117" t="s">
        <v>8468</v>
      </c>
      <c r="C6298" t="s">
        <v>67</v>
      </c>
      <c r="D6298" t="s">
        <v>67</v>
      </c>
      <c r="E6298" t="s">
        <v>67</v>
      </c>
      <c r="F6298" t="s">
        <v>49</v>
      </c>
      <c r="G6298" s="117">
        <v>5.25</v>
      </c>
    </row>
    <row r="6299" spans="1:7" x14ac:dyDescent="0.25">
      <c r="A6299" s="116" t="s">
        <v>9987</v>
      </c>
      <c r="B6299" s="117" t="s">
        <v>8452</v>
      </c>
      <c r="C6299" t="s">
        <v>67</v>
      </c>
      <c r="D6299" t="s">
        <v>67</v>
      </c>
      <c r="E6299" t="s">
        <v>67</v>
      </c>
      <c r="F6299" t="s">
        <v>49</v>
      </c>
      <c r="G6299" s="117">
        <v>4.3600000000000003</v>
      </c>
    </row>
    <row r="6300" spans="1:7" x14ac:dyDescent="0.25">
      <c r="A6300" s="116" t="s">
        <v>9988</v>
      </c>
      <c r="B6300" s="117" t="s">
        <v>8524</v>
      </c>
      <c r="C6300" t="s">
        <v>67</v>
      </c>
      <c r="D6300" t="s">
        <v>67</v>
      </c>
      <c r="E6300" t="s">
        <v>67</v>
      </c>
      <c r="F6300" t="s">
        <v>49</v>
      </c>
      <c r="G6300" s="117">
        <v>2.58</v>
      </c>
    </row>
    <row r="6301" spans="1:7" x14ac:dyDescent="0.25">
      <c r="A6301" s="116" t="s">
        <v>9989</v>
      </c>
      <c r="B6301" s="117" t="s">
        <v>9990</v>
      </c>
      <c r="C6301" t="s">
        <v>67</v>
      </c>
      <c r="D6301" t="s">
        <v>67</v>
      </c>
      <c r="E6301" t="s">
        <v>67</v>
      </c>
      <c r="F6301" t="s">
        <v>49</v>
      </c>
      <c r="G6301" s="117">
        <v>3.48</v>
      </c>
    </row>
    <row r="6302" spans="1:7" x14ac:dyDescent="0.25">
      <c r="A6302" s="116" t="s">
        <v>9991</v>
      </c>
      <c r="B6302" s="117" t="s">
        <v>9992</v>
      </c>
      <c r="C6302" t="s">
        <v>67</v>
      </c>
      <c r="D6302" t="s">
        <v>67</v>
      </c>
      <c r="E6302" t="s">
        <v>67</v>
      </c>
      <c r="F6302" t="s">
        <v>27987</v>
      </c>
      <c r="G6302" s="117">
        <v>13.8</v>
      </c>
    </row>
    <row r="6303" spans="1:7" x14ac:dyDescent="0.25">
      <c r="A6303" s="116" t="s">
        <v>9993</v>
      </c>
      <c r="B6303" s="117" t="s">
        <v>9994</v>
      </c>
      <c r="C6303" t="s">
        <v>67</v>
      </c>
      <c r="D6303" t="s">
        <v>67</v>
      </c>
      <c r="E6303" t="s">
        <v>67</v>
      </c>
      <c r="F6303" t="s">
        <v>27987</v>
      </c>
      <c r="G6303" s="117">
        <v>3.12</v>
      </c>
    </row>
    <row r="6304" spans="1:7" x14ac:dyDescent="0.25">
      <c r="A6304" s="116" t="s">
        <v>9995</v>
      </c>
      <c r="B6304" s="117" t="s">
        <v>9996</v>
      </c>
      <c r="C6304" t="s">
        <v>67</v>
      </c>
      <c r="D6304" t="s">
        <v>67</v>
      </c>
      <c r="E6304" t="s">
        <v>67</v>
      </c>
      <c r="F6304" t="s">
        <v>45</v>
      </c>
      <c r="G6304" s="117">
        <v>0.44</v>
      </c>
    </row>
    <row r="6305" spans="1:7" x14ac:dyDescent="0.25">
      <c r="A6305" s="116" t="s">
        <v>9997</v>
      </c>
      <c r="B6305" s="117" t="s">
        <v>9998</v>
      </c>
      <c r="C6305" t="s">
        <v>67</v>
      </c>
      <c r="D6305" t="s">
        <v>67</v>
      </c>
      <c r="E6305" t="s">
        <v>67</v>
      </c>
      <c r="F6305" t="s">
        <v>49</v>
      </c>
      <c r="G6305" s="117">
        <v>0.44</v>
      </c>
    </row>
    <row r="6306" spans="1:7" x14ac:dyDescent="0.25">
      <c r="A6306" s="116" t="s">
        <v>9999</v>
      </c>
      <c r="B6306" s="117" t="s">
        <v>10000</v>
      </c>
      <c r="C6306" t="s">
        <v>67</v>
      </c>
      <c r="D6306" t="s">
        <v>67</v>
      </c>
      <c r="E6306" t="s">
        <v>67</v>
      </c>
      <c r="F6306" t="s">
        <v>49</v>
      </c>
      <c r="G6306" s="117">
        <v>0.44</v>
      </c>
    </row>
    <row r="6307" spans="1:7" x14ac:dyDescent="0.25">
      <c r="A6307" s="116" t="s">
        <v>10001</v>
      </c>
      <c r="B6307" s="117" t="s">
        <v>10002</v>
      </c>
      <c r="C6307" t="s">
        <v>67</v>
      </c>
      <c r="D6307" t="s">
        <v>67</v>
      </c>
      <c r="E6307" t="s">
        <v>67</v>
      </c>
      <c r="F6307" t="s">
        <v>27987</v>
      </c>
      <c r="G6307" s="117">
        <v>0.8</v>
      </c>
    </row>
    <row r="6308" spans="1:7" x14ac:dyDescent="0.25">
      <c r="A6308" s="116" t="s">
        <v>10003</v>
      </c>
      <c r="B6308" s="117" t="s">
        <v>10004</v>
      </c>
      <c r="C6308" t="s">
        <v>67</v>
      </c>
      <c r="D6308" t="s">
        <v>67</v>
      </c>
      <c r="E6308" t="s">
        <v>67</v>
      </c>
      <c r="F6308" t="s">
        <v>27987</v>
      </c>
      <c r="G6308" s="117">
        <v>16.82</v>
      </c>
    </row>
    <row r="6309" spans="1:7" x14ac:dyDescent="0.25">
      <c r="A6309" s="116" t="s">
        <v>10005</v>
      </c>
      <c r="B6309" s="117" t="s">
        <v>30149</v>
      </c>
      <c r="C6309" t="s">
        <v>67</v>
      </c>
      <c r="D6309" t="s">
        <v>67</v>
      </c>
      <c r="E6309" t="s">
        <v>67</v>
      </c>
      <c r="F6309" t="s">
        <v>27987</v>
      </c>
      <c r="G6309" s="117">
        <v>4.8899999999999997</v>
      </c>
    </row>
    <row r="6310" spans="1:7" x14ac:dyDescent="0.25">
      <c r="A6310" s="116" t="s">
        <v>10006</v>
      </c>
      <c r="B6310" s="117" t="s">
        <v>10007</v>
      </c>
      <c r="C6310" t="s">
        <v>67</v>
      </c>
      <c r="D6310" t="s">
        <v>67</v>
      </c>
      <c r="E6310" t="s">
        <v>67</v>
      </c>
      <c r="F6310" t="s">
        <v>49</v>
      </c>
      <c r="G6310" s="117">
        <v>1.33</v>
      </c>
    </row>
    <row r="6311" spans="1:7" x14ac:dyDescent="0.25">
      <c r="A6311" s="116" t="s">
        <v>10008</v>
      </c>
      <c r="B6311" s="117" t="s">
        <v>8524</v>
      </c>
      <c r="C6311" t="s">
        <v>67</v>
      </c>
      <c r="D6311" t="s">
        <v>67</v>
      </c>
      <c r="E6311" t="s">
        <v>67</v>
      </c>
      <c r="F6311" t="s">
        <v>49</v>
      </c>
      <c r="G6311" s="117">
        <v>3.12</v>
      </c>
    </row>
    <row r="6312" spans="1:7" x14ac:dyDescent="0.25">
      <c r="A6312" s="116" t="s">
        <v>10009</v>
      </c>
      <c r="B6312" s="117" t="s">
        <v>8468</v>
      </c>
      <c r="C6312" t="s">
        <v>67</v>
      </c>
      <c r="D6312" t="s">
        <v>67</v>
      </c>
      <c r="E6312" t="s">
        <v>67</v>
      </c>
      <c r="F6312" t="s">
        <v>45</v>
      </c>
      <c r="G6312" s="117">
        <v>0.89</v>
      </c>
    </row>
    <row r="6313" spans="1:7" x14ac:dyDescent="0.25">
      <c r="A6313" s="116" t="s">
        <v>10010</v>
      </c>
      <c r="B6313" s="117" t="s">
        <v>10011</v>
      </c>
      <c r="C6313" t="s">
        <v>67</v>
      </c>
      <c r="D6313" t="s">
        <v>67</v>
      </c>
      <c r="E6313" t="s">
        <v>67</v>
      </c>
      <c r="F6313" t="s">
        <v>49</v>
      </c>
      <c r="G6313" s="117">
        <v>7.92</v>
      </c>
    </row>
    <row r="6314" spans="1:7" x14ac:dyDescent="0.25">
      <c r="A6314" s="116" t="s">
        <v>10012</v>
      </c>
      <c r="B6314" s="117" t="s">
        <v>10013</v>
      </c>
      <c r="C6314" t="s">
        <v>67</v>
      </c>
      <c r="D6314" t="s">
        <v>67</v>
      </c>
      <c r="E6314" t="s">
        <v>67</v>
      </c>
      <c r="F6314" t="s">
        <v>27987</v>
      </c>
      <c r="G6314" s="117">
        <v>21.26</v>
      </c>
    </row>
    <row r="6315" spans="1:7" x14ac:dyDescent="0.25">
      <c r="A6315" s="116" t="s">
        <v>10014</v>
      </c>
      <c r="B6315" s="117" t="s">
        <v>8473</v>
      </c>
      <c r="C6315" t="s">
        <v>67</v>
      </c>
      <c r="D6315" t="s">
        <v>67</v>
      </c>
      <c r="E6315" t="s">
        <v>67</v>
      </c>
      <c r="F6315" t="s">
        <v>49</v>
      </c>
      <c r="G6315" s="117">
        <v>0.89</v>
      </c>
    </row>
    <row r="6316" spans="1:7" x14ac:dyDescent="0.25">
      <c r="A6316" s="116" t="s">
        <v>10015</v>
      </c>
      <c r="B6316" s="117" t="s">
        <v>10016</v>
      </c>
      <c r="C6316" t="s">
        <v>67</v>
      </c>
      <c r="D6316" t="s">
        <v>67</v>
      </c>
      <c r="E6316" t="s">
        <v>67</v>
      </c>
      <c r="F6316" t="s">
        <v>27987</v>
      </c>
      <c r="G6316" s="117">
        <v>0.8</v>
      </c>
    </row>
    <row r="6317" spans="1:7" x14ac:dyDescent="0.25">
      <c r="A6317" s="116" t="s">
        <v>10017</v>
      </c>
      <c r="B6317" s="117" t="s">
        <v>10018</v>
      </c>
      <c r="C6317" t="s">
        <v>67</v>
      </c>
      <c r="D6317" t="s">
        <v>67</v>
      </c>
      <c r="E6317" t="s">
        <v>67</v>
      </c>
      <c r="F6317" t="s">
        <v>27987</v>
      </c>
      <c r="G6317" s="117">
        <v>6.68</v>
      </c>
    </row>
    <row r="6318" spans="1:7" x14ac:dyDescent="0.25">
      <c r="A6318" s="116" t="s">
        <v>10019</v>
      </c>
      <c r="B6318" s="117" t="s">
        <v>10020</v>
      </c>
      <c r="C6318" t="s">
        <v>67</v>
      </c>
      <c r="D6318" t="s">
        <v>67</v>
      </c>
      <c r="E6318" t="s">
        <v>67</v>
      </c>
      <c r="F6318" t="s">
        <v>49</v>
      </c>
      <c r="G6318" s="117">
        <v>4</v>
      </c>
    </row>
    <row r="6319" spans="1:7" x14ac:dyDescent="0.25">
      <c r="A6319" s="116" t="s">
        <v>10021</v>
      </c>
      <c r="B6319" s="117" t="s">
        <v>8452</v>
      </c>
      <c r="C6319" t="s">
        <v>67</v>
      </c>
      <c r="D6319" t="s">
        <v>67</v>
      </c>
      <c r="E6319" t="s">
        <v>67</v>
      </c>
      <c r="F6319" t="s">
        <v>27987</v>
      </c>
      <c r="G6319" s="117">
        <v>4.3600000000000003</v>
      </c>
    </row>
    <row r="6320" spans="1:7" x14ac:dyDescent="0.25">
      <c r="A6320" s="116" t="s">
        <v>10022</v>
      </c>
      <c r="B6320" s="117" t="s">
        <v>8456</v>
      </c>
      <c r="C6320" t="s">
        <v>67</v>
      </c>
      <c r="D6320" t="s">
        <v>67</v>
      </c>
      <c r="E6320" t="s">
        <v>67</v>
      </c>
      <c r="F6320" t="s">
        <v>45</v>
      </c>
      <c r="G6320" s="117">
        <v>4.3600000000000003</v>
      </c>
    </row>
    <row r="6321" spans="1:7" x14ac:dyDescent="0.25">
      <c r="A6321" s="116" t="s">
        <v>10023</v>
      </c>
      <c r="B6321" s="117" t="s">
        <v>10000</v>
      </c>
      <c r="C6321" t="s">
        <v>67</v>
      </c>
      <c r="D6321" t="s">
        <v>67</v>
      </c>
      <c r="E6321" t="s">
        <v>67</v>
      </c>
      <c r="F6321" t="s">
        <v>49</v>
      </c>
      <c r="G6321" s="117">
        <v>4.3600000000000003</v>
      </c>
    </row>
    <row r="6322" spans="1:7" x14ac:dyDescent="0.25">
      <c r="A6322" s="116" t="s">
        <v>10024</v>
      </c>
      <c r="B6322" s="117" t="s">
        <v>10025</v>
      </c>
      <c r="C6322" t="s">
        <v>67</v>
      </c>
      <c r="D6322" t="s">
        <v>67</v>
      </c>
      <c r="E6322" t="s">
        <v>67</v>
      </c>
      <c r="F6322" t="s">
        <v>27987</v>
      </c>
      <c r="G6322" s="117">
        <v>9.35</v>
      </c>
    </row>
    <row r="6323" spans="1:7" x14ac:dyDescent="0.25">
      <c r="A6323" s="116" t="s">
        <v>10026</v>
      </c>
      <c r="B6323" s="117" t="s">
        <v>10027</v>
      </c>
      <c r="C6323" t="s">
        <v>67</v>
      </c>
      <c r="D6323" t="s">
        <v>67</v>
      </c>
      <c r="E6323" t="s">
        <v>67</v>
      </c>
      <c r="F6323" t="s">
        <v>45</v>
      </c>
      <c r="G6323" s="117">
        <v>3.56</v>
      </c>
    </row>
    <row r="6324" spans="1:7" x14ac:dyDescent="0.25">
      <c r="A6324" s="116" t="s">
        <v>10028</v>
      </c>
      <c r="B6324" s="117" t="s">
        <v>10029</v>
      </c>
      <c r="C6324" t="s">
        <v>67</v>
      </c>
      <c r="D6324" t="s">
        <v>67</v>
      </c>
      <c r="E6324" t="s">
        <v>67</v>
      </c>
      <c r="F6324" t="s">
        <v>49</v>
      </c>
      <c r="G6324" s="117">
        <v>14.24</v>
      </c>
    </row>
    <row r="6325" spans="1:7" x14ac:dyDescent="0.25">
      <c r="A6325" s="116" t="s">
        <v>10030</v>
      </c>
      <c r="B6325" s="117" t="s">
        <v>10031</v>
      </c>
      <c r="C6325" t="s">
        <v>67</v>
      </c>
      <c r="D6325" t="s">
        <v>67</v>
      </c>
      <c r="E6325" t="s">
        <v>67</v>
      </c>
      <c r="F6325" t="s">
        <v>51</v>
      </c>
      <c r="G6325" s="117">
        <v>3.81</v>
      </c>
    </row>
    <row r="6326" spans="1:7" x14ac:dyDescent="0.25">
      <c r="A6326" s="116" t="s">
        <v>10032</v>
      </c>
      <c r="B6326" s="117" t="s">
        <v>10033</v>
      </c>
      <c r="C6326" t="s">
        <v>67</v>
      </c>
      <c r="D6326" t="s">
        <v>67</v>
      </c>
      <c r="E6326" t="s">
        <v>67</v>
      </c>
      <c r="F6326" t="s">
        <v>49</v>
      </c>
      <c r="G6326" s="117">
        <v>4.66</v>
      </c>
    </row>
    <row r="6327" spans="1:7" x14ac:dyDescent="0.25">
      <c r="A6327" s="116" t="s">
        <v>10034</v>
      </c>
      <c r="B6327" s="117" t="s">
        <v>10035</v>
      </c>
      <c r="C6327" t="s">
        <v>67</v>
      </c>
      <c r="D6327" t="s">
        <v>67</v>
      </c>
      <c r="E6327" t="s">
        <v>67</v>
      </c>
      <c r="F6327" t="s">
        <v>27987</v>
      </c>
      <c r="G6327" s="117">
        <v>2.58</v>
      </c>
    </row>
    <row r="6328" spans="1:7" x14ac:dyDescent="0.25">
      <c r="A6328" s="116" t="s">
        <v>10036</v>
      </c>
      <c r="B6328" s="117" t="s">
        <v>8473</v>
      </c>
      <c r="C6328" t="s">
        <v>67</v>
      </c>
      <c r="D6328" t="s">
        <v>67</v>
      </c>
      <c r="E6328" t="s">
        <v>67</v>
      </c>
      <c r="F6328" t="s">
        <v>27987</v>
      </c>
      <c r="G6328" s="117">
        <v>2.58</v>
      </c>
    </row>
    <row r="6329" spans="1:7" x14ac:dyDescent="0.25">
      <c r="A6329" s="116" t="s">
        <v>10037</v>
      </c>
      <c r="B6329" s="117" t="s">
        <v>10038</v>
      </c>
      <c r="C6329" t="s">
        <v>67</v>
      </c>
      <c r="D6329" t="s">
        <v>67</v>
      </c>
      <c r="E6329" t="s">
        <v>67</v>
      </c>
      <c r="F6329" t="s">
        <v>45</v>
      </c>
      <c r="G6329" s="117">
        <v>1.33</v>
      </c>
    </row>
    <row r="6330" spans="1:7" x14ac:dyDescent="0.25">
      <c r="A6330" s="116" t="s">
        <v>10039</v>
      </c>
      <c r="B6330" s="117" t="s">
        <v>10040</v>
      </c>
      <c r="C6330" t="s">
        <v>67</v>
      </c>
      <c r="D6330" t="s">
        <v>67</v>
      </c>
      <c r="E6330" t="s">
        <v>67</v>
      </c>
      <c r="F6330" t="s">
        <v>49</v>
      </c>
      <c r="G6330" s="117">
        <v>8.4499999999999993</v>
      </c>
    </row>
    <row r="6331" spans="1:7" x14ac:dyDescent="0.25">
      <c r="A6331" s="116" t="s">
        <v>10041</v>
      </c>
      <c r="B6331" s="117" t="s">
        <v>10042</v>
      </c>
      <c r="C6331" t="s">
        <v>67</v>
      </c>
      <c r="D6331" t="s">
        <v>67</v>
      </c>
      <c r="E6331" t="s">
        <v>67</v>
      </c>
      <c r="F6331" t="s">
        <v>45</v>
      </c>
      <c r="G6331" s="117">
        <v>1.33</v>
      </c>
    </row>
    <row r="6332" spans="1:7" x14ac:dyDescent="0.25">
      <c r="A6332" s="116" t="s">
        <v>10043</v>
      </c>
      <c r="B6332" s="117" t="s">
        <v>10044</v>
      </c>
      <c r="C6332" t="s">
        <v>67</v>
      </c>
      <c r="D6332" t="s">
        <v>67</v>
      </c>
      <c r="E6332" t="s">
        <v>67</v>
      </c>
      <c r="F6332" t="s">
        <v>45</v>
      </c>
      <c r="G6332" s="117">
        <v>7.91</v>
      </c>
    </row>
    <row r="6333" spans="1:7" x14ac:dyDescent="0.25">
      <c r="A6333" s="116" t="s">
        <v>10045</v>
      </c>
      <c r="B6333" s="117" t="s">
        <v>10046</v>
      </c>
      <c r="C6333" t="s">
        <v>67</v>
      </c>
      <c r="D6333" t="s">
        <v>67</v>
      </c>
      <c r="E6333" t="s">
        <v>67</v>
      </c>
      <c r="F6333" t="s">
        <v>45</v>
      </c>
      <c r="G6333" s="117">
        <v>9.6999999999999993</v>
      </c>
    </row>
    <row r="6334" spans="1:7" x14ac:dyDescent="0.25">
      <c r="A6334" s="116" t="s">
        <v>10047</v>
      </c>
      <c r="B6334" s="117" t="s">
        <v>10048</v>
      </c>
      <c r="C6334" t="s">
        <v>67</v>
      </c>
      <c r="D6334" t="s">
        <v>67</v>
      </c>
      <c r="E6334" t="s">
        <v>67</v>
      </c>
      <c r="F6334" t="s">
        <v>27987</v>
      </c>
      <c r="G6334" s="117">
        <v>1.33</v>
      </c>
    </row>
    <row r="6335" spans="1:7" x14ac:dyDescent="0.25">
      <c r="A6335" s="116" t="s">
        <v>10049</v>
      </c>
      <c r="B6335" s="117" t="s">
        <v>10050</v>
      </c>
      <c r="C6335" t="s">
        <v>67</v>
      </c>
      <c r="D6335" t="s">
        <v>67</v>
      </c>
      <c r="E6335" t="s">
        <v>67</v>
      </c>
      <c r="F6335" t="s">
        <v>27987</v>
      </c>
      <c r="G6335" s="117">
        <v>3.48</v>
      </c>
    </row>
    <row r="6336" spans="1:7" x14ac:dyDescent="0.25">
      <c r="A6336" s="116" t="s">
        <v>10051</v>
      </c>
      <c r="B6336" s="117" t="s">
        <v>10052</v>
      </c>
      <c r="C6336" t="s">
        <v>67</v>
      </c>
      <c r="D6336" t="s">
        <v>67</v>
      </c>
      <c r="E6336" t="s">
        <v>67</v>
      </c>
      <c r="F6336" t="s">
        <v>27987</v>
      </c>
      <c r="G6336" s="117">
        <v>7.02</v>
      </c>
    </row>
    <row r="6337" spans="1:7" x14ac:dyDescent="0.25">
      <c r="A6337" s="116" t="s">
        <v>10053</v>
      </c>
      <c r="B6337" s="117" t="s">
        <v>10054</v>
      </c>
      <c r="C6337" t="s">
        <v>67</v>
      </c>
      <c r="D6337" t="s">
        <v>67</v>
      </c>
      <c r="E6337" t="s">
        <v>67</v>
      </c>
      <c r="F6337" t="s">
        <v>27987</v>
      </c>
      <c r="G6337" s="117">
        <v>2.23</v>
      </c>
    </row>
    <row r="6338" spans="1:7" x14ac:dyDescent="0.25">
      <c r="A6338" s="116" t="s">
        <v>10055</v>
      </c>
      <c r="B6338" s="117" t="s">
        <v>10056</v>
      </c>
      <c r="C6338" t="s">
        <v>67</v>
      </c>
      <c r="D6338" t="s">
        <v>67</v>
      </c>
      <c r="E6338" t="s">
        <v>67</v>
      </c>
      <c r="F6338" t="s">
        <v>45</v>
      </c>
      <c r="G6338" s="117">
        <v>21.26</v>
      </c>
    </row>
    <row r="6339" spans="1:7" x14ac:dyDescent="0.25">
      <c r="A6339" s="116" t="s">
        <v>10057</v>
      </c>
      <c r="B6339" s="117" t="s">
        <v>10058</v>
      </c>
      <c r="C6339" t="s">
        <v>67</v>
      </c>
      <c r="D6339" t="s">
        <v>67</v>
      </c>
      <c r="E6339" t="s">
        <v>67</v>
      </c>
      <c r="F6339" t="s">
        <v>27987</v>
      </c>
      <c r="G6339" s="117">
        <v>5.5</v>
      </c>
    </row>
    <row r="6340" spans="1:7" x14ac:dyDescent="0.25">
      <c r="A6340" s="116" t="s">
        <v>10059</v>
      </c>
      <c r="B6340" s="117" t="s">
        <v>10060</v>
      </c>
      <c r="C6340" t="s">
        <v>67</v>
      </c>
      <c r="D6340" t="s">
        <v>67</v>
      </c>
      <c r="E6340" t="s">
        <v>67</v>
      </c>
      <c r="F6340" t="s">
        <v>45</v>
      </c>
      <c r="G6340" s="117">
        <v>10.58</v>
      </c>
    </row>
    <row r="6341" spans="1:7" x14ac:dyDescent="0.25">
      <c r="A6341" s="116" t="s">
        <v>10061</v>
      </c>
      <c r="B6341" s="117" t="s">
        <v>10062</v>
      </c>
      <c r="C6341" t="s">
        <v>67</v>
      </c>
      <c r="D6341" t="s">
        <v>67</v>
      </c>
      <c r="E6341" t="s">
        <v>67</v>
      </c>
      <c r="F6341" t="s">
        <v>45</v>
      </c>
      <c r="G6341" s="117">
        <v>5.27</v>
      </c>
    </row>
    <row r="6342" spans="1:7" x14ac:dyDescent="0.25">
      <c r="A6342" s="116" t="s">
        <v>28861</v>
      </c>
      <c r="B6342" s="117" t="s">
        <v>28862</v>
      </c>
      <c r="C6342" t="s">
        <v>67</v>
      </c>
      <c r="D6342" t="s">
        <v>67</v>
      </c>
      <c r="E6342" t="s">
        <v>67</v>
      </c>
      <c r="F6342" t="s">
        <v>45</v>
      </c>
      <c r="G6342" s="117">
        <v>0</v>
      </c>
    </row>
    <row r="6343" spans="1:7" x14ac:dyDescent="0.25">
      <c r="A6343" s="116" t="s">
        <v>10063</v>
      </c>
      <c r="B6343" s="117" t="s">
        <v>10064</v>
      </c>
      <c r="C6343" t="s">
        <v>67</v>
      </c>
      <c r="D6343" t="s">
        <v>67</v>
      </c>
      <c r="E6343" t="s">
        <v>67</v>
      </c>
      <c r="F6343" t="s">
        <v>45</v>
      </c>
      <c r="G6343" s="117">
        <v>24.82</v>
      </c>
    </row>
    <row r="6344" spans="1:7" x14ac:dyDescent="0.25">
      <c r="A6344" s="116" t="s">
        <v>10065</v>
      </c>
      <c r="B6344" s="117" t="s">
        <v>10066</v>
      </c>
      <c r="C6344" t="s">
        <v>67</v>
      </c>
      <c r="D6344" t="s">
        <v>67</v>
      </c>
      <c r="E6344" t="s">
        <v>67</v>
      </c>
      <c r="F6344" t="s">
        <v>27987</v>
      </c>
      <c r="G6344" s="117">
        <v>23.05</v>
      </c>
    </row>
    <row r="6345" spans="1:7" x14ac:dyDescent="0.25">
      <c r="A6345" s="116" t="s">
        <v>10067</v>
      </c>
      <c r="B6345" s="117" t="s">
        <v>10068</v>
      </c>
      <c r="C6345" t="s">
        <v>67</v>
      </c>
      <c r="D6345" t="s">
        <v>67</v>
      </c>
      <c r="E6345" t="s">
        <v>67</v>
      </c>
      <c r="F6345" t="s">
        <v>45</v>
      </c>
      <c r="G6345" s="117">
        <v>13.26</v>
      </c>
    </row>
    <row r="6346" spans="1:7" x14ac:dyDescent="0.25">
      <c r="A6346" s="116" t="s">
        <v>10069</v>
      </c>
      <c r="B6346" s="117" t="s">
        <v>10070</v>
      </c>
      <c r="C6346" t="s">
        <v>67</v>
      </c>
      <c r="D6346" t="s">
        <v>67</v>
      </c>
      <c r="E6346" t="s">
        <v>67</v>
      </c>
      <c r="F6346" t="s">
        <v>45</v>
      </c>
      <c r="G6346" s="117">
        <v>27.14</v>
      </c>
    </row>
    <row r="6347" spans="1:7" x14ac:dyDescent="0.25">
      <c r="A6347" s="116" t="s">
        <v>10071</v>
      </c>
      <c r="B6347" s="117" t="s">
        <v>26464</v>
      </c>
      <c r="C6347" t="s">
        <v>67</v>
      </c>
      <c r="D6347" t="s">
        <v>67</v>
      </c>
      <c r="E6347" t="s">
        <v>67</v>
      </c>
      <c r="F6347" t="s">
        <v>27987</v>
      </c>
      <c r="G6347" s="117">
        <v>10.64</v>
      </c>
    </row>
    <row r="6348" spans="1:7" x14ac:dyDescent="0.25">
      <c r="A6348" s="116" t="s">
        <v>10072</v>
      </c>
      <c r="B6348" s="117" t="s">
        <v>10073</v>
      </c>
      <c r="C6348" t="s">
        <v>67</v>
      </c>
      <c r="D6348" t="s">
        <v>67</v>
      </c>
      <c r="E6348" t="s">
        <v>67</v>
      </c>
      <c r="F6348" t="s">
        <v>27987</v>
      </c>
      <c r="G6348" s="117">
        <v>8.4499999999999993</v>
      </c>
    </row>
    <row r="6349" spans="1:7" x14ac:dyDescent="0.25">
      <c r="A6349" s="116" t="s">
        <v>10074</v>
      </c>
      <c r="B6349" s="117" t="s">
        <v>10075</v>
      </c>
      <c r="C6349" t="s">
        <v>67</v>
      </c>
      <c r="D6349" t="s">
        <v>67</v>
      </c>
      <c r="E6349" t="s">
        <v>67</v>
      </c>
      <c r="F6349" t="s">
        <v>27987</v>
      </c>
      <c r="G6349" s="117">
        <v>18.600000000000001</v>
      </c>
    </row>
    <row r="6350" spans="1:7" x14ac:dyDescent="0.25">
      <c r="A6350" s="116" t="s">
        <v>10076</v>
      </c>
      <c r="B6350" s="117" t="s">
        <v>10077</v>
      </c>
      <c r="C6350" t="s">
        <v>67</v>
      </c>
      <c r="D6350" t="s">
        <v>67</v>
      </c>
      <c r="E6350" t="s">
        <v>67</v>
      </c>
      <c r="F6350" t="s">
        <v>27987</v>
      </c>
      <c r="G6350" s="117">
        <v>9.6999999999999993</v>
      </c>
    </row>
    <row r="6351" spans="1:7" x14ac:dyDescent="0.25">
      <c r="A6351" s="116" t="s">
        <v>10078</v>
      </c>
      <c r="B6351" s="117" t="s">
        <v>10079</v>
      </c>
      <c r="C6351" t="s">
        <v>67</v>
      </c>
      <c r="D6351" t="s">
        <v>67</v>
      </c>
      <c r="E6351" t="s">
        <v>67</v>
      </c>
      <c r="F6351" t="s">
        <v>27987</v>
      </c>
      <c r="G6351" s="117">
        <v>7.92</v>
      </c>
    </row>
    <row r="6352" spans="1:7" x14ac:dyDescent="0.25">
      <c r="A6352" s="116" t="s">
        <v>10080</v>
      </c>
      <c r="B6352" s="117" t="s">
        <v>10081</v>
      </c>
      <c r="C6352" t="s">
        <v>67</v>
      </c>
      <c r="D6352" t="s">
        <v>67</v>
      </c>
      <c r="E6352" t="s">
        <v>67</v>
      </c>
      <c r="F6352" t="s">
        <v>45</v>
      </c>
      <c r="G6352" s="117">
        <v>10.24</v>
      </c>
    </row>
    <row r="6353" spans="1:7" x14ac:dyDescent="0.25">
      <c r="A6353" s="116" t="s">
        <v>10082</v>
      </c>
      <c r="B6353" s="117" t="s">
        <v>10083</v>
      </c>
      <c r="C6353" t="s">
        <v>67</v>
      </c>
      <c r="D6353" t="s">
        <v>67</v>
      </c>
      <c r="E6353" t="s">
        <v>67</v>
      </c>
      <c r="F6353" t="s">
        <v>49</v>
      </c>
      <c r="G6353" s="117">
        <v>6.68</v>
      </c>
    </row>
    <row r="6354" spans="1:7" x14ac:dyDescent="0.25">
      <c r="A6354" s="116" t="s">
        <v>10084</v>
      </c>
      <c r="B6354" s="117" t="s">
        <v>10085</v>
      </c>
      <c r="C6354" t="s">
        <v>67</v>
      </c>
      <c r="D6354" t="s">
        <v>67</v>
      </c>
      <c r="E6354" t="s">
        <v>67</v>
      </c>
      <c r="F6354" t="s">
        <v>49</v>
      </c>
      <c r="G6354" s="117">
        <v>6.14</v>
      </c>
    </row>
    <row r="6355" spans="1:7" x14ac:dyDescent="0.25">
      <c r="A6355" s="116" t="s">
        <v>10086</v>
      </c>
      <c r="B6355" s="117" t="s">
        <v>10087</v>
      </c>
      <c r="C6355" t="s">
        <v>67</v>
      </c>
      <c r="D6355" t="s">
        <v>67</v>
      </c>
      <c r="E6355" t="s">
        <v>67</v>
      </c>
      <c r="F6355" t="s">
        <v>27987</v>
      </c>
      <c r="G6355" s="117">
        <v>7.56</v>
      </c>
    </row>
    <row r="6356" spans="1:7" x14ac:dyDescent="0.25">
      <c r="A6356" s="116" t="s">
        <v>10088</v>
      </c>
      <c r="B6356" s="117" t="s">
        <v>10089</v>
      </c>
      <c r="C6356" t="s">
        <v>67</v>
      </c>
      <c r="D6356" t="s">
        <v>67</v>
      </c>
      <c r="E6356" t="s">
        <v>67</v>
      </c>
      <c r="F6356" t="s">
        <v>27987</v>
      </c>
      <c r="G6356" s="117">
        <v>3.47</v>
      </c>
    </row>
    <row r="6357" spans="1:7" x14ac:dyDescent="0.25">
      <c r="A6357" s="116" t="s">
        <v>10090</v>
      </c>
      <c r="B6357" s="117" t="s">
        <v>10091</v>
      </c>
      <c r="C6357" t="s">
        <v>67</v>
      </c>
      <c r="D6357" t="s">
        <v>67</v>
      </c>
      <c r="E6357" t="s">
        <v>67</v>
      </c>
      <c r="F6357" t="s">
        <v>27987</v>
      </c>
      <c r="G6357" s="117">
        <v>4.3600000000000003</v>
      </c>
    </row>
    <row r="6358" spans="1:7" x14ac:dyDescent="0.25">
      <c r="A6358" s="116" t="s">
        <v>10092</v>
      </c>
      <c r="B6358" s="117" t="s">
        <v>10093</v>
      </c>
      <c r="C6358" t="s">
        <v>67</v>
      </c>
      <c r="D6358" t="s">
        <v>67</v>
      </c>
      <c r="E6358" t="s">
        <v>67</v>
      </c>
      <c r="F6358" t="s">
        <v>27987</v>
      </c>
      <c r="G6358" s="117">
        <v>17.7</v>
      </c>
    </row>
    <row r="6359" spans="1:7" x14ac:dyDescent="0.25">
      <c r="A6359" s="116" t="s">
        <v>10094</v>
      </c>
      <c r="B6359" s="117" t="s">
        <v>10095</v>
      </c>
      <c r="C6359" t="s">
        <v>67</v>
      </c>
      <c r="D6359" t="s">
        <v>67</v>
      </c>
      <c r="E6359" t="s">
        <v>67</v>
      </c>
      <c r="F6359" t="s">
        <v>45</v>
      </c>
      <c r="G6359" s="117">
        <v>17.7</v>
      </c>
    </row>
    <row r="6360" spans="1:7" x14ac:dyDescent="0.25">
      <c r="A6360" s="116" t="s">
        <v>10096</v>
      </c>
      <c r="B6360" s="117" t="s">
        <v>10097</v>
      </c>
      <c r="C6360" t="s">
        <v>67</v>
      </c>
      <c r="D6360" t="s">
        <v>67</v>
      </c>
      <c r="E6360" t="s">
        <v>67</v>
      </c>
      <c r="F6360" t="s">
        <v>27987</v>
      </c>
      <c r="G6360" s="117">
        <v>3.56</v>
      </c>
    </row>
    <row r="6361" spans="1:7" x14ac:dyDescent="0.25">
      <c r="A6361" s="116" t="s">
        <v>10098</v>
      </c>
      <c r="B6361" s="117" t="s">
        <v>10099</v>
      </c>
      <c r="C6361" t="s">
        <v>67</v>
      </c>
      <c r="D6361" t="s">
        <v>67</v>
      </c>
      <c r="E6361" t="s">
        <v>67</v>
      </c>
      <c r="F6361" t="s">
        <v>45</v>
      </c>
      <c r="G6361" s="117">
        <v>3.12</v>
      </c>
    </row>
    <row r="6362" spans="1:7" x14ac:dyDescent="0.25">
      <c r="A6362" s="116" t="s">
        <v>10100</v>
      </c>
      <c r="B6362" s="117" t="s">
        <v>10101</v>
      </c>
      <c r="C6362" t="s">
        <v>67</v>
      </c>
      <c r="D6362" t="s">
        <v>67</v>
      </c>
      <c r="E6362" t="s">
        <v>67</v>
      </c>
      <c r="F6362" t="s">
        <v>27987</v>
      </c>
      <c r="G6362" s="117">
        <v>6.14</v>
      </c>
    </row>
    <row r="6363" spans="1:7" x14ac:dyDescent="0.25">
      <c r="A6363" s="116" t="s">
        <v>10102</v>
      </c>
      <c r="B6363" s="117" t="s">
        <v>10103</v>
      </c>
      <c r="C6363" t="s">
        <v>67</v>
      </c>
      <c r="D6363" t="s">
        <v>67</v>
      </c>
      <c r="E6363" t="s">
        <v>67</v>
      </c>
      <c r="F6363" t="s">
        <v>27987</v>
      </c>
      <c r="G6363" s="117">
        <v>7.12</v>
      </c>
    </row>
    <row r="6364" spans="1:7" x14ac:dyDescent="0.25">
      <c r="A6364" s="116" t="s">
        <v>10104</v>
      </c>
      <c r="B6364" s="117" t="s">
        <v>10105</v>
      </c>
      <c r="C6364" t="s">
        <v>67</v>
      </c>
      <c r="D6364" t="s">
        <v>67</v>
      </c>
      <c r="E6364" t="s">
        <v>67</v>
      </c>
      <c r="F6364" t="s">
        <v>45</v>
      </c>
      <c r="G6364" s="117">
        <v>4.8899999999999997</v>
      </c>
    </row>
    <row r="6365" spans="1:7" x14ac:dyDescent="0.25">
      <c r="A6365" s="116" t="s">
        <v>10106</v>
      </c>
      <c r="B6365" s="117" t="s">
        <v>10107</v>
      </c>
      <c r="C6365" t="s">
        <v>67</v>
      </c>
      <c r="D6365" t="s">
        <v>67</v>
      </c>
      <c r="E6365" t="s">
        <v>67</v>
      </c>
      <c r="F6365" t="s">
        <v>45</v>
      </c>
      <c r="G6365" s="117">
        <v>14.14</v>
      </c>
    </row>
    <row r="6366" spans="1:7" x14ac:dyDescent="0.25">
      <c r="A6366" s="116" t="s">
        <v>10108</v>
      </c>
      <c r="B6366" s="117" t="s">
        <v>10109</v>
      </c>
      <c r="C6366" t="s">
        <v>67</v>
      </c>
      <c r="D6366" t="s">
        <v>67</v>
      </c>
      <c r="E6366" t="s">
        <v>67</v>
      </c>
      <c r="F6366" t="s">
        <v>27987</v>
      </c>
      <c r="G6366" s="117">
        <v>3.12</v>
      </c>
    </row>
    <row r="6367" spans="1:7" x14ac:dyDescent="0.25">
      <c r="A6367" s="116" t="s">
        <v>10110</v>
      </c>
      <c r="B6367" s="117" t="s">
        <v>10109</v>
      </c>
      <c r="C6367" t="s">
        <v>67</v>
      </c>
      <c r="D6367" t="s">
        <v>67</v>
      </c>
      <c r="E6367" t="s">
        <v>67</v>
      </c>
      <c r="F6367" t="s">
        <v>27987</v>
      </c>
      <c r="G6367" s="117">
        <v>4.3600000000000003</v>
      </c>
    </row>
    <row r="6368" spans="1:7" x14ac:dyDescent="0.25">
      <c r="A6368" s="116" t="s">
        <v>10111</v>
      </c>
      <c r="B6368" s="117" t="s">
        <v>10112</v>
      </c>
      <c r="C6368" t="s">
        <v>67</v>
      </c>
      <c r="D6368" t="s">
        <v>67</v>
      </c>
      <c r="E6368" t="s">
        <v>67</v>
      </c>
      <c r="F6368" t="s">
        <v>27987</v>
      </c>
      <c r="G6368" s="117">
        <v>4.8899999999999997</v>
      </c>
    </row>
    <row r="6369" spans="1:7" x14ac:dyDescent="0.25">
      <c r="A6369" s="116" t="s">
        <v>10113</v>
      </c>
      <c r="B6369" s="117" t="s">
        <v>10114</v>
      </c>
      <c r="C6369" t="s">
        <v>67</v>
      </c>
      <c r="D6369" t="s">
        <v>67</v>
      </c>
      <c r="E6369" t="s">
        <v>67</v>
      </c>
      <c r="F6369" t="s">
        <v>27987</v>
      </c>
      <c r="G6369" s="117">
        <v>5.25</v>
      </c>
    </row>
    <row r="6370" spans="1:7" x14ac:dyDescent="0.25">
      <c r="A6370" s="116" t="s">
        <v>10115</v>
      </c>
      <c r="B6370" s="117" t="s">
        <v>10116</v>
      </c>
      <c r="C6370" t="s">
        <v>67</v>
      </c>
      <c r="D6370" t="s">
        <v>67</v>
      </c>
      <c r="E6370" t="s">
        <v>67</v>
      </c>
      <c r="F6370" t="s">
        <v>27987</v>
      </c>
      <c r="G6370" s="117">
        <v>5.33</v>
      </c>
    </row>
    <row r="6371" spans="1:7" x14ac:dyDescent="0.25">
      <c r="A6371" s="116" t="s">
        <v>10117</v>
      </c>
      <c r="B6371" s="117" t="s">
        <v>10118</v>
      </c>
      <c r="C6371" t="s">
        <v>67</v>
      </c>
      <c r="D6371" t="s">
        <v>67</v>
      </c>
      <c r="E6371" t="s">
        <v>67</v>
      </c>
      <c r="F6371" t="s">
        <v>27987</v>
      </c>
      <c r="G6371" s="117">
        <v>6.68</v>
      </c>
    </row>
    <row r="6372" spans="1:7" x14ac:dyDescent="0.25">
      <c r="A6372" s="116" t="s">
        <v>10119</v>
      </c>
      <c r="B6372" s="117" t="s">
        <v>10120</v>
      </c>
      <c r="C6372" t="s">
        <v>67</v>
      </c>
      <c r="D6372" t="s">
        <v>67</v>
      </c>
      <c r="E6372" t="s">
        <v>67</v>
      </c>
      <c r="F6372" t="s">
        <v>27987</v>
      </c>
      <c r="G6372" s="117">
        <v>4.8899999999999997</v>
      </c>
    </row>
    <row r="6373" spans="1:7" x14ac:dyDescent="0.25">
      <c r="A6373" s="116" t="s">
        <v>10121</v>
      </c>
      <c r="B6373" s="117" t="s">
        <v>10118</v>
      </c>
      <c r="C6373" t="s">
        <v>67</v>
      </c>
      <c r="D6373" t="s">
        <v>67</v>
      </c>
      <c r="E6373" t="s">
        <v>67</v>
      </c>
      <c r="F6373" t="s">
        <v>27987</v>
      </c>
      <c r="G6373" s="117">
        <v>6.14</v>
      </c>
    </row>
    <row r="6374" spans="1:7" x14ac:dyDescent="0.25">
      <c r="A6374" s="116" t="s">
        <v>10122</v>
      </c>
      <c r="B6374" s="117" t="s">
        <v>10123</v>
      </c>
      <c r="C6374" t="s">
        <v>67</v>
      </c>
      <c r="D6374" t="s">
        <v>67</v>
      </c>
      <c r="E6374" t="s">
        <v>67</v>
      </c>
      <c r="F6374" t="s">
        <v>27987</v>
      </c>
      <c r="G6374" s="117">
        <v>2.0299999999999998</v>
      </c>
    </row>
    <row r="6375" spans="1:7" x14ac:dyDescent="0.25">
      <c r="A6375" s="116" t="s">
        <v>30236</v>
      </c>
      <c r="B6375" s="117" t="s">
        <v>30237</v>
      </c>
      <c r="C6375" t="s">
        <v>67</v>
      </c>
      <c r="D6375" t="s">
        <v>67</v>
      </c>
      <c r="E6375" t="s">
        <v>67</v>
      </c>
      <c r="F6375" t="s">
        <v>27987</v>
      </c>
      <c r="G6375" s="117">
        <v>9999</v>
      </c>
    </row>
    <row r="6376" spans="1:7" x14ac:dyDescent="0.25">
      <c r="A6376" s="116" t="s">
        <v>10124</v>
      </c>
      <c r="B6376" s="117" t="s">
        <v>10125</v>
      </c>
      <c r="C6376" t="s">
        <v>67</v>
      </c>
      <c r="D6376" t="s">
        <v>67</v>
      </c>
      <c r="E6376" t="s">
        <v>67</v>
      </c>
      <c r="F6376" t="s">
        <v>27987</v>
      </c>
      <c r="G6376" s="117">
        <v>6.14</v>
      </c>
    </row>
    <row r="6377" spans="1:7" x14ac:dyDescent="0.25">
      <c r="A6377" s="116" t="s">
        <v>10126</v>
      </c>
      <c r="B6377" s="117" t="s">
        <v>10127</v>
      </c>
      <c r="C6377" t="s">
        <v>67</v>
      </c>
      <c r="D6377" t="s">
        <v>67</v>
      </c>
      <c r="E6377" t="s">
        <v>67</v>
      </c>
      <c r="F6377" t="s">
        <v>49</v>
      </c>
      <c r="G6377" s="117">
        <v>4.3600000000000003</v>
      </c>
    </row>
    <row r="6378" spans="1:7" x14ac:dyDescent="0.25">
      <c r="A6378" s="116" t="s">
        <v>10128</v>
      </c>
      <c r="B6378" s="117" t="s">
        <v>10129</v>
      </c>
      <c r="C6378" t="s">
        <v>67</v>
      </c>
      <c r="D6378" t="s">
        <v>67</v>
      </c>
      <c r="E6378" t="s">
        <v>67</v>
      </c>
      <c r="F6378" t="s">
        <v>27987</v>
      </c>
      <c r="G6378" s="117">
        <v>12.01</v>
      </c>
    </row>
    <row r="6379" spans="1:7" x14ac:dyDescent="0.25">
      <c r="A6379" s="116" t="s">
        <v>10130</v>
      </c>
      <c r="B6379" s="117" t="s">
        <v>10131</v>
      </c>
      <c r="C6379" t="s">
        <v>67</v>
      </c>
      <c r="D6379" t="s">
        <v>67</v>
      </c>
      <c r="E6379" t="s">
        <v>67</v>
      </c>
      <c r="F6379" t="s">
        <v>27987</v>
      </c>
      <c r="G6379" s="117">
        <v>19.489999999999998</v>
      </c>
    </row>
    <row r="6380" spans="1:7" x14ac:dyDescent="0.25">
      <c r="A6380" s="116" t="s">
        <v>10132</v>
      </c>
      <c r="B6380" s="117" t="s">
        <v>10133</v>
      </c>
      <c r="C6380" t="s">
        <v>67</v>
      </c>
      <c r="D6380" t="s">
        <v>67</v>
      </c>
      <c r="E6380" t="s">
        <v>67</v>
      </c>
      <c r="F6380" t="s">
        <v>27987</v>
      </c>
      <c r="G6380" s="117">
        <v>4.45</v>
      </c>
    </row>
    <row r="6381" spans="1:7" x14ac:dyDescent="0.25">
      <c r="A6381" s="116" t="s">
        <v>10134</v>
      </c>
      <c r="B6381" s="117" t="s">
        <v>10135</v>
      </c>
      <c r="C6381" t="s">
        <v>67</v>
      </c>
      <c r="D6381" t="s">
        <v>67</v>
      </c>
      <c r="E6381" t="s">
        <v>67</v>
      </c>
      <c r="F6381" t="s">
        <v>27987</v>
      </c>
      <c r="G6381" s="117">
        <v>14.14</v>
      </c>
    </row>
    <row r="6382" spans="1:7" x14ac:dyDescent="0.25">
      <c r="A6382" s="116" t="s">
        <v>10136</v>
      </c>
      <c r="B6382" s="117" t="s">
        <v>10137</v>
      </c>
      <c r="C6382" t="s">
        <v>67</v>
      </c>
      <c r="D6382" t="s">
        <v>67</v>
      </c>
      <c r="E6382" t="s">
        <v>67</v>
      </c>
      <c r="F6382" t="s">
        <v>27987</v>
      </c>
      <c r="G6382" s="117">
        <v>17.7</v>
      </c>
    </row>
    <row r="6383" spans="1:7" x14ac:dyDescent="0.25">
      <c r="A6383" s="116" t="s">
        <v>10138</v>
      </c>
      <c r="B6383" s="117" t="s">
        <v>10139</v>
      </c>
      <c r="C6383" t="s">
        <v>67</v>
      </c>
      <c r="D6383" t="s">
        <v>67</v>
      </c>
      <c r="E6383" t="s">
        <v>67</v>
      </c>
      <c r="F6383" t="s">
        <v>27987</v>
      </c>
      <c r="G6383" s="117">
        <v>13.26</v>
      </c>
    </row>
    <row r="6384" spans="1:7" x14ac:dyDescent="0.25">
      <c r="A6384" s="116" t="s">
        <v>10140</v>
      </c>
      <c r="B6384" s="117" t="s">
        <v>10141</v>
      </c>
      <c r="C6384" t="s">
        <v>67</v>
      </c>
      <c r="D6384" t="s">
        <v>67</v>
      </c>
      <c r="E6384" t="s">
        <v>67</v>
      </c>
      <c r="F6384" t="s">
        <v>27987</v>
      </c>
      <c r="G6384" s="117">
        <v>5.25</v>
      </c>
    </row>
    <row r="6385" spans="1:7" x14ac:dyDescent="0.25">
      <c r="A6385" s="116" t="s">
        <v>10142</v>
      </c>
      <c r="B6385" s="117" t="s">
        <v>10141</v>
      </c>
      <c r="C6385" t="s">
        <v>67</v>
      </c>
      <c r="D6385" t="s">
        <v>67</v>
      </c>
      <c r="E6385" t="s">
        <v>67</v>
      </c>
      <c r="F6385" t="s">
        <v>27987</v>
      </c>
      <c r="G6385" s="117">
        <v>2.58</v>
      </c>
    </row>
    <row r="6386" spans="1:7" x14ac:dyDescent="0.25">
      <c r="A6386" s="116" t="s">
        <v>10143</v>
      </c>
      <c r="B6386" s="117" t="s">
        <v>10144</v>
      </c>
      <c r="C6386" t="s">
        <v>67</v>
      </c>
      <c r="D6386" t="s">
        <v>67</v>
      </c>
      <c r="E6386" t="s">
        <v>67</v>
      </c>
      <c r="F6386" t="s">
        <v>27987</v>
      </c>
      <c r="G6386" s="117">
        <v>23.05</v>
      </c>
    </row>
    <row r="6387" spans="1:7" x14ac:dyDescent="0.25">
      <c r="A6387" s="116" t="s">
        <v>10145</v>
      </c>
      <c r="B6387" s="117" t="s">
        <v>10146</v>
      </c>
      <c r="C6387" t="s">
        <v>67</v>
      </c>
      <c r="D6387" t="s">
        <v>67</v>
      </c>
      <c r="E6387" t="s">
        <v>67</v>
      </c>
      <c r="F6387" t="s">
        <v>27987</v>
      </c>
      <c r="G6387" s="117">
        <v>6.14</v>
      </c>
    </row>
    <row r="6388" spans="1:7" x14ac:dyDescent="0.25">
      <c r="A6388" s="116" t="s">
        <v>10147</v>
      </c>
      <c r="B6388" s="117" t="s">
        <v>10148</v>
      </c>
      <c r="C6388" t="s">
        <v>67</v>
      </c>
      <c r="D6388" t="s">
        <v>67</v>
      </c>
      <c r="E6388" t="s">
        <v>67</v>
      </c>
      <c r="F6388" t="s">
        <v>45</v>
      </c>
      <c r="G6388" s="117">
        <v>6.14</v>
      </c>
    </row>
    <row r="6389" spans="1:7" x14ac:dyDescent="0.25">
      <c r="A6389" s="116" t="s">
        <v>10149</v>
      </c>
      <c r="B6389" s="117" t="s">
        <v>10131</v>
      </c>
      <c r="C6389" t="s">
        <v>67</v>
      </c>
      <c r="D6389" t="s">
        <v>67</v>
      </c>
      <c r="E6389" t="s">
        <v>67</v>
      </c>
      <c r="F6389" t="s">
        <v>45</v>
      </c>
      <c r="G6389" s="117">
        <v>5</v>
      </c>
    </row>
    <row r="6390" spans="1:7" x14ac:dyDescent="0.25">
      <c r="A6390" s="116" t="s">
        <v>10150</v>
      </c>
      <c r="B6390" s="117" t="s">
        <v>10151</v>
      </c>
      <c r="C6390" t="s">
        <v>67</v>
      </c>
      <c r="D6390" t="s">
        <v>67</v>
      </c>
      <c r="E6390" t="s">
        <v>67</v>
      </c>
      <c r="F6390" t="s">
        <v>45</v>
      </c>
      <c r="G6390" s="117">
        <v>24.82</v>
      </c>
    </row>
    <row r="6391" spans="1:7" x14ac:dyDescent="0.25">
      <c r="A6391" s="116" t="s">
        <v>10152</v>
      </c>
      <c r="B6391" s="117" t="s">
        <v>10153</v>
      </c>
      <c r="C6391" t="s">
        <v>67</v>
      </c>
      <c r="D6391" t="s">
        <v>67</v>
      </c>
      <c r="E6391" t="s">
        <v>67</v>
      </c>
      <c r="F6391" t="s">
        <v>45</v>
      </c>
      <c r="G6391" s="117">
        <v>17.7</v>
      </c>
    </row>
    <row r="6392" spans="1:7" x14ac:dyDescent="0.25">
      <c r="A6392" s="116" t="s">
        <v>10154</v>
      </c>
      <c r="B6392" s="117" t="s">
        <v>10155</v>
      </c>
      <c r="C6392" t="s">
        <v>67</v>
      </c>
      <c r="D6392" t="s">
        <v>67</v>
      </c>
      <c r="E6392" t="s">
        <v>67</v>
      </c>
      <c r="F6392" t="s">
        <v>45</v>
      </c>
      <c r="G6392" s="117">
        <v>17.7</v>
      </c>
    </row>
    <row r="6393" spans="1:7" x14ac:dyDescent="0.25">
      <c r="A6393" s="116" t="s">
        <v>30877</v>
      </c>
      <c r="B6393" s="117" t="s">
        <v>30878</v>
      </c>
      <c r="C6393" t="s">
        <v>67</v>
      </c>
      <c r="D6393" t="s">
        <v>67</v>
      </c>
      <c r="E6393" t="s">
        <v>67</v>
      </c>
      <c r="F6393" t="s">
        <v>45</v>
      </c>
      <c r="G6393" s="117">
        <v>9999</v>
      </c>
    </row>
    <row r="6394" spans="1:7" x14ac:dyDescent="0.25">
      <c r="A6394" s="116" t="s">
        <v>10156</v>
      </c>
      <c r="B6394" s="117" t="s">
        <v>10157</v>
      </c>
      <c r="C6394" t="s">
        <v>67</v>
      </c>
      <c r="D6394" t="s">
        <v>67</v>
      </c>
      <c r="E6394" t="s">
        <v>67</v>
      </c>
      <c r="F6394" t="s">
        <v>45</v>
      </c>
      <c r="G6394" s="117">
        <v>40.49</v>
      </c>
    </row>
    <row r="6395" spans="1:7" x14ac:dyDescent="0.25">
      <c r="A6395" s="116" t="s">
        <v>10158</v>
      </c>
      <c r="B6395" s="117" t="s">
        <v>10159</v>
      </c>
      <c r="C6395" t="s">
        <v>67</v>
      </c>
      <c r="D6395" t="s">
        <v>67</v>
      </c>
      <c r="E6395" t="s">
        <v>67</v>
      </c>
      <c r="F6395" t="s">
        <v>27987</v>
      </c>
      <c r="G6395" s="117">
        <v>16.46</v>
      </c>
    </row>
    <row r="6396" spans="1:7" x14ac:dyDescent="0.25">
      <c r="A6396" s="116" t="s">
        <v>10160</v>
      </c>
      <c r="B6396" s="117" t="s">
        <v>10161</v>
      </c>
      <c r="C6396" t="s">
        <v>67</v>
      </c>
      <c r="D6396" t="s">
        <v>67</v>
      </c>
      <c r="E6396" t="s">
        <v>67</v>
      </c>
      <c r="F6396" t="s">
        <v>45</v>
      </c>
      <c r="G6396" s="117">
        <v>31.94</v>
      </c>
    </row>
    <row r="6397" spans="1:7" x14ac:dyDescent="0.25">
      <c r="A6397" s="116" t="s">
        <v>10162</v>
      </c>
      <c r="B6397" s="117" t="s">
        <v>10163</v>
      </c>
      <c r="C6397" t="s">
        <v>67</v>
      </c>
      <c r="D6397" t="s">
        <v>67</v>
      </c>
      <c r="E6397" t="s">
        <v>67</v>
      </c>
      <c r="F6397" t="s">
        <v>49</v>
      </c>
      <c r="G6397" s="117">
        <v>24.82</v>
      </c>
    </row>
    <row r="6398" spans="1:7" x14ac:dyDescent="0.25">
      <c r="A6398" s="116" t="s">
        <v>10164</v>
      </c>
      <c r="B6398" s="117" t="s">
        <v>10165</v>
      </c>
      <c r="C6398" t="s">
        <v>67</v>
      </c>
      <c r="D6398" t="s">
        <v>67</v>
      </c>
      <c r="E6398" t="s">
        <v>67</v>
      </c>
      <c r="F6398" t="s">
        <v>27987</v>
      </c>
      <c r="G6398" s="117">
        <v>22.16</v>
      </c>
    </row>
    <row r="6399" spans="1:7" x14ac:dyDescent="0.25">
      <c r="A6399" s="116" t="s">
        <v>10166</v>
      </c>
      <c r="B6399" s="117" t="s">
        <v>10167</v>
      </c>
      <c r="C6399" t="s">
        <v>67</v>
      </c>
      <c r="D6399" t="s">
        <v>67</v>
      </c>
      <c r="E6399" t="s">
        <v>67</v>
      </c>
      <c r="F6399" t="s">
        <v>45</v>
      </c>
      <c r="G6399" s="117">
        <v>33.369999999999997</v>
      </c>
    </row>
    <row r="6400" spans="1:7" x14ac:dyDescent="0.25">
      <c r="A6400" s="116" t="s">
        <v>10168</v>
      </c>
      <c r="B6400" s="117" t="s">
        <v>10167</v>
      </c>
      <c r="C6400" t="s">
        <v>67</v>
      </c>
      <c r="D6400" t="s">
        <v>67</v>
      </c>
      <c r="E6400" t="s">
        <v>67</v>
      </c>
      <c r="F6400" t="s">
        <v>45</v>
      </c>
      <c r="G6400" s="117">
        <v>33.369999999999997</v>
      </c>
    </row>
    <row r="6401" spans="1:7" x14ac:dyDescent="0.25">
      <c r="A6401" s="116" t="s">
        <v>27405</v>
      </c>
      <c r="B6401" s="117" t="s">
        <v>10169</v>
      </c>
      <c r="C6401" t="s">
        <v>67</v>
      </c>
      <c r="D6401" t="s">
        <v>67</v>
      </c>
      <c r="E6401" t="s">
        <v>67</v>
      </c>
      <c r="F6401" t="s">
        <v>45</v>
      </c>
      <c r="G6401" s="117">
        <v>327.97</v>
      </c>
    </row>
    <row r="6402" spans="1:7" x14ac:dyDescent="0.25">
      <c r="A6402" s="116" t="s">
        <v>27406</v>
      </c>
      <c r="B6402" s="117" t="s">
        <v>10170</v>
      </c>
      <c r="C6402" t="s">
        <v>67</v>
      </c>
      <c r="D6402" t="s">
        <v>67</v>
      </c>
      <c r="E6402" t="s">
        <v>67</v>
      </c>
      <c r="F6402" t="s">
        <v>45</v>
      </c>
      <c r="G6402" s="117">
        <v>629.02</v>
      </c>
    </row>
    <row r="6403" spans="1:7" x14ac:dyDescent="0.25">
      <c r="A6403" s="116" t="s">
        <v>27407</v>
      </c>
      <c r="B6403" s="117" t="s">
        <v>10171</v>
      </c>
      <c r="C6403" t="s">
        <v>67</v>
      </c>
      <c r="D6403" t="s">
        <v>67</v>
      </c>
      <c r="E6403" t="s">
        <v>67</v>
      </c>
      <c r="F6403" t="s">
        <v>45</v>
      </c>
      <c r="G6403" s="117">
        <v>16.82</v>
      </c>
    </row>
    <row r="6404" spans="1:7" x14ac:dyDescent="0.25">
      <c r="A6404" s="116" t="s">
        <v>27408</v>
      </c>
      <c r="B6404" s="117" t="s">
        <v>10172</v>
      </c>
      <c r="C6404" t="s">
        <v>67</v>
      </c>
      <c r="D6404" t="s">
        <v>67</v>
      </c>
      <c r="E6404" t="s">
        <v>67</v>
      </c>
      <c r="F6404" t="s">
        <v>45</v>
      </c>
      <c r="G6404" s="117">
        <v>17.36</v>
      </c>
    </row>
    <row r="6405" spans="1:7" x14ac:dyDescent="0.25">
      <c r="A6405" s="116" t="s">
        <v>10173</v>
      </c>
      <c r="B6405" s="117" t="s">
        <v>10174</v>
      </c>
      <c r="C6405" t="s">
        <v>67</v>
      </c>
      <c r="D6405" t="s">
        <v>67</v>
      </c>
      <c r="E6405" t="s">
        <v>67</v>
      </c>
      <c r="F6405" t="s">
        <v>45</v>
      </c>
      <c r="G6405" s="117">
        <v>132.13999999999999</v>
      </c>
    </row>
    <row r="6406" spans="1:7" x14ac:dyDescent="0.25">
      <c r="A6406" s="116" t="s">
        <v>27409</v>
      </c>
      <c r="B6406" s="117" t="s">
        <v>10175</v>
      </c>
      <c r="C6406" t="s">
        <v>67</v>
      </c>
      <c r="D6406" t="s">
        <v>67</v>
      </c>
      <c r="E6406" t="s">
        <v>67</v>
      </c>
      <c r="F6406" t="s">
        <v>45</v>
      </c>
      <c r="G6406" s="117">
        <v>147.62</v>
      </c>
    </row>
    <row r="6407" spans="1:7" x14ac:dyDescent="0.25">
      <c r="A6407" s="116" t="s">
        <v>27410</v>
      </c>
      <c r="B6407" s="117" t="s">
        <v>10176</v>
      </c>
      <c r="C6407" t="s">
        <v>67</v>
      </c>
      <c r="D6407" t="s">
        <v>67</v>
      </c>
      <c r="E6407" t="s">
        <v>67</v>
      </c>
      <c r="F6407" t="s">
        <v>45</v>
      </c>
      <c r="G6407" s="117">
        <v>16.82</v>
      </c>
    </row>
    <row r="6408" spans="1:7" x14ac:dyDescent="0.25">
      <c r="A6408" s="116" t="s">
        <v>27411</v>
      </c>
      <c r="B6408" s="117" t="s">
        <v>10177</v>
      </c>
      <c r="C6408" t="s">
        <v>67</v>
      </c>
      <c r="D6408" t="s">
        <v>67</v>
      </c>
      <c r="E6408" t="s">
        <v>67</v>
      </c>
      <c r="F6408" t="s">
        <v>45</v>
      </c>
      <c r="G6408" s="117">
        <v>126.8</v>
      </c>
    </row>
    <row r="6409" spans="1:7" x14ac:dyDescent="0.25">
      <c r="A6409" s="116" t="s">
        <v>27412</v>
      </c>
      <c r="B6409" s="117" t="s">
        <v>10178</v>
      </c>
      <c r="C6409" t="s">
        <v>67</v>
      </c>
      <c r="D6409" t="s">
        <v>67</v>
      </c>
      <c r="E6409" t="s">
        <v>67</v>
      </c>
      <c r="F6409" t="s">
        <v>45</v>
      </c>
      <c r="G6409" s="117">
        <v>331.46</v>
      </c>
    </row>
    <row r="6410" spans="1:7" x14ac:dyDescent="0.25">
      <c r="A6410" s="116" t="s">
        <v>28863</v>
      </c>
      <c r="B6410" s="117" t="s">
        <v>11891</v>
      </c>
      <c r="C6410" t="s">
        <v>67</v>
      </c>
      <c r="D6410" t="s">
        <v>67</v>
      </c>
      <c r="E6410" t="s">
        <v>67</v>
      </c>
      <c r="F6410" t="s">
        <v>45</v>
      </c>
      <c r="G6410" s="117">
        <v>89.88</v>
      </c>
    </row>
    <row r="6411" spans="1:7" x14ac:dyDescent="0.25">
      <c r="A6411" s="116" t="s">
        <v>10179</v>
      </c>
      <c r="B6411" s="117" t="s">
        <v>10180</v>
      </c>
      <c r="C6411" t="s">
        <v>67</v>
      </c>
      <c r="D6411" t="s">
        <v>67</v>
      </c>
      <c r="E6411" t="s">
        <v>67</v>
      </c>
      <c r="F6411" t="s">
        <v>45</v>
      </c>
      <c r="G6411" s="117">
        <v>56.47</v>
      </c>
    </row>
    <row r="6412" spans="1:7" x14ac:dyDescent="0.25">
      <c r="A6412" s="116" t="s">
        <v>10181</v>
      </c>
      <c r="B6412" s="117" t="s">
        <v>10182</v>
      </c>
      <c r="C6412" t="s">
        <v>67</v>
      </c>
      <c r="D6412" t="s">
        <v>67</v>
      </c>
      <c r="E6412" t="s">
        <v>67</v>
      </c>
      <c r="F6412" t="s">
        <v>45</v>
      </c>
      <c r="G6412" s="117">
        <v>87.88</v>
      </c>
    </row>
    <row r="6413" spans="1:7" x14ac:dyDescent="0.25">
      <c r="A6413" s="116" t="s">
        <v>27413</v>
      </c>
      <c r="B6413" s="117" t="s">
        <v>10183</v>
      </c>
      <c r="C6413" t="s">
        <v>67</v>
      </c>
      <c r="D6413" t="s">
        <v>67</v>
      </c>
      <c r="E6413" t="s">
        <v>67</v>
      </c>
      <c r="F6413" t="s">
        <v>45</v>
      </c>
      <c r="G6413" s="117">
        <v>160.62</v>
      </c>
    </row>
    <row r="6414" spans="1:7" x14ac:dyDescent="0.25">
      <c r="A6414" s="116" t="s">
        <v>27414</v>
      </c>
      <c r="B6414" s="117" t="s">
        <v>10184</v>
      </c>
      <c r="C6414" t="s">
        <v>67</v>
      </c>
      <c r="D6414" t="s">
        <v>67</v>
      </c>
      <c r="E6414" t="s">
        <v>67</v>
      </c>
      <c r="F6414" t="s">
        <v>45</v>
      </c>
      <c r="G6414" s="117">
        <v>44.94</v>
      </c>
    </row>
    <row r="6415" spans="1:7" x14ac:dyDescent="0.25">
      <c r="A6415" s="116" t="s">
        <v>27415</v>
      </c>
      <c r="B6415" s="117" t="s">
        <v>10185</v>
      </c>
      <c r="C6415" t="s">
        <v>67</v>
      </c>
      <c r="D6415" t="s">
        <v>67</v>
      </c>
      <c r="E6415" t="s">
        <v>67</v>
      </c>
      <c r="F6415" t="s">
        <v>27987</v>
      </c>
      <c r="G6415" s="117">
        <v>8.4499999999999993</v>
      </c>
    </row>
    <row r="6416" spans="1:7" x14ac:dyDescent="0.25">
      <c r="A6416" s="116" t="s">
        <v>27416</v>
      </c>
      <c r="B6416" s="117" t="s">
        <v>6389</v>
      </c>
      <c r="C6416" t="s">
        <v>67</v>
      </c>
      <c r="D6416" t="s">
        <v>67</v>
      </c>
      <c r="E6416" t="s">
        <v>67</v>
      </c>
      <c r="F6416" t="s">
        <v>27987</v>
      </c>
      <c r="G6416" s="117">
        <v>7.56</v>
      </c>
    </row>
    <row r="6417" spans="1:7" x14ac:dyDescent="0.25">
      <c r="A6417" s="116" t="s">
        <v>27417</v>
      </c>
      <c r="B6417" s="117" t="s">
        <v>10186</v>
      </c>
      <c r="C6417" t="s">
        <v>67</v>
      </c>
      <c r="D6417" t="s">
        <v>67</v>
      </c>
      <c r="E6417" t="s">
        <v>67</v>
      </c>
      <c r="F6417" t="s">
        <v>45</v>
      </c>
      <c r="G6417" s="117">
        <v>316.54000000000002</v>
      </c>
    </row>
    <row r="6418" spans="1:7" x14ac:dyDescent="0.25">
      <c r="A6418" s="116" t="s">
        <v>27418</v>
      </c>
      <c r="B6418" s="117" t="s">
        <v>10187</v>
      </c>
      <c r="C6418" t="s">
        <v>67</v>
      </c>
      <c r="D6418" t="s">
        <v>67</v>
      </c>
      <c r="E6418" t="s">
        <v>67</v>
      </c>
      <c r="F6418" t="s">
        <v>45</v>
      </c>
      <c r="G6418" s="117">
        <v>25.12</v>
      </c>
    </row>
    <row r="6419" spans="1:7" x14ac:dyDescent="0.25">
      <c r="A6419" s="116" t="s">
        <v>27419</v>
      </c>
      <c r="B6419" s="117" t="s">
        <v>10188</v>
      </c>
      <c r="C6419" t="s">
        <v>67</v>
      </c>
      <c r="D6419" t="s">
        <v>67</v>
      </c>
      <c r="E6419" t="s">
        <v>67</v>
      </c>
      <c r="F6419" t="s">
        <v>45</v>
      </c>
      <c r="G6419" s="117">
        <v>315.10000000000002</v>
      </c>
    </row>
    <row r="6420" spans="1:7" x14ac:dyDescent="0.25">
      <c r="A6420" s="116" t="s">
        <v>27420</v>
      </c>
      <c r="B6420" s="117" t="s">
        <v>10189</v>
      </c>
      <c r="C6420" t="s">
        <v>67</v>
      </c>
      <c r="D6420" t="s">
        <v>67</v>
      </c>
      <c r="E6420" t="s">
        <v>67</v>
      </c>
      <c r="F6420" t="s">
        <v>45</v>
      </c>
      <c r="G6420" s="117">
        <v>62.74</v>
      </c>
    </row>
    <row r="6421" spans="1:7" x14ac:dyDescent="0.25">
      <c r="A6421" s="116" t="s">
        <v>27421</v>
      </c>
      <c r="B6421" s="117" t="s">
        <v>10190</v>
      </c>
      <c r="C6421" t="s">
        <v>67</v>
      </c>
      <c r="D6421" t="s">
        <v>67</v>
      </c>
      <c r="E6421" t="s">
        <v>67</v>
      </c>
      <c r="F6421" t="s">
        <v>45</v>
      </c>
      <c r="G6421" s="117">
        <v>112.02</v>
      </c>
    </row>
    <row r="6422" spans="1:7" x14ac:dyDescent="0.25">
      <c r="A6422" s="116" t="s">
        <v>27422</v>
      </c>
      <c r="B6422" s="117" t="s">
        <v>10191</v>
      </c>
      <c r="C6422" t="s">
        <v>67</v>
      </c>
      <c r="D6422" t="s">
        <v>67</v>
      </c>
      <c r="E6422" t="s">
        <v>67</v>
      </c>
      <c r="F6422" t="s">
        <v>45</v>
      </c>
      <c r="G6422" s="117">
        <v>115.58</v>
      </c>
    </row>
    <row r="6423" spans="1:7" x14ac:dyDescent="0.25">
      <c r="A6423" s="116" t="s">
        <v>27423</v>
      </c>
      <c r="B6423" s="117" t="s">
        <v>10192</v>
      </c>
      <c r="C6423" t="s">
        <v>67</v>
      </c>
      <c r="D6423" t="s">
        <v>67</v>
      </c>
      <c r="E6423" t="s">
        <v>67</v>
      </c>
      <c r="F6423" t="s">
        <v>45</v>
      </c>
      <c r="G6423" s="117">
        <v>680.63</v>
      </c>
    </row>
    <row r="6424" spans="1:7" x14ac:dyDescent="0.25">
      <c r="A6424" s="116" t="s">
        <v>27424</v>
      </c>
      <c r="B6424" s="117" t="s">
        <v>10187</v>
      </c>
      <c r="C6424" t="s">
        <v>67</v>
      </c>
      <c r="D6424" t="s">
        <v>67</v>
      </c>
      <c r="E6424" t="s">
        <v>67</v>
      </c>
      <c r="F6424" t="s">
        <v>45</v>
      </c>
      <c r="G6424" s="117">
        <v>204.29</v>
      </c>
    </row>
    <row r="6425" spans="1:7" x14ac:dyDescent="0.25">
      <c r="A6425" s="116" t="s">
        <v>27425</v>
      </c>
      <c r="B6425" s="117" t="s">
        <v>10193</v>
      </c>
      <c r="C6425" t="s">
        <v>67</v>
      </c>
      <c r="D6425" t="s">
        <v>67</v>
      </c>
      <c r="E6425" t="s">
        <v>67</v>
      </c>
      <c r="F6425" t="s">
        <v>45</v>
      </c>
      <c r="G6425" s="117">
        <v>13.26</v>
      </c>
    </row>
    <row r="6426" spans="1:7" x14ac:dyDescent="0.25">
      <c r="A6426" s="116" t="s">
        <v>10194</v>
      </c>
      <c r="B6426" s="117" t="s">
        <v>10195</v>
      </c>
      <c r="C6426" t="s">
        <v>67</v>
      </c>
      <c r="D6426" t="s">
        <v>67</v>
      </c>
      <c r="E6426" t="s">
        <v>67</v>
      </c>
      <c r="F6426" t="s">
        <v>45</v>
      </c>
      <c r="G6426" s="117">
        <v>3.56</v>
      </c>
    </row>
    <row r="6427" spans="1:7" x14ac:dyDescent="0.25">
      <c r="A6427" s="116" t="s">
        <v>27426</v>
      </c>
      <c r="B6427" s="117" t="s">
        <v>10196</v>
      </c>
      <c r="C6427" t="s">
        <v>67</v>
      </c>
      <c r="D6427" t="s">
        <v>67</v>
      </c>
      <c r="E6427" t="s">
        <v>67</v>
      </c>
      <c r="F6427" t="s">
        <v>45</v>
      </c>
      <c r="G6427" s="117">
        <v>506.76</v>
      </c>
    </row>
    <row r="6428" spans="1:7" x14ac:dyDescent="0.25">
      <c r="A6428" s="116" t="s">
        <v>27427</v>
      </c>
      <c r="B6428" s="117" t="s">
        <v>10197</v>
      </c>
      <c r="C6428" t="s">
        <v>67</v>
      </c>
      <c r="D6428" t="s">
        <v>67</v>
      </c>
      <c r="E6428" t="s">
        <v>67</v>
      </c>
      <c r="F6428" t="s">
        <v>45</v>
      </c>
      <c r="G6428" s="117">
        <v>311.36</v>
      </c>
    </row>
    <row r="6429" spans="1:7" x14ac:dyDescent="0.25">
      <c r="A6429" s="116" t="s">
        <v>27428</v>
      </c>
      <c r="B6429" s="117" t="s">
        <v>10198</v>
      </c>
      <c r="C6429" t="s">
        <v>67</v>
      </c>
      <c r="D6429" t="s">
        <v>67</v>
      </c>
      <c r="E6429" t="s">
        <v>67</v>
      </c>
      <c r="F6429" t="s">
        <v>45</v>
      </c>
      <c r="G6429" s="117">
        <v>475.98</v>
      </c>
    </row>
    <row r="6430" spans="1:7" x14ac:dyDescent="0.25">
      <c r="A6430" s="116" t="s">
        <v>27429</v>
      </c>
      <c r="B6430" s="117" t="s">
        <v>10199</v>
      </c>
      <c r="C6430" t="s">
        <v>67</v>
      </c>
      <c r="D6430" t="s">
        <v>67</v>
      </c>
      <c r="E6430" t="s">
        <v>67</v>
      </c>
      <c r="F6430" t="s">
        <v>45</v>
      </c>
      <c r="G6430" s="117">
        <v>46.18</v>
      </c>
    </row>
    <row r="6431" spans="1:7" x14ac:dyDescent="0.25">
      <c r="A6431" s="116" t="s">
        <v>27430</v>
      </c>
      <c r="B6431" s="117" t="s">
        <v>10200</v>
      </c>
      <c r="C6431" t="s">
        <v>67</v>
      </c>
      <c r="D6431" t="s">
        <v>67</v>
      </c>
      <c r="E6431" t="s">
        <v>67</v>
      </c>
      <c r="F6431" t="s">
        <v>45</v>
      </c>
      <c r="G6431" s="117">
        <v>60.42</v>
      </c>
    </row>
    <row r="6432" spans="1:7" x14ac:dyDescent="0.25">
      <c r="A6432" s="116" t="s">
        <v>27431</v>
      </c>
      <c r="B6432" s="117" t="s">
        <v>10201</v>
      </c>
      <c r="C6432" t="s">
        <v>67</v>
      </c>
      <c r="D6432" t="s">
        <v>67</v>
      </c>
      <c r="E6432" t="s">
        <v>67</v>
      </c>
      <c r="F6432" t="s">
        <v>45</v>
      </c>
      <c r="G6432" s="117">
        <v>7.54</v>
      </c>
    </row>
    <row r="6433" spans="1:7" x14ac:dyDescent="0.25">
      <c r="A6433" s="116" t="s">
        <v>10202</v>
      </c>
      <c r="B6433" s="117" t="s">
        <v>10203</v>
      </c>
      <c r="C6433" t="s">
        <v>67</v>
      </c>
      <c r="D6433" t="s">
        <v>67</v>
      </c>
      <c r="E6433" t="s">
        <v>67</v>
      </c>
      <c r="F6433" t="s">
        <v>45</v>
      </c>
      <c r="G6433" s="117">
        <v>50.27</v>
      </c>
    </row>
    <row r="6434" spans="1:7" x14ac:dyDescent="0.25">
      <c r="A6434" s="116" t="s">
        <v>10204</v>
      </c>
      <c r="B6434" s="117" t="s">
        <v>3360</v>
      </c>
      <c r="C6434" t="s">
        <v>67</v>
      </c>
      <c r="D6434" t="s">
        <v>67</v>
      </c>
      <c r="E6434" t="s">
        <v>67</v>
      </c>
      <c r="F6434" t="s">
        <v>27987</v>
      </c>
      <c r="G6434" s="117">
        <v>7.92</v>
      </c>
    </row>
    <row r="6435" spans="1:7" x14ac:dyDescent="0.25">
      <c r="A6435" s="116" t="s">
        <v>10205</v>
      </c>
      <c r="B6435" s="117" t="s">
        <v>10206</v>
      </c>
      <c r="C6435" t="s">
        <v>67</v>
      </c>
      <c r="D6435" t="s">
        <v>67</v>
      </c>
      <c r="E6435" t="s">
        <v>67</v>
      </c>
      <c r="F6435" t="s">
        <v>49</v>
      </c>
      <c r="G6435" s="117">
        <v>0.44</v>
      </c>
    </row>
    <row r="6436" spans="1:7" x14ac:dyDescent="0.25">
      <c r="A6436" s="116" t="s">
        <v>10207</v>
      </c>
      <c r="B6436" s="117" t="s">
        <v>10208</v>
      </c>
      <c r="C6436" t="s">
        <v>67</v>
      </c>
      <c r="D6436" t="s">
        <v>67</v>
      </c>
      <c r="E6436" t="s">
        <v>67</v>
      </c>
      <c r="F6436" t="s">
        <v>45</v>
      </c>
      <c r="G6436" s="117">
        <v>1.69</v>
      </c>
    </row>
    <row r="6437" spans="1:7" x14ac:dyDescent="0.25">
      <c r="A6437" s="116" t="s">
        <v>10209</v>
      </c>
      <c r="B6437" s="117" t="s">
        <v>10210</v>
      </c>
      <c r="C6437" t="s">
        <v>67</v>
      </c>
      <c r="D6437" t="s">
        <v>67</v>
      </c>
      <c r="E6437" t="s">
        <v>67</v>
      </c>
      <c r="F6437" t="s">
        <v>45</v>
      </c>
      <c r="G6437" s="117">
        <v>4.2699999999999996</v>
      </c>
    </row>
    <row r="6438" spans="1:7" x14ac:dyDescent="0.25">
      <c r="A6438" s="116" t="s">
        <v>10211</v>
      </c>
      <c r="B6438" s="117" t="s">
        <v>10212</v>
      </c>
      <c r="C6438" t="s">
        <v>67</v>
      </c>
      <c r="D6438" t="s">
        <v>67</v>
      </c>
      <c r="E6438" t="s">
        <v>67</v>
      </c>
      <c r="F6438" t="s">
        <v>27987</v>
      </c>
      <c r="G6438" s="117">
        <v>3.56</v>
      </c>
    </row>
    <row r="6439" spans="1:7" x14ac:dyDescent="0.25">
      <c r="A6439" s="116" t="s">
        <v>10213</v>
      </c>
      <c r="B6439" s="117" t="s">
        <v>10214</v>
      </c>
      <c r="C6439" t="s">
        <v>67</v>
      </c>
      <c r="D6439" t="s">
        <v>67</v>
      </c>
      <c r="E6439" t="s">
        <v>67</v>
      </c>
      <c r="F6439" t="s">
        <v>27987</v>
      </c>
      <c r="G6439" s="117">
        <v>2.86</v>
      </c>
    </row>
    <row r="6440" spans="1:7" x14ac:dyDescent="0.25">
      <c r="A6440" s="116" t="s">
        <v>10215</v>
      </c>
      <c r="B6440" s="117" t="s">
        <v>10216</v>
      </c>
      <c r="C6440" t="s">
        <v>67</v>
      </c>
      <c r="D6440" t="s">
        <v>67</v>
      </c>
      <c r="E6440" t="s">
        <v>67</v>
      </c>
      <c r="F6440" t="s">
        <v>27987</v>
      </c>
      <c r="G6440" s="117">
        <v>28.92</v>
      </c>
    </row>
    <row r="6441" spans="1:7" x14ac:dyDescent="0.25">
      <c r="A6441" s="116" t="s">
        <v>10217</v>
      </c>
      <c r="B6441" s="117" t="s">
        <v>10218</v>
      </c>
      <c r="C6441" t="s">
        <v>67</v>
      </c>
      <c r="D6441" t="s">
        <v>67</v>
      </c>
      <c r="E6441" t="s">
        <v>67</v>
      </c>
      <c r="F6441" t="s">
        <v>45</v>
      </c>
      <c r="G6441" s="117">
        <v>0.8</v>
      </c>
    </row>
    <row r="6442" spans="1:7" x14ac:dyDescent="0.25">
      <c r="A6442" s="116" t="s">
        <v>10219</v>
      </c>
      <c r="B6442" s="117" t="s">
        <v>10220</v>
      </c>
      <c r="C6442" t="s">
        <v>67</v>
      </c>
      <c r="D6442" t="s">
        <v>67</v>
      </c>
      <c r="E6442" t="s">
        <v>67</v>
      </c>
      <c r="F6442" t="s">
        <v>51</v>
      </c>
      <c r="G6442" s="117">
        <v>1.33</v>
      </c>
    </row>
    <row r="6443" spans="1:7" x14ac:dyDescent="0.25">
      <c r="A6443" s="116" t="s">
        <v>10221</v>
      </c>
      <c r="B6443" s="117" t="s">
        <v>10222</v>
      </c>
      <c r="C6443" t="s">
        <v>67</v>
      </c>
      <c r="D6443" t="s">
        <v>67</v>
      </c>
      <c r="E6443" t="s">
        <v>67</v>
      </c>
      <c r="F6443" t="s">
        <v>49</v>
      </c>
      <c r="G6443" s="117">
        <v>9.35</v>
      </c>
    </row>
    <row r="6444" spans="1:7" x14ac:dyDescent="0.25">
      <c r="A6444" s="116" t="s">
        <v>10223</v>
      </c>
      <c r="B6444" s="117" t="s">
        <v>10224</v>
      </c>
      <c r="C6444" t="s">
        <v>67</v>
      </c>
      <c r="D6444" t="s">
        <v>67</v>
      </c>
      <c r="E6444" t="s">
        <v>67</v>
      </c>
      <c r="F6444" t="s">
        <v>49</v>
      </c>
      <c r="G6444" s="117">
        <v>10.24</v>
      </c>
    </row>
    <row r="6445" spans="1:7" x14ac:dyDescent="0.25">
      <c r="A6445" s="116" t="s">
        <v>10225</v>
      </c>
      <c r="B6445" s="117" t="s">
        <v>10226</v>
      </c>
      <c r="C6445" t="s">
        <v>67</v>
      </c>
      <c r="D6445" t="s">
        <v>67</v>
      </c>
      <c r="E6445" t="s">
        <v>67</v>
      </c>
      <c r="F6445" t="s">
        <v>45</v>
      </c>
      <c r="G6445" s="117">
        <v>1.33</v>
      </c>
    </row>
    <row r="6446" spans="1:7" x14ac:dyDescent="0.25">
      <c r="A6446" s="116" t="s">
        <v>10227</v>
      </c>
      <c r="B6446" s="117" t="s">
        <v>10228</v>
      </c>
      <c r="C6446" t="s">
        <v>67</v>
      </c>
      <c r="D6446" t="s">
        <v>67</v>
      </c>
      <c r="E6446" t="s">
        <v>67</v>
      </c>
      <c r="F6446" t="s">
        <v>27987</v>
      </c>
      <c r="G6446" s="117">
        <v>6.68</v>
      </c>
    </row>
    <row r="6447" spans="1:7" x14ac:dyDescent="0.25">
      <c r="A6447" s="116" t="s">
        <v>10229</v>
      </c>
      <c r="B6447" s="117" t="s">
        <v>10230</v>
      </c>
      <c r="C6447" t="s">
        <v>67</v>
      </c>
      <c r="D6447" t="s">
        <v>67</v>
      </c>
      <c r="E6447" t="s">
        <v>67</v>
      </c>
      <c r="F6447" t="s">
        <v>27987</v>
      </c>
      <c r="G6447" s="117">
        <v>44.4</v>
      </c>
    </row>
    <row r="6448" spans="1:7" x14ac:dyDescent="0.25">
      <c r="A6448" s="116" t="s">
        <v>10231</v>
      </c>
      <c r="B6448" s="117" t="s">
        <v>10232</v>
      </c>
      <c r="C6448" t="s">
        <v>67</v>
      </c>
      <c r="D6448" t="s">
        <v>67</v>
      </c>
      <c r="E6448" t="s">
        <v>67</v>
      </c>
      <c r="F6448" t="s">
        <v>45</v>
      </c>
      <c r="G6448" s="117">
        <v>10.58</v>
      </c>
    </row>
    <row r="6449" spans="1:7" x14ac:dyDescent="0.25">
      <c r="A6449" s="116" t="s">
        <v>10233</v>
      </c>
      <c r="B6449" s="117" t="s">
        <v>10234</v>
      </c>
      <c r="C6449" t="s">
        <v>67</v>
      </c>
      <c r="D6449" t="s">
        <v>67</v>
      </c>
      <c r="E6449" t="s">
        <v>67</v>
      </c>
      <c r="F6449" t="s">
        <v>49</v>
      </c>
      <c r="G6449" s="117">
        <v>2.63</v>
      </c>
    </row>
    <row r="6450" spans="1:7" x14ac:dyDescent="0.25">
      <c r="A6450" s="116" t="s">
        <v>31161</v>
      </c>
      <c r="B6450" s="117" t="s">
        <v>31162</v>
      </c>
      <c r="C6450" t="s">
        <v>67</v>
      </c>
      <c r="D6450" t="s">
        <v>67</v>
      </c>
      <c r="E6450" t="s">
        <v>67</v>
      </c>
      <c r="F6450" t="s">
        <v>45</v>
      </c>
      <c r="G6450" s="117">
        <v>3.3</v>
      </c>
    </row>
    <row r="6451" spans="1:7" x14ac:dyDescent="0.25">
      <c r="A6451" s="116" t="s">
        <v>10235</v>
      </c>
      <c r="B6451" s="117" t="s">
        <v>10236</v>
      </c>
      <c r="C6451" t="s">
        <v>67</v>
      </c>
      <c r="D6451" t="s">
        <v>67</v>
      </c>
      <c r="E6451" t="s">
        <v>67</v>
      </c>
      <c r="F6451" t="s">
        <v>49</v>
      </c>
      <c r="G6451" s="117">
        <v>4.8899999999999997</v>
      </c>
    </row>
    <row r="6452" spans="1:7" x14ac:dyDescent="0.25">
      <c r="A6452" s="116" t="s">
        <v>10237</v>
      </c>
      <c r="B6452" s="117" t="s">
        <v>10238</v>
      </c>
      <c r="C6452" t="s">
        <v>67</v>
      </c>
      <c r="D6452" t="s">
        <v>67</v>
      </c>
      <c r="E6452" t="s">
        <v>67</v>
      </c>
      <c r="F6452" t="s">
        <v>49</v>
      </c>
      <c r="G6452" s="117">
        <v>6.14</v>
      </c>
    </row>
    <row r="6453" spans="1:7" x14ac:dyDescent="0.25">
      <c r="A6453" s="116" t="s">
        <v>10239</v>
      </c>
      <c r="B6453" s="117" t="s">
        <v>10240</v>
      </c>
      <c r="C6453" t="s">
        <v>67</v>
      </c>
      <c r="D6453" t="s">
        <v>67</v>
      </c>
      <c r="E6453" t="s">
        <v>67</v>
      </c>
      <c r="F6453" t="s">
        <v>45</v>
      </c>
      <c r="G6453" s="117">
        <v>1.69</v>
      </c>
    </row>
    <row r="6454" spans="1:7" x14ac:dyDescent="0.25">
      <c r="A6454" s="116" t="s">
        <v>10241</v>
      </c>
      <c r="B6454" s="117" t="s">
        <v>10242</v>
      </c>
      <c r="C6454" t="s">
        <v>67</v>
      </c>
      <c r="D6454" t="s">
        <v>67</v>
      </c>
      <c r="E6454" t="s">
        <v>67</v>
      </c>
      <c r="F6454" t="s">
        <v>27987</v>
      </c>
      <c r="G6454" s="117">
        <v>33.369999999999997</v>
      </c>
    </row>
    <row r="6455" spans="1:7" x14ac:dyDescent="0.25">
      <c r="A6455" s="116" t="s">
        <v>10243</v>
      </c>
      <c r="B6455" s="117" t="s">
        <v>10244</v>
      </c>
      <c r="C6455" t="s">
        <v>67</v>
      </c>
      <c r="D6455" t="s">
        <v>67</v>
      </c>
      <c r="E6455" t="s">
        <v>67</v>
      </c>
      <c r="F6455" t="s">
        <v>27987</v>
      </c>
      <c r="G6455" s="117">
        <v>5.79</v>
      </c>
    </row>
    <row r="6456" spans="1:7" x14ac:dyDescent="0.25">
      <c r="A6456" s="116" t="s">
        <v>10245</v>
      </c>
      <c r="B6456" s="117" t="s">
        <v>10246</v>
      </c>
      <c r="C6456" t="s">
        <v>67</v>
      </c>
      <c r="D6456" t="s">
        <v>67</v>
      </c>
      <c r="E6456" t="s">
        <v>67</v>
      </c>
      <c r="F6456" t="s">
        <v>27987</v>
      </c>
      <c r="G6456" s="117">
        <v>3.12</v>
      </c>
    </row>
    <row r="6457" spans="1:7" x14ac:dyDescent="0.25">
      <c r="A6457" s="116" t="s">
        <v>10247</v>
      </c>
      <c r="B6457" s="117" t="s">
        <v>10248</v>
      </c>
      <c r="C6457" t="s">
        <v>67</v>
      </c>
      <c r="D6457" t="s">
        <v>67</v>
      </c>
      <c r="E6457" t="s">
        <v>67</v>
      </c>
      <c r="F6457" t="s">
        <v>27987</v>
      </c>
      <c r="G6457" s="117">
        <v>3.56</v>
      </c>
    </row>
    <row r="6458" spans="1:7" x14ac:dyDescent="0.25">
      <c r="A6458" s="116" t="s">
        <v>10249</v>
      </c>
      <c r="B6458" s="117" t="s">
        <v>10250</v>
      </c>
      <c r="C6458" t="s">
        <v>67</v>
      </c>
      <c r="D6458" t="s">
        <v>67</v>
      </c>
      <c r="E6458" t="s">
        <v>67</v>
      </c>
      <c r="F6458" t="s">
        <v>49</v>
      </c>
      <c r="G6458" s="117">
        <v>2.23</v>
      </c>
    </row>
    <row r="6459" spans="1:7" x14ac:dyDescent="0.25">
      <c r="A6459" s="116" t="s">
        <v>10251</v>
      </c>
      <c r="B6459" s="117" t="s">
        <v>12634</v>
      </c>
      <c r="C6459" t="s">
        <v>67</v>
      </c>
      <c r="D6459" t="s">
        <v>67</v>
      </c>
      <c r="E6459" t="s">
        <v>67</v>
      </c>
      <c r="F6459" t="s">
        <v>45</v>
      </c>
      <c r="G6459" s="117">
        <v>1.33</v>
      </c>
    </row>
    <row r="6460" spans="1:7" x14ac:dyDescent="0.25">
      <c r="A6460" s="116" t="s">
        <v>10252</v>
      </c>
      <c r="B6460" s="117" t="s">
        <v>10253</v>
      </c>
      <c r="C6460" t="s">
        <v>67</v>
      </c>
      <c r="D6460" t="s">
        <v>67</v>
      </c>
      <c r="E6460" t="s">
        <v>67</v>
      </c>
      <c r="F6460" t="s">
        <v>27987</v>
      </c>
      <c r="G6460" s="117">
        <v>7.56</v>
      </c>
    </row>
    <row r="6461" spans="1:7" x14ac:dyDescent="0.25">
      <c r="A6461" s="116" t="s">
        <v>10254</v>
      </c>
      <c r="B6461" s="117" t="s">
        <v>10255</v>
      </c>
      <c r="C6461" t="s">
        <v>67</v>
      </c>
      <c r="D6461" t="s">
        <v>67</v>
      </c>
      <c r="E6461" t="s">
        <v>67</v>
      </c>
      <c r="F6461" t="s">
        <v>27987</v>
      </c>
      <c r="G6461" s="117">
        <v>2.0099999999999998</v>
      </c>
    </row>
    <row r="6462" spans="1:7" x14ac:dyDescent="0.25">
      <c r="A6462" s="116" t="s">
        <v>10256</v>
      </c>
      <c r="B6462" s="117" t="s">
        <v>10257</v>
      </c>
      <c r="C6462" t="s">
        <v>67</v>
      </c>
      <c r="D6462" t="s">
        <v>67</v>
      </c>
      <c r="E6462" t="s">
        <v>67</v>
      </c>
      <c r="F6462" t="s">
        <v>49</v>
      </c>
      <c r="G6462" s="117">
        <v>2.23</v>
      </c>
    </row>
    <row r="6463" spans="1:7" x14ac:dyDescent="0.25">
      <c r="A6463" s="116" t="s">
        <v>10258</v>
      </c>
      <c r="B6463" s="117" t="s">
        <v>10259</v>
      </c>
      <c r="C6463" t="s">
        <v>67</v>
      </c>
      <c r="D6463" t="s">
        <v>67</v>
      </c>
      <c r="E6463" t="s">
        <v>67</v>
      </c>
      <c r="F6463" t="s">
        <v>45</v>
      </c>
      <c r="G6463" s="117">
        <v>84.08</v>
      </c>
    </row>
    <row r="6464" spans="1:7" x14ac:dyDescent="0.25">
      <c r="A6464" s="116" t="s">
        <v>10260</v>
      </c>
      <c r="B6464" s="117" t="s">
        <v>10246</v>
      </c>
      <c r="C6464" t="s">
        <v>67</v>
      </c>
      <c r="D6464" t="s">
        <v>67</v>
      </c>
      <c r="E6464" t="s">
        <v>67</v>
      </c>
      <c r="F6464" t="s">
        <v>27987</v>
      </c>
      <c r="G6464" s="117">
        <v>2.67</v>
      </c>
    </row>
    <row r="6465" spans="1:7" x14ac:dyDescent="0.25">
      <c r="A6465" s="116" t="s">
        <v>10261</v>
      </c>
      <c r="B6465" s="117" t="s">
        <v>10262</v>
      </c>
      <c r="C6465" t="s">
        <v>67</v>
      </c>
      <c r="D6465" t="s">
        <v>67</v>
      </c>
      <c r="E6465" t="s">
        <v>67</v>
      </c>
      <c r="F6465" t="s">
        <v>45</v>
      </c>
      <c r="G6465" s="117">
        <v>4.3600000000000003</v>
      </c>
    </row>
    <row r="6466" spans="1:7" x14ac:dyDescent="0.25">
      <c r="A6466" s="116" t="s">
        <v>10263</v>
      </c>
      <c r="B6466" s="117" t="s">
        <v>10264</v>
      </c>
      <c r="C6466" t="s">
        <v>67</v>
      </c>
      <c r="D6466" t="s">
        <v>67</v>
      </c>
      <c r="E6466" t="s">
        <v>67</v>
      </c>
      <c r="F6466" t="s">
        <v>49</v>
      </c>
      <c r="G6466" s="117">
        <v>5.79</v>
      </c>
    </row>
    <row r="6467" spans="1:7" x14ac:dyDescent="0.25">
      <c r="A6467" s="116" t="s">
        <v>10265</v>
      </c>
      <c r="B6467" s="117" t="s">
        <v>10266</v>
      </c>
      <c r="C6467" t="s">
        <v>67</v>
      </c>
      <c r="D6467" t="s">
        <v>67</v>
      </c>
      <c r="E6467" t="s">
        <v>67</v>
      </c>
      <c r="F6467" t="s">
        <v>49</v>
      </c>
      <c r="G6467" s="117">
        <v>4.8899999999999997</v>
      </c>
    </row>
    <row r="6468" spans="1:7" x14ac:dyDescent="0.25">
      <c r="A6468" s="116" t="s">
        <v>10267</v>
      </c>
      <c r="B6468" s="117" t="s">
        <v>10268</v>
      </c>
      <c r="C6468" t="s">
        <v>67</v>
      </c>
      <c r="D6468" t="s">
        <v>67</v>
      </c>
      <c r="E6468" t="s">
        <v>67</v>
      </c>
      <c r="F6468" t="s">
        <v>27987</v>
      </c>
      <c r="G6468" s="117">
        <v>6.68</v>
      </c>
    </row>
    <row r="6469" spans="1:7" x14ac:dyDescent="0.25">
      <c r="A6469" s="116" t="s">
        <v>10269</v>
      </c>
      <c r="B6469" s="117" t="s">
        <v>10270</v>
      </c>
      <c r="C6469" t="s">
        <v>67</v>
      </c>
      <c r="D6469" t="s">
        <v>67</v>
      </c>
      <c r="E6469" t="s">
        <v>67</v>
      </c>
      <c r="F6469" t="s">
        <v>45</v>
      </c>
      <c r="G6469" s="117">
        <v>10.58</v>
      </c>
    </row>
    <row r="6470" spans="1:7" x14ac:dyDescent="0.25">
      <c r="A6470" s="116" t="s">
        <v>10271</v>
      </c>
      <c r="B6470" s="117" t="s">
        <v>10272</v>
      </c>
      <c r="C6470" t="s">
        <v>67</v>
      </c>
      <c r="D6470" t="s">
        <v>67</v>
      </c>
      <c r="E6470" t="s">
        <v>67</v>
      </c>
      <c r="F6470" t="s">
        <v>27987</v>
      </c>
      <c r="G6470" s="117">
        <v>4.8899999999999997</v>
      </c>
    </row>
    <row r="6471" spans="1:7" x14ac:dyDescent="0.25">
      <c r="A6471" s="116" t="s">
        <v>10273</v>
      </c>
      <c r="B6471" s="117" t="s">
        <v>10274</v>
      </c>
      <c r="C6471" t="s">
        <v>67</v>
      </c>
      <c r="D6471" t="s">
        <v>67</v>
      </c>
      <c r="E6471" t="s">
        <v>67</v>
      </c>
      <c r="F6471" t="s">
        <v>27987</v>
      </c>
      <c r="G6471" s="117">
        <v>8.4499999999999993</v>
      </c>
    </row>
    <row r="6472" spans="1:7" x14ac:dyDescent="0.25">
      <c r="A6472" s="116" t="s">
        <v>10275</v>
      </c>
      <c r="B6472" s="117" t="s">
        <v>10276</v>
      </c>
      <c r="C6472" t="s">
        <v>67</v>
      </c>
      <c r="D6472" t="s">
        <v>67</v>
      </c>
      <c r="E6472" t="s">
        <v>67</v>
      </c>
      <c r="F6472" t="s">
        <v>27987</v>
      </c>
      <c r="G6472" s="117">
        <v>8.4499999999999993</v>
      </c>
    </row>
    <row r="6473" spans="1:7" x14ac:dyDescent="0.25">
      <c r="A6473" s="116" t="s">
        <v>10277</v>
      </c>
      <c r="B6473" s="117" t="s">
        <v>10278</v>
      </c>
      <c r="C6473" t="s">
        <v>67</v>
      </c>
      <c r="D6473" t="s">
        <v>67</v>
      </c>
      <c r="E6473" t="s">
        <v>67</v>
      </c>
      <c r="F6473" t="s">
        <v>49</v>
      </c>
      <c r="G6473" s="117">
        <v>2.58</v>
      </c>
    </row>
    <row r="6474" spans="1:7" x14ac:dyDescent="0.25">
      <c r="A6474" s="116" t="s">
        <v>10279</v>
      </c>
      <c r="B6474" s="117" t="s">
        <v>10257</v>
      </c>
      <c r="C6474" t="s">
        <v>67</v>
      </c>
      <c r="D6474" t="s">
        <v>67</v>
      </c>
      <c r="E6474" t="s">
        <v>67</v>
      </c>
      <c r="F6474" t="s">
        <v>27987</v>
      </c>
      <c r="G6474" s="117">
        <v>6.14</v>
      </c>
    </row>
    <row r="6475" spans="1:7" x14ac:dyDescent="0.25">
      <c r="A6475" s="116" t="s">
        <v>10280</v>
      </c>
      <c r="B6475" s="117" t="s">
        <v>10281</v>
      </c>
      <c r="C6475" t="s">
        <v>67</v>
      </c>
      <c r="D6475" t="s">
        <v>67</v>
      </c>
      <c r="E6475" t="s">
        <v>67</v>
      </c>
      <c r="F6475" t="s">
        <v>27987</v>
      </c>
      <c r="G6475" s="117">
        <v>7.56</v>
      </c>
    </row>
    <row r="6476" spans="1:7" x14ac:dyDescent="0.25">
      <c r="A6476" s="116" t="s">
        <v>10282</v>
      </c>
      <c r="B6476" s="117" t="s">
        <v>10283</v>
      </c>
      <c r="C6476" t="s">
        <v>67</v>
      </c>
      <c r="D6476" t="s">
        <v>67</v>
      </c>
      <c r="E6476" t="s">
        <v>67</v>
      </c>
      <c r="F6476" t="s">
        <v>27987</v>
      </c>
      <c r="G6476" s="117">
        <v>15.57</v>
      </c>
    </row>
    <row r="6477" spans="1:7" x14ac:dyDescent="0.25">
      <c r="A6477" s="116" t="s">
        <v>10284</v>
      </c>
      <c r="B6477" s="117" t="s">
        <v>10285</v>
      </c>
      <c r="C6477" t="s">
        <v>67</v>
      </c>
      <c r="D6477" t="s">
        <v>67</v>
      </c>
      <c r="E6477" t="s">
        <v>67</v>
      </c>
      <c r="F6477" t="s">
        <v>27987</v>
      </c>
      <c r="G6477" s="117">
        <v>2.39</v>
      </c>
    </row>
    <row r="6478" spans="1:7" x14ac:dyDescent="0.25">
      <c r="A6478" s="116" t="s">
        <v>10286</v>
      </c>
      <c r="B6478" s="117" t="s">
        <v>10287</v>
      </c>
      <c r="C6478" t="s">
        <v>67</v>
      </c>
      <c r="D6478" t="s">
        <v>67</v>
      </c>
      <c r="E6478" t="s">
        <v>67</v>
      </c>
      <c r="F6478" t="s">
        <v>27987</v>
      </c>
      <c r="G6478" s="117">
        <v>3.48</v>
      </c>
    </row>
    <row r="6479" spans="1:7" x14ac:dyDescent="0.25">
      <c r="A6479" s="116" t="s">
        <v>10288</v>
      </c>
      <c r="B6479" s="117" t="s">
        <v>10289</v>
      </c>
      <c r="C6479" t="s">
        <v>67</v>
      </c>
      <c r="D6479" t="s">
        <v>67</v>
      </c>
      <c r="E6479" t="s">
        <v>67</v>
      </c>
      <c r="F6479" t="s">
        <v>27987</v>
      </c>
      <c r="G6479" s="117">
        <v>3.56</v>
      </c>
    </row>
    <row r="6480" spans="1:7" x14ac:dyDescent="0.25">
      <c r="A6480" s="116" t="s">
        <v>10290</v>
      </c>
      <c r="B6480" s="117" t="s">
        <v>10291</v>
      </c>
      <c r="C6480" t="s">
        <v>67</v>
      </c>
      <c r="D6480" t="s">
        <v>67</v>
      </c>
      <c r="E6480" t="s">
        <v>67</v>
      </c>
      <c r="F6480" t="s">
        <v>49</v>
      </c>
      <c r="G6480" s="117">
        <v>3.48</v>
      </c>
    </row>
    <row r="6481" spans="1:7" x14ac:dyDescent="0.25">
      <c r="A6481" s="116" t="s">
        <v>10292</v>
      </c>
      <c r="B6481" s="117" t="s">
        <v>28864</v>
      </c>
      <c r="C6481" t="s">
        <v>67</v>
      </c>
      <c r="D6481" t="s">
        <v>67</v>
      </c>
      <c r="E6481" t="s">
        <v>67</v>
      </c>
      <c r="F6481" t="s">
        <v>27987</v>
      </c>
      <c r="G6481" s="117">
        <v>12.37</v>
      </c>
    </row>
    <row r="6482" spans="1:7" x14ac:dyDescent="0.25">
      <c r="A6482" s="116" t="s">
        <v>10293</v>
      </c>
      <c r="B6482" s="117" t="s">
        <v>10257</v>
      </c>
      <c r="C6482" t="s">
        <v>67</v>
      </c>
      <c r="D6482" t="s">
        <v>67</v>
      </c>
      <c r="E6482" t="s">
        <v>67</v>
      </c>
      <c r="F6482" t="s">
        <v>49</v>
      </c>
      <c r="G6482" s="117">
        <v>1.33</v>
      </c>
    </row>
    <row r="6483" spans="1:7" x14ac:dyDescent="0.25">
      <c r="A6483" s="116" t="s">
        <v>10294</v>
      </c>
      <c r="B6483" s="117" t="s">
        <v>10295</v>
      </c>
      <c r="C6483" t="s">
        <v>67</v>
      </c>
      <c r="D6483" t="s">
        <v>67</v>
      </c>
      <c r="E6483" t="s">
        <v>67</v>
      </c>
      <c r="F6483" t="s">
        <v>45</v>
      </c>
      <c r="G6483" s="117">
        <v>3.56</v>
      </c>
    </row>
    <row r="6484" spans="1:7" x14ac:dyDescent="0.25">
      <c r="A6484" s="116" t="s">
        <v>10296</v>
      </c>
      <c r="B6484" s="117" t="s">
        <v>10297</v>
      </c>
      <c r="C6484" t="s">
        <v>67</v>
      </c>
      <c r="D6484" t="s">
        <v>67</v>
      </c>
      <c r="E6484" t="s">
        <v>67</v>
      </c>
      <c r="F6484" t="s">
        <v>49</v>
      </c>
      <c r="G6484" s="117">
        <v>4.3600000000000003</v>
      </c>
    </row>
    <row r="6485" spans="1:7" x14ac:dyDescent="0.25">
      <c r="A6485" s="116" t="s">
        <v>10298</v>
      </c>
      <c r="B6485" s="117" t="s">
        <v>10248</v>
      </c>
      <c r="C6485" t="s">
        <v>67</v>
      </c>
      <c r="D6485" t="s">
        <v>67</v>
      </c>
      <c r="E6485" t="s">
        <v>67</v>
      </c>
      <c r="F6485" t="s">
        <v>45</v>
      </c>
      <c r="G6485" s="117">
        <v>2.58</v>
      </c>
    </row>
    <row r="6486" spans="1:7" x14ac:dyDescent="0.25">
      <c r="A6486" s="116" t="s">
        <v>10299</v>
      </c>
      <c r="B6486" s="117" t="s">
        <v>10295</v>
      </c>
      <c r="C6486" t="s">
        <v>67</v>
      </c>
      <c r="D6486" t="s">
        <v>67</v>
      </c>
      <c r="E6486" t="s">
        <v>67</v>
      </c>
      <c r="F6486" t="s">
        <v>49</v>
      </c>
      <c r="G6486" s="117">
        <v>3.96</v>
      </c>
    </row>
    <row r="6487" spans="1:7" x14ac:dyDescent="0.25">
      <c r="A6487" s="116" t="s">
        <v>10300</v>
      </c>
      <c r="B6487" s="117" t="s">
        <v>10301</v>
      </c>
      <c r="C6487" t="s">
        <v>67</v>
      </c>
      <c r="D6487" t="s">
        <v>67</v>
      </c>
      <c r="E6487" t="s">
        <v>67</v>
      </c>
      <c r="F6487" t="s">
        <v>49</v>
      </c>
      <c r="G6487" s="117">
        <v>1.69</v>
      </c>
    </row>
    <row r="6488" spans="1:7" x14ac:dyDescent="0.25">
      <c r="A6488" s="116" t="s">
        <v>10302</v>
      </c>
      <c r="B6488" s="117" t="s">
        <v>10303</v>
      </c>
      <c r="C6488" t="s">
        <v>67</v>
      </c>
      <c r="D6488" t="s">
        <v>67</v>
      </c>
      <c r="E6488" t="s">
        <v>67</v>
      </c>
      <c r="F6488" t="s">
        <v>27987</v>
      </c>
      <c r="G6488" s="117">
        <v>1.69</v>
      </c>
    </row>
    <row r="6489" spans="1:7" x14ac:dyDescent="0.25">
      <c r="A6489" s="116" t="s">
        <v>10304</v>
      </c>
      <c r="B6489" s="117" t="s">
        <v>10305</v>
      </c>
      <c r="C6489" t="s">
        <v>67</v>
      </c>
      <c r="D6489" t="s">
        <v>67</v>
      </c>
      <c r="E6489" t="s">
        <v>67</v>
      </c>
      <c r="F6489" t="s">
        <v>27987</v>
      </c>
      <c r="G6489" s="117">
        <v>2.1</v>
      </c>
    </row>
    <row r="6490" spans="1:7" x14ac:dyDescent="0.25">
      <c r="A6490" s="116" t="s">
        <v>10306</v>
      </c>
      <c r="B6490" s="117" t="s">
        <v>1477</v>
      </c>
      <c r="C6490" t="s">
        <v>67</v>
      </c>
      <c r="D6490" t="s">
        <v>67</v>
      </c>
      <c r="E6490" t="s">
        <v>67</v>
      </c>
      <c r="F6490" t="s">
        <v>45</v>
      </c>
      <c r="G6490" s="117">
        <v>1.33</v>
      </c>
    </row>
    <row r="6491" spans="1:7" x14ac:dyDescent="0.25">
      <c r="A6491" s="116" t="s">
        <v>10307</v>
      </c>
      <c r="B6491" s="117" t="s">
        <v>1477</v>
      </c>
      <c r="C6491" t="s">
        <v>67</v>
      </c>
      <c r="D6491" t="s">
        <v>67</v>
      </c>
      <c r="E6491" t="s">
        <v>67</v>
      </c>
      <c r="F6491" t="s">
        <v>45</v>
      </c>
      <c r="G6491" s="117">
        <v>3.48</v>
      </c>
    </row>
    <row r="6492" spans="1:7" x14ac:dyDescent="0.25">
      <c r="A6492" s="116" t="s">
        <v>10308</v>
      </c>
      <c r="B6492" s="117" t="s">
        <v>10309</v>
      </c>
      <c r="C6492" t="s">
        <v>67</v>
      </c>
      <c r="D6492" t="s">
        <v>67</v>
      </c>
      <c r="E6492" t="s">
        <v>67</v>
      </c>
      <c r="F6492" t="s">
        <v>45</v>
      </c>
      <c r="G6492" s="117">
        <v>1.69</v>
      </c>
    </row>
    <row r="6493" spans="1:7" x14ac:dyDescent="0.25">
      <c r="A6493" s="116" t="s">
        <v>10310</v>
      </c>
      <c r="B6493" s="117" t="s">
        <v>10311</v>
      </c>
      <c r="C6493" t="s">
        <v>67</v>
      </c>
      <c r="D6493" t="s">
        <v>67</v>
      </c>
      <c r="E6493" t="s">
        <v>67</v>
      </c>
      <c r="F6493" t="s">
        <v>27987</v>
      </c>
      <c r="G6493" s="117">
        <v>2.58</v>
      </c>
    </row>
    <row r="6494" spans="1:7" x14ac:dyDescent="0.25">
      <c r="A6494" s="116" t="s">
        <v>10312</v>
      </c>
      <c r="B6494" s="117" t="s">
        <v>10313</v>
      </c>
      <c r="C6494" t="s">
        <v>67</v>
      </c>
      <c r="D6494" t="s">
        <v>67</v>
      </c>
      <c r="E6494" t="s">
        <v>67</v>
      </c>
      <c r="F6494" t="s">
        <v>27987</v>
      </c>
      <c r="G6494" s="117">
        <v>1.33</v>
      </c>
    </row>
    <row r="6495" spans="1:7" x14ac:dyDescent="0.25">
      <c r="A6495" s="116" t="s">
        <v>10314</v>
      </c>
      <c r="B6495" s="117" t="s">
        <v>10315</v>
      </c>
      <c r="C6495" t="s">
        <v>67</v>
      </c>
      <c r="D6495" t="s">
        <v>67</v>
      </c>
      <c r="E6495" t="s">
        <v>67</v>
      </c>
      <c r="F6495" t="s">
        <v>27987</v>
      </c>
      <c r="G6495" s="117">
        <v>2.23</v>
      </c>
    </row>
    <row r="6496" spans="1:7" x14ac:dyDescent="0.25">
      <c r="A6496" s="116" t="s">
        <v>10316</v>
      </c>
      <c r="B6496" s="117" t="s">
        <v>10317</v>
      </c>
      <c r="C6496" t="s">
        <v>67</v>
      </c>
      <c r="D6496" t="s">
        <v>67</v>
      </c>
      <c r="E6496" t="s">
        <v>67</v>
      </c>
      <c r="F6496" t="s">
        <v>27987</v>
      </c>
      <c r="G6496" s="117">
        <v>2.23</v>
      </c>
    </row>
    <row r="6497" spans="1:7" x14ac:dyDescent="0.25">
      <c r="A6497" s="116" t="s">
        <v>10318</v>
      </c>
      <c r="B6497" s="117" t="s">
        <v>10319</v>
      </c>
      <c r="C6497" t="s">
        <v>67</v>
      </c>
      <c r="D6497" t="s">
        <v>67</v>
      </c>
      <c r="E6497" t="s">
        <v>67</v>
      </c>
      <c r="F6497" t="s">
        <v>27987</v>
      </c>
      <c r="G6497" s="117">
        <v>7.92</v>
      </c>
    </row>
    <row r="6498" spans="1:7" x14ac:dyDescent="0.25">
      <c r="A6498" s="116" t="s">
        <v>10320</v>
      </c>
      <c r="B6498" s="117" t="s">
        <v>10321</v>
      </c>
      <c r="C6498" t="s">
        <v>67</v>
      </c>
      <c r="D6498" t="s">
        <v>67</v>
      </c>
      <c r="E6498" t="s">
        <v>67</v>
      </c>
      <c r="F6498" t="s">
        <v>45</v>
      </c>
      <c r="G6498" s="117">
        <v>5.79</v>
      </c>
    </row>
    <row r="6499" spans="1:7" x14ac:dyDescent="0.25">
      <c r="A6499" s="116" t="s">
        <v>10322</v>
      </c>
      <c r="B6499" s="117" t="s">
        <v>10323</v>
      </c>
      <c r="C6499" t="s">
        <v>67</v>
      </c>
      <c r="D6499" t="s">
        <v>67</v>
      </c>
      <c r="E6499" t="s">
        <v>67</v>
      </c>
      <c r="F6499" t="s">
        <v>49</v>
      </c>
      <c r="G6499" s="117">
        <v>6.14</v>
      </c>
    </row>
    <row r="6500" spans="1:7" x14ac:dyDescent="0.25">
      <c r="A6500" s="116" t="s">
        <v>10324</v>
      </c>
      <c r="B6500" s="117" t="s">
        <v>10325</v>
      </c>
      <c r="C6500" t="s">
        <v>67</v>
      </c>
      <c r="D6500" t="s">
        <v>67</v>
      </c>
      <c r="E6500" t="s">
        <v>67</v>
      </c>
      <c r="F6500" t="s">
        <v>45</v>
      </c>
      <c r="G6500" s="117">
        <v>3.12</v>
      </c>
    </row>
    <row r="6501" spans="1:7" x14ac:dyDescent="0.25">
      <c r="A6501" s="116" t="s">
        <v>10326</v>
      </c>
      <c r="B6501" s="117" t="s">
        <v>10327</v>
      </c>
      <c r="C6501" t="s">
        <v>67</v>
      </c>
      <c r="D6501" t="s">
        <v>67</v>
      </c>
      <c r="E6501" t="s">
        <v>67</v>
      </c>
      <c r="F6501" t="s">
        <v>27990</v>
      </c>
      <c r="G6501" s="117">
        <v>1.27</v>
      </c>
    </row>
    <row r="6502" spans="1:7" x14ac:dyDescent="0.25">
      <c r="A6502" s="116" t="s">
        <v>10328</v>
      </c>
      <c r="B6502" s="117" t="s">
        <v>10329</v>
      </c>
      <c r="C6502" t="s">
        <v>67</v>
      </c>
      <c r="D6502" t="s">
        <v>67</v>
      </c>
      <c r="E6502" t="s">
        <v>67</v>
      </c>
      <c r="F6502" t="s">
        <v>45</v>
      </c>
      <c r="G6502" s="117">
        <v>5.33</v>
      </c>
    </row>
    <row r="6503" spans="1:7" x14ac:dyDescent="0.25">
      <c r="A6503" s="116" t="s">
        <v>10330</v>
      </c>
      <c r="B6503" s="117" t="s">
        <v>10331</v>
      </c>
      <c r="C6503" t="s">
        <v>67</v>
      </c>
      <c r="D6503" t="s">
        <v>67</v>
      </c>
      <c r="E6503" t="s">
        <v>67</v>
      </c>
      <c r="F6503" t="s">
        <v>27990</v>
      </c>
      <c r="G6503" s="117">
        <v>3.12</v>
      </c>
    </row>
    <row r="6504" spans="1:7" x14ac:dyDescent="0.25">
      <c r="A6504" s="116" t="s">
        <v>10332</v>
      </c>
      <c r="B6504" s="117" t="s">
        <v>10333</v>
      </c>
      <c r="C6504" t="s">
        <v>67</v>
      </c>
      <c r="D6504" t="s">
        <v>67</v>
      </c>
      <c r="E6504" t="s">
        <v>67</v>
      </c>
      <c r="F6504" t="s">
        <v>27987</v>
      </c>
      <c r="G6504" s="117">
        <v>2.58</v>
      </c>
    </row>
    <row r="6505" spans="1:7" x14ac:dyDescent="0.25">
      <c r="A6505" s="116" t="s">
        <v>10334</v>
      </c>
      <c r="B6505" s="117" t="s">
        <v>10335</v>
      </c>
      <c r="C6505" t="s">
        <v>67</v>
      </c>
      <c r="D6505" t="s">
        <v>67</v>
      </c>
      <c r="E6505" t="s">
        <v>67</v>
      </c>
      <c r="F6505" t="s">
        <v>27987</v>
      </c>
      <c r="G6505" s="117">
        <v>6.14</v>
      </c>
    </row>
    <row r="6506" spans="1:7" x14ac:dyDescent="0.25">
      <c r="A6506" s="116" t="s">
        <v>10336</v>
      </c>
      <c r="B6506" s="117" t="s">
        <v>10337</v>
      </c>
      <c r="C6506" t="s">
        <v>67</v>
      </c>
      <c r="D6506" t="s">
        <v>67</v>
      </c>
      <c r="E6506" t="s">
        <v>67</v>
      </c>
      <c r="F6506" t="s">
        <v>49</v>
      </c>
      <c r="G6506" s="117">
        <v>1.33</v>
      </c>
    </row>
    <row r="6507" spans="1:7" x14ac:dyDescent="0.25">
      <c r="A6507" s="116" t="s">
        <v>10338</v>
      </c>
      <c r="B6507" s="117" t="s">
        <v>10339</v>
      </c>
      <c r="C6507" t="s">
        <v>67</v>
      </c>
      <c r="D6507" t="s">
        <v>67</v>
      </c>
      <c r="E6507" t="s">
        <v>67</v>
      </c>
      <c r="F6507" t="s">
        <v>45</v>
      </c>
      <c r="G6507" s="117">
        <v>1.33</v>
      </c>
    </row>
    <row r="6508" spans="1:7" x14ac:dyDescent="0.25">
      <c r="A6508" s="116" t="s">
        <v>10340</v>
      </c>
      <c r="B6508" s="117" t="s">
        <v>10341</v>
      </c>
      <c r="C6508" t="s">
        <v>67</v>
      </c>
      <c r="D6508" t="s">
        <v>67</v>
      </c>
      <c r="E6508" t="s">
        <v>67</v>
      </c>
      <c r="F6508" t="s">
        <v>49</v>
      </c>
      <c r="G6508" s="117">
        <v>6.78</v>
      </c>
    </row>
    <row r="6509" spans="1:7" x14ac:dyDescent="0.25">
      <c r="A6509" s="116" t="s">
        <v>10342</v>
      </c>
      <c r="B6509" s="117" t="s">
        <v>10343</v>
      </c>
      <c r="C6509" t="s">
        <v>67</v>
      </c>
      <c r="D6509" t="s">
        <v>67</v>
      </c>
      <c r="E6509" t="s">
        <v>67</v>
      </c>
      <c r="F6509" t="s">
        <v>27987</v>
      </c>
      <c r="G6509" s="117">
        <v>6.68</v>
      </c>
    </row>
    <row r="6510" spans="1:7" x14ac:dyDescent="0.25">
      <c r="A6510" s="116" t="s">
        <v>10344</v>
      </c>
      <c r="B6510" s="117" t="s">
        <v>10345</v>
      </c>
      <c r="C6510" t="s">
        <v>67</v>
      </c>
      <c r="D6510" t="s">
        <v>67</v>
      </c>
      <c r="E6510" t="s">
        <v>67</v>
      </c>
      <c r="F6510" t="s">
        <v>49</v>
      </c>
      <c r="G6510" s="117">
        <v>9.35</v>
      </c>
    </row>
    <row r="6511" spans="1:7" x14ac:dyDescent="0.25">
      <c r="A6511" s="116" t="s">
        <v>10346</v>
      </c>
      <c r="B6511" s="117" t="s">
        <v>10313</v>
      </c>
      <c r="C6511" t="s">
        <v>67</v>
      </c>
      <c r="D6511" t="s">
        <v>67</v>
      </c>
      <c r="E6511" t="s">
        <v>67</v>
      </c>
      <c r="F6511" t="s">
        <v>49</v>
      </c>
      <c r="G6511" s="117">
        <v>6.14</v>
      </c>
    </row>
    <row r="6512" spans="1:7" x14ac:dyDescent="0.25">
      <c r="A6512" s="116" t="s">
        <v>10347</v>
      </c>
      <c r="B6512" s="117" t="s">
        <v>10348</v>
      </c>
      <c r="C6512" t="s">
        <v>67</v>
      </c>
      <c r="D6512" t="s">
        <v>67</v>
      </c>
      <c r="E6512" t="s">
        <v>67</v>
      </c>
      <c r="F6512" t="s">
        <v>51</v>
      </c>
      <c r="G6512" s="117">
        <v>1.33</v>
      </c>
    </row>
    <row r="6513" spans="1:7" x14ac:dyDescent="0.25">
      <c r="A6513" s="116" t="s">
        <v>10349</v>
      </c>
      <c r="B6513" s="117" t="s">
        <v>10350</v>
      </c>
      <c r="C6513" t="s">
        <v>67</v>
      </c>
      <c r="D6513" t="s">
        <v>67</v>
      </c>
      <c r="E6513" t="s">
        <v>67</v>
      </c>
      <c r="F6513" t="s">
        <v>51</v>
      </c>
      <c r="G6513" s="117">
        <v>5.51</v>
      </c>
    </row>
    <row r="6514" spans="1:7" x14ac:dyDescent="0.25">
      <c r="A6514" s="116" t="s">
        <v>10351</v>
      </c>
      <c r="B6514" s="117" t="s">
        <v>176</v>
      </c>
      <c r="C6514" t="s">
        <v>67</v>
      </c>
      <c r="D6514" t="s">
        <v>67</v>
      </c>
      <c r="E6514" t="s">
        <v>67</v>
      </c>
      <c r="F6514" t="s">
        <v>27987</v>
      </c>
      <c r="G6514" s="117">
        <v>10.58</v>
      </c>
    </row>
    <row r="6515" spans="1:7" x14ac:dyDescent="0.25">
      <c r="A6515" s="116" t="s">
        <v>10352</v>
      </c>
      <c r="B6515" s="117" t="s">
        <v>10353</v>
      </c>
      <c r="C6515" t="s">
        <v>67</v>
      </c>
      <c r="D6515" t="s">
        <v>67</v>
      </c>
      <c r="E6515" t="s">
        <v>67</v>
      </c>
      <c r="F6515" t="s">
        <v>27987</v>
      </c>
      <c r="G6515" s="117">
        <v>3.48</v>
      </c>
    </row>
    <row r="6516" spans="1:7" x14ac:dyDescent="0.25">
      <c r="A6516" s="116" t="s">
        <v>10354</v>
      </c>
      <c r="B6516" s="117" t="s">
        <v>10355</v>
      </c>
      <c r="C6516" t="s">
        <v>67</v>
      </c>
      <c r="D6516" t="s">
        <v>67</v>
      </c>
      <c r="E6516" t="s">
        <v>67</v>
      </c>
      <c r="F6516" t="s">
        <v>45</v>
      </c>
      <c r="G6516" s="117">
        <v>8</v>
      </c>
    </row>
    <row r="6517" spans="1:7" x14ac:dyDescent="0.25">
      <c r="A6517" s="116" t="s">
        <v>10356</v>
      </c>
      <c r="B6517" s="117" t="s">
        <v>10357</v>
      </c>
      <c r="C6517" t="s">
        <v>67</v>
      </c>
      <c r="D6517" t="s">
        <v>67</v>
      </c>
      <c r="E6517" t="s">
        <v>67</v>
      </c>
      <c r="F6517" t="s">
        <v>45</v>
      </c>
      <c r="G6517" s="117">
        <v>5</v>
      </c>
    </row>
    <row r="6518" spans="1:7" x14ac:dyDescent="0.25">
      <c r="A6518" s="116" t="s">
        <v>27432</v>
      </c>
      <c r="B6518" s="117" t="s">
        <v>10358</v>
      </c>
      <c r="C6518" t="s">
        <v>67</v>
      </c>
      <c r="D6518" t="s">
        <v>67</v>
      </c>
      <c r="E6518" t="s">
        <v>67</v>
      </c>
      <c r="F6518" t="s">
        <v>45</v>
      </c>
      <c r="G6518" s="117">
        <v>129.82</v>
      </c>
    </row>
    <row r="6519" spans="1:7" x14ac:dyDescent="0.25">
      <c r="A6519" s="116" t="s">
        <v>10359</v>
      </c>
      <c r="B6519" s="117" t="s">
        <v>10360</v>
      </c>
      <c r="C6519" t="s">
        <v>67</v>
      </c>
      <c r="D6519" t="s">
        <v>67</v>
      </c>
      <c r="E6519" t="s">
        <v>67</v>
      </c>
      <c r="F6519" t="s">
        <v>45</v>
      </c>
      <c r="G6519" s="117">
        <v>5.9</v>
      </c>
    </row>
    <row r="6520" spans="1:7" x14ac:dyDescent="0.25">
      <c r="A6520" s="116" t="s">
        <v>10361</v>
      </c>
      <c r="B6520" s="117" t="s">
        <v>10362</v>
      </c>
      <c r="C6520" t="s">
        <v>67</v>
      </c>
      <c r="D6520" t="s">
        <v>67</v>
      </c>
      <c r="E6520" t="s">
        <v>67</v>
      </c>
      <c r="F6520" t="s">
        <v>45</v>
      </c>
      <c r="G6520" s="117">
        <v>755.02</v>
      </c>
    </row>
    <row r="6521" spans="1:7" x14ac:dyDescent="0.25">
      <c r="A6521" s="116" t="s">
        <v>10363</v>
      </c>
      <c r="B6521" s="117" t="s">
        <v>10364</v>
      </c>
      <c r="C6521" t="s">
        <v>67</v>
      </c>
      <c r="D6521" t="s">
        <v>67</v>
      </c>
      <c r="E6521" t="s">
        <v>67</v>
      </c>
      <c r="F6521" t="s">
        <v>45</v>
      </c>
      <c r="G6521" s="117">
        <v>52.06</v>
      </c>
    </row>
    <row r="6522" spans="1:7" x14ac:dyDescent="0.25">
      <c r="A6522" s="116" t="s">
        <v>10365</v>
      </c>
      <c r="B6522" s="117" t="s">
        <v>10366</v>
      </c>
      <c r="C6522" t="s">
        <v>67</v>
      </c>
      <c r="D6522" t="s">
        <v>67</v>
      </c>
      <c r="E6522" t="s">
        <v>67</v>
      </c>
      <c r="F6522" t="s">
        <v>27987</v>
      </c>
      <c r="G6522" s="117">
        <v>4.8899999999999997</v>
      </c>
    </row>
    <row r="6523" spans="1:7" x14ac:dyDescent="0.25">
      <c r="A6523" s="116" t="s">
        <v>10367</v>
      </c>
      <c r="B6523" s="117" t="s">
        <v>10368</v>
      </c>
      <c r="C6523" t="s">
        <v>67</v>
      </c>
      <c r="D6523" t="s">
        <v>67</v>
      </c>
      <c r="E6523" t="s">
        <v>67</v>
      </c>
      <c r="F6523" t="s">
        <v>27987</v>
      </c>
      <c r="G6523" s="117">
        <v>3.12</v>
      </c>
    </row>
    <row r="6524" spans="1:7" x14ac:dyDescent="0.25">
      <c r="A6524" s="116" t="s">
        <v>10369</v>
      </c>
      <c r="B6524" s="117" t="s">
        <v>10370</v>
      </c>
      <c r="C6524" t="s">
        <v>67</v>
      </c>
      <c r="D6524" t="s">
        <v>67</v>
      </c>
      <c r="E6524" t="s">
        <v>67</v>
      </c>
      <c r="F6524" t="s">
        <v>45</v>
      </c>
      <c r="G6524" s="117">
        <v>5.25</v>
      </c>
    </row>
    <row r="6525" spans="1:7" x14ac:dyDescent="0.25">
      <c r="A6525" s="116" t="s">
        <v>10371</v>
      </c>
      <c r="B6525" s="117" t="s">
        <v>10372</v>
      </c>
      <c r="C6525" t="s">
        <v>67</v>
      </c>
      <c r="D6525" t="s">
        <v>67</v>
      </c>
      <c r="E6525" t="s">
        <v>67</v>
      </c>
      <c r="F6525" t="s">
        <v>45</v>
      </c>
      <c r="G6525" s="117">
        <v>17.7</v>
      </c>
    </row>
    <row r="6526" spans="1:7" x14ac:dyDescent="0.25">
      <c r="A6526" s="116" t="s">
        <v>10373</v>
      </c>
      <c r="B6526" s="117" t="s">
        <v>10374</v>
      </c>
      <c r="C6526" t="s">
        <v>67</v>
      </c>
      <c r="D6526" t="s">
        <v>67</v>
      </c>
      <c r="E6526" t="s">
        <v>67</v>
      </c>
      <c r="F6526" t="s">
        <v>45</v>
      </c>
      <c r="G6526" s="117">
        <v>16.46</v>
      </c>
    </row>
    <row r="6527" spans="1:7" x14ac:dyDescent="0.25">
      <c r="A6527" s="116" t="s">
        <v>10375</v>
      </c>
      <c r="B6527" s="117" t="s">
        <v>10376</v>
      </c>
      <c r="C6527" t="s">
        <v>67</v>
      </c>
      <c r="D6527" t="s">
        <v>67</v>
      </c>
      <c r="E6527" t="s">
        <v>67</v>
      </c>
      <c r="F6527" t="s">
        <v>27987</v>
      </c>
      <c r="G6527" s="117">
        <v>16.46</v>
      </c>
    </row>
    <row r="6528" spans="1:7" x14ac:dyDescent="0.25">
      <c r="A6528" s="116" t="s">
        <v>10377</v>
      </c>
      <c r="B6528" s="117" t="s">
        <v>10378</v>
      </c>
      <c r="C6528" t="s">
        <v>67</v>
      </c>
      <c r="D6528" t="s">
        <v>67</v>
      </c>
      <c r="E6528" t="s">
        <v>67</v>
      </c>
      <c r="F6528" t="s">
        <v>45</v>
      </c>
      <c r="G6528" s="117">
        <v>14.14</v>
      </c>
    </row>
    <row r="6529" spans="1:7" x14ac:dyDescent="0.25">
      <c r="A6529" s="116" t="s">
        <v>10379</v>
      </c>
      <c r="B6529" s="117" t="s">
        <v>10380</v>
      </c>
      <c r="C6529" t="s">
        <v>67</v>
      </c>
      <c r="D6529" t="s">
        <v>67</v>
      </c>
      <c r="E6529" t="s">
        <v>67</v>
      </c>
      <c r="F6529" t="s">
        <v>49</v>
      </c>
      <c r="G6529" s="117">
        <v>11.48</v>
      </c>
    </row>
    <row r="6530" spans="1:7" x14ac:dyDescent="0.25">
      <c r="A6530" s="116" t="s">
        <v>10381</v>
      </c>
      <c r="B6530" s="117" t="s">
        <v>10382</v>
      </c>
      <c r="C6530" t="s">
        <v>67</v>
      </c>
      <c r="D6530" t="s">
        <v>67</v>
      </c>
      <c r="E6530" t="s">
        <v>67</v>
      </c>
      <c r="F6530" t="s">
        <v>27987</v>
      </c>
      <c r="G6530" s="117">
        <v>2.58</v>
      </c>
    </row>
    <row r="6531" spans="1:7" x14ac:dyDescent="0.25">
      <c r="A6531" s="116" t="s">
        <v>30274</v>
      </c>
      <c r="B6531" s="117" t="s">
        <v>30275</v>
      </c>
      <c r="C6531" t="s">
        <v>67</v>
      </c>
      <c r="D6531" t="s">
        <v>67</v>
      </c>
      <c r="E6531" t="s">
        <v>67</v>
      </c>
      <c r="F6531" t="s">
        <v>45</v>
      </c>
      <c r="G6531" s="117">
        <v>93.5</v>
      </c>
    </row>
    <row r="6532" spans="1:7" x14ac:dyDescent="0.25">
      <c r="A6532" s="116" t="s">
        <v>10383</v>
      </c>
      <c r="B6532" s="117" t="s">
        <v>10384</v>
      </c>
      <c r="C6532" t="s">
        <v>67</v>
      </c>
      <c r="D6532" t="s">
        <v>67</v>
      </c>
      <c r="E6532" t="s">
        <v>67</v>
      </c>
      <c r="F6532" t="s">
        <v>27987</v>
      </c>
      <c r="G6532" s="117">
        <v>7.92</v>
      </c>
    </row>
    <row r="6533" spans="1:7" x14ac:dyDescent="0.25">
      <c r="A6533" s="116" t="s">
        <v>28865</v>
      </c>
      <c r="B6533" s="117" t="s">
        <v>28866</v>
      </c>
      <c r="C6533" t="s">
        <v>67</v>
      </c>
      <c r="D6533" t="s">
        <v>67</v>
      </c>
      <c r="E6533" t="s">
        <v>67</v>
      </c>
      <c r="F6533" t="s">
        <v>45</v>
      </c>
      <c r="G6533" s="117">
        <v>0</v>
      </c>
    </row>
    <row r="6534" spans="1:7" x14ac:dyDescent="0.25">
      <c r="A6534" s="116" t="s">
        <v>10385</v>
      </c>
      <c r="B6534" s="117" t="s">
        <v>342</v>
      </c>
      <c r="C6534" t="s">
        <v>67</v>
      </c>
      <c r="D6534" t="s">
        <v>67</v>
      </c>
      <c r="E6534" t="s">
        <v>67</v>
      </c>
      <c r="F6534" t="s">
        <v>45</v>
      </c>
      <c r="G6534" s="117">
        <v>141.93</v>
      </c>
    </row>
    <row r="6535" spans="1:7" x14ac:dyDescent="0.25">
      <c r="A6535" s="116" t="s">
        <v>10386</v>
      </c>
      <c r="B6535" s="117" t="s">
        <v>10387</v>
      </c>
      <c r="C6535" t="s">
        <v>67</v>
      </c>
      <c r="D6535" t="s">
        <v>67</v>
      </c>
      <c r="E6535" t="s">
        <v>67</v>
      </c>
      <c r="F6535" t="s">
        <v>45</v>
      </c>
      <c r="G6535" s="117">
        <v>20.92</v>
      </c>
    </row>
    <row r="6536" spans="1:7" x14ac:dyDescent="0.25">
      <c r="A6536" s="116" t="s">
        <v>10388</v>
      </c>
      <c r="B6536" s="117" t="s">
        <v>10389</v>
      </c>
      <c r="C6536" t="s">
        <v>67</v>
      </c>
      <c r="D6536" t="s">
        <v>67</v>
      </c>
      <c r="E6536" t="s">
        <v>67</v>
      </c>
      <c r="F6536" t="s">
        <v>45</v>
      </c>
      <c r="G6536" s="117">
        <v>56.86</v>
      </c>
    </row>
    <row r="6537" spans="1:7" x14ac:dyDescent="0.25">
      <c r="A6537" s="116" t="s">
        <v>10390</v>
      </c>
      <c r="B6537" s="117" t="s">
        <v>10391</v>
      </c>
      <c r="C6537" t="s">
        <v>67</v>
      </c>
      <c r="D6537" t="s">
        <v>67</v>
      </c>
      <c r="E6537" t="s">
        <v>67</v>
      </c>
      <c r="F6537" t="s">
        <v>27987</v>
      </c>
      <c r="G6537" s="117">
        <v>12.01</v>
      </c>
    </row>
    <row r="6538" spans="1:7" x14ac:dyDescent="0.25">
      <c r="A6538" s="116" t="s">
        <v>10392</v>
      </c>
      <c r="B6538" s="117" t="s">
        <v>3528</v>
      </c>
      <c r="C6538" t="s">
        <v>67</v>
      </c>
      <c r="D6538" t="s">
        <v>67</v>
      </c>
      <c r="E6538" t="s">
        <v>67</v>
      </c>
      <c r="F6538" t="s">
        <v>27987</v>
      </c>
      <c r="G6538" s="117">
        <v>49.38</v>
      </c>
    </row>
    <row r="6539" spans="1:7" x14ac:dyDescent="0.25">
      <c r="A6539" s="116" t="s">
        <v>10393</v>
      </c>
      <c r="B6539" s="117" t="s">
        <v>10394</v>
      </c>
      <c r="C6539" t="s">
        <v>67</v>
      </c>
      <c r="D6539" t="s">
        <v>67</v>
      </c>
      <c r="E6539" t="s">
        <v>67</v>
      </c>
      <c r="F6539" t="s">
        <v>27987</v>
      </c>
      <c r="G6539" s="117">
        <v>44.94</v>
      </c>
    </row>
    <row r="6540" spans="1:7" x14ac:dyDescent="0.25">
      <c r="A6540" s="116" t="s">
        <v>10395</v>
      </c>
      <c r="B6540" s="117" t="s">
        <v>10396</v>
      </c>
      <c r="C6540" t="s">
        <v>67</v>
      </c>
      <c r="D6540" t="s">
        <v>67</v>
      </c>
      <c r="E6540" t="s">
        <v>67</v>
      </c>
      <c r="F6540" t="s">
        <v>45</v>
      </c>
      <c r="G6540" s="117">
        <v>111.14</v>
      </c>
    </row>
    <row r="6541" spans="1:7" x14ac:dyDescent="0.25">
      <c r="A6541" s="116" t="s">
        <v>10397</v>
      </c>
      <c r="B6541" s="117" t="s">
        <v>10398</v>
      </c>
      <c r="C6541" t="s">
        <v>67</v>
      </c>
      <c r="D6541" t="s">
        <v>67</v>
      </c>
      <c r="E6541" t="s">
        <v>67</v>
      </c>
      <c r="F6541" t="s">
        <v>27987</v>
      </c>
      <c r="G6541" s="117">
        <v>28.38</v>
      </c>
    </row>
    <row r="6542" spans="1:7" x14ac:dyDescent="0.25">
      <c r="A6542" s="116" t="s">
        <v>10399</v>
      </c>
      <c r="B6542" s="117" t="s">
        <v>10400</v>
      </c>
      <c r="C6542" t="s">
        <v>67</v>
      </c>
      <c r="D6542" t="s">
        <v>67</v>
      </c>
      <c r="E6542" t="s">
        <v>67</v>
      </c>
      <c r="F6542" t="s">
        <v>51</v>
      </c>
      <c r="G6542" s="117">
        <v>21.08</v>
      </c>
    </row>
    <row r="6543" spans="1:7" x14ac:dyDescent="0.25">
      <c r="A6543" s="116" t="s">
        <v>10401</v>
      </c>
      <c r="B6543" s="117" t="s">
        <v>10402</v>
      </c>
      <c r="C6543" t="s">
        <v>67</v>
      </c>
      <c r="D6543" t="s">
        <v>67</v>
      </c>
      <c r="E6543" t="s">
        <v>67</v>
      </c>
      <c r="F6543" t="s">
        <v>45</v>
      </c>
      <c r="G6543" s="117">
        <v>19.489999999999998</v>
      </c>
    </row>
    <row r="6544" spans="1:7" x14ac:dyDescent="0.25">
      <c r="A6544" s="116" t="s">
        <v>10403</v>
      </c>
      <c r="B6544" s="117" t="s">
        <v>10404</v>
      </c>
      <c r="C6544" t="s">
        <v>67</v>
      </c>
      <c r="D6544" t="s">
        <v>67</v>
      </c>
      <c r="E6544" t="s">
        <v>67</v>
      </c>
      <c r="F6544" t="s">
        <v>45</v>
      </c>
      <c r="G6544" s="117">
        <v>94.76</v>
      </c>
    </row>
    <row r="6545" spans="1:7" x14ac:dyDescent="0.25">
      <c r="A6545" s="116" t="s">
        <v>10405</v>
      </c>
      <c r="B6545" s="117" t="s">
        <v>10406</v>
      </c>
      <c r="C6545" t="s">
        <v>67</v>
      </c>
      <c r="D6545" t="s">
        <v>67</v>
      </c>
      <c r="E6545" t="s">
        <v>67</v>
      </c>
      <c r="F6545" t="s">
        <v>49</v>
      </c>
      <c r="G6545" s="117">
        <v>24.82</v>
      </c>
    </row>
    <row r="6546" spans="1:7" x14ac:dyDescent="0.25">
      <c r="A6546" s="116" t="s">
        <v>10407</v>
      </c>
      <c r="B6546" s="117" t="s">
        <v>10408</v>
      </c>
      <c r="C6546" t="s">
        <v>67</v>
      </c>
      <c r="D6546" t="s">
        <v>67</v>
      </c>
      <c r="E6546" t="s">
        <v>67</v>
      </c>
      <c r="F6546" t="s">
        <v>49</v>
      </c>
      <c r="G6546" s="117">
        <v>24.82</v>
      </c>
    </row>
    <row r="6547" spans="1:7" x14ac:dyDescent="0.25">
      <c r="A6547" s="116" t="s">
        <v>10409</v>
      </c>
      <c r="B6547" s="117" t="s">
        <v>10387</v>
      </c>
      <c r="C6547" t="s">
        <v>67</v>
      </c>
      <c r="D6547" t="s">
        <v>67</v>
      </c>
      <c r="E6547" t="s">
        <v>67</v>
      </c>
      <c r="F6547" t="s">
        <v>51</v>
      </c>
      <c r="G6547" s="117">
        <v>21.26</v>
      </c>
    </row>
    <row r="6548" spans="1:7" x14ac:dyDescent="0.25">
      <c r="A6548" s="116" t="s">
        <v>10410</v>
      </c>
      <c r="B6548" s="117" t="s">
        <v>10411</v>
      </c>
      <c r="C6548" t="s">
        <v>67</v>
      </c>
      <c r="D6548" t="s">
        <v>67</v>
      </c>
      <c r="E6548" t="s">
        <v>67</v>
      </c>
      <c r="F6548" t="s">
        <v>27987</v>
      </c>
      <c r="G6548" s="117">
        <v>21.26</v>
      </c>
    </row>
    <row r="6549" spans="1:7" x14ac:dyDescent="0.25">
      <c r="A6549" s="116" t="s">
        <v>10412</v>
      </c>
      <c r="B6549" s="117" t="s">
        <v>10413</v>
      </c>
      <c r="C6549" t="s">
        <v>67</v>
      </c>
      <c r="D6549" t="s">
        <v>67</v>
      </c>
      <c r="E6549" t="s">
        <v>67</v>
      </c>
      <c r="F6549" t="s">
        <v>49</v>
      </c>
      <c r="G6549" s="117">
        <v>1.33</v>
      </c>
    </row>
    <row r="6550" spans="1:7" x14ac:dyDescent="0.25">
      <c r="A6550" s="116" t="s">
        <v>10414</v>
      </c>
      <c r="B6550" s="117" t="s">
        <v>10415</v>
      </c>
      <c r="C6550" t="s">
        <v>67</v>
      </c>
      <c r="D6550" t="s">
        <v>67</v>
      </c>
      <c r="E6550" t="s">
        <v>67</v>
      </c>
      <c r="F6550" t="s">
        <v>27987</v>
      </c>
      <c r="G6550" s="117">
        <v>14.14</v>
      </c>
    </row>
    <row r="6551" spans="1:7" x14ac:dyDescent="0.25">
      <c r="A6551" s="116" t="s">
        <v>10416</v>
      </c>
      <c r="B6551" s="117" t="s">
        <v>1148</v>
      </c>
      <c r="C6551" t="s">
        <v>67</v>
      </c>
      <c r="D6551" t="s">
        <v>67</v>
      </c>
      <c r="E6551" t="s">
        <v>67</v>
      </c>
      <c r="F6551" t="s">
        <v>45</v>
      </c>
      <c r="G6551" s="117">
        <v>10.24</v>
      </c>
    </row>
    <row r="6552" spans="1:7" x14ac:dyDescent="0.25">
      <c r="A6552" s="116" t="s">
        <v>10417</v>
      </c>
      <c r="B6552" s="117" t="s">
        <v>10418</v>
      </c>
      <c r="C6552" t="s">
        <v>67</v>
      </c>
      <c r="D6552" t="s">
        <v>67</v>
      </c>
      <c r="E6552" t="s">
        <v>67</v>
      </c>
      <c r="F6552" t="s">
        <v>27990</v>
      </c>
      <c r="G6552" s="117">
        <v>33.729999999999997</v>
      </c>
    </row>
    <row r="6553" spans="1:7" x14ac:dyDescent="0.25">
      <c r="A6553" s="116" t="s">
        <v>10419</v>
      </c>
      <c r="B6553" s="117" t="s">
        <v>3595</v>
      </c>
      <c r="C6553" t="s">
        <v>67</v>
      </c>
      <c r="D6553" t="s">
        <v>67</v>
      </c>
      <c r="E6553" t="s">
        <v>67</v>
      </c>
      <c r="F6553" t="s">
        <v>45</v>
      </c>
      <c r="G6553" s="117">
        <v>71.099999999999994</v>
      </c>
    </row>
    <row r="6554" spans="1:7" x14ac:dyDescent="0.25">
      <c r="A6554" s="116" t="s">
        <v>10420</v>
      </c>
      <c r="B6554" s="117" t="s">
        <v>10421</v>
      </c>
      <c r="C6554" t="s">
        <v>67</v>
      </c>
      <c r="D6554" t="s">
        <v>67</v>
      </c>
      <c r="E6554" t="s">
        <v>67</v>
      </c>
      <c r="F6554" t="s">
        <v>27987</v>
      </c>
      <c r="G6554" s="117">
        <v>13.35</v>
      </c>
    </row>
    <row r="6555" spans="1:7" x14ac:dyDescent="0.25">
      <c r="A6555" s="116" t="s">
        <v>10422</v>
      </c>
      <c r="B6555" s="117" t="s">
        <v>10423</v>
      </c>
      <c r="C6555" t="s">
        <v>67</v>
      </c>
      <c r="D6555" t="s">
        <v>67</v>
      </c>
      <c r="E6555" t="s">
        <v>67</v>
      </c>
      <c r="F6555" t="s">
        <v>27987</v>
      </c>
      <c r="G6555" s="117">
        <v>27.14</v>
      </c>
    </row>
    <row r="6556" spans="1:7" x14ac:dyDescent="0.25">
      <c r="A6556" s="116" t="s">
        <v>10424</v>
      </c>
      <c r="B6556" s="117" t="s">
        <v>10425</v>
      </c>
      <c r="C6556" t="s">
        <v>67</v>
      </c>
      <c r="D6556" t="s">
        <v>67</v>
      </c>
      <c r="E6556" t="s">
        <v>67</v>
      </c>
      <c r="F6556" t="s">
        <v>45</v>
      </c>
      <c r="G6556" s="117">
        <v>28.38</v>
      </c>
    </row>
    <row r="6557" spans="1:7" x14ac:dyDescent="0.25">
      <c r="A6557" s="116" t="s">
        <v>10426</v>
      </c>
      <c r="B6557" s="117" t="s">
        <v>10427</v>
      </c>
      <c r="C6557" t="s">
        <v>67</v>
      </c>
      <c r="D6557" t="s">
        <v>67</v>
      </c>
      <c r="E6557" t="s">
        <v>67</v>
      </c>
      <c r="F6557" t="s">
        <v>27987</v>
      </c>
      <c r="G6557" s="117">
        <v>95.66</v>
      </c>
    </row>
    <row r="6558" spans="1:7" x14ac:dyDescent="0.25">
      <c r="A6558" s="116" t="s">
        <v>10428</v>
      </c>
      <c r="B6558" s="117" t="s">
        <v>10429</v>
      </c>
      <c r="C6558" t="s">
        <v>67</v>
      </c>
      <c r="D6558" t="s">
        <v>67</v>
      </c>
      <c r="E6558" t="s">
        <v>67</v>
      </c>
      <c r="F6558" t="s">
        <v>27987</v>
      </c>
      <c r="G6558" s="117">
        <v>133.38</v>
      </c>
    </row>
    <row r="6559" spans="1:7" x14ac:dyDescent="0.25">
      <c r="A6559" s="116" t="s">
        <v>10430</v>
      </c>
      <c r="B6559" s="117" t="s">
        <v>10431</v>
      </c>
      <c r="C6559" t="s">
        <v>67</v>
      </c>
      <c r="D6559" t="s">
        <v>67</v>
      </c>
      <c r="E6559" t="s">
        <v>67</v>
      </c>
      <c r="F6559" t="s">
        <v>27987</v>
      </c>
      <c r="G6559" s="117">
        <v>26.25</v>
      </c>
    </row>
    <row r="6560" spans="1:7" x14ac:dyDescent="0.25">
      <c r="A6560" s="116" t="s">
        <v>10432</v>
      </c>
      <c r="B6560" s="117" t="s">
        <v>10433</v>
      </c>
      <c r="C6560" t="s">
        <v>67</v>
      </c>
      <c r="D6560" t="s">
        <v>67</v>
      </c>
      <c r="E6560" t="s">
        <v>67</v>
      </c>
      <c r="F6560" t="s">
        <v>27987</v>
      </c>
      <c r="G6560" s="117">
        <v>218.45</v>
      </c>
    </row>
    <row r="6561" spans="1:7" x14ac:dyDescent="0.25">
      <c r="A6561" s="116" t="s">
        <v>10434</v>
      </c>
      <c r="B6561" s="117" t="s">
        <v>28867</v>
      </c>
      <c r="C6561" t="s">
        <v>67</v>
      </c>
      <c r="D6561" t="s">
        <v>67</v>
      </c>
      <c r="E6561" t="s">
        <v>67</v>
      </c>
      <c r="F6561" t="s">
        <v>27987</v>
      </c>
      <c r="G6561" s="117">
        <v>1120.74</v>
      </c>
    </row>
    <row r="6562" spans="1:7" x14ac:dyDescent="0.25">
      <c r="A6562" s="116" t="s">
        <v>10435</v>
      </c>
      <c r="B6562" s="117" t="s">
        <v>10436</v>
      </c>
      <c r="C6562" t="s">
        <v>67</v>
      </c>
      <c r="D6562" t="s">
        <v>67</v>
      </c>
      <c r="E6562" t="s">
        <v>67</v>
      </c>
      <c r="F6562" t="s">
        <v>27987</v>
      </c>
      <c r="G6562" s="117">
        <v>152.61000000000001</v>
      </c>
    </row>
    <row r="6563" spans="1:7" x14ac:dyDescent="0.25">
      <c r="A6563" s="116" t="s">
        <v>10437</v>
      </c>
      <c r="B6563" s="117" t="s">
        <v>10438</v>
      </c>
      <c r="C6563" t="s">
        <v>67</v>
      </c>
      <c r="D6563" t="s">
        <v>67</v>
      </c>
      <c r="E6563" t="s">
        <v>67</v>
      </c>
      <c r="F6563" t="s">
        <v>27987</v>
      </c>
      <c r="G6563" s="117">
        <v>77.86</v>
      </c>
    </row>
    <row r="6564" spans="1:7" x14ac:dyDescent="0.25">
      <c r="A6564" s="116" t="s">
        <v>10439</v>
      </c>
      <c r="B6564" s="117" t="s">
        <v>10440</v>
      </c>
      <c r="C6564" t="s">
        <v>67</v>
      </c>
      <c r="D6564" t="s">
        <v>67</v>
      </c>
      <c r="E6564" t="s">
        <v>67</v>
      </c>
      <c r="F6564" t="s">
        <v>27987</v>
      </c>
      <c r="G6564" s="117">
        <v>1.33</v>
      </c>
    </row>
    <row r="6565" spans="1:7" x14ac:dyDescent="0.25">
      <c r="A6565" s="116" t="s">
        <v>10441</v>
      </c>
      <c r="B6565" s="117" t="s">
        <v>10442</v>
      </c>
      <c r="C6565" t="s">
        <v>67</v>
      </c>
      <c r="D6565" t="s">
        <v>67</v>
      </c>
      <c r="E6565" t="s">
        <v>67</v>
      </c>
      <c r="F6565" t="s">
        <v>49</v>
      </c>
      <c r="G6565" s="117">
        <v>4.8899999999999997</v>
      </c>
    </row>
    <row r="6566" spans="1:7" x14ac:dyDescent="0.25">
      <c r="A6566" s="116" t="s">
        <v>10443</v>
      </c>
      <c r="B6566" s="117" t="s">
        <v>10444</v>
      </c>
      <c r="C6566" t="s">
        <v>67</v>
      </c>
      <c r="D6566" t="s">
        <v>67</v>
      </c>
      <c r="E6566" t="s">
        <v>67</v>
      </c>
      <c r="F6566" t="s">
        <v>27987</v>
      </c>
      <c r="G6566" s="117">
        <v>15.04</v>
      </c>
    </row>
    <row r="6567" spans="1:7" x14ac:dyDescent="0.25">
      <c r="A6567" s="116" t="s">
        <v>10445</v>
      </c>
      <c r="B6567" s="117" t="s">
        <v>10446</v>
      </c>
      <c r="C6567" t="s">
        <v>67</v>
      </c>
      <c r="D6567" t="s">
        <v>67</v>
      </c>
      <c r="E6567" t="s">
        <v>67</v>
      </c>
      <c r="F6567" t="s">
        <v>27987</v>
      </c>
      <c r="G6567" s="117">
        <v>4.8899999999999997</v>
      </c>
    </row>
    <row r="6568" spans="1:7" x14ac:dyDescent="0.25">
      <c r="A6568" s="116" t="s">
        <v>10447</v>
      </c>
      <c r="B6568" s="117" t="s">
        <v>10448</v>
      </c>
      <c r="C6568" t="s">
        <v>67</v>
      </c>
      <c r="D6568" t="s">
        <v>67</v>
      </c>
      <c r="E6568" t="s">
        <v>67</v>
      </c>
      <c r="F6568" t="s">
        <v>27987</v>
      </c>
      <c r="G6568" s="117">
        <v>1.69</v>
      </c>
    </row>
    <row r="6569" spans="1:7" x14ac:dyDescent="0.25">
      <c r="A6569" s="116" t="s">
        <v>10449</v>
      </c>
      <c r="B6569" s="117" t="s">
        <v>10450</v>
      </c>
      <c r="C6569" t="s">
        <v>67</v>
      </c>
      <c r="D6569" t="s">
        <v>67</v>
      </c>
      <c r="E6569" t="s">
        <v>67</v>
      </c>
      <c r="F6569" t="s">
        <v>45</v>
      </c>
      <c r="G6569" s="117">
        <v>3.12</v>
      </c>
    </row>
    <row r="6570" spans="1:7" x14ac:dyDescent="0.25">
      <c r="A6570" s="116" t="s">
        <v>10451</v>
      </c>
      <c r="B6570" s="117" t="s">
        <v>10452</v>
      </c>
      <c r="C6570" t="s">
        <v>67</v>
      </c>
      <c r="D6570" t="s">
        <v>67</v>
      </c>
      <c r="E6570" t="s">
        <v>67</v>
      </c>
      <c r="F6570" t="s">
        <v>45</v>
      </c>
      <c r="G6570" s="117">
        <v>25.36</v>
      </c>
    </row>
    <row r="6571" spans="1:7" x14ac:dyDescent="0.25">
      <c r="A6571" s="116" t="s">
        <v>10453</v>
      </c>
      <c r="B6571" s="117" t="s">
        <v>10454</v>
      </c>
      <c r="C6571" t="s">
        <v>67</v>
      </c>
      <c r="D6571" t="s">
        <v>67</v>
      </c>
      <c r="E6571" t="s">
        <v>67</v>
      </c>
      <c r="F6571" t="s">
        <v>27987</v>
      </c>
      <c r="G6571" s="117">
        <v>49.74</v>
      </c>
    </row>
    <row r="6572" spans="1:7" x14ac:dyDescent="0.25">
      <c r="A6572" s="116" t="s">
        <v>10455</v>
      </c>
      <c r="B6572" s="117" t="s">
        <v>10456</v>
      </c>
      <c r="C6572" t="s">
        <v>67</v>
      </c>
      <c r="D6572" t="s">
        <v>67</v>
      </c>
      <c r="E6572" t="s">
        <v>67</v>
      </c>
      <c r="F6572" t="s">
        <v>27987</v>
      </c>
      <c r="G6572" s="117">
        <v>49.74</v>
      </c>
    </row>
    <row r="6573" spans="1:7" x14ac:dyDescent="0.25">
      <c r="A6573" s="116" t="s">
        <v>10457</v>
      </c>
      <c r="B6573" s="117" t="s">
        <v>10458</v>
      </c>
      <c r="C6573" t="s">
        <v>67</v>
      </c>
      <c r="D6573" t="s">
        <v>67</v>
      </c>
      <c r="E6573" t="s">
        <v>67</v>
      </c>
      <c r="F6573" t="s">
        <v>27987</v>
      </c>
      <c r="G6573" s="117">
        <v>50.63</v>
      </c>
    </row>
    <row r="6574" spans="1:7" x14ac:dyDescent="0.25">
      <c r="A6574" s="116" t="s">
        <v>10459</v>
      </c>
      <c r="B6574" s="117" t="s">
        <v>10460</v>
      </c>
      <c r="C6574" t="s">
        <v>67</v>
      </c>
      <c r="D6574" t="s">
        <v>67</v>
      </c>
      <c r="E6574" t="s">
        <v>67</v>
      </c>
      <c r="F6574" t="s">
        <v>45</v>
      </c>
      <c r="G6574" s="117">
        <v>49.74</v>
      </c>
    </row>
    <row r="6575" spans="1:7" x14ac:dyDescent="0.25">
      <c r="A6575" s="116" t="s">
        <v>10461</v>
      </c>
      <c r="B6575" s="117" t="s">
        <v>10462</v>
      </c>
      <c r="C6575" t="s">
        <v>67</v>
      </c>
      <c r="D6575" t="s">
        <v>67</v>
      </c>
      <c r="E6575" t="s">
        <v>67</v>
      </c>
      <c r="F6575" t="s">
        <v>27987</v>
      </c>
      <c r="G6575" s="117">
        <v>47.61</v>
      </c>
    </row>
    <row r="6576" spans="1:7" x14ac:dyDescent="0.25">
      <c r="A6576" s="116" t="s">
        <v>10463</v>
      </c>
      <c r="B6576" s="117" t="s">
        <v>10464</v>
      </c>
      <c r="C6576" t="s">
        <v>67</v>
      </c>
      <c r="D6576" t="s">
        <v>67</v>
      </c>
      <c r="E6576" t="s">
        <v>67</v>
      </c>
      <c r="F6576" t="s">
        <v>27987</v>
      </c>
      <c r="G6576" s="117">
        <v>4.8899999999999997</v>
      </c>
    </row>
    <row r="6577" spans="1:7" x14ac:dyDescent="0.25">
      <c r="A6577" s="116" t="s">
        <v>10465</v>
      </c>
      <c r="B6577" s="117" t="s">
        <v>10466</v>
      </c>
      <c r="C6577" t="s">
        <v>67</v>
      </c>
      <c r="D6577" t="s">
        <v>67</v>
      </c>
      <c r="E6577" t="s">
        <v>67</v>
      </c>
      <c r="F6577" t="s">
        <v>27987</v>
      </c>
      <c r="G6577" s="117">
        <v>178.42</v>
      </c>
    </row>
    <row r="6578" spans="1:7" x14ac:dyDescent="0.25">
      <c r="A6578" s="116" t="s">
        <v>10467</v>
      </c>
      <c r="B6578" s="117" t="s">
        <v>10468</v>
      </c>
      <c r="C6578" t="s">
        <v>67</v>
      </c>
      <c r="D6578" t="s">
        <v>67</v>
      </c>
      <c r="E6578" t="s">
        <v>67</v>
      </c>
      <c r="F6578" t="s">
        <v>27987</v>
      </c>
      <c r="G6578" s="117">
        <v>57.39</v>
      </c>
    </row>
    <row r="6579" spans="1:7" x14ac:dyDescent="0.25">
      <c r="A6579" s="116" t="s">
        <v>10469</v>
      </c>
      <c r="B6579" s="117" t="s">
        <v>10470</v>
      </c>
      <c r="C6579" t="s">
        <v>67</v>
      </c>
      <c r="D6579" t="s">
        <v>67</v>
      </c>
      <c r="E6579" t="s">
        <v>67</v>
      </c>
      <c r="F6579" t="s">
        <v>27987</v>
      </c>
      <c r="G6579" s="117">
        <v>47.07</v>
      </c>
    </row>
    <row r="6580" spans="1:7" x14ac:dyDescent="0.25">
      <c r="A6580" s="116" t="s">
        <v>10471</v>
      </c>
      <c r="B6580" s="117" t="s">
        <v>10472</v>
      </c>
      <c r="C6580" t="s">
        <v>67</v>
      </c>
      <c r="D6580" t="s">
        <v>67</v>
      </c>
      <c r="E6580" t="s">
        <v>67</v>
      </c>
      <c r="F6580" t="s">
        <v>27987</v>
      </c>
      <c r="G6580" s="117">
        <v>23.05</v>
      </c>
    </row>
    <row r="6581" spans="1:7" x14ac:dyDescent="0.25">
      <c r="A6581" s="116" t="s">
        <v>10473</v>
      </c>
      <c r="B6581" s="117" t="s">
        <v>10474</v>
      </c>
      <c r="C6581" t="s">
        <v>67</v>
      </c>
      <c r="D6581" t="s">
        <v>67</v>
      </c>
      <c r="E6581" t="s">
        <v>67</v>
      </c>
      <c r="F6581" t="s">
        <v>45</v>
      </c>
      <c r="G6581" s="117">
        <v>16.82</v>
      </c>
    </row>
    <row r="6582" spans="1:7" x14ac:dyDescent="0.25">
      <c r="A6582" s="116" t="s">
        <v>10475</v>
      </c>
      <c r="B6582" s="117" t="s">
        <v>10476</v>
      </c>
      <c r="C6582" t="s">
        <v>67</v>
      </c>
      <c r="D6582" t="s">
        <v>67</v>
      </c>
      <c r="E6582" t="s">
        <v>67</v>
      </c>
      <c r="F6582" t="s">
        <v>27987</v>
      </c>
      <c r="G6582" s="117">
        <v>27.14</v>
      </c>
    </row>
    <row r="6583" spans="1:7" x14ac:dyDescent="0.25">
      <c r="A6583" s="116" t="s">
        <v>10477</v>
      </c>
      <c r="B6583" s="117" t="s">
        <v>10478</v>
      </c>
      <c r="C6583" t="s">
        <v>67</v>
      </c>
      <c r="D6583" t="s">
        <v>67</v>
      </c>
      <c r="E6583" t="s">
        <v>67</v>
      </c>
      <c r="F6583" t="s">
        <v>45</v>
      </c>
      <c r="G6583" s="117">
        <v>36.54</v>
      </c>
    </row>
    <row r="6584" spans="1:7" x14ac:dyDescent="0.25">
      <c r="A6584" s="116" t="s">
        <v>10479</v>
      </c>
      <c r="B6584" s="117" t="s">
        <v>10480</v>
      </c>
      <c r="C6584" t="s">
        <v>67</v>
      </c>
      <c r="D6584" t="s">
        <v>67</v>
      </c>
      <c r="E6584" t="s">
        <v>67</v>
      </c>
      <c r="F6584" t="s">
        <v>45</v>
      </c>
      <c r="G6584" s="117">
        <v>39.81</v>
      </c>
    </row>
    <row r="6585" spans="1:7" x14ac:dyDescent="0.25">
      <c r="A6585" s="116" t="s">
        <v>10481</v>
      </c>
      <c r="B6585" s="117" t="s">
        <v>10482</v>
      </c>
      <c r="C6585" t="s">
        <v>67</v>
      </c>
      <c r="D6585" t="s">
        <v>67</v>
      </c>
      <c r="E6585" t="s">
        <v>67</v>
      </c>
      <c r="F6585" t="s">
        <v>45</v>
      </c>
      <c r="G6585" s="117">
        <v>11.12</v>
      </c>
    </row>
    <row r="6586" spans="1:7" x14ac:dyDescent="0.25">
      <c r="A6586" s="116" t="s">
        <v>10483</v>
      </c>
      <c r="B6586" s="117" t="s">
        <v>10484</v>
      </c>
      <c r="C6586" t="s">
        <v>67</v>
      </c>
      <c r="D6586" t="s">
        <v>67</v>
      </c>
      <c r="E6586" t="s">
        <v>67</v>
      </c>
      <c r="F6586" t="s">
        <v>45</v>
      </c>
      <c r="G6586" s="117">
        <v>11.48</v>
      </c>
    </row>
    <row r="6587" spans="1:7" x14ac:dyDescent="0.25">
      <c r="A6587" s="116" t="s">
        <v>10485</v>
      </c>
      <c r="B6587" s="117" t="s">
        <v>10486</v>
      </c>
      <c r="C6587" t="s">
        <v>67</v>
      </c>
      <c r="D6587" t="s">
        <v>67</v>
      </c>
      <c r="E6587" t="s">
        <v>67</v>
      </c>
      <c r="F6587" t="s">
        <v>27987</v>
      </c>
      <c r="G6587" s="117">
        <v>15.57</v>
      </c>
    </row>
    <row r="6588" spans="1:7" x14ac:dyDescent="0.25">
      <c r="A6588" s="116" t="s">
        <v>10487</v>
      </c>
      <c r="B6588" s="117" t="s">
        <v>10488</v>
      </c>
      <c r="C6588" t="s">
        <v>67</v>
      </c>
      <c r="D6588" t="s">
        <v>67</v>
      </c>
      <c r="E6588" t="s">
        <v>67</v>
      </c>
      <c r="F6588" t="s">
        <v>51</v>
      </c>
      <c r="G6588" s="117">
        <v>24.82</v>
      </c>
    </row>
    <row r="6589" spans="1:7" x14ac:dyDescent="0.25">
      <c r="A6589" s="116" t="s">
        <v>10489</v>
      </c>
      <c r="B6589" s="117" t="s">
        <v>10490</v>
      </c>
      <c r="C6589" t="s">
        <v>67</v>
      </c>
      <c r="D6589" t="s">
        <v>67</v>
      </c>
      <c r="E6589" t="s">
        <v>67</v>
      </c>
      <c r="F6589" t="s">
        <v>27987</v>
      </c>
      <c r="G6589" s="117">
        <v>14.14</v>
      </c>
    </row>
    <row r="6590" spans="1:7" x14ac:dyDescent="0.25">
      <c r="A6590" s="116" t="s">
        <v>10491</v>
      </c>
      <c r="B6590" s="117" t="s">
        <v>10492</v>
      </c>
      <c r="C6590" t="s">
        <v>67</v>
      </c>
      <c r="D6590" t="s">
        <v>67</v>
      </c>
      <c r="E6590" t="s">
        <v>67</v>
      </c>
      <c r="F6590" t="s">
        <v>27987</v>
      </c>
      <c r="G6590" s="117">
        <v>13.8</v>
      </c>
    </row>
    <row r="6591" spans="1:7" x14ac:dyDescent="0.25">
      <c r="A6591" s="116" t="s">
        <v>10493</v>
      </c>
      <c r="B6591" s="117" t="s">
        <v>10494</v>
      </c>
      <c r="C6591" t="s">
        <v>67</v>
      </c>
      <c r="D6591" t="s">
        <v>67</v>
      </c>
      <c r="E6591" t="s">
        <v>67</v>
      </c>
      <c r="F6591" t="s">
        <v>45</v>
      </c>
      <c r="G6591" s="117">
        <v>30.7</v>
      </c>
    </row>
    <row r="6592" spans="1:7" x14ac:dyDescent="0.25">
      <c r="A6592" s="116" t="s">
        <v>10495</v>
      </c>
      <c r="B6592" s="117" t="s">
        <v>10496</v>
      </c>
      <c r="C6592" t="s">
        <v>67</v>
      </c>
      <c r="D6592" t="s">
        <v>67</v>
      </c>
      <c r="E6592" t="s">
        <v>67</v>
      </c>
      <c r="F6592" t="s">
        <v>27987</v>
      </c>
      <c r="G6592" s="117">
        <v>2.58</v>
      </c>
    </row>
    <row r="6593" spans="1:7" x14ac:dyDescent="0.25">
      <c r="A6593" s="116" t="s">
        <v>10497</v>
      </c>
      <c r="B6593" s="117" t="s">
        <v>10498</v>
      </c>
      <c r="C6593" t="s">
        <v>67</v>
      </c>
      <c r="D6593" t="s">
        <v>67</v>
      </c>
      <c r="E6593" t="s">
        <v>67</v>
      </c>
      <c r="F6593" t="s">
        <v>27987</v>
      </c>
      <c r="G6593" s="117">
        <v>47.61</v>
      </c>
    </row>
    <row r="6594" spans="1:7" x14ac:dyDescent="0.25">
      <c r="A6594" s="116" t="s">
        <v>10499</v>
      </c>
      <c r="B6594" s="117" t="s">
        <v>10500</v>
      </c>
      <c r="C6594" t="s">
        <v>67</v>
      </c>
      <c r="D6594" t="s">
        <v>67</v>
      </c>
      <c r="E6594" t="s">
        <v>67</v>
      </c>
      <c r="F6594" t="s">
        <v>27987</v>
      </c>
      <c r="G6594" s="117">
        <v>34.26</v>
      </c>
    </row>
    <row r="6595" spans="1:7" x14ac:dyDescent="0.25">
      <c r="A6595" s="116" t="s">
        <v>10501</v>
      </c>
      <c r="B6595" s="117" t="s">
        <v>10502</v>
      </c>
      <c r="C6595" t="s">
        <v>67</v>
      </c>
      <c r="D6595" t="s">
        <v>67</v>
      </c>
      <c r="E6595" t="s">
        <v>67</v>
      </c>
      <c r="F6595" t="s">
        <v>27987</v>
      </c>
      <c r="G6595" s="117">
        <v>34.26</v>
      </c>
    </row>
    <row r="6596" spans="1:7" x14ac:dyDescent="0.25">
      <c r="A6596" s="116" t="s">
        <v>10503</v>
      </c>
      <c r="B6596" s="117" t="s">
        <v>10504</v>
      </c>
      <c r="C6596" t="s">
        <v>67</v>
      </c>
      <c r="D6596" t="s">
        <v>67</v>
      </c>
      <c r="E6596" t="s">
        <v>67</v>
      </c>
      <c r="F6596" t="s">
        <v>49</v>
      </c>
      <c r="G6596" s="117">
        <v>7.02</v>
      </c>
    </row>
    <row r="6597" spans="1:7" x14ac:dyDescent="0.25">
      <c r="A6597" s="116" t="s">
        <v>10505</v>
      </c>
      <c r="B6597" s="117" t="s">
        <v>28868</v>
      </c>
      <c r="C6597" t="s">
        <v>67</v>
      </c>
      <c r="D6597" t="s">
        <v>67</v>
      </c>
      <c r="E6597" t="s">
        <v>67</v>
      </c>
      <c r="F6597" t="s">
        <v>27987</v>
      </c>
      <c r="G6597" s="117">
        <v>19.25</v>
      </c>
    </row>
    <row r="6598" spans="1:7" x14ac:dyDescent="0.25">
      <c r="A6598" s="116" t="s">
        <v>10506</v>
      </c>
      <c r="B6598" s="117" t="s">
        <v>10507</v>
      </c>
      <c r="C6598" t="s">
        <v>67</v>
      </c>
      <c r="D6598" t="s">
        <v>67</v>
      </c>
      <c r="E6598" t="s">
        <v>67</v>
      </c>
      <c r="F6598" t="s">
        <v>27987</v>
      </c>
      <c r="G6598" s="117">
        <v>30.7</v>
      </c>
    </row>
    <row r="6599" spans="1:7" x14ac:dyDescent="0.25">
      <c r="A6599" s="116" t="s">
        <v>10508</v>
      </c>
      <c r="B6599" s="117" t="s">
        <v>10509</v>
      </c>
      <c r="C6599" t="s">
        <v>67</v>
      </c>
      <c r="D6599" t="s">
        <v>67</v>
      </c>
      <c r="E6599" t="s">
        <v>67</v>
      </c>
      <c r="F6599" t="s">
        <v>27987</v>
      </c>
      <c r="G6599" s="117">
        <v>31.06</v>
      </c>
    </row>
    <row r="6600" spans="1:7" x14ac:dyDescent="0.25">
      <c r="A6600" s="116" t="s">
        <v>10510</v>
      </c>
      <c r="B6600" s="117" t="s">
        <v>10511</v>
      </c>
      <c r="C6600" t="s">
        <v>67</v>
      </c>
      <c r="D6600" t="s">
        <v>67</v>
      </c>
      <c r="E6600" t="s">
        <v>67</v>
      </c>
      <c r="F6600" t="s">
        <v>27987</v>
      </c>
      <c r="G6600" s="117">
        <v>52.06</v>
      </c>
    </row>
    <row r="6601" spans="1:7" x14ac:dyDescent="0.25">
      <c r="A6601" s="116" t="s">
        <v>26595</v>
      </c>
      <c r="B6601" s="117" t="s">
        <v>26596</v>
      </c>
      <c r="C6601" t="s">
        <v>67</v>
      </c>
      <c r="D6601" t="s">
        <v>67</v>
      </c>
      <c r="E6601" t="s">
        <v>67</v>
      </c>
      <c r="F6601" t="s">
        <v>27987</v>
      </c>
      <c r="G6601" s="117">
        <v>142.07</v>
      </c>
    </row>
    <row r="6602" spans="1:7" x14ac:dyDescent="0.25">
      <c r="A6602" s="116" t="s">
        <v>10512</v>
      </c>
      <c r="B6602" s="117" t="s">
        <v>10513</v>
      </c>
      <c r="C6602" t="s">
        <v>67</v>
      </c>
      <c r="D6602" t="s">
        <v>67</v>
      </c>
      <c r="E6602" t="s">
        <v>67</v>
      </c>
      <c r="F6602" t="s">
        <v>27987</v>
      </c>
      <c r="G6602" s="117">
        <v>140.88</v>
      </c>
    </row>
    <row r="6603" spans="1:7" x14ac:dyDescent="0.25">
      <c r="A6603" s="116" t="s">
        <v>10514</v>
      </c>
      <c r="B6603" s="117" t="s">
        <v>10515</v>
      </c>
      <c r="C6603" t="s">
        <v>67</v>
      </c>
      <c r="D6603" t="s">
        <v>67</v>
      </c>
      <c r="E6603" t="s">
        <v>67</v>
      </c>
      <c r="F6603" t="s">
        <v>27987</v>
      </c>
      <c r="G6603" s="117">
        <v>16.46</v>
      </c>
    </row>
    <row r="6604" spans="1:7" x14ac:dyDescent="0.25">
      <c r="A6604" s="116" t="s">
        <v>10516</v>
      </c>
      <c r="B6604" s="117" t="s">
        <v>10517</v>
      </c>
      <c r="C6604" t="s">
        <v>67</v>
      </c>
      <c r="D6604" t="s">
        <v>67</v>
      </c>
      <c r="E6604" t="s">
        <v>67</v>
      </c>
      <c r="F6604" t="s">
        <v>27987</v>
      </c>
      <c r="G6604" s="117">
        <v>8.81</v>
      </c>
    </row>
    <row r="6605" spans="1:7" x14ac:dyDescent="0.25">
      <c r="A6605" s="116" t="s">
        <v>26543</v>
      </c>
      <c r="B6605" s="117" t="s">
        <v>26544</v>
      </c>
      <c r="C6605" t="s">
        <v>67</v>
      </c>
      <c r="D6605" t="s">
        <v>67</v>
      </c>
      <c r="E6605" t="s">
        <v>67</v>
      </c>
      <c r="F6605" t="s">
        <v>45</v>
      </c>
      <c r="G6605" s="117">
        <v>3.5</v>
      </c>
    </row>
    <row r="6606" spans="1:7" x14ac:dyDescent="0.25">
      <c r="A6606" s="116" t="s">
        <v>10518</v>
      </c>
      <c r="B6606" s="117" t="s">
        <v>10519</v>
      </c>
      <c r="C6606" t="s">
        <v>67</v>
      </c>
      <c r="D6606" t="s">
        <v>67</v>
      </c>
      <c r="E6606" t="s">
        <v>67</v>
      </c>
      <c r="F6606" t="s">
        <v>27987</v>
      </c>
      <c r="G6606" s="117">
        <v>18.600000000000001</v>
      </c>
    </row>
    <row r="6607" spans="1:7" x14ac:dyDescent="0.25">
      <c r="A6607" s="116" t="s">
        <v>10520</v>
      </c>
      <c r="B6607" s="117" t="s">
        <v>10521</v>
      </c>
      <c r="C6607" t="s">
        <v>67</v>
      </c>
      <c r="D6607" t="s">
        <v>67</v>
      </c>
      <c r="E6607" t="s">
        <v>67</v>
      </c>
      <c r="F6607" t="s">
        <v>27987</v>
      </c>
      <c r="G6607" s="117">
        <v>13.26</v>
      </c>
    </row>
    <row r="6608" spans="1:7" x14ac:dyDescent="0.25">
      <c r="A6608" s="116" t="s">
        <v>10522</v>
      </c>
      <c r="B6608" s="117" t="s">
        <v>10523</v>
      </c>
      <c r="C6608" t="s">
        <v>67</v>
      </c>
      <c r="D6608" t="s">
        <v>67</v>
      </c>
      <c r="E6608" t="s">
        <v>67</v>
      </c>
      <c r="F6608" t="s">
        <v>49</v>
      </c>
      <c r="G6608" s="117">
        <v>2.58</v>
      </c>
    </row>
    <row r="6609" spans="1:7" x14ac:dyDescent="0.25">
      <c r="A6609" s="116" t="s">
        <v>10524</v>
      </c>
      <c r="B6609" s="117" t="s">
        <v>10525</v>
      </c>
      <c r="C6609" t="s">
        <v>67</v>
      </c>
      <c r="D6609" t="s">
        <v>67</v>
      </c>
      <c r="E6609" t="s">
        <v>67</v>
      </c>
      <c r="F6609" t="s">
        <v>27987</v>
      </c>
      <c r="G6609" s="117">
        <v>609.44000000000005</v>
      </c>
    </row>
    <row r="6610" spans="1:7" x14ac:dyDescent="0.25">
      <c r="A6610" s="116" t="s">
        <v>10526</v>
      </c>
      <c r="B6610" s="117" t="s">
        <v>10527</v>
      </c>
      <c r="C6610" t="s">
        <v>67</v>
      </c>
      <c r="D6610" t="s">
        <v>67</v>
      </c>
      <c r="E6610" t="s">
        <v>67</v>
      </c>
      <c r="F6610" t="s">
        <v>45</v>
      </c>
      <c r="G6610" s="117">
        <v>61.31</v>
      </c>
    </row>
    <row r="6611" spans="1:7" x14ac:dyDescent="0.25">
      <c r="A6611" s="116" t="s">
        <v>10528</v>
      </c>
      <c r="B6611" s="117" t="s">
        <v>10529</v>
      </c>
      <c r="C6611" t="s">
        <v>67</v>
      </c>
      <c r="D6611" t="s">
        <v>67</v>
      </c>
      <c r="E6611" t="s">
        <v>67</v>
      </c>
      <c r="F6611" t="s">
        <v>27987</v>
      </c>
      <c r="G6611" s="117">
        <v>32.83</v>
      </c>
    </row>
    <row r="6612" spans="1:7" x14ac:dyDescent="0.25">
      <c r="A6612" s="116" t="s">
        <v>10530</v>
      </c>
      <c r="B6612" s="117" t="s">
        <v>3062</v>
      </c>
      <c r="C6612" t="s">
        <v>67</v>
      </c>
      <c r="D6612" t="s">
        <v>67</v>
      </c>
      <c r="E6612" t="s">
        <v>67</v>
      </c>
      <c r="F6612" t="s">
        <v>27987</v>
      </c>
      <c r="G6612" s="117">
        <v>51.17</v>
      </c>
    </row>
    <row r="6613" spans="1:7" x14ac:dyDescent="0.25">
      <c r="A6613" s="116" t="s">
        <v>10531</v>
      </c>
      <c r="B6613" s="117" t="s">
        <v>10532</v>
      </c>
      <c r="C6613" t="s">
        <v>67</v>
      </c>
      <c r="D6613" t="s">
        <v>67</v>
      </c>
      <c r="E6613" t="s">
        <v>67</v>
      </c>
      <c r="F6613" t="s">
        <v>27987</v>
      </c>
      <c r="G6613" s="117">
        <v>42.62</v>
      </c>
    </row>
    <row r="6614" spans="1:7" x14ac:dyDescent="0.25">
      <c r="A6614" s="116" t="s">
        <v>10533</v>
      </c>
      <c r="B6614" s="117" t="s">
        <v>10534</v>
      </c>
      <c r="C6614" t="s">
        <v>67</v>
      </c>
      <c r="D6614" t="s">
        <v>67</v>
      </c>
      <c r="E6614" t="s">
        <v>67</v>
      </c>
      <c r="F6614" t="s">
        <v>27987</v>
      </c>
      <c r="G6614" s="117">
        <v>36.04</v>
      </c>
    </row>
    <row r="6615" spans="1:7" x14ac:dyDescent="0.25">
      <c r="A6615" s="116" t="s">
        <v>10535</v>
      </c>
      <c r="B6615" s="117" t="s">
        <v>10536</v>
      </c>
      <c r="C6615" t="s">
        <v>67</v>
      </c>
      <c r="D6615" t="s">
        <v>67</v>
      </c>
      <c r="E6615" t="s">
        <v>67</v>
      </c>
      <c r="F6615" t="s">
        <v>27987</v>
      </c>
      <c r="G6615" s="117">
        <v>77.319999999999993</v>
      </c>
    </row>
    <row r="6616" spans="1:7" x14ac:dyDescent="0.25">
      <c r="A6616" s="116" t="s">
        <v>10537</v>
      </c>
      <c r="B6616" s="117" t="s">
        <v>10538</v>
      </c>
      <c r="C6616" t="s">
        <v>67</v>
      </c>
      <c r="D6616" t="s">
        <v>67</v>
      </c>
      <c r="E6616" t="s">
        <v>67</v>
      </c>
      <c r="F6616" t="s">
        <v>51</v>
      </c>
      <c r="G6616" s="117">
        <v>25.34</v>
      </c>
    </row>
    <row r="6617" spans="1:7" x14ac:dyDescent="0.25">
      <c r="A6617" s="116" t="s">
        <v>10539</v>
      </c>
      <c r="B6617" s="117" t="s">
        <v>10540</v>
      </c>
      <c r="C6617" t="s">
        <v>67</v>
      </c>
      <c r="D6617" t="s">
        <v>67</v>
      </c>
      <c r="E6617" t="s">
        <v>67</v>
      </c>
      <c r="F6617" t="s">
        <v>27987</v>
      </c>
      <c r="G6617" s="117">
        <v>38.56</v>
      </c>
    </row>
    <row r="6618" spans="1:7" x14ac:dyDescent="0.25">
      <c r="A6618" s="116" t="s">
        <v>31251</v>
      </c>
      <c r="B6618" s="117" t="s">
        <v>31252</v>
      </c>
      <c r="C6618" t="s">
        <v>67</v>
      </c>
      <c r="D6618" t="s">
        <v>67</v>
      </c>
      <c r="E6618" t="s">
        <v>67</v>
      </c>
      <c r="F6618" t="s">
        <v>45</v>
      </c>
      <c r="G6618" s="117">
        <v>55</v>
      </c>
    </row>
    <row r="6619" spans="1:7" x14ac:dyDescent="0.25">
      <c r="A6619" s="116" t="s">
        <v>10541</v>
      </c>
      <c r="B6619" s="117" t="s">
        <v>10542</v>
      </c>
      <c r="C6619" t="s">
        <v>67</v>
      </c>
      <c r="D6619" t="s">
        <v>67</v>
      </c>
      <c r="E6619" t="s">
        <v>67</v>
      </c>
      <c r="F6619" t="s">
        <v>27987</v>
      </c>
      <c r="G6619" s="117">
        <v>64.510000000000005</v>
      </c>
    </row>
    <row r="6620" spans="1:7" x14ac:dyDescent="0.25">
      <c r="A6620" s="116" t="s">
        <v>10543</v>
      </c>
      <c r="B6620" s="117" t="s">
        <v>10544</v>
      </c>
      <c r="C6620" t="s">
        <v>67</v>
      </c>
      <c r="D6620" t="s">
        <v>67</v>
      </c>
      <c r="E6620" t="s">
        <v>67</v>
      </c>
      <c r="F6620" t="s">
        <v>27987</v>
      </c>
      <c r="G6620" s="117">
        <v>27.88</v>
      </c>
    </row>
    <row r="6621" spans="1:7" x14ac:dyDescent="0.25">
      <c r="A6621" s="116" t="s">
        <v>10545</v>
      </c>
      <c r="B6621" s="117" t="s">
        <v>10546</v>
      </c>
      <c r="C6621" t="s">
        <v>67</v>
      </c>
      <c r="D6621" t="s">
        <v>67</v>
      </c>
      <c r="E6621" t="s">
        <v>67</v>
      </c>
      <c r="F6621" t="s">
        <v>45</v>
      </c>
      <c r="G6621" s="117">
        <v>20.21</v>
      </c>
    </row>
    <row r="6622" spans="1:7" x14ac:dyDescent="0.25">
      <c r="A6622" s="116" t="s">
        <v>10547</v>
      </c>
      <c r="B6622" s="117" t="s">
        <v>10548</v>
      </c>
      <c r="C6622" t="s">
        <v>67</v>
      </c>
      <c r="D6622" t="s">
        <v>67</v>
      </c>
      <c r="E6622" t="s">
        <v>67</v>
      </c>
      <c r="F6622" t="s">
        <v>27987</v>
      </c>
      <c r="G6622" s="117">
        <v>119.68</v>
      </c>
    </row>
    <row r="6623" spans="1:7" x14ac:dyDescent="0.25">
      <c r="A6623" s="116" t="s">
        <v>10549</v>
      </c>
      <c r="B6623" s="117" t="s">
        <v>10550</v>
      </c>
      <c r="C6623" t="s">
        <v>67</v>
      </c>
      <c r="D6623" t="s">
        <v>67</v>
      </c>
      <c r="E6623" t="s">
        <v>67</v>
      </c>
      <c r="F6623" t="s">
        <v>27987</v>
      </c>
      <c r="G6623" s="117">
        <v>32.770000000000003</v>
      </c>
    </row>
    <row r="6624" spans="1:7" x14ac:dyDescent="0.25">
      <c r="A6624" s="116" t="s">
        <v>10551</v>
      </c>
      <c r="B6624" s="117" t="s">
        <v>10552</v>
      </c>
      <c r="C6624" t="s">
        <v>67</v>
      </c>
      <c r="D6624" t="s">
        <v>67</v>
      </c>
      <c r="E6624" t="s">
        <v>67</v>
      </c>
      <c r="F6624" t="s">
        <v>27987</v>
      </c>
      <c r="G6624" s="117">
        <v>404.06</v>
      </c>
    </row>
    <row r="6625" spans="1:7" x14ac:dyDescent="0.25">
      <c r="A6625" s="116" t="s">
        <v>10553</v>
      </c>
      <c r="B6625" s="117" t="s">
        <v>10554</v>
      </c>
      <c r="C6625" t="s">
        <v>67</v>
      </c>
      <c r="D6625" t="s">
        <v>67</v>
      </c>
      <c r="E6625" t="s">
        <v>67</v>
      </c>
      <c r="F6625" t="s">
        <v>27987</v>
      </c>
      <c r="G6625" s="117">
        <v>179.93</v>
      </c>
    </row>
    <row r="6626" spans="1:7" x14ac:dyDescent="0.25">
      <c r="A6626" s="116" t="s">
        <v>31253</v>
      </c>
      <c r="B6626" s="117" t="s">
        <v>31254</v>
      </c>
      <c r="C6626" t="s">
        <v>67</v>
      </c>
      <c r="D6626" t="s">
        <v>67</v>
      </c>
      <c r="E6626" t="s">
        <v>67</v>
      </c>
      <c r="F6626" t="s">
        <v>45</v>
      </c>
      <c r="G6626" s="117">
        <v>66</v>
      </c>
    </row>
    <row r="6627" spans="1:7" x14ac:dyDescent="0.25">
      <c r="A6627" s="116" t="s">
        <v>10555</v>
      </c>
      <c r="B6627" s="117" t="s">
        <v>10556</v>
      </c>
      <c r="C6627" t="s">
        <v>67</v>
      </c>
      <c r="D6627" t="s">
        <v>67</v>
      </c>
      <c r="E6627" t="s">
        <v>67</v>
      </c>
      <c r="F6627" t="s">
        <v>27987</v>
      </c>
      <c r="G6627" s="117">
        <v>38.67</v>
      </c>
    </row>
    <row r="6628" spans="1:7" x14ac:dyDescent="0.25">
      <c r="A6628" s="116" t="s">
        <v>10557</v>
      </c>
      <c r="B6628" s="117" t="s">
        <v>10558</v>
      </c>
      <c r="C6628" t="s">
        <v>67</v>
      </c>
      <c r="D6628" t="s">
        <v>67</v>
      </c>
      <c r="E6628" t="s">
        <v>67</v>
      </c>
      <c r="F6628" t="s">
        <v>27987</v>
      </c>
      <c r="G6628" s="117">
        <v>96.81</v>
      </c>
    </row>
    <row r="6629" spans="1:7" x14ac:dyDescent="0.25">
      <c r="A6629" s="116" t="s">
        <v>10559</v>
      </c>
      <c r="B6629" s="117" t="s">
        <v>10560</v>
      </c>
      <c r="C6629" t="s">
        <v>67</v>
      </c>
      <c r="D6629" t="s">
        <v>67</v>
      </c>
      <c r="E6629" t="s">
        <v>67</v>
      </c>
      <c r="F6629" t="s">
        <v>27987</v>
      </c>
      <c r="G6629" s="117">
        <v>143.88999999999999</v>
      </c>
    </row>
    <row r="6630" spans="1:7" x14ac:dyDescent="0.25">
      <c r="A6630" s="116" t="s">
        <v>10561</v>
      </c>
      <c r="B6630" s="117" t="s">
        <v>10562</v>
      </c>
      <c r="C6630" t="s">
        <v>67</v>
      </c>
      <c r="D6630" t="s">
        <v>67</v>
      </c>
      <c r="E6630" t="s">
        <v>67</v>
      </c>
      <c r="F6630" t="s">
        <v>27987</v>
      </c>
      <c r="G6630" s="117">
        <v>13.06</v>
      </c>
    </row>
    <row r="6631" spans="1:7" x14ac:dyDescent="0.25">
      <c r="A6631" s="116" t="s">
        <v>10563</v>
      </c>
      <c r="B6631" s="117" t="s">
        <v>10564</v>
      </c>
      <c r="C6631" t="s">
        <v>67</v>
      </c>
      <c r="D6631" t="s">
        <v>67</v>
      </c>
      <c r="E6631" t="s">
        <v>67</v>
      </c>
      <c r="F6631" t="s">
        <v>27987</v>
      </c>
      <c r="G6631" s="117">
        <v>9.0399999999999991</v>
      </c>
    </row>
    <row r="6632" spans="1:7" x14ac:dyDescent="0.25">
      <c r="A6632" s="116" t="s">
        <v>10565</v>
      </c>
      <c r="B6632" s="117" t="s">
        <v>10566</v>
      </c>
      <c r="C6632" t="s">
        <v>67</v>
      </c>
      <c r="D6632" t="s">
        <v>67</v>
      </c>
      <c r="E6632" t="s">
        <v>67</v>
      </c>
      <c r="F6632" t="s">
        <v>27987</v>
      </c>
      <c r="G6632" s="117">
        <v>15.32</v>
      </c>
    </row>
    <row r="6633" spans="1:7" x14ac:dyDescent="0.25">
      <c r="A6633" s="116" t="s">
        <v>28011</v>
      </c>
      <c r="B6633" s="117" t="s">
        <v>28012</v>
      </c>
      <c r="C6633" t="s">
        <v>67</v>
      </c>
      <c r="D6633" t="s">
        <v>67</v>
      </c>
      <c r="E6633" t="s">
        <v>67</v>
      </c>
      <c r="F6633" t="s">
        <v>27987</v>
      </c>
      <c r="G6633" s="117">
        <v>40</v>
      </c>
    </row>
    <row r="6634" spans="1:7" x14ac:dyDescent="0.25">
      <c r="A6634" s="116" t="s">
        <v>10567</v>
      </c>
      <c r="B6634" s="117" t="s">
        <v>10568</v>
      </c>
      <c r="C6634" t="s">
        <v>67</v>
      </c>
      <c r="D6634" t="s">
        <v>67</v>
      </c>
      <c r="E6634" t="s">
        <v>67</v>
      </c>
      <c r="F6634" t="s">
        <v>27987</v>
      </c>
      <c r="G6634" s="117">
        <v>104.72</v>
      </c>
    </row>
    <row r="6635" spans="1:7" x14ac:dyDescent="0.25">
      <c r="A6635" s="116" t="s">
        <v>10569</v>
      </c>
      <c r="B6635" s="117" t="s">
        <v>10570</v>
      </c>
      <c r="C6635" t="s">
        <v>67</v>
      </c>
      <c r="D6635" t="s">
        <v>67</v>
      </c>
      <c r="E6635" t="s">
        <v>67</v>
      </c>
      <c r="F6635" t="s">
        <v>27987</v>
      </c>
      <c r="G6635" s="117">
        <v>101.83</v>
      </c>
    </row>
    <row r="6636" spans="1:7" x14ac:dyDescent="0.25">
      <c r="A6636" s="116" t="s">
        <v>10571</v>
      </c>
      <c r="B6636" s="117" t="s">
        <v>3532</v>
      </c>
      <c r="C6636" t="s">
        <v>67</v>
      </c>
      <c r="D6636" t="s">
        <v>67</v>
      </c>
      <c r="E6636" t="s">
        <v>67</v>
      </c>
      <c r="F6636" t="s">
        <v>27987</v>
      </c>
      <c r="G6636" s="117">
        <v>193.99</v>
      </c>
    </row>
    <row r="6637" spans="1:7" x14ac:dyDescent="0.25">
      <c r="A6637" s="116" t="s">
        <v>10572</v>
      </c>
      <c r="B6637" s="117" t="s">
        <v>10573</v>
      </c>
      <c r="C6637" t="s">
        <v>67</v>
      </c>
      <c r="D6637" t="s">
        <v>67</v>
      </c>
      <c r="E6637" t="s">
        <v>67</v>
      </c>
      <c r="F6637" t="s">
        <v>27987</v>
      </c>
      <c r="G6637" s="117">
        <v>71.569999999999993</v>
      </c>
    </row>
    <row r="6638" spans="1:7" x14ac:dyDescent="0.25">
      <c r="A6638" s="116" t="s">
        <v>10574</v>
      </c>
      <c r="B6638" s="117" t="s">
        <v>10575</v>
      </c>
      <c r="C6638" t="s">
        <v>67</v>
      </c>
      <c r="D6638" t="s">
        <v>67</v>
      </c>
      <c r="E6638" t="s">
        <v>67</v>
      </c>
      <c r="F6638" t="s">
        <v>27987</v>
      </c>
      <c r="G6638" s="117">
        <v>23.44</v>
      </c>
    </row>
    <row r="6639" spans="1:7" x14ac:dyDescent="0.25">
      <c r="A6639" s="116" t="s">
        <v>10576</v>
      </c>
      <c r="B6639" s="117" t="s">
        <v>10577</v>
      </c>
      <c r="C6639" t="s">
        <v>67</v>
      </c>
      <c r="D6639" t="s">
        <v>67</v>
      </c>
      <c r="E6639" t="s">
        <v>67</v>
      </c>
      <c r="F6639" t="s">
        <v>45</v>
      </c>
      <c r="G6639" s="117">
        <v>52.5</v>
      </c>
    </row>
    <row r="6640" spans="1:7" x14ac:dyDescent="0.25">
      <c r="A6640" s="116" t="s">
        <v>10578</v>
      </c>
      <c r="B6640" s="117" t="s">
        <v>10579</v>
      </c>
      <c r="C6640" t="s">
        <v>67</v>
      </c>
      <c r="D6640" t="s">
        <v>67</v>
      </c>
      <c r="E6640" t="s">
        <v>67</v>
      </c>
      <c r="F6640" t="s">
        <v>27987</v>
      </c>
      <c r="G6640" s="117">
        <v>106.43</v>
      </c>
    </row>
    <row r="6641" spans="1:7" x14ac:dyDescent="0.25">
      <c r="A6641" s="116" t="s">
        <v>10580</v>
      </c>
      <c r="B6641" s="117" t="s">
        <v>28869</v>
      </c>
      <c r="C6641" t="s">
        <v>67</v>
      </c>
      <c r="D6641" t="s">
        <v>67</v>
      </c>
      <c r="E6641" t="s">
        <v>67</v>
      </c>
      <c r="F6641" t="s">
        <v>27987</v>
      </c>
      <c r="G6641" s="117">
        <v>47.59</v>
      </c>
    </row>
    <row r="6642" spans="1:7" x14ac:dyDescent="0.25">
      <c r="A6642" s="116" t="s">
        <v>10581</v>
      </c>
      <c r="B6642" s="117" t="s">
        <v>10582</v>
      </c>
      <c r="C6642" t="s">
        <v>67</v>
      </c>
      <c r="D6642" t="s">
        <v>67</v>
      </c>
      <c r="E6642" t="s">
        <v>67</v>
      </c>
      <c r="F6642" t="s">
        <v>27987</v>
      </c>
      <c r="G6642" s="117">
        <v>18.66</v>
      </c>
    </row>
    <row r="6643" spans="1:7" x14ac:dyDescent="0.25">
      <c r="A6643" s="116" t="s">
        <v>26573</v>
      </c>
      <c r="B6643" s="117" t="s">
        <v>26896</v>
      </c>
      <c r="C6643" t="s">
        <v>67</v>
      </c>
      <c r="D6643" t="s">
        <v>67</v>
      </c>
      <c r="E6643" t="s">
        <v>67</v>
      </c>
      <c r="F6643" t="s">
        <v>27987</v>
      </c>
      <c r="G6643" s="117">
        <v>15.31</v>
      </c>
    </row>
    <row r="6644" spans="1:7" x14ac:dyDescent="0.25">
      <c r="A6644" s="116" t="s">
        <v>30080</v>
      </c>
      <c r="B6644" s="117" t="s">
        <v>1846</v>
      </c>
      <c r="C6644" t="s">
        <v>67</v>
      </c>
      <c r="D6644" t="s">
        <v>67</v>
      </c>
      <c r="E6644" t="s">
        <v>67</v>
      </c>
      <c r="F6644" t="s">
        <v>45</v>
      </c>
      <c r="G6644" s="117">
        <v>60</v>
      </c>
    </row>
    <row r="6645" spans="1:7" x14ac:dyDescent="0.25">
      <c r="A6645" s="116" t="s">
        <v>28870</v>
      </c>
      <c r="B6645" s="117" t="s">
        <v>31128</v>
      </c>
      <c r="C6645" t="s">
        <v>67</v>
      </c>
      <c r="D6645" t="s">
        <v>67</v>
      </c>
      <c r="E6645" t="s">
        <v>67</v>
      </c>
      <c r="F6645" t="s">
        <v>27987</v>
      </c>
      <c r="G6645" s="117">
        <v>30</v>
      </c>
    </row>
    <row r="6646" spans="1:7" x14ac:dyDescent="0.25">
      <c r="A6646" s="116" t="s">
        <v>26613</v>
      </c>
      <c r="B6646" s="117" t="s">
        <v>26897</v>
      </c>
      <c r="C6646" t="s">
        <v>67</v>
      </c>
      <c r="D6646" t="s">
        <v>67</v>
      </c>
      <c r="E6646" t="s">
        <v>67</v>
      </c>
      <c r="F6646" t="s">
        <v>27987</v>
      </c>
      <c r="G6646" s="117">
        <v>101.41</v>
      </c>
    </row>
    <row r="6647" spans="1:7" x14ac:dyDescent="0.25">
      <c r="A6647" s="116" t="s">
        <v>26614</v>
      </c>
      <c r="B6647" s="117" t="s">
        <v>26898</v>
      </c>
      <c r="C6647" t="s">
        <v>67</v>
      </c>
      <c r="D6647" t="s">
        <v>67</v>
      </c>
      <c r="E6647" t="s">
        <v>67</v>
      </c>
      <c r="F6647" t="s">
        <v>27987</v>
      </c>
      <c r="G6647" s="117">
        <v>35.159999999999997</v>
      </c>
    </row>
    <row r="6648" spans="1:7" x14ac:dyDescent="0.25">
      <c r="A6648" s="116" t="s">
        <v>26615</v>
      </c>
      <c r="B6648" s="117" t="s">
        <v>26899</v>
      </c>
      <c r="C6648" t="s">
        <v>67</v>
      </c>
      <c r="D6648" t="s">
        <v>67</v>
      </c>
      <c r="E6648" t="s">
        <v>67</v>
      </c>
      <c r="F6648" t="s">
        <v>27987</v>
      </c>
      <c r="G6648" s="117">
        <v>10.88</v>
      </c>
    </row>
    <row r="6649" spans="1:7" x14ac:dyDescent="0.25">
      <c r="A6649" s="116" t="s">
        <v>26971</v>
      </c>
      <c r="B6649" s="117" t="s">
        <v>28871</v>
      </c>
      <c r="C6649" t="s">
        <v>67</v>
      </c>
      <c r="D6649" t="s">
        <v>67</v>
      </c>
      <c r="E6649" t="s">
        <v>67</v>
      </c>
      <c r="F6649" t="s">
        <v>27987</v>
      </c>
      <c r="G6649" s="117">
        <v>100</v>
      </c>
    </row>
    <row r="6650" spans="1:7" x14ac:dyDescent="0.25">
      <c r="A6650" s="116" t="s">
        <v>27031</v>
      </c>
      <c r="B6650" s="117" t="s">
        <v>28872</v>
      </c>
      <c r="C6650" t="s">
        <v>67</v>
      </c>
      <c r="D6650" t="s">
        <v>67</v>
      </c>
      <c r="E6650" t="s">
        <v>67</v>
      </c>
      <c r="F6650" t="s">
        <v>27987</v>
      </c>
      <c r="G6650" s="117">
        <v>175</v>
      </c>
    </row>
    <row r="6651" spans="1:7" x14ac:dyDescent="0.25">
      <c r="A6651" s="116" t="s">
        <v>27032</v>
      </c>
      <c r="B6651" s="117" t="s">
        <v>27033</v>
      </c>
      <c r="C6651" t="s">
        <v>67</v>
      </c>
      <c r="D6651" t="s">
        <v>67</v>
      </c>
      <c r="E6651" t="s">
        <v>67</v>
      </c>
      <c r="F6651" t="s">
        <v>27987</v>
      </c>
      <c r="G6651" s="117">
        <v>70</v>
      </c>
    </row>
    <row r="6652" spans="1:7" x14ac:dyDescent="0.25">
      <c r="A6652" s="116" t="s">
        <v>29922</v>
      </c>
      <c r="B6652" s="117" t="s">
        <v>30435</v>
      </c>
      <c r="C6652" t="s">
        <v>67</v>
      </c>
      <c r="D6652" t="s">
        <v>67</v>
      </c>
      <c r="E6652" t="s">
        <v>67</v>
      </c>
      <c r="F6652" t="s">
        <v>27987</v>
      </c>
      <c r="G6652" s="117">
        <v>30</v>
      </c>
    </row>
    <row r="6653" spans="1:7" x14ac:dyDescent="0.25">
      <c r="A6653" s="116" t="s">
        <v>29923</v>
      </c>
      <c r="B6653" s="117" t="s">
        <v>30436</v>
      </c>
      <c r="C6653" t="s">
        <v>67</v>
      </c>
      <c r="D6653" t="s">
        <v>67</v>
      </c>
      <c r="E6653" t="s">
        <v>67</v>
      </c>
      <c r="F6653" t="s">
        <v>27987</v>
      </c>
      <c r="G6653" s="117">
        <v>38.01</v>
      </c>
    </row>
    <row r="6654" spans="1:7" x14ac:dyDescent="0.25">
      <c r="A6654" s="116" t="s">
        <v>28873</v>
      </c>
      <c r="B6654" s="117" t="s">
        <v>28874</v>
      </c>
      <c r="C6654" t="s">
        <v>67</v>
      </c>
      <c r="D6654" t="s">
        <v>67</v>
      </c>
      <c r="E6654" t="s">
        <v>67</v>
      </c>
      <c r="F6654" t="s">
        <v>49</v>
      </c>
      <c r="G6654" s="117">
        <v>16</v>
      </c>
    </row>
    <row r="6655" spans="1:7" x14ac:dyDescent="0.25">
      <c r="A6655" s="116" t="s">
        <v>29924</v>
      </c>
      <c r="B6655" s="117" t="s">
        <v>29925</v>
      </c>
      <c r="C6655" t="s">
        <v>67</v>
      </c>
      <c r="D6655" t="s">
        <v>67</v>
      </c>
      <c r="E6655" t="s">
        <v>67</v>
      </c>
      <c r="F6655" t="s">
        <v>27987</v>
      </c>
      <c r="G6655" s="117">
        <v>9999</v>
      </c>
    </row>
    <row r="6656" spans="1:7" x14ac:dyDescent="0.25">
      <c r="A6656" s="116" t="s">
        <v>29926</v>
      </c>
      <c r="B6656" s="117" t="s">
        <v>29927</v>
      </c>
      <c r="C6656" t="s">
        <v>67</v>
      </c>
      <c r="D6656" t="s">
        <v>67</v>
      </c>
      <c r="E6656" t="s">
        <v>67</v>
      </c>
      <c r="F6656" t="s">
        <v>27987</v>
      </c>
      <c r="G6656" s="117">
        <v>9999</v>
      </c>
    </row>
    <row r="6657" spans="1:7" x14ac:dyDescent="0.25">
      <c r="A6657" s="116" t="s">
        <v>30879</v>
      </c>
      <c r="B6657" s="117" t="s">
        <v>30880</v>
      </c>
      <c r="C6657" t="s">
        <v>67</v>
      </c>
      <c r="D6657" t="s">
        <v>67</v>
      </c>
      <c r="E6657" t="s">
        <v>67</v>
      </c>
      <c r="F6657" t="s">
        <v>45</v>
      </c>
      <c r="G6657" s="117">
        <v>9999</v>
      </c>
    </row>
    <row r="6658" spans="1:7" x14ac:dyDescent="0.25">
      <c r="A6658" s="116" t="s">
        <v>26771</v>
      </c>
      <c r="B6658" s="117" t="s">
        <v>10715</v>
      </c>
      <c r="C6658" t="s">
        <v>67</v>
      </c>
      <c r="D6658" t="s">
        <v>67</v>
      </c>
      <c r="E6658" t="s">
        <v>67</v>
      </c>
      <c r="F6658" t="s">
        <v>45</v>
      </c>
      <c r="G6658" s="117">
        <v>2.8</v>
      </c>
    </row>
    <row r="6659" spans="1:7" x14ac:dyDescent="0.25">
      <c r="A6659" s="116" t="s">
        <v>10583</v>
      </c>
      <c r="B6659" s="117" t="s">
        <v>10474</v>
      </c>
      <c r="C6659" t="s">
        <v>67</v>
      </c>
      <c r="D6659" t="s">
        <v>67</v>
      </c>
      <c r="E6659" t="s">
        <v>67</v>
      </c>
      <c r="F6659" t="s">
        <v>45</v>
      </c>
      <c r="G6659" s="117">
        <v>5.2</v>
      </c>
    </row>
    <row r="6660" spans="1:7" x14ac:dyDescent="0.25">
      <c r="A6660" s="116" t="s">
        <v>10584</v>
      </c>
      <c r="B6660" s="117" t="s">
        <v>10585</v>
      </c>
      <c r="C6660" t="s">
        <v>67</v>
      </c>
      <c r="D6660" t="s">
        <v>67</v>
      </c>
      <c r="E6660" t="s">
        <v>67</v>
      </c>
      <c r="F6660" t="s">
        <v>27990</v>
      </c>
      <c r="G6660" s="117">
        <v>3.48</v>
      </c>
    </row>
    <row r="6661" spans="1:7" x14ac:dyDescent="0.25">
      <c r="A6661" s="116" t="s">
        <v>10586</v>
      </c>
      <c r="B6661" s="117" t="s">
        <v>10474</v>
      </c>
      <c r="C6661" t="s">
        <v>67</v>
      </c>
      <c r="D6661" t="s">
        <v>67</v>
      </c>
      <c r="E6661" t="s">
        <v>67</v>
      </c>
      <c r="F6661" t="s">
        <v>27987</v>
      </c>
      <c r="G6661" s="117">
        <v>19.13</v>
      </c>
    </row>
    <row r="6662" spans="1:7" x14ac:dyDescent="0.25">
      <c r="A6662" s="116" t="s">
        <v>10587</v>
      </c>
      <c r="B6662" s="117" t="s">
        <v>10588</v>
      </c>
      <c r="C6662" t="s">
        <v>67</v>
      </c>
      <c r="D6662" t="s">
        <v>67</v>
      </c>
      <c r="E6662" t="s">
        <v>67</v>
      </c>
      <c r="F6662" t="s">
        <v>27990</v>
      </c>
      <c r="G6662" s="117">
        <v>2.58</v>
      </c>
    </row>
    <row r="6663" spans="1:7" x14ac:dyDescent="0.25">
      <c r="A6663" s="116" t="s">
        <v>10589</v>
      </c>
      <c r="B6663" s="117" t="s">
        <v>10590</v>
      </c>
      <c r="C6663" t="s">
        <v>67</v>
      </c>
      <c r="D6663" t="s">
        <v>67</v>
      </c>
      <c r="E6663" t="s">
        <v>67</v>
      </c>
      <c r="F6663" t="s">
        <v>45</v>
      </c>
      <c r="G6663" s="117">
        <v>32.83</v>
      </c>
    </row>
    <row r="6664" spans="1:7" x14ac:dyDescent="0.25">
      <c r="A6664" s="116" t="s">
        <v>10591</v>
      </c>
      <c r="B6664" s="117" t="s">
        <v>10592</v>
      </c>
      <c r="C6664" t="s">
        <v>67</v>
      </c>
      <c r="D6664" t="s">
        <v>67</v>
      </c>
      <c r="E6664" t="s">
        <v>67</v>
      </c>
      <c r="F6664" t="s">
        <v>45</v>
      </c>
      <c r="G6664" s="117">
        <v>7.18</v>
      </c>
    </row>
    <row r="6665" spans="1:7" x14ac:dyDescent="0.25">
      <c r="A6665" s="116" t="s">
        <v>10593</v>
      </c>
      <c r="B6665" s="117" t="s">
        <v>10594</v>
      </c>
      <c r="C6665" t="s">
        <v>67</v>
      </c>
      <c r="D6665" t="s">
        <v>67</v>
      </c>
      <c r="E6665" t="s">
        <v>67</v>
      </c>
      <c r="F6665" t="s">
        <v>27990</v>
      </c>
      <c r="G6665" s="117">
        <v>33.729999999999997</v>
      </c>
    </row>
    <row r="6666" spans="1:7" x14ac:dyDescent="0.25">
      <c r="A6666" s="116" t="s">
        <v>10595</v>
      </c>
      <c r="B6666" s="117" t="s">
        <v>10596</v>
      </c>
      <c r="C6666" t="s">
        <v>67</v>
      </c>
      <c r="D6666" t="s">
        <v>67</v>
      </c>
      <c r="E6666" t="s">
        <v>67</v>
      </c>
      <c r="F6666" t="s">
        <v>27987</v>
      </c>
      <c r="G6666" s="117">
        <v>8.4499999999999993</v>
      </c>
    </row>
    <row r="6667" spans="1:7" x14ac:dyDescent="0.25">
      <c r="A6667" s="116" t="s">
        <v>10597</v>
      </c>
      <c r="B6667" s="117" t="s">
        <v>10598</v>
      </c>
      <c r="C6667" t="s">
        <v>67</v>
      </c>
      <c r="D6667" t="s">
        <v>67</v>
      </c>
      <c r="E6667" t="s">
        <v>67</v>
      </c>
      <c r="F6667" t="s">
        <v>45</v>
      </c>
      <c r="G6667" s="117">
        <v>9.35</v>
      </c>
    </row>
    <row r="6668" spans="1:7" x14ac:dyDescent="0.25">
      <c r="A6668" s="116" t="s">
        <v>10599</v>
      </c>
      <c r="B6668" s="117" t="s">
        <v>10600</v>
      </c>
      <c r="C6668" t="s">
        <v>67</v>
      </c>
      <c r="D6668" t="s">
        <v>67</v>
      </c>
      <c r="E6668" t="s">
        <v>67</v>
      </c>
      <c r="F6668" t="s">
        <v>45</v>
      </c>
      <c r="G6668" s="117">
        <v>18.239999999999998</v>
      </c>
    </row>
    <row r="6669" spans="1:7" x14ac:dyDescent="0.25">
      <c r="A6669" s="116" t="s">
        <v>10601</v>
      </c>
      <c r="B6669" s="117" t="s">
        <v>10602</v>
      </c>
      <c r="C6669" t="s">
        <v>67</v>
      </c>
      <c r="D6669" t="s">
        <v>67</v>
      </c>
      <c r="E6669" t="s">
        <v>67</v>
      </c>
      <c r="F6669" t="s">
        <v>49</v>
      </c>
      <c r="G6669" s="117">
        <v>75</v>
      </c>
    </row>
    <row r="6670" spans="1:7" x14ac:dyDescent="0.25">
      <c r="A6670" s="116" t="s">
        <v>10603</v>
      </c>
      <c r="B6670" s="117" t="s">
        <v>10604</v>
      </c>
      <c r="C6670" t="s">
        <v>67</v>
      </c>
      <c r="D6670" t="s">
        <v>67</v>
      </c>
      <c r="E6670" t="s">
        <v>67</v>
      </c>
      <c r="F6670" t="s">
        <v>27987</v>
      </c>
      <c r="G6670" s="117">
        <v>10.58</v>
      </c>
    </row>
    <row r="6671" spans="1:7" x14ac:dyDescent="0.25">
      <c r="A6671" s="116" t="s">
        <v>10605</v>
      </c>
      <c r="B6671" s="117" t="s">
        <v>10606</v>
      </c>
      <c r="C6671" t="s">
        <v>67</v>
      </c>
      <c r="D6671" t="s">
        <v>67</v>
      </c>
      <c r="E6671" t="s">
        <v>67</v>
      </c>
      <c r="F6671" t="s">
        <v>49</v>
      </c>
      <c r="G6671" s="117">
        <v>2.58</v>
      </c>
    </row>
    <row r="6672" spans="1:7" x14ac:dyDescent="0.25">
      <c r="A6672" s="116" t="s">
        <v>10607</v>
      </c>
      <c r="B6672" s="117" t="s">
        <v>10608</v>
      </c>
      <c r="C6672" t="s">
        <v>67</v>
      </c>
      <c r="D6672" t="s">
        <v>67</v>
      </c>
      <c r="E6672" t="s">
        <v>67</v>
      </c>
      <c r="F6672" t="s">
        <v>27987</v>
      </c>
      <c r="G6672" s="117">
        <v>8.81</v>
      </c>
    </row>
    <row r="6673" spans="1:7" x14ac:dyDescent="0.25">
      <c r="A6673" s="116" t="s">
        <v>10609</v>
      </c>
      <c r="B6673" s="117" t="s">
        <v>10610</v>
      </c>
      <c r="C6673" t="s">
        <v>67</v>
      </c>
      <c r="D6673" t="s">
        <v>67</v>
      </c>
      <c r="E6673" t="s">
        <v>67</v>
      </c>
      <c r="F6673" t="s">
        <v>27987</v>
      </c>
      <c r="G6673" s="117">
        <v>20.92</v>
      </c>
    </row>
    <row r="6674" spans="1:7" x14ac:dyDescent="0.25">
      <c r="A6674" s="116" t="s">
        <v>10611</v>
      </c>
      <c r="B6674" s="117" t="s">
        <v>10612</v>
      </c>
      <c r="C6674" t="s">
        <v>67</v>
      </c>
      <c r="D6674" t="s">
        <v>67</v>
      </c>
      <c r="E6674" t="s">
        <v>67</v>
      </c>
      <c r="F6674" t="s">
        <v>45</v>
      </c>
      <c r="G6674" s="117">
        <v>12.01</v>
      </c>
    </row>
    <row r="6675" spans="1:7" x14ac:dyDescent="0.25">
      <c r="A6675" s="116" t="s">
        <v>10613</v>
      </c>
      <c r="B6675" s="117" t="s">
        <v>10614</v>
      </c>
      <c r="C6675" t="s">
        <v>67</v>
      </c>
      <c r="D6675" t="s">
        <v>67</v>
      </c>
      <c r="E6675" t="s">
        <v>67</v>
      </c>
      <c r="F6675" t="s">
        <v>49</v>
      </c>
      <c r="G6675" s="117">
        <v>5.33</v>
      </c>
    </row>
    <row r="6676" spans="1:7" x14ac:dyDescent="0.25">
      <c r="A6676" s="116" t="s">
        <v>10615</v>
      </c>
      <c r="B6676" s="117" t="s">
        <v>10616</v>
      </c>
      <c r="C6676" t="s">
        <v>67</v>
      </c>
      <c r="D6676" t="s">
        <v>67</v>
      </c>
      <c r="E6676" t="s">
        <v>67</v>
      </c>
      <c r="F6676" t="s">
        <v>45</v>
      </c>
      <c r="G6676" s="117">
        <v>66.3</v>
      </c>
    </row>
    <row r="6677" spans="1:7" x14ac:dyDescent="0.25">
      <c r="A6677" s="116" t="s">
        <v>10617</v>
      </c>
      <c r="B6677" s="117" t="s">
        <v>10618</v>
      </c>
      <c r="C6677" t="s">
        <v>67</v>
      </c>
      <c r="D6677" t="s">
        <v>67</v>
      </c>
      <c r="E6677" t="s">
        <v>67</v>
      </c>
      <c r="F6677" t="s">
        <v>49</v>
      </c>
      <c r="G6677" s="117">
        <v>12.9</v>
      </c>
    </row>
    <row r="6678" spans="1:7" x14ac:dyDescent="0.25">
      <c r="A6678" s="116" t="s">
        <v>10619</v>
      </c>
      <c r="B6678" s="117" t="s">
        <v>10620</v>
      </c>
      <c r="C6678" t="s">
        <v>67</v>
      </c>
      <c r="D6678" t="s">
        <v>67</v>
      </c>
      <c r="E6678" t="s">
        <v>67</v>
      </c>
      <c r="F6678" t="s">
        <v>45</v>
      </c>
      <c r="G6678" s="117">
        <v>61.31</v>
      </c>
    </row>
    <row r="6679" spans="1:7" x14ac:dyDescent="0.25">
      <c r="A6679" s="116" t="s">
        <v>10621</v>
      </c>
      <c r="B6679" s="117" t="s">
        <v>10622</v>
      </c>
      <c r="C6679" t="s">
        <v>67</v>
      </c>
      <c r="D6679" t="s">
        <v>67</v>
      </c>
      <c r="E6679" t="s">
        <v>67</v>
      </c>
      <c r="F6679" t="s">
        <v>45</v>
      </c>
      <c r="G6679" s="117">
        <v>89.79</v>
      </c>
    </row>
    <row r="6680" spans="1:7" x14ac:dyDescent="0.25">
      <c r="A6680" s="116" t="s">
        <v>10623</v>
      </c>
      <c r="B6680" s="117" t="s">
        <v>10624</v>
      </c>
      <c r="C6680" t="s">
        <v>67</v>
      </c>
      <c r="D6680" t="s">
        <v>67</v>
      </c>
      <c r="E6680" t="s">
        <v>67</v>
      </c>
      <c r="F6680" t="s">
        <v>27987</v>
      </c>
      <c r="G6680" s="117">
        <v>17.7</v>
      </c>
    </row>
    <row r="6681" spans="1:7" x14ac:dyDescent="0.25">
      <c r="A6681" s="116" t="s">
        <v>10625</v>
      </c>
      <c r="B6681" s="117" t="s">
        <v>10626</v>
      </c>
      <c r="C6681" t="s">
        <v>67</v>
      </c>
      <c r="D6681" t="s">
        <v>67</v>
      </c>
      <c r="E6681" t="s">
        <v>67</v>
      </c>
      <c r="F6681" t="s">
        <v>49</v>
      </c>
      <c r="G6681" s="117">
        <v>17.7</v>
      </c>
    </row>
    <row r="6682" spans="1:7" x14ac:dyDescent="0.25">
      <c r="A6682" s="116" t="s">
        <v>10627</v>
      </c>
      <c r="B6682" s="117" t="s">
        <v>10628</v>
      </c>
      <c r="C6682" t="s">
        <v>67</v>
      </c>
      <c r="D6682" t="s">
        <v>67</v>
      </c>
      <c r="E6682" t="s">
        <v>67</v>
      </c>
      <c r="F6682" t="s">
        <v>49</v>
      </c>
      <c r="G6682" s="117">
        <v>1.33</v>
      </c>
    </row>
    <row r="6683" spans="1:7" x14ac:dyDescent="0.25">
      <c r="A6683" s="116" t="s">
        <v>10629</v>
      </c>
      <c r="B6683" s="117" t="s">
        <v>10630</v>
      </c>
      <c r="C6683" t="s">
        <v>67</v>
      </c>
      <c r="D6683" t="s">
        <v>67</v>
      </c>
      <c r="E6683" t="s">
        <v>67</v>
      </c>
      <c r="F6683" t="s">
        <v>27987</v>
      </c>
      <c r="G6683" s="117">
        <v>2.23</v>
      </c>
    </row>
    <row r="6684" spans="1:7" x14ac:dyDescent="0.25">
      <c r="A6684" s="116" t="s">
        <v>10631</v>
      </c>
      <c r="B6684" s="117" t="s">
        <v>10632</v>
      </c>
      <c r="C6684" t="s">
        <v>67</v>
      </c>
      <c r="D6684" t="s">
        <v>67</v>
      </c>
      <c r="E6684" t="s">
        <v>67</v>
      </c>
      <c r="F6684" t="s">
        <v>27987</v>
      </c>
      <c r="G6684" s="117">
        <v>36.93</v>
      </c>
    </row>
    <row r="6685" spans="1:7" x14ac:dyDescent="0.25">
      <c r="A6685" s="116" t="s">
        <v>10633</v>
      </c>
      <c r="B6685" s="117" t="s">
        <v>28875</v>
      </c>
      <c r="C6685" t="s">
        <v>67</v>
      </c>
      <c r="D6685" t="s">
        <v>67</v>
      </c>
      <c r="E6685" t="s">
        <v>67</v>
      </c>
      <c r="F6685" t="s">
        <v>45</v>
      </c>
      <c r="G6685" s="117">
        <v>2.67</v>
      </c>
    </row>
    <row r="6686" spans="1:7" x14ac:dyDescent="0.25">
      <c r="A6686" s="116" t="s">
        <v>10634</v>
      </c>
      <c r="B6686" s="117" t="s">
        <v>10635</v>
      </c>
      <c r="C6686" t="s">
        <v>67</v>
      </c>
      <c r="D6686" t="s">
        <v>67</v>
      </c>
      <c r="E6686" t="s">
        <v>67</v>
      </c>
      <c r="F6686" t="s">
        <v>27987</v>
      </c>
      <c r="G6686" s="117">
        <v>39.06</v>
      </c>
    </row>
    <row r="6687" spans="1:7" x14ac:dyDescent="0.25">
      <c r="A6687" s="116" t="s">
        <v>10636</v>
      </c>
      <c r="B6687" s="117" t="s">
        <v>10637</v>
      </c>
      <c r="C6687" t="s">
        <v>67</v>
      </c>
      <c r="D6687" t="s">
        <v>67</v>
      </c>
      <c r="E6687" t="s">
        <v>67</v>
      </c>
      <c r="F6687" t="s">
        <v>45</v>
      </c>
      <c r="G6687" s="117">
        <v>4.8899999999999997</v>
      </c>
    </row>
    <row r="6688" spans="1:7" x14ac:dyDescent="0.25">
      <c r="A6688" s="116" t="s">
        <v>10638</v>
      </c>
      <c r="B6688" s="117" t="s">
        <v>10639</v>
      </c>
      <c r="C6688" t="s">
        <v>67</v>
      </c>
      <c r="D6688" t="s">
        <v>67</v>
      </c>
      <c r="E6688" t="s">
        <v>67</v>
      </c>
      <c r="F6688" t="s">
        <v>49</v>
      </c>
      <c r="G6688" s="117">
        <v>19.13</v>
      </c>
    </row>
    <row r="6689" spans="1:7" x14ac:dyDescent="0.25">
      <c r="A6689" s="116" t="s">
        <v>10640</v>
      </c>
      <c r="B6689" s="117" t="s">
        <v>10641</v>
      </c>
      <c r="C6689" t="s">
        <v>67</v>
      </c>
      <c r="D6689" t="s">
        <v>67</v>
      </c>
      <c r="E6689" t="s">
        <v>67</v>
      </c>
      <c r="F6689" t="s">
        <v>45</v>
      </c>
      <c r="G6689" s="117">
        <v>27.14</v>
      </c>
    </row>
    <row r="6690" spans="1:7" x14ac:dyDescent="0.25">
      <c r="A6690" s="116" t="s">
        <v>10642</v>
      </c>
      <c r="B6690" s="117" t="s">
        <v>10606</v>
      </c>
      <c r="C6690" t="s">
        <v>67</v>
      </c>
      <c r="D6690" t="s">
        <v>67</v>
      </c>
      <c r="E6690" t="s">
        <v>67</v>
      </c>
      <c r="F6690" t="s">
        <v>27987</v>
      </c>
      <c r="G6690" s="117">
        <v>2.23</v>
      </c>
    </row>
    <row r="6691" spans="1:7" x14ac:dyDescent="0.25">
      <c r="A6691" s="116" t="s">
        <v>10643</v>
      </c>
      <c r="B6691" s="117" t="s">
        <v>10644</v>
      </c>
      <c r="C6691" t="s">
        <v>67</v>
      </c>
      <c r="D6691" t="s">
        <v>67</v>
      </c>
      <c r="E6691" t="s">
        <v>67</v>
      </c>
      <c r="F6691" t="s">
        <v>27987</v>
      </c>
      <c r="G6691" s="117">
        <v>45.82</v>
      </c>
    </row>
    <row r="6692" spans="1:7" x14ac:dyDescent="0.25">
      <c r="A6692" s="116" t="s">
        <v>10645</v>
      </c>
      <c r="B6692" s="117" t="s">
        <v>10590</v>
      </c>
      <c r="C6692" t="s">
        <v>67</v>
      </c>
      <c r="D6692" t="s">
        <v>67</v>
      </c>
      <c r="E6692" t="s">
        <v>67</v>
      </c>
      <c r="F6692" t="s">
        <v>27987</v>
      </c>
      <c r="G6692" s="117">
        <v>26.25</v>
      </c>
    </row>
    <row r="6693" spans="1:7" x14ac:dyDescent="0.25">
      <c r="A6693" s="116" t="s">
        <v>10646</v>
      </c>
      <c r="B6693" s="117" t="s">
        <v>10647</v>
      </c>
      <c r="C6693" t="s">
        <v>67</v>
      </c>
      <c r="D6693" t="s">
        <v>67</v>
      </c>
      <c r="E6693" t="s">
        <v>67</v>
      </c>
      <c r="F6693" t="s">
        <v>49</v>
      </c>
      <c r="G6693" s="117">
        <v>11.12</v>
      </c>
    </row>
    <row r="6694" spans="1:7" x14ac:dyDescent="0.25">
      <c r="A6694" s="116" t="s">
        <v>10648</v>
      </c>
      <c r="B6694" s="117" t="s">
        <v>10649</v>
      </c>
      <c r="C6694" t="s">
        <v>67</v>
      </c>
      <c r="D6694" t="s">
        <v>67</v>
      </c>
      <c r="E6694" t="s">
        <v>67</v>
      </c>
      <c r="F6694" t="s">
        <v>27987</v>
      </c>
      <c r="G6694" s="117">
        <v>6.68</v>
      </c>
    </row>
    <row r="6695" spans="1:7" x14ac:dyDescent="0.25">
      <c r="A6695" s="116" t="s">
        <v>10650</v>
      </c>
      <c r="B6695" s="117" t="s">
        <v>10651</v>
      </c>
      <c r="C6695" t="s">
        <v>67</v>
      </c>
      <c r="D6695" t="s">
        <v>67</v>
      </c>
      <c r="E6695" t="s">
        <v>67</v>
      </c>
      <c r="F6695" t="s">
        <v>27987</v>
      </c>
      <c r="G6695" s="117">
        <v>5.25</v>
      </c>
    </row>
    <row r="6696" spans="1:7" x14ac:dyDescent="0.25">
      <c r="A6696" s="116" t="s">
        <v>10652</v>
      </c>
      <c r="B6696" s="117" t="s">
        <v>10653</v>
      </c>
      <c r="C6696" t="s">
        <v>67</v>
      </c>
      <c r="D6696" t="s">
        <v>67</v>
      </c>
      <c r="E6696" t="s">
        <v>67</v>
      </c>
      <c r="F6696" t="s">
        <v>27987</v>
      </c>
      <c r="G6696" s="117">
        <v>16.82</v>
      </c>
    </row>
    <row r="6697" spans="1:7" x14ac:dyDescent="0.25">
      <c r="A6697" s="116" t="s">
        <v>10654</v>
      </c>
      <c r="B6697" s="117" t="s">
        <v>10655</v>
      </c>
      <c r="C6697" t="s">
        <v>67</v>
      </c>
      <c r="D6697" t="s">
        <v>67</v>
      </c>
      <c r="E6697" t="s">
        <v>67</v>
      </c>
      <c r="F6697" t="s">
        <v>49</v>
      </c>
      <c r="G6697" s="117">
        <v>67.709999999999994</v>
      </c>
    </row>
    <row r="6698" spans="1:7" x14ac:dyDescent="0.25">
      <c r="A6698" s="116" t="s">
        <v>10656</v>
      </c>
      <c r="B6698" s="117" t="s">
        <v>10657</v>
      </c>
      <c r="C6698" t="s">
        <v>67</v>
      </c>
      <c r="D6698" t="s">
        <v>67</v>
      </c>
      <c r="E6698" t="s">
        <v>67</v>
      </c>
      <c r="F6698" t="s">
        <v>27987</v>
      </c>
      <c r="G6698" s="117">
        <v>20.38</v>
      </c>
    </row>
    <row r="6699" spans="1:7" x14ac:dyDescent="0.25">
      <c r="A6699" s="116" t="s">
        <v>28876</v>
      </c>
      <c r="B6699" s="117" t="s">
        <v>28877</v>
      </c>
      <c r="C6699" t="s">
        <v>67</v>
      </c>
      <c r="D6699" t="s">
        <v>67</v>
      </c>
      <c r="E6699" t="s">
        <v>67</v>
      </c>
      <c r="F6699" t="s">
        <v>45</v>
      </c>
      <c r="G6699" s="117">
        <v>15</v>
      </c>
    </row>
    <row r="6700" spans="1:7" x14ac:dyDescent="0.25">
      <c r="A6700" s="116" t="s">
        <v>10658</v>
      </c>
      <c r="B6700" s="117" t="s">
        <v>10659</v>
      </c>
      <c r="C6700" t="s">
        <v>67</v>
      </c>
      <c r="D6700" t="s">
        <v>67</v>
      </c>
      <c r="E6700" t="s">
        <v>67</v>
      </c>
      <c r="F6700" t="s">
        <v>27987</v>
      </c>
      <c r="G6700" s="117">
        <v>21.26</v>
      </c>
    </row>
    <row r="6701" spans="1:7" x14ac:dyDescent="0.25">
      <c r="A6701" s="116" t="s">
        <v>10660</v>
      </c>
      <c r="B6701" s="117" t="s">
        <v>10661</v>
      </c>
      <c r="C6701" t="s">
        <v>67</v>
      </c>
      <c r="D6701" t="s">
        <v>67</v>
      </c>
      <c r="E6701" t="s">
        <v>67</v>
      </c>
      <c r="F6701" t="s">
        <v>27987</v>
      </c>
      <c r="G6701" s="117">
        <v>21.26</v>
      </c>
    </row>
    <row r="6702" spans="1:7" x14ac:dyDescent="0.25">
      <c r="A6702" s="116" t="s">
        <v>10662</v>
      </c>
      <c r="B6702" s="117" t="s">
        <v>10500</v>
      </c>
      <c r="C6702" t="s">
        <v>67</v>
      </c>
      <c r="D6702" t="s">
        <v>67</v>
      </c>
      <c r="E6702" t="s">
        <v>67</v>
      </c>
      <c r="F6702" t="s">
        <v>27987</v>
      </c>
      <c r="G6702" s="117">
        <v>34.26</v>
      </c>
    </row>
    <row r="6703" spans="1:7" x14ac:dyDescent="0.25">
      <c r="A6703" s="116" t="s">
        <v>10663</v>
      </c>
      <c r="B6703" s="117" t="s">
        <v>10502</v>
      </c>
      <c r="C6703" t="s">
        <v>67</v>
      </c>
      <c r="D6703" t="s">
        <v>67</v>
      </c>
      <c r="E6703" t="s">
        <v>67</v>
      </c>
      <c r="F6703" t="s">
        <v>27987</v>
      </c>
      <c r="G6703" s="117">
        <v>34.26</v>
      </c>
    </row>
    <row r="6704" spans="1:7" x14ac:dyDescent="0.25">
      <c r="A6704" s="116" t="s">
        <v>28878</v>
      </c>
      <c r="B6704" s="117" t="s">
        <v>28879</v>
      </c>
      <c r="C6704" t="s">
        <v>67</v>
      </c>
      <c r="D6704" t="s">
        <v>67</v>
      </c>
      <c r="E6704" t="s">
        <v>67</v>
      </c>
      <c r="F6704" t="s">
        <v>27987</v>
      </c>
      <c r="G6704" s="117">
        <v>15</v>
      </c>
    </row>
    <row r="6705" spans="1:7" x14ac:dyDescent="0.25">
      <c r="A6705" s="116" t="s">
        <v>10664</v>
      </c>
      <c r="B6705" s="117" t="s">
        <v>10665</v>
      </c>
      <c r="C6705" t="s">
        <v>67</v>
      </c>
      <c r="D6705" t="s">
        <v>67</v>
      </c>
      <c r="E6705" t="s">
        <v>67</v>
      </c>
      <c r="F6705" t="s">
        <v>27987</v>
      </c>
      <c r="G6705" s="117">
        <v>209.02</v>
      </c>
    </row>
    <row r="6706" spans="1:7" x14ac:dyDescent="0.25">
      <c r="A6706" s="116" t="s">
        <v>10666</v>
      </c>
      <c r="B6706" s="117" t="s">
        <v>10667</v>
      </c>
      <c r="C6706" t="s">
        <v>67</v>
      </c>
      <c r="D6706" t="s">
        <v>67</v>
      </c>
      <c r="E6706" t="s">
        <v>67</v>
      </c>
      <c r="F6706" t="s">
        <v>27987</v>
      </c>
      <c r="G6706" s="117">
        <v>374.18</v>
      </c>
    </row>
    <row r="6707" spans="1:7" x14ac:dyDescent="0.25">
      <c r="A6707" s="116" t="s">
        <v>10668</v>
      </c>
      <c r="B6707" s="117" t="s">
        <v>10669</v>
      </c>
      <c r="C6707" t="s">
        <v>67</v>
      </c>
      <c r="D6707" t="s">
        <v>67</v>
      </c>
      <c r="E6707" t="s">
        <v>67</v>
      </c>
      <c r="F6707" t="s">
        <v>27987</v>
      </c>
      <c r="G6707" s="117">
        <v>583.64</v>
      </c>
    </row>
    <row r="6708" spans="1:7" x14ac:dyDescent="0.25">
      <c r="A6708" s="116" t="s">
        <v>10670</v>
      </c>
      <c r="B6708" s="117" t="s">
        <v>10671</v>
      </c>
      <c r="C6708" t="s">
        <v>67</v>
      </c>
      <c r="D6708" t="s">
        <v>67</v>
      </c>
      <c r="E6708" t="s">
        <v>67</v>
      </c>
      <c r="F6708" t="s">
        <v>27987</v>
      </c>
      <c r="G6708" s="117">
        <v>29.58</v>
      </c>
    </row>
    <row r="6709" spans="1:7" x14ac:dyDescent="0.25">
      <c r="A6709" s="116" t="s">
        <v>28880</v>
      </c>
      <c r="B6709" s="117" t="s">
        <v>3595</v>
      </c>
      <c r="C6709" t="s">
        <v>67</v>
      </c>
      <c r="D6709" t="s">
        <v>67</v>
      </c>
      <c r="E6709" t="s">
        <v>67</v>
      </c>
      <c r="F6709" t="s">
        <v>27987</v>
      </c>
      <c r="G6709" s="117">
        <v>71.099999999999994</v>
      </c>
    </row>
    <row r="6710" spans="1:7" x14ac:dyDescent="0.25">
      <c r="A6710" s="116" t="s">
        <v>10672</v>
      </c>
      <c r="B6710" s="117" t="s">
        <v>10673</v>
      </c>
      <c r="C6710" t="s">
        <v>67</v>
      </c>
      <c r="D6710" t="s">
        <v>67</v>
      </c>
      <c r="E6710" t="s">
        <v>67</v>
      </c>
      <c r="F6710" t="s">
        <v>27987</v>
      </c>
      <c r="G6710" s="117">
        <v>82.62</v>
      </c>
    </row>
    <row r="6711" spans="1:7" x14ac:dyDescent="0.25">
      <c r="A6711" s="116" t="s">
        <v>10674</v>
      </c>
      <c r="B6711" s="117" t="s">
        <v>10675</v>
      </c>
      <c r="C6711" t="s">
        <v>67</v>
      </c>
      <c r="D6711" t="s">
        <v>67</v>
      </c>
      <c r="E6711" t="s">
        <v>67</v>
      </c>
      <c r="F6711" t="s">
        <v>27987</v>
      </c>
      <c r="G6711" s="117">
        <v>9.6999999999999993</v>
      </c>
    </row>
    <row r="6712" spans="1:7" x14ac:dyDescent="0.25">
      <c r="A6712" s="116" t="s">
        <v>10676</v>
      </c>
      <c r="B6712" s="117" t="s">
        <v>10677</v>
      </c>
      <c r="C6712" t="s">
        <v>67</v>
      </c>
      <c r="D6712" t="s">
        <v>67</v>
      </c>
      <c r="E6712" t="s">
        <v>67</v>
      </c>
      <c r="F6712" t="s">
        <v>27987</v>
      </c>
      <c r="G6712" s="117">
        <v>9.2899999999999991</v>
      </c>
    </row>
    <row r="6713" spans="1:7" x14ac:dyDescent="0.25">
      <c r="A6713" s="116" t="s">
        <v>10678</v>
      </c>
      <c r="B6713" s="117" t="s">
        <v>10679</v>
      </c>
      <c r="C6713" t="s">
        <v>67</v>
      </c>
      <c r="D6713" t="s">
        <v>67</v>
      </c>
      <c r="E6713" t="s">
        <v>67</v>
      </c>
      <c r="F6713" t="s">
        <v>27987</v>
      </c>
      <c r="G6713" s="117">
        <v>107.36</v>
      </c>
    </row>
    <row r="6714" spans="1:7" x14ac:dyDescent="0.25">
      <c r="A6714" s="116" t="s">
        <v>28881</v>
      </c>
      <c r="B6714" s="117" t="s">
        <v>28882</v>
      </c>
      <c r="C6714" t="s">
        <v>67</v>
      </c>
      <c r="D6714" t="s">
        <v>67</v>
      </c>
      <c r="E6714" t="s">
        <v>67</v>
      </c>
      <c r="F6714" t="s">
        <v>27987</v>
      </c>
      <c r="G6714" s="117">
        <v>1</v>
      </c>
    </row>
    <row r="6715" spans="1:7" x14ac:dyDescent="0.25">
      <c r="A6715" s="116" t="s">
        <v>10680</v>
      </c>
      <c r="B6715" s="117" t="s">
        <v>10681</v>
      </c>
      <c r="C6715" t="s">
        <v>67</v>
      </c>
      <c r="D6715" t="s">
        <v>67</v>
      </c>
      <c r="E6715" t="s">
        <v>67</v>
      </c>
      <c r="F6715" t="s">
        <v>27987</v>
      </c>
      <c r="G6715" s="117">
        <v>12.43</v>
      </c>
    </row>
    <row r="6716" spans="1:7" x14ac:dyDescent="0.25">
      <c r="A6716" s="116" t="s">
        <v>10682</v>
      </c>
      <c r="B6716" s="117" t="s">
        <v>10683</v>
      </c>
      <c r="C6716" t="s">
        <v>67</v>
      </c>
      <c r="D6716" t="s">
        <v>67</v>
      </c>
      <c r="E6716" t="s">
        <v>67</v>
      </c>
      <c r="F6716" t="s">
        <v>27987</v>
      </c>
      <c r="G6716" s="117">
        <v>13.26</v>
      </c>
    </row>
    <row r="6717" spans="1:7" x14ac:dyDescent="0.25">
      <c r="A6717" s="116" t="s">
        <v>30197</v>
      </c>
      <c r="B6717" s="117" t="s">
        <v>481</v>
      </c>
      <c r="C6717" t="s">
        <v>67</v>
      </c>
      <c r="D6717" t="s">
        <v>67</v>
      </c>
      <c r="E6717" t="s">
        <v>67</v>
      </c>
      <c r="F6717" t="s">
        <v>27987</v>
      </c>
      <c r="G6717" s="117">
        <v>19.489999999999998</v>
      </c>
    </row>
    <row r="6718" spans="1:7" x14ac:dyDescent="0.25">
      <c r="A6718" s="116" t="s">
        <v>29928</v>
      </c>
      <c r="B6718" s="117" t="s">
        <v>30437</v>
      </c>
      <c r="C6718" t="s">
        <v>67</v>
      </c>
      <c r="D6718" t="s">
        <v>67</v>
      </c>
      <c r="E6718" t="s">
        <v>67</v>
      </c>
      <c r="F6718" t="s">
        <v>45</v>
      </c>
      <c r="G6718" s="117">
        <v>175.35</v>
      </c>
    </row>
    <row r="6719" spans="1:7" x14ac:dyDescent="0.25">
      <c r="A6719" s="116" t="s">
        <v>27034</v>
      </c>
      <c r="B6719" s="117" t="s">
        <v>28883</v>
      </c>
      <c r="C6719" t="s">
        <v>67</v>
      </c>
      <c r="D6719" t="s">
        <v>67</v>
      </c>
      <c r="E6719" t="s">
        <v>67</v>
      </c>
      <c r="F6719" t="s">
        <v>27987</v>
      </c>
      <c r="G6719" s="117">
        <v>22</v>
      </c>
    </row>
    <row r="6720" spans="1:7" x14ac:dyDescent="0.25">
      <c r="A6720" s="116" t="s">
        <v>28884</v>
      </c>
      <c r="B6720" s="117" t="s">
        <v>28885</v>
      </c>
      <c r="C6720" t="s">
        <v>67</v>
      </c>
      <c r="D6720" t="s">
        <v>67</v>
      </c>
      <c r="E6720" t="s">
        <v>67</v>
      </c>
      <c r="F6720" t="s">
        <v>27987</v>
      </c>
      <c r="G6720" s="117">
        <v>45</v>
      </c>
    </row>
    <row r="6721" spans="1:7" x14ac:dyDescent="0.25">
      <c r="A6721" s="116" t="s">
        <v>29862</v>
      </c>
      <c r="B6721" s="117" t="s">
        <v>29863</v>
      </c>
      <c r="C6721" t="s">
        <v>67</v>
      </c>
      <c r="D6721" t="s">
        <v>67</v>
      </c>
      <c r="E6721" t="s">
        <v>67</v>
      </c>
      <c r="F6721" t="s">
        <v>27987</v>
      </c>
      <c r="G6721" s="117">
        <v>15</v>
      </c>
    </row>
    <row r="6722" spans="1:7" x14ac:dyDescent="0.25">
      <c r="A6722" s="116" t="s">
        <v>29864</v>
      </c>
      <c r="B6722" s="117" t="s">
        <v>30438</v>
      </c>
      <c r="C6722" t="s">
        <v>67</v>
      </c>
      <c r="D6722" t="s">
        <v>67</v>
      </c>
      <c r="E6722" t="s">
        <v>67</v>
      </c>
      <c r="F6722" t="s">
        <v>27987</v>
      </c>
      <c r="G6722" s="117">
        <v>10</v>
      </c>
    </row>
    <row r="6723" spans="1:7" x14ac:dyDescent="0.25">
      <c r="A6723" s="116" t="s">
        <v>28886</v>
      </c>
      <c r="B6723" s="117" t="s">
        <v>28887</v>
      </c>
      <c r="C6723" t="s">
        <v>67</v>
      </c>
      <c r="D6723" t="s">
        <v>67</v>
      </c>
      <c r="E6723" t="s">
        <v>67</v>
      </c>
      <c r="F6723" t="s">
        <v>27987</v>
      </c>
      <c r="G6723" s="117">
        <v>0</v>
      </c>
    </row>
    <row r="6724" spans="1:7" x14ac:dyDescent="0.25">
      <c r="A6724" s="116" t="s">
        <v>28888</v>
      </c>
      <c r="B6724" s="117" t="s">
        <v>28889</v>
      </c>
      <c r="C6724" t="s">
        <v>67</v>
      </c>
      <c r="D6724" t="s">
        <v>67</v>
      </c>
      <c r="E6724" t="s">
        <v>67</v>
      </c>
      <c r="F6724" t="s">
        <v>27987</v>
      </c>
      <c r="G6724" s="117">
        <v>0</v>
      </c>
    </row>
    <row r="6725" spans="1:7" x14ac:dyDescent="0.25">
      <c r="A6725" s="116" t="s">
        <v>28890</v>
      </c>
      <c r="B6725" s="117" t="s">
        <v>28891</v>
      </c>
      <c r="C6725" t="s">
        <v>67</v>
      </c>
      <c r="D6725" t="s">
        <v>67</v>
      </c>
      <c r="E6725" t="s">
        <v>67</v>
      </c>
      <c r="F6725" t="s">
        <v>27987</v>
      </c>
      <c r="G6725" s="117">
        <v>0</v>
      </c>
    </row>
    <row r="6726" spans="1:7" x14ac:dyDescent="0.25">
      <c r="A6726" s="116" t="s">
        <v>30081</v>
      </c>
      <c r="B6726" s="117" t="s">
        <v>30082</v>
      </c>
      <c r="C6726" t="s">
        <v>67</v>
      </c>
      <c r="D6726" t="s">
        <v>67</v>
      </c>
      <c r="E6726" t="s">
        <v>67</v>
      </c>
      <c r="F6726" t="s">
        <v>45</v>
      </c>
      <c r="G6726" s="117">
        <v>9999</v>
      </c>
    </row>
    <row r="6727" spans="1:7" x14ac:dyDescent="0.25">
      <c r="A6727" s="116" t="s">
        <v>28892</v>
      </c>
      <c r="B6727" s="117" t="s">
        <v>30439</v>
      </c>
      <c r="C6727" t="s">
        <v>67</v>
      </c>
      <c r="D6727" t="s">
        <v>67</v>
      </c>
      <c r="E6727" t="s">
        <v>67</v>
      </c>
      <c r="F6727" t="s">
        <v>27987</v>
      </c>
      <c r="G6727" s="117">
        <v>2</v>
      </c>
    </row>
    <row r="6728" spans="1:7" x14ac:dyDescent="0.25">
      <c r="A6728" s="116" t="s">
        <v>28893</v>
      </c>
      <c r="B6728" s="117" t="s">
        <v>28894</v>
      </c>
      <c r="C6728" t="s">
        <v>67</v>
      </c>
      <c r="D6728" t="s">
        <v>67</v>
      </c>
      <c r="E6728" t="s">
        <v>67</v>
      </c>
      <c r="F6728" t="s">
        <v>45</v>
      </c>
      <c r="G6728" s="117">
        <v>0</v>
      </c>
    </row>
    <row r="6729" spans="1:7" x14ac:dyDescent="0.25">
      <c r="A6729" s="116" t="s">
        <v>27433</v>
      </c>
      <c r="B6729" s="117" t="s">
        <v>10684</v>
      </c>
      <c r="C6729" t="s">
        <v>67</v>
      </c>
      <c r="D6729" t="s">
        <v>67</v>
      </c>
      <c r="E6729" t="s">
        <v>67</v>
      </c>
      <c r="F6729" t="s">
        <v>27987</v>
      </c>
      <c r="G6729" s="117">
        <v>69.86</v>
      </c>
    </row>
    <row r="6730" spans="1:7" x14ac:dyDescent="0.25">
      <c r="A6730" s="116" t="s">
        <v>27434</v>
      </c>
      <c r="B6730" s="117" t="s">
        <v>10685</v>
      </c>
      <c r="C6730" t="s">
        <v>67</v>
      </c>
      <c r="D6730" t="s">
        <v>67</v>
      </c>
      <c r="E6730" t="s">
        <v>67</v>
      </c>
      <c r="F6730" t="s">
        <v>45</v>
      </c>
      <c r="G6730" s="117">
        <v>677.9</v>
      </c>
    </row>
    <row r="6731" spans="1:7" x14ac:dyDescent="0.25">
      <c r="A6731" s="116" t="s">
        <v>27435</v>
      </c>
      <c r="B6731" s="117" t="s">
        <v>10686</v>
      </c>
      <c r="C6731" t="s">
        <v>67</v>
      </c>
      <c r="D6731" t="s">
        <v>67</v>
      </c>
      <c r="E6731" t="s">
        <v>67</v>
      </c>
      <c r="F6731" t="s">
        <v>45</v>
      </c>
      <c r="G6731" s="117">
        <v>76.44</v>
      </c>
    </row>
    <row r="6732" spans="1:7" x14ac:dyDescent="0.25">
      <c r="A6732" s="116" t="s">
        <v>27436</v>
      </c>
      <c r="B6732" s="117" t="s">
        <v>10687</v>
      </c>
      <c r="C6732" t="s">
        <v>67</v>
      </c>
      <c r="D6732" t="s">
        <v>67</v>
      </c>
      <c r="E6732" t="s">
        <v>67</v>
      </c>
      <c r="F6732" t="s">
        <v>45</v>
      </c>
      <c r="G6732" s="117">
        <v>24.82</v>
      </c>
    </row>
    <row r="6733" spans="1:7" x14ac:dyDescent="0.25">
      <c r="A6733" s="116" t="s">
        <v>10688</v>
      </c>
      <c r="B6733" s="117" t="s">
        <v>3062</v>
      </c>
      <c r="C6733" t="s">
        <v>67</v>
      </c>
      <c r="D6733" t="s">
        <v>67</v>
      </c>
      <c r="E6733" t="s">
        <v>67</v>
      </c>
      <c r="F6733" t="s">
        <v>27987</v>
      </c>
      <c r="G6733" s="117">
        <v>39.950000000000003</v>
      </c>
    </row>
    <row r="6734" spans="1:7" x14ac:dyDescent="0.25">
      <c r="A6734" s="116" t="s">
        <v>10689</v>
      </c>
      <c r="B6734" s="117" t="s">
        <v>10690</v>
      </c>
      <c r="C6734" t="s">
        <v>67</v>
      </c>
      <c r="D6734" t="s">
        <v>67</v>
      </c>
      <c r="E6734" t="s">
        <v>67</v>
      </c>
      <c r="F6734" t="s">
        <v>45</v>
      </c>
      <c r="G6734" s="117">
        <v>52.06</v>
      </c>
    </row>
    <row r="6735" spans="1:7" x14ac:dyDescent="0.25">
      <c r="A6735" s="116" t="s">
        <v>10691</v>
      </c>
      <c r="B6735" s="117" t="s">
        <v>11512</v>
      </c>
      <c r="C6735" t="s">
        <v>67</v>
      </c>
      <c r="D6735" t="s">
        <v>67</v>
      </c>
      <c r="E6735" t="s">
        <v>67</v>
      </c>
      <c r="F6735" t="s">
        <v>27987</v>
      </c>
      <c r="G6735" s="117">
        <v>7.12</v>
      </c>
    </row>
    <row r="6736" spans="1:7" x14ac:dyDescent="0.25">
      <c r="A6736" s="116" t="s">
        <v>10692</v>
      </c>
      <c r="B6736" s="117" t="s">
        <v>10693</v>
      </c>
      <c r="C6736" t="s">
        <v>67</v>
      </c>
      <c r="D6736" t="s">
        <v>67</v>
      </c>
      <c r="E6736" t="s">
        <v>67</v>
      </c>
      <c r="F6736" t="s">
        <v>27987</v>
      </c>
      <c r="G6736" s="117">
        <v>40.49</v>
      </c>
    </row>
    <row r="6737" spans="1:7" x14ac:dyDescent="0.25">
      <c r="A6737" s="116" t="s">
        <v>10694</v>
      </c>
      <c r="B6737" s="117" t="s">
        <v>10695</v>
      </c>
      <c r="C6737" t="s">
        <v>67</v>
      </c>
      <c r="D6737" t="s">
        <v>67</v>
      </c>
      <c r="E6737" t="s">
        <v>67</v>
      </c>
      <c r="F6737" t="s">
        <v>45</v>
      </c>
      <c r="G6737" s="117">
        <v>27.14</v>
      </c>
    </row>
    <row r="6738" spans="1:7" x14ac:dyDescent="0.25">
      <c r="A6738" s="116" t="s">
        <v>10696</v>
      </c>
      <c r="B6738" s="117" t="s">
        <v>10697</v>
      </c>
      <c r="C6738" t="s">
        <v>67</v>
      </c>
      <c r="D6738" t="s">
        <v>67</v>
      </c>
      <c r="E6738" t="s">
        <v>67</v>
      </c>
      <c r="F6738" t="s">
        <v>27987</v>
      </c>
      <c r="G6738" s="117">
        <v>24.82</v>
      </c>
    </row>
    <row r="6739" spans="1:7" x14ac:dyDescent="0.25">
      <c r="A6739" s="116" t="s">
        <v>10698</v>
      </c>
      <c r="B6739" s="117" t="s">
        <v>10699</v>
      </c>
      <c r="C6739" t="s">
        <v>67</v>
      </c>
      <c r="D6739" t="s">
        <v>67</v>
      </c>
      <c r="E6739" t="s">
        <v>67</v>
      </c>
      <c r="F6739" t="s">
        <v>27987</v>
      </c>
      <c r="G6739" s="117">
        <v>31.94</v>
      </c>
    </row>
    <row r="6740" spans="1:7" x14ac:dyDescent="0.25">
      <c r="A6740" s="116" t="s">
        <v>10700</v>
      </c>
      <c r="B6740" s="117" t="s">
        <v>10701</v>
      </c>
      <c r="C6740" t="s">
        <v>67</v>
      </c>
      <c r="D6740" t="s">
        <v>67</v>
      </c>
      <c r="E6740" t="s">
        <v>67</v>
      </c>
      <c r="F6740" t="s">
        <v>27987</v>
      </c>
      <c r="G6740" s="117">
        <v>47.61</v>
      </c>
    </row>
    <row r="6741" spans="1:7" x14ac:dyDescent="0.25">
      <c r="A6741" s="116" t="s">
        <v>10702</v>
      </c>
      <c r="B6741" s="117" t="s">
        <v>10703</v>
      </c>
      <c r="C6741" t="s">
        <v>67</v>
      </c>
      <c r="D6741" t="s">
        <v>67</v>
      </c>
      <c r="E6741" t="s">
        <v>67</v>
      </c>
      <c r="F6741" t="s">
        <v>45</v>
      </c>
      <c r="G6741" s="117">
        <v>107.58</v>
      </c>
    </row>
    <row r="6742" spans="1:7" x14ac:dyDescent="0.25">
      <c r="A6742" s="116" t="s">
        <v>10704</v>
      </c>
      <c r="B6742" s="117" t="s">
        <v>10705</v>
      </c>
      <c r="C6742" t="s">
        <v>67</v>
      </c>
      <c r="D6742" t="s">
        <v>67</v>
      </c>
      <c r="E6742" t="s">
        <v>67</v>
      </c>
      <c r="F6742" t="s">
        <v>27987</v>
      </c>
      <c r="G6742" s="117">
        <v>24.82</v>
      </c>
    </row>
    <row r="6743" spans="1:7" x14ac:dyDescent="0.25">
      <c r="A6743" s="116" t="s">
        <v>10706</v>
      </c>
      <c r="B6743" s="117" t="s">
        <v>10707</v>
      </c>
      <c r="C6743" t="s">
        <v>67</v>
      </c>
      <c r="D6743" t="s">
        <v>67</v>
      </c>
      <c r="E6743" t="s">
        <v>67</v>
      </c>
      <c r="F6743" t="s">
        <v>27987</v>
      </c>
      <c r="G6743" s="117">
        <v>98.32</v>
      </c>
    </row>
    <row r="6744" spans="1:7" x14ac:dyDescent="0.25">
      <c r="A6744" s="116" t="s">
        <v>10708</v>
      </c>
      <c r="B6744" s="117" t="s">
        <v>10709</v>
      </c>
      <c r="C6744" t="s">
        <v>67</v>
      </c>
      <c r="D6744" t="s">
        <v>67</v>
      </c>
      <c r="E6744" t="s">
        <v>67</v>
      </c>
      <c r="F6744" t="s">
        <v>27987</v>
      </c>
      <c r="G6744" s="117">
        <v>169.87</v>
      </c>
    </row>
    <row r="6745" spans="1:7" x14ac:dyDescent="0.25">
      <c r="A6745" s="116" t="s">
        <v>10710</v>
      </c>
      <c r="B6745" s="117" t="s">
        <v>10711</v>
      </c>
      <c r="C6745" t="s">
        <v>67</v>
      </c>
      <c r="D6745" t="s">
        <v>67</v>
      </c>
      <c r="E6745" t="s">
        <v>67</v>
      </c>
      <c r="F6745" t="s">
        <v>27987</v>
      </c>
      <c r="G6745" s="117">
        <v>37.82</v>
      </c>
    </row>
    <row r="6746" spans="1:7" x14ac:dyDescent="0.25">
      <c r="A6746" s="116" t="s">
        <v>10712</v>
      </c>
      <c r="B6746" s="117" t="s">
        <v>10713</v>
      </c>
      <c r="C6746" t="s">
        <v>67</v>
      </c>
      <c r="D6746" t="s">
        <v>67</v>
      </c>
      <c r="E6746" t="s">
        <v>67</v>
      </c>
      <c r="F6746" t="s">
        <v>45</v>
      </c>
      <c r="G6746" s="117">
        <v>307.44</v>
      </c>
    </row>
    <row r="6747" spans="1:7" x14ac:dyDescent="0.25">
      <c r="A6747" s="116" t="s">
        <v>10714</v>
      </c>
      <c r="B6747" s="117" t="s">
        <v>10715</v>
      </c>
      <c r="C6747" t="s">
        <v>67</v>
      </c>
      <c r="D6747" t="s">
        <v>67</v>
      </c>
      <c r="E6747" t="s">
        <v>67</v>
      </c>
      <c r="F6747" t="s">
        <v>27987</v>
      </c>
      <c r="G6747" s="117">
        <v>3.12</v>
      </c>
    </row>
    <row r="6748" spans="1:7" x14ac:dyDescent="0.25">
      <c r="A6748" s="116" t="s">
        <v>10716</v>
      </c>
      <c r="B6748" s="117" t="s">
        <v>10717</v>
      </c>
      <c r="C6748" t="s">
        <v>67</v>
      </c>
      <c r="D6748" t="s">
        <v>67</v>
      </c>
      <c r="E6748" t="s">
        <v>67</v>
      </c>
      <c r="F6748" t="s">
        <v>45</v>
      </c>
      <c r="G6748" s="117">
        <v>24.82</v>
      </c>
    </row>
    <row r="6749" spans="1:7" x14ac:dyDescent="0.25">
      <c r="A6749" s="116" t="s">
        <v>10718</v>
      </c>
      <c r="B6749" s="117" t="s">
        <v>8236</v>
      </c>
      <c r="C6749" t="s">
        <v>67</v>
      </c>
      <c r="D6749" t="s">
        <v>67</v>
      </c>
      <c r="E6749" t="s">
        <v>67</v>
      </c>
      <c r="F6749" t="s">
        <v>27987</v>
      </c>
      <c r="G6749" s="117">
        <v>0.8</v>
      </c>
    </row>
    <row r="6750" spans="1:7" x14ac:dyDescent="0.25">
      <c r="A6750" s="116" t="s">
        <v>10719</v>
      </c>
      <c r="B6750" s="117" t="s">
        <v>10699</v>
      </c>
      <c r="C6750" t="s">
        <v>67</v>
      </c>
      <c r="D6750" t="s">
        <v>67</v>
      </c>
      <c r="E6750" t="s">
        <v>67</v>
      </c>
      <c r="F6750" t="s">
        <v>27987</v>
      </c>
      <c r="G6750" s="117">
        <v>28.02</v>
      </c>
    </row>
    <row r="6751" spans="1:7" x14ac:dyDescent="0.25">
      <c r="A6751" s="116" t="s">
        <v>10720</v>
      </c>
      <c r="B6751" s="117" t="s">
        <v>10721</v>
      </c>
      <c r="C6751" t="s">
        <v>67</v>
      </c>
      <c r="D6751" t="s">
        <v>67</v>
      </c>
      <c r="E6751" t="s">
        <v>67</v>
      </c>
      <c r="F6751" t="s">
        <v>27987</v>
      </c>
      <c r="G6751" s="117">
        <v>209.02</v>
      </c>
    </row>
    <row r="6752" spans="1:7" x14ac:dyDescent="0.25">
      <c r="A6752" s="116" t="s">
        <v>10722</v>
      </c>
      <c r="B6752" s="117" t="s">
        <v>10723</v>
      </c>
      <c r="C6752" t="s">
        <v>67</v>
      </c>
      <c r="D6752" t="s">
        <v>67</v>
      </c>
      <c r="E6752" t="s">
        <v>67</v>
      </c>
      <c r="F6752" t="s">
        <v>27987</v>
      </c>
      <c r="G6752" s="117">
        <v>9.35</v>
      </c>
    </row>
    <row r="6753" spans="1:7" x14ac:dyDescent="0.25">
      <c r="A6753" s="116" t="s">
        <v>10724</v>
      </c>
      <c r="B6753" s="117" t="s">
        <v>10725</v>
      </c>
      <c r="C6753" t="s">
        <v>67</v>
      </c>
      <c r="D6753" t="s">
        <v>67</v>
      </c>
      <c r="E6753" t="s">
        <v>67</v>
      </c>
      <c r="F6753" t="s">
        <v>27987</v>
      </c>
      <c r="G6753" s="117">
        <v>31.94</v>
      </c>
    </row>
    <row r="6754" spans="1:7" x14ac:dyDescent="0.25">
      <c r="A6754" s="116" t="s">
        <v>10726</v>
      </c>
      <c r="B6754" s="117" t="s">
        <v>10727</v>
      </c>
      <c r="C6754" t="s">
        <v>67</v>
      </c>
      <c r="D6754" t="s">
        <v>67</v>
      </c>
      <c r="E6754" t="s">
        <v>67</v>
      </c>
      <c r="F6754" t="s">
        <v>27987</v>
      </c>
      <c r="G6754" s="117">
        <v>35.5</v>
      </c>
    </row>
    <row r="6755" spans="1:7" x14ac:dyDescent="0.25">
      <c r="A6755" s="116" t="s">
        <v>10728</v>
      </c>
      <c r="B6755" s="117" t="s">
        <v>10729</v>
      </c>
      <c r="C6755" t="s">
        <v>67</v>
      </c>
      <c r="D6755" t="s">
        <v>67</v>
      </c>
      <c r="E6755" t="s">
        <v>67</v>
      </c>
      <c r="F6755" t="s">
        <v>27987</v>
      </c>
      <c r="G6755" s="117">
        <v>39.950000000000003</v>
      </c>
    </row>
    <row r="6756" spans="1:7" x14ac:dyDescent="0.25">
      <c r="A6756" s="116" t="s">
        <v>10730</v>
      </c>
      <c r="B6756" s="117" t="s">
        <v>10731</v>
      </c>
      <c r="C6756" t="s">
        <v>67</v>
      </c>
      <c r="D6756" t="s">
        <v>67</v>
      </c>
      <c r="E6756" t="s">
        <v>67</v>
      </c>
      <c r="F6756" t="s">
        <v>45</v>
      </c>
      <c r="G6756" s="117">
        <v>353.18</v>
      </c>
    </row>
    <row r="6757" spans="1:7" x14ac:dyDescent="0.25">
      <c r="A6757" s="116" t="s">
        <v>10732</v>
      </c>
      <c r="B6757" s="117" t="s">
        <v>10733</v>
      </c>
      <c r="C6757" t="s">
        <v>67</v>
      </c>
      <c r="D6757" t="s">
        <v>67</v>
      </c>
      <c r="E6757" t="s">
        <v>67</v>
      </c>
      <c r="F6757" t="s">
        <v>45</v>
      </c>
      <c r="G6757" s="117">
        <v>37.82</v>
      </c>
    </row>
    <row r="6758" spans="1:7" x14ac:dyDescent="0.25">
      <c r="A6758" s="116" t="s">
        <v>10734</v>
      </c>
      <c r="B6758" s="117" t="s">
        <v>10735</v>
      </c>
      <c r="C6758" t="s">
        <v>67</v>
      </c>
      <c r="D6758" t="s">
        <v>67</v>
      </c>
      <c r="E6758" t="s">
        <v>67</v>
      </c>
      <c r="F6758" t="s">
        <v>27987</v>
      </c>
      <c r="G6758" s="117">
        <v>146.38</v>
      </c>
    </row>
    <row r="6759" spans="1:7" x14ac:dyDescent="0.25">
      <c r="A6759" s="116" t="s">
        <v>10736</v>
      </c>
      <c r="B6759" s="117" t="s">
        <v>10737</v>
      </c>
      <c r="C6759" t="s">
        <v>67</v>
      </c>
      <c r="D6759" t="s">
        <v>67</v>
      </c>
      <c r="E6759" t="s">
        <v>67</v>
      </c>
      <c r="F6759" t="s">
        <v>27987</v>
      </c>
      <c r="G6759" s="117">
        <v>21.26</v>
      </c>
    </row>
    <row r="6760" spans="1:7" x14ac:dyDescent="0.25">
      <c r="A6760" s="116" t="s">
        <v>10738</v>
      </c>
      <c r="B6760" s="117" t="s">
        <v>10739</v>
      </c>
      <c r="C6760" t="s">
        <v>67</v>
      </c>
      <c r="D6760" t="s">
        <v>67</v>
      </c>
      <c r="E6760" t="s">
        <v>67</v>
      </c>
      <c r="F6760" t="s">
        <v>27987</v>
      </c>
      <c r="G6760" s="117">
        <v>66.3</v>
      </c>
    </row>
    <row r="6761" spans="1:7" x14ac:dyDescent="0.25">
      <c r="A6761" s="116" t="s">
        <v>10740</v>
      </c>
      <c r="B6761" s="117" t="s">
        <v>28895</v>
      </c>
      <c r="C6761" t="s">
        <v>67</v>
      </c>
      <c r="D6761" t="s">
        <v>67</v>
      </c>
      <c r="E6761" t="s">
        <v>67</v>
      </c>
      <c r="F6761" t="s">
        <v>27987</v>
      </c>
      <c r="G6761" s="117">
        <v>112.63</v>
      </c>
    </row>
    <row r="6762" spans="1:7" x14ac:dyDescent="0.25">
      <c r="A6762" s="116" t="s">
        <v>10741</v>
      </c>
      <c r="B6762" s="117" t="s">
        <v>10742</v>
      </c>
      <c r="C6762" t="s">
        <v>67</v>
      </c>
      <c r="D6762" t="s">
        <v>67</v>
      </c>
      <c r="E6762" t="s">
        <v>67</v>
      </c>
      <c r="F6762" t="s">
        <v>45</v>
      </c>
      <c r="G6762" s="117">
        <v>14.14</v>
      </c>
    </row>
    <row r="6763" spans="1:7" x14ac:dyDescent="0.25">
      <c r="A6763" s="116" t="s">
        <v>28896</v>
      </c>
      <c r="B6763" s="117" t="s">
        <v>28897</v>
      </c>
      <c r="C6763" t="s">
        <v>67</v>
      </c>
      <c r="D6763" t="s">
        <v>67</v>
      </c>
      <c r="E6763" t="s">
        <v>67</v>
      </c>
      <c r="F6763" t="s">
        <v>45</v>
      </c>
      <c r="G6763" s="117">
        <v>0</v>
      </c>
    </row>
    <row r="6764" spans="1:7" x14ac:dyDescent="0.25">
      <c r="A6764" s="116" t="s">
        <v>10743</v>
      </c>
      <c r="B6764" s="117" t="s">
        <v>10744</v>
      </c>
      <c r="C6764" t="s">
        <v>67</v>
      </c>
      <c r="D6764" t="s">
        <v>67</v>
      </c>
      <c r="E6764" t="s">
        <v>67</v>
      </c>
      <c r="F6764" t="s">
        <v>27987</v>
      </c>
      <c r="G6764" s="117">
        <v>163.29</v>
      </c>
    </row>
    <row r="6765" spans="1:7" x14ac:dyDescent="0.25">
      <c r="A6765" s="116" t="s">
        <v>10745</v>
      </c>
      <c r="B6765" s="117" t="s">
        <v>10746</v>
      </c>
      <c r="C6765" t="s">
        <v>67</v>
      </c>
      <c r="D6765" t="s">
        <v>67</v>
      </c>
      <c r="E6765" t="s">
        <v>67</v>
      </c>
      <c r="F6765" t="s">
        <v>45</v>
      </c>
      <c r="G6765" s="117">
        <v>39.950000000000003</v>
      </c>
    </row>
    <row r="6766" spans="1:7" x14ac:dyDescent="0.25">
      <c r="A6766" s="116" t="s">
        <v>10747</v>
      </c>
      <c r="B6766" s="117" t="s">
        <v>1227</v>
      </c>
      <c r="C6766" t="s">
        <v>67</v>
      </c>
      <c r="D6766" t="s">
        <v>67</v>
      </c>
      <c r="E6766" t="s">
        <v>67</v>
      </c>
      <c r="F6766" t="s">
        <v>27987</v>
      </c>
      <c r="G6766" s="117">
        <v>21.26</v>
      </c>
    </row>
    <row r="6767" spans="1:7" x14ac:dyDescent="0.25">
      <c r="A6767" s="116" t="s">
        <v>10748</v>
      </c>
      <c r="B6767" s="117" t="s">
        <v>10749</v>
      </c>
      <c r="C6767" t="s">
        <v>67</v>
      </c>
      <c r="D6767" t="s">
        <v>67</v>
      </c>
      <c r="E6767" t="s">
        <v>67</v>
      </c>
      <c r="F6767" t="s">
        <v>45</v>
      </c>
      <c r="G6767" s="117">
        <v>68.069999999999993</v>
      </c>
    </row>
    <row r="6768" spans="1:7" x14ac:dyDescent="0.25">
      <c r="A6768" s="116" t="s">
        <v>10750</v>
      </c>
      <c r="B6768" s="117" t="s">
        <v>10751</v>
      </c>
      <c r="C6768" t="s">
        <v>67</v>
      </c>
      <c r="D6768" t="s">
        <v>67</v>
      </c>
      <c r="E6768" t="s">
        <v>67</v>
      </c>
      <c r="F6768" t="s">
        <v>27987</v>
      </c>
      <c r="G6768" s="117">
        <v>127.69</v>
      </c>
    </row>
    <row r="6769" spans="1:7" x14ac:dyDescent="0.25">
      <c r="A6769" s="116" t="s">
        <v>27035</v>
      </c>
      <c r="B6769" s="117" t="s">
        <v>27036</v>
      </c>
      <c r="C6769" t="s">
        <v>67</v>
      </c>
      <c r="D6769" t="s">
        <v>67</v>
      </c>
      <c r="E6769" t="s">
        <v>67</v>
      </c>
      <c r="F6769" t="s">
        <v>27987</v>
      </c>
      <c r="G6769" s="117">
        <v>70</v>
      </c>
    </row>
    <row r="6770" spans="1:7" x14ac:dyDescent="0.25">
      <c r="A6770" s="116" t="s">
        <v>28898</v>
      </c>
      <c r="B6770" s="117" t="s">
        <v>28899</v>
      </c>
      <c r="C6770" t="s">
        <v>67</v>
      </c>
      <c r="D6770" t="s">
        <v>67</v>
      </c>
      <c r="E6770" t="s">
        <v>67</v>
      </c>
      <c r="F6770" t="s">
        <v>27987</v>
      </c>
      <c r="G6770" s="117">
        <v>118</v>
      </c>
    </row>
    <row r="6771" spans="1:7" x14ac:dyDescent="0.25">
      <c r="A6771" s="116" t="s">
        <v>10752</v>
      </c>
      <c r="B6771" s="117" t="s">
        <v>10753</v>
      </c>
      <c r="C6771" t="s">
        <v>67</v>
      </c>
      <c r="D6771" t="s">
        <v>67</v>
      </c>
      <c r="E6771" t="s">
        <v>67</v>
      </c>
      <c r="F6771" t="s">
        <v>27987</v>
      </c>
      <c r="G6771" s="117">
        <v>51.17</v>
      </c>
    </row>
    <row r="6772" spans="1:7" x14ac:dyDescent="0.25">
      <c r="A6772" s="116" t="s">
        <v>10754</v>
      </c>
      <c r="B6772" s="117" t="s">
        <v>10755</v>
      </c>
      <c r="C6772" t="s">
        <v>67</v>
      </c>
      <c r="D6772" t="s">
        <v>67</v>
      </c>
      <c r="E6772" t="s">
        <v>67</v>
      </c>
      <c r="F6772" t="s">
        <v>27987</v>
      </c>
      <c r="G6772" s="117">
        <v>41.38</v>
      </c>
    </row>
    <row r="6773" spans="1:7" x14ac:dyDescent="0.25">
      <c r="A6773" s="116" t="s">
        <v>10756</v>
      </c>
      <c r="B6773" s="117" t="s">
        <v>10757</v>
      </c>
      <c r="C6773" t="s">
        <v>67</v>
      </c>
      <c r="D6773" t="s">
        <v>67</v>
      </c>
      <c r="E6773" t="s">
        <v>67</v>
      </c>
      <c r="F6773" t="s">
        <v>27987</v>
      </c>
      <c r="G6773" s="117">
        <v>531.14</v>
      </c>
    </row>
    <row r="6774" spans="1:7" x14ac:dyDescent="0.25">
      <c r="A6774" s="116" t="s">
        <v>10758</v>
      </c>
      <c r="B6774" s="117" t="s">
        <v>10759</v>
      </c>
      <c r="C6774" t="s">
        <v>67</v>
      </c>
      <c r="D6774" t="s">
        <v>67</v>
      </c>
      <c r="E6774" t="s">
        <v>67</v>
      </c>
      <c r="F6774" t="s">
        <v>27987</v>
      </c>
      <c r="G6774" s="117">
        <v>108.48</v>
      </c>
    </row>
    <row r="6775" spans="1:7" x14ac:dyDescent="0.25">
      <c r="A6775" s="116" t="s">
        <v>10760</v>
      </c>
      <c r="B6775" s="117" t="s">
        <v>10761</v>
      </c>
      <c r="C6775" t="s">
        <v>67</v>
      </c>
      <c r="D6775" t="s">
        <v>67</v>
      </c>
      <c r="E6775" t="s">
        <v>67</v>
      </c>
      <c r="F6775" t="s">
        <v>27987</v>
      </c>
      <c r="G6775" s="117">
        <v>131.61000000000001</v>
      </c>
    </row>
    <row r="6776" spans="1:7" x14ac:dyDescent="0.25">
      <c r="A6776" s="116" t="s">
        <v>10762</v>
      </c>
      <c r="B6776" s="117" t="s">
        <v>10763</v>
      </c>
      <c r="C6776" t="s">
        <v>67</v>
      </c>
      <c r="D6776" t="s">
        <v>67</v>
      </c>
      <c r="E6776" t="s">
        <v>67</v>
      </c>
      <c r="F6776" t="s">
        <v>45</v>
      </c>
      <c r="G6776" s="117">
        <v>60.06</v>
      </c>
    </row>
    <row r="6777" spans="1:7" x14ac:dyDescent="0.25">
      <c r="A6777" s="116" t="s">
        <v>10764</v>
      </c>
      <c r="B6777" s="117" t="s">
        <v>10765</v>
      </c>
      <c r="C6777" t="s">
        <v>67</v>
      </c>
      <c r="D6777" t="s">
        <v>67</v>
      </c>
      <c r="E6777" t="s">
        <v>67</v>
      </c>
      <c r="F6777" t="s">
        <v>27987</v>
      </c>
      <c r="G6777" s="117">
        <v>28.92</v>
      </c>
    </row>
    <row r="6778" spans="1:7" x14ac:dyDescent="0.25">
      <c r="A6778" s="116" t="s">
        <v>10766</v>
      </c>
      <c r="B6778" s="117" t="s">
        <v>10767</v>
      </c>
      <c r="C6778" t="s">
        <v>67</v>
      </c>
      <c r="D6778" t="s">
        <v>67</v>
      </c>
      <c r="E6778" t="s">
        <v>67</v>
      </c>
      <c r="F6778" t="s">
        <v>27987</v>
      </c>
      <c r="G6778" s="117">
        <v>7.92</v>
      </c>
    </row>
    <row r="6779" spans="1:7" x14ac:dyDescent="0.25">
      <c r="A6779" s="116" t="s">
        <v>10768</v>
      </c>
      <c r="B6779" s="117" t="s">
        <v>10769</v>
      </c>
      <c r="C6779" t="s">
        <v>67</v>
      </c>
      <c r="D6779" t="s">
        <v>67</v>
      </c>
      <c r="E6779" t="s">
        <v>67</v>
      </c>
      <c r="F6779" t="s">
        <v>27987</v>
      </c>
      <c r="G6779" s="117">
        <v>13.26</v>
      </c>
    </row>
    <row r="6780" spans="1:7" x14ac:dyDescent="0.25">
      <c r="A6780" s="116" t="s">
        <v>10770</v>
      </c>
      <c r="B6780" s="117" t="s">
        <v>10771</v>
      </c>
      <c r="C6780" t="s">
        <v>67</v>
      </c>
      <c r="D6780" t="s">
        <v>67</v>
      </c>
      <c r="E6780" t="s">
        <v>67</v>
      </c>
      <c r="F6780" t="s">
        <v>27987</v>
      </c>
      <c r="G6780" s="117">
        <v>16.82</v>
      </c>
    </row>
    <row r="6781" spans="1:7" x14ac:dyDescent="0.25">
      <c r="A6781" s="116" t="s">
        <v>10772</v>
      </c>
      <c r="B6781" s="117" t="s">
        <v>10773</v>
      </c>
      <c r="C6781" t="s">
        <v>67</v>
      </c>
      <c r="D6781" t="s">
        <v>67</v>
      </c>
      <c r="E6781" t="s">
        <v>67</v>
      </c>
      <c r="F6781" t="s">
        <v>27987</v>
      </c>
      <c r="G6781" s="117">
        <v>47.61</v>
      </c>
    </row>
    <row r="6782" spans="1:7" x14ac:dyDescent="0.25">
      <c r="A6782" s="116" t="s">
        <v>10774</v>
      </c>
      <c r="B6782" s="117" t="s">
        <v>10775</v>
      </c>
      <c r="C6782" t="s">
        <v>67</v>
      </c>
      <c r="D6782" t="s">
        <v>67</v>
      </c>
      <c r="E6782" t="s">
        <v>67</v>
      </c>
      <c r="F6782" t="s">
        <v>45</v>
      </c>
      <c r="G6782" s="117">
        <v>597.52</v>
      </c>
    </row>
    <row r="6783" spans="1:7" x14ac:dyDescent="0.25">
      <c r="A6783" s="116" t="s">
        <v>10776</v>
      </c>
      <c r="B6783" s="117" t="s">
        <v>10777</v>
      </c>
      <c r="C6783" t="s">
        <v>67</v>
      </c>
      <c r="D6783" t="s">
        <v>67</v>
      </c>
      <c r="E6783" t="s">
        <v>67</v>
      </c>
      <c r="F6783" t="s">
        <v>27987</v>
      </c>
      <c r="G6783" s="117">
        <v>88.54</v>
      </c>
    </row>
    <row r="6784" spans="1:7" x14ac:dyDescent="0.25">
      <c r="A6784" s="116" t="s">
        <v>10778</v>
      </c>
      <c r="B6784" s="117" t="s">
        <v>10527</v>
      </c>
      <c r="C6784" t="s">
        <v>67</v>
      </c>
      <c r="D6784" t="s">
        <v>67</v>
      </c>
      <c r="E6784" t="s">
        <v>67</v>
      </c>
      <c r="F6784" t="s">
        <v>27987</v>
      </c>
      <c r="G6784" s="117">
        <v>13.26</v>
      </c>
    </row>
    <row r="6785" spans="1:7" x14ac:dyDescent="0.25">
      <c r="A6785" s="116" t="s">
        <v>28900</v>
      </c>
      <c r="B6785" s="117" t="s">
        <v>28901</v>
      </c>
      <c r="C6785" t="s">
        <v>67</v>
      </c>
      <c r="D6785" t="s">
        <v>67</v>
      </c>
      <c r="E6785" t="s">
        <v>67</v>
      </c>
      <c r="F6785" t="s">
        <v>45</v>
      </c>
      <c r="G6785" s="117">
        <v>0</v>
      </c>
    </row>
    <row r="6786" spans="1:7" x14ac:dyDescent="0.25">
      <c r="A6786" s="116" t="s">
        <v>10779</v>
      </c>
      <c r="B6786" s="117" t="s">
        <v>10780</v>
      </c>
      <c r="C6786" t="s">
        <v>67</v>
      </c>
      <c r="D6786" t="s">
        <v>67</v>
      </c>
      <c r="E6786" t="s">
        <v>67</v>
      </c>
      <c r="F6786" t="s">
        <v>27987</v>
      </c>
      <c r="G6786" s="117">
        <v>28.38</v>
      </c>
    </row>
    <row r="6787" spans="1:7" x14ac:dyDescent="0.25">
      <c r="A6787" s="116" t="s">
        <v>10781</v>
      </c>
      <c r="B6787" s="117" t="s">
        <v>10782</v>
      </c>
      <c r="C6787" t="s">
        <v>67</v>
      </c>
      <c r="D6787" t="s">
        <v>67</v>
      </c>
      <c r="E6787" t="s">
        <v>67</v>
      </c>
      <c r="F6787" t="s">
        <v>27987</v>
      </c>
      <c r="G6787" s="117">
        <v>118.26</v>
      </c>
    </row>
    <row r="6788" spans="1:7" x14ac:dyDescent="0.25">
      <c r="A6788" s="116" t="s">
        <v>10783</v>
      </c>
      <c r="B6788" s="117" t="s">
        <v>10699</v>
      </c>
      <c r="C6788" t="s">
        <v>67</v>
      </c>
      <c r="D6788" t="s">
        <v>67</v>
      </c>
      <c r="E6788" t="s">
        <v>67</v>
      </c>
      <c r="F6788" t="s">
        <v>49</v>
      </c>
      <c r="G6788" s="117">
        <v>26.25</v>
      </c>
    </row>
    <row r="6789" spans="1:7" x14ac:dyDescent="0.25">
      <c r="A6789" s="116" t="s">
        <v>10784</v>
      </c>
      <c r="B6789" s="117" t="s">
        <v>10785</v>
      </c>
      <c r="C6789" t="s">
        <v>67</v>
      </c>
      <c r="D6789" t="s">
        <v>67</v>
      </c>
      <c r="E6789" t="s">
        <v>67</v>
      </c>
      <c r="F6789" t="s">
        <v>27987</v>
      </c>
      <c r="G6789" s="117">
        <v>5.25</v>
      </c>
    </row>
    <row r="6790" spans="1:7" x14ac:dyDescent="0.25">
      <c r="A6790" s="116" t="s">
        <v>10786</v>
      </c>
      <c r="B6790" s="117" t="s">
        <v>10787</v>
      </c>
      <c r="C6790" t="s">
        <v>67</v>
      </c>
      <c r="D6790" t="s">
        <v>67</v>
      </c>
      <c r="E6790" t="s">
        <v>67</v>
      </c>
      <c r="F6790" t="s">
        <v>45</v>
      </c>
      <c r="G6790" s="117">
        <v>26.25</v>
      </c>
    </row>
    <row r="6791" spans="1:7" x14ac:dyDescent="0.25">
      <c r="A6791" s="116" t="s">
        <v>10788</v>
      </c>
      <c r="B6791" s="117" t="s">
        <v>10789</v>
      </c>
      <c r="C6791" t="s">
        <v>67</v>
      </c>
      <c r="D6791" t="s">
        <v>67</v>
      </c>
      <c r="E6791" t="s">
        <v>67</v>
      </c>
      <c r="F6791" t="s">
        <v>45</v>
      </c>
      <c r="G6791" s="117">
        <v>36.93</v>
      </c>
    </row>
    <row r="6792" spans="1:7" x14ac:dyDescent="0.25">
      <c r="A6792" s="116" t="s">
        <v>10790</v>
      </c>
      <c r="B6792" s="117" t="s">
        <v>10791</v>
      </c>
      <c r="C6792" t="s">
        <v>67</v>
      </c>
      <c r="D6792" t="s">
        <v>67</v>
      </c>
      <c r="E6792" t="s">
        <v>67</v>
      </c>
      <c r="F6792" t="s">
        <v>45</v>
      </c>
      <c r="G6792" s="117">
        <v>6.68</v>
      </c>
    </row>
    <row r="6793" spans="1:7" x14ac:dyDescent="0.25">
      <c r="A6793" s="116" t="s">
        <v>10792</v>
      </c>
      <c r="B6793" s="117" t="s">
        <v>10793</v>
      </c>
      <c r="C6793" t="s">
        <v>67</v>
      </c>
      <c r="D6793" t="s">
        <v>67</v>
      </c>
      <c r="E6793" t="s">
        <v>67</v>
      </c>
      <c r="F6793" t="s">
        <v>45</v>
      </c>
      <c r="G6793" s="117">
        <v>359.94</v>
      </c>
    </row>
    <row r="6794" spans="1:7" x14ac:dyDescent="0.25">
      <c r="A6794" s="116" t="s">
        <v>10794</v>
      </c>
      <c r="B6794" s="117" t="s">
        <v>10795</v>
      </c>
      <c r="C6794" t="s">
        <v>67</v>
      </c>
      <c r="D6794" t="s">
        <v>67</v>
      </c>
      <c r="E6794" t="s">
        <v>67</v>
      </c>
      <c r="F6794" t="s">
        <v>27987</v>
      </c>
      <c r="G6794" s="117">
        <v>83.2</v>
      </c>
    </row>
    <row r="6795" spans="1:7" x14ac:dyDescent="0.25">
      <c r="A6795" s="116" t="s">
        <v>10796</v>
      </c>
      <c r="B6795" s="117" t="s">
        <v>10797</v>
      </c>
      <c r="C6795" t="s">
        <v>67</v>
      </c>
      <c r="D6795" t="s">
        <v>67</v>
      </c>
      <c r="E6795" t="s">
        <v>67</v>
      </c>
      <c r="F6795" t="s">
        <v>45</v>
      </c>
      <c r="G6795" s="117">
        <v>48.5</v>
      </c>
    </row>
    <row r="6796" spans="1:7" x14ac:dyDescent="0.25">
      <c r="A6796" s="116" t="s">
        <v>10798</v>
      </c>
      <c r="B6796" s="117" t="s">
        <v>3532</v>
      </c>
      <c r="C6796" t="s">
        <v>67</v>
      </c>
      <c r="D6796" t="s">
        <v>67</v>
      </c>
      <c r="E6796" t="s">
        <v>67</v>
      </c>
      <c r="F6796" t="s">
        <v>27987</v>
      </c>
      <c r="G6796" s="117">
        <v>23.94</v>
      </c>
    </row>
    <row r="6797" spans="1:7" x14ac:dyDescent="0.25">
      <c r="A6797" s="116" t="s">
        <v>10799</v>
      </c>
      <c r="B6797" s="117" t="s">
        <v>10800</v>
      </c>
      <c r="C6797" t="s">
        <v>67</v>
      </c>
      <c r="D6797" t="s">
        <v>67</v>
      </c>
      <c r="E6797" t="s">
        <v>67</v>
      </c>
      <c r="F6797" t="s">
        <v>45</v>
      </c>
      <c r="G6797" s="117">
        <v>55.62</v>
      </c>
    </row>
    <row r="6798" spans="1:7" x14ac:dyDescent="0.25">
      <c r="A6798" s="116" t="s">
        <v>10801</v>
      </c>
      <c r="B6798" s="117" t="s">
        <v>10802</v>
      </c>
      <c r="C6798" t="s">
        <v>67</v>
      </c>
      <c r="D6798" t="s">
        <v>67</v>
      </c>
      <c r="E6798" t="s">
        <v>67</v>
      </c>
      <c r="F6798" t="s">
        <v>27987</v>
      </c>
      <c r="G6798" s="117">
        <v>10.58</v>
      </c>
    </row>
    <row r="6799" spans="1:7" x14ac:dyDescent="0.25">
      <c r="A6799" s="116" t="s">
        <v>10803</v>
      </c>
      <c r="B6799" s="117" t="s">
        <v>10804</v>
      </c>
      <c r="C6799" t="s">
        <v>67</v>
      </c>
      <c r="D6799" t="s">
        <v>67</v>
      </c>
      <c r="E6799" t="s">
        <v>67</v>
      </c>
      <c r="F6799" t="s">
        <v>27987</v>
      </c>
      <c r="G6799" s="117">
        <v>12.9</v>
      </c>
    </row>
    <row r="6800" spans="1:7" x14ac:dyDescent="0.25">
      <c r="A6800" s="116" t="s">
        <v>10805</v>
      </c>
      <c r="B6800" s="117" t="s">
        <v>10806</v>
      </c>
      <c r="C6800" t="s">
        <v>67</v>
      </c>
      <c r="D6800" t="s">
        <v>67</v>
      </c>
      <c r="E6800" t="s">
        <v>67</v>
      </c>
      <c r="F6800" t="s">
        <v>45</v>
      </c>
      <c r="G6800" s="117">
        <v>79.11</v>
      </c>
    </row>
    <row r="6801" spans="1:7" x14ac:dyDescent="0.25">
      <c r="A6801" s="116" t="s">
        <v>10807</v>
      </c>
      <c r="B6801" s="117" t="s">
        <v>10808</v>
      </c>
      <c r="C6801" t="s">
        <v>67</v>
      </c>
      <c r="D6801" t="s">
        <v>67</v>
      </c>
      <c r="E6801" t="s">
        <v>67</v>
      </c>
      <c r="F6801" t="s">
        <v>27987</v>
      </c>
      <c r="G6801" s="117">
        <v>79.11</v>
      </c>
    </row>
    <row r="6802" spans="1:7" x14ac:dyDescent="0.25">
      <c r="A6802" s="116" t="s">
        <v>10809</v>
      </c>
      <c r="B6802" s="117" t="s">
        <v>10810</v>
      </c>
      <c r="C6802" t="s">
        <v>67</v>
      </c>
      <c r="D6802" t="s">
        <v>67</v>
      </c>
      <c r="E6802" t="s">
        <v>67</v>
      </c>
      <c r="F6802" t="s">
        <v>27987</v>
      </c>
      <c r="G6802" s="117">
        <v>39.6</v>
      </c>
    </row>
    <row r="6803" spans="1:7" x14ac:dyDescent="0.25">
      <c r="A6803" s="116" t="s">
        <v>10811</v>
      </c>
      <c r="B6803" s="117" t="s">
        <v>10812</v>
      </c>
      <c r="C6803" t="s">
        <v>67</v>
      </c>
      <c r="D6803" t="s">
        <v>67</v>
      </c>
      <c r="E6803" t="s">
        <v>67</v>
      </c>
      <c r="F6803" t="s">
        <v>27987</v>
      </c>
      <c r="G6803" s="117">
        <v>15.57</v>
      </c>
    </row>
    <row r="6804" spans="1:7" x14ac:dyDescent="0.25">
      <c r="A6804" s="116" t="s">
        <v>10813</v>
      </c>
      <c r="B6804" s="117" t="s">
        <v>10814</v>
      </c>
      <c r="C6804" t="s">
        <v>67</v>
      </c>
      <c r="D6804" t="s">
        <v>67</v>
      </c>
      <c r="E6804" t="s">
        <v>67</v>
      </c>
      <c r="F6804" t="s">
        <v>27987</v>
      </c>
      <c r="G6804" s="117">
        <v>29.27</v>
      </c>
    </row>
    <row r="6805" spans="1:7" x14ac:dyDescent="0.25">
      <c r="A6805" s="116" t="s">
        <v>10815</v>
      </c>
      <c r="B6805" s="117" t="s">
        <v>10816</v>
      </c>
      <c r="C6805" t="s">
        <v>67</v>
      </c>
      <c r="D6805" t="s">
        <v>67</v>
      </c>
      <c r="E6805" t="s">
        <v>67</v>
      </c>
      <c r="F6805" t="s">
        <v>27987</v>
      </c>
      <c r="G6805" s="117">
        <v>95.68</v>
      </c>
    </row>
    <row r="6806" spans="1:7" x14ac:dyDescent="0.25">
      <c r="A6806" s="116" t="s">
        <v>10817</v>
      </c>
      <c r="B6806" s="117" t="s">
        <v>10818</v>
      </c>
      <c r="C6806" t="s">
        <v>67</v>
      </c>
      <c r="D6806" t="s">
        <v>67</v>
      </c>
      <c r="E6806" t="s">
        <v>67</v>
      </c>
      <c r="F6806" t="s">
        <v>27987</v>
      </c>
      <c r="G6806" s="117">
        <v>826.2</v>
      </c>
    </row>
    <row r="6807" spans="1:7" x14ac:dyDescent="0.25">
      <c r="A6807" s="116" t="s">
        <v>10819</v>
      </c>
      <c r="B6807" s="117" t="s">
        <v>10820</v>
      </c>
      <c r="C6807" t="s">
        <v>67</v>
      </c>
      <c r="D6807" t="s">
        <v>67</v>
      </c>
      <c r="E6807" t="s">
        <v>67</v>
      </c>
      <c r="F6807" t="s">
        <v>27987</v>
      </c>
      <c r="G6807" s="117">
        <v>298.89</v>
      </c>
    </row>
    <row r="6808" spans="1:7" x14ac:dyDescent="0.25">
      <c r="A6808" s="116" t="s">
        <v>10821</v>
      </c>
      <c r="B6808" s="117" t="s">
        <v>10822</v>
      </c>
      <c r="C6808" t="s">
        <v>67</v>
      </c>
      <c r="D6808" t="s">
        <v>67</v>
      </c>
      <c r="E6808" t="s">
        <v>67</v>
      </c>
      <c r="F6808" t="s">
        <v>45</v>
      </c>
      <c r="G6808" s="117">
        <v>112.02</v>
      </c>
    </row>
    <row r="6809" spans="1:7" x14ac:dyDescent="0.25">
      <c r="A6809" s="116" t="s">
        <v>10823</v>
      </c>
      <c r="B6809" s="117" t="s">
        <v>10824</v>
      </c>
      <c r="C6809" t="s">
        <v>67</v>
      </c>
      <c r="D6809" t="s">
        <v>67</v>
      </c>
      <c r="E6809" t="s">
        <v>67</v>
      </c>
      <c r="F6809" t="s">
        <v>45</v>
      </c>
      <c r="G6809" s="117">
        <v>22.69</v>
      </c>
    </row>
    <row r="6810" spans="1:7" x14ac:dyDescent="0.25">
      <c r="A6810" s="116" t="s">
        <v>10825</v>
      </c>
      <c r="B6810" s="117" t="s">
        <v>10826</v>
      </c>
      <c r="C6810" t="s">
        <v>67</v>
      </c>
      <c r="D6810" t="s">
        <v>67</v>
      </c>
      <c r="E6810" t="s">
        <v>67</v>
      </c>
      <c r="F6810" t="s">
        <v>27987</v>
      </c>
      <c r="G6810" s="117">
        <v>109.36</v>
      </c>
    </row>
    <row r="6811" spans="1:7" x14ac:dyDescent="0.25">
      <c r="A6811" s="116" t="s">
        <v>10827</v>
      </c>
      <c r="B6811" s="117" t="s">
        <v>10828</v>
      </c>
      <c r="C6811" t="s">
        <v>67</v>
      </c>
      <c r="D6811" t="s">
        <v>67</v>
      </c>
      <c r="E6811" t="s">
        <v>67</v>
      </c>
      <c r="F6811" t="s">
        <v>27987</v>
      </c>
      <c r="G6811" s="117">
        <v>164.52</v>
      </c>
    </row>
    <row r="6812" spans="1:7" x14ac:dyDescent="0.25">
      <c r="A6812" s="116" t="s">
        <v>28902</v>
      </c>
      <c r="B6812" s="117" t="s">
        <v>1227</v>
      </c>
      <c r="C6812" t="s">
        <v>67</v>
      </c>
      <c r="D6812" t="s">
        <v>67</v>
      </c>
      <c r="E6812" t="s">
        <v>67</v>
      </c>
      <c r="F6812" t="s">
        <v>45</v>
      </c>
      <c r="G6812" s="117">
        <v>0</v>
      </c>
    </row>
    <row r="6813" spans="1:7" x14ac:dyDescent="0.25">
      <c r="A6813" s="116" t="s">
        <v>10829</v>
      </c>
      <c r="B6813" s="117" t="s">
        <v>10830</v>
      </c>
      <c r="C6813" t="s">
        <v>67</v>
      </c>
      <c r="D6813" t="s">
        <v>67</v>
      </c>
      <c r="E6813" t="s">
        <v>67</v>
      </c>
      <c r="F6813" t="s">
        <v>45</v>
      </c>
      <c r="G6813" s="117">
        <v>44.05</v>
      </c>
    </row>
    <row r="6814" spans="1:7" x14ac:dyDescent="0.25">
      <c r="A6814" s="116" t="s">
        <v>10831</v>
      </c>
      <c r="B6814" s="117" t="s">
        <v>10832</v>
      </c>
      <c r="C6814" t="s">
        <v>67</v>
      </c>
      <c r="D6814" t="s">
        <v>67</v>
      </c>
      <c r="E6814" t="s">
        <v>67</v>
      </c>
      <c r="F6814" t="s">
        <v>45</v>
      </c>
      <c r="G6814" s="117">
        <v>23.94</v>
      </c>
    </row>
    <row r="6815" spans="1:7" x14ac:dyDescent="0.25">
      <c r="A6815" s="116" t="s">
        <v>10833</v>
      </c>
      <c r="B6815" s="117" t="s">
        <v>10834</v>
      </c>
      <c r="C6815" t="s">
        <v>67</v>
      </c>
      <c r="D6815" t="s">
        <v>67</v>
      </c>
      <c r="E6815" t="s">
        <v>67</v>
      </c>
      <c r="F6815" t="s">
        <v>49</v>
      </c>
      <c r="G6815" s="117">
        <v>4.45</v>
      </c>
    </row>
    <row r="6816" spans="1:7" x14ac:dyDescent="0.25">
      <c r="A6816" s="116" t="s">
        <v>10835</v>
      </c>
      <c r="B6816" s="117" t="s">
        <v>10836</v>
      </c>
      <c r="C6816" t="s">
        <v>67</v>
      </c>
      <c r="D6816" t="s">
        <v>67</v>
      </c>
      <c r="E6816" t="s">
        <v>67</v>
      </c>
      <c r="F6816" t="s">
        <v>45</v>
      </c>
      <c r="G6816" s="117">
        <v>271.31</v>
      </c>
    </row>
    <row r="6817" spans="1:7" x14ac:dyDescent="0.25">
      <c r="A6817" s="116" t="s">
        <v>10837</v>
      </c>
      <c r="B6817" s="117" t="s">
        <v>1082</v>
      </c>
      <c r="C6817" t="s">
        <v>67</v>
      </c>
      <c r="D6817" t="s">
        <v>67</v>
      </c>
      <c r="E6817" t="s">
        <v>67</v>
      </c>
      <c r="F6817" t="s">
        <v>27987</v>
      </c>
      <c r="G6817" s="117">
        <v>23.05</v>
      </c>
    </row>
    <row r="6818" spans="1:7" x14ac:dyDescent="0.25">
      <c r="A6818" s="116" t="s">
        <v>10838</v>
      </c>
      <c r="B6818" s="117" t="s">
        <v>10257</v>
      </c>
      <c r="C6818" t="s">
        <v>67</v>
      </c>
      <c r="D6818" t="s">
        <v>67</v>
      </c>
      <c r="E6818" t="s">
        <v>67</v>
      </c>
      <c r="F6818" t="s">
        <v>27987</v>
      </c>
      <c r="G6818" s="117">
        <v>9.35</v>
      </c>
    </row>
    <row r="6819" spans="1:7" x14ac:dyDescent="0.25">
      <c r="A6819" s="116" t="s">
        <v>10839</v>
      </c>
      <c r="B6819" s="117" t="s">
        <v>2142</v>
      </c>
      <c r="C6819" t="s">
        <v>67</v>
      </c>
      <c r="D6819" t="s">
        <v>67</v>
      </c>
      <c r="E6819" t="s">
        <v>67</v>
      </c>
      <c r="F6819" t="s">
        <v>49</v>
      </c>
      <c r="G6819" s="117">
        <v>43.16</v>
      </c>
    </row>
    <row r="6820" spans="1:7" x14ac:dyDescent="0.25">
      <c r="A6820" s="116" t="s">
        <v>10840</v>
      </c>
      <c r="B6820" s="117" t="s">
        <v>10841</v>
      </c>
      <c r="C6820" t="s">
        <v>67</v>
      </c>
      <c r="D6820" t="s">
        <v>67</v>
      </c>
      <c r="E6820" t="s">
        <v>67</v>
      </c>
      <c r="F6820" t="s">
        <v>27987</v>
      </c>
      <c r="G6820" s="117">
        <v>1326.3</v>
      </c>
    </row>
    <row r="6821" spans="1:7" x14ac:dyDescent="0.25">
      <c r="A6821" s="116" t="s">
        <v>10842</v>
      </c>
      <c r="B6821" s="117" t="s">
        <v>10843</v>
      </c>
      <c r="C6821" t="s">
        <v>67</v>
      </c>
      <c r="D6821" t="s">
        <v>67</v>
      </c>
      <c r="E6821" t="s">
        <v>67</v>
      </c>
      <c r="F6821" t="s">
        <v>27987</v>
      </c>
      <c r="G6821" s="117">
        <v>115.58</v>
      </c>
    </row>
    <row r="6822" spans="1:7" x14ac:dyDescent="0.25">
      <c r="A6822" s="116" t="s">
        <v>10844</v>
      </c>
      <c r="B6822" s="117" t="s">
        <v>10845</v>
      </c>
      <c r="C6822" t="s">
        <v>67</v>
      </c>
      <c r="D6822" t="s">
        <v>67</v>
      </c>
      <c r="E6822" t="s">
        <v>67</v>
      </c>
      <c r="F6822" t="s">
        <v>49</v>
      </c>
      <c r="G6822" s="117">
        <v>19.670000000000002</v>
      </c>
    </row>
    <row r="6823" spans="1:7" x14ac:dyDescent="0.25">
      <c r="A6823" s="116" t="s">
        <v>10846</v>
      </c>
      <c r="B6823" s="117" t="s">
        <v>10847</v>
      </c>
      <c r="C6823" t="s">
        <v>67</v>
      </c>
      <c r="D6823" t="s">
        <v>67</v>
      </c>
      <c r="E6823" t="s">
        <v>67</v>
      </c>
      <c r="F6823" t="s">
        <v>45</v>
      </c>
      <c r="G6823" s="117">
        <v>262.42</v>
      </c>
    </row>
    <row r="6824" spans="1:7" x14ac:dyDescent="0.25">
      <c r="A6824" s="116" t="s">
        <v>10848</v>
      </c>
      <c r="B6824" s="117" t="s">
        <v>10849</v>
      </c>
      <c r="C6824" t="s">
        <v>67</v>
      </c>
      <c r="D6824" t="s">
        <v>67</v>
      </c>
      <c r="E6824" t="s">
        <v>67</v>
      </c>
      <c r="F6824" t="s">
        <v>27987</v>
      </c>
      <c r="G6824" s="117">
        <v>11.12</v>
      </c>
    </row>
    <row r="6825" spans="1:7" x14ac:dyDescent="0.25">
      <c r="A6825" s="116" t="s">
        <v>10850</v>
      </c>
      <c r="B6825" s="117" t="s">
        <v>1082</v>
      </c>
      <c r="C6825" t="s">
        <v>67</v>
      </c>
      <c r="D6825" t="s">
        <v>67</v>
      </c>
      <c r="E6825" t="s">
        <v>67</v>
      </c>
      <c r="F6825" t="s">
        <v>45</v>
      </c>
      <c r="G6825" s="117">
        <v>12.01</v>
      </c>
    </row>
    <row r="6826" spans="1:7" x14ac:dyDescent="0.25">
      <c r="A6826" s="116" t="s">
        <v>10851</v>
      </c>
      <c r="B6826" s="117" t="s">
        <v>10852</v>
      </c>
      <c r="C6826" t="s">
        <v>67</v>
      </c>
      <c r="D6826" t="s">
        <v>67</v>
      </c>
      <c r="E6826" t="s">
        <v>67</v>
      </c>
      <c r="F6826" t="s">
        <v>45</v>
      </c>
      <c r="G6826" s="117">
        <v>20.38</v>
      </c>
    </row>
    <row r="6827" spans="1:7" x14ac:dyDescent="0.25">
      <c r="A6827" s="116" t="s">
        <v>10853</v>
      </c>
      <c r="B6827" s="117" t="s">
        <v>10854</v>
      </c>
      <c r="C6827" t="s">
        <v>67</v>
      </c>
      <c r="D6827" t="s">
        <v>67</v>
      </c>
      <c r="E6827" t="s">
        <v>67</v>
      </c>
      <c r="F6827" t="s">
        <v>27987</v>
      </c>
      <c r="G6827" s="117">
        <v>51.17</v>
      </c>
    </row>
    <row r="6828" spans="1:7" x14ac:dyDescent="0.25">
      <c r="A6828" s="116" t="s">
        <v>10855</v>
      </c>
      <c r="B6828" s="117" t="s">
        <v>10856</v>
      </c>
      <c r="C6828" t="s">
        <v>67</v>
      </c>
      <c r="D6828" t="s">
        <v>67</v>
      </c>
      <c r="E6828" t="s">
        <v>67</v>
      </c>
      <c r="F6828" t="s">
        <v>27987</v>
      </c>
      <c r="G6828" s="117">
        <v>132.13999999999999</v>
      </c>
    </row>
    <row r="6829" spans="1:7" x14ac:dyDescent="0.25">
      <c r="A6829" s="116" t="s">
        <v>10857</v>
      </c>
      <c r="B6829" s="117" t="s">
        <v>10858</v>
      </c>
      <c r="C6829" t="s">
        <v>67</v>
      </c>
      <c r="D6829" t="s">
        <v>67</v>
      </c>
      <c r="E6829" t="s">
        <v>67</v>
      </c>
      <c r="F6829" t="s">
        <v>49</v>
      </c>
      <c r="G6829" s="117">
        <v>73.64</v>
      </c>
    </row>
    <row r="6830" spans="1:7" x14ac:dyDescent="0.25">
      <c r="A6830" s="116" t="s">
        <v>10859</v>
      </c>
      <c r="B6830" s="117" t="s">
        <v>10860</v>
      </c>
      <c r="C6830" t="s">
        <v>67</v>
      </c>
      <c r="D6830" t="s">
        <v>67</v>
      </c>
      <c r="E6830" t="s">
        <v>67</v>
      </c>
      <c r="F6830" t="s">
        <v>27987</v>
      </c>
      <c r="G6830" s="117">
        <v>62.29</v>
      </c>
    </row>
    <row r="6831" spans="1:7" x14ac:dyDescent="0.25">
      <c r="A6831" s="116" t="s">
        <v>10861</v>
      </c>
      <c r="B6831" s="117" t="s">
        <v>10862</v>
      </c>
      <c r="C6831" t="s">
        <v>67</v>
      </c>
      <c r="D6831" t="s">
        <v>67</v>
      </c>
      <c r="E6831" t="s">
        <v>67</v>
      </c>
      <c r="F6831" t="s">
        <v>27987</v>
      </c>
      <c r="G6831" s="117">
        <v>62.29</v>
      </c>
    </row>
    <row r="6832" spans="1:7" x14ac:dyDescent="0.25">
      <c r="A6832" s="116" t="s">
        <v>10863</v>
      </c>
      <c r="B6832" s="117" t="s">
        <v>10418</v>
      </c>
      <c r="C6832" t="s">
        <v>67</v>
      </c>
      <c r="D6832" t="s">
        <v>67</v>
      </c>
      <c r="E6832" t="s">
        <v>67</v>
      </c>
      <c r="F6832" t="s">
        <v>49</v>
      </c>
      <c r="G6832" s="117">
        <v>52.06</v>
      </c>
    </row>
    <row r="6833" spans="1:7" x14ac:dyDescent="0.25">
      <c r="A6833" s="116" t="s">
        <v>10864</v>
      </c>
      <c r="B6833" s="117" t="s">
        <v>10865</v>
      </c>
      <c r="C6833" t="s">
        <v>67</v>
      </c>
      <c r="D6833" t="s">
        <v>67</v>
      </c>
      <c r="E6833" t="s">
        <v>67</v>
      </c>
      <c r="F6833" t="s">
        <v>51</v>
      </c>
      <c r="G6833" s="117">
        <v>1.69</v>
      </c>
    </row>
    <row r="6834" spans="1:7" x14ac:dyDescent="0.25">
      <c r="A6834" s="116" t="s">
        <v>10866</v>
      </c>
      <c r="B6834" s="117" t="s">
        <v>2938</v>
      </c>
      <c r="C6834" t="s">
        <v>67</v>
      </c>
      <c r="D6834" t="s">
        <v>67</v>
      </c>
      <c r="E6834" t="s">
        <v>67</v>
      </c>
      <c r="F6834" t="s">
        <v>27987</v>
      </c>
      <c r="G6834" s="117">
        <v>35.5</v>
      </c>
    </row>
    <row r="6835" spans="1:7" x14ac:dyDescent="0.25">
      <c r="A6835" s="116" t="s">
        <v>10867</v>
      </c>
      <c r="B6835" s="117" t="s">
        <v>10868</v>
      </c>
      <c r="C6835" t="s">
        <v>67</v>
      </c>
      <c r="D6835" t="s">
        <v>67</v>
      </c>
      <c r="E6835" t="s">
        <v>67</v>
      </c>
      <c r="F6835" t="s">
        <v>27987</v>
      </c>
      <c r="G6835" s="117">
        <v>74.66</v>
      </c>
    </row>
    <row r="6836" spans="1:7" x14ac:dyDescent="0.25">
      <c r="A6836" s="116" t="s">
        <v>28070</v>
      </c>
      <c r="B6836" s="117" t="s">
        <v>28071</v>
      </c>
      <c r="C6836" t="s">
        <v>67</v>
      </c>
      <c r="D6836" t="s">
        <v>67</v>
      </c>
      <c r="E6836" t="s">
        <v>67</v>
      </c>
      <c r="F6836" t="s">
        <v>45</v>
      </c>
      <c r="G6836" s="117">
        <v>120</v>
      </c>
    </row>
    <row r="6837" spans="1:7" x14ac:dyDescent="0.25">
      <c r="A6837" s="116" t="s">
        <v>10869</v>
      </c>
      <c r="B6837" s="117" t="s">
        <v>10870</v>
      </c>
      <c r="C6837" t="s">
        <v>67</v>
      </c>
      <c r="D6837" t="s">
        <v>67</v>
      </c>
      <c r="E6837" t="s">
        <v>67</v>
      </c>
      <c r="F6837" t="s">
        <v>45</v>
      </c>
      <c r="G6837" s="117">
        <v>45.3</v>
      </c>
    </row>
    <row r="6838" spans="1:7" x14ac:dyDescent="0.25">
      <c r="A6838" s="116" t="s">
        <v>10871</v>
      </c>
      <c r="B6838" s="117" t="s">
        <v>10872</v>
      </c>
      <c r="C6838" t="s">
        <v>67</v>
      </c>
      <c r="D6838" t="s">
        <v>67</v>
      </c>
      <c r="E6838" t="s">
        <v>67</v>
      </c>
      <c r="F6838" t="s">
        <v>45</v>
      </c>
      <c r="G6838" s="117">
        <v>44.94</v>
      </c>
    </row>
    <row r="6839" spans="1:7" x14ac:dyDescent="0.25">
      <c r="A6839" s="116" t="s">
        <v>10873</v>
      </c>
      <c r="B6839" s="117" t="s">
        <v>10874</v>
      </c>
      <c r="C6839" t="s">
        <v>67</v>
      </c>
      <c r="D6839" t="s">
        <v>67</v>
      </c>
      <c r="E6839" t="s">
        <v>67</v>
      </c>
      <c r="F6839" t="s">
        <v>27987</v>
      </c>
      <c r="G6839" s="117">
        <v>4.3600000000000003</v>
      </c>
    </row>
    <row r="6840" spans="1:7" x14ac:dyDescent="0.25">
      <c r="A6840" s="116" t="s">
        <v>10875</v>
      </c>
      <c r="B6840" s="117" t="s">
        <v>10876</v>
      </c>
      <c r="C6840" t="s">
        <v>67</v>
      </c>
      <c r="D6840" t="s">
        <v>67</v>
      </c>
      <c r="E6840" t="s">
        <v>67</v>
      </c>
      <c r="F6840" t="s">
        <v>45</v>
      </c>
      <c r="G6840" s="117">
        <v>11.12</v>
      </c>
    </row>
    <row r="6841" spans="1:7" x14ac:dyDescent="0.25">
      <c r="A6841" s="116" t="s">
        <v>10877</v>
      </c>
      <c r="B6841" s="117" t="s">
        <v>10878</v>
      </c>
      <c r="C6841" t="s">
        <v>67</v>
      </c>
      <c r="D6841" t="s">
        <v>67</v>
      </c>
      <c r="E6841" t="s">
        <v>67</v>
      </c>
      <c r="F6841" t="s">
        <v>45</v>
      </c>
      <c r="G6841" s="117">
        <v>6.14</v>
      </c>
    </row>
    <row r="6842" spans="1:7" x14ac:dyDescent="0.25">
      <c r="A6842" s="116" t="s">
        <v>10879</v>
      </c>
      <c r="B6842" s="117" t="s">
        <v>10880</v>
      </c>
      <c r="C6842" t="s">
        <v>67</v>
      </c>
      <c r="D6842" t="s">
        <v>67</v>
      </c>
      <c r="E6842" t="s">
        <v>67</v>
      </c>
      <c r="F6842" t="s">
        <v>45</v>
      </c>
      <c r="G6842" s="117">
        <v>26.25</v>
      </c>
    </row>
    <row r="6843" spans="1:7" x14ac:dyDescent="0.25">
      <c r="A6843" s="116" t="s">
        <v>10881</v>
      </c>
      <c r="B6843" s="117" t="s">
        <v>1082</v>
      </c>
      <c r="C6843" t="s">
        <v>67</v>
      </c>
      <c r="D6843" t="s">
        <v>67</v>
      </c>
      <c r="E6843" t="s">
        <v>67</v>
      </c>
      <c r="F6843" t="s">
        <v>45</v>
      </c>
      <c r="G6843" s="117">
        <v>20.38</v>
      </c>
    </row>
    <row r="6844" spans="1:7" x14ac:dyDescent="0.25">
      <c r="A6844" s="116" t="s">
        <v>10882</v>
      </c>
      <c r="B6844" s="117" t="s">
        <v>10883</v>
      </c>
      <c r="C6844" t="s">
        <v>67</v>
      </c>
      <c r="D6844" t="s">
        <v>67</v>
      </c>
      <c r="E6844" t="s">
        <v>67</v>
      </c>
      <c r="F6844" t="s">
        <v>27987</v>
      </c>
      <c r="G6844" s="117">
        <v>5.79</v>
      </c>
    </row>
    <row r="6845" spans="1:7" x14ac:dyDescent="0.25">
      <c r="A6845" s="116" t="s">
        <v>10884</v>
      </c>
      <c r="B6845" s="117" t="s">
        <v>1082</v>
      </c>
      <c r="C6845" t="s">
        <v>67</v>
      </c>
      <c r="D6845" t="s">
        <v>67</v>
      </c>
      <c r="E6845" t="s">
        <v>67</v>
      </c>
      <c r="F6845" t="s">
        <v>49</v>
      </c>
      <c r="G6845" s="117">
        <v>12.01</v>
      </c>
    </row>
    <row r="6846" spans="1:7" x14ac:dyDescent="0.25">
      <c r="A6846" s="116" t="s">
        <v>10885</v>
      </c>
      <c r="B6846" s="117" t="s">
        <v>10886</v>
      </c>
      <c r="C6846" t="s">
        <v>67</v>
      </c>
      <c r="D6846" t="s">
        <v>67</v>
      </c>
      <c r="E6846" t="s">
        <v>67</v>
      </c>
      <c r="F6846" t="s">
        <v>27987</v>
      </c>
      <c r="G6846" s="117">
        <v>13.26</v>
      </c>
    </row>
    <row r="6847" spans="1:7" x14ac:dyDescent="0.25">
      <c r="A6847" s="116" t="s">
        <v>10887</v>
      </c>
      <c r="B6847" s="117" t="s">
        <v>10699</v>
      </c>
      <c r="C6847" t="s">
        <v>67</v>
      </c>
      <c r="D6847" t="s">
        <v>67</v>
      </c>
      <c r="E6847" t="s">
        <v>67</v>
      </c>
      <c r="F6847" t="s">
        <v>27987</v>
      </c>
      <c r="G6847" s="117">
        <v>17.36</v>
      </c>
    </row>
    <row r="6848" spans="1:7" x14ac:dyDescent="0.25">
      <c r="A6848" s="116" t="s">
        <v>10888</v>
      </c>
      <c r="B6848" s="117" t="s">
        <v>1082</v>
      </c>
      <c r="C6848" t="s">
        <v>67</v>
      </c>
      <c r="D6848" t="s">
        <v>67</v>
      </c>
      <c r="E6848" t="s">
        <v>67</v>
      </c>
      <c r="F6848" t="s">
        <v>27987</v>
      </c>
      <c r="G6848" s="117">
        <v>101</v>
      </c>
    </row>
    <row r="6849" spans="1:7" x14ac:dyDescent="0.25">
      <c r="A6849" s="116" t="s">
        <v>10889</v>
      </c>
      <c r="B6849" s="117" t="s">
        <v>10890</v>
      </c>
      <c r="C6849" t="s">
        <v>67</v>
      </c>
      <c r="D6849" t="s">
        <v>67</v>
      </c>
      <c r="E6849" t="s">
        <v>67</v>
      </c>
      <c r="F6849" t="s">
        <v>27987</v>
      </c>
      <c r="G6849" s="117">
        <v>31.94</v>
      </c>
    </row>
    <row r="6850" spans="1:7" x14ac:dyDescent="0.25">
      <c r="A6850" s="116" t="s">
        <v>10891</v>
      </c>
      <c r="B6850" s="117" t="s">
        <v>10892</v>
      </c>
      <c r="C6850" t="s">
        <v>67</v>
      </c>
      <c r="D6850" t="s">
        <v>67</v>
      </c>
      <c r="E6850" t="s">
        <v>67</v>
      </c>
      <c r="F6850" t="s">
        <v>27987</v>
      </c>
      <c r="G6850" s="117">
        <v>10.58</v>
      </c>
    </row>
    <row r="6851" spans="1:7" x14ac:dyDescent="0.25">
      <c r="A6851" s="116" t="s">
        <v>10893</v>
      </c>
      <c r="B6851" s="117" t="s">
        <v>10894</v>
      </c>
      <c r="C6851" t="s">
        <v>67</v>
      </c>
      <c r="D6851" t="s">
        <v>67</v>
      </c>
      <c r="E6851" t="s">
        <v>67</v>
      </c>
      <c r="F6851" t="s">
        <v>45</v>
      </c>
      <c r="G6851" s="117">
        <v>1097.07</v>
      </c>
    </row>
    <row r="6852" spans="1:7" x14ac:dyDescent="0.25">
      <c r="A6852" s="116" t="s">
        <v>10895</v>
      </c>
      <c r="B6852" s="117" t="s">
        <v>10896</v>
      </c>
      <c r="C6852" t="s">
        <v>67</v>
      </c>
      <c r="D6852" t="s">
        <v>67</v>
      </c>
      <c r="E6852" t="s">
        <v>67</v>
      </c>
      <c r="F6852" t="s">
        <v>27987</v>
      </c>
      <c r="G6852" s="117">
        <v>36.93</v>
      </c>
    </row>
    <row r="6853" spans="1:7" x14ac:dyDescent="0.25">
      <c r="A6853" s="116" t="s">
        <v>10897</v>
      </c>
      <c r="B6853" s="117" t="s">
        <v>10898</v>
      </c>
      <c r="C6853" t="s">
        <v>67</v>
      </c>
      <c r="D6853" t="s">
        <v>67</v>
      </c>
      <c r="E6853" t="s">
        <v>67</v>
      </c>
      <c r="F6853" t="s">
        <v>45</v>
      </c>
      <c r="G6853" s="117">
        <v>223.8</v>
      </c>
    </row>
    <row r="6854" spans="1:7" x14ac:dyDescent="0.25">
      <c r="A6854" s="116" t="s">
        <v>10899</v>
      </c>
      <c r="B6854" s="117" t="s">
        <v>10900</v>
      </c>
      <c r="C6854" t="s">
        <v>67</v>
      </c>
      <c r="D6854" t="s">
        <v>67</v>
      </c>
      <c r="E6854" t="s">
        <v>67</v>
      </c>
      <c r="F6854" t="s">
        <v>27987</v>
      </c>
      <c r="G6854" s="117">
        <v>354.06</v>
      </c>
    </row>
    <row r="6855" spans="1:7" x14ac:dyDescent="0.25">
      <c r="A6855" s="116" t="s">
        <v>10901</v>
      </c>
      <c r="B6855" s="117" t="s">
        <v>10902</v>
      </c>
      <c r="C6855" t="s">
        <v>67</v>
      </c>
      <c r="D6855" t="s">
        <v>67</v>
      </c>
      <c r="E6855" t="s">
        <v>67</v>
      </c>
      <c r="F6855" t="s">
        <v>27987</v>
      </c>
      <c r="G6855" s="117">
        <v>4</v>
      </c>
    </row>
    <row r="6856" spans="1:7" x14ac:dyDescent="0.25">
      <c r="A6856" s="116" t="s">
        <v>10903</v>
      </c>
      <c r="B6856" s="117" t="s">
        <v>10832</v>
      </c>
      <c r="C6856" t="s">
        <v>67</v>
      </c>
      <c r="D6856" t="s">
        <v>67</v>
      </c>
      <c r="E6856" t="s">
        <v>67</v>
      </c>
      <c r="F6856" t="s">
        <v>45</v>
      </c>
      <c r="G6856" s="117">
        <v>11.12</v>
      </c>
    </row>
    <row r="6857" spans="1:7" x14ac:dyDescent="0.25">
      <c r="A6857" s="116" t="s">
        <v>10904</v>
      </c>
      <c r="B6857" s="117" t="s">
        <v>10905</v>
      </c>
      <c r="C6857" t="s">
        <v>67</v>
      </c>
      <c r="D6857" t="s">
        <v>67</v>
      </c>
      <c r="E6857" t="s">
        <v>67</v>
      </c>
      <c r="F6857" t="s">
        <v>27987</v>
      </c>
      <c r="G6857" s="117">
        <v>36.39</v>
      </c>
    </row>
    <row r="6858" spans="1:7" x14ac:dyDescent="0.25">
      <c r="A6858" s="116" t="s">
        <v>10906</v>
      </c>
      <c r="B6858" s="117" t="s">
        <v>10907</v>
      </c>
      <c r="C6858" t="s">
        <v>67</v>
      </c>
      <c r="D6858" t="s">
        <v>67</v>
      </c>
      <c r="E6858" t="s">
        <v>67</v>
      </c>
      <c r="F6858" t="s">
        <v>27987</v>
      </c>
      <c r="G6858" s="117">
        <v>15.04</v>
      </c>
    </row>
    <row r="6859" spans="1:7" x14ac:dyDescent="0.25">
      <c r="A6859" s="116" t="s">
        <v>10908</v>
      </c>
      <c r="B6859" s="117" t="s">
        <v>10909</v>
      </c>
      <c r="C6859" t="s">
        <v>67</v>
      </c>
      <c r="D6859" t="s">
        <v>67</v>
      </c>
      <c r="E6859" t="s">
        <v>67</v>
      </c>
      <c r="F6859" t="s">
        <v>45</v>
      </c>
      <c r="G6859" s="117">
        <v>154.74</v>
      </c>
    </row>
    <row r="6860" spans="1:7" x14ac:dyDescent="0.25">
      <c r="A6860" s="116" t="s">
        <v>10910</v>
      </c>
      <c r="B6860" s="117" t="s">
        <v>10911</v>
      </c>
      <c r="C6860" t="s">
        <v>67</v>
      </c>
      <c r="D6860" t="s">
        <v>67</v>
      </c>
      <c r="E6860" t="s">
        <v>67</v>
      </c>
      <c r="F6860" t="s">
        <v>27987</v>
      </c>
      <c r="G6860" s="117">
        <v>44.05</v>
      </c>
    </row>
    <row r="6861" spans="1:7" x14ac:dyDescent="0.25">
      <c r="A6861" s="116" t="s">
        <v>10912</v>
      </c>
      <c r="B6861" s="117" t="s">
        <v>10913</v>
      </c>
      <c r="C6861" t="s">
        <v>67</v>
      </c>
      <c r="D6861" t="s">
        <v>67</v>
      </c>
      <c r="E6861" t="s">
        <v>67</v>
      </c>
      <c r="F6861" t="s">
        <v>49</v>
      </c>
      <c r="G6861" s="117">
        <v>13.25</v>
      </c>
    </row>
    <row r="6862" spans="1:7" x14ac:dyDescent="0.25">
      <c r="A6862" s="116" t="s">
        <v>10914</v>
      </c>
      <c r="B6862" s="117" t="s">
        <v>10915</v>
      </c>
      <c r="C6862" t="s">
        <v>67</v>
      </c>
      <c r="D6862" t="s">
        <v>67</v>
      </c>
      <c r="E6862" t="s">
        <v>67</v>
      </c>
      <c r="F6862" t="s">
        <v>45</v>
      </c>
      <c r="G6862" s="117">
        <v>17.7</v>
      </c>
    </row>
    <row r="6863" spans="1:7" x14ac:dyDescent="0.25">
      <c r="A6863" s="116" t="s">
        <v>10916</v>
      </c>
      <c r="B6863" s="117" t="s">
        <v>10917</v>
      </c>
      <c r="C6863" t="s">
        <v>67</v>
      </c>
      <c r="D6863" t="s">
        <v>67</v>
      </c>
      <c r="E6863" t="s">
        <v>67</v>
      </c>
      <c r="F6863" t="s">
        <v>45</v>
      </c>
      <c r="G6863" s="117">
        <v>13.76</v>
      </c>
    </row>
    <row r="6864" spans="1:7" x14ac:dyDescent="0.25">
      <c r="A6864" s="116" t="s">
        <v>10918</v>
      </c>
      <c r="B6864" s="117" t="s">
        <v>10919</v>
      </c>
      <c r="C6864" t="s">
        <v>67</v>
      </c>
      <c r="D6864" t="s">
        <v>67</v>
      </c>
      <c r="E6864" t="s">
        <v>67</v>
      </c>
      <c r="F6864" t="s">
        <v>45</v>
      </c>
      <c r="G6864" s="117">
        <v>16.04</v>
      </c>
    </row>
    <row r="6865" spans="1:7" x14ac:dyDescent="0.25">
      <c r="A6865" s="116" t="s">
        <v>10920</v>
      </c>
      <c r="B6865" s="117" t="s">
        <v>10921</v>
      </c>
      <c r="C6865" t="s">
        <v>67</v>
      </c>
      <c r="D6865" t="s">
        <v>67</v>
      </c>
      <c r="E6865" t="s">
        <v>67</v>
      </c>
      <c r="F6865" t="s">
        <v>27987</v>
      </c>
      <c r="G6865" s="117">
        <v>9.2899999999999991</v>
      </c>
    </row>
    <row r="6866" spans="1:7" x14ac:dyDescent="0.25">
      <c r="A6866" s="116" t="s">
        <v>10922</v>
      </c>
      <c r="B6866" s="117" t="s">
        <v>10915</v>
      </c>
      <c r="C6866" t="s">
        <v>67</v>
      </c>
      <c r="D6866" t="s">
        <v>67</v>
      </c>
      <c r="E6866" t="s">
        <v>67</v>
      </c>
      <c r="F6866" t="s">
        <v>45</v>
      </c>
      <c r="G6866" s="117">
        <v>18.82</v>
      </c>
    </row>
    <row r="6867" spans="1:7" x14ac:dyDescent="0.25">
      <c r="A6867" s="116" t="s">
        <v>10923</v>
      </c>
      <c r="B6867" s="117" t="s">
        <v>10915</v>
      </c>
      <c r="C6867" t="s">
        <v>67</v>
      </c>
      <c r="D6867" t="s">
        <v>67</v>
      </c>
      <c r="E6867" t="s">
        <v>67</v>
      </c>
      <c r="F6867" t="s">
        <v>45</v>
      </c>
      <c r="G6867" s="117">
        <v>15.57</v>
      </c>
    </row>
    <row r="6868" spans="1:7" x14ac:dyDescent="0.25">
      <c r="A6868" s="116" t="s">
        <v>10924</v>
      </c>
      <c r="B6868" s="117" t="s">
        <v>10925</v>
      </c>
      <c r="C6868" t="s">
        <v>67</v>
      </c>
      <c r="D6868" t="s">
        <v>67</v>
      </c>
      <c r="E6868" t="s">
        <v>67</v>
      </c>
      <c r="F6868" t="s">
        <v>45</v>
      </c>
      <c r="G6868" s="117">
        <v>15.71</v>
      </c>
    </row>
    <row r="6869" spans="1:7" x14ac:dyDescent="0.25">
      <c r="A6869" s="116" t="s">
        <v>10926</v>
      </c>
      <c r="B6869" s="117" t="s">
        <v>10927</v>
      </c>
      <c r="C6869" t="s">
        <v>67</v>
      </c>
      <c r="D6869" t="s">
        <v>67</v>
      </c>
      <c r="E6869" t="s">
        <v>67</v>
      </c>
      <c r="F6869" t="s">
        <v>49</v>
      </c>
      <c r="G6869" s="117">
        <v>24.48</v>
      </c>
    </row>
    <row r="6870" spans="1:7" x14ac:dyDescent="0.25">
      <c r="A6870" s="116" t="s">
        <v>10928</v>
      </c>
      <c r="B6870" s="117" t="s">
        <v>10929</v>
      </c>
      <c r="C6870" t="s">
        <v>67</v>
      </c>
      <c r="D6870" t="s">
        <v>67</v>
      </c>
      <c r="E6870" t="s">
        <v>67</v>
      </c>
      <c r="F6870" t="s">
        <v>27987</v>
      </c>
      <c r="G6870" s="117">
        <v>11.98</v>
      </c>
    </row>
    <row r="6871" spans="1:7" x14ac:dyDescent="0.25">
      <c r="A6871" s="116" t="s">
        <v>10930</v>
      </c>
      <c r="B6871" s="117" t="s">
        <v>10931</v>
      </c>
      <c r="C6871" t="s">
        <v>67</v>
      </c>
      <c r="D6871" t="s">
        <v>67</v>
      </c>
      <c r="E6871" t="s">
        <v>67</v>
      </c>
      <c r="F6871" t="s">
        <v>27987</v>
      </c>
      <c r="G6871" s="117">
        <v>15.57</v>
      </c>
    </row>
    <row r="6872" spans="1:7" x14ac:dyDescent="0.25">
      <c r="A6872" s="116" t="s">
        <v>10932</v>
      </c>
      <c r="B6872" s="117" t="s">
        <v>10933</v>
      </c>
      <c r="C6872" t="s">
        <v>67</v>
      </c>
      <c r="D6872" t="s">
        <v>67</v>
      </c>
      <c r="E6872" t="s">
        <v>67</v>
      </c>
      <c r="F6872" t="s">
        <v>27987</v>
      </c>
      <c r="G6872" s="117">
        <v>15.93</v>
      </c>
    </row>
    <row r="6873" spans="1:7" x14ac:dyDescent="0.25">
      <c r="A6873" s="116" t="s">
        <v>10934</v>
      </c>
      <c r="B6873" s="117" t="s">
        <v>28903</v>
      </c>
      <c r="C6873" t="s">
        <v>67</v>
      </c>
      <c r="D6873" t="s">
        <v>67</v>
      </c>
      <c r="E6873" t="s">
        <v>67</v>
      </c>
      <c r="F6873" t="s">
        <v>27987</v>
      </c>
      <c r="G6873" s="117">
        <v>348.37</v>
      </c>
    </row>
    <row r="6874" spans="1:7" x14ac:dyDescent="0.25">
      <c r="A6874" s="116" t="s">
        <v>10935</v>
      </c>
      <c r="B6874" s="117" t="s">
        <v>10936</v>
      </c>
      <c r="C6874" t="s">
        <v>67</v>
      </c>
      <c r="D6874" t="s">
        <v>67</v>
      </c>
      <c r="E6874" t="s">
        <v>67</v>
      </c>
      <c r="F6874" t="s">
        <v>27987</v>
      </c>
      <c r="G6874" s="117">
        <v>128.94</v>
      </c>
    </row>
    <row r="6875" spans="1:7" x14ac:dyDescent="0.25">
      <c r="A6875" s="116" t="s">
        <v>10937</v>
      </c>
      <c r="B6875" s="117" t="s">
        <v>10938</v>
      </c>
      <c r="C6875" t="s">
        <v>67</v>
      </c>
      <c r="D6875" t="s">
        <v>67</v>
      </c>
      <c r="E6875" t="s">
        <v>67</v>
      </c>
      <c r="F6875" t="s">
        <v>45</v>
      </c>
      <c r="G6875" s="117">
        <v>212.58</v>
      </c>
    </row>
    <row r="6876" spans="1:7" x14ac:dyDescent="0.25">
      <c r="A6876" s="116" t="s">
        <v>10939</v>
      </c>
      <c r="B6876" s="117" t="s">
        <v>3532</v>
      </c>
      <c r="C6876" t="s">
        <v>67</v>
      </c>
      <c r="D6876" t="s">
        <v>67</v>
      </c>
      <c r="E6876" t="s">
        <v>67</v>
      </c>
      <c r="F6876" t="s">
        <v>27987</v>
      </c>
      <c r="G6876" s="117">
        <v>35.5</v>
      </c>
    </row>
    <row r="6877" spans="1:7" x14ac:dyDescent="0.25">
      <c r="A6877" s="116" t="s">
        <v>10940</v>
      </c>
      <c r="B6877" s="117" t="s">
        <v>10941</v>
      </c>
      <c r="C6877" t="s">
        <v>67</v>
      </c>
      <c r="D6877" t="s">
        <v>67</v>
      </c>
      <c r="E6877" t="s">
        <v>67</v>
      </c>
      <c r="F6877" t="s">
        <v>27987</v>
      </c>
      <c r="G6877" s="117">
        <v>10.58</v>
      </c>
    </row>
    <row r="6878" spans="1:7" x14ac:dyDescent="0.25">
      <c r="A6878" s="116" t="s">
        <v>10942</v>
      </c>
      <c r="B6878" s="117" t="s">
        <v>10943</v>
      </c>
      <c r="C6878" t="s">
        <v>67</v>
      </c>
      <c r="D6878" t="s">
        <v>67</v>
      </c>
      <c r="E6878" t="s">
        <v>67</v>
      </c>
      <c r="F6878" t="s">
        <v>27987</v>
      </c>
      <c r="G6878" s="117">
        <v>112.02</v>
      </c>
    </row>
    <row r="6879" spans="1:7" x14ac:dyDescent="0.25">
      <c r="A6879" s="116" t="s">
        <v>10944</v>
      </c>
      <c r="B6879" s="117" t="s">
        <v>10945</v>
      </c>
      <c r="C6879" t="s">
        <v>67</v>
      </c>
      <c r="D6879" t="s">
        <v>67</v>
      </c>
      <c r="E6879" t="s">
        <v>67</v>
      </c>
      <c r="F6879" t="s">
        <v>27987</v>
      </c>
      <c r="G6879" s="117">
        <v>106.33</v>
      </c>
    </row>
    <row r="6880" spans="1:7" x14ac:dyDescent="0.25">
      <c r="A6880" s="116" t="s">
        <v>10946</v>
      </c>
      <c r="B6880" s="117" t="s">
        <v>1082</v>
      </c>
      <c r="C6880" t="s">
        <v>67</v>
      </c>
      <c r="D6880" t="s">
        <v>67</v>
      </c>
      <c r="E6880" t="s">
        <v>67</v>
      </c>
      <c r="F6880" t="s">
        <v>27987</v>
      </c>
      <c r="G6880" s="117">
        <v>20.38</v>
      </c>
    </row>
    <row r="6881" spans="1:7" x14ac:dyDescent="0.25">
      <c r="A6881" s="116" t="s">
        <v>10947</v>
      </c>
      <c r="B6881" s="117" t="s">
        <v>10948</v>
      </c>
      <c r="C6881" t="s">
        <v>67</v>
      </c>
      <c r="D6881" t="s">
        <v>67</v>
      </c>
      <c r="E6881" t="s">
        <v>67</v>
      </c>
      <c r="F6881" t="s">
        <v>45</v>
      </c>
      <c r="G6881" s="117">
        <v>16.46</v>
      </c>
    </row>
    <row r="6882" spans="1:7" x14ac:dyDescent="0.25">
      <c r="A6882" s="116" t="s">
        <v>10949</v>
      </c>
      <c r="B6882" s="117" t="s">
        <v>10950</v>
      </c>
      <c r="C6882" t="s">
        <v>67</v>
      </c>
      <c r="D6882" t="s">
        <v>67</v>
      </c>
      <c r="E6882" t="s">
        <v>67</v>
      </c>
      <c r="F6882" t="s">
        <v>45</v>
      </c>
      <c r="G6882" s="117">
        <v>32.479999999999997</v>
      </c>
    </row>
    <row r="6883" spans="1:7" x14ac:dyDescent="0.25">
      <c r="A6883" s="116" t="s">
        <v>10951</v>
      </c>
      <c r="B6883" s="117" t="s">
        <v>10952</v>
      </c>
      <c r="C6883" t="s">
        <v>67</v>
      </c>
      <c r="D6883" t="s">
        <v>67</v>
      </c>
      <c r="E6883" t="s">
        <v>67</v>
      </c>
      <c r="F6883" t="s">
        <v>45</v>
      </c>
      <c r="G6883" s="117">
        <v>38</v>
      </c>
    </row>
    <row r="6884" spans="1:7" x14ac:dyDescent="0.25">
      <c r="A6884" s="116" t="s">
        <v>10953</v>
      </c>
      <c r="B6884" s="117" t="s">
        <v>10954</v>
      </c>
      <c r="C6884" t="s">
        <v>67</v>
      </c>
      <c r="D6884" t="s">
        <v>67</v>
      </c>
      <c r="E6884" t="s">
        <v>67</v>
      </c>
      <c r="F6884" t="s">
        <v>49</v>
      </c>
      <c r="G6884" s="117">
        <v>32.83</v>
      </c>
    </row>
    <row r="6885" spans="1:7" x14ac:dyDescent="0.25">
      <c r="A6885" s="116" t="s">
        <v>10955</v>
      </c>
      <c r="B6885" s="117" t="s">
        <v>1082</v>
      </c>
      <c r="C6885" t="s">
        <v>67</v>
      </c>
      <c r="D6885" t="s">
        <v>67</v>
      </c>
      <c r="E6885" t="s">
        <v>67</v>
      </c>
      <c r="F6885" t="s">
        <v>27987</v>
      </c>
      <c r="G6885" s="117">
        <v>21.8</v>
      </c>
    </row>
    <row r="6886" spans="1:7" x14ac:dyDescent="0.25">
      <c r="A6886" s="116" t="s">
        <v>10956</v>
      </c>
      <c r="B6886" s="117" t="s">
        <v>10957</v>
      </c>
      <c r="C6886" t="s">
        <v>67</v>
      </c>
      <c r="D6886" t="s">
        <v>67</v>
      </c>
      <c r="E6886" t="s">
        <v>67</v>
      </c>
      <c r="F6886" t="s">
        <v>27987</v>
      </c>
      <c r="G6886" s="117">
        <v>141.93</v>
      </c>
    </row>
    <row r="6887" spans="1:7" x14ac:dyDescent="0.25">
      <c r="A6887" s="116" t="s">
        <v>10958</v>
      </c>
      <c r="B6887" s="117" t="s">
        <v>10959</v>
      </c>
      <c r="C6887" t="s">
        <v>67</v>
      </c>
      <c r="D6887" t="s">
        <v>67</v>
      </c>
      <c r="E6887" t="s">
        <v>67</v>
      </c>
      <c r="F6887" t="s">
        <v>27987</v>
      </c>
      <c r="G6887" s="117">
        <v>44.05</v>
      </c>
    </row>
    <row r="6888" spans="1:7" x14ac:dyDescent="0.25">
      <c r="A6888" s="116" t="s">
        <v>10960</v>
      </c>
      <c r="B6888" s="117" t="s">
        <v>10961</v>
      </c>
      <c r="C6888" t="s">
        <v>67</v>
      </c>
      <c r="D6888" t="s">
        <v>67</v>
      </c>
      <c r="E6888" t="s">
        <v>67</v>
      </c>
      <c r="F6888" t="s">
        <v>27987</v>
      </c>
      <c r="G6888" s="117">
        <v>41.38</v>
      </c>
    </row>
    <row r="6889" spans="1:7" x14ac:dyDescent="0.25">
      <c r="A6889" s="116" t="s">
        <v>10962</v>
      </c>
      <c r="B6889" s="117" t="s">
        <v>10963</v>
      </c>
      <c r="C6889" t="s">
        <v>67</v>
      </c>
      <c r="D6889" t="s">
        <v>67</v>
      </c>
      <c r="E6889" t="s">
        <v>67</v>
      </c>
      <c r="F6889" t="s">
        <v>45</v>
      </c>
      <c r="G6889" s="117">
        <v>8.89</v>
      </c>
    </row>
    <row r="6890" spans="1:7" x14ac:dyDescent="0.25">
      <c r="A6890" s="116" t="s">
        <v>10964</v>
      </c>
      <c r="B6890" s="117" t="s">
        <v>10965</v>
      </c>
      <c r="C6890" t="s">
        <v>67</v>
      </c>
      <c r="D6890" t="s">
        <v>67</v>
      </c>
      <c r="E6890" t="s">
        <v>67</v>
      </c>
      <c r="F6890" t="s">
        <v>45</v>
      </c>
      <c r="G6890" s="117">
        <v>4</v>
      </c>
    </row>
    <row r="6891" spans="1:7" x14ac:dyDescent="0.25">
      <c r="A6891" s="116" t="s">
        <v>10966</v>
      </c>
      <c r="B6891" s="117" t="s">
        <v>10967</v>
      </c>
      <c r="C6891" t="s">
        <v>67</v>
      </c>
      <c r="D6891" t="s">
        <v>67</v>
      </c>
      <c r="E6891" t="s">
        <v>67</v>
      </c>
      <c r="F6891" t="s">
        <v>27987</v>
      </c>
      <c r="G6891" s="117">
        <v>9.6999999999999993</v>
      </c>
    </row>
    <row r="6892" spans="1:7" x14ac:dyDescent="0.25">
      <c r="A6892" s="116" t="s">
        <v>10968</v>
      </c>
      <c r="B6892" s="117" t="s">
        <v>10969</v>
      </c>
      <c r="C6892" t="s">
        <v>67</v>
      </c>
      <c r="D6892" t="s">
        <v>67</v>
      </c>
      <c r="E6892" t="s">
        <v>67</v>
      </c>
      <c r="F6892" t="s">
        <v>45</v>
      </c>
      <c r="G6892" s="117">
        <v>13.26</v>
      </c>
    </row>
    <row r="6893" spans="1:7" x14ac:dyDescent="0.25">
      <c r="A6893" s="116" t="s">
        <v>10970</v>
      </c>
      <c r="B6893" s="117" t="s">
        <v>10971</v>
      </c>
      <c r="C6893" t="s">
        <v>67</v>
      </c>
      <c r="D6893" t="s">
        <v>67</v>
      </c>
      <c r="E6893" t="s">
        <v>67</v>
      </c>
      <c r="F6893" t="s">
        <v>45</v>
      </c>
      <c r="G6893" s="117">
        <v>7.12</v>
      </c>
    </row>
    <row r="6894" spans="1:7" x14ac:dyDescent="0.25">
      <c r="A6894" s="116" t="s">
        <v>10972</v>
      </c>
      <c r="B6894" s="117" t="s">
        <v>10973</v>
      </c>
      <c r="C6894" t="s">
        <v>67</v>
      </c>
      <c r="D6894" t="s">
        <v>67</v>
      </c>
      <c r="E6894" t="s">
        <v>67</v>
      </c>
      <c r="F6894" t="s">
        <v>45</v>
      </c>
      <c r="G6894" s="117">
        <v>74.66</v>
      </c>
    </row>
    <row r="6895" spans="1:7" x14ac:dyDescent="0.25">
      <c r="A6895" s="116" t="s">
        <v>10974</v>
      </c>
      <c r="B6895" s="117" t="s">
        <v>10975</v>
      </c>
      <c r="C6895" t="s">
        <v>67</v>
      </c>
      <c r="D6895" t="s">
        <v>67</v>
      </c>
      <c r="E6895" t="s">
        <v>67</v>
      </c>
      <c r="F6895" t="s">
        <v>27987</v>
      </c>
      <c r="G6895" s="117">
        <v>144.94999999999999</v>
      </c>
    </row>
    <row r="6896" spans="1:7" x14ac:dyDescent="0.25">
      <c r="A6896" s="116" t="s">
        <v>10976</v>
      </c>
      <c r="B6896" s="117" t="s">
        <v>10977</v>
      </c>
      <c r="C6896" t="s">
        <v>67</v>
      </c>
      <c r="D6896" t="s">
        <v>67</v>
      </c>
      <c r="E6896" t="s">
        <v>67</v>
      </c>
      <c r="F6896" t="s">
        <v>45</v>
      </c>
      <c r="G6896" s="117">
        <v>4.3600000000000003</v>
      </c>
    </row>
    <row r="6897" spans="1:7" x14ac:dyDescent="0.25">
      <c r="A6897" s="116" t="s">
        <v>10978</v>
      </c>
      <c r="B6897" s="117" t="s">
        <v>10979</v>
      </c>
      <c r="C6897" t="s">
        <v>67</v>
      </c>
      <c r="D6897" t="s">
        <v>67</v>
      </c>
      <c r="E6897" t="s">
        <v>67</v>
      </c>
      <c r="F6897" t="s">
        <v>45</v>
      </c>
      <c r="G6897" s="117">
        <v>9.6999999999999993</v>
      </c>
    </row>
    <row r="6898" spans="1:7" x14ac:dyDescent="0.25">
      <c r="A6898" s="116" t="s">
        <v>10980</v>
      </c>
      <c r="B6898" s="117" t="s">
        <v>10981</v>
      </c>
      <c r="C6898" t="s">
        <v>67</v>
      </c>
      <c r="D6898" t="s">
        <v>67</v>
      </c>
      <c r="E6898" t="s">
        <v>67</v>
      </c>
      <c r="F6898" t="s">
        <v>45</v>
      </c>
      <c r="G6898" s="117">
        <v>13.8</v>
      </c>
    </row>
    <row r="6899" spans="1:7" x14ac:dyDescent="0.25">
      <c r="A6899" s="116" t="s">
        <v>10982</v>
      </c>
      <c r="B6899" s="117" t="s">
        <v>10983</v>
      </c>
      <c r="C6899" t="s">
        <v>67</v>
      </c>
      <c r="D6899" t="s">
        <v>67</v>
      </c>
      <c r="E6899" t="s">
        <v>67</v>
      </c>
      <c r="F6899" t="s">
        <v>27987</v>
      </c>
      <c r="G6899" s="117">
        <v>71.989999999999995</v>
      </c>
    </row>
    <row r="6900" spans="1:7" x14ac:dyDescent="0.25">
      <c r="A6900" s="116" t="s">
        <v>10984</v>
      </c>
      <c r="B6900" s="117" t="s">
        <v>10985</v>
      </c>
      <c r="C6900" t="s">
        <v>67</v>
      </c>
      <c r="D6900" t="s">
        <v>67</v>
      </c>
      <c r="E6900" t="s">
        <v>67</v>
      </c>
      <c r="F6900" t="s">
        <v>45</v>
      </c>
      <c r="G6900" s="117">
        <v>104.92</v>
      </c>
    </row>
    <row r="6901" spans="1:7" x14ac:dyDescent="0.25">
      <c r="A6901" s="116" t="s">
        <v>10986</v>
      </c>
      <c r="B6901" s="117" t="s">
        <v>10987</v>
      </c>
      <c r="C6901" t="s">
        <v>67</v>
      </c>
      <c r="D6901" t="s">
        <v>67</v>
      </c>
      <c r="E6901" t="s">
        <v>67</v>
      </c>
      <c r="F6901" t="s">
        <v>27987</v>
      </c>
      <c r="G6901" s="117">
        <v>73.42</v>
      </c>
    </row>
    <row r="6902" spans="1:7" x14ac:dyDescent="0.25">
      <c r="A6902" s="116" t="s">
        <v>10988</v>
      </c>
      <c r="B6902" s="117" t="s">
        <v>10989</v>
      </c>
      <c r="C6902" t="s">
        <v>67</v>
      </c>
      <c r="D6902" t="s">
        <v>67</v>
      </c>
      <c r="E6902" t="s">
        <v>67</v>
      </c>
      <c r="F6902" t="s">
        <v>45</v>
      </c>
      <c r="G6902" s="117">
        <v>93.35</v>
      </c>
    </row>
    <row r="6903" spans="1:7" x14ac:dyDescent="0.25">
      <c r="A6903" s="116" t="s">
        <v>10990</v>
      </c>
      <c r="B6903" s="117" t="s">
        <v>10991</v>
      </c>
      <c r="C6903" t="s">
        <v>67</v>
      </c>
      <c r="D6903" t="s">
        <v>67</v>
      </c>
      <c r="E6903" t="s">
        <v>67</v>
      </c>
      <c r="F6903" t="s">
        <v>27987</v>
      </c>
      <c r="G6903" s="117">
        <v>76.98</v>
      </c>
    </row>
    <row r="6904" spans="1:7" x14ac:dyDescent="0.25">
      <c r="A6904" s="116" t="s">
        <v>10992</v>
      </c>
      <c r="B6904" s="117" t="s">
        <v>10993</v>
      </c>
      <c r="C6904" t="s">
        <v>67</v>
      </c>
      <c r="D6904" t="s">
        <v>67</v>
      </c>
      <c r="E6904" t="s">
        <v>67</v>
      </c>
      <c r="F6904" t="s">
        <v>45</v>
      </c>
      <c r="G6904" s="117">
        <v>20.38</v>
      </c>
    </row>
    <row r="6905" spans="1:7" x14ac:dyDescent="0.25">
      <c r="A6905" s="116" t="s">
        <v>10994</v>
      </c>
      <c r="B6905" s="117" t="s">
        <v>10995</v>
      </c>
      <c r="C6905" t="s">
        <v>67</v>
      </c>
      <c r="D6905" t="s">
        <v>67</v>
      </c>
      <c r="E6905" t="s">
        <v>67</v>
      </c>
      <c r="F6905" t="s">
        <v>49</v>
      </c>
      <c r="G6905" s="117">
        <v>71.099999999999994</v>
      </c>
    </row>
    <row r="6906" spans="1:7" x14ac:dyDescent="0.25">
      <c r="A6906" s="116" t="s">
        <v>10996</v>
      </c>
      <c r="B6906" s="117" t="s">
        <v>10997</v>
      </c>
      <c r="C6906" t="s">
        <v>67</v>
      </c>
      <c r="D6906" t="s">
        <v>67</v>
      </c>
      <c r="E6906" t="s">
        <v>67</v>
      </c>
      <c r="F6906" t="s">
        <v>51</v>
      </c>
      <c r="G6906" s="117">
        <v>12.9</v>
      </c>
    </row>
    <row r="6907" spans="1:7" x14ac:dyDescent="0.25">
      <c r="A6907" s="116" t="s">
        <v>10998</v>
      </c>
      <c r="B6907" s="117" t="s">
        <v>10999</v>
      </c>
      <c r="C6907" t="s">
        <v>67</v>
      </c>
      <c r="D6907" t="s">
        <v>67</v>
      </c>
      <c r="E6907" t="s">
        <v>67</v>
      </c>
      <c r="F6907" t="s">
        <v>49</v>
      </c>
      <c r="G6907" s="117">
        <v>20.02</v>
      </c>
    </row>
    <row r="6908" spans="1:7" x14ac:dyDescent="0.25">
      <c r="A6908" s="116" t="s">
        <v>11000</v>
      </c>
      <c r="B6908" s="117" t="s">
        <v>11001</v>
      </c>
      <c r="C6908" t="s">
        <v>67</v>
      </c>
      <c r="D6908" t="s">
        <v>67</v>
      </c>
      <c r="E6908" t="s">
        <v>67</v>
      </c>
      <c r="F6908" t="s">
        <v>27987</v>
      </c>
      <c r="G6908" s="117">
        <v>15.93</v>
      </c>
    </row>
    <row r="6909" spans="1:7" x14ac:dyDescent="0.25">
      <c r="A6909" s="116" t="s">
        <v>11002</v>
      </c>
      <c r="B6909" s="117" t="s">
        <v>11003</v>
      </c>
      <c r="C6909" t="s">
        <v>67</v>
      </c>
      <c r="D6909" t="s">
        <v>67</v>
      </c>
      <c r="E6909" t="s">
        <v>67</v>
      </c>
      <c r="F6909" t="s">
        <v>27987</v>
      </c>
      <c r="G6909" s="117">
        <v>14.24</v>
      </c>
    </row>
    <row r="6910" spans="1:7" x14ac:dyDescent="0.25">
      <c r="A6910" s="116" t="s">
        <v>11004</v>
      </c>
      <c r="B6910" s="117" t="s">
        <v>11005</v>
      </c>
      <c r="C6910" t="s">
        <v>67</v>
      </c>
      <c r="D6910" t="s">
        <v>67</v>
      </c>
      <c r="E6910" t="s">
        <v>67</v>
      </c>
      <c r="F6910" t="s">
        <v>45</v>
      </c>
      <c r="G6910" s="117">
        <v>11.12</v>
      </c>
    </row>
    <row r="6911" spans="1:7" x14ac:dyDescent="0.25">
      <c r="A6911" s="116" t="s">
        <v>11006</v>
      </c>
      <c r="B6911" s="117" t="s">
        <v>11007</v>
      </c>
      <c r="C6911" t="s">
        <v>67</v>
      </c>
      <c r="D6911" t="s">
        <v>67</v>
      </c>
      <c r="E6911" t="s">
        <v>67</v>
      </c>
      <c r="F6911" t="s">
        <v>45</v>
      </c>
      <c r="G6911" s="117">
        <v>72.88</v>
      </c>
    </row>
    <row r="6912" spans="1:7" x14ac:dyDescent="0.25">
      <c r="A6912" s="116" t="s">
        <v>11008</v>
      </c>
      <c r="B6912" s="117" t="s">
        <v>28904</v>
      </c>
      <c r="C6912" t="s">
        <v>67</v>
      </c>
      <c r="D6912" t="s">
        <v>67</v>
      </c>
      <c r="E6912" t="s">
        <v>67</v>
      </c>
      <c r="F6912" t="s">
        <v>27987</v>
      </c>
      <c r="G6912" s="117">
        <v>51.61</v>
      </c>
    </row>
    <row r="6913" spans="1:7" x14ac:dyDescent="0.25">
      <c r="A6913" s="116" t="s">
        <v>11009</v>
      </c>
      <c r="B6913" s="117" t="s">
        <v>11010</v>
      </c>
      <c r="C6913" t="s">
        <v>67</v>
      </c>
      <c r="D6913" t="s">
        <v>67</v>
      </c>
      <c r="E6913" t="s">
        <v>67</v>
      </c>
      <c r="F6913" t="s">
        <v>27987</v>
      </c>
      <c r="G6913" s="117">
        <v>90.32</v>
      </c>
    </row>
    <row r="6914" spans="1:7" x14ac:dyDescent="0.25">
      <c r="A6914" s="116" t="s">
        <v>11011</v>
      </c>
      <c r="B6914" s="117" t="s">
        <v>2938</v>
      </c>
      <c r="C6914" t="s">
        <v>67</v>
      </c>
      <c r="D6914" t="s">
        <v>67</v>
      </c>
      <c r="E6914" t="s">
        <v>67</v>
      </c>
      <c r="F6914" t="s">
        <v>27987</v>
      </c>
      <c r="G6914" s="117">
        <v>71.989999999999995</v>
      </c>
    </row>
    <row r="6915" spans="1:7" x14ac:dyDescent="0.25">
      <c r="A6915" s="116" t="s">
        <v>11012</v>
      </c>
      <c r="B6915" s="117" t="s">
        <v>11013</v>
      </c>
      <c r="C6915" t="s">
        <v>67</v>
      </c>
      <c r="D6915" t="s">
        <v>67</v>
      </c>
      <c r="E6915" t="s">
        <v>67</v>
      </c>
      <c r="F6915" t="s">
        <v>27987</v>
      </c>
      <c r="G6915" s="117">
        <v>109</v>
      </c>
    </row>
    <row r="6916" spans="1:7" x14ac:dyDescent="0.25">
      <c r="A6916" s="116" t="s">
        <v>11014</v>
      </c>
      <c r="B6916" s="117" t="s">
        <v>11015</v>
      </c>
      <c r="C6916" t="s">
        <v>67</v>
      </c>
      <c r="D6916" t="s">
        <v>67</v>
      </c>
      <c r="E6916" t="s">
        <v>67</v>
      </c>
      <c r="F6916" t="s">
        <v>45</v>
      </c>
      <c r="G6916" s="117">
        <v>14.14</v>
      </c>
    </row>
    <row r="6917" spans="1:7" x14ac:dyDescent="0.25">
      <c r="A6917" s="116" t="s">
        <v>11016</v>
      </c>
      <c r="B6917" s="117" t="s">
        <v>11017</v>
      </c>
      <c r="C6917" t="s">
        <v>67</v>
      </c>
      <c r="D6917" t="s">
        <v>67</v>
      </c>
      <c r="E6917" t="s">
        <v>67</v>
      </c>
      <c r="F6917" t="s">
        <v>27987</v>
      </c>
      <c r="G6917" s="117">
        <v>71.63</v>
      </c>
    </row>
    <row r="6918" spans="1:7" x14ac:dyDescent="0.25">
      <c r="A6918" s="116" t="s">
        <v>11018</v>
      </c>
      <c r="B6918" s="117" t="s">
        <v>11019</v>
      </c>
      <c r="C6918" t="s">
        <v>67</v>
      </c>
      <c r="D6918" t="s">
        <v>67</v>
      </c>
      <c r="E6918" t="s">
        <v>67</v>
      </c>
      <c r="F6918" t="s">
        <v>27987</v>
      </c>
      <c r="G6918" s="117">
        <v>96.9</v>
      </c>
    </row>
    <row r="6919" spans="1:7" x14ac:dyDescent="0.25">
      <c r="A6919" s="116" t="s">
        <v>11020</v>
      </c>
      <c r="B6919" s="117" t="s">
        <v>11021</v>
      </c>
      <c r="C6919" t="s">
        <v>67</v>
      </c>
      <c r="D6919" t="s">
        <v>67</v>
      </c>
      <c r="E6919" t="s">
        <v>67</v>
      </c>
      <c r="F6919" t="s">
        <v>45</v>
      </c>
      <c r="G6919" s="117">
        <v>80.52</v>
      </c>
    </row>
    <row r="6920" spans="1:7" x14ac:dyDescent="0.25">
      <c r="A6920" s="116" t="s">
        <v>11022</v>
      </c>
      <c r="B6920" s="117" t="s">
        <v>11023</v>
      </c>
      <c r="C6920" t="s">
        <v>67</v>
      </c>
      <c r="D6920" t="s">
        <v>67</v>
      </c>
      <c r="E6920" t="s">
        <v>67</v>
      </c>
      <c r="F6920" t="s">
        <v>45</v>
      </c>
      <c r="G6920" s="117">
        <v>22.69</v>
      </c>
    </row>
    <row r="6921" spans="1:7" x14ac:dyDescent="0.25">
      <c r="A6921" s="116" t="s">
        <v>11024</v>
      </c>
      <c r="B6921" s="117" t="s">
        <v>11025</v>
      </c>
      <c r="C6921" t="s">
        <v>67</v>
      </c>
      <c r="D6921" t="s">
        <v>67</v>
      </c>
      <c r="E6921" t="s">
        <v>67</v>
      </c>
      <c r="F6921" t="s">
        <v>45</v>
      </c>
      <c r="G6921" s="117">
        <v>10.58</v>
      </c>
    </row>
    <row r="6922" spans="1:7" x14ac:dyDescent="0.25">
      <c r="A6922" s="116" t="s">
        <v>11026</v>
      </c>
      <c r="B6922" s="117" t="s">
        <v>11027</v>
      </c>
      <c r="C6922" t="s">
        <v>67</v>
      </c>
      <c r="D6922" t="s">
        <v>67</v>
      </c>
      <c r="E6922" t="s">
        <v>67</v>
      </c>
      <c r="F6922" t="s">
        <v>45</v>
      </c>
      <c r="G6922" s="117">
        <v>46.18</v>
      </c>
    </row>
    <row r="6923" spans="1:7" x14ac:dyDescent="0.25">
      <c r="A6923" s="116" t="s">
        <v>11028</v>
      </c>
      <c r="B6923" s="117" t="s">
        <v>11029</v>
      </c>
      <c r="C6923" t="s">
        <v>67</v>
      </c>
      <c r="D6923" t="s">
        <v>67</v>
      </c>
      <c r="E6923" t="s">
        <v>67</v>
      </c>
      <c r="F6923" t="s">
        <v>27987</v>
      </c>
      <c r="G6923" s="117">
        <v>31.58</v>
      </c>
    </row>
    <row r="6924" spans="1:7" x14ac:dyDescent="0.25">
      <c r="A6924" s="116" t="s">
        <v>11030</v>
      </c>
      <c r="B6924" s="117" t="s">
        <v>11031</v>
      </c>
      <c r="C6924" t="s">
        <v>67</v>
      </c>
      <c r="D6924" t="s">
        <v>67</v>
      </c>
      <c r="E6924" t="s">
        <v>67</v>
      </c>
      <c r="F6924" t="s">
        <v>45</v>
      </c>
      <c r="G6924" s="117">
        <v>48.5</v>
      </c>
    </row>
    <row r="6925" spans="1:7" x14ac:dyDescent="0.25">
      <c r="A6925" s="116" t="s">
        <v>11032</v>
      </c>
      <c r="B6925" s="117" t="s">
        <v>11033</v>
      </c>
      <c r="C6925" t="s">
        <v>67</v>
      </c>
      <c r="D6925" t="s">
        <v>67</v>
      </c>
      <c r="E6925" t="s">
        <v>67</v>
      </c>
      <c r="F6925" t="s">
        <v>45</v>
      </c>
      <c r="G6925" s="117">
        <v>9.6999999999999993</v>
      </c>
    </row>
    <row r="6926" spans="1:7" x14ac:dyDescent="0.25">
      <c r="A6926" s="116" t="s">
        <v>11034</v>
      </c>
      <c r="B6926" s="117" t="s">
        <v>10800</v>
      </c>
      <c r="C6926" t="s">
        <v>67</v>
      </c>
      <c r="D6926" t="s">
        <v>67</v>
      </c>
      <c r="E6926" t="s">
        <v>67</v>
      </c>
      <c r="F6926" t="s">
        <v>45</v>
      </c>
      <c r="G6926" s="117">
        <v>41.38</v>
      </c>
    </row>
    <row r="6927" spans="1:7" x14ac:dyDescent="0.25">
      <c r="A6927" s="116" t="s">
        <v>11035</v>
      </c>
      <c r="B6927" s="117" t="s">
        <v>11036</v>
      </c>
      <c r="C6927" t="s">
        <v>67</v>
      </c>
      <c r="D6927" t="s">
        <v>67</v>
      </c>
      <c r="E6927" t="s">
        <v>67</v>
      </c>
      <c r="F6927" t="s">
        <v>27987</v>
      </c>
      <c r="G6927" s="117">
        <v>125.56</v>
      </c>
    </row>
    <row r="6928" spans="1:7" x14ac:dyDescent="0.25">
      <c r="A6928" s="116" t="s">
        <v>11037</v>
      </c>
      <c r="B6928" s="117" t="s">
        <v>11038</v>
      </c>
      <c r="C6928" t="s">
        <v>67</v>
      </c>
      <c r="D6928" t="s">
        <v>67</v>
      </c>
      <c r="E6928" t="s">
        <v>67</v>
      </c>
      <c r="F6928" t="s">
        <v>27987</v>
      </c>
      <c r="G6928" s="117">
        <v>18.239999999999998</v>
      </c>
    </row>
    <row r="6929" spans="1:7" x14ac:dyDescent="0.25">
      <c r="A6929" s="116" t="s">
        <v>11039</v>
      </c>
      <c r="B6929" s="117" t="s">
        <v>11040</v>
      </c>
      <c r="C6929" t="s">
        <v>67</v>
      </c>
      <c r="D6929" t="s">
        <v>67</v>
      </c>
      <c r="E6929" t="s">
        <v>67</v>
      </c>
      <c r="F6929" t="s">
        <v>27987</v>
      </c>
      <c r="G6929" s="117">
        <v>18.239999999999998</v>
      </c>
    </row>
    <row r="6930" spans="1:7" x14ac:dyDescent="0.25">
      <c r="A6930" s="116" t="s">
        <v>11041</v>
      </c>
      <c r="B6930" s="117" t="s">
        <v>11042</v>
      </c>
      <c r="C6930" t="s">
        <v>67</v>
      </c>
      <c r="D6930" t="s">
        <v>67</v>
      </c>
      <c r="E6930" t="s">
        <v>67</v>
      </c>
      <c r="F6930" t="s">
        <v>27987</v>
      </c>
      <c r="G6930" s="117">
        <v>35.5</v>
      </c>
    </row>
    <row r="6931" spans="1:7" x14ac:dyDescent="0.25">
      <c r="A6931" s="116" t="s">
        <v>11043</v>
      </c>
      <c r="B6931" s="117" t="s">
        <v>11044</v>
      </c>
      <c r="C6931" t="s">
        <v>67</v>
      </c>
      <c r="D6931" t="s">
        <v>67</v>
      </c>
      <c r="E6931" t="s">
        <v>67</v>
      </c>
      <c r="F6931" t="s">
        <v>49</v>
      </c>
      <c r="G6931" s="117">
        <v>22.69</v>
      </c>
    </row>
    <row r="6932" spans="1:7" x14ac:dyDescent="0.25">
      <c r="A6932" s="116" t="s">
        <v>11045</v>
      </c>
      <c r="B6932" s="117" t="s">
        <v>11046</v>
      </c>
      <c r="C6932" t="s">
        <v>67</v>
      </c>
      <c r="D6932" t="s">
        <v>67</v>
      </c>
      <c r="E6932" t="s">
        <v>67</v>
      </c>
      <c r="F6932" t="s">
        <v>27987</v>
      </c>
      <c r="G6932" s="117">
        <v>22.69</v>
      </c>
    </row>
    <row r="6933" spans="1:7" x14ac:dyDescent="0.25">
      <c r="A6933" s="116" t="s">
        <v>11047</v>
      </c>
      <c r="B6933" s="117" t="s">
        <v>11048</v>
      </c>
      <c r="C6933" t="s">
        <v>67</v>
      </c>
      <c r="D6933" t="s">
        <v>67</v>
      </c>
      <c r="E6933" t="s">
        <v>67</v>
      </c>
      <c r="F6933" t="s">
        <v>27987</v>
      </c>
      <c r="G6933" s="117">
        <v>179.66</v>
      </c>
    </row>
    <row r="6934" spans="1:7" x14ac:dyDescent="0.25">
      <c r="A6934" s="116" t="s">
        <v>11049</v>
      </c>
      <c r="B6934" s="117" t="s">
        <v>11050</v>
      </c>
      <c r="C6934" t="s">
        <v>67</v>
      </c>
      <c r="D6934" t="s">
        <v>67</v>
      </c>
      <c r="E6934" t="s">
        <v>67</v>
      </c>
      <c r="F6934" t="s">
        <v>27987</v>
      </c>
      <c r="G6934" s="117">
        <v>194.79</v>
      </c>
    </row>
    <row r="6935" spans="1:7" x14ac:dyDescent="0.25">
      <c r="A6935" s="116" t="s">
        <v>11051</v>
      </c>
      <c r="B6935" s="117" t="s">
        <v>11052</v>
      </c>
      <c r="C6935" t="s">
        <v>67</v>
      </c>
      <c r="D6935" t="s">
        <v>67</v>
      </c>
      <c r="E6935" t="s">
        <v>67</v>
      </c>
      <c r="F6935" t="s">
        <v>45</v>
      </c>
      <c r="G6935" s="117">
        <v>34.26</v>
      </c>
    </row>
    <row r="6936" spans="1:7" x14ac:dyDescent="0.25">
      <c r="A6936" s="116" t="s">
        <v>11053</v>
      </c>
      <c r="B6936" s="117" t="s">
        <v>11054</v>
      </c>
      <c r="C6936" t="s">
        <v>67</v>
      </c>
      <c r="D6936" t="s">
        <v>67</v>
      </c>
      <c r="E6936" t="s">
        <v>67</v>
      </c>
      <c r="F6936" t="s">
        <v>45</v>
      </c>
      <c r="G6936" s="117">
        <v>47.61</v>
      </c>
    </row>
    <row r="6937" spans="1:7" x14ac:dyDescent="0.25">
      <c r="A6937" s="116" t="s">
        <v>11055</v>
      </c>
      <c r="B6937" s="117" t="s">
        <v>11056</v>
      </c>
      <c r="C6937" t="s">
        <v>67</v>
      </c>
      <c r="D6937" t="s">
        <v>67</v>
      </c>
      <c r="E6937" t="s">
        <v>67</v>
      </c>
      <c r="F6937" t="s">
        <v>27987</v>
      </c>
      <c r="G6937" s="117">
        <v>24.82</v>
      </c>
    </row>
    <row r="6938" spans="1:7" x14ac:dyDescent="0.25">
      <c r="A6938" s="116" t="s">
        <v>11057</v>
      </c>
      <c r="B6938" s="117" t="s">
        <v>2938</v>
      </c>
      <c r="C6938" t="s">
        <v>67</v>
      </c>
      <c r="D6938" t="s">
        <v>67</v>
      </c>
      <c r="E6938" t="s">
        <v>67</v>
      </c>
      <c r="F6938" t="s">
        <v>27987</v>
      </c>
      <c r="G6938" s="117">
        <v>49.74</v>
      </c>
    </row>
    <row r="6939" spans="1:7" x14ac:dyDescent="0.25">
      <c r="A6939" s="116" t="s">
        <v>11058</v>
      </c>
      <c r="B6939" s="117" t="s">
        <v>11059</v>
      </c>
      <c r="C6939" t="s">
        <v>67</v>
      </c>
      <c r="D6939" t="s">
        <v>67</v>
      </c>
      <c r="E6939" t="s">
        <v>67</v>
      </c>
      <c r="F6939" t="s">
        <v>45</v>
      </c>
      <c r="G6939" s="117">
        <v>30.7</v>
      </c>
    </row>
    <row r="6940" spans="1:7" x14ac:dyDescent="0.25">
      <c r="A6940" s="116" t="s">
        <v>11060</v>
      </c>
      <c r="B6940" s="117" t="s">
        <v>11061</v>
      </c>
      <c r="C6940" t="s">
        <v>67</v>
      </c>
      <c r="D6940" t="s">
        <v>67</v>
      </c>
      <c r="E6940" t="s">
        <v>67</v>
      </c>
      <c r="F6940" t="s">
        <v>27987</v>
      </c>
      <c r="G6940" s="117">
        <v>41.38</v>
      </c>
    </row>
    <row r="6941" spans="1:7" x14ac:dyDescent="0.25">
      <c r="A6941" s="116" t="s">
        <v>11062</v>
      </c>
      <c r="B6941" s="117" t="s">
        <v>11063</v>
      </c>
      <c r="C6941" t="s">
        <v>67</v>
      </c>
      <c r="D6941" t="s">
        <v>67</v>
      </c>
      <c r="E6941" t="s">
        <v>67</v>
      </c>
      <c r="F6941" t="s">
        <v>27987</v>
      </c>
      <c r="G6941" s="117">
        <v>76.98</v>
      </c>
    </row>
    <row r="6942" spans="1:7" x14ac:dyDescent="0.25">
      <c r="A6942" s="116" t="s">
        <v>11064</v>
      </c>
      <c r="B6942" s="117" t="s">
        <v>11065</v>
      </c>
      <c r="C6942" t="s">
        <v>67</v>
      </c>
      <c r="D6942" t="s">
        <v>67</v>
      </c>
      <c r="E6942" t="s">
        <v>67</v>
      </c>
      <c r="F6942" t="s">
        <v>27987</v>
      </c>
      <c r="G6942" s="117">
        <v>9.6999999999999993</v>
      </c>
    </row>
    <row r="6943" spans="1:7" x14ac:dyDescent="0.25">
      <c r="A6943" s="116" t="s">
        <v>11066</v>
      </c>
      <c r="B6943" s="117" t="s">
        <v>11067</v>
      </c>
      <c r="C6943" t="s">
        <v>67</v>
      </c>
      <c r="D6943" t="s">
        <v>67</v>
      </c>
      <c r="E6943" t="s">
        <v>67</v>
      </c>
      <c r="F6943" t="s">
        <v>27987</v>
      </c>
      <c r="G6943" s="117">
        <v>23.94</v>
      </c>
    </row>
    <row r="6944" spans="1:7" x14ac:dyDescent="0.25">
      <c r="A6944" s="116" t="s">
        <v>11068</v>
      </c>
      <c r="B6944" s="117" t="s">
        <v>11069</v>
      </c>
      <c r="C6944" t="s">
        <v>67</v>
      </c>
      <c r="D6944" t="s">
        <v>67</v>
      </c>
      <c r="E6944" t="s">
        <v>67</v>
      </c>
      <c r="F6944" t="s">
        <v>27987</v>
      </c>
      <c r="G6944" s="117">
        <v>19.13</v>
      </c>
    </row>
    <row r="6945" spans="1:7" x14ac:dyDescent="0.25">
      <c r="A6945" s="116" t="s">
        <v>11070</v>
      </c>
      <c r="B6945" s="117" t="s">
        <v>11071</v>
      </c>
      <c r="C6945" t="s">
        <v>67</v>
      </c>
      <c r="D6945" t="s">
        <v>67</v>
      </c>
      <c r="E6945" t="s">
        <v>67</v>
      </c>
      <c r="F6945" t="s">
        <v>27987</v>
      </c>
      <c r="G6945" s="117">
        <v>51.52</v>
      </c>
    </row>
    <row r="6946" spans="1:7" x14ac:dyDescent="0.25">
      <c r="A6946" s="116" t="s">
        <v>11072</v>
      </c>
      <c r="B6946" s="117" t="s">
        <v>11073</v>
      </c>
      <c r="C6946" t="s">
        <v>67</v>
      </c>
      <c r="D6946" t="s">
        <v>67</v>
      </c>
      <c r="E6946" t="s">
        <v>67</v>
      </c>
      <c r="F6946" t="s">
        <v>45</v>
      </c>
      <c r="G6946" s="117">
        <v>187.67</v>
      </c>
    </row>
    <row r="6947" spans="1:7" x14ac:dyDescent="0.25">
      <c r="A6947" s="116" t="s">
        <v>11074</v>
      </c>
      <c r="B6947" s="117" t="s">
        <v>11075</v>
      </c>
      <c r="C6947" t="s">
        <v>67</v>
      </c>
      <c r="D6947" t="s">
        <v>67</v>
      </c>
      <c r="E6947" t="s">
        <v>67</v>
      </c>
      <c r="F6947" t="s">
        <v>51</v>
      </c>
      <c r="G6947" s="117">
        <v>27.03</v>
      </c>
    </row>
    <row r="6948" spans="1:7" x14ac:dyDescent="0.25">
      <c r="A6948" s="116" t="s">
        <v>11076</v>
      </c>
      <c r="B6948" s="117" t="s">
        <v>1082</v>
      </c>
      <c r="C6948" t="s">
        <v>67</v>
      </c>
      <c r="D6948" t="s">
        <v>67</v>
      </c>
      <c r="E6948" t="s">
        <v>67</v>
      </c>
      <c r="F6948" t="s">
        <v>45</v>
      </c>
      <c r="G6948" s="117">
        <v>8.4499999999999993</v>
      </c>
    </row>
    <row r="6949" spans="1:7" x14ac:dyDescent="0.25">
      <c r="A6949" s="116" t="s">
        <v>26663</v>
      </c>
      <c r="B6949" s="117" t="s">
        <v>26900</v>
      </c>
      <c r="C6949" t="s">
        <v>67</v>
      </c>
      <c r="D6949" t="s">
        <v>67</v>
      </c>
      <c r="E6949" t="s">
        <v>67</v>
      </c>
      <c r="F6949" t="s">
        <v>27987</v>
      </c>
      <c r="G6949" s="117">
        <v>8.6999999999999993</v>
      </c>
    </row>
    <row r="6950" spans="1:7" x14ac:dyDescent="0.25">
      <c r="A6950" s="116" t="s">
        <v>11077</v>
      </c>
      <c r="B6950" s="117" t="s">
        <v>11078</v>
      </c>
      <c r="C6950" t="s">
        <v>67</v>
      </c>
      <c r="D6950" t="s">
        <v>67</v>
      </c>
      <c r="E6950" t="s">
        <v>67</v>
      </c>
      <c r="F6950" t="s">
        <v>49</v>
      </c>
      <c r="G6950" s="117">
        <v>55.08</v>
      </c>
    </row>
    <row r="6951" spans="1:7" x14ac:dyDescent="0.25">
      <c r="A6951" s="116" t="s">
        <v>11079</v>
      </c>
      <c r="B6951" s="117" t="s">
        <v>11080</v>
      </c>
      <c r="C6951" t="s">
        <v>67</v>
      </c>
      <c r="D6951" t="s">
        <v>67</v>
      </c>
      <c r="E6951" t="s">
        <v>67</v>
      </c>
      <c r="F6951" t="s">
        <v>45</v>
      </c>
      <c r="G6951" s="117">
        <v>19.07</v>
      </c>
    </row>
    <row r="6952" spans="1:7" x14ac:dyDescent="0.25">
      <c r="A6952" s="116" t="s">
        <v>11081</v>
      </c>
      <c r="B6952" s="117" t="s">
        <v>11082</v>
      </c>
      <c r="C6952" t="s">
        <v>67</v>
      </c>
      <c r="D6952" t="s">
        <v>67</v>
      </c>
      <c r="E6952" t="s">
        <v>67</v>
      </c>
      <c r="F6952" t="s">
        <v>45</v>
      </c>
      <c r="G6952" s="117">
        <v>30.7</v>
      </c>
    </row>
    <row r="6953" spans="1:7" x14ac:dyDescent="0.25">
      <c r="A6953" s="116" t="s">
        <v>11083</v>
      </c>
      <c r="B6953" s="117" t="s">
        <v>11084</v>
      </c>
      <c r="C6953" t="s">
        <v>67</v>
      </c>
      <c r="D6953" t="s">
        <v>67</v>
      </c>
      <c r="E6953" t="s">
        <v>67</v>
      </c>
      <c r="F6953" t="s">
        <v>27987</v>
      </c>
      <c r="G6953" s="117">
        <v>99.21</v>
      </c>
    </row>
    <row r="6954" spans="1:7" x14ac:dyDescent="0.25">
      <c r="A6954" s="116" t="s">
        <v>11085</v>
      </c>
      <c r="B6954" s="117" t="s">
        <v>11086</v>
      </c>
      <c r="C6954" t="s">
        <v>67</v>
      </c>
      <c r="D6954" t="s">
        <v>67</v>
      </c>
      <c r="E6954" t="s">
        <v>67</v>
      </c>
      <c r="F6954" t="s">
        <v>27987</v>
      </c>
      <c r="G6954" s="117">
        <v>30.7</v>
      </c>
    </row>
    <row r="6955" spans="1:7" x14ac:dyDescent="0.25">
      <c r="A6955" s="116" t="s">
        <v>11087</v>
      </c>
      <c r="B6955" s="117" t="s">
        <v>11088</v>
      </c>
      <c r="C6955" t="s">
        <v>67</v>
      </c>
      <c r="D6955" t="s">
        <v>67</v>
      </c>
      <c r="E6955" t="s">
        <v>67</v>
      </c>
      <c r="F6955" t="s">
        <v>45</v>
      </c>
      <c r="G6955" s="117">
        <v>39.06</v>
      </c>
    </row>
    <row r="6956" spans="1:7" x14ac:dyDescent="0.25">
      <c r="A6956" s="116" t="s">
        <v>11089</v>
      </c>
      <c r="B6956" s="117" t="s">
        <v>11090</v>
      </c>
      <c r="C6956" t="s">
        <v>67</v>
      </c>
      <c r="D6956" t="s">
        <v>67</v>
      </c>
      <c r="E6956" t="s">
        <v>67</v>
      </c>
      <c r="F6956" t="s">
        <v>45</v>
      </c>
      <c r="G6956" s="117">
        <v>12.43</v>
      </c>
    </row>
    <row r="6957" spans="1:7" x14ac:dyDescent="0.25">
      <c r="A6957" s="116" t="s">
        <v>11091</v>
      </c>
      <c r="B6957" s="117" t="s">
        <v>11092</v>
      </c>
      <c r="C6957" t="s">
        <v>67</v>
      </c>
      <c r="D6957" t="s">
        <v>67</v>
      </c>
      <c r="E6957" t="s">
        <v>67</v>
      </c>
      <c r="F6957" t="s">
        <v>45</v>
      </c>
      <c r="G6957" s="117">
        <v>372.92</v>
      </c>
    </row>
    <row r="6958" spans="1:7" x14ac:dyDescent="0.25">
      <c r="A6958" s="116" t="s">
        <v>11093</v>
      </c>
      <c r="B6958" s="117" t="s">
        <v>11094</v>
      </c>
      <c r="C6958" t="s">
        <v>67</v>
      </c>
      <c r="D6958" t="s">
        <v>67</v>
      </c>
      <c r="E6958" t="s">
        <v>67</v>
      </c>
      <c r="F6958" t="s">
        <v>49</v>
      </c>
      <c r="G6958" s="117">
        <v>20.38</v>
      </c>
    </row>
    <row r="6959" spans="1:7" x14ac:dyDescent="0.25">
      <c r="A6959" s="116" t="s">
        <v>11095</v>
      </c>
      <c r="B6959" s="117" t="s">
        <v>11096</v>
      </c>
      <c r="C6959" t="s">
        <v>67</v>
      </c>
      <c r="D6959" t="s">
        <v>67</v>
      </c>
      <c r="E6959" t="s">
        <v>67</v>
      </c>
      <c r="F6959" t="s">
        <v>27987</v>
      </c>
      <c r="G6959" s="117">
        <v>36.93</v>
      </c>
    </row>
    <row r="6960" spans="1:7" x14ac:dyDescent="0.25">
      <c r="A6960" s="116" t="s">
        <v>11097</v>
      </c>
      <c r="B6960" s="117" t="s">
        <v>11098</v>
      </c>
      <c r="C6960" t="s">
        <v>67</v>
      </c>
      <c r="D6960" t="s">
        <v>67</v>
      </c>
      <c r="E6960" t="s">
        <v>67</v>
      </c>
      <c r="F6960" t="s">
        <v>27987</v>
      </c>
      <c r="G6960" s="117">
        <v>32.479999999999997</v>
      </c>
    </row>
    <row r="6961" spans="1:7" x14ac:dyDescent="0.25">
      <c r="A6961" s="116" t="s">
        <v>11099</v>
      </c>
      <c r="B6961" s="117" t="s">
        <v>11100</v>
      </c>
      <c r="C6961" t="s">
        <v>67</v>
      </c>
      <c r="D6961" t="s">
        <v>67</v>
      </c>
      <c r="E6961" t="s">
        <v>67</v>
      </c>
      <c r="F6961" t="s">
        <v>27987</v>
      </c>
      <c r="G6961" s="117">
        <v>15.04</v>
      </c>
    </row>
    <row r="6962" spans="1:7" x14ac:dyDescent="0.25">
      <c r="A6962" s="116" t="s">
        <v>11101</v>
      </c>
      <c r="B6962" s="117" t="s">
        <v>10911</v>
      </c>
      <c r="C6962" t="s">
        <v>67</v>
      </c>
      <c r="D6962" t="s">
        <v>67</v>
      </c>
      <c r="E6962" t="s">
        <v>67</v>
      </c>
      <c r="F6962" t="s">
        <v>45</v>
      </c>
      <c r="G6962" s="117">
        <v>131.25</v>
      </c>
    </row>
    <row r="6963" spans="1:7" x14ac:dyDescent="0.25">
      <c r="A6963" s="116" t="s">
        <v>11102</v>
      </c>
      <c r="B6963" s="117" t="s">
        <v>11103</v>
      </c>
      <c r="C6963" t="s">
        <v>67</v>
      </c>
      <c r="D6963" t="s">
        <v>67</v>
      </c>
      <c r="E6963" t="s">
        <v>67</v>
      </c>
      <c r="F6963" t="s">
        <v>45</v>
      </c>
      <c r="G6963" s="117">
        <v>98.32</v>
      </c>
    </row>
    <row r="6964" spans="1:7" x14ac:dyDescent="0.25">
      <c r="A6964" s="116" t="s">
        <v>11104</v>
      </c>
      <c r="B6964" s="117" t="s">
        <v>10915</v>
      </c>
      <c r="C6964" t="s">
        <v>67</v>
      </c>
      <c r="D6964" t="s">
        <v>67</v>
      </c>
      <c r="E6964" t="s">
        <v>67</v>
      </c>
      <c r="F6964" t="s">
        <v>45</v>
      </c>
      <c r="G6964" s="117">
        <v>86.23</v>
      </c>
    </row>
    <row r="6965" spans="1:7" x14ac:dyDescent="0.25">
      <c r="A6965" s="116" t="s">
        <v>11105</v>
      </c>
      <c r="B6965" s="117" t="s">
        <v>465</v>
      </c>
      <c r="C6965" t="s">
        <v>67</v>
      </c>
      <c r="D6965" t="s">
        <v>67</v>
      </c>
      <c r="E6965" t="s">
        <v>67</v>
      </c>
      <c r="F6965" t="s">
        <v>27987</v>
      </c>
      <c r="G6965" s="117">
        <v>36.93</v>
      </c>
    </row>
    <row r="6966" spans="1:7" x14ac:dyDescent="0.25">
      <c r="A6966" s="116" t="s">
        <v>11106</v>
      </c>
      <c r="B6966" s="117" t="s">
        <v>1227</v>
      </c>
      <c r="C6966" t="s">
        <v>67</v>
      </c>
      <c r="D6966" t="s">
        <v>67</v>
      </c>
      <c r="E6966" t="s">
        <v>67</v>
      </c>
      <c r="F6966" t="s">
        <v>27987</v>
      </c>
      <c r="G6966" s="117">
        <v>14.14</v>
      </c>
    </row>
    <row r="6967" spans="1:7" x14ac:dyDescent="0.25">
      <c r="A6967" s="116" t="s">
        <v>11107</v>
      </c>
      <c r="B6967" s="117" t="s">
        <v>11108</v>
      </c>
      <c r="C6967" t="s">
        <v>67</v>
      </c>
      <c r="D6967" t="s">
        <v>67</v>
      </c>
      <c r="E6967" t="s">
        <v>67</v>
      </c>
      <c r="F6967" t="s">
        <v>27987</v>
      </c>
      <c r="G6967" s="117">
        <v>585.05999999999995</v>
      </c>
    </row>
    <row r="6968" spans="1:7" x14ac:dyDescent="0.25">
      <c r="A6968" s="116" t="s">
        <v>11109</v>
      </c>
      <c r="B6968" s="117" t="s">
        <v>11110</v>
      </c>
      <c r="C6968" t="s">
        <v>67</v>
      </c>
      <c r="D6968" t="s">
        <v>67</v>
      </c>
      <c r="E6968" t="s">
        <v>67</v>
      </c>
      <c r="F6968" t="s">
        <v>45</v>
      </c>
      <c r="G6968" s="117">
        <v>76.98</v>
      </c>
    </row>
    <row r="6969" spans="1:7" x14ac:dyDescent="0.25">
      <c r="A6969" s="116" t="s">
        <v>11111</v>
      </c>
      <c r="B6969" s="117" t="s">
        <v>11112</v>
      </c>
      <c r="C6969" t="s">
        <v>67</v>
      </c>
      <c r="D6969" t="s">
        <v>67</v>
      </c>
      <c r="E6969" t="s">
        <v>67</v>
      </c>
      <c r="F6969" t="s">
        <v>27987</v>
      </c>
      <c r="G6969" s="117">
        <v>39.06</v>
      </c>
    </row>
    <row r="6970" spans="1:7" x14ac:dyDescent="0.25">
      <c r="A6970" s="116" t="s">
        <v>27978</v>
      </c>
      <c r="B6970" s="117" t="s">
        <v>10985</v>
      </c>
      <c r="C6970" t="s">
        <v>67</v>
      </c>
      <c r="D6970" t="s">
        <v>67</v>
      </c>
      <c r="E6970" t="s">
        <v>67</v>
      </c>
      <c r="F6970" t="s">
        <v>27987</v>
      </c>
      <c r="G6970" s="117">
        <v>104.92</v>
      </c>
    </row>
    <row r="6971" spans="1:7" x14ac:dyDescent="0.25">
      <c r="A6971" s="116" t="s">
        <v>11113</v>
      </c>
      <c r="B6971" s="117" t="s">
        <v>11114</v>
      </c>
      <c r="C6971" t="s">
        <v>67</v>
      </c>
      <c r="D6971" t="s">
        <v>67</v>
      </c>
      <c r="E6971" t="s">
        <v>67</v>
      </c>
      <c r="F6971" t="s">
        <v>45</v>
      </c>
      <c r="G6971" s="117">
        <v>501.42</v>
      </c>
    </row>
    <row r="6972" spans="1:7" x14ac:dyDescent="0.25">
      <c r="A6972" s="116" t="s">
        <v>11115</v>
      </c>
      <c r="B6972" s="117" t="s">
        <v>11116</v>
      </c>
      <c r="C6972" t="s">
        <v>67</v>
      </c>
      <c r="D6972" t="s">
        <v>67</v>
      </c>
      <c r="E6972" t="s">
        <v>67</v>
      </c>
      <c r="F6972" t="s">
        <v>27987</v>
      </c>
      <c r="G6972" s="117">
        <v>53.3</v>
      </c>
    </row>
    <row r="6973" spans="1:7" x14ac:dyDescent="0.25">
      <c r="A6973" s="116" t="s">
        <v>11117</v>
      </c>
      <c r="B6973" s="117" t="s">
        <v>11118</v>
      </c>
      <c r="C6973" t="s">
        <v>67</v>
      </c>
      <c r="D6973" t="s">
        <v>67</v>
      </c>
      <c r="E6973" t="s">
        <v>67</v>
      </c>
      <c r="F6973" t="s">
        <v>45</v>
      </c>
      <c r="G6973" s="117">
        <v>10.24</v>
      </c>
    </row>
    <row r="6974" spans="1:7" x14ac:dyDescent="0.25">
      <c r="A6974" s="116" t="s">
        <v>11119</v>
      </c>
      <c r="B6974" s="117" t="s">
        <v>11075</v>
      </c>
      <c r="C6974" t="s">
        <v>67</v>
      </c>
      <c r="D6974" t="s">
        <v>67</v>
      </c>
      <c r="E6974" t="s">
        <v>67</v>
      </c>
      <c r="F6974" t="s">
        <v>45</v>
      </c>
      <c r="G6974" s="117">
        <v>91.2</v>
      </c>
    </row>
    <row r="6975" spans="1:7" x14ac:dyDescent="0.25">
      <c r="A6975" s="116" t="s">
        <v>11120</v>
      </c>
      <c r="B6975" s="117" t="s">
        <v>11121</v>
      </c>
      <c r="C6975" t="s">
        <v>67</v>
      </c>
      <c r="D6975" t="s">
        <v>67</v>
      </c>
      <c r="E6975" t="s">
        <v>67</v>
      </c>
      <c r="F6975" t="s">
        <v>27987</v>
      </c>
      <c r="G6975" s="117">
        <v>50.63</v>
      </c>
    </row>
    <row r="6976" spans="1:7" x14ac:dyDescent="0.25">
      <c r="A6976" s="116" t="s">
        <v>11122</v>
      </c>
      <c r="B6976" s="117" t="s">
        <v>2938</v>
      </c>
      <c r="C6976" t="s">
        <v>67</v>
      </c>
      <c r="D6976" t="s">
        <v>67</v>
      </c>
      <c r="E6976" t="s">
        <v>67</v>
      </c>
      <c r="F6976" t="s">
        <v>45</v>
      </c>
      <c r="G6976" s="117">
        <v>53.3</v>
      </c>
    </row>
    <row r="6977" spans="1:7" x14ac:dyDescent="0.25">
      <c r="A6977" s="116" t="s">
        <v>11123</v>
      </c>
      <c r="B6977" s="117" t="s">
        <v>3532</v>
      </c>
      <c r="C6977" t="s">
        <v>67</v>
      </c>
      <c r="D6977" t="s">
        <v>67</v>
      </c>
      <c r="E6977" t="s">
        <v>67</v>
      </c>
      <c r="F6977" t="s">
        <v>45</v>
      </c>
      <c r="G6977" s="117">
        <v>147.62</v>
      </c>
    </row>
    <row r="6978" spans="1:7" x14ac:dyDescent="0.25">
      <c r="A6978" s="116" t="s">
        <v>11124</v>
      </c>
      <c r="B6978" s="117" t="s">
        <v>11125</v>
      </c>
      <c r="C6978" t="s">
        <v>67</v>
      </c>
      <c r="D6978" t="s">
        <v>67</v>
      </c>
      <c r="E6978" t="s">
        <v>67</v>
      </c>
      <c r="F6978" t="s">
        <v>45</v>
      </c>
      <c r="G6978" s="117">
        <v>40.49</v>
      </c>
    </row>
    <row r="6979" spans="1:7" x14ac:dyDescent="0.25">
      <c r="A6979" s="116" t="s">
        <v>11126</v>
      </c>
      <c r="B6979" s="117" t="s">
        <v>11127</v>
      </c>
      <c r="C6979" t="s">
        <v>67</v>
      </c>
      <c r="D6979" t="s">
        <v>67</v>
      </c>
      <c r="E6979" t="s">
        <v>67</v>
      </c>
      <c r="F6979" t="s">
        <v>45</v>
      </c>
      <c r="G6979" s="117">
        <v>82.67</v>
      </c>
    </row>
    <row r="6980" spans="1:7" x14ac:dyDescent="0.25">
      <c r="A6980" s="116" t="s">
        <v>11128</v>
      </c>
      <c r="B6980" s="117" t="s">
        <v>11129</v>
      </c>
      <c r="C6980" t="s">
        <v>67</v>
      </c>
      <c r="D6980" t="s">
        <v>67</v>
      </c>
      <c r="E6980" t="s">
        <v>67</v>
      </c>
      <c r="F6980" t="s">
        <v>45</v>
      </c>
      <c r="G6980" s="117">
        <v>334.13</v>
      </c>
    </row>
    <row r="6981" spans="1:7" x14ac:dyDescent="0.25">
      <c r="A6981" s="116" t="s">
        <v>11130</v>
      </c>
      <c r="B6981" s="117" t="s">
        <v>11131</v>
      </c>
      <c r="C6981" t="s">
        <v>67</v>
      </c>
      <c r="D6981" t="s">
        <v>67</v>
      </c>
      <c r="E6981" t="s">
        <v>67</v>
      </c>
      <c r="F6981" t="s">
        <v>45</v>
      </c>
      <c r="G6981" s="117">
        <v>28.38</v>
      </c>
    </row>
    <row r="6982" spans="1:7" x14ac:dyDescent="0.25">
      <c r="A6982" s="116" t="s">
        <v>11132</v>
      </c>
      <c r="B6982" s="117" t="s">
        <v>11133</v>
      </c>
      <c r="C6982" t="s">
        <v>67</v>
      </c>
      <c r="D6982" t="s">
        <v>67</v>
      </c>
      <c r="E6982" t="s">
        <v>67</v>
      </c>
      <c r="F6982" t="s">
        <v>45</v>
      </c>
      <c r="G6982" s="117">
        <v>44.94</v>
      </c>
    </row>
    <row r="6983" spans="1:7" x14ac:dyDescent="0.25">
      <c r="A6983" s="116" t="s">
        <v>11134</v>
      </c>
      <c r="B6983" s="117" t="s">
        <v>10789</v>
      </c>
      <c r="C6983" t="s">
        <v>67</v>
      </c>
      <c r="D6983" t="s">
        <v>67</v>
      </c>
      <c r="E6983" t="s">
        <v>67</v>
      </c>
      <c r="F6983" t="s">
        <v>27987</v>
      </c>
      <c r="G6983" s="117">
        <v>24.82</v>
      </c>
    </row>
    <row r="6984" spans="1:7" x14ac:dyDescent="0.25">
      <c r="A6984" s="116" t="s">
        <v>11135</v>
      </c>
      <c r="B6984" s="117" t="s">
        <v>11136</v>
      </c>
      <c r="C6984" t="s">
        <v>67</v>
      </c>
      <c r="D6984" t="s">
        <v>67</v>
      </c>
      <c r="E6984" t="s">
        <v>67</v>
      </c>
      <c r="F6984" t="s">
        <v>27987</v>
      </c>
      <c r="G6984" s="117">
        <v>13.25</v>
      </c>
    </row>
    <row r="6985" spans="1:7" x14ac:dyDescent="0.25">
      <c r="A6985" s="116" t="s">
        <v>11137</v>
      </c>
      <c r="B6985" s="117" t="s">
        <v>11138</v>
      </c>
      <c r="C6985" t="s">
        <v>67</v>
      </c>
      <c r="D6985" t="s">
        <v>67</v>
      </c>
      <c r="E6985" t="s">
        <v>67</v>
      </c>
      <c r="F6985" t="s">
        <v>45</v>
      </c>
      <c r="G6985" s="117">
        <v>44.05</v>
      </c>
    </row>
    <row r="6986" spans="1:7" x14ac:dyDescent="0.25">
      <c r="A6986" s="116" t="s">
        <v>11139</v>
      </c>
      <c r="B6986" s="117" t="s">
        <v>11140</v>
      </c>
      <c r="C6986" t="s">
        <v>67</v>
      </c>
      <c r="D6986" t="s">
        <v>67</v>
      </c>
      <c r="E6986" t="s">
        <v>67</v>
      </c>
      <c r="F6986" t="s">
        <v>27987</v>
      </c>
      <c r="G6986" s="117">
        <v>14.68</v>
      </c>
    </row>
    <row r="6987" spans="1:7" x14ac:dyDescent="0.25">
      <c r="A6987" s="116" t="s">
        <v>11141</v>
      </c>
      <c r="B6987" s="117" t="s">
        <v>11142</v>
      </c>
      <c r="C6987" t="s">
        <v>67</v>
      </c>
      <c r="D6987" t="s">
        <v>67</v>
      </c>
      <c r="E6987" t="s">
        <v>67</v>
      </c>
      <c r="F6987" t="s">
        <v>45</v>
      </c>
      <c r="G6987" s="117">
        <v>12.01</v>
      </c>
    </row>
    <row r="6988" spans="1:7" x14ac:dyDescent="0.25">
      <c r="A6988" s="116" t="s">
        <v>11143</v>
      </c>
      <c r="B6988" s="117" t="s">
        <v>11144</v>
      </c>
      <c r="C6988" t="s">
        <v>67</v>
      </c>
      <c r="D6988" t="s">
        <v>67</v>
      </c>
      <c r="E6988" t="s">
        <v>67</v>
      </c>
      <c r="F6988" t="s">
        <v>27987</v>
      </c>
      <c r="G6988" s="117">
        <v>20.38</v>
      </c>
    </row>
    <row r="6989" spans="1:7" x14ac:dyDescent="0.25">
      <c r="A6989" s="116" t="s">
        <v>11145</v>
      </c>
      <c r="B6989" s="117" t="s">
        <v>11146</v>
      </c>
      <c r="C6989" t="s">
        <v>67</v>
      </c>
      <c r="D6989" t="s">
        <v>67</v>
      </c>
      <c r="E6989" t="s">
        <v>67</v>
      </c>
      <c r="F6989" t="s">
        <v>27987</v>
      </c>
      <c r="G6989" s="117">
        <v>31.94</v>
      </c>
    </row>
    <row r="6990" spans="1:7" x14ac:dyDescent="0.25">
      <c r="A6990" s="116" t="s">
        <v>11147</v>
      </c>
      <c r="B6990" s="117" t="s">
        <v>11148</v>
      </c>
      <c r="C6990" t="s">
        <v>67</v>
      </c>
      <c r="D6990" t="s">
        <v>67</v>
      </c>
      <c r="E6990" t="s">
        <v>67</v>
      </c>
      <c r="F6990" t="s">
        <v>27987</v>
      </c>
      <c r="G6990" s="117">
        <v>42.26</v>
      </c>
    </row>
    <row r="6991" spans="1:7" x14ac:dyDescent="0.25">
      <c r="A6991" s="116" t="s">
        <v>11149</v>
      </c>
      <c r="B6991" s="117" t="s">
        <v>11150</v>
      </c>
      <c r="C6991" t="s">
        <v>67</v>
      </c>
      <c r="D6991" t="s">
        <v>67</v>
      </c>
      <c r="E6991" t="s">
        <v>67</v>
      </c>
      <c r="F6991" t="s">
        <v>45</v>
      </c>
      <c r="G6991" s="117">
        <v>15.04</v>
      </c>
    </row>
    <row r="6992" spans="1:7" x14ac:dyDescent="0.25">
      <c r="A6992" s="116" t="s">
        <v>11151</v>
      </c>
      <c r="B6992" s="117" t="s">
        <v>11152</v>
      </c>
      <c r="C6992" t="s">
        <v>67</v>
      </c>
      <c r="D6992" t="s">
        <v>67</v>
      </c>
      <c r="E6992" t="s">
        <v>67</v>
      </c>
      <c r="F6992" t="s">
        <v>45</v>
      </c>
      <c r="G6992" s="117">
        <v>15.57</v>
      </c>
    </row>
    <row r="6993" spans="1:7" x14ac:dyDescent="0.25">
      <c r="A6993" s="116" t="s">
        <v>11153</v>
      </c>
      <c r="B6993" s="117" t="s">
        <v>11154</v>
      </c>
      <c r="C6993" t="s">
        <v>67</v>
      </c>
      <c r="D6993" t="s">
        <v>67</v>
      </c>
      <c r="E6993" t="s">
        <v>67</v>
      </c>
      <c r="F6993" t="s">
        <v>45</v>
      </c>
      <c r="G6993" s="117">
        <v>34.26</v>
      </c>
    </row>
    <row r="6994" spans="1:7" x14ac:dyDescent="0.25">
      <c r="A6994" s="116" t="s">
        <v>11155</v>
      </c>
      <c r="B6994" s="117" t="s">
        <v>11156</v>
      </c>
      <c r="C6994" t="s">
        <v>67</v>
      </c>
      <c r="D6994" t="s">
        <v>67</v>
      </c>
      <c r="E6994" t="s">
        <v>67</v>
      </c>
      <c r="F6994" t="s">
        <v>45</v>
      </c>
      <c r="G6994" s="117">
        <v>12.01</v>
      </c>
    </row>
    <row r="6995" spans="1:7" x14ac:dyDescent="0.25">
      <c r="A6995" s="116" t="s">
        <v>11157</v>
      </c>
      <c r="B6995" s="117" t="s">
        <v>11158</v>
      </c>
      <c r="C6995" t="s">
        <v>67</v>
      </c>
      <c r="D6995" t="s">
        <v>67</v>
      </c>
      <c r="E6995" t="s">
        <v>67</v>
      </c>
      <c r="F6995" t="s">
        <v>27987</v>
      </c>
      <c r="G6995" s="117">
        <v>49.74</v>
      </c>
    </row>
    <row r="6996" spans="1:7" x14ac:dyDescent="0.25">
      <c r="A6996" s="116" t="s">
        <v>11159</v>
      </c>
      <c r="B6996" s="117" t="s">
        <v>10418</v>
      </c>
      <c r="C6996" t="s">
        <v>67</v>
      </c>
      <c r="D6996" t="s">
        <v>67</v>
      </c>
      <c r="E6996" t="s">
        <v>67</v>
      </c>
      <c r="F6996" t="s">
        <v>45</v>
      </c>
      <c r="G6996" s="117">
        <v>15</v>
      </c>
    </row>
    <row r="6997" spans="1:7" x14ac:dyDescent="0.25">
      <c r="A6997" s="116" t="s">
        <v>11160</v>
      </c>
      <c r="B6997" s="117" t="s">
        <v>11161</v>
      </c>
      <c r="C6997" t="s">
        <v>67</v>
      </c>
      <c r="D6997" t="s">
        <v>67</v>
      </c>
      <c r="E6997" t="s">
        <v>67</v>
      </c>
      <c r="F6997" t="s">
        <v>27987</v>
      </c>
      <c r="G6997" s="117">
        <v>49.74</v>
      </c>
    </row>
    <row r="6998" spans="1:7" x14ac:dyDescent="0.25">
      <c r="A6998" s="116" t="s">
        <v>11162</v>
      </c>
      <c r="B6998" s="117" t="s">
        <v>11163</v>
      </c>
      <c r="C6998" t="s">
        <v>67</v>
      </c>
      <c r="D6998" t="s">
        <v>67</v>
      </c>
      <c r="E6998" t="s">
        <v>67</v>
      </c>
      <c r="F6998" t="s">
        <v>45</v>
      </c>
      <c r="G6998" s="117">
        <v>113.45</v>
      </c>
    </row>
    <row r="6999" spans="1:7" x14ac:dyDescent="0.25">
      <c r="A6999" s="116" t="s">
        <v>11164</v>
      </c>
      <c r="B6999" s="117" t="s">
        <v>11165</v>
      </c>
      <c r="C6999" t="s">
        <v>67</v>
      </c>
      <c r="D6999" t="s">
        <v>67</v>
      </c>
      <c r="E6999" t="s">
        <v>67</v>
      </c>
      <c r="F6999" t="s">
        <v>27987</v>
      </c>
      <c r="G6999" s="117">
        <v>44.94</v>
      </c>
    </row>
    <row r="7000" spans="1:7" x14ac:dyDescent="0.25">
      <c r="A7000" s="116" t="s">
        <v>11166</v>
      </c>
      <c r="B7000" s="117" t="s">
        <v>11167</v>
      </c>
      <c r="C7000" t="s">
        <v>67</v>
      </c>
      <c r="D7000" t="s">
        <v>67</v>
      </c>
      <c r="E7000" t="s">
        <v>67</v>
      </c>
      <c r="F7000" t="s">
        <v>27987</v>
      </c>
      <c r="G7000" s="117">
        <v>23.94</v>
      </c>
    </row>
    <row r="7001" spans="1:7" x14ac:dyDescent="0.25">
      <c r="A7001" s="116" t="s">
        <v>11168</v>
      </c>
      <c r="B7001" s="117" t="s">
        <v>11169</v>
      </c>
      <c r="C7001" t="s">
        <v>67</v>
      </c>
      <c r="D7001" t="s">
        <v>67</v>
      </c>
      <c r="E7001" t="s">
        <v>67</v>
      </c>
      <c r="F7001" t="s">
        <v>27987</v>
      </c>
      <c r="G7001" s="117">
        <v>49.74</v>
      </c>
    </row>
    <row r="7002" spans="1:7" x14ac:dyDescent="0.25">
      <c r="A7002" s="116" t="s">
        <v>11170</v>
      </c>
      <c r="B7002" s="117" t="s">
        <v>11171</v>
      </c>
      <c r="C7002" t="s">
        <v>67</v>
      </c>
      <c r="D7002" t="s">
        <v>67</v>
      </c>
      <c r="E7002" t="s">
        <v>67</v>
      </c>
      <c r="F7002" t="s">
        <v>45</v>
      </c>
      <c r="G7002" s="117">
        <v>119.14</v>
      </c>
    </row>
    <row r="7003" spans="1:7" x14ac:dyDescent="0.25">
      <c r="A7003" s="116" t="s">
        <v>11172</v>
      </c>
      <c r="B7003" s="117" t="s">
        <v>11173</v>
      </c>
      <c r="C7003" t="s">
        <v>67</v>
      </c>
      <c r="D7003" t="s">
        <v>67</v>
      </c>
      <c r="E7003" t="s">
        <v>67</v>
      </c>
      <c r="F7003" t="s">
        <v>27987</v>
      </c>
      <c r="G7003" s="117">
        <v>55.62</v>
      </c>
    </row>
    <row r="7004" spans="1:7" x14ac:dyDescent="0.25">
      <c r="A7004" s="116" t="s">
        <v>11174</v>
      </c>
      <c r="B7004" s="117" t="s">
        <v>11175</v>
      </c>
      <c r="C7004" t="s">
        <v>67</v>
      </c>
      <c r="D7004" t="s">
        <v>67</v>
      </c>
      <c r="E7004" t="s">
        <v>67</v>
      </c>
      <c r="F7004" t="s">
        <v>27987</v>
      </c>
      <c r="G7004" s="117">
        <v>51.17</v>
      </c>
    </row>
    <row r="7005" spans="1:7" x14ac:dyDescent="0.25">
      <c r="A7005" s="116" t="s">
        <v>11176</v>
      </c>
      <c r="B7005" s="117" t="s">
        <v>11177</v>
      </c>
      <c r="C7005" t="s">
        <v>67</v>
      </c>
      <c r="D7005" t="s">
        <v>67</v>
      </c>
      <c r="E7005" t="s">
        <v>67</v>
      </c>
      <c r="F7005" t="s">
        <v>27987</v>
      </c>
      <c r="G7005" s="117">
        <v>351.04</v>
      </c>
    </row>
    <row r="7006" spans="1:7" x14ac:dyDescent="0.25">
      <c r="A7006" s="116" t="s">
        <v>11178</v>
      </c>
      <c r="B7006" s="117" t="s">
        <v>11179</v>
      </c>
      <c r="C7006" t="s">
        <v>67</v>
      </c>
      <c r="D7006" t="s">
        <v>67</v>
      </c>
      <c r="E7006" t="s">
        <v>67</v>
      </c>
      <c r="F7006" t="s">
        <v>27987</v>
      </c>
      <c r="G7006" s="117">
        <v>159.19</v>
      </c>
    </row>
    <row r="7007" spans="1:7" x14ac:dyDescent="0.25">
      <c r="A7007" s="116" t="s">
        <v>11180</v>
      </c>
      <c r="B7007" s="117" t="s">
        <v>11181</v>
      </c>
      <c r="C7007" t="s">
        <v>67</v>
      </c>
      <c r="D7007" t="s">
        <v>67</v>
      </c>
      <c r="E7007" t="s">
        <v>67</v>
      </c>
      <c r="F7007" t="s">
        <v>27987</v>
      </c>
      <c r="G7007" s="117">
        <v>35.5</v>
      </c>
    </row>
    <row r="7008" spans="1:7" x14ac:dyDescent="0.25">
      <c r="A7008" s="116" t="s">
        <v>11182</v>
      </c>
      <c r="B7008" s="117" t="s">
        <v>8831</v>
      </c>
      <c r="C7008" t="s">
        <v>67</v>
      </c>
      <c r="D7008" t="s">
        <v>67</v>
      </c>
      <c r="E7008" t="s">
        <v>67</v>
      </c>
      <c r="F7008" t="s">
        <v>27987</v>
      </c>
      <c r="G7008" s="117">
        <v>13.26</v>
      </c>
    </row>
    <row r="7009" spans="1:7" x14ac:dyDescent="0.25">
      <c r="A7009" s="116" t="s">
        <v>11183</v>
      </c>
      <c r="B7009" s="117" t="s">
        <v>11127</v>
      </c>
      <c r="C7009" t="s">
        <v>67</v>
      </c>
      <c r="D7009" t="s">
        <v>67</v>
      </c>
      <c r="E7009" t="s">
        <v>67</v>
      </c>
      <c r="F7009" t="s">
        <v>27987</v>
      </c>
      <c r="G7009" s="117">
        <v>12.01</v>
      </c>
    </row>
    <row r="7010" spans="1:7" x14ac:dyDescent="0.25">
      <c r="A7010" s="116" t="s">
        <v>11184</v>
      </c>
      <c r="B7010" s="117" t="s">
        <v>11185</v>
      </c>
      <c r="C7010" t="s">
        <v>67</v>
      </c>
      <c r="D7010" t="s">
        <v>67</v>
      </c>
      <c r="E7010" t="s">
        <v>67</v>
      </c>
      <c r="F7010" t="s">
        <v>27987</v>
      </c>
      <c r="G7010" s="117">
        <v>36.39</v>
      </c>
    </row>
    <row r="7011" spans="1:7" x14ac:dyDescent="0.25">
      <c r="A7011" s="116" t="s">
        <v>11186</v>
      </c>
      <c r="B7011" s="117" t="s">
        <v>11187</v>
      </c>
      <c r="C7011" t="s">
        <v>67</v>
      </c>
      <c r="D7011" t="s">
        <v>67</v>
      </c>
      <c r="E7011" t="s">
        <v>67</v>
      </c>
      <c r="F7011" t="s">
        <v>27987</v>
      </c>
      <c r="G7011" s="117">
        <v>18.239999999999998</v>
      </c>
    </row>
    <row r="7012" spans="1:7" x14ac:dyDescent="0.25">
      <c r="A7012" s="116" t="s">
        <v>11188</v>
      </c>
      <c r="B7012" s="117" t="s">
        <v>11189</v>
      </c>
      <c r="C7012" t="s">
        <v>67</v>
      </c>
      <c r="D7012" t="s">
        <v>67</v>
      </c>
      <c r="E7012" t="s">
        <v>67</v>
      </c>
      <c r="F7012" t="s">
        <v>27987</v>
      </c>
      <c r="G7012" s="117">
        <v>153.5</v>
      </c>
    </row>
    <row r="7013" spans="1:7" x14ac:dyDescent="0.25">
      <c r="A7013" s="116" t="s">
        <v>11190</v>
      </c>
      <c r="B7013" s="117" t="s">
        <v>11191</v>
      </c>
      <c r="C7013" t="s">
        <v>67</v>
      </c>
      <c r="D7013" t="s">
        <v>67</v>
      </c>
      <c r="E7013" t="s">
        <v>67</v>
      </c>
      <c r="F7013" t="s">
        <v>45</v>
      </c>
      <c r="G7013" s="117">
        <v>140.5</v>
      </c>
    </row>
    <row r="7014" spans="1:7" x14ac:dyDescent="0.25">
      <c r="A7014" s="116" t="s">
        <v>11192</v>
      </c>
      <c r="B7014" s="117" t="s">
        <v>11193</v>
      </c>
      <c r="C7014" t="s">
        <v>67</v>
      </c>
      <c r="D7014" t="s">
        <v>67</v>
      </c>
      <c r="E7014" t="s">
        <v>67</v>
      </c>
      <c r="F7014" t="s">
        <v>27987</v>
      </c>
      <c r="G7014" s="117">
        <v>23.94</v>
      </c>
    </row>
    <row r="7015" spans="1:7" x14ac:dyDescent="0.25">
      <c r="A7015" s="116" t="s">
        <v>11194</v>
      </c>
      <c r="B7015" s="117" t="s">
        <v>11195</v>
      </c>
      <c r="C7015" t="s">
        <v>67</v>
      </c>
      <c r="D7015" t="s">
        <v>67</v>
      </c>
      <c r="E7015" t="s">
        <v>67</v>
      </c>
      <c r="F7015" t="s">
        <v>45</v>
      </c>
      <c r="G7015" s="117">
        <v>63.98</v>
      </c>
    </row>
    <row r="7016" spans="1:7" x14ac:dyDescent="0.25">
      <c r="A7016" s="116" t="s">
        <v>11196</v>
      </c>
      <c r="B7016" s="117" t="s">
        <v>11197</v>
      </c>
      <c r="C7016" t="s">
        <v>67</v>
      </c>
      <c r="D7016" t="s">
        <v>67</v>
      </c>
      <c r="E7016" t="s">
        <v>67</v>
      </c>
      <c r="F7016" t="s">
        <v>27987</v>
      </c>
      <c r="G7016" s="117">
        <v>59.18</v>
      </c>
    </row>
    <row r="7017" spans="1:7" x14ac:dyDescent="0.25">
      <c r="A7017" s="116" t="s">
        <v>11198</v>
      </c>
      <c r="B7017" s="117" t="s">
        <v>11199</v>
      </c>
      <c r="C7017" t="s">
        <v>67</v>
      </c>
      <c r="D7017" t="s">
        <v>67</v>
      </c>
      <c r="E7017" t="s">
        <v>67</v>
      </c>
      <c r="F7017" t="s">
        <v>27987</v>
      </c>
      <c r="G7017" s="117">
        <v>24.82</v>
      </c>
    </row>
    <row r="7018" spans="1:7" x14ac:dyDescent="0.25">
      <c r="A7018" s="116" t="s">
        <v>11200</v>
      </c>
      <c r="B7018" s="117" t="s">
        <v>11201</v>
      </c>
      <c r="C7018" t="s">
        <v>67</v>
      </c>
      <c r="D7018" t="s">
        <v>67</v>
      </c>
      <c r="E7018" t="s">
        <v>67</v>
      </c>
      <c r="F7018" t="s">
        <v>45</v>
      </c>
      <c r="G7018" s="117">
        <v>88.54</v>
      </c>
    </row>
    <row r="7019" spans="1:7" x14ac:dyDescent="0.25">
      <c r="A7019" s="116" t="s">
        <v>11202</v>
      </c>
      <c r="B7019" s="117" t="s">
        <v>11203</v>
      </c>
      <c r="C7019" t="s">
        <v>67</v>
      </c>
      <c r="D7019" t="s">
        <v>67</v>
      </c>
      <c r="E7019" t="s">
        <v>67</v>
      </c>
      <c r="F7019" t="s">
        <v>27987</v>
      </c>
      <c r="G7019" s="117">
        <v>28.39</v>
      </c>
    </row>
    <row r="7020" spans="1:7" x14ac:dyDescent="0.25">
      <c r="A7020" s="116" t="s">
        <v>11204</v>
      </c>
      <c r="B7020" s="117" t="s">
        <v>11205</v>
      </c>
      <c r="C7020" t="s">
        <v>67</v>
      </c>
      <c r="D7020" t="s">
        <v>67</v>
      </c>
      <c r="E7020" t="s">
        <v>67</v>
      </c>
      <c r="F7020" t="s">
        <v>27987</v>
      </c>
      <c r="G7020" s="117">
        <v>26.25</v>
      </c>
    </row>
    <row r="7021" spans="1:7" x14ac:dyDescent="0.25">
      <c r="A7021" s="116" t="s">
        <v>11206</v>
      </c>
      <c r="B7021" s="117" t="s">
        <v>11207</v>
      </c>
      <c r="C7021" t="s">
        <v>67</v>
      </c>
      <c r="D7021" t="s">
        <v>67</v>
      </c>
      <c r="E7021" t="s">
        <v>67</v>
      </c>
      <c r="F7021" t="s">
        <v>27987</v>
      </c>
      <c r="G7021" s="117">
        <v>6.14</v>
      </c>
    </row>
    <row r="7022" spans="1:7" x14ac:dyDescent="0.25">
      <c r="A7022" s="116" t="s">
        <v>11208</v>
      </c>
      <c r="B7022" s="117" t="s">
        <v>11209</v>
      </c>
      <c r="C7022" t="s">
        <v>67</v>
      </c>
      <c r="D7022" t="s">
        <v>67</v>
      </c>
      <c r="E7022" t="s">
        <v>67</v>
      </c>
      <c r="F7022" t="s">
        <v>45</v>
      </c>
      <c r="G7022" s="117">
        <v>755.02</v>
      </c>
    </row>
    <row r="7023" spans="1:7" x14ac:dyDescent="0.25">
      <c r="A7023" s="116" t="s">
        <v>11210</v>
      </c>
      <c r="B7023" s="117" t="s">
        <v>11211</v>
      </c>
      <c r="C7023" t="s">
        <v>67</v>
      </c>
      <c r="D7023" t="s">
        <v>67</v>
      </c>
      <c r="E7023" t="s">
        <v>67</v>
      </c>
      <c r="F7023" t="s">
        <v>27987</v>
      </c>
      <c r="G7023" s="117">
        <v>82.67</v>
      </c>
    </row>
    <row r="7024" spans="1:7" x14ac:dyDescent="0.25">
      <c r="A7024" s="116" t="s">
        <v>11212</v>
      </c>
      <c r="B7024" s="117" t="s">
        <v>11213</v>
      </c>
      <c r="C7024" t="s">
        <v>67</v>
      </c>
      <c r="D7024" t="s">
        <v>67</v>
      </c>
      <c r="E7024" t="s">
        <v>67</v>
      </c>
      <c r="F7024" t="s">
        <v>27987</v>
      </c>
      <c r="G7024" s="117">
        <v>7.56</v>
      </c>
    </row>
    <row r="7025" spans="1:7" x14ac:dyDescent="0.25">
      <c r="A7025" s="116" t="s">
        <v>11214</v>
      </c>
      <c r="B7025" s="117" t="s">
        <v>10913</v>
      </c>
      <c r="C7025" t="s">
        <v>67</v>
      </c>
      <c r="D7025" t="s">
        <v>67</v>
      </c>
      <c r="E7025" t="s">
        <v>67</v>
      </c>
      <c r="F7025" t="s">
        <v>27987</v>
      </c>
      <c r="G7025" s="117">
        <v>4.3600000000000003</v>
      </c>
    </row>
    <row r="7026" spans="1:7" x14ac:dyDescent="0.25">
      <c r="A7026" s="116" t="s">
        <v>11215</v>
      </c>
      <c r="B7026" s="117" t="s">
        <v>11216</v>
      </c>
      <c r="C7026" t="s">
        <v>67</v>
      </c>
      <c r="D7026" t="s">
        <v>67</v>
      </c>
      <c r="E7026" t="s">
        <v>67</v>
      </c>
      <c r="F7026" t="s">
        <v>27987</v>
      </c>
      <c r="G7026" s="117">
        <v>12.37</v>
      </c>
    </row>
    <row r="7027" spans="1:7" x14ac:dyDescent="0.25">
      <c r="A7027" s="116" t="s">
        <v>11217</v>
      </c>
      <c r="B7027" s="117" t="s">
        <v>11218</v>
      </c>
      <c r="C7027" t="s">
        <v>67</v>
      </c>
      <c r="D7027" t="s">
        <v>67</v>
      </c>
      <c r="E7027" t="s">
        <v>67</v>
      </c>
      <c r="F7027" t="s">
        <v>45</v>
      </c>
      <c r="G7027" s="117">
        <v>35.5</v>
      </c>
    </row>
    <row r="7028" spans="1:7" x14ac:dyDescent="0.25">
      <c r="A7028" s="116" t="s">
        <v>11219</v>
      </c>
      <c r="B7028" s="117" t="s">
        <v>11220</v>
      </c>
      <c r="C7028" t="s">
        <v>67</v>
      </c>
      <c r="D7028" t="s">
        <v>67</v>
      </c>
      <c r="E7028" t="s">
        <v>67</v>
      </c>
      <c r="F7028" t="s">
        <v>27987</v>
      </c>
      <c r="G7028" s="117">
        <v>47.61</v>
      </c>
    </row>
    <row r="7029" spans="1:7" x14ac:dyDescent="0.25">
      <c r="A7029" s="116" t="s">
        <v>11221</v>
      </c>
      <c r="B7029" s="117" t="s">
        <v>11222</v>
      </c>
      <c r="C7029" t="s">
        <v>67</v>
      </c>
      <c r="D7029" t="s">
        <v>67</v>
      </c>
      <c r="E7029" t="s">
        <v>67</v>
      </c>
      <c r="F7029" t="s">
        <v>49</v>
      </c>
      <c r="G7029" s="117">
        <v>268.29000000000002</v>
      </c>
    </row>
    <row r="7030" spans="1:7" x14ac:dyDescent="0.25">
      <c r="A7030" s="116" t="s">
        <v>11223</v>
      </c>
      <c r="B7030" s="117" t="s">
        <v>11224</v>
      </c>
      <c r="C7030" t="s">
        <v>67</v>
      </c>
      <c r="D7030" t="s">
        <v>67</v>
      </c>
      <c r="E7030" t="s">
        <v>67</v>
      </c>
      <c r="F7030" t="s">
        <v>45</v>
      </c>
      <c r="G7030" s="117">
        <v>47.61</v>
      </c>
    </row>
    <row r="7031" spans="1:7" x14ac:dyDescent="0.25">
      <c r="A7031" s="116" t="s">
        <v>11225</v>
      </c>
      <c r="B7031" s="117" t="s">
        <v>11226</v>
      </c>
      <c r="C7031" t="s">
        <v>67</v>
      </c>
      <c r="D7031" t="s">
        <v>67</v>
      </c>
      <c r="E7031" t="s">
        <v>67</v>
      </c>
      <c r="F7031" t="s">
        <v>27987</v>
      </c>
      <c r="G7031" s="117">
        <v>62.74</v>
      </c>
    </row>
    <row r="7032" spans="1:7" x14ac:dyDescent="0.25">
      <c r="A7032" s="116" t="s">
        <v>11227</v>
      </c>
      <c r="B7032" s="117" t="s">
        <v>11228</v>
      </c>
      <c r="C7032" t="s">
        <v>67</v>
      </c>
      <c r="D7032" t="s">
        <v>67</v>
      </c>
      <c r="E7032" t="s">
        <v>67</v>
      </c>
      <c r="F7032" t="s">
        <v>45</v>
      </c>
      <c r="G7032" s="117">
        <v>32.590000000000003</v>
      </c>
    </row>
    <row r="7033" spans="1:7" x14ac:dyDescent="0.25">
      <c r="A7033" s="116" t="s">
        <v>11229</v>
      </c>
      <c r="B7033" s="117" t="s">
        <v>11230</v>
      </c>
      <c r="C7033" t="s">
        <v>67</v>
      </c>
      <c r="D7033" t="s">
        <v>67</v>
      </c>
      <c r="E7033" t="s">
        <v>67</v>
      </c>
      <c r="F7033" t="s">
        <v>27987</v>
      </c>
      <c r="G7033" s="117">
        <v>88.54</v>
      </c>
    </row>
    <row r="7034" spans="1:7" x14ac:dyDescent="0.25">
      <c r="A7034" s="116" t="s">
        <v>11231</v>
      </c>
      <c r="B7034" s="117" t="s">
        <v>11232</v>
      </c>
      <c r="C7034" t="s">
        <v>67</v>
      </c>
      <c r="D7034" t="s">
        <v>67</v>
      </c>
      <c r="E7034" t="s">
        <v>67</v>
      </c>
      <c r="F7034" t="s">
        <v>45</v>
      </c>
      <c r="G7034" s="117">
        <v>5.14</v>
      </c>
    </row>
    <row r="7035" spans="1:7" x14ac:dyDescent="0.25">
      <c r="A7035" s="116" t="s">
        <v>11233</v>
      </c>
      <c r="B7035" s="117" t="s">
        <v>11234</v>
      </c>
      <c r="C7035" t="s">
        <v>67</v>
      </c>
      <c r="D7035" t="s">
        <v>67</v>
      </c>
      <c r="E7035" t="s">
        <v>67</v>
      </c>
      <c r="F7035" t="s">
        <v>27987</v>
      </c>
      <c r="G7035" s="117">
        <v>22.16</v>
      </c>
    </row>
    <row r="7036" spans="1:7" x14ac:dyDescent="0.25">
      <c r="A7036" s="116" t="s">
        <v>11235</v>
      </c>
      <c r="B7036" s="117" t="s">
        <v>11236</v>
      </c>
      <c r="C7036" t="s">
        <v>67</v>
      </c>
      <c r="D7036" t="s">
        <v>67</v>
      </c>
      <c r="E7036" t="s">
        <v>67</v>
      </c>
      <c r="F7036" t="s">
        <v>27987</v>
      </c>
      <c r="G7036" s="117">
        <v>17.579999999999998</v>
      </c>
    </row>
    <row r="7037" spans="1:7" x14ac:dyDescent="0.25">
      <c r="A7037" s="116" t="s">
        <v>11237</v>
      </c>
      <c r="B7037" s="117" t="s">
        <v>11238</v>
      </c>
      <c r="C7037" t="s">
        <v>67</v>
      </c>
      <c r="D7037" t="s">
        <v>67</v>
      </c>
      <c r="E7037" t="s">
        <v>67</v>
      </c>
      <c r="F7037" t="s">
        <v>27987</v>
      </c>
      <c r="G7037" s="117">
        <v>21.26</v>
      </c>
    </row>
    <row r="7038" spans="1:7" x14ac:dyDescent="0.25">
      <c r="A7038" s="116" t="s">
        <v>11239</v>
      </c>
      <c r="B7038" s="117" t="s">
        <v>10800</v>
      </c>
      <c r="C7038" t="s">
        <v>67</v>
      </c>
      <c r="D7038" t="s">
        <v>67</v>
      </c>
      <c r="E7038" t="s">
        <v>67</v>
      </c>
      <c r="F7038" t="s">
        <v>27987</v>
      </c>
      <c r="G7038" s="117">
        <v>15.04</v>
      </c>
    </row>
    <row r="7039" spans="1:7" x14ac:dyDescent="0.25">
      <c r="A7039" s="116" t="s">
        <v>11240</v>
      </c>
      <c r="B7039" s="117" t="s">
        <v>11241</v>
      </c>
      <c r="C7039" t="s">
        <v>67</v>
      </c>
      <c r="D7039" t="s">
        <v>67</v>
      </c>
      <c r="E7039" t="s">
        <v>67</v>
      </c>
      <c r="F7039" t="s">
        <v>27987</v>
      </c>
      <c r="G7039" s="117">
        <v>35.5</v>
      </c>
    </row>
    <row r="7040" spans="1:7" x14ac:dyDescent="0.25">
      <c r="A7040" s="116" t="s">
        <v>11242</v>
      </c>
      <c r="B7040" s="117" t="s">
        <v>11243</v>
      </c>
      <c r="C7040" t="s">
        <v>67</v>
      </c>
      <c r="D7040" t="s">
        <v>67</v>
      </c>
      <c r="E7040" t="s">
        <v>67</v>
      </c>
      <c r="F7040" t="s">
        <v>27987</v>
      </c>
      <c r="G7040" s="117">
        <v>63.62</v>
      </c>
    </row>
    <row r="7041" spans="1:7" x14ac:dyDescent="0.25">
      <c r="A7041" s="116" t="s">
        <v>11244</v>
      </c>
      <c r="B7041" s="117" t="s">
        <v>28905</v>
      </c>
      <c r="C7041" t="s">
        <v>67</v>
      </c>
      <c r="D7041" t="s">
        <v>67</v>
      </c>
      <c r="E7041" t="s">
        <v>67</v>
      </c>
      <c r="F7041" t="s">
        <v>27987</v>
      </c>
      <c r="G7041" s="117">
        <v>68.959999999999994</v>
      </c>
    </row>
    <row r="7042" spans="1:7" x14ac:dyDescent="0.25">
      <c r="A7042" s="116" t="s">
        <v>11245</v>
      </c>
      <c r="B7042" s="117" t="s">
        <v>11246</v>
      </c>
      <c r="C7042" t="s">
        <v>67</v>
      </c>
      <c r="D7042" t="s">
        <v>67</v>
      </c>
      <c r="E7042" t="s">
        <v>67</v>
      </c>
      <c r="F7042" t="s">
        <v>27987</v>
      </c>
      <c r="G7042" s="117">
        <v>8.81</v>
      </c>
    </row>
    <row r="7043" spans="1:7" x14ac:dyDescent="0.25">
      <c r="A7043" s="116" t="s">
        <v>11247</v>
      </c>
      <c r="B7043" s="117" t="s">
        <v>11248</v>
      </c>
      <c r="C7043" t="s">
        <v>67</v>
      </c>
      <c r="D7043" t="s">
        <v>67</v>
      </c>
      <c r="E7043" t="s">
        <v>67</v>
      </c>
      <c r="F7043" t="s">
        <v>27987</v>
      </c>
      <c r="G7043" s="117">
        <v>52.42</v>
      </c>
    </row>
    <row r="7044" spans="1:7" x14ac:dyDescent="0.25">
      <c r="A7044" s="116" t="s">
        <v>11249</v>
      </c>
      <c r="B7044" s="117" t="s">
        <v>11250</v>
      </c>
      <c r="C7044" t="s">
        <v>67</v>
      </c>
      <c r="D7044" t="s">
        <v>67</v>
      </c>
      <c r="E7044" t="s">
        <v>67</v>
      </c>
      <c r="F7044" t="s">
        <v>27987</v>
      </c>
      <c r="G7044" s="117">
        <v>9.35</v>
      </c>
    </row>
    <row r="7045" spans="1:7" x14ac:dyDescent="0.25">
      <c r="A7045" s="116" t="s">
        <v>11251</v>
      </c>
      <c r="B7045" s="117" t="s">
        <v>11252</v>
      </c>
      <c r="C7045" t="s">
        <v>67</v>
      </c>
      <c r="D7045" t="s">
        <v>67</v>
      </c>
      <c r="E7045" t="s">
        <v>67</v>
      </c>
      <c r="F7045" t="s">
        <v>27987</v>
      </c>
      <c r="G7045" s="117">
        <v>130.36000000000001</v>
      </c>
    </row>
    <row r="7046" spans="1:7" x14ac:dyDescent="0.25">
      <c r="A7046" s="116" t="s">
        <v>11253</v>
      </c>
      <c r="B7046" s="117" t="s">
        <v>11254</v>
      </c>
      <c r="C7046" t="s">
        <v>67</v>
      </c>
      <c r="D7046" t="s">
        <v>67</v>
      </c>
      <c r="E7046" t="s">
        <v>67</v>
      </c>
      <c r="F7046" t="s">
        <v>27987</v>
      </c>
      <c r="G7046" s="117">
        <v>76.98</v>
      </c>
    </row>
    <row r="7047" spans="1:7" x14ac:dyDescent="0.25">
      <c r="A7047" s="116" t="s">
        <v>11255</v>
      </c>
      <c r="B7047" s="117" t="s">
        <v>11256</v>
      </c>
      <c r="C7047" t="s">
        <v>67</v>
      </c>
      <c r="D7047" t="s">
        <v>67</v>
      </c>
      <c r="E7047" t="s">
        <v>67</v>
      </c>
      <c r="F7047" t="s">
        <v>27987</v>
      </c>
      <c r="G7047" s="117">
        <v>56.5</v>
      </c>
    </row>
    <row r="7048" spans="1:7" x14ac:dyDescent="0.25">
      <c r="A7048" s="116" t="s">
        <v>11257</v>
      </c>
      <c r="B7048" s="117" t="s">
        <v>11258</v>
      </c>
      <c r="C7048" t="s">
        <v>67</v>
      </c>
      <c r="D7048" t="s">
        <v>67</v>
      </c>
      <c r="E7048" t="s">
        <v>67</v>
      </c>
      <c r="F7048" t="s">
        <v>27987</v>
      </c>
      <c r="G7048" s="117">
        <v>41.74</v>
      </c>
    </row>
    <row r="7049" spans="1:7" x14ac:dyDescent="0.25">
      <c r="A7049" s="116" t="s">
        <v>11259</v>
      </c>
      <c r="B7049" s="117" t="s">
        <v>11260</v>
      </c>
      <c r="C7049" t="s">
        <v>67</v>
      </c>
      <c r="D7049" t="s">
        <v>67</v>
      </c>
      <c r="E7049" t="s">
        <v>67</v>
      </c>
      <c r="F7049" t="s">
        <v>45</v>
      </c>
      <c r="G7049" s="117">
        <v>80.52</v>
      </c>
    </row>
    <row r="7050" spans="1:7" x14ac:dyDescent="0.25">
      <c r="A7050" s="116" t="s">
        <v>11261</v>
      </c>
      <c r="B7050" s="117" t="s">
        <v>11262</v>
      </c>
      <c r="C7050" t="s">
        <v>67</v>
      </c>
      <c r="D7050" t="s">
        <v>67</v>
      </c>
      <c r="E7050" t="s">
        <v>67</v>
      </c>
      <c r="F7050" t="s">
        <v>27987</v>
      </c>
      <c r="G7050" s="117">
        <v>83.2</v>
      </c>
    </row>
    <row r="7051" spans="1:7" x14ac:dyDescent="0.25">
      <c r="A7051" s="116" t="s">
        <v>11263</v>
      </c>
      <c r="B7051" s="117" t="s">
        <v>11264</v>
      </c>
      <c r="C7051" t="s">
        <v>67</v>
      </c>
      <c r="D7051" t="s">
        <v>67</v>
      </c>
      <c r="E7051" t="s">
        <v>67</v>
      </c>
      <c r="F7051" t="s">
        <v>27987</v>
      </c>
      <c r="G7051" s="117">
        <v>157.06</v>
      </c>
    </row>
    <row r="7052" spans="1:7" x14ac:dyDescent="0.25">
      <c r="A7052" s="116" t="s">
        <v>11265</v>
      </c>
      <c r="B7052" s="117" t="s">
        <v>11266</v>
      </c>
      <c r="C7052" t="s">
        <v>67</v>
      </c>
      <c r="D7052" t="s">
        <v>67</v>
      </c>
      <c r="E7052" t="s">
        <v>67</v>
      </c>
      <c r="F7052" t="s">
        <v>45</v>
      </c>
      <c r="G7052" s="117">
        <v>67.540000000000006</v>
      </c>
    </row>
    <row r="7053" spans="1:7" x14ac:dyDescent="0.25">
      <c r="A7053" s="116" t="s">
        <v>11267</v>
      </c>
      <c r="B7053" s="117" t="s">
        <v>11268</v>
      </c>
      <c r="C7053" t="s">
        <v>67</v>
      </c>
      <c r="D7053" t="s">
        <v>67</v>
      </c>
      <c r="E7053" t="s">
        <v>67</v>
      </c>
      <c r="F7053" t="s">
        <v>27987</v>
      </c>
      <c r="G7053" s="117">
        <v>46.18</v>
      </c>
    </row>
    <row r="7054" spans="1:7" x14ac:dyDescent="0.25">
      <c r="A7054" s="116" t="s">
        <v>11269</v>
      </c>
      <c r="B7054" s="117" t="s">
        <v>11270</v>
      </c>
      <c r="C7054" t="s">
        <v>67</v>
      </c>
      <c r="D7054" t="s">
        <v>67</v>
      </c>
      <c r="E7054" t="s">
        <v>67</v>
      </c>
      <c r="F7054" t="s">
        <v>45</v>
      </c>
      <c r="G7054" s="117">
        <v>68.959999999999994</v>
      </c>
    </row>
    <row r="7055" spans="1:7" x14ac:dyDescent="0.25">
      <c r="A7055" s="116" t="s">
        <v>11271</v>
      </c>
      <c r="B7055" s="117" t="s">
        <v>11272</v>
      </c>
      <c r="C7055" t="s">
        <v>67</v>
      </c>
      <c r="D7055" t="s">
        <v>67</v>
      </c>
      <c r="E7055" t="s">
        <v>67</v>
      </c>
      <c r="F7055" t="s">
        <v>27987</v>
      </c>
      <c r="G7055" s="117">
        <v>18.239999999999998</v>
      </c>
    </row>
    <row r="7056" spans="1:7" x14ac:dyDescent="0.25">
      <c r="A7056" s="116" t="s">
        <v>11273</v>
      </c>
      <c r="B7056" s="117" t="s">
        <v>11274</v>
      </c>
      <c r="C7056" t="s">
        <v>67</v>
      </c>
      <c r="D7056" t="s">
        <v>67</v>
      </c>
      <c r="E7056" t="s">
        <v>67</v>
      </c>
      <c r="F7056" t="s">
        <v>27987</v>
      </c>
      <c r="G7056" s="117">
        <v>28.92</v>
      </c>
    </row>
    <row r="7057" spans="1:7" x14ac:dyDescent="0.25">
      <c r="A7057" s="116" t="s">
        <v>11275</v>
      </c>
      <c r="B7057" s="117" t="s">
        <v>11276</v>
      </c>
      <c r="C7057" t="s">
        <v>67</v>
      </c>
      <c r="D7057" t="s">
        <v>67</v>
      </c>
      <c r="E7057" t="s">
        <v>67</v>
      </c>
      <c r="F7057" t="s">
        <v>27987</v>
      </c>
      <c r="G7057" s="117">
        <v>33.729999999999997</v>
      </c>
    </row>
    <row r="7058" spans="1:7" x14ac:dyDescent="0.25">
      <c r="A7058" s="116" t="s">
        <v>11277</v>
      </c>
      <c r="B7058" s="117" t="s">
        <v>11278</v>
      </c>
      <c r="C7058" t="s">
        <v>67</v>
      </c>
      <c r="D7058" t="s">
        <v>67</v>
      </c>
      <c r="E7058" t="s">
        <v>67</v>
      </c>
      <c r="F7058" t="s">
        <v>27987</v>
      </c>
      <c r="G7058" s="117">
        <v>58.29</v>
      </c>
    </row>
    <row r="7059" spans="1:7" x14ac:dyDescent="0.25">
      <c r="A7059" s="116" t="s">
        <v>11279</v>
      </c>
      <c r="B7059" s="117" t="s">
        <v>11280</v>
      </c>
      <c r="C7059" t="s">
        <v>67</v>
      </c>
      <c r="D7059" t="s">
        <v>67</v>
      </c>
      <c r="E7059" t="s">
        <v>67</v>
      </c>
      <c r="F7059" t="s">
        <v>45</v>
      </c>
      <c r="G7059" s="117">
        <v>30.7</v>
      </c>
    </row>
    <row r="7060" spans="1:7" x14ac:dyDescent="0.25">
      <c r="A7060" s="116" t="s">
        <v>31255</v>
      </c>
      <c r="B7060" s="117" t="s">
        <v>31256</v>
      </c>
      <c r="C7060" t="s">
        <v>67</v>
      </c>
      <c r="D7060" t="s">
        <v>67</v>
      </c>
      <c r="E7060" t="s">
        <v>67</v>
      </c>
      <c r="F7060" t="s">
        <v>27987</v>
      </c>
      <c r="G7060" s="117">
        <v>11.55</v>
      </c>
    </row>
    <row r="7061" spans="1:7" x14ac:dyDescent="0.25">
      <c r="A7061" s="116" t="s">
        <v>31196</v>
      </c>
      <c r="B7061" s="117" t="s">
        <v>31197</v>
      </c>
      <c r="C7061" t="s">
        <v>67</v>
      </c>
      <c r="D7061" t="s">
        <v>67</v>
      </c>
      <c r="E7061" t="s">
        <v>67</v>
      </c>
      <c r="F7061" t="s">
        <v>45</v>
      </c>
      <c r="G7061" s="117">
        <v>11.55</v>
      </c>
    </row>
    <row r="7062" spans="1:7" x14ac:dyDescent="0.25">
      <c r="A7062" s="116" t="s">
        <v>11281</v>
      </c>
      <c r="B7062" s="117" t="s">
        <v>11282</v>
      </c>
      <c r="C7062" t="s">
        <v>67</v>
      </c>
      <c r="D7062" t="s">
        <v>67</v>
      </c>
      <c r="E7062" t="s">
        <v>67</v>
      </c>
      <c r="F7062" t="s">
        <v>27987</v>
      </c>
      <c r="G7062" s="117">
        <v>1239.08</v>
      </c>
    </row>
    <row r="7063" spans="1:7" x14ac:dyDescent="0.25">
      <c r="A7063" s="116" t="s">
        <v>11283</v>
      </c>
      <c r="B7063" s="117" t="s">
        <v>11284</v>
      </c>
      <c r="C7063" t="s">
        <v>67</v>
      </c>
      <c r="D7063" t="s">
        <v>67</v>
      </c>
      <c r="E7063" t="s">
        <v>67</v>
      </c>
      <c r="F7063" t="s">
        <v>27987</v>
      </c>
      <c r="G7063" s="117">
        <v>30.17</v>
      </c>
    </row>
    <row r="7064" spans="1:7" x14ac:dyDescent="0.25">
      <c r="A7064" s="116" t="s">
        <v>11285</v>
      </c>
      <c r="B7064" s="117" t="s">
        <v>11286</v>
      </c>
      <c r="C7064" t="s">
        <v>67</v>
      </c>
      <c r="D7064" t="s">
        <v>67</v>
      </c>
      <c r="E7064" t="s">
        <v>67</v>
      </c>
      <c r="F7064" t="s">
        <v>27987</v>
      </c>
      <c r="G7064" s="117">
        <v>63.98</v>
      </c>
    </row>
    <row r="7065" spans="1:7" x14ac:dyDescent="0.25">
      <c r="A7065" s="116" t="s">
        <v>11287</v>
      </c>
      <c r="B7065" s="117" t="s">
        <v>11288</v>
      </c>
      <c r="C7065" t="s">
        <v>67</v>
      </c>
      <c r="D7065" t="s">
        <v>67</v>
      </c>
      <c r="E7065" t="s">
        <v>67</v>
      </c>
      <c r="F7065" t="s">
        <v>27987</v>
      </c>
      <c r="G7065" s="117">
        <v>72.88</v>
      </c>
    </row>
    <row r="7066" spans="1:7" x14ac:dyDescent="0.25">
      <c r="A7066" s="116" t="s">
        <v>11289</v>
      </c>
      <c r="B7066" s="117" t="s">
        <v>11290</v>
      </c>
      <c r="C7066" t="s">
        <v>67</v>
      </c>
      <c r="D7066" t="s">
        <v>67</v>
      </c>
      <c r="E7066" t="s">
        <v>67</v>
      </c>
      <c r="F7066" t="s">
        <v>27987</v>
      </c>
      <c r="G7066" s="117">
        <v>16.46</v>
      </c>
    </row>
    <row r="7067" spans="1:7" x14ac:dyDescent="0.25">
      <c r="A7067" s="116" t="s">
        <v>11291</v>
      </c>
      <c r="B7067" s="117" t="s">
        <v>11292</v>
      </c>
      <c r="C7067" t="s">
        <v>67</v>
      </c>
      <c r="D7067" t="s">
        <v>67</v>
      </c>
      <c r="E7067" t="s">
        <v>67</v>
      </c>
      <c r="F7067" t="s">
        <v>27987</v>
      </c>
      <c r="G7067" s="117">
        <v>46.71</v>
      </c>
    </row>
    <row r="7068" spans="1:7" x14ac:dyDescent="0.25">
      <c r="A7068" s="116" t="s">
        <v>11293</v>
      </c>
      <c r="B7068" s="117" t="s">
        <v>11294</v>
      </c>
      <c r="C7068" t="s">
        <v>67</v>
      </c>
      <c r="D7068" t="s">
        <v>67</v>
      </c>
      <c r="E7068" t="s">
        <v>67</v>
      </c>
      <c r="F7068" t="s">
        <v>27987</v>
      </c>
      <c r="G7068" s="117">
        <v>102.77</v>
      </c>
    </row>
    <row r="7069" spans="1:7" x14ac:dyDescent="0.25">
      <c r="A7069" s="116" t="s">
        <v>11295</v>
      </c>
      <c r="B7069" s="117" t="s">
        <v>11296</v>
      </c>
      <c r="C7069" t="s">
        <v>67</v>
      </c>
      <c r="D7069" t="s">
        <v>67</v>
      </c>
      <c r="E7069" t="s">
        <v>67</v>
      </c>
      <c r="F7069" t="s">
        <v>27987</v>
      </c>
      <c r="G7069" s="117">
        <v>94.24</v>
      </c>
    </row>
    <row r="7070" spans="1:7" x14ac:dyDescent="0.25">
      <c r="A7070" s="116" t="s">
        <v>11297</v>
      </c>
      <c r="B7070" s="117" t="s">
        <v>11298</v>
      </c>
      <c r="C7070" t="s">
        <v>67</v>
      </c>
      <c r="D7070" t="s">
        <v>67</v>
      </c>
      <c r="E7070" t="s">
        <v>67</v>
      </c>
      <c r="F7070" t="s">
        <v>27987</v>
      </c>
      <c r="G7070" s="117">
        <v>157.94</v>
      </c>
    </row>
    <row r="7071" spans="1:7" x14ac:dyDescent="0.25">
      <c r="A7071" s="116" t="s">
        <v>11299</v>
      </c>
      <c r="B7071" s="117" t="s">
        <v>11300</v>
      </c>
      <c r="C7071" t="s">
        <v>67</v>
      </c>
      <c r="D7071" t="s">
        <v>67</v>
      </c>
      <c r="E7071" t="s">
        <v>67</v>
      </c>
      <c r="F7071" t="s">
        <v>27987</v>
      </c>
      <c r="G7071" s="117">
        <v>142.82</v>
      </c>
    </row>
    <row r="7072" spans="1:7" x14ac:dyDescent="0.25">
      <c r="A7072" s="116" t="s">
        <v>11301</v>
      </c>
      <c r="B7072" s="117" t="s">
        <v>11302</v>
      </c>
      <c r="C7072" t="s">
        <v>67</v>
      </c>
      <c r="D7072" t="s">
        <v>67</v>
      </c>
      <c r="E7072" t="s">
        <v>67</v>
      </c>
      <c r="F7072" t="s">
        <v>27987</v>
      </c>
      <c r="G7072" s="117">
        <v>85.87</v>
      </c>
    </row>
    <row r="7073" spans="1:7" x14ac:dyDescent="0.25">
      <c r="A7073" s="116" t="s">
        <v>11303</v>
      </c>
      <c r="B7073" s="117" t="s">
        <v>11304</v>
      </c>
      <c r="C7073" t="s">
        <v>67</v>
      </c>
      <c r="D7073" t="s">
        <v>67</v>
      </c>
      <c r="E7073" t="s">
        <v>67</v>
      </c>
      <c r="F7073" t="s">
        <v>27987</v>
      </c>
      <c r="G7073" s="117">
        <v>61.85</v>
      </c>
    </row>
    <row r="7074" spans="1:7" x14ac:dyDescent="0.25">
      <c r="A7074" s="116" t="s">
        <v>11305</v>
      </c>
      <c r="B7074" s="117" t="s">
        <v>11306</v>
      </c>
      <c r="C7074" t="s">
        <v>67</v>
      </c>
      <c r="D7074" t="s">
        <v>67</v>
      </c>
      <c r="E7074" t="s">
        <v>67</v>
      </c>
      <c r="F7074" t="s">
        <v>27987</v>
      </c>
      <c r="G7074" s="117">
        <v>45.82</v>
      </c>
    </row>
    <row r="7075" spans="1:7" x14ac:dyDescent="0.25">
      <c r="A7075" s="116" t="s">
        <v>11307</v>
      </c>
      <c r="B7075" s="117" t="s">
        <v>11308</v>
      </c>
      <c r="C7075" t="s">
        <v>67</v>
      </c>
      <c r="D7075" t="s">
        <v>67</v>
      </c>
      <c r="E7075" t="s">
        <v>67</v>
      </c>
      <c r="F7075" t="s">
        <v>27987</v>
      </c>
      <c r="G7075" s="117">
        <v>10.24</v>
      </c>
    </row>
    <row r="7076" spans="1:7" x14ac:dyDescent="0.25">
      <c r="A7076" s="116" t="s">
        <v>11309</v>
      </c>
      <c r="B7076" s="117" t="s">
        <v>11310</v>
      </c>
      <c r="C7076" t="s">
        <v>67</v>
      </c>
      <c r="D7076" t="s">
        <v>67</v>
      </c>
      <c r="E7076" t="s">
        <v>67</v>
      </c>
      <c r="F7076" t="s">
        <v>27987</v>
      </c>
      <c r="G7076" s="117">
        <v>36.04</v>
      </c>
    </row>
    <row r="7077" spans="1:7" x14ac:dyDescent="0.25">
      <c r="A7077" s="116" t="s">
        <v>11311</v>
      </c>
      <c r="B7077" s="117" t="s">
        <v>11312</v>
      </c>
      <c r="C7077" t="s">
        <v>67</v>
      </c>
      <c r="D7077" t="s">
        <v>67</v>
      </c>
      <c r="E7077" t="s">
        <v>67</v>
      </c>
      <c r="F7077" t="s">
        <v>27987</v>
      </c>
      <c r="G7077" s="117">
        <v>68.959999999999994</v>
      </c>
    </row>
    <row r="7078" spans="1:7" x14ac:dyDescent="0.25">
      <c r="A7078" s="116" t="s">
        <v>11313</v>
      </c>
      <c r="B7078" s="117" t="s">
        <v>11314</v>
      </c>
      <c r="C7078" t="s">
        <v>67</v>
      </c>
      <c r="D7078" t="s">
        <v>67</v>
      </c>
      <c r="E7078" t="s">
        <v>67</v>
      </c>
      <c r="F7078" t="s">
        <v>27987</v>
      </c>
      <c r="G7078" s="117">
        <v>81.42</v>
      </c>
    </row>
    <row r="7079" spans="1:7" x14ac:dyDescent="0.25">
      <c r="A7079" s="116" t="s">
        <v>11315</v>
      </c>
      <c r="B7079" s="117" t="s">
        <v>11316</v>
      </c>
      <c r="C7079" t="s">
        <v>67</v>
      </c>
      <c r="D7079" t="s">
        <v>67</v>
      </c>
      <c r="E7079" t="s">
        <v>67</v>
      </c>
      <c r="F7079" t="s">
        <v>27987</v>
      </c>
      <c r="G7079" s="117">
        <v>15.93</v>
      </c>
    </row>
    <row r="7080" spans="1:7" x14ac:dyDescent="0.25">
      <c r="A7080" s="116" t="s">
        <v>11317</v>
      </c>
      <c r="B7080" s="117" t="s">
        <v>11318</v>
      </c>
      <c r="C7080" t="s">
        <v>67</v>
      </c>
      <c r="D7080" t="s">
        <v>67</v>
      </c>
      <c r="E7080" t="s">
        <v>67</v>
      </c>
      <c r="F7080" t="s">
        <v>27987</v>
      </c>
      <c r="G7080" s="117">
        <v>15.93</v>
      </c>
    </row>
    <row r="7081" spans="1:7" x14ac:dyDescent="0.25">
      <c r="A7081" s="116" t="s">
        <v>11319</v>
      </c>
      <c r="B7081" s="117" t="s">
        <v>11320</v>
      </c>
      <c r="C7081" t="s">
        <v>67</v>
      </c>
      <c r="D7081" t="s">
        <v>67</v>
      </c>
      <c r="E7081" t="s">
        <v>67</v>
      </c>
      <c r="F7081" t="s">
        <v>27987</v>
      </c>
      <c r="G7081" s="117">
        <v>7.12</v>
      </c>
    </row>
    <row r="7082" spans="1:7" x14ac:dyDescent="0.25">
      <c r="A7082" s="116" t="s">
        <v>11321</v>
      </c>
      <c r="B7082" s="117" t="s">
        <v>11322</v>
      </c>
      <c r="C7082" t="s">
        <v>67</v>
      </c>
      <c r="D7082" t="s">
        <v>67</v>
      </c>
      <c r="E7082" t="s">
        <v>67</v>
      </c>
      <c r="F7082" t="s">
        <v>27987</v>
      </c>
      <c r="G7082" s="117">
        <v>5.33</v>
      </c>
    </row>
    <row r="7083" spans="1:7" x14ac:dyDescent="0.25">
      <c r="A7083" s="116" t="s">
        <v>11323</v>
      </c>
      <c r="B7083" s="117" t="s">
        <v>11324</v>
      </c>
      <c r="C7083" t="s">
        <v>67</v>
      </c>
      <c r="D7083" t="s">
        <v>67</v>
      </c>
      <c r="E7083" t="s">
        <v>67</v>
      </c>
      <c r="F7083" t="s">
        <v>27987</v>
      </c>
      <c r="G7083" s="117">
        <v>7.12</v>
      </c>
    </row>
    <row r="7084" spans="1:7" x14ac:dyDescent="0.25">
      <c r="A7084" s="116" t="s">
        <v>11325</v>
      </c>
      <c r="B7084" s="117" t="s">
        <v>11326</v>
      </c>
      <c r="C7084" t="s">
        <v>67</v>
      </c>
      <c r="D7084" t="s">
        <v>67</v>
      </c>
      <c r="E7084" t="s">
        <v>67</v>
      </c>
      <c r="F7084" t="s">
        <v>45</v>
      </c>
      <c r="G7084" s="117">
        <v>92.1</v>
      </c>
    </row>
    <row r="7085" spans="1:7" x14ac:dyDescent="0.25">
      <c r="A7085" s="116" t="s">
        <v>11327</v>
      </c>
      <c r="B7085" s="117" t="s">
        <v>11328</v>
      </c>
      <c r="C7085" t="s">
        <v>67</v>
      </c>
      <c r="D7085" t="s">
        <v>67</v>
      </c>
      <c r="E7085" t="s">
        <v>67</v>
      </c>
      <c r="F7085" t="s">
        <v>27987</v>
      </c>
      <c r="G7085" s="117">
        <v>104.56</v>
      </c>
    </row>
    <row r="7086" spans="1:7" x14ac:dyDescent="0.25">
      <c r="A7086" s="116" t="s">
        <v>11329</v>
      </c>
      <c r="B7086" s="117" t="s">
        <v>11330</v>
      </c>
      <c r="C7086" t="s">
        <v>67</v>
      </c>
      <c r="D7086" t="s">
        <v>67</v>
      </c>
      <c r="E7086" t="s">
        <v>67</v>
      </c>
      <c r="F7086" t="s">
        <v>45</v>
      </c>
      <c r="G7086" s="117">
        <v>99.21</v>
      </c>
    </row>
    <row r="7087" spans="1:7" x14ac:dyDescent="0.25">
      <c r="A7087" s="116" t="s">
        <v>11331</v>
      </c>
      <c r="B7087" s="117" t="s">
        <v>11332</v>
      </c>
      <c r="C7087" t="s">
        <v>67</v>
      </c>
      <c r="D7087" t="s">
        <v>67</v>
      </c>
      <c r="E7087" t="s">
        <v>67</v>
      </c>
      <c r="F7087" t="s">
        <v>49</v>
      </c>
      <c r="G7087" s="117">
        <v>9.6999999999999993</v>
      </c>
    </row>
    <row r="7088" spans="1:7" x14ac:dyDescent="0.25">
      <c r="A7088" s="116" t="s">
        <v>11333</v>
      </c>
      <c r="B7088" s="117" t="s">
        <v>11334</v>
      </c>
      <c r="C7088" t="s">
        <v>67</v>
      </c>
      <c r="D7088" t="s">
        <v>67</v>
      </c>
      <c r="E7088" t="s">
        <v>67</v>
      </c>
      <c r="F7088" t="s">
        <v>27987</v>
      </c>
      <c r="G7088" s="117">
        <v>161.86000000000001</v>
      </c>
    </row>
    <row r="7089" spans="1:7" x14ac:dyDescent="0.25">
      <c r="A7089" s="116" t="s">
        <v>11335</v>
      </c>
      <c r="B7089" s="117" t="s">
        <v>11336</v>
      </c>
      <c r="C7089" t="s">
        <v>67</v>
      </c>
      <c r="D7089" t="s">
        <v>67</v>
      </c>
      <c r="E7089" t="s">
        <v>67</v>
      </c>
      <c r="F7089" t="s">
        <v>27987</v>
      </c>
      <c r="G7089" s="117">
        <v>106.33</v>
      </c>
    </row>
    <row r="7090" spans="1:7" x14ac:dyDescent="0.25">
      <c r="A7090" s="116" t="s">
        <v>11337</v>
      </c>
      <c r="B7090" s="117" t="s">
        <v>11338</v>
      </c>
      <c r="C7090" t="s">
        <v>67</v>
      </c>
      <c r="D7090" t="s">
        <v>67</v>
      </c>
      <c r="E7090" t="s">
        <v>67</v>
      </c>
      <c r="F7090" t="s">
        <v>45</v>
      </c>
      <c r="G7090" s="117">
        <v>8.4499999999999993</v>
      </c>
    </row>
    <row r="7091" spans="1:7" x14ac:dyDescent="0.25">
      <c r="A7091" s="116" t="s">
        <v>11339</v>
      </c>
      <c r="B7091" s="117" t="s">
        <v>11340</v>
      </c>
      <c r="C7091" t="s">
        <v>67</v>
      </c>
      <c r="D7091" t="s">
        <v>67</v>
      </c>
      <c r="E7091" t="s">
        <v>67</v>
      </c>
      <c r="F7091" t="s">
        <v>27987</v>
      </c>
      <c r="G7091" s="117">
        <v>29.81</v>
      </c>
    </row>
    <row r="7092" spans="1:7" x14ac:dyDescent="0.25">
      <c r="A7092" s="116" t="s">
        <v>11341</v>
      </c>
      <c r="B7092" s="117" t="s">
        <v>11342</v>
      </c>
      <c r="C7092" t="s">
        <v>67</v>
      </c>
      <c r="D7092" t="s">
        <v>67</v>
      </c>
      <c r="E7092" t="s">
        <v>67</v>
      </c>
      <c r="F7092" t="s">
        <v>45</v>
      </c>
      <c r="G7092" s="117">
        <v>105.76</v>
      </c>
    </row>
    <row r="7093" spans="1:7" x14ac:dyDescent="0.25">
      <c r="A7093" s="116" t="s">
        <v>11343</v>
      </c>
      <c r="B7093" s="117" t="s">
        <v>11344</v>
      </c>
      <c r="C7093" t="s">
        <v>67</v>
      </c>
      <c r="D7093" t="s">
        <v>67</v>
      </c>
      <c r="E7093" t="s">
        <v>67</v>
      </c>
      <c r="F7093" t="s">
        <v>27987</v>
      </c>
      <c r="G7093" s="117">
        <v>28.38</v>
      </c>
    </row>
    <row r="7094" spans="1:7" x14ac:dyDescent="0.25">
      <c r="A7094" s="116" t="s">
        <v>11345</v>
      </c>
      <c r="B7094" s="117" t="s">
        <v>11346</v>
      </c>
      <c r="C7094" t="s">
        <v>67</v>
      </c>
      <c r="D7094" t="s">
        <v>67</v>
      </c>
      <c r="E7094" t="s">
        <v>67</v>
      </c>
      <c r="F7094" t="s">
        <v>45</v>
      </c>
      <c r="G7094" s="117">
        <v>86.23</v>
      </c>
    </row>
    <row r="7095" spans="1:7" x14ac:dyDescent="0.25">
      <c r="A7095" s="116" t="s">
        <v>11347</v>
      </c>
      <c r="B7095" s="117" t="s">
        <v>11348</v>
      </c>
      <c r="C7095" t="s">
        <v>67</v>
      </c>
      <c r="D7095" t="s">
        <v>67</v>
      </c>
      <c r="E7095" t="s">
        <v>67</v>
      </c>
      <c r="F7095" t="s">
        <v>27987</v>
      </c>
      <c r="G7095" s="117">
        <v>32.479999999999997</v>
      </c>
    </row>
    <row r="7096" spans="1:7" x14ac:dyDescent="0.25">
      <c r="A7096" s="116" t="s">
        <v>11349</v>
      </c>
      <c r="B7096" s="117" t="s">
        <v>11350</v>
      </c>
      <c r="C7096" t="s">
        <v>67</v>
      </c>
      <c r="D7096" t="s">
        <v>67</v>
      </c>
      <c r="E7096" t="s">
        <v>67</v>
      </c>
      <c r="F7096" t="s">
        <v>27987</v>
      </c>
      <c r="G7096" s="117">
        <v>13.8</v>
      </c>
    </row>
    <row r="7097" spans="1:7" x14ac:dyDescent="0.25">
      <c r="A7097" s="116" t="s">
        <v>11351</v>
      </c>
      <c r="B7097" s="117" t="s">
        <v>11352</v>
      </c>
      <c r="C7097" t="s">
        <v>67</v>
      </c>
      <c r="D7097" t="s">
        <v>67</v>
      </c>
      <c r="E7097" t="s">
        <v>67</v>
      </c>
      <c r="F7097" t="s">
        <v>27987</v>
      </c>
      <c r="G7097" s="117">
        <v>8.81</v>
      </c>
    </row>
    <row r="7098" spans="1:7" x14ac:dyDescent="0.25">
      <c r="A7098" s="116" t="s">
        <v>11353</v>
      </c>
      <c r="B7098" s="117" t="s">
        <v>11354</v>
      </c>
      <c r="C7098" t="s">
        <v>67</v>
      </c>
      <c r="D7098" t="s">
        <v>67</v>
      </c>
      <c r="E7098" t="s">
        <v>67</v>
      </c>
      <c r="F7098" t="s">
        <v>27987</v>
      </c>
      <c r="G7098" s="117">
        <v>20.38</v>
      </c>
    </row>
    <row r="7099" spans="1:7" x14ac:dyDescent="0.25">
      <c r="A7099" s="116" t="s">
        <v>11355</v>
      </c>
      <c r="B7099" s="117" t="s">
        <v>11356</v>
      </c>
      <c r="C7099" t="s">
        <v>67</v>
      </c>
      <c r="D7099" t="s">
        <v>67</v>
      </c>
      <c r="E7099" t="s">
        <v>67</v>
      </c>
      <c r="F7099" t="s">
        <v>27987</v>
      </c>
      <c r="G7099" s="117">
        <v>33.369999999999997</v>
      </c>
    </row>
    <row r="7100" spans="1:7" x14ac:dyDescent="0.25">
      <c r="A7100" s="116" t="s">
        <v>11357</v>
      </c>
      <c r="B7100" s="117" t="s">
        <v>11358</v>
      </c>
      <c r="C7100" t="s">
        <v>67</v>
      </c>
      <c r="D7100" t="s">
        <v>67</v>
      </c>
      <c r="E7100" t="s">
        <v>67</v>
      </c>
      <c r="F7100" t="s">
        <v>45</v>
      </c>
      <c r="G7100" s="117">
        <v>3.12</v>
      </c>
    </row>
    <row r="7101" spans="1:7" x14ac:dyDescent="0.25">
      <c r="A7101" s="116" t="s">
        <v>11359</v>
      </c>
      <c r="B7101" s="117" t="s">
        <v>460</v>
      </c>
      <c r="C7101" t="s">
        <v>67</v>
      </c>
      <c r="D7101" t="s">
        <v>67</v>
      </c>
      <c r="E7101" t="s">
        <v>67</v>
      </c>
      <c r="F7101" t="s">
        <v>27987</v>
      </c>
      <c r="G7101" s="117">
        <v>57.75</v>
      </c>
    </row>
    <row r="7102" spans="1:7" x14ac:dyDescent="0.25">
      <c r="A7102" s="116" t="s">
        <v>11360</v>
      </c>
      <c r="B7102" s="117" t="s">
        <v>11361</v>
      </c>
      <c r="C7102" t="s">
        <v>67</v>
      </c>
      <c r="D7102" t="s">
        <v>67</v>
      </c>
      <c r="E7102" t="s">
        <v>67</v>
      </c>
      <c r="F7102" t="s">
        <v>27987</v>
      </c>
      <c r="G7102" s="117">
        <v>35.5</v>
      </c>
    </row>
    <row r="7103" spans="1:7" x14ac:dyDescent="0.25">
      <c r="A7103" s="116" t="s">
        <v>11362</v>
      </c>
      <c r="B7103" s="117" t="s">
        <v>8831</v>
      </c>
      <c r="C7103" t="s">
        <v>67</v>
      </c>
      <c r="D7103" t="s">
        <v>67</v>
      </c>
      <c r="E7103" t="s">
        <v>67</v>
      </c>
      <c r="F7103" t="s">
        <v>49</v>
      </c>
      <c r="G7103" s="117">
        <v>5.79</v>
      </c>
    </row>
    <row r="7104" spans="1:7" x14ac:dyDescent="0.25">
      <c r="A7104" s="116" t="s">
        <v>11363</v>
      </c>
      <c r="B7104" s="117" t="s">
        <v>11364</v>
      </c>
      <c r="C7104" t="s">
        <v>67</v>
      </c>
      <c r="D7104" t="s">
        <v>67</v>
      </c>
      <c r="E7104" t="s">
        <v>67</v>
      </c>
      <c r="F7104" t="s">
        <v>27990</v>
      </c>
      <c r="G7104" s="117">
        <v>2.58</v>
      </c>
    </row>
    <row r="7105" spans="1:7" x14ac:dyDescent="0.25">
      <c r="A7105" s="116" t="s">
        <v>11365</v>
      </c>
      <c r="B7105" s="117" t="s">
        <v>11366</v>
      </c>
      <c r="C7105" t="s">
        <v>67</v>
      </c>
      <c r="D7105" t="s">
        <v>67</v>
      </c>
      <c r="E7105" t="s">
        <v>67</v>
      </c>
      <c r="F7105" t="s">
        <v>27987</v>
      </c>
      <c r="G7105" s="117">
        <v>25.36</v>
      </c>
    </row>
    <row r="7106" spans="1:7" x14ac:dyDescent="0.25">
      <c r="A7106" s="116" t="s">
        <v>11367</v>
      </c>
      <c r="B7106" s="117" t="s">
        <v>11368</v>
      </c>
      <c r="C7106" t="s">
        <v>67</v>
      </c>
      <c r="D7106" t="s">
        <v>67</v>
      </c>
      <c r="E7106" t="s">
        <v>67</v>
      </c>
      <c r="F7106" t="s">
        <v>27987</v>
      </c>
      <c r="G7106" s="117">
        <v>23.58</v>
      </c>
    </row>
    <row r="7107" spans="1:7" x14ac:dyDescent="0.25">
      <c r="A7107" s="116" t="s">
        <v>11369</v>
      </c>
      <c r="B7107" s="117" t="s">
        <v>11370</v>
      </c>
      <c r="C7107" t="s">
        <v>67</v>
      </c>
      <c r="D7107" t="s">
        <v>67</v>
      </c>
      <c r="E7107" t="s">
        <v>67</v>
      </c>
      <c r="F7107" t="s">
        <v>27987</v>
      </c>
      <c r="G7107" s="117">
        <v>144.6</v>
      </c>
    </row>
    <row r="7108" spans="1:7" x14ac:dyDescent="0.25">
      <c r="A7108" s="116" t="s">
        <v>11371</v>
      </c>
      <c r="B7108" s="117" t="s">
        <v>11372</v>
      </c>
      <c r="C7108" t="s">
        <v>67</v>
      </c>
      <c r="D7108" t="s">
        <v>67</v>
      </c>
      <c r="E7108" t="s">
        <v>67</v>
      </c>
      <c r="F7108" t="s">
        <v>45</v>
      </c>
      <c r="G7108" s="117">
        <v>106.69</v>
      </c>
    </row>
    <row r="7109" spans="1:7" x14ac:dyDescent="0.25">
      <c r="A7109" s="116" t="s">
        <v>11373</v>
      </c>
      <c r="B7109" s="117" t="s">
        <v>11374</v>
      </c>
      <c r="C7109" t="s">
        <v>67</v>
      </c>
      <c r="D7109" t="s">
        <v>67</v>
      </c>
      <c r="E7109" t="s">
        <v>67</v>
      </c>
      <c r="F7109" t="s">
        <v>27987</v>
      </c>
      <c r="G7109" s="117">
        <v>26.61</v>
      </c>
    </row>
    <row r="7110" spans="1:7" x14ac:dyDescent="0.25">
      <c r="A7110" s="116" t="s">
        <v>11375</v>
      </c>
      <c r="B7110" s="117" t="s">
        <v>11376</v>
      </c>
      <c r="C7110" t="s">
        <v>67</v>
      </c>
      <c r="D7110" t="s">
        <v>67</v>
      </c>
      <c r="E7110" t="s">
        <v>67</v>
      </c>
      <c r="F7110" t="s">
        <v>45</v>
      </c>
      <c r="G7110" s="117">
        <v>8.81</v>
      </c>
    </row>
    <row r="7111" spans="1:7" x14ac:dyDescent="0.25">
      <c r="A7111" s="116" t="s">
        <v>11377</v>
      </c>
      <c r="B7111" s="117" t="s">
        <v>11378</v>
      </c>
      <c r="C7111" t="s">
        <v>67</v>
      </c>
      <c r="D7111" t="s">
        <v>67</v>
      </c>
      <c r="E7111" t="s">
        <v>67</v>
      </c>
      <c r="F7111" t="s">
        <v>45</v>
      </c>
      <c r="G7111" s="117">
        <v>60.06</v>
      </c>
    </row>
    <row r="7112" spans="1:7" x14ac:dyDescent="0.25">
      <c r="A7112" s="116" t="s">
        <v>11379</v>
      </c>
      <c r="B7112" s="117" t="s">
        <v>11380</v>
      </c>
      <c r="C7112" t="s">
        <v>67</v>
      </c>
      <c r="D7112" t="s">
        <v>67</v>
      </c>
      <c r="E7112" t="s">
        <v>67</v>
      </c>
      <c r="F7112" t="s">
        <v>27987</v>
      </c>
      <c r="G7112" s="117">
        <v>8.4499999999999993</v>
      </c>
    </row>
    <row r="7113" spans="1:7" x14ac:dyDescent="0.25">
      <c r="A7113" s="116" t="s">
        <v>11381</v>
      </c>
      <c r="B7113" s="117" t="s">
        <v>11382</v>
      </c>
      <c r="C7113" t="s">
        <v>67</v>
      </c>
      <c r="D7113" t="s">
        <v>67</v>
      </c>
      <c r="E7113" t="s">
        <v>67</v>
      </c>
      <c r="F7113" t="s">
        <v>27987</v>
      </c>
      <c r="G7113" s="117">
        <v>135.69999999999999</v>
      </c>
    </row>
    <row r="7114" spans="1:7" x14ac:dyDescent="0.25">
      <c r="A7114" s="116" t="s">
        <v>26772</v>
      </c>
      <c r="B7114" s="117" t="s">
        <v>8264</v>
      </c>
      <c r="C7114" t="s">
        <v>67</v>
      </c>
      <c r="D7114" t="s">
        <v>67</v>
      </c>
      <c r="E7114" t="s">
        <v>67</v>
      </c>
      <c r="F7114" t="s">
        <v>45</v>
      </c>
      <c r="G7114" s="117">
        <v>1</v>
      </c>
    </row>
    <row r="7115" spans="1:7" x14ac:dyDescent="0.25">
      <c r="A7115" s="116" t="s">
        <v>11383</v>
      </c>
      <c r="B7115" s="117" t="s">
        <v>11384</v>
      </c>
      <c r="C7115" t="s">
        <v>67</v>
      </c>
      <c r="D7115" t="s">
        <v>67</v>
      </c>
      <c r="E7115" t="s">
        <v>67</v>
      </c>
      <c r="F7115" t="s">
        <v>27987</v>
      </c>
      <c r="G7115" s="117">
        <v>108.12</v>
      </c>
    </row>
    <row r="7116" spans="1:7" x14ac:dyDescent="0.25">
      <c r="A7116" s="116" t="s">
        <v>11385</v>
      </c>
      <c r="B7116" s="117" t="s">
        <v>11386</v>
      </c>
      <c r="C7116" t="s">
        <v>67</v>
      </c>
      <c r="D7116" t="s">
        <v>67</v>
      </c>
      <c r="E7116" t="s">
        <v>67</v>
      </c>
      <c r="F7116" t="s">
        <v>27987</v>
      </c>
      <c r="G7116" s="117">
        <v>107.58</v>
      </c>
    </row>
    <row r="7117" spans="1:7" x14ac:dyDescent="0.25">
      <c r="A7117" s="116" t="s">
        <v>11387</v>
      </c>
      <c r="B7117" s="117" t="s">
        <v>11388</v>
      </c>
      <c r="C7117" t="s">
        <v>67</v>
      </c>
      <c r="D7117" t="s">
        <v>67</v>
      </c>
      <c r="E7117" t="s">
        <v>67</v>
      </c>
      <c r="F7117" t="s">
        <v>27987</v>
      </c>
      <c r="G7117" s="117">
        <v>242.48</v>
      </c>
    </row>
    <row r="7118" spans="1:7" x14ac:dyDescent="0.25">
      <c r="A7118" s="116" t="s">
        <v>11389</v>
      </c>
      <c r="B7118" s="117" t="s">
        <v>7111</v>
      </c>
      <c r="C7118" t="s">
        <v>67</v>
      </c>
      <c r="D7118" t="s">
        <v>67</v>
      </c>
      <c r="E7118" t="s">
        <v>67</v>
      </c>
      <c r="F7118" t="s">
        <v>27987</v>
      </c>
      <c r="G7118" s="117">
        <v>35.5</v>
      </c>
    </row>
    <row r="7119" spans="1:7" x14ac:dyDescent="0.25">
      <c r="A7119" s="116" t="s">
        <v>11390</v>
      </c>
      <c r="B7119" s="117" t="s">
        <v>11129</v>
      </c>
      <c r="C7119" t="s">
        <v>67</v>
      </c>
      <c r="D7119" t="s">
        <v>67</v>
      </c>
      <c r="E7119" t="s">
        <v>67</v>
      </c>
      <c r="F7119" t="s">
        <v>27987</v>
      </c>
      <c r="G7119" s="117">
        <v>63.08</v>
      </c>
    </row>
    <row r="7120" spans="1:7" x14ac:dyDescent="0.25">
      <c r="A7120" s="116" t="s">
        <v>11391</v>
      </c>
      <c r="B7120" s="117" t="s">
        <v>11392</v>
      </c>
      <c r="C7120" t="s">
        <v>67</v>
      </c>
      <c r="D7120" t="s">
        <v>67</v>
      </c>
      <c r="E7120" t="s">
        <v>67</v>
      </c>
      <c r="F7120" t="s">
        <v>27987</v>
      </c>
      <c r="G7120" s="117">
        <v>35.5</v>
      </c>
    </row>
    <row r="7121" spans="1:7" x14ac:dyDescent="0.25">
      <c r="A7121" s="116" t="s">
        <v>11393</v>
      </c>
      <c r="B7121" s="117" t="s">
        <v>11127</v>
      </c>
      <c r="C7121" t="s">
        <v>67</v>
      </c>
      <c r="D7121" t="s">
        <v>67</v>
      </c>
      <c r="E7121" t="s">
        <v>67</v>
      </c>
      <c r="F7121" t="s">
        <v>27987</v>
      </c>
      <c r="G7121" s="117">
        <v>5.79</v>
      </c>
    </row>
    <row r="7122" spans="1:7" x14ac:dyDescent="0.25">
      <c r="A7122" s="116" t="s">
        <v>11394</v>
      </c>
      <c r="B7122" s="117" t="s">
        <v>11395</v>
      </c>
      <c r="C7122" t="s">
        <v>67</v>
      </c>
      <c r="D7122" t="s">
        <v>67</v>
      </c>
      <c r="E7122" t="s">
        <v>67</v>
      </c>
      <c r="F7122" t="s">
        <v>45</v>
      </c>
      <c r="G7122" s="117">
        <v>28.38</v>
      </c>
    </row>
    <row r="7123" spans="1:7" x14ac:dyDescent="0.25">
      <c r="A7123" s="116" t="s">
        <v>11396</v>
      </c>
      <c r="B7123" s="117" t="s">
        <v>28906</v>
      </c>
      <c r="C7123" t="s">
        <v>67</v>
      </c>
      <c r="D7123" t="s">
        <v>67</v>
      </c>
      <c r="E7123" t="s">
        <v>67</v>
      </c>
      <c r="F7123" t="s">
        <v>27987</v>
      </c>
      <c r="G7123" s="117">
        <v>587.20000000000005</v>
      </c>
    </row>
    <row r="7124" spans="1:7" x14ac:dyDescent="0.25">
      <c r="A7124" s="116" t="s">
        <v>11397</v>
      </c>
      <c r="B7124" s="117" t="s">
        <v>11398</v>
      </c>
      <c r="C7124" t="s">
        <v>67</v>
      </c>
      <c r="D7124" t="s">
        <v>67</v>
      </c>
      <c r="E7124" t="s">
        <v>67</v>
      </c>
      <c r="F7124" t="s">
        <v>27987</v>
      </c>
      <c r="G7124" s="117">
        <v>60.95</v>
      </c>
    </row>
    <row r="7125" spans="1:7" x14ac:dyDescent="0.25">
      <c r="A7125" s="116" t="s">
        <v>11399</v>
      </c>
      <c r="B7125" s="117" t="s">
        <v>11129</v>
      </c>
      <c r="C7125" t="s">
        <v>67</v>
      </c>
      <c r="D7125" t="s">
        <v>67</v>
      </c>
      <c r="E7125" t="s">
        <v>67</v>
      </c>
      <c r="F7125" t="s">
        <v>27987</v>
      </c>
      <c r="G7125" s="117">
        <v>29.81</v>
      </c>
    </row>
    <row r="7126" spans="1:7" x14ac:dyDescent="0.25">
      <c r="A7126" s="116" t="s">
        <v>11400</v>
      </c>
      <c r="B7126" s="117" t="s">
        <v>11401</v>
      </c>
      <c r="C7126" t="s">
        <v>67</v>
      </c>
      <c r="D7126" t="s">
        <v>67</v>
      </c>
      <c r="E7126" t="s">
        <v>67</v>
      </c>
      <c r="F7126" t="s">
        <v>45</v>
      </c>
      <c r="G7126" s="117">
        <v>79.11</v>
      </c>
    </row>
    <row r="7127" spans="1:7" x14ac:dyDescent="0.25">
      <c r="A7127" s="116" t="s">
        <v>11402</v>
      </c>
      <c r="B7127" s="117" t="s">
        <v>11403</v>
      </c>
      <c r="C7127" t="s">
        <v>67</v>
      </c>
      <c r="D7127" t="s">
        <v>67</v>
      </c>
      <c r="E7127" t="s">
        <v>67</v>
      </c>
      <c r="F7127" t="s">
        <v>51</v>
      </c>
      <c r="G7127" s="117">
        <v>17.7</v>
      </c>
    </row>
    <row r="7128" spans="1:7" x14ac:dyDescent="0.25">
      <c r="A7128" s="116" t="s">
        <v>11404</v>
      </c>
      <c r="B7128" s="117" t="s">
        <v>11405</v>
      </c>
      <c r="C7128" t="s">
        <v>67</v>
      </c>
      <c r="D7128" t="s">
        <v>67</v>
      </c>
      <c r="E7128" t="s">
        <v>67</v>
      </c>
      <c r="F7128" t="s">
        <v>27987</v>
      </c>
      <c r="G7128" s="117">
        <v>18.239999999999998</v>
      </c>
    </row>
    <row r="7129" spans="1:7" x14ac:dyDescent="0.25">
      <c r="A7129" s="116" t="s">
        <v>11406</v>
      </c>
      <c r="B7129" s="117" t="s">
        <v>11407</v>
      </c>
      <c r="C7129" t="s">
        <v>67</v>
      </c>
      <c r="D7129" t="s">
        <v>67</v>
      </c>
      <c r="E7129" t="s">
        <v>67</v>
      </c>
      <c r="F7129" t="s">
        <v>27987</v>
      </c>
      <c r="G7129" s="117">
        <v>4.8899999999999997</v>
      </c>
    </row>
    <row r="7130" spans="1:7" x14ac:dyDescent="0.25">
      <c r="A7130" s="116" t="s">
        <v>11408</v>
      </c>
      <c r="B7130" s="117" t="s">
        <v>11409</v>
      </c>
      <c r="C7130" t="s">
        <v>67</v>
      </c>
      <c r="D7130" t="s">
        <v>67</v>
      </c>
      <c r="E7130" t="s">
        <v>67</v>
      </c>
      <c r="F7130" t="s">
        <v>49</v>
      </c>
      <c r="G7130" s="117">
        <v>1.33</v>
      </c>
    </row>
    <row r="7131" spans="1:7" x14ac:dyDescent="0.25">
      <c r="A7131" s="116" t="s">
        <v>11410</v>
      </c>
      <c r="B7131" s="117" t="s">
        <v>11411</v>
      </c>
      <c r="C7131" t="s">
        <v>67</v>
      </c>
      <c r="D7131" t="s">
        <v>67</v>
      </c>
      <c r="E7131" t="s">
        <v>67</v>
      </c>
      <c r="F7131" t="s">
        <v>27987</v>
      </c>
      <c r="G7131" s="117">
        <v>33.369999999999997</v>
      </c>
    </row>
    <row r="7132" spans="1:7" x14ac:dyDescent="0.25">
      <c r="A7132" s="116" t="s">
        <v>11412</v>
      </c>
      <c r="B7132" s="117" t="s">
        <v>11413</v>
      </c>
      <c r="C7132" t="s">
        <v>67</v>
      </c>
      <c r="D7132" t="s">
        <v>67</v>
      </c>
      <c r="E7132" t="s">
        <v>67</v>
      </c>
      <c r="F7132" t="s">
        <v>27987</v>
      </c>
      <c r="G7132" s="117">
        <v>472.06</v>
      </c>
    </row>
    <row r="7133" spans="1:7" x14ac:dyDescent="0.25">
      <c r="A7133" s="116" t="s">
        <v>11414</v>
      </c>
      <c r="B7133" s="117" t="s">
        <v>8831</v>
      </c>
      <c r="C7133" t="s">
        <v>67</v>
      </c>
      <c r="D7133" t="s">
        <v>67</v>
      </c>
      <c r="E7133" t="s">
        <v>67</v>
      </c>
      <c r="F7133" t="s">
        <v>45</v>
      </c>
      <c r="G7133" s="117">
        <v>7.12</v>
      </c>
    </row>
    <row r="7134" spans="1:7" x14ac:dyDescent="0.25">
      <c r="A7134" s="116" t="s">
        <v>11415</v>
      </c>
      <c r="B7134" s="117" t="s">
        <v>8456</v>
      </c>
      <c r="C7134" t="s">
        <v>67</v>
      </c>
      <c r="D7134" t="s">
        <v>67</v>
      </c>
      <c r="E7134" t="s">
        <v>67</v>
      </c>
      <c r="F7134" t="s">
        <v>51</v>
      </c>
      <c r="G7134" s="117">
        <v>3.48</v>
      </c>
    </row>
    <row r="7135" spans="1:7" x14ac:dyDescent="0.25">
      <c r="A7135" s="116" t="s">
        <v>11416</v>
      </c>
      <c r="B7135" s="117" t="s">
        <v>11417</v>
      </c>
      <c r="C7135" t="s">
        <v>67</v>
      </c>
      <c r="D7135" t="s">
        <v>67</v>
      </c>
      <c r="E7135" t="s">
        <v>67</v>
      </c>
      <c r="F7135" t="s">
        <v>45</v>
      </c>
      <c r="G7135" s="117">
        <v>30.7</v>
      </c>
    </row>
    <row r="7136" spans="1:7" x14ac:dyDescent="0.25">
      <c r="A7136" s="116" t="s">
        <v>11418</v>
      </c>
      <c r="B7136" s="117" t="s">
        <v>11419</v>
      </c>
      <c r="C7136" t="s">
        <v>67</v>
      </c>
      <c r="D7136" t="s">
        <v>67</v>
      </c>
      <c r="E7136" t="s">
        <v>67</v>
      </c>
      <c r="F7136" t="s">
        <v>27987</v>
      </c>
      <c r="G7136" s="117">
        <v>11.57</v>
      </c>
    </row>
    <row r="7137" spans="1:7" x14ac:dyDescent="0.25">
      <c r="A7137" s="116" t="s">
        <v>11420</v>
      </c>
      <c r="B7137" s="117" t="s">
        <v>11421</v>
      </c>
      <c r="C7137" t="s">
        <v>67</v>
      </c>
      <c r="D7137" t="s">
        <v>67</v>
      </c>
      <c r="E7137" t="s">
        <v>67</v>
      </c>
      <c r="F7137" t="s">
        <v>27987</v>
      </c>
      <c r="G7137" s="117">
        <v>1.33</v>
      </c>
    </row>
    <row r="7138" spans="1:7" x14ac:dyDescent="0.25">
      <c r="A7138" s="116" t="s">
        <v>11422</v>
      </c>
      <c r="B7138" s="117" t="s">
        <v>11423</v>
      </c>
      <c r="C7138" t="s">
        <v>67</v>
      </c>
      <c r="D7138" t="s">
        <v>67</v>
      </c>
      <c r="E7138" t="s">
        <v>67</v>
      </c>
      <c r="F7138" t="s">
        <v>27987</v>
      </c>
      <c r="G7138" s="117">
        <v>3.56</v>
      </c>
    </row>
    <row r="7139" spans="1:7" x14ac:dyDescent="0.25">
      <c r="A7139" s="116" t="s">
        <v>11424</v>
      </c>
      <c r="B7139" s="117" t="s">
        <v>11425</v>
      </c>
      <c r="C7139" t="s">
        <v>67</v>
      </c>
      <c r="D7139" t="s">
        <v>67</v>
      </c>
      <c r="E7139" t="s">
        <v>67</v>
      </c>
      <c r="F7139" t="s">
        <v>49</v>
      </c>
      <c r="G7139" s="117">
        <v>9.6999999999999993</v>
      </c>
    </row>
    <row r="7140" spans="1:7" x14ac:dyDescent="0.25">
      <c r="A7140" s="116" t="s">
        <v>11426</v>
      </c>
      <c r="B7140" s="117" t="s">
        <v>11427</v>
      </c>
      <c r="C7140" t="s">
        <v>67</v>
      </c>
      <c r="D7140" t="s">
        <v>67</v>
      </c>
      <c r="E7140" t="s">
        <v>67</v>
      </c>
      <c r="F7140" t="s">
        <v>27987</v>
      </c>
      <c r="G7140" s="117">
        <v>60.42</v>
      </c>
    </row>
    <row r="7141" spans="1:7" x14ac:dyDescent="0.25">
      <c r="A7141" s="116" t="s">
        <v>11428</v>
      </c>
      <c r="B7141" s="117" t="s">
        <v>11429</v>
      </c>
      <c r="C7141" t="s">
        <v>67</v>
      </c>
      <c r="D7141" t="s">
        <v>67</v>
      </c>
      <c r="E7141" t="s">
        <v>67</v>
      </c>
      <c r="F7141" t="s">
        <v>45</v>
      </c>
      <c r="G7141" s="117">
        <v>55.98</v>
      </c>
    </row>
    <row r="7142" spans="1:7" x14ac:dyDescent="0.25">
      <c r="A7142" s="116" t="s">
        <v>11430</v>
      </c>
      <c r="B7142" s="117" t="s">
        <v>11431</v>
      </c>
      <c r="C7142" t="s">
        <v>67</v>
      </c>
      <c r="D7142" t="s">
        <v>67</v>
      </c>
      <c r="E7142" t="s">
        <v>67</v>
      </c>
      <c r="F7142" t="s">
        <v>27987</v>
      </c>
      <c r="G7142" s="117">
        <v>255.3</v>
      </c>
    </row>
    <row r="7143" spans="1:7" x14ac:dyDescent="0.25">
      <c r="A7143" s="116" t="s">
        <v>11432</v>
      </c>
      <c r="B7143" s="117" t="s">
        <v>11433</v>
      </c>
      <c r="C7143" t="s">
        <v>67</v>
      </c>
      <c r="D7143" t="s">
        <v>67</v>
      </c>
      <c r="E7143" t="s">
        <v>67</v>
      </c>
      <c r="F7143" t="s">
        <v>27987</v>
      </c>
      <c r="G7143" s="117">
        <v>189.08</v>
      </c>
    </row>
    <row r="7144" spans="1:7" x14ac:dyDescent="0.25">
      <c r="A7144" s="116" t="s">
        <v>11434</v>
      </c>
      <c r="B7144" s="117" t="s">
        <v>11435</v>
      </c>
      <c r="C7144" t="s">
        <v>67</v>
      </c>
      <c r="D7144" t="s">
        <v>67</v>
      </c>
      <c r="E7144" t="s">
        <v>67</v>
      </c>
      <c r="F7144" t="s">
        <v>45</v>
      </c>
      <c r="G7144" s="117">
        <v>139.26</v>
      </c>
    </row>
    <row r="7145" spans="1:7" x14ac:dyDescent="0.25">
      <c r="A7145" s="116" t="s">
        <v>11436</v>
      </c>
      <c r="B7145" s="117" t="s">
        <v>11437</v>
      </c>
      <c r="C7145" t="s">
        <v>67</v>
      </c>
      <c r="D7145" t="s">
        <v>67</v>
      </c>
      <c r="E7145" t="s">
        <v>67</v>
      </c>
      <c r="F7145" t="s">
        <v>27987</v>
      </c>
      <c r="G7145" s="117">
        <v>14.14</v>
      </c>
    </row>
    <row r="7146" spans="1:7" x14ac:dyDescent="0.25">
      <c r="A7146" s="116" t="s">
        <v>11438</v>
      </c>
      <c r="B7146" s="117" t="s">
        <v>11439</v>
      </c>
      <c r="C7146" t="s">
        <v>67</v>
      </c>
      <c r="D7146" t="s">
        <v>67</v>
      </c>
      <c r="E7146" t="s">
        <v>67</v>
      </c>
      <c r="F7146" t="s">
        <v>45</v>
      </c>
      <c r="G7146" s="117">
        <v>24.82</v>
      </c>
    </row>
    <row r="7147" spans="1:7" x14ac:dyDescent="0.25">
      <c r="A7147" s="116" t="s">
        <v>11440</v>
      </c>
      <c r="B7147" s="117" t="s">
        <v>11441</v>
      </c>
      <c r="C7147" t="s">
        <v>67</v>
      </c>
      <c r="D7147" t="s">
        <v>67</v>
      </c>
      <c r="E7147" t="s">
        <v>67</v>
      </c>
      <c r="F7147" t="s">
        <v>27987</v>
      </c>
      <c r="G7147" s="117">
        <v>8.4499999999999993</v>
      </c>
    </row>
    <row r="7148" spans="1:7" x14ac:dyDescent="0.25">
      <c r="A7148" s="116" t="s">
        <v>11442</v>
      </c>
      <c r="B7148" s="117" t="s">
        <v>11443</v>
      </c>
      <c r="C7148" t="s">
        <v>67</v>
      </c>
      <c r="D7148" t="s">
        <v>67</v>
      </c>
      <c r="E7148" t="s">
        <v>67</v>
      </c>
      <c r="F7148" t="s">
        <v>27987</v>
      </c>
      <c r="G7148" s="117">
        <v>37.82</v>
      </c>
    </row>
    <row r="7149" spans="1:7" x14ac:dyDescent="0.25">
      <c r="A7149" s="116" t="s">
        <v>11444</v>
      </c>
      <c r="B7149" s="117" t="s">
        <v>11445</v>
      </c>
      <c r="C7149" t="s">
        <v>67</v>
      </c>
      <c r="D7149" t="s">
        <v>67</v>
      </c>
      <c r="E7149" t="s">
        <v>67</v>
      </c>
      <c r="F7149" t="s">
        <v>27987</v>
      </c>
      <c r="G7149" s="117">
        <v>16.82</v>
      </c>
    </row>
    <row r="7150" spans="1:7" x14ac:dyDescent="0.25">
      <c r="A7150" s="116" t="s">
        <v>11446</v>
      </c>
      <c r="B7150" s="117" t="s">
        <v>11447</v>
      </c>
      <c r="C7150" t="s">
        <v>67</v>
      </c>
      <c r="D7150" t="s">
        <v>67</v>
      </c>
      <c r="E7150" t="s">
        <v>67</v>
      </c>
      <c r="F7150" t="s">
        <v>27987</v>
      </c>
      <c r="G7150" s="117">
        <v>79.11</v>
      </c>
    </row>
    <row r="7151" spans="1:7" x14ac:dyDescent="0.25">
      <c r="A7151" s="116" t="s">
        <v>11448</v>
      </c>
      <c r="B7151" s="117" t="s">
        <v>11449</v>
      </c>
      <c r="C7151" t="s">
        <v>67</v>
      </c>
      <c r="D7151" t="s">
        <v>67</v>
      </c>
      <c r="E7151" t="s">
        <v>67</v>
      </c>
      <c r="F7151" t="s">
        <v>45</v>
      </c>
      <c r="G7151" s="117">
        <v>175.74</v>
      </c>
    </row>
    <row r="7152" spans="1:7" x14ac:dyDescent="0.25">
      <c r="A7152" s="116" t="s">
        <v>11450</v>
      </c>
      <c r="B7152" s="117" t="s">
        <v>11451</v>
      </c>
      <c r="C7152" t="s">
        <v>67</v>
      </c>
      <c r="D7152" t="s">
        <v>67</v>
      </c>
      <c r="E7152" t="s">
        <v>67</v>
      </c>
      <c r="F7152" t="s">
        <v>27987</v>
      </c>
      <c r="G7152" s="117">
        <v>14.14</v>
      </c>
    </row>
    <row r="7153" spans="1:7" x14ac:dyDescent="0.25">
      <c r="A7153" s="116" t="s">
        <v>28907</v>
      </c>
      <c r="B7153" s="117" t="s">
        <v>28908</v>
      </c>
      <c r="C7153" t="s">
        <v>67</v>
      </c>
      <c r="D7153" t="s">
        <v>67</v>
      </c>
      <c r="E7153" t="s">
        <v>67</v>
      </c>
      <c r="F7153" t="s">
        <v>45</v>
      </c>
      <c r="G7153" s="117">
        <v>0</v>
      </c>
    </row>
    <row r="7154" spans="1:7" x14ac:dyDescent="0.25">
      <c r="A7154" s="116" t="s">
        <v>11452</v>
      </c>
      <c r="B7154" s="117" t="s">
        <v>28909</v>
      </c>
      <c r="C7154" t="s">
        <v>67</v>
      </c>
      <c r="D7154" t="s">
        <v>67</v>
      </c>
      <c r="E7154" t="s">
        <v>67</v>
      </c>
      <c r="F7154" t="s">
        <v>45</v>
      </c>
      <c r="G7154" s="117">
        <v>178.42</v>
      </c>
    </row>
    <row r="7155" spans="1:7" x14ac:dyDescent="0.25">
      <c r="A7155" s="116" t="s">
        <v>11453</v>
      </c>
      <c r="B7155" s="117" t="s">
        <v>11454</v>
      </c>
      <c r="C7155" t="s">
        <v>67</v>
      </c>
      <c r="D7155" t="s">
        <v>67</v>
      </c>
      <c r="E7155" t="s">
        <v>67</v>
      </c>
      <c r="F7155" t="s">
        <v>45</v>
      </c>
      <c r="G7155" s="117">
        <v>39.06</v>
      </c>
    </row>
    <row r="7156" spans="1:7" x14ac:dyDescent="0.25">
      <c r="A7156" s="116" t="s">
        <v>26549</v>
      </c>
      <c r="B7156" s="117" t="s">
        <v>28174</v>
      </c>
      <c r="C7156" t="s">
        <v>67</v>
      </c>
      <c r="D7156" t="s">
        <v>67</v>
      </c>
      <c r="E7156" t="s">
        <v>67</v>
      </c>
      <c r="F7156" t="s">
        <v>27987</v>
      </c>
      <c r="G7156" s="117">
        <v>46</v>
      </c>
    </row>
    <row r="7157" spans="1:7" x14ac:dyDescent="0.25">
      <c r="A7157" s="116" t="s">
        <v>11455</v>
      </c>
      <c r="B7157" s="117" t="s">
        <v>11456</v>
      </c>
      <c r="C7157" t="s">
        <v>67</v>
      </c>
      <c r="D7157" t="s">
        <v>67</v>
      </c>
      <c r="E7157" t="s">
        <v>67</v>
      </c>
      <c r="F7157" t="s">
        <v>27987</v>
      </c>
      <c r="G7157" s="117">
        <v>43.51</v>
      </c>
    </row>
    <row r="7158" spans="1:7" x14ac:dyDescent="0.25">
      <c r="A7158" s="116" t="s">
        <v>11457</v>
      </c>
      <c r="B7158" s="117" t="s">
        <v>11129</v>
      </c>
      <c r="C7158" t="s">
        <v>67</v>
      </c>
      <c r="D7158" t="s">
        <v>67</v>
      </c>
      <c r="E7158" t="s">
        <v>67</v>
      </c>
      <c r="F7158" t="s">
        <v>45</v>
      </c>
      <c r="G7158" s="117">
        <v>21.8</v>
      </c>
    </row>
    <row r="7159" spans="1:7" x14ac:dyDescent="0.25">
      <c r="A7159" s="116" t="s">
        <v>28910</v>
      </c>
      <c r="B7159" s="117" t="s">
        <v>28911</v>
      </c>
      <c r="C7159" t="s">
        <v>67</v>
      </c>
      <c r="D7159" t="s">
        <v>67</v>
      </c>
      <c r="E7159" t="s">
        <v>67</v>
      </c>
      <c r="F7159" t="s">
        <v>45</v>
      </c>
      <c r="G7159" s="117">
        <v>0</v>
      </c>
    </row>
    <row r="7160" spans="1:7" x14ac:dyDescent="0.25">
      <c r="A7160" s="116" t="s">
        <v>27037</v>
      </c>
      <c r="B7160" s="117" t="s">
        <v>27038</v>
      </c>
      <c r="C7160" t="s">
        <v>67</v>
      </c>
      <c r="D7160" t="s">
        <v>67</v>
      </c>
      <c r="E7160" t="s">
        <v>67</v>
      </c>
      <c r="F7160" t="s">
        <v>27987</v>
      </c>
      <c r="G7160" s="117">
        <v>24</v>
      </c>
    </row>
    <row r="7161" spans="1:7" x14ac:dyDescent="0.25">
      <c r="A7161" s="116" t="s">
        <v>11458</v>
      </c>
      <c r="B7161" s="117" t="s">
        <v>11459</v>
      </c>
      <c r="C7161" t="s">
        <v>67</v>
      </c>
      <c r="D7161" t="s">
        <v>67</v>
      </c>
      <c r="E7161" t="s">
        <v>67</v>
      </c>
      <c r="F7161" t="s">
        <v>27987</v>
      </c>
      <c r="G7161" s="117">
        <v>23.94</v>
      </c>
    </row>
    <row r="7162" spans="1:7" x14ac:dyDescent="0.25">
      <c r="A7162" s="116" t="s">
        <v>11460</v>
      </c>
      <c r="B7162" s="117" t="s">
        <v>11461</v>
      </c>
      <c r="C7162" t="s">
        <v>67</v>
      </c>
      <c r="D7162" t="s">
        <v>67</v>
      </c>
      <c r="E7162" t="s">
        <v>67</v>
      </c>
      <c r="F7162" t="s">
        <v>27987</v>
      </c>
      <c r="G7162" s="117">
        <v>7.02</v>
      </c>
    </row>
    <row r="7163" spans="1:7" x14ac:dyDescent="0.25">
      <c r="A7163" s="116" t="s">
        <v>11462</v>
      </c>
      <c r="B7163" s="117" t="s">
        <v>11463</v>
      </c>
      <c r="C7163" t="s">
        <v>67</v>
      </c>
      <c r="D7163" t="s">
        <v>67</v>
      </c>
      <c r="E7163" t="s">
        <v>67</v>
      </c>
      <c r="F7163" t="s">
        <v>27987</v>
      </c>
      <c r="G7163" s="117">
        <v>61.31</v>
      </c>
    </row>
    <row r="7164" spans="1:7" x14ac:dyDescent="0.25">
      <c r="A7164" s="116" t="s">
        <v>11464</v>
      </c>
      <c r="B7164" s="117" t="s">
        <v>11465</v>
      </c>
      <c r="C7164" t="s">
        <v>67</v>
      </c>
      <c r="D7164" t="s">
        <v>67</v>
      </c>
      <c r="E7164" t="s">
        <v>67</v>
      </c>
      <c r="F7164" t="s">
        <v>49</v>
      </c>
      <c r="G7164" s="117">
        <v>3.12</v>
      </c>
    </row>
    <row r="7165" spans="1:7" x14ac:dyDescent="0.25">
      <c r="A7165" s="116" t="s">
        <v>11466</v>
      </c>
      <c r="B7165" s="117" t="s">
        <v>2881</v>
      </c>
      <c r="C7165" t="s">
        <v>67</v>
      </c>
      <c r="D7165" t="s">
        <v>67</v>
      </c>
      <c r="E7165" t="s">
        <v>67</v>
      </c>
      <c r="F7165" t="s">
        <v>27987</v>
      </c>
      <c r="G7165" s="117">
        <v>34.26</v>
      </c>
    </row>
    <row r="7166" spans="1:7" x14ac:dyDescent="0.25">
      <c r="A7166" s="116" t="s">
        <v>11467</v>
      </c>
      <c r="B7166" s="117" t="s">
        <v>11468</v>
      </c>
      <c r="C7166" t="s">
        <v>67</v>
      </c>
      <c r="D7166" t="s">
        <v>67</v>
      </c>
      <c r="E7166" t="s">
        <v>67</v>
      </c>
      <c r="F7166" t="s">
        <v>27987</v>
      </c>
      <c r="G7166" s="117">
        <v>100.46</v>
      </c>
    </row>
    <row r="7167" spans="1:7" x14ac:dyDescent="0.25">
      <c r="A7167" s="116" t="s">
        <v>11469</v>
      </c>
      <c r="B7167" s="117" t="s">
        <v>11470</v>
      </c>
      <c r="C7167" t="s">
        <v>67</v>
      </c>
      <c r="D7167" t="s">
        <v>67</v>
      </c>
      <c r="E7167" t="s">
        <v>67</v>
      </c>
      <c r="F7167" t="s">
        <v>49</v>
      </c>
      <c r="G7167" s="117">
        <v>2.58</v>
      </c>
    </row>
    <row r="7168" spans="1:7" x14ac:dyDescent="0.25">
      <c r="A7168" s="116" t="s">
        <v>11471</v>
      </c>
      <c r="B7168" s="117" t="s">
        <v>11472</v>
      </c>
      <c r="C7168" t="s">
        <v>67</v>
      </c>
      <c r="D7168" t="s">
        <v>67</v>
      </c>
      <c r="E7168" t="s">
        <v>67</v>
      </c>
      <c r="F7168" t="s">
        <v>27987</v>
      </c>
      <c r="G7168" s="117">
        <v>62.2</v>
      </c>
    </row>
    <row r="7169" spans="1:7" x14ac:dyDescent="0.25">
      <c r="A7169" s="116" t="s">
        <v>11473</v>
      </c>
      <c r="B7169" s="117" t="s">
        <v>11474</v>
      </c>
      <c r="C7169" t="s">
        <v>67</v>
      </c>
      <c r="D7169" t="s">
        <v>67</v>
      </c>
      <c r="E7169" t="s">
        <v>67</v>
      </c>
      <c r="F7169" t="s">
        <v>27987</v>
      </c>
      <c r="G7169" s="117">
        <v>26.25</v>
      </c>
    </row>
    <row r="7170" spans="1:7" x14ac:dyDescent="0.25">
      <c r="A7170" s="116" t="s">
        <v>11475</v>
      </c>
      <c r="B7170" s="117" t="s">
        <v>11476</v>
      </c>
      <c r="C7170" t="s">
        <v>67</v>
      </c>
      <c r="D7170" t="s">
        <v>67</v>
      </c>
      <c r="E7170" t="s">
        <v>67</v>
      </c>
      <c r="F7170" t="s">
        <v>27987</v>
      </c>
      <c r="G7170" s="117">
        <v>383.07</v>
      </c>
    </row>
    <row r="7171" spans="1:7" x14ac:dyDescent="0.25">
      <c r="A7171" s="116" t="s">
        <v>11477</v>
      </c>
      <c r="B7171" s="117" t="s">
        <v>11478</v>
      </c>
      <c r="C7171" t="s">
        <v>67</v>
      </c>
      <c r="D7171" t="s">
        <v>67</v>
      </c>
      <c r="E7171" t="s">
        <v>67</v>
      </c>
      <c r="F7171" t="s">
        <v>27987</v>
      </c>
      <c r="G7171" s="117">
        <v>14.14</v>
      </c>
    </row>
    <row r="7172" spans="1:7" x14ac:dyDescent="0.25">
      <c r="A7172" s="116" t="s">
        <v>11479</v>
      </c>
      <c r="B7172" s="117" t="s">
        <v>11480</v>
      </c>
      <c r="C7172" t="s">
        <v>67</v>
      </c>
      <c r="D7172" t="s">
        <v>67</v>
      </c>
      <c r="E7172" t="s">
        <v>67</v>
      </c>
      <c r="F7172" t="s">
        <v>45</v>
      </c>
      <c r="G7172" s="117">
        <v>165.42</v>
      </c>
    </row>
    <row r="7173" spans="1:7" x14ac:dyDescent="0.25">
      <c r="A7173" s="116" t="s">
        <v>11481</v>
      </c>
      <c r="B7173" s="117" t="s">
        <v>11482</v>
      </c>
      <c r="C7173" t="s">
        <v>67</v>
      </c>
      <c r="D7173" t="s">
        <v>67</v>
      </c>
      <c r="E7173" t="s">
        <v>67</v>
      </c>
      <c r="F7173" t="s">
        <v>27987</v>
      </c>
      <c r="G7173" s="117">
        <v>72.52</v>
      </c>
    </row>
    <row r="7174" spans="1:7" x14ac:dyDescent="0.25">
      <c r="A7174" s="116" t="s">
        <v>11483</v>
      </c>
      <c r="B7174" s="117" t="s">
        <v>11484</v>
      </c>
      <c r="C7174" t="s">
        <v>67</v>
      </c>
      <c r="D7174" t="s">
        <v>67</v>
      </c>
      <c r="E7174" t="s">
        <v>67</v>
      </c>
      <c r="F7174" t="s">
        <v>27987</v>
      </c>
      <c r="G7174" s="117">
        <v>109.89</v>
      </c>
    </row>
    <row r="7175" spans="1:7" x14ac:dyDescent="0.25">
      <c r="A7175" s="116" t="s">
        <v>11485</v>
      </c>
      <c r="B7175" s="117" t="s">
        <v>28912</v>
      </c>
      <c r="C7175" t="s">
        <v>67</v>
      </c>
      <c r="D7175" t="s">
        <v>67</v>
      </c>
      <c r="E7175" t="s">
        <v>67</v>
      </c>
      <c r="F7175" t="s">
        <v>27987</v>
      </c>
      <c r="G7175" s="117">
        <v>472.06</v>
      </c>
    </row>
    <row r="7176" spans="1:7" x14ac:dyDescent="0.25">
      <c r="A7176" s="116" t="s">
        <v>11486</v>
      </c>
      <c r="B7176" s="117" t="s">
        <v>11487</v>
      </c>
      <c r="C7176" t="s">
        <v>67</v>
      </c>
      <c r="D7176" t="s">
        <v>67</v>
      </c>
      <c r="E7176" t="s">
        <v>67</v>
      </c>
      <c r="F7176" t="s">
        <v>27987</v>
      </c>
      <c r="G7176" s="117">
        <v>51.17</v>
      </c>
    </row>
    <row r="7177" spans="1:7" x14ac:dyDescent="0.25">
      <c r="A7177" s="116" t="s">
        <v>11488</v>
      </c>
      <c r="B7177" s="117" t="s">
        <v>11489</v>
      </c>
      <c r="C7177" t="s">
        <v>67</v>
      </c>
      <c r="D7177" t="s">
        <v>67</v>
      </c>
      <c r="E7177" t="s">
        <v>67</v>
      </c>
      <c r="F7177" t="s">
        <v>27987</v>
      </c>
      <c r="G7177" s="117">
        <v>67.540000000000006</v>
      </c>
    </row>
    <row r="7178" spans="1:7" x14ac:dyDescent="0.25">
      <c r="A7178" s="116" t="s">
        <v>11490</v>
      </c>
      <c r="B7178" s="117" t="s">
        <v>11491</v>
      </c>
      <c r="C7178" t="s">
        <v>67</v>
      </c>
      <c r="D7178" t="s">
        <v>67</v>
      </c>
      <c r="E7178" t="s">
        <v>67</v>
      </c>
      <c r="F7178" t="s">
        <v>27987</v>
      </c>
      <c r="G7178" s="117">
        <v>17.7</v>
      </c>
    </row>
    <row r="7179" spans="1:7" x14ac:dyDescent="0.25">
      <c r="A7179" s="116" t="s">
        <v>11492</v>
      </c>
      <c r="B7179" s="117" t="s">
        <v>11493</v>
      </c>
      <c r="C7179" t="s">
        <v>67</v>
      </c>
      <c r="D7179" t="s">
        <v>67</v>
      </c>
      <c r="E7179" t="s">
        <v>67</v>
      </c>
      <c r="F7179" t="s">
        <v>27987</v>
      </c>
      <c r="G7179" s="117">
        <v>43.16</v>
      </c>
    </row>
    <row r="7180" spans="1:7" x14ac:dyDescent="0.25">
      <c r="A7180" s="116" t="s">
        <v>11494</v>
      </c>
      <c r="B7180" s="117" t="s">
        <v>11495</v>
      </c>
      <c r="C7180" t="s">
        <v>67</v>
      </c>
      <c r="D7180" t="s">
        <v>67</v>
      </c>
      <c r="E7180" t="s">
        <v>67</v>
      </c>
      <c r="F7180" t="s">
        <v>45</v>
      </c>
      <c r="G7180" s="117">
        <v>68.430000000000007</v>
      </c>
    </row>
    <row r="7181" spans="1:7" x14ac:dyDescent="0.25">
      <c r="A7181" s="116" t="s">
        <v>11496</v>
      </c>
      <c r="B7181" s="117" t="s">
        <v>11497</v>
      </c>
      <c r="C7181" t="s">
        <v>67</v>
      </c>
      <c r="D7181" t="s">
        <v>67</v>
      </c>
      <c r="E7181" t="s">
        <v>67</v>
      </c>
      <c r="F7181" t="s">
        <v>27987</v>
      </c>
      <c r="G7181" s="117">
        <v>66.64</v>
      </c>
    </row>
    <row r="7182" spans="1:7" x14ac:dyDescent="0.25">
      <c r="A7182" s="116" t="s">
        <v>11498</v>
      </c>
      <c r="B7182" s="117" t="s">
        <v>11499</v>
      </c>
      <c r="C7182" t="s">
        <v>67</v>
      </c>
      <c r="D7182" t="s">
        <v>67</v>
      </c>
      <c r="E7182" t="s">
        <v>67</v>
      </c>
      <c r="F7182" t="s">
        <v>27987</v>
      </c>
      <c r="G7182" s="117">
        <v>72.52</v>
      </c>
    </row>
    <row r="7183" spans="1:7" x14ac:dyDescent="0.25">
      <c r="A7183" s="116" t="s">
        <v>11500</v>
      </c>
      <c r="B7183" s="117" t="s">
        <v>11501</v>
      </c>
      <c r="C7183" t="s">
        <v>67</v>
      </c>
      <c r="D7183" t="s">
        <v>67</v>
      </c>
      <c r="E7183" t="s">
        <v>67</v>
      </c>
      <c r="F7183" t="s">
        <v>27987</v>
      </c>
      <c r="G7183" s="117">
        <v>165.42</v>
      </c>
    </row>
    <row r="7184" spans="1:7" x14ac:dyDescent="0.25">
      <c r="A7184" s="116" t="s">
        <v>11502</v>
      </c>
      <c r="B7184" s="117" t="s">
        <v>28913</v>
      </c>
      <c r="C7184" t="s">
        <v>67</v>
      </c>
      <c r="D7184" t="s">
        <v>67</v>
      </c>
      <c r="E7184" t="s">
        <v>67</v>
      </c>
      <c r="F7184" t="s">
        <v>27987</v>
      </c>
      <c r="G7184" s="117">
        <v>212.58</v>
      </c>
    </row>
    <row r="7185" spans="1:7" x14ac:dyDescent="0.25">
      <c r="A7185" s="116" t="s">
        <v>11503</v>
      </c>
      <c r="B7185" s="117" t="s">
        <v>8697</v>
      </c>
      <c r="C7185" t="s">
        <v>67</v>
      </c>
      <c r="D7185" t="s">
        <v>67</v>
      </c>
      <c r="E7185" t="s">
        <v>67</v>
      </c>
      <c r="F7185" t="s">
        <v>27987</v>
      </c>
      <c r="G7185" s="117">
        <v>15.04</v>
      </c>
    </row>
    <row r="7186" spans="1:7" x14ac:dyDescent="0.25">
      <c r="A7186" s="116" t="s">
        <v>11504</v>
      </c>
      <c r="B7186" s="117" t="s">
        <v>11505</v>
      </c>
      <c r="C7186" t="s">
        <v>67</v>
      </c>
      <c r="D7186" t="s">
        <v>67</v>
      </c>
      <c r="E7186" t="s">
        <v>67</v>
      </c>
      <c r="F7186" t="s">
        <v>49</v>
      </c>
      <c r="G7186" s="117">
        <v>15.57</v>
      </c>
    </row>
    <row r="7187" spans="1:7" x14ac:dyDescent="0.25">
      <c r="A7187" s="116" t="s">
        <v>11506</v>
      </c>
      <c r="B7187" s="117" t="s">
        <v>8561</v>
      </c>
      <c r="C7187" t="s">
        <v>67</v>
      </c>
      <c r="D7187" t="s">
        <v>67</v>
      </c>
      <c r="E7187" t="s">
        <v>67</v>
      </c>
      <c r="F7187" t="s">
        <v>49</v>
      </c>
      <c r="G7187" s="117">
        <v>8.89</v>
      </c>
    </row>
    <row r="7188" spans="1:7" x14ac:dyDescent="0.25">
      <c r="A7188" s="116" t="s">
        <v>11507</v>
      </c>
      <c r="B7188" s="117" t="s">
        <v>11508</v>
      </c>
      <c r="C7188" t="s">
        <v>67</v>
      </c>
      <c r="D7188" t="s">
        <v>67</v>
      </c>
      <c r="E7188" t="s">
        <v>67</v>
      </c>
      <c r="F7188" t="s">
        <v>49</v>
      </c>
      <c r="G7188" s="117">
        <v>17.36</v>
      </c>
    </row>
    <row r="7189" spans="1:7" x14ac:dyDescent="0.25">
      <c r="A7189" s="116" t="s">
        <v>11509</v>
      </c>
      <c r="B7189" s="117" t="s">
        <v>11510</v>
      </c>
      <c r="C7189" t="s">
        <v>67</v>
      </c>
      <c r="D7189" t="s">
        <v>67</v>
      </c>
      <c r="E7189" t="s">
        <v>67</v>
      </c>
      <c r="F7189" t="s">
        <v>49</v>
      </c>
      <c r="G7189" s="117">
        <v>3.56</v>
      </c>
    </row>
    <row r="7190" spans="1:7" x14ac:dyDescent="0.25">
      <c r="A7190" s="116" t="s">
        <v>11511</v>
      </c>
      <c r="B7190" s="117" t="s">
        <v>11512</v>
      </c>
      <c r="C7190" t="s">
        <v>67</v>
      </c>
      <c r="D7190" t="s">
        <v>67</v>
      </c>
      <c r="E7190" t="s">
        <v>67</v>
      </c>
      <c r="F7190" t="s">
        <v>45</v>
      </c>
      <c r="G7190" s="117">
        <v>2.67</v>
      </c>
    </row>
    <row r="7191" spans="1:7" x14ac:dyDescent="0.25">
      <c r="A7191" s="116" t="s">
        <v>11513</v>
      </c>
      <c r="B7191" s="117" t="s">
        <v>11129</v>
      </c>
      <c r="C7191" t="s">
        <v>67</v>
      </c>
      <c r="D7191" t="s">
        <v>67</v>
      </c>
      <c r="E7191" t="s">
        <v>67</v>
      </c>
      <c r="F7191" t="s">
        <v>27987</v>
      </c>
      <c r="G7191" s="117">
        <v>41.38</v>
      </c>
    </row>
    <row r="7192" spans="1:7" x14ac:dyDescent="0.25">
      <c r="A7192" s="116" t="s">
        <v>11514</v>
      </c>
      <c r="B7192" s="117" t="s">
        <v>11515</v>
      </c>
      <c r="C7192" t="s">
        <v>67</v>
      </c>
      <c r="D7192" t="s">
        <v>67</v>
      </c>
      <c r="E7192" t="s">
        <v>67</v>
      </c>
      <c r="F7192" t="s">
        <v>27987</v>
      </c>
      <c r="G7192" s="117">
        <v>10.58</v>
      </c>
    </row>
    <row r="7193" spans="1:7" x14ac:dyDescent="0.25">
      <c r="A7193" s="116" t="s">
        <v>11516</v>
      </c>
      <c r="B7193" s="117" t="s">
        <v>11517</v>
      </c>
      <c r="C7193" t="s">
        <v>67</v>
      </c>
      <c r="D7193" t="s">
        <v>67</v>
      </c>
      <c r="E7193" t="s">
        <v>67</v>
      </c>
      <c r="F7193" t="s">
        <v>27987</v>
      </c>
      <c r="G7193" s="117">
        <v>274.87</v>
      </c>
    </row>
    <row r="7194" spans="1:7" x14ac:dyDescent="0.25">
      <c r="A7194" s="116" t="s">
        <v>11518</v>
      </c>
      <c r="B7194" s="117" t="s">
        <v>11519</v>
      </c>
      <c r="C7194" t="s">
        <v>67</v>
      </c>
      <c r="D7194" t="s">
        <v>67</v>
      </c>
      <c r="E7194" t="s">
        <v>67</v>
      </c>
      <c r="F7194" t="s">
        <v>45</v>
      </c>
      <c r="G7194" s="117">
        <v>4.8899999999999997</v>
      </c>
    </row>
    <row r="7195" spans="1:7" x14ac:dyDescent="0.25">
      <c r="A7195" s="116" t="s">
        <v>11520</v>
      </c>
      <c r="B7195" s="117" t="s">
        <v>28914</v>
      </c>
      <c r="C7195" t="s">
        <v>67</v>
      </c>
      <c r="D7195" t="s">
        <v>67</v>
      </c>
      <c r="E7195" t="s">
        <v>67</v>
      </c>
      <c r="F7195" t="s">
        <v>27987</v>
      </c>
      <c r="G7195" s="117">
        <v>625.46</v>
      </c>
    </row>
    <row r="7196" spans="1:7" x14ac:dyDescent="0.25">
      <c r="A7196" s="116" t="s">
        <v>11521</v>
      </c>
      <c r="B7196" s="117" t="s">
        <v>11522</v>
      </c>
      <c r="C7196" t="s">
        <v>67</v>
      </c>
      <c r="D7196" t="s">
        <v>67</v>
      </c>
      <c r="E7196" t="s">
        <v>67</v>
      </c>
      <c r="F7196" t="s">
        <v>27987</v>
      </c>
      <c r="G7196" s="117">
        <v>123.6</v>
      </c>
    </row>
    <row r="7197" spans="1:7" x14ac:dyDescent="0.25">
      <c r="A7197" s="116" t="s">
        <v>11523</v>
      </c>
      <c r="B7197" s="117" t="s">
        <v>11524</v>
      </c>
      <c r="C7197" t="s">
        <v>67</v>
      </c>
      <c r="D7197" t="s">
        <v>67</v>
      </c>
      <c r="E7197" t="s">
        <v>67</v>
      </c>
      <c r="F7197" t="s">
        <v>27987</v>
      </c>
      <c r="G7197" s="117">
        <v>11.48</v>
      </c>
    </row>
    <row r="7198" spans="1:7" x14ac:dyDescent="0.25">
      <c r="A7198" s="116" t="s">
        <v>11525</v>
      </c>
      <c r="B7198" s="117" t="s">
        <v>11392</v>
      </c>
      <c r="C7198" t="s">
        <v>67</v>
      </c>
      <c r="D7198" t="s">
        <v>67</v>
      </c>
      <c r="E7198" t="s">
        <v>67</v>
      </c>
      <c r="F7198" t="s">
        <v>27987</v>
      </c>
      <c r="G7198" s="117">
        <v>71.099999999999994</v>
      </c>
    </row>
    <row r="7199" spans="1:7" x14ac:dyDescent="0.25">
      <c r="A7199" s="116" t="s">
        <v>11526</v>
      </c>
      <c r="B7199" s="117" t="s">
        <v>11527</v>
      </c>
      <c r="C7199" t="s">
        <v>67</v>
      </c>
      <c r="D7199" t="s">
        <v>67</v>
      </c>
      <c r="E7199" t="s">
        <v>67</v>
      </c>
      <c r="F7199" t="s">
        <v>27987</v>
      </c>
      <c r="G7199" s="117">
        <v>34.619999999999997</v>
      </c>
    </row>
    <row r="7200" spans="1:7" x14ac:dyDescent="0.25">
      <c r="A7200" s="116" t="s">
        <v>28915</v>
      </c>
      <c r="B7200" s="117" t="s">
        <v>28916</v>
      </c>
      <c r="C7200" t="s">
        <v>67</v>
      </c>
      <c r="D7200" t="s">
        <v>67</v>
      </c>
      <c r="E7200" t="s">
        <v>67</v>
      </c>
      <c r="F7200" t="s">
        <v>45</v>
      </c>
      <c r="G7200" s="117">
        <v>0</v>
      </c>
    </row>
    <row r="7201" spans="1:7" x14ac:dyDescent="0.25">
      <c r="A7201" s="116" t="s">
        <v>11528</v>
      </c>
      <c r="B7201" s="117" t="s">
        <v>2881</v>
      </c>
      <c r="C7201" t="s">
        <v>67</v>
      </c>
      <c r="D7201" t="s">
        <v>67</v>
      </c>
      <c r="E7201" t="s">
        <v>67</v>
      </c>
      <c r="F7201" t="s">
        <v>45</v>
      </c>
      <c r="G7201" s="117">
        <v>4.8899999999999997</v>
      </c>
    </row>
    <row r="7202" spans="1:7" x14ac:dyDescent="0.25">
      <c r="A7202" s="116" t="s">
        <v>11529</v>
      </c>
      <c r="B7202" s="117" t="s">
        <v>11530</v>
      </c>
      <c r="C7202" t="s">
        <v>67</v>
      </c>
      <c r="D7202" t="s">
        <v>67</v>
      </c>
      <c r="E7202" t="s">
        <v>67</v>
      </c>
      <c r="F7202" t="s">
        <v>27987</v>
      </c>
      <c r="G7202" s="117">
        <v>10.24</v>
      </c>
    </row>
    <row r="7203" spans="1:7" x14ac:dyDescent="0.25">
      <c r="A7203" s="116" t="s">
        <v>11531</v>
      </c>
      <c r="B7203" s="117" t="s">
        <v>11127</v>
      </c>
      <c r="C7203" t="s">
        <v>67</v>
      </c>
      <c r="D7203" t="s">
        <v>67</v>
      </c>
      <c r="E7203" t="s">
        <v>67</v>
      </c>
      <c r="F7203" t="s">
        <v>27987</v>
      </c>
      <c r="G7203" s="117">
        <v>1.77</v>
      </c>
    </row>
    <row r="7204" spans="1:7" x14ac:dyDescent="0.25">
      <c r="A7204" s="116" t="s">
        <v>11532</v>
      </c>
      <c r="B7204" s="117" t="s">
        <v>11533</v>
      </c>
      <c r="C7204" t="s">
        <v>67</v>
      </c>
      <c r="D7204" t="s">
        <v>67</v>
      </c>
      <c r="E7204" t="s">
        <v>67</v>
      </c>
      <c r="F7204" t="s">
        <v>45</v>
      </c>
      <c r="G7204" s="117">
        <v>27.14</v>
      </c>
    </row>
    <row r="7205" spans="1:7" x14ac:dyDescent="0.25">
      <c r="A7205" s="116" t="s">
        <v>11534</v>
      </c>
      <c r="B7205" s="117" t="s">
        <v>11535</v>
      </c>
      <c r="C7205" t="s">
        <v>67</v>
      </c>
      <c r="D7205" t="s">
        <v>67</v>
      </c>
      <c r="E7205" t="s">
        <v>67</v>
      </c>
      <c r="F7205" t="s">
        <v>45</v>
      </c>
      <c r="G7205" s="117">
        <v>149.4</v>
      </c>
    </row>
    <row r="7206" spans="1:7" x14ac:dyDescent="0.25">
      <c r="A7206" s="116" t="s">
        <v>11536</v>
      </c>
      <c r="B7206" s="117" t="s">
        <v>28867</v>
      </c>
      <c r="C7206" t="s">
        <v>67</v>
      </c>
      <c r="D7206" t="s">
        <v>67</v>
      </c>
      <c r="E7206" t="s">
        <v>67</v>
      </c>
      <c r="F7206" t="s">
        <v>27987</v>
      </c>
      <c r="G7206" s="117">
        <v>125.02</v>
      </c>
    </row>
    <row r="7207" spans="1:7" x14ac:dyDescent="0.25">
      <c r="A7207" s="116" t="s">
        <v>11537</v>
      </c>
      <c r="B7207" s="117" t="s">
        <v>11538</v>
      </c>
      <c r="C7207" t="s">
        <v>67</v>
      </c>
      <c r="D7207" t="s">
        <v>67</v>
      </c>
      <c r="E7207" t="s">
        <v>67</v>
      </c>
      <c r="F7207" t="s">
        <v>45</v>
      </c>
      <c r="G7207" s="117">
        <v>160.62</v>
      </c>
    </row>
    <row r="7208" spans="1:7" x14ac:dyDescent="0.25">
      <c r="A7208" s="116" t="s">
        <v>11539</v>
      </c>
      <c r="B7208" s="117" t="s">
        <v>11392</v>
      </c>
      <c r="C7208" t="s">
        <v>67</v>
      </c>
      <c r="D7208" t="s">
        <v>67</v>
      </c>
      <c r="E7208" t="s">
        <v>67</v>
      </c>
      <c r="F7208" t="s">
        <v>27987</v>
      </c>
      <c r="G7208" s="117">
        <v>13.26</v>
      </c>
    </row>
    <row r="7209" spans="1:7" x14ac:dyDescent="0.25">
      <c r="A7209" s="116" t="s">
        <v>11540</v>
      </c>
      <c r="B7209" s="117" t="s">
        <v>28867</v>
      </c>
      <c r="C7209" t="s">
        <v>67</v>
      </c>
      <c r="D7209" t="s">
        <v>67</v>
      </c>
      <c r="E7209" t="s">
        <v>67</v>
      </c>
      <c r="F7209" t="s">
        <v>27987</v>
      </c>
      <c r="G7209" s="117">
        <v>298.89</v>
      </c>
    </row>
    <row r="7210" spans="1:7" x14ac:dyDescent="0.25">
      <c r="A7210" s="116" t="s">
        <v>11541</v>
      </c>
      <c r="B7210" s="117" t="s">
        <v>11505</v>
      </c>
      <c r="C7210" t="s">
        <v>67</v>
      </c>
      <c r="D7210" t="s">
        <v>67</v>
      </c>
      <c r="E7210" t="s">
        <v>67</v>
      </c>
      <c r="F7210" t="s">
        <v>49</v>
      </c>
      <c r="G7210" s="117">
        <v>31.06</v>
      </c>
    </row>
    <row r="7211" spans="1:7" x14ac:dyDescent="0.25">
      <c r="A7211" s="116" t="s">
        <v>11542</v>
      </c>
      <c r="B7211" s="117" t="s">
        <v>1689</v>
      </c>
      <c r="C7211" t="s">
        <v>67</v>
      </c>
      <c r="D7211" t="s">
        <v>67</v>
      </c>
      <c r="E7211" t="s">
        <v>67</v>
      </c>
      <c r="F7211" t="s">
        <v>49</v>
      </c>
      <c r="G7211" s="117">
        <v>31.58</v>
      </c>
    </row>
    <row r="7212" spans="1:7" x14ac:dyDescent="0.25">
      <c r="A7212" s="116" t="s">
        <v>11543</v>
      </c>
      <c r="B7212" s="117" t="s">
        <v>11544</v>
      </c>
      <c r="C7212" t="s">
        <v>67</v>
      </c>
      <c r="D7212" t="s">
        <v>67</v>
      </c>
      <c r="E7212" t="s">
        <v>67</v>
      </c>
      <c r="F7212" t="s">
        <v>27987</v>
      </c>
      <c r="G7212" s="117">
        <v>8.4499999999999993</v>
      </c>
    </row>
    <row r="7213" spans="1:7" x14ac:dyDescent="0.25">
      <c r="A7213" s="116" t="s">
        <v>11545</v>
      </c>
      <c r="B7213" s="117" t="s">
        <v>11546</v>
      </c>
      <c r="C7213" t="s">
        <v>67</v>
      </c>
      <c r="D7213" t="s">
        <v>67</v>
      </c>
      <c r="E7213" t="s">
        <v>67</v>
      </c>
      <c r="F7213" t="s">
        <v>45</v>
      </c>
      <c r="G7213" s="117">
        <v>9.6999999999999993</v>
      </c>
    </row>
    <row r="7214" spans="1:7" x14ac:dyDescent="0.25">
      <c r="A7214" s="116" t="s">
        <v>11547</v>
      </c>
      <c r="B7214" s="117" t="s">
        <v>11548</v>
      </c>
      <c r="C7214" t="s">
        <v>67</v>
      </c>
      <c r="D7214" t="s">
        <v>67</v>
      </c>
      <c r="E7214" t="s">
        <v>67</v>
      </c>
      <c r="F7214" t="s">
        <v>27987</v>
      </c>
      <c r="G7214" s="117">
        <v>36.93</v>
      </c>
    </row>
    <row r="7215" spans="1:7" x14ac:dyDescent="0.25">
      <c r="A7215" s="116" t="s">
        <v>11549</v>
      </c>
      <c r="B7215" s="117" t="s">
        <v>11550</v>
      </c>
      <c r="C7215" t="s">
        <v>67</v>
      </c>
      <c r="D7215" t="s">
        <v>67</v>
      </c>
      <c r="E7215" t="s">
        <v>67</v>
      </c>
      <c r="F7215" t="s">
        <v>45</v>
      </c>
      <c r="G7215" s="117">
        <v>13.8</v>
      </c>
    </row>
    <row r="7216" spans="1:7" x14ac:dyDescent="0.25">
      <c r="A7216" s="116" t="s">
        <v>11551</v>
      </c>
      <c r="B7216" s="117" t="s">
        <v>11552</v>
      </c>
      <c r="C7216" t="s">
        <v>67</v>
      </c>
      <c r="D7216" t="s">
        <v>67</v>
      </c>
      <c r="E7216" t="s">
        <v>67</v>
      </c>
      <c r="F7216" t="s">
        <v>49</v>
      </c>
      <c r="G7216" s="117">
        <v>6.68</v>
      </c>
    </row>
    <row r="7217" spans="1:7" x14ac:dyDescent="0.25">
      <c r="A7217" s="116" t="s">
        <v>11553</v>
      </c>
      <c r="B7217" s="117" t="s">
        <v>11554</v>
      </c>
      <c r="C7217" t="s">
        <v>67</v>
      </c>
      <c r="D7217" t="s">
        <v>67</v>
      </c>
      <c r="E7217" t="s">
        <v>67</v>
      </c>
      <c r="F7217" t="s">
        <v>27987</v>
      </c>
      <c r="G7217" s="117">
        <v>164.52</v>
      </c>
    </row>
    <row r="7218" spans="1:7" x14ac:dyDescent="0.25">
      <c r="A7218" s="116" t="s">
        <v>11555</v>
      </c>
      <c r="B7218" s="117" t="s">
        <v>11556</v>
      </c>
      <c r="C7218" t="s">
        <v>67</v>
      </c>
      <c r="D7218" t="s">
        <v>67</v>
      </c>
      <c r="E7218" t="s">
        <v>67</v>
      </c>
      <c r="F7218" t="s">
        <v>27987</v>
      </c>
      <c r="G7218" s="117">
        <v>5.79</v>
      </c>
    </row>
    <row r="7219" spans="1:7" x14ac:dyDescent="0.25">
      <c r="A7219" s="116" t="s">
        <v>11557</v>
      </c>
      <c r="B7219" s="117" t="s">
        <v>11558</v>
      </c>
      <c r="C7219" t="s">
        <v>67</v>
      </c>
      <c r="D7219" t="s">
        <v>67</v>
      </c>
      <c r="E7219" t="s">
        <v>67</v>
      </c>
      <c r="F7219" t="s">
        <v>27987</v>
      </c>
      <c r="G7219" s="117">
        <v>8.4499999999999993</v>
      </c>
    </row>
    <row r="7220" spans="1:7" x14ac:dyDescent="0.25">
      <c r="A7220" s="116" t="s">
        <v>11559</v>
      </c>
      <c r="B7220" s="117" t="s">
        <v>11560</v>
      </c>
      <c r="C7220" t="s">
        <v>67</v>
      </c>
      <c r="D7220" t="s">
        <v>67</v>
      </c>
      <c r="E7220" t="s">
        <v>67</v>
      </c>
      <c r="F7220" t="s">
        <v>27987</v>
      </c>
      <c r="G7220" s="117">
        <v>1.33</v>
      </c>
    </row>
    <row r="7221" spans="1:7" x14ac:dyDescent="0.25">
      <c r="A7221" s="116" t="s">
        <v>11561</v>
      </c>
      <c r="B7221" s="117" t="s">
        <v>11562</v>
      </c>
      <c r="C7221" t="s">
        <v>67</v>
      </c>
      <c r="D7221" t="s">
        <v>67</v>
      </c>
      <c r="E7221" t="s">
        <v>67</v>
      </c>
      <c r="F7221" t="s">
        <v>45</v>
      </c>
      <c r="G7221" s="117">
        <v>68.430000000000007</v>
      </c>
    </row>
    <row r="7222" spans="1:7" x14ac:dyDescent="0.25">
      <c r="A7222" s="116" t="s">
        <v>11563</v>
      </c>
      <c r="B7222" s="117" t="s">
        <v>8693</v>
      </c>
      <c r="C7222" t="s">
        <v>67</v>
      </c>
      <c r="D7222" t="s">
        <v>67</v>
      </c>
      <c r="E7222" t="s">
        <v>67</v>
      </c>
      <c r="F7222" t="s">
        <v>45</v>
      </c>
      <c r="G7222" s="117">
        <v>13.26</v>
      </c>
    </row>
    <row r="7223" spans="1:7" x14ac:dyDescent="0.25">
      <c r="A7223" s="116" t="s">
        <v>11564</v>
      </c>
      <c r="B7223" s="117" t="s">
        <v>11565</v>
      </c>
      <c r="C7223" t="s">
        <v>67</v>
      </c>
      <c r="D7223" t="s">
        <v>67</v>
      </c>
      <c r="E7223" t="s">
        <v>67</v>
      </c>
      <c r="F7223" t="s">
        <v>27987</v>
      </c>
      <c r="G7223" s="117">
        <v>71.099999999999994</v>
      </c>
    </row>
    <row r="7224" spans="1:7" x14ac:dyDescent="0.25">
      <c r="A7224" s="116" t="s">
        <v>11566</v>
      </c>
      <c r="B7224" s="117" t="s">
        <v>11567</v>
      </c>
      <c r="C7224" t="s">
        <v>67</v>
      </c>
      <c r="D7224" t="s">
        <v>67</v>
      </c>
      <c r="E7224" t="s">
        <v>67</v>
      </c>
      <c r="F7224" t="s">
        <v>45</v>
      </c>
      <c r="G7224" s="117">
        <v>112.56</v>
      </c>
    </row>
    <row r="7225" spans="1:7" x14ac:dyDescent="0.25">
      <c r="A7225" s="116" t="s">
        <v>11568</v>
      </c>
      <c r="B7225" s="117" t="s">
        <v>11569</v>
      </c>
      <c r="C7225" t="s">
        <v>67</v>
      </c>
      <c r="D7225" t="s">
        <v>67</v>
      </c>
      <c r="E7225" t="s">
        <v>67</v>
      </c>
      <c r="F7225" t="s">
        <v>27987</v>
      </c>
      <c r="G7225" s="117">
        <v>36.93</v>
      </c>
    </row>
    <row r="7226" spans="1:7" x14ac:dyDescent="0.25">
      <c r="A7226" s="116" t="s">
        <v>11570</v>
      </c>
      <c r="B7226" s="117" t="s">
        <v>11571</v>
      </c>
      <c r="C7226" t="s">
        <v>67</v>
      </c>
      <c r="D7226" t="s">
        <v>67</v>
      </c>
      <c r="E7226" t="s">
        <v>67</v>
      </c>
      <c r="F7226" t="s">
        <v>49</v>
      </c>
      <c r="G7226" s="117">
        <v>11.12</v>
      </c>
    </row>
    <row r="7227" spans="1:7" x14ac:dyDescent="0.25">
      <c r="A7227" s="116" t="s">
        <v>11572</v>
      </c>
      <c r="B7227" s="117" t="s">
        <v>11573</v>
      </c>
      <c r="C7227" t="s">
        <v>67</v>
      </c>
      <c r="D7227" t="s">
        <v>67</v>
      </c>
      <c r="E7227" t="s">
        <v>67</v>
      </c>
      <c r="F7227" t="s">
        <v>45</v>
      </c>
      <c r="G7227" s="117">
        <v>5.25</v>
      </c>
    </row>
    <row r="7228" spans="1:7" x14ac:dyDescent="0.25">
      <c r="A7228" s="116" t="s">
        <v>11574</v>
      </c>
      <c r="B7228" s="117" t="s">
        <v>10800</v>
      </c>
      <c r="C7228" t="s">
        <v>67</v>
      </c>
      <c r="D7228" t="s">
        <v>67</v>
      </c>
      <c r="E7228" t="s">
        <v>67</v>
      </c>
      <c r="F7228" t="s">
        <v>27987</v>
      </c>
      <c r="G7228" s="117">
        <v>36.39</v>
      </c>
    </row>
    <row r="7229" spans="1:7" x14ac:dyDescent="0.25">
      <c r="A7229" s="116" t="s">
        <v>11575</v>
      </c>
      <c r="B7229" s="117" t="s">
        <v>28917</v>
      </c>
      <c r="C7229" t="s">
        <v>67</v>
      </c>
      <c r="D7229" t="s">
        <v>67</v>
      </c>
      <c r="E7229" t="s">
        <v>67</v>
      </c>
      <c r="F7229" t="s">
        <v>27987</v>
      </c>
      <c r="G7229" s="117">
        <v>961.46</v>
      </c>
    </row>
    <row r="7230" spans="1:7" x14ac:dyDescent="0.25">
      <c r="A7230" s="116" t="s">
        <v>11576</v>
      </c>
      <c r="B7230" s="117" t="s">
        <v>11577</v>
      </c>
      <c r="C7230" t="s">
        <v>67</v>
      </c>
      <c r="D7230" t="s">
        <v>67</v>
      </c>
      <c r="E7230" t="s">
        <v>67</v>
      </c>
      <c r="F7230" t="s">
        <v>45</v>
      </c>
      <c r="G7230" s="117">
        <v>193</v>
      </c>
    </row>
    <row r="7231" spans="1:7" x14ac:dyDescent="0.25">
      <c r="A7231" s="116" t="s">
        <v>11578</v>
      </c>
      <c r="B7231" s="117" t="s">
        <v>11579</v>
      </c>
      <c r="C7231" t="s">
        <v>67</v>
      </c>
      <c r="D7231" t="s">
        <v>67</v>
      </c>
      <c r="E7231" t="s">
        <v>67</v>
      </c>
      <c r="F7231" t="s">
        <v>27987</v>
      </c>
      <c r="G7231" s="117">
        <v>24.82</v>
      </c>
    </row>
    <row r="7232" spans="1:7" x14ac:dyDescent="0.25">
      <c r="A7232" s="116" t="s">
        <v>11580</v>
      </c>
      <c r="B7232" s="117" t="s">
        <v>11581</v>
      </c>
      <c r="C7232" t="s">
        <v>67</v>
      </c>
      <c r="D7232" t="s">
        <v>67</v>
      </c>
      <c r="E7232" t="s">
        <v>67</v>
      </c>
      <c r="F7232" t="s">
        <v>27987</v>
      </c>
      <c r="G7232" s="117">
        <v>97.8</v>
      </c>
    </row>
    <row r="7233" spans="1:7" x14ac:dyDescent="0.25">
      <c r="A7233" s="116" t="s">
        <v>11582</v>
      </c>
      <c r="B7233" s="117" t="s">
        <v>11577</v>
      </c>
      <c r="C7233" t="s">
        <v>67</v>
      </c>
      <c r="D7233" t="s">
        <v>67</v>
      </c>
      <c r="E7233" t="s">
        <v>67</v>
      </c>
      <c r="F7233" t="s">
        <v>27987</v>
      </c>
      <c r="G7233" s="117">
        <v>96.9</v>
      </c>
    </row>
    <row r="7234" spans="1:7" x14ac:dyDescent="0.25">
      <c r="A7234" s="116" t="s">
        <v>11583</v>
      </c>
      <c r="B7234" s="117" t="s">
        <v>11584</v>
      </c>
      <c r="C7234" t="s">
        <v>67</v>
      </c>
      <c r="D7234" t="s">
        <v>67</v>
      </c>
      <c r="E7234" t="s">
        <v>67</v>
      </c>
      <c r="F7234" t="s">
        <v>27987</v>
      </c>
      <c r="G7234" s="117">
        <v>238.92</v>
      </c>
    </row>
    <row r="7235" spans="1:7" x14ac:dyDescent="0.25">
      <c r="A7235" s="116" t="s">
        <v>11585</v>
      </c>
      <c r="B7235" s="117" t="s">
        <v>11586</v>
      </c>
      <c r="C7235" t="s">
        <v>67</v>
      </c>
      <c r="D7235" t="s">
        <v>67</v>
      </c>
      <c r="E7235" t="s">
        <v>67</v>
      </c>
      <c r="F7235" t="s">
        <v>45</v>
      </c>
      <c r="G7235" s="117">
        <v>22.69</v>
      </c>
    </row>
    <row r="7236" spans="1:7" x14ac:dyDescent="0.25">
      <c r="A7236" s="116" t="s">
        <v>11587</v>
      </c>
      <c r="B7236" s="117" t="s">
        <v>11588</v>
      </c>
      <c r="C7236" t="s">
        <v>67</v>
      </c>
      <c r="D7236" t="s">
        <v>67</v>
      </c>
      <c r="E7236" t="s">
        <v>67</v>
      </c>
      <c r="F7236" t="s">
        <v>27987</v>
      </c>
      <c r="G7236" s="117">
        <v>24.82</v>
      </c>
    </row>
    <row r="7237" spans="1:7" x14ac:dyDescent="0.25">
      <c r="A7237" s="116" t="s">
        <v>11589</v>
      </c>
      <c r="B7237" s="117" t="s">
        <v>11590</v>
      </c>
      <c r="C7237" t="s">
        <v>67</v>
      </c>
      <c r="D7237" t="s">
        <v>67</v>
      </c>
      <c r="E7237" t="s">
        <v>67</v>
      </c>
      <c r="F7237" t="s">
        <v>45</v>
      </c>
      <c r="G7237" s="117">
        <v>44.05</v>
      </c>
    </row>
    <row r="7238" spans="1:7" x14ac:dyDescent="0.25">
      <c r="A7238" s="116" t="s">
        <v>11591</v>
      </c>
      <c r="B7238" s="117" t="s">
        <v>11546</v>
      </c>
      <c r="C7238" t="s">
        <v>67</v>
      </c>
      <c r="D7238" t="s">
        <v>67</v>
      </c>
      <c r="E7238" t="s">
        <v>67</v>
      </c>
      <c r="F7238" t="s">
        <v>45</v>
      </c>
      <c r="G7238" s="117">
        <v>169.51</v>
      </c>
    </row>
    <row r="7239" spans="1:7" x14ac:dyDescent="0.25">
      <c r="A7239" s="116" t="s">
        <v>11592</v>
      </c>
      <c r="B7239" s="117" t="s">
        <v>11593</v>
      </c>
      <c r="C7239" t="s">
        <v>67</v>
      </c>
      <c r="D7239" t="s">
        <v>67</v>
      </c>
      <c r="E7239" t="s">
        <v>67</v>
      </c>
      <c r="F7239" t="s">
        <v>27987</v>
      </c>
      <c r="G7239" s="117">
        <v>18.239999999999998</v>
      </c>
    </row>
    <row r="7240" spans="1:7" x14ac:dyDescent="0.25">
      <c r="A7240" s="116" t="s">
        <v>11594</v>
      </c>
      <c r="B7240" s="117" t="s">
        <v>11595</v>
      </c>
      <c r="C7240" t="s">
        <v>67</v>
      </c>
      <c r="D7240" t="s">
        <v>67</v>
      </c>
      <c r="E7240" t="s">
        <v>67</v>
      </c>
      <c r="F7240" t="s">
        <v>45</v>
      </c>
      <c r="G7240" s="117">
        <v>164.18</v>
      </c>
    </row>
    <row r="7241" spans="1:7" x14ac:dyDescent="0.25">
      <c r="A7241" s="116" t="s">
        <v>11596</v>
      </c>
      <c r="B7241" s="117" t="s">
        <v>11597</v>
      </c>
      <c r="C7241" t="s">
        <v>67</v>
      </c>
      <c r="D7241" t="s">
        <v>67</v>
      </c>
      <c r="E7241" t="s">
        <v>67</v>
      </c>
      <c r="F7241" t="s">
        <v>27987</v>
      </c>
      <c r="G7241" s="117">
        <v>81.42</v>
      </c>
    </row>
    <row r="7242" spans="1:7" x14ac:dyDescent="0.25">
      <c r="A7242" s="116" t="s">
        <v>11598</v>
      </c>
      <c r="B7242" s="117" t="s">
        <v>11599</v>
      </c>
      <c r="C7242" t="s">
        <v>67</v>
      </c>
      <c r="D7242" t="s">
        <v>67</v>
      </c>
      <c r="E7242" t="s">
        <v>67</v>
      </c>
      <c r="F7242" t="s">
        <v>45</v>
      </c>
      <c r="G7242" s="117">
        <v>63.62</v>
      </c>
    </row>
    <row r="7243" spans="1:7" x14ac:dyDescent="0.25">
      <c r="A7243" s="116" t="s">
        <v>11600</v>
      </c>
      <c r="B7243" s="117" t="s">
        <v>11601</v>
      </c>
      <c r="C7243" t="s">
        <v>67</v>
      </c>
      <c r="D7243" t="s">
        <v>67</v>
      </c>
      <c r="E7243" t="s">
        <v>67</v>
      </c>
      <c r="F7243" t="s">
        <v>27987</v>
      </c>
      <c r="G7243" s="117">
        <v>6.14</v>
      </c>
    </row>
    <row r="7244" spans="1:7" x14ac:dyDescent="0.25">
      <c r="A7244" s="116" t="s">
        <v>11602</v>
      </c>
      <c r="B7244" s="117" t="s">
        <v>11603</v>
      </c>
      <c r="C7244" t="s">
        <v>67</v>
      </c>
      <c r="D7244" t="s">
        <v>67</v>
      </c>
      <c r="E7244" t="s">
        <v>67</v>
      </c>
      <c r="F7244" t="s">
        <v>27987</v>
      </c>
      <c r="G7244" s="117">
        <v>4</v>
      </c>
    </row>
    <row r="7245" spans="1:7" x14ac:dyDescent="0.25">
      <c r="A7245" s="116" t="s">
        <v>11604</v>
      </c>
      <c r="B7245" s="117" t="s">
        <v>11605</v>
      </c>
      <c r="C7245" t="s">
        <v>67</v>
      </c>
      <c r="D7245" t="s">
        <v>67</v>
      </c>
      <c r="E7245" t="s">
        <v>67</v>
      </c>
      <c r="F7245" t="s">
        <v>27987</v>
      </c>
      <c r="G7245" s="117">
        <v>7.12</v>
      </c>
    </row>
    <row r="7246" spans="1:7" x14ac:dyDescent="0.25">
      <c r="A7246" s="116" t="s">
        <v>11606</v>
      </c>
      <c r="B7246" s="117" t="s">
        <v>11607</v>
      </c>
      <c r="C7246" t="s">
        <v>67</v>
      </c>
      <c r="D7246" t="s">
        <v>67</v>
      </c>
      <c r="E7246" t="s">
        <v>67</v>
      </c>
      <c r="F7246" t="s">
        <v>45</v>
      </c>
      <c r="G7246" s="117">
        <v>4.8899999999999997</v>
      </c>
    </row>
    <row r="7247" spans="1:7" x14ac:dyDescent="0.25">
      <c r="A7247" s="116" t="s">
        <v>11608</v>
      </c>
      <c r="B7247" s="117" t="s">
        <v>11609</v>
      </c>
      <c r="C7247" t="s">
        <v>67</v>
      </c>
      <c r="D7247" t="s">
        <v>67</v>
      </c>
      <c r="E7247" t="s">
        <v>67</v>
      </c>
      <c r="F7247" t="s">
        <v>49</v>
      </c>
      <c r="G7247" s="117">
        <v>17.7</v>
      </c>
    </row>
    <row r="7248" spans="1:7" x14ac:dyDescent="0.25">
      <c r="A7248" s="116" t="s">
        <v>11610</v>
      </c>
      <c r="B7248" s="117" t="s">
        <v>11611</v>
      </c>
      <c r="C7248" t="s">
        <v>67</v>
      </c>
      <c r="D7248" t="s">
        <v>67</v>
      </c>
      <c r="E7248" t="s">
        <v>67</v>
      </c>
      <c r="F7248" t="s">
        <v>45</v>
      </c>
      <c r="G7248" s="117">
        <v>1.33</v>
      </c>
    </row>
    <row r="7249" spans="1:7" x14ac:dyDescent="0.25">
      <c r="A7249" s="116" t="s">
        <v>11612</v>
      </c>
      <c r="B7249" s="117" t="s">
        <v>11613</v>
      </c>
      <c r="C7249" t="s">
        <v>67</v>
      </c>
      <c r="D7249" t="s">
        <v>67</v>
      </c>
      <c r="E7249" t="s">
        <v>67</v>
      </c>
      <c r="F7249" t="s">
        <v>49</v>
      </c>
      <c r="G7249" s="117">
        <v>1.69</v>
      </c>
    </row>
    <row r="7250" spans="1:7" x14ac:dyDescent="0.25">
      <c r="A7250" s="116" t="s">
        <v>11614</v>
      </c>
      <c r="B7250" s="117" t="s">
        <v>11615</v>
      </c>
      <c r="C7250" t="s">
        <v>67</v>
      </c>
      <c r="D7250" t="s">
        <v>67</v>
      </c>
      <c r="E7250" t="s">
        <v>67</v>
      </c>
      <c r="F7250" t="s">
        <v>27987</v>
      </c>
      <c r="G7250" s="117">
        <v>29.81</v>
      </c>
    </row>
    <row r="7251" spans="1:7" x14ac:dyDescent="0.25">
      <c r="A7251" s="116" t="s">
        <v>11616</v>
      </c>
      <c r="B7251" s="117" t="s">
        <v>11617</v>
      </c>
      <c r="C7251" t="s">
        <v>67</v>
      </c>
      <c r="D7251" t="s">
        <v>67</v>
      </c>
      <c r="E7251" t="s">
        <v>67</v>
      </c>
      <c r="F7251" t="s">
        <v>51</v>
      </c>
      <c r="G7251" s="117">
        <v>15.93</v>
      </c>
    </row>
    <row r="7252" spans="1:7" x14ac:dyDescent="0.25">
      <c r="A7252" s="116" t="s">
        <v>11618</v>
      </c>
      <c r="B7252" s="117" t="s">
        <v>11619</v>
      </c>
      <c r="C7252" t="s">
        <v>67</v>
      </c>
      <c r="D7252" t="s">
        <v>67</v>
      </c>
      <c r="E7252" t="s">
        <v>67</v>
      </c>
      <c r="F7252" t="s">
        <v>27987</v>
      </c>
      <c r="G7252" s="117">
        <v>402.64</v>
      </c>
    </row>
    <row r="7253" spans="1:7" x14ac:dyDescent="0.25">
      <c r="A7253" s="116" t="s">
        <v>11620</v>
      </c>
      <c r="B7253" s="117" t="s">
        <v>11621</v>
      </c>
      <c r="C7253" t="s">
        <v>67</v>
      </c>
      <c r="D7253" t="s">
        <v>67</v>
      </c>
      <c r="E7253" t="s">
        <v>67</v>
      </c>
      <c r="F7253" t="s">
        <v>27987</v>
      </c>
      <c r="G7253" s="117">
        <v>43.16</v>
      </c>
    </row>
    <row r="7254" spans="1:7" x14ac:dyDescent="0.25">
      <c r="A7254" s="116" t="s">
        <v>11622</v>
      </c>
      <c r="B7254" s="117" t="s">
        <v>1689</v>
      </c>
      <c r="C7254" t="s">
        <v>67</v>
      </c>
      <c r="D7254" t="s">
        <v>67</v>
      </c>
      <c r="E7254" t="s">
        <v>67</v>
      </c>
      <c r="F7254" t="s">
        <v>27990</v>
      </c>
      <c r="G7254" s="117">
        <v>9.35</v>
      </c>
    </row>
    <row r="7255" spans="1:7" x14ac:dyDescent="0.25">
      <c r="A7255" s="116" t="s">
        <v>11623</v>
      </c>
      <c r="B7255" s="117" t="s">
        <v>11624</v>
      </c>
      <c r="C7255" t="s">
        <v>67</v>
      </c>
      <c r="D7255" t="s">
        <v>67</v>
      </c>
      <c r="E7255" t="s">
        <v>67</v>
      </c>
      <c r="F7255" t="s">
        <v>27987</v>
      </c>
      <c r="G7255" s="117">
        <v>4.8899999999999997</v>
      </c>
    </row>
    <row r="7256" spans="1:7" x14ac:dyDescent="0.25">
      <c r="A7256" s="116" t="s">
        <v>11625</v>
      </c>
      <c r="B7256" s="117" t="s">
        <v>11626</v>
      </c>
      <c r="C7256" t="s">
        <v>67</v>
      </c>
      <c r="D7256" t="s">
        <v>67</v>
      </c>
      <c r="E7256" t="s">
        <v>67</v>
      </c>
      <c r="F7256" t="s">
        <v>27987</v>
      </c>
      <c r="G7256" s="117">
        <v>10.58</v>
      </c>
    </row>
    <row r="7257" spans="1:7" x14ac:dyDescent="0.25">
      <c r="A7257" s="116" t="s">
        <v>11627</v>
      </c>
      <c r="B7257" s="117" t="s">
        <v>11628</v>
      </c>
      <c r="C7257" t="s">
        <v>67</v>
      </c>
      <c r="D7257" t="s">
        <v>67</v>
      </c>
      <c r="E7257" t="s">
        <v>67</v>
      </c>
      <c r="F7257" t="s">
        <v>27987</v>
      </c>
      <c r="G7257" s="117">
        <v>122.36</v>
      </c>
    </row>
    <row r="7258" spans="1:7" x14ac:dyDescent="0.25">
      <c r="A7258" s="116" t="s">
        <v>11629</v>
      </c>
      <c r="B7258" s="117" t="s">
        <v>11630</v>
      </c>
      <c r="C7258" t="s">
        <v>67</v>
      </c>
      <c r="D7258" t="s">
        <v>67</v>
      </c>
      <c r="E7258" t="s">
        <v>67</v>
      </c>
      <c r="F7258" t="s">
        <v>45</v>
      </c>
      <c r="G7258" s="117">
        <v>69.86</v>
      </c>
    </row>
    <row r="7259" spans="1:7" x14ac:dyDescent="0.25">
      <c r="A7259" s="116" t="s">
        <v>11631</v>
      </c>
      <c r="B7259" s="117" t="s">
        <v>1067</v>
      </c>
      <c r="C7259" t="s">
        <v>67</v>
      </c>
      <c r="D7259" t="s">
        <v>67</v>
      </c>
      <c r="E7259" t="s">
        <v>67</v>
      </c>
      <c r="F7259" t="s">
        <v>27987</v>
      </c>
      <c r="G7259" s="117">
        <v>41.38</v>
      </c>
    </row>
    <row r="7260" spans="1:7" x14ac:dyDescent="0.25">
      <c r="A7260" s="116" t="s">
        <v>11632</v>
      </c>
      <c r="B7260" s="117" t="s">
        <v>11633</v>
      </c>
      <c r="C7260" t="s">
        <v>67</v>
      </c>
      <c r="D7260" t="s">
        <v>67</v>
      </c>
      <c r="E7260" t="s">
        <v>67</v>
      </c>
      <c r="F7260" t="s">
        <v>27987</v>
      </c>
      <c r="G7260" s="117">
        <v>4.8899999999999997</v>
      </c>
    </row>
    <row r="7261" spans="1:7" x14ac:dyDescent="0.25">
      <c r="A7261" s="116" t="s">
        <v>11634</v>
      </c>
      <c r="B7261" s="117" t="s">
        <v>28918</v>
      </c>
      <c r="C7261" t="s">
        <v>67</v>
      </c>
      <c r="D7261" t="s">
        <v>67</v>
      </c>
      <c r="E7261" t="s">
        <v>67</v>
      </c>
      <c r="F7261" t="s">
        <v>27987</v>
      </c>
      <c r="G7261" s="117">
        <v>4.78</v>
      </c>
    </row>
    <row r="7262" spans="1:7" x14ac:dyDescent="0.25">
      <c r="A7262" s="116" t="s">
        <v>11635</v>
      </c>
      <c r="B7262" s="117" t="s">
        <v>11636</v>
      </c>
      <c r="C7262" t="s">
        <v>67</v>
      </c>
      <c r="D7262" t="s">
        <v>67</v>
      </c>
      <c r="E7262" t="s">
        <v>67</v>
      </c>
      <c r="F7262" t="s">
        <v>27987</v>
      </c>
      <c r="G7262" s="117">
        <v>4.8899999999999997</v>
      </c>
    </row>
    <row r="7263" spans="1:7" x14ac:dyDescent="0.25">
      <c r="A7263" s="116" t="s">
        <v>11637</v>
      </c>
      <c r="B7263" s="117" t="s">
        <v>11638</v>
      </c>
      <c r="C7263" t="s">
        <v>67</v>
      </c>
      <c r="D7263" t="s">
        <v>67</v>
      </c>
      <c r="E7263" t="s">
        <v>67</v>
      </c>
      <c r="F7263" t="s">
        <v>27987</v>
      </c>
      <c r="G7263" s="117">
        <v>50.27</v>
      </c>
    </row>
    <row r="7264" spans="1:7" x14ac:dyDescent="0.25">
      <c r="A7264" s="116" t="s">
        <v>11639</v>
      </c>
      <c r="B7264" s="117" t="s">
        <v>11640</v>
      </c>
      <c r="C7264" t="s">
        <v>67</v>
      </c>
      <c r="D7264" t="s">
        <v>67</v>
      </c>
      <c r="E7264" t="s">
        <v>67</v>
      </c>
      <c r="F7264" t="s">
        <v>45</v>
      </c>
      <c r="G7264" s="117">
        <v>44.05</v>
      </c>
    </row>
    <row r="7265" spans="1:7" x14ac:dyDescent="0.25">
      <c r="A7265" s="116" t="s">
        <v>11641</v>
      </c>
      <c r="B7265" s="117" t="s">
        <v>11642</v>
      </c>
      <c r="C7265" t="s">
        <v>67</v>
      </c>
      <c r="D7265" t="s">
        <v>67</v>
      </c>
      <c r="E7265" t="s">
        <v>67</v>
      </c>
      <c r="F7265" t="s">
        <v>45</v>
      </c>
      <c r="G7265" s="117">
        <v>66.3</v>
      </c>
    </row>
    <row r="7266" spans="1:7" x14ac:dyDescent="0.25">
      <c r="A7266" s="116" t="s">
        <v>11643</v>
      </c>
      <c r="B7266" s="117" t="s">
        <v>8524</v>
      </c>
      <c r="C7266" t="s">
        <v>67</v>
      </c>
      <c r="D7266" t="s">
        <v>67</v>
      </c>
      <c r="E7266" t="s">
        <v>67</v>
      </c>
      <c r="F7266" t="s">
        <v>49</v>
      </c>
      <c r="G7266" s="117">
        <v>4.8899999999999997</v>
      </c>
    </row>
    <row r="7267" spans="1:7" x14ac:dyDescent="0.25">
      <c r="A7267" s="116" t="s">
        <v>11644</v>
      </c>
      <c r="B7267" s="117" t="s">
        <v>11645</v>
      </c>
      <c r="C7267" t="s">
        <v>67</v>
      </c>
      <c r="D7267" t="s">
        <v>67</v>
      </c>
      <c r="E7267" t="s">
        <v>67</v>
      </c>
      <c r="F7267" t="s">
        <v>45</v>
      </c>
      <c r="G7267" s="117">
        <v>37.29</v>
      </c>
    </row>
    <row r="7268" spans="1:7" x14ac:dyDescent="0.25">
      <c r="A7268" s="116" t="s">
        <v>11646</v>
      </c>
      <c r="B7268" s="117" t="s">
        <v>11647</v>
      </c>
      <c r="C7268" t="s">
        <v>67</v>
      </c>
      <c r="D7268" t="s">
        <v>67</v>
      </c>
      <c r="E7268" t="s">
        <v>67</v>
      </c>
      <c r="F7268" t="s">
        <v>49</v>
      </c>
      <c r="G7268" s="117">
        <v>20.25</v>
      </c>
    </row>
    <row r="7269" spans="1:7" x14ac:dyDescent="0.25">
      <c r="A7269" s="116" t="s">
        <v>11648</v>
      </c>
      <c r="B7269" s="117" t="s">
        <v>11649</v>
      </c>
      <c r="C7269" t="s">
        <v>67</v>
      </c>
      <c r="D7269" t="s">
        <v>67</v>
      </c>
      <c r="E7269" t="s">
        <v>67</v>
      </c>
      <c r="F7269" t="s">
        <v>49</v>
      </c>
      <c r="G7269" s="117">
        <v>9.35</v>
      </c>
    </row>
    <row r="7270" spans="1:7" x14ac:dyDescent="0.25">
      <c r="A7270" s="116" t="s">
        <v>11650</v>
      </c>
      <c r="B7270" s="117" t="s">
        <v>11651</v>
      </c>
      <c r="C7270" t="s">
        <v>67</v>
      </c>
      <c r="D7270" t="s">
        <v>67</v>
      </c>
      <c r="E7270" t="s">
        <v>67</v>
      </c>
      <c r="F7270" t="s">
        <v>45</v>
      </c>
      <c r="G7270" s="117">
        <v>114.35</v>
      </c>
    </row>
    <row r="7271" spans="1:7" x14ac:dyDescent="0.25">
      <c r="A7271" s="116" t="s">
        <v>11652</v>
      </c>
      <c r="B7271" s="117" t="s">
        <v>11653</v>
      </c>
      <c r="C7271" t="s">
        <v>67</v>
      </c>
      <c r="D7271" t="s">
        <v>67</v>
      </c>
      <c r="E7271" t="s">
        <v>67</v>
      </c>
      <c r="F7271" t="s">
        <v>49</v>
      </c>
      <c r="G7271" s="117">
        <v>82.97</v>
      </c>
    </row>
    <row r="7272" spans="1:7" x14ac:dyDescent="0.25">
      <c r="A7272" s="116" t="s">
        <v>11654</v>
      </c>
      <c r="B7272" s="117" t="s">
        <v>11655</v>
      </c>
      <c r="C7272" t="s">
        <v>67</v>
      </c>
      <c r="D7272" t="s">
        <v>67</v>
      </c>
      <c r="E7272" t="s">
        <v>67</v>
      </c>
      <c r="F7272" t="s">
        <v>27990</v>
      </c>
      <c r="G7272" s="117">
        <v>374.49</v>
      </c>
    </row>
    <row r="7273" spans="1:7" x14ac:dyDescent="0.25">
      <c r="A7273" s="116" t="s">
        <v>11656</v>
      </c>
      <c r="B7273" s="117" t="s">
        <v>11657</v>
      </c>
      <c r="C7273" t="s">
        <v>67</v>
      </c>
      <c r="D7273" t="s">
        <v>67</v>
      </c>
      <c r="E7273" t="s">
        <v>67</v>
      </c>
      <c r="F7273" t="s">
        <v>27987</v>
      </c>
      <c r="G7273" s="117">
        <v>556.69000000000005</v>
      </c>
    </row>
    <row r="7274" spans="1:7" x14ac:dyDescent="0.25">
      <c r="A7274" s="116" t="s">
        <v>11658</v>
      </c>
      <c r="B7274" s="117" t="s">
        <v>11659</v>
      </c>
      <c r="C7274" t="s">
        <v>67</v>
      </c>
      <c r="D7274" t="s">
        <v>67</v>
      </c>
      <c r="E7274" t="s">
        <v>67</v>
      </c>
      <c r="F7274" t="s">
        <v>49</v>
      </c>
      <c r="G7274" s="117">
        <v>60.93</v>
      </c>
    </row>
    <row r="7275" spans="1:7" x14ac:dyDescent="0.25">
      <c r="A7275" s="116" t="s">
        <v>11660</v>
      </c>
      <c r="B7275" s="117" t="s">
        <v>11661</v>
      </c>
      <c r="C7275" t="s">
        <v>67</v>
      </c>
      <c r="D7275" t="s">
        <v>67</v>
      </c>
      <c r="E7275" t="s">
        <v>67</v>
      </c>
      <c r="F7275" t="s">
        <v>49</v>
      </c>
      <c r="G7275" s="117">
        <v>33.47</v>
      </c>
    </row>
    <row r="7276" spans="1:7" x14ac:dyDescent="0.25">
      <c r="A7276" s="116" t="s">
        <v>11662</v>
      </c>
      <c r="B7276" s="117" t="s">
        <v>11663</v>
      </c>
      <c r="C7276" t="s">
        <v>67</v>
      </c>
      <c r="D7276" t="s">
        <v>67</v>
      </c>
      <c r="E7276" t="s">
        <v>67</v>
      </c>
      <c r="F7276" t="s">
        <v>49</v>
      </c>
      <c r="G7276" s="117">
        <v>43.64</v>
      </c>
    </row>
    <row r="7277" spans="1:7" x14ac:dyDescent="0.25">
      <c r="A7277" s="116" t="s">
        <v>11664</v>
      </c>
      <c r="B7277" s="117" t="s">
        <v>11665</v>
      </c>
      <c r="C7277" t="s">
        <v>67</v>
      </c>
      <c r="D7277" t="s">
        <v>67</v>
      </c>
      <c r="E7277" t="s">
        <v>67</v>
      </c>
      <c r="F7277" t="s">
        <v>27987</v>
      </c>
      <c r="G7277" s="117">
        <v>69.92</v>
      </c>
    </row>
    <row r="7278" spans="1:7" x14ac:dyDescent="0.25">
      <c r="A7278" s="116" t="s">
        <v>11666</v>
      </c>
      <c r="B7278" s="117" t="s">
        <v>11667</v>
      </c>
      <c r="C7278" t="s">
        <v>67</v>
      </c>
      <c r="D7278" t="s">
        <v>67</v>
      </c>
      <c r="E7278" t="s">
        <v>67</v>
      </c>
      <c r="F7278" t="s">
        <v>49</v>
      </c>
      <c r="G7278" s="117">
        <v>26.19</v>
      </c>
    </row>
    <row r="7279" spans="1:7" x14ac:dyDescent="0.25">
      <c r="A7279" s="116" t="s">
        <v>11668</v>
      </c>
      <c r="B7279" s="117" t="s">
        <v>11669</v>
      </c>
      <c r="C7279" t="s">
        <v>67</v>
      </c>
      <c r="D7279" t="s">
        <v>67</v>
      </c>
      <c r="E7279" t="s">
        <v>67</v>
      </c>
      <c r="F7279" t="s">
        <v>49</v>
      </c>
      <c r="G7279" s="117">
        <v>36.86</v>
      </c>
    </row>
    <row r="7280" spans="1:7" x14ac:dyDescent="0.25">
      <c r="A7280" s="116" t="s">
        <v>11670</v>
      </c>
      <c r="B7280" s="117" t="s">
        <v>2584</v>
      </c>
      <c r="C7280" t="s">
        <v>67</v>
      </c>
      <c r="D7280" t="s">
        <v>67</v>
      </c>
      <c r="E7280" t="s">
        <v>67</v>
      </c>
      <c r="F7280" t="s">
        <v>49</v>
      </c>
      <c r="G7280" s="117">
        <v>3.12</v>
      </c>
    </row>
    <row r="7281" spans="1:7" x14ac:dyDescent="0.25">
      <c r="A7281" s="116" t="s">
        <v>11671</v>
      </c>
      <c r="B7281" s="117" t="s">
        <v>11129</v>
      </c>
      <c r="C7281" t="s">
        <v>67</v>
      </c>
      <c r="D7281" t="s">
        <v>67</v>
      </c>
      <c r="E7281" t="s">
        <v>67</v>
      </c>
      <c r="F7281" t="s">
        <v>45</v>
      </c>
      <c r="G7281" s="117">
        <v>40.85</v>
      </c>
    </row>
    <row r="7282" spans="1:7" x14ac:dyDescent="0.25">
      <c r="A7282" s="116" t="s">
        <v>11672</v>
      </c>
      <c r="B7282" s="117" t="s">
        <v>11673</v>
      </c>
      <c r="C7282" t="s">
        <v>67</v>
      </c>
      <c r="D7282" t="s">
        <v>67</v>
      </c>
      <c r="E7282" t="s">
        <v>67</v>
      </c>
      <c r="F7282" t="s">
        <v>27987</v>
      </c>
      <c r="G7282" s="117">
        <v>36.04</v>
      </c>
    </row>
    <row r="7283" spans="1:7" x14ac:dyDescent="0.25">
      <c r="A7283" s="116" t="s">
        <v>11674</v>
      </c>
      <c r="B7283" s="117" t="s">
        <v>11675</v>
      </c>
      <c r="C7283" t="s">
        <v>67</v>
      </c>
      <c r="D7283" t="s">
        <v>67</v>
      </c>
      <c r="E7283" t="s">
        <v>67</v>
      </c>
      <c r="F7283" t="s">
        <v>49</v>
      </c>
      <c r="G7283" s="117">
        <v>7.02</v>
      </c>
    </row>
    <row r="7284" spans="1:7" x14ac:dyDescent="0.25">
      <c r="A7284" s="116" t="s">
        <v>11676</v>
      </c>
      <c r="B7284" s="117" t="s">
        <v>11677</v>
      </c>
      <c r="C7284" t="s">
        <v>67</v>
      </c>
      <c r="D7284" t="s">
        <v>67</v>
      </c>
      <c r="E7284" t="s">
        <v>67</v>
      </c>
      <c r="F7284" t="s">
        <v>27987</v>
      </c>
      <c r="G7284" s="117">
        <v>10.58</v>
      </c>
    </row>
    <row r="7285" spans="1:7" x14ac:dyDescent="0.25">
      <c r="A7285" s="116" t="s">
        <v>11678</v>
      </c>
      <c r="B7285" s="117" t="s">
        <v>460</v>
      </c>
      <c r="C7285" t="s">
        <v>67</v>
      </c>
      <c r="D7285" t="s">
        <v>67</v>
      </c>
      <c r="E7285" t="s">
        <v>67</v>
      </c>
      <c r="F7285" t="s">
        <v>27987</v>
      </c>
      <c r="G7285" s="117">
        <v>43.16</v>
      </c>
    </row>
    <row r="7286" spans="1:7" x14ac:dyDescent="0.25">
      <c r="A7286" s="116" t="s">
        <v>11679</v>
      </c>
      <c r="B7286" s="117" t="s">
        <v>11680</v>
      </c>
      <c r="C7286" t="s">
        <v>67</v>
      </c>
      <c r="D7286" t="s">
        <v>67</v>
      </c>
      <c r="E7286" t="s">
        <v>67</v>
      </c>
      <c r="F7286" t="s">
        <v>27987</v>
      </c>
      <c r="G7286" s="117">
        <v>176.99</v>
      </c>
    </row>
    <row r="7287" spans="1:7" x14ac:dyDescent="0.25">
      <c r="A7287" s="116" t="s">
        <v>11681</v>
      </c>
      <c r="B7287" s="117" t="s">
        <v>11682</v>
      </c>
      <c r="C7287" t="s">
        <v>67</v>
      </c>
      <c r="D7287" t="s">
        <v>67</v>
      </c>
      <c r="E7287" t="s">
        <v>67</v>
      </c>
      <c r="F7287" t="s">
        <v>27987</v>
      </c>
      <c r="G7287" s="117">
        <v>15.04</v>
      </c>
    </row>
    <row r="7288" spans="1:7" x14ac:dyDescent="0.25">
      <c r="A7288" s="116" t="s">
        <v>11683</v>
      </c>
      <c r="B7288" s="117" t="s">
        <v>11684</v>
      </c>
      <c r="C7288" t="s">
        <v>67</v>
      </c>
      <c r="D7288" t="s">
        <v>67</v>
      </c>
      <c r="E7288" t="s">
        <v>67</v>
      </c>
      <c r="F7288" t="s">
        <v>27987</v>
      </c>
      <c r="G7288" s="117">
        <v>30.7</v>
      </c>
    </row>
    <row r="7289" spans="1:7" x14ac:dyDescent="0.25">
      <c r="A7289" s="116" t="s">
        <v>11685</v>
      </c>
      <c r="B7289" s="117" t="s">
        <v>11686</v>
      </c>
      <c r="C7289" t="s">
        <v>67</v>
      </c>
      <c r="D7289" t="s">
        <v>67</v>
      </c>
      <c r="E7289" t="s">
        <v>67</v>
      </c>
      <c r="F7289" t="s">
        <v>27987</v>
      </c>
      <c r="G7289" s="117">
        <v>30.7</v>
      </c>
    </row>
    <row r="7290" spans="1:7" x14ac:dyDescent="0.25">
      <c r="A7290" s="116" t="s">
        <v>11687</v>
      </c>
      <c r="B7290" s="117" t="s">
        <v>2584</v>
      </c>
      <c r="C7290" t="s">
        <v>67</v>
      </c>
      <c r="D7290" t="s">
        <v>67</v>
      </c>
      <c r="E7290" t="s">
        <v>67</v>
      </c>
      <c r="F7290" t="s">
        <v>49</v>
      </c>
      <c r="G7290" s="117">
        <v>2.23</v>
      </c>
    </row>
    <row r="7291" spans="1:7" x14ac:dyDescent="0.25">
      <c r="A7291" s="116" t="s">
        <v>11688</v>
      </c>
      <c r="B7291" s="117" t="s">
        <v>11689</v>
      </c>
      <c r="C7291" t="s">
        <v>67</v>
      </c>
      <c r="D7291" t="s">
        <v>67</v>
      </c>
      <c r="E7291" t="s">
        <v>67</v>
      </c>
      <c r="F7291" t="s">
        <v>49</v>
      </c>
      <c r="G7291" s="117">
        <v>0.8</v>
      </c>
    </row>
    <row r="7292" spans="1:7" x14ac:dyDescent="0.25">
      <c r="A7292" s="116" t="s">
        <v>11690</v>
      </c>
      <c r="B7292" s="117" t="s">
        <v>11691</v>
      </c>
      <c r="C7292" t="s">
        <v>67</v>
      </c>
      <c r="D7292" t="s">
        <v>67</v>
      </c>
      <c r="E7292" t="s">
        <v>67</v>
      </c>
      <c r="F7292" t="s">
        <v>27987</v>
      </c>
      <c r="G7292" s="117">
        <v>68.069999999999993</v>
      </c>
    </row>
    <row r="7293" spans="1:7" x14ac:dyDescent="0.25">
      <c r="A7293" s="116" t="s">
        <v>11692</v>
      </c>
      <c r="B7293" s="117" t="s">
        <v>11693</v>
      </c>
      <c r="C7293" t="s">
        <v>67</v>
      </c>
      <c r="D7293" t="s">
        <v>67</v>
      </c>
      <c r="E7293" t="s">
        <v>67</v>
      </c>
      <c r="F7293" t="s">
        <v>27987</v>
      </c>
      <c r="G7293" s="117">
        <v>23.94</v>
      </c>
    </row>
    <row r="7294" spans="1:7" x14ac:dyDescent="0.25">
      <c r="A7294" s="116" t="s">
        <v>11694</v>
      </c>
      <c r="B7294" s="117" t="s">
        <v>11695</v>
      </c>
      <c r="C7294" t="s">
        <v>67</v>
      </c>
      <c r="D7294" t="s">
        <v>67</v>
      </c>
      <c r="E7294" t="s">
        <v>67</v>
      </c>
      <c r="F7294" t="s">
        <v>27987</v>
      </c>
      <c r="G7294" s="117">
        <v>20.38</v>
      </c>
    </row>
    <row r="7295" spans="1:7" x14ac:dyDescent="0.25">
      <c r="A7295" s="116" t="s">
        <v>11696</v>
      </c>
      <c r="B7295" s="117" t="s">
        <v>2881</v>
      </c>
      <c r="C7295" t="s">
        <v>67</v>
      </c>
      <c r="D7295" t="s">
        <v>67</v>
      </c>
      <c r="E7295" t="s">
        <v>67</v>
      </c>
      <c r="F7295" t="s">
        <v>27987</v>
      </c>
      <c r="G7295" s="117">
        <v>19.13</v>
      </c>
    </row>
    <row r="7296" spans="1:7" x14ac:dyDescent="0.25">
      <c r="A7296" s="116" t="s">
        <v>11697</v>
      </c>
      <c r="B7296" s="117" t="s">
        <v>11698</v>
      </c>
      <c r="C7296" t="s">
        <v>67</v>
      </c>
      <c r="D7296" t="s">
        <v>67</v>
      </c>
      <c r="E7296" t="s">
        <v>67</v>
      </c>
      <c r="F7296" t="s">
        <v>27987</v>
      </c>
      <c r="G7296" s="117">
        <v>78.75</v>
      </c>
    </row>
    <row r="7297" spans="1:7" x14ac:dyDescent="0.25">
      <c r="A7297" s="116" t="s">
        <v>11699</v>
      </c>
      <c r="B7297" s="117" t="s">
        <v>11700</v>
      </c>
      <c r="C7297" t="s">
        <v>67</v>
      </c>
      <c r="D7297" t="s">
        <v>67</v>
      </c>
      <c r="E7297" t="s">
        <v>67</v>
      </c>
      <c r="F7297" t="s">
        <v>27987</v>
      </c>
      <c r="G7297" s="117">
        <v>21.26</v>
      </c>
    </row>
    <row r="7298" spans="1:7" x14ac:dyDescent="0.25">
      <c r="A7298" s="116" t="s">
        <v>11701</v>
      </c>
      <c r="B7298" s="117" t="s">
        <v>2881</v>
      </c>
      <c r="C7298" t="s">
        <v>67</v>
      </c>
      <c r="D7298" t="s">
        <v>67</v>
      </c>
      <c r="E7298" t="s">
        <v>67</v>
      </c>
      <c r="F7298" t="s">
        <v>49</v>
      </c>
      <c r="G7298" s="117">
        <v>13.8</v>
      </c>
    </row>
    <row r="7299" spans="1:7" x14ac:dyDescent="0.25">
      <c r="A7299" s="116" t="s">
        <v>11702</v>
      </c>
      <c r="B7299" s="117" t="s">
        <v>11703</v>
      </c>
      <c r="C7299" t="s">
        <v>67</v>
      </c>
      <c r="D7299" t="s">
        <v>67</v>
      </c>
      <c r="E7299" t="s">
        <v>67</v>
      </c>
      <c r="F7299" t="s">
        <v>27987</v>
      </c>
      <c r="G7299" s="117">
        <v>112.02</v>
      </c>
    </row>
    <row r="7300" spans="1:7" x14ac:dyDescent="0.25">
      <c r="A7300" s="116" t="s">
        <v>11704</v>
      </c>
      <c r="B7300" s="117" t="s">
        <v>11129</v>
      </c>
      <c r="C7300" t="s">
        <v>67</v>
      </c>
      <c r="D7300" t="s">
        <v>67</v>
      </c>
      <c r="E7300" t="s">
        <v>67</v>
      </c>
      <c r="F7300" t="s">
        <v>27987</v>
      </c>
      <c r="G7300" s="117">
        <v>71.989999999999995</v>
      </c>
    </row>
    <row r="7301" spans="1:7" x14ac:dyDescent="0.25">
      <c r="A7301" s="116" t="s">
        <v>11705</v>
      </c>
      <c r="B7301" s="117" t="s">
        <v>1273</v>
      </c>
      <c r="C7301" t="s">
        <v>67</v>
      </c>
      <c r="D7301" t="s">
        <v>67</v>
      </c>
      <c r="E7301" t="s">
        <v>67</v>
      </c>
      <c r="F7301" t="s">
        <v>27990</v>
      </c>
      <c r="G7301" s="117">
        <v>475.98</v>
      </c>
    </row>
    <row r="7302" spans="1:7" x14ac:dyDescent="0.25">
      <c r="A7302" s="116" t="s">
        <v>11706</v>
      </c>
      <c r="B7302" s="117" t="s">
        <v>11707</v>
      </c>
      <c r="C7302" t="s">
        <v>67</v>
      </c>
      <c r="D7302" t="s">
        <v>67</v>
      </c>
      <c r="E7302" t="s">
        <v>67</v>
      </c>
      <c r="F7302" t="s">
        <v>27987</v>
      </c>
      <c r="G7302" s="117">
        <v>60.42</v>
      </c>
    </row>
    <row r="7303" spans="1:7" x14ac:dyDescent="0.25">
      <c r="A7303" s="116" t="s">
        <v>11708</v>
      </c>
      <c r="B7303" s="117" t="s">
        <v>10394</v>
      </c>
      <c r="C7303" t="s">
        <v>67</v>
      </c>
      <c r="D7303" t="s">
        <v>67</v>
      </c>
      <c r="E7303" t="s">
        <v>67</v>
      </c>
      <c r="F7303" t="s">
        <v>27987</v>
      </c>
      <c r="G7303" s="117">
        <v>50.63</v>
      </c>
    </row>
    <row r="7304" spans="1:7" x14ac:dyDescent="0.25">
      <c r="A7304" s="116" t="s">
        <v>11709</v>
      </c>
      <c r="B7304" s="117" t="s">
        <v>11710</v>
      </c>
      <c r="C7304" t="s">
        <v>67</v>
      </c>
      <c r="D7304" t="s">
        <v>67</v>
      </c>
      <c r="E7304" t="s">
        <v>67</v>
      </c>
      <c r="F7304" t="s">
        <v>27987</v>
      </c>
      <c r="G7304" s="117">
        <v>84.08</v>
      </c>
    </row>
    <row r="7305" spans="1:7" x14ac:dyDescent="0.25">
      <c r="A7305" s="116" t="s">
        <v>11711</v>
      </c>
      <c r="B7305" s="117" t="s">
        <v>11712</v>
      </c>
      <c r="C7305" t="s">
        <v>67</v>
      </c>
      <c r="D7305" t="s">
        <v>67</v>
      </c>
      <c r="E7305" t="s">
        <v>67</v>
      </c>
      <c r="F7305" t="s">
        <v>27987</v>
      </c>
      <c r="G7305" s="117">
        <v>37.82</v>
      </c>
    </row>
    <row r="7306" spans="1:7" x14ac:dyDescent="0.25">
      <c r="A7306" s="116" t="s">
        <v>11713</v>
      </c>
      <c r="B7306" s="117" t="s">
        <v>11714</v>
      </c>
      <c r="C7306" t="s">
        <v>67</v>
      </c>
      <c r="D7306" t="s">
        <v>67</v>
      </c>
      <c r="E7306" t="s">
        <v>67</v>
      </c>
      <c r="F7306" t="s">
        <v>49</v>
      </c>
      <c r="G7306" s="117">
        <v>61.31</v>
      </c>
    </row>
    <row r="7307" spans="1:7" x14ac:dyDescent="0.25">
      <c r="A7307" s="116" t="s">
        <v>11715</v>
      </c>
      <c r="B7307" s="117" t="s">
        <v>11716</v>
      </c>
      <c r="C7307" t="s">
        <v>67</v>
      </c>
      <c r="D7307" t="s">
        <v>67</v>
      </c>
      <c r="E7307" t="s">
        <v>67</v>
      </c>
      <c r="F7307" t="s">
        <v>45</v>
      </c>
      <c r="G7307" s="117">
        <v>110.79</v>
      </c>
    </row>
    <row r="7308" spans="1:7" x14ac:dyDescent="0.25">
      <c r="A7308" s="116" t="s">
        <v>11717</v>
      </c>
      <c r="B7308" s="117" t="s">
        <v>11718</v>
      </c>
      <c r="C7308" t="s">
        <v>67</v>
      </c>
      <c r="D7308" t="s">
        <v>67</v>
      </c>
      <c r="E7308" t="s">
        <v>67</v>
      </c>
      <c r="F7308" t="s">
        <v>45</v>
      </c>
      <c r="G7308" s="117">
        <v>31.94</v>
      </c>
    </row>
    <row r="7309" spans="1:7" x14ac:dyDescent="0.25">
      <c r="A7309" s="116" t="s">
        <v>28919</v>
      </c>
      <c r="B7309" s="117" t="s">
        <v>28920</v>
      </c>
      <c r="C7309" t="s">
        <v>67</v>
      </c>
      <c r="D7309" t="s">
        <v>67</v>
      </c>
      <c r="E7309" t="s">
        <v>67</v>
      </c>
      <c r="F7309" t="s">
        <v>45</v>
      </c>
      <c r="G7309" s="117">
        <v>0</v>
      </c>
    </row>
    <row r="7310" spans="1:7" x14ac:dyDescent="0.25">
      <c r="A7310" s="116" t="s">
        <v>11719</v>
      </c>
      <c r="B7310" s="117" t="s">
        <v>11720</v>
      </c>
      <c r="C7310" t="s">
        <v>67</v>
      </c>
      <c r="D7310" t="s">
        <v>67</v>
      </c>
      <c r="E7310" t="s">
        <v>67</v>
      </c>
      <c r="F7310" t="s">
        <v>27987</v>
      </c>
      <c r="G7310" s="117">
        <v>324.35000000000002</v>
      </c>
    </row>
    <row r="7311" spans="1:7" x14ac:dyDescent="0.25">
      <c r="A7311" s="116" t="s">
        <v>11721</v>
      </c>
      <c r="B7311" s="117" t="s">
        <v>11722</v>
      </c>
      <c r="C7311" t="s">
        <v>67</v>
      </c>
      <c r="D7311" t="s">
        <v>67</v>
      </c>
      <c r="E7311" t="s">
        <v>67</v>
      </c>
      <c r="F7311" t="s">
        <v>27987</v>
      </c>
      <c r="G7311" s="117">
        <v>316.95</v>
      </c>
    </row>
    <row r="7312" spans="1:7" x14ac:dyDescent="0.25">
      <c r="A7312" s="116" t="s">
        <v>11723</v>
      </c>
      <c r="B7312" s="117" t="s">
        <v>11724</v>
      </c>
      <c r="C7312" t="s">
        <v>67</v>
      </c>
      <c r="D7312" t="s">
        <v>67</v>
      </c>
      <c r="E7312" t="s">
        <v>67</v>
      </c>
      <c r="F7312" t="s">
        <v>27987</v>
      </c>
      <c r="G7312" s="117">
        <v>64.87</v>
      </c>
    </row>
    <row r="7313" spans="1:7" x14ac:dyDescent="0.25">
      <c r="A7313" s="116" t="s">
        <v>11725</v>
      </c>
      <c r="B7313" s="117" t="s">
        <v>11726</v>
      </c>
      <c r="C7313" t="s">
        <v>67</v>
      </c>
      <c r="D7313" t="s">
        <v>67</v>
      </c>
      <c r="E7313" t="s">
        <v>67</v>
      </c>
      <c r="F7313" t="s">
        <v>27987</v>
      </c>
      <c r="G7313" s="117">
        <v>595.74</v>
      </c>
    </row>
    <row r="7314" spans="1:7" x14ac:dyDescent="0.25">
      <c r="A7314" s="116" t="s">
        <v>11727</v>
      </c>
      <c r="B7314" s="117" t="s">
        <v>11728</v>
      </c>
      <c r="C7314" t="s">
        <v>67</v>
      </c>
      <c r="D7314" t="s">
        <v>67</v>
      </c>
      <c r="E7314" t="s">
        <v>67</v>
      </c>
      <c r="F7314" t="s">
        <v>45</v>
      </c>
      <c r="G7314" s="117">
        <v>14.68</v>
      </c>
    </row>
    <row r="7315" spans="1:7" x14ac:dyDescent="0.25">
      <c r="A7315" s="116" t="s">
        <v>11729</v>
      </c>
      <c r="B7315" s="117" t="s">
        <v>11730</v>
      </c>
      <c r="C7315" t="s">
        <v>67</v>
      </c>
      <c r="D7315" t="s">
        <v>67</v>
      </c>
      <c r="E7315" t="s">
        <v>67</v>
      </c>
      <c r="F7315" t="s">
        <v>27987</v>
      </c>
      <c r="G7315" s="117">
        <v>12.9</v>
      </c>
    </row>
    <row r="7316" spans="1:7" x14ac:dyDescent="0.25">
      <c r="A7316" s="116" t="s">
        <v>11731</v>
      </c>
      <c r="B7316" s="117" t="s">
        <v>11732</v>
      </c>
      <c r="C7316" t="s">
        <v>67</v>
      </c>
      <c r="D7316" t="s">
        <v>67</v>
      </c>
      <c r="E7316" t="s">
        <v>67</v>
      </c>
      <c r="F7316" t="s">
        <v>45</v>
      </c>
      <c r="G7316" s="117">
        <v>1.77</v>
      </c>
    </row>
    <row r="7317" spans="1:7" x14ac:dyDescent="0.25">
      <c r="A7317" s="116" t="s">
        <v>11733</v>
      </c>
      <c r="B7317" s="117" t="s">
        <v>11734</v>
      </c>
      <c r="C7317" t="s">
        <v>67</v>
      </c>
      <c r="D7317" t="s">
        <v>67</v>
      </c>
      <c r="E7317" t="s">
        <v>67</v>
      </c>
      <c r="F7317" t="s">
        <v>49</v>
      </c>
      <c r="G7317" s="117">
        <v>13.8</v>
      </c>
    </row>
    <row r="7318" spans="1:7" x14ac:dyDescent="0.25">
      <c r="A7318" s="116" t="s">
        <v>11735</v>
      </c>
      <c r="B7318" s="117" t="s">
        <v>11736</v>
      </c>
      <c r="C7318" t="s">
        <v>67</v>
      </c>
      <c r="D7318" t="s">
        <v>67</v>
      </c>
      <c r="E7318" t="s">
        <v>67</v>
      </c>
      <c r="F7318" t="s">
        <v>45</v>
      </c>
      <c r="G7318" s="117">
        <v>13.26</v>
      </c>
    </row>
    <row r="7319" spans="1:7" x14ac:dyDescent="0.25">
      <c r="A7319" s="116" t="s">
        <v>11737</v>
      </c>
      <c r="B7319" s="117" t="s">
        <v>28921</v>
      </c>
      <c r="C7319" t="s">
        <v>67</v>
      </c>
      <c r="D7319" t="s">
        <v>67</v>
      </c>
      <c r="E7319" t="s">
        <v>67</v>
      </c>
      <c r="F7319" t="s">
        <v>27987</v>
      </c>
      <c r="G7319" s="117">
        <v>60.42</v>
      </c>
    </row>
    <row r="7320" spans="1:7" x14ac:dyDescent="0.25">
      <c r="A7320" s="116" t="s">
        <v>11738</v>
      </c>
      <c r="B7320" s="117" t="s">
        <v>11739</v>
      </c>
      <c r="C7320" t="s">
        <v>67</v>
      </c>
      <c r="D7320" t="s">
        <v>67</v>
      </c>
      <c r="E7320" t="s">
        <v>67</v>
      </c>
      <c r="F7320" t="s">
        <v>45</v>
      </c>
      <c r="G7320" s="117">
        <v>3.12</v>
      </c>
    </row>
    <row r="7321" spans="1:7" x14ac:dyDescent="0.25">
      <c r="A7321" s="116" t="s">
        <v>11740</v>
      </c>
      <c r="B7321" s="117" t="s">
        <v>11741</v>
      </c>
      <c r="C7321" t="s">
        <v>67</v>
      </c>
      <c r="D7321" t="s">
        <v>67</v>
      </c>
      <c r="E7321" t="s">
        <v>67</v>
      </c>
      <c r="F7321" t="s">
        <v>45</v>
      </c>
      <c r="G7321" s="117">
        <v>8.81</v>
      </c>
    </row>
    <row r="7322" spans="1:7" x14ac:dyDescent="0.25">
      <c r="A7322" s="116" t="s">
        <v>11742</v>
      </c>
      <c r="B7322" s="117" t="s">
        <v>2881</v>
      </c>
      <c r="C7322" t="s">
        <v>67</v>
      </c>
      <c r="D7322" t="s">
        <v>67</v>
      </c>
      <c r="E7322" t="s">
        <v>67</v>
      </c>
      <c r="F7322" t="s">
        <v>27987</v>
      </c>
      <c r="G7322" s="117">
        <v>10.24</v>
      </c>
    </row>
    <row r="7323" spans="1:7" x14ac:dyDescent="0.25">
      <c r="A7323" s="116" t="s">
        <v>11743</v>
      </c>
      <c r="B7323" s="117" t="s">
        <v>11744</v>
      </c>
      <c r="C7323" t="s">
        <v>67</v>
      </c>
      <c r="D7323" t="s">
        <v>67</v>
      </c>
      <c r="E7323" t="s">
        <v>67</v>
      </c>
      <c r="F7323" t="s">
        <v>27987</v>
      </c>
      <c r="G7323" s="117">
        <v>5.79</v>
      </c>
    </row>
    <row r="7324" spans="1:7" x14ac:dyDescent="0.25">
      <c r="A7324" s="116" t="s">
        <v>11745</v>
      </c>
      <c r="B7324" s="117" t="s">
        <v>460</v>
      </c>
      <c r="C7324" t="s">
        <v>67</v>
      </c>
      <c r="D7324" t="s">
        <v>67</v>
      </c>
      <c r="E7324" t="s">
        <v>67</v>
      </c>
      <c r="F7324" t="s">
        <v>45</v>
      </c>
      <c r="G7324" s="117">
        <v>56.86</v>
      </c>
    </row>
    <row r="7325" spans="1:7" x14ac:dyDescent="0.25">
      <c r="A7325" s="116" t="s">
        <v>11746</v>
      </c>
      <c r="B7325" s="117" t="s">
        <v>11747</v>
      </c>
      <c r="C7325" t="s">
        <v>67</v>
      </c>
      <c r="D7325" t="s">
        <v>67</v>
      </c>
      <c r="E7325" t="s">
        <v>67</v>
      </c>
      <c r="F7325" t="s">
        <v>45</v>
      </c>
      <c r="G7325" s="117">
        <v>169.87</v>
      </c>
    </row>
    <row r="7326" spans="1:7" x14ac:dyDescent="0.25">
      <c r="A7326" s="116" t="s">
        <v>11748</v>
      </c>
      <c r="B7326" s="117" t="s">
        <v>11749</v>
      </c>
      <c r="C7326" t="s">
        <v>67</v>
      </c>
      <c r="D7326" t="s">
        <v>67</v>
      </c>
      <c r="E7326" t="s">
        <v>67</v>
      </c>
      <c r="F7326" t="s">
        <v>27987</v>
      </c>
      <c r="G7326" s="117">
        <v>4.8899999999999997</v>
      </c>
    </row>
    <row r="7327" spans="1:7" x14ac:dyDescent="0.25">
      <c r="A7327" s="116" t="s">
        <v>11750</v>
      </c>
      <c r="B7327" s="117" t="s">
        <v>11751</v>
      </c>
      <c r="C7327" t="s">
        <v>67</v>
      </c>
      <c r="D7327" t="s">
        <v>67</v>
      </c>
      <c r="E7327" t="s">
        <v>67</v>
      </c>
      <c r="F7327" t="s">
        <v>49</v>
      </c>
      <c r="G7327" s="117">
        <v>1.69</v>
      </c>
    </row>
    <row r="7328" spans="1:7" x14ac:dyDescent="0.25">
      <c r="A7328" s="116" t="s">
        <v>11752</v>
      </c>
      <c r="B7328" s="117" t="s">
        <v>11753</v>
      </c>
      <c r="C7328" t="s">
        <v>67</v>
      </c>
      <c r="D7328" t="s">
        <v>67</v>
      </c>
      <c r="E7328" t="s">
        <v>67</v>
      </c>
      <c r="F7328" t="s">
        <v>45</v>
      </c>
      <c r="G7328" s="117">
        <v>6.68</v>
      </c>
    </row>
    <row r="7329" spans="1:7" x14ac:dyDescent="0.25">
      <c r="A7329" s="116" t="s">
        <v>11754</v>
      </c>
      <c r="B7329" s="117" t="s">
        <v>11755</v>
      </c>
      <c r="C7329" t="s">
        <v>67</v>
      </c>
      <c r="D7329" t="s">
        <v>67</v>
      </c>
      <c r="E7329" t="s">
        <v>67</v>
      </c>
      <c r="F7329" t="s">
        <v>45</v>
      </c>
      <c r="G7329" s="117">
        <v>67.540000000000006</v>
      </c>
    </row>
    <row r="7330" spans="1:7" x14ac:dyDescent="0.25">
      <c r="A7330" s="116" t="s">
        <v>11756</v>
      </c>
      <c r="B7330" s="117" t="s">
        <v>11757</v>
      </c>
      <c r="C7330" t="s">
        <v>67</v>
      </c>
      <c r="D7330" t="s">
        <v>67</v>
      </c>
      <c r="E7330" t="s">
        <v>67</v>
      </c>
      <c r="F7330" t="s">
        <v>27987</v>
      </c>
      <c r="G7330" s="117">
        <v>56.75</v>
      </c>
    </row>
    <row r="7331" spans="1:7" x14ac:dyDescent="0.25">
      <c r="A7331" s="116" t="s">
        <v>11758</v>
      </c>
      <c r="B7331" s="117" t="s">
        <v>11759</v>
      </c>
      <c r="C7331" t="s">
        <v>67</v>
      </c>
      <c r="D7331" t="s">
        <v>67</v>
      </c>
      <c r="E7331" t="s">
        <v>67</v>
      </c>
      <c r="F7331" t="s">
        <v>45</v>
      </c>
      <c r="G7331" s="117">
        <v>63.98</v>
      </c>
    </row>
    <row r="7332" spans="1:7" x14ac:dyDescent="0.25">
      <c r="A7332" s="116" t="s">
        <v>11760</v>
      </c>
      <c r="B7332" s="117" t="s">
        <v>11761</v>
      </c>
      <c r="C7332" t="s">
        <v>67</v>
      </c>
      <c r="D7332" t="s">
        <v>67</v>
      </c>
      <c r="E7332" t="s">
        <v>67</v>
      </c>
      <c r="F7332" t="s">
        <v>27987</v>
      </c>
      <c r="G7332" s="117">
        <v>87.64</v>
      </c>
    </row>
    <row r="7333" spans="1:7" x14ac:dyDescent="0.25">
      <c r="A7333" s="116" t="s">
        <v>11762</v>
      </c>
      <c r="B7333" s="117" t="s">
        <v>11763</v>
      </c>
      <c r="C7333" t="s">
        <v>67</v>
      </c>
      <c r="D7333" t="s">
        <v>67</v>
      </c>
      <c r="E7333" t="s">
        <v>67</v>
      </c>
      <c r="F7333" t="s">
        <v>27987</v>
      </c>
      <c r="G7333" s="117">
        <v>81.42</v>
      </c>
    </row>
    <row r="7334" spans="1:7" x14ac:dyDescent="0.25">
      <c r="A7334" s="116" t="s">
        <v>11764</v>
      </c>
      <c r="B7334" s="117" t="s">
        <v>11765</v>
      </c>
      <c r="C7334" t="s">
        <v>67</v>
      </c>
      <c r="D7334" t="s">
        <v>67</v>
      </c>
      <c r="E7334" t="s">
        <v>67</v>
      </c>
      <c r="F7334" t="s">
        <v>27987</v>
      </c>
      <c r="G7334" s="117">
        <v>107.58</v>
      </c>
    </row>
    <row r="7335" spans="1:7" x14ac:dyDescent="0.25">
      <c r="A7335" s="116" t="s">
        <v>11766</v>
      </c>
      <c r="B7335" s="117" t="s">
        <v>11767</v>
      </c>
      <c r="C7335" t="s">
        <v>67</v>
      </c>
      <c r="D7335" t="s">
        <v>67</v>
      </c>
      <c r="E7335" t="s">
        <v>67</v>
      </c>
      <c r="F7335" t="s">
        <v>27987</v>
      </c>
      <c r="G7335" s="117">
        <v>37.82</v>
      </c>
    </row>
    <row r="7336" spans="1:7" x14ac:dyDescent="0.25">
      <c r="A7336" s="116" t="s">
        <v>11768</v>
      </c>
      <c r="B7336" s="117" t="s">
        <v>11769</v>
      </c>
      <c r="C7336" t="s">
        <v>67</v>
      </c>
      <c r="D7336" t="s">
        <v>67</v>
      </c>
      <c r="E7336" t="s">
        <v>67</v>
      </c>
      <c r="F7336" t="s">
        <v>27987</v>
      </c>
      <c r="G7336" s="117">
        <v>57.39</v>
      </c>
    </row>
    <row r="7337" spans="1:7" x14ac:dyDescent="0.25">
      <c r="A7337" s="116" t="s">
        <v>11770</v>
      </c>
      <c r="B7337" s="117" t="s">
        <v>11771</v>
      </c>
      <c r="C7337" t="s">
        <v>67</v>
      </c>
      <c r="D7337" t="s">
        <v>67</v>
      </c>
      <c r="E7337" t="s">
        <v>67</v>
      </c>
      <c r="F7337" t="s">
        <v>27987</v>
      </c>
      <c r="G7337" s="117">
        <v>74.66</v>
      </c>
    </row>
    <row r="7338" spans="1:7" x14ac:dyDescent="0.25">
      <c r="A7338" s="116" t="s">
        <v>11772</v>
      </c>
      <c r="B7338" s="117" t="s">
        <v>11773</v>
      </c>
      <c r="C7338" t="s">
        <v>67</v>
      </c>
      <c r="D7338" t="s">
        <v>67</v>
      </c>
      <c r="E7338" t="s">
        <v>67</v>
      </c>
      <c r="F7338" t="s">
        <v>45</v>
      </c>
      <c r="G7338" s="117">
        <v>6.68</v>
      </c>
    </row>
    <row r="7339" spans="1:7" x14ac:dyDescent="0.25">
      <c r="A7339" s="116" t="s">
        <v>11774</v>
      </c>
      <c r="B7339" s="117" t="s">
        <v>11775</v>
      </c>
      <c r="C7339" t="s">
        <v>67</v>
      </c>
      <c r="D7339" t="s">
        <v>67</v>
      </c>
      <c r="E7339" t="s">
        <v>67</v>
      </c>
      <c r="F7339" t="s">
        <v>27987</v>
      </c>
      <c r="G7339" s="117">
        <v>126.26</v>
      </c>
    </row>
    <row r="7340" spans="1:7" x14ac:dyDescent="0.25">
      <c r="A7340" s="116" t="s">
        <v>11776</v>
      </c>
      <c r="B7340" s="117" t="s">
        <v>11777</v>
      </c>
      <c r="C7340" t="s">
        <v>67</v>
      </c>
      <c r="D7340" t="s">
        <v>67</v>
      </c>
      <c r="E7340" t="s">
        <v>67</v>
      </c>
      <c r="F7340" t="s">
        <v>45</v>
      </c>
      <c r="G7340" s="117">
        <v>23.94</v>
      </c>
    </row>
    <row r="7341" spans="1:7" x14ac:dyDescent="0.25">
      <c r="A7341" s="116" t="s">
        <v>11778</v>
      </c>
      <c r="B7341" s="117" t="s">
        <v>11779</v>
      </c>
      <c r="C7341" t="s">
        <v>67</v>
      </c>
      <c r="D7341" t="s">
        <v>67</v>
      </c>
      <c r="E7341" t="s">
        <v>67</v>
      </c>
      <c r="F7341" t="s">
        <v>27987</v>
      </c>
      <c r="G7341" s="117">
        <v>29.81</v>
      </c>
    </row>
    <row r="7342" spans="1:7" x14ac:dyDescent="0.25">
      <c r="A7342" s="116" t="s">
        <v>11780</v>
      </c>
      <c r="B7342" s="117" t="s">
        <v>11781</v>
      </c>
      <c r="C7342" t="s">
        <v>67</v>
      </c>
      <c r="D7342" t="s">
        <v>67</v>
      </c>
      <c r="E7342" t="s">
        <v>67</v>
      </c>
      <c r="F7342" t="s">
        <v>27987</v>
      </c>
      <c r="G7342" s="117">
        <v>8.81</v>
      </c>
    </row>
    <row r="7343" spans="1:7" x14ac:dyDescent="0.25">
      <c r="A7343" s="116" t="s">
        <v>11782</v>
      </c>
      <c r="B7343" s="117" t="s">
        <v>11783</v>
      </c>
      <c r="C7343" t="s">
        <v>67</v>
      </c>
      <c r="D7343" t="s">
        <v>67</v>
      </c>
      <c r="E7343" t="s">
        <v>67</v>
      </c>
      <c r="F7343" t="s">
        <v>45</v>
      </c>
      <c r="G7343" s="117">
        <v>76.44</v>
      </c>
    </row>
    <row r="7344" spans="1:7" x14ac:dyDescent="0.25">
      <c r="A7344" s="116" t="s">
        <v>11784</v>
      </c>
      <c r="B7344" s="117" t="s">
        <v>11785</v>
      </c>
      <c r="C7344" t="s">
        <v>67</v>
      </c>
      <c r="D7344" t="s">
        <v>67</v>
      </c>
      <c r="E7344" t="s">
        <v>67</v>
      </c>
      <c r="F7344" t="s">
        <v>27987</v>
      </c>
      <c r="G7344" s="117">
        <v>99.57</v>
      </c>
    </row>
    <row r="7345" spans="1:7" x14ac:dyDescent="0.25">
      <c r="A7345" s="116" t="s">
        <v>11786</v>
      </c>
      <c r="B7345" s="117" t="s">
        <v>11787</v>
      </c>
      <c r="C7345" t="s">
        <v>67</v>
      </c>
      <c r="D7345" t="s">
        <v>67</v>
      </c>
      <c r="E7345" t="s">
        <v>67</v>
      </c>
      <c r="F7345" t="s">
        <v>27987</v>
      </c>
      <c r="G7345" s="117">
        <v>7.56</v>
      </c>
    </row>
    <row r="7346" spans="1:7" x14ac:dyDescent="0.25">
      <c r="A7346" s="116" t="s">
        <v>11788</v>
      </c>
      <c r="B7346" s="117" t="s">
        <v>11789</v>
      </c>
      <c r="C7346" t="s">
        <v>67</v>
      </c>
      <c r="D7346" t="s">
        <v>67</v>
      </c>
      <c r="E7346" t="s">
        <v>67</v>
      </c>
      <c r="F7346" t="s">
        <v>49</v>
      </c>
      <c r="G7346" s="117">
        <v>5.49</v>
      </c>
    </row>
    <row r="7347" spans="1:7" x14ac:dyDescent="0.25">
      <c r="A7347" s="116" t="s">
        <v>11790</v>
      </c>
      <c r="B7347" s="117" t="s">
        <v>11791</v>
      </c>
      <c r="C7347" t="s">
        <v>67</v>
      </c>
      <c r="D7347" t="s">
        <v>67</v>
      </c>
      <c r="E7347" t="s">
        <v>67</v>
      </c>
      <c r="F7347" t="s">
        <v>49</v>
      </c>
      <c r="G7347" s="117">
        <v>5.79</v>
      </c>
    </row>
    <row r="7348" spans="1:7" x14ac:dyDescent="0.25">
      <c r="A7348" s="116" t="s">
        <v>11792</v>
      </c>
      <c r="B7348" s="117" t="s">
        <v>11505</v>
      </c>
      <c r="C7348" t="s">
        <v>67</v>
      </c>
      <c r="D7348" t="s">
        <v>67</v>
      </c>
      <c r="E7348" t="s">
        <v>67</v>
      </c>
      <c r="F7348" t="s">
        <v>49</v>
      </c>
      <c r="G7348" s="117">
        <v>10.24</v>
      </c>
    </row>
    <row r="7349" spans="1:7" x14ac:dyDescent="0.25">
      <c r="A7349" s="116" t="s">
        <v>11793</v>
      </c>
      <c r="B7349" s="117" t="s">
        <v>11794</v>
      </c>
      <c r="C7349" t="s">
        <v>67</v>
      </c>
      <c r="D7349" t="s">
        <v>67</v>
      </c>
      <c r="E7349" t="s">
        <v>67</v>
      </c>
      <c r="F7349" t="s">
        <v>49</v>
      </c>
      <c r="G7349" s="117">
        <v>2.23</v>
      </c>
    </row>
    <row r="7350" spans="1:7" x14ac:dyDescent="0.25">
      <c r="A7350" s="116" t="s">
        <v>11795</v>
      </c>
      <c r="B7350" s="117" t="s">
        <v>11796</v>
      </c>
      <c r="C7350" t="s">
        <v>67</v>
      </c>
      <c r="D7350" t="s">
        <v>67</v>
      </c>
      <c r="E7350" t="s">
        <v>67</v>
      </c>
      <c r="F7350" t="s">
        <v>27987</v>
      </c>
      <c r="G7350" s="117">
        <v>20.92</v>
      </c>
    </row>
    <row r="7351" spans="1:7" x14ac:dyDescent="0.25">
      <c r="A7351" s="116" t="s">
        <v>11797</v>
      </c>
      <c r="B7351" s="117" t="s">
        <v>1689</v>
      </c>
      <c r="C7351" t="s">
        <v>67</v>
      </c>
      <c r="D7351" t="s">
        <v>67</v>
      </c>
      <c r="E7351" t="s">
        <v>67</v>
      </c>
      <c r="F7351" t="s">
        <v>27990</v>
      </c>
      <c r="G7351" s="117">
        <v>5.79</v>
      </c>
    </row>
    <row r="7352" spans="1:7" x14ac:dyDescent="0.25">
      <c r="A7352" s="116" t="s">
        <v>11798</v>
      </c>
      <c r="B7352" s="117" t="s">
        <v>11799</v>
      </c>
      <c r="C7352" t="s">
        <v>67</v>
      </c>
      <c r="D7352" t="s">
        <v>67</v>
      </c>
      <c r="E7352" t="s">
        <v>67</v>
      </c>
      <c r="F7352" t="s">
        <v>45</v>
      </c>
      <c r="G7352" s="117">
        <v>8.4499999999999993</v>
      </c>
    </row>
    <row r="7353" spans="1:7" x14ac:dyDescent="0.25">
      <c r="A7353" s="116" t="s">
        <v>11800</v>
      </c>
      <c r="B7353" s="117" t="s">
        <v>9891</v>
      </c>
      <c r="C7353" t="s">
        <v>67</v>
      </c>
      <c r="D7353" t="s">
        <v>67</v>
      </c>
      <c r="E7353" t="s">
        <v>67</v>
      </c>
      <c r="F7353" t="s">
        <v>49</v>
      </c>
      <c r="G7353" s="117">
        <v>4.3600000000000003</v>
      </c>
    </row>
    <row r="7354" spans="1:7" x14ac:dyDescent="0.25">
      <c r="A7354" s="116" t="s">
        <v>11801</v>
      </c>
      <c r="B7354" s="117" t="s">
        <v>11802</v>
      </c>
      <c r="C7354" t="s">
        <v>67</v>
      </c>
      <c r="D7354" t="s">
        <v>67</v>
      </c>
      <c r="E7354" t="s">
        <v>67</v>
      </c>
      <c r="F7354" t="s">
        <v>27987</v>
      </c>
      <c r="G7354" s="117">
        <v>12.01</v>
      </c>
    </row>
    <row r="7355" spans="1:7" x14ac:dyDescent="0.25">
      <c r="A7355" s="116" t="s">
        <v>11803</v>
      </c>
      <c r="B7355" s="117" t="s">
        <v>11804</v>
      </c>
      <c r="C7355" t="s">
        <v>67</v>
      </c>
      <c r="D7355" t="s">
        <v>67</v>
      </c>
      <c r="E7355" t="s">
        <v>67</v>
      </c>
      <c r="F7355" t="s">
        <v>27987</v>
      </c>
      <c r="G7355" s="117">
        <v>3.12</v>
      </c>
    </row>
    <row r="7356" spans="1:7" x14ac:dyDescent="0.25">
      <c r="A7356" s="116" t="s">
        <v>11805</v>
      </c>
      <c r="B7356" s="117" t="s">
        <v>11806</v>
      </c>
      <c r="C7356" t="s">
        <v>67</v>
      </c>
      <c r="D7356" t="s">
        <v>67</v>
      </c>
      <c r="E7356" t="s">
        <v>67</v>
      </c>
      <c r="F7356" t="s">
        <v>49</v>
      </c>
      <c r="G7356" s="117">
        <v>6.14</v>
      </c>
    </row>
    <row r="7357" spans="1:7" x14ac:dyDescent="0.25">
      <c r="A7357" s="116" t="s">
        <v>11807</v>
      </c>
      <c r="B7357" s="117" t="s">
        <v>11808</v>
      </c>
      <c r="C7357" t="s">
        <v>67</v>
      </c>
      <c r="D7357" t="s">
        <v>67</v>
      </c>
      <c r="E7357" t="s">
        <v>67</v>
      </c>
      <c r="F7357" t="s">
        <v>27990</v>
      </c>
      <c r="G7357" s="117">
        <v>9.35</v>
      </c>
    </row>
    <row r="7358" spans="1:7" x14ac:dyDescent="0.25">
      <c r="A7358" s="116" t="s">
        <v>11809</v>
      </c>
      <c r="B7358" s="117" t="s">
        <v>2881</v>
      </c>
      <c r="C7358" t="s">
        <v>67</v>
      </c>
      <c r="D7358" t="s">
        <v>67</v>
      </c>
      <c r="E7358" t="s">
        <v>67</v>
      </c>
      <c r="F7358" t="s">
        <v>27987</v>
      </c>
      <c r="G7358" s="117">
        <v>4.3600000000000003</v>
      </c>
    </row>
    <row r="7359" spans="1:7" x14ac:dyDescent="0.25">
      <c r="A7359" s="116" t="s">
        <v>11810</v>
      </c>
      <c r="B7359" s="117" t="s">
        <v>11691</v>
      </c>
      <c r="C7359" t="s">
        <v>67</v>
      </c>
      <c r="D7359" t="s">
        <v>67</v>
      </c>
      <c r="E7359" t="s">
        <v>67</v>
      </c>
      <c r="F7359" t="s">
        <v>27987</v>
      </c>
      <c r="G7359" s="117">
        <v>15.57</v>
      </c>
    </row>
    <row r="7360" spans="1:7" x14ac:dyDescent="0.25">
      <c r="A7360" s="116" t="s">
        <v>11811</v>
      </c>
      <c r="B7360" s="117" t="s">
        <v>6008</v>
      </c>
      <c r="C7360" t="s">
        <v>67</v>
      </c>
      <c r="D7360" t="s">
        <v>67</v>
      </c>
      <c r="E7360" t="s">
        <v>67</v>
      </c>
      <c r="F7360" t="s">
        <v>49</v>
      </c>
      <c r="G7360" s="117">
        <v>3.8</v>
      </c>
    </row>
    <row r="7361" spans="1:7" x14ac:dyDescent="0.25">
      <c r="A7361" s="116" t="s">
        <v>11812</v>
      </c>
      <c r="B7361" s="117" t="s">
        <v>11813</v>
      </c>
      <c r="C7361" t="s">
        <v>67</v>
      </c>
      <c r="D7361" t="s">
        <v>67</v>
      </c>
      <c r="E7361" t="s">
        <v>67</v>
      </c>
      <c r="F7361" t="s">
        <v>45</v>
      </c>
      <c r="G7361" s="117">
        <v>12.01</v>
      </c>
    </row>
    <row r="7362" spans="1:7" x14ac:dyDescent="0.25">
      <c r="A7362" s="116" t="s">
        <v>11814</v>
      </c>
      <c r="B7362" s="117" t="s">
        <v>11815</v>
      </c>
      <c r="C7362" t="s">
        <v>67</v>
      </c>
      <c r="D7362" t="s">
        <v>67</v>
      </c>
      <c r="E7362" t="s">
        <v>67</v>
      </c>
      <c r="F7362" t="s">
        <v>27987</v>
      </c>
      <c r="G7362" s="117">
        <v>585.05999999999995</v>
      </c>
    </row>
    <row r="7363" spans="1:7" x14ac:dyDescent="0.25">
      <c r="A7363" s="116" t="s">
        <v>11816</v>
      </c>
      <c r="B7363" s="117" t="s">
        <v>11817</v>
      </c>
      <c r="C7363" t="s">
        <v>67</v>
      </c>
      <c r="D7363" t="s">
        <v>67</v>
      </c>
      <c r="E7363" t="s">
        <v>67</v>
      </c>
      <c r="F7363" t="s">
        <v>49</v>
      </c>
      <c r="G7363" s="117">
        <v>102.77</v>
      </c>
    </row>
    <row r="7364" spans="1:7" x14ac:dyDescent="0.25">
      <c r="A7364" s="116" t="s">
        <v>11818</v>
      </c>
      <c r="B7364" s="117" t="s">
        <v>11819</v>
      </c>
      <c r="C7364" t="s">
        <v>67</v>
      </c>
      <c r="D7364" t="s">
        <v>67</v>
      </c>
      <c r="E7364" t="s">
        <v>67</v>
      </c>
      <c r="F7364" t="s">
        <v>27987</v>
      </c>
      <c r="G7364" s="117">
        <v>511.56</v>
      </c>
    </row>
    <row r="7365" spans="1:7" x14ac:dyDescent="0.25">
      <c r="A7365" s="116" t="s">
        <v>11820</v>
      </c>
      <c r="B7365" s="117" t="s">
        <v>11821</v>
      </c>
      <c r="C7365" t="s">
        <v>67</v>
      </c>
      <c r="D7365" t="s">
        <v>67</v>
      </c>
      <c r="E7365" t="s">
        <v>67</v>
      </c>
      <c r="F7365" t="s">
        <v>27987</v>
      </c>
      <c r="G7365" s="117">
        <v>62.74</v>
      </c>
    </row>
    <row r="7366" spans="1:7" x14ac:dyDescent="0.25">
      <c r="A7366" s="116" t="s">
        <v>11822</v>
      </c>
      <c r="B7366" s="117" t="s">
        <v>11823</v>
      </c>
      <c r="C7366" t="s">
        <v>67</v>
      </c>
      <c r="D7366" t="s">
        <v>67</v>
      </c>
      <c r="E7366" t="s">
        <v>67</v>
      </c>
      <c r="F7366" t="s">
        <v>27987</v>
      </c>
      <c r="G7366" s="117">
        <v>30.7</v>
      </c>
    </row>
    <row r="7367" spans="1:7" x14ac:dyDescent="0.25">
      <c r="A7367" s="116" t="s">
        <v>28084</v>
      </c>
      <c r="B7367" s="117" t="s">
        <v>28085</v>
      </c>
      <c r="C7367" t="s">
        <v>67</v>
      </c>
      <c r="D7367" t="s">
        <v>67</v>
      </c>
      <c r="E7367" t="s">
        <v>67</v>
      </c>
      <c r="F7367" t="s">
        <v>27987</v>
      </c>
      <c r="G7367" s="117">
        <v>33.81</v>
      </c>
    </row>
    <row r="7368" spans="1:7" x14ac:dyDescent="0.25">
      <c r="A7368" s="116" t="s">
        <v>11824</v>
      </c>
      <c r="B7368" s="117" t="s">
        <v>11825</v>
      </c>
      <c r="C7368" t="s">
        <v>67</v>
      </c>
      <c r="D7368" t="s">
        <v>67</v>
      </c>
      <c r="E7368" t="s">
        <v>67</v>
      </c>
      <c r="F7368" t="s">
        <v>27987</v>
      </c>
      <c r="G7368" s="117">
        <v>14</v>
      </c>
    </row>
    <row r="7369" spans="1:7" x14ac:dyDescent="0.25">
      <c r="A7369" s="116" t="s">
        <v>11826</v>
      </c>
      <c r="B7369" s="117" t="s">
        <v>11827</v>
      </c>
      <c r="C7369" t="s">
        <v>67</v>
      </c>
      <c r="D7369" t="s">
        <v>67</v>
      </c>
      <c r="E7369" t="s">
        <v>67</v>
      </c>
      <c r="F7369" t="s">
        <v>45</v>
      </c>
      <c r="G7369" s="117">
        <v>4</v>
      </c>
    </row>
    <row r="7370" spans="1:7" x14ac:dyDescent="0.25">
      <c r="A7370" s="116" t="s">
        <v>11828</v>
      </c>
      <c r="B7370" s="117" t="s">
        <v>11829</v>
      </c>
      <c r="C7370" t="s">
        <v>67</v>
      </c>
      <c r="D7370" t="s">
        <v>67</v>
      </c>
      <c r="E7370" t="s">
        <v>67</v>
      </c>
      <c r="F7370" t="s">
        <v>27990</v>
      </c>
      <c r="G7370" s="117">
        <v>15.93</v>
      </c>
    </row>
    <row r="7371" spans="1:7" x14ac:dyDescent="0.25">
      <c r="A7371" s="116" t="s">
        <v>11830</v>
      </c>
      <c r="B7371" s="117" t="s">
        <v>11831</v>
      </c>
      <c r="C7371" t="s">
        <v>67</v>
      </c>
      <c r="D7371" t="s">
        <v>67</v>
      </c>
      <c r="E7371" t="s">
        <v>67</v>
      </c>
      <c r="F7371" t="s">
        <v>27990</v>
      </c>
      <c r="G7371" s="117">
        <v>13.8</v>
      </c>
    </row>
    <row r="7372" spans="1:7" x14ac:dyDescent="0.25">
      <c r="A7372" s="116" t="s">
        <v>11832</v>
      </c>
      <c r="B7372" s="117" t="s">
        <v>11833</v>
      </c>
      <c r="C7372" t="s">
        <v>67</v>
      </c>
      <c r="D7372" t="s">
        <v>67</v>
      </c>
      <c r="E7372" t="s">
        <v>67</v>
      </c>
      <c r="F7372" t="s">
        <v>27987</v>
      </c>
      <c r="G7372" s="117">
        <v>1.33</v>
      </c>
    </row>
    <row r="7373" spans="1:7" x14ac:dyDescent="0.25">
      <c r="A7373" s="116" t="s">
        <v>11834</v>
      </c>
      <c r="B7373" s="117" t="s">
        <v>11835</v>
      </c>
      <c r="C7373" t="s">
        <v>67</v>
      </c>
      <c r="D7373" t="s">
        <v>67</v>
      </c>
      <c r="E7373" t="s">
        <v>67</v>
      </c>
      <c r="F7373" t="s">
        <v>49</v>
      </c>
      <c r="G7373" s="117">
        <v>1.33</v>
      </c>
    </row>
    <row r="7374" spans="1:7" x14ac:dyDescent="0.25">
      <c r="A7374" s="116" t="s">
        <v>11836</v>
      </c>
      <c r="B7374" s="117" t="s">
        <v>11837</v>
      </c>
      <c r="C7374" t="s">
        <v>67</v>
      </c>
      <c r="D7374" t="s">
        <v>67</v>
      </c>
      <c r="E7374" t="s">
        <v>67</v>
      </c>
      <c r="F7374" t="s">
        <v>45</v>
      </c>
      <c r="G7374" s="117">
        <v>55.62</v>
      </c>
    </row>
    <row r="7375" spans="1:7" x14ac:dyDescent="0.25">
      <c r="A7375" s="116" t="s">
        <v>11838</v>
      </c>
      <c r="B7375" s="117" t="s">
        <v>11839</v>
      </c>
      <c r="C7375" t="s">
        <v>67</v>
      </c>
      <c r="D7375" t="s">
        <v>67</v>
      </c>
      <c r="E7375" t="s">
        <v>67</v>
      </c>
      <c r="F7375" t="s">
        <v>45</v>
      </c>
      <c r="G7375" s="117">
        <v>57.75</v>
      </c>
    </row>
    <row r="7376" spans="1:7" x14ac:dyDescent="0.25">
      <c r="A7376" s="116" t="s">
        <v>11840</v>
      </c>
      <c r="B7376" s="117" t="s">
        <v>11841</v>
      </c>
      <c r="C7376" t="s">
        <v>67</v>
      </c>
      <c r="D7376" t="s">
        <v>67</v>
      </c>
      <c r="E7376" t="s">
        <v>67</v>
      </c>
      <c r="F7376" t="s">
        <v>45</v>
      </c>
      <c r="G7376" s="117">
        <v>23.94</v>
      </c>
    </row>
    <row r="7377" spans="1:7" x14ac:dyDescent="0.25">
      <c r="A7377" s="116" t="s">
        <v>11842</v>
      </c>
      <c r="B7377" s="117" t="s">
        <v>11546</v>
      </c>
      <c r="C7377" t="s">
        <v>67</v>
      </c>
      <c r="D7377" t="s">
        <v>67</v>
      </c>
      <c r="E7377" t="s">
        <v>67</v>
      </c>
      <c r="F7377" t="s">
        <v>45</v>
      </c>
      <c r="G7377" s="117">
        <v>11.48</v>
      </c>
    </row>
    <row r="7378" spans="1:7" x14ac:dyDescent="0.25">
      <c r="A7378" s="116" t="s">
        <v>11843</v>
      </c>
      <c r="B7378" s="117" t="s">
        <v>11844</v>
      </c>
      <c r="C7378" t="s">
        <v>67</v>
      </c>
      <c r="D7378" t="s">
        <v>67</v>
      </c>
      <c r="E7378" t="s">
        <v>67</v>
      </c>
      <c r="F7378" t="s">
        <v>45</v>
      </c>
      <c r="G7378" s="117">
        <v>8.89</v>
      </c>
    </row>
    <row r="7379" spans="1:7" x14ac:dyDescent="0.25">
      <c r="A7379" s="116" t="s">
        <v>11845</v>
      </c>
      <c r="B7379" s="117" t="s">
        <v>11846</v>
      </c>
      <c r="C7379" t="s">
        <v>67</v>
      </c>
      <c r="D7379" t="s">
        <v>67</v>
      </c>
      <c r="E7379" t="s">
        <v>67</v>
      </c>
      <c r="F7379" t="s">
        <v>49</v>
      </c>
      <c r="G7379" s="117">
        <v>8.4499999999999993</v>
      </c>
    </row>
    <row r="7380" spans="1:7" x14ac:dyDescent="0.25">
      <c r="A7380" s="116" t="s">
        <v>11847</v>
      </c>
      <c r="B7380" s="117" t="s">
        <v>11848</v>
      </c>
      <c r="C7380" t="s">
        <v>67</v>
      </c>
      <c r="D7380" t="s">
        <v>67</v>
      </c>
      <c r="E7380" t="s">
        <v>67</v>
      </c>
      <c r="F7380" t="s">
        <v>45</v>
      </c>
      <c r="G7380" s="117">
        <v>4</v>
      </c>
    </row>
    <row r="7381" spans="1:7" x14ac:dyDescent="0.25">
      <c r="A7381" s="116" t="s">
        <v>11849</v>
      </c>
      <c r="B7381" s="117" t="s">
        <v>28922</v>
      </c>
      <c r="C7381" t="s">
        <v>67</v>
      </c>
      <c r="D7381" t="s">
        <v>67</v>
      </c>
      <c r="E7381" t="s">
        <v>67</v>
      </c>
      <c r="F7381" t="s">
        <v>49</v>
      </c>
      <c r="G7381" s="117">
        <v>53.3</v>
      </c>
    </row>
    <row r="7382" spans="1:7" x14ac:dyDescent="0.25">
      <c r="A7382" s="116" t="s">
        <v>11850</v>
      </c>
      <c r="B7382" s="117" t="s">
        <v>583</v>
      </c>
      <c r="C7382" t="s">
        <v>67</v>
      </c>
      <c r="D7382" t="s">
        <v>67</v>
      </c>
      <c r="E7382" t="s">
        <v>67</v>
      </c>
      <c r="F7382" t="s">
        <v>45</v>
      </c>
      <c r="G7382" s="117">
        <v>270.42</v>
      </c>
    </row>
    <row r="7383" spans="1:7" x14ac:dyDescent="0.25">
      <c r="A7383" s="116" t="s">
        <v>11851</v>
      </c>
      <c r="B7383" s="117" t="s">
        <v>11852</v>
      </c>
      <c r="C7383" t="s">
        <v>67</v>
      </c>
      <c r="D7383" t="s">
        <v>67</v>
      </c>
      <c r="E7383" t="s">
        <v>67</v>
      </c>
      <c r="F7383" t="s">
        <v>27987</v>
      </c>
      <c r="G7383" s="117">
        <v>11.48</v>
      </c>
    </row>
    <row r="7384" spans="1:7" x14ac:dyDescent="0.25">
      <c r="A7384" s="116" t="s">
        <v>11853</v>
      </c>
      <c r="B7384" s="117" t="s">
        <v>8561</v>
      </c>
      <c r="C7384" t="s">
        <v>67</v>
      </c>
      <c r="D7384" t="s">
        <v>67</v>
      </c>
      <c r="E7384" t="s">
        <v>67</v>
      </c>
      <c r="F7384" t="s">
        <v>49</v>
      </c>
      <c r="G7384" s="117">
        <v>6.14</v>
      </c>
    </row>
    <row r="7385" spans="1:7" x14ac:dyDescent="0.25">
      <c r="A7385" s="116" t="s">
        <v>11854</v>
      </c>
      <c r="B7385" s="117" t="s">
        <v>11855</v>
      </c>
      <c r="C7385" t="s">
        <v>67</v>
      </c>
      <c r="D7385" t="s">
        <v>67</v>
      </c>
      <c r="E7385" t="s">
        <v>67</v>
      </c>
      <c r="F7385" t="s">
        <v>27987</v>
      </c>
      <c r="G7385" s="117">
        <v>6.14</v>
      </c>
    </row>
    <row r="7386" spans="1:7" x14ac:dyDescent="0.25">
      <c r="A7386" s="116" t="s">
        <v>11856</v>
      </c>
      <c r="B7386" s="117" t="s">
        <v>11857</v>
      </c>
      <c r="C7386" t="s">
        <v>67</v>
      </c>
      <c r="D7386" t="s">
        <v>67</v>
      </c>
      <c r="E7386" t="s">
        <v>67</v>
      </c>
      <c r="F7386" t="s">
        <v>27987</v>
      </c>
      <c r="G7386" s="117">
        <v>6.14</v>
      </c>
    </row>
    <row r="7387" spans="1:7" x14ac:dyDescent="0.25">
      <c r="A7387" s="116" t="s">
        <v>11858</v>
      </c>
      <c r="B7387" s="117" t="s">
        <v>11859</v>
      </c>
      <c r="C7387" t="s">
        <v>67</v>
      </c>
      <c r="D7387" t="s">
        <v>67</v>
      </c>
      <c r="E7387" t="s">
        <v>67</v>
      </c>
      <c r="F7387" t="s">
        <v>45</v>
      </c>
      <c r="G7387" s="117">
        <v>64.87</v>
      </c>
    </row>
    <row r="7388" spans="1:7" x14ac:dyDescent="0.25">
      <c r="A7388" s="116" t="s">
        <v>11860</v>
      </c>
      <c r="B7388" s="117" t="s">
        <v>11861</v>
      </c>
      <c r="C7388" t="s">
        <v>67</v>
      </c>
      <c r="D7388" t="s">
        <v>67</v>
      </c>
      <c r="E7388" t="s">
        <v>67</v>
      </c>
      <c r="F7388" t="s">
        <v>27987</v>
      </c>
      <c r="G7388" s="117">
        <v>18.600000000000001</v>
      </c>
    </row>
    <row r="7389" spans="1:7" x14ac:dyDescent="0.25">
      <c r="A7389" s="116" t="s">
        <v>11862</v>
      </c>
      <c r="B7389" s="117" t="s">
        <v>11863</v>
      </c>
      <c r="C7389" t="s">
        <v>67</v>
      </c>
      <c r="D7389" t="s">
        <v>67</v>
      </c>
      <c r="E7389" t="s">
        <v>67</v>
      </c>
      <c r="F7389" t="s">
        <v>45</v>
      </c>
      <c r="G7389" s="117">
        <v>47.61</v>
      </c>
    </row>
    <row r="7390" spans="1:7" x14ac:dyDescent="0.25">
      <c r="A7390" s="116" t="s">
        <v>11864</v>
      </c>
      <c r="B7390" s="117" t="s">
        <v>11865</v>
      </c>
      <c r="C7390" t="s">
        <v>67</v>
      </c>
      <c r="D7390" t="s">
        <v>67</v>
      </c>
      <c r="E7390" t="s">
        <v>67</v>
      </c>
      <c r="F7390" t="s">
        <v>49</v>
      </c>
      <c r="G7390" s="117">
        <v>15.57</v>
      </c>
    </row>
    <row r="7391" spans="1:7" x14ac:dyDescent="0.25">
      <c r="A7391" s="116" t="s">
        <v>11866</v>
      </c>
      <c r="B7391" s="117" t="s">
        <v>11867</v>
      </c>
      <c r="C7391" t="s">
        <v>67</v>
      </c>
      <c r="D7391" t="s">
        <v>67</v>
      </c>
      <c r="E7391" t="s">
        <v>67</v>
      </c>
      <c r="F7391" t="s">
        <v>45</v>
      </c>
      <c r="G7391" s="117">
        <v>32.83</v>
      </c>
    </row>
    <row r="7392" spans="1:7" x14ac:dyDescent="0.25">
      <c r="A7392" s="116" t="s">
        <v>11868</v>
      </c>
      <c r="B7392" s="117" t="s">
        <v>11869</v>
      </c>
      <c r="C7392" t="s">
        <v>67</v>
      </c>
      <c r="D7392" t="s">
        <v>67</v>
      </c>
      <c r="E7392" t="s">
        <v>67</v>
      </c>
      <c r="F7392" t="s">
        <v>27987</v>
      </c>
      <c r="G7392" s="117">
        <v>63.98</v>
      </c>
    </row>
    <row r="7393" spans="1:7" x14ac:dyDescent="0.25">
      <c r="A7393" s="116" t="s">
        <v>11870</v>
      </c>
      <c r="B7393" s="117" t="s">
        <v>11871</v>
      </c>
      <c r="C7393" t="s">
        <v>67</v>
      </c>
      <c r="D7393" t="s">
        <v>67</v>
      </c>
      <c r="E7393" t="s">
        <v>67</v>
      </c>
      <c r="F7393" t="s">
        <v>27987</v>
      </c>
      <c r="G7393" s="117">
        <v>2.23</v>
      </c>
    </row>
    <row r="7394" spans="1:7" x14ac:dyDescent="0.25">
      <c r="A7394" s="116" t="s">
        <v>11872</v>
      </c>
      <c r="B7394" s="117" t="s">
        <v>11356</v>
      </c>
      <c r="C7394" t="s">
        <v>67</v>
      </c>
      <c r="D7394" t="s">
        <v>67</v>
      </c>
      <c r="E7394" t="s">
        <v>67</v>
      </c>
      <c r="F7394" t="s">
        <v>27987</v>
      </c>
      <c r="G7394" s="117">
        <v>10.68</v>
      </c>
    </row>
    <row r="7395" spans="1:7" x14ac:dyDescent="0.25">
      <c r="A7395" s="116" t="s">
        <v>11873</v>
      </c>
      <c r="B7395" s="117" t="s">
        <v>11129</v>
      </c>
      <c r="C7395" t="s">
        <v>67</v>
      </c>
      <c r="D7395" t="s">
        <v>67</v>
      </c>
      <c r="E7395" t="s">
        <v>67</v>
      </c>
      <c r="F7395" t="s">
        <v>27987</v>
      </c>
      <c r="G7395" s="117">
        <v>44.05</v>
      </c>
    </row>
    <row r="7396" spans="1:7" x14ac:dyDescent="0.25">
      <c r="A7396" s="116" t="s">
        <v>11874</v>
      </c>
      <c r="B7396" s="117" t="s">
        <v>11875</v>
      </c>
      <c r="C7396" t="s">
        <v>67</v>
      </c>
      <c r="D7396" t="s">
        <v>67</v>
      </c>
      <c r="E7396" t="s">
        <v>67</v>
      </c>
      <c r="F7396" t="s">
        <v>27987</v>
      </c>
      <c r="G7396" s="117">
        <v>30.14</v>
      </c>
    </row>
    <row r="7397" spans="1:7" x14ac:dyDescent="0.25">
      <c r="A7397" s="116" t="s">
        <v>27437</v>
      </c>
      <c r="B7397" s="117" t="s">
        <v>10687</v>
      </c>
      <c r="C7397" t="s">
        <v>67</v>
      </c>
      <c r="D7397" t="s">
        <v>67</v>
      </c>
      <c r="E7397" t="s">
        <v>67</v>
      </c>
      <c r="F7397" t="s">
        <v>45</v>
      </c>
      <c r="G7397" s="117">
        <v>276.45</v>
      </c>
    </row>
    <row r="7398" spans="1:7" x14ac:dyDescent="0.25">
      <c r="A7398" s="116" t="s">
        <v>11876</v>
      </c>
      <c r="B7398" s="117" t="s">
        <v>11877</v>
      </c>
      <c r="C7398" t="s">
        <v>67</v>
      </c>
      <c r="D7398" t="s">
        <v>67</v>
      </c>
      <c r="E7398" t="s">
        <v>67</v>
      </c>
      <c r="F7398" t="s">
        <v>45</v>
      </c>
      <c r="G7398" s="117">
        <v>21.26</v>
      </c>
    </row>
    <row r="7399" spans="1:7" x14ac:dyDescent="0.25">
      <c r="A7399" s="116" t="s">
        <v>11878</v>
      </c>
      <c r="B7399" s="117" t="s">
        <v>11879</v>
      </c>
      <c r="C7399" t="s">
        <v>67</v>
      </c>
      <c r="D7399" t="s">
        <v>67</v>
      </c>
      <c r="E7399" t="s">
        <v>67</v>
      </c>
      <c r="F7399" t="s">
        <v>27987</v>
      </c>
      <c r="G7399" s="117">
        <v>21.26</v>
      </c>
    </row>
    <row r="7400" spans="1:7" x14ac:dyDescent="0.25">
      <c r="A7400" s="116" t="s">
        <v>11880</v>
      </c>
      <c r="B7400" s="117" t="s">
        <v>11881</v>
      </c>
      <c r="C7400" t="s">
        <v>67</v>
      </c>
      <c r="D7400" t="s">
        <v>67</v>
      </c>
      <c r="E7400" t="s">
        <v>67</v>
      </c>
      <c r="F7400" t="s">
        <v>27987</v>
      </c>
      <c r="G7400" s="117">
        <v>64.87</v>
      </c>
    </row>
    <row r="7401" spans="1:7" x14ac:dyDescent="0.25">
      <c r="A7401" s="116" t="s">
        <v>11882</v>
      </c>
      <c r="B7401" s="117" t="s">
        <v>11883</v>
      </c>
      <c r="C7401" t="s">
        <v>67</v>
      </c>
      <c r="D7401" t="s">
        <v>67</v>
      </c>
      <c r="E7401" t="s">
        <v>67</v>
      </c>
      <c r="F7401" t="s">
        <v>27987</v>
      </c>
      <c r="G7401" s="117">
        <v>17.7</v>
      </c>
    </row>
    <row r="7402" spans="1:7" x14ac:dyDescent="0.25">
      <c r="A7402" s="116" t="s">
        <v>11884</v>
      </c>
      <c r="B7402" s="117" t="s">
        <v>11885</v>
      </c>
      <c r="C7402" t="s">
        <v>67</v>
      </c>
      <c r="D7402" t="s">
        <v>67</v>
      </c>
      <c r="E7402" t="s">
        <v>67</v>
      </c>
      <c r="F7402" t="s">
        <v>27987</v>
      </c>
      <c r="G7402" s="117">
        <v>12.9</v>
      </c>
    </row>
    <row r="7403" spans="1:7" x14ac:dyDescent="0.25">
      <c r="A7403" s="116" t="s">
        <v>11886</v>
      </c>
      <c r="B7403" s="117" t="s">
        <v>11887</v>
      </c>
      <c r="C7403" t="s">
        <v>67</v>
      </c>
      <c r="D7403" t="s">
        <v>67</v>
      </c>
      <c r="E7403" t="s">
        <v>67</v>
      </c>
      <c r="F7403" t="s">
        <v>45</v>
      </c>
      <c r="G7403" s="117">
        <v>84.08</v>
      </c>
    </row>
    <row r="7404" spans="1:7" x14ac:dyDescent="0.25">
      <c r="A7404" s="116" t="s">
        <v>11888</v>
      </c>
      <c r="B7404" s="117" t="s">
        <v>11889</v>
      </c>
      <c r="C7404" t="s">
        <v>67</v>
      </c>
      <c r="D7404" t="s">
        <v>67</v>
      </c>
      <c r="E7404" t="s">
        <v>67</v>
      </c>
      <c r="F7404" t="s">
        <v>27987</v>
      </c>
      <c r="G7404" s="117">
        <v>23.94</v>
      </c>
    </row>
    <row r="7405" spans="1:7" x14ac:dyDescent="0.25">
      <c r="A7405" s="116" t="s">
        <v>11890</v>
      </c>
      <c r="B7405" s="117" t="s">
        <v>11891</v>
      </c>
      <c r="C7405" t="s">
        <v>67</v>
      </c>
      <c r="D7405" t="s">
        <v>67</v>
      </c>
      <c r="E7405" t="s">
        <v>67</v>
      </c>
      <c r="F7405" t="s">
        <v>27987</v>
      </c>
      <c r="G7405" s="117">
        <v>23.05</v>
      </c>
    </row>
    <row r="7406" spans="1:7" x14ac:dyDescent="0.25">
      <c r="A7406" s="116" t="s">
        <v>11892</v>
      </c>
      <c r="B7406" s="117" t="s">
        <v>11893</v>
      </c>
      <c r="C7406" t="s">
        <v>67</v>
      </c>
      <c r="D7406" t="s">
        <v>67</v>
      </c>
      <c r="E7406" t="s">
        <v>67</v>
      </c>
      <c r="F7406" t="s">
        <v>45</v>
      </c>
      <c r="G7406" s="117">
        <v>9.6999999999999993</v>
      </c>
    </row>
    <row r="7407" spans="1:7" x14ac:dyDescent="0.25">
      <c r="A7407" s="116" t="s">
        <v>11894</v>
      </c>
      <c r="B7407" s="117" t="s">
        <v>11895</v>
      </c>
      <c r="C7407" t="s">
        <v>67</v>
      </c>
      <c r="D7407" t="s">
        <v>67</v>
      </c>
      <c r="E7407" t="s">
        <v>67</v>
      </c>
      <c r="F7407" t="s">
        <v>27987</v>
      </c>
      <c r="G7407" s="117">
        <v>23.35</v>
      </c>
    </row>
    <row r="7408" spans="1:7" x14ac:dyDescent="0.25">
      <c r="A7408" s="116" t="s">
        <v>11896</v>
      </c>
      <c r="B7408" s="117" t="s">
        <v>11897</v>
      </c>
      <c r="C7408" t="s">
        <v>67</v>
      </c>
      <c r="D7408" t="s">
        <v>67</v>
      </c>
      <c r="E7408" t="s">
        <v>67</v>
      </c>
      <c r="F7408" t="s">
        <v>27987</v>
      </c>
      <c r="G7408" s="117">
        <v>20.38</v>
      </c>
    </row>
    <row r="7409" spans="1:7" x14ac:dyDescent="0.25">
      <c r="A7409" s="116" t="s">
        <v>11898</v>
      </c>
      <c r="B7409" s="117" t="s">
        <v>11899</v>
      </c>
      <c r="C7409" t="s">
        <v>67</v>
      </c>
      <c r="D7409" t="s">
        <v>67</v>
      </c>
      <c r="E7409" t="s">
        <v>67</v>
      </c>
      <c r="F7409" t="s">
        <v>45</v>
      </c>
      <c r="G7409" s="117">
        <v>15.57</v>
      </c>
    </row>
    <row r="7410" spans="1:7" x14ac:dyDescent="0.25">
      <c r="A7410" s="116" t="s">
        <v>11900</v>
      </c>
      <c r="B7410" s="117" t="s">
        <v>11901</v>
      </c>
      <c r="C7410" t="s">
        <v>67</v>
      </c>
      <c r="D7410" t="s">
        <v>67</v>
      </c>
      <c r="E7410" t="s">
        <v>67</v>
      </c>
      <c r="F7410" t="s">
        <v>45</v>
      </c>
      <c r="G7410" s="117">
        <v>12.37</v>
      </c>
    </row>
    <row r="7411" spans="1:7" x14ac:dyDescent="0.25">
      <c r="A7411" s="116" t="s">
        <v>11902</v>
      </c>
      <c r="B7411" s="117" t="s">
        <v>11903</v>
      </c>
      <c r="C7411" t="s">
        <v>67</v>
      </c>
      <c r="D7411" t="s">
        <v>67</v>
      </c>
      <c r="E7411" t="s">
        <v>67</v>
      </c>
      <c r="F7411" t="s">
        <v>45</v>
      </c>
      <c r="G7411" s="117">
        <v>56.86</v>
      </c>
    </row>
    <row r="7412" spans="1:7" x14ac:dyDescent="0.25">
      <c r="A7412" s="116" t="s">
        <v>11904</v>
      </c>
      <c r="B7412" s="117" t="s">
        <v>11905</v>
      </c>
      <c r="C7412" t="s">
        <v>67</v>
      </c>
      <c r="D7412" t="s">
        <v>67</v>
      </c>
      <c r="E7412" t="s">
        <v>67</v>
      </c>
      <c r="F7412" t="s">
        <v>27987</v>
      </c>
      <c r="G7412" s="117">
        <v>212.58</v>
      </c>
    </row>
    <row r="7413" spans="1:7" x14ac:dyDescent="0.25">
      <c r="A7413" s="116" t="s">
        <v>11906</v>
      </c>
      <c r="B7413" s="117" t="s">
        <v>11907</v>
      </c>
      <c r="C7413" t="s">
        <v>67</v>
      </c>
      <c r="D7413" t="s">
        <v>67</v>
      </c>
      <c r="E7413" t="s">
        <v>67</v>
      </c>
      <c r="F7413" t="s">
        <v>45</v>
      </c>
      <c r="G7413" s="117">
        <v>17.7</v>
      </c>
    </row>
    <row r="7414" spans="1:7" x14ac:dyDescent="0.25">
      <c r="A7414" s="116" t="s">
        <v>11908</v>
      </c>
      <c r="B7414" s="117" t="s">
        <v>11909</v>
      </c>
      <c r="C7414" t="s">
        <v>67</v>
      </c>
      <c r="D7414" t="s">
        <v>67</v>
      </c>
      <c r="E7414" t="s">
        <v>67</v>
      </c>
      <c r="F7414" t="s">
        <v>27987</v>
      </c>
      <c r="G7414" s="117">
        <v>413.32</v>
      </c>
    </row>
    <row r="7415" spans="1:7" x14ac:dyDescent="0.25">
      <c r="A7415" s="116" t="s">
        <v>11910</v>
      </c>
      <c r="B7415" s="117" t="s">
        <v>11505</v>
      </c>
      <c r="C7415" t="s">
        <v>67</v>
      </c>
      <c r="D7415" t="s">
        <v>67</v>
      </c>
      <c r="E7415" t="s">
        <v>67</v>
      </c>
      <c r="F7415" t="s">
        <v>27987</v>
      </c>
      <c r="G7415" s="117">
        <v>9.7899999999999991</v>
      </c>
    </row>
    <row r="7416" spans="1:7" x14ac:dyDescent="0.25">
      <c r="A7416" s="116" t="s">
        <v>11911</v>
      </c>
      <c r="B7416" s="117" t="s">
        <v>460</v>
      </c>
      <c r="C7416" t="s">
        <v>67</v>
      </c>
      <c r="D7416" t="s">
        <v>67</v>
      </c>
      <c r="E7416" t="s">
        <v>67</v>
      </c>
      <c r="F7416" t="s">
        <v>27987</v>
      </c>
      <c r="G7416" s="117">
        <v>84.08</v>
      </c>
    </row>
    <row r="7417" spans="1:7" x14ac:dyDescent="0.25">
      <c r="A7417" s="116" t="s">
        <v>11912</v>
      </c>
      <c r="B7417" s="117" t="s">
        <v>7111</v>
      </c>
      <c r="C7417" t="s">
        <v>67</v>
      </c>
      <c r="D7417" t="s">
        <v>67</v>
      </c>
      <c r="E7417" t="s">
        <v>67</v>
      </c>
      <c r="F7417" t="s">
        <v>27987</v>
      </c>
      <c r="G7417" s="117">
        <v>17.36</v>
      </c>
    </row>
    <row r="7418" spans="1:7" x14ac:dyDescent="0.25">
      <c r="A7418" s="116" t="s">
        <v>11913</v>
      </c>
      <c r="B7418" s="117" t="s">
        <v>28923</v>
      </c>
      <c r="C7418" t="s">
        <v>67</v>
      </c>
      <c r="D7418" t="s">
        <v>67</v>
      </c>
      <c r="E7418" t="s">
        <v>67</v>
      </c>
      <c r="F7418" t="s">
        <v>45</v>
      </c>
      <c r="G7418" s="117">
        <v>8.4499999999999993</v>
      </c>
    </row>
    <row r="7419" spans="1:7" x14ac:dyDescent="0.25">
      <c r="A7419" s="116" t="s">
        <v>11914</v>
      </c>
      <c r="B7419" s="117" t="s">
        <v>8815</v>
      </c>
      <c r="C7419" t="s">
        <v>67</v>
      </c>
      <c r="D7419" t="s">
        <v>67</v>
      </c>
      <c r="E7419" t="s">
        <v>67</v>
      </c>
      <c r="F7419" t="s">
        <v>27987</v>
      </c>
      <c r="G7419" s="117">
        <v>7.12</v>
      </c>
    </row>
    <row r="7420" spans="1:7" x14ac:dyDescent="0.25">
      <c r="A7420" s="116" t="s">
        <v>11915</v>
      </c>
      <c r="B7420" s="117" t="s">
        <v>11916</v>
      </c>
      <c r="C7420" t="s">
        <v>67</v>
      </c>
      <c r="D7420" t="s">
        <v>67</v>
      </c>
      <c r="E7420" t="s">
        <v>67</v>
      </c>
      <c r="F7420" t="s">
        <v>27987</v>
      </c>
      <c r="G7420" s="117">
        <v>8.4499999999999993</v>
      </c>
    </row>
    <row r="7421" spans="1:7" x14ac:dyDescent="0.25">
      <c r="A7421" s="116" t="s">
        <v>11917</v>
      </c>
      <c r="B7421" s="117" t="s">
        <v>11918</v>
      </c>
      <c r="C7421" t="s">
        <v>67</v>
      </c>
      <c r="D7421" t="s">
        <v>67</v>
      </c>
      <c r="E7421" t="s">
        <v>67</v>
      </c>
      <c r="F7421" t="s">
        <v>45</v>
      </c>
      <c r="G7421" s="117">
        <v>10.24</v>
      </c>
    </row>
    <row r="7422" spans="1:7" x14ac:dyDescent="0.25">
      <c r="A7422" s="116" t="s">
        <v>11919</v>
      </c>
      <c r="B7422" s="117" t="s">
        <v>11546</v>
      </c>
      <c r="C7422" t="s">
        <v>67</v>
      </c>
      <c r="D7422" t="s">
        <v>67</v>
      </c>
      <c r="E7422" t="s">
        <v>67</v>
      </c>
      <c r="F7422" t="s">
        <v>45</v>
      </c>
      <c r="G7422" s="117">
        <v>12.01</v>
      </c>
    </row>
    <row r="7423" spans="1:7" x14ac:dyDescent="0.25">
      <c r="A7423" s="116" t="s">
        <v>11920</v>
      </c>
      <c r="B7423" s="117" t="s">
        <v>11921</v>
      </c>
      <c r="C7423" t="s">
        <v>67</v>
      </c>
      <c r="D7423" t="s">
        <v>67</v>
      </c>
      <c r="E7423" t="s">
        <v>67</v>
      </c>
      <c r="F7423" t="s">
        <v>49</v>
      </c>
      <c r="G7423" s="117">
        <v>3.56</v>
      </c>
    </row>
    <row r="7424" spans="1:7" x14ac:dyDescent="0.25">
      <c r="A7424" s="116" t="s">
        <v>11922</v>
      </c>
      <c r="B7424" s="117" t="s">
        <v>11923</v>
      </c>
      <c r="C7424" t="s">
        <v>67</v>
      </c>
      <c r="D7424" t="s">
        <v>67</v>
      </c>
      <c r="E7424" t="s">
        <v>67</v>
      </c>
      <c r="F7424" t="s">
        <v>27987</v>
      </c>
      <c r="G7424" s="117">
        <v>21.26</v>
      </c>
    </row>
    <row r="7425" spans="1:7" x14ac:dyDescent="0.25">
      <c r="A7425" s="116" t="s">
        <v>11924</v>
      </c>
      <c r="B7425" s="117" t="s">
        <v>11925</v>
      </c>
      <c r="C7425" t="s">
        <v>67</v>
      </c>
      <c r="D7425" t="s">
        <v>67</v>
      </c>
      <c r="E7425" t="s">
        <v>67</v>
      </c>
      <c r="F7425" t="s">
        <v>49</v>
      </c>
      <c r="G7425" s="117">
        <v>4.8899999999999997</v>
      </c>
    </row>
    <row r="7426" spans="1:7" x14ac:dyDescent="0.25">
      <c r="A7426" s="116" t="s">
        <v>11926</v>
      </c>
      <c r="B7426" s="117" t="s">
        <v>28924</v>
      </c>
      <c r="C7426" t="s">
        <v>67</v>
      </c>
      <c r="D7426" t="s">
        <v>67</v>
      </c>
      <c r="E7426" t="s">
        <v>67</v>
      </c>
      <c r="F7426" t="s">
        <v>51</v>
      </c>
      <c r="G7426" s="117">
        <v>350</v>
      </c>
    </row>
    <row r="7427" spans="1:7" x14ac:dyDescent="0.25">
      <c r="A7427" s="116" t="s">
        <v>11927</v>
      </c>
      <c r="B7427" s="117" t="s">
        <v>11928</v>
      </c>
      <c r="C7427" t="s">
        <v>67</v>
      </c>
      <c r="D7427" t="s">
        <v>67</v>
      </c>
      <c r="E7427" t="s">
        <v>67</v>
      </c>
      <c r="F7427" t="s">
        <v>27990</v>
      </c>
      <c r="G7427" s="117">
        <v>513.98</v>
      </c>
    </row>
    <row r="7428" spans="1:7" x14ac:dyDescent="0.25">
      <c r="A7428" s="116" t="s">
        <v>11929</v>
      </c>
      <c r="B7428" s="117" t="s">
        <v>11757</v>
      </c>
      <c r="C7428" t="s">
        <v>67</v>
      </c>
      <c r="D7428" t="s">
        <v>67</v>
      </c>
      <c r="E7428" t="s">
        <v>67</v>
      </c>
      <c r="F7428" t="s">
        <v>27987</v>
      </c>
      <c r="G7428" s="117">
        <v>21.26</v>
      </c>
    </row>
    <row r="7429" spans="1:7" x14ac:dyDescent="0.25">
      <c r="A7429" s="116" t="s">
        <v>11930</v>
      </c>
      <c r="B7429" s="117" t="s">
        <v>11931</v>
      </c>
      <c r="C7429" t="s">
        <v>67</v>
      </c>
      <c r="D7429" t="s">
        <v>67</v>
      </c>
      <c r="E7429" t="s">
        <v>67</v>
      </c>
      <c r="F7429" t="s">
        <v>27987</v>
      </c>
      <c r="G7429" s="117">
        <v>14.14</v>
      </c>
    </row>
    <row r="7430" spans="1:7" x14ac:dyDescent="0.25">
      <c r="A7430" s="116" t="s">
        <v>11932</v>
      </c>
      <c r="B7430" s="117" t="s">
        <v>2881</v>
      </c>
      <c r="C7430" t="s">
        <v>67</v>
      </c>
      <c r="D7430" t="s">
        <v>67</v>
      </c>
      <c r="E7430" t="s">
        <v>67</v>
      </c>
      <c r="F7430" t="s">
        <v>27987</v>
      </c>
      <c r="G7430" s="117">
        <v>16.82</v>
      </c>
    </row>
    <row r="7431" spans="1:7" x14ac:dyDescent="0.25">
      <c r="A7431" s="116" t="s">
        <v>11933</v>
      </c>
      <c r="B7431" s="117" t="s">
        <v>11934</v>
      </c>
      <c r="C7431" t="s">
        <v>67</v>
      </c>
      <c r="D7431" t="s">
        <v>67</v>
      </c>
      <c r="E7431" t="s">
        <v>67</v>
      </c>
      <c r="F7431" t="s">
        <v>49</v>
      </c>
      <c r="G7431" s="117">
        <v>10.93</v>
      </c>
    </row>
    <row r="7432" spans="1:7" x14ac:dyDescent="0.25">
      <c r="A7432" s="116" t="s">
        <v>11935</v>
      </c>
      <c r="B7432" s="117" t="s">
        <v>11936</v>
      </c>
      <c r="C7432" t="s">
        <v>67</v>
      </c>
      <c r="D7432" t="s">
        <v>67</v>
      </c>
      <c r="E7432" t="s">
        <v>67</v>
      </c>
      <c r="F7432" t="s">
        <v>49</v>
      </c>
      <c r="G7432" s="117">
        <v>22.8</v>
      </c>
    </row>
    <row r="7433" spans="1:7" x14ac:dyDescent="0.25">
      <c r="A7433" s="116" t="s">
        <v>11937</v>
      </c>
      <c r="B7433" s="117" t="s">
        <v>11938</v>
      </c>
      <c r="C7433" t="s">
        <v>67</v>
      </c>
      <c r="D7433" t="s">
        <v>67</v>
      </c>
      <c r="E7433" t="s">
        <v>67</v>
      </c>
      <c r="F7433" t="s">
        <v>27987</v>
      </c>
      <c r="G7433" s="117">
        <v>86.76</v>
      </c>
    </row>
    <row r="7434" spans="1:7" x14ac:dyDescent="0.25">
      <c r="A7434" s="116" t="s">
        <v>11939</v>
      </c>
      <c r="B7434" s="117" t="s">
        <v>11940</v>
      </c>
      <c r="C7434" t="s">
        <v>67</v>
      </c>
      <c r="D7434" t="s">
        <v>67</v>
      </c>
      <c r="E7434" t="s">
        <v>67</v>
      </c>
      <c r="F7434" t="s">
        <v>27987</v>
      </c>
      <c r="G7434" s="117">
        <v>47.61</v>
      </c>
    </row>
    <row r="7435" spans="1:7" x14ac:dyDescent="0.25">
      <c r="A7435" s="116" t="s">
        <v>11941</v>
      </c>
      <c r="B7435" s="117" t="s">
        <v>11942</v>
      </c>
      <c r="C7435" t="s">
        <v>67</v>
      </c>
      <c r="D7435" t="s">
        <v>67</v>
      </c>
      <c r="E7435" t="s">
        <v>67</v>
      </c>
      <c r="F7435" t="s">
        <v>27987</v>
      </c>
      <c r="G7435" s="117">
        <v>40.49</v>
      </c>
    </row>
    <row r="7436" spans="1:7" x14ac:dyDescent="0.25">
      <c r="A7436" s="116" t="s">
        <v>11943</v>
      </c>
      <c r="B7436" s="117" t="s">
        <v>11944</v>
      </c>
      <c r="C7436" t="s">
        <v>67</v>
      </c>
      <c r="D7436" t="s">
        <v>67</v>
      </c>
      <c r="E7436" t="s">
        <v>67</v>
      </c>
      <c r="F7436" t="s">
        <v>27987</v>
      </c>
      <c r="G7436" s="117">
        <v>16.82</v>
      </c>
    </row>
    <row r="7437" spans="1:7" x14ac:dyDescent="0.25">
      <c r="A7437" s="116" t="s">
        <v>26650</v>
      </c>
      <c r="B7437" s="117" t="s">
        <v>26651</v>
      </c>
      <c r="C7437" t="s">
        <v>67</v>
      </c>
      <c r="D7437" t="s">
        <v>67</v>
      </c>
      <c r="E7437" t="s">
        <v>67</v>
      </c>
      <c r="F7437" t="s">
        <v>27987</v>
      </c>
      <c r="G7437" s="117">
        <v>33.840000000000003</v>
      </c>
    </row>
    <row r="7438" spans="1:7" x14ac:dyDescent="0.25">
      <c r="A7438" s="116" t="s">
        <v>11945</v>
      </c>
      <c r="B7438" s="117" t="s">
        <v>11946</v>
      </c>
      <c r="C7438" t="s">
        <v>67</v>
      </c>
      <c r="D7438" t="s">
        <v>67</v>
      </c>
      <c r="E7438" t="s">
        <v>67</v>
      </c>
      <c r="F7438" t="s">
        <v>27987</v>
      </c>
      <c r="G7438" s="117">
        <v>15.04</v>
      </c>
    </row>
    <row r="7439" spans="1:7" x14ac:dyDescent="0.25">
      <c r="A7439" s="116" t="s">
        <v>11947</v>
      </c>
      <c r="B7439" s="117" t="s">
        <v>11948</v>
      </c>
      <c r="C7439" t="s">
        <v>67</v>
      </c>
      <c r="D7439" t="s">
        <v>67</v>
      </c>
      <c r="E7439" t="s">
        <v>67</v>
      </c>
      <c r="F7439" t="s">
        <v>27987</v>
      </c>
      <c r="G7439" s="117">
        <v>16.82</v>
      </c>
    </row>
    <row r="7440" spans="1:7" x14ac:dyDescent="0.25">
      <c r="A7440" s="116" t="s">
        <v>11949</v>
      </c>
      <c r="B7440" s="117" t="s">
        <v>11950</v>
      </c>
      <c r="C7440" t="s">
        <v>67</v>
      </c>
      <c r="D7440" t="s">
        <v>67</v>
      </c>
      <c r="E7440" t="s">
        <v>67</v>
      </c>
      <c r="F7440" t="s">
        <v>27987</v>
      </c>
      <c r="G7440" s="117">
        <v>92.1</v>
      </c>
    </row>
    <row r="7441" spans="1:7" x14ac:dyDescent="0.25">
      <c r="A7441" s="116" t="s">
        <v>11951</v>
      </c>
      <c r="B7441" s="117" t="s">
        <v>11952</v>
      </c>
      <c r="C7441" t="s">
        <v>67</v>
      </c>
      <c r="D7441" t="s">
        <v>67</v>
      </c>
      <c r="E7441" t="s">
        <v>67</v>
      </c>
      <c r="F7441" t="s">
        <v>45</v>
      </c>
      <c r="G7441" s="117">
        <v>33.15</v>
      </c>
    </row>
    <row r="7442" spans="1:7" x14ac:dyDescent="0.25">
      <c r="A7442" s="116" t="s">
        <v>11953</v>
      </c>
      <c r="B7442" s="117" t="s">
        <v>11954</v>
      </c>
      <c r="C7442" t="s">
        <v>67</v>
      </c>
      <c r="D7442" t="s">
        <v>67</v>
      </c>
      <c r="E7442" t="s">
        <v>67</v>
      </c>
      <c r="F7442" t="s">
        <v>27987</v>
      </c>
      <c r="G7442" s="117">
        <v>12.01</v>
      </c>
    </row>
    <row r="7443" spans="1:7" x14ac:dyDescent="0.25">
      <c r="A7443" s="116" t="s">
        <v>11955</v>
      </c>
      <c r="B7443" s="117" t="s">
        <v>11546</v>
      </c>
      <c r="C7443" t="s">
        <v>67</v>
      </c>
      <c r="D7443" t="s">
        <v>67</v>
      </c>
      <c r="E7443" t="s">
        <v>67</v>
      </c>
      <c r="F7443" t="s">
        <v>45</v>
      </c>
      <c r="G7443" s="117">
        <v>71.989999999999995</v>
      </c>
    </row>
    <row r="7444" spans="1:7" x14ac:dyDescent="0.25">
      <c r="A7444" s="116" t="s">
        <v>11956</v>
      </c>
      <c r="B7444" s="117" t="s">
        <v>11957</v>
      </c>
      <c r="C7444" t="s">
        <v>67</v>
      </c>
      <c r="D7444" t="s">
        <v>67</v>
      </c>
      <c r="E7444" t="s">
        <v>67</v>
      </c>
      <c r="F7444" t="s">
        <v>27987</v>
      </c>
      <c r="G7444" s="117">
        <v>20.38</v>
      </c>
    </row>
    <row r="7445" spans="1:7" x14ac:dyDescent="0.25">
      <c r="A7445" s="116" t="s">
        <v>11958</v>
      </c>
      <c r="B7445" s="117" t="s">
        <v>2881</v>
      </c>
      <c r="C7445" t="s">
        <v>67</v>
      </c>
      <c r="D7445" t="s">
        <v>67</v>
      </c>
      <c r="E7445" t="s">
        <v>67</v>
      </c>
      <c r="F7445" t="s">
        <v>27987</v>
      </c>
      <c r="G7445" s="117">
        <v>10.58</v>
      </c>
    </row>
    <row r="7446" spans="1:7" x14ac:dyDescent="0.25">
      <c r="A7446" s="116" t="s">
        <v>11959</v>
      </c>
      <c r="B7446" s="117" t="s">
        <v>11960</v>
      </c>
      <c r="C7446" t="s">
        <v>67</v>
      </c>
      <c r="D7446" t="s">
        <v>67</v>
      </c>
      <c r="E7446" t="s">
        <v>67</v>
      </c>
      <c r="F7446" t="s">
        <v>27987</v>
      </c>
      <c r="G7446" s="117">
        <v>88.54</v>
      </c>
    </row>
    <row r="7447" spans="1:7" x14ac:dyDescent="0.25">
      <c r="A7447" s="116" t="s">
        <v>11961</v>
      </c>
      <c r="B7447" s="117" t="s">
        <v>11962</v>
      </c>
      <c r="C7447" t="s">
        <v>67</v>
      </c>
      <c r="D7447" t="s">
        <v>67</v>
      </c>
      <c r="E7447" t="s">
        <v>67</v>
      </c>
      <c r="F7447" t="s">
        <v>27987</v>
      </c>
      <c r="G7447" s="117">
        <v>19.13</v>
      </c>
    </row>
    <row r="7448" spans="1:7" x14ac:dyDescent="0.25">
      <c r="A7448" s="116" t="s">
        <v>11963</v>
      </c>
      <c r="B7448" s="117" t="s">
        <v>11964</v>
      </c>
      <c r="C7448" t="s">
        <v>67</v>
      </c>
      <c r="D7448" t="s">
        <v>67</v>
      </c>
      <c r="E7448" t="s">
        <v>67</v>
      </c>
      <c r="F7448" t="s">
        <v>27987</v>
      </c>
      <c r="G7448" s="117">
        <v>9.35</v>
      </c>
    </row>
    <row r="7449" spans="1:7" x14ac:dyDescent="0.25">
      <c r="A7449" s="116" t="s">
        <v>11965</v>
      </c>
      <c r="B7449" s="117" t="s">
        <v>1725</v>
      </c>
      <c r="C7449" t="s">
        <v>67</v>
      </c>
      <c r="D7449" t="s">
        <v>67</v>
      </c>
      <c r="E7449" t="s">
        <v>67</v>
      </c>
      <c r="F7449" t="s">
        <v>27987</v>
      </c>
      <c r="G7449" s="117">
        <v>9</v>
      </c>
    </row>
    <row r="7450" spans="1:7" x14ac:dyDescent="0.25">
      <c r="A7450" s="116" t="s">
        <v>11966</v>
      </c>
      <c r="B7450" s="117" t="s">
        <v>11967</v>
      </c>
      <c r="C7450" t="s">
        <v>67</v>
      </c>
      <c r="D7450" t="s">
        <v>67</v>
      </c>
      <c r="E7450" t="s">
        <v>67</v>
      </c>
      <c r="F7450" t="s">
        <v>27987</v>
      </c>
      <c r="G7450" s="117">
        <v>111.14</v>
      </c>
    </row>
    <row r="7451" spans="1:7" x14ac:dyDescent="0.25">
      <c r="A7451" s="116" t="s">
        <v>11968</v>
      </c>
      <c r="B7451" s="117" t="s">
        <v>11969</v>
      </c>
      <c r="C7451" t="s">
        <v>67</v>
      </c>
      <c r="D7451" t="s">
        <v>67</v>
      </c>
      <c r="E7451" t="s">
        <v>67</v>
      </c>
      <c r="F7451" t="s">
        <v>27987</v>
      </c>
      <c r="G7451" s="117">
        <v>91.2</v>
      </c>
    </row>
    <row r="7452" spans="1:7" x14ac:dyDescent="0.25">
      <c r="A7452" s="116" t="s">
        <v>11970</v>
      </c>
      <c r="B7452" s="117" t="s">
        <v>11971</v>
      </c>
      <c r="C7452" t="s">
        <v>67</v>
      </c>
      <c r="D7452" t="s">
        <v>67</v>
      </c>
      <c r="E7452" t="s">
        <v>67</v>
      </c>
      <c r="F7452" t="s">
        <v>27987</v>
      </c>
      <c r="G7452" s="117">
        <v>7.02</v>
      </c>
    </row>
    <row r="7453" spans="1:7" x14ac:dyDescent="0.25">
      <c r="A7453" s="116" t="s">
        <v>11972</v>
      </c>
      <c r="B7453" s="117" t="s">
        <v>11973</v>
      </c>
      <c r="C7453" t="s">
        <v>67</v>
      </c>
      <c r="D7453" t="s">
        <v>67</v>
      </c>
      <c r="E7453" t="s">
        <v>67</v>
      </c>
      <c r="F7453" t="s">
        <v>45</v>
      </c>
      <c r="G7453" s="117">
        <v>151.18</v>
      </c>
    </row>
    <row r="7454" spans="1:7" x14ac:dyDescent="0.25">
      <c r="A7454" s="116" t="s">
        <v>11974</v>
      </c>
      <c r="B7454" s="117" t="s">
        <v>11975</v>
      </c>
      <c r="C7454" t="s">
        <v>67</v>
      </c>
      <c r="D7454" t="s">
        <v>67</v>
      </c>
      <c r="E7454" t="s">
        <v>67</v>
      </c>
      <c r="F7454" t="s">
        <v>45</v>
      </c>
      <c r="G7454" s="117">
        <v>24.82</v>
      </c>
    </row>
    <row r="7455" spans="1:7" x14ac:dyDescent="0.25">
      <c r="A7455" s="116" t="s">
        <v>11976</v>
      </c>
      <c r="B7455" s="117" t="s">
        <v>11977</v>
      </c>
      <c r="C7455" t="s">
        <v>67</v>
      </c>
      <c r="D7455" t="s">
        <v>67</v>
      </c>
      <c r="E7455" t="s">
        <v>67</v>
      </c>
      <c r="F7455" t="s">
        <v>45</v>
      </c>
      <c r="G7455" s="117">
        <v>258.5</v>
      </c>
    </row>
    <row r="7456" spans="1:7" x14ac:dyDescent="0.25">
      <c r="A7456" s="116" t="s">
        <v>11978</v>
      </c>
      <c r="B7456" s="117" t="s">
        <v>11979</v>
      </c>
      <c r="C7456" t="s">
        <v>67</v>
      </c>
      <c r="D7456" t="s">
        <v>67</v>
      </c>
      <c r="E7456" t="s">
        <v>67</v>
      </c>
      <c r="F7456" t="s">
        <v>27987</v>
      </c>
      <c r="G7456" s="117">
        <v>30.7</v>
      </c>
    </row>
    <row r="7457" spans="1:7" x14ac:dyDescent="0.25">
      <c r="A7457" s="116" t="s">
        <v>11980</v>
      </c>
      <c r="B7457" s="117" t="s">
        <v>11981</v>
      </c>
      <c r="C7457" t="s">
        <v>67</v>
      </c>
      <c r="D7457" t="s">
        <v>67</v>
      </c>
      <c r="E7457" t="s">
        <v>67</v>
      </c>
      <c r="F7457" t="s">
        <v>45</v>
      </c>
      <c r="G7457" s="117">
        <v>36.04</v>
      </c>
    </row>
    <row r="7458" spans="1:7" x14ac:dyDescent="0.25">
      <c r="A7458" s="116" t="s">
        <v>11982</v>
      </c>
      <c r="B7458" s="117" t="s">
        <v>11983</v>
      </c>
      <c r="C7458" t="s">
        <v>67</v>
      </c>
      <c r="D7458" t="s">
        <v>67</v>
      </c>
      <c r="E7458" t="s">
        <v>67</v>
      </c>
      <c r="F7458" t="s">
        <v>27987</v>
      </c>
      <c r="G7458" s="117">
        <v>23.58</v>
      </c>
    </row>
    <row r="7459" spans="1:7" x14ac:dyDescent="0.25">
      <c r="A7459" s="116" t="s">
        <v>11984</v>
      </c>
      <c r="B7459" s="117" t="s">
        <v>11985</v>
      </c>
      <c r="C7459" t="s">
        <v>67</v>
      </c>
      <c r="D7459" t="s">
        <v>67</v>
      </c>
      <c r="E7459" t="s">
        <v>67</v>
      </c>
      <c r="F7459" t="s">
        <v>45</v>
      </c>
      <c r="G7459" s="117">
        <v>46.18</v>
      </c>
    </row>
    <row r="7460" spans="1:7" x14ac:dyDescent="0.25">
      <c r="A7460" s="116" t="s">
        <v>11986</v>
      </c>
      <c r="B7460" s="117" t="s">
        <v>11546</v>
      </c>
      <c r="C7460" t="s">
        <v>67</v>
      </c>
      <c r="D7460" t="s">
        <v>67</v>
      </c>
      <c r="E7460" t="s">
        <v>67</v>
      </c>
      <c r="F7460" t="s">
        <v>45</v>
      </c>
      <c r="G7460" s="117">
        <v>17.7</v>
      </c>
    </row>
    <row r="7461" spans="1:7" x14ac:dyDescent="0.25">
      <c r="A7461" s="116" t="s">
        <v>11987</v>
      </c>
      <c r="B7461" s="117" t="s">
        <v>11988</v>
      </c>
      <c r="C7461" t="s">
        <v>67</v>
      </c>
      <c r="D7461" t="s">
        <v>67</v>
      </c>
      <c r="E7461" t="s">
        <v>67</v>
      </c>
      <c r="F7461" t="s">
        <v>45</v>
      </c>
      <c r="G7461" s="117">
        <v>7.56</v>
      </c>
    </row>
    <row r="7462" spans="1:7" x14ac:dyDescent="0.25">
      <c r="A7462" s="116" t="s">
        <v>11989</v>
      </c>
      <c r="B7462" s="117" t="s">
        <v>11990</v>
      </c>
      <c r="C7462" t="s">
        <v>67</v>
      </c>
      <c r="D7462" t="s">
        <v>67</v>
      </c>
      <c r="E7462" t="s">
        <v>67</v>
      </c>
      <c r="F7462" t="s">
        <v>27987</v>
      </c>
      <c r="G7462" s="117">
        <v>9.6999999999999993</v>
      </c>
    </row>
    <row r="7463" spans="1:7" x14ac:dyDescent="0.25">
      <c r="A7463" s="116" t="s">
        <v>11991</v>
      </c>
      <c r="B7463" s="117" t="s">
        <v>2881</v>
      </c>
      <c r="C7463" t="s">
        <v>67</v>
      </c>
      <c r="D7463" t="s">
        <v>67</v>
      </c>
      <c r="E7463" t="s">
        <v>67</v>
      </c>
      <c r="F7463" t="s">
        <v>27987</v>
      </c>
      <c r="G7463" s="117">
        <v>31.94</v>
      </c>
    </row>
    <row r="7464" spans="1:7" x14ac:dyDescent="0.25">
      <c r="A7464" s="116" t="s">
        <v>11992</v>
      </c>
      <c r="B7464" s="117" t="s">
        <v>11993</v>
      </c>
      <c r="C7464" t="s">
        <v>67</v>
      </c>
      <c r="D7464" t="s">
        <v>67</v>
      </c>
      <c r="E7464" t="s">
        <v>67</v>
      </c>
      <c r="F7464" t="s">
        <v>27987</v>
      </c>
      <c r="G7464" s="117">
        <v>35.5</v>
      </c>
    </row>
    <row r="7465" spans="1:7" x14ac:dyDescent="0.25">
      <c r="A7465" s="116" t="s">
        <v>11994</v>
      </c>
      <c r="B7465" s="117" t="s">
        <v>11995</v>
      </c>
      <c r="C7465" t="s">
        <v>67</v>
      </c>
      <c r="D7465" t="s">
        <v>67</v>
      </c>
      <c r="E7465" t="s">
        <v>67</v>
      </c>
      <c r="F7465" t="s">
        <v>27987</v>
      </c>
      <c r="G7465" s="117">
        <v>29.81</v>
      </c>
    </row>
    <row r="7466" spans="1:7" x14ac:dyDescent="0.25">
      <c r="A7466" s="116" t="s">
        <v>11996</v>
      </c>
      <c r="B7466" s="117" t="s">
        <v>11997</v>
      </c>
      <c r="C7466" t="s">
        <v>67</v>
      </c>
      <c r="D7466" t="s">
        <v>67</v>
      </c>
      <c r="E7466" t="s">
        <v>67</v>
      </c>
      <c r="F7466" t="s">
        <v>45</v>
      </c>
      <c r="G7466" s="117">
        <v>56.86</v>
      </c>
    </row>
    <row r="7467" spans="1:7" x14ac:dyDescent="0.25">
      <c r="A7467" s="116" t="s">
        <v>11998</v>
      </c>
      <c r="B7467" s="117" t="s">
        <v>11891</v>
      </c>
      <c r="C7467" t="s">
        <v>67</v>
      </c>
      <c r="D7467" t="s">
        <v>67</v>
      </c>
      <c r="E7467" t="s">
        <v>67</v>
      </c>
      <c r="F7467" t="s">
        <v>27987</v>
      </c>
      <c r="G7467" s="117">
        <v>12.9</v>
      </c>
    </row>
    <row r="7468" spans="1:7" x14ac:dyDescent="0.25">
      <c r="A7468" s="116" t="s">
        <v>11999</v>
      </c>
      <c r="B7468" s="117" t="s">
        <v>12000</v>
      </c>
      <c r="C7468" t="s">
        <v>67</v>
      </c>
      <c r="D7468" t="s">
        <v>67</v>
      </c>
      <c r="E7468" t="s">
        <v>67</v>
      </c>
      <c r="F7468" t="s">
        <v>45</v>
      </c>
      <c r="G7468" s="117">
        <v>44.94</v>
      </c>
    </row>
    <row r="7469" spans="1:7" x14ac:dyDescent="0.25">
      <c r="A7469" s="116" t="s">
        <v>12001</v>
      </c>
      <c r="B7469" s="117" t="s">
        <v>12002</v>
      </c>
      <c r="C7469" t="s">
        <v>67</v>
      </c>
      <c r="D7469" t="s">
        <v>67</v>
      </c>
      <c r="E7469" t="s">
        <v>67</v>
      </c>
      <c r="F7469" t="s">
        <v>45</v>
      </c>
      <c r="G7469" s="117">
        <v>29.81</v>
      </c>
    </row>
    <row r="7470" spans="1:7" x14ac:dyDescent="0.25">
      <c r="A7470" s="116" t="s">
        <v>12003</v>
      </c>
      <c r="B7470" s="117" t="s">
        <v>11736</v>
      </c>
      <c r="C7470" t="s">
        <v>67</v>
      </c>
      <c r="D7470" t="s">
        <v>67</v>
      </c>
      <c r="E7470" t="s">
        <v>67</v>
      </c>
      <c r="F7470" t="s">
        <v>45</v>
      </c>
      <c r="G7470" s="117">
        <v>7.12</v>
      </c>
    </row>
    <row r="7471" spans="1:7" x14ac:dyDescent="0.25">
      <c r="A7471" s="116" t="s">
        <v>12004</v>
      </c>
      <c r="B7471" s="117" t="s">
        <v>12005</v>
      </c>
      <c r="C7471" t="s">
        <v>67</v>
      </c>
      <c r="D7471" t="s">
        <v>67</v>
      </c>
      <c r="E7471" t="s">
        <v>67</v>
      </c>
      <c r="F7471" t="s">
        <v>27987</v>
      </c>
      <c r="G7471" s="117">
        <v>12.01</v>
      </c>
    </row>
    <row r="7472" spans="1:7" x14ac:dyDescent="0.25">
      <c r="A7472" s="116" t="s">
        <v>12006</v>
      </c>
      <c r="B7472" s="117" t="s">
        <v>12007</v>
      </c>
      <c r="C7472" t="s">
        <v>67</v>
      </c>
      <c r="D7472" t="s">
        <v>67</v>
      </c>
      <c r="E7472" t="s">
        <v>67</v>
      </c>
      <c r="F7472" t="s">
        <v>45</v>
      </c>
      <c r="G7472" s="117">
        <v>19.13</v>
      </c>
    </row>
    <row r="7473" spans="1:7" x14ac:dyDescent="0.25">
      <c r="A7473" s="116" t="s">
        <v>12008</v>
      </c>
      <c r="B7473" s="117" t="s">
        <v>12009</v>
      </c>
      <c r="C7473" t="s">
        <v>67</v>
      </c>
      <c r="D7473" t="s">
        <v>67</v>
      </c>
      <c r="E7473" t="s">
        <v>67</v>
      </c>
      <c r="F7473" t="s">
        <v>27987</v>
      </c>
      <c r="G7473" s="117">
        <v>365.63</v>
      </c>
    </row>
    <row r="7474" spans="1:7" x14ac:dyDescent="0.25">
      <c r="A7474" s="116" t="s">
        <v>12010</v>
      </c>
      <c r="B7474" s="117" t="s">
        <v>12011</v>
      </c>
      <c r="C7474" t="s">
        <v>67</v>
      </c>
      <c r="D7474" t="s">
        <v>67</v>
      </c>
      <c r="E7474" t="s">
        <v>67</v>
      </c>
      <c r="F7474" t="s">
        <v>27987</v>
      </c>
      <c r="G7474" s="117">
        <v>165.95</v>
      </c>
    </row>
    <row r="7475" spans="1:7" x14ac:dyDescent="0.25">
      <c r="A7475" s="116" t="s">
        <v>12012</v>
      </c>
      <c r="B7475" s="117" t="s">
        <v>12013</v>
      </c>
      <c r="C7475" t="s">
        <v>67</v>
      </c>
      <c r="D7475" t="s">
        <v>67</v>
      </c>
      <c r="E7475" t="s">
        <v>67</v>
      </c>
      <c r="F7475" t="s">
        <v>27987</v>
      </c>
      <c r="G7475" s="117">
        <v>221.12</v>
      </c>
    </row>
    <row r="7476" spans="1:7" x14ac:dyDescent="0.25">
      <c r="A7476" s="116" t="s">
        <v>12014</v>
      </c>
      <c r="B7476" s="117" t="s">
        <v>12015</v>
      </c>
      <c r="C7476" t="s">
        <v>67</v>
      </c>
      <c r="D7476" t="s">
        <v>67</v>
      </c>
      <c r="E7476" t="s">
        <v>67</v>
      </c>
      <c r="F7476" t="s">
        <v>45</v>
      </c>
      <c r="G7476" s="117">
        <v>7.12</v>
      </c>
    </row>
    <row r="7477" spans="1:7" x14ac:dyDescent="0.25">
      <c r="A7477" s="116" t="s">
        <v>12016</v>
      </c>
      <c r="B7477" s="117" t="s">
        <v>12017</v>
      </c>
      <c r="C7477" t="s">
        <v>67</v>
      </c>
      <c r="D7477" t="s">
        <v>67</v>
      </c>
      <c r="E7477" t="s">
        <v>67</v>
      </c>
      <c r="F7477" t="s">
        <v>27987</v>
      </c>
      <c r="G7477" s="117">
        <v>36.39</v>
      </c>
    </row>
    <row r="7478" spans="1:7" x14ac:dyDescent="0.25">
      <c r="A7478" s="116" t="s">
        <v>12018</v>
      </c>
      <c r="B7478" s="117" t="s">
        <v>12019</v>
      </c>
      <c r="C7478" t="s">
        <v>67</v>
      </c>
      <c r="D7478" t="s">
        <v>67</v>
      </c>
      <c r="E7478" t="s">
        <v>67</v>
      </c>
      <c r="F7478" t="s">
        <v>27987</v>
      </c>
      <c r="G7478" s="117">
        <v>17.7</v>
      </c>
    </row>
    <row r="7479" spans="1:7" x14ac:dyDescent="0.25">
      <c r="A7479" s="116" t="s">
        <v>12020</v>
      </c>
      <c r="B7479" s="117" t="s">
        <v>12021</v>
      </c>
      <c r="C7479" t="s">
        <v>67</v>
      </c>
      <c r="D7479" t="s">
        <v>67</v>
      </c>
      <c r="E7479" t="s">
        <v>67</v>
      </c>
      <c r="F7479" t="s">
        <v>45</v>
      </c>
      <c r="G7479" s="117">
        <v>24.82</v>
      </c>
    </row>
    <row r="7480" spans="1:7" x14ac:dyDescent="0.25">
      <c r="A7480" s="116" t="s">
        <v>12022</v>
      </c>
      <c r="B7480" s="117" t="s">
        <v>2881</v>
      </c>
      <c r="C7480" t="s">
        <v>67</v>
      </c>
      <c r="D7480" t="s">
        <v>67</v>
      </c>
      <c r="E7480" t="s">
        <v>67</v>
      </c>
      <c r="F7480" t="s">
        <v>27987</v>
      </c>
      <c r="G7480" s="117">
        <v>22.69</v>
      </c>
    </row>
    <row r="7481" spans="1:7" x14ac:dyDescent="0.25">
      <c r="A7481" s="116" t="s">
        <v>12023</v>
      </c>
      <c r="B7481" s="117" t="s">
        <v>2881</v>
      </c>
      <c r="C7481" t="s">
        <v>67</v>
      </c>
      <c r="D7481" t="s">
        <v>67</v>
      </c>
      <c r="E7481" t="s">
        <v>67</v>
      </c>
      <c r="F7481" t="s">
        <v>45</v>
      </c>
      <c r="G7481" s="117">
        <v>27.14</v>
      </c>
    </row>
    <row r="7482" spans="1:7" x14ac:dyDescent="0.25">
      <c r="A7482" s="116" t="s">
        <v>12024</v>
      </c>
      <c r="B7482" s="117" t="s">
        <v>12025</v>
      </c>
      <c r="C7482" t="s">
        <v>67</v>
      </c>
      <c r="D7482" t="s">
        <v>67</v>
      </c>
      <c r="E7482" t="s">
        <v>67</v>
      </c>
      <c r="F7482" t="s">
        <v>45</v>
      </c>
      <c r="G7482" s="117">
        <v>10.58</v>
      </c>
    </row>
    <row r="7483" spans="1:7" x14ac:dyDescent="0.25">
      <c r="A7483" s="116" t="s">
        <v>12026</v>
      </c>
      <c r="B7483" s="117" t="s">
        <v>12027</v>
      </c>
      <c r="C7483" t="s">
        <v>67</v>
      </c>
      <c r="D7483" t="s">
        <v>67</v>
      </c>
      <c r="E7483" t="s">
        <v>67</v>
      </c>
      <c r="F7483" t="s">
        <v>45</v>
      </c>
      <c r="G7483" s="117">
        <v>10.58</v>
      </c>
    </row>
    <row r="7484" spans="1:7" x14ac:dyDescent="0.25">
      <c r="A7484" s="116" t="s">
        <v>12028</v>
      </c>
      <c r="B7484" s="117" t="s">
        <v>12029</v>
      </c>
      <c r="C7484" t="s">
        <v>67</v>
      </c>
      <c r="D7484" t="s">
        <v>67</v>
      </c>
      <c r="E7484" t="s">
        <v>67</v>
      </c>
      <c r="F7484" t="s">
        <v>45</v>
      </c>
      <c r="G7484" s="117">
        <v>36.93</v>
      </c>
    </row>
    <row r="7485" spans="1:7" x14ac:dyDescent="0.25">
      <c r="A7485" s="116" t="s">
        <v>12030</v>
      </c>
      <c r="B7485" s="117" t="s">
        <v>12031</v>
      </c>
      <c r="C7485" t="s">
        <v>67</v>
      </c>
      <c r="D7485" t="s">
        <v>67</v>
      </c>
      <c r="E7485" t="s">
        <v>67</v>
      </c>
      <c r="F7485" t="s">
        <v>45</v>
      </c>
      <c r="G7485" s="117">
        <v>44.4</v>
      </c>
    </row>
    <row r="7486" spans="1:7" x14ac:dyDescent="0.25">
      <c r="A7486" s="116" t="s">
        <v>12032</v>
      </c>
      <c r="B7486" s="117" t="s">
        <v>12033</v>
      </c>
      <c r="C7486" t="s">
        <v>67</v>
      </c>
      <c r="D7486" t="s">
        <v>67</v>
      </c>
      <c r="E7486" t="s">
        <v>67</v>
      </c>
      <c r="F7486" t="s">
        <v>45</v>
      </c>
      <c r="G7486" s="117">
        <v>131.25</v>
      </c>
    </row>
    <row r="7487" spans="1:7" x14ac:dyDescent="0.25">
      <c r="A7487" s="116" t="s">
        <v>12034</v>
      </c>
      <c r="B7487" s="117" t="s">
        <v>12035</v>
      </c>
      <c r="C7487" t="s">
        <v>67</v>
      </c>
      <c r="D7487" t="s">
        <v>67</v>
      </c>
      <c r="E7487" t="s">
        <v>67</v>
      </c>
      <c r="F7487" t="s">
        <v>45</v>
      </c>
      <c r="G7487" s="117">
        <v>22.69</v>
      </c>
    </row>
    <row r="7488" spans="1:7" x14ac:dyDescent="0.25">
      <c r="A7488" s="116" t="s">
        <v>12036</v>
      </c>
      <c r="B7488" s="117" t="s">
        <v>12037</v>
      </c>
      <c r="C7488" t="s">
        <v>67</v>
      </c>
      <c r="D7488" t="s">
        <v>67</v>
      </c>
      <c r="E7488" t="s">
        <v>67</v>
      </c>
      <c r="F7488" t="s">
        <v>45</v>
      </c>
      <c r="G7488" s="117">
        <v>154.74</v>
      </c>
    </row>
    <row r="7489" spans="1:7" x14ac:dyDescent="0.25">
      <c r="A7489" s="116" t="s">
        <v>12038</v>
      </c>
      <c r="B7489" s="117" t="s">
        <v>12039</v>
      </c>
      <c r="C7489" t="s">
        <v>67</v>
      </c>
      <c r="D7489" t="s">
        <v>67</v>
      </c>
      <c r="E7489" t="s">
        <v>67</v>
      </c>
      <c r="F7489" t="s">
        <v>27987</v>
      </c>
      <c r="G7489" s="117">
        <v>87.12</v>
      </c>
    </row>
    <row r="7490" spans="1:7" x14ac:dyDescent="0.25">
      <c r="A7490" s="116" t="s">
        <v>12040</v>
      </c>
      <c r="B7490" s="117" t="s">
        <v>12041</v>
      </c>
      <c r="C7490" t="s">
        <v>67</v>
      </c>
      <c r="D7490" t="s">
        <v>67</v>
      </c>
      <c r="E7490" t="s">
        <v>67</v>
      </c>
      <c r="F7490" t="s">
        <v>45</v>
      </c>
      <c r="G7490" s="117">
        <v>49.74</v>
      </c>
    </row>
    <row r="7491" spans="1:7" x14ac:dyDescent="0.25">
      <c r="A7491" s="116" t="s">
        <v>12042</v>
      </c>
      <c r="B7491" s="117" t="s">
        <v>28925</v>
      </c>
      <c r="C7491" t="s">
        <v>67</v>
      </c>
      <c r="D7491" t="s">
        <v>67</v>
      </c>
      <c r="E7491" t="s">
        <v>67</v>
      </c>
      <c r="F7491" t="s">
        <v>27987</v>
      </c>
      <c r="G7491" s="117">
        <v>60.42</v>
      </c>
    </row>
    <row r="7492" spans="1:7" x14ac:dyDescent="0.25">
      <c r="A7492" s="116" t="s">
        <v>12043</v>
      </c>
      <c r="B7492" s="117" t="s">
        <v>12044</v>
      </c>
      <c r="C7492" t="s">
        <v>67</v>
      </c>
      <c r="D7492" t="s">
        <v>67</v>
      </c>
      <c r="E7492" t="s">
        <v>67</v>
      </c>
      <c r="F7492" t="s">
        <v>45</v>
      </c>
      <c r="G7492" s="117">
        <v>21.26</v>
      </c>
    </row>
    <row r="7493" spans="1:7" x14ac:dyDescent="0.25">
      <c r="A7493" s="116" t="s">
        <v>12045</v>
      </c>
      <c r="B7493" s="117" t="s">
        <v>12046</v>
      </c>
      <c r="C7493" t="s">
        <v>67</v>
      </c>
      <c r="D7493" t="s">
        <v>67</v>
      </c>
      <c r="E7493" t="s">
        <v>67</v>
      </c>
      <c r="F7493" t="s">
        <v>27987</v>
      </c>
      <c r="G7493" s="117">
        <v>3.12</v>
      </c>
    </row>
    <row r="7494" spans="1:7" x14ac:dyDescent="0.25">
      <c r="A7494" s="116" t="s">
        <v>12047</v>
      </c>
      <c r="B7494" s="117" t="s">
        <v>12048</v>
      </c>
      <c r="C7494" t="s">
        <v>67</v>
      </c>
      <c r="D7494" t="s">
        <v>67</v>
      </c>
      <c r="E7494" t="s">
        <v>67</v>
      </c>
      <c r="F7494" t="s">
        <v>27987</v>
      </c>
      <c r="G7494" s="117">
        <v>60.06</v>
      </c>
    </row>
    <row r="7495" spans="1:7" x14ac:dyDescent="0.25">
      <c r="A7495" s="116" t="s">
        <v>12049</v>
      </c>
      <c r="B7495" s="117" t="s">
        <v>12050</v>
      </c>
      <c r="C7495" t="s">
        <v>67</v>
      </c>
      <c r="D7495" t="s">
        <v>67</v>
      </c>
      <c r="E7495" t="s">
        <v>67</v>
      </c>
      <c r="F7495" t="s">
        <v>45</v>
      </c>
      <c r="G7495" s="117">
        <v>10.58</v>
      </c>
    </row>
    <row r="7496" spans="1:7" x14ac:dyDescent="0.25">
      <c r="A7496" s="116" t="s">
        <v>12051</v>
      </c>
      <c r="B7496" s="117" t="s">
        <v>12052</v>
      </c>
      <c r="C7496" t="s">
        <v>67</v>
      </c>
      <c r="D7496" t="s">
        <v>67</v>
      </c>
      <c r="E7496" t="s">
        <v>67</v>
      </c>
      <c r="F7496" t="s">
        <v>27987</v>
      </c>
      <c r="G7496" s="117">
        <v>15.57</v>
      </c>
    </row>
    <row r="7497" spans="1:7" x14ac:dyDescent="0.25">
      <c r="A7497" s="116" t="s">
        <v>12053</v>
      </c>
      <c r="B7497" s="117" t="s">
        <v>12054</v>
      </c>
      <c r="C7497" t="s">
        <v>67</v>
      </c>
      <c r="D7497" t="s">
        <v>67</v>
      </c>
      <c r="E7497" t="s">
        <v>67</v>
      </c>
      <c r="F7497" t="s">
        <v>27987</v>
      </c>
      <c r="G7497" s="117">
        <v>16.82</v>
      </c>
    </row>
    <row r="7498" spans="1:7" x14ac:dyDescent="0.25">
      <c r="A7498" s="116" t="s">
        <v>12055</v>
      </c>
      <c r="B7498" s="117" t="s">
        <v>12056</v>
      </c>
      <c r="C7498" t="s">
        <v>67</v>
      </c>
      <c r="D7498" t="s">
        <v>67</v>
      </c>
      <c r="E7498" t="s">
        <v>67</v>
      </c>
      <c r="F7498" t="s">
        <v>27987</v>
      </c>
      <c r="G7498" s="117">
        <v>24.82</v>
      </c>
    </row>
    <row r="7499" spans="1:7" x14ac:dyDescent="0.25">
      <c r="A7499" s="116" t="s">
        <v>12057</v>
      </c>
      <c r="B7499" s="117" t="s">
        <v>12058</v>
      </c>
      <c r="C7499" t="s">
        <v>67</v>
      </c>
      <c r="D7499" t="s">
        <v>67</v>
      </c>
      <c r="E7499" t="s">
        <v>67</v>
      </c>
      <c r="F7499" t="s">
        <v>27987</v>
      </c>
      <c r="G7499" s="117">
        <v>6.68</v>
      </c>
    </row>
    <row r="7500" spans="1:7" x14ac:dyDescent="0.25">
      <c r="A7500" s="116" t="s">
        <v>12059</v>
      </c>
      <c r="B7500" s="117" t="s">
        <v>12060</v>
      </c>
      <c r="C7500" t="s">
        <v>67</v>
      </c>
      <c r="D7500" t="s">
        <v>67</v>
      </c>
      <c r="E7500" t="s">
        <v>67</v>
      </c>
      <c r="F7500" t="s">
        <v>27987</v>
      </c>
      <c r="G7500" s="117">
        <v>60.95</v>
      </c>
    </row>
    <row r="7501" spans="1:7" x14ac:dyDescent="0.25">
      <c r="A7501" s="116" t="s">
        <v>12061</v>
      </c>
      <c r="B7501" s="117" t="s">
        <v>12062</v>
      </c>
      <c r="C7501" t="s">
        <v>67</v>
      </c>
      <c r="D7501" t="s">
        <v>67</v>
      </c>
      <c r="E7501" t="s">
        <v>67</v>
      </c>
      <c r="F7501" t="s">
        <v>27987</v>
      </c>
      <c r="G7501" s="117">
        <v>288.20999999999998</v>
      </c>
    </row>
    <row r="7502" spans="1:7" x14ac:dyDescent="0.25">
      <c r="A7502" s="116" t="s">
        <v>12063</v>
      </c>
      <c r="B7502" s="117" t="s">
        <v>12064</v>
      </c>
      <c r="C7502" t="s">
        <v>67</v>
      </c>
      <c r="D7502" t="s">
        <v>67</v>
      </c>
      <c r="E7502" t="s">
        <v>67</v>
      </c>
      <c r="F7502" t="s">
        <v>27987</v>
      </c>
      <c r="G7502" s="117">
        <v>36.93</v>
      </c>
    </row>
    <row r="7503" spans="1:7" x14ac:dyDescent="0.25">
      <c r="A7503" s="116" t="s">
        <v>12065</v>
      </c>
      <c r="B7503" s="117" t="s">
        <v>12066</v>
      </c>
      <c r="C7503" t="s">
        <v>67</v>
      </c>
      <c r="D7503" t="s">
        <v>67</v>
      </c>
      <c r="E7503" t="s">
        <v>67</v>
      </c>
      <c r="F7503" t="s">
        <v>45</v>
      </c>
      <c r="G7503" s="117">
        <v>75.55</v>
      </c>
    </row>
    <row r="7504" spans="1:7" x14ac:dyDescent="0.25">
      <c r="A7504" s="116" t="s">
        <v>12067</v>
      </c>
      <c r="B7504" s="117" t="s">
        <v>11116</v>
      </c>
      <c r="C7504" t="s">
        <v>67</v>
      </c>
      <c r="D7504" t="s">
        <v>67</v>
      </c>
      <c r="E7504" t="s">
        <v>67</v>
      </c>
      <c r="F7504" t="s">
        <v>45</v>
      </c>
      <c r="G7504" s="117">
        <v>27.14</v>
      </c>
    </row>
    <row r="7505" spans="1:7" x14ac:dyDescent="0.25">
      <c r="A7505" s="116" t="s">
        <v>12068</v>
      </c>
      <c r="B7505" s="117" t="s">
        <v>12069</v>
      </c>
      <c r="C7505" t="s">
        <v>67</v>
      </c>
      <c r="D7505" t="s">
        <v>67</v>
      </c>
      <c r="E7505" t="s">
        <v>67</v>
      </c>
      <c r="F7505" t="s">
        <v>27987</v>
      </c>
      <c r="G7505" s="117">
        <v>17.7</v>
      </c>
    </row>
    <row r="7506" spans="1:7" x14ac:dyDescent="0.25">
      <c r="A7506" s="116" t="s">
        <v>12070</v>
      </c>
      <c r="B7506" s="117" t="s">
        <v>12071</v>
      </c>
      <c r="C7506" t="s">
        <v>67</v>
      </c>
      <c r="D7506" t="s">
        <v>67</v>
      </c>
      <c r="E7506" t="s">
        <v>67</v>
      </c>
      <c r="F7506" t="s">
        <v>49</v>
      </c>
      <c r="G7506" s="117">
        <v>3.48</v>
      </c>
    </row>
    <row r="7507" spans="1:7" x14ac:dyDescent="0.25">
      <c r="A7507" s="116" t="s">
        <v>12072</v>
      </c>
      <c r="B7507" s="117" t="s">
        <v>12073</v>
      </c>
      <c r="C7507" t="s">
        <v>67</v>
      </c>
      <c r="D7507" t="s">
        <v>67</v>
      </c>
      <c r="E7507" t="s">
        <v>67</v>
      </c>
      <c r="F7507" t="s">
        <v>45</v>
      </c>
      <c r="G7507" s="117">
        <v>31.94</v>
      </c>
    </row>
    <row r="7508" spans="1:7" x14ac:dyDescent="0.25">
      <c r="A7508" s="116" t="s">
        <v>12074</v>
      </c>
      <c r="B7508" s="117" t="s">
        <v>2881</v>
      </c>
      <c r="C7508" t="s">
        <v>67</v>
      </c>
      <c r="D7508" t="s">
        <v>67</v>
      </c>
      <c r="E7508" t="s">
        <v>67</v>
      </c>
      <c r="F7508" t="s">
        <v>27987</v>
      </c>
      <c r="G7508" s="117">
        <v>16.82</v>
      </c>
    </row>
    <row r="7509" spans="1:7" x14ac:dyDescent="0.25">
      <c r="A7509" s="116" t="s">
        <v>26680</v>
      </c>
      <c r="B7509" s="117" t="s">
        <v>26681</v>
      </c>
      <c r="C7509" t="s">
        <v>67</v>
      </c>
      <c r="D7509" t="s">
        <v>67</v>
      </c>
      <c r="E7509" t="s">
        <v>67</v>
      </c>
      <c r="F7509" t="s">
        <v>45</v>
      </c>
      <c r="G7509" s="117">
        <v>40.06</v>
      </c>
    </row>
    <row r="7510" spans="1:7" x14ac:dyDescent="0.25">
      <c r="A7510" s="116" t="s">
        <v>12075</v>
      </c>
      <c r="B7510" s="117" t="s">
        <v>12076</v>
      </c>
      <c r="C7510" t="s">
        <v>67</v>
      </c>
      <c r="D7510" t="s">
        <v>67</v>
      </c>
      <c r="E7510" t="s">
        <v>67</v>
      </c>
      <c r="F7510" t="s">
        <v>27987</v>
      </c>
      <c r="G7510" s="117">
        <v>2.89</v>
      </c>
    </row>
    <row r="7511" spans="1:7" x14ac:dyDescent="0.25">
      <c r="A7511" s="116" t="s">
        <v>12077</v>
      </c>
      <c r="B7511" s="117" t="s">
        <v>12078</v>
      </c>
      <c r="C7511" t="s">
        <v>67</v>
      </c>
      <c r="D7511" t="s">
        <v>67</v>
      </c>
      <c r="E7511" t="s">
        <v>67</v>
      </c>
      <c r="F7511" t="s">
        <v>27987</v>
      </c>
      <c r="G7511" s="117">
        <v>16.5</v>
      </c>
    </row>
    <row r="7512" spans="1:7" x14ac:dyDescent="0.25">
      <c r="A7512" s="116" t="s">
        <v>12079</v>
      </c>
      <c r="B7512" s="117" t="s">
        <v>12080</v>
      </c>
      <c r="C7512" t="s">
        <v>67</v>
      </c>
      <c r="D7512" t="s">
        <v>67</v>
      </c>
      <c r="E7512" t="s">
        <v>67</v>
      </c>
      <c r="F7512" t="s">
        <v>45</v>
      </c>
      <c r="G7512" s="117">
        <v>49.74</v>
      </c>
    </row>
    <row r="7513" spans="1:7" x14ac:dyDescent="0.25">
      <c r="A7513" s="116" t="s">
        <v>30180</v>
      </c>
      <c r="B7513" s="117" t="s">
        <v>8831</v>
      </c>
      <c r="C7513" t="s">
        <v>67</v>
      </c>
      <c r="D7513" t="s">
        <v>67</v>
      </c>
      <c r="E7513" t="s">
        <v>67</v>
      </c>
      <c r="F7513" t="s">
        <v>27987</v>
      </c>
      <c r="G7513" s="117">
        <v>1.5</v>
      </c>
    </row>
    <row r="7514" spans="1:7" x14ac:dyDescent="0.25">
      <c r="A7514" s="116" t="s">
        <v>12081</v>
      </c>
      <c r="B7514" s="117" t="s">
        <v>12082</v>
      </c>
      <c r="C7514" t="s">
        <v>67</v>
      </c>
      <c r="D7514" t="s">
        <v>67</v>
      </c>
      <c r="E7514" t="s">
        <v>67</v>
      </c>
      <c r="F7514" t="s">
        <v>45</v>
      </c>
      <c r="G7514" s="117">
        <v>15.57</v>
      </c>
    </row>
    <row r="7515" spans="1:7" x14ac:dyDescent="0.25">
      <c r="A7515" s="116" t="s">
        <v>12083</v>
      </c>
      <c r="B7515" s="117" t="s">
        <v>12084</v>
      </c>
      <c r="C7515" t="s">
        <v>67</v>
      </c>
      <c r="D7515" t="s">
        <v>67</v>
      </c>
      <c r="E7515" t="s">
        <v>67</v>
      </c>
      <c r="F7515" t="s">
        <v>27987</v>
      </c>
      <c r="G7515" s="117">
        <v>10.16</v>
      </c>
    </row>
    <row r="7516" spans="1:7" x14ac:dyDescent="0.25">
      <c r="A7516" s="116" t="s">
        <v>12085</v>
      </c>
      <c r="B7516" s="117" t="s">
        <v>12086</v>
      </c>
      <c r="C7516" t="s">
        <v>67</v>
      </c>
      <c r="D7516" t="s">
        <v>67</v>
      </c>
      <c r="E7516" t="s">
        <v>67</v>
      </c>
      <c r="F7516" t="s">
        <v>27987</v>
      </c>
      <c r="G7516" s="117">
        <v>7.12</v>
      </c>
    </row>
    <row r="7517" spans="1:7" x14ac:dyDescent="0.25">
      <c r="A7517" s="116" t="s">
        <v>12087</v>
      </c>
      <c r="B7517" s="117" t="s">
        <v>2881</v>
      </c>
      <c r="C7517" t="s">
        <v>67</v>
      </c>
      <c r="D7517" t="s">
        <v>67</v>
      </c>
      <c r="E7517" t="s">
        <v>67</v>
      </c>
      <c r="F7517" t="s">
        <v>27987</v>
      </c>
      <c r="G7517" s="117">
        <v>51.17</v>
      </c>
    </row>
    <row r="7518" spans="1:7" x14ac:dyDescent="0.25">
      <c r="A7518" s="116" t="s">
        <v>12088</v>
      </c>
      <c r="B7518" s="117" t="s">
        <v>2881</v>
      </c>
      <c r="C7518" t="s">
        <v>67</v>
      </c>
      <c r="D7518" t="s">
        <v>67</v>
      </c>
      <c r="E7518" t="s">
        <v>67</v>
      </c>
      <c r="F7518" t="s">
        <v>27987</v>
      </c>
      <c r="G7518" s="117">
        <v>22.69</v>
      </c>
    </row>
    <row r="7519" spans="1:7" x14ac:dyDescent="0.25">
      <c r="A7519" s="116" t="s">
        <v>12089</v>
      </c>
      <c r="B7519" s="117" t="s">
        <v>8452</v>
      </c>
      <c r="C7519" t="s">
        <v>67</v>
      </c>
      <c r="D7519" t="s">
        <v>67</v>
      </c>
      <c r="E7519" t="s">
        <v>67</v>
      </c>
      <c r="F7519" t="s">
        <v>27987</v>
      </c>
      <c r="G7519" s="117">
        <v>3.56</v>
      </c>
    </row>
    <row r="7520" spans="1:7" x14ac:dyDescent="0.25">
      <c r="A7520" s="116" t="s">
        <v>12090</v>
      </c>
      <c r="B7520" s="117" t="s">
        <v>11633</v>
      </c>
      <c r="C7520" t="s">
        <v>67</v>
      </c>
      <c r="D7520" t="s">
        <v>67</v>
      </c>
      <c r="E7520" t="s">
        <v>67</v>
      </c>
      <c r="F7520" t="s">
        <v>27987</v>
      </c>
      <c r="G7520" s="117">
        <v>3.12</v>
      </c>
    </row>
    <row r="7521" spans="1:7" x14ac:dyDescent="0.25">
      <c r="A7521" s="116" t="s">
        <v>12091</v>
      </c>
      <c r="B7521" s="117" t="s">
        <v>12092</v>
      </c>
      <c r="C7521" t="s">
        <v>67</v>
      </c>
      <c r="D7521" t="s">
        <v>67</v>
      </c>
      <c r="E7521" t="s">
        <v>67</v>
      </c>
      <c r="F7521" t="s">
        <v>27987</v>
      </c>
      <c r="G7521" s="117">
        <v>3.12</v>
      </c>
    </row>
    <row r="7522" spans="1:7" x14ac:dyDescent="0.25">
      <c r="A7522" s="116" t="s">
        <v>12093</v>
      </c>
      <c r="B7522" s="117" t="s">
        <v>12094</v>
      </c>
      <c r="C7522" t="s">
        <v>67</v>
      </c>
      <c r="D7522" t="s">
        <v>67</v>
      </c>
      <c r="E7522" t="s">
        <v>67</v>
      </c>
      <c r="F7522" t="s">
        <v>45</v>
      </c>
      <c r="G7522" s="117">
        <v>4.8899999999999997</v>
      </c>
    </row>
    <row r="7523" spans="1:7" x14ac:dyDescent="0.25">
      <c r="A7523" s="116" t="s">
        <v>12095</v>
      </c>
      <c r="B7523" s="117" t="s">
        <v>12096</v>
      </c>
      <c r="C7523" t="s">
        <v>67</v>
      </c>
      <c r="D7523" t="s">
        <v>67</v>
      </c>
      <c r="E7523" t="s">
        <v>67</v>
      </c>
      <c r="F7523" t="s">
        <v>27987</v>
      </c>
      <c r="G7523" s="117">
        <v>7.12</v>
      </c>
    </row>
    <row r="7524" spans="1:7" x14ac:dyDescent="0.25">
      <c r="A7524" s="116" t="s">
        <v>12097</v>
      </c>
      <c r="B7524" s="117" t="s">
        <v>2881</v>
      </c>
      <c r="C7524" t="s">
        <v>67</v>
      </c>
      <c r="D7524" t="s">
        <v>67</v>
      </c>
      <c r="E7524" t="s">
        <v>67</v>
      </c>
      <c r="F7524" t="s">
        <v>27987</v>
      </c>
      <c r="G7524" s="117">
        <v>6.14</v>
      </c>
    </row>
    <row r="7525" spans="1:7" x14ac:dyDescent="0.25">
      <c r="A7525" s="116" t="s">
        <v>12098</v>
      </c>
      <c r="B7525" s="117" t="s">
        <v>12099</v>
      </c>
      <c r="C7525" t="s">
        <v>67</v>
      </c>
      <c r="D7525" t="s">
        <v>67</v>
      </c>
      <c r="E7525" t="s">
        <v>67</v>
      </c>
      <c r="F7525" t="s">
        <v>27987</v>
      </c>
      <c r="G7525" s="117">
        <v>8.4499999999999993</v>
      </c>
    </row>
    <row r="7526" spans="1:7" x14ac:dyDescent="0.25">
      <c r="A7526" s="116" t="s">
        <v>12100</v>
      </c>
      <c r="B7526" s="117" t="s">
        <v>12101</v>
      </c>
      <c r="C7526" t="s">
        <v>67</v>
      </c>
      <c r="D7526" t="s">
        <v>67</v>
      </c>
      <c r="E7526" t="s">
        <v>67</v>
      </c>
      <c r="F7526" t="s">
        <v>27987</v>
      </c>
      <c r="G7526" s="117">
        <v>3.12</v>
      </c>
    </row>
    <row r="7527" spans="1:7" x14ac:dyDescent="0.25">
      <c r="A7527" s="116" t="s">
        <v>12102</v>
      </c>
      <c r="B7527" s="117" t="s">
        <v>12103</v>
      </c>
      <c r="C7527" t="s">
        <v>67</v>
      </c>
      <c r="D7527" t="s">
        <v>67</v>
      </c>
      <c r="E7527" t="s">
        <v>67</v>
      </c>
      <c r="F7527" t="s">
        <v>45</v>
      </c>
      <c r="G7527" s="117">
        <v>24.82</v>
      </c>
    </row>
    <row r="7528" spans="1:7" x14ac:dyDescent="0.25">
      <c r="A7528" s="116" t="s">
        <v>12104</v>
      </c>
      <c r="B7528" s="117" t="s">
        <v>12105</v>
      </c>
      <c r="C7528" t="s">
        <v>67</v>
      </c>
      <c r="D7528" t="s">
        <v>67</v>
      </c>
      <c r="E7528" t="s">
        <v>67</v>
      </c>
      <c r="F7528" t="s">
        <v>27987</v>
      </c>
      <c r="G7528" s="117">
        <v>5.33</v>
      </c>
    </row>
    <row r="7529" spans="1:7" x14ac:dyDescent="0.25">
      <c r="A7529" s="116" t="s">
        <v>12106</v>
      </c>
      <c r="B7529" s="117" t="s">
        <v>12107</v>
      </c>
      <c r="C7529" t="s">
        <v>67</v>
      </c>
      <c r="D7529" t="s">
        <v>67</v>
      </c>
      <c r="E7529" t="s">
        <v>67</v>
      </c>
      <c r="F7529" t="s">
        <v>49</v>
      </c>
      <c r="G7529" s="117">
        <v>164.52</v>
      </c>
    </row>
    <row r="7530" spans="1:7" x14ac:dyDescent="0.25">
      <c r="A7530" s="116" t="s">
        <v>12108</v>
      </c>
      <c r="B7530" s="117" t="s">
        <v>12109</v>
      </c>
      <c r="C7530" t="s">
        <v>67</v>
      </c>
      <c r="D7530" t="s">
        <v>67</v>
      </c>
      <c r="E7530" t="s">
        <v>67</v>
      </c>
      <c r="F7530" t="s">
        <v>27987</v>
      </c>
      <c r="G7530" s="117">
        <v>9.6999999999999993</v>
      </c>
    </row>
    <row r="7531" spans="1:7" x14ac:dyDescent="0.25">
      <c r="A7531" s="116" t="s">
        <v>12110</v>
      </c>
      <c r="B7531" s="117" t="s">
        <v>12111</v>
      </c>
      <c r="C7531" t="s">
        <v>67</v>
      </c>
      <c r="D7531" t="s">
        <v>67</v>
      </c>
      <c r="E7531" t="s">
        <v>67</v>
      </c>
      <c r="F7531" t="s">
        <v>27987</v>
      </c>
      <c r="G7531" s="117">
        <v>7.12</v>
      </c>
    </row>
    <row r="7532" spans="1:7" x14ac:dyDescent="0.25">
      <c r="A7532" s="116" t="s">
        <v>12112</v>
      </c>
      <c r="B7532" s="117" t="s">
        <v>12113</v>
      </c>
      <c r="C7532" t="s">
        <v>67</v>
      </c>
      <c r="D7532" t="s">
        <v>67</v>
      </c>
      <c r="E7532" t="s">
        <v>67</v>
      </c>
      <c r="F7532" t="s">
        <v>27987</v>
      </c>
      <c r="G7532" s="117">
        <v>8.4499999999999993</v>
      </c>
    </row>
    <row r="7533" spans="1:7" x14ac:dyDescent="0.25">
      <c r="A7533" s="116" t="s">
        <v>12114</v>
      </c>
      <c r="B7533" s="117" t="s">
        <v>12115</v>
      </c>
      <c r="C7533" t="s">
        <v>67</v>
      </c>
      <c r="D7533" t="s">
        <v>67</v>
      </c>
      <c r="E7533" t="s">
        <v>67</v>
      </c>
      <c r="F7533" t="s">
        <v>27987</v>
      </c>
      <c r="G7533" s="117">
        <v>132.13999999999999</v>
      </c>
    </row>
    <row r="7534" spans="1:7" x14ac:dyDescent="0.25">
      <c r="A7534" s="116" t="s">
        <v>12116</v>
      </c>
      <c r="B7534" s="117" t="s">
        <v>12117</v>
      </c>
      <c r="C7534" t="s">
        <v>67</v>
      </c>
      <c r="D7534" t="s">
        <v>67</v>
      </c>
      <c r="E7534" t="s">
        <v>67</v>
      </c>
      <c r="F7534" t="s">
        <v>27987</v>
      </c>
      <c r="G7534" s="117">
        <v>11.12</v>
      </c>
    </row>
    <row r="7535" spans="1:7" x14ac:dyDescent="0.25">
      <c r="A7535" s="116" t="s">
        <v>12118</v>
      </c>
      <c r="B7535" s="117" t="s">
        <v>12119</v>
      </c>
      <c r="C7535" t="s">
        <v>67</v>
      </c>
      <c r="D7535" t="s">
        <v>67</v>
      </c>
      <c r="E7535" t="s">
        <v>67</v>
      </c>
      <c r="F7535" t="s">
        <v>27987</v>
      </c>
      <c r="G7535" s="117">
        <v>335.38</v>
      </c>
    </row>
    <row r="7536" spans="1:7" x14ac:dyDescent="0.25">
      <c r="A7536" s="116" t="s">
        <v>12120</v>
      </c>
      <c r="B7536" s="117" t="s">
        <v>12121</v>
      </c>
      <c r="C7536" t="s">
        <v>67</v>
      </c>
      <c r="D7536" t="s">
        <v>67</v>
      </c>
      <c r="E7536" t="s">
        <v>67</v>
      </c>
      <c r="F7536" t="s">
        <v>27987</v>
      </c>
      <c r="G7536" s="117">
        <v>130.36000000000001</v>
      </c>
    </row>
    <row r="7537" spans="1:7" x14ac:dyDescent="0.25">
      <c r="A7537" s="116" t="s">
        <v>12122</v>
      </c>
      <c r="B7537" s="117" t="s">
        <v>2881</v>
      </c>
      <c r="C7537" t="s">
        <v>67</v>
      </c>
      <c r="D7537" t="s">
        <v>67</v>
      </c>
      <c r="E7537" t="s">
        <v>67</v>
      </c>
      <c r="F7537" t="s">
        <v>27987</v>
      </c>
      <c r="G7537" s="117">
        <v>83.56</v>
      </c>
    </row>
    <row r="7538" spans="1:7" x14ac:dyDescent="0.25">
      <c r="A7538" s="116" t="s">
        <v>12123</v>
      </c>
      <c r="B7538" s="117" t="s">
        <v>12124</v>
      </c>
      <c r="C7538" t="s">
        <v>67</v>
      </c>
      <c r="D7538" t="s">
        <v>67</v>
      </c>
      <c r="E7538" t="s">
        <v>67</v>
      </c>
      <c r="F7538" t="s">
        <v>27987</v>
      </c>
      <c r="G7538" s="117">
        <v>96.9</v>
      </c>
    </row>
    <row r="7539" spans="1:7" x14ac:dyDescent="0.25">
      <c r="A7539" s="116" t="s">
        <v>12125</v>
      </c>
      <c r="B7539" s="117" t="s">
        <v>12126</v>
      </c>
      <c r="C7539" t="s">
        <v>67</v>
      </c>
      <c r="D7539" t="s">
        <v>67</v>
      </c>
      <c r="E7539" t="s">
        <v>67</v>
      </c>
      <c r="F7539" t="s">
        <v>27987</v>
      </c>
      <c r="G7539" s="117">
        <v>19.489999999999998</v>
      </c>
    </row>
    <row r="7540" spans="1:7" x14ac:dyDescent="0.25">
      <c r="A7540" s="116" t="s">
        <v>12127</v>
      </c>
      <c r="B7540" s="117" t="s">
        <v>12128</v>
      </c>
      <c r="C7540" t="s">
        <v>67</v>
      </c>
      <c r="D7540" t="s">
        <v>67</v>
      </c>
      <c r="E7540" t="s">
        <v>67</v>
      </c>
      <c r="F7540" t="s">
        <v>27987</v>
      </c>
      <c r="G7540" s="117">
        <v>8.66</v>
      </c>
    </row>
    <row r="7541" spans="1:7" x14ac:dyDescent="0.25">
      <c r="A7541" s="116" t="s">
        <v>12129</v>
      </c>
      <c r="B7541" s="117" t="s">
        <v>12130</v>
      </c>
      <c r="C7541" t="s">
        <v>67</v>
      </c>
      <c r="D7541" t="s">
        <v>67</v>
      </c>
      <c r="E7541" t="s">
        <v>67</v>
      </c>
      <c r="F7541" t="s">
        <v>51</v>
      </c>
      <c r="G7541" s="117">
        <v>7.12</v>
      </c>
    </row>
    <row r="7542" spans="1:7" x14ac:dyDescent="0.25">
      <c r="A7542" s="116" t="s">
        <v>12131</v>
      </c>
      <c r="B7542" s="117" t="s">
        <v>11599</v>
      </c>
      <c r="C7542" t="s">
        <v>67</v>
      </c>
      <c r="D7542" t="s">
        <v>67</v>
      </c>
      <c r="E7542" t="s">
        <v>67</v>
      </c>
      <c r="F7542" t="s">
        <v>27987</v>
      </c>
      <c r="G7542" s="117">
        <v>31.94</v>
      </c>
    </row>
    <row r="7543" spans="1:7" x14ac:dyDescent="0.25">
      <c r="A7543" s="116" t="s">
        <v>12132</v>
      </c>
      <c r="B7543" s="117" t="s">
        <v>12133</v>
      </c>
      <c r="C7543" t="s">
        <v>67</v>
      </c>
      <c r="D7543" t="s">
        <v>67</v>
      </c>
      <c r="E7543" t="s">
        <v>67</v>
      </c>
      <c r="F7543" t="s">
        <v>27987</v>
      </c>
      <c r="G7543" s="117">
        <v>20.38</v>
      </c>
    </row>
    <row r="7544" spans="1:7" x14ac:dyDescent="0.25">
      <c r="A7544" s="116" t="s">
        <v>12134</v>
      </c>
      <c r="B7544" s="117" t="s">
        <v>12135</v>
      </c>
      <c r="C7544" t="s">
        <v>67</v>
      </c>
      <c r="D7544" t="s">
        <v>67</v>
      </c>
      <c r="E7544" t="s">
        <v>67</v>
      </c>
      <c r="F7544" t="s">
        <v>45</v>
      </c>
      <c r="G7544" s="117">
        <v>7.12</v>
      </c>
    </row>
    <row r="7545" spans="1:7" x14ac:dyDescent="0.25">
      <c r="A7545" s="116" t="s">
        <v>30198</v>
      </c>
      <c r="B7545" s="117" t="s">
        <v>12092</v>
      </c>
      <c r="C7545" t="s">
        <v>67</v>
      </c>
      <c r="D7545" t="s">
        <v>67</v>
      </c>
      <c r="E7545" t="s">
        <v>67</v>
      </c>
      <c r="F7545" t="s">
        <v>27987</v>
      </c>
      <c r="G7545" s="117">
        <v>7.2</v>
      </c>
    </row>
    <row r="7546" spans="1:7" x14ac:dyDescent="0.25">
      <c r="A7546" s="116" t="s">
        <v>12136</v>
      </c>
      <c r="B7546" s="117" t="s">
        <v>28926</v>
      </c>
      <c r="C7546" t="s">
        <v>67</v>
      </c>
      <c r="D7546" t="s">
        <v>67</v>
      </c>
      <c r="E7546" t="s">
        <v>67</v>
      </c>
      <c r="F7546" t="s">
        <v>27987</v>
      </c>
      <c r="G7546" s="117">
        <v>15.57</v>
      </c>
    </row>
    <row r="7547" spans="1:7" x14ac:dyDescent="0.25">
      <c r="A7547" s="116" t="s">
        <v>12137</v>
      </c>
      <c r="B7547" s="117" t="s">
        <v>11691</v>
      </c>
      <c r="C7547" t="s">
        <v>67</v>
      </c>
      <c r="D7547" t="s">
        <v>67</v>
      </c>
      <c r="E7547" t="s">
        <v>67</v>
      </c>
      <c r="F7547" t="s">
        <v>27987</v>
      </c>
      <c r="G7547" s="117">
        <v>67.540000000000006</v>
      </c>
    </row>
    <row r="7548" spans="1:7" x14ac:dyDescent="0.25">
      <c r="A7548" s="116" t="s">
        <v>12138</v>
      </c>
      <c r="B7548" s="117" t="s">
        <v>12139</v>
      </c>
      <c r="C7548" t="s">
        <v>67</v>
      </c>
      <c r="D7548" t="s">
        <v>67</v>
      </c>
      <c r="E7548" t="s">
        <v>67</v>
      </c>
      <c r="F7548" t="s">
        <v>45</v>
      </c>
      <c r="G7548" s="117">
        <v>6.14</v>
      </c>
    </row>
    <row r="7549" spans="1:7" x14ac:dyDescent="0.25">
      <c r="A7549" s="116" t="s">
        <v>12140</v>
      </c>
      <c r="B7549" s="117" t="s">
        <v>12141</v>
      </c>
      <c r="C7549" t="s">
        <v>67</v>
      </c>
      <c r="D7549" t="s">
        <v>67</v>
      </c>
      <c r="E7549" t="s">
        <v>67</v>
      </c>
      <c r="F7549" t="s">
        <v>27987</v>
      </c>
      <c r="G7549" s="117">
        <v>6.14</v>
      </c>
    </row>
    <row r="7550" spans="1:7" x14ac:dyDescent="0.25">
      <c r="A7550" s="116" t="s">
        <v>12142</v>
      </c>
      <c r="B7550" s="117" t="s">
        <v>12143</v>
      </c>
      <c r="C7550" t="s">
        <v>67</v>
      </c>
      <c r="D7550" t="s">
        <v>67</v>
      </c>
      <c r="E7550" t="s">
        <v>67</v>
      </c>
      <c r="F7550" t="s">
        <v>27987</v>
      </c>
      <c r="G7550" s="117">
        <v>88</v>
      </c>
    </row>
    <row r="7551" spans="1:7" x14ac:dyDescent="0.25">
      <c r="A7551" s="116" t="s">
        <v>12144</v>
      </c>
      <c r="B7551" s="117" t="s">
        <v>2881</v>
      </c>
      <c r="C7551" t="s">
        <v>67</v>
      </c>
      <c r="D7551" t="s">
        <v>67</v>
      </c>
      <c r="E7551" t="s">
        <v>67</v>
      </c>
      <c r="F7551" t="s">
        <v>27987</v>
      </c>
      <c r="G7551" s="117">
        <v>9.6999999999999993</v>
      </c>
    </row>
    <row r="7552" spans="1:7" x14ac:dyDescent="0.25">
      <c r="A7552" s="116" t="s">
        <v>12145</v>
      </c>
      <c r="B7552" s="117" t="s">
        <v>12146</v>
      </c>
      <c r="C7552" t="s">
        <v>67</v>
      </c>
      <c r="D7552" t="s">
        <v>67</v>
      </c>
      <c r="E7552" t="s">
        <v>67</v>
      </c>
      <c r="F7552" t="s">
        <v>27987</v>
      </c>
      <c r="G7552" s="117">
        <v>17.7</v>
      </c>
    </row>
    <row r="7553" spans="1:7" x14ac:dyDescent="0.25">
      <c r="A7553" s="116" t="s">
        <v>12147</v>
      </c>
      <c r="B7553" s="117" t="s">
        <v>12148</v>
      </c>
      <c r="C7553" t="s">
        <v>67</v>
      </c>
      <c r="D7553" t="s">
        <v>67</v>
      </c>
      <c r="E7553" t="s">
        <v>67</v>
      </c>
      <c r="F7553" t="s">
        <v>27987</v>
      </c>
      <c r="G7553" s="117">
        <v>21.26</v>
      </c>
    </row>
    <row r="7554" spans="1:7" x14ac:dyDescent="0.25">
      <c r="A7554" s="116" t="s">
        <v>30199</v>
      </c>
      <c r="B7554" s="117" t="s">
        <v>30200</v>
      </c>
      <c r="C7554" t="s">
        <v>67</v>
      </c>
      <c r="D7554" t="s">
        <v>67</v>
      </c>
      <c r="E7554" t="s">
        <v>67</v>
      </c>
      <c r="F7554" t="s">
        <v>27987</v>
      </c>
      <c r="G7554" s="117">
        <v>24</v>
      </c>
    </row>
    <row r="7555" spans="1:7" x14ac:dyDescent="0.25">
      <c r="A7555" s="116" t="s">
        <v>12149</v>
      </c>
      <c r="B7555" s="117" t="s">
        <v>2881</v>
      </c>
      <c r="C7555" t="s">
        <v>67</v>
      </c>
      <c r="D7555" t="s">
        <v>67</v>
      </c>
      <c r="E7555" t="s">
        <v>67</v>
      </c>
      <c r="F7555" t="s">
        <v>27987</v>
      </c>
      <c r="G7555" s="117">
        <v>76.98</v>
      </c>
    </row>
    <row r="7556" spans="1:7" x14ac:dyDescent="0.25">
      <c r="A7556" s="116" t="s">
        <v>12150</v>
      </c>
      <c r="B7556" s="117" t="s">
        <v>12151</v>
      </c>
      <c r="C7556" t="s">
        <v>67</v>
      </c>
      <c r="D7556" t="s">
        <v>67</v>
      </c>
      <c r="E7556" t="s">
        <v>67</v>
      </c>
      <c r="F7556" t="s">
        <v>27987</v>
      </c>
      <c r="G7556" s="117">
        <v>111.14</v>
      </c>
    </row>
    <row r="7557" spans="1:7" x14ac:dyDescent="0.25">
      <c r="A7557" s="116" t="s">
        <v>12152</v>
      </c>
      <c r="B7557" s="117" t="s">
        <v>12153</v>
      </c>
      <c r="C7557" t="s">
        <v>67</v>
      </c>
      <c r="D7557" t="s">
        <v>67</v>
      </c>
      <c r="E7557" t="s">
        <v>67</v>
      </c>
      <c r="F7557" t="s">
        <v>27987</v>
      </c>
      <c r="G7557" s="117">
        <v>14.14</v>
      </c>
    </row>
    <row r="7558" spans="1:7" x14ac:dyDescent="0.25">
      <c r="A7558" s="116" t="s">
        <v>12154</v>
      </c>
      <c r="B7558" s="117" t="s">
        <v>2881</v>
      </c>
      <c r="C7558" t="s">
        <v>67</v>
      </c>
      <c r="D7558" t="s">
        <v>67</v>
      </c>
      <c r="E7558" t="s">
        <v>67</v>
      </c>
      <c r="F7558" t="s">
        <v>45</v>
      </c>
      <c r="G7558" s="117">
        <v>17.7</v>
      </c>
    </row>
    <row r="7559" spans="1:7" x14ac:dyDescent="0.25">
      <c r="A7559" s="116" t="s">
        <v>12155</v>
      </c>
      <c r="B7559" s="117" t="s">
        <v>12086</v>
      </c>
      <c r="C7559" t="s">
        <v>67</v>
      </c>
      <c r="D7559" t="s">
        <v>67</v>
      </c>
      <c r="E7559" t="s">
        <v>67</v>
      </c>
      <c r="F7559" t="s">
        <v>45</v>
      </c>
      <c r="G7559" s="117">
        <v>7.12</v>
      </c>
    </row>
    <row r="7560" spans="1:7" x14ac:dyDescent="0.25">
      <c r="A7560" s="116" t="s">
        <v>12156</v>
      </c>
      <c r="B7560" s="117" t="s">
        <v>12157</v>
      </c>
      <c r="C7560" t="s">
        <v>67</v>
      </c>
      <c r="D7560" t="s">
        <v>67</v>
      </c>
      <c r="E7560" t="s">
        <v>67</v>
      </c>
      <c r="F7560" t="s">
        <v>51</v>
      </c>
      <c r="G7560" s="117">
        <v>52.46</v>
      </c>
    </row>
    <row r="7561" spans="1:7" x14ac:dyDescent="0.25">
      <c r="A7561" s="116" t="s">
        <v>12158</v>
      </c>
      <c r="B7561" s="117" t="s">
        <v>12159</v>
      </c>
      <c r="C7561" t="s">
        <v>67</v>
      </c>
      <c r="D7561" t="s">
        <v>67</v>
      </c>
      <c r="E7561" t="s">
        <v>67</v>
      </c>
      <c r="F7561" t="s">
        <v>27987</v>
      </c>
      <c r="G7561" s="117">
        <v>3.56</v>
      </c>
    </row>
    <row r="7562" spans="1:7" x14ac:dyDescent="0.25">
      <c r="A7562" s="116" t="s">
        <v>12160</v>
      </c>
      <c r="B7562" s="117" t="s">
        <v>12161</v>
      </c>
      <c r="C7562" t="s">
        <v>67</v>
      </c>
      <c r="D7562" t="s">
        <v>67</v>
      </c>
      <c r="E7562" t="s">
        <v>67</v>
      </c>
      <c r="F7562" t="s">
        <v>27987</v>
      </c>
      <c r="G7562" s="117">
        <v>43.16</v>
      </c>
    </row>
    <row r="7563" spans="1:7" x14ac:dyDescent="0.25">
      <c r="A7563" s="116" t="s">
        <v>28927</v>
      </c>
      <c r="B7563" s="117" t="s">
        <v>30733</v>
      </c>
      <c r="C7563" t="s">
        <v>67</v>
      </c>
      <c r="D7563" t="s">
        <v>67</v>
      </c>
      <c r="E7563" t="s">
        <v>67</v>
      </c>
      <c r="F7563" t="s">
        <v>27987</v>
      </c>
      <c r="G7563" s="117">
        <v>15</v>
      </c>
    </row>
    <row r="7564" spans="1:7" x14ac:dyDescent="0.25">
      <c r="A7564" s="116" t="s">
        <v>12162</v>
      </c>
      <c r="B7564" s="117" t="s">
        <v>12163</v>
      </c>
      <c r="C7564" t="s">
        <v>67</v>
      </c>
      <c r="D7564" t="s">
        <v>67</v>
      </c>
      <c r="E7564" t="s">
        <v>67</v>
      </c>
      <c r="F7564" t="s">
        <v>27987</v>
      </c>
      <c r="G7564" s="117">
        <v>10.58</v>
      </c>
    </row>
    <row r="7565" spans="1:7" x14ac:dyDescent="0.25">
      <c r="A7565" s="116" t="s">
        <v>12164</v>
      </c>
      <c r="B7565" s="117" t="s">
        <v>12165</v>
      </c>
      <c r="C7565" t="s">
        <v>67</v>
      </c>
      <c r="D7565" t="s">
        <v>67</v>
      </c>
      <c r="E7565" t="s">
        <v>67</v>
      </c>
      <c r="F7565" t="s">
        <v>27987</v>
      </c>
      <c r="G7565" s="117">
        <v>23.05</v>
      </c>
    </row>
    <row r="7566" spans="1:7" x14ac:dyDescent="0.25">
      <c r="A7566" s="116" t="s">
        <v>12166</v>
      </c>
      <c r="B7566" s="117" t="s">
        <v>12167</v>
      </c>
      <c r="C7566" t="s">
        <v>67</v>
      </c>
      <c r="D7566" t="s">
        <v>67</v>
      </c>
      <c r="E7566" t="s">
        <v>67</v>
      </c>
      <c r="F7566" t="s">
        <v>27987</v>
      </c>
      <c r="G7566" s="117">
        <v>44.4</v>
      </c>
    </row>
    <row r="7567" spans="1:7" x14ac:dyDescent="0.25">
      <c r="A7567" s="116" t="s">
        <v>12168</v>
      </c>
      <c r="B7567" s="117" t="s">
        <v>12169</v>
      </c>
      <c r="C7567" t="s">
        <v>67</v>
      </c>
      <c r="D7567" t="s">
        <v>67</v>
      </c>
      <c r="E7567" t="s">
        <v>67</v>
      </c>
      <c r="F7567" t="s">
        <v>45</v>
      </c>
      <c r="G7567" s="117">
        <v>49.74</v>
      </c>
    </row>
    <row r="7568" spans="1:7" x14ac:dyDescent="0.25">
      <c r="A7568" s="116" t="s">
        <v>12170</v>
      </c>
      <c r="B7568" s="117" t="s">
        <v>12171</v>
      </c>
      <c r="C7568" t="s">
        <v>67</v>
      </c>
      <c r="D7568" t="s">
        <v>67</v>
      </c>
      <c r="E7568" t="s">
        <v>67</v>
      </c>
      <c r="F7568" t="s">
        <v>45</v>
      </c>
      <c r="G7568" s="117">
        <v>15.57</v>
      </c>
    </row>
    <row r="7569" spans="1:7" x14ac:dyDescent="0.25">
      <c r="A7569" s="116" t="s">
        <v>12172</v>
      </c>
      <c r="B7569" s="117" t="s">
        <v>12173</v>
      </c>
      <c r="C7569" t="s">
        <v>67</v>
      </c>
      <c r="D7569" t="s">
        <v>67</v>
      </c>
      <c r="E7569" t="s">
        <v>67</v>
      </c>
      <c r="F7569" t="s">
        <v>45</v>
      </c>
      <c r="G7569" s="117">
        <v>3.56</v>
      </c>
    </row>
    <row r="7570" spans="1:7" x14ac:dyDescent="0.25">
      <c r="A7570" s="116" t="s">
        <v>12174</v>
      </c>
      <c r="B7570" s="117" t="s">
        <v>12175</v>
      </c>
      <c r="C7570" t="s">
        <v>67</v>
      </c>
      <c r="D7570" t="s">
        <v>67</v>
      </c>
      <c r="E7570" t="s">
        <v>67</v>
      </c>
      <c r="F7570" t="s">
        <v>49</v>
      </c>
      <c r="G7570" s="117">
        <v>6.14</v>
      </c>
    </row>
    <row r="7571" spans="1:7" x14ac:dyDescent="0.25">
      <c r="A7571" s="116" t="s">
        <v>12176</v>
      </c>
      <c r="B7571" s="117" t="s">
        <v>12177</v>
      </c>
      <c r="C7571" t="s">
        <v>67</v>
      </c>
      <c r="D7571" t="s">
        <v>67</v>
      </c>
      <c r="E7571" t="s">
        <v>67</v>
      </c>
      <c r="F7571" t="s">
        <v>45</v>
      </c>
      <c r="G7571" s="117">
        <v>13.26</v>
      </c>
    </row>
    <row r="7572" spans="1:7" x14ac:dyDescent="0.25">
      <c r="A7572" s="116" t="s">
        <v>12178</v>
      </c>
      <c r="B7572" s="117" t="s">
        <v>12179</v>
      </c>
      <c r="C7572" t="s">
        <v>67</v>
      </c>
      <c r="D7572" t="s">
        <v>67</v>
      </c>
      <c r="E7572" t="s">
        <v>67</v>
      </c>
      <c r="F7572" t="s">
        <v>27987</v>
      </c>
      <c r="G7572" s="117">
        <v>8.81</v>
      </c>
    </row>
    <row r="7573" spans="1:7" x14ac:dyDescent="0.25">
      <c r="A7573" s="116" t="s">
        <v>12180</v>
      </c>
      <c r="B7573" s="117" t="s">
        <v>12181</v>
      </c>
      <c r="C7573" t="s">
        <v>67</v>
      </c>
      <c r="D7573" t="s">
        <v>67</v>
      </c>
      <c r="E7573" t="s">
        <v>67</v>
      </c>
      <c r="F7573" t="s">
        <v>27987</v>
      </c>
      <c r="G7573" s="117">
        <v>10.24</v>
      </c>
    </row>
    <row r="7574" spans="1:7" x14ac:dyDescent="0.25">
      <c r="A7574" s="116" t="s">
        <v>12182</v>
      </c>
      <c r="B7574" s="117" t="s">
        <v>12183</v>
      </c>
      <c r="C7574" t="s">
        <v>67</v>
      </c>
      <c r="D7574" t="s">
        <v>67</v>
      </c>
      <c r="E7574" t="s">
        <v>67</v>
      </c>
      <c r="F7574" t="s">
        <v>27987</v>
      </c>
      <c r="G7574" s="117">
        <v>10.16</v>
      </c>
    </row>
    <row r="7575" spans="1:7" x14ac:dyDescent="0.25">
      <c r="A7575" s="116" t="s">
        <v>12184</v>
      </c>
      <c r="B7575" s="117" t="s">
        <v>12185</v>
      </c>
      <c r="C7575" t="s">
        <v>67</v>
      </c>
      <c r="D7575" t="s">
        <v>67</v>
      </c>
      <c r="E7575" t="s">
        <v>67</v>
      </c>
      <c r="F7575" t="s">
        <v>27987</v>
      </c>
      <c r="G7575" s="117">
        <v>15.57</v>
      </c>
    </row>
    <row r="7576" spans="1:7" x14ac:dyDescent="0.25">
      <c r="A7576" s="116" t="s">
        <v>12186</v>
      </c>
      <c r="B7576" s="117" t="s">
        <v>28928</v>
      </c>
      <c r="C7576" t="s">
        <v>67</v>
      </c>
      <c r="D7576" t="s">
        <v>67</v>
      </c>
      <c r="E7576" t="s">
        <v>67</v>
      </c>
      <c r="F7576" t="s">
        <v>51</v>
      </c>
      <c r="G7576" s="117">
        <v>35.51</v>
      </c>
    </row>
    <row r="7577" spans="1:7" x14ac:dyDescent="0.25">
      <c r="A7577" s="116" t="s">
        <v>12187</v>
      </c>
      <c r="B7577" s="117" t="s">
        <v>12188</v>
      </c>
      <c r="C7577" t="s">
        <v>67</v>
      </c>
      <c r="D7577" t="s">
        <v>67</v>
      </c>
      <c r="E7577" t="s">
        <v>67</v>
      </c>
      <c r="F7577" t="s">
        <v>27987</v>
      </c>
      <c r="G7577" s="117">
        <v>9.7899999999999991</v>
      </c>
    </row>
    <row r="7578" spans="1:7" x14ac:dyDescent="0.25">
      <c r="A7578" s="116" t="s">
        <v>12189</v>
      </c>
      <c r="B7578" s="117" t="s">
        <v>12190</v>
      </c>
      <c r="C7578" t="s">
        <v>67</v>
      </c>
      <c r="D7578" t="s">
        <v>67</v>
      </c>
      <c r="E7578" t="s">
        <v>67</v>
      </c>
      <c r="F7578" t="s">
        <v>27987</v>
      </c>
      <c r="G7578" s="117">
        <v>4</v>
      </c>
    </row>
    <row r="7579" spans="1:7" x14ac:dyDescent="0.25">
      <c r="A7579" s="116" t="s">
        <v>12191</v>
      </c>
      <c r="B7579" s="117" t="s">
        <v>12192</v>
      </c>
      <c r="C7579" t="s">
        <v>67</v>
      </c>
      <c r="D7579" t="s">
        <v>67</v>
      </c>
      <c r="E7579" t="s">
        <v>67</v>
      </c>
      <c r="F7579" t="s">
        <v>27987</v>
      </c>
      <c r="G7579" s="117">
        <v>4.3600000000000003</v>
      </c>
    </row>
    <row r="7580" spans="1:7" x14ac:dyDescent="0.25">
      <c r="A7580" s="116" t="s">
        <v>12193</v>
      </c>
      <c r="B7580" s="117" t="s">
        <v>481</v>
      </c>
      <c r="C7580" t="s">
        <v>67</v>
      </c>
      <c r="D7580" t="s">
        <v>67</v>
      </c>
      <c r="E7580" t="s">
        <v>67</v>
      </c>
      <c r="F7580" t="s">
        <v>27987</v>
      </c>
      <c r="G7580" s="117">
        <v>11.48</v>
      </c>
    </row>
    <row r="7581" spans="1:7" x14ac:dyDescent="0.25">
      <c r="A7581" s="116" t="s">
        <v>12194</v>
      </c>
      <c r="B7581" s="117" t="s">
        <v>12195</v>
      </c>
      <c r="C7581" t="s">
        <v>67</v>
      </c>
      <c r="D7581" t="s">
        <v>67</v>
      </c>
      <c r="E7581" t="s">
        <v>67</v>
      </c>
      <c r="F7581" t="s">
        <v>27987</v>
      </c>
      <c r="G7581" s="117">
        <v>23.94</v>
      </c>
    </row>
    <row r="7582" spans="1:7" x14ac:dyDescent="0.25">
      <c r="A7582" s="116" t="s">
        <v>12196</v>
      </c>
      <c r="B7582" s="117" t="s">
        <v>28867</v>
      </c>
      <c r="C7582" t="s">
        <v>67</v>
      </c>
      <c r="D7582" t="s">
        <v>67</v>
      </c>
      <c r="E7582" t="s">
        <v>67</v>
      </c>
      <c r="F7582" t="s">
        <v>27987</v>
      </c>
      <c r="G7582" s="117">
        <v>123.24</v>
      </c>
    </row>
    <row r="7583" spans="1:7" x14ac:dyDescent="0.25">
      <c r="A7583" s="116" t="s">
        <v>12197</v>
      </c>
      <c r="B7583" s="117" t="s">
        <v>12198</v>
      </c>
      <c r="C7583" t="s">
        <v>67</v>
      </c>
      <c r="D7583" t="s">
        <v>67</v>
      </c>
      <c r="E7583" t="s">
        <v>67</v>
      </c>
      <c r="F7583" t="s">
        <v>45</v>
      </c>
      <c r="G7583" s="117">
        <v>240.7</v>
      </c>
    </row>
    <row r="7584" spans="1:7" x14ac:dyDescent="0.25">
      <c r="A7584" s="116" t="s">
        <v>12199</v>
      </c>
      <c r="B7584" s="117" t="s">
        <v>12200</v>
      </c>
      <c r="C7584" t="s">
        <v>67</v>
      </c>
      <c r="D7584" t="s">
        <v>67</v>
      </c>
      <c r="E7584" t="s">
        <v>67</v>
      </c>
      <c r="F7584" t="s">
        <v>27987</v>
      </c>
      <c r="G7584" s="117">
        <v>19.13</v>
      </c>
    </row>
    <row r="7585" spans="1:7" x14ac:dyDescent="0.25">
      <c r="A7585" s="116" t="s">
        <v>12201</v>
      </c>
      <c r="B7585" s="117" t="s">
        <v>12202</v>
      </c>
      <c r="C7585" t="s">
        <v>67</v>
      </c>
      <c r="D7585" t="s">
        <v>67</v>
      </c>
      <c r="E7585" t="s">
        <v>67</v>
      </c>
      <c r="F7585" t="s">
        <v>45</v>
      </c>
      <c r="G7585" s="117">
        <v>72.88</v>
      </c>
    </row>
    <row r="7586" spans="1:7" x14ac:dyDescent="0.25">
      <c r="A7586" s="116" t="s">
        <v>12203</v>
      </c>
      <c r="B7586" s="117" t="s">
        <v>12204</v>
      </c>
      <c r="C7586" t="s">
        <v>67</v>
      </c>
      <c r="D7586" t="s">
        <v>67</v>
      </c>
      <c r="E7586" t="s">
        <v>67</v>
      </c>
      <c r="F7586" t="s">
        <v>27987</v>
      </c>
      <c r="G7586" s="117">
        <v>48.5</v>
      </c>
    </row>
    <row r="7587" spans="1:7" x14ac:dyDescent="0.25">
      <c r="A7587" s="116" t="s">
        <v>12205</v>
      </c>
      <c r="B7587" s="117" t="s">
        <v>12206</v>
      </c>
      <c r="C7587" t="s">
        <v>67</v>
      </c>
      <c r="D7587" t="s">
        <v>67</v>
      </c>
      <c r="E7587" t="s">
        <v>67</v>
      </c>
      <c r="F7587" t="s">
        <v>27987</v>
      </c>
      <c r="G7587" s="117">
        <v>15.57</v>
      </c>
    </row>
    <row r="7588" spans="1:7" x14ac:dyDescent="0.25">
      <c r="A7588" s="116" t="s">
        <v>12207</v>
      </c>
      <c r="B7588" s="117" t="s">
        <v>12208</v>
      </c>
      <c r="C7588" t="s">
        <v>67</v>
      </c>
      <c r="D7588" t="s">
        <v>67</v>
      </c>
      <c r="E7588" t="s">
        <v>67</v>
      </c>
      <c r="F7588" t="s">
        <v>27987</v>
      </c>
      <c r="G7588" s="117">
        <v>10.58</v>
      </c>
    </row>
    <row r="7589" spans="1:7" x14ac:dyDescent="0.25">
      <c r="A7589" s="116" t="s">
        <v>12209</v>
      </c>
      <c r="B7589" s="117" t="s">
        <v>12153</v>
      </c>
      <c r="C7589" t="s">
        <v>67</v>
      </c>
      <c r="D7589" t="s">
        <v>67</v>
      </c>
      <c r="E7589" t="s">
        <v>67</v>
      </c>
      <c r="F7589" t="s">
        <v>49</v>
      </c>
      <c r="G7589" s="117">
        <v>9.6999999999999993</v>
      </c>
    </row>
    <row r="7590" spans="1:7" x14ac:dyDescent="0.25">
      <c r="A7590" s="116" t="s">
        <v>12210</v>
      </c>
      <c r="B7590" s="117" t="s">
        <v>2881</v>
      </c>
      <c r="C7590" t="s">
        <v>67</v>
      </c>
      <c r="D7590" t="s">
        <v>67</v>
      </c>
      <c r="E7590" t="s">
        <v>67</v>
      </c>
      <c r="F7590" t="s">
        <v>27987</v>
      </c>
      <c r="G7590" s="117">
        <v>9.6999999999999993</v>
      </c>
    </row>
    <row r="7591" spans="1:7" x14ac:dyDescent="0.25">
      <c r="A7591" s="116" t="s">
        <v>12211</v>
      </c>
      <c r="B7591" s="117" t="s">
        <v>12212</v>
      </c>
      <c r="C7591" t="s">
        <v>67</v>
      </c>
      <c r="D7591" t="s">
        <v>67</v>
      </c>
      <c r="E7591" t="s">
        <v>67</v>
      </c>
      <c r="F7591" t="s">
        <v>27987</v>
      </c>
      <c r="G7591" s="117">
        <v>2.23</v>
      </c>
    </row>
    <row r="7592" spans="1:7" x14ac:dyDescent="0.25">
      <c r="A7592" s="116" t="s">
        <v>12213</v>
      </c>
      <c r="B7592" s="117" t="s">
        <v>12214</v>
      </c>
      <c r="C7592" t="s">
        <v>67</v>
      </c>
      <c r="D7592" t="s">
        <v>67</v>
      </c>
      <c r="E7592" t="s">
        <v>67</v>
      </c>
      <c r="F7592" t="s">
        <v>27987</v>
      </c>
      <c r="G7592" s="117">
        <v>33.369999999999997</v>
      </c>
    </row>
    <row r="7593" spans="1:7" x14ac:dyDescent="0.25">
      <c r="A7593" s="116" t="s">
        <v>12215</v>
      </c>
      <c r="B7593" s="117" t="s">
        <v>12216</v>
      </c>
      <c r="C7593" t="s">
        <v>67</v>
      </c>
      <c r="D7593" t="s">
        <v>67</v>
      </c>
      <c r="E7593" t="s">
        <v>67</v>
      </c>
      <c r="F7593" t="s">
        <v>27987</v>
      </c>
      <c r="G7593" s="117">
        <v>3.56</v>
      </c>
    </row>
    <row r="7594" spans="1:7" x14ac:dyDescent="0.25">
      <c r="A7594" s="116" t="s">
        <v>12217</v>
      </c>
      <c r="B7594" s="117" t="s">
        <v>12218</v>
      </c>
      <c r="C7594" t="s">
        <v>67</v>
      </c>
      <c r="D7594" t="s">
        <v>67</v>
      </c>
      <c r="E7594" t="s">
        <v>67</v>
      </c>
      <c r="F7594" t="s">
        <v>27987</v>
      </c>
      <c r="G7594" s="117">
        <v>23.58</v>
      </c>
    </row>
    <row r="7595" spans="1:7" x14ac:dyDescent="0.25">
      <c r="A7595" s="116" t="s">
        <v>12219</v>
      </c>
      <c r="B7595" s="117" t="s">
        <v>12181</v>
      </c>
      <c r="C7595" t="s">
        <v>67</v>
      </c>
      <c r="D7595" t="s">
        <v>67</v>
      </c>
      <c r="E7595" t="s">
        <v>67</v>
      </c>
      <c r="F7595" t="s">
        <v>49</v>
      </c>
      <c r="G7595" s="117">
        <v>12.01</v>
      </c>
    </row>
    <row r="7596" spans="1:7" x14ac:dyDescent="0.25">
      <c r="A7596" s="116" t="s">
        <v>12220</v>
      </c>
      <c r="B7596" s="117" t="s">
        <v>12221</v>
      </c>
      <c r="C7596" t="s">
        <v>67</v>
      </c>
      <c r="D7596" t="s">
        <v>67</v>
      </c>
      <c r="E7596" t="s">
        <v>67</v>
      </c>
      <c r="F7596" t="s">
        <v>27987</v>
      </c>
      <c r="G7596" s="117">
        <v>31.94</v>
      </c>
    </row>
    <row r="7597" spans="1:7" x14ac:dyDescent="0.25">
      <c r="A7597" s="116" t="s">
        <v>12222</v>
      </c>
      <c r="B7597" s="117" t="s">
        <v>12223</v>
      </c>
      <c r="C7597" t="s">
        <v>67</v>
      </c>
      <c r="D7597" t="s">
        <v>67</v>
      </c>
      <c r="E7597" t="s">
        <v>67</v>
      </c>
      <c r="F7597" t="s">
        <v>27987</v>
      </c>
      <c r="G7597" s="117">
        <v>53.3</v>
      </c>
    </row>
    <row r="7598" spans="1:7" x14ac:dyDescent="0.25">
      <c r="A7598" s="116" t="s">
        <v>28929</v>
      </c>
      <c r="B7598" s="117" t="s">
        <v>2881</v>
      </c>
      <c r="C7598" t="s">
        <v>67</v>
      </c>
      <c r="D7598" t="s">
        <v>67</v>
      </c>
      <c r="E7598" t="s">
        <v>67</v>
      </c>
      <c r="F7598" t="s">
        <v>27987</v>
      </c>
      <c r="G7598" s="117">
        <v>15</v>
      </c>
    </row>
    <row r="7599" spans="1:7" x14ac:dyDescent="0.25">
      <c r="A7599" s="116" t="s">
        <v>12224</v>
      </c>
      <c r="B7599" s="117" t="s">
        <v>12225</v>
      </c>
      <c r="C7599" t="s">
        <v>67</v>
      </c>
      <c r="D7599" t="s">
        <v>67</v>
      </c>
      <c r="E7599" t="s">
        <v>67</v>
      </c>
      <c r="F7599" t="s">
        <v>27987</v>
      </c>
      <c r="G7599" s="117">
        <v>68.430000000000007</v>
      </c>
    </row>
    <row r="7600" spans="1:7" x14ac:dyDescent="0.25">
      <c r="A7600" s="116" t="s">
        <v>12226</v>
      </c>
      <c r="B7600" s="117" t="s">
        <v>12227</v>
      </c>
      <c r="C7600" t="s">
        <v>67</v>
      </c>
      <c r="D7600" t="s">
        <v>67</v>
      </c>
      <c r="E7600" t="s">
        <v>67</v>
      </c>
      <c r="F7600" t="s">
        <v>27987</v>
      </c>
      <c r="G7600" s="117">
        <v>70.2</v>
      </c>
    </row>
    <row r="7601" spans="1:7" x14ac:dyDescent="0.25">
      <c r="A7601" s="116" t="s">
        <v>12228</v>
      </c>
      <c r="B7601" s="117" t="s">
        <v>2231</v>
      </c>
      <c r="C7601" t="s">
        <v>67</v>
      </c>
      <c r="D7601" t="s">
        <v>67</v>
      </c>
      <c r="E7601" t="s">
        <v>67</v>
      </c>
      <c r="F7601" t="s">
        <v>27987</v>
      </c>
      <c r="G7601" s="117">
        <v>20.02</v>
      </c>
    </row>
    <row r="7602" spans="1:7" x14ac:dyDescent="0.25">
      <c r="A7602" s="116" t="s">
        <v>12229</v>
      </c>
      <c r="B7602" s="117" t="s">
        <v>12230</v>
      </c>
      <c r="C7602" t="s">
        <v>67</v>
      </c>
      <c r="D7602" t="s">
        <v>67</v>
      </c>
      <c r="E7602" t="s">
        <v>67</v>
      </c>
      <c r="F7602" t="s">
        <v>27987</v>
      </c>
      <c r="G7602" s="117">
        <v>20.02</v>
      </c>
    </row>
    <row r="7603" spans="1:7" x14ac:dyDescent="0.25">
      <c r="A7603" s="116" t="s">
        <v>12231</v>
      </c>
      <c r="B7603" s="117" t="s">
        <v>12232</v>
      </c>
      <c r="C7603" t="s">
        <v>67</v>
      </c>
      <c r="D7603" t="s">
        <v>67</v>
      </c>
      <c r="E7603" t="s">
        <v>67</v>
      </c>
      <c r="F7603" t="s">
        <v>27987</v>
      </c>
      <c r="G7603" s="117">
        <v>23.94</v>
      </c>
    </row>
    <row r="7604" spans="1:7" x14ac:dyDescent="0.25">
      <c r="A7604" s="116" t="s">
        <v>12233</v>
      </c>
      <c r="B7604" s="117" t="s">
        <v>12232</v>
      </c>
      <c r="C7604" t="s">
        <v>67</v>
      </c>
      <c r="D7604" t="s">
        <v>67</v>
      </c>
      <c r="E7604" t="s">
        <v>67</v>
      </c>
      <c r="F7604" t="s">
        <v>27987</v>
      </c>
      <c r="G7604" s="117">
        <v>23.05</v>
      </c>
    </row>
    <row r="7605" spans="1:7" x14ac:dyDescent="0.25">
      <c r="A7605" s="116" t="s">
        <v>12234</v>
      </c>
      <c r="B7605" s="117" t="s">
        <v>12235</v>
      </c>
      <c r="C7605" t="s">
        <v>67</v>
      </c>
      <c r="D7605" t="s">
        <v>67</v>
      </c>
      <c r="E7605" t="s">
        <v>67</v>
      </c>
      <c r="F7605" t="s">
        <v>49</v>
      </c>
      <c r="G7605" s="117">
        <v>4.3600000000000003</v>
      </c>
    </row>
    <row r="7606" spans="1:7" x14ac:dyDescent="0.25">
      <c r="A7606" s="116" t="s">
        <v>12236</v>
      </c>
      <c r="B7606" s="117" t="s">
        <v>8657</v>
      </c>
      <c r="C7606" t="s">
        <v>67</v>
      </c>
      <c r="D7606" t="s">
        <v>67</v>
      </c>
      <c r="E7606" t="s">
        <v>67</v>
      </c>
      <c r="F7606" t="s">
        <v>27987</v>
      </c>
      <c r="G7606" s="117">
        <v>2.58</v>
      </c>
    </row>
    <row r="7607" spans="1:7" x14ac:dyDescent="0.25">
      <c r="A7607" s="116" t="s">
        <v>12237</v>
      </c>
      <c r="B7607" s="117" t="s">
        <v>2881</v>
      </c>
      <c r="C7607" t="s">
        <v>67</v>
      </c>
      <c r="D7607" t="s">
        <v>67</v>
      </c>
      <c r="E7607" t="s">
        <v>67</v>
      </c>
      <c r="F7607" t="s">
        <v>27987</v>
      </c>
      <c r="G7607" s="117">
        <v>15.57</v>
      </c>
    </row>
    <row r="7608" spans="1:7" x14ac:dyDescent="0.25">
      <c r="A7608" s="116" t="s">
        <v>30669</v>
      </c>
      <c r="B7608" s="117" t="s">
        <v>30670</v>
      </c>
      <c r="C7608" t="s">
        <v>67</v>
      </c>
      <c r="D7608" t="s">
        <v>67</v>
      </c>
      <c r="E7608" t="s">
        <v>67</v>
      </c>
      <c r="F7608" t="s">
        <v>45</v>
      </c>
      <c r="G7608" s="117">
        <v>22</v>
      </c>
    </row>
    <row r="7609" spans="1:7" x14ac:dyDescent="0.25">
      <c r="A7609" s="116" t="s">
        <v>12238</v>
      </c>
      <c r="B7609" s="117" t="s">
        <v>12239</v>
      </c>
      <c r="C7609" t="s">
        <v>67</v>
      </c>
      <c r="D7609" t="s">
        <v>67</v>
      </c>
      <c r="E7609" t="s">
        <v>67</v>
      </c>
      <c r="F7609" t="s">
        <v>27987</v>
      </c>
      <c r="G7609" s="117">
        <v>68.069999999999993</v>
      </c>
    </row>
    <row r="7610" spans="1:7" x14ac:dyDescent="0.25">
      <c r="A7610" s="116" t="s">
        <v>12240</v>
      </c>
      <c r="B7610" s="117" t="s">
        <v>12241</v>
      </c>
      <c r="C7610" t="s">
        <v>67</v>
      </c>
      <c r="D7610" t="s">
        <v>67</v>
      </c>
      <c r="E7610" t="s">
        <v>67</v>
      </c>
      <c r="F7610" t="s">
        <v>45</v>
      </c>
      <c r="G7610" s="117">
        <v>5.33</v>
      </c>
    </row>
    <row r="7611" spans="1:7" x14ac:dyDescent="0.25">
      <c r="A7611" s="116" t="s">
        <v>12242</v>
      </c>
      <c r="B7611" s="117" t="s">
        <v>12190</v>
      </c>
      <c r="C7611" t="s">
        <v>67</v>
      </c>
      <c r="D7611" t="s">
        <v>67</v>
      </c>
      <c r="E7611" t="s">
        <v>67</v>
      </c>
      <c r="F7611" t="s">
        <v>27987</v>
      </c>
      <c r="G7611" s="117">
        <v>4</v>
      </c>
    </row>
    <row r="7612" spans="1:7" x14ac:dyDescent="0.25">
      <c r="A7612" s="116" t="s">
        <v>12243</v>
      </c>
      <c r="B7612" s="117" t="s">
        <v>12244</v>
      </c>
      <c r="C7612" t="s">
        <v>67</v>
      </c>
      <c r="D7612" t="s">
        <v>67</v>
      </c>
      <c r="E7612" t="s">
        <v>67</v>
      </c>
      <c r="F7612" t="s">
        <v>27987</v>
      </c>
      <c r="G7612" s="117">
        <v>121.82</v>
      </c>
    </row>
    <row r="7613" spans="1:7" x14ac:dyDescent="0.25">
      <c r="A7613" s="116" t="s">
        <v>12245</v>
      </c>
      <c r="B7613" s="117" t="s">
        <v>11693</v>
      </c>
      <c r="C7613" t="s">
        <v>67</v>
      </c>
      <c r="D7613" t="s">
        <v>67</v>
      </c>
      <c r="E7613" t="s">
        <v>67</v>
      </c>
      <c r="F7613" t="s">
        <v>27987</v>
      </c>
      <c r="G7613" s="117">
        <v>104.92</v>
      </c>
    </row>
    <row r="7614" spans="1:7" x14ac:dyDescent="0.25">
      <c r="A7614" s="116" t="s">
        <v>12246</v>
      </c>
      <c r="B7614" s="117" t="s">
        <v>2881</v>
      </c>
      <c r="C7614" t="s">
        <v>67</v>
      </c>
      <c r="D7614" t="s">
        <v>67</v>
      </c>
      <c r="E7614" t="s">
        <v>67</v>
      </c>
      <c r="F7614" t="s">
        <v>27987</v>
      </c>
      <c r="G7614" s="117">
        <v>37.82</v>
      </c>
    </row>
    <row r="7615" spans="1:7" x14ac:dyDescent="0.25">
      <c r="A7615" s="116" t="s">
        <v>12247</v>
      </c>
      <c r="B7615" s="117" t="s">
        <v>12248</v>
      </c>
      <c r="C7615" t="s">
        <v>67</v>
      </c>
      <c r="D7615" t="s">
        <v>67</v>
      </c>
      <c r="E7615" t="s">
        <v>67</v>
      </c>
      <c r="F7615" t="s">
        <v>45</v>
      </c>
      <c r="G7615" s="117">
        <v>8.81</v>
      </c>
    </row>
    <row r="7616" spans="1:7" x14ac:dyDescent="0.25">
      <c r="A7616" s="116" t="s">
        <v>28194</v>
      </c>
      <c r="B7616" s="117" t="s">
        <v>8452</v>
      </c>
      <c r="C7616" t="s">
        <v>67</v>
      </c>
      <c r="D7616" t="s">
        <v>67</v>
      </c>
      <c r="E7616" t="s">
        <v>67</v>
      </c>
      <c r="F7616" t="s">
        <v>27987</v>
      </c>
      <c r="G7616" s="117">
        <v>4</v>
      </c>
    </row>
    <row r="7617" spans="1:7" x14ac:dyDescent="0.25">
      <c r="A7617" s="116" t="s">
        <v>12249</v>
      </c>
      <c r="B7617" s="117" t="s">
        <v>26465</v>
      </c>
      <c r="C7617" t="s">
        <v>67</v>
      </c>
      <c r="D7617" t="s">
        <v>67</v>
      </c>
      <c r="E7617" t="s">
        <v>67</v>
      </c>
      <c r="F7617" t="s">
        <v>27987</v>
      </c>
      <c r="G7617" s="117">
        <v>27</v>
      </c>
    </row>
    <row r="7618" spans="1:7" x14ac:dyDescent="0.25">
      <c r="A7618" s="116" t="s">
        <v>12250</v>
      </c>
      <c r="B7618" s="117" t="s">
        <v>12251</v>
      </c>
      <c r="C7618" t="s">
        <v>67</v>
      </c>
      <c r="D7618" t="s">
        <v>67</v>
      </c>
      <c r="E7618" t="s">
        <v>67</v>
      </c>
      <c r="F7618" t="s">
        <v>27987</v>
      </c>
      <c r="G7618" s="117">
        <v>76.44</v>
      </c>
    </row>
    <row r="7619" spans="1:7" x14ac:dyDescent="0.25">
      <c r="A7619" s="116" t="s">
        <v>12252</v>
      </c>
      <c r="B7619" s="117" t="s">
        <v>2881</v>
      </c>
      <c r="C7619" t="s">
        <v>67</v>
      </c>
      <c r="D7619" t="s">
        <v>67</v>
      </c>
      <c r="E7619" t="s">
        <v>67</v>
      </c>
      <c r="F7619" t="s">
        <v>27987</v>
      </c>
      <c r="G7619" s="117">
        <v>116.48</v>
      </c>
    </row>
    <row r="7620" spans="1:7" x14ac:dyDescent="0.25">
      <c r="A7620" s="116" t="s">
        <v>12253</v>
      </c>
      <c r="B7620" s="117" t="s">
        <v>12254</v>
      </c>
      <c r="C7620" t="s">
        <v>67</v>
      </c>
      <c r="D7620" t="s">
        <v>67</v>
      </c>
      <c r="E7620" t="s">
        <v>67</v>
      </c>
      <c r="F7620" t="s">
        <v>27987</v>
      </c>
      <c r="G7620" s="117">
        <v>67.540000000000006</v>
      </c>
    </row>
    <row r="7621" spans="1:7" x14ac:dyDescent="0.25">
      <c r="A7621" s="116" t="s">
        <v>12255</v>
      </c>
      <c r="B7621" s="117" t="s">
        <v>1707</v>
      </c>
      <c r="C7621" t="s">
        <v>67</v>
      </c>
      <c r="D7621" t="s">
        <v>67</v>
      </c>
      <c r="E7621" t="s">
        <v>67</v>
      </c>
      <c r="F7621" t="s">
        <v>27987</v>
      </c>
      <c r="G7621" s="117">
        <v>72.52</v>
      </c>
    </row>
    <row r="7622" spans="1:7" x14ac:dyDescent="0.25">
      <c r="A7622" s="116" t="s">
        <v>29789</v>
      </c>
      <c r="B7622" s="117" t="s">
        <v>29790</v>
      </c>
      <c r="C7622" t="s">
        <v>67</v>
      </c>
      <c r="D7622" t="s">
        <v>67</v>
      </c>
      <c r="E7622" t="s">
        <v>67</v>
      </c>
      <c r="F7622" t="s">
        <v>45</v>
      </c>
      <c r="G7622" s="117">
        <v>0.84</v>
      </c>
    </row>
    <row r="7623" spans="1:7" x14ac:dyDescent="0.25">
      <c r="A7623" s="116" t="s">
        <v>12256</v>
      </c>
      <c r="B7623" s="117" t="s">
        <v>12153</v>
      </c>
      <c r="C7623" t="s">
        <v>67</v>
      </c>
      <c r="D7623" t="s">
        <v>67</v>
      </c>
      <c r="E7623" t="s">
        <v>67</v>
      </c>
      <c r="F7623" t="s">
        <v>27987</v>
      </c>
      <c r="G7623" s="117">
        <v>2.76</v>
      </c>
    </row>
    <row r="7624" spans="1:7" x14ac:dyDescent="0.25">
      <c r="A7624" s="116" t="s">
        <v>28930</v>
      </c>
      <c r="B7624" s="117" t="s">
        <v>28931</v>
      </c>
      <c r="C7624" t="s">
        <v>67</v>
      </c>
      <c r="D7624" t="s">
        <v>67</v>
      </c>
      <c r="E7624" t="s">
        <v>67</v>
      </c>
      <c r="F7624" t="s">
        <v>27987</v>
      </c>
      <c r="G7624" s="117">
        <v>105</v>
      </c>
    </row>
    <row r="7625" spans="1:7" x14ac:dyDescent="0.25">
      <c r="A7625" s="116" t="s">
        <v>12257</v>
      </c>
      <c r="B7625" s="117" t="s">
        <v>2881</v>
      </c>
      <c r="C7625" t="s">
        <v>67</v>
      </c>
      <c r="D7625" t="s">
        <v>67</v>
      </c>
      <c r="E7625" t="s">
        <v>67</v>
      </c>
      <c r="F7625" t="s">
        <v>27987</v>
      </c>
      <c r="G7625" s="117">
        <v>49.38</v>
      </c>
    </row>
    <row r="7626" spans="1:7" x14ac:dyDescent="0.25">
      <c r="A7626" s="116" t="s">
        <v>12258</v>
      </c>
      <c r="B7626" s="117" t="s">
        <v>11693</v>
      </c>
      <c r="C7626" t="s">
        <v>67</v>
      </c>
      <c r="D7626" t="s">
        <v>67</v>
      </c>
      <c r="E7626" t="s">
        <v>67</v>
      </c>
      <c r="F7626" t="s">
        <v>27987</v>
      </c>
      <c r="G7626" s="117">
        <v>108.12</v>
      </c>
    </row>
    <row r="7627" spans="1:7" x14ac:dyDescent="0.25">
      <c r="A7627" s="116" t="s">
        <v>12259</v>
      </c>
      <c r="B7627" s="117" t="s">
        <v>12260</v>
      </c>
      <c r="C7627" t="s">
        <v>67</v>
      </c>
      <c r="D7627" t="s">
        <v>67</v>
      </c>
      <c r="E7627" t="s">
        <v>67</v>
      </c>
      <c r="F7627" t="s">
        <v>27987</v>
      </c>
      <c r="G7627" s="117">
        <v>102.77</v>
      </c>
    </row>
    <row r="7628" spans="1:7" x14ac:dyDescent="0.25">
      <c r="A7628" s="116" t="s">
        <v>30440</v>
      </c>
      <c r="B7628" s="117" t="s">
        <v>30441</v>
      </c>
      <c r="C7628" t="s">
        <v>67</v>
      </c>
      <c r="D7628" t="s">
        <v>67</v>
      </c>
      <c r="E7628" t="s">
        <v>67</v>
      </c>
      <c r="F7628" t="s">
        <v>27987</v>
      </c>
      <c r="G7628" s="117">
        <v>72</v>
      </c>
    </row>
    <row r="7629" spans="1:7" x14ac:dyDescent="0.25">
      <c r="A7629" s="116" t="s">
        <v>12261</v>
      </c>
      <c r="B7629" s="117" t="s">
        <v>12262</v>
      </c>
      <c r="C7629" t="s">
        <v>67</v>
      </c>
      <c r="D7629" t="s">
        <v>67</v>
      </c>
      <c r="E7629" t="s">
        <v>67</v>
      </c>
      <c r="F7629" t="s">
        <v>27987</v>
      </c>
      <c r="G7629" s="117">
        <v>86.76</v>
      </c>
    </row>
    <row r="7630" spans="1:7" x14ac:dyDescent="0.25">
      <c r="A7630" s="116" t="s">
        <v>12263</v>
      </c>
      <c r="B7630" s="117" t="s">
        <v>12264</v>
      </c>
      <c r="C7630" t="s">
        <v>67</v>
      </c>
      <c r="D7630" t="s">
        <v>67</v>
      </c>
      <c r="E7630" t="s">
        <v>67</v>
      </c>
      <c r="F7630" t="s">
        <v>27990</v>
      </c>
      <c r="G7630" s="117">
        <v>3.64</v>
      </c>
    </row>
    <row r="7631" spans="1:7" x14ac:dyDescent="0.25">
      <c r="A7631" s="116" t="s">
        <v>31163</v>
      </c>
      <c r="B7631" s="117" t="s">
        <v>31164</v>
      </c>
      <c r="C7631" t="s">
        <v>67</v>
      </c>
      <c r="D7631" t="s">
        <v>67</v>
      </c>
      <c r="E7631" t="s">
        <v>67</v>
      </c>
      <c r="F7631" t="s">
        <v>45</v>
      </c>
      <c r="G7631" s="117">
        <v>41</v>
      </c>
    </row>
    <row r="7632" spans="1:7" x14ac:dyDescent="0.25">
      <c r="A7632" s="116" t="s">
        <v>12265</v>
      </c>
      <c r="B7632" s="117" t="s">
        <v>12266</v>
      </c>
      <c r="C7632" t="s">
        <v>67</v>
      </c>
      <c r="D7632" t="s">
        <v>67</v>
      </c>
      <c r="E7632" t="s">
        <v>67</v>
      </c>
      <c r="F7632" t="s">
        <v>27987</v>
      </c>
      <c r="G7632" s="117">
        <v>44.05</v>
      </c>
    </row>
    <row r="7633" spans="1:7" x14ac:dyDescent="0.25">
      <c r="A7633" s="116" t="s">
        <v>12267</v>
      </c>
      <c r="B7633" s="117" t="s">
        <v>11787</v>
      </c>
      <c r="C7633" t="s">
        <v>67</v>
      </c>
      <c r="D7633" t="s">
        <v>67</v>
      </c>
      <c r="E7633" t="s">
        <v>67</v>
      </c>
      <c r="F7633" t="s">
        <v>27987</v>
      </c>
      <c r="G7633" s="117">
        <v>45.82</v>
      </c>
    </row>
    <row r="7634" spans="1:7" x14ac:dyDescent="0.25">
      <c r="A7634" s="116" t="s">
        <v>12268</v>
      </c>
      <c r="B7634" s="117" t="s">
        <v>12269</v>
      </c>
      <c r="C7634" t="s">
        <v>67</v>
      </c>
      <c r="D7634" t="s">
        <v>67</v>
      </c>
      <c r="E7634" t="s">
        <v>67</v>
      </c>
      <c r="F7634" t="s">
        <v>27987</v>
      </c>
      <c r="G7634" s="117">
        <v>472.06</v>
      </c>
    </row>
    <row r="7635" spans="1:7" x14ac:dyDescent="0.25">
      <c r="A7635" s="116" t="s">
        <v>12270</v>
      </c>
      <c r="B7635" s="117" t="s">
        <v>8561</v>
      </c>
      <c r="C7635" t="s">
        <v>67</v>
      </c>
      <c r="D7635" t="s">
        <v>67</v>
      </c>
      <c r="E7635" t="s">
        <v>67</v>
      </c>
      <c r="F7635" t="s">
        <v>27987</v>
      </c>
      <c r="G7635" s="117">
        <v>7.12</v>
      </c>
    </row>
    <row r="7636" spans="1:7" x14ac:dyDescent="0.25">
      <c r="A7636" s="116" t="s">
        <v>12271</v>
      </c>
      <c r="B7636" s="117" t="s">
        <v>12272</v>
      </c>
      <c r="C7636" t="s">
        <v>67</v>
      </c>
      <c r="D7636" t="s">
        <v>67</v>
      </c>
      <c r="E7636" t="s">
        <v>67</v>
      </c>
      <c r="F7636" t="s">
        <v>27987</v>
      </c>
      <c r="G7636" s="117">
        <v>16.82</v>
      </c>
    </row>
    <row r="7637" spans="1:7" x14ac:dyDescent="0.25">
      <c r="A7637" s="116" t="s">
        <v>12273</v>
      </c>
      <c r="B7637" s="117" t="s">
        <v>11505</v>
      </c>
      <c r="C7637" t="s">
        <v>67</v>
      </c>
      <c r="D7637" t="s">
        <v>67</v>
      </c>
      <c r="E7637" t="s">
        <v>67</v>
      </c>
      <c r="F7637" t="s">
        <v>27987</v>
      </c>
      <c r="G7637" s="117">
        <v>52.94</v>
      </c>
    </row>
    <row r="7638" spans="1:7" x14ac:dyDescent="0.25">
      <c r="A7638" s="116" t="s">
        <v>12274</v>
      </c>
      <c r="B7638" s="117" t="s">
        <v>12275</v>
      </c>
      <c r="C7638" t="s">
        <v>67</v>
      </c>
      <c r="D7638" t="s">
        <v>67</v>
      </c>
      <c r="E7638" t="s">
        <v>67</v>
      </c>
      <c r="F7638" t="s">
        <v>27987</v>
      </c>
      <c r="G7638" s="117">
        <v>71.099999999999994</v>
      </c>
    </row>
    <row r="7639" spans="1:7" x14ac:dyDescent="0.25">
      <c r="A7639" s="116" t="s">
        <v>12276</v>
      </c>
      <c r="B7639" s="117" t="s">
        <v>12277</v>
      </c>
      <c r="C7639" t="s">
        <v>67</v>
      </c>
      <c r="D7639" t="s">
        <v>67</v>
      </c>
      <c r="E7639" t="s">
        <v>67</v>
      </c>
      <c r="F7639" t="s">
        <v>27987</v>
      </c>
      <c r="G7639" s="117">
        <v>71.099999999999994</v>
      </c>
    </row>
    <row r="7640" spans="1:7" x14ac:dyDescent="0.25">
      <c r="A7640" s="116" t="s">
        <v>12278</v>
      </c>
      <c r="B7640" s="117" t="s">
        <v>12279</v>
      </c>
      <c r="C7640" t="s">
        <v>67</v>
      </c>
      <c r="D7640" t="s">
        <v>67</v>
      </c>
      <c r="E7640" t="s">
        <v>67</v>
      </c>
      <c r="F7640" t="s">
        <v>27987</v>
      </c>
      <c r="G7640" s="117">
        <v>49.74</v>
      </c>
    </row>
    <row r="7641" spans="1:7" x14ac:dyDescent="0.25">
      <c r="A7641" s="116" t="s">
        <v>12280</v>
      </c>
      <c r="B7641" s="117" t="s">
        <v>12281</v>
      </c>
      <c r="C7641" t="s">
        <v>67</v>
      </c>
      <c r="D7641" t="s">
        <v>67</v>
      </c>
      <c r="E7641" t="s">
        <v>67</v>
      </c>
      <c r="F7641" t="s">
        <v>27987</v>
      </c>
      <c r="G7641" s="117">
        <v>7.56</v>
      </c>
    </row>
    <row r="7642" spans="1:7" x14ac:dyDescent="0.25">
      <c r="A7642" s="116" t="s">
        <v>12282</v>
      </c>
      <c r="B7642" s="117" t="s">
        <v>28932</v>
      </c>
      <c r="C7642" t="s">
        <v>67</v>
      </c>
      <c r="D7642" t="s">
        <v>67</v>
      </c>
      <c r="E7642" t="s">
        <v>67</v>
      </c>
      <c r="F7642" t="s">
        <v>27987</v>
      </c>
      <c r="G7642" s="117">
        <v>9.35</v>
      </c>
    </row>
    <row r="7643" spans="1:7" x14ac:dyDescent="0.25">
      <c r="A7643" s="116" t="s">
        <v>12283</v>
      </c>
      <c r="B7643" s="117" t="s">
        <v>12284</v>
      </c>
      <c r="C7643" t="s">
        <v>67</v>
      </c>
      <c r="D7643" t="s">
        <v>67</v>
      </c>
      <c r="E7643" t="s">
        <v>67</v>
      </c>
      <c r="F7643" t="s">
        <v>27987</v>
      </c>
      <c r="G7643" s="117">
        <v>9.7899999999999991</v>
      </c>
    </row>
    <row r="7644" spans="1:7" x14ac:dyDescent="0.25">
      <c r="A7644" s="116" t="s">
        <v>12285</v>
      </c>
      <c r="B7644" s="117" t="s">
        <v>12286</v>
      </c>
      <c r="C7644" t="s">
        <v>67</v>
      </c>
      <c r="D7644" t="s">
        <v>67</v>
      </c>
      <c r="E7644" t="s">
        <v>67</v>
      </c>
      <c r="F7644" t="s">
        <v>27990</v>
      </c>
      <c r="G7644" s="117">
        <v>114.08</v>
      </c>
    </row>
    <row r="7645" spans="1:7" x14ac:dyDescent="0.25">
      <c r="A7645" s="116" t="s">
        <v>12287</v>
      </c>
      <c r="B7645" s="117" t="s">
        <v>12288</v>
      </c>
      <c r="C7645" t="s">
        <v>67</v>
      </c>
      <c r="D7645" t="s">
        <v>67</v>
      </c>
      <c r="E7645" t="s">
        <v>67</v>
      </c>
      <c r="F7645" t="s">
        <v>27987</v>
      </c>
      <c r="G7645" s="117">
        <v>128.05000000000001</v>
      </c>
    </row>
    <row r="7646" spans="1:7" x14ac:dyDescent="0.25">
      <c r="A7646" s="116" t="s">
        <v>12289</v>
      </c>
      <c r="B7646" s="117" t="s">
        <v>28933</v>
      </c>
      <c r="C7646" t="s">
        <v>67</v>
      </c>
      <c r="D7646" t="s">
        <v>67</v>
      </c>
      <c r="E7646" t="s">
        <v>67</v>
      </c>
      <c r="F7646" t="s">
        <v>27987</v>
      </c>
      <c r="G7646" s="117">
        <v>43.51</v>
      </c>
    </row>
    <row r="7647" spans="1:7" x14ac:dyDescent="0.25">
      <c r="A7647" s="116" t="s">
        <v>12290</v>
      </c>
      <c r="B7647" s="117" t="s">
        <v>12291</v>
      </c>
      <c r="C7647" t="s">
        <v>67</v>
      </c>
      <c r="D7647" t="s">
        <v>67</v>
      </c>
      <c r="E7647" t="s">
        <v>67</v>
      </c>
      <c r="F7647" t="s">
        <v>27987</v>
      </c>
      <c r="G7647" s="117">
        <v>98.68</v>
      </c>
    </row>
    <row r="7648" spans="1:7" x14ac:dyDescent="0.25">
      <c r="A7648" s="116" t="s">
        <v>12292</v>
      </c>
      <c r="B7648" s="117" t="s">
        <v>12293</v>
      </c>
      <c r="C7648" t="s">
        <v>67</v>
      </c>
      <c r="D7648" t="s">
        <v>67</v>
      </c>
      <c r="E7648" t="s">
        <v>67</v>
      </c>
      <c r="F7648" t="s">
        <v>27987</v>
      </c>
      <c r="G7648" s="117">
        <v>43.98</v>
      </c>
    </row>
    <row r="7649" spans="1:7" x14ac:dyDescent="0.25">
      <c r="A7649" s="116" t="s">
        <v>12294</v>
      </c>
      <c r="B7649" s="117" t="s">
        <v>12295</v>
      </c>
      <c r="C7649" t="s">
        <v>67</v>
      </c>
      <c r="D7649" t="s">
        <v>67</v>
      </c>
      <c r="E7649" t="s">
        <v>67</v>
      </c>
      <c r="F7649" t="s">
        <v>27987</v>
      </c>
      <c r="G7649" s="117">
        <v>287.70999999999998</v>
      </c>
    </row>
    <row r="7650" spans="1:7" x14ac:dyDescent="0.25">
      <c r="A7650" s="116" t="s">
        <v>12296</v>
      </c>
      <c r="B7650" s="117" t="s">
        <v>12297</v>
      </c>
      <c r="C7650" t="s">
        <v>67</v>
      </c>
      <c r="D7650" t="s">
        <v>67</v>
      </c>
      <c r="E7650" t="s">
        <v>67</v>
      </c>
      <c r="F7650" t="s">
        <v>27987</v>
      </c>
      <c r="G7650" s="117">
        <v>18.559999999999999</v>
      </c>
    </row>
    <row r="7651" spans="1:7" x14ac:dyDescent="0.25">
      <c r="A7651" s="116" t="s">
        <v>12298</v>
      </c>
      <c r="B7651" s="117" t="s">
        <v>12299</v>
      </c>
      <c r="C7651" t="s">
        <v>67</v>
      </c>
      <c r="D7651" t="s">
        <v>67</v>
      </c>
      <c r="E7651" t="s">
        <v>67</v>
      </c>
      <c r="F7651" t="s">
        <v>27987</v>
      </c>
      <c r="G7651" s="117">
        <v>12.63</v>
      </c>
    </row>
    <row r="7652" spans="1:7" x14ac:dyDescent="0.25">
      <c r="A7652" s="116" t="s">
        <v>12300</v>
      </c>
      <c r="B7652" s="117" t="s">
        <v>28934</v>
      </c>
      <c r="C7652" t="s">
        <v>67</v>
      </c>
      <c r="D7652" t="s">
        <v>67</v>
      </c>
      <c r="E7652" t="s">
        <v>67</v>
      </c>
      <c r="F7652" t="s">
        <v>27987</v>
      </c>
      <c r="G7652" s="117">
        <v>528.39</v>
      </c>
    </row>
    <row r="7653" spans="1:7" x14ac:dyDescent="0.25">
      <c r="A7653" s="116" t="s">
        <v>12301</v>
      </c>
      <c r="B7653" s="117" t="s">
        <v>12302</v>
      </c>
      <c r="C7653" t="s">
        <v>67</v>
      </c>
      <c r="D7653" t="s">
        <v>67</v>
      </c>
      <c r="E7653" t="s">
        <v>67</v>
      </c>
      <c r="F7653" t="s">
        <v>27987</v>
      </c>
      <c r="G7653" s="117">
        <v>36.39</v>
      </c>
    </row>
    <row r="7654" spans="1:7" x14ac:dyDescent="0.25">
      <c r="A7654" s="116" t="s">
        <v>12303</v>
      </c>
      <c r="B7654" s="117" t="s">
        <v>12304</v>
      </c>
      <c r="C7654" t="s">
        <v>67</v>
      </c>
      <c r="D7654" t="s">
        <v>67</v>
      </c>
      <c r="E7654" t="s">
        <v>67</v>
      </c>
      <c r="F7654" t="s">
        <v>27987</v>
      </c>
      <c r="G7654" s="117">
        <v>46.18</v>
      </c>
    </row>
    <row r="7655" spans="1:7" x14ac:dyDescent="0.25">
      <c r="A7655" s="116" t="s">
        <v>12305</v>
      </c>
      <c r="B7655" s="117" t="s">
        <v>12306</v>
      </c>
      <c r="C7655" t="s">
        <v>67</v>
      </c>
      <c r="D7655" t="s">
        <v>67</v>
      </c>
      <c r="E7655" t="s">
        <v>67</v>
      </c>
      <c r="F7655" t="s">
        <v>27987</v>
      </c>
      <c r="G7655" s="117">
        <v>160.97999999999999</v>
      </c>
    </row>
    <row r="7656" spans="1:7" x14ac:dyDescent="0.25">
      <c r="A7656" s="116" t="s">
        <v>12307</v>
      </c>
      <c r="B7656" s="117" t="s">
        <v>2881</v>
      </c>
      <c r="C7656" t="s">
        <v>67</v>
      </c>
      <c r="D7656" t="s">
        <v>67</v>
      </c>
      <c r="E7656" t="s">
        <v>67</v>
      </c>
      <c r="F7656" t="s">
        <v>27987</v>
      </c>
      <c r="G7656" s="117">
        <v>16.82</v>
      </c>
    </row>
    <row r="7657" spans="1:7" x14ac:dyDescent="0.25">
      <c r="A7657" s="116" t="s">
        <v>31257</v>
      </c>
      <c r="B7657" s="117" t="s">
        <v>31258</v>
      </c>
      <c r="C7657" t="s">
        <v>67</v>
      </c>
      <c r="D7657" t="s">
        <v>67</v>
      </c>
      <c r="E7657" t="s">
        <v>67</v>
      </c>
      <c r="F7657" t="s">
        <v>45</v>
      </c>
      <c r="G7657" s="117">
        <v>32</v>
      </c>
    </row>
    <row r="7658" spans="1:7" x14ac:dyDescent="0.25">
      <c r="A7658" s="116" t="s">
        <v>31259</v>
      </c>
      <c r="B7658" s="117" t="s">
        <v>31260</v>
      </c>
      <c r="C7658" t="s">
        <v>67</v>
      </c>
      <c r="D7658" t="s">
        <v>67</v>
      </c>
      <c r="E7658" t="s">
        <v>67</v>
      </c>
      <c r="F7658" t="s">
        <v>45</v>
      </c>
      <c r="G7658" s="117">
        <v>4.4000000000000004</v>
      </c>
    </row>
    <row r="7659" spans="1:7" x14ac:dyDescent="0.25">
      <c r="A7659" s="116" t="s">
        <v>12308</v>
      </c>
      <c r="B7659" s="117" t="s">
        <v>12309</v>
      </c>
      <c r="C7659" t="s">
        <v>67</v>
      </c>
      <c r="D7659" t="s">
        <v>67</v>
      </c>
      <c r="E7659" t="s">
        <v>67</v>
      </c>
      <c r="F7659" t="s">
        <v>27987</v>
      </c>
      <c r="G7659" s="117">
        <v>13.26</v>
      </c>
    </row>
    <row r="7660" spans="1:7" x14ac:dyDescent="0.25">
      <c r="A7660" s="116" t="s">
        <v>12310</v>
      </c>
      <c r="B7660" s="117" t="s">
        <v>173</v>
      </c>
      <c r="C7660" t="s">
        <v>67</v>
      </c>
      <c r="D7660" t="s">
        <v>67</v>
      </c>
      <c r="E7660" t="s">
        <v>67</v>
      </c>
      <c r="F7660" t="s">
        <v>27987</v>
      </c>
      <c r="G7660" s="117">
        <v>14.68</v>
      </c>
    </row>
    <row r="7661" spans="1:7" x14ac:dyDescent="0.25">
      <c r="A7661" s="116" t="s">
        <v>12311</v>
      </c>
      <c r="B7661" s="117" t="s">
        <v>28935</v>
      </c>
      <c r="C7661" t="s">
        <v>67</v>
      </c>
      <c r="D7661" t="s">
        <v>67</v>
      </c>
      <c r="E7661" t="s">
        <v>67</v>
      </c>
      <c r="F7661" t="s">
        <v>27987</v>
      </c>
      <c r="G7661" s="117">
        <v>163.29</v>
      </c>
    </row>
    <row r="7662" spans="1:7" x14ac:dyDescent="0.25">
      <c r="A7662" s="116" t="s">
        <v>12312</v>
      </c>
      <c r="B7662" s="117" t="s">
        <v>12313</v>
      </c>
      <c r="C7662" t="s">
        <v>67</v>
      </c>
      <c r="D7662" t="s">
        <v>67</v>
      </c>
      <c r="E7662" t="s">
        <v>67</v>
      </c>
      <c r="F7662" t="s">
        <v>27987</v>
      </c>
      <c r="G7662" s="117">
        <v>106.33</v>
      </c>
    </row>
    <row r="7663" spans="1:7" x14ac:dyDescent="0.25">
      <c r="A7663" s="116" t="s">
        <v>12314</v>
      </c>
      <c r="B7663" s="117" t="s">
        <v>12315</v>
      </c>
      <c r="C7663" t="s">
        <v>67</v>
      </c>
      <c r="D7663" t="s">
        <v>67</v>
      </c>
      <c r="E7663" t="s">
        <v>67</v>
      </c>
      <c r="F7663" t="s">
        <v>27987</v>
      </c>
      <c r="G7663" s="117">
        <v>12.05</v>
      </c>
    </row>
    <row r="7664" spans="1:7" x14ac:dyDescent="0.25">
      <c r="A7664" s="116" t="s">
        <v>12316</v>
      </c>
      <c r="B7664" s="117" t="s">
        <v>12317</v>
      </c>
      <c r="C7664" t="s">
        <v>67</v>
      </c>
      <c r="D7664" t="s">
        <v>67</v>
      </c>
      <c r="E7664" t="s">
        <v>67</v>
      </c>
      <c r="F7664" t="s">
        <v>27987</v>
      </c>
      <c r="G7664" s="117">
        <v>7.92</v>
      </c>
    </row>
    <row r="7665" spans="1:7" x14ac:dyDescent="0.25">
      <c r="A7665" s="116" t="s">
        <v>12318</v>
      </c>
      <c r="B7665" s="117" t="s">
        <v>12319</v>
      </c>
      <c r="C7665" t="s">
        <v>67</v>
      </c>
      <c r="D7665" t="s">
        <v>67</v>
      </c>
      <c r="E7665" t="s">
        <v>67</v>
      </c>
      <c r="F7665" t="s">
        <v>45</v>
      </c>
      <c r="G7665" s="117">
        <v>27.14</v>
      </c>
    </row>
    <row r="7666" spans="1:7" x14ac:dyDescent="0.25">
      <c r="A7666" s="116" t="s">
        <v>31261</v>
      </c>
      <c r="B7666" s="117" t="s">
        <v>31262</v>
      </c>
      <c r="C7666" t="s">
        <v>67</v>
      </c>
      <c r="D7666" t="s">
        <v>67</v>
      </c>
      <c r="E7666" t="s">
        <v>67</v>
      </c>
      <c r="F7666" t="s">
        <v>45</v>
      </c>
      <c r="G7666" s="117">
        <v>200</v>
      </c>
    </row>
    <row r="7667" spans="1:7" x14ac:dyDescent="0.25">
      <c r="A7667" s="116" t="s">
        <v>31263</v>
      </c>
      <c r="B7667" s="117" t="s">
        <v>31264</v>
      </c>
      <c r="C7667" t="s">
        <v>67</v>
      </c>
      <c r="D7667" t="s">
        <v>67</v>
      </c>
      <c r="E7667" t="s">
        <v>67</v>
      </c>
      <c r="F7667" t="s">
        <v>45</v>
      </c>
      <c r="G7667" s="117">
        <v>72.28</v>
      </c>
    </row>
    <row r="7668" spans="1:7" x14ac:dyDescent="0.25">
      <c r="A7668" s="116" t="s">
        <v>12320</v>
      </c>
      <c r="B7668" s="117" t="s">
        <v>12321</v>
      </c>
      <c r="C7668" t="s">
        <v>67</v>
      </c>
      <c r="D7668" t="s">
        <v>67</v>
      </c>
      <c r="E7668" t="s">
        <v>67</v>
      </c>
      <c r="F7668" t="s">
        <v>27987</v>
      </c>
      <c r="G7668" s="117">
        <v>18.079999999999998</v>
      </c>
    </row>
    <row r="7669" spans="1:7" x14ac:dyDescent="0.25">
      <c r="A7669" s="116" t="s">
        <v>12322</v>
      </c>
      <c r="B7669" s="117" t="s">
        <v>12323</v>
      </c>
      <c r="C7669" t="s">
        <v>67</v>
      </c>
      <c r="D7669" t="s">
        <v>67</v>
      </c>
      <c r="E7669" t="s">
        <v>67</v>
      </c>
      <c r="F7669" t="s">
        <v>27987</v>
      </c>
      <c r="G7669" s="117">
        <v>73.459999999999994</v>
      </c>
    </row>
    <row r="7670" spans="1:7" x14ac:dyDescent="0.25">
      <c r="A7670" s="116" t="s">
        <v>12324</v>
      </c>
      <c r="B7670" s="117" t="s">
        <v>12325</v>
      </c>
      <c r="C7670" t="s">
        <v>67</v>
      </c>
      <c r="D7670" t="s">
        <v>67</v>
      </c>
      <c r="E7670" t="s">
        <v>67</v>
      </c>
      <c r="F7670" t="s">
        <v>51</v>
      </c>
      <c r="G7670" s="117">
        <v>67.37</v>
      </c>
    </row>
    <row r="7671" spans="1:7" x14ac:dyDescent="0.25">
      <c r="A7671" s="116" t="s">
        <v>12326</v>
      </c>
      <c r="B7671" s="117" t="s">
        <v>12188</v>
      </c>
      <c r="C7671" t="s">
        <v>67</v>
      </c>
      <c r="D7671" t="s">
        <v>67</v>
      </c>
      <c r="E7671" t="s">
        <v>67</v>
      </c>
      <c r="F7671" t="s">
        <v>45</v>
      </c>
      <c r="G7671" s="117">
        <v>8.0399999999999991</v>
      </c>
    </row>
    <row r="7672" spans="1:7" x14ac:dyDescent="0.25">
      <c r="A7672" s="116" t="s">
        <v>28936</v>
      </c>
      <c r="B7672" s="117" t="s">
        <v>30780</v>
      </c>
      <c r="C7672" t="s">
        <v>67</v>
      </c>
      <c r="D7672" t="s">
        <v>67</v>
      </c>
      <c r="E7672" t="s">
        <v>67</v>
      </c>
      <c r="F7672" t="s">
        <v>27987</v>
      </c>
      <c r="G7672" s="117">
        <v>5</v>
      </c>
    </row>
    <row r="7673" spans="1:7" x14ac:dyDescent="0.25">
      <c r="A7673" s="116" t="s">
        <v>12327</v>
      </c>
      <c r="B7673" s="117" t="s">
        <v>1725</v>
      </c>
      <c r="C7673" t="s">
        <v>67</v>
      </c>
      <c r="D7673" t="s">
        <v>67</v>
      </c>
      <c r="E7673" t="s">
        <v>67</v>
      </c>
      <c r="F7673" t="s">
        <v>27987</v>
      </c>
      <c r="G7673" s="117">
        <v>12.18</v>
      </c>
    </row>
    <row r="7674" spans="1:7" x14ac:dyDescent="0.25">
      <c r="A7674" s="116" t="s">
        <v>12328</v>
      </c>
      <c r="B7674" s="117" t="s">
        <v>12329</v>
      </c>
      <c r="C7674" t="s">
        <v>67</v>
      </c>
      <c r="D7674" t="s">
        <v>67</v>
      </c>
      <c r="E7674" t="s">
        <v>67</v>
      </c>
      <c r="F7674" t="s">
        <v>49</v>
      </c>
      <c r="G7674" s="117">
        <v>5.0199999999999996</v>
      </c>
    </row>
    <row r="7675" spans="1:7" x14ac:dyDescent="0.25">
      <c r="A7675" s="116" t="s">
        <v>12330</v>
      </c>
      <c r="B7675" s="117" t="s">
        <v>28937</v>
      </c>
      <c r="C7675" t="s">
        <v>67</v>
      </c>
      <c r="D7675" t="s">
        <v>67</v>
      </c>
      <c r="E7675" t="s">
        <v>67</v>
      </c>
      <c r="F7675" t="s">
        <v>51</v>
      </c>
      <c r="G7675" s="117">
        <v>450</v>
      </c>
    </row>
    <row r="7676" spans="1:7" x14ac:dyDescent="0.25">
      <c r="A7676" s="116" t="s">
        <v>28938</v>
      </c>
      <c r="B7676" s="117" t="s">
        <v>28939</v>
      </c>
      <c r="C7676" t="s">
        <v>67</v>
      </c>
      <c r="D7676" t="s">
        <v>67</v>
      </c>
      <c r="E7676" t="s">
        <v>67</v>
      </c>
      <c r="F7676" t="s">
        <v>27987</v>
      </c>
      <c r="G7676" s="117">
        <v>89</v>
      </c>
    </row>
    <row r="7677" spans="1:7" x14ac:dyDescent="0.25">
      <c r="A7677" s="116" t="s">
        <v>12331</v>
      </c>
      <c r="B7677" s="117" t="s">
        <v>12332</v>
      </c>
      <c r="C7677" t="s">
        <v>67</v>
      </c>
      <c r="D7677" t="s">
        <v>67</v>
      </c>
      <c r="E7677" t="s">
        <v>67</v>
      </c>
      <c r="F7677" t="s">
        <v>27987</v>
      </c>
      <c r="G7677" s="117">
        <v>17.329999999999998</v>
      </c>
    </row>
    <row r="7678" spans="1:7" x14ac:dyDescent="0.25">
      <c r="A7678" s="116" t="s">
        <v>30734</v>
      </c>
      <c r="B7678" s="117" t="s">
        <v>30735</v>
      </c>
      <c r="C7678" t="s">
        <v>67</v>
      </c>
      <c r="D7678" t="s">
        <v>67</v>
      </c>
      <c r="E7678" t="s">
        <v>67</v>
      </c>
      <c r="F7678" t="s">
        <v>27987</v>
      </c>
      <c r="G7678" s="117">
        <v>13</v>
      </c>
    </row>
    <row r="7679" spans="1:7" x14ac:dyDescent="0.25">
      <c r="A7679" s="116" t="s">
        <v>12333</v>
      </c>
      <c r="B7679" s="117" t="s">
        <v>12334</v>
      </c>
      <c r="C7679" t="s">
        <v>67</v>
      </c>
      <c r="D7679" t="s">
        <v>67</v>
      </c>
      <c r="E7679" t="s">
        <v>67</v>
      </c>
      <c r="F7679" t="s">
        <v>27987</v>
      </c>
      <c r="G7679" s="117">
        <v>3.26</v>
      </c>
    </row>
    <row r="7680" spans="1:7" x14ac:dyDescent="0.25">
      <c r="A7680" s="116" t="s">
        <v>12335</v>
      </c>
      <c r="B7680" s="117" t="s">
        <v>28940</v>
      </c>
      <c r="C7680" t="s">
        <v>67</v>
      </c>
      <c r="D7680" t="s">
        <v>67</v>
      </c>
      <c r="E7680" t="s">
        <v>67</v>
      </c>
      <c r="F7680" t="s">
        <v>27987</v>
      </c>
      <c r="G7680" s="117">
        <v>202.45</v>
      </c>
    </row>
    <row r="7681" spans="1:7" x14ac:dyDescent="0.25">
      <c r="A7681" s="116" t="s">
        <v>12336</v>
      </c>
      <c r="B7681" s="117" t="s">
        <v>28941</v>
      </c>
      <c r="C7681" t="s">
        <v>67</v>
      </c>
      <c r="D7681" t="s">
        <v>67</v>
      </c>
      <c r="E7681" t="s">
        <v>67</v>
      </c>
      <c r="F7681" t="s">
        <v>27987</v>
      </c>
      <c r="G7681" s="117">
        <v>109.66</v>
      </c>
    </row>
    <row r="7682" spans="1:7" x14ac:dyDescent="0.25">
      <c r="A7682" s="116" t="s">
        <v>12337</v>
      </c>
      <c r="B7682" s="117" t="s">
        <v>12338</v>
      </c>
      <c r="C7682" t="s">
        <v>67</v>
      </c>
      <c r="D7682" t="s">
        <v>67</v>
      </c>
      <c r="E7682" t="s">
        <v>67</v>
      </c>
      <c r="F7682" t="s">
        <v>27987</v>
      </c>
      <c r="G7682" s="117">
        <v>60.77</v>
      </c>
    </row>
    <row r="7683" spans="1:7" x14ac:dyDescent="0.25">
      <c r="A7683" s="116" t="s">
        <v>12339</v>
      </c>
      <c r="B7683" s="117" t="s">
        <v>11538</v>
      </c>
      <c r="C7683" t="s">
        <v>67</v>
      </c>
      <c r="D7683" t="s">
        <v>67</v>
      </c>
      <c r="E7683" t="s">
        <v>67</v>
      </c>
      <c r="F7683" t="s">
        <v>27987</v>
      </c>
      <c r="G7683" s="117">
        <v>148.66999999999999</v>
      </c>
    </row>
    <row r="7684" spans="1:7" x14ac:dyDescent="0.25">
      <c r="A7684" s="116" t="s">
        <v>12340</v>
      </c>
      <c r="B7684" s="117" t="s">
        <v>12183</v>
      </c>
      <c r="C7684" t="s">
        <v>67</v>
      </c>
      <c r="D7684" t="s">
        <v>67</v>
      </c>
      <c r="E7684" t="s">
        <v>67</v>
      </c>
      <c r="F7684" t="s">
        <v>27987</v>
      </c>
      <c r="G7684" s="117">
        <v>12.05</v>
      </c>
    </row>
    <row r="7685" spans="1:7" x14ac:dyDescent="0.25">
      <c r="A7685" s="116" t="s">
        <v>12341</v>
      </c>
      <c r="B7685" s="117" t="s">
        <v>12342</v>
      </c>
      <c r="C7685" t="s">
        <v>67</v>
      </c>
      <c r="D7685" t="s">
        <v>67</v>
      </c>
      <c r="E7685" t="s">
        <v>67</v>
      </c>
      <c r="F7685" t="s">
        <v>27987</v>
      </c>
      <c r="G7685" s="117">
        <v>41.94</v>
      </c>
    </row>
    <row r="7686" spans="1:7" x14ac:dyDescent="0.25">
      <c r="A7686" s="116" t="s">
        <v>12343</v>
      </c>
      <c r="B7686" s="117" t="s">
        <v>2881</v>
      </c>
      <c r="C7686" t="s">
        <v>67</v>
      </c>
      <c r="D7686" t="s">
        <v>67</v>
      </c>
      <c r="E7686" t="s">
        <v>67</v>
      </c>
      <c r="F7686" t="s">
        <v>27987</v>
      </c>
      <c r="G7686" s="117">
        <v>9.5</v>
      </c>
    </row>
    <row r="7687" spans="1:7" x14ac:dyDescent="0.25">
      <c r="A7687" s="116" t="s">
        <v>26585</v>
      </c>
      <c r="B7687" s="117" t="s">
        <v>26586</v>
      </c>
      <c r="C7687" t="s">
        <v>67</v>
      </c>
      <c r="D7687" t="s">
        <v>67</v>
      </c>
      <c r="E7687" t="s">
        <v>67</v>
      </c>
      <c r="F7687" t="s">
        <v>27987</v>
      </c>
      <c r="G7687" s="117">
        <v>11.72</v>
      </c>
    </row>
    <row r="7688" spans="1:7" x14ac:dyDescent="0.25">
      <c r="A7688" s="116" t="s">
        <v>31104</v>
      </c>
      <c r="B7688" s="117" t="s">
        <v>31115</v>
      </c>
      <c r="C7688" t="s">
        <v>67</v>
      </c>
      <c r="D7688" t="s">
        <v>67</v>
      </c>
      <c r="E7688" t="s">
        <v>67</v>
      </c>
      <c r="F7688" t="s">
        <v>45</v>
      </c>
      <c r="G7688" s="117">
        <v>12</v>
      </c>
    </row>
    <row r="7689" spans="1:7" x14ac:dyDescent="0.25">
      <c r="A7689" s="116" t="s">
        <v>12344</v>
      </c>
      <c r="B7689" s="117" t="s">
        <v>28942</v>
      </c>
      <c r="C7689" t="s">
        <v>67</v>
      </c>
      <c r="D7689" t="s">
        <v>67</v>
      </c>
      <c r="E7689" t="s">
        <v>67</v>
      </c>
      <c r="F7689" t="s">
        <v>27987</v>
      </c>
      <c r="G7689" s="117">
        <v>10</v>
      </c>
    </row>
    <row r="7690" spans="1:7" x14ac:dyDescent="0.25">
      <c r="A7690" s="116" t="s">
        <v>29929</v>
      </c>
      <c r="B7690" s="117" t="s">
        <v>11693</v>
      </c>
      <c r="C7690" t="s">
        <v>67</v>
      </c>
      <c r="D7690" t="s">
        <v>67</v>
      </c>
      <c r="E7690" t="s">
        <v>67</v>
      </c>
      <c r="F7690" t="s">
        <v>27987</v>
      </c>
      <c r="G7690" s="117">
        <v>30</v>
      </c>
    </row>
    <row r="7691" spans="1:7" x14ac:dyDescent="0.25">
      <c r="A7691" s="116" t="s">
        <v>28943</v>
      </c>
      <c r="B7691" s="117" t="s">
        <v>28944</v>
      </c>
      <c r="C7691" t="s">
        <v>67</v>
      </c>
      <c r="D7691" t="s">
        <v>67</v>
      </c>
      <c r="E7691" t="s">
        <v>67</v>
      </c>
      <c r="F7691" t="s">
        <v>27987</v>
      </c>
      <c r="G7691" s="117">
        <v>14.98</v>
      </c>
    </row>
    <row r="7692" spans="1:7" x14ac:dyDescent="0.25">
      <c r="A7692" s="116" t="s">
        <v>28945</v>
      </c>
      <c r="B7692" s="117" t="s">
        <v>28946</v>
      </c>
      <c r="C7692" t="s">
        <v>67</v>
      </c>
      <c r="D7692" t="s">
        <v>67</v>
      </c>
      <c r="E7692" t="s">
        <v>67</v>
      </c>
      <c r="F7692" t="s">
        <v>27987</v>
      </c>
      <c r="G7692" s="117">
        <v>12.41</v>
      </c>
    </row>
    <row r="7693" spans="1:7" x14ac:dyDescent="0.25">
      <c r="A7693" s="116" t="s">
        <v>12345</v>
      </c>
      <c r="B7693" s="117" t="s">
        <v>12346</v>
      </c>
      <c r="C7693" t="s">
        <v>67</v>
      </c>
      <c r="D7693" t="s">
        <v>67</v>
      </c>
      <c r="E7693" t="s">
        <v>67</v>
      </c>
      <c r="F7693" t="s">
        <v>27987</v>
      </c>
      <c r="G7693" s="117">
        <v>13.51</v>
      </c>
    </row>
    <row r="7694" spans="1:7" x14ac:dyDescent="0.25">
      <c r="A7694" s="116" t="s">
        <v>12347</v>
      </c>
      <c r="B7694" s="117" t="s">
        <v>12348</v>
      </c>
      <c r="C7694" t="s">
        <v>67</v>
      </c>
      <c r="D7694" t="s">
        <v>67</v>
      </c>
      <c r="E7694" t="s">
        <v>67</v>
      </c>
      <c r="F7694" t="s">
        <v>27987</v>
      </c>
      <c r="G7694" s="117">
        <v>65.17</v>
      </c>
    </row>
    <row r="7695" spans="1:7" x14ac:dyDescent="0.25">
      <c r="A7695" s="116" t="s">
        <v>31165</v>
      </c>
      <c r="B7695" s="117" t="s">
        <v>31166</v>
      </c>
      <c r="C7695" t="s">
        <v>67</v>
      </c>
      <c r="D7695" t="s">
        <v>67</v>
      </c>
      <c r="E7695" t="s">
        <v>67</v>
      </c>
      <c r="F7695" t="s">
        <v>45</v>
      </c>
      <c r="G7695" s="117">
        <v>142</v>
      </c>
    </row>
    <row r="7696" spans="1:7" x14ac:dyDescent="0.25">
      <c r="A7696" s="116" t="s">
        <v>30276</v>
      </c>
      <c r="B7696" s="117" t="s">
        <v>30277</v>
      </c>
      <c r="C7696" t="s">
        <v>67</v>
      </c>
      <c r="D7696" t="s">
        <v>67</v>
      </c>
      <c r="E7696" t="s">
        <v>67</v>
      </c>
      <c r="F7696" t="s">
        <v>27987</v>
      </c>
      <c r="G7696" s="117">
        <v>13.5</v>
      </c>
    </row>
    <row r="7697" spans="1:7" x14ac:dyDescent="0.25">
      <c r="A7697" s="116" t="s">
        <v>26953</v>
      </c>
      <c r="B7697" s="117" t="s">
        <v>28947</v>
      </c>
      <c r="C7697" t="s">
        <v>67</v>
      </c>
      <c r="D7697" t="s">
        <v>67</v>
      </c>
      <c r="E7697" t="s">
        <v>67</v>
      </c>
      <c r="F7697" t="s">
        <v>27987</v>
      </c>
      <c r="G7697" s="117">
        <v>30</v>
      </c>
    </row>
    <row r="7698" spans="1:7" x14ac:dyDescent="0.25">
      <c r="A7698" s="116" t="s">
        <v>26954</v>
      </c>
      <c r="B7698" s="117" t="s">
        <v>1569</v>
      </c>
      <c r="C7698" t="s">
        <v>67</v>
      </c>
      <c r="D7698" t="s">
        <v>67</v>
      </c>
      <c r="E7698" t="s">
        <v>67</v>
      </c>
      <c r="F7698" t="s">
        <v>27987</v>
      </c>
      <c r="G7698" s="117">
        <v>170</v>
      </c>
    </row>
    <row r="7699" spans="1:7" x14ac:dyDescent="0.25">
      <c r="A7699" s="116" t="s">
        <v>26574</v>
      </c>
      <c r="B7699" s="117" t="s">
        <v>26901</v>
      </c>
      <c r="C7699" t="s">
        <v>67</v>
      </c>
      <c r="D7699" t="s">
        <v>67</v>
      </c>
      <c r="E7699" t="s">
        <v>67</v>
      </c>
      <c r="F7699" t="s">
        <v>27987</v>
      </c>
      <c r="G7699" s="117">
        <v>4.1900000000000004</v>
      </c>
    </row>
    <row r="7700" spans="1:7" x14ac:dyDescent="0.25">
      <c r="A7700" s="116" t="s">
        <v>28144</v>
      </c>
      <c r="B7700" s="117" t="s">
        <v>28948</v>
      </c>
      <c r="C7700" t="s">
        <v>67</v>
      </c>
      <c r="D7700" t="s">
        <v>67</v>
      </c>
      <c r="E7700" t="s">
        <v>67</v>
      </c>
      <c r="F7700" t="s">
        <v>27987</v>
      </c>
      <c r="G7700" s="117">
        <v>20</v>
      </c>
    </row>
    <row r="7701" spans="1:7" x14ac:dyDescent="0.25">
      <c r="A7701" s="116" t="s">
        <v>28145</v>
      </c>
      <c r="B7701" s="117" t="s">
        <v>10608</v>
      </c>
      <c r="C7701" t="s">
        <v>67</v>
      </c>
      <c r="D7701" t="s">
        <v>67</v>
      </c>
      <c r="E7701" t="s">
        <v>67</v>
      </c>
      <c r="F7701" t="s">
        <v>27987</v>
      </c>
      <c r="G7701" s="117">
        <v>10</v>
      </c>
    </row>
    <row r="7702" spans="1:7" x14ac:dyDescent="0.25">
      <c r="A7702" s="116" t="s">
        <v>28146</v>
      </c>
      <c r="B7702" s="117" t="s">
        <v>30026</v>
      </c>
      <c r="C7702" t="s">
        <v>67</v>
      </c>
      <c r="D7702" t="s">
        <v>67</v>
      </c>
      <c r="E7702" t="s">
        <v>67</v>
      </c>
      <c r="F7702" t="s">
        <v>27987</v>
      </c>
      <c r="G7702" s="117">
        <v>5</v>
      </c>
    </row>
    <row r="7703" spans="1:7" x14ac:dyDescent="0.25">
      <c r="A7703" s="116" t="s">
        <v>31224</v>
      </c>
      <c r="B7703" s="117" t="s">
        <v>31225</v>
      </c>
      <c r="C7703" t="s">
        <v>67</v>
      </c>
      <c r="D7703" t="s">
        <v>67</v>
      </c>
      <c r="E7703" t="s">
        <v>67</v>
      </c>
      <c r="F7703" t="s">
        <v>45</v>
      </c>
      <c r="G7703" s="117">
        <v>250</v>
      </c>
    </row>
    <row r="7704" spans="1:7" x14ac:dyDescent="0.25">
      <c r="A7704" s="116" t="s">
        <v>26664</v>
      </c>
      <c r="B7704" s="117" t="s">
        <v>26902</v>
      </c>
      <c r="C7704" t="s">
        <v>67</v>
      </c>
      <c r="D7704" t="s">
        <v>67</v>
      </c>
      <c r="E7704" t="s">
        <v>67</v>
      </c>
      <c r="F7704" t="s">
        <v>27987</v>
      </c>
      <c r="G7704" s="117">
        <v>22.48</v>
      </c>
    </row>
    <row r="7705" spans="1:7" x14ac:dyDescent="0.25">
      <c r="A7705" s="116" t="s">
        <v>26698</v>
      </c>
      <c r="B7705" s="117" t="s">
        <v>28949</v>
      </c>
      <c r="C7705" t="s">
        <v>67</v>
      </c>
      <c r="D7705" t="s">
        <v>67</v>
      </c>
      <c r="E7705" t="s">
        <v>67</v>
      </c>
      <c r="F7705" t="s">
        <v>27987</v>
      </c>
      <c r="G7705" s="117">
        <v>80</v>
      </c>
    </row>
    <row r="7706" spans="1:7" x14ac:dyDescent="0.25">
      <c r="A7706" s="116" t="s">
        <v>28950</v>
      </c>
      <c r="B7706" s="117" t="s">
        <v>1569</v>
      </c>
      <c r="C7706" t="s">
        <v>67</v>
      </c>
      <c r="D7706" t="s">
        <v>67</v>
      </c>
      <c r="E7706" t="s">
        <v>67</v>
      </c>
      <c r="F7706" t="s">
        <v>27987</v>
      </c>
      <c r="G7706" s="117">
        <v>35</v>
      </c>
    </row>
    <row r="7707" spans="1:7" x14ac:dyDescent="0.25">
      <c r="A7707" s="116" t="s">
        <v>29843</v>
      </c>
      <c r="B7707" s="117" t="s">
        <v>29844</v>
      </c>
      <c r="C7707" t="s">
        <v>67</v>
      </c>
      <c r="D7707" t="s">
        <v>67</v>
      </c>
      <c r="E7707" t="s">
        <v>67</v>
      </c>
      <c r="F7707" t="s">
        <v>45</v>
      </c>
      <c r="G7707" s="117">
        <v>30.24</v>
      </c>
    </row>
    <row r="7708" spans="1:7" x14ac:dyDescent="0.25">
      <c r="A7708" s="116" t="s">
        <v>26972</v>
      </c>
      <c r="B7708" s="117" t="s">
        <v>28951</v>
      </c>
      <c r="C7708" t="s">
        <v>67</v>
      </c>
      <c r="D7708" t="s">
        <v>67</v>
      </c>
      <c r="E7708" t="s">
        <v>67</v>
      </c>
      <c r="F7708" t="s">
        <v>27987</v>
      </c>
      <c r="G7708" s="117">
        <v>100</v>
      </c>
    </row>
    <row r="7709" spans="1:7" x14ac:dyDescent="0.25">
      <c r="A7709" s="116" t="s">
        <v>27039</v>
      </c>
      <c r="B7709" s="117" t="s">
        <v>28952</v>
      </c>
      <c r="C7709" t="s">
        <v>67</v>
      </c>
      <c r="D7709" t="s">
        <v>67</v>
      </c>
      <c r="E7709" t="s">
        <v>67</v>
      </c>
      <c r="F7709" t="s">
        <v>27987</v>
      </c>
      <c r="G7709" s="117">
        <v>2.5</v>
      </c>
    </row>
    <row r="7710" spans="1:7" x14ac:dyDescent="0.25">
      <c r="A7710" s="116" t="s">
        <v>28147</v>
      </c>
      <c r="B7710" s="117" t="s">
        <v>28953</v>
      </c>
      <c r="C7710" t="s">
        <v>67</v>
      </c>
      <c r="D7710" t="s">
        <v>67</v>
      </c>
      <c r="E7710" t="s">
        <v>67</v>
      </c>
      <c r="F7710" t="s">
        <v>27987</v>
      </c>
      <c r="G7710" s="117">
        <v>25</v>
      </c>
    </row>
    <row r="7711" spans="1:7" x14ac:dyDescent="0.25">
      <c r="A7711" s="116" t="s">
        <v>28148</v>
      </c>
      <c r="B7711" s="117" t="s">
        <v>28953</v>
      </c>
      <c r="C7711" t="s">
        <v>67</v>
      </c>
      <c r="D7711" t="s">
        <v>67</v>
      </c>
      <c r="E7711" t="s">
        <v>67</v>
      </c>
      <c r="F7711" t="s">
        <v>27987</v>
      </c>
      <c r="G7711" s="117">
        <v>30</v>
      </c>
    </row>
    <row r="7712" spans="1:7" x14ac:dyDescent="0.25">
      <c r="A7712" s="116" t="s">
        <v>28954</v>
      </c>
      <c r="B7712" s="117" t="s">
        <v>31129</v>
      </c>
      <c r="C7712" t="s">
        <v>67</v>
      </c>
      <c r="D7712" t="s">
        <v>67</v>
      </c>
      <c r="E7712" t="s">
        <v>67</v>
      </c>
      <c r="F7712" t="s">
        <v>27987</v>
      </c>
      <c r="G7712" s="117">
        <v>15</v>
      </c>
    </row>
    <row r="7713" spans="1:7" x14ac:dyDescent="0.25">
      <c r="A7713" s="116" t="s">
        <v>28955</v>
      </c>
      <c r="B7713" s="117" t="s">
        <v>1707</v>
      </c>
      <c r="C7713" t="s">
        <v>67</v>
      </c>
      <c r="D7713" t="s">
        <v>67</v>
      </c>
      <c r="E7713" t="s">
        <v>67</v>
      </c>
      <c r="F7713" t="s">
        <v>27987</v>
      </c>
      <c r="G7713" s="117">
        <v>9999</v>
      </c>
    </row>
    <row r="7714" spans="1:7" x14ac:dyDescent="0.25">
      <c r="A7714" s="116" t="s">
        <v>30736</v>
      </c>
      <c r="B7714" s="117" t="s">
        <v>30737</v>
      </c>
      <c r="C7714" t="s">
        <v>67</v>
      </c>
      <c r="D7714" t="s">
        <v>67</v>
      </c>
      <c r="E7714" t="s">
        <v>67</v>
      </c>
      <c r="F7714" t="s">
        <v>45</v>
      </c>
      <c r="G7714" s="117">
        <v>9999</v>
      </c>
    </row>
    <row r="7715" spans="1:7" x14ac:dyDescent="0.25">
      <c r="A7715" s="116" t="s">
        <v>29865</v>
      </c>
      <c r="B7715" s="117" t="s">
        <v>30442</v>
      </c>
      <c r="C7715" t="s">
        <v>67</v>
      </c>
      <c r="D7715" t="s">
        <v>67</v>
      </c>
      <c r="E7715" t="s">
        <v>67</v>
      </c>
      <c r="F7715" t="s">
        <v>27987</v>
      </c>
      <c r="G7715" s="117">
        <v>35</v>
      </c>
    </row>
    <row r="7716" spans="1:7" x14ac:dyDescent="0.25">
      <c r="A7716" s="116" t="s">
        <v>29866</v>
      </c>
      <c r="B7716" s="117" t="s">
        <v>30443</v>
      </c>
      <c r="C7716" t="s">
        <v>67</v>
      </c>
      <c r="D7716" t="s">
        <v>67</v>
      </c>
      <c r="E7716" t="s">
        <v>67</v>
      </c>
      <c r="F7716" t="s">
        <v>27987</v>
      </c>
      <c r="G7716" s="117">
        <v>40</v>
      </c>
    </row>
    <row r="7717" spans="1:7" x14ac:dyDescent="0.25">
      <c r="A7717" s="116" t="s">
        <v>28956</v>
      </c>
      <c r="B7717" s="117" t="s">
        <v>28957</v>
      </c>
      <c r="C7717" t="s">
        <v>67</v>
      </c>
      <c r="D7717" t="s">
        <v>67</v>
      </c>
      <c r="E7717" t="s">
        <v>67</v>
      </c>
      <c r="F7717" t="s">
        <v>27987</v>
      </c>
      <c r="G7717" s="117">
        <v>9999</v>
      </c>
    </row>
    <row r="7718" spans="1:7" x14ac:dyDescent="0.25">
      <c r="A7718" s="116" t="s">
        <v>28958</v>
      </c>
      <c r="B7718" s="117" t="s">
        <v>28944</v>
      </c>
      <c r="C7718" t="s">
        <v>67</v>
      </c>
      <c r="D7718" t="s">
        <v>67</v>
      </c>
      <c r="E7718" t="s">
        <v>67</v>
      </c>
      <c r="F7718" t="s">
        <v>27987</v>
      </c>
      <c r="G7718" s="117">
        <v>9999</v>
      </c>
    </row>
    <row r="7719" spans="1:7" x14ac:dyDescent="0.25">
      <c r="A7719" s="116" t="s">
        <v>28959</v>
      </c>
      <c r="B7719" s="117" t="s">
        <v>28960</v>
      </c>
      <c r="C7719" t="s">
        <v>67</v>
      </c>
      <c r="D7719" t="s">
        <v>67</v>
      </c>
      <c r="E7719" t="s">
        <v>67</v>
      </c>
      <c r="F7719" t="s">
        <v>49</v>
      </c>
      <c r="G7719" s="117">
        <v>10</v>
      </c>
    </row>
    <row r="7720" spans="1:7" x14ac:dyDescent="0.25">
      <c r="A7720" s="116" t="s">
        <v>28961</v>
      </c>
      <c r="B7720" s="117" t="s">
        <v>28962</v>
      </c>
      <c r="C7720" t="s">
        <v>67</v>
      </c>
      <c r="D7720" t="s">
        <v>67</v>
      </c>
      <c r="E7720" t="s">
        <v>67</v>
      </c>
      <c r="F7720" t="s">
        <v>49</v>
      </c>
      <c r="G7720" s="117">
        <v>5</v>
      </c>
    </row>
    <row r="7721" spans="1:7" x14ac:dyDescent="0.25">
      <c r="A7721" s="116" t="s">
        <v>28963</v>
      </c>
      <c r="B7721" s="117" t="s">
        <v>9891</v>
      </c>
      <c r="C7721" t="s">
        <v>67</v>
      </c>
      <c r="D7721" t="s">
        <v>67</v>
      </c>
      <c r="E7721" t="s">
        <v>67</v>
      </c>
      <c r="F7721" t="s">
        <v>49</v>
      </c>
      <c r="G7721" s="117">
        <v>3</v>
      </c>
    </row>
    <row r="7722" spans="1:7" x14ac:dyDescent="0.25">
      <c r="A7722" s="116" t="s">
        <v>28964</v>
      </c>
      <c r="B7722" s="117" t="s">
        <v>28965</v>
      </c>
      <c r="C7722" t="s">
        <v>67</v>
      </c>
      <c r="D7722" t="s">
        <v>67</v>
      </c>
      <c r="E7722" t="s">
        <v>67</v>
      </c>
      <c r="F7722" t="s">
        <v>49</v>
      </c>
      <c r="G7722" s="117">
        <v>10</v>
      </c>
    </row>
    <row r="7723" spans="1:7" x14ac:dyDescent="0.25">
      <c r="A7723" s="116" t="s">
        <v>28966</v>
      </c>
      <c r="B7723" s="117" t="s">
        <v>30444</v>
      </c>
      <c r="C7723" t="s">
        <v>67</v>
      </c>
      <c r="D7723" t="s">
        <v>67</v>
      </c>
      <c r="E7723" t="s">
        <v>67</v>
      </c>
      <c r="F7723" t="s">
        <v>27987</v>
      </c>
      <c r="G7723" s="117">
        <v>65</v>
      </c>
    </row>
    <row r="7724" spans="1:7" x14ac:dyDescent="0.25">
      <c r="A7724" s="116" t="s">
        <v>30007</v>
      </c>
      <c r="B7724" s="117" t="s">
        <v>30445</v>
      </c>
      <c r="C7724" t="s">
        <v>67</v>
      </c>
      <c r="D7724" t="s">
        <v>67</v>
      </c>
      <c r="E7724" t="s">
        <v>67</v>
      </c>
      <c r="F7724" t="s">
        <v>27987</v>
      </c>
      <c r="G7724" s="117">
        <v>25</v>
      </c>
    </row>
    <row r="7725" spans="1:7" x14ac:dyDescent="0.25">
      <c r="A7725" s="116" t="s">
        <v>30008</v>
      </c>
      <c r="B7725" s="117" t="s">
        <v>30446</v>
      </c>
      <c r="C7725" t="s">
        <v>67</v>
      </c>
      <c r="D7725" t="s">
        <v>67</v>
      </c>
      <c r="E7725" t="s">
        <v>67</v>
      </c>
      <c r="F7725" t="s">
        <v>27987</v>
      </c>
      <c r="G7725" s="117">
        <v>18</v>
      </c>
    </row>
    <row r="7726" spans="1:7" x14ac:dyDescent="0.25">
      <c r="A7726" s="116" t="s">
        <v>30881</v>
      </c>
      <c r="B7726" s="117" t="s">
        <v>30882</v>
      </c>
      <c r="C7726" t="s">
        <v>67</v>
      </c>
      <c r="D7726" t="s">
        <v>67</v>
      </c>
      <c r="E7726" t="s">
        <v>67</v>
      </c>
      <c r="F7726" t="s">
        <v>45</v>
      </c>
      <c r="G7726" s="117">
        <v>9999</v>
      </c>
    </row>
    <row r="7727" spans="1:7" x14ac:dyDescent="0.25">
      <c r="A7727" s="116" t="s">
        <v>30883</v>
      </c>
      <c r="B7727" s="117" t="s">
        <v>30882</v>
      </c>
      <c r="C7727" t="s">
        <v>67</v>
      </c>
      <c r="D7727" t="s">
        <v>67</v>
      </c>
      <c r="E7727" t="s">
        <v>67</v>
      </c>
      <c r="F7727" t="s">
        <v>45</v>
      </c>
      <c r="G7727" s="117">
        <v>9999</v>
      </c>
    </row>
    <row r="7728" spans="1:7" x14ac:dyDescent="0.25">
      <c r="A7728" s="116" t="s">
        <v>30278</v>
      </c>
      <c r="B7728" s="117" t="s">
        <v>30279</v>
      </c>
      <c r="C7728" t="s">
        <v>67</v>
      </c>
      <c r="D7728" t="s">
        <v>67</v>
      </c>
      <c r="E7728" t="s">
        <v>67</v>
      </c>
      <c r="F7728" t="s">
        <v>27987</v>
      </c>
      <c r="G7728" s="117">
        <v>9999</v>
      </c>
    </row>
    <row r="7729" spans="1:7" x14ac:dyDescent="0.25">
      <c r="A7729" s="116" t="s">
        <v>30884</v>
      </c>
      <c r="B7729" s="117" t="s">
        <v>30885</v>
      </c>
      <c r="C7729" t="s">
        <v>67</v>
      </c>
      <c r="D7729" t="s">
        <v>67</v>
      </c>
      <c r="E7729" t="s">
        <v>67</v>
      </c>
      <c r="F7729" t="s">
        <v>27987</v>
      </c>
      <c r="G7729" s="117">
        <v>9999</v>
      </c>
    </row>
    <row r="7730" spans="1:7" x14ac:dyDescent="0.25">
      <c r="A7730" s="116" t="s">
        <v>30886</v>
      </c>
      <c r="B7730" s="117" t="s">
        <v>30887</v>
      </c>
      <c r="C7730" t="s">
        <v>67</v>
      </c>
      <c r="D7730" t="s">
        <v>67</v>
      </c>
      <c r="E7730" t="s">
        <v>67</v>
      </c>
      <c r="F7730" t="s">
        <v>45</v>
      </c>
      <c r="G7730" s="117">
        <v>9999</v>
      </c>
    </row>
    <row r="7731" spans="1:7" x14ac:dyDescent="0.25">
      <c r="A7731" s="116" t="s">
        <v>30888</v>
      </c>
      <c r="B7731" s="117" t="s">
        <v>30889</v>
      </c>
      <c r="C7731" t="s">
        <v>67</v>
      </c>
      <c r="D7731" t="s">
        <v>67</v>
      </c>
      <c r="E7731" t="s">
        <v>67</v>
      </c>
      <c r="F7731" t="s">
        <v>45</v>
      </c>
      <c r="G7731" s="117">
        <v>9999</v>
      </c>
    </row>
    <row r="7732" spans="1:7" x14ac:dyDescent="0.25">
      <c r="A7732" s="116" t="s">
        <v>31088</v>
      </c>
      <c r="B7732" s="117" t="s">
        <v>30885</v>
      </c>
      <c r="C7732" t="s">
        <v>67</v>
      </c>
      <c r="D7732" t="s">
        <v>67</v>
      </c>
      <c r="E7732" t="s">
        <v>67</v>
      </c>
      <c r="F7732" t="s">
        <v>45</v>
      </c>
      <c r="G7732" s="117">
        <v>9999</v>
      </c>
    </row>
    <row r="7733" spans="1:7" x14ac:dyDescent="0.25">
      <c r="A7733" s="116" t="s">
        <v>12349</v>
      </c>
      <c r="B7733" s="117" t="s">
        <v>12350</v>
      </c>
      <c r="C7733" t="s">
        <v>67</v>
      </c>
      <c r="D7733" t="s">
        <v>67</v>
      </c>
      <c r="E7733" t="s">
        <v>67</v>
      </c>
      <c r="F7733" t="s">
        <v>27987</v>
      </c>
      <c r="G7733" s="117">
        <v>5.51</v>
      </c>
    </row>
    <row r="7734" spans="1:7" x14ac:dyDescent="0.25">
      <c r="A7734" s="116" t="s">
        <v>12351</v>
      </c>
      <c r="B7734" s="117" t="s">
        <v>12352</v>
      </c>
      <c r="C7734" t="s">
        <v>67</v>
      </c>
      <c r="D7734" t="s">
        <v>67</v>
      </c>
      <c r="E7734" t="s">
        <v>67</v>
      </c>
      <c r="F7734" t="s">
        <v>49</v>
      </c>
      <c r="G7734" s="117">
        <v>1.33</v>
      </c>
    </row>
    <row r="7735" spans="1:7" x14ac:dyDescent="0.25">
      <c r="A7735" s="116" t="s">
        <v>12353</v>
      </c>
      <c r="B7735" s="117" t="s">
        <v>12354</v>
      </c>
      <c r="C7735" t="s">
        <v>67</v>
      </c>
      <c r="D7735" t="s">
        <v>67</v>
      </c>
      <c r="E7735" t="s">
        <v>67</v>
      </c>
      <c r="F7735" t="s">
        <v>45</v>
      </c>
      <c r="G7735" s="117">
        <v>362.07</v>
      </c>
    </row>
    <row r="7736" spans="1:7" x14ac:dyDescent="0.25">
      <c r="A7736" s="116" t="s">
        <v>12355</v>
      </c>
      <c r="B7736" s="117" t="s">
        <v>12356</v>
      </c>
      <c r="C7736" t="s">
        <v>67</v>
      </c>
      <c r="D7736" t="s">
        <v>67</v>
      </c>
      <c r="E7736" t="s">
        <v>67</v>
      </c>
      <c r="F7736" t="s">
        <v>45</v>
      </c>
      <c r="G7736" s="117">
        <v>61.31</v>
      </c>
    </row>
    <row r="7737" spans="1:7" x14ac:dyDescent="0.25">
      <c r="A7737" s="116" t="s">
        <v>28967</v>
      </c>
      <c r="B7737" s="117" t="s">
        <v>28968</v>
      </c>
      <c r="C7737" t="s">
        <v>67</v>
      </c>
      <c r="D7737" t="s">
        <v>67</v>
      </c>
      <c r="E7737" t="s">
        <v>67</v>
      </c>
      <c r="F7737" t="s">
        <v>45</v>
      </c>
      <c r="G7737" s="117">
        <v>0</v>
      </c>
    </row>
    <row r="7738" spans="1:7" x14ac:dyDescent="0.25">
      <c r="A7738" s="116" t="s">
        <v>12357</v>
      </c>
      <c r="B7738" s="117" t="s">
        <v>12356</v>
      </c>
      <c r="C7738" t="s">
        <v>67</v>
      </c>
      <c r="D7738" t="s">
        <v>67</v>
      </c>
      <c r="E7738" t="s">
        <v>67</v>
      </c>
      <c r="F7738" t="s">
        <v>45</v>
      </c>
      <c r="G7738" s="117">
        <v>64.87</v>
      </c>
    </row>
    <row r="7739" spans="1:7" x14ac:dyDescent="0.25">
      <c r="A7739" s="116" t="s">
        <v>12358</v>
      </c>
      <c r="B7739" s="117" t="s">
        <v>12359</v>
      </c>
      <c r="C7739" t="s">
        <v>67</v>
      </c>
      <c r="D7739" t="s">
        <v>67</v>
      </c>
      <c r="E7739" t="s">
        <v>67</v>
      </c>
      <c r="F7739" t="s">
        <v>45</v>
      </c>
      <c r="G7739" s="117">
        <v>55.62</v>
      </c>
    </row>
    <row r="7740" spans="1:7" x14ac:dyDescent="0.25">
      <c r="A7740" s="116" t="s">
        <v>28969</v>
      </c>
      <c r="B7740" s="117" t="s">
        <v>28970</v>
      </c>
      <c r="C7740" t="s">
        <v>67</v>
      </c>
      <c r="D7740" t="s">
        <v>67</v>
      </c>
      <c r="E7740" t="s">
        <v>67</v>
      </c>
      <c r="F7740" t="s">
        <v>45</v>
      </c>
      <c r="G7740" s="117">
        <v>0</v>
      </c>
    </row>
    <row r="7741" spans="1:7" x14ac:dyDescent="0.25">
      <c r="A7741" s="116" t="s">
        <v>12360</v>
      </c>
      <c r="B7741" s="117" t="s">
        <v>12361</v>
      </c>
      <c r="C7741" t="s">
        <v>67</v>
      </c>
      <c r="D7741" t="s">
        <v>67</v>
      </c>
      <c r="E7741" t="s">
        <v>67</v>
      </c>
      <c r="F7741" t="s">
        <v>27987</v>
      </c>
      <c r="G7741" s="117">
        <v>4.8899999999999997</v>
      </c>
    </row>
    <row r="7742" spans="1:7" x14ac:dyDescent="0.25">
      <c r="A7742" s="116" t="s">
        <v>12362</v>
      </c>
      <c r="B7742" s="117" t="s">
        <v>11703</v>
      </c>
      <c r="C7742" t="s">
        <v>67</v>
      </c>
      <c r="D7742" t="s">
        <v>67</v>
      </c>
      <c r="E7742" t="s">
        <v>67</v>
      </c>
      <c r="F7742" t="s">
        <v>27987</v>
      </c>
      <c r="G7742" s="117">
        <v>18.239999999999998</v>
      </c>
    </row>
    <row r="7743" spans="1:7" x14ac:dyDescent="0.25">
      <c r="A7743" s="116" t="s">
        <v>28971</v>
      </c>
      <c r="B7743" s="117" t="s">
        <v>28972</v>
      </c>
      <c r="C7743" t="s">
        <v>67</v>
      </c>
      <c r="D7743" t="s">
        <v>67</v>
      </c>
      <c r="E7743" t="s">
        <v>67</v>
      </c>
      <c r="F7743" t="s">
        <v>45</v>
      </c>
      <c r="G7743" s="117">
        <v>0</v>
      </c>
    </row>
    <row r="7744" spans="1:7" x14ac:dyDescent="0.25">
      <c r="A7744" s="116" t="s">
        <v>12363</v>
      </c>
      <c r="B7744" s="117" t="s">
        <v>12364</v>
      </c>
      <c r="C7744" t="s">
        <v>67</v>
      </c>
      <c r="D7744" t="s">
        <v>67</v>
      </c>
      <c r="E7744" t="s">
        <v>67</v>
      </c>
      <c r="F7744" t="s">
        <v>27987</v>
      </c>
      <c r="G7744" s="117">
        <v>259.74</v>
      </c>
    </row>
    <row r="7745" spans="1:7" x14ac:dyDescent="0.25">
      <c r="A7745" s="116" t="s">
        <v>12365</v>
      </c>
      <c r="B7745" s="117" t="s">
        <v>12366</v>
      </c>
      <c r="C7745" t="s">
        <v>67</v>
      </c>
      <c r="D7745" t="s">
        <v>67</v>
      </c>
      <c r="E7745" t="s">
        <v>67</v>
      </c>
      <c r="F7745" t="s">
        <v>45</v>
      </c>
      <c r="G7745" s="117">
        <v>36.93</v>
      </c>
    </row>
    <row r="7746" spans="1:7" x14ac:dyDescent="0.25">
      <c r="A7746" s="116" t="s">
        <v>12367</v>
      </c>
      <c r="B7746" s="117" t="s">
        <v>12368</v>
      </c>
      <c r="C7746" t="s">
        <v>67</v>
      </c>
      <c r="D7746" t="s">
        <v>67</v>
      </c>
      <c r="E7746" t="s">
        <v>67</v>
      </c>
      <c r="F7746" t="s">
        <v>45</v>
      </c>
      <c r="G7746" s="117">
        <v>108.48</v>
      </c>
    </row>
    <row r="7747" spans="1:7" x14ac:dyDescent="0.25">
      <c r="A7747" s="116" t="s">
        <v>12369</v>
      </c>
      <c r="B7747" s="117" t="s">
        <v>12370</v>
      </c>
      <c r="C7747" t="s">
        <v>67</v>
      </c>
      <c r="D7747" t="s">
        <v>67</v>
      </c>
      <c r="E7747" t="s">
        <v>67</v>
      </c>
      <c r="F7747" t="s">
        <v>45</v>
      </c>
      <c r="G7747" s="117">
        <v>495.19</v>
      </c>
    </row>
    <row r="7748" spans="1:7" x14ac:dyDescent="0.25">
      <c r="A7748" s="116" t="s">
        <v>28116</v>
      </c>
      <c r="B7748" s="117" t="s">
        <v>30027</v>
      </c>
      <c r="C7748" t="s">
        <v>67</v>
      </c>
      <c r="D7748" t="s">
        <v>67</v>
      </c>
      <c r="E7748" t="s">
        <v>67</v>
      </c>
      <c r="F7748" t="s">
        <v>27987</v>
      </c>
      <c r="G7748" s="117">
        <v>37.07</v>
      </c>
    </row>
    <row r="7749" spans="1:7" x14ac:dyDescent="0.25">
      <c r="A7749" s="116" t="s">
        <v>12371</v>
      </c>
      <c r="B7749" s="117" t="s">
        <v>12372</v>
      </c>
      <c r="C7749" t="s">
        <v>67</v>
      </c>
      <c r="D7749" t="s">
        <v>67</v>
      </c>
      <c r="E7749" t="s">
        <v>67</v>
      </c>
      <c r="F7749" t="s">
        <v>45</v>
      </c>
      <c r="G7749" s="117">
        <v>55.62</v>
      </c>
    </row>
    <row r="7750" spans="1:7" x14ac:dyDescent="0.25">
      <c r="A7750" s="116" t="s">
        <v>12373</v>
      </c>
      <c r="B7750" s="117" t="s">
        <v>12374</v>
      </c>
      <c r="C7750" t="s">
        <v>67</v>
      </c>
      <c r="D7750" t="s">
        <v>67</v>
      </c>
      <c r="E7750" t="s">
        <v>67</v>
      </c>
      <c r="F7750" t="s">
        <v>27987</v>
      </c>
      <c r="G7750" s="117">
        <v>3.48</v>
      </c>
    </row>
    <row r="7751" spans="1:7" x14ac:dyDescent="0.25">
      <c r="A7751" s="116" t="s">
        <v>12375</v>
      </c>
      <c r="B7751" s="117" t="s">
        <v>11789</v>
      </c>
      <c r="C7751" t="s">
        <v>67</v>
      </c>
      <c r="D7751" t="s">
        <v>67</v>
      </c>
      <c r="E7751" t="s">
        <v>67</v>
      </c>
      <c r="F7751" t="s">
        <v>27990</v>
      </c>
      <c r="G7751" s="117">
        <v>7.54</v>
      </c>
    </row>
    <row r="7752" spans="1:7" x14ac:dyDescent="0.25">
      <c r="A7752" s="116" t="s">
        <v>28195</v>
      </c>
      <c r="B7752" s="117" t="s">
        <v>28196</v>
      </c>
      <c r="C7752" t="s">
        <v>67</v>
      </c>
      <c r="D7752" t="s">
        <v>67</v>
      </c>
      <c r="E7752" t="s">
        <v>67</v>
      </c>
      <c r="F7752" t="s">
        <v>45</v>
      </c>
      <c r="G7752" s="117">
        <v>8.9</v>
      </c>
    </row>
    <row r="7753" spans="1:7" x14ac:dyDescent="0.25">
      <c r="A7753" s="116" t="s">
        <v>12376</v>
      </c>
      <c r="B7753" s="117" t="s">
        <v>12377</v>
      </c>
      <c r="C7753" t="s">
        <v>67</v>
      </c>
      <c r="D7753" t="s">
        <v>67</v>
      </c>
      <c r="E7753" t="s">
        <v>67</v>
      </c>
      <c r="F7753" t="s">
        <v>27987</v>
      </c>
      <c r="G7753" s="117">
        <v>365.63</v>
      </c>
    </row>
    <row r="7754" spans="1:7" x14ac:dyDescent="0.25">
      <c r="A7754" s="116" t="s">
        <v>12378</v>
      </c>
      <c r="B7754" s="117" t="s">
        <v>12379</v>
      </c>
      <c r="C7754" t="s">
        <v>67</v>
      </c>
      <c r="D7754" t="s">
        <v>67</v>
      </c>
      <c r="E7754" t="s">
        <v>67</v>
      </c>
      <c r="F7754" t="s">
        <v>27987</v>
      </c>
      <c r="G7754" s="117">
        <v>81.42</v>
      </c>
    </row>
    <row r="7755" spans="1:7" x14ac:dyDescent="0.25">
      <c r="A7755" s="116" t="s">
        <v>12380</v>
      </c>
      <c r="B7755" s="117" t="s">
        <v>12381</v>
      </c>
      <c r="C7755" t="s">
        <v>67</v>
      </c>
      <c r="D7755" t="s">
        <v>67</v>
      </c>
      <c r="E7755" t="s">
        <v>67</v>
      </c>
      <c r="F7755" t="s">
        <v>27987</v>
      </c>
      <c r="G7755" s="117">
        <v>85.17</v>
      </c>
    </row>
    <row r="7756" spans="1:7" x14ac:dyDescent="0.25">
      <c r="A7756" s="116" t="s">
        <v>12382</v>
      </c>
      <c r="B7756" s="117" t="s">
        <v>12383</v>
      </c>
      <c r="C7756" t="s">
        <v>67</v>
      </c>
      <c r="D7756" t="s">
        <v>67</v>
      </c>
      <c r="E7756" t="s">
        <v>67</v>
      </c>
      <c r="F7756" t="s">
        <v>27987</v>
      </c>
      <c r="G7756" s="117">
        <v>6.68</v>
      </c>
    </row>
    <row r="7757" spans="1:7" x14ac:dyDescent="0.25">
      <c r="A7757" s="116" t="s">
        <v>12384</v>
      </c>
      <c r="B7757" s="117" t="s">
        <v>12385</v>
      </c>
      <c r="C7757" t="s">
        <v>67</v>
      </c>
      <c r="D7757" t="s">
        <v>67</v>
      </c>
      <c r="E7757" t="s">
        <v>67</v>
      </c>
      <c r="F7757" t="s">
        <v>45</v>
      </c>
      <c r="G7757" s="117">
        <v>135.69999999999999</v>
      </c>
    </row>
    <row r="7758" spans="1:7" x14ac:dyDescent="0.25">
      <c r="A7758" s="116" t="s">
        <v>12386</v>
      </c>
      <c r="B7758" s="117" t="s">
        <v>11659</v>
      </c>
      <c r="C7758" t="s">
        <v>67</v>
      </c>
      <c r="D7758" t="s">
        <v>67</v>
      </c>
      <c r="E7758" t="s">
        <v>67</v>
      </c>
      <c r="F7758" t="s">
        <v>27987</v>
      </c>
      <c r="G7758" s="117">
        <v>23.05</v>
      </c>
    </row>
    <row r="7759" spans="1:7" x14ac:dyDescent="0.25">
      <c r="A7759" s="116" t="s">
        <v>12387</v>
      </c>
      <c r="B7759" s="117" t="s">
        <v>2794</v>
      </c>
      <c r="C7759" t="s">
        <v>67</v>
      </c>
      <c r="D7759" t="s">
        <v>67</v>
      </c>
      <c r="E7759" t="s">
        <v>67</v>
      </c>
      <c r="F7759" t="s">
        <v>27987</v>
      </c>
      <c r="G7759" s="117">
        <v>7.92</v>
      </c>
    </row>
    <row r="7760" spans="1:7" x14ac:dyDescent="0.25">
      <c r="A7760" s="116" t="s">
        <v>12388</v>
      </c>
      <c r="B7760" s="117" t="s">
        <v>12389</v>
      </c>
      <c r="C7760" t="s">
        <v>67</v>
      </c>
      <c r="D7760" t="s">
        <v>67</v>
      </c>
      <c r="E7760" t="s">
        <v>67</v>
      </c>
      <c r="F7760" t="s">
        <v>27987</v>
      </c>
      <c r="G7760" s="117">
        <v>1144.24</v>
      </c>
    </row>
    <row r="7761" spans="1:7" x14ac:dyDescent="0.25">
      <c r="A7761" s="116" t="s">
        <v>12390</v>
      </c>
      <c r="B7761" s="117" t="s">
        <v>12391</v>
      </c>
      <c r="C7761" t="s">
        <v>67</v>
      </c>
      <c r="D7761" t="s">
        <v>67</v>
      </c>
      <c r="E7761" t="s">
        <v>67</v>
      </c>
      <c r="F7761" t="s">
        <v>27987</v>
      </c>
      <c r="G7761" s="117">
        <v>16.46</v>
      </c>
    </row>
    <row r="7762" spans="1:7" x14ac:dyDescent="0.25">
      <c r="A7762" s="116" t="s">
        <v>28973</v>
      </c>
      <c r="B7762" s="117" t="s">
        <v>28974</v>
      </c>
      <c r="C7762" t="s">
        <v>67</v>
      </c>
      <c r="D7762" t="s">
        <v>67</v>
      </c>
      <c r="E7762" t="s">
        <v>67</v>
      </c>
      <c r="F7762" t="s">
        <v>45</v>
      </c>
      <c r="G7762" s="117">
        <v>0</v>
      </c>
    </row>
    <row r="7763" spans="1:7" x14ac:dyDescent="0.25">
      <c r="A7763" s="116" t="s">
        <v>12392</v>
      </c>
      <c r="B7763" s="117" t="s">
        <v>12393</v>
      </c>
      <c r="C7763" t="s">
        <v>67</v>
      </c>
      <c r="D7763" t="s">
        <v>67</v>
      </c>
      <c r="E7763" t="s">
        <v>67</v>
      </c>
      <c r="F7763" t="s">
        <v>27987</v>
      </c>
      <c r="G7763" s="117">
        <v>48.86</v>
      </c>
    </row>
    <row r="7764" spans="1:7" x14ac:dyDescent="0.25">
      <c r="A7764" s="116" t="s">
        <v>12394</v>
      </c>
      <c r="B7764" s="117" t="s">
        <v>8703</v>
      </c>
      <c r="C7764" t="s">
        <v>67</v>
      </c>
      <c r="D7764" t="s">
        <v>67</v>
      </c>
      <c r="E7764" t="s">
        <v>67</v>
      </c>
      <c r="F7764" t="s">
        <v>27987</v>
      </c>
      <c r="G7764" s="117">
        <v>17.7</v>
      </c>
    </row>
    <row r="7765" spans="1:7" x14ac:dyDescent="0.25">
      <c r="A7765" s="116" t="s">
        <v>12395</v>
      </c>
      <c r="B7765" s="117" t="s">
        <v>11597</v>
      </c>
      <c r="C7765" t="s">
        <v>67</v>
      </c>
      <c r="D7765" t="s">
        <v>67</v>
      </c>
      <c r="E7765" t="s">
        <v>67</v>
      </c>
      <c r="F7765" t="s">
        <v>27987</v>
      </c>
      <c r="G7765" s="117">
        <v>20.38</v>
      </c>
    </row>
    <row r="7766" spans="1:7" x14ac:dyDescent="0.25">
      <c r="A7766" s="116" t="s">
        <v>12396</v>
      </c>
      <c r="B7766" s="117" t="s">
        <v>12397</v>
      </c>
      <c r="C7766" t="s">
        <v>67</v>
      </c>
      <c r="D7766" t="s">
        <v>67</v>
      </c>
      <c r="E7766" t="s">
        <v>67</v>
      </c>
      <c r="F7766" t="s">
        <v>49</v>
      </c>
      <c r="G7766" s="117">
        <v>2.58</v>
      </c>
    </row>
    <row r="7767" spans="1:7" x14ac:dyDescent="0.25">
      <c r="A7767" s="116" t="s">
        <v>12398</v>
      </c>
      <c r="B7767" s="117" t="s">
        <v>12399</v>
      </c>
      <c r="C7767" t="s">
        <v>67</v>
      </c>
      <c r="D7767" t="s">
        <v>67</v>
      </c>
      <c r="E7767" t="s">
        <v>67</v>
      </c>
      <c r="F7767" t="s">
        <v>45</v>
      </c>
      <c r="G7767" s="117">
        <v>19.489999999999998</v>
      </c>
    </row>
    <row r="7768" spans="1:7" x14ac:dyDescent="0.25">
      <c r="A7768" s="116" t="s">
        <v>12400</v>
      </c>
      <c r="B7768" s="117" t="s">
        <v>12401</v>
      </c>
      <c r="C7768" t="s">
        <v>67</v>
      </c>
      <c r="D7768" t="s">
        <v>67</v>
      </c>
      <c r="E7768" t="s">
        <v>67</v>
      </c>
      <c r="F7768" t="s">
        <v>27987</v>
      </c>
      <c r="G7768" s="117">
        <v>18.600000000000001</v>
      </c>
    </row>
    <row r="7769" spans="1:7" x14ac:dyDescent="0.25">
      <c r="A7769" s="116" t="s">
        <v>12402</v>
      </c>
      <c r="B7769" s="117" t="s">
        <v>12403</v>
      </c>
      <c r="C7769" t="s">
        <v>67</v>
      </c>
      <c r="D7769" t="s">
        <v>67</v>
      </c>
      <c r="E7769" t="s">
        <v>67</v>
      </c>
      <c r="F7769" t="s">
        <v>27987</v>
      </c>
      <c r="G7769" s="117">
        <v>311.44</v>
      </c>
    </row>
    <row r="7770" spans="1:7" x14ac:dyDescent="0.25">
      <c r="A7770" s="116" t="s">
        <v>12404</v>
      </c>
      <c r="B7770" s="117" t="s">
        <v>12405</v>
      </c>
      <c r="C7770" t="s">
        <v>67</v>
      </c>
      <c r="D7770" t="s">
        <v>67</v>
      </c>
      <c r="E7770" t="s">
        <v>67</v>
      </c>
      <c r="F7770" t="s">
        <v>49</v>
      </c>
      <c r="G7770" s="117">
        <v>8.4499999999999993</v>
      </c>
    </row>
    <row r="7771" spans="1:7" x14ac:dyDescent="0.25">
      <c r="A7771" s="116" t="s">
        <v>12406</v>
      </c>
      <c r="B7771" s="117" t="s">
        <v>12407</v>
      </c>
      <c r="C7771" t="s">
        <v>67</v>
      </c>
      <c r="D7771" t="s">
        <v>67</v>
      </c>
      <c r="E7771" t="s">
        <v>67</v>
      </c>
      <c r="F7771" t="s">
        <v>27987</v>
      </c>
      <c r="G7771" s="117">
        <v>113.45</v>
      </c>
    </row>
    <row r="7772" spans="1:7" x14ac:dyDescent="0.25">
      <c r="A7772" s="116" t="s">
        <v>12408</v>
      </c>
      <c r="B7772" s="117" t="s">
        <v>12409</v>
      </c>
      <c r="C7772" t="s">
        <v>67</v>
      </c>
      <c r="D7772" t="s">
        <v>67</v>
      </c>
      <c r="E7772" t="s">
        <v>67</v>
      </c>
      <c r="F7772" t="s">
        <v>49</v>
      </c>
      <c r="G7772" s="117">
        <v>80.88</v>
      </c>
    </row>
    <row r="7773" spans="1:7" x14ac:dyDescent="0.25">
      <c r="A7773" s="116" t="s">
        <v>12410</v>
      </c>
      <c r="B7773" s="117" t="s">
        <v>12411</v>
      </c>
      <c r="C7773" t="s">
        <v>67</v>
      </c>
      <c r="D7773" t="s">
        <v>67</v>
      </c>
      <c r="E7773" t="s">
        <v>67</v>
      </c>
      <c r="F7773" t="s">
        <v>45</v>
      </c>
      <c r="G7773" s="117">
        <v>480.42</v>
      </c>
    </row>
    <row r="7774" spans="1:7" x14ac:dyDescent="0.25">
      <c r="A7774" s="116" t="s">
        <v>12412</v>
      </c>
      <c r="B7774" s="117" t="s">
        <v>12413</v>
      </c>
      <c r="C7774" t="s">
        <v>67</v>
      </c>
      <c r="D7774" t="s">
        <v>67</v>
      </c>
      <c r="E7774" t="s">
        <v>67</v>
      </c>
      <c r="F7774" t="s">
        <v>27987</v>
      </c>
      <c r="G7774" s="117">
        <v>106.33</v>
      </c>
    </row>
    <row r="7775" spans="1:7" x14ac:dyDescent="0.25">
      <c r="A7775" s="116" t="s">
        <v>12414</v>
      </c>
      <c r="B7775" s="117" t="s">
        <v>12415</v>
      </c>
      <c r="C7775" t="s">
        <v>67</v>
      </c>
      <c r="D7775" t="s">
        <v>67</v>
      </c>
      <c r="E7775" t="s">
        <v>67</v>
      </c>
      <c r="F7775" t="s">
        <v>27987</v>
      </c>
      <c r="G7775" s="117">
        <v>14.14</v>
      </c>
    </row>
    <row r="7776" spans="1:7" x14ac:dyDescent="0.25">
      <c r="A7776" s="116" t="s">
        <v>12416</v>
      </c>
      <c r="B7776" s="117" t="s">
        <v>12417</v>
      </c>
      <c r="C7776" t="s">
        <v>67</v>
      </c>
      <c r="D7776" t="s">
        <v>67</v>
      </c>
      <c r="E7776" t="s">
        <v>67</v>
      </c>
      <c r="F7776" t="s">
        <v>45</v>
      </c>
      <c r="G7776" s="117">
        <v>12.56</v>
      </c>
    </row>
    <row r="7777" spans="1:7" x14ac:dyDescent="0.25">
      <c r="A7777" s="116" t="s">
        <v>12418</v>
      </c>
      <c r="B7777" s="117" t="s">
        <v>11934</v>
      </c>
      <c r="C7777" t="s">
        <v>67</v>
      </c>
      <c r="D7777" t="s">
        <v>67</v>
      </c>
      <c r="E7777" t="s">
        <v>67</v>
      </c>
      <c r="F7777" t="s">
        <v>27987</v>
      </c>
      <c r="G7777" s="117">
        <v>17.7</v>
      </c>
    </row>
    <row r="7778" spans="1:7" x14ac:dyDescent="0.25">
      <c r="A7778" s="116" t="s">
        <v>12419</v>
      </c>
      <c r="B7778" s="117" t="s">
        <v>5826</v>
      </c>
      <c r="C7778" t="s">
        <v>67</v>
      </c>
      <c r="D7778" t="s">
        <v>67</v>
      </c>
      <c r="E7778" t="s">
        <v>67</v>
      </c>
      <c r="F7778" t="s">
        <v>27987</v>
      </c>
      <c r="G7778" s="117">
        <v>3.56</v>
      </c>
    </row>
    <row r="7779" spans="1:7" x14ac:dyDescent="0.25">
      <c r="A7779" s="116" t="s">
        <v>12420</v>
      </c>
      <c r="B7779" s="117" t="s">
        <v>12421</v>
      </c>
      <c r="C7779" t="s">
        <v>67</v>
      </c>
      <c r="D7779" t="s">
        <v>67</v>
      </c>
      <c r="E7779" t="s">
        <v>67</v>
      </c>
      <c r="F7779" t="s">
        <v>27987</v>
      </c>
      <c r="G7779" s="117">
        <v>342.14</v>
      </c>
    </row>
    <row r="7780" spans="1:7" x14ac:dyDescent="0.25">
      <c r="A7780" s="116" t="s">
        <v>12422</v>
      </c>
      <c r="B7780" s="117" t="s">
        <v>12423</v>
      </c>
      <c r="C7780" t="s">
        <v>67</v>
      </c>
      <c r="D7780" t="s">
        <v>67</v>
      </c>
      <c r="E7780" t="s">
        <v>67</v>
      </c>
      <c r="F7780" t="s">
        <v>27987</v>
      </c>
      <c r="G7780" s="117">
        <v>53.3</v>
      </c>
    </row>
    <row r="7781" spans="1:7" x14ac:dyDescent="0.25">
      <c r="A7781" s="116" t="s">
        <v>12424</v>
      </c>
      <c r="B7781" s="117" t="s">
        <v>12425</v>
      </c>
      <c r="C7781" t="s">
        <v>67</v>
      </c>
      <c r="D7781" t="s">
        <v>67</v>
      </c>
      <c r="E7781" t="s">
        <v>67</v>
      </c>
      <c r="F7781" t="s">
        <v>27987</v>
      </c>
      <c r="G7781" s="117">
        <v>54.19</v>
      </c>
    </row>
    <row r="7782" spans="1:7" x14ac:dyDescent="0.25">
      <c r="A7782" s="116" t="s">
        <v>12426</v>
      </c>
      <c r="B7782" s="117" t="s">
        <v>1273</v>
      </c>
      <c r="C7782" t="s">
        <v>67</v>
      </c>
      <c r="D7782" t="s">
        <v>67</v>
      </c>
      <c r="E7782" t="s">
        <v>67</v>
      </c>
      <c r="F7782" t="s">
        <v>45</v>
      </c>
      <c r="G7782" s="117">
        <v>777.26</v>
      </c>
    </row>
    <row r="7783" spans="1:7" x14ac:dyDescent="0.25">
      <c r="A7783" s="116" t="s">
        <v>12427</v>
      </c>
      <c r="B7783" s="117" t="s">
        <v>12428</v>
      </c>
      <c r="C7783" t="s">
        <v>67</v>
      </c>
      <c r="D7783" t="s">
        <v>67</v>
      </c>
      <c r="E7783" t="s">
        <v>67</v>
      </c>
      <c r="F7783" t="s">
        <v>27987</v>
      </c>
      <c r="G7783" s="117">
        <v>71.099999999999994</v>
      </c>
    </row>
    <row r="7784" spans="1:7" x14ac:dyDescent="0.25">
      <c r="A7784" s="116" t="s">
        <v>12429</v>
      </c>
      <c r="B7784" s="117" t="s">
        <v>12430</v>
      </c>
      <c r="C7784" t="s">
        <v>67</v>
      </c>
      <c r="D7784" t="s">
        <v>67</v>
      </c>
      <c r="E7784" t="s">
        <v>67</v>
      </c>
      <c r="F7784" t="s">
        <v>27987</v>
      </c>
      <c r="G7784" s="117">
        <v>53.3</v>
      </c>
    </row>
    <row r="7785" spans="1:7" x14ac:dyDescent="0.25">
      <c r="A7785" s="116" t="s">
        <v>12431</v>
      </c>
      <c r="B7785" s="117" t="s">
        <v>12432</v>
      </c>
      <c r="C7785" t="s">
        <v>67</v>
      </c>
      <c r="D7785" t="s">
        <v>67</v>
      </c>
      <c r="E7785" t="s">
        <v>67</v>
      </c>
      <c r="F7785" t="s">
        <v>27987</v>
      </c>
      <c r="G7785" s="117">
        <v>189.08</v>
      </c>
    </row>
    <row r="7786" spans="1:7" x14ac:dyDescent="0.25">
      <c r="A7786" s="116" t="s">
        <v>12433</v>
      </c>
      <c r="B7786" s="117" t="s">
        <v>12434</v>
      </c>
      <c r="C7786" t="s">
        <v>67</v>
      </c>
      <c r="D7786" t="s">
        <v>67</v>
      </c>
      <c r="E7786" t="s">
        <v>67</v>
      </c>
      <c r="F7786" t="s">
        <v>45</v>
      </c>
      <c r="G7786" s="117">
        <v>448.38</v>
      </c>
    </row>
    <row r="7787" spans="1:7" x14ac:dyDescent="0.25">
      <c r="A7787" s="116" t="s">
        <v>12435</v>
      </c>
      <c r="B7787" s="117" t="s">
        <v>12436</v>
      </c>
      <c r="C7787" t="s">
        <v>67</v>
      </c>
      <c r="D7787" t="s">
        <v>67</v>
      </c>
      <c r="E7787" t="s">
        <v>67</v>
      </c>
      <c r="F7787" t="s">
        <v>27987</v>
      </c>
      <c r="G7787" s="117">
        <v>63.98</v>
      </c>
    </row>
    <row r="7788" spans="1:7" x14ac:dyDescent="0.25">
      <c r="A7788" s="116" t="s">
        <v>30181</v>
      </c>
      <c r="B7788" s="117" t="s">
        <v>30182</v>
      </c>
      <c r="C7788" t="s">
        <v>67</v>
      </c>
      <c r="D7788" t="s">
        <v>67</v>
      </c>
      <c r="E7788" t="s">
        <v>67</v>
      </c>
      <c r="F7788" t="s">
        <v>45</v>
      </c>
      <c r="G7788" s="117">
        <v>630</v>
      </c>
    </row>
    <row r="7789" spans="1:7" x14ac:dyDescent="0.25">
      <c r="A7789" s="116" t="s">
        <v>12437</v>
      </c>
      <c r="B7789" s="117" t="s">
        <v>11512</v>
      </c>
      <c r="C7789" t="s">
        <v>67</v>
      </c>
      <c r="D7789" t="s">
        <v>67</v>
      </c>
      <c r="E7789" t="s">
        <v>67</v>
      </c>
      <c r="F7789" t="s">
        <v>45</v>
      </c>
      <c r="G7789" s="117">
        <v>8.81</v>
      </c>
    </row>
    <row r="7790" spans="1:7" x14ac:dyDescent="0.25">
      <c r="A7790" s="116" t="s">
        <v>12438</v>
      </c>
      <c r="B7790" s="117" t="s">
        <v>12439</v>
      </c>
      <c r="C7790" t="s">
        <v>67</v>
      </c>
      <c r="D7790" t="s">
        <v>67</v>
      </c>
      <c r="E7790" t="s">
        <v>67</v>
      </c>
      <c r="F7790" t="s">
        <v>27987</v>
      </c>
      <c r="G7790" s="117">
        <v>12.01</v>
      </c>
    </row>
    <row r="7791" spans="1:7" x14ac:dyDescent="0.25">
      <c r="A7791" s="116" t="s">
        <v>12440</v>
      </c>
      <c r="B7791" s="117" t="s">
        <v>12441</v>
      </c>
      <c r="C7791" t="s">
        <v>67</v>
      </c>
      <c r="D7791" t="s">
        <v>67</v>
      </c>
      <c r="E7791" t="s">
        <v>67</v>
      </c>
      <c r="F7791" t="s">
        <v>49</v>
      </c>
      <c r="G7791" s="117">
        <v>255.82</v>
      </c>
    </row>
    <row r="7792" spans="1:7" x14ac:dyDescent="0.25">
      <c r="A7792" s="116" t="s">
        <v>12442</v>
      </c>
      <c r="B7792" s="117" t="s">
        <v>12443</v>
      </c>
      <c r="C7792" t="s">
        <v>67</v>
      </c>
      <c r="D7792" t="s">
        <v>67</v>
      </c>
      <c r="E7792" t="s">
        <v>67</v>
      </c>
      <c r="F7792" t="s">
        <v>45</v>
      </c>
      <c r="G7792" s="117">
        <v>0.8</v>
      </c>
    </row>
    <row r="7793" spans="1:7" x14ac:dyDescent="0.25">
      <c r="A7793" s="116" t="s">
        <v>12444</v>
      </c>
      <c r="B7793" s="117" t="s">
        <v>12445</v>
      </c>
      <c r="C7793" t="s">
        <v>67</v>
      </c>
      <c r="D7793" t="s">
        <v>67</v>
      </c>
      <c r="E7793" t="s">
        <v>67</v>
      </c>
      <c r="F7793" t="s">
        <v>27987</v>
      </c>
      <c r="G7793" s="117">
        <v>9.6999999999999993</v>
      </c>
    </row>
    <row r="7794" spans="1:7" x14ac:dyDescent="0.25">
      <c r="A7794" s="116" t="s">
        <v>12446</v>
      </c>
      <c r="B7794" s="117" t="s">
        <v>28975</v>
      </c>
      <c r="C7794" t="s">
        <v>67</v>
      </c>
      <c r="D7794" t="s">
        <v>67</v>
      </c>
      <c r="E7794" t="s">
        <v>67</v>
      </c>
      <c r="F7794" t="s">
        <v>27987</v>
      </c>
      <c r="G7794" s="117">
        <v>200.66</v>
      </c>
    </row>
    <row r="7795" spans="1:7" x14ac:dyDescent="0.25">
      <c r="A7795" s="116" t="s">
        <v>12447</v>
      </c>
      <c r="B7795" s="117" t="s">
        <v>11891</v>
      </c>
      <c r="C7795" t="s">
        <v>67</v>
      </c>
      <c r="D7795" t="s">
        <v>67</v>
      </c>
      <c r="E7795" t="s">
        <v>67</v>
      </c>
      <c r="F7795" t="s">
        <v>27987</v>
      </c>
      <c r="G7795" s="117">
        <v>4</v>
      </c>
    </row>
    <row r="7796" spans="1:7" x14ac:dyDescent="0.25">
      <c r="A7796" s="116" t="s">
        <v>12448</v>
      </c>
      <c r="B7796" s="117" t="s">
        <v>12449</v>
      </c>
      <c r="C7796" t="s">
        <v>67</v>
      </c>
      <c r="D7796" t="s">
        <v>67</v>
      </c>
      <c r="E7796" t="s">
        <v>67</v>
      </c>
      <c r="F7796" t="s">
        <v>45</v>
      </c>
      <c r="G7796" s="117">
        <v>59.18</v>
      </c>
    </row>
    <row r="7797" spans="1:7" x14ac:dyDescent="0.25">
      <c r="A7797" s="116" t="s">
        <v>12450</v>
      </c>
      <c r="B7797" s="117" t="s">
        <v>12451</v>
      </c>
      <c r="C7797" t="s">
        <v>67</v>
      </c>
      <c r="D7797" t="s">
        <v>67</v>
      </c>
      <c r="E7797" t="s">
        <v>67</v>
      </c>
      <c r="F7797" t="s">
        <v>45</v>
      </c>
      <c r="G7797" s="117">
        <v>189.08</v>
      </c>
    </row>
    <row r="7798" spans="1:7" x14ac:dyDescent="0.25">
      <c r="A7798" s="116" t="s">
        <v>12452</v>
      </c>
      <c r="B7798" s="117" t="s">
        <v>12453</v>
      </c>
      <c r="C7798" t="s">
        <v>67</v>
      </c>
      <c r="D7798" t="s">
        <v>67</v>
      </c>
      <c r="E7798" t="s">
        <v>67</v>
      </c>
      <c r="F7798" t="s">
        <v>45</v>
      </c>
      <c r="G7798" s="117">
        <v>16.82</v>
      </c>
    </row>
    <row r="7799" spans="1:7" x14ac:dyDescent="0.25">
      <c r="A7799" s="116" t="s">
        <v>12454</v>
      </c>
      <c r="B7799" s="117" t="s">
        <v>12455</v>
      </c>
      <c r="C7799" t="s">
        <v>67</v>
      </c>
      <c r="D7799" t="s">
        <v>67</v>
      </c>
      <c r="E7799" t="s">
        <v>67</v>
      </c>
      <c r="F7799" t="s">
        <v>49</v>
      </c>
      <c r="G7799" s="117">
        <v>44.4</v>
      </c>
    </row>
    <row r="7800" spans="1:7" x14ac:dyDescent="0.25">
      <c r="A7800" s="116" t="s">
        <v>12456</v>
      </c>
      <c r="B7800" s="117" t="s">
        <v>11891</v>
      </c>
      <c r="C7800" t="s">
        <v>67</v>
      </c>
      <c r="D7800" t="s">
        <v>67</v>
      </c>
      <c r="E7800" t="s">
        <v>67</v>
      </c>
      <c r="F7800" t="s">
        <v>27987</v>
      </c>
      <c r="G7800" s="117">
        <v>50.63</v>
      </c>
    </row>
    <row r="7801" spans="1:7" x14ac:dyDescent="0.25">
      <c r="A7801" s="116" t="s">
        <v>12457</v>
      </c>
      <c r="B7801" s="117" t="s">
        <v>12458</v>
      </c>
      <c r="C7801" t="s">
        <v>67</v>
      </c>
      <c r="D7801" t="s">
        <v>67</v>
      </c>
      <c r="E7801" t="s">
        <v>67</v>
      </c>
      <c r="F7801" t="s">
        <v>49</v>
      </c>
      <c r="G7801" s="117">
        <v>4</v>
      </c>
    </row>
    <row r="7802" spans="1:7" x14ac:dyDescent="0.25">
      <c r="A7802" s="116" t="s">
        <v>12459</v>
      </c>
      <c r="B7802" s="117" t="s">
        <v>12460</v>
      </c>
      <c r="C7802" t="s">
        <v>67</v>
      </c>
      <c r="D7802" t="s">
        <v>67</v>
      </c>
      <c r="E7802" t="s">
        <v>67</v>
      </c>
      <c r="F7802" t="s">
        <v>49</v>
      </c>
      <c r="G7802" s="117">
        <v>1.33</v>
      </c>
    </row>
    <row r="7803" spans="1:7" x14ac:dyDescent="0.25">
      <c r="A7803" s="116" t="s">
        <v>12461</v>
      </c>
      <c r="B7803" s="117" t="s">
        <v>12462</v>
      </c>
      <c r="C7803" t="s">
        <v>67</v>
      </c>
      <c r="D7803" t="s">
        <v>67</v>
      </c>
      <c r="E7803" t="s">
        <v>67</v>
      </c>
      <c r="F7803" t="s">
        <v>45</v>
      </c>
      <c r="G7803" s="117">
        <v>4.8899999999999997</v>
      </c>
    </row>
    <row r="7804" spans="1:7" x14ac:dyDescent="0.25">
      <c r="A7804" s="116" t="s">
        <v>12463</v>
      </c>
      <c r="B7804" s="117" t="s">
        <v>12464</v>
      </c>
      <c r="C7804" t="s">
        <v>67</v>
      </c>
      <c r="D7804" t="s">
        <v>67</v>
      </c>
      <c r="E7804" t="s">
        <v>67</v>
      </c>
      <c r="F7804" t="s">
        <v>27987</v>
      </c>
      <c r="G7804" s="117">
        <v>21.26</v>
      </c>
    </row>
    <row r="7805" spans="1:7" x14ac:dyDescent="0.25">
      <c r="A7805" s="116" t="s">
        <v>12465</v>
      </c>
      <c r="B7805" s="117" t="s">
        <v>12466</v>
      </c>
      <c r="C7805" t="s">
        <v>67</v>
      </c>
      <c r="D7805" t="s">
        <v>67</v>
      </c>
      <c r="E7805" t="s">
        <v>67</v>
      </c>
      <c r="F7805" t="s">
        <v>45</v>
      </c>
      <c r="G7805" s="117">
        <v>5.25</v>
      </c>
    </row>
    <row r="7806" spans="1:7" x14ac:dyDescent="0.25">
      <c r="A7806" s="116" t="s">
        <v>12467</v>
      </c>
      <c r="B7806" s="117" t="s">
        <v>1271</v>
      </c>
      <c r="C7806" t="s">
        <v>67</v>
      </c>
      <c r="D7806" t="s">
        <v>67</v>
      </c>
      <c r="E7806" t="s">
        <v>67</v>
      </c>
      <c r="F7806" t="s">
        <v>27987</v>
      </c>
      <c r="G7806" s="117">
        <v>3.48</v>
      </c>
    </row>
    <row r="7807" spans="1:7" x14ac:dyDescent="0.25">
      <c r="A7807" s="116" t="s">
        <v>12468</v>
      </c>
      <c r="B7807" s="117" t="s">
        <v>12460</v>
      </c>
      <c r="C7807" t="s">
        <v>67</v>
      </c>
      <c r="D7807" t="s">
        <v>67</v>
      </c>
      <c r="E7807" t="s">
        <v>67</v>
      </c>
      <c r="F7807" t="s">
        <v>49</v>
      </c>
      <c r="G7807" s="117">
        <v>1.77</v>
      </c>
    </row>
    <row r="7808" spans="1:7" x14ac:dyDescent="0.25">
      <c r="A7808" s="116" t="s">
        <v>12469</v>
      </c>
      <c r="B7808" s="117" t="s">
        <v>12470</v>
      </c>
      <c r="C7808" t="s">
        <v>67</v>
      </c>
      <c r="D7808" t="s">
        <v>67</v>
      </c>
      <c r="E7808" t="s">
        <v>67</v>
      </c>
      <c r="F7808" t="s">
        <v>45</v>
      </c>
      <c r="G7808" s="117">
        <v>2.58</v>
      </c>
    </row>
    <row r="7809" spans="1:7" x14ac:dyDescent="0.25">
      <c r="A7809" s="116" t="s">
        <v>12471</v>
      </c>
      <c r="B7809" s="117" t="s">
        <v>481</v>
      </c>
      <c r="C7809" t="s">
        <v>67</v>
      </c>
      <c r="D7809" t="s">
        <v>67</v>
      </c>
      <c r="E7809" t="s">
        <v>67</v>
      </c>
      <c r="F7809" t="s">
        <v>49</v>
      </c>
      <c r="G7809" s="117">
        <v>24.48</v>
      </c>
    </row>
    <row r="7810" spans="1:7" x14ac:dyDescent="0.25">
      <c r="A7810" s="116" t="s">
        <v>12472</v>
      </c>
      <c r="B7810" s="117" t="s">
        <v>12473</v>
      </c>
      <c r="C7810" t="s">
        <v>67</v>
      </c>
      <c r="D7810" t="s">
        <v>67</v>
      </c>
      <c r="E7810" t="s">
        <v>67</v>
      </c>
      <c r="F7810" t="s">
        <v>27987</v>
      </c>
      <c r="G7810" s="117">
        <v>25.36</v>
      </c>
    </row>
    <row r="7811" spans="1:7" x14ac:dyDescent="0.25">
      <c r="A7811" s="116" t="s">
        <v>12474</v>
      </c>
      <c r="B7811" s="117" t="s">
        <v>11116</v>
      </c>
      <c r="C7811" t="s">
        <v>67</v>
      </c>
      <c r="D7811" t="s">
        <v>67</v>
      </c>
      <c r="E7811" t="s">
        <v>67</v>
      </c>
      <c r="F7811" t="s">
        <v>45</v>
      </c>
      <c r="G7811" s="117">
        <v>42.62</v>
      </c>
    </row>
    <row r="7812" spans="1:7" x14ac:dyDescent="0.25">
      <c r="A7812" s="116" t="s">
        <v>12475</v>
      </c>
      <c r="B7812" s="117" t="s">
        <v>12476</v>
      </c>
      <c r="C7812" t="s">
        <v>67</v>
      </c>
      <c r="D7812" t="s">
        <v>67</v>
      </c>
      <c r="E7812" t="s">
        <v>67</v>
      </c>
      <c r="F7812" t="s">
        <v>45</v>
      </c>
      <c r="G7812" s="117">
        <v>96.9</v>
      </c>
    </row>
    <row r="7813" spans="1:7" x14ac:dyDescent="0.25">
      <c r="A7813" s="116" t="s">
        <v>12477</v>
      </c>
      <c r="B7813" s="117" t="s">
        <v>3566</v>
      </c>
      <c r="C7813" t="s">
        <v>67</v>
      </c>
      <c r="D7813" t="s">
        <v>67</v>
      </c>
      <c r="E7813" t="s">
        <v>67</v>
      </c>
      <c r="F7813" t="s">
        <v>45</v>
      </c>
      <c r="G7813" s="117">
        <v>53.3</v>
      </c>
    </row>
    <row r="7814" spans="1:7" x14ac:dyDescent="0.25">
      <c r="A7814" s="116" t="s">
        <v>12478</v>
      </c>
      <c r="B7814" s="117" t="s">
        <v>12479</v>
      </c>
      <c r="C7814" t="s">
        <v>67</v>
      </c>
      <c r="D7814" t="s">
        <v>67</v>
      </c>
      <c r="E7814" t="s">
        <v>67</v>
      </c>
      <c r="F7814" t="s">
        <v>27987</v>
      </c>
      <c r="G7814" s="117">
        <v>48.5</v>
      </c>
    </row>
    <row r="7815" spans="1:7" x14ac:dyDescent="0.25">
      <c r="A7815" s="116" t="s">
        <v>12480</v>
      </c>
      <c r="B7815" s="117" t="s">
        <v>12479</v>
      </c>
      <c r="C7815" t="s">
        <v>67</v>
      </c>
      <c r="D7815" t="s">
        <v>67</v>
      </c>
      <c r="E7815" t="s">
        <v>67</v>
      </c>
      <c r="F7815" t="s">
        <v>45</v>
      </c>
      <c r="G7815" s="117">
        <v>48.5</v>
      </c>
    </row>
    <row r="7816" spans="1:7" x14ac:dyDescent="0.25">
      <c r="A7816" s="116" t="s">
        <v>12481</v>
      </c>
      <c r="B7816" s="117" t="s">
        <v>12482</v>
      </c>
      <c r="C7816" t="s">
        <v>67</v>
      </c>
      <c r="D7816" t="s">
        <v>67</v>
      </c>
      <c r="E7816" t="s">
        <v>67</v>
      </c>
      <c r="F7816" t="s">
        <v>45</v>
      </c>
      <c r="G7816" s="117">
        <v>165.42</v>
      </c>
    </row>
    <row r="7817" spans="1:7" x14ac:dyDescent="0.25">
      <c r="A7817" s="116" t="s">
        <v>12483</v>
      </c>
      <c r="B7817" s="117" t="s">
        <v>12484</v>
      </c>
      <c r="C7817" t="s">
        <v>67</v>
      </c>
      <c r="D7817" t="s">
        <v>67</v>
      </c>
      <c r="E7817" t="s">
        <v>67</v>
      </c>
      <c r="F7817" t="s">
        <v>49</v>
      </c>
      <c r="G7817" s="117">
        <v>10.93</v>
      </c>
    </row>
    <row r="7818" spans="1:7" x14ac:dyDescent="0.25">
      <c r="A7818" s="116" t="s">
        <v>12485</v>
      </c>
      <c r="B7818" s="117" t="s">
        <v>28976</v>
      </c>
      <c r="C7818" t="s">
        <v>67</v>
      </c>
      <c r="D7818" t="s">
        <v>67</v>
      </c>
      <c r="E7818" t="s">
        <v>67</v>
      </c>
      <c r="F7818" t="s">
        <v>27990</v>
      </c>
      <c r="G7818" s="117">
        <v>268.22000000000003</v>
      </c>
    </row>
    <row r="7819" spans="1:7" x14ac:dyDescent="0.25">
      <c r="A7819" s="116" t="s">
        <v>12486</v>
      </c>
      <c r="B7819" s="117" t="s">
        <v>12487</v>
      </c>
      <c r="C7819" t="s">
        <v>67</v>
      </c>
      <c r="D7819" t="s">
        <v>67</v>
      </c>
      <c r="E7819" t="s">
        <v>67</v>
      </c>
      <c r="F7819" t="s">
        <v>27987</v>
      </c>
      <c r="G7819" s="117">
        <v>212.58</v>
      </c>
    </row>
    <row r="7820" spans="1:7" x14ac:dyDescent="0.25">
      <c r="A7820" s="116" t="s">
        <v>12488</v>
      </c>
      <c r="B7820" s="117" t="s">
        <v>12489</v>
      </c>
      <c r="C7820" t="s">
        <v>67</v>
      </c>
      <c r="D7820" t="s">
        <v>67</v>
      </c>
      <c r="E7820" t="s">
        <v>67</v>
      </c>
      <c r="F7820" t="s">
        <v>45</v>
      </c>
      <c r="G7820" s="117">
        <v>14.14</v>
      </c>
    </row>
    <row r="7821" spans="1:7" x14ac:dyDescent="0.25">
      <c r="A7821" s="116" t="s">
        <v>12490</v>
      </c>
      <c r="B7821" s="117" t="s">
        <v>11116</v>
      </c>
      <c r="C7821" t="s">
        <v>67</v>
      </c>
      <c r="D7821" t="s">
        <v>67</v>
      </c>
      <c r="E7821" t="s">
        <v>67</v>
      </c>
      <c r="F7821" t="s">
        <v>49</v>
      </c>
      <c r="G7821" s="117">
        <v>27.5</v>
      </c>
    </row>
    <row r="7822" spans="1:7" x14ac:dyDescent="0.25">
      <c r="A7822" s="116" t="s">
        <v>12491</v>
      </c>
      <c r="B7822" s="117" t="s">
        <v>12492</v>
      </c>
      <c r="C7822" t="s">
        <v>67</v>
      </c>
      <c r="D7822" t="s">
        <v>67</v>
      </c>
      <c r="E7822" t="s">
        <v>67</v>
      </c>
      <c r="F7822" t="s">
        <v>45</v>
      </c>
      <c r="G7822" s="117">
        <v>30.7</v>
      </c>
    </row>
    <row r="7823" spans="1:7" x14ac:dyDescent="0.25">
      <c r="A7823" s="116" t="s">
        <v>12493</v>
      </c>
      <c r="B7823" s="117" t="s">
        <v>12494</v>
      </c>
      <c r="C7823" t="s">
        <v>67</v>
      </c>
      <c r="D7823" t="s">
        <v>67</v>
      </c>
      <c r="E7823" t="s">
        <v>67</v>
      </c>
      <c r="F7823" t="s">
        <v>27987</v>
      </c>
      <c r="G7823" s="117">
        <v>18.600000000000001</v>
      </c>
    </row>
    <row r="7824" spans="1:7" x14ac:dyDescent="0.25">
      <c r="A7824" s="116" t="s">
        <v>12495</v>
      </c>
      <c r="B7824" s="117" t="s">
        <v>12496</v>
      </c>
      <c r="C7824" t="s">
        <v>67</v>
      </c>
      <c r="D7824" t="s">
        <v>67</v>
      </c>
      <c r="E7824" t="s">
        <v>67</v>
      </c>
      <c r="F7824" t="s">
        <v>27987</v>
      </c>
      <c r="G7824" s="117">
        <v>27.14</v>
      </c>
    </row>
    <row r="7825" spans="1:7" x14ac:dyDescent="0.25">
      <c r="A7825" s="116" t="s">
        <v>12497</v>
      </c>
      <c r="B7825" s="117" t="s">
        <v>12498</v>
      </c>
      <c r="C7825" t="s">
        <v>67</v>
      </c>
      <c r="D7825" t="s">
        <v>67</v>
      </c>
      <c r="E7825" t="s">
        <v>67</v>
      </c>
      <c r="F7825" t="s">
        <v>27987</v>
      </c>
      <c r="G7825" s="117">
        <v>4.3600000000000003</v>
      </c>
    </row>
    <row r="7826" spans="1:7" x14ac:dyDescent="0.25">
      <c r="A7826" s="116" t="s">
        <v>12499</v>
      </c>
      <c r="B7826" s="117" t="s">
        <v>12500</v>
      </c>
      <c r="C7826" t="s">
        <v>67</v>
      </c>
      <c r="D7826" t="s">
        <v>67</v>
      </c>
      <c r="E7826" t="s">
        <v>67</v>
      </c>
      <c r="F7826" t="s">
        <v>27987</v>
      </c>
      <c r="G7826" s="117">
        <v>1259.56</v>
      </c>
    </row>
    <row r="7827" spans="1:7" x14ac:dyDescent="0.25">
      <c r="A7827" s="116" t="s">
        <v>12501</v>
      </c>
      <c r="B7827" s="117" t="s">
        <v>12502</v>
      </c>
      <c r="C7827" t="s">
        <v>67</v>
      </c>
      <c r="D7827" t="s">
        <v>67</v>
      </c>
      <c r="E7827" t="s">
        <v>67</v>
      </c>
      <c r="F7827" t="s">
        <v>27987</v>
      </c>
      <c r="G7827" s="117">
        <v>56.86</v>
      </c>
    </row>
    <row r="7828" spans="1:7" x14ac:dyDescent="0.25">
      <c r="A7828" s="116" t="s">
        <v>12503</v>
      </c>
      <c r="B7828" s="117" t="s">
        <v>10608</v>
      </c>
      <c r="C7828" t="s">
        <v>67</v>
      </c>
      <c r="D7828" t="s">
        <v>67</v>
      </c>
      <c r="E7828" t="s">
        <v>67</v>
      </c>
      <c r="F7828" t="s">
        <v>27987</v>
      </c>
      <c r="G7828" s="117">
        <v>17.7</v>
      </c>
    </row>
    <row r="7829" spans="1:7" x14ac:dyDescent="0.25">
      <c r="A7829" s="116" t="s">
        <v>28977</v>
      </c>
      <c r="B7829" s="117" t="s">
        <v>28978</v>
      </c>
      <c r="C7829" t="s">
        <v>67</v>
      </c>
      <c r="D7829" t="s">
        <v>67</v>
      </c>
      <c r="E7829" t="s">
        <v>67</v>
      </c>
      <c r="F7829" t="s">
        <v>45</v>
      </c>
      <c r="G7829" s="117">
        <v>2.5</v>
      </c>
    </row>
    <row r="7830" spans="1:7" x14ac:dyDescent="0.25">
      <c r="A7830" s="116" t="s">
        <v>12504</v>
      </c>
      <c r="B7830" s="117" t="s">
        <v>12505</v>
      </c>
      <c r="C7830" t="s">
        <v>67</v>
      </c>
      <c r="D7830" t="s">
        <v>67</v>
      </c>
      <c r="E7830" t="s">
        <v>67</v>
      </c>
      <c r="F7830" t="s">
        <v>45</v>
      </c>
      <c r="G7830" s="117">
        <v>14.14</v>
      </c>
    </row>
    <row r="7831" spans="1:7" x14ac:dyDescent="0.25">
      <c r="A7831" s="116" t="s">
        <v>12506</v>
      </c>
      <c r="B7831" s="117" t="s">
        <v>12507</v>
      </c>
      <c r="C7831" t="s">
        <v>67</v>
      </c>
      <c r="D7831" t="s">
        <v>67</v>
      </c>
      <c r="E7831" t="s">
        <v>67</v>
      </c>
      <c r="F7831" t="s">
        <v>49</v>
      </c>
      <c r="G7831" s="117">
        <v>1.33</v>
      </c>
    </row>
    <row r="7832" spans="1:7" x14ac:dyDescent="0.25">
      <c r="A7832" s="116" t="s">
        <v>28979</v>
      </c>
      <c r="B7832" s="117" t="s">
        <v>28980</v>
      </c>
      <c r="C7832" t="s">
        <v>67</v>
      </c>
      <c r="D7832" t="s">
        <v>67</v>
      </c>
      <c r="E7832" t="s">
        <v>67</v>
      </c>
      <c r="F7832" t="s">
        <v>45</v>
      </c>
      <c r="G7832" s="117">
        <v>0</v>
      </c>
    </row>
    <row r="7833" spans="1:7" x14ac:dyDescent="0.25">
      <c r="A7833" s="116" t="s">
        <v>12508</v>
      </c>
      <c r="B7833" s="117" t="s">
        <v>12509</v>
      </c>
      <c r="C7833" t="s">
        <v>67</v>
      </c>
      <c r="D7833" t="s">
        <v>67</v>
      </c>
      <c r="E7833" t="s">
        <v>67</v>
      </c>
      <c r="F7833" t="s">
        <v>27987</v>
      </c>
      <c r="G7833" s="117">
        <v>6.14</v>
      </c>
    </row>
    <row r="7834" spans="1:7" x14ac:dyDescent="0.25">
      <c r="A7834" s="116" t="s">
        <v>12510</v>
      </c>
      <c r="B7834" s="117" t="s">
        <v>12511</v>
      </c>
      <c r="C7834" t="s">
        <v>67</v>
      </c>
      <c r="D7834" t="s">
        <v>67</v>
      </c>
      <c r="E7834" t="s">
        <v>67</v>
      </c>
      <c r="F7834" t="s">
        <v>27987</v>
      </c>
      <c r="G7834" s="117">
        <v>3.48</v>
      </c>
    </row>
    <row r="7835" spans="1:7" x14ac:dyDescent="0.25">
      <c r="A7835" s="116" t="s">
        <v>12512</v>
      </c>
      <c r="B7835" s="117" t="s">
        <v>12513</v>
      </c>
      <c r="C7835" t="s">
        <v>67</v>
      </c>
      <c r="D7835" t="s">
        <v>67</v>
      </c>
      <c r="E7835" t="s">
        <v>67</v>
      </c>
      <c r="F7835" t="s">
        <v>45</v>
      </c>
      <c r="G7835" s="117">
        <v>20.38</v>
      </c>
    </row>
    <row r="7836" spans="1:7" x14ac:dyDescent="0.25">
      <c r="A7836" s="116" t="s">
        <v>12514</v>
      </c>
      <c r="B7836" s="117" t="s">
        <v>12515</v>
      </c>
      <c r="C7836" t="s">
        <v>67</v>
      </c>
      <c r="D7836" t="s">
        <v>67</v>
      </c>
      <c r="E7836" t="s">
        <v>67</v>
      </c>
      <c r="F7836" t="s">
        <v>27987</v>
      </c>
      <c r="G7836" s="117">
        <v>14.14</v>
      </c>
    </row>
    <row r="7837" spans="1:7" x14ac:dyDescent="0.25">
      <c r="A7837" s="116" t="s">
        <v>12516</v>
      </c>
      <c r="B7837" s="117" t="s">
        <v>12517</v>
      </c>
      <c r="C7837" t="s">
        <v>67</v>
      </c>
      <c r="D7837" t="s">
        <v>67</v>
      </c>
      <c r="E7837" t="s">
        <v>67</v>
      </c>
      <c r="F7837" t="s">
        <v>27987</v>
      </c>
      <c r="G7837" s="117">
        <v>23.94</v>
      </c>
    </row>
    <row r="7838" spans="1:7" x14ac:dyDescent="0.25">
      <c r="A7838" s="116" t="s">
        <v>12518</v>
      </c>
      <c r="B7838" s="117" t="s">
        <v>12519</v>
      </c>
      <c r="C7838" t="s">
        <v>67</v>
      </c>
      <c r="D7838" t="s">
        <v>67</v>
      </c>
      <c r="E7838" t="s">
        <v>67</v>
      </c>
      <c r="F7838" t="s">
        <v>27987</v>
      </c>
      <c r="G7838" s="117">
        <v>16.46</v>
      </c>
    </row>
    <row r="7839" spans="1:7" x14ac:dyDescent="0.25">
      <c r="A7839" s="116" t="s">
        <v>12520</v>
      </c>
      <c r="B7839" s="117" t="s">
        <v>12521</v>
      </c>
      <c r="C7839" t="s">
        <v>67</v>
      </c>
      <c r="D7839" t="s">
        <v>67</v>
      </c>
      <c r="E7839" t="s">
        <v>67</v>
      </c>
      <c r="F7839" t="s">
        <v>27987</v>
      </c>
      <c r="G7839" s="117">
        <v>7.02</v>
      </c>
    </row>
    <row r="7840" spans="1:7" x14ac:dyDescent="0.25">
      <c r="A7840" s="116" t="s">
        <v>12522</v>
      </c>
      <c r="B7840" s="117" t="s">
        <v>12523</v>
      </c>
      <c r="C7840" t="s">
        <v>67</v>
      </c>
      <c r="D7840" t="s">
        <v>67</v>
      </c>
      <c r="E7840" t="s">
        <v>67</v>
      </c>
      <c r="F7840" t="s">
        <v>27987</v>
      </c>
      <c r="G7840" s="117">
        <v>3.56</v>
      </c>
    </row>
    <row r="7841" spans="1:7" x14ac:dyDescent="0.25">
      <c r="A7841" s="116" t="s">
        <v>12524</v>
      </c>
      <c r="B7841" s="117" t="s">
        <v>12525</v>
      </c>
      <c r="C7841" t="s">
        <v>67</v>
      </c>
      <c r="D7841" t="s">
        <v>67</v>
      </c>
      <c r="E7841" t="s">
        <v>67</v>
      </c>
      <c r="F7841" t="s">
        <v>27987</v>
      </c>
      <c r="G7841" s="117">
        <v>23.58</v>
      </c>
    </row>
    <row r="7842" spans="1:7" x14ac:dyDescent="0.25">
      <c r="A7842" s="116" t="s">
        <v>12526</v>
      </c>
      <c r="B7842" s="117" t="s">
        <v>12527</v>
      </c>
      <c r="C7842" t="s">
        <v>67</v>
      </c>
      <c r="D7842" t="s">
        <v>67</v>
      </c>
      <c r="E7842" t="s">
        <v>67</v>
      </c>
      <c r="F7842" t="s">
        <v>27987</v>
      </c>
      <c r="G7842" s="117">
        <v>10.8</v>
      </c>
    </row>
    <row r="7843" spans="1:7" x14ac:dyDescent="0.25">
      <c r="A7843" s="116" t="s">
        <v>12528</v>
      </c>
      <c r="B7843" s="117" t="s">
        <v>12529</v>
      </c>
      <c r="C7843" t="s">
        <v>67</v>
      </c>
      <c r="D7843" t="s">
        <v>67</v>
      </c>
      <c r="E7843" t="s">
        <v>67</v>
      </c>
      <c r="F7843" t="s">
        <v>27987</v>
      </c>
      <c r="G7843" s="117">
        <v>1.33</v>
      </c>
    </row>
    <row r="7844" spans="1:7" x14ac:dyDescent="0.25">
      <c r="A7844" s="116" t="s">
        <v>12530</v>
      </c>
      <c r="B7844" s="117" t="s">
        <v>12531</v>
      </c>
      <c r="C7844" t="s">
        <v>67</v>
      </c>
      <c r="D7844" t="s">
        <v>67</v>
      </c>
      <c r="E7844" t="s">
        <v>67</v>
      </c>
      <c r="F7844" t="s">
        <v>45</v>
      </c>
      <c r="G7844" s="117">
        <v>17.7</v>
      </c>
    </row>
    <row r="7845" spans="1:7" x14ac:dyDescent="0.25">
      <c r="A7845" s="116" t="s">
        <v>12532</v>
      </c>
      <c r="B7845" s="117" t="s">
        <v>12533</v>
      </c>
      <c r="C7845" t="s">
        <v>67</v>
      </c>
      <c r="D7845" t="s">
        <v>67</v>
      </c>
      <c r="E7845" t="s">
        <v>67</v>
      </c>
      <c r="F7845" t="s">
        <v>27987</v>
      </c>
      <c r="G7845" s="117">
        <v>4.8899999999999997</v>
      </c>
    </row>
    <row r="7846" spans="1:7" x14ac:dyDescent="0.25">
      <c r="A7846" s="116" t="s">
        <v>12534</v>
      </c>
      <c r="B7846" s="117" t="s">
        <v>12535</v>
      </c>
      <c r="C7846" t="s">
        <v>67</v>
      </c>
      <c r="D7846" t="s">
        <v>67</v>
      </c>
      <c r="E7846" t="s">
        <v>67</v>
      </c>
      <c r="F7846" t="s">
        <v>45</v>
      </c>
      <c r="G7846" s="117">
        <v>11.76</v>
      </c>
    </row>
    <row r="7847" spans="1:7" x14ac:dyDescent="0.25">
      <c r="A7847" s="116" t="s">
        <v>12536</v>
      </c>
      <c r="B7847" s="117" t="s">
        <v>12537</v>
      </c>
      <c r="C7847" t="s">
        <v>67</v>
      </c>
      <c r="D7847" t="s">
        <v>67</v>
      </c>
      <c r="E7847" t="s">
        <v>67</v>
      </c>
      <c r="F7847" t="s">
        <v>27987</v>
      </c>
      <c r="G7847" s="117">
        <v>18.239999999999998</v>
      </c>
    </row>
    <row r="7848" spans="1:7" x14ac:dyDescent="0.25">
      <c r="A7848" s="116" t="s">
        <v>12538</v>
      </c>
      <c r="B7848" s="117" t="s">
        <v>12539</v>
      </c>
      <c r="C7848" t="s">
        <v>67</v>
      </c>
      <c r="D7848" t="s">
        <v>67</v>
      </c>
      <c r="E7848" t="s">
        <v>67</v>
      </c>
      <c r="F7848" t="s">
        <v>27987</v>
      </c>
      <c r="G7848" s="117">
        <v>5.79</v>
      </c>
    </row>
    <row r="7849" spans="1:7" x14ac:dyDescent="0.25">
      <c r="A7849" s="116" t="s">
        <v>12540</v>
      </c>
      <c r="B7849" s="117" t="s">
        <v>12541</v>
      </c>
      <c r="C7849" t="s">
        <v>67</v>
      </c>
      <c r="D7849" t="s">
        <v>67</v>
      </c>
      <c r="E7849" t="s">
        <v>67</v>
      </c>
      <c r="F7849" t="s">
        <v>27987</v>
      </c>
      <c r="G7849" s="117">
        <v>5.79</v>
      </c>
    </row>
    <row r="7850" spans="1:7" x14ac:dyDescent="0.25">
      <c r="A7850" s="116" t="s">
        <v>12542</v>
      </c>
      <c r="B7850" s="117" t="s">
        <v>12543</v>
      </c>
      <c r="C7850" t="s">
        <v>67</v>
      </c>
      <c r="D7850" t="s">
        <v>67</v>
      </c>
      <c r="E7850" t="s">
        <v>67</v>
      </c>
      <c r="F7850" t="s">
        <v>45</v>
      </c>
      <c r="G7850" s="117">
        <v>15.93</v>
      </c>
    </row>
    <row r="7851" spans="1:7" x14ac:dyDescent="0.25">
      <c r="A7851" s="116" t="s">
        <v>12544</v>
      </c>
      <c r="B7851" s="117" t="s">
        <v>12545</v>
      </c>
      <c r="C7851" t="s">
        <v>67</v>
      </c>
      <c r="D7851" t="s">
        <v>67</v>
      </c>
      <c r="E7851" t="s">
        <v>67</v>
      </c>
      <c r="F7851" t="s">
        <v>45</v>
      </c>
      <c r="G7851" s="117">
        <v>59.1</v>
      </c>
    </row>
    <row r="7852" spans="1:7" x14ac:dyDescent="0.25">
      <c r="A7852" s="116" t="s">
        <v>12546</v>
      </c>
      <c r="B7852" s="117" t="s">
        <v>12547</v>
      </c>
      <c r="C7852" t="s">
        <v>67</v>
      </c>
      <c r="D7852" t="s">
        <v>67</v>
      </c>
      <c r="E7852" t="s">
        <v>67</v>
      </c>
      <c r="F7852" t="s">
        <v>45</v>
      </c>
      <c r="G7852" s="117">
        <v>8.4499999999999993</v>
      </c>
    </row>
    <row r="7853" spans="1:7" x14ac:dyDescent="0.25">
      <c r="A7853" s="116" t="s">
        <v>12548</v>
      </c>
      <c r="B7853" s="117" t="s">
        <v>12549</v>
      </c>
      <c r="C7853" t="s">
        <v>67</v>
      </c>
      <c r="D7853" t="s">
        <v>67</v>
      </c>
      <c r="E7853" t="s">
        <v>67</v>
      </c>
      <c r="F7853" t="s">
        <v>27987</v>
      </c>
      <c r="G7853" s="117">
        <v>51.17</v>
      </c>
    </row>
    <row r="7854" spans="1:7" x14ac:dyDescent="0.25">
      <c r="A7854" s="116" t="s">
        <v>12550</v>
      </c>
      <c r="B7854" s="117" t="s">
        <v>12551</v>
      </c>
      <c r="C7854" t="s">
        <v>67</v>
      </c>
      <c r="D7854" t="s">
        <v>67</v>
      </c>
      <c r="E7854" t="s">
        <v>67</v>
      </c>
      <c r="F7854" t="s">
        <v>49</v>
      </c>
      <c r="G7854" s="117">
        <v>14.14</v>
      </c>
    </row>
    <row r="7855" spans="1:7" x14ac:dyDescent="0.25">
      <c r="A7855" s="116" t="s">
        <v>12552</v>
      </c>
      <c r="B7855" s="117" t="s">
        <v>12553</v>
      </c>
      <c r="C7855" t="s">
        <v>67</v>
      </c>
      <c r="D7855" t="s">
        <v>67</v>
      </c>
      <c r="E7855" t="s">
        <v>67</v>
      </c>
      <c r="F7855" t="s">
        <v>27987</v>
      </c>
      <c r="G7855" s="117">
        <v>4.8899999999999997</v>
      </c>
    </row>
    <row r="7856" spans="1:7" x14ac:dyDescent="0.25">
      <c r="A7856" s="116" t="s">
        <v>12554</v>
      </c>
      <c r="B7856" s="117" t="s">
        <v>11787</v>
      </c>
      <c r="C7856" t="s">
        <v>67</v>
      </c>
      <c r="D7856" t="s">
        <v>67</v>
      </c>
      <c r="E7856" t="s">
        <v>67</v>
      </c>
      <c r="F7856" t="s">
        <v>27987</v>
      </c>
      <c r="G7856" s="117">
        <v>1.69</v>
      </c>
    </row>
    <row r="7857" spans="1:7" x14ac:dyDescent="0.25">
      <c r="A7857" s="116" t="s">
        <v>12555</v>
      </c>
      <c r="B7857" s="117" t="s">
        <v>12556</v>
      </c>
      <c r="C7857" t="s">
        <v>67</v>
      </c>
      <c r="D7857" t="s">
        <v>67</v>
      </c>
      <c r="E7857" t="s">
        <v>67</v>
      </c>
      <c r="F7857" t="s">
        <v>49</v>
      </c>
      <c r="G7857" s="117">
        <v>2.58</v>
      </c>
    </row>
    <row r="7858" spans="1:7" x14ac:dyDescent="0.25">
      <c r="A7858" s="116" t="s">
        <v>12557</v>
      </c>
      <c r="B7858" s="117" t="s">
        <v>12558</v>
      </c>
      <c r="C7858" t="s">
        <v>67</v>
      </c>
      <c r="D7858" t="s">
        <v>67</v>
      </c>
      <c r="E7858" t="s">
        <v>67</v>
      </c>
      <c r="F7858" t="s">
        <v>27987</v>
      </c>
      <c r="G7858" s="117">
        <v>4</v>
      </c>
    </row>
    <row r="7859" spans="1:7" x14ac:dyDescent="0.25">
      <c r="A7859" s="116" t="s">
        <v>12559</v>
      </c>
      <c r="B7859" s="117" t="s">
        <v>12560</v>
      </c>
      <c r="C7859" t="s">
        <v>67</v>
      </c>
      <c r="D7859" t="s">
        <v>67</v>
      </c>
      <c r="E7859" t="s">
        <v>67</v>
      </c>
      <c r="F7859" t="s">
        <v>27987</v>
      </c>
      <c r="G7859" s="117">
        <v>6.14</v>
      </c>
    </row>
    <row r="7860" spans="1:7" x14ac:dyDescent="0.25">
      <c r="A7860" s="116" t="s">
        <v>12561</v>
      </c>
      <c r="B7860" s="117" t="s">
        <v>12562</v>
      </c>
      <c r="C7860" t="s">
        <v>67</v>
      </c>
      <c r="D7860" t="s">
        <v>67</v>
      </c>
      <c r="E7860" t="s">
        <v>67</v>
      </c>
      <c r="F7860" t="s">
        <v>49</v>
      </c>
      <c r="G7860" s="117">
        <v>15.57</v>
      </c>
    </row>
    <row r="7861" spans="1:7" x14ac:dyDescent="0.25">
      <c r="A7861" s="116" t="s">
        <v>12563</v>
      </c>
      <c r="B7861" s="117" t="s">
        <v>8544</v>
      </c>
      <c r="C7861" t="s">
        <v>67</v>
      </c>
      <c r="D7861" t="s">
        <v>67</v>
      </c>
      <c r="E7861" t="s">
        <v>67</v>
      </c>
      <c r="F7861" t="s">
        <v>49</v>
      </c>
      <c r="G7861" s="117">
        <v>7.02</v>
      </c>
    </row>
    <row r="7862" spans="1:7" x14ac:dyDescent="0.25">
      <c r="A7862" s="116" t="s">
        <v>12564</v>
      </c>
      <c r="B7862" s="117" t="s">
        <v>12565</v>
      </c>
      <c r="C7862" t="s">
        <v>67</v>
      </c>
      <c r="D7862" t="s">
        <v>67</v>
      </c>
      <c r="E7862" t="s">
        <v>67</v>
      </c>
      <c r="F7862" t="s">
        <v>27987</v>
      </c>
      <c r="G7862" s="117">
        <v>102.77</v>
      </c>
    </row>
    <row r="7863" spans="1:7" x14ac:dyDescent="0.25">
      <c r="A7863" s="116" t="s">
        <v>12566</v>
      </c>
      <c r="B7863" s="117" t="s">
        <v>12567</v>
      </c>
      <c r="C7863" t="s">
        <v>67</v>
      </c>
      <c r="D7863" t="s">
        <v>67</v>
      </c>
      <c r="E7863" t="s">
        <v>67</v>
      </c>
      <c r="F7863" t="s">
        <v>45</v>
      </c>
      <c r="G7863" s="117">
        <v>10.58</v>
      </c>
    </row>
    <row r="7864" spans="1:7" x14ac:dyDescent="0.25">
      <c r="A7864" s="116" t="s">
        <v>12568</v>
      </c>
      <c r="B7864" s="117" t="s">
        <v>12569</v>
      </c>
      <c r="C7864" t="s">
        <v>67</v>
      </c>
      <c r="D7864" t="s">
        <v>67</v>
      </c>
      <c r="E7864" t="s">
        <v>67</v>
      </c>
      <c r="F7864" t="s">
        <v>27987</v>
      </c>
      <c r="G7864" s="117">
        <v>7.12</v>
      </c>
    </row>
    <row r="7865" spans="1:7" x14ac:dyDescent="0.25">
      <c r="A7865" s="116" t="s">
        <v>12570</v>
      </c>
      <c r="B7865" s="117" t="s">
        <v>3412</v>
      </c>
      <c r="C7865" t="s">
        <v>67</v>
      </c>
      <c r="D7865" t="s">
        <v>67</v>
      </c>
      <c r="E7865" t="s">
        <v>67</v>
      </c>
      <c r="F7865" t="s">
        <v>45</v>
      </c>
      <c r="G7865" s="117">
        <v>5.79</v>
      </c>
    </row>
    <row r="7866" spans="1:7" x14ac:dyDescent="0.25">
      <c r="A7866" s="116" t="s">
        <v>12571</v>
      </c>
      <c r="B7866" s="117" t="s">
        <v>12572</v>
      </c>
      <c r="C7866" t="s">
        <v>67</v>
      </c>
      <c r="D7866" t="s">
        <v>67</v>
      </c>
      <c r="E7866" t="s">
        <v>67</v>
      </c>
      <c r="F7866" t="s">
        <v>45</v>
      </c>
      <c r="G7866" s="117">
        <v>19.489999999999998</v>
      </c>
    </row>
    <row r="7867" spans="1:7" x14ac:dyDescent="0.25">
      <c r="A7867" s="116" t="s">
        <v>12573</v>
      </c>
      <c r="B7867" s="117" t="s">
        <v>12574</v>
      </c>
      <c r="C7867" t="s">
        <v>67</v>
      </c>
      <c r="D7867" t="s">
        <v>67</v>
      </c>
      <c r="E7867" t="s">
        <v>67</v>
      </c>
      <c r="F7867" t="s">
        <v>49</v>
      </c>
      <c r="G7867" s="117">
        <v>6.14</v>
      </c>
    </row>
    <row r="7868" spans="1:7" x14ac:dyDescent="0.25">
      <c r="A7868" s="116" t="s">
        <v>12575</v>
      </c>
      <c r="B7868" s="117" t="s">
        <v>12576</v>
      </c>
      <c r="C7868" t="s">
        <v>67</v>
      </c>
      <c r="D7868" t="s">
        <v>67</v>
      </c>
      <c r="E7868" t="s">
        <v>67</v>
      </c>
      <c r="F7868" t="s">
        <v>45</v>
      </c>
      <c r="G7868" s="117">
        <v>7.89</v>
      </c>
    </row>
    <row r="7869" spans="1:7" x14ac:dyDescent="0.25">
      <c r="A7869" s="116" t="s">
        <v>12577</v>
      </c>
      <c r="B7869" s="117" t="s">
        <v>28981</v>
      </c>
      <c r="C7869" t="s">
        <v>67</v>
      </c>
      <c r="D7869" t="s">
        <v>67</v>
      </c>
      <c r="E7869" t="s">
        <v>67</v>
      </c>
      <c r="F7869" t="s">
        <v>27987</v>
      </c>
      <c r="G7869" s="117">
        <v>6.1</v>
      </c>
    </row>
    <row r="7870" spans="1:7" x14ac:dyDescent="0.25">
      <c r="A7870" s="116" t="s">
        <v>12578</v>
      </c>
      <c r="B7870" s="117" t="s">
        <v>12579</v>
      </c>
      <c r="C7870" t="s">
        <v>67</v>
      </c>
      <c r="D7870" t="s">
        <v>67</v>
      </c>
      <c r="E7870" t="s">
        <v>67</v>
      </c>
      <c r="F7870" t="s">
        <v>27987</v>
      </c>
      <c r="G7870" s="117">
        <v>3.12</v>
      </c>
    </row>
    <row r="7871" spans="1:7" x14ac:dyDescent="0.25">
      <c r="A7871" s="116" t="s">
        <v>12580</v>
      </c>
      <c r="B7871" s="117" t="s">
        <v>12581</v>
      </c>
      <c r="C7871" t="s">
        <v>67</v>
      </c>
      <c r="D7871" t="s">
        <v>67</v>
      </c>
      <c r="E7871" t="s">
        <v>67</v>
      </c>
      <c r="F7871" t="s">
        <v>27987</v>
      </c>
      <c r="G7871" s="117">
        <v>11.12</v>
      </c>
    </row>
    <row r="7872" spans="1:7" x14ac:dyDescent="0.25">
      <c r="A7872" s="116" t="s">
        <v>12582</v>
      </c>
      <c r="B7872" s="117" t="s">
        <v>12562</v>
      </c>
      <c r="C7872" t="s">
        <v>67</v>
      </c>
      <c r="D7872" t="s">
        <v>67</v>
      </c>
      <c r="E7872" t="s">
        <v>67</v>
      </c>
      <c r="F7872" t="s">
        <v>27987</v>
      </c>
      <c r="G7872" s="117">
        <v>27.5</v>
      </c>
    </row>
    <row r="7873" spans="1:7" x14ac:dyDescent="0.25">
      <c r="A7873" s="116" t="s">
        <v>12583</v>
      </c>
      <c r="B7873" s="117" t="s">
        <v>12584</v>
      </c>
      <c r="C7873" t="s">
        <v>67</v>
      </c>
      <c r="D7873" t="s">
        <v>67</v>
      </c>
      <c r="E7873" t="s">
        <v>67</v>
      </c>
      <c r="F7873" t="s">
        <v>27987</v>
      </c>
      <c r="G7873" s="117">
        <v>15.57</v>
      </c>
    </row>
    <row r="7874" spans="1:7" x14ac:dyDescent="0.25">
      <c r="A7874" s="116" t="s">
        <v>12585</v>
      </c>
      <c r="B7874" s="117" t="s">
        <v>12586</v>
      </c>
      <c r="C7874" t="s">
        <v>67</v>
      </c>
      <c r="D7874" t="s">
        <v>67</v>
      </c>
      <c r="E7874" t="s">
        <v>67</v>
      </c>
      <c r="F7874" t="s">
        <v>27987</v>
      </c>
      <c r="G7874" s="117">
        <v>6.14</v>
      </c>
    </row>
    <row r="7875" spans="1:7" x14ac:dyDescent="0.25">
      <c r="A7875" s="116" t="s">
        <v>12587</v>
      </c>
      <c r="B7875" s="117" t="s">
        <v>12588</v>
      </c>
      <c r="C7875" t="s">
        <v>67</v>
      </c>
      <c r="D7875" t="s">
        <v>67</v>
      </c>
      <c r="E7875" t="s">
        <v>67</v>
      </c>
      <c r="F7875" t="s">
        <v>45</v>
      </c>
      <c r="G7875" s="117">
        <v>15.57</v>
      </c>
    </row>
    <row r="7876" spans="1:7" x14ac:dyDescent="0.25">
      <c r="A7876" s="116" t="s">
        <v>12589</v>
      </c>
      <c r="B7876" s="117" t="s">
        <v>12590</v>
      </c>
      <c r="C7876" t="s">
        <v>67</v>
      </c>
      <c r="D7876" t="s">
        <v>67</v>
      </c>
      <c r="E7876" t="s">
        <v>67</v>
      </c>
      <c r="F7876" t="s">
        <v>27987</v>
      </c>
      <c r="G7876" s="117">
        <v>22.69</v>
      </c>
    </row>
    <row r="7877" spans="1:7" x14ac:dyDescent="0.25">
      <c r="A7877" s="116" t="s">
        <v>12591</v>
      </c>
      <c r="B7877" s="117" t="s">
        <v>12592</v>
      </c>
      <c r="C7877" t="s">
        <v>67</v>
      </c>
      <c r="D7877" t="s">
        <v>67</v>
      </c>
      <c r="E7877" t="s">
        <v>67</v>
      </c>
      <c r="F7877" t="s">
        <v>49</v>
      </c>
      <c r="G7877" s="117">
        <v>7.92</v>
      </c>
    </row>
    <row r="7878" spans="1:7" x14ac:dyDescent="0.25">
      <c r="A7878" s="116" t="s">
        <v>12593</v>
      </c>
      <c r="B7878" s="117" t="s">
        <v>12594</v>
      </c>
      <c r="C7878" t="s">
        <v>67</v>
      </c>
      <c r="D7878" t="s">
        <v>67</v>
      </c>
      <c r="E7878" t="s">
        <v>67</v>
      </c>
      <c r="F7878" t="s">
        <v>27987</v>
      </c>
      <c r="G7878" s="117">
        <v>10.58</v>
      </c>
    </row>
    <row r="7879" spans="1:7" x14ac:dyDescent="0.25">
      <c r="A7879" s="116" t="s">
        <v>12595</v>
      </c>
      <c r="B7879" s="117" t="s">
        <v>12596</v>
      </c>
      <c r="C7879" t="s">
        <v>67</v>
      </c>
      <c r="D7879" t="s">
        <v>67</v>
      </c>
      <c r="E7879" t="s">
        <v>67</v>
      </c>
      <c r="F7879" t="s">
        <v>27987</v>
      </c>
      <c r="G7879" s="117">
        <v>0.89</v>
      </c>
    </row>
    <row r="7880" spans="1:7" x14ac:dyDescent="0.25">
      <c r="A7880" s="116" t="s">
        <v>28982</v>
      </c>
      <c r="B7880" s="117" t="s">
        <v>12726</v>
      </c>
      <c r="C7880" t="s">
        <v>67</v>
      </c>
      <c r="D7880" t="s">
        <v>67</v>
      </c>
      <c r="E7880" t="s">
        <v>67</v>
      </c>
      <c r="F7880" t="s">
        <v>45</v>
      </c>
      <c r="G7880" s="117">
        <v>0</v>
      </c>
    </row>
    <row r="7881" spans="1:7" x14ac:dyDescent="0.25">
      <c r="A7881" s="116" t="s">
        <v>12597</v>
      </c>
      <c r="B7881" s="117" t="s">
        <v>12598</v>
      </c>
      <c r="C7881" t="s">
        <v>67</v>
      </c>
      <c r="D7881" t="s">
        <v>67</v>
      </c>
      <c r="E7881" t="s">
        <v>67</v>
      </c>
      <c r="F7881" t="s">
        <v>27987</v>
      </c>
      <c r="G7881" s="117">
        <v>2.23</v>
      </c>
    </row>
    <row r="7882" spans="1:7" x14ac:dyDescent="0.25">
      <c r="A7882" s="116" t="s">
        <v>12599</v>
      </c>
      <c r="B7882" s="117" t="s">
        <v>12600</v>
      </c>
      <c r="C7882" t="s">
        <v>67</v>
      </c>
      <c r="D7882" t="s">
        <v>67</v>
      </c>
      <c r="E7882" t="s">
        <v>67</v>
      </c>
      <c r="F7882" t="s">
        <v>27987</v>
      </c>
      <c r="G7882" s="117">
        <v>3.12</v>
      </c>
    </row>
    <row r="7883" spans="1:7" x14ac:dyDescent="0.25">
      <c r="A7883" s="116" t="s">
        <v>12601</v>
      </c>
      <c r="B7883" s="117" t="s">
        <v>12602</v>
      </c>
      <c r="C7883" t="s">
        <v>67</v>
      </c>
      <c r="D7883" t="s">
        <v>67</v>
      </c>
      <c r="E7883" t="s">
        <v>67</v>
      </c>
      <c r="F7883" t="s">
        <v>27987</v>
      </c>
      <c r="G7883" s="117">
        <v>3.12</v>
      </c>
    </row>
    <row r="7884" spans="1:7" x14ac:dyDescent="0.25">
      <c r="A7884" s="116" t="s">
        <v>12603</v>
      </c>
      <c r="B7884" s="117" t="s">
        <v>12604</v>
      </c>
      <c r="C7884" t="s">
        <v>67</v>
      </c>
      <c r="D7884" t="s">
        <v>67</v>
      </c>
      <c r="E7884" t="s">
        <v>67</v>
      </c>
      <c r="F7884" t="s">
        <v>45</v>
      </c>
      <c r="G7884" s="117">
        <v>2.58</v>
      </c>
    </row>
    <row r="7885" spans="1:7" x14ac:dyDescent="0.25">
      <c r="A7885" s="116" t="s">
        <v>12605</v>
      </c>
      <c r="B7885" s="117" t="s">
        <v>12606</v>
      </c>
      <c r="C7885" t="s">
        <v>67</v>
      </c>
      <c r="D7885" t="s">
        <v>67</v>
      </c>
      <c r="E7885" t="s">
        <v>67</v>
      </c>
      <c r="F7885" t="s">
        <v>27987</v>
      </c>
      <c r="G7885" s="117">
        <v>4</v>
      </c>
    </row>
    <row r="7886" spans="1:7" x14ac:dyDescent="0.25">
      <c r="A7886" s="116" t="s">
        <v>27950</v>
      </c>
      <c r="B7886" s="117" t="s">
        <v>27951</v>
      </c>
      <c r="C7886" t="s">
        <v>67</v>
      </c>
      <c r="D7886" t="s">
        <v>67</v>
      </c>
      <c r="E7886" t="s">
        <v>67</v>
      </c>
      <c r="F7886" t="s">
        <v>45</v>
      </c>
      <c r="G7886" s="117">
        <v>5</v>
      </c>
    </row>
    <row r="7887" spans="1:7" x14ac:dyDescent="0.25">
      <c r="A7887" s="116" t="s">
        <v>12607</v>
      </c>
      <c r="B7887" s="117" t="s">
        <v>12608</v>
      </c>
      <c r="C7887" t="s">
        <v>67</v>
      </c>
      <c r="D7887" t="s">
        <v>67</v>
      </c>
      <c r="E7887" t="s">
        <v>67</v>
      </c>
      <c r="F7887" t="s">
        <v>27987</v>
      </c>
      <c r="G7887" s="117">
        <v>1.33</v>
      </c>
    </row>
    <row r="7888" spans="1:7" x14ac:dyDescent="0.25">
      <c r="A7888" s="116" t="s">
        <v>12609</v>
      </c>
      <c r="B7888" s="117" t="s">
        <v>12610</v>
      </c>
      <c r="C7888" t="s">
        <v>67</v>
      </c>
      <c r="D7888" t="s">
        <v>67</v>
      </c>
      <c r="E7888" t="s">
        <v>67</v>
      </c>
      <c r="F7888" t="s">
        <v>45</v>
      </c>
      <c r="G7888" s="117">
        <v>23.94</v>
      </c>
    </row>
    <row r="7889" spans="1:7" x14ac:dyDescent="0.25">
      <c r="A7889" s="116" t="s">
        <v>12611</v>
      </c>
      <c r="B7889" s="117" t="s">
        <v>12612</v>
      </c>
      <c r="C7889" t="s">
        <v>67</v>
      </c>
      <c r="D7889" t="s">
        <v>67</v>
      </c>
      <c r="E7889" t="s">
        <v>67</v>
      </c>
      <c r="F7889" t="s">
        <v>27987</v>
      </c>
      <c r="G7889" s="117">
        <v>16.46</v>
      </c>
    </row>
    <row r="7890" spans="1:7" x14ac:dyDescent="0.25">
      <c r="A7890" s="116" t="s">
        <v>12613</v>
      </c>
      <c r="B7890" s="117" t="s">
        <v>12614</v>
      </c>
      <c r="C7890" t="s">
        <v>67</v>
      </c>
      <c r="D7890" t="s">
        <v>67</v>
      </c>
      <c r="E7890" t="s">
        <v>67</v>
      </c>
      <c r="F7890" t="s">
        <v>27987</v>
      </c>
      <c r="G7890" s="117">
        <v>2.58</v>
      </c>
    </row>
    <row r="7891" spans="1:7" x14ac:dyDescent="0.25">
      <c r="A7891" s="116" t="s">
        <v>12615</v>
      </c>
      <c r="B7891" s="117" t="s">
        <v>12616</v>
      </c>
      <c r="C7891" t="s">
        <v>67</v>
      </c>
      <c r="D7891" t="s">
        <v>67</v>
      </c>
      <c r="E7891" t="s">
        <v>67</v>
      </c>
      <c r="F7891" t="s">
        <v>45</v>
      </c>
      <c r="G7891" s="117">
        <v>10.58</v>
      </c>
    </row>
    <row r="7892" spans="1:7" x14ac:dyDescent="0.25">
      <c r="A7892" s="116" t="s">
        <v>12617</v>
      </c>
      <c r="B7892" s="117" t="s">
        <v>12618</v>
      </c>
      <c r="C7892" t="s">
        <v>67</v>
      </c>
      <c r="D7892" t="s">
        <v>67</v>
      </c>
      <c r="E7892" t="s">
        <v>67</v>
      </c>
      <c r="F7892" t="s">
        <v>45</v>
      </c>
      <c r="G7892" s="117">
        <v>13.26</v>
      </c>
    </row>
    <row r="7893" spans="1:7" x14ac:dyDescent="0.25">
      <c r="A7893" s="116" t="s">
        <v>12619</v>
      </c>
      <c r="B7893" s="117" t="s">
        <v>3595</v>
      </c>
      <c r="C7893" t="s">
        <v>67</v>
      </c>
      <c r="D7893" t="s">
        <v>67</v>
      </c>
      <c r="E7893" t="s">
        <v>67</v>
      </c>
      <c r="F7893" t="s">
        <v>27987</v>
      </c>
      <c r="G7893" s="117">
        <v>19.489999999999998</v>
      </c>
    </row>
    <row r="7894" spans="1:7" x14ac:dyDescent="0.25">
      <c r="A7894" s="116" t="s">
        <v>12620</v>
      </c>
      <c r="B7894" s="117" t="s">
        <v>10590</v>
      </c>
      <c r="C7894" t="s">
        <v>67</v>
      </c>
      <c r="D7894" t="s">
        <v>67</v>
      </c>
      <c r="E7894" t="s">
        <v>67</v>
      </c>
      <c r="F7894" t="s">
        <v>27987</v>
      </c>
      <c r="G7894" s="117">
        <v>19.13</v>
      </c>
    </row>
    <row r="7895" spans="1:7" x14ac:dyDescent="0.25">
      <c r="A7895" s="116" t="s">
        <v>12621</v>
      </c>
      <c r="B7895" s="117" t="s">
        <v>12622</v>
      </c>
      <c r="C7895" t="s">
        <v>67</v>
      </c>
      <c r="D7895" t="s">
        <v>67</v>
      </c>
      <c r="E7895" t="s">
        <v>67</v>
      </c>
      <c r="F7895" t="s">
        <v>45</v>
      </c>
      <c r="G7895" s="117">
        <v>0.92</v>
      </c>
    </row>
    <row r="7896" spans="1:7" x14ac:dyDescent="0.25">
      <c r="A7896" s="116" t="s">
        <v>12623</v>
      </c>
      <c r="B7896" s="117" t="s">
        <v>12624</v>
      </c>
      <c r="C7896" t="s">
        <v>67</v>
      </c>
      <c r="D7896" t="s">
        <v>67</v>
      </c>
      <c r="E7896" t="s">
        <v>67</v>
      </c>
      <c r="F7896" t="s">
        <v>27987</v>
      </c>
      <c r="G7896" s="117">
        <v>12.01</v>
      </c>
    </row>
    <row r="7897" spans="1:7" x14ac:dyDescent="0.25">
      <c r="A7897" s="116" t="s">
        <v>12625</v>
      </c>
      <c r="B7897" s="117" t="s">
        <v>12626</v>
      </c>
      <c r="C7897" t="s">
        <v>67</v>
      </c>
      <c r="D7897" t="s">
        <v>67</v>
      </c>
      <c r="E7897" t="s">
        <v>67</v>
      </c>
      <c r="F7897" t="s">
        <v>27987</v>
      </c>
      <c r="G7897" s="117">
        <v>21.26</v>
      </c>
    </row>
    <row r="7898" spans="1:7" x14ac:dyDescent="0.25">
      <c r="A7898" s="116" t="s">
        <v>12627</v>
      </c>
      <c r="B7898" s="117" t="s">
        <v>12628</v>
      </c>
      <c r="C7898" t="s">
        <v>67</v>
      </c>
      <c r="D7898" t="s">
        <v>67</v>
      </c>
      <c r="E7898" t="s">
        <v>67</v>
      </c>
      <c r="F7898" t="s">
        <v>27987</v>
      </c>
      <c r="G7898" s="117">
        <v>3.12</v>
      </c>
    </row>
    <row r="7899" spans="1:7" x14ac:dyDescent="0.25">
      <c r="A7899" s="116" t="s">
        <v>12629</v>
      </c>
      <c r="B7899" s="117" t="s">
        <v>12630</v>
      </c>
      <c r="C7899" t="s">
        <v>67</v>
      </c>
      <c r="D7899" t="s">
        <v>67</v>
      </c>
      <c r="E7899" t="s">
        <v>67</v>
      </c>
      <c r="F7899" t="s">
        <v>27987</v>
      </c>
      <c r="G7899" s="117">
        <v>4</v>
      </c>
    </row>
    <row r="7900" spans="1:7" x14ac:dyDescent="0.25">
      <c r="A7900" s="116" t="s">
        <v>12631</v>
      </c>
      <c r="B7900" s="117" t="s">
        <v>12632</v>
      </c>
      <c r="C7900" t="s">
        <v>67</v>
      </c>
      <c r="D7900" t="s">
        <v>67</v>
      </c>
      <c r="E7900" t="s">
        <v>67</v>
      </c>
      <c r="F7900" t="s">
        <v>27987</v>
      </c>
      <c r="G7900" s="117">
        <v>6.14</v>
      </c>
    </row>
    <row r="7901" spans="1:7" x14ac:dyDescent="0.25">
      <c r="A7901" s="116" t="s">
        <v>12633</v>
      </c>
      <c r="B7901" s="117" t="s">
        <v>12634</v>
      </c>
      <c r="C7901" t="s">
        <v>67</v>
      </c>
      <c r="D7901" t="s">
        <v>67</v>
      </c>
      <c r="E7901" t="s">
        <v>67</v>
      </c>
      <c r="F7901" t="s">
        <v>49</v>
      </c>
      <c r="G7901" s="117">
        <v>2.23</v>
      </c>
    </row>
    <row r="7902" spans="1:7" x14ac:dyDescent="0.25">
      <c r="A7902" s="116" t="s">
        <v>12635</v>
      </c>
      <c r="B7902" s="117" t="s">
        <v>12636</v>
      </c>
      <c r="C7902" t="s">
        <v>67</v>
      </c>
      <c r="D7902" t="s">
        <v>67</v>
      </c>
      <c r="E7902" t="s">
        <v>67</v>
      </c>
      <c r="F7902" t="s">
        <v>27987</v>
      </c>
      <c r="G7902" s="117">
        <v>1.69</v>
      </c>
    </row>
    <row r="7903" spans="1:7" x14ac:dyDescent="0.25">
      <c r="A7903" s="116" t="s">
        <v>12637</v>
      </c>
      <c r="B7903" s="117" t="s">
        <v>12638</v>
      </c>
      <c r="C7903" t="s">
        <v>67</v>
      </c>
      <c r="D7903" t="s">
        <v>67</v>
      </c>
      <c r="E7903" t="s">
        <v>67</v>
      </c>
      <c r="F7903" t="s">
        <v>49</v>
      </c>
      <c r="G7903" s="117">
        <v>2.23</v>
      </c>
    </row>
    <row r="7904" spans="1:7" x14ac:dyDescent="0.25">
      <c r="A7904" s="116" t="s">
        <v>12639</v>
      </c>
      <c r="B7904" s="117" t="s">
        <v>12640</v>
      </c>
      <c r="C7904" t="s">
        <v>67</v>
      </c>
      <c r="D7904" t="s">
        <v>67</v>
      </c>
      <c r="E7904" t="s">
        <v>67</v>
      </c>
      <c r="F7904" t="s">
        <v>45</v>
      </c>
      <c r="G7904" s="117">
        <v>2.58</v>
      </c>
    </row>
    <row r="7905" spans="1:7" x14ac:dyDescent="0.25">
      <c r="A7905" s="116" t="s">
        <v>12641</v>
      </c>
      <c r="B7905" s="117" t="s">
        <v>12642</v>
      </c>
      <c r="C7905" t="s">
        <v>67</v>
      </c>
      <c r="D7905" t="s">
        <v>67</v>
      </c>
      <c r="E7905" t="s">
        <v>67</v>
      </c>
      <c r="F7905" t="s">
        <v>27987</v>
      </c>
      <c r="G7905" s="117">
        <v>2.23</v>
      </c>
    </row>
    <row r="7906" spans="1:7" x14ac:dyDescent="0.25">
      <c r="A7906" s="116" t="s">
        <v>12643</v>
      </c>
      <c r="B7906" s="117" t="s">
        <v>12644</v>
      </c>
      <c r="C7906" t="s">
        <v>67</v>
      </c>
      <c r="D7906" t="s">
        <v>67</v>
      </c>
      <c r="E7906" t="s">
        <v>67</v>
      </c>
      <c r="F7906" t="s">
        <v>27987</v>
      </c>
      <c r="G7906" s="117">
        <v>19.13</v>
      </c>
    </row>
    <row r="7907" spans="1:7" x14ac:dyDescent="0.25">
      <c r="A7907" s="116" t="s">
        <v>12645</v>
      </c>
      <c r="B7907" s="117" t="s">
        <v>12646</v>
      </c>
      <c r="C7907" t="s">
        <v>67</v>
      </c>
      <c r="D7907" t="s">
        <v>67</v>
      </c>
      <c r="E7907" t="s">
        <v>67</v>
      </c>
      <c r="F7907" t="s">
        <v>27987</v>
      </c>
      <c r="G7907" s="117">
        <v>9.6999999999999993</v>
      </c>
    </row>
    <row r="7908" spans="1:7" x14ac:dyDescent="0.25">
      <c r="A7908" s="116" t="s">
        <v>12647</v>
      </c>
      <c r="B7908" s="117" t="s">
        <v>12648</v>
      </c>
      <c r="C7908" t="s">
        <v>67</v>
      </c>
      <c r="D7908" t="s">
        <v>67</v>
      </c>
      <c r="E7908" t="s">
        <v>67</v>
      </c>
      <c r="F7908" t="s">
        <v>27987</v>
      </c>
      <c r="G7908" s="117">
        <v>33.729999999999997</v>
      </c>
    </row>
    <row r="7909" spans="1:7" x14ac:dyDescent="0.25">
      <c r="A7909" s="116" t="s">
        <v>12649</v>
      </c>
      <c r="B7909" s="117" t="s">
        <v>12650</v>
      </c>
      <c r="C7909" t="s">
        <v>67</v>
      </c>
      <c r="D7909" t="s">
        <v>67</v>
      </c>
      <c r="E7909" t="s">
        <v>67</v>
      </c>
      <c r="F7909" t="s">
        <v>27987</v>
      </c>
      <c r="G7909" s="117">
        <v>3.48</v>
      </c>
    </row>
    <row r="7910" spans="1:7" x14ac:dyDescent="0.25">
      <c r="A7910" s="116" t="s">
        <v>12651</v>
      </c>
      <c r="B7910" s="117" t="s">
        <v>12652</v>
      </c>
      <c r="C7910" t="s">
        <v>67</v>
      </c>
      <c r="D7910" t="s">
        <v>67</v>
      </c>
      <c r="E7910" t="s">
        <v>67</v>
      </c>
      <c r="F7910" t="s">
        <v>27987</v>
      </c>
      <c r="G7910" s="117">
        <v>33.369999999999997</v>
      </c>
    </row>
    <row r="7911" spans="1:7" x14ac:dyDescent="0.25">
      <c r="A7911" s="116" t="s">
        <v>12653</v>
      </c>
      <c r="B7911" s="117" t="s">
        <v>12654</v>
      </c>
      <c r="C7911" t="s">
        <v>67</v>
      </c>
      <c r="D7911" t="s">
        <v>67</v>
      </c>
      <c r="E7911" t="s">
        <v>67</v>
      </c>
      <c r="F7911" t="s">
        <v>27987</v>
      </c>
      <c r="G7911" s="117">
        <v>11.12</v>
      </c>
    </row>
    <row r="7912" spans="1:7" x14ac:dyDescent="0.25">
      <c r="A7912" s="116" t="s">
        <v>12655</v>
      </c>
      <c r="B7912" s="117" t="s">
        <v>12656</v>
      </c>
      <c r="C7912" t="s">
        <v>67</v>
      </c>
      <c r="D7912" t="s">
        <v>67</v>
      </c>
      <c r="E7912" t="s">
        <v>67</v>
      </c>
      <c r="F7912" t="s">
        <v>27987</v>
      </c>
      <c r="G7912" s="117">
        <v>6.14</v>
      </c>
    </row>
    <row r="7913" spans="1:7" x14ac:dyDescent="0.25">
      <c r="A7913" s="116" t="s">
        <v>12657</v>
      </c>
      <c r="B7913" s="117" t="s">
        <v>12658</v>
      </c>
      <c r="C7913" t="s">
        <v>67</v>
      </c>
      <c r="D7913" t="s">
        <v>67</v>
      </c>
      <c r="E7913" t="s">
        <v>67</v>
      </c>
      <c r="F7913" t="s">
        <v>27987</v>
      </c>
      <c r="G7913" s="117">
        <v>1.69</v>
      </c>
    </row>
    <row r="7914" spans="1:7" x14ac:dyDescent="0.25">
      <c r="A7914" s="116" t="s">
        <v>12659</v>
      </c>
      <c r="B7914" s="117" t="s">
        <v>12660</v>
      </c>
      <c r="C7914" t="s">
        <v>67</v>
      </c>
      <c r="D7914" t="s">
        <v>67</v>
      </c>
      <c r="E7914" t="s">
        <v>67</v>
      </c>
      <c r="F7914" t="s">
        <v>45</v>
      </c>
      <c r="G7914" s="117">
        <v>4.8899999999999997</v>
      </c>
    </row>
    <row r="7915" spans="1:7" x14ac:dyDescent="0.25">
      <c r="A7915" s="116" t="s">
        <v>26973</v>
      </c>
      <c r="B7915" s="117" t="s">
        <v>28983</v>
      </c>
      <c r="C7915" t="s">
        <v>67</v>
      </c>
      <c r="D7915" t="s">
        <v>67</v>
      </c>
      <c r="E7915" t="s">
        <v>67</v>
      </c>
      <c r="F7915" t="s">
        <v>27987</v>
      </c>
      <c r="G7915" s="117">
        <v>30</v>
      </c>
    </row>
    <row r="7916" spans="1:7" x14ac:dyDescent="0.25">
      <c r="A7916" s="116" t="s">
        <v>12661</v>
      </c>
      <c r="B7916" s="117" t="s">
        <v>12662</v>
      </c>
      <c r="C7916" t="s">
        <v>67</v>
      </c>
      <c r="D7916" t="s">
        <v>67</v>
      </c>
      <c r="E7916" t="s">
        <v>67</v>
      </c>
      <c r="F7916" t="s">
        <v>45</v>
      </c>
      <c r="G7916" s="117">
        <v>1.69</v>
      </c>
    </row>
    <row r="7917" spans="1:7" x14ac:dyDescent="0.25">
      <c r="A7917" s="116" t="s">
        <v>12663</v>
      </c>
      <c r="B7917" s="117" t="s">
        <v>28984</v>
      </c>
      <c r="C7917" t="s">
        <v>67</v>
      </c>
      <c r="D7917" t="s">
        <v>67</v>
      </c>
      <c r="E7917" t="s">
        <v>67</v>
      </c>
      <c r="F7917" t="s">
        <v>27987</v>
      </c>
      <c r="G7917" s="117">
        <v>8.4499999999999993</v>
      </c>
    </row>
    <row r="7918" spans="1:7" x14ac:dyDescent="0.25">
      <c r="A7918" s="116" t="s">
        <v>12664</v>
      </c>
      <c r="B7918" s="117" t="s">
        <v>12665</v>
      </c>
      <c r="C7918" t="s">
        <v>67</v>
      </c>
      <c r="D7918" t="s">
        <v>67</v>
      </c>
      <c r="E7918" t="s">
        <v>67</v>
      </c>
      <c r="F7918" t="s">
        <v>27987</v>
      </c>
      <c r="G7918" s="117">
        <v>17.7</v>
      </c>
    </row>
    <row r="7919" spans="1:7" x14ac:dyDescent="0.25">
      <c r="A7919" s="116" t="s">
        <v>12666</v>
      </c>
      <c r="B7919" s="117" t="s">
        <v>12634</v>
      </c>
      <c r="C7919" t="s">
        <v>67</v>
      </c>
      <c r="D7919" t="s">
        <v>67</v>
      </c>
      <c r="E7919" t="s">
        <v>67</v>
      </c>
      <c r="F7919" t="s">
        <v>27987</v>
      </c>
      <c r="G7919" s="117">
        <v>1.69</v>
      </c>
    </row>
    <row r="7920" spans="1:7" x14ac:dyDescent="0.25">
      <c r="A7920" s="116" t="s">
        <v>12667</v>
      </c>
      <c r="B7920" s="117" t="s">
        <v>12668</v>
      </c>
      <c r="C7920" t="s">
        <v>67</v>
      </c>
      <c r="D7920" t="s">
        <v>67</v>
      </c>
      <c r="E7920" t="s">
        <v>67</v>
      </c>
      <c r="F7920" t="s">
        <v>27990</v>
      </c>
      <c r="G7920" s="117">
        <v>2.58</v>
      </c>
    </row>
    <row r="7921" spans="1:7" x14ac:dyDescent="0.25">
      <c r="A7921" s="116" t="s">
        <v>12669</v>
      </c>
      <c r="B7921" s="117" t="s">
        <v>12670</v>
      </c>
      <c r="C7921" t="s">
        <v>67</v>
      </c>
      <c r="D7921" t="s">
        <v>67</v>
      </c>
      <c r="E7921" t="s">
        <v>67</v>
      </c>
      <c r="F7921" t="s">
        <v>45</v>
      </c>
      <c r="G7921" s="117">
        <v>8.4499999999999993</v>
      </c>
    </row>
    <row r="7922" spans="1:7" x14ac:dyDescent="0.25">
      <c r="A7922" s="116" t="s">
        <v>12671</v>
      </c>
      <c r="B7922" s="117" t="s">
        <v>12672</v>
      </c>
      <c r="C7922" t="s">
        <v>67</v>
      </c>
      <c r="D7922" t="s">
        <v>67</v>
      </c>
      <c r="E7922" t="s">
        <v>67</v>
      </c>
      <c r="F7922" t="s">
        <v>45</v>
      </c>
      <c r="G7922" s="117">
        <v>5.25</v>
      </c>
    </row>
    <row r="7923" spans="1:7" x14ac:dyDescent="0.25">
      <c r="A7923" s="116" t="s">
        <v>28005</v>
      </c>
      <c r="B7923" s="117" t="s">
        <v>28006</v>
      </c>
      <c r="C7923" t="s">
        <v>67</v>
      </c>
      <c r="D7923" t="s">
        <v>67</v>
      </c>
      <c r="E7923" t="s">
        <v>67</v>
      </c>
      <c r="F7923" t="s">
        <v>45</v>
      </c>
      <c r="G7923" s="117">
        <v>4</v>
      </c>
    </row>
    <row r="7924" spans="1:7" x14ac:dyDescent="0.25">
      <c r="A7924" s="116" t="s">
        <v>12673</v>
      </c>
      <c r="B7924" s="117" t="s">
        <v>12632</v>
      </c>
      <c r="C7924" t="s">
        <v>67</v>
      </c>
      <c r="D7924" t="s">
        <v>67</v>
      </c>
      <c r="E7924" t="s">
        <v>67</v>
      </c>
      <c r="F7924" t="s">
        <v>49</v>
      </c>
      <c r="G7924" s="117">
        <v>2.58</v>
      </c>
    </row>
    <row r="7925" spans="1:7" x14ac:dyDescent="0.25">
      <c r="A7925" s="116" t="s">
        <v>12674</v>
      </c>
      <c r="B7925" s="117" t="s">
        <v>12675</v>
      </c>
      <c r="C7925" t="s">
        <v>67</v>
      </c>
      <c r="D7925" t="s">
        <v>67</v>
      </c>
      <c r="E7925" t="s">
        <v>67</v>
      </c>
      <c r="F7925" t="s">
        <v>45</v>
      </c>
      <c r="G7925" s="117">
        <v>2.58</v>
      </c>
    </row>
    <row r="7926" spans="1:7" x14ac:dyDescent="0.25">
      <c r="A7926" s="116" t="s">
        <v>12676</v>
      </c>
      <c r="B7926" s="117" t="s">
        <v>12677</v>
      </c>
      <c r="C7926" t="s">
        <v>67</v>
      </c>
      <c r="D7926" t="s">
        <v>67</v>
      </c>
      <c r="E7926" t="s">
        <v>67</v>
      </c>
      <c r="F7926" t="s">
        <v>27987</v>
      </c>
      <c r="G7926" s="117">
        <v>1.69</v>
      </c>
    </row>
    <row r="7927" spans="1:7" x14ac:dyDescent="0.25">
      <c r="A7927" s="116" t="s">
        <v>12678</v>
      </c>
      <c r="B7927" s="117" t="s">
        <v>12679</v>
      </c>
      <c r="C7927" t="s">
        <v>67</v>
      </c>
      <c r="D7927" t="s">
        <v>67</v>
      </c>
      <c r="E7927" t="s">
        <v>67</v>
      </c>
      <c r="F7927" t="s">
        <v>27987</v>
      </c>
      <c r="G7927" s="117">
        <v>1.69</v>
      </c>
    </row>
    <row r="7928" spans="1:7" x14ac:dyDescent="0.25">
      <c r="A7928" s="116" t="s">
        <v>12680</v>
      </c>
      <c r="B7928" s="117" t="s">
        <v>12681</v>
      </c>
      <c r="C7928" t="s">
        <v>67</v>
      </c>
      <c r="D7928" t="s">
        <v>67</v>
      </c>
      <c r="E7928" t="s">
        <v>67</v>
      </c>
      <c r="F7928" t="s">
        <v>27987</v>
      </c>
      <c r="G7928" s="117">
        <v>1.69</v>
      </c>
    </row>
    <row r="7929" spans="1:7" x14ac:dyDescent="0.25">
      <c r="A7929" s="116" t="s">
        <v>12682</v>
      </c>
      <c r="B7929" s="117" t="s">
        <v>12683</v>
      </c>
      <c r="C7929" t="s">
        <v>67</v>
      </c>
      <c r="D7929" t="s">
        <v>67</v>
      </c>
      <c r="E7929" t="s">
        <v>67</v>
      </c>
      <c r="F7929" t="s">
        <v>27987</v>
      </c>
      <c r="G7929" s="117">
        <v>1.33</v>
      </c>
    </row>
    <row r="7930" spans="1:7" x14ac:dyDescent="0.25">
      <c r="A7930" s="116" t="s">
        <v>12684</v>
      </c>
      <c r="B7930" s="117" t="s">
        <v>12685</v>
      </c>
      <c r="C7930" t="s">
        <v>67</v>
      </c>
      <c r="D7930" t="s">
        <v>67</v>
      </c>
      <c r="E7930" t="s">
        <v>67</v>
      </c>
      <c r="F7930" t="s">
        <v>27987</v>
      </c>
      <c r="G7930" s="117">
        <v>9.6999999999999993</v>
      </c>
    </row>
    <row r="7931" spans="1:7" x14ac:dyDescent="0.25">
      <c r="A7931" s="116" t="s">
        <v>12686</v>
      </c>
      <c r="B7931" s="117" t="s">
        <v>12687</v>
      </c>
      <c r="C7931" t="s">
        <v>67</v>
      </c>
      <c r="D7931" t="s">
        <v>67</v>
      </c>
      <c r="E7931" t="s">
        <v>67</v>
      </c>
      <c r="F7931" t="s">
        <v>27987</v>
      </c>
      <c r="G7931" s="117">
        <v>15.57</v>
      </c>
    </row>
    <row r="7932" spans="1:7" x14ac:dyDescent="0.25">
      <c r="A7932" s="116" t="s">
        <v>12688</v>
      </c>
      <c r="B7932" s="117" t="s">
        <v>12689</v>
      </c>
      <c r="C7932" t="s">
        <v>67</v>
      </c>
      <c r="D7932" t="s">
        <v>67</v>
      </c>
      <c r="E7932" t="s">
        <v>67</v>
      </c>
      <c r="F7932" t="s">
        <v>27987</v>
      </c>
      <c r="G7932" s="117">
        <v>2.58</v>
      </c>
    </row>
    <row r="7933" spans="1:7" x14ac:dyDescent="0.25">
      <c r="A7933" s="116" t="s">
        <v>12690</v>
      </c>
      <c r="B7933" s="117" t="s">
        <v>12691</v>
      </c>
      <c r="C7933" t="s">
        <v>67</v>
      </c>
      <c r="D7933" t="s">
        <v>67</v>
      </c>
      <c r="E7933" t="s">
        <v>67</v>
      </c>
      <c r="F7933" t="s">
        <v>45</v>
      </c>
      <c r="G7933" s="117">
        <v>14.14</v>
      </c>
    </row>
    <row r="7934" spans="1:7" x14ac:dyDescent="0.25">
      <c r="A7934" s="116" t="s">
        <v>12692</v>
      </c>
      <c r="B7934" s="117" t="s">
        <v>12693</v>
      </c>
      <c r="C7934" t="s">
        <v>67</v>
      </c>
      <c r="D7934" t="s">
        <v>67</v>
      </c>
      <c r="E7934" t="s">
        <v>67</v>
      </c>
      <c r="F7934" t="s">
        <v>27987</v>
      </c>
      <c r="G7934" s="117">
        <v>8.4499999999999993</v>
      </c>
    </row>
    <row r="7935" spans="1:7" x14ac:dyDescent="0.25">
      <c r="A7935" s="116" t="s">
        <v>12694</v>
      </c>
      <c r="B7935" s="117" t="s">
        <v>12695</v>
      </c>
      <c r="C7935" t="s">
        <v>67</v>
      </c>
      <c r="D7935" t="s">
        <v>67</v>
      </c>
      <c r="E7935" t="s">
        <v>67</v>
      </c>
      <c r="F7935" t="s">
        <v>27987</v>
      </c>
      <c r="G7935" s="117">
        <v>8.4499999999999993</v>
      </c>
    </row>
    <row r="7936" spans="1:7" x14ac:dyDescent="0.25">
      <c r="A7936" s="116" t="s">
        <v>12696</v>
      </c>
      <c r="B7936" s="117" t="s">
        <v>12697</v>
      </c>
      <c r="C7936" t="s">
        <v>67</v>
      </c>
      <c r="D7936" t="s">
        <v>67</v>
      </c>
      <c r="E7936" t="s">
        <v>67</v>
      </c>
      <c r="F7936" t="s">
        <v>45</v>
      </c>
      <c r="G7936" s="117">
        <v>3.56</v>
      </c>
    </row>
    <row r="7937" spans="1:7" x14ac:dyDescent="0.25">
      <c r="A7937" s="116" t="s">
        <v>12698</v>
      </c>
      <c r="B7937" s="117" t="s">
        <v>12699</v>
      </c>
      <c r="C7937" t="s">
        <v>67</v>
      </c>
      <c r="D7937" t="s">
        <v>67</v>
      </c>
      <c r="E7937" t="s">
        <v>67</v>
      </c>
      <c r="F7937" t="s">
        <v>27987</v>
      </c>
      <c r="G7937" s="117">
        <v>107.58</v>
      </c>
    </row>
    <row r="7938" spans="1:7" x14ac:dyDescent="0.25">
      <c r="A7938" s="116" t="s">
        <v>12700</v>
      </c>
      <c r="B7938" s="117" t="s">
        <v>12701</v>
      </c>
      <c r="C7938" t="s">
        <v>67</v>
      </c>
      <c r="D7938" t="s">
        <v>67</v>
      </c>
      <c r="E7938" t="s">
        <v>67</v>
      </c>
      <c r="F7938" t="s">
        <v>27987</v>
      </c>
      <c r="G7938" s="117">
        <v>1.33</v>
      </c>
    </row>
    <row r="7939" spans="1:7" x14ac:dyDescent="0.25">
      <c r="A7939" s="116" t="s">
        <v>12702</v>
      </c>
      <c r="B7939" s="117" t="s">
        <v>12703</v>
      </c>
      <c r="C7939" t="s">
        <v>67</v>
      </c>
      <c r="D7939" t="s">
        <v>67</v>
      </c>
      <c r="E7939" t="s">
        <v>67</v>
      </c>
      <c r="F7939" t="s">
        <v>27987</v>
      </c>
      <c r="G7939" s="117">
        <v>3.56</v>
      </c>
    </row>
    <row r="7940" spans="1:7" x14ac:dyDescent="0.25">
      <c r="A7940" s="116" t="s">
        <v>12704</v>
      </c>
      <c r="B7940" s="117" t="s">
        <v>12705</v>
      </c>
      <c r="C7940" t="s">
        <v>67</v>
      </c>
      <c r="D7940" t="s">
        <v>67</v>
      </c>
      <c r="E7940" t="s">
        <v>67</v>
      </c>
      <c r="F7940" t="s">
        <v>27987</v>
      </c>
      <c r="G7940" s="117">
        <v>3.56</v>
      </c>
    </row>
    <row r="7941" spans="1:7" x14ac:dyDescent="0.25">
      <c r="A7941" s="116" t="s">
        <v>12706</v>
      </c>
      <c r="B7941" s="117" t="s">
        <v>12707</v>
      </c>
      <c r="C7941" t="s">
        <v>67</v>
      </c>
      <c r="D7941" t="s">
        <v>67</v>
      </c>
      <c r="E7941" t="s">
        <v>67</v>
      </c>
      <c r="F7941" t="s">
        <v>27987</v>
      </c>
      <c r="G7941" s="117">
        <v>13.51</v>
      </c>
    </row>
    <row r="7942" spans="1:7" x14ac:dyDescent="0.25">
      <c r="A7942" s="116" t="s">
        <v>12708</v>
      </c>
      <c r="B7942" s="117" t="s">
        <v>12709</v>
      </c>
      <c r="C7942" t="s">
        <v>67</v>
      </c>
      <c r="D7942" t="s">
        <v>67</v>
      </c>
      <c r="E7942" t="s">
        <v>67</v>
      </c>
      <c r="F7942" t="s">
        <v>27987</v>
      </c>
      <c r="G7942" s="117">
        <v>3.2</v>
      </c>
    </row>
    <row r="7943" spans="1:7" x14ac:dyDescent="0.25">
      <c r="A7943" s="116" t="s">
        <v>12710</v>
      </c>
      <c r="B7943" s="117" t="s">
        <v>12711</v>
      </c>
      <c r="C7943" t="s">
        <v>67</v>
      </c>
      <c r="D7943" t="s">
        <v>67</v>
      </c>
      <c r="E7943" t="s">
        <v>67</v>
      </c>
      <c r="F7943" t="s">
        <v>27987</v>
      </c>
      <c r="G7943" s="117">
        <v>44.94</v>
      </c>
    </row>
    <row r="7944" spans="1:7" x14ac:dyDescent="0.25">
      <c r="A7944" s="116" t="s">
        <v>12712</v>
      </c>
      <c r="B7944" s="117" t="s">
        <v>12713</v>
      </c>
      <c r="C7944" t="s">
        <v>67</v>
      </c>
      <c r="D7944" t="s">
        <v>67</v>
      </c>
      <c r="E7944" t="s">
        <v>67</v>
      </c>
      <c r="F7944" t="s">
        <v>27990</v>
      </c>
      <c r="G7944" s="117">
        <v>2.58</v>
      </c>
    </row>
    <row r="7945" spans="1:7" x14ac:dyDescent="0.25">
      <c r="A7945" s="116" t="s">
        <v>12714</v>
      </c>
      <c r="B7945" s="117" t="s">
        <v>12715</v>
      </c>
      <c r="C7945" t="s">
        <v>67</v>
      </c>
      <c r="D7945" t="s">
        <v>67</v>
      </c>
      <c r="E7945" t="s">
        <v>67</v>
      </c>
      <c r="F7945" t="s">
        <v>27987</v>
      </c>
      <c r="G7945" s="117">
        <v>5.08</v>
      </c>
    </row>
    <row r="7946" spans="1:7" x14ac:dyDescent="0.25">
      <c r="A7946" s="116" t="s">
        <v>12716</v>
      </c>
      <c r="B7946" s="117" t="s">
        <v>7147</v>
      </c>
      <c r="C7946" t="s">
        <v>67</v>
      </c>
      <c r="D7946" t="s">
        <v>67</v>
      </c>
      <c r="E7946" t="s">
        <v>67</v>
      </c>
      <c r="F7946" t="s">
        <v>27987</v>
      </c>
      <c r="G7946" s="117">
        <v>1.27</v>
      </c>
    </row>
    <row r="7947" spans="1:7" x14ac:dyDescent="0.25">
      <c r="A7947" s="116" t="s">
        <v>12717</v>
      </c>
      <c r="B7947" s="117" t="s">
        <v>12718</v>
      </c>
      <c r="C7947" t="s">
        <v>67</v>
      </c>
      <c r="D7947" t="s">
        <v>67</v>
      </c>
      <c r="E7947" t="s">
        <v>67</v>
      </c>
      <c r="F7947" t="s">
        <v>27987</v>
      </c>
      <c r="G7947" s="117">
        <v>3.56</v>
      </c>
    </row>
    <row r="7948" spans="1:7" x14ac:dyDescent="0.25">
      <c r="A7948" s="116" t="s">
        <v>12719</v>
      </c>
      <c r="B7948" s="117" t="s">
        <v>12720</v>
      </c>
      <c r="C7948" t="s">
        <v>67</v>
      </c>
      <c r="D7948" t="s">
        <v>67</v>
      </c>
      <c r="E7948" t="s">
        <v>67</v>
      </c>
      <c r="F7948" t="s">
        <v>49</v>
      </c>
      <c r="G7948" s="117">
        <v>4.3600000000000003</v>
      </c>
    </row>
    <row r="7949" spans="1:7" x14ac:dyDescent="0.25">
      <c r="A7949" s="116" t="s">
        <v>12721</v>
      </c>
      <c r="B7949" s="117" t="s">
        <v>12722</v>
      </c>
      <c r="C7949" t="s">
        <v>67</v>
      </c>
      <c r="D7949" t="s">
        <v>67</v>
      </c>
      <c r="E7949" t="s">
        <v>67</v>
      </c>
      <c r="F7949" t="s">
        <v>27987</v>
      </c>
      <c r="G7949" s="117">
        <v>34.619999999999997</v>
      </c>
    </row>
    <row r="7950" spans="1:7" x14ac:dyDescent="0.25">
      <c r="A7950" s="116" t="s">
        <v>12723</v>
      </c>
      <c r="B7950" s="117" t="s">
        <v>12724</v>
      </c>
      <c r="C7950" t="s">
        <v>67</v>
      </c>
      <c r="D7950" t="s">
        <v>67</v>
      </c>
      <c r="E7950" t="s">
        <v>67</v>
      </c>
      <c r="F7950" t="s">
        <v>45</v>
      </c>
      <c r="G7950" s="117">
        <v>17.36</v>
      </c>
    </row>
    <row r="7951" spans="1:7" x14ac:dyDescent="0.25">
      <c r="A7951" s="116" t="s">
        <v>12725</v>
      </c>
      <c r="B7951" s="117" t="s">
        <v>12726</v>
      </c>
      <c r="C7951" t="s">
        <v>67</v>
      </c>
      <c r="D7951" t="s">
        <v>67</v>
      </c>
      <c r="E7951" t="s">
        <v>67</v>
      </c>
      <c r="F7951" t="s">
        <v>49</v>
      </c>
      <c r="G7951" s="117">
        <v>4.45</v>
      </c>
    </row>
    <row r="7952" spans="1:7" x14ac:dyDescent="0.25">
      <c r="A7952" s="116" t="s">
        <v>12727</v>
      </c>
      <c r="B7952" s="117" t="s">
        <v>12728</v>
      </c>
      <c r="C7952" t="s">
        <v>67</v>
      </c>
      <c r="D7952" t="s">
        <v>67</v>
      </c>
      <c r="E7952" t="s">
        <v>67</v>
      </c>
      <c r="F7952" t="s">
        <v>27987</v>
      </c>
      <c r="G7952" s="117">
        <v>7.54</v>
      </c>
    </row>
    <row r="7953" spans="1:7" x14ac:dyDescent="0.25">
      <c r="A7953" s="116" t="s">
        <v>28985</v>
      </c>
      <c r="B7953" s="117" t="s">
        <v>28986</v>
      </c>
      <c r="C7953" t="s">
        <v>67</v>
      </c>
      <c r="D7953" t="s">
        <v>67</v>
      </c>
      <c r="E7953" t="s">
        <v>67</v>
      </c>
      <c r="F7953" t="s">
        <v>45</v>
      </c>
      <c r="G7953" s="117">
        <v>0</v>
      </c>
    </row>
    <row r="7954" spans="1:7" x14ac:dyDescent="0.25">
      <c r="A7954" s="116" t="s">
        <v>12729</v>
      </c>
      <c r="B7954" s="117" t="s">
        <v>12730</v>
      </c>
      <c r="C7954" t="s">
        <v>67</v>
      </c>
      <c r="D7954" t="s">
        <v>67</v>
      </c>
      <c r="E7954" t="s">
        <v>67</v>
      </c>
      <c r="F7954" t="s">
        <v>27987</v>
      </c>
      <c r="G7954" s="117">
        <v>12.9</v>
      </c>
    </row>
    <row r="7955" spans="1:7" x14ac:dyDescent="0.25">
      <c r="A7955" s="116" t="s">
        <v>12731</v>
      </c>
      <c r="B7955" s="117" t="s">
        <v>12732</v>
      </c>
      <c r="C7955" t="s">
        <v>67</v>
      </c>
      <c r="D7955" t="s">
        <v>67</v>
      </c>
      <c r="E7955" t="s">
        <v>67</v>
      </c>
      <c r="F7955" t="s">
        <v>27987</v>
      </c>
      <c r="G7955" s="117">
        <v>5.79</v>
      </c>
    </row>
    <row r="7956" spans="1:7" x14ac:dyDescent="0.25">
      <c r="A7956" s="116" t="s">
        <v>12733</v>
      </c>
      <c r="B7956" s="117" t="s">
        <v>3585</v>
      </c>
      <c r="C7956" t="s">
        <v>67</v>
      </c>
      <c r="D7956" t="s">
        <v>67</v>
      </c>
      <c r="E7956" t="s">
        <v>67</v>
      </c>
      <c r="F7956" t="s">
        <v>27987</v>
      </c>
      <c r="G7956" s="117">
        <v>25.35</v>
      </c>
    </row>
    <row r="7957" spans="1:7" x14ac:dyDescent="0.25">
      <c r="A7957" s="116" t="s">
        <v>12734</v>
      </c>
      <c r="B7957" s="117" t="s">
        <v>12735</v>
      </c>
      <c r="C7957" t="s">
        <v>67</v>
      </c>
      <c r="D7957" t="s">
        <v>67</v>
      </c>
      <c r="E7957" t="s">
        <v>67</v>
      </c>
      <c r="F7957" t="s">
        <v>49</v>
      </c>
      <c r="G7957" s="117">
        <v>0.8</v>
      </c>
    </row>
    <row r="7958" spans="1:7" x14ac:dyDescent="0.25">
      <c r="A7958" s="116" t="s">
        <v>30201</v>
      </c>
      <c r="B7958" s="117" t="s">
        <v>30447</v>
      </c>
      <c r="C7958" t="s">
        <v>67</v>
      </c>
      <c r="D7958" t="s">
        <v>67</v>
      </c>
      <c r="E7958" t="s">
        <v>67</v>
      </c>
      <c r="F7958" t="s">
        <v>27987</v>
      </c>
      <c r="G7958" s="117">
        <v>2</v>
      </c>
    </row>
    <row r="7959" spans="1:7" x14ac:dyDescent="0.25">
      <c r="A7959" s="116" t="s">
        <v>12736</v>
      </c>
      <c r="B7959" s="117" t="s">
        <v>12737</v>
      </c>
      <c r="C7959" t="s">
        <v>67</v>
      </c>
      <c r="D7959" t="s">
        <v>67</v>
      </c>
      <c r="E7959" t="s">
        <v>67</v>
      </c>
      <c r="F7959" t="s">
        <v>49</v>
      </c>
      <c r="G7959" s="117">
        <v>1.69</v>
      </c>
    </row>
    <row r="7960" spans="1:7" x14ac:dyDescent="0.25">
      <c r="A7960" s="116" t="s">
        <v>12738</v>
      </c>
      <c r="B7960" s="117" t="s">
        <v>12739</v>
      </c>
      <c r="C7960" t="s">
        <v>67</v>
      </c>
      <c r="D7960" t="s">
        <v>67</v>
      </c>
      <c r="E7960" t="s">
        <v>67</v>
      </c>
      <c r="F7960" t="s">
        <v>27987</v>
      </c>
      <c r="G7960" s="117">
        <v>3.12</v>
      </c>
    </row>
    <row r="7961" spans="1:7" x14ac:dyDescent="0.25">
      <c r="A7961" s="116" t="s">
        <v>12740</v>
      </c>
      <c r="B7961" s="117" t="s">
        <v>12741</v>
      </c>
      <c r="C7961" t="s">
        <v>67</v>
      </c>
      <c r="D7961" t="s">
        <v>67</v>
      </c>
      <c r="E7961" t="s">
        <v>67</v>
      </c>
      <c r="F7961" t="s">
        <v>49</v>
      </c>
      <c r="G7961" s="117">
        <v>2.23</v>
      </c>
    </row>
    <row r="7962" spans="1:7" x14ac:dyDescent="0.25">
      <c r="A7962" s="116" t="s">
        <v>12742</v>
      </c>
      <c r="B7962" s="117" t="s">
        <v>12743</v>
      </c>
      <c r="C7962" t="s">
        <v>67</v>
      </c>
      <c r="D7962" t="s">
        <v>67</v>
      </c>
      <c r="E7962" t="s">
        <v>67</v>
      </c>
      <c r="F7962" t="s">
        <v>49</v>
      </c>
      <c r="G7962" s="117">
        <v>1.33</v>
      </c>
    </row>
    <row r="7963" spans="1:7" x14ac:dyDescent="0.25">
      <c r="A7963" s="116" t="s">
        <v>12744</v>
      </c>
      <c r="B7963" s="117" t="s">
        <v>12745</v>
      </c>
      <c r="C7963" t="s">
        <v>67</v>
      </c>
      <c r="D7963" t="s">
        <v>67</v>
      </c>
      <c r="E7963" t="s">
        <v>67</v>
      </c>
      <c r="F7963" t="s">
        <v>49</v>
      </c>
      <c r="G7963" s="117">
        <v>1.01</v>
      </c>
    </row>
    <row r="7964" spans="1:7" x14ac:dyDescent="0.25">
      <c r="A7964" s="116" t="s">
        <v>12746</v>
      </c>
      <c r="B7964" s="117" t="s">
        <v>12747</v>
      </c>
      <c r="C7964" t="s">
        <v>67</v>
      </c>
      <c r="D7964" t="s">
        <v>67</v>
      </c>
      <c r="E7964" t="s">
        <v>67</v>
      </c>
      <c r="F7964" t="s">
        <v>27987</v>
      </c>
      <c r="G7964" s="117">
        <v>2.58</v>
      </c>
    </row>
    <row r="7965" spans="1:7" x14ac:dyDescent="0.25">
      <c r="A7965" s="116" t="s">
        <v>12748</v>
      </c>
      <c r="B7965" s="117" t="s">
        <v>2917</v>
      </c>
      <c r="C7965" t="s">
        <v>67</v>
      </c>
      <c r="D7965" t="s">
        <v>67</v>
      </c>
      <c r="E7965" t="s">
        <v>67</v>
      </c>
      <c r="F7965" t="s">
        <v>51</v>
      </c>
      <c r="G7965" s="117">
        <v>9.35</v>
      </c>
    </row>
    <row r="7966" spans="1:7" x14ac:dyDescent="0.25">
      <c r="A7966" s="116" t="s">
        <v>12749</v>
      </c>
      <c r="B7966" s="117" t="s">
        <v>1355</v>
      </c>
      <c r="C7966" t="s">
        <v>67</v>
      </c>
      <c r="D7966" t="s">
        <v>67</v>
      </c>
      <c r="E7966" t="s">
        <v>67</v>
      </c>
      <c r="F7966" t="s">
        <v>27987</v>
      </c>
      <c r="G7966" s="117">
        <v>3.12</v>
      </c>
    </row>
    <row r="7967" spans="1:7" x14ac:dyDescent="0.25">
      <c r="A7967" s="116" t="s">
        <v>12750</v>
      </c>
      <c r="B7967" s="117" t="s">
        <v>12751</v>
      </c>
      <c r="C7967" t="s">
        <v>67</v>
      </c>
      <c r="D7967" t="s">
        <v>67</v>
      </c>
      <c r="E7967" t="s">
        <v>67</v>
      </c>
      <c r="F7967" t="s">
        <v>27987</v>
      </c>
      <c r="G7967" s="117">
        <v>3.12</v>
      </c>
    </row>
    <row r="7968" spans="1:7" x14ac:dyDescent="0.25">
      <c r="A7968" s="116" t="s">
        <v>12752</v>
      </c>
      <c r="B7968" s="117" t="s">
        <v>12753</v>
      </c>
      <c r="C7968" t="s">
        <v>67</v>
      </c>
      <c r="D7968" t="s">
        <v>67</v>
      </c>
      <c r="E7968" t="s">
        <v>67</v>
      </c>
      <c r="F7968" t="s">
        <v>27987</v>
      </c>
      <c r="G7968" s="117">
        <v>4.3600000000000003</v>
      </c>
    </row>
    <row r="7969" spans="1:7" x14ac:dyDescent="0.25">
      <c r="A7969" s="116" t="s">
        <v>12754</v>
      </c>
      <c r="B7969" s="117" t="s">
        <v>12755</v>
      </c>
      <c r="C7969" t="s">
        <v>67</v>
      </c>
      <c r="D7969" t="s">
        <v>67</v>
      </c>
      <c r="E7969" t="s">
        <v>67</v>
      </c>
      <c r="F7969" t="s">
        <v>27987</v>
      </c>
      <c r="G7969" s="117">
        <v>7.56</v>
      </c>
    </row>
    <row r="7970" spans="1:7" x14ac:dyDescent="0.25">
      <c r="A7970" s="116" t="s">
        <v>12756</v>
      </c>
      <c r="B7970" s="117" t="s">
        <v>12757</v>
      </c>
      <c r="C7970" t="s">
        <v>67</v>
      </c>
      <c r="D7970" t="s">
        <v>67</v>
      </c>
      <c r="E7970" t="s">
        <v>67</v>
      </c>
      <c r="F7970" t="s">
        <v>27987</v>
      </c>
      <c r="G7970" s="117">
        <v>2.23</v>
      </c>
    </row>
    <row r="7971" spans="1:7" x14ac:dyDescent="0.25">
      <c r="A7971" s="116" t="s">
        <v>12758</v>
      </c>
      <c r="B7971" s="117" t="s">
        <v>12759</v>
      </c>
      <c r="C7971" t="s">
        <v>67</v>
      </c>
      <c r="D7971" t="s">
        <v>67</v>
      </c>
      <c r="E7971" t="s">
        <v>67</v>
      </c>
      <c r="F7971" t="s">
        <v>27987</v>
      </c>
      <c r="G7971" s="117">
        <v>1.69</v>
      </c>
    </row>
    <row r="7972" spans="1:7" x14ac:dyDescent="0.25">
      <c r="A7972" s="116" t="s">
        <v>12760</v>
      </c>
      <c r="B7972" s="117" t="s">
        <v>12761</v>
      </c>
      <c r="C7972" t="s">
        <v>67</v>
      </c>
      <c r="D7972" t="s">
        <v>67</v>
      </c>
      <c r="E7972" t="s">
        <v>67</v>
      </c>
      <c r="F7972" t="s">
        <v>45</v>
      </c>
      <c r="G7972" s="117">
        <v>54.19</v>
      </c>
    </row>
    <row r="7973" spans="1:7" x14ac:dyDescent="0.25">
      <c r="A7973" s="116" t="s">
        <v>12762</v>
      </c>
      <c r="B7973" s="117" t="s">
        <v>12763</v>
      </c>
      <c r="C7973" t="s">
        <v>67</v>
      </c>
      <c r="D7973" t="s">
        <v>67</v>
      </c>
      <c r="E7973" t="s">
        <v>67</v>
      </c>
      <c r="F7973" t="s">
        <v>45</v>
      </c>
      <c r="G7973" s="117">
        <v>104.92</v>
      </c>
    </row>
    <row r="7974" spans="1:7" x14ac:dyDescent="0.25">
      <c r="A7974" s="116" t="s">
        <v>12764</v>
      </c>
      <c r="B7974" s="117" t="s">
        <v>12765</v>
      </c>
      <c r="C7974" t="s">
        <v>67</v>
      </c>
      <c r="D7974" t="s">
        <v>67</v>
      </c>
      <c r="E7974" t="s">
        <v>67</v>
      </c>
      <c r="F7974" t="s">
        <v>27987</v>
      </c>
      <c r="G7974" s="117">
        <v>8.4499999999999993</v>
      </c>
    </row>
    <row r="7975" spans="1:7" x14ac:dyDescent="0.25">
      <c r="A7975" s="116" t="s">
        <v>12766</v>
      </c>
      <c r="B7975" s="117" t="s">
        <v>12767</v>
      </c>
      <c r="C7975" t="s">
        <v>67</v>
      </c>
      <c r="D7975" t="s">
        <v>67</v>
      </c>
      <c r="E7975" t="s">
        <v>67</v>
      </c>
      <c r="F7975" t="s">
        <v>27987</v>
      </c>
      <c r="G7975" s="117">
        <v>17.7</v>
      </c>
    </row>
    <row r="7976" spans="1:7" x14ac:dyDescent="0.25">
      <c r="A7976" s="116" t="s">
        <v>12768</v>
      </c>
      <c r="B7976" s="117" t="s">
        <v>12769</v>
      </c>
      <c r="C7976" t="s">
        <v>67</v>
      </c>
      <c r="D7976" t="s">
        <v>67</v>
      </c>
      <c r="E7976" t="s">
        <v>67</v>
      </c>
      <c r="F7976" t="s">
        <v>27987</v>
      </c>
      <c r="G7976" s="117">
        <v>28.02</v>
      </c>
    </row>
    <row r="7977" spans="1:7" x14ac:dyDescent="0.25">
      <c r="A7977" s="116" t="s">
        <v>12770</v>
      </c>
      <c r="B7977" s="117" t="s">
        <v>12771</v>
      </c>
      <c r="C7977" t="s">
        <v>67</v>
      </c>
      <c r="D7977" t="s">
        <v>67</v>
      </c>
      <c r="E7977" t="s">
        <v>67</v>
      </c>
      <c r="F7977" t="s">
        <v>45</v>
      </c>
      <c r="G7977" s="117">
        <v>16.82</v>
      </c>
    </row>
    <row r="7978" spans="1:7" x14ac:dyDescent="0.25">
      <c r="A7978" s="116" t="s">
        <v>12772</v>
      </c>
      <c r="B7978" s="117" t="s">
        <v>12773</v>
      </c>
      <c r="C7978" t="s">
        <v>67</v>
      </c>
      <c r="D7978" t="s">
        <v>67</v>
      </c>
      <c r="E7978" t="s">
        <v>67</v>
      </c>
      <c r="F7978" t="s">
        <v>49</v>
      </c>
      <c r="G7978" s="117">
        <v>3.48</v>
      </c>
    </row>
    <row r="7979" spans="1:7" x14ac:dyDescent="0.25">
      <c r="A7979" s="116" t="s">
        <v>12774</v>
      </c>
      <c r="B7979" s="117" t="s">
        <v>12775</v>
      </c>
      <c r="C7979" t="s">
        <v>67</v>
      </c>
      <c r="D7979" t="s">
        <v>67</v>
      </c>
      <c r="E7979" t="s">
        <v>67</v>
      </c>
      <c r="F7979" t="s">
        <v>27987</v>
      </c>
      <c r="G7979" s="117">
        <v>2.23</v>
      </c>
    </row>
    <row r="7980" spans="1:7" x14ac:dyDescent="0.25">
      <c r="A7980" s="116" t="s">
        <v>12776</v>
      </c>
      <c r="B7980" s="117" t="s">
        <v>12777</v>
      </c>
      <c r="C7980" t="s">
        <v>67</v>
      </c>
      <c r="D7980" t="s">
        <v>67</v>
      </c>
      <c r="E7980" t="s">
        <v>67</v>
      </c>
      <c r="F7980" t="s">
        <v>49</v>
      </c>
      <c r="G7980" s="117">
        <v>12.9</v>
      </c>
    </row>
    <row r="7981" spans="1:7" x14ac:dyDescent="0.25">
      <c r="A7981" s="116" t="s">
        <v>12778</v>
      </c>
      <c r="B7981" s="117" t="s">
        <v>13136</v>
      </c>
      <c r="C7981" t="s">
        <v>67</v>
      </c>
      <c r="D7981" t="s">
        <v>67</v>
      </c>
      <c r="E7981" t="s">
        <v>67</v>
      </c>
      <c r="F7981" t="s">
        <v>27987</v>
      </c>
      <c r="G7981" s="117">
        <v>10.24</v>
      </c>
    </row>
    <row r="7982" spans="1:7" x14ac:dyDescent="0.25">
      <c r="A7982" s="116" t="s">
        <v>12779</v>
      </c>
      <c r="B7982" s="117" t="s">
        <v>12780</v>
      </c>
      <c r="C7982" t="s">
        <v>67</v>
      </c>
      <c r="D7982" t="s">
        <v>67</v>
      </c>
      <c r="E7982" t="s">
        <v>67</v>
      </c>
      <c r="F7982" t="s">
        <v>45</v>
      </c>
      <c r="G7982" s="117">
        <v>3.56</v>
      </c>
    </row>
    <row r="7983" spans="1:7" x14ac:dyDescent="0.25">
      <c r="A7983" s="116" t="s">
        <v>12781</v>
      </c>
      <c r="B7983" s="117" t="s">
        <v>12782</v>
      </c>
      <c r="C7983" t="s">
        <v>67</v>
      </c>
      <c r="D7983" t="s">
        <v>67</v>
      </c>
      <c r="E7983" t="s">
        <v>67</v>
      </c>
      <c r="F7983" t="s">
        <v>27987</v>
      </c>
      <c r="G7983" s="117">
        <v>7.56</v>
      </c>
    </row>
    <row r="7984" spans="1:7" x14ac:dyDescent="0.25">
      <c r="A7984" s="116" t="s">
        <v>12783</v>
      </c>
      <c r="B7984" s="117" t="s">
        <v>12634</v>
      </c>
      <c r="C7984" t="s">
        <v>67</v>
      </c>
      <c r="D7984" t="s">
        <v>67</v>
      </c>
      <c r="E7984" t="s">
        <v>67</v>
      </c>
      <c r="F7984" t="s">
        <v>49</v>
      </c>
      <c r="G7984" s="117">
        <v>3.12</v>
      </c>
    </row>
    <row r="7985" spans="1:7" x14ac:dyDescent="0.25">
      <c r="A7985" s="116" t="s">
        <v>12784</v>
      </c>
      <c r="B7985" s="117" t="s">
        <v>13053</v>
      </c>
      <c r="C7985" t="s">
        <v>67</v>
      </c>
      <c r="D7985" t="s">
        <v>67</v>
      </c>
      <c r="E7985" t="s">
        <v>67</v>
      </c>
      <c r="F7985" t="s">
        <v>49</v>
      </c>
      <c r="G7985" s="117">
        <v>3.39</v>
      </c>
    </row>
    <row r="7986" spans="1:7" x14ac:dyDescent="0.25">
      <c r="A7986" s="116" t="s">
        <v>12785</v>
      </c>
      <c r="B7986" s="117" t="s">
        <v>12786</v>
      </c>
      <c r="C7986" t="s">
        <v>67</v>
      </c>
      <c r="D7986" t="s">
        <v>67</v>
      </c>
      <c r="E7986" t="s">
        <v>67</v>
      </c>
      <c r="F7986" t="s">
        <v>27987</v>
      </c>
      <c r="G7986" s="117">
        <v>1.69</v>
      </c>
    </row>
    <row r="7987" spans="1:7" x14ac:dyDescent="0.25">
      <c r="A7987" s="116" t="s">
        <v>12787</v>
      </c>
      <c r="B7987" s="117" t="s">
        <v>12788</v>
      </c>
      <c r="C7987" t="s">
        <v>67</v>
      </c>
      <c r="D7987" t="s">
        <v>67</v>
      </c>
      <c r="E7987" t="s">
        <v>67</v>
      </c>
      <c r="F7987" t="s">
        <v>45</v>
      </c>
      <c r="G7987" s="117">
        <v>60.42</v>
      </c>
    </row>
    <row r="7988" spans="1:7" x14ac:dyDescent="0.25">
      <c r="A7988" s="116" t="s">
        <v>12789</v>
      </c>
      <c r="B7988" s="117" t="s">
        <v>12790</v>
      </c>
      <c r="C7988" t="s">
        <v>67</v>
      </c>
      <c r="D7988" t="s">
        <v>67</v>
      </c>
      <c r="E7988" t="s">
        <v>67</v>
      </c>
      <c r="F7988" t="s">
        <v>49</v>
      </c>
      <c r="G7988" s="117">
        <v>3.48</v>
      </c>
    </row>
    <row r="7989" spans="1:7" x14ac:dyDescent="0.25">
      <c r="A7989" s="116" t="s">
        <v>12791</v>
      </c>
      <c r="B7989" s="117" t="s">
        <v>12792</v>
      </c>
      <c r="C7989" t="s">
        <v>67</v>
      </c>
      <c r="D7989" t="s">
        <v>67</v>
      </c>
      <c r="E7989" t="s">
        <v>67</v>
      </c>
      <c r="F7989" t="s">
        <v>45</v>
      </c>
      <c r="G7989" s="117">
        <v>2.23</v>
      </c>
    </row>
    <row r="7990" spans="1:7" x14ac:dyDescent="0.25">
      <c r="A7990" s="116" t="s">
        <v>28987</v>
      </c>
      <c r="B7990" s="117" t="s">
        <v>28988</v>
      </c>
      <c r="C7990" t="s">
        <v>67</v>
      </c>
      <c r="D7990" t="s">
        <v>67</v>
      </c>
      <c r="E7990" t="s">
        <v>67</v>
      </c>
      <c r="F7990" t="s">
        <v>45</v>
      </c>
      <c r="G7990" s="117">
        <v>3.2</v>
      </c>
    </row>
    <row r="7991" spans="1:7" x14ac:dyDescent="0.25">
      <c r="A7991" s="116" t="s">
        <v>12793</v>
      </c>
      <c r="B7991" s="117" t="s">
        <v>12794</v>
      </c>
      <c r="C7991" t="s">
        <v>67</v>
      </c>
      <c r="D7991" t="s">
        <v>67</v>
      </c>
      <c r="E7991" t="s">
        <v>67</v>
      </c>
      <c r="F7991" t="s">
        <v>27987</v>
      </c>
      <c r="G7991" s="117">
        <v>3.56</v>
      </c>
    </row>
    <row r="7992" spans="1:7" x14ac:dyDescent="0.25">
      <c r="A7992" s="116" t="s">
        <v>12795</v>
      </c>
      <c r="B7992" s="117" t="s">
        <v>12796</v>
      </c>
      <c r="C7992" t="s">
        <v>67</v>
      </c>
      <c r="D7992" t="s">
        <v>67</v>
      </c>
      <c r="E7992" t="s">
        <v>67</v>
      </c>
      <c r="F7992" t="s">
        <v>27987</v>
      </c>
      <c r="G7992" s="117">
        <v>0.8</v>
      </c>
    </row>
    <row r="7993" spans="1:7" x14ac:dyDescent="0.25">
      <c r="A7993" s="116" t="s">
        <v>12797</v>
      </c>
      <c r="B7993" s="117" t="s">
        <v>12798</v>
      </c>
      <c r="C7993" t="s">
        <v>67</v>
      </c>
      <c r="D7993" t="s">
        <v>67</v>
      </c>
      <c r="E7993" t="s">
        <v>67</v>
      </c>
      <c r="F7993" t="s">
        <v>27987</v>
      </c>
      <c r="G7993" s="117">
        <v>6.14</v>
      </c>
    </row>
    <row r="7994" spans="1:7" x14ac:dyDescent="0.25">
      <c r="A7994" s="116" t="s">
        <v>12799</v>
      </c>
      <c r="B7994" s="117" t="s">
        <v>28989</v>
      </c>
      <c r="C7994" t="s">
        <v>67</v>
      </c>
      <c r="D7994" t="s">
        <v>67</v>
      </c>
      <c r="E7994" t="s">
        <v>67</v>
      </c>
      <c r="F7994" t="s">
        <v>27987</v>
      </c>
      <c r="G7994" s="117">
        <v>1.61</v>
      </c>
    </row>
    <row r="7995" spans="1:7" x14ac:dyDescent="0.25">
      <c r="A7995" s="116" t="s">
        <v>12800</v>
      </c>
      <c r="B7995" s="117" t="s">
        <v>12801</v>
      </c>
      <c r="C7995" t="s">
        <v>67</v>
      </c>
      <c r="D7995" t="s">
        <v>67</v>
      </c>
      <c r="E7995" t="s">
        <v>67</v>
      </c>
      <c r="F7995" t="s">
        <v>27987</v>
      </c>
      <c r="G7995" s="117">
        <v>8.4499999999999993</v>
      </c>
    </row>
    <row r="7996" spans="1:7" x14ac:dyDescent="0.25">
      <c r="A7996" s="116" t="s">
        <v>12802</v>
      </c>
      <c r="B7996" s="117" t="s">
        <v>12803</v>
      </c>
      <c r="C7996" t="s">
        <v>67</v>
      </c>
      <c r="D7996" t="s">
        <v>67</v>
      </c>
      <c r="E7996" t="s">
        <v>67</v>
      </c>
      <c r="F7996" t="s">
        <v>27987</v>
      </c>
      <c r="G7996" s="117">
        <v>15.93</v>
      </c>
    </row>
    <row r="7997" spans="1:7" x14ac:dyDescent="0.25">
      <c r="A7997" s="116" t="s">
        <v>12804</v>
      </c>
      <c r="B7997" s="117" t="s">
        <v>12805</v>
      </c>
      <c r="C7997" t="s">
        <v>67</v>
      </c>
      <c r="D7997" t="s">
        <v>67</v>
      </c>
      <c r="E7997" t="s">
        <v>67</v>
      </c>
      <c r="F7997" t="s">
        <v>27987</v>
      </c>
      <c r="G7997" s="117">
        <v>12.37</v>
      </c>
    </row>
    <row r="7998" spans="1:7" x14ac:dyDescent="0.25">
      <c r="A7998" s="116" t="s">
        <v>12806</v>
      </c>
      <c r="B7998" s="117" t="s">
        <v>12807</v>
      </c>
      <c r="C7998" t="s">
        <v>67</v>
      </c>
      <c r="D7998" t="s">
        <v>67</v>
      </c>
      <c r="E7998" t="s">
        <v>67</v>
      </c>
      <c r="F7998" t="s">
        <v>49</v>
      </c>
      <c r="G7998" s="117">
        <v>13.98</v>
      </c>
    </row>
    <row r="7999" spans="1:7" x14ac:dyDescent="0.25">
      <c r="A7999" s="116" t="s">
        <v>12808</v>
      </c>
      <c r="B7999" s="117" t="s">
        <v>12809</v>
      </c>
      <c r="C7999" t="s">
        <v>67</v>
      </c>
      <c r="D7999" t="s">
        <v>67</v>
      </c>
      <c r="E7999" t="s">
        <v>67</v>
      </c>
      <c r="F7999" t="s">
        <v>49</v>
      </c>
      <c r="G7999" s="117">
        <v>7.12</v>
      </c>
    </row>
    <row r="8000" spans="1:7" x14ac:dyDescent="0.25">
      <c r="A8000" s="116" t="s">
        <v>12810</v>
      </c>
      <c r="B8000" s="117" t="s">
        <v>4848</v>
      </c>
      <c r="C8000" t="s">
        <v>67</v>
      </c>
      <c r="D8000" t="s">
        <v>67</v>
      </c>
      <c r="E8000" t="s">
        <v>67</v>
      </c>
      <c r="F8000" t="s">
        <v>27987</v>
      </c>
      <c r="G8000" s="117">
        <v>1.69</v>
      </c>
    </row>
    <row r="8001" spans="1:7" x14ac:dyDescent="0.25">
      <c r="A8001" s="116" t="s">
        <v>12811</v>
      </c>
      <c r="B8001" s="117" t="s">
        <v>12812</v>
      </c>
      <c r="C8001" t="s">
        <v>67</v>
      </c>
      <c r="D8001" t="s">
        <v>67</v>
      </c>
      <c r="E8001" t="s">
        <v>67</v>
      </c>
      <c r="F8001" t="s">
        <v>27987</v>
      </c>
      <c r="G8001" s="117">
        <v>1.77</v>
      </c>
    </row>
    <row r="8002" spans="1:7" x14ac:dyDescent="0.25">
      <c r="A8002" s="116" t="s">
        <v>12813</v>
      </c>
      <c r="B8002" s="117" t="s">
        <v>12814</v>
      </c>
      <c r="C8002" t="s">
        <v>67</v>
      </c>
      <c r="D8002" t="s">
        <v>67</v>
      </c>
      <c r="E8002" t="s">
        <v>67</v>
      </c>
      <c r="F8002" t="s">
        <v>27987</v>
      </c>
      <c r="G8002" s="117">
        <v>1.33</v>
      </c>
    </row>
    <row r="8003" spans="1:7" x14ac:dyDescent="0.25">
      <c r="A8003" s="116" t="s">
        <v>12815</v>
      </c>
      <c r="B8003" s="117" t="s">
        <v>12816</v>
      </c>
      <c r="C8003" t="s">
        <v>67</v>
      </c>
      <c r="D8003" t="s">
        <v>67</v>
      </c>
      <c r="E8003" t="s">
        <v>67</v>
      </c>
      <c r="F8003" t="s">
        <v>27987</v>
      </c>
      <c r="G8003" s="117">
        <v>6.68</v>
      </c>
    </row>
    <row r="8004" spans="1:7" x14ac:dyDescent="0.25">
      <c r="A8004" s="116" t="s">
        <v>12817</v>
      </c>
      <c r="B8004" s="117" t="s">
        <v>12818</v>
      </c>
      <c r="C8004" t="s">
        <v>67</v>
      </c>
      <c r="D8004" t="s">
        <v>67</v>
      </c>
      <c r="E8004" t="s">
        <v>67</v>
      </c>
      <c r="F8004" t="s">
        <v>45</v>
      </c>
      <c r="G8004" s="117">
        <v>4.8899999999999997</v>
      </c>
    </row>
    <row r="8005" spans="1:7" x14ac:dyDescent="0.25">
      <c r="A8005" s="116" t="s">
        <v>12819</v>
      </c>
      <c r="B8005" s="117" t="s">
        <v>12820</v>
      </c>
      <c r="C8005" t="s">
        <v>67</v>
      </c>
      <c r="D8005" t="s">
        <v>67</v>
      </c>
      <c r="E8005" t="s">
        <v>67</v>
      </c>
      <c r="F8005" t="s">
        <v>27990</v>
      </c>
      <c r="G8005" s="117">
        <v>1.33</v>
      </c>
    </row>
    <row r="8006" spans="1:7" x14ac:dyDescent="0.25">
      <c r="A8006" s="116" t="s">
        <v>12821</v>
      </c>
      <c r="B8006" s="117" t="s">
        <v>12820</v>
      </c>
      <c r="C8006" t="s">
        <v>67</v>
      </c>
      <c r="D8006" t="s">
        <v>67</v>
      </c>
      <c r="E8006" t="s">
        <v>67</v>
      </c>
      <c r="F8006" t="s">
        <v>27987</v>
      </c>
      <c r="G8006" s="117">
        <v>1.33</v>
      </c>
    </row>
    <row r="8007" spans="1:7" x14ac:dyDescent="0.25">
      <c r="A8007" s="116" t="s">
        <v>12822</v>
      </c>
      <c r="B8007" s="117" t="s">
        <v>12823</v>
      </c>
      <c r="C8007" t="s">
        <v>67</v>
      </c>
      <c r="D8007" t="s">
        <v>67</v>
      </c>
      <c r="E8007" t="s">
        <v>67</v>
      </c>
      <c r="F8007" t="s">
        <v>27987</v>
      </c>
      <c r="G8007" s="117">
        <v>7.12</v>
      </c>
    </row>
    <row r="8008" spans="1:7" x14ac:dyDescent="0.25">
      <c r="A8008" s="116" t="s">
        <v>12824</v>
      </c>
      <c r="B8008" s="117" t="s">
        <v>12825</v>
      </c>
      <c r="C8008" t="s">
        <v>67</v>
      </c>
      <c r="D8008" t="s">
        <v>67</v>
      </c>
      <c r="E8008" t="s">
        <v>67</v>
      </c>
      <c r="F8008" t="s">
        <v>27987</v>
      </c>
      <c r="G8008" s="117">
        <v>3.47</v>
      </c>
    </row>
    <row r="8009" spans="1:7" x14ac:dyDescent="0.25">
      <c r="A8009" s="116" t="s">
        <v>12826</v>
      </c>
      <c r="B8009" s="117" t="s">
        <v>12827</v>
      </c>
      <c r="C8009" t="s">
        <v>67</v>
      </c>
      <c r="D8009" t="s">
        <v>67</v>
      </c>
      <c r="E8009" t="s">
        <v>67</v>
      </c>
      <c r="F8009" t="s">
        <v>49</v>
      </c>
      <c r="G8009" s="117">
        <v>3.56</v>
      </c>
    </row>
    <row r="8010" spans="1:7" x14ac:dyDescent="0.25">
      <c r="A8010" s="116" t="s">
        <v>12828</v>
      </c>
      <c r="B8010" s="117" t="s">
        <v>12829</v>
      </c>
      <c r="C8010" t="s">
        <v>67</v>
      </c>
      <c r="D8010" t="s">
        <v>67</v>
      </c>
      <c r="E8010" t="s">
        <v>67</v>
      </c>
      <c r="F8010" t="s">
        <v>49</v>
      </c>
      <c r="G8010" s="117">
        <v>1.69</v>
      </c>
    </row>
    <row r="8011" spans="1:7" x14ac:dyDescent="0.25">
      <c r="A8011" s="116" t="s">
        <v>12830</v>
      </c>
      <c r="B8011" s="117" t="s">
        <v>12541</v>
      </c>
      <c r="C8011" t="s">
        <v>67</v>
      </c>
      <c r="D8011" t="s">
        <v>67</v>
      </c>
      <c r="E8011" t="s">
        <v>67</v>
      </c>
      <c r="F8011" t="s">
        <v>45</v>
      </c>
      <c r="G8011" s="117">
        <v>4</v>
      </c>
    </row>
    <row r="8012" spans="1:7" x14ac:dyDescent="0.25">
      <c r="A8012" s="116" t="s">
        <v>12831</v>
      </c>
      <c r="B8012" s="117" t="s">
        <v>12794</v>
      </c>
      <c r="C8012" t="s">
        <v>67</v>
      </c>
      <c r="D8012" t="s">
        <v>67</v>
      </c>
      <c r="E8012" t="s">
        <v>67</v>
      </c>
      <c r="F8012" t="s">
        <v>27987</v>
      </c>
      <c r="G8012" s="117">
        <v>0.8</v>
      </c>
    </row>
    <row r="8013" spans="1:7" x14ac:dyDescent="0.25">
      <c r="A8013" s="116" t="s">
        <v>12832</v>
      </c>
      <c r="B8013" s="117" t="s">
        <v>12634</v>
      </c>
      <c r="C8013" t="s">
        <v>67</v>
      </c>
      <c r="D8013" t="s">
        <v>67</v>
      </c>
      <c r="E8013" t="s">
        <v>67</v>
      </c>
      <c r="F8013" t="s">
        <v>49</v>
      </c>
      <c r="G8013" s="117">
        <v>0.8</v>
      </c>
    </row>
    <row r="8014" spans="1:7" x14ac:dyDescent="0.25">
      <c r="A8014" s="116" t="s">
        <v>12833</v>
      </c>
      <c r="B8014" s="117" t="s">
        <v>12834</v>
      </c>
      <c r="C8014" t="s">
        <v>67</v>
      </c>
      <c r="D8014" t="s">
        <v>67</v>
      </c>
      <c r="E8014" t="s">
        <v>67</v>
      </c>
      <c r="F8014" t="s">
        <v>45</v>
      </c>
      <c r="G8014" s="117">
        <v>4.8899999999999997</v>
      </c>
    </row>
    <row r="8015" spans="1:7" x14ac:dyDescent="0.25">
      <c r="A8015" s="116" t="s">
        <v>12835</v>
      </c>
      <c r="B8015" s="117" t="s">
        <v>12836</v>
      </c>
      <c r="C8015" t="s">
        <v>67</v>
      </c>
      <c r="D8015" t="s">
        <v>67</v>
      </c>
      <c r="E8015" t="s">
        <v>67</v>
      </c>
      <c r="F8015" t="s">
        <v>49</v>
      </c>
      <c r="G8015" s="117">
        <v>1.33</v>
      </c>
    </row>
    <row r="8016" spans="1:7" x14ac:dyDescent="0.25">
      <c r="A8016" s="116" t="s">
        <v>12837</v>
      </c>
      <c r="B8016" s="117" t="s">
        <v>12838</v>
      </c>
      <c r="C8016" t="s">
        <v>67</v>
      </c>
      <c r="D8016" t="s">
        <v>67</v>
      </c>
      <c r="E8016" t="s">
        <v>67</v>
      </c>
      <c r="F8016" t="s">
        <v>27987</v>
      </c>
      <c r="G8016" s="117">
        <v>11.48</v>
      </c>
    </row>
    <row r="8017" spans="1:7" x14ac:dyDescent="0.25">
      <c r="A8017" s="116" t="s">
        <v>12839</v>
      </c>
      <c r="B8017" s="117" t="s">
        <v>3585</v>
      </c>
      <c r="C8017" t="s">
        <v>67</v>
      </c>
      <c r="D8017" t="s">
        <v>67</v>
      </c>
      <c r="E8017" t="s">
        <v>67</v>
      </c>
      <c r="F8017" t="s">
        <v>27987</v>
      </c>
      <c r="G8017" s="117">
        <v>17.059999999999999</v>
      </c>
    </row>
    <row r="8018" spans="1:7" x14ac:dyDescent="0.25">
      <c r="A8018" s="116" t="s">
        <v>12840</v>
      </c>
      <c r="B8018" s="117" t="s">
        <v>12841</v>
      </c>
      <c r="C8018" t="s">
        <v>67</v>
      </c>
      <c r="D8018" t="s">
        <v>67</v>
      </c>
      <c r="E8018" t="s">
        <v>67</v>
      </c>
      <c r="F8018" t="s">
        <v>27987</v>
      </c>
      <c r="G8018" s="117">
        <v>1.69</v>
      </c>
    </row>
    <row r="8019" spans="1:7" x14ac:dyDescent="0.25">
      <c r="A8019" s="116" t="s">
        <v>12842</v>
      </c>
      <c r="B8019" s="117" t="s">
        <v>12843</v>
      </c>
      <c r="C8019" t="s">
        <v>67</v>
      </c>
      <c r="D8019" t="s">
        <v>67</v>
      </c>
      <c r="E8019" t="s">
        <v>67</v>
      </c>
      <c r="F8019" t="s">
        <v>27987</v>
      </c>
      <c r="G8019" s="117">
        <v>13.26</v>
      </c>
    </row>
    <row r="8020" spans="1:7" x14ac:dyDescent="0.25">
      <c r="A8020" s="116" t="s">
        <v>12844</v>
      </c>
      <c r="B8020" s="117" t="s">
        <v>12845</v>
      </c>
      <c r="C8020" t="s">
        <v>67</v>
      </c>
      <c r="D8020" t="s">
        <v>67</v>
      </c>
      <c r="E8020" t="s">
        <v>67</v>
      </c>
      <c r="F8020" t="s">
        <v>27987</v>
      </c>
      <c r="G8020" s="117">
        <v>4</v>
      </c>
    </row>
    <row r="8021" spans="1:7" x14ac:dyDescent="0.25">
      <c r="A8021" s="116" t="s">
        <v>12846</v>
      </c>
      <c r="B8021" s="117" t="s">
        <v>12847</v>
      </c>
      <c r="C8021" t="s">
        <v>67</v>
      </c>
      <c r="D8021" t="s">
        <v>67</v>
      </c>
      <c r="E8021" t="s">
        <v>67</v>
      </c>
      <c r="F8021" t="s">
        <v>49</v>
      </c>
      <c r="G8021" s="117">
        <v>1.69</v>
      </c>
    </row>
    <row r="8022" spans="1:7" x14ac:dyDescent="0.25">
      <c r="A8022" s="116" t="s">
        <v>12848</v>
      </c>
      <c r="B8022" s="117" t="s">
        <v>12849</v>
      </c>
      <c r="C8022" t="s">
        <v>67</v>
      </c>
      <c r="D8022" t="s">
        <v>67</v>
      </c>
      <c r="E8022" t="s">
        <v>67</v>
      </c>
      <c r="F8022" t="s">
        <v>45</v>
      </c>
      <c r="G8022" s="117">
        <v>4.8899999999999997</v>
      </c>
    </row>
    <row r="8023" spans="1:7" x14ac:dyDescent="0.25">
      <c r="A8023" s="116" t="s">
        <v>12850</v>
      </c>
      <c r="B8023" s="117" t="s">
        <v>12851</v>
      </c>
      <c r="C8023" t="s">
        <v>67</v>
      </c>
      <c r="D8023" t="s">
        <v>67</v>
      </c>
      <c r="E8023" t="s">
        <v>67</v>
      </c>
      <c r="F8023" t="s">
        <v>45</v>
      </c>
      <c r="G8023" s="117">
        <v>1.69</v>
      </c>
    </row>
    <row r="8024" spans="1:7" x14ac:dyDescent="0.25">
      <c r="A8024" s="116" t="s">
        <v>12852</v>
      </c>
      <c r="B8024" s="117" t="s">
        <v>12853</v>
      </c>
      <c r="C8024" t="s">
        <v>67</v>
      </c>
      <c r="D8024" t="s">
        <v>67</v>
      </c>
      <c r="E8024" t="s">
        <v>67</v>
      </c>
      <c r="F8024" t="s">
        <v>45</v>
      </c>
      <c r="G8024" s="117">
        <v>2.58</v>
      </c>
    </row>
    <row r="8025" spans="1:7" x14ac:dyDescent="0.25">
      <c r="A8025" s="116" t="s">
        <v>12854</v>
      </c>
      <c r="B8025" s="117" t="s">
        <v>12855</v>
      </c>
      <c r="C8025" t="s">
        <v>67</v>
      </c>
      <c r="D8025" t="s">
        <v>67</v>
      </c>
      <c r="E8025" t="s">
        <v>67</v>
      </c>
      <c r="F8025" t="s">
        <v>27987</v>
      </c>
      <c r="G8025" s="117">
        <v>12.01</v>
      </c>
    </row>
    <row r="8026" spans="1:7" x14ac:dyDescent="0.25">
      <c r="A8026" s="116" t="s">
        <v>12856</v>
      </c>
      <c r="B8026" s="117" t="s">
        <v>12857</v>
      </c>
      <c r="C8026" t="s">
        <v>67</v>
      </c>
      <c r="D8026" t="s">
        <v>67</v>
      </c>
      <c r="E8026" t="s">
        <v>67</v>
      </c>
      <c r="F8026" t="s">
        <v>27987</v>
      </c>
      <c r="G8026" s="117">
        <v>10.58</v>
      </c>
    </row>
    <row r="8027" spans="1:7" x14ac:dyDescent="0.25">
      <c r="A8027" s="116" t="s">
        <v>12858</v>
      </c>
      <c r="B8027" s="117" t="s">
        <v>12859</v>
      </c>
      <c r="C8027" t="s">
        <v>67</v>
      </c>
      <c r="D8027" t="s">
        <v>67</v>
      </c>
      <c r="E8027" t="s">
        <v>67</v>
      </c>
      <c r="F8027" t="s">
        <v>27987</v>
      </c>
      <c r="G8027" s="117">
        <v>3.48</v>
      </c>
    </row>
    <row r="8028" spans="1:7" x14ac:dyDescent="0.25">
      <c r="A8028" s="116" t="s">
        <v>12860</v>
      </c>
      <c r="B8028" s="117" t="s">
        <v>12861</v>
      </c>
      <c r="C8028" t="s">
        <v>67</v>
      </c>
      <c r="D8028" t="s">
        <v>67</v>
      </c>
      <c r="E8028" t="s">
        <v>67</v>
      </c>
      <c r="F8028" t="s">
        <v>27987</v>
      </c>
      <c r="G8028" s="117">
        <v>30.7</v>
      </c>
    </row>
    <row r="8029" spans="1:7" x14ac:dyDescent="0.25">
      <c r="A8029" s="116" t="s">
        <v>12862</v>
      </c>
      <c r="B8029" s="117" t="s">
        <v>12863</v>
      </c>
      <c r="C8029" t="s">
        <v>67</v>
      </c>
      <c r="D8029" t="s">
        <v>67</v>
      </c>
      <c r="E8029" t="s">
        <v>67</v>
      </c>
      <c r="F8029" t="s">
        <v>45</v>
      </c>
      <c r="G8029" s="117">
        <v>1.33</v>
      </c>
    </row>
    <row r="8030" spans="1:7" x14ac:dyDescent="0.25">
      <c r="A8030" s="116" t="s">
        <v>12864</v>
      </c>
      <c r="B8030" s="117" t="s">
        <v>12865</v>
      </c>
      <c r="C8030" t="s">
        <v>67</v>
      </c>
      <c r="D8030" t="s">
        <v>67</v>
      </c>
      <c r="E8030" t="s">
        <v>67</v>
      </c>
      <c r="F8030" t="s">
        <v>49</v>
      </c>
      <c r="G8030" s="117">
        <v>1.33</v>
      </c>
    </row>
    <row r="8031" spans="1:7" x14ac:dyDescent="0.25">
      <c r="A8031" s="116" t="s">
        <v>12866</v>
      </c>
      <c r="B8031" s="117" t="s">
        <v>12867</v>
      </c>
      <c r="C8031" t="s">
        <v>67</v>
      </c>
      <c r="D8031" t="s">
        <v>67</v>
      </c>
      <c r="E8031" t="s">
        <v>67</v>
      </c>
      <c r="F8031" t="s">
        <v>27987</v>
      </c>
      <c r="G8031" s="117">
        <v>6.68</v>
      </c>
    </row>
    <row r="8032" spans="1:7" x14ac:dyDescent="0.25">
      <c r="A8032" s="116" t="s">
        <v>12868</v>
      </c>
      <c r="B8032" s="117" t="s">
        <v>12869</v>
      </c>
      <c r="C8032" t="s">
        <v>67</v>
      </c>
      <c r="D8032" t="s">
        <v>67</v>
      </c>
      <c r="E8032" t="s">
        <v>67</v>
      </c>
      <c r="F8032" t="s">
        <v>27987</v>
      </c>
      <c r="G8032" s="117">
        <v>18.239999999999998</v>
      </c>
    </row>
    <row r="8033" spans="1:7" x14ac:dyDescent="0.25">
      <c r="A8033" s="116" t="s">
        <v>12870</v>
      </c>
      <c r="B8033" s="117" t="s">
        <v>12871</v>
      </c>
      <c r="C8033" t="s">
        <v>67</v>
      </c>
      <c r="D8033" t="s">
        <v>67</v>
      </c>
      <c r="E8033" t="s">
        <v>67</v>
      </c>
      <c r="F8033" t="s">
        <v>27987</v>
      </c>
      <c r="G8033" s="117">
        <v>4.3600000000000003</v>
      </c>
    </row>
    <row r="8034" spans="1:7" x14ac:dyDescent="0.25">
      <c r="A8034" s="116" t="s">
        <v>12872</v>
      </c>
      <c r="B8034" s="117" t="s">
        <v>12873</v>
      </c>
      <c r="C8034" t="s">
        <v>67</v>
      </c>
      <c r="D8034" t="s">
        <v>67</v>
      </c>
      <c r="E8034" t="s">
        <v>67</v>
      </c>
      <c r="F8034" t="s">
        <v>49</v>
      </c>
      <c r="G8034" s="117">
        <v>2.58</v>
      </c>
    </row>
    <row r="8035" spans="1:7" x14ac:dyDescent="0.25">
      <c r="A8035" s="116" t="s">
        <v>12874</v>
      </c>
      <c r="B8035" s="117" t="s">
        <v>12875</v>
      </c>
      <c r="C8035" t="s">
        <v>67</v>
      </c>
      <c r="D8035" t="s">
        <v>67</v>
      </c>
      <c r="E8035" t="s">
        <v>67</v>
      </c>
      <c r="F8035" t="s">
        <v>27987</v>
      </c>
      <c r="G8035" s="117">
        <v>17.36</v>
      </c>
    </row>
    <row r="8036" spans="1:7" x14ac:dyDescent="0.25">
      <c r="A8036" s="116" t="s">
        <v>12876</v>
      </c>
      <c r="B8036" s="117" t="s">
        <v>12877</v>
      </c>
      <c r="C8036" t="s">
        <v>67</v>
      </c>
      <c r="D8036" t="s">
        <v>67</v>
      </c>
      <c r="E8036" t="s">
        <v>67</v>
      </c>
      <c r="F8036" t="s">
        <v>27987</v>
      </c>
      <c r="G8036" s="117">
        <v>11.48</v>
      </c>
    </row>
    <row r="8037" spans="1:7" x14ac:dyDescent="0.25">
      <c r="A8037" s="116" t="s">
        <v>12878</v>
      </c>
      <c r="B8037" s="117" t="s">
        <v>384</v>
      </c>
      <c r="C8037" t="s">
        <v>67</v>
      </c>
      <c r="D8037" t="s">
        <v>67</v>
      </c>
      <c r="E8037" t="s">
        <v>67</v>
      </c>
      <c r="F8037" t="s">
        <v>27987</v>
      </c>
      <c r="G8037" s="117">
        <v>19.13</v>
      </c>
    </row>
    <row r="8038" spans="1:7" x14ac:dyDescent="0.25">
      <c r="A8038" s="116" t="s">
        <v>12879</v>
      </c>
      <c r="B8038" s="117" t="s">
        <v>12880</v>
      </c>
      <c r="C8038" t="s">
        <v>67</v>
      </c>
      <c r="D8038" t="s">
        <v>67</v>
      </c>
      <c r="E8038" t="s">
        <v>67</v>
      </c>
      <c r="F8038" t="s">
        <v>45</v>
      </c>
      <c r="G8038" s="117">
        <v>13.26</v>
      </c>
    </row>
    <row r="8039" spans="1:7" x14ac:dyDescent="0.25">
      <c r="A8039" s="116" t="s">
        <v>12881</v>
      </c>
      <c r="B8039" s="117" t="s">
        <v>12882</v>
      </c>
      <c r="C8039" t="s">
        <v>67</v>
      </c>
      <c r="D8039" t="s">
        <v>67</v>
      </c>
      <c r="E8039" t="s">
        <v>67</v>
      </c>
      <c r="F8039" t="s">
        <v>27987</v>
      </c>
      <c r="G8039" s="117">
        <v>6.68</v>
      </c>
    </row>
    <row r="8040" spans="1:7" x14ac:dyDescent="0.25">
      <c r="A8040" s="116" t="s">
        <v>12883</v>
      </c>
      <c r="B8040" s="117" t="s">
        <v>12884</v>
      </c>
      <c r="C8040" t="s">
        <v>67</v>
      </c>
      <c r="D8040" t="s">
        <v>67</v>
      </c>
      <c r="E8040" t="s">
        <v>67</v>
      </c>
      <c r="F8040" t="s">
        <v>27987</v>
      </c>
      <c r="G8040" s="117">
        <v>6.68</v>
      </c>
    </row>
    <row r="8041" spans="1:7" x14ac:dyDescent="0.25">
      <c r="A8041" s="116" t="s">
        <v>12885</v>
      </c>
      <c r="B8041" s="117" t="s">
        <v>12886</v>
      </c>
      <c r="C8041" t="s">
        <v>67</v>
      </c>
      <c r="D8041" t="s">
        <v>67</v>
      </c>
      <c r="E8041" t="s">
        <v>67</v>
      </c>
      <c r="F8041" t="s">
        <v>45</v>
      </c>
      <c r="G8041" s="117">
        <v>10.58</v>
      </c>
    </row>
    <row r="8042" spans="1:7" x14ac:dyDescent="0.25">
      <c r="A8042" s="116" t="s">
        <v>12887</v>
      </c>
      <c r="B8042" s="117" t="s">
        <v>12888</v>
      </c>
      <c r="C8042" t="s">
        <v>67</v>
      </c>
      <c r="D8042" t="s">
        <v>67</v>
      </c>
      <c r="E8042" t="s">
        <v>67</v>
      </c>
      <c r="F8042" t="s">
        <v>45</v>
      </c>
      <c r="G8042" s="117">
        <v>15.04</v>
      </c>
    </row>
    <row r="8043" spans="1:7" x14ac:dyDescent="0.25">
      <c r="A8043" s="116" t="s">
        <v>12889</v>
      </c>
      <c r="B8043" s="117" t="s">
        <v>3482</v>
      </c>
      <c r="C8043" t="s">
        <v>67</v>
      </c>
      <c r="D8043" t="s">
        <v>67</v>
      </c>
      <c r="E8043" t="s">
        <v>67</v>
      </c>
      <c r="F8043" t="s">
        <v>49</v>
      </c>
      <c r="G8043" s="117">
        <v>1.77</v>
      </c>
    </row>
    <row r="8044" spans="1:7" x14ac:dyDescent="0.25">
      <c r="A8044" s="116" t="s">
        <v>12890</v>
      </c>
      <c r="B8044" s="117" t="s">
        <v>12668</v>
      </c>
      <c r="C8044" t="s">
        <v>67</v>
      </c>
      <c r="D8044" t="s">
        <v>67</v>
      </c>
      <c r="E8044" t="s">
        <v>67</v>
      </c>
      <c r="F8044" t="s">
        <v>49</v>
      </c>
      <c r="G8044" s="117">
        <v>1.33</v>
      </c>
    </row>
    <row r="8045" spans="1:7" x14ac:dyDescent="0.25">
      <c r="A8045" s="116" t="s">
        <v>12891</v>
      </c>
      <c r="B8045" s="117" t="s">
        <v>12892</v>
      </c>
      <c r="C8045" t="s">
        <v>67</v>
      </c>
      <c r="D8045" t="s">
        <v>67</v>
      </c>
      <c r="E8045" t="s">
        <v>67</v>
      </c>
      <c r="F8045" t="s">
        <v>27987</v>
      </c>
      <c r="G8045" s="117">
        <v>0.8</v>
      </c>
    </row>
    <row r="8046" spans="1:7" x14ac:dyDescent="0.25">
      <c r="A8046" s="116" t="s">
        <v>12893</v>
      </c>
      <c r="B8046" s="117" t="s">
        <v>12894</v>
      </c>
      <c r="C8046" t="s">
        <v>67</v>
      </c>
      <c r="D8046" t="s">
        <v>67</v>
      </c>
      <c r="E8046" t="s">
        <v>67</v>
      </c>
      <c r="F8046" t="s">
        <v>45</v>
      </c>
      <c r="G8046" s="117">
        <v>1.77</v>
      </c>
    </row>
    <row r="8047" spans="1:7" x14ac:dyDescent="0.25">
      <c r="A8047" s="116" t="s">
        <v>12895</v>
      </c>
      <c r="B8047" s="117" t="s">
        <v>12896</v>
      </c>
      <c r="C8047" t="s">
        <v>67</v>
      </c>
      <c r="D8047" t="s">
        <v>67</v>
      </c>
      <c r="E8047" t="s">
        <v>67</v>
      </c>
      <c r="F8047" t="s">
        <v>27987</v>
      </c>
      <c r="G8047" s="117">
        <v>10.58</v>
      </c>
    </row>
    <row r="8048" spans="1:7" x14ac:dyDescent="0.25">
      <c r="A8048" s="116" t="s">
        <v>12897</v>
      </c>
      <c r="B8048" s="117" t="s">
        <v>12898</v>
      </c>
      <c r="C8048" t="s">
        <v>67</v>
      </c>
      <c r="D8048" t="s">
        <v>67</v>
      </c>
      <c r="E8048" t="s">
        <v>67</v>
      </c>
      <c r="F8048" t="s">
        <v>27987</v>
      </c>
      <c r="G8048" s="117">
        <v>2.23</v>
      </c>
    </row>
    <row r="8049" spans="1:7" x14ac:dyDescent="0.25">
      <c r="A8049" s="116" t="s">
        <v>12899</v>
      </c>
      <c r="B8049" s="117" t="s">
        <v>3062</v>
      </c>
      <c r="C8049" t="s">
        <v>67</v>
      </c>
      <c r="D8049" t="s">
        <v>67</v>
      </c>
      <c r="E8049" t="s">
        <v>67</v>
      </c>
      <c r="F8049" t="s">
        <v>45</v>
      </c>
      <c r="G8049" s="117">
        <v>17.7</v>
      </c>
    </row>
    <row r="8050" spans="1:7" x14ac:dyDescent="0.25">
      <c r="A8050" s="116" t="s">
        <v>12900</v>
      </c>
      <c r="B8050" s="117" t="s">
        <v>12901</v>
      </c>
      <c r="C8050" t="s">
        <v>67</v>
      </c>
      <c r="D8050" t="s">
        <v>67</v>
      </c>
      <c r="E8050" t="s">
        <v>67</v>
      </c>
      <c r="F8050" t="s">
        <v>45</v>
      </c>
      <c r="G8050" s="117">
        <v>2.58</v>
      </c>
    </row>
    <row r="8051" spans="1:7" x14ac:dyDescent="0.25">
      <c r="A8051" s="116" t="s">
        <v>12902</v>
      </c>
      <c r="B8051" s="117" t="s">
        <v>12903</v>
      </c>
      <c r="C8051" t="s">
        <v>67</v>
      </c>
      <c r="D8051" t="s">
        <v>67</v>
      </c>
      <c r="E8051" t="s">
        <v>67</v>
      </c>
      <c r="F8051" t="s">
        <v>45</v>
      </c>
      <c r="G8051" s="117">
        <v>1.69</v>
      </c>
    </row>
    <row r="8052" spans="1:7" x14ac:dyDescent="0.25">
      <c r="A8052" s="116" t="s">
        <v>12904</v>
      </c>
      <c r="B8052" s="117" t="s">
        <v>12884</v>
      </c>
      <c r="C8052" t="s">
        <v>67</v>
      </c>
      <c r="D8052" t="s">
        <v>67</v>
      </c>
      <c r="E8052" t="s">
        <v>67</v>
      </c>
      <c r="F8052" t="s">
        <v>27987</v>
      </c>
      <c r="G8052" s="117">
        <v>0.8</v>
      </c>
    </row>
    <row r="8053" spans="1:7" x14ac:dyDescent="0.25">
      <c r="A8053" s="116" t="s">
        <v>12905</v>
      </c>
      <c r="B8053" s="117" t="s">
        <v>12906</v>
      </c>
      <c r="C8053" t="s">
        <v>67</v>
      </c>
      <c r="D8053" t="s">
        <v>67</v>
      </c>
      <c r="E8053" t="s">
        <v>67</v>
      </c>
      <c r="F8053" t="s">
        <v>45</v>
      </c>
      <c r="G8053" s="117">
        <v>1.33</v>
      </c>
    </row>
    <row r="8054" spans="1:7" x14ac:dyDescent="0.25">
      <c r="A8054" s="116" t="s">
        <v>12907</v>
      </c>
      <c r="B8054" s="117" t="s">
        <v>12908</v>
      </c>
      <c r="C8054" t="s">
        <v>67</v>
      </c>
      <c r="D8054" t="s">
        <v>67</v>
      </c>
      <c r="E8054" t="s">
        <v>67</v>
      </c>
      <c r="F8054" t="s">
        <v>45</v>
      </c>
      <c r="G8054" s="117">
        <v>9.6999999999999993</v>
      </c>
    </row>
    <row r="8055" spans="1:7" x14ac:dyDescent="0.25">
      <c r="A8055" s="116" t="s">
        <v>12909</v>
      </c>
      <c r="B8055" s="117" t="s">
        <v>12910</v>
      </c>
      <c r="C8055" t="s">
        <v>67</v>
      </c>
      <c r="D8055" t="s">
        <v>67</v>
      </c>
      <c r="E8055" t="s">
        <v>67</v>
      </c>
      <c r="F8055" t="s">
        <v>45</v>
      </c>
      <c r="G8055" s="117">
        <v>0.8</v>
      </c>
    </row>
    <row r="8056" spans="1:7" x14ac:dyDescent="0.25">
      <c r="A8056" s="116" t="s">
        <v>12911</v>
      </c>
      <c r="B8056" s="117" t="s">
        <v>12912</v>
      </c>
      <c r="C8056" t="s">
        <v>67</v>
      </c>
      <c r="D8056" t="s">
        <v>67</v>
      </c>
      <c r="E8056" t="s">
        <v>67</v>
      </c>
      <c r="F8056" t="s">
        <v>49</v>
      </c>
      <c r="G8056" s="117">
        <v>1.33</v>
      </c>
    </row>
    <row r="8057" spans="1:7" x14ac:dyDescent="0.25">
      <c r="A8057" s="116" t="s">
        <v>12913</v>
      </c>
      <c r="B8057" s="117" t="s">
        <v>12914</v>
      </c>
      <c r="C8057" t="s">
        <v>67</v>
      </c>
      <c r="D8057" t="s">
        <v>67</v>
      </c>
      <c r="E8057" t="s">
        <v>67</v>
      </c>
      <c r="F8057" t="s">
        <v>45</v>
      </c>
      <c r="G8057" s="117">
        <v>1.33</v>
      </c>
    </row>
    <row r="8058" spans="1:7" x14ac:dyDescent="0.25">
      <c r="A8058" s="116" t="s">
        <v>12915</v>
      </c>
      <c r="B8058" s="117" t="s">
        <v>12916</v>
      </c>
      <c r="C8058" t="s">
        <v>67</v>
      </c>
      <c r="D8058" t="s">
        <v>67</v>
      </c>
      <c r="E8058" t="s">
        <v>67</v>
      </c>
      <c r="F8058" t="s">
        <v>45</v>
      </c>
      <c r="G8058" s="117">
        <v>1.77</v>
      </c>
    </row>
    <row r="8059" spans="1:7" x14ac:dyDescent="0.25">
      <c r="A8059" s="116" t="s">
        <v>12917</v>
      </c>
      <c r="B8059" s="117" t="s">
        <v>12918</v>
      </c>
      <c r="C8059" t="s">
        <v>67</v>
      </c>
      <c r="D8059" t="s">
        <v>67</v>
      </c>
      <c r="E8059" t="s">
        <v>67</v>
      </c>
      <c r="F8059" t="s">
        <v>27987</v>
      </c>
      <c r="G8059" s="117">
        <v>36.93</v>
      </c>
    </row>
    <row r="8060" spans="1:7" x14ac:dyDescent="0.25">
      <c r="A8060" s="116" t="s">
        <v>12919</v>
      </c>
      <c r="B8060" s="117" t="s">
        <v>12920</v>
      </c>
      <c r="C8060" t="s">
        <v>67</v>
      </c>
      <c r="D8060" t="s">
        <v>67</v>
      </c>
      <c r="E8060" t="s">
        <v>67</v>
      </c>
      <c r="F8060" t="s">
        <v>27987</v>
      </c>
      <c r="G8060" s="117">
        <v>1.53</v>
      </c>
    </row>
    <row r="8061" spans="1:7" x14ac:dyDescent="0.25">
      <c r="A8061" s="116" t="s">
        <v>12921</v>
      </c>
      <c r="B8061" s="117" t="s">
        <v>12922</v>
      </c>
      <c r="C8061" t="s">
        <v>67</v>
      </c>
      <c r="D8061" t="s">
        <v>67</v>
      </c>
      <c r="E8061" t="s">
        <v>67</v>
      </c>
      <c r="F8061" t="s">
        <v>45</v>
      </c>
      <c r="G8061" s="117">
        <v>87.64</v>
      </c>
    </row>
    <row r="8062" spans="1:7" x14ac:dyDescent="0.25">
      <c r="A8062" s="116" t="s">
        <v>12923</v>
      </c>
      <c r="B8062" s="117" t="s">
        <v>12924</v>
      </c>
      <c r="C8062" t="s">
        <v>67</v>
      </c>
      <c r="D8062" t="s">
        <v>67</v>
      </c>
      <c r="E8062" t="s">
        <v>67</v>
      </c>
      <c r="F8062" t="s">
        <v>49</v>
      </c>
      <c r="G8062" s="117">
        <v>3.56</v>
      </c>
    </row>
    <row r="8063" spans="1:7" x14ac:dyDescent="0.25">
      <c r="A8063" s="116" t="s">
        <v>12925</v>
      </c>
      <c r="B8063" s="117" t="s">
        <v>12926</v>
      </c>
      <c r="C8063" t="s">
        <v>67</v>
      </c>
      <c r="D8063" t="s">
        <v>67</v>
      </c>
      <c r="E8063" t="s">
        <v>67</v>
      </c>
      <c r="F8063" t="s">
        <v>45</v>
      </c>
      <c r="G8063" s="117">
        <v>3.56</v>
      </c>
    </row>
    <row r="8064" spans="1:7" x14ac:dyDescent="0.25">
      <c r="A8064" s="116" t="s">
        <v>12927</v>
      </c>
      <c r="B8064" s="117" t="s">
        <v>12928</v>
      </c>
      <c r="C8064" t="s">
        <v>67</v>
      </c>
      <c r="D8064" t="s">
        <v>67</v>
      </c>
      <c r="E8064" t="s">
        <v>67</v>
      </c>
      <c r="F8064" t="s">
        <v>27987</v>
      </c>
      <c r="G8064" s="117">
        <v>32.479999999999997</v>
      </c>
    </row>
    <row r="8065" spans="1:7" x14ac:dyDescent="0.25">
      <c r="A8065" s="116" t="s">
        <v>12929</v>
      </c>
      <c r="B8065" s="117" t="s">
        <v>3206</v>
      </c>
      <c r="C8065" t="s">
        <v>67</v>
      </c>
      <c r="D8065" t="s">
        <v>67</v>
      </c>
      <c r="E8065" t="s">
        <v>67</v>
      </c>
      <c r="F8065" t="s">
        <v>45</v>
      </c>
      <c r="G8065" s="117">
        <v>7.02</v>
      </c>
    </row>
    <row r="8066" spans="1:7" x14ac:dyDescent="0.25">
      <c r="A8066" s="116" t="s">
        <v>12930</v>
      </c>
      <c r="B8066" s="117" t="s">
        <v>12931</v>
      </c>
      <c r="C8066" t="s">
        <v>67</v>
      </c>
      <c r="D8066" t="s">
        <v>67</v>
      </c>
      <c r="E8066" t="s">
        <v>67</v>
      </c>
      <c r="F8066" t="s">
        <v>27987</v>
      </c>
      <c r="G8066" s="117">
        <v>48.5</v>
      </c>
    </row>
    <row r="8067" spans="1:7" x14ac:dyDescent="0.25">
      <c r="A8067" s="116" t="s">
        <v>12932</v>
      </c>
      <c r="B8067" s="117" t="s">
        <v>12933</v>
      </c>
      <c r="C8067" t="s">
        <v>67</v>
      </c>
      <c r="D8067" t="s">
        <v>67</v>
      </c>
      <c r="E8067" t="s">
        <v>67</v>
      </c>
      <c r="F8067" t="s">
        <v>45</v>
      </c>
      <c r="G8067" s="117">
        <v>26.61</v>
      </c>
    </row>
    <row r="8068" spans="1:7" x14ac:dyDescent="0.25">
      <c r="A8068" s="116" t="s">
        <v>12934</v>
      </c>
      <c r="B8068" s="117" t="s">
        <v>12935</v>
      </c>
      <c r="C8068" t="s">
        <v>67</v>
      </c>
      <c r="D8068" t="s">
        <v>67</v>
      </c>
      <c r="E8068" t="s">
        <v>67</v>
      </c>
      <c r="F8068" t="s">
        <v>27987</v>
      </c>
      <c r="G8068" s="117">
        <v>40.49</v>
      </c>
    </row>
    <row r="8069" spans="1:7" x14ac:dyDescent="0.25">
      <c r="A8069" s="116" t="s">
        <v>12936</v>
      </c>
      <c r="B8069" s="117" t="s">
        <v>12937</v>
      </c>
      <c r="C8069" t="s">
        <v>67</v>
      </c>
      <c r="D8069" t="s">
        <v>67</v>
      </c>
      <c r="E8069" t="s">
        <v>67</v>
      </c>
      <c r="F8069" t="s">
        <v>45</v>
      </c>
      <c r="G8069" s="117">
        <v>0.8</v>
      </c>
    </row>
    <row r="8070" spans="1:7" x14ac:dyDescent="0.25">
      <c r="A8070" s="116" t="s">
        <v>12938</v>
      </c>
      <c r="B8070" s="117" t="s">
        <v>12939</v>
      </c>
      <c r="C8070" t="s">
        <v>67</v>
      </c>
      <c r="D8070" t="s">
        <v>67</v>
      </c>
      <c r="E8070" t="s">
        <v>67</v>
      </c>
      <c r="F8070" t="s">
        <v>27987</v>
      </c>
      <c r="G8070" s="117">
        <v>135.69999999999999</v>
      </c>
    </row>
    <row r="8071" spans="1:7" x14ac:dyDescent="0.25">
      <c r="A8071" s="116" t="s">
        <v>12940</v>
      </c>
      <c r="B8071" s="117" t="s">
        <v>28990</v>
      </c>
      <c r="C8071" t="s">
        <v>67</v>
      </c>
      <c r="D8071" t="s">
        <v>67</v>
      </c>
      <c r="E8071" t="s">
        <v>67</v>
      </c>
      <c r="F8071" t="s">
        <v>45</v>
      </c>
      <c r="G8071" s="117">
        <v>42.26</v>
      </c>
    </row>
    <row r="8072" spans="1:7" x14ac:dyDescent="0.25">
      <c r="A8072" s="116" t="s">
        <v>12941</v>
      </c>
      <c r="B8072" s="117" t="s">
        <v>12942</v>
      </c>
      <c r="C8072" t="s">
        <v>67</v>
      </c>
      <c r="D8072" t="s">
        <v>67</v>
      </c>
      <c r="E8072" t="s">
        <v>67</v>
      </c>
      <c r="F8072" t="s">
        <v>45</v>
      </c>
      <c r="G8072" s="117">
        <v>7.12</v>
      </c>
    </row>
    <row r="8073" spans="1:7" x14ac:dyDescent="0.25">
      <c r="A8073" s="116" t="s">
        <v>12943</v>
      </c>
      <c r="B8073" s="117" t="s">
        <v>12944</v>
      </c>
      <c r="C8073" t="s">
        <v>67</v>
      </c>
      <c r="D8073" t="s">
        <v>67</v>
      </c>
      <c r="E8073" t="s">
        <v>67</v>
      </c>
      <c r="F8073" t="s">
        <v>27987</v>
      </c>
      <c r="G8073" s="117">
        <v>15.57</v>
      </c>
    </row>
    <row r="8074" spans="1:7" x14ac:dyDescent="0.25">
      <c r="A8074" s="116" t="s">
        <v>12945</v>
      </c>
      <c r="B8074" s="117" t="s">
        <v>3360</v>
      </c>
      <c r="C8074" t="s">
        <v>67</v>
      </c>
      <c r="D8074" t="s">
        <v>67</v>
      </c>
      <c r="E8074" t="s">
        <v>67</v>
      </c>
      <c r="F8074" t="s">
        <v>49</v>
      </c>
      <c r="G8074" s="117">
        <v>5.79</v>
      </c>
    </row>
    <row r="8075" spans="1:7" x14ac:dyDescent="0.25">
      <c r="A8075" s="116" t="s">
        <v>12946</v>
      </c>
      <c r="B8075" s="117" t="s">
        <v>12947</v>
      </c>
      <c r="C8075" t="s">
        <v>67</v>
      </c>
      <c r="D8075" t="s">
        <v>67</v>
      </c>
      <c r="E8075" t="s">
        <v>67</v>
      </c>
      <c r="F8075" t="s">
        <v>49</v>
      </c>
      <c r="G8075" s="117">
        <v>0.8</v>
      </c>
    </row>
    <row r="8076" spans="1:7" x14ac:dyDescent="0.25">
      <c r="A8076" s="116" t="s">
        <v>12948</v>
      </c>
      <c r="B8076" s="117" t="s">
        <v>12949</v>
      </c>
      <c r="C8076" t="s">
        <v>67</v>
      </c>
      <c r="D8076" t="s">
        <v>67</v>
      </c>
      <c r="E8076" t="s">
        <v>67</v>
      </c>
      <c r="F8076" t="s">
        <v>45</v>
      </c>
      <c r="G8076" s="117">
        <v>20.38</v>
      </c>
    </row>
    <row r="8077" spans="1:7" x14ac:dyDescent="0.25">
      <c r="A8077" s="116" t="s">
        <v>12950</v>
      </c>
      <c r="B8077" s="117" t="s">
        <v>12951</v>
      </c>
      <c r="C8077" t="s">
        <v>67</v>
      </c>
      <c r="D8077" t="s">
        <v>67</v>
      </c>
      <c r="E8077" t="s">
        <v>67</v>
      </c>
      <c r="F8077" t="s">
        <v>45</v>
      </c>
      <c r="G8077" s="117">
        <v>11.12</v>
      </c>
    </row>
    <row r="8078" spans="1:7" x14ac:dyDescent="0.25">
      <c r="A8078" s="116" t="s">
        <v>12952</v>
      </c>
      <c r="B8078" s="117" t="s">
        <v>12953</v>
      </c>
      <c r="C8078" t="s">
        <v>67</v>
      </c>
      <c r="D8078" t="s">
        <v>67</v>
      </c>
      <c r="E8078" t="s">
        <v>67</v>
      </c>
      <c r="F8078" t="s">
        <v>45</v>
      </c>
      <c r="G8078" s="117">
        <v>1.69</v>
      </c>
    </row>
    <row r="8079" spans="1:7" x14ac:dyDescent="0.25">
      <c r="A8079" s="116" t="s">
        <v>12954</v>
      </c>
      <c r="B8079" s="117" t="s">
        <v>12955</v>
      </c>
      <c r="C8079" t="s">
        <v>67</v>
      </c>
      <c r="D8079" t="s">
        <v>67</v>
      </c>
      <c r="E8079" t="s">
        <v>67</v>
      </c>
      <c r="F8079" t="s">
        <v>27987</v>
      </c>
      <c r="G8079" s="117">
        <v>1.2</v>
      </c>
    </row>
    <row r="8080" spans="1:7" x14ac:dyDescent="0.25">
      <c r="A8080" s="116" t="s">
        <v>12956</v>
      </c>
      <c r="B8080" s="117" t="s">
        <v>12957</v>
      </c>
      <c r="C8080" t="s">
        <v>67</v>
      </c>
      <c r="D8080" t="s">
        <v>67</v>
      </c>
      <c r="E8080" t="s">
        <v>67</v>
      </c>
      <c r="F8080" t="s">
        <v>27987</v>
      </c>
      <c r="G8080" s="117">
        <v>3.48</v>
      </c>
    </row>
    <row r="8081" spans="1:7" x14ac:dyDescent="0.25">
      <c r="A8081" s="116" t="s">
        <v>12958</v>
      </c>
      <c r="B8081" s="117" t="s">
        <v>12959</v>
      </c>
      <c r="C8081" t="s">
        <v>67</v>
      </c>
      <c r="D8081" t="s">
        <v>67</v>
      </c>
      <c r="E8081" t="s">
        <v>67</v>
      </c>
      <c r="F8081" t="s">
        <v>27987</v>
      </c>
      <c r="G8081" s="117">
        <v>2.58</v>
      </c>
    </row>
    <row r="8082" spans="1:7" x14ac:dyDescent="0.25">
      <c r="A8082" s="116" t="s">
        <v>12960</v>
      </c>
      <c r="B8082" s="117" t="s">
        <v>12961</v>
      </c>
      <c r="C8082" t="s">
        <v>67</v>
      </c>
      <c r="D8082" t="s">
        <v>67</v>
      </c>
      <c r="E8082" t="s">
        <v>67</v>
      </c>
      <c r="F8082" t="s">
        <v>27987</v>
      </c>
      <c r="G8082" s="117">
        <v>31.06</v>
      </c>
    </row>
    <row r="8083" spans="1:7" x14ac:dyDescent="0.25">
      <c r="A8083" s="116" t="s">
        <v>12962</v>
      </c>
      <c r="B8083" s="117" t="s">
        <v>12963</v>
      </c>
      <c r="C8083" t="s">
        <v>67</v>
      </c>
      <c r="D8083" t="s">
        <v>67</v>
      </c>
      <c r="E8083" t="s">
        <v>67</v>
      </c>
      <c r="F8083" t="s">
        <v>45</v>
      </c>
      <c r="G8083" s="117">
        <v>2.58</v>
      </c>
    </row>
    <row r="8084" spans="1:7" x14ac:dyDescent="0.25">
      <c r="A8084" s="116" t="s">
        <v>12964</v>
      </c>
      <c r="B8084" s="117" t="s">
        <v>12965</v>
      </c>
      <c r="C8084" t="s">
        <v>67</v>
      </c>
      <c r="D8084" t="s">
        <v>67</v>
      </c>
      <c r="E8084" t="s">
        <v>67</v>
      </c>
      <c r="F8084" t="s">
        <v>27987</v>
      </c>
      <c r="G8084" s="117">
        <v>3.56</v>
      </c>
    </row>
    <row r="8085" spans="1:7" x14ac:dyDescent="0.25">
      <c r="A8085" s="116" t="s">
        <v>12966</v>
      </c>
      <c r="B8085" s="117" t="s">
        <v>12967</v>
      </c>
      <c r="C8085" t="s">
        <v>67</v>
      </c>
      <c r="D8085" t="s">
        <v>67</v>
      </c>
      <c r="E8085" t="s">
        <v>67</v>
      </c>
      <c r="F8085" t="s">
        <v>27987</v>
      </c>
      <c r="G8085" s="117">
        <v>4.3600000000000003</v>
      </c>
    </row>
    <row r="8086" spans="1:7" x14ac:dyDescent="0.25">
      <c r="A8086" s="116" t="s">
        <v>12968</v>
      </c>
      <c r="B8086" s="117" t="s">
        <v>12969</v>
      </c>
      <c r="C8086" t="s">
        <v>67</v>
      </c>
      <c r="D8086" t="s">
        <v>67</v>
      </c>
      <c r="E8086" t="s">
        <v>67</v>
      </c>
      <c r="F8086" t="s">
        <v>45</v>
      </c>
      <c r="G8086" s="117">
        <v>0.8</v>
      </c>
    </row>
    <row r="8087" spans="1:7" x14ac:dyDescent="0.25">
      <c r="A8087" s="116" t="s">
        <v>12970</v>
      </c>
      <c r="B8087" s="117" t="s">
        <v>3827</v>
      </c>
      <c r="C8087" t="s">
        <v>67</v>
      </c>
      <c r="D8087" t="s">
        <v>67</v>
      </c>
      <c r="E8087" t="s">
        <v>67</v>
      </c>
      <c r="F8087" t="s">
        <v>27987</v>
      </c>
      <c r="G8087" s="117">
        <v>64.87</v>
      </c>
    </row>
    <row r="8088" spans="1:7" x14ac:dyDescent="0.25">
      <c r="A8088" s="116" t="s">
        <v>12971</v>
      </c>
      <c r="B8088" s="117" t="s">
        <v>12972</v>
      </c>
      <c r="C8088" t="s">
        <v>67</v>
      </c>
      <c r="D8088" t="s">
        <v>67</v>
      </c>
      <c r="E8088" t="s">
        <v>67</v>
      </c>
      <c r="F8088" t="s">
        <v>45</v>
      </c>
      <c r="G8088" s="117">
        <v>7.12</v>
      </c>
    </row>
    <row r="8089" spans="1:7" x14ac:dyDescent="0.25">
      <c r="A8089" s="116" t="s">
        <v>12973</v>
      </c>
      <c r="B8089" s="117" t="s">
        <v>12974</v>
      </c>
      <c r="C8089" t="s">
        <v>67</v>
      </c>
      <c r="D8089" t="s">
        <v>67</v>
      </c>
      <c r="E8089" t="s">
        <v>67</v>
      </c>
      <c r="F8089" t="s">
        <v>49</v>
      </c>
      <c r="G8089" s="117">
        <v>7.92</v>
      </c>
    </row>
    <row r="8090" spans="1:7" x14ac:dyDescent="0.25">
      <c r="A8090" s="116" t="s">
        <v>12975</v>
      </c>
      <c r="B8090" s="117" t="s">
        <v>12976</v>
      </c>
      <c r="C8090" t="s">
        <v>67</v>
      </c>
      <c r="D8090" t="s">
        <v>67</v>
      </c>
      <c r="E8090" t="s">
        <v>67</v>
      </c>
      <c r="F8090" t="s">
        <v>45</v>
      </c>
      <c r="G8090" s="117">
        <v>2.23</v>
      </c>
    </row>
    <row r="8091" spans="1:7" x14ac:dyDescent="0.25">
      <c r="A8091" s="116" t="s">
        <v>12977</v>
      </c>
      <c r="B8091" s="117" t="s">
        <v>12978</v>
      </c>
      <c r="C8091" t="s">
        <v>67</v>
      </c>
      <c r="D8091" t="s">
        <v>67</v>
      </c>
      <c r="E8091" t="s">
        <v>67</v>
      </c>
      <c r="F8091" t="s">
        <v>27987</v>
      </c>
      <c r="G8091" s="117">
        <v>7.12</v>
      </c>
    </row>
    <row r="8092" spans="1:7" x14ac:dyDescent="0.25">
      <c r="A8092" s="116" t="s">
        <v>12979</v>
      </c>
      <c r="B8092" s="117" t="s">
        <v>12980</v>
      </c>
      <c r="C8092" t="s">
        <v>67</v>
      </c>
      <c r="D8092" t="s">
        <v>67</v>
      </c>
      <c r="E8092" t="s">
        <v>67</v>
      </c>
      <c r="F8092" t="s">
        <v>45</v>
      </c>
      <c r="G8092" s="117">
        <v>8.4499999999999993</v>
      </c>
    </row>
    <row r="8093" spans="1:7" x14ac:dyDescent="0.25">
      <c r="A8093" s="116" t="s">
        <v>12981</v>
      </c>
      <c r="B8093" s="117" t="s">
        <v>12982</v>
      </c>
      <c r="C8093" t="s">
        <v>67</v>
      </c>
      <c r="D8093" t="s">
        <v>67</v>
      </c>
      <c r="E8093" t="s">
        <v>67</v>
      </c>
      <c r="F8093" t="s">
        <v>45</v>
      </c>
      <c r="G8093" s="117">
        <v>6.14</v>
      </c>
    </row>
    <row r="8094" spans="1:7" x14ac:dyDescent="0.25">
      <c r="A8094" s="116" t="s">
        <v>12983</v>
      </c>
      <c r="B8094" s="117" t="s">
        <v>12984</v>
      </c>
      <c r="C8094" t="s">
        <v>67</v>
      </c>
      <c r="D8094" t="s">
        <v>67</v>
      </c>
      <c r="E8094" t="s">
        <v>67</v>
      </c>
      <c r="F8094" t="s">
        <v>45</v>
      </c>
      <c r="G8094" s="117">
        <v>7.12</v>
      </c>
    </row>
    <row r="8095" spans="1:7" x14ac:dyDescent="0.25">
      <c r="A8095" s="116" t="s">
        <v>12985</v>
      </c>
      <c r="B8095" s="117" t="s">
        <v>12986</v>
      </c>
      <c r="C8095" t="s">
        <v>67</v>
      </c>
      <c r="D8095" t="s">
        <v>67</v>
      </c>
      <c r="E8095" t="s">
        <v>67</v>
      </c>
      <c r="F8095" t="s">
        <v>45</v>
      </c>
      <c r="G8095" s="117">
        <v>4.3600000000000003</v>
      </c>
    </row>
    <row r="8096" spans="1:7" x14ac:dyDescent="0.25">
      <c r="A8096" s="116" t="s">
        <v>12987</v>
      </c>
      <c r="B8096" s="117" t="s">
        <v>12988</v>
      </c>
      <c r="C8096" t="s">
        <v>67</v>
      </c>
      <c r="D8096" t="s">
        <v>67</v>
      </c>
      <c r="E8096" t="s">
        <v>67</v>
      </c>
      <c r="F8096" t="s">
        <v>45</v>
      </c>
      <c r="G8096" s="117">
        <v>32.83</v>
      </c>
    </row>
    <row r="8097" spans="1:7" x14ac:dyDescent="0.25">
      <c r="A8097" s="116" t="s">
        <v>12989</v>
      </c>
      <c r="B8097" s="117" t="s">
        <v>12990</v>
      </c>
      <c r="C8097" t="s">
        <v>67</v>
      </c>
      <c r="D8097" t="s">
        <v>67</v>
      </c>
      <c r="E8097" t="s">
        <v>67</v>
      </c>
      <c r="F8097" t="s">
        <v>27987</v>
      </c>
      <c r="G8097" s="117">
        <v>104.02</v>
      </c>
    </row>
    <row r="8098" spans="1:7" x14ac:dyDescent="0.25">
      <c r="A8098" s="116" t="s">
        <v>12991</v>
      </c>
      <c r="B8098" s="117" t="s">
        <v>12992</v>
      </c>
      <c r="C8098" t="s">
        <v>67</v>
      </c>
      <c r="D8098" t="s">
        <v>67</v>
      </c>
      <c r="E8098" t="s">
        <v>67</v>
      </c>
      <c r="F8098" t="s">
        <v>45</v>
      </c>
      <c r="G8098" s="117">
        <v>7.12</v>
      </c>
    </row>
    <row r="8099" spans="1:7" x14ac:dyDescent="0.25">
      <c r="A8099" s="116" t="s">
        <v>12993</v>
      </c>
      <c r="B8099" s="117" t="s">
        <v>12994</v>
      </c>
      <c r="C8099" t="s">
        <v>67</v>
      </c>
      <c r="D8099" t="s">
        <v>67</v>
      </c>
      <c r="E8099" t="s">
        <v>67</v>
      </c>
      <c r="F8099" t="s">
        <v>51</v>
      </c>
      <c r="G8099" s="117">
        <v>23.58</v>
      </c>
    </row>
    <row r="8100" spans="1:7" x14ac:dyDescent="0.25">
      <c r="A8100" s="116" t="s">
        <v>12995</v>
      </c>
      <c r="B8100" s="117" t="s">
        <v>12996</v>
      </c>
      <c r="C8100" t="s">
        <v>67</v>
      </c>
      <c r="D8100" t="s">
        <v>67</v>
      </c>
      <c r="E8100" t="s">
        <v>67</v>
      </c>
      <c r="F8100" t="s">
        <v>27987</v>
      </c>
      <c r="G8100" s="117">
        <v>29.81</v>
      </c>
    </row>
    <row r="8101" spans="1:7" x14ac:dyDescent="0.25">
      <c r="A8101" s="116" t="s">
        <v>12997</v>
      </c>
      <c r="B8101" s="117" t="s">
        <v>12998</v>
      </c>
      <c r="C8101" t="s">
        <v>67</v>
      </c>
      <c r="D8101" t="s">
        <v>67</v>
      </c>
      <c r="E8101" t="s">
        <v>67</v>
      </c>
      <c r="F8101" t="s">
        <v>45</v>
      </c>
      <c r="G8101" s="117">
        <v>6.68</v>
      </c>
    </row>
    <row r="8102" spans="1:7" x14ac:dyDescent="0.25">
      <c r="A8102" s="116" t="s">
        <v>12999</v>
      </c>
      <c r="B8102" s="117" t="s">
        <v>13000</v>
      </c>
      <c r="C8102" t="s">
        <v>67</v>
      </c>
      <c r="D8102" t="s">
        <v>67</v>
      </c>
      <c r="E8102" t="s">
        <v>67</v>
      </c>
      <c r="F8102" t="s">
        <v>27987</v>
      </c>
      <c r="G8102" s="117">
        <v>3.12</v>
      </c>
    </row>
    <row r="8103" spans="1:7" x14ac:dyDescent="0.25">
      <c r="A8103" s="116" t="s">
        <v>13001</v>
      </c>
      <c r="B8103" s="117" t="s">
        <v>12884</v>
      </c>
      <c r="C8103" t="s">
        <v>67</v>
      </c>
      <c r="D8103" t="s">
        <v>67</v>
      </c>
      <c r="E8103" t="s">
        <v>67</v>
      </c>
      <c r="F8103" t="s">
        <v>27987</v>
      </c>
      <c r="G8103" s="117">
        <v>2.58</v>
      </c>
    </row>
    <row r="8104" spans="1:7" x14ac:dyDescent="0.25">
      <c r="A8104" s="116" t="s">
        <v>13002</v>
      </c>
      <c r="B8104" s="117" t="s">
        <v>10413</v>
      </c>
      <c r="C8104" t="s">
        <v>67</v>
      </c>
      <c r="D8104" t="s">
        <v>67</v>
      </c>
      <c r="E8104" t="s">
        <v>67</v>
      </c>
      <c r="F8104" t="s">
        <v>27987</v>
      </c>
      <c r="G8104" s="117">
        <v>2.23</v>
      </c>
    </row>
    <row r="8105" spans="1:7" x14ac:dyDescent="0.25">
      <c r="A8105" s="116" t="s">
        <v>13003</v>
      </c>
      <c r="B8105" s="117" t="s">
        <v>1389</v>
      </c>
      <c r="C8105" t="s">
        <v>67</v>
      </c>
      <c r="D8105" t="s">
        <v>67</v>
      </c>
      <c r="E8105" t="s">
        <v>67</v>
      </c>
      <c r="F8105" t="s">
        <v>45</v>
      </c>
      <c r="G8105" s="117">
        <v>3.12</v>
      </c>
    </row>
    <row r="8106" spans="1:7" x14ac:dyDescent="0.25">
      <c r="A8106" s="116" t="s">
        <v>13004</v>
      </c>
      <c r="B8106" s="117" t="s">
        <v>13005</v>
      </c>
      <c r="C8106" t="s">
        <v>67</v>
      </c>
      <c r="D8106" t="s">
        <v>67</v>
      </c>
      <c r="E8106" t="s">
        <v>67</v>
      </c>
      <c r="F8106" t="s">
        <v>27987</v>
      </c>
      <c r="G8106" s="117">
        <v>16.82</v>
      </c>
    </row>
    <row r="8107" spans="1:7" x14ac:dyDescent="0.25">
      <c r="A8107" s="116" t="s">
        <v>13006</v>
      </c>
      <c r="B8107" s="117" t="s">
        <v>13007</v>
      </c>
      <c r="C8107" t="s">
        <v>67</v>
      </c>
      <c r="D8107" t="s">
        <v>67</v>
      </c>
      <c r="E8107" t="s">
        <v>67</v>
      </c>
      <c r="F8107" t="s">
        <v>27987</v>
      </c>
      <c r="G8107" s="117">
        <v>0.8</v>
      </c>
    </row>
    <row r="8108" spans="1:7" x14ac:dyDescent="0.25">
      <c r="A8108" s="116" t="s">
        <v>13008</v>
      </c>
      <c r="B8108" s="117" t="s">
        <v>13009</v>
      </c>
      <c r="C8108" t="s">
        <v>67</v>
      </c>
      <c r="D8108" t="s">
        <v>67</v>
      </c>
      <c r="E8108" t="s">
        <v>67</v>
      </c>
      <c r="F8108" t="s">
        <v>27987</v>
      </c>
      <c r="G8108" s="117">
        <v>39.950000000000003</v>
      </c>
    </row>
    <row r="8109" spans="1:7" x14ac:dyDescent="0.25">
      <c r="A8109" s="116" t="s">
        <v>13010</v>
      </c>
      <c r="B8109" s="117" t="s">
        <v>13011</v>
      </c>
      <c r="C8109" t="s">
        <v>67</v>
      </c>
      <c r="D8109" t="s">
        <v>67</v>
      </c>
      <c r="E8109" t="s">
        <v>67</v>
      </c>
      <c r="F8109" t="s">
        <v>27987</v>
      </c>
      <c r="G8109" s="117">
        <v>11.12</v>
      </c>
    </row>
    <row r="8110" spans="1:7" x14ac:dyDescent="0.25">
      <c r="A8110" s="116" t="s">
        <v>13012</v>
      </c>
      <c r="B8110" s="117" t="s">
        <v>13013</v>
      </c>
      <c r="C8110" t="s">
        <v>67</v>
      </c>
      <c r="D8110" t="s">
        <v>67</v>
      </c>
      <c r="E8110" t="s">
        <v>67</v>
      </c>
      <c r="F8110" t="s">
        <v>45</v>
      </c>
      <c r="G8110" s="117">
        <v>8.89</v>
      </c>
    </row>
    <row r="8111" spans="1:7" x14ac:dyDescent="0.25">
      <c r="A8111" s="116" t="s">
        <v>28197</v>
      </c>
      <c r="B8111" s="117" t="s">
        <v>12847</v>
      </c>
      <c r="C8111" t="s">
        <v>67</v>
      </c>
      <c r="D8111" t="s">
        <v>67</v>
      </c>
      <c r="E8111" t="s">
        <v>67</v>
      </c>
      <c r="F8111" t="s">
        <v>45</v>
      </c>
      <c r="G8111" s="117">
        <v>2.99</v>
      </c>
    </row>
    <row r="8112" spans="1:7" x14ac:dyDescent="0.25">
      <c r="A8112" s="116" t="s">
        <v>13014</v>
      </c>
      <c r="B8112" s="117" t="s">
        <v>13015</v>
      </c>
      <c r="C8112" t="s">
        <v>67</v>
      </c>
      <c r="D8112" t="s">
        <v>67</v>
      </c>
      <c r="E8112" t="s">
        <v>67</v>
      </c>
      <c r="F8112" t="s">
        <v>49</v>
      </c>
      <c r="G8112" s="117">
        <v>1.63</v>
      </c>
    </row>
    <row r="8113" spans="1:7" x14ac:dyDescent="0.25">
      <c r="A8113" s="116" t="s">
        <v>13016</v>
      </c>
      <c r="B8113" s="117" t="s">
        <v>13017</v>
      </c>
      <c r="C8113" t="s">
        <v>67</v>
      </c>
      <c r="D8113" t="s">
        <v>67</v>
      </c>
      <c r="E8113" t="s">
        <v>67</v>
      </c>
      <c r="F8113" t="s">
        <v>27987</v>
      </c>
      <c r="G8113" s="117">
        <v>17.36</v>
      </c>
    </row>
    <row r="8114" spans="1:7" x14ac:dyDescent="0.25">
      <c r="A8114" s="116" t="s">
        <v>13018</v>
      </c>
      <c r="B8114" s="117" t="s">
        <v>13019</v>
      </c>
      <c r="C8114" t="s">
        <v>67</v>
      </c>
      <c r="D8114" t="s">
        <v>67</v>
      </c>
      <c r="E8114" t="s">
        <v>67</v>
      </c>
      <c r="F8114" t="s">
        <v>45</v>
      </c>
      <c r="G8114" s="117">
        <v>3.56</v>
      </c>
    </row>
    <row r="8115" spans="1:7" x14ac:dyDescent="0.25">
      <c r="A8115" s="116" t="s">
        <v>13020</v>
      </c>
      <c r="B8115" s="117" t="s">
        <v>13021</v>
      </c>
      <c r="C8115" t="s">
        <v>67</v>
      </c>
      <c r="D8115" t="s">
        <v>67</v>
      </c>
      <c r="E8115" t="s">
        <v>67</v>
      </c>
      <c r="F8115" t="s">
        <v>51</v>
      </c>
      <c r="G8115" s="117">
        <v>2.58</v>
      </c>
    </row>
    <row r="8116" spans="1:7" x14ac:dyDescent="0.25">
      <c r="A8116" s="116" t="s">
        <v>13022</v>
      </c>
      <c r="B8116" s="117" t="s">
        <v>13023</v>
      </c>
      <c r="C8116" t="s">
        <v>67</v>
      </c>
      <c r="D8116" t="s">
        <v>67</v>
      </c>
      <c r="E8116" t="s">
        <v>67</v>
      </c>
      <c r="F8116" t="s">
        <v>27987</v>
      </c>
      <c r="G8116" s="117">
        <v>49.74</v>
      </c>
    </row>
    <row r="8117" spans="1:7" x14ac:dyDescent="0.25">
      <c r="A8117" s="116" t="s">
        <v>13024</v>
      </c>
      <c r="B8117" s="117" t="s">
        <v>13025</v>
      </c>
      <c r="C8117" t="s">
        <v>67</v>
      </c>
      <c r="D8117" t="s">
        <v>67</v>
      </c>
      <c r="E8117" t="s">
        <v>67</v>
      </c>
      <c r="F8117" t="s">
        <v>49</v>
      </c>
      <c r="G8117" s="117">
        <v>6.36</v>
      </c>
    </row>
    <row r="8118" spans="1:7" x14ac:dyDescent="0.25">
      <c r="A8118" s="116" t="s">
        <v>13026</v>
      </c>
      <c r="B8118" s="117" t="s">
        <v>1389</v>
      </c>
      <c r="C8118" t="s">
        <v>67</v>
      </c>
      <c r="D8118" t="s">
        <v>67</v>
      </c>
      <c r="E8118" t="s">
        <v>67</v>
      </c>
      <c r="F8118" t="s">
        <v>51</v>
      </c>
      <c r="G8118" s="117">
        <v>15.17</v>
      </c>
    </row>
    <row r="8119" spans="1:7" x14ac:dyDescent="0.25">
      <c r="A8119" s="116" t="s">
        <v>13027</v>
      </c>
      <c r="B8119" s="117" t="s">
        <v>10413</v>
      </c>
      <c r="C8119" t="s">
        <v>67</v>
      </c>
      <c r="D8119" t="s">
        <v>67</v>
      </c>
      <c r="E8119" t="s">
        <v>67</v>
      </c>
      <c r="F8119" t="s">
        <v>49</v>
      </c>
      <c r="G8119" s="117">
        <v>10.93</v>
      </c>
    </row>
    <row r="8120" spans="1:7" x14ac:dyDescent="0.25">
      <c r="A8120" s="116" t="s">
        <v>13028</v>
      </c>
      <c r="B8120" s="117" t="s">
        <v>13029</v>
      </c>
      <c r="C8120" t="s">
        <v>67</v>
      </c>
      <c r="D8120" t="s">
        <v>67</v>
      </c>
      <c r="E8120" t="s">
        <v>67</v>
      </c>
      <c r="F8120" t="s">
        <v>45</v>
      </c>
      <c r="G8120" s="117">
        <v>5.25</v>
      </c>
    </row>
    <row r="8121" spans="1:7" x14ac:dyDescent="0.25">
      <c r="A8121" s="116" t="s">
        <v>13030</v>
      </c>
      <c r="B8121" s="117" t="s">
        <v>13031</v>
      </c>
      <c r="C8121" t="s">
        <v>67</v>
      </c>
      <c r="D8121" t="s">
        <v>67</v>
      </c>
      <c r="E8121" t="s">
        <v>67</v>
      </c>
      <c r="F8121" t="s">
        <v>27987</v>
      </c>
      <c r="G8121" s="117">
        <v>35.5</v>
      </c>
    </row>
    <row r="8122" spans="1:7" x14ac:dyDescent="0.25">
      <c r="A8122" s="116" t="s">
        <v>13032</v>
      </c>
      <c r="B8122" s="117" t="s">
        <v>13033</v>
      </c>
      <c r="C8122" t="s">
        <v>67</v>
      </c>
      <c r="D8122" t="s">
        <v>67</v>
      </c>
      <c r="E8122" t="s">
        <v>67</v>
      </c>
      <c r="F8122" t="s">
        <v>27987</v>
      </c>
      <c r="G8122" s="117">
        <v>19.13</v>
      </c>
    </row>
    <row r="8123" spans="1:7" x14ac:dyDescent="0.25">
      <c r="A8123" s="116" t="s">
        <v>13034</v>
      </c>
      <c r="B8123" s="117" t="s">
        <v>13035</v>
      </c>
      <c r="C8123" t="s">
        <v>67</v>
      </c>
      <c r="D8123" t="s">
        <v>67</v>
      </c>
      <c r="E8123" t="s">
        <v>67</v>
      </c>
      <c r="F8123" t="s">
        <v>45</v>
      </c>
      <c r="G8123" s="117">
        <v>22.69</v>
      </c>
    </row>
    <row r="8124" spans="1:7" x14ac:dyDescent="0.25">
      <c r="A8124" s="116" t="s">
        <v>13036</v>
      </c>
      <c r="B8124" s="117" t="s">
        <v>12884</v>
      </c>
      <c r="C8124" t="s">
        <v>67</v>
      </c>
      <c r="D8124" t="s">
        <v>67</v>
      </c>
      <c r="E8124" t="s">
        <v>67</v>
      </c>
      <c r="F8124" t="s">
        <v>49</v>
      </c>
      <c r="G8124" s="117">
        <v>0.76</v>
      </c>
    </row>
    <row r="8125" spans="1:7" x14ac:dyDescent="0.25">
      <c r="A8125" s="116" t="s">
        <v>13037</v>
      </c>
      <c r="B8125" s="117" t="s">
        <v>13038</v>
      </c>
      <c r="C8125" t="s">
        <v>67</v>
      </c>
      <c r="D8125" t="s">
        <v>67</v>
      </c>
      <c r="E8125" t="s">
        <v>67</v>
      </c>
      <c r="F8125" t="s">
        <v>45</v>
      </c>
      <c r="G8125" s="117">
        <v>5.79</v>
      </c>
    </row>
    <row r="8126" spans="1:7" x14ac:dyDescent="0.25">
      <c r="A8126" s="116" t="s">
        <v>13039</v>
      </c>
      <c r="B8126" s="117" t="s">
        <v>13040</v>
      </c>
      <c r="C8126" t="s">
        <v>67</v>
      </c>
      <c r="D8126" t="s">
        <v>67</v>
      </c>
      <c r="E8126" t="s">
        <v>67</v>
      </c>
      <c r="F8126" t="s">
        <v>27987</v>
      </c>
      <c r="G8126" s="117">
        <v>11.48</v>
      </c>
    </row>
    <row r="8127" spans="1:7" x14ac:dyDescent="0.25">
      <c r="A8127" s="116" t="s">
        <v>13041</v>
      </c>
      <c r="B8127" s="117" t="s">
        <v>13042</v>
      </c>
      <c r="C8127" t="s">
        <v>67</v>
      </c>
      <c r="D8127" t="s">
        <v>67</v>
      </c>
      <c r="E8127" t="s">
        <v>67</v>
      </c>
      <c r="F8127" t="s">
        <v>45</v>
      </c>
      <c r="G8127" s="117">
        <v>4.1500000000000004</v>
      </c>
    </row>
    <row r="8128" spans="1:7" x14ac:dyDescent="0.25">
      <c r="A8128" s="116" t="s">
        <v>13043</v>
      </c>
      <c r="B8128" s="117" t="s">
        <v>13042</v>
      </c>
      <c r="C8128" t="s">
        <v>67</v>
      </c>
      <c r="D8128" t="s">
        <v>67</v>
      </c>
      <c r="E8128" t="s">
        <v>67</v>
      </c>
      <c r="F8128" t="s">
        <v>45</v>
      </c>
      <c r="G8128" s="117">
        <v>9.8000000000000007</v>
      </c>
    </row>
    <row r="8129" spans="1:7" x14ac:dyDescent="0.25">
      <c r="A8129" s="116" t="s">
        <v>13044</v>
      </c>
      <c r="B8129" s="117" t="s">
        <v>13045</v>
      </c>
      <c r="C8129" t="s">
        <v>67</v>
      </c>
      <c r="D8129" t="s">
        <v>67</v>
      </c>
      <c r="E8129" t="s">
        <v>67</v>
      </c>
      <c r="F8129" t="s">
        <v>45</v>
      </c>
      <c r="G8129" s="117">
        <v>11.55</v>
      </c>
    </row>
    <row r="8130" spans="1:7" x14ac:dyDescent="0.25">
      <c r="A8130" s="116" t="s">
        <v>13046</v>
      </c>
      <c r="B8130" s="117" t="s">
        <v>13047</v>
      </c>
      <c r="C8130" t="s">
        <v>67</v>
      </c>
      <c r="D8130" t="s">
        <v>67</v>
      </c>
      <c r="E8130" t="s">
        <v>67</v>
      </c>
      <c r="F8130" t="s">
        <v>45</v>
      </c>
      <c r="G8130" s="117">
        <v>4.2699999999999996</v>
      </c>
    </row>
    <row r="8131" spans="1:7" x14ac:dyDescent="0.25">
      <c r="A8131" s="116" t="s">
        <v>13048</v>
      </c>
      <c r="B8131" s="117" t="s">
        <v>13049</v>
      </c>
      <c r="C8131" t="s">
        <v>67</v>
      </c>
      <c r="D8131" t="s">
        <v>67</v>
      </c>
      <c r="E8131" t="s">
        <v>67</v>
      </c>
      <c r="F8131" t="s">
        <v>45</v>
      </c>
      <c r="G8131" s="117">
        <v>5.0199999999999996</v>
      </c>
    </row>
    <row r="8132" spans="1:7" x14ac:dyDescent="0.25">
      <c r="A8132" s="116" t="s">
        <v>13050</v>
      </c>
      <c r="B8132" s="117" t="s">
        <v>13051</v>
      </c>
      <c r="C8132" t="s">
        <v>67</v>
      </c>
      <c r="D8132" t="s">
        <v>67</v>
      </c>
      <c r="E8132" t="s">
        <v>67</v>
      </c>
      <c r="F8132" t="s">
        <v>45</v>
      </c>
      <c r="G8132" s="117">
        <v>3.12</v>
      </c>
    </row>
    <row r="8133" spans="1:7" x14ac:dyDescent="0.25">
      <c r="A8133" s="116" t="s">
        <v>13052</v>
      </c>
      <c r="B8133" s="117" t="s">
        <v>13053</v>
      </c>
      <c r="C8133" t="s">
        <v>67</v>
      </c>
      <c r="D8133" t="s">
        <v>67</v>
      </c>
      <c r="E8133" t="s">
        <v>67</v>
      </c>
      <c r="F8133" t="s">
        <v>45</v>
      </c>
      <c r="G8133" s="117">
        <v>2.76</v>
      </c>
    </row>
    <row r="8134" spans="1:7" x14ac:dyDescent="0.25">
      <c r="A8134" s="116" t="s">
        <v>13054</v>
      </c>
      <c r="B8134" s="117" t="s">
        <v>13055</v>
      </c>
      <c r="C8134" t="s">
        <v>67</v>
      </c>
      <c r="D8134" t="s">
        <v>67</v>
      </c>
      <c r="E8134" t="s">
        <v>67</v>
      </c>
      <c r="F8134" t="s">
        <v>45</v>
      </c>
      <c r="G8134" s="117">
        <v>10.55</v>
      </c>
    </row>
    <row r="8135" spans="1:7" x14ac:dyDescent="0.25">
      <c r="A8135" s="116" t="s">
        <v>13056</v>
      </c>
      <c r="B8135" s="117" t="s">
        <v>13057</v>
      </c>
      <c r="C8135" t="s">
        <v>67</v>
      </c>
      <c r="D8135" t="s">
        <v>67</v>
      </c>
      <c r="E8135" t="s">
        <v>67</v>
      </c>
      <c r="F8135" t="s">
        <v>45</v>
      </c>
      <c r="G8135" s="117">
        <v>13.26</v>
      </c>
    </row>
    <row r="8136" spans="1:7" x14ac:dyDescent="0.25">
      <c r="A8136" s="116" t="s">
        <v>13058</v>
      </c>
      <c r="B8136" s="117" t="s">
        <v>13059</v>
      </c>
      <c r="C8136" t="s">
        <v>67</v>
      </c>
      <c r="D8136" t="s">
        <v>67</v>
      </c>
      <c r="E8136" t="s">
        <v>67</v>
      </c>
      <c r="F8136" t="s">
        <v>45</v>
      </c>
      <c r="G8136" s="117">
        <v>8.4499999999999993</v>
      </c>
    </row>
    <row r="8137" spans="1:7" x14ac:dyDescent="0.25">
      <c r="A8137" s="116" t="s">
        <v>13060</v>
      </c>
      <c r="B8137" s="117" t="s">
        <v>3482</v>
      </c>
      <c r="C8137" t="s">
        <v>67</v>
      </c>
      <c r="D8137" t="s">
        <v>67</v>
      </c>
      <c r="E8137" t="s">
        <v>67</v>
      </c>
      <c r="F8137" t="s">
        <v>27987</v>
      </c>
      <c r="G8137" s="117">
        <v>2.58</v>
      </c>
    </row>
    <row r="8138" spans="1:7" x14ac:dyDescent="0.25">
      <c r="A8138" s="116" t="s">
        <v>13061</v>
      </c>
      <c r="B8138" s="117" t="s">
        <v>13062</v>
      </c>
      <c r="C8138" t="s">
        <v>67</v>
      </c>
      <c r="D8138" t="s">
        <v>67</v>
      </c>
      <c r="E8138" t="s">
        <v>67</v>
      </c>
      <c r="F8138" t="s">
        <v>49</v>
      </c>
      <c r="G8138" s="117">
        <v>5.25</v>
      </c>
    </row>
    <row r="8139" spans="1:7" x14ac:dyDescent="0.25">
      <c r="A8139" s="116" t="s">
        <v>13063</v>
      </c>
      <c r="B8139" s="117" t="s">
        <v>13064</v>
      </c>
      <c r="C8139" t="s">
        <v>67</v>
      </c>
      <c r="D8139" t="s">
        <v>67</v>
      </c>
      <c r="E8139" t="s">
        <v>67</v>
      </c>
      <c r="F8139" t="s">
        <v>49</v>
      </c>
      <c r="G8139" s="117">
        <v>4</v>
      </c>
    </row>
    <row r="8140" spans="1:7" x14ac:dyDescent="0.25">
      <c r="A8140" s="116" t="s">
        <v>13065</v>
      </c>
      <c r="B8140" s="117" t="s">
        <v>13066</v>
      </c>
      <c r="C8140" t="s">
        <v>67</v>
      </c>
      <c r="D8140" t="s">
        <v>67</v>
      </c>
      <c r="E8140" t="s">
        <v>67</v>
      </c>
      <c r="F8140" t="s">
        <v>27987</v>
      </c>
      <c r="G8140" s="117">
        <v>1.69</v>
      </c>
    </row>
    <row r="8141" spans="1:7" x14ac:dyDescent="0.25">
      <c r="A8141" s="116" t="s">
        <v>13067</v>
      </c>
      <c r="B8141" s="117" t="s">
        <v>13068</v>
      </c>
      <c r="C8141" t="s">
        <v>67</v>
      </c>
      <c r="D8141" t="s">
        <v>67</v>
      </c>
      <c r="E8141" t="s">
        <v>67</v>
      </c>
      <c r="F8141" t="s">
        <v>49</v>
      </c>
      <c r="G8141" s="117">
        <v>8.4499999999999993</v>
      </c>
    </row>
    <row r="8142" spans="1:7" x14ac:dyDescent="0.25">
      <c r="A8142" s="116" t="s">
        <v>13069</v>
      </c>
      <c r="B8142" s="117" t="s">
        <v>3532</v>
      </c>
      <c r="C8142" t="s">
        <v>67</v>
      </c>
      <c r="D8142" t="s">
        <v>67</v>
      </c>
      <c r="E8142" t="s">
        <v>67</v>
      </c>
      <c r="F8142" t="s">
        <v>27987</v>
      </c>
      <c r="G8142" s="117">
        <v>14.14</v>
      </c>
    </row>
    <row r="8143" spans="1:7" x14ac:dyDescent="0.25">
      <c r="A8143" s="116" t="s">
        <v>13070</v>
      </c>
      <c r="B8143" s="117" t="s">
        <v>13071</v>
      </c>
      <c r="C8143" t="s">
        <v>67</v>
      </c>
      <c r="D8143" t="s">
        <v>67</v>
      </c>
      <c r="E8143" t="s">
        <v>67</v>
      </c>
      <c r="F8143" t="s">
        <v>45</v>
      </c>
      <c r="G8143" s="117">
        <v>12.01</v>
      </c>
    </row>
    <row r="8144" spans="1:7" x14ac:dyDescent="0.25">
      <c r="A8144" s="116" t="s">
        <v>13072</v>
      </c>
      <c r="B8144" s="117" t="s">
        <v>13073</v>
      </c>
      <c r="C8144" t="s">
        <v>67</v>
      </c>
      <c r="D8144" t="s">
        <v>67</v>
      </c>
      <c r="E8144" t="s">
        <v>67</v>
      </c>
      <c r="F8144" t="s">
        <v>45</v>
      </c>
      <c r="G8144" s="117">
        <v>38.18</v>
      </c>
    </row>
    <row r="8145" spans="1:7" x14ac:dyDescent="0.25">
      <c r="A8145" s="116" t="s">
        <v>13074</v>
      </c>
      <c r="B8145" s="117" t="s">
        <v>13075</v>
      </c>
      <c r="C8145" t="s">
        <v>67</v>
      </c>
      <c r="D8145" t="s">
        <v>67</v>
      </c>
      <c r="E8145" t="s">
        <v>67</v>
      </c>
      <c r="F8145" t="s">
        <v>51</v>
      </c>
      <c r="G8145" s="117">
        <v>5.79</v>
      </c>
    </row>
    <row r="8146" spans="1:7" x14ac:dyDescent="0.25">
      <c r="A8146" s="116" t="s">
        <v>13076</v>
      </c>
      <c r="B8146" s="117" t="s">
        <v>13077</v>
      </c>
      <c r="C8146" t="s">
        <v>67</v>
      </c>
      <c r="D8146" t="s">
        <v>67</v>
      </c>
      <c r="E8146" t="s">
        <v>67</v>
      </c>
      <c r="F8146" t="s">
        <v>45</v>
      </c>
      <c r="G8146" s="117">
        <v>13.26</v>
      </c>
    </row>
    <row r="8147" spans="1:7" x14ac:dyDescent="0.25">
      <c r="A8147" s="116" t="s">
        <v>13078</v>
      </c>
      <c r="B8147" s="117" t="s">
        <v>13079</v>
      </c>
      <c r="C8147" t="s">
        <v>67</v>
      </c>
      <c r="D8147" t="s">
        <v>67</v>
      </c>
      <c r="E8147" t="s">
        <v>67</v>
      </c>
      <c r="F8147" t="s">
        <v>45</v>
      </c>
      <c r="G8147" s="117">
        <v>29.81</v>
      </c>
    </row>
    <row r="8148" spans="1:7" x14ac:dyDescent="0.25">
      <c r="A8148" s="116" t="s">
        <v>13080</v>
      </c>
      <c r="B8148" s="117" t="s">
        <v>12947</v>
      </c>
      <c r="C8148" t="s">
        <v>67</v>
      </c>
      <c r="D8148" t="s">
        <v>67</v>
      </c>
      <c r="E8148" t="s">
        <v>67</v>
      </c>
      <c r="F8148" t="s">
        <v>27987</v>
      </c>
      <c r="G8148" s="117">
        <v>10.24</v>
      </c>
    </row>
    <row r="8149" spans="1:7" x14ac:dyDescent="0.25">
      <c r="A8149" s="116" t="s">
        <v>13081</v>
      </c>
      <c r="B8149" s="117" t="s">
        <v>12947</v>
      </c>
      <c r="C8149" t="s">
        <v>67</v>
      </c>
      <c r="D8149" t="s">
        <v>67</v>
      </c>
      <c r="E8149" t="s">
        <v>67</v>
      </c>
      <c r="F8149" t="s">
        <v>49</v>
      </c>
      <c r="G8149" s="117">
        <v>11.12</v>
      </c>
    </row>
    <row r="8150" spans="1:7" x14ac:dyDescent="0.25">
      <c r="A8150" s="116" t="s">
        <v>13082</v>
      </c>
      <c r="B8150" s="117" t="s">
        <v>13083</v>
      </c>
      <c r="C8150" t="s">
        <v>67</v>
      </c>
      <c r="D8150" t="s">
        <v>67</v>
      </c>
      <c r="E8150" t="s">
        <v>67</v>
      </c>
      <c r="F8150" t="s">
        <v>49</v>
      </c>
      <c r="G8150" s="117">
        <v>3.55</v>
      </c>
    </row>
    <row r="8151" spans="1:7" x14ac:dyDescent="0.25">
      <c r="A8151" s="116" t="s">
        <v>13084</v>
      </c>
      <c r="B8151" s="117" t="s">
        <v>384</v>
      </c>
      <c r="C8151" t="s">
        <v>67</v>
      </c>
      <c r="D8151" t="s">
        <v>67</v>
      </c>
      <c r="E8151" t="s">
        <v>67</v>
      </c>
      <c r="F8151" t="s">
        <v>45</v>
      </c>
      <c r="G8151" s="117">
        <v>53.3</v>
      </c>
    </row>
    <row r="8152" spans="1:7" x14ac:dyDescent="0.25">
      <c r="A8152" s="116" t="s">
        <v>13085</v>
      </c>
      <c r="B8152" s="117" t="s">
        <v>1477</v>
      </c>
      <c r="C8152" t="s">
        <v>67</v>
      </c>
      <c r="D8152" t="s">
        <v>67</v>
      </c>
      <c r="E8152" t="s">
        <v>67</v>
      </c>
      <c r="F8152" t="s">
        <v>45</v>
      </c>
      <c r="G8152" s="117">
        <v>15.02</v>
      </c>
    </row>
    <row r="8153" spans="1:7" x14ac:dyDescent="0.25">
      <c r="A8153" s="116" t="s">
        <v>13086</v>
      </c>
      <c r="B8153" s="117" t="s">
        <v>12847</v>
      </c>
      <c r="C8153" t="s">
        <v>67</v>
      </c>
      <c r="D8153" t="s">
        <v>67</v>
      </c>
      <c r="E8153" t="s">
        <v>67</v>
      </c>
      <c r="F8153" t="s">
        <v>45</v>
      </c>
      <c r="G8153" s="117">
        <v>7.56</v>
      </c>
    </row>
    <row r="8154" spans="1:7" x14ac:dyDescent="0.25">
      <c r="A8154" s="116" t="s">
        <v>13087</v>
      </c>
      <c r="B8154" s="117" t="s">
        <v>13088</v>
      </c>
      <c r="C8154" t="s">
        <v>67</v>
      </c>
      <c r="D8154" t="s">
        <v>67</v>
      </c>
      <c r="E8154" t="s">
        <v>67</v>
      </c>
      <c r="F8154" t="s">
        <v>45</v>
      </c>
      <c r="G8154" s="117">
        <v>23.6</v>
      </c>
    </row>
    <row r="8155" spans="1:7" x14ac:dyDescent="0.25">
      <c r="A8155" s="116" t="s">
        <v>13089</v>
      </c>
      <c r="B8155" s="117" t="s">
        <v>13090</v>
      </c>
      <c r="C8155" t="s">
        <v>67</v>
      </c>
      <c r="D8155" t="s">
        <v>67</v>
      </c>
      <c r="E8155" t="s">
        <v>67</v>
      </c>
      <c r="F8155" t="s">
        <v>27987</v>
      </c>
      <c r="G8155" s="117">
        <v>10.24</v>
      </c>
    </row>
    <row r="8156" spans="1:7" x14ac:dyDescent="0.25">
      <c r="A8156" s="116" t="s">
        <v>13091</v>
      </c>
      <c r="B8156" s="117" t="s">
        <v>13092</v>
      </c>
      <c r="C8156" t="s">
        <v>67</v>
      </c>
      <c r="D8156" t="s">
        <v>67</v>
      </c>
      <c r="E8156" t="s">
        <v>67</v>
      </c>
      <c r="F8156" t="s">
        <v>45</v>
      </c>
      <c r="G8156" s="117">
        <v>3.56</v>
      </c>
    </row>
    <row r="8157" spans="1:7" x14ac:dyDescent="0.25">
      <c r="A8157" s="116" t="s">
        <v>13093</v>
      </c>
      <c r="B8157" s="117" t="s">
        <v>13094</v>
      </c>
      <c r="C8157" t="s">
        <v>67</v>
      </c>
      <c r="D8157" t="s">
        <v>67</v>
      </c>
      <c r="E8157" t="s">
        <v>67</v>
      </c>
      <c r="F8157" t="s">
        <v>45</v>
      </c>
      <c r="G8157" s="117">
        <v>3.56</v>
      </c>
    </row>
    <row r="8158" spans="1:7" x14ac:dyDescent="0.25">
      <c r="A8158" s="116" t="s">
        <v>13095</v>
      </c>
      <c r="B8158" s="117" t="s">
        <v>13096</v>
      </c>
      <c r="C8158" t="s">
        <v>67</v>
      </c>
      <c r="D8158" t="s">
        <v>67</v>
      </c>
      <c r="E8158" t="s">
        <v>67</v>
      </c>
      <c r="F8158" t="s">
        <v>27987</v>
      </c>
      <c r="G8158" s="117">
        <v>7.92</v>
      </c>
    </row>
    <row r="8159" spans="1:7" x14ac:dyDescent="0.25">
      <c r="A8159" s="116" t="s">
        <v>13097</v>
      </c>
      <c r="B8159" s="117" t="s">
        <v>13098</v>
      </c>
      <c r="C8159" t="s">
        <v>67</v>
      </c>
      <c r="D8159" t="s">
        <v>67</v>
      </c>
      <c r="E8159" t="s">
        <v>67</v>
      </c>
      <c r="F8159" t="s">
        <v>45</v>
      </c>
      <c r="G8159" s="117">
        <v>1.33</v>
      </c>
    </row>
    <row r="8160" spans="1:7" x14ac:dyDescent="0.25">
      <c r="A8160" s="116" t="s">
        <v>13099</v>
      </c>
      <c r="B8160" s="117" t="s">
        <v>13100</v>
      </c>
      <c r="C8160" t="s">
        <v>67</v>
      </c>
      <c r="D8160" t="s">
        <v>67</v>
      </c>
      <c r="E8160" t="s">
        <v>67</v>
      </c>
      <c r="F8160" t="s">
        <v>45</v>
      </c>
      <c r="G8160" s="117">
        <v>4.8899999999999997</v>
      </c>
    </row>
    <row r="8161" spans="1:7" x14ac:dyDescent="0.25">
      <c r="A8161" s="116" t="s">
        <v>13101</v>
      </c>
      <c r="B8161" s="117" t="s">
        <v>13102</v>
      </c>
      <c r="C8161" t="s">
        <v>67</v>
      </c>
      <c r="D8161" t="s">
        <v>67</v>
      </c>
      <c r="E8161" t="s">
        <v>67</v>
      </c>
      <c r="F8161" t="s">
        <v>27987</v>
      </c>
      <c r="G8161" s="117">
        <v>16.82</v>
      </c>
    </row>
    <row r="8162" spans="1:7" x14ac:dyDescent="0.25">
      <c r="A8162" s="116" t="s">
        <v>13103</v>
      </c>
      <c r="B8162" s="117" t="s">
        <v>13104</v>
      </c>
      <c r="C8162" t="s">
        <v>67</v>
      </c>
      <c r="D8162" t="s">
        <v>67</v>
      </c>
      <c r="E8162" t="s">
        <v>67</v>
      </c>
      <c r="F8162" t="s">
        <v>45</v>
      </c>
      <c r="G8162" s="117">
        <v>32.479999999999997</v>
      </c>
    </row>
    <row r="8163" spans="1:7" x14ac:dyDescent="0.25">
      <c r="A8163" s="116" t="s">
        <v>13105</v>
      </c>
      <c r="B8163" s="117" t="s">
        <v>13106</v>
      </c>
      <c r="C8163" t="s">
        <v>67</v>
      </c>
      <c r="D8163" t="s">
        <v>67</v>
      </c>
      <c r="E8163" t="s">
        <v>67</v>
      </c>
      <c r="F8163" t="s">
        <v>45</v>
      </c>
      <c r="G8163" s="117">
        <v>21.26</v>
      </c>
    </row>
    <row r="8164" spans="1:7" x14ac:dyDescent="0.25">
      <c r="A8164" s="116" t="s">
        <v>13107</v>
      </c>
      <c r="B8164" s="117" t="s">
        <v>13108</v>
      </c>
      <c r="C8164" t="s">
        <v>67</v>
      </c>
      <c r="D8164" t="s">
        <v>67</v>
      </c>
      <c r="E8164" t="s">
        <v>67</v>
      </c>
      <c r="F8164" t="s">
        <v>27987</v>
      </c>
      <c r="G8164" s="117">
        <v>21.26</v>
      </c>
    </row>
    <row r="8165" spans="1:7" x14ac:dyDescent="0.25">
      <c r="A8165" s="116" t="s">
        <v>31167</v>
      </c>
      <c r="B8165" s="117" t="s">
        <v>31168</v>
      </c>
      <c r="C8165" t="s">
        <v>67</v>
      </c>
      <c r="D8165" t="s">
        <v>67</v>
      </c>
      <c r="E8165" t="s">
        <v>67</v>
      </c>
      <c r="F8165" t="s">
        <v>45</v>
      </c>
      <c r="G8165" s="117">
        <v>7.5</v>
      </c>
    </row>
    <row r="8166" spans="1:7" x14ac:dyDescent="0.25">
      <c r="A8166" s="116" t="s">
        <v>13109</v>
      </c>
      <c r="B8166" s="117" t="s">
        <v>13110</v>
      </c>
      <c r="C8166" t="s">
        <v>67</v>
      </c>
      <c r="D8166" t="s">
        <v>67</v>
      </c>
      <c r="E8166" t="s">
        <v>67</v>
      </c>
      <c r="F8166" t="s">
        <v>45</v>
      </c>
      <c r="G8166" s="117">
        <v>34.26</v>
      </c>
    </row>
    <row r="8167" spans="1:7" x14ac:dyDescent="0.25">
      <c r="A8167" s="116" t="s">
        <v>13111</v>
      </c>
      <c r="B8167" s="117" t="s">
        <v>12867</v>
      </c>
      <c r="C8167" t="s">
        <v>67</v>
      </c>
      <c r="D8167" t="s">
        <v>67</v>
      </c>
      <c r="E8167" t="s">
        <v>67</v>
      </c>
      <c r="F8167" t="s">
        <v>45</v>
      </c>
      <c r="G8167" s="117">
        <v>4.8899999999999997</v>
      </c>
    </row>
    <row r="8168" spans="1:7" x14ac:dyDescent="0.25">
      <c r="A8168" s="116" t="s">
        <v>13112</v>
      </c>
      <c r="B8168" s="117" t="s">
        <v>13113</v>
      </c>
      <c r="C8168" t="s">
        <v>67</v>
      </c>
      <c r="D8168" t="s">
        <v>67</v>
      </c>
      <c r="E8168" t="s">
        <v>67</v>
      </c>
      <c r="F8168" t="s">
        <v>45</v>
      </c>
      <c r="G8168" s="117">
        <v>12.01</v>
      </c>
    </row>
    <row r="8169" spans="1:7" x14ac:dyDescent="0.25">
      <c r="A8169" s="116" t="s">
        <v>13114</v>
      </c>
      <c r="B8169" s="117" t="s">
        <v>13115</v>
      </c>
      <c r="C8169" t="s">
        <v>67</v>
      </c>
      <c r="D8169" t="s">
        <v>67</v>
      </c>
      <c r="E8169" t="s">
        <v>67</v>
      </c>
      <c r="F8169" t="s">
        <v>45</v>
      </c>
      <c r="G8169" s="117">
        <v>10.58</v>
      </c>
    </row>
    <row r="8170" spans="1:7" x14ac:dyDescent="0.25">
      <c r="A8170" s="116" t="s">
        <v>13116</v>
      </c>
      <c r="B8170" s="117" t="s">
        <v>13029</v>
      </c>
      <c r="C8170" t="s">
        <v>67</v>
      </c>
      <c r="D8170" t="s">
        <v>67</v>
      </c>
      <c r="E8170" t="s">
        <v>67</v>
      </c>
      <c r="F8170" t="s">
        <v>45</v>
      </c>
      <c r="G8170" s="117">
        <v>5.25</v>
      </c>
    </row>
    <row r="8171" spans="1:7" x14ac:dyDescent="0.25">
      <c r="A8171" s="116" t="s">
        <v>13117</v>
      </c>
      <c r="B8171" s="117" t="s">
        <v>13118</v>
      </c>
      <c r="C8171" t="s">
        <v>67</v>
      </c>
      <c r="D8171" t="s">
        <v>67</v>
      </c>
      <c r="E8171" t="s">
        <v>67</v>
      </c>
      <c r="F8171" t="s">
        <v>27987</v>
      </c>
      <c r="G8171" s="117">
        <v>4.8899999999999997</v>
      </c>
    </row>
    <row r="8172" spans="1:7" x14ac:dyDescent="0.25">
      <c r="A8172" s="116" t="s">
        <v>13119</v>
      </c>
      <c r="B8172" s="117" t="s">
        <v>13120</v>
      </c>
      <c r="C8172" t="s">
        <v>67</v>
      </c>
      <c r="D8172" t="s">
        <v>67</v>
      </c>
      <c r="E8172" t="s">
        <v>67</v>
      </c>
      <c r="F8172" t="s">
        <v>27987</v>
      </c>
      <c r="G8172" s="117">
        <v>18.239999999999998</v>
      </c>
    </row>
    <row r="8173" spans="1:7" x14ac:dyDescent="0.25">
      <c r="A8173" s="116" t="s">
        <v>13121</v>
      </c>
      <c r="B8173" s="117" t="s">
        <v>13122</v>
      </c>
      <c r="C8173" t="s">
        <v>67</v>
      </c>
      <c r="D8173" t="s">
        <v>67</v>
      </c>
      <c r="E8173" t="s">
        <v>67</v>
      </c>
      <c r="F8173" t="s">
        <v>45</v>
      </c>
      <c r="G8173" s="117">
        <v>18.239999999999998</v>
      </c>
    </row>
    <row r="8174" spans="1:7" x14ac:dyDescent="0.25">
      <c r="A8174" s="116" t="s">
        <v>13123</v>
      </c>
      <c r="B8174" s="117" t="s">
        <v>12884</v>
      </c>
      <c r="C8174" t="s">
        <v>67</v>
      </c>
      <c r="D8174" t="s">
        <v>67</v>
      </c>
      <c r="E8174" t="s">
        <v>67</v>
      </c>
      <c r="F8174" t="s">
        <v>45</v>
      </c>
      <c r="G8174" s="117">
        <v>1.39</v>
      </c>
    </row>
    <row r="8175" spans="1:7" x14ac:dyDescent="0.25">
      <c r="A8175" s="116" t="s">
        <v>13124</v>
      </c>
      <c r="B8175" s="117" t="s">
        <v>13125</v>
      </c>
      <c r="C8175" t="s">
        <v>67</v>
      </c>
      <c r="D8175" t="s">
        <v>67</v>
      </c>
      <c r="E8175" t="s">
        <v>67</v>
      </c>
      <c r="F8175" t="s">
        <v>45</v>
      </c>
      <c r="G8175" s="117">
        <v>14.14</v>
      </c>
    </row>
    <row r="8176" spans="1:7" x14ac:dyDescent="0.25">
      <c r="A8176" s="116" t="s">
        <v>13126</v>
      </c>
      <c r="B8176" s="117" t="s">
        <v>13127</v>
      </c>
      <c r="C8176" t="s">
        <v>67</v>
      </c>
      <c r="D8176" t="s">
        <v>67</v>
      </c>
      <c r="E8176" t="s">
        <v>67</v>
      </c>
      <c r="F8176" t="s">
        <v>27987</v>
      </c>
      <c r="G8176" s="117">
        <v>6.14</v>
      </c>
    </row>
    <row r="8177" spans="1:7" x14ac:dyDescent="0.25">
      <c r="A8177" s="116" t="s">
        <v>13128</v>
      </c>
      <c r="B8177" s="117" t="s">
        <v>13129</v>
      </c>
      <c r="C8177" t="s">
        <v>67</v>
      </c>
      <c r="D8177" t="s">
        <v>67</v>
      </c>
      <c r="E8177" t="s">
        <v>67</v>
      </c>
      <c r="F8177" t="s">
        <v>45</v>
      </c>
      <c r="G8177" s="117">
        <v>6.14</v>
      </c>
    </row>
    <row r="8178" spans="1:7" x14ac:dyDescent="0.25">
      <c r="A8178" s="116" t="s">
        <v>13130</v>
      </c>
      <c r="B8178" s="117" t="s">
        <v>13131</v>
      </c>
      <c r="C8178" t="s">
        <v>67</v>
      </c>
      <c r="D8178" t="s">
        <v>67</v>
      </c>
      <c r="E8178" t="s">
        <v>67</v>
      </c>
      <c r="F8178" t="s">
        <v>49</v>
      </c>
      <c r="G8178" s="117">
        <v>4.8899999999999997</v>
      </c>
    </row>
    <row r="8179" spans="1:7" x14ac:dyDescent="0.25">
      <c r="A8179" s="116" t="s">
        <v>28991</v>
      </c>
      <c r="B8179" s="117" t="s">
        <v>12533</v>
      </c>
      <c r="C8179" t="s">
        <v>67</v>
      </c>
      <c r="D8179" t="s">
        <v>67</v>
      </c>
      <c r="E8179" t="s">
        <v>67</v>
      </c>
      <c r="F8179" t="s">
        <v>27987</v>
      </c>
      <c r="G8179" s="117">
        <v>4.8899999999999997</v>
      </c>
    </row>
    <row r="8180" spans="1:7" x14ac:dyDescent="0.25">
      <c r="A8180" s="116" t="s">
        <v>13132</v>
      </c>
      <c r="B8180" s="117" t="s">
        <v>13133</v>
      </c>
      <c r="C8180" t="s">
        <v>67</v>
      </c>
      <c r="D8180" t="s">
        <v>67</v>
      </c>
      <c r="E8180" t="s">
        <v>67</v>
      </c>
      <c r="F8180" t="s">
        <v>27987</v>
      </c>
      <c r="G8180" s="117">
        <v>10.58</v>
      </c>
    </row>
    <row r="8181" spans="1:7" x14ac:dyDescent="0.25">
      <c r="A8181" s="116" t="s">
        <v>13134</v>
      </c>
      <c r="B8181" s="117" t="s">
        <v>2454</v>
      </c>
      <c r="C8181" t="s">
        <v>67</v>
      </c>
      <c r="D8181" t="s">
        <v>67</v>
      </c>
      <c r="E8181" t="s">
        <v>67</v>
      </c>
      <c r="F8181" t="s">
        <v>45</v>
      </c>
      <c r="G8181" s="117">
        <v>14.68</v>
      </c>
    </row>
    <row r="8182" spans="1:7" x14ac:dyDescent="0.25">
      <c r="A8182" s="116" t="s">
        <v>13135</v>
      </c>
      <c r="B8182" s="117" t="s">
        <v>28992</v>
      </c>
      <c r="C8182" t="s">
        <v>67</v>
      </c>
      <c r="D8182" t="s">
        <v>67</v>
      </c>
      <c r="E8182" t="s">
        <v>67</v>
      </c>
      <c r="F8182" t="s">
        <v>27987</v>
      </c>
      <c r="G8182" s="117">
        <v>11.48</v>
      </c>
    </row>
    <row r="8183" spans="1:7" x14ac:dyDescent="0.25">
      <c r="A8183" s="116" t="s">
        <v>13137</v>
      </c>
      <c r="B8183" s="117" t="s">
        <v>1025</v>
      </c>
      <c r="C8183" t="s">
        <v>67</v>
      </c>
      <c r="D8183" t="s">
        <v>67</v>
      </c>
      <c r="E8183" t="s">
        <v>67</v>
      </c>
      <c r="F8183" t="s">
        <v>45</v>
      </c>
      <c r="G8183" s="117">
        <v>30.39</v>
      </c>
    </row>
    <row r="8184" spans="1:7" x14ac:dyDescent="0.25">
      <c r="A8184" s="116" t="s">
        <v>13138</v>
      </c>
      <c r="B8184" s="117" t="s">
        <v>13139</v>
      </c>
      <c r="C8184" t="s">
        <v>67</v>
      </c>
      <c r="D8184" t="s">
        <v>67</v>
      </c>
      <c r="E8184" t="s">
        <v>67</v>
      </c>
      <c r="F8184" t="s">
        <v>27987</v>
      </c>
      <c r="G8184" s="117">
        <v>2.58</v>
      </c>
    </row>
    <row r="8185" spans="1:7" x14ac:dyDescent="0.25">
      <c r="A8185" s="116" t="s">
        <v>13140</v>
      </c>
      <c r="B8185" s="117" t="s">
        <v>13141</v>
      </c>
      <c r="C8185" t="s">
        <v>67</v>
      </c>
      <c r="D8185" t="s">
        <v>67</v>
      </c>
      <c r="E8185" t="s">
        <v>67</v>
      </c>
      <c r="F8185" t="s">
        <v>45</v>
      </c>
      <c r="G8185" s="117">
        <v>10.24</v>
      </c>
    </row>
    <row r="8186" spans="1:7" x14ac:dyDescent="0.25">
      <c r="A8186" s="116" t="s">
        <v>13142</v>
      </c>
      <c r="B8186" s="117" t="s">
        <v>13143</v>
      </c>
      <c r="C8186" t="s">
        <v>67</v>
      </c>
      <c r="D8186" t="s">
        <v>67</v>
      </c>
      <c r="E8186" t="s">
        <v>67</v>
      </c>
      <c r="F8186" t="s">
        <v>27987</v>
      </c>
      <c r="G8186" s="117">
        <v>2.58</v>
      </c>
    </row>
    <row r="8187" spans="1:7" x14ac:dyDescent="0.25">
      <c r="A8187" s="116" t="s">
        <v>13144</v>
      </c>
      <c r="B8187" s="117" t="s">
        <v>13145</v>
      </c>
      <c r="C8187" t="s">
        <v>67</v>
      </c>
      <c r="D8187" t="s">
        <v>67</v>
      </c>
      <c r="E8187" t="s">
        <v>67</v>
      </c>
      <c r="F8187" t="s">
        <v>27987</v>
      </c>
      <c r="G8187" s="117">
        <v>10.58</v>
      </c>
    </row>
    <row r="8188" spans="1:7" x14ac:dyDescent="0.25">
      <c r="A8188" s="116" t="s">
        <v>13146</v>
      </c>
      <c r="B8188" s="117" t="s">
        <v>13147</v>
      </c>
      <c r="C8188" t="s">
        <v>67</v>
      </c>
      <c r="D8188" t="s">
        <v>67</v>
      </c>
      <c r="E8188" t="s">
        <v>67</v>
      </c>
      <c r="F8188" t="s">
        <v>45</v>
      </c>
      <c r="G8188" s="117">
        <v>6.14</v>
      </c>
    </row>
    <row r="8189" spans="1:7" x14ac:dyDescent="0.25">
      <c r="A8189" s="116" t="s">
        <v>13148</v>
      </c>
      <c r="B8189" s="117" t="s">
        <v>12898</v>
      </c>
      <c r="C8189" t="s">
        <v>67</v>
      </c>
      <c r="D8189" t="s">
        <v>67</v>
      </c>
      <c r="E8189" t="s">
        <v>67</v>
      </c>
      <c r="F8189" t="s">
        <v>45</v>
      </c>
      <c r="G8189" s="117">
        <v>6.14</v>
      </c>
    </row>
    <row r="8190" spans="1:7" x14ac:dyDescent="0.25">
      <c r="A8190" s="116" t="s">
        <v>13149</v>
      </c>
      <c r="B8190" s="117" t="s">
        <v>13150</v>
      </c>
      <c r="C8190" t="s">
        <v>67</v>
      </c>
      <c r="D8190" t="s">
        <v>67</v>
      </c>
      <c r="E8190" t="s">
        <v>67</v>
      </c>
      <c r="F8190" t="s">
        <v>45</v>
      </c>
      <c r="G8190" s="117">
        <v>15</v>
      </c>
    </row>
    <row r="8191" spans="1:7" x14ac:dyDescent="0.25">
      <c r="A8191" s="116" t="s">
        <v>13151</v>
      </c>
      <c r="B8191" s="117" t="s">
        <v>13152</v>
      </c>
      <c r="C8191" t="s">
        <v>67</v>
      </c>
      <c r="D8191" t="s">
        <v>67</v>
      </c>
      <c r="E8191" t="s">
        <v>67</v>
      </c>
      <c r="F8191" t="s">
        <v>45</v>
      </c>
      <c r="G8191" s="117">
        <v>11.12</v>
      </c>
    </row>
    <row r="8192" spans="1:7" x14ac:dyDescent="0.25">
      <c r="A8192" s="116" t="s">
        <v>13153</v>
      </c>
      <c r="B8192" s="117" t="s">
        <v>13154</v>
      </c>
      <c r="C8192" t="s">
        <v>67</v>
      </c>
      <c r="D8192" t="s">
        <v>67</v>
      </c>
      <c r="E8192" t="s">
        <v>67</v>
      </c>
      <c r="F8192" t="s">
        <v>27987</v>
      </c>
      <c r="G8192" s="117">
        <v>7.92</v>
      </c>
    </row>
    <row r="8193" spans="1:7" x14ac:dyDescent="0.25">
      <c r="A8193" s="116" t="s">
        <v>13155</v>
      </c>
      <c r="B8193" s="117" t="s">
        <v>13156</v>
      </c>
      <c r="C8193" t="s">
        <v>67</v>
      </c>
      <c r="D8193" t="s">
        <v>67</v>
      </c>
      <c r="E8193" t="s">
        <v>67</v>
      </c>
      <c r="F8193" t="s">
        <v>45</v>
      </c>
      <c r="G8193" s="117">
        <v>7.12</v>
      </c>
    </row>
    <row r="8194" spans="1:7" x14ac:dyDescent="0.25">
      <c r="A8194" s="116" t="s">
        <v>13157</v>
      </c>
      <c r="B8194" s="117" t="s">
        <v>13158</v>
      </c>
      <c r="C8194" t="s">
        <v>67</v>
      </c>
      <c r="D8194" t="s">
        <v>67</v>
      </c>
      <c r="E8194" t="s">
        <v>67</v>
      </c>
      <c r="F8194" t="s">
        <v>45</v>
      </c>
      <c r="G8194" s="117">
        <v>4.8899999999999997</v>
      </c>
    </row>
    <row r="8195" spans="1:7" x14ac:dyDescent="0.25">
      <c r="A8195" s="116" t="s">
        <v>13159</v>
      </c>
      <c r="B8195" s="117" t="s">
        <v>13160</v>
      </c>
      <c r="C8195" t="s">
        <v>67</v>
      </c>
      <c r="D8195" t="s">
        <v>67</v>
      </c>
      <c r="E8195" t="s">
        <v>67</v>
      </c>
      <c r="F8195" t="s">
        <v>45</v>
      </c>
      <c r="G8195" s="117">
        <v>13.8</v>
      </c>
    </row>
    <row r="8196" spans="1:7" x14ac:dyDescent="0.25">
      <c r="A8196" s="116" t="s">
        <v>13161</v>
      </c>
      <c r="B8196" s="117" t="s">
        <v>13162</v>
      </c>
      <c r="C8196" t="s">
        <v>67</v>
      </c>
      <c r="D8196" t="s">
        <v>67</v>
      </c>
      <c r="E8196" t="s">
        <v>67</v>
      </c>
      <c r="F8196" t="s">
        <v>27987</v>
      </c>
      <c r="G8196" s="117">
        <v>1.69</v>
      </c>
    </row>
    <row r="8197" spans="1:7" x14ac:dyDescent="0.25">
      <c r="A8197" s="116" t="s">
        <v>13163</v>
      </c>
      <c r="B8197" s="117" t="s">
        <v>12884</v>
      </c>
      <c r="C8197" t="s">
        <v>67</v>
      </c>
      <c r="D8197" t="s">
        <v>67</v>
      </c>
      <c r="E8197" t="s">
        <v>67</v>
      </c>
      <c r="F8197" t="s">
        <v>27987</v>
      </c>
      <c r="G8197" s="117">
        <v>3.12</v>
      </c>
    </row>
    <row r="8198" spans="1:7" x14ac:dyDescent="0.25">
      <c r="A8198" s="116" t="s">
        <v>13164</v>
      </c>
      <c r="B8198" s="117" t="s">
        <v>13165</v>
      </c>
      <c r="C8198" t="s">
        <v>67</v>
      </c>
      <c r="D8198" t="s">
        <v>67</v>
      </c>
      <c r="E8198" t="s">
        <v>67</v>
      </c>
      <c r="F8198" t="s">
        <v>49</v>
      </c>
      <c r="G8198" s="117">
        <v>0.6</v>
      </c>
    </row>
    <row r="8199" spans="1:7" x14ac:dyDescent="0.25">
      <c r="A8199" s="116" t="s">
        <v>13166</v>
      </c>
      <c r="B8199" s="117" t="s">
        <v>3532</v>
      </c>
      <c r="C8199" t="s">
        <v>67</v>
      </c>
      <c r="D8199" t="s">
        <v>67</v>
      </c>
      <c r="E8199" t="s">
        <v>67</v>
      </c>
      <c r="F8199" t="s">
        <v>27987</v>
      </c>
      <c r="G8199" s="117">
        <v>91.2</v>
      </c>
    </row>
    <row r="8200" spans="1:7" x14ac:dyDescent="0.25">
      <c r="A8200" s="116" t="s">
        <v>13167</v>
      </c>
      <c r="B8200" s="117" t="s">
        <v>13168</v>
      </c>
      <c r="C8200" t="s">
        <v>67</v>
      </c>
      <c r="D8200" t="s">
        <v>67</v>
      </c>
      <c r="E8200" t="s">
        <v>67</v>
      </c>
      <c r="F8200" t="s">
        <v>45</v>
      </c>
      <c r="G8200" s="117">
        <v>51.17</v>
      </c>
    </row>
    <row r="8201" spans="1:7" x14ac:dyDescent="0.25">
      <c r="A8201" s="116" t="s">
        <v>13169</v>
      </c>
      <c r="B8201" s="117" t="s">
        <v>11787</v>
      </c>
      <c r="C8201" t="s">
        <v>67</v>
      </c>
      <c r="D8201" t="s">
        <v>67</v>
      </c>
      <c r="E8201" t="s">
        <v>67</v>
      </c>
      <c r="F8201" t="s">
        <v>27987</v>
      </c>
      <c r="G8201" s="117">
        <v>39.06</v>
      </c>
    </row>
    <row r="8202" spans="1:7" x14ac:dyDescent="0.25">
      <c r="A8202" s="116" t="s">
        <v>13170</v>
      </c>
      <c r="B8202" s="117" t="s">
        <v>13171</v>
      </c>
      <c r="C8202" t="s">
        <v>67</v>
      </c>
      <c r="D8202" t="s">
        <v>67</v>
      </c>
      <c r="E8202" t="s">
        <v>67</v>
      </c>
      <c r="F8202" t="s">
        <v>27987</v>
      </c>
      <c r="G8202" s="117">
        <v>51.17</v>
      </c>
    </row>
    <row r="8203" spans="1:7" x14ac:dyDescent="0.25">
      <c r="A8203" s="116" t="s">
        <v>13172</v>
      </c>
      <c r="B8203" s="117" t="s">
        <v>13173</v>
      </c>
      <c r="C8203" t="s">
        <v>67</v>
      </c>
      <c r="D8203" t="s">
        <v>67</v>
      </c>
      <c r="E8203" t="s">
        <v>67</v>
      </c>
      <c r="F8203" t="s">
        <v>45</v>
      </c>
      <c r="G8203" s="117">
        <v>51.17</v>
      </c>
    </row>
    <row r="8204" spans="1:7" x14ac:dyDescent="0.25">
      <c r="A8204" s="116" t="s">
        <v>13174</v>
      </c>
      <c r="B8204" s="117" t="s">
        <v>13175</v>
      </c>
      <c r="C8204" t="s">
        <v>67</v>
      </c>
      <c r="D8204" t="s">
        <v>67</v>
      </c>
      <c r="E8204" t="s">
        <v>67</v>
      </c>
      <c r="F8204" t="s">
        <v>27987</v>
      </c>
      <c r="G8204" s="117">
        <v>49.74</v>
      </c>
    </row>
    <row r="8205" spans="1:7" x14ac:dyDescent="0.25">
      <c r="A8205" s="116" t="s">
        <v>13176</v>
      </c>
      <c r="B8205" s="117" t="s">
        <v>11693</v>
      </c>
      <c r="C8205" t="s">
        <v>67</v>
      </c>
      <c r="D8205" t="s">
        <v>67</v>
      </c>
      <c r="E8205" t="s">
        <v>67</v>
      </c>
      <c r="F8205" t="s">
        <v>45</v>
      </c>
      <c r="G8205" s="117">
        <v>165.06</v>
      </c>
    </row>
    <row r="8206" spans="1:7" x14ac:dyDescent="0.25">
      <c r="A8206" s="116" t="s">
        <v>13177</v>
      </c>
      <c r="B8206" s="117" t="s">
        <v>13178</v>
      </c>
      <c r="C8206" t="s">
        <v>67</v>
      </c>
      <c r="D8206" t="s">
        <v>67</v>
      </c>
      <c r="E8206" t="s">
        <v>67</v>
      </c>
      <c r="F8206" t="s">
        <v>45</v>
      </c>
      <c r="G8206" s="117">
        <v>51.17</v>
      </c>
    </row>
    <row r="8207" spans="1:7" x14ac:dyDescent="0.25">
      <c r="A8207" s="116" t="s">
        <v>13179</v>
      </c>
      <c r="B8207" s="117" t="s">
        <v>13180</v>
      </c>
      <c r="C8207" t="s">
        <v>67</v>
      </c>
      <c r="D8207" t="s">
        <v>67</v>
      </c>
      <c r="E8207" t="s">
        <v>67</v>
      </c>
      <c r="F8207" t="s">
        <v>27987</v>
      </c>
      <c r="G8207" s="117">
        <v>18.059999999999999</v>
      </c>
    </row>
    <row r="8208" spans="1:7" x14ac:dyDescent="0.25">
      <c r="A8208" s="116" t="s">
        <v>13181</v>
      </c>
      <c r="B8208" s="117" t="s">
        <v>13182</v>
      </c>
      <c r="C8208" t="s">
        <v>67</v>
      </c>
      <c r="D8208" t="s">
        <v>67</v>
      </c>
      <c r="E8208" t="s">
        <v>67</v>
      </c>
      <c r="F8208" t="s">
        <v>27987</v>
      </c>
      <c r="G8208" s="117">
        <v>18.059999999999999</v>
      </c>
    </row>
    <row r="8209" spans="1:7" x14ac:dyDescent="0.25">
      <c r="A8209" s="116" t="s">
        <v>13183</v>
      </c>
      <c r="B8209" s="117" t="s">
        <v>13184</v>
      </c>
      <c r="C8209" t="s">
        <v>67</v>
      </c>
      <c r="D8209" t="s">
        <v>67</v>
      </c>
      <c r="E8209" t="s">
        <v>67</v>
      </c>
      <c r="F8209" t="s">
        <v>27987</v>
      </c>
      <c r="G8209" s="117">
        <v>48.5</v>
      </c>
    </row>
    <row r="8210" spans="1:7" x14ac:dyDescent="0.25">
      <c r="A8210" s="116" t="s">
        <v>13185</v>
      </c>
      <c r="B8210" s="117" t="s">
        <v>28993</v>
      </c>
      <c r="C8210" t="s">
        <v>67</v>
      </c>
      <c r="D8210" t="s">
        <v>67</v>
      </c>
      <c r="E8210" t="s">
        <v>67</v>
      </c>
      <c r="F8210" t="s">
        <v>27987</v>
      </c>
      <c r="G8210" s="117">
        <v>41.38</v>
      </c>
    </row>
    <row r="8211" spans="1:7" x14ac:dyDescent="0.25">
      <c r="A8211" s="116" t="s">
        <v>13186</v>
      </c>
      <c r="B8211" s="117" t="s">
        <v>13187</v>
      </c>
      <c r="C8211" t="s">
        <v>67</v>
      </c>
      <c r="D8211" t="s">
        <v>67</v>
      </c>
      <c r="E8211" t="s">
        <v>67</v>
      </c>
      <c r="F8211" t="s">
        <v>27987</v>
      </c>
      <c r="G8211" s="117">
        <v>3.56</v>
      </c>
    </row>
    <row r="8212" spans="1:7" x14ac:dyDescent="0.25">
      <c r="A8212" s="116" t="s">
        <v>13188</v>
      </c>
      <c r="B8212" s="117" t="s">
        <v>13189</v>
      </c>
      <c r="C8212" t="s">
        <v>67</v>
      </c>
      <c r="D8212" t="s">
        <v>67</v>
      </c>
      <c r="E8212" t="s">
        <v>67</v>
      </c>
      <c r="F8212" t="s">
        <v>27987</v>
      </c>
      <c r="G8212" s="117">
        <v>3.56</v>
      </c>
    </row>
    <row r="8213" spans="1:7" x14ac:dyDescent="0.25">
      <c r="A8213" s="116" t="s">
        <v>13190</v>
      </c>
      <c r="B8213" s="117" t="s">
        <v>13191</v>
      </c>
      <c r="C8213" t="s">
        <v>67</v>
      </c>
      <c r="D8213" t="s">
        <v>67</v>
      </c>
      <c r="E8213" t="s">
        <v>67</v>
      </c>
      <c r="F8213" t="s">
        <v>27987</v>
      </c>
      <c r="G8213" s="117">
        <v>15.57</v>
      </c>
    </row>
    <row r="8214" spans="1:7" x14ac:dyDescent="0.25">
      <c r="A8214" s="116" t="s">
        <v>13192</v>
      </c>
      <c r="B8214" s="117" t="s">
        <v>12877</v>
      </c>
      <c r="C8214" t="s">
        <v>67</v>
      </c>
      <c r="D8214" t="s">
        <v>67</v>
      </c>
      <c r="E8214" t="s">
        <v>67</v>
      </c>
      <c r="F8214" t="s">
        <v>27987</v>
      </c>
      <c r="G8214" s="117">
        <v>51.17</v>
      </c>
    </row>
    <row r="8215" spans="1:7" x14ac:dyDescent="0.25">
      <c r="A8215" s="116" t="s">
        <v>13193</v>
      </c>
      <c r="B8215" s="117" t="s">
        <v>13194</v>
      </c>
      <c r="C8215" t="s">
        <v>67</v>
      </c>
      <c r="D8215" t="s">
        <v>67</v>
      </c>
      <c r="E8215" t="s">
        <v>67</v>
      </c>
      <c r="F8215" t="s">
        <v>45</v>
      </c>
      <c r="G8215" s="117">
        <v>40.49</v>
      </c>
    </row>
    <row r="8216" spans="1:7" x14ac:dyDescent="0.25">
      <c r="A8216" s="116" t="s">
        <v>13195</v>
      </c>
      <c r="B8216" s="117" t="s">
        <v>13136</v>
      </c>
      <c r="C8216" t="s">
        <v>67</v>
      </c>
      <c r="D8216" t="s">
        <v>67</v>
      </c>
      <c r="E8216" t="s">
        <v>67</v>
      </c>
      <c r="F8216" t="s">
        <v>27987</v>
      </c>
      <c r="G8216" s="117">
        <v>4.8899999999999997</v>
      </c>
    </row>
    <row r="8217" spans="1:7" x14ac:dyDescent="0.25">
      <c r="A8217" s="116" t="s">
        <v>13196</v>
      </c>
      <c r="B8217" s="117" t="s">
        <v>13197</v>
      </c>
      <c r="C8217" t="s">
        <v>67</v>
      </c>
      <c r="D8217" t="s">
        <v>67</v>
      </c>
      <c r="E8217" t="s">
        <v>67</v>
      </c>
      <c r="F8217" t="s">
        <v>27987</v>
      </c>
      <c r="G8217" s="117">
        <v>9.6999999999999993</v>
      </c>
    </row>
    <row r="8218" spans="1:7" x14ac:dyDescent="0.25">
      <c r="A8218" s="116" t="s">
        <v>13198</v>
      </c>
      <c r="B8218" s="117" t="s">
        <v>13199</v>
      </c>
      <c r="C8218" t="s">
        <v>67</v>
      </c>
      <c r="D8218" t="s">
        <v>67</v>
      </c>
      <c r="E8218" t="s">
        <v>67</v>
      </c>
      <c r="F8218" t="s">
        <v>27987</v>
      </c>
      <c r="G8218" s="117">
        <v>7.12</v>
      </c>
    </row>
    <row r="8219" spans="1:7" x14ac:dyDescent="0.25">
      <c r="A8219" s="116" t="s">
        <v>13200</v>
      </c>
      <c r="B8219" s="117" t="s">
        <v>3482</v>
      </c>
      <c r="C8219" t="s">
        <v>67</v>
      </c>
      <c r="D8219" t="s">
        <v>67</v>
      </c>
      <c r="E8219" t="s">
        <v>67</v>
      </c>
      <c r="F8219" t="s">
        <v>27987</v>
      </c>
      <c r="G8219" s="117">
        <v>5.79</v>
      </c>
    </row>
    <row r="8220" spans="1:7" x14ac:dyDescent="0.25">
      <c r="A8220" s="116" t="s">
        <v>13201</v>
      </c>
      <c r="B8220" s="117" t="s">
        <v>13202</v>
      </c>
      <c r="C8220" t="s">
        <v>67</v>
      </c>
      <c r="D8220" t="s">
        <v>67</v>
      </c>
      <c r="E8220" t="s">
        <v>67</v>
      </c>
      <c r="F8220" t="s">
        <v>27987</v>
      </c>
      <c r="G8220" s="117">
        <v>9.6999999999999993</v>
      </c>
    </row>
    <row r="8221" spans="1:7" x14ac:dyDescent="0.25">
      <c r="A8221" s="116" t="s">
        <v>13203</v>
      </c>
      <c r="B8221" s="117" t="s">
        <v>3482</v>
      </c>
      <c r="C8221" t="s">
        <v>67</v>
      </c>
      <c r="D8221" t="s">
        <v>67</v>
      </c>
      <c r="E8221" t="s">
        <v>67</v>
      </c>
      <c r="F8221" t="s">
        <v>27987</v>
      </c>
      <c r="G8221" s="117">
        <v>10.58</v>
      </c>
    </row>
    <row r="8222" spans="1:7" x14ac:dyDescent="0.25">
      <c r="A8222" s="116" t="s">
        <v>13204</v>
      </c>
      <c r="B8222" s="117" t="s">
        <v>10865</v>
      </c>
      <c r="C8222" t="s">
        <v>67</v>
      </c>
      <c r="D8222" t="s">
        <v>67</v>
      </c>
      <c r="E8222" t="s">
        <v>67</v>
      </c>
      <c r="F8222" t="s">
        <v>27987</v>
      </c>
      <c r="G8222" s="117">
        <v>3.56</v>
      </c>
    </row>
    <row r="8223" spans="1:7" x14ac:dyDescent="0.25">
      <c r="A8223" s="116" t="s">
        <v>13205</v>
      </c>
      <c r="B8223" s="117" t="s">
        <v>12859</v>
      </c>
      <c r="C8223" t="s">
        <v>67</v>
      </c>
      <c r="D8223" t="s">
        <v>67</v>
      </c>
      <c r="E8223" t="s">
        <v>67</v>
      </c>
      <c r="F8223" t="s">
        <v>27987</v>
      </c>
      <c r="G8223" s="117">
        <v>5.25</v>
      </c>
    </row>
    <row r="8224" spans="1:7" x14ac:dyDescent="0.25">
      <c r="A8224" s="116" t="s">
        <v>13206</v>
      </c>
      <c r="B8224" s="117" t="s">
        <v>13207</v>
      </c>
      <c r="C8224" t="s">
        <v>67</v>
      </c>
      <c r="D8224" t="s">
        <v>67</v>
      </c>
      <c r="E8224" t="s">
        <v>67</v>
      </c>
      <c r="F8224" t="s">
        <v>27987</v>
      </c>
      <c r="G8224" s="117">
        <v>3.12</v>
      </c>
    </row>
    <row r="8225" spans="1:7" x14ac:dyDescent="0.25">
      <c r="A8225" s="116" t="s">
        <v>13208</v>
      </c>
      <c r="B8225" s="117" t="s">
        <v>13209</v>
      </c>
      <c r="C8225" t="s">
        <v>67</v>
      </c>
      <c r="D8225" t="s">
        <v>67</v>
      </c>
      <c r="E8225" t="s">
        <v>67</v>
      </c>
      <c r="F8225" t="s">
        <v>27987</v>
      </c>
      <c r="G8225" s="117">
        <v>20.02</v>
      </c>
    </row>
    <row r="8226" spans="1:7" x14ac:dyDescent="0.25">
      <c r="A8226" s="116" t="s">
        <v>13210</v>
      </c>
      <c r="B8226" s="117" t="s">
        <v>3482</v>
      </c>
      <c r="C8226" t="s">
        <v>67</v>
      </c>
      <c r="D8226" t="s">
        <v>67</v>
      </c>
      <c r="E8226" t="s">
        <v>67</v>
      </c>
      <c r="F8226" t="s">
        <v>27987</v>
      </c>
      <c r="G8226" s="117">
        <v>4.8899999999999997</v>
      </c>
    </row>
    <row r="8227" spans="1:7" x14ac:dyDescent="0.25">
      <c r="A8227" s="116" t="s">
        <v>13211</v>
      </c>
      <c r="B8227" s="117" t="s">
        <v>13062</v>
      </c>
      <c r="C8227" t="s">
        <v>67</v>
      </c>
      <c r="D8227" t="s">
        <v>67</v>
      </c>
      <c r="E8227" t="s">
        <v>67</v>
      </c>
      <c r="F8227" t="s">
        <v>27987</v>
      </c>
      <c r="G8227" s="117">
        <v>8.4499999999999993</v>
      </c>
    </row>
    <row r="8228" spans="1:7" x14ac:dyDescent="0.25">
      <c r="A8228" s="116" t="s">
        <v>13212</v>
      </c>
      <c r="B8228" s="117" t="s">
        <v>13064</v>
      </c>
      <c r="C8228" t="s">
        <v>67</v>
      </c>
      <c r="D8228" t="s">
        <v>67</v>
      </c>
      <c r="E8228" t="s">
        <v>67</v>
      </c>
      <c r="F8228" t="s">
        <v>27987</v>
      </c>
      <c r="G8228" s="117">
        <v>7.12</v>
      </c>
    </row>
    <row r="8229" spans="1:7" x14ac:dyDescent="0.25">
      <c r="A8229" s="116" t="s">
        <v>13213</v>
      </c>
      <c r="B8229" s="117" t="s">
        <v>13214</v>
      </c>
      <c r="C8229" t="s">
        <v>67</v>
      </c>
      <c r="D8229" t="s">
        <v>67</v>
      </c>
      <c r="E8229" t="s">
        <v>67</v>
      </c>
      <c r="F8229" t="s">
        <v>45</v>
      </c>
      <c r="G8229" s="117">
        <v>3.12</v>
      </c>
    </row>
    <row r="8230" spans="1:7" x14ac:dyDescent="0.25">
      <c r="A8230" s="116" t="s">
        <v>13215</v>
      </c>
      <c r="B8230" s="117" t="s">
        <v>13216</v>
      </c>
      <c r="C8230" t="s">
        <v>67</v>
      </c>
      <c r="D8230" t="s">
        <v>67</v>
      </c>
      <c r="E8230" t="s">
        <v>67</v>
      </c>
      <c r="F8230" t="s">
        <v>27987</v>
      </c>
      <c r="G8230" s="117">
        <v>7.12</v>
      </c>
    </row>
    <row r="8231" spans="1:7" x14ac:dyDescent="0.25">
      <c r="A8231" s="116" t="s">
        <v>13217</v>
      </c>
      <c r="B8231" s="117" t="s">
        <v>13218</v>
      </c>
      <c r="C8231" t="s">
        <v>67</v>
      </c>
      <c r="D8231" t="s">
        <v>67</v>
      </c>
      <c r="E8231" t="s">
        <v>67</v>
      </c>
      <c r="F8231" t="s">
        <v>27987</v>
      </c>
      <c r="G8231" s="117">
        <v>9.6999999999999993</v>
      </c>
    </row>
    <row r="8232" spans="1:7" x14ac:dyDescent="0.25">
      <c r="A8232" s="116" t="s">
        <v>13219</v>
      </c>
      <c r="B8232" s="117" t="s">
        <v>13220</v>
      </c>
      <c r="C8232" t="s">
        <v>67</v>
      </c>
      <c r="D8232" t="s">
        <v>67</v>
      </c>
      <c r="E8232" t="s">
        <v>67</v>
      </c>
      <c r="F8232" t="s">
        <v>27987</v>
      </c>
      <c r="G8232" s="117">
        <v>5.79</v>
      </c>
    </row>
    <row r="8233" spans="1:7" x14ac:dyDescent="0.25">
      <c r="A8233" s="116" t="s">
        <v>13221</v>
      </c>
      <c r="B8233" s="117" t="s">
        <v>12632</v>
      </c>
      <c r="C8233" t="s">
        <v>67</v>
      </c>
      <c r="D8233" t="s">
        <v>67</v>
      </c>
      <c r="E8233" t="s">
        <v>67</v>
      </c>
      <c r="F8233" t="s">
        <v>45</v>
      </c>
      <c r="G8233" s="117">
        <v>6.14</v>
      </c>
    </row>
    <row r="8234" spans="1:7" x14ac:dyDescent="0.25">
      <c r="A8234" s="116" t="s">
        <v>13222</v>
      </c>
      <c r="B8234" s="117" t="s">
        <v>13223</v>
      </c>
      <c r="C8234" t="s">
        <v>67</v>
      </c>
      <c r="D8234" t="s">
        <v>67</v>
      </c>
      <c r="E8234" t="s">
        <v>67</v>
      </c>
      <c r="F8234" t="s">
        <v>45</v>
      </c>
      <c r="G8234" s="117">
        <v>8.81</v>
      </c>
    </row>
    <row r="8235" spans="1:7" x14ac:dyDescent="0.25">
      <c r="A8235" s="116" t="s">
        <v>13224</v>
      </c>
      <c r="B8235" s="117" t="s">
        <v>13225</v>
      </c>
      <c r="C8235" t="s">
        <v>67</v>
      </c>
      <c r="D8235" t="s">
        <v>67</v>
      </c>
      <c r="E8235" t="s">
        <v>67</v>
      </c>
      <c r="F8235" t="s">
        <v>45</v>
      </c>
      <c r="G8235" s="117">
        <v>3.56</v>
      </c>
    </row>
    <row r="8236" spans="1:7" x14ac:dyDescent="0.25">
      <c r="A8236" s="116" t="s">
        <v>13226</v>
      </c>
      <c r="B8236" s="117" t="s">
        <v>3827</v>
      </c>
      <c r="C8236" t="s">
        <v>67</v>
      </c>
      <c r="D8236" t="s">
        <v>67</v>
      </c>
      <c r="E8236" t="s">
        <v>67</v>
      </c>
      <c r="F8236" t="s">
        <v>27987</v>
      </c>
      <c r="G8236" s="117">
        <v>3.56</v>
      </c>
    </row>
    <row r="8237" spans="1:7" x14ac:dyDescent="0.25">
      <c r="A8237" s="116" t="s">
        <v>13227</v>
      </c>
      <c r="B8237" s="117" t="s">
        <v>13228</v>
      </c>
      <c r="C8237" t="s">
        <v>67</v>
      </c>
      <c r="D8237" t="s">
        <v>67</v>
      </c>
      <c r="E8237" t="s">
        <v>67</v>
      </c>
      <c r="F8237" t="s">
        <v>45</v>
      </c>
      <c r="G8237" s="117">
        <v>21.26</v>
      </c>
    </row>
    <row r="8238" spans="1:7" x14ac:dyDescent="0.25">
      <c r="A8238" s="116" t="s">
        <v>13229</v>
      </c>
      <c r="B8238" s="117" t="s">
        <v>13230</v>
      </c>
      <c r="C8238" t="s">
        <v>67</v>
      </c>
      <c r="D8238" t="s">
        <v>67</v>
      </c>
      <c r="E8238" t="s">
        <v>67</v>
      </c>
      <c r="F8238" t="s">
        <v>27987</v>
      </c>
      <c r="G8238" s="117">
        <v>21.26</v>
      </c>
    </row>
    <row r="8239" spans="1:7" x14ac:dyDescent="0.25">
      <c r="A8239" s="116" t="s">
        <v>13231</v>
      </c>
      <c r="B8239" s="117" t="s">
        <v>13232</v>
      </c>
      <c r="C8239" t="s">
        <v>67</v>
      </c>
      <c r="D8239" t="s">
        <v>67</v>
      </c>
      <c r="E8239" t="s">
        <v>67</v>
      </c>
      <c r="F8239" t="s">
        <v>27987</v>
      </c>
      <c r="G8239" s="117">
        <v>3.56</v>
      </c>
    </row>
    <row r="8240" spans="1:7" x14ac:dyDescent="0.25">
      <c r="A8240" s="116" t="s">
        <v>13233</v>
      </c>
      <c r="B8240" s="117" t="s">
        <v>13234</v>
      </c>
      <c r="C8240" t="s">
        <v>67</v>
      </c>
      <c r="D8240" t="s">
        <v>67</v>
      </c>
      <c r="E8240" t="s">
        <v>67</v>
      </c>
      <c r="F8240" t="s">
        <v>27987</v>
      </c>
      <c r="G8240" s="117">
        <v>15.57</v>
      </c>
    </row>
    <row r="8241" spans="1:7" x14ac:dyDescent="0.25">
      <c r="A8241" s="116" t="s">
        <v>13235</v>
      </c>
      <c r="B8241" s="117" t="s">
        <v>13236</v>
      </c>
      <c r="C8241" t="s">
        <v>67</v>
      </c>
      <c r="D8241" t="s">
        <v>67</v>
      </c>
      <c r="E8241" t="s">
        <v>67</v>
      </c>
      <c r="F8241" t="s">
        <v>27987</v>
      </c>
      <c r="G8241" s="117">
        <v>47.61</v>
      </c>
    </row>
    <row r="8242" spans="1:7" x14ac:dyDescent="0.25">
      <c r="A8242" s="116" t="s">
        <v>13237</v>
      </c>
      <c r="B8242" s="117" t="s">
        <v>1247</v>
      </c>
      <c r="C8242" t="s">
        <v>67</v>
      </c>
      <c r="D8242" t="s">
        <v>67</v>
      </c>
      <c r="E8242" t="s">
        <v>67</v>
      </c>
      <c r="F8242" t="s">
        <v>27987</v>
      </c>
      <c r="G8242" s="117">
        <v>57.39</v>
      </c>
    </row>
    <row r="8243" spans="1:7" x14ac:dyDescent="0.25">
      <c r="A8243" s="116" t="s">
        <v>13238</v>
      </c>
      <c r="B8243" s="117" t="s">
        <v>13239</v>
      </c>
      <c r="C8243" t="s">
        <v>67</v>
      </c>
      <c r="D8243" t="s">
        <v>67</v>
      </c>
      <c r="E8243" t="s">
        <v>67</v>
      </c>
      <c r="F8243" t="s">
        <v>45</v>
      </c>
      <c r="G8243" s="117">
        <v>28.38</v>
      </c>
    </row>
    <row r="8244" spans="1:7" x14ac:dyDescent="0.25">
      <c r="A8244" s="116" t="s">
        <v>13240</v>
      </c>
      <c r="B8244" s="117" t="s">
        <v>13241</v>
      </c>
      <c r="C8244" t="s">
        <v>67</v>
      </c>
      <c r="D8244" t="s">
        <v>67</v>
      </c>
      <c r="E8244" t="s">
        <v>67</v>
      </c>
      <c r="F8244" t="s">
        <v>45</v>
      </c>
      <c r="G8244" s="117">
        <v>14.14</v>
      </c>
    </row>
    <row r="8245" spans="1:7" x14ac:dyDescent="0.25">
      <c r="A8245" s="116" t="s">
        <v>13242</v>
      </c>
      <c r="B8245" s="117" t="s">
        <v>13243</v>
      </c>
      <c r="C8245" t="s">
        <v>67</v>
      </c>
      <c r="D8245" t="s">
        <v>67</v>
      </c>
      <c r="E8245" t="s">
        <v>67</v>
      </c>
      <c r="F8245" t="s">
        <v>27987</v>
      </c>
      <c r="G8245" s="117">
        <v>15.57</v>
      </c>
    </row>
    <row r="8246" spans="1:7" x14ac:dyDescent="0.25">
      <c r="A8246" s="116" t="s">
        <v>13244</v>
      </c>
      <c r="B8246" s="117" t="s">
        <v>13245</v>
      </c>
      <c r="C8246" t="s">
        <v>67</v>
      </c>
      <c r="D8246" t="s">
        <v>67</v>
      </c>
      <c r="E8246" t="s">
        <v>67</v>
      </c>
      <c r="F8246" t="s">
        <v>27987</v>
      </c>
      <c r="G8246" s="117">
        <v>15.04</v>
      </c>
    </row>
    <row r="8247" spans="1:7" x14ac:dyDescent="0.25">
      <c r="A8247" s="116" t="s">
        <v>13246</v>
      </c>
      <c r="B8247" s="117" t="s">
        <v>13247</v>
      </c>
      <c r="C8247" t="s">
        <v>67</v>
      </c>
      <c r="D8247" t="s">
        <v>67</v>
      </c>
      <c r="E8247" t="s">
        <v>67</v>
      </c>
      <c r="F8247" t="s">
        <v>27987</v>
      </c>
      <c r="G8247" s="117">
        <v>15.57</v>
      </c>
    </row>
    <row r="8248" spans="1:7" x14ac:dyDescent="0.25">
      <c r="A8248" s="116" t="s">
        <v>13248</v>
      </c>
      <c r="B8248" s="117" t="s">
        <v>1025</v>
      </c>
      <c r="C8248" t="s">
        <v>67</v>
      </c>
      <c r="D8248" t="s">
        <v>67</v>
      </c>
      <c r="E8248" t="s">
        <v>67</v>
      </c>
      <c r="F8248" t="s">
        <v>27987</v>
      </c>
      <c r="G8248" s="117">
        <v>3.48</v>
      </c>
    </row>
    <row r="8249" spans="1:7" x14ac:dyDescent="0.25">
      <c r="A8249" s="116" t="s">
        <v>13249</v>
      </c>
      <c r="B8249" s="117" t="s">
        <v>3827</v>
      </c>
      <c r="C8249" t="s">
        <v>67</v>
      </c>
      <c r="D8249" t="s">
        <v>67</v>
      </c>
      <c r="E8249" t="s">
        <v>67</v>
      </c>
      <c r="F8249" t="s">
        <v>27987</v>
      </c>
      <c r="G8249" s="117">
        <v>22.8</v>
      </c>
    </row>
    <row r="8250" spans="1:7" x14ac:dyDescent="0.25">
      <c r="A8250" s="116" t="s">
        <v>13250</v>
      </c>
      <c r="B8250" s="117" t="s">
        <v>13251</v>
      </c>
      <c r="C8250" t="s">
        <v>67</v>
      </c>
      <c r="D8250" t="s">
        <v>67</v>
      </c>
      <c r="E8250" t="s">
        <v>67</v>
      </c>
      <c r="F8250" t="s">
        <v>45</v>
      </c>
      <c r="G8250" s="117">
        <v>15.57</v>
      </c>
    </row>
    <row r="8251" spans="1:7" x14ac:dyDescent="0.25">
      <c r="A8251" s="116" t="s">
        <v>27973</v>
      </c>
      <c r="B8251" s="117" t="s">
        <v>27974</v>
      </c>
      <c r="C8251" t="s">
        <v>67</v>
      </c>
      <c r="D8251" t="s">
        <v>67</v>
      </c>
      <c r="E8251" t="s">
        <v>67</v>
      </c>
      <c r="F8251" t="s">
        <v>27987</v>
      </c>
      <c r="G8251" s="117">
        <v>17</v>
      </c>
    </row>
    <row r="8252" spans="1:7" x14ac:dyDescent="0.25">
      <c r="A8252" s="116" t="s">
        <v>13252</v>
      </c>
      <c r="B8252" s="117" t="s">
        <v>13228</v>
      </c>
      <c r="C8252" t="s">
        <v>67</v>
      </c>
      <c r="D8252" t="s">
        <v>67</v>
      </c>
      <c r="E8252" t="s">
        <v>67</v>
      </c>
      <c r="F8252" t="s">
        <v>27987</v>
      </c>
      <c r="G8252" s="117">
        <v>31.58</v>
      </c>
    </row>
    <row r="8253" spans="1:7" x14ac:dyDescent="0.25">
      <c r="A8253" s="116" t="s">
        <v>13253</v>
      </c>
      <c r="B8253" s="117" t="s">
        <v>13230</v>
      </c>
      <c r="C8253" t="s">
        <v>67</v>
      </c>
      <c r="D8253" t="s">
        <v>67</v>
      </c>
      <c r="E8253" t="s">
        <v>67</v>
      </c>
      <c r="F8253" t="s">
        <v>27987</v>
      </c>
      <c r="G8253" s="117">
        <v>31.58</v>
      </c>
    </row>
    <row r="8254" spans="1:7" x14ac:dyDescent="0.25">
      <c r="A8254" s="116" t="s">
        <v>13254</v>
      </c>
      <c r="B8254" s="117" t="s">
        <v>1247</v>
      </c>
      <c r="C8254" t="s">
        <v>67</v>
      </c>
      <c r="D8254" t="s">
        <v>67</v>
      </c>
      <c r="E8254" t="s">
        <v>67</v>
      </c>
      <c r="F8254" t="s">
        <v>45</v>
      </c>
      <c r="G8254" s="117">
        <v>2.58</v>
      </c>
    </row>
    <row r="8255" spans="1:7" x14ac:dyDescent="0.25">
      <c r="A8255" s="116" t="s">
        <v>13255</v>
      </c>
      <c r="B8255" s="117" t="s">
        <v>13256</v>
      </c>
      <c r="C8255" t="s">
        <v>67</v>
      </c>
      <c r="D8255" t="s">
        <v>67</v>
      </c>
      <c r="E8255" t="s">
        <v>67</v>
      </c>
      <c r="F8255" t="s">
        <v>27987</v>
      </c>
      <c r="G8255" s="117">
        <v>71.63</v>
      </c>
    </row>
    <row r="8256" spans="1:7" x14ac:dyDescent="0.25">
      <c r="A8256" s="116" t="s">
        <v>13257</v>
      </c>
      <c r="B8256" s="117" t="s">
        <v>13258</v>
      </c>
      <c r="C8256" t="s">
        <v>67</v>
      </c>
      <c r="D8256" t="s">
        <v>67</v>
      </c>
      <c r="E8256" t="s">
        <v>67</v>
      </c>
      <c r="F8256" t="s">
        <v>27987</v>
      </c>
      <c r="G8256" s="117">
        <v>2.58</v>
      </c>
    </row>
    <row r="8257" spans="1:7" x14ac:dyDescent="0.25">
      <c r="A8257" s="116" t="s">
        <v>13259</v>
      </c>
      <c r="B8257" s="117" t="s">
        <v>13260</v>
      </c>
      <c r="C8257" t="s">
        <v>67</v>
      </c>
      <c r="D8257" t="s">
        <v>67</v>
      </c>
      <c r="E8257" t="s">
        <v>67</v>
      </c>
      <c r="F8257" t="s">
        <v>27987</v>
      </c>
      <c r="G8257" s="117">
        <v>1.33</v>
      </c>
    </row>
    <row r="8258" spans="1:7" x14ac:dyDescent="0.25">
      <c r="A8258" s="116" t="s">
        <v>13261</v>
      </c>
      <c r="B8258" s="117" t="s">
        <v>13262</v>
      </c>
      <c r="C8258" t="s">
        <v>67</v>
      </c>
      <c r="D8258" t="s">
        <v>67</v>
      </c>
      <c r="E8258" t="s">
        <v>67</v>
      </c>
      <c r="F8258" t="s">
        <v>45</v>
      </c>
      <c r="G8258" s="117">
        <v>7.12</v>
      </c>
    </row>
    <row r="8259" spans="1:7" x14ac:dyDescent="0.25">
      <c r="A8259" s="116" t="s">
        <v>13263</v>
      </c>
      <c r="B8259" s="117" t="s">
        <v>26466</v>
      </c>
      <c r="C8259" t="s">
        <v>67</v>
      </c>
      <c r="D8259" t="s">
        <v>67</v>
      </c>
      <c r="E8259" t="s">
        <v>67</v>
      </c>
      <c r="F8259" t="s">
        <v>45</v>
      </c>
      <c r="G8259" s="117">
        <v>5.78</v>
      </c>
    </row>
    <row r="8260" spans="1:7" x14ac:dyDescent="0.25">
      <c r="A8260" s="116" t="s">
        <v>13264</v>
      </c>
      <c r="B8260" s="117" t="s">
        <v>1028</v>
      </c>
      <c r="C8260" t="s">
        <v>67</v>
      </c>
      <c r="D8260" t="s">
        <v>67</v>
      </c>
      <c r="E8260" t="s">
        <v>67</v>
      </c>
      <c r="F8260" t="s">
        <v>45</v>
      </c>
      <c r="G8260" s="117">
        <v>2.23</v>
      </c>
    </row>
    <row r="8261" spans="1:7" x14ac:dyDescent="0.25">
      <c r="A8261" s="116" t="s">
        <v>13265</v>
      </c>
      <c r="B8261" s="117" t="s">
        <v>3827</v>
      </c>
      <c r="C8261" t="s">
        <v>67</v>
      </c>
      <c r="D8261" t="s">
        <v>67</v>
      </c>
      <c r="E8261" t="s">
        <v>67</v>
      </c>
      <c r="F8261" t="s">
        <v>45</v>
      </c>
      <c r="G8261" s="117">
        <v>15.04</v>
      </c>
    </row>
    <row r="8262" spans="1:7" x14ac:dyDescent="0.25">
      <c r="A8262" s="116" t="s">
        <v>13266</v>
      </c>
      <c r="B8262" s="117" t="s">
        <v>13228</v>
      </c>
      <c r="C8262" t="s">
        <v>67</v>
      </c>
      <c r="D8262" t="s">
        <v>67</v>
      </c>
      <c r="E8262" t="s">
        <v>67</v>
      </c>
      <c r="F8262" t="s">
        <v>45</v>
      </c>
      <c r="G8262" s="117">
        <v>6.14</v>
      </c>
    </row>
    <row r="8263" spans="1:7" x14ac:dyDescent="0.25">
      <c r="A8263" s="116" t="s">
        <v>13267</v>
      </c>
      <c r="B8263" s="117" t="s">
        <v>12272</v>
      </c>
      <c r="C8263" t="s">
        <v>67</v>
      </c>
      <c r="D8263" t="s">
        <v>67</v>
      </c>
      <c r="E8263" t="s">
        <v>67</v>
      </c>
      <c r="F8263" t="s">
        <v>45</v>
      </c>
      <c r="G8263" s="117">
        <v>4.8899999999999997</v>
      </c>
    </row>
    <row r="8264" spans="1:7" x14ac:dyDescent="0.25">
      <c r="A8264" s="116" t="s">
        <v>13268</v>
      </c>
      <c r="B8264" s="117" t="s">
        <v>1247</v>
      </c>
      <c r="C8264" t="s">
        <v>67</v>
      </c>
      <c r="D8264" t="s">
        <v>67</v>
      </c>
      <c r="E8264" t="s">
        <v>67</v>
      </c>
      <c r="F8264" t="s">
        <v>27987</v>
      </c>
      <c r="G8264" s="117">
        <v>4.3600000000000003</v>
      </c>
    </row>
    <row r="8265" spans="1:7" x14ac:dyDescent="0.25">
      <c r="A8265" s="116" t="s">
        <v>13269</v>
      </c>
      <c r="B8265" s="117" t="s">
        <v>13270</v>
      </c>
      <c r="C8265" t="s">
        <v>67</v>
      </c>
      <c r="D8265" t="s">
        <v>67</v>
      </c>
      <c r="E8265" t="s">
        <v>67</v>
      </c>
      <c r="F8265" t="s">
        <v>27987</v>
      </c>
      <c r="G8265" s="117">
        <v>14.14</v>
      </c>
    </row>
    <row r="8266" spans="1:7" x14ac:dyDescent="0.25">
      <c r="A8266" s="116" t="s">
        <v>13271</v>
      </c>
      <c r="B8266" s="117" t="s">
        <v>13272</v>
      </c>
      <c r="C8266" t="s">
        <v>67</v>
      </c>
      <c r="D8266" t="s">
        <v>67</v>
      </c>
      <c r="E8266" t="s">
        <v>67</v>
      </c>
      <c r="F8266" t="s">
        <v>27987</v>
      </c>
      <c r="G8266" s="117">
        <v>3.56</v>
      </c>
    </row>
    <row r="8267" spans="1:7" x14ac:dyDescent="0.25">
      <c r="A8267" s="116" t="s">
        <v>13273</v>
      </c>
      <c r="B8267" s="117" t="s">
        <v>13274</v>
      </c>
      <c r="C8267" t="s">
        <v>67</v>
      </c>
      <c r="D8267" t="s">
        <v>67</v>
      </c>
      <c r="E8267" t="s">
        <v>67</v>
      </c>
      <c r="F8267" t="s">
        <v>27987</v>
      </c>
      <c r="G8267" s="117">
        <v>2.58</v>
      </c>
    </row>
    <row r="8268" spans="1:7" x14ac:dyDescent="0.25">
      <c r="A8268" s="116" t="s">
        <v>13275</v>
      </c>
      <c r="B8268" s="117" t="s">
        <v>13276</v>
      </c>
      <c r="C8268" t="s">
        <v>67</v>
      </c>
      <c r="D8268" t="s">
        <v>67</v>
      </c>
      <c r="E8268" t="s">
        <v>67</v>
      </c>
      <c r="F8268" t="s">
        <v>27987</v>
      </c>
      <c r="G8268" s="117">
        <v>2.58</v>
      </c>
    </row>
    <row r="8269" spans="1:7" x14ac:dyDescent="0.25">
      <c r="A8269" s="116" t="s">
        <v>13277</v>
      </c>
      <c r="B8269" s="117" t="s">
        <v>13278</v>
      </c>
      <c r="C8269" t="s">
        <v>67</v>
      </c>
      <c r="D8269" t="s">
        <v>67</v>
      </c>
      <c r="E8269" t="s">
        <v>67</v>
      </c>
      <c r="F8269" t="s">
        <v>27987</v>
      </c>
      <c r="G8269" s="117">
        <v>3.56</v>
      </c>
    </row>
    <row r="8270" spans="1:7" x14ac:dyDescent="0.25">
      <c r="A8270" s="116" t="s">
        <v>13279</v>
      </c>
      <c r="B8270" s="117" t="s">
        <v>13280</v>
      </c>
      <c r="C8270" t="s">
        <v>67</v>
      </c>
      <c r="D8270" t="s">
        <v>67</v>
      </c>
      <c r="E8270" t="s">
        <v>67</v>
      </c>
      <c r="F8270" t="s">
        <v>27987</v>
      </c>
      <c r="G8270" s="117">
        <v>2.58</v>
      </c>
    </row>
    <row r="8271" spans="1:7" x14ac:dyDescent="0.25">
      <c r="A8271" s="116" t="s">
        <v>13281</v>
      </c>
      <c r="B8271" s="117" t="s">
        <v>13234</v>
      </c>
      <c r="C8271" t="s">
        <v>67</v>
      </c>
      <c r="D8271" t="s">
        <v>67</v>
      </c>
      <c r="E8271" t="s">
        <v>67</v>
      </c>
      <c r="F8271" t="s">
        <v>45</v>
      </c>
      <c r="G8271" s="117">
        <v>9.35</v>
      </c>
    </row>
    <row r="8272" spans="1:7" x14ac:dyDescent="0.25">
      <c r="A8272" s="116" t="s">
        <v>13282</v>
      </c>
      <c r="B8272" s="117" t="s">
        <v>3532</v>
      </c>
      <c r="C8272" t="s">
        <v>67</v>
      </c>
      <c r="D8272" t="s">
        <v>67</v>
      </c>
      <c r="E8272" t="s">
        <v>67</v>
      </c>
      <c r="F8272" t="s">
        <v>27987</v>
      </c>
      <c r="G8272" s="117">
        <v>34.26</v>
      </c>
    </row>
    <row r="8273" spans="1:7" x14ac:dyDescent="0.25">
      <c r="A8273" s="116" t="s">
        <v>13283</v>
      </c>
      <c r="B8273" s="117" t="s">
        <v>13284</v>
      </c>
      <c r="C8273" t="s">
        <v>67</v>
      </c>
      <c r="D8273" t="s">
        <v>67</v>
      </c>
      <c r="E8273" t="s">
        <v>67</v>
      </c>
      <c r="F8273" t="s">
        <v>27987</v>
      </c>
      <c r="G8273" s="117">
        <v>4.8899999999999997</v>
      </c>
    </row>
    <row r="8274" spans="1:7" x14ac:dyDescent="0.25">
      <c r="A8274" s="116" t="s">
        <v>13285</v>
      </c>
      <c r="B8274" s="117" t="s">
        <v>8544</v>
      </c>
      <c r="C8274" t="s">
        <v>67</v>
      </c>
      <c r="D8274" t="s">
        <v>67</v>
      </c>
      <c r="E8274" t="s">
        <v>67</v>
      </c>
      <c r="F8274" t="s">
        <v>27987</v>
      </c>
      <c r="G8274" s="117">
        <v>3.56</v>
      </c>
    </row>
    <row r="8275" spans="1:7" x14ac:dyDescent="0.25">
      <c r="A8275" s="116" t="s">
        <v>13286</v>
      </c>
      <c r="B8275" s="117" t="s">
        <v>28994</v>
      </c>
      <c r="C8275" t="s">
        <v>67</v>
      </c>
      <c r="D8275" t="s">
        <v>67</v>
      </c>
      <c r="E8275" t="s">
        <v>67</v>
      </c>
      <c r="F8275" t="s">
        <v>45</v>
      </c>
      <c r="G8275" s="117">
        <v>2.58</v>
      </c>
    </row>
    <row r="8276" spans="1:7" x14ac:dyDescent="0.25">
      <c r="A8276" s="116" t="s">
        <v>13287</v>
      </c>
      <c r="B8276" s="117" t="s">
        <v>13288</v>
      </c>
      <c r="C8276" t="s">
        <v>67</v>
      </c>
      <c r="D8276" t="s">
        <v>67</v>
      </c>
      <c r="E8276" t="s">
        <v>67</v>
      </c>
      <c r="F8276" t="s">
        <v>27987</v>
      </c>
      <c r="G8276" s="117">
        <v>22.23</v>
      </c>
    </row>
    <row r="8277" spans="1:7" x14ac:dyDescent="0.25">
      <c r="A8277" s="116" t="s">
        <v>13289</v>
      </c>
      <c r="B8277" s="117" t="s">
        <v>13228</v>
      </c>
      <c r="C8277" t="s">
        <v>67</v>
      </c>
      <c r="D8277" t="s">
        <v>67</v>
      </c>
      <c r="E8277" t="s">
        <v>67</v>
      </c>
      <c r="F8277" t="s">
        <v>27987</v>
      </c>
      <c r="G8277" s="117">
        <v>4.8899999999999997</v>
      </c>
    </row>
    <row r="8278" spans="1:7" x14ac:dyDescent="0.25">
      <c r="A8278" s="116" t="s">
        <v>13290</v>
      </c>
      <c r="B8278" s="117" t="s">
        <v>13230</v>
      </c>
      <c r="C8278" t="s">
        <v>67</v>
      </c>
      <c r="D8278" t="s">
        <v>67</v>
      </c>
      <c r="E8278" t="s">
        <v>67</v>
      </c>
      <c r="F8278" t="s">
        <v>27987</v>
      </c>
      <c r="G8278" s="117">
        <v>14.14</v>
      </c>
    </row>
    <row r="8279" spans="1:7" x14ac:dyDescent="0.25">
      <c r="A8279" s="116" t="s">
        <v>13291</v>
      </c>
      <c r="B8279" s="117" t="s">
        <v>13292</v>
      </c>
      <c r="C8279" t="s">
        <v>67</v>
      </c>
      <c r="D8279" t="s">
        <v>67</v>
      </c>
      <c r="E8279" t="s">
        <v>67</v>
      </c>
      <c r="F8279" t="s">
        <v>27987</v>
      </c>
      <c r="G8279" s="117">
        <v>14.14</v>
      </c>
    </row>
    <row r="8280" spans="1:7" x14ac:dyDescent="0.25">
      <c r="A8280" s="116" t="s">
        <v>13293</v>
      </c>
      <c r="B8280" s="117" t="s">
        <v>1247</v>
      </c>
      <c r="C8280" t="s">
        <v>67</v>
      </c>
      <c r="D8280" t="s">
        <v>67</v>
      </c>
      <c r="E8280" t="s">
        <v>67</v>
      </c>
      <c r="F8280" t="s">
        <v>27987</v>
      </c>
      <c r="G8280" s="117">
        <v>7.12</v>
      </c>
    </row>
    <row r="8281" spans="1:7" x14ac:dyDescent="0.25">
      <c r="A8281" s="116" t="s">
        <v>13294</v>
      </c>
      <c r="B8281" s="117" t="s">
        <v>13234</v>
      </c>
      <c r="C8281" t="s">
        <v>67</v>
      </c>
      <c r="D8281" t="s">
        <v>67</v>
      </c>
      <c r="E8281" t="s">
        <v>67</v>
      </c>
      <c r="F8281" t="s">
        <v>27987</v>
      </c>
      <c r="G8281" s="117">
        <v>7.56</v>
      </c>
    </row>
    <row r="8282" spans="1:7" x14ac:dyDescent="0.25">
      <c r="A8282" s="116" t="s">
        <v>13295</v>
      </c>
      <c r="B8282" s="117" t="s">
        <v>13296</v>
      </c>
      <c r="C8282" t="s">
        <v>67</v>
      </c>
      <c r="D8282" t="s">
        <v>67</v>
      </c>
      <c r="E8282" t="s">
        <v>67</v>
      </c>
      <c r="F8282" t="s">
        <v>27987</v>
      </c>
      <c r="G8282" s="117">
        <v>5.79</v>
      </c>
    </row>
    <row r="8283" spans="1:7" x14ac:dyDescent="0.25">
      <c r="A8283" s="116" t="s">
        <v>13297</v>
      </c>
      <c r="B8283" s="117" t="s">
        <v>13298</v>
      </c>
      <c r="C8283" t="s">
        <v>67</v>
      </c>
      <c r="D8283" t="s">
        <v>67</v>
      </c>
      <c r="E8283" t="s">
        <v>67</v>
      </c>
      <c r="F8283" t="s">
        <v>45</v>
      </c>
      <c r="G8283" s="117">
        <v>31.06</v>
      </c>
    </row>
    <row r="8284" spans="1:7" x14ac:dyDescent="0.25">
      <c r="A8284" s="116" t="s">
        <v>13299</v>
      </c>
      <c r="B8284" s="117" t="s">
        <v>13300</v>
      </c>
      <c r="C8284" t="s">
        <v>67</v>
      </c>
      <c r="D8284" t="s">
        <v>67</v>
      </c>
      <c r="E8284" t="s">
        <v>67</v>
      </c>
      <c r="F8284" t="s">
        <v>45</v>
      </c>
      <c r="G8284" s="117">
        <v>3.56</v>
      </c>
    </row>
    <row r="8285" spans="1:7" x14ac:dyDescent="0.25">
      <c r="A8285" s="116" t="s">
        <v>13301</v>
      </c>
      <c r="B8285" s="117" t="s">
        <v>13302</v>
      </c>
      <c r="C8285" t="s">
        <v>67</v>
      </c>
      <c r="D8285" t="s">
        <v>67</v>
      </c>
      <c r="E8285" t="s">
        <v>67</v>
      </c>
      <c r="F8285" t="s">
        <v>45</v>
      </c>
      <c r="G8285" s="117">
        <v>14.14</v>
      </c>
    </row>
    <row r="8286" spans="1:7" x14ac:dyDescent="0.25">
      <c r="A8286" s="116" t="s">
        <v>13303</v>
      </c>
      <c r="B8286" s="117" t="s">
        <v>13304</v>
      </c>
      <c r="C8286" t="s">
        <v>67</v>
      </c>
      <c r="D8286" t="s">
        <v>67</v>
      </c>
      <c r="E8286" t="s">
        <v>67</v>
      </c>
      <c r="F8286" t="s">
        <v>27987</v>
      </c>
      <c r="G8286" s="117">
        <v>3.12</v>
      </c>
    </row>
    <row r="8287" spans="1:7" x14ac:dyDescent="0.25">
      <c r="A8287" s="116" t="s">
        <v>13305</v>
      </c>
      <c r="B8287" s="117" t="s">
        <v>13306</v>
      </c>
      <c r="C8287" t="s">
        <v>67</v>
      </c>
      <c r="D8287" t="s">
        <v>67</v>
      </c>
      <c r="E8287" t="s">
        <v>67</v>
      </c>
      <c r="F8287" t="s">
        <v>27987</v>
      </c>
      <c r="G8287" s="117">
        <v>3.12</v>
      </c>
    </row>
    <row r="8288" spans="1:7" x14ac:dyDescent="0.25">
      <c r="A8288" s="116" t="s">
        <v>13307</v>
      </c>
      <c r="B8288" s="117" t="s">
        <v>13308</v>
      </c>
      <c r="C8288" t="s">
        <v>67</v>
      </c>
      <c r="D8288" t="s">
        <v>67</v>
      </c>
      <c r="E8288" t="s">
        <v>67</v>
      </c>
      <c r="F8288" t="s">
        <v>27987</v>
      </c>
      <c r="G8288" s="117">
        <v>7.29</v>
      </c>
    </row>
    <row r="8289" spans="1:7" x14ac:dyDescent="0.25">
      <c r="A8289" s="116" t="s">
        <v>13309</v>
      </c>
      <c r="B8289" s="117" t="s">
        <v>13310</v>
      </c>
      <c r="C8289" t="s">
        <v>67</v>
      </c>
      <c r="D8289" t="s">
        <v>67</v>
      </c>
      <c r="E8289" t="s">
        <v>67</v>
      </c>
      <c r="F8289" t="s">
        <v>45</v>
      </c>
      <c r="G8289" s="117">
        <v>20.92</v>
      </c>
    </row>
    <row r="8290" spans="1:7" x14ac:dyDescent="0.25">
      <c r="A8290" s="116" t="s">
        <v>27040</v>
      </c>
      <c r="B8290" s="117" t="s">
        <v>27041</v>
      </c>
      <c r="C8290" t="s">
        <v>67</v>
      </c>
      <c r="D8290" t="s">
        <v>67</v>
      </c>
      <c r="E8290" t="s">
        <v>67</v>
      </c>
      <c r="F8290" t="s">
        <v>27987</v>
      </c>
      <c r="G8290" s="117">
        <v>35</v>
      </c>
    </row>
    <row r="8291" spans="1:7" x14ac:dyDescent="0.25">
      <c r="A8291" s="116" t="s">
        <v>13311</v>
      </c>
      <c r="B8291" s="117" t="s">
        <v>13312</v>
      </c>
      <c r="C8291" t="s">
        <v>67</v>
      </c>
      <c r="D8291" t="s">
        <v>67</v>
      </c>
      <c r="E8291" t="s">
        <v>67</v>
      </c>
      <c r="F8291" t="s">
        <v>27987</v>
      </c>
      <c r="G8291" s="117">
        <v>14.14</v>
      </c>
    </row>
    <row r="8292" spans="1:7" x14ac:dyDescent="0.25">
      <c r="A8292" s="116" t="s">
        <v>13313</v>
      </c>
      <c r="B8292" s="117" t="s">
        <v>13314</v>
      </c>
      <c r="C8292" t="s">
        <v>67</v>
      </c>
      <c r="D8292" t="s">
        <v>67</v>
      </c>
      <c r="E8292" t="s">
        <v>67</v>
      </c>
      <c r="F8292" t="s">
        <v>27987</v>
      </c>
      <c r="G8292" s="117">
        <v>5.25</v>
      </c>
    </row>
    <row r="8293" spans="1:7" x14ac:dyDescent="0.25">
      <c r="A8293" s="116" t="s">
        <v>13315</v>
      </c>
      <c r="B8293" s="117" t="s">
        <v>13236</v>
      </c>
      <c r="C8293" t="s">
        <v>67</v>
      </c>
      <c r="D8293" t="s">
        <v>67</v>
      </c>
      <c r="E8293" t="s">
        <v>67</v>
      </c>
      <c r="F8293" t="s">
        <v>27987</v>
      </c>
      <c r="G8293" s="117">
        <v>1.69</v>
      </c>
    </row>
    <row r="8294" spans="1:7" x14ac:dyDescent="0.25">
      <c r="A8294" s="116" t="s">
        <v>13316</v>
      </c>
      <c r="B8294" s="117" t="s">
        <v>13239</v>
      </c>
      <c r="C8294" t="s">
        <v>67</v>
      </c>
      <c r="D8294" t="s">
        <v>67</v>
      </c>
      <c r="E8294" t="s">
        <v>67</v>
      </c>
      <c r="F8294" t="s">
        <v>45</v>
      </c>
      <c r="G8294" s="117">
        <v>15.57</v>
      </c>
    </row>
    <row r="8295" spans="1:7" x14ac:dyDescent="0.25">
      <c r="A8295" s="116" t="s">
        <v>13317</v>
      </c>
      <c r="B8295" s="117" t="s">
        <v>13318</v>
      </c>
      <c r="C8295" t="s">
        <v>67</v>
      </c>
      <c r="D8295" t="s">
        <v>67</v>
      </c>
      <c r="E8295" t="s">
        <v>67</v>
      </c>
      <c r="F8295" t="s">
        <v>27987</v>
      </c>
      <c r="G8295" s="117">
        <v>15.57</v>
      </c>
    </row>
    <row r="8296" spans="1:7" x14ac:dyDescent="0.25">
      <c r="A8296" s="116" t="s">
        <v>13319</v>
      </c>
      <c r="B8296" s="117" t="s">
        <v>2210</v>
      </c>
      <c r="C8296" t="s">
        <v>67</v>
      </c>
      <c r="D8296" t="s">
        <v>67</v>
      </c>
      <c r="E8296" t="s">
        <v>67</v>
      </c>
      <c r="F8296" t="s">
        <v>45</v>
      </c>
      <c r="G8296" s="117">
        <v>3.56</v>
      </c>
    </row>
    <row r="8297" spans="1:7" x14ac:dyDescent="0.25">
      <c r="A8297" s="116" t="s">
        <v>13320</v>
      </c>
      <c r="B8297" s="117" t="s">
        <v>13321</v>
      </c>
      <c r="C8297" t="s">
        <v>67</v>
      </c>
      <c r="D8297" t="s">
        <v>67</v>
      </c>
      <c r="E8297" t="s">
        <v>67</v>
      </c>
      <c r="F8297" t="s">
        <v>27987</v>
      </c>
      <c r="G8297" s="117">
        <v>1.77</v>
      </c>
    </row>
    <row r="8298" spans="1:7" x14ac:dyDescent="0.25">
      <c r="A8298" s="116" t="s">
        <v>13322</v>
      </c>
      <c r="B8298" s="117" t="s">
        <v>13323</v>
      </c>
      <c r="C8298" t="s">
        <v>67</v>
      </c>
      <c r="D8298" t="s">
        <v>67</v>
      </c>
      <c r="E8298" t="s">
        <v>67</v>
      </c>
      <c r="F8298" t="s">
        <v>27987</v>
      </c>
      <c r="G8298" s="117">
        <v>11.48</v>
      </c>
    </row>
    <row r="8299" spans="1:7" x14ac:dyDescent="0.25">
      <c r="A8299" s="116" t="s">
        <v>13324</v>
      </c>
      <c r="B8299" s="117" t="s">
        <v>13325</v>
      </c>
      <c r="C8299" t="s">
        <v>67</v>
      </c>
      <c r="D8299" t="s">
        <v>67</v>
      </c>
      <c r="E8299" t="s">
        <v>67</v>
      </c>
      <c r="F8299" t="s">
        <v>27987</v>
      </c>
      <c r="G8299" s="117">
        <v>3.56</v>
      </c>
    </row>
    <row r="8300" spans="1:7" x14ac:dyDescent="0.25">
      <c r="A8300" s="116" t="s">
        <v>13326</v>
      </c>
      <c r="B8300" s="117" t="s">
        <v>13327</v>
      </c>
      <c r="C8300" t="s">
        <v>67</v>
      </c>
      <c r="D8300" t="s">
        <v>67</v>
      </c>
      <c r="E8300" t="s">
        <v>67</v>
      </c>
      <c r="F8300" t="s">
        <v>27987</v>
      </c>
      <c r="G8300" s="117">
        <v>9.6999999999999993</v>
      </c>
    </row>
    <row r="8301" spans="1:7" x14ac:dyDescent="0.25">
      <c r="A8301" s="116" t="s">
        <v>13328</v>
      </c>
      <c r="B8301" s="117" t="s">
        <v>13329</v>
      </c>
      <c r="C8301" t="s">
        <v>67</v>
      </c>
      <c r="D8301" t="s">
        <v>67</v>
      </c>
      <c r="E8301" t="s">
        <v>67</v>
      </c>
      <c r="F8301" t="s">
        <v>27987</v>
      </c>
      <c r="G8301" s="117">
        <v>171.64</v>
      </c>
    </row>
    <row r="8302" spans="1:7" x14ac:dyDescent="0.25">
      <c r="A8302" s="116" t="s">
        <v>13330</v>
      </c>
      <c r="B8302" s="117" t="s">
        <v>13331</v>
      </c>
      <c r="C8302" t="s">
        <v>67</v>
      </c>
      <c r="D8302" t="s">
        <v>67</v>
      </c>
      <c r="E8302" t="s">
        <v>67</v>
      </c>
      <c r="F8302" t="s">
        <v>27987</v>
      </c>
      <c r="G8302" s="117">
        <v>19.13</v>
      </c>
    </row>
    <row r="8303" spans="1:7" x14ac:dyDescent="0.25">
      <c r="A8303" s="116" t="s">
        <v>13332</v>
      </c>
      <c r="B8303" s="117" t="s">
        <v>13333</v>
      </c>
      <c r="C8303" t="s">
        <v>67</v>
      </c>
      <c r="D8303" t="s">
        <v>67</v>
      </c>
      <c r="E8303" t="s">
        <v>67</v>
      </c>
      <c r="F8303" t="s">
        <v>27987</v>
      </c>
      <c r="G8303" s="117">
        <v>32.83</v>
      </c>
    </row>
    <row r="8304" spans="1:7" x14ac:dyDescent="0.25">
      <c r="A8304" s="116" t="s">
        <v>13334</v>
      </c>
      <c r="B8304" s="117" t="s">
        <v>13335</v>
      </c>
      <c r="C8304" t="s">
        <v>67</v>
      </c>
      <c r="D8304" t="s">
        <v>67</v>
      </c>
      <c r="E8304" t="s">
        <v>67</v>
      </c>
      <c r="F8304" t="s">
        <v>27987</v>
      </c>
      <c r="G8304" s="117">
        <v>3.12</v>
      </c>
    </row>
    <row r="8305" spans="1:7" x14ac:dyDescent="0.25">
      <c r="A8305" s="116" t="s">
        <v>13336</v>
      </c>
      <c r="B8305" s="117" t="s">
        <v>13337</v>
      </c>
      <c r="C8305" t="s">
        <v>67</v>
      </c>
      <c r="D8305" t="s">
        <v>67</v>
      </c>
      <c r="E8305" t="s">
        <v>67</v>
      </c>
      <c r="F8305" t="s">
        <v>27987</v>
      </c>
      <c r="G8305" s="117">
        <v>3.56</v>
      </c>
    </row>
    <row r="8306" spans="1:7" x14ac:dyDescent="0.25">
      <c r="A8306" s="116" t="s">
        <v>13338</v>
      </c>
      <c r="B8306" s="117" t="s">
        <v>13339</v>
      </c>
      <c r="C8306" t="s">
        <v>67</v>
      </c>
      <c r="D8306" t="s">
        <v>67</v>
      </c>
      <c r="E8306" t="s">
        <v>67</v>
      </c>
      <c r="F8306" t="s">
        <v>27987</v>
      </c>
      <c r="G8306" s="117">
        <v>15.57</v>
      </c>
    </row>
    <row r="8307" spans="1:7" x14ac:dyDescent="0.25">
      <c r="A8307" s="116" t="s">
        <v>13340</v>
      </c>
      <c r="B8307" s="117" t="s">
        <v>13341</v>
      </c>
      <c r="C8307" t="s">
        <v>67</v>
      </c>
      <c r="D8307" t="s">
        <v>67</v>
      </c>
      <c r="E8307" t="s">
        <v>67</v>
      </c>
      <c r="F8307" t="s">
        <v>27987</v>
      </c>
      <c r="G8307" s="117">
        <v>32.479999999999997</v>
      </c>
    </row>
    <row r="8308" spans="1:7" x14ac:dyDescent="0.25">
      <c r="A8308" s="116" t="s">
        <v>13342</v>
      </c>
      <c r="B8308" s="117" t="s">
        <v>13343</v>
      </c>
      <c r="C8308" t="s">
        <v>67</v>
      </c>
      <c r="D8308" t="s">
        <v>67</v>
      </c>
      <c r="E8308" t="s">
        <v>67</v>
      </c>
      <c r="F8308" t="s">
        <v>27987</v>
      </c>
      <c r="G8308" s="117">
        <v>15.57</v>
      </c>
    </row>
    <row r="8309" spans="1:7" x14ac:dyDescent="0.25">
      <c r="A8309" s="116" t="s">
        <v>13344</v>
      </c>
      <c r="B8309" s="117" t="s">
        <v>13345</v>
      </c>
      <c r="C8309" t="s">
        <v>67</v>
      </c>
      <c r="D8309" t="s">
        <v>67</v>
      </c>
      <c r="E8309" t="s">
        <v>67</v>
      </c>
      <c r="F8309" t="s">
        <v>27987</v>
      </c>
      <c r="G8309" s="117">
        <v>15.57</v>
      </c>
    </row>
    <row r="8310" spans="1:7" x14ac:dyDescent="0.25">
      <c r="A8310" s="116" t="s">
        <v>13346</v>
      </c>
      <c r="B8310" s="117" t="s">
        <v>13347</v>
      </c>
      <c r="C8310" t="s">
        <v>67</v>
      </c>
      <c r="D8310" t="s">
        <v>67</v>
      </c>
      <c r="E8310" t="s">
        <v>67</v>
      </c>
      <c r="F8310" t="s">
        <v>27987</v>
      </c>
      <c r="G8310" s="117">
        <v>20.02</v>
      </c>
    </row>
    <row r="8311" spans="1:7" x14ac:dyDescent="0.25">
      <c r="A8311" s="116" t="s">
        <v>13348</v>
      </c>
      <c r="B8311" s="117" t="s">
        <v>13349</v>
      </c>
      <c r="C8311" t="s">
        <v>67</v>
      </c>
      <c r="D8311" t="s">
        <v>67</v>
      </c>
      <c r="E8311" t="s">
        <v>67</v>
      </c>
      <c r="F8311" t="s">
        <v>27987</v>
      </c>
      <c r="G8311" s="117">
        <v>2.58</v>
      </c>
    </row>
    <row r="8312" spans="1:7" x14ac:dyDescent="0.25">
      <c r="A8312" s="116" t="s">
        <v>13350</v>
      </c>
      <c r="B8312" s="117" t="s">
        <v>1247</v>
      </c>
      <c r="C8312" t="s">
        <v>67</v>
      </c>
      <c r="D8312" t="s">
        <v>67</v>
      </c>
      <c r="E8312" t="s">
        <v>67</v>
      </c>
      <c r="F8312" t="s">
        <v>45</v>
      </c>
      <c r="G8312" s="117">
        <v>8.4499999999999993</v>
      </c>
    </row>
    <row r="8313" spans="1:7" x14ac:dyDescent="0.25">
      <c r="A8313" s="116" t="s">
        <v>13351</v>
      </c>
      <c r="B8313" s="117" t="s">
        <v>13352</v>
      </c>
      <c r="C8313" t="s">
        <v>67</v>
      </c>
      <c r="D8313" t="s">
        <v>67</v>
      </c>
      <c r="E8313" t="s">
        <v>67</v>
      </c>
      <c r="F8313" t="s">
        <v>27987</v>
      </c>
      <c r="G8313" s="117">
        <v>3.56</v>
      </c>
    </row>
    <row r="8314" spans="1:7" x14ac:dyDescent="0.25">
      <c r="A8314" s="116" t="s">
        <v>13353</v>
      </c>
      <c r="B8314" s="117" t="s">
        <v>13354</v>
      </c>
      <c r="C8314" t="s">
        <v>67</v>
      </c>
      <c r="D8314" t="s">
        <v>67</v>
      </c>
      <c r="E8314" t="s">
        <v>67</v>
      </c>
      <c r="F8314" t="s">
        <v>27987</v>
      </c>
      <c r="G8314" s="117">
        <v>3.56</v>
      </c>
    </row>
    <row r="8315" spans="1:7" x14ac:dyDescent="0.25">
      <c r="A8315" s="116" t="s">
        <v>13355</v>
      </c>
      <c r="B8315" s="117" t="s">
        <v>13239</v>
      </c>
      <c r="C8315" t="s">
        <v>67</v>
      </c>
      <c r="D8315" t="s">
        <v>67</v>
      </c>
      <c r="E8315" t="s">
        <v>67</v>
      </c>
      <c r="F8315" t="s">
        <v>45</v>
      </c>
      <c r="G8315" s="117">
        <v>36.93</v>
      </c>
    </row>
    <row r="8316" spans="1:7" x14ac:dyDescent="0.25">
      <c r="A8316" s="116" t="s">
        <v>13356</v>
      </c>
      <c r="B8316" s="117" t="s">
        <v>13357</v>
      </c>
      <c r="C8316" t="s">
        <v>67</v>
      </c>
      <c r="D8316" t="s">
        <v>67</v>
      </c>
      <c r="E8316" t="s">
        <v>67</v>
      </c>
      <c r="F8316" t="s">
        <v>27987</v>
      </c>
      <c r="G8316" s="117">
        <v>8.81</v>
      </c>
    </row>
    <row r="8317" spans="1:7" x14ac:dyDescent="0.25">
      <c r="A8317" s="116" t="s">
        <v>13358</v>
      </c>
      <c r="B8317" s="117" t="s">
        <v>13359</v>
      </c>
      <c r="C8317" t="s">
        <v>67</v>
      </c>
      <c r="D8317" t="s">
        <v>67</v>
      </c>
      <c r="E8317" t="s">
        <v>67</v>
      </c>
      <c r="F8317" t="s">
        <v>45</v>
      </c>
      <c r="G8317" s="117">
        <v>440.02</v>
      </c>
    </row>
    <row r="8318" spans="1:7" x14ac:dyDescent="0.25">
      <c r="A8318" s="116" t="s">
        <v>13360</v>
      </c>
      <c r="B8318" s="117" t="s">
        <v>13241</v>
      </c>
      <c r="C8318" t="s">
        <v>67</v>
      </c>
      <c r="D8318" t="s">
        <v>67</v>
      </c>
      <c r="E8318" t="s">
        <v>67</v>
      </c>
      <c r="F8318" t="s">
        <v>27987</v>
      </c>
      <c r="G8318" s="117">
        <v>20.02</v>
      </c>
    </row>
    <row r="8319" spans="1:7" x14ac:dyDescent="0.25">
      <c r="A8319" s="116" t="s">
        <v>28995</v>
      </c>
      <c r="B8319" s="117" t="s">
        <v>30738</v>
      </c>
      <c r="C8319" t="s">
        <v>67</v>
      </c>
      <c r="D8319" t="s">
        <v>67</v>
      </c>
      <c r="E8319" t="s">
        <v>67</v>
      </c>
      <c r="F8319" t="s">
        <v>27987</v>
      </c>
      <c r="G8319" s="117">
        <v>5</v>
      </c>
    </row>
    <row r="8320" spans="1:7" x14ac:dyDescent="0.25">
      <c r="A8320" s="116" t="s">
        <v>13361</v>
      </c>
      <c r="B8320" s="117" t="s">
        <v>2210</v>
      </c>
      <c r="C8320" t="s">
        <v>67</v>
      </c>
      <c r="D8320" t="s">
        <v>67</v>
      </c>
      <c r="E8320" t="s">
        <v>67</v>
      </c>
      <c r="F8320" t="s">
        <v>27987</v>
      </c>
      <c r="G8320" s="117">
        <v>15.57</v>
      </c>
    </row>
    <row r="8321" spans="1:7" x14ac:dyDescent="0.25">
      <c r="A8321" s="116" t="s">
        <v>13362</v>
      </c>
      <c r="B8321" s="117" t="s">
        <v>13363</v>
      </c>
      <c r="C8321" t="s">
        <v>67</v>
      </c>
      <c r="D8321" t="s">
        <v>67</v>
      </c>
      <c r="E8321" t="s">
        <v>67</v>
      </c>
      <c r="F8321" t="s">
        <v>27987</v>
      </c>
      <c r="G8321" s="117">
        <v>35.5</v>
      </c>
    </row>
    <row r="8322" spans="1:7" x14ac:dyDescent="0.25">
      <c r="A8322" s="116" t="s">
        <v>13364</v>
      </c>
      <c r="B8322" s="117" t="s">
        <v>3825</v>
      </c>
      <c r="C8322" t="s">
        <v>67</v>
      </c>
      <c r="D8322" t="s">
        <v>67</v>
      </c>
      <c r="E8322" t="s">
        <v>67</v>
      </c>
      <c r="F8322" t="s">
        <v>27987</v>
      </c>
      <c r="G8322" s="117">
        <v>24.82</v>
      </c>
    </row>
    <row r="8323" spans="1:7" x14ac:dyDescent="0.25">
      <c r="A8323" s="116" t="s">
        <v>13365</v>
      </c>
      <c r="B8323" s="117" t="s">
        <v>13366</v>
      </c>
      <c r="C8323" t="s">
        <v>67</v>
      </c>
      <c r="D8323" t="s">
        <v>67</v>
      </c>
      <c r="E8323" t="s">
        <v>67</v>
      </c>
      <c r="F8323" t="s">
        <v>45</v>
      </c>
      <c r="G8323" s="117">
        <v>3.56</v>
      </c>
    </row>
    <row r="8324" spans="1:7" x14ac:dyDescent="0.25">
      <c r="A8324" s="116" t="s">
        <v>13367</v>
      </c>
      <c r="B8324" s="117" t="s">
        <v>8264</v>
      </c>
      <c r="C8324" t="s">
        <v>67</v>
      </c>
      <c r="D8324" t="s">
        <v>67</v>
      </c>
      <c r="E8324" t="s">
        <v>67</v>
      </c>
      <c r="F8324" t="s">
        <v>27987</v>
      </c>
      <c r="G8324" s="117">
        <v>0.8</v>
      </c>
    </row>
    <row r="8325" spans="1:7" x14ac:dyDescent="0.25">
      <c r="A8325" s="116" t="s">
        <v>13368</v>
      </c>
      <c r="B8325" s="117" t="s">
        <v>3827</v>
      </c>
      <c r="C8325" t="s">
        <v>67</v>
      </c>
      <c r="D8325" t="s">
        <v>67</v>
      </c>
      <c r="E8325" t="s">
        <v>67</v>
      </c>
      <c r="F8325" t="s">
        <v>27987</v>
      </c>
      <c r="G8325" s="117">
        <v>80</v>
      </c>
    </row>
    <row r="8326" spans="1:7" x14ac:dyDescent="0.25">
      <c r="A8326" s="116" t="s">
        <v>13369</v>
      </c>
      <c r="B8326" s="117" t="s">
        <v>13370</v>
      </c>
      <c r="C8326" t="s">
        <v>67</v>
      </c>
      <c r="D8326" t="s">
        <v>67</v>
      </c>
      <c r="E8326" t="s">
        <v>67</v>
      </c>
      <c r="F8326" t="s">
        <v>45</v>
      </c>
      <c r="G8326" s="117">
        <v>4.3600000000000003</v>
      </c>
    </row>
    <row r="8327" spans="1:7" x14ac:dyDescent="0.25">
      <c r="A8327" s="116" t="s">
        <v>13371</v>
      </c>
      <c r="B8327" s="117" t="s">
        <v>13372</v>
      </c>
      <c r="C8327" t="s">
        <v>67</v>
      </c>
      <c r="D8327" t="s">
        <v>67</v>
      </c>
      <c r="E8327" t="s">
        <v>67</v>
      </c>
      <c r="F8327" t="s">
        <v>27987</v>
      </c>
      <c r="G8327" s="117">
        <v>3.56</v>
      </c>
    </row>
    <row r="8328" spans="1:7" x14ac:dyDescent="0.25">
      <c r="A8328" s="116" t="s">
        <v>13373</v>
      </c>
      <c r="B8328" s="117" t="s">
        <v>13374</v>
      </c>
      <c r="C8328" t="s">
        <v>67</v>
      </c>
      <c r="D8328" t="s">
        <v>67</v>
      </c>
      <c r="E8328" t="s">
        <v>67</v>
      </c>
      <c r="F8328" t="s">
        <v>27987</v>
      </c>
      <c r="G8328" s="117">
        <v>516.01</v>
      </c>
    </row>
    <row r="8329" spans="1:7" x14ac:dyDescent="0.25">
      <c r="A8329" s="116" t="s">
        <v>13375</v>
      </c>
      <c r="B8329" s="117" t="s">
        <v>3827</v>
      </c>
      <c r="C8329" t="s">
        <v>67</v>
      </c>
      <c r="D8329" t="s">
        <v>67</v>
      </c>
      <c r="E8329" t="s">
        <v>67</v>
      </c>
      <c r="F8329" t="s">
        <v>49</v>
      </c>
      <c r="G8329" s="117">
        <v>2.23</v>
      </c>
    </row>
    <row r="8330" spans="1:7" x14ac:dyDescent="0.25">
      <c r="A8330" s="116" t="s">
        <v>13376</v>
      </c>
      <c r="B8330" s="117" t="s">
        <v>13377</v>
      </c>
      <c r="C8330" t="s">
        <v>67</v>
      </c>
      <c r="D8330" t="s">
        <v>67</v>
      </c>
      <c r="E8330" t="s">
        <v>67</v>
      </c>
      <c r="F8330" t="s">
        <v>49</v>
      </c>
      <c r="G8330" s="117">
        <v>1.33</v>
      </c>
    </row>
    <row r="8331" spans="1:7" x14ac:dyDescent="0.25">
      <c r="A8331" s="116" t="s">
        <v>13378</v>
      </c>
      <c r="B8331" s="117" t="s">
        <v>13379</v>
      </c>
      <c r="C8331" t="s">
        <v>67</v>
      </c>
      <c r="D8331" t="s">
        <v>67</v>
      </c>
      <c r="E8331" t="s">
        <v>67</v>
      </c>
      <c r="F8331" t="s">
        <v>27987</v>
      </c>
      <c r="G8331" s="117">
        <v>8.4499999999999993</v>
      </c>
    </row>
    <row r="8332" spans="1:7" x14ac:dyDescent="0.25">
      <c r="A8332" s="116" t="s">
        <v>31198</v>
      </c>
      <c r="B8332" s="117" t="s">
        <v>31199</v>
      </c>
      <c r="C8332" t="s">
        <v>67</v>
      </c>
      <c r="D8332" t="s">
        <v>67</v>
      </c>
      <c r="E8332" t="s">
        <v>67</v>
      </c>
      <c r="F8332" t="s">
        <v>45</v>
      </c>
      <c r="G8332" s="117">
        <v>11.03</v>
      </c>
    </row>
    <row r="8333" spans="1:7" x14ac:dyDescent="0.25">
      <c r="A8333" s="116" t="s">
        <v>30671</v>
      </c>
      <c r="B8333" s="117" t="s">
        <v>30672</v>
      </c>
      <c r="C8333" t="s">
        <v>67</v>
      </c>
      <c r="D8333" t="s">
        <v>67</v>
      </c>
      <c r="E8333" t="s">
        <v>67</v>
      </c>
      <c r="F8333" t="s">
        <v>45</v>
      </c>
      <c r="G8333" s="117">
        <v>13</v>
      </c>
    </row>
    <row r="8334" spans="1:7" x14ac:dyDescent="0.25">
      <c r="A8334" s="116" t="s">
        <v>31200</v>
      </c>
      <c r="B8334" s="117" t="s">
        <v>31201</v>
      </c>
      <c r="C8334" t="s">
        <v>67</v>
      </c>
      <c r="D8334" t="s">
        <v>67</v>
      </c>
      <c r="E8334" t="s">
        <v>67</v>
      </c>
      <c r="F8334" t="s">
        <v>45</v>
      </c>
      <c r="G8334" s="117">
        <v>0.95</v>
      </c>
    </row>
    <row r="8335" spans="1:7" x14ac:dyDescent="0.25">
      <c r="A8335" s="116" t="s">
        <v>13380</v>
      </c>
      <c r="B8335" s="117" t="s">
        <v>13381</v>
      </c>
      <c r="C8335" t="s">
        <v>67</v>
      </c>
      <c r="D8335" t="s">
        <v>67</v>
      </c>
      <c r="E8335" t="s">
        <v>67</v>
      </c>
      <c r="F8335" t="s">
        <v>27987</v>
      </c>
      <c r="G8335" s="117">
        <v>1.33</v>
      </c>
    </row>
    <row r="8336" spans="1:7" x14ac:dyDescent="0.25">
      <c r="A8336" s="116" t="s">
        <v>13382</v>
      </c>
      <c r="B8336" s="117" t="s">
        <v>13383</v>
      </c>
      <c r="C8336" t="s">
        <v>67</v>
      </c>
      <c r="D8336" t="s">
        <v>67</v>
      </c>
      <c r="E8336" t="s">
        <v>67</v>
      </c>
      <c r="F8336" t="s">
        <v>27987</v>
      </c>
      <c r="G8336" s="117">
        <v>9.35</v>
      </c>
    </row>
    <row r="8337" spans="1:7" x14ac:dyDescent="0.25">
      <c r="A8337" s="116" t="s">
        <v>13384</v>
      </c>
      <c r="B8337" s="117" t="s">
        <v>13385</v>
      </c>
      <c r="C8337" t="s">
        <v>67</v>
      </c>
      <c r="D8337" t="s">
        <v>67</v>
      </c>
      <c r="E8337" t="s">
        <v>67</v>
      </c>
      <c r="F8337" t="s">
        <v>27987</v>
      </c>
      <c r="G8337" s="117">
        <v>8.4499999999999993</v>
      </c>
    </row>
    <row r="8338" spans="1:7" x14ac:dyDescent="0.25">
      <c r="A8338" s="116" t="s">
        <v>13386</v>
      </c>
      <c r="B8338" s="117" t="s">
        <v>6346</v>
      </c>
      <c r="C8338" t="s">
        <v>67</v>
      </c>
      <c r="D8338" t="s">
        <v>67</v>
      </c>
      <c r="E8338" t="s">
        <v>67</v>
      </c>
      <c r="F8338" t="s">
        <v>27987</v>
      </c>
      <c r="G8338" s="117">
        <v>83.2</v>
      </c>
    </row>
    <row r="8339" spans="1:7" x14ac:dyDescent="0.25">
      <c r="A8339" s="116" t="s">
        <v>13387</v>
      </c>
      <c r="B8339" s="117" t="s">
        <v>4693</v>
      </c>
      <c r="C8339" t="s">
        <v>67</v>
      </c>
      <c r="D8339" t="s">
        <v>67</v>
      </c>
      <c r="E8339" t="s">
        <v>67</v>
      </c>
      <c r="F8339" t="s">
        <v>27987</v>
      </c>
      <c r="G8339" s="117">
        <v>12.9</v>
      </c>
    </row>
    <row r="8340" spans="1:7" x14ac:dyDescent="0.25">
      <c r="A8340" s="116" t="s">
        <v>13388</v>
      </c>
      <c r="B8340" s="117" t="s">
        <v>13389</v>
      </c>
      <c r="C8340" t="s">
        <v>67</v>
      </c>
      <c r="D8340" t="s">
        <v>67</v>
      </c>
      <c r="E8340" t="s">
        <v>67</v>
      </c>
      <c r="F8340" t="s">
        <v>45</v>
      </c>
      <c r="G8340" s="117">
        <v>4.8899999999999997</v>
      </c>
    </row>
    <row r="8341" spans="1:7" x14ac:dyDescent="0.25">
      <c r="A8341" s="116" t="s">
        <v>13390</v>
      </c>
      <c r="B8341" s="117" t="s">
        <v>4700</v>
      </c>
      <c r="C8341" t="s">
        <v>67</v>
      </c>
      <c r="D8341" t="s">
        <v>67</v>
      </c>
      <c r="E8341" t="s">
        <v>67</v>
      </c>
      <c r="F8341" t="s">
        <v>27987</v>
      </c>
      <c r="G8341" s="117">
        <v>187.31</v>
      </c>
    </row>
    <row r="8342" spans="1:7" x14ac:dyDescent="0.25">
      <c r="A8342" s="116" t="s">
        <v>13391</v>
      </c>
      <c r="B8342" s="117" t="s">
        <v>28996</v>
      </c>
      <c r="C8342" t="s">
        <v>67</v>
      </c>
      <c r="D8342" t="s">
        <v>67</v>
      </c>
      <c r="E8342" t="s">
        <v>67</v>
      </c>
      <c r="F8342" t="s">
        <v>45</v>
      </c>
      <c r="G8342" s="117">
        <v>1.33</v>
      </c>
    </row>
    <row r="8343" spans="1:7" x14ac:dyDescent="0.25">
      <c r="A8343" s="116" t="s">
        <v>13392</v>
      </c>
      <c r="B8343" s="117" t="s">
        <v>9928</v>
      </c>
      <c r="C8343" t="s">
        <v>67</v>
      </c>
      <c r="D8343" t="s">
        <v>67</v>
      </c>
      <c r="E8343" t="s">
        <v>67</v>
      </c>
      <c r="F8343" t="s">
        <v>45</v>
      </c>
      <c r="G8343" s="117">
        <v>14.68</v>
      </c>
    </row>
    <row r="8344" spans="1:7" x14ac:dyDescent="0.25">
      <c r="A8344" s="116" t="s">
        <v>13393</v>
      </c>
      <c r="B8344" s="117" t="s">
        <v>13394</v>
      </c>
      <c r="C8344" t="s">
        <v>67</v>
      </c>
      <c r="D8344" t="s">
        <v>67</v>
      </c>
      <c r="E8344" t="s">
        <v>67</v>
      </c>
      <c r="F8344" t="s">
        <v>27987</v>
      </c>
      <c r="G8344" s="117">
        <v>4</v>
      </c>
    </row>
    <row r="8345" spans="1:7" x14ac:dyDescent="0.25">
      <c r="A8345" s="116" t="s">
        <v>13395</v>
      </c>
      <c r="B8345" s="117" t="s">
        <v>4848</v>
      </c>
      <c r="C8345" t="s">
        <v>67</v>
      </c>
      <c r="D8345" t="s">
        <v>67</v>
      </c>
      <c r="E8345" t="s">
        <v>67</v>
      </c>
      <c r="F8345" t="s">
        <v>45</v>
      </c>
      <c r="G8345" s="117">
        <v>4.8899999999999997</v>
      </c>
    </row>
    <row r="8346" spans="1:7" x14ac:dyDescent="0.25">
      <c r="A8346" s="116" t="s">
        <v>13396</v>
      </c>
      <c r="B8346" s="117" t="s">
        <v>13397</v>
      </c>
      <c r="C8346" t="s">
        <v>67</v>
      </c>
      <c r="D8346" t="s">
        <v>67</v>
      </c>
      <c r="E8346" t="s">
        <v>67</v>
      </c>
      <c r="F8346" t="s">
        <v>27987</v>
      </c>
      <c r="G8346" s="117">
        <v>120.57</v>
      </c>
    </row>
    <row r="8347" spans="1:7" x14ac:dyDescent="0.25">
      <c r="A8347" s="116" t="s">
        <v>13398</v>
      </c>
      <c r="B8347" s="117" t="s">
        <v>13399</v>
      </c>
      <c r="C8347" t="s">
        <v>67</v>
      </c>
      <c r="D8347" t="s">
        <v>67</v>
      </c>
      <c r="E8347" t="s">
        <v>67</v>
      </c>
      <c r="F8347" t="s">
        <v>27987</v>
      </c>
      <c r="G8347" s="117">
        <v>35.5</v>
      </c>
    </row>
    <row r="8348" spans="1:7" x14ac:dyDescent="0.25">
      <c r="A8348" s="116" t="s">
        <v>30673</v>
      </c>
      <c r="B8348" s="117" t="s">
        <v>30674</v>
      </c>
      <c r="C8348" t="s">
        <v>67</v>
      </c>
      <c r="D8348" t="s">
        <v>67</v>
      </c>
      <c r="E8348" t="s">
        <v>67</v>
      </c>
      <c r="F8348" t="s">
        <v>45</v>
      </c>
      <c r="G8348" s="117">
        <v>17</v>
      </c>
    </row>
    <row r="8349" spans="1:7" x14ac:dyDescent="0.25">
      <c r="A8349" s="116" t="s">
        <v>30675</v>
      </c>
      <c r="B8349" s="117" t="s">
        <v>30676</v>
      </c>
      <c r="C8349" t="s">
        <v>67</v>
      </c>
      <c r="D8349" t="s">
        <v>67</v>
      </c>
      <c r="E8349" t="s">
        <v>67</v>
      </c>
      <c r="F8349" t="s">
        <v>45</v>
      </c>
      <c r="G8349" s="117">
        <v>12</v>
      </c>
    </row>
    <row r="8350" spans="1:7" x14ac:dyDescent="0.25">
      <c r="A8350" s="116" t="s">
        <v>29791</v>
      </c>
      <c r="B8350" s="117" t="s">
        <v>1583</v>
      </c>
      <c r="C8350" t="s">
        <v>67</v>
      </c>
      <c r="D8350" t="s">
        <v>67</v>
      </c>
      <c r="E8350" t="s">
        <v>67</v>
      </c>
      <c r="F8350" t="s">
        <v>45</v>
      </c>
      <c r="G8350" s="117">
        <v>2.31</v>
      </c>
    </row>
    <row r="8351" spans="1:7" x14ac:dyDescent="0.25">
      <c r="A8351" s="116" t="s">
        <v>13400</v>
      </c>
      <c r="B8351" s="117" t="s">
        <v>28997</v>
      </c>
      <c r="C8351" t="s">
        <v>67</v>
      </c>
      <c r="D8351" t="s">
        <v>67</v>
      </c>
      <c r="E8351" t="s">
        <v>67</v>
      </c>
      <c r="F8351" t="s">
        <v>45</v>
      </c>
      <c r="G8351" s="117">
        <v>17</v>
      </c>
    </row>
    <row r="8352" spans="1:7" x14ac:dyDescent="0.25">
      <c r="A8352" s="116" t="s">
        <v>29792</v>
      </c>
      <c r="B8352" s="117" t="s">
        <v>30448</v>
      </c>
      <c r="C8352" t="s">
        <v>67</v>
      </c>
      <c r="D8352" t="s">
        <v>67</v>
      </c>
      <c r="E8352" t="s">
        <v>67</v>
      </c>
      <c r="F8352" t="s">
        <v>45</v>
      </c>
      <c r="G8352" s="117">
        <v>1.1599999999999999</v>
      </c>
    </row>
    <row r="8353" spans="1:7" x14ac:dyDescent="0.25">
      <c r="A8353" s="116" t="s">
        <v>13401</v>
      </c>
      <c r="B8353" s="117" t="s">
        <v>6346</v>
      </c>
      <c r="C8353" t="s">
        <v>67</v>
      </c>
      <c r="D8353" t="s">
        <v>67</v>
      </c>
      <c r="E8353" t="s">
        <v>67</v>
      </c>
      <c r="F8353" t="s">
        <v>45</v>
      </c>
      <c r="G8353" s="117">
        <v>4</v>
      </c>
    </row>
    <row r="8354" spans="1:7" x14ac:dyDescent="0.25">
      <c r="A8354" s="116" t="s">
        <v>26773</v>
      </c>
      <c r="B8354" s="117" t="s">
        <v>26774</v>
      </c>
      <c r="C8354" t="s">
        <v>67</v>
      </c>
      <c r="D8354" t="s">
        <v>67</v>
      </c>
      <c r="E8354" t="s">
        <v>67</v>
      </c>
      <c r="F8354" t="s">
        <v>45</v>
      </c>
      <c r="G8354" s="117">
        <v>3.23</v>
      </c>
    </row>
    <row r="8355" spans="1:7" x14ac:dyDescent="0.25">
      <c r="A8355" s="116" t="s">
        <v>13402</v>
      </c>
      <c r="B8355" s="117" t="s">
        <v>13403</v>
      </c>
      <c r="C8355" t="s">
        <v>67</v>
      </c>
      <c r="D8355" t="s">
        <v>67</v>
      </c>
      <c r="E8355" t="s">
        <v>67</v>
      </c>
      <c r="F8355" t="s">
        <v>45</v>
      </c>
      <c r="G8355" s="117">
        <v>11.84</v>
      </c>
    </row>
    <row r="8356" spans="1:7" x14ac:dyDescent="0.25">
      <c r="A8356" s="116" t="s">
        <v>13404</v>
      </c>
      <c r="B8356" s="117" t="s">
        <v>13184</v>
      </c>
      <c r="C8356" t="s">
        <v>67</v>
      </c>
      <c r="D8356" t="s">
        <v>67</v>
      </c>
      <c r="E8356" t="s">
        <v>67</v>
      </c>
      <c r="F8356" t="s">
        <v>27987</v>
      </c>
      <c r="G8356" s="117">
        <v>22.69</v>
      </c>
    </row>
    <row r="8357" spans="1:7" x14ac:dyDescent="0.25">
      <c r="A8357" s="116" t="s">
        <v>13405</v>
      </c>
      <c r="B8357" s="117" t="s">
        <v>4693</v>
      </c>
      <c r="C8357" t="s">
        <v>67</v>
      </c>
      <c r="D8357" t="s">
        <v>67</v>
      </c>
      <c r="E8357" t="s">
        <v>67</v>
      </c>
      <c r="F8357" t="s">
        <v>45</v>
      </c>
      <c r="G8357" s="117">
        <v>33.729999999999997</v>
      </c>
    </row>
    <row r="8358" spans="1:7" x14ac:dyDescent="0.25">
      <c r="A8358" s="116" t="s">
        <v>13406</v>
      </c>
      <c r="B8358" s="117" t="s">
        <v>13407</v>
      </c>
      <c r="C8358" t="s">
        <v>67</v>
      </c>
      <c r="D8358" t="s">
        <v>67</v>
      </c>
      <c r="E8358" t="s">
        <v>67</v>
      </c>
      <c r="F8358" t="s">
        <v>27987</v>
      </c>
      <c r="G8358" s="117">
        <v>18.239999999999998</v>
      </c>
    </row>
    <row r="8359" spans="1:7" x14ac:dyDescent="0.25">
      <c r="A8359" s="116" t="s">
        <v>13408</v>
      </c>
      <c r="B8359" s="117" t="s">
        <v>13409</v>
      </c>
      <c r="C8359" t="s">
        <v>67</v>
      </c>
      <c r="D8359" t="s">
        <v>67</v>
      </c>
      <c r="E8359" t="s">
        <v>67</v>
      </c>
      <c r="F8359" t="s">
        <v>27987</v>
      </c>
      <c r="G8359" s="117">
        <v>26.25</v>
      </c>
    </row>
    <row r="8360" spans="1:7" x14ac:dyDescent="0.25">
      <c r="A8360" s="116" t="s">
        <v>13410</v>
      </c>
      <c r="B8360" s="117" t="s">
        <v>28998</v>
      </c>
      <c r="C8360" t="s">
        <v>67</v>
      </c>
      <c r="D8360" t="s">
        <v>67</v>
      </c>
      <c r="E8360" t="s">
        <v>67</v>
      </c>
      <c r="F8360" t="s">
        <v>45</v>
      </c>
      <c r="G8360" s="117">
        <v>12.8</v>
      </c>
    </row>
    <row r="8361" spans="1:7" x14ac:dyDescent="0.25">
      <c r="A8361" s="116" t="s">
        <v>26857</v>
      </c>
      <c r="B8361" s="117" t="s">
        <v>26858</v>
      </c>
      <c r="C8361" t="s">
        <v>67</v>
      </c>
      <c r="D8361" t="s">
        <v>67</v>
      </c>
      <c r="E8361" t="s">
        <v>67</v>
      </c>
      <c r="F8361" t="s">
        <v>45</v>
      </c>
      <c r="G8361" s="117">
        <v>61.5</v>
      </c>
    </row>
    <row r="8362" spans="1:7" x14ac:dyDescent="0.25">
      <c r="A8362" s="116" t="s">
        <v>31169</v>
      </c>
      <c r="B8362" s="117" t="s">
        <v>31170</v>
      </c>
      <c r="C8362" t="s">
        <v>67</v>
      </c>
      <c r="D8362" t="s">
        <v>67</v>
      </c>
      <c r="E8362" t="s">
        <v>67</v>
      </c>
      <c r="F8362" t="s">
        <v>45</v>
      </c>
      <c r="G8362" s="117">
        <v>34.770000000000003</v>
      </c>
    </row>
    <row r="8363" spans="1:7" x14ac:dyDescent="0.25">
      <c r="A8363" s="116" t="s">
        <v>13411</v>
      </c>
      <c r="B8363" s="117" t="s">
        <v>28999</v>
      </c>
      <c r="C8363" t="s">
        <v>67</v>
      </c>
      <c r="D8363" t="s">
        <v>67</v>
      </c>
      <c r="E8363" t="s">
        <v>67</v>
      </c>
      <c r="F8363" t="s">
        <v>45</v>
      </c>
      <c r="G8363" s="117">
        <v>74.66</v>
      </c>
    </row>
    <row r="8364" spans="1:7" x14ac:dyDescent="0.25">
      <c r="A8364" s="116" t="s">
        <v>13412</v>
      </c>
      <c r="B8364" s="117" t="s">
        <v>13413</v>
      </c>
      <c r="C8364" t="s">
        <v>67</v>
      </c>
      <c r="D8364" t="s">
        <v>67</v>
      </c>
      <c r="E8364" t="s">
        <v>67</v>
      </c>
      <c r="F8364" t="s">
        <v>27987</v>
      </c>
      <c r="G8364" s="117">
        <v>46.71</v>
      </c>
    </row>
    <row r="8365" spans="1:7" x14ac:dyDescent="0.25">
      <c r="A8365" s="116" t="s">
        <v>31265</v>
      </c>
      <c r="B8365" s="117" t="s">
        <v>31266</v>
      </c>
      <c r="C8365" t="s">
        <v>67</v>
      </c>
      <c r="D8365" t="s">
        <v>67</v>
      </c>
      <c r="E8365" t="s">
        <v>67</v>
      </c>
      <c r="F8365" t="s">
        <v>45</v>
      </c>
      <c r="G8365" s="117">
        <v>65</v>
      </c>
    </row>
    <row r="8366" spans="1:7" x14ac:dyDescent="0.25">
      <c r="A8366" s="116" t="s">
        <v>31267</v>
      </c>
      <c r="B8366" s="117" t="s">
        <v>31268</v>
      </c>
      <c r="C8366" t="s">
        <v>67</v>
      </c>
      <c r="D8366" t="s">
        <v>67</v>
      </c>
      <c r="E8366" t="s">
        <v>67</v>
      </c>
      <c r="F8366" t="s">
        <v>45</v>
      </c>
      <c r="G8366" s="117">
        <v>19</v>
      </c>
    </row>
    <row r="8367" spans="1:7" x14ac:dyDescent="0.25">
      <c r="A8367" s="116" t="s">
        <v>13414</v>
      </c>
      <c r="B8367" s="117" t="s">
        <v>9928</v>
      </c>
      <c r="C8367" t="s">
        <v>67</v>
      </c>
      <c r="D8367" t="s">
        <v>67</v>
      </c>
      <c r="E8367" t="s">
        <v>67</v>
      </c>
      <c r="F8367" t="s">
        <v>45</v>
      </c>
      <c r="G8367" s="117">
        <v>3.48</v>
      </c>
    </row>
    <row r="8368" spans="1:7" x14ac:dyDescent="0.25">
      <c r="A8368" s="116" t="s">
        <v>13415</v>
      </c>
      <c r="B8368" s="117" t="s">
        <v>13416</v>
      </c>
      <c r="C8368" t="s">
        <v>67</v>
      </c>
      <c r="D8368" t="s">
        <v>67</v>
      </c>
      <c r="E8368" t="s">
        <v>67</v>
      </c>
      <c r="F8368" t="s">
        <v>27987</v>
      </c>
      <c r="G8368" s="117">
        <v>17.7</v>
      </c>
    </row>
    <row r="8369" spans="1:7" x14ac:dyDescent="0.25">
      <c r="A8369" s="116" t="s">
        <v>13417</v>
      </c>
      <c r="B8369" s="117" t="s">
        <v>13418</v>
      </c>
      <c r="C8369" t="s">
        <v>67</v>
      </c>
      <c r="D8369" t="s">
        <v>67</v>
      </c>
      <c r="E8369" t="s">
        <v>67</v>
      </c>
      <c r="F8369" t="s">
        <v>27987</v>
      </c>
      <c r="G8369" s="117">
        <v>13.19</v>
      </c>
    </row>
    <row r="8370" spans="1:7" x14ac:dyDescent="0.25">
      <c r="A8370" s="116" t="s">
        <v>13419</v>
      </c>
      <c r="B8370" s="117" t="s">
        <v>13420</v>
      </c>
      <c r="C8370" t="s">
        <v>67</v>
      </c>
      <c r="D8370" t="s">
        <v>67</v>
      </c>
      <c r="E8370" t="s">
        <v>67</v>
      </c>
      <c r="F8370" t="s">
        <v>27987</v>
      </c>
      <c r="G8370" s="117">
        <v>46.21</v>
      </c>
    </row>
    <row r="8371" spans="1:7" x14ac:dyDescent="0.25">
      <c r="A8371" s="116" t="s">
        <v>13421</v>
      </c>
      <c r="B8371" s="117" t="s">
        <v>4848</v>
      </c>
      <c r="C8371" t="s">
        <v>67</v>
      </c>
      <c r="D8371" t="s">
        <v>67</v>
      </c>
      <c r="E8371" t="s">
        <v>67</v>
      </c>
      <c r="F8371" t="s">
        <v>27987</v>
      </c>
      <c r="G8371" s="117">
        <v>11.8</v>
      </c>
    </row>
    <row r="8372" spans="1:7" x14ac:dyDescent="0.25">
      <c r="A8372" s="116" t="s">
        <v>31171</v>
      </c>
      <c r="B8372" s="117" t="s">
        <v>31172</v>
      </c>
      <c r="C8372" t="s">
        <v>67</v>
      </c>
      <c r="D8372" t="s">
        <v>67</v>
      </c>
      <c r="E8372" t="s">
        <v>67</v>
      </c>
      <c r="F8372" t="s">
        <v>45</v>
      </c>
      <c r="G8372" s="117">
        <v>8.1999999999999993</v>
      </c>
    </row>
    <row r="8373" spans="1:7" x14ac:dyDescent="0.25">
      <c r="A8373" s="116" t="s">
        <v>13422</v>
      </c>
      <c r="B8373" s="117" t="s">
        <v>13423</v>
      </c>
      <c r="C8373" t="s">
        <v>67</v>
      </c>
      <c r="D8373" t="s">
        <v>67</v>
      </c>
      <c r="E8373" t="s">
        <v>67</v>
      </c>
      <c r="F8373" t="s">
        <v>49</v>
      </c>
      <c r="G8373" s="117">
        <v>6.53</v>
      </c>
    </row>
    <row r="8374" spans="1:7" x14ac:dyDescent="0.25">
      <c r="A8374" s="116" t="s">
        <v>13424</v>
      </c>
      <c r="B8374" s="117" t="s">
        <v>13425</v>
      </c>
      <c r="C8374" t="s">
        <v>67</v>
      </c>
      <c r="D8374" t="s">
        <v>67</v>
      </c>
      <c r="E8374" t="s">
        <v>67</v>
      </c>
      <c r="F8374" t="s">
        <v>27987</v>
      </c>
      <c r="G8374" s="117">
        <v>2.89</v>
      </c>
    </row>
    <row r="8375" spans="1:7" x14ac:dyDescent="0.25">
      <c r="A8375" s="116" t="s">
        <v>29000</v>
      </c>
      <c r="B8375" s="117" t="s">
        <v>3585</v>
      </c>
      <c r="C8375" t="s">
        <v>67</v>
      </c>
      <c r="D8375" t="s">
        <v>67</v>
      </c>
      <c r="E8375" t="s">
        <v>67</v>
      </c>
      <c r="F8375" t="s">
        <v>45</v>
      </c>
      <c r="G8375" s="117">
        <v>15</v>
      </c>
    </row>
    <row r="8376" spans="1:7" x14ac:dyDescent="0.25">
      <c r="A8376" s="116" t="s">
        <v>29001</v>
      </c>
      <c r="B8376" s="117" t="s">
        <v>13053</v>
      </c>
      <c r="C8376" t="s">
        <v>67</v>
      </c>
      <c r="D8376" t="s">
        <v>67</v>
      </c>
      <c r="E8376" t="s">
        <v>67</v>
      </c>
      <c r="F8376" t="s">
        <v>27987</v>
      </c>
      <c r="G8376" s="117">
        <v>3</v>
      </c>
    </row>
    <row r="8377" spans="1:7" x14ac:dyDescent="0.25">
      <c r="A8377" s="116" t="s">
        <v>13426</v>
      </c>
      <c r="B8377" s="117" t="s">
        <v>29002</v>
      </c>
      <c r="C8377" t="s">
        <v>67</v>
      </c>
      <c r="D8377" t="s">
        <v>67</v>
      </c>
      <c r="E8377" t="s">
        <v>67</v>
      </c>
      <c r="F8377" t="s">
        <v>27987</v>
      </c>
      <c r="G8377" s="117">
        <v>11.84</v>
      </c>
    </row>
    <row r="8378" spans="1:7" x14ac:dyDescent="0.25">
      <c r="A8378" s="116" t="s">
        <v>31269</v>
      </c>
      <c r="B8378" s="117" t="s">
        <v>31270</v>
      </c>
      <c r="C8378" t="s">
        <v>67</v>
      </c>
      <c r="D8378" t="s">
        <v>67</v>
      </c>
      <c r="E8378" t="s">
        <v>67</v>
      </c>
      <c r="F8378" t="s">
        <v>27987</v>
      </c>
      <c r="G8378" s="117">
        <v>11</v>
      </c>
    </row>
    <row r="8379" spans="1:7" x14ac:dyDescent="0.25">
      <c r="A8379" s="116" t="s">
        <v>31202</v>
      </c>
      <c r="B8379" s="117" t="s">
        <v>31203</v>
      </c>
      <c r="C8379" t="s">
        <v>67</v>
      </c>
      <c r="D8379" t="s">
        <v>67</v>
      </c>
      <c r="E8379" t="s">
        <v>67</v>
      </c>
      <c r="F8379" t="s">
        <v>45</v>
      </c>
      <c r="G8379" s="117">
        <v>18.59</v>
      </c>
    </row>
    <row r="8380" spans="1:7" x14ac:dyDescent="0.25">
      <c r="A8380" s="116" t="s">
        <v>31204</v>
      </c>
      <c r="B8380" s="117" t="s">
        <v>31205</v>
      </c>
      <c r="C8380" t="s">
        <v>67</v>
      </c>
      <c r="D8380" t="s">
        <v>67</v>
      </c>
      <c r="E8380" t="s">
        <v>67</v>
      </c>
      <c r="F8380" t="s">
        <v>45</v>
      </c>
      <c r="G8380" s="117">
        <v>18.59</v>
      </c>
    </row>
    <row r="8381" spans="1:7" x14ac:dyDescent="0.25">
      <c r="A8381" s="116" t="s">
        <v>30677</v>
      </c>
      <c r="B8381" s="117" t="s">
        <v>30678</v>
      </c>
      <c r="C8381" t="s">
        <v>67</v>
      </c>
      <c r="D8381" t="s">
        <v>67</v>
      </c>
      <c r="E8381" t="s">
        <v>67</v>
      </c>
      <c r="F8381" t="s">
        <v>45</v>
      </c>
      <c r="G8381" s="117">
        <v>20</v>
      </c>
    </row>
    <row r="8382" spans="1:7" x14ac:dyDescent="0.25">
      <c r="A8382" s="116" t="s">
        <v>13427</v>
      </c>
      <c r="B8382" s="117" t="s">
        <v>2584</v>
      </c>
      <c r="C8382" t="s">
        <v>67</v>
      </c>
      <c r="D8382" t="s">
        <v>67</v>
      </c>
      <c r="E8382" t="s">
        <v>67</v>
      </c>
      <c r="F8382" t="s">
        <v>27987</v>
      </c>
      <c r="G8382" s="117">
        <v>8.66</v>
      </c>
    </row>
    <row r="8383" spans="1:7" x14ac:dyDescent="0.25">
      <c r="A8383" s="116" t="s">
        <v>13428</v>
      </c>
      <c r="B8383" s="117" t="s">
        <v>29003</v>
      </c>
      <c r="C8383" t="s">
        <v>67</v>
      </c>
      <c r="D8383" t="s">
        <v>67</v>
      </c>
      <c r="E8383" t="s">
        <v>67</v>
      </c>
      <c r="F8383" t="s">
        <v>49</v>
      </c>
      <c r="G8383" s="117">
        <v>4</v>
      </c>
    </row>
    <row r="8384" spans="1:7" x14ac:dyDescent="0.25">
      <c r="A8384" s="116" t="s">
        <v>29004</v>
      </c>
      <c r="B8384" s="117" t="s">
        <v>29005</v>
      </c>
      <c r="C8384" t="s">
        <v>67</v>
      </c>
      <c r="D8384" t="s">
        <v>67</v>
      </c>
      <c r="E8384" t="s">
        <v>67</v>
      </c>
      <c r="F8384" t="s">
        <v>27987</v>
      </c>
      <c r="G8384" s="117">
        <v>12.6</v>
      </c>
    </row>
    <row r="8385" spans="1:7" x14ac:dyDescent="0.25">
      <c r="A8385" s="116" t="s">
        <v>26616</v>
      </c>
      <c r="B8385" s="117" t="s">
        <v>26903</v>
      </c>
      <c r="C8385" t="s">
        <v>67</v>
      </c>
      <c r="D8385" t="s">
        <v>67</v>
      </c>
      <c r="E8385" t="s">
        <v>67</v>
      </c>
      <c r="F8385" t="s">
        <v>27987</v>
      </c>
      <c r="G8385" s="117">
        <v>11.12</v>
      </c>
    </row>
    <row r="8386" spans="1:7" x14ac:dyDescent="0.25">
      <c r="A8386" s="116" t="s">
        <v>26993</v>
      </c>
      <c r="B8386" s="117" t="s">
        <v>29006</v>
      </c>
      <c r="C8386" t="s">
        <v>67</v>
      </c>
      <c r="D8386" t="s">
        <v>67</v>
      </c>
      <c r="E8386" t="s">
        <v>67</v>
      </c>
      <c r="F8386" t="s">
        <v>27987</v>
      </c>
      <c r="G8386" s="117">
        <v>16</v>
      </c>
    </row>
    <row r="8387" spans="1:7" x14ac:dyDescent="0.25">
      <c r="A8387" s="116" t="s">
        <v>29845</v>
      </c>
      <c r="B8387" s="117" t="s">
        <v>29846</v>
      </c>
      <c r="C8387" t="s">
        <v>67</v>
      </c>
      <c r="D8387" t="s">
        <v>67</v>
      </c>
      <c r="E8387" t="s">
        <v>67</v>
      </c>
      <c r="F8387" t="s">
        <v>45</v>
      </c>
      <c r="G8387" s="117">
        <v>10</v>
      </c>
    </row>
    <row r="8388" spans="1:7" x14ac:dyDescent="0.25">
      <c r="A8388" s="116" t="s">
        <v>29007</v>
      </c>
      <c r="B8388" s="117" t="s">
        <v>29008</v>
      </c>
      <c r="C8388" t="s">
        <v>67</v>
      </c>
      <c r="D8388" t="s">
        <v>67</v>
      </c>
      <c r="E8388" t="s">
        <v>67</v>
      </c>
      <c r="F8388" t="s">
        <v>27987</v>
      </c>
      <c r="G8388" s="117">
        <v>0</v>
      </c>
    </row>
    <row r="8389" spans="1:7" x14ac:dyDescent="0.25">
      <c r="A8389" s="116" t="s">
        <v>29009</v>
      </c>
      <c r="B8389" s="117" t="s">
        <v>29010</v>
      </c>
      <c r="C8389" t="s">
        <v>67</v>
      </c>
      <c r="D8389" t="s">
        <v>67</v>
      </c>
      <c r="E8389" t="s">
        <v>67</v>
      </c>
      <c r="F8389" t="s">
        <v>27987</v>
      </c>
      <c r="G8389" s="117">
        <v>0</v>
      </c>
    </row>
    <row r="8390" spans="1:7" x14ac:dyDescent="0.25">
      <c r="A8390" s="116" t="s">
        <v>29011</v>
      </c>
      <c r="B8390" s="117" t="s">
        <v>29012</v>
      </c>
      <c r="C8390" t="s">
        <v>67</v>
      </c>
      <c r="D8390" t="s">
        <v>67</v>
      </c>
      <c r="E8390" t="s">
        <v>67</v>
      </c>
      <c r="F8390" t="s">
        <v>27987</v>
      </c>
      <c r="G8390" s="117">
        <v>0</v>
      </c>
    </row>
    <row r="8391" spans="1:7" x14ac:dyDescent="0.25">
      <c r="A8391" s="116" t="s">
        <v>29013</v>
      </c>
      <c r="B8391" s="117" t="s">
        <v>29014</v>
      </c>
      <c r="C8391" t="s">
        <v>67</v>
      </c>
      <c r="D8391" t="s">
        <v>67</v>
      </c>
      <c r="E8391" t="s">
        <v>67</v>
      </c>
      <c r="F8391" t="s">
        <v>27987</v>
      </c>
      <c r="G8391" s="117">
        <v>0</v>
      </c>
    </row>
    <row r="8392" spans="1:7" x14ac:dyDescent="0.25">
      <c r="A8392" s="116" t="s">
        <v>28120</v>
      </c>
      <c r="B8392" s="117" t="s">
        <v>29015</v>
      </c>
      <c r="C8392" t="s">
        <v>67</v>
      </c>
      <c r="D8392" t="s">
        <v>67</v>
      </c>
      <c r="E8392" t="s">
        <v>67</v>
      </c>
      <c r="F8392" t="s">
        <v>49</v>
      </c>
      <c r="G8392" s="117">
        <v>4.7300000000000004</v>
      </c>
    </row>
    <row r="8393" spans="1:7" x14ac:dyDescent="0.25">
      <c r="A8393" s="116" t="s">
        <v>29016</v>
      </c>
      <c r="B8393" s="117" t="s">
        <v>29017</v>
      </c>
      <c r="C8393" t="s">
        <v>67</v>
      </c>
      <c r="D8393" t="s">
        <v>67</v>
      </c>
      <c r="E8393" t="s">
        <v>67</v>
      </c>
      <c r="F8393" t="s">
        <v>49</v>
      </c>
      <c r="G8393" s="117">
        <v>5</v>
      </c>
    </row>
    <row r="8394" spans="1:7" x14ac:dyDescent="0.25">
      <c r="A8394" s="116" t="s">
        <v>29018</v>
      </c>
      <c r="B8394" s="117" t="s">
        <v>29019</v>
      </c>
      <c r="C8394" t="s">
        <v>67</v>
      </c>
      <c r="D8394" t="s">
        <v>67</v>
      </c>
      <c r="E8394" t="s">
        <v>67</v>
      </c>
      <c r="F8394" t="s">
        <v>49</v>
      </c>
      <c r="G8394" s="117">
        <v>5</v>
      </c>
    </row>
    <row r="8395" spans="1:7" x14ac:dyDescent="0.25">
      <c r="A8395" s="116" t="s">
        <v>29020</v>
      </c>
      <c r="B8395" s="117" t="s">
        <v>30739</v>
      </c>
      <c r="C8395" t="s">
        <v>67</v>
      </c>
      <c r="D8395" t="s">
        <v>67</v>
      </c>
      <c r="E8395" t="s">
        <v>67</v>
      </c>
      <c r="F8395" t="s">
        <v>27987</v>
      </c>
      <c r="G8395" s="117">
        <v>6</v>
      </c>
    </row>
    <row r="8396" spans="1:7" x14ac:dyDescent="0.25">
      <c r="A8396" s="116" t="s">
        <v>29021</v>
      </c>
      <c r="B8396" s="117" t="s">
        <v>30740</v>
      </c>
      <c r="C8396" t="s">
        <v>67</v>
      </c>
      <c r="D8396" t="s">
        <v>67</v>
      </c>
      <c r="E8396" t="s">
        <v>67</v>
      </c>
      <c r="F8396" t="s">
        <v>27987</v>
      </c>
      <c r="G8396" s="117">
        <v>20</v>
      </c>
    </row>
    <row r="8397" spans="1:7" x14ac:dyDescent="0.25">
      <c r="A8397" s="116" t="s">
        <v>29022</v>
      </c>
      <c r="B8397" s="117" t="s">
        <v>30449</v>
      </c>
      <c r="C8397" t="s">
        <v>67</v>
      </c>
      <c r="D8397" t="s">
        <v>67</v>
      </c>
      <c r="E8397" t="s">
        <v>67</v>
      </c>
      <c r="F8397" t="s">
        <v>27987</v>
      </c>
      <c r="G8397" s="117">
        <v>5</v>
      </c>
    </row>
    <row r="8398" spans="1:7" x14ac:dyDescent="0.25">
      <c r="A8398" s="116" t="s">
        <v>29023</v>
      </c>
      <c r="B8398" s="117" t="s">
        <v>30741</v>
      </c>
      <c r="C8398" t="s">
        <v>67</v>
      </c>
      <c r="D8398" t="s">
        <v>67</v>
      </c>
      <c r="E8398" t="s">
        <v>67</v>
      </c>
      <c r="F8398" t="s">
        <v>27987</v>
      </c>
      <c r="G8398" s="117">
        <v>10</v>
      </c>
    </row>
    <row r="8399" spans="1:7" x14ac:dyDescent="0.25">
      <c r="A8399" s="116" t="s">
        <v>29024</v>
      </c>
      <c r="B8399" s="117" t="s">
        <v>30450</v>
      </c>
      <c r="C8399" t="s">
        <v>67</v>
      </c>
      <c r="D8399" t="s">
        <v>67</v>
      </c>
      <c r="E8399" t="s">
        <v>67</v>
      </c>
      <c r="F8399" t="s">
        <v>27987</v>
      </c>
      <c r="G8399" s="117">
        <v>8</v>
      </c>
    </row>
    <row r="8400" spans="1:7" x14ac:dyDescent="0.25">
      <c r="A8400" s="116" t="s">
        <v>30890</v>
      </c>
      <c r="B8400" s="117" t="s">
        <v>30891</v>
      </c>
      <c r="C8400" t="s">
        <v>67</v>
      </c>
      <c r="D8400" t="s">
        <v>67</v>
      </c>
      <c r="E8400" t="s">
        <v>67</v>
      </c>
      <c r="F8400" t="s">
        <v>27987</v>
      </c>
      <c r="G8400" s="117">
        <v>9999</v>
      </c>
    </row>
    <row r="8401" spans="1:7" x14ac:dyDescent="0.25">
      <c r="A8401" s="116" t="s">
        <v>30014</v>
      </c>
      <c r="B8401" s="117" t="s">
        <v>30450</v>
      </c>
      <c r="C8401" t="s">
        <v>67</v>
      </c>
      <c r="D8401" t="s">
        <v>67</v>
      </c>
      <c r="E8401" t="s">
        <v>67</v>
      </c>
      <c r="F8401" t="s">
        <v>27987</v>
      </c>
      <c r="G8401" s="117">
        <v>15</v>
      </c>
    </row>
    <row r="8402" spans="1:7" x14ac:dyDescent="0.25">
      <c r="A8402" s="116" t="s">
        <v>13429</v>
      </c>
      <c r="B8402" s="117" t="s">
        <v>13430</v>
      </c>
      <c r="C8402" t="s">
        <v>67</v>
      </c>
      <c r="D8402" t="s">
        <v>67</v>
      </c>
      <c r="E8402" t="s">
        <v>67</v>
      </c>
      <c r="F8402" t="s">
        <v>45</v>
      </c>
      <c r="G8402" s="117">
        <v>4.2699999999999996</v>
      </c>
    </row>
    <row r="8403" spans="1:7" x14ac:dyDescent="0.25">
      <c r="A8403" s="116" t="s">
        <v>13431</v>
      </c>
      <c r="B8403" s="117" t="s">
        <v>13432</v>
      </c>
      <c r="C8403" t="s">
        <v>67</v>
      </c>
      <c r="D8403" t="s">
        <v>67</v>
      </c>
      <c r="E8403" t="s">
        <v>67</v>
      </c>
      <c r="F8403" t="s">
        <v>27987</v>
      </c>
      <c r="G8403" s="117">
        <v>5.79</v>
      </c>
    </row>
    <row r="8404" spans="1:7" x14ac:dyDescent="0.25">
      <c r="A8404" s="116" t="s">
        <v>13433</v>
      </c>
      <c r="B8404" s="117" t="s">
        <v>13434</v>
      </c>
      <c r="C8404" t="s">
        <v>67</v>
      </c>
      <c r="D8404" t="s">
        <v>67</v>
      </c>
      <c r="E8404" t="s">
        <v>67</v>
      </c>
      <c r="F8404" t="s">
        <v>45</v>
      </c>
      <c r="G8404" s="117">
        <v>12.01</v>
      </c>
    </row>
    <row r="8405" spans="1:7" x14ac:dyDescent="0.25">
      <c r="A8405" s="116" t="s">
        <v>13435</v>
      </c>
      <c r="B8405" s="117" t="s">
        <v>26467</v>
      </c>
      <c r="C8405" t="s">
        <v>67</v>
      </c>
      <c r="D8405" t="s">
        <v>67</v>
      </c>
      <c r="E8405" t="s">
        <v>67</v>
      </c>
      <c r="F8405" t="s">
        <v>27987</v>
      </c>
      <c r="G8405" s="117">
        <v>15</v>
      </c>
    </row>
    <row r="8406" spans="1:7" x14ac:dyDescent="0.25">
      <c r="A8406" s="116" t="s">
        <v>13436</v>
      </c>
      <c r="B8406" s="117" t="s">
        <v>13437</v>
      </c>
      <c r="C8406" t="s">
        <v>67</v>
      </c>
      <c r="D8406" t="s">
        <v>67</v>
      </c>
      <c r="E8406" t="s">
        <v>67</v>
      </c>
      <c r="F8406" t="s">
        <v>45</v>
      </c>
      <c r="G8406" s="117">
        <v>60.42</v>
      </c>
    </row>
    <row r="8407" spans="1:7" x14ac:dyDescent="0.25">
      <c r="A8407" s="116" t="s">
        <v>13438</v>
      </c>
      <c r="B8407" s="117" t="s">
        <v>29025</v>
      </c>
      <c r="C8407" t="s">
        <v>67</v>
      </c>
      <c r="D8407" t="s">
        <v>67</v>
      </c>
      <c r="E8407" t="s">
        <v>67</v>
      </c>
      <c r="F8407" t="s">
        <v>27987</v>
      </c>
      <c r="G8407" s="117">
        <v>376.31</v>
      </c>
    </row>
    <row r="8408" spans="1:7" x14ac:dyDescent="0.25">
      <c r="A8408" s="116" t="s">
        <v>13439</v>
      </c>
      <c r="B8408" s="117" t="s">
        <v>13440</v>
      </c>
      <c r="C8408" t="s">
        <v>67</v>
      </c>
      <c r="D8408" t="s">
        <v>67</v>
      </c>
      <c r="E8408" t="s">
        <v>67</v>
      </c>
      <c r="F8408" t="s">
        <v>27987</v>
      </c>
      <c r="G8408" s="117">
        <v>13.35</v>
      </c>
    </row>
    <row r="8409" spans="1:7" x14ac:dyDescent="0.25">
      <c r="A8409" s="116" t="s">
        <v>27438</v>
      </c>
      <c r="B8409" s="117" t="s">
        <v>13441</v>
      </c>
      <c r="C8409" t="s">
        <v>67</v>
      </c>
      <c r="D8409" t="s">
        <v>67</v>
      </c>
      <c r="E8409" t="s">
        <v>67</v>
      </c>
      <c r="F8409" t="s">
        <v>45</v>
      </c>
      <c r="G8409" s="117">
        <v>4.3600000000000003</v>
      </c>
    </row>
    <row r="8410" spans="1:7" x14ac:dyDescent="0.25">
      <c r="A8410" s="116" t="s">
        <v>27439</v>
      </c>
      <c r="B8410" s="117" t="s">
        <v>13442</v>
      </c>
      <c r="C8410" t="s">
        <v>67</v>
      </c>
      <c r="D8410" t="s">
        <v>67</v>
      </c>
      <c r="E8410" t="s">
        <v>67</v>
      </c>
      <c r="F8410" t="s">
        <v>27987</v>
      </c>
      <c r="G8410" s="117">
        <v>21.8</v>
      </c>
    </row>
    <row r="8411" spans="1:7" x14ac:dyDescent="0.25">
      <c r="A8411" s="116" t="s">
        <v>13443</v>
      </c>
      <c r="B8411" s="117" t="s">
        <v>10378</v>
      </c>
      <c r="C8411" t="s">
        <v>67</v>
      </c>
      <c r="D8411" t="s">
        <v>67</v>
      </c>
      <c r="E8411" t="s">
        <v>67</v>
      </c>
      <c r="F8411" t="s">
        <v>27990</v>
      </c>
      <c r="G8411" s="117">
        <v>7.56</v>
      </c>
    </row>
    <row r="8412" spans="1:7" x14ac:dyDescent="0.25">
      <c r="A8412" s="116" t="s">
        <v>13444</v>
      </c>
      <c r="B8412" s="117" t="s">
        <v>13445</v>
      </c>
      <c r="C8412" t="s">
        <v>67</v>
      </c>
      <c r="D8412" t="s">
        <v>67</v>
      </c>
      <c r="E8412" t="s">
        <v>67</v>
      </c>
      <c r="F8412" t="s">
        <v>27990</v>
      </c>
      <c r="G8412" s="117">
        <v>8.4499999999999993</v>
      </c>
    </row>
    <row r="8413" spans="1:7" x14ac:dyDescent="0.25">
      <c r="A8413" s="116" t="s">
        <v>27440</v>
      </c>
      <c r="B8413" s="117" t="s">
        <v>13446</v>
      </c>
      <c r="C8413" t="s">
        <v>67</v>
      </c>
      <c r="D8413" t="s">
        <v>67</v>
      </c>
      <c r="E8413" t="s">
        <v>67</v>
      </c>
      <c r="F8413" t="s">
        <v>45</v>
      </c>
      <c r="G8413" s="117">
        <v>88.54</v>
      </c>
    </row>
    <row r="8414" spans="1:7" x14ac:dyDescent="0.25">
      <c r="A8414" s="116" t="s">
        <v>27441</v>
      </c>
      <c r="B8414" s="117" t="s">
        <v>8561</v>
      </c>
      <c r="C8414" t="s">
        <v>67</v>
      </c>
      <c r="D8414" t="s">
        <v>67</v>
      </c>
      <c r="E8414" t="s">
        <v>67</v>
      </c>
      <c r="F8414" t="s">
        <v>27987</v>
      </c>
      <c r="G8414" s="117">
        <v>33.369999999999997</v>
      </c>
    </row>
    <row r="8415" spans="1:7" x14ac:dyDescent="0.25">
      <c r="A8415" s="116" t="s">
        <v>27442</v>
      </c>
      <c r="B8415" s="117" t="s">
        <v>13447</v>
      </c>
      <c r="C8415" t="s">
        <v>67</v>
      </c>
      <c r="D8415" t="s">
        <v>67</v>
      </c>
      <c r="E8415" t="s">
        <v>67</v>
      </c>
      <c r="F8415" t="s">
        <v>27987</v>
      </c>
      <c r="G8415" s="117">
        <v>5.79</v>
      </c>
    </row>
    <row r="8416" spans="1:7" x14ac:dyDescent="0.25">
      <c r="A8416" s="116" t="s">
        <v>27443</v>
      </c>
      <c r="B8416" s="117" t="s">
        <v>13448</v>
      </c>
      <c r="C8416" t="s">
        <v>67</v>
      </c>
      <c r="D8416" t="s">
        <v>67</v>
      </c>
      <c r="E8416" t="s">
        <v>67</v>
      </c>
      <c r="F8416" t="s">
        <v>27987</v>
      </c>
      <c r="G8416" s="117">
        <v>282.88</v>
      </c>
    </row>
    <row r="8417" spans="1:7" x14ac:dyDescent="0.25">
      <c r="A8417" s="116" t="s">
        <v>27444</v>
      </c>
      <c r="B8417" s="117" t="s">
        <v>13449</v>
      </c>
      <c r="C8417" t="s">
        <v>67</v>
      </c>
      <c r="D8417" t="s">
        <v>67</v>
      </c>
      <c r="E8417" t="s">
        <v>67</v>
      </c>
      <c r="F8417" t="s">
        <v>27987</v>
      </c>
      <c r="G8417" s="117">
        <v>39.06</v>
      </c>
    </row>
    <row r="8418" spans="1:7" x14ac:dyDescent="0.25">
      <c r="A8418" s="116" t="s">
        <v>27445</v>
      </c>
      <c r="B8418" s="117" t="s">
        <v>13450</v>
      </c>
      <c r="C8418" t="s">
        <v>67</v>
      </c>
      <c r="D8418" t="s">
        <v>67</v>
      </c>
      <c r="E8418" t="s">
        <v>67</v>
      </c>
      <c r="F8418" t="s">
        <v>27987</v>
      </c>
      <c r="G8418" s="117">
        <v>7.12</v>
      </c>
    </row>
    <row r="8419" spans="1:7" x14ac:dyDescent="0.25">
      <c r="A8419" s="116" t="s">
        <v>27446</v>
      </c>
      <c r="B8419" s="117" t="s">
        <v>29026</v>
      </c>
      <c r="C8419" t="s">
        <v>67</v>
      </c>
      <c r="D8419" t="s">
        <v>67</v>
      </c>
      <c r="E8419" t="s">
        <v>67</v>
      </c>
      <c r="F8419" t="s">
        <v>27987</v>
      </c>
      <c r="G8419" s="117">
        <v>11.44</v>
      </c>
    </row>
    <row r="8420" spans="1:7" x14ac:dyDescent="0.25">
      <c r="A8420" s="116" t="s">
        <v>27447</v>
      </c>
      <c r="B8420" s="117" t="s">
        <v>13451</v>
      </c>
      <c r="C8420" t="s">
        <v>67</v>
      </c>
      <c r="D8420" t="s">
        <v>67</v>
      </c>
      <c r="E8420" t="s">
        <v>67</v>
      </c>
      <c r="F8420" t="s">
        <v>45</v>
      </c>
      <c r="G8420" s="117">
        <v>535.57000000000005</v>
      </c>
    </row>
    <row r="8421" spans="1:7" x14ac:dyDescent="0.25">
      <c r="A8421" s="116" t="s">
        <v>27448</v>
      </c>
      <c r="B8421" s="117" t="s">
        <v>13452</v>
      </c>
      <c r="C8421" t="s">
        <v>67</v>
      </c>
      <c r="D8421" t="s">
        <v>67</v>
      </c>
      <c r="E8421" t="s">
        <v>67</v>
      </c>
      <c r="F8421" t="s">
        <v>45</v>
      </c>
      <c r="G8421" s="117">
        <v>128.58000000000001</v>
      </c>
    </row>
    <row r="8422" spans="1:7" x14ac:dyDescent="0.25">
      <c r="A8422" s="116" t="s">
        <v>27449</v>
      </c>
      <c r="B8422" s="117" t="s">
        <v>29027</v>
      </c>
      <c r="C8422" t="s">
        <v>67</v>
      </c>
      <c r="D8422" t="s">
        <v>67</v>
      </c>
      <c r="E8422" t="s">
        <v>67</v>
      </c>
      <c r="F8422" t="s">
        <v>27987</v>
      </c>
      <c r="G8422" s="117">
        <v>115.52</v>
      </c>
    </row>
    <row r="8423" spans="1:7" x14ac:dyDescent="0.25">
      <c r="A8423" s="116" t="s">
        <v>27450</v>
      </c>
      <c r="B8423" s="117" t="s">
        <v>412</v>
      </c>
      <c r="C8423" t="s">
        <v>67</v>
      </c>
      <c r="D8423" t="s">
        <v>67</v>
      </c>
      <c r="E8423" t="s">
        <v>67</v>
      </c>
      <c r="F8423" t="s">
        <v>27987</v>
      </c>
      <c r="G8423" s="117">
        <v>39.6</v>
      </c>
    </row>
    <row r="8424" spans="1:7" x14ac:dyDescent="0.25">
      <c r="A8424" s="116" t="s">
        <v>27451</v>
      </c>
      <c r="B8424" s="117" t="s">
        <v>13453</v>
      </c>
      <c r="C8424" t="s">
        <v>67</v>
      </c>
      <c r="D8424" t="s">
        <v>67</v>
      </c>
      <c r="E8424" t="s">
        <v>67</v>
      </c>
      <c r="F8424" t="s">
        <v>45</v>
      </c>
      <c r="G8424" s="117">
        <v>47.04</v>
      </c>
    </row>
    <row r="8425" spans="1:7" x14ac:dyDescent="0.25">
      <c r="A8425" s="116" t="s">
        <v>27452</v>
      </c>
      <c r="B8425" s="117" t="s">
        <v>13454</v>
      </c>
      <c r="C8425" t="s">
        <v>67</v>
      </c>
      <c r="D8425" t="s">
        <v>67</v>
      </c>
      <c r="E8425" t="s">
        <v>67</v>
      </c>
      <c r="F8425" t="s">
        <v>27987</v>
      </c>
      <c r="G8425" s="117">
        <v>680.91</v>
      </c>
    </row>
    <row r="8426" spans="1:7" x14ac:dyDescent="0.25">
      <c r="A8426" s="116" t="s">
        <v>27453</v>
      </c>
      <c r="B8426" s="117" t="s">
        <v>13455</v>
      </c>
      <c r="C8426" t="s">
        <v>67</v>
      </c>
      <c r="D8426" t="s">
        <v>67</v>
      </c>
      <c r="E8426" t="s">
        <v>67</v>
      </c>
      <c r="F8426" t="s">
        <v>45</v>
      </c>
      <c r="G8426" s="117">
        <v>395.55</v>
      </c>
    </row>
    <row r="8427" spans="1:7" x14ac:dyDescent="0.25">
      <c r="A8427" s="116" t="s">
        <v>27454</v>
      </c>
      <c r="B8427" s="117" t="s">
        <v>13456</v>
      </c>
      <c r="C8427" t="s">
        <v>67</v>
      </c>
      <c r="D8427" t="s">
        <v>67</v>
      </c>
      <c r="E8427" t="s">
        <v>67</v>
      </c>
      <c r="F8427" t="s">
        <v>27987</v>
      </c>
      <c r="G8427" s="117">
        <v>441.31</v>
      </c>
    </row>
    <row r="8428" spans="1:7" x14ac:dyDescent="0.25">
      <c r="A8428" s="116" t="s">
        <v>27455</v>
      </c>
      <c r="B8428" s="117" t="s">
        <v>13457</v>
      </c>
      <c r="C8428" t="s">
        <v>67</v>
      </c>
      <c r="D8428" t="s">
        <v>67</v>
      </c>
      <c r="E8428" t="s">
        <v>67</v>
      </c>
      <c r="F8428" t="s">
        <v>45</v>
      </c>
      <c r="G8428" s="117">
        <v>28.38</v>
      </c>
    </row>
    <row r="8429" spans="1:7" x14ac:dyDescent="0.25">
      <c r="A8429" s="116" t="s">
        <v>27456</v>
      </c>
      <c r="B8429" s="117" t="s">
        <v>13458</v>
      </c>
      <c r="C8429" t="s">
        <v>67</v>
      </c>
      <c r="D8429" t="s">
        <v>67</v>
      </c>
      <c r="E8429" t="s">
        <v>67</v>
      </c>
      <c r="F8429" t="s">
        <v>27987</v>
      </c>
      <c r="G8429" s="117">
        <v>38.5</v>
      </c>
    </row>
    <row r="8430" spans="1:7" x14ac:dyDescent="0.25">
      <c r="A8430" s="116" t="s">
        <v>27457</v>
      </c>
      <c r="B8430" s="117" t="s">
        <v>13459</v>
      </c>
      <c r="C8430" t="s">
        <v>67</v>
      </c>
      <c r="D8430" t="s">
        <v>67</v>
      </c>
      <c r="E8430" t="s">
        <v>67</v>
      </c>
      <c r="F8430" t="s">
        <v>45</v>
      </c>
      <c r="G8430" s="117">
        <v>467.41</v>
      </c>
    </row>
    <row r="8431" spans="1:7" x14ac:dyDescent="0.25">
      <c r="A8431" s="116" t="s">
        <v>27458</v>
      </c>
      <c r="B8431" s="117" t="s">
        <v>13460</v>
      </c>
      <c r="C8431" t="s">
        <v>67</v>
      </c>
      <c r="D8431" t="s">
        <v>67</v>
      </c>
      <c r="E8431" t="s">
        <v>67</v>
      </c>
      <c r="F8431" t="s">
        <v>27987</v>
      </c>
      <c r="G8431" s="117">
        <v>12.86</v>
      </c>
    </row>
    <row r="8432" spans="1:7" x14ac:dyDescent="0.25">
      <c r="A8432" s="116" t="s">
        <v>27459</v>
      </c>
      <c r="B8432" s="117" t="s">
        <v>13461</v>
      </c>
      <c r="C8432" t="s">
        <v>67</v>
      </c>
      <c r="D8432" t="s">
        <v>67</v>
      </c>
      <c r="E8432" t="s">
        <v>67</v>
      </c>
      <c r="F8432" t="s">
        <v>27987</v>
      </c>
      <c r="G8432" s="117">
        <v>1427.2</v>
      </c>
    </row>
    <row r="8433" spans="1:7" x14ac:dyDescent="0.25">
      <c r="A8433" s="116" t="s">
        <v>27460</v>
      </c>
      <c r="B8433" s="117" t="s">
        <v>13462</v>
      </c>
      <c r="C8433" t="s">
        <v>67</v>
      </c>
      <c r="D8433" t="s">
        <v>67</v>
      </c>
      <c r="E8433" t="s">
        <v>67</v>
      </c>
      <c r="F8433" t="s">
        <v>27987</v>
      </c>
      <c r="G8433" s="117">
        <v>70.2</v>
      </c>
    </row>
    <row r="8434" spans="1:7" x14ac:dyDescent="0.25">
      <c r="A8434" s="116" t="s">
        <v>27461</v>
      </c>
      <c r="B8434" s="117" t="s">
        <v>13182</v>
      </c>
      <c r="C8434" t="s">
        <v>67</v>
      </c>
      <c r="D8434" t="s">
        <v>67</v>
      </c>
      <c r="E8434" t="s">
        <v>67</v>
      </c>
      <c r="F8434" t="s">
        <v>45</v>
      </c>
      <c r="G8434" s="117">
        <v>12.01</v>
      </c>
    </row>
    <row r="8435" spans="1:7" x14ac:dyDescent="0.25">
      <c r="A8435" s="116" t="s">
        <v>27462</v>
      </c>
      <c r="B8435" s="117" t="s">
        <v>13463</v>
      </c>
      <c r="C8435" t="s">
        <v>67</v>
      </c>
      <c r="D8435" t="s">
        <v>67</v>
      </c>
      <c r="E8435" t="s">
        <v>67</v>
      </c>
      <c r="F8435" t="s">
        <v>45</v>
      </c>
      <c r="G8435" s="117">
        <v>23.94</v>
      </c>
    </row>
    <row r="8436" spans="1:7" x14ac:dyDescent="0.25">
      <c r="A8436" s="116" t="s">
        <v>27463</v>
      </c>
      <c r="B8436" s="117" t="s">
        <v>13464</v>
      </c>
      <c r="C8436" t="s">
        <v>67</v>
      </c>
      <c r="D8436" t="s">
        <v>67</v>
      </c>
      <c r="E8436" t="s">
        <v>67</v>
      </c>
      <c r="F8436" t="s">
        <v>45</v>
      </c>
      <c r="G8436" s="117">
        <v>12.01</v>
      </c>
    </row>
    <row r="8437" spans="1:7" x14ac:dyDescent="0.25">
      <c r="A8437" s="116" t="s">
        <v>27464</v>
      </c>
      <c r="B8437" s="117" t="s">
        <v>13465</v>
      </c>
      <c r="C8437" t="s">
        <v>67</v>
      </c>
      <c r="D8437" t="s">
        <v>67</v>
      </c>
      <c r="E8437" t="s">
        <v>67</v>
      </c>
      <c r="F8437" t="s">
        <v>45</v>
      </c>
      <c r="G8437" s="117">
        <v>109.36</v>
      </c>
    </row>
    <row r="8438" spans="1:7" x14ac:dyDescent="0.25">
      <c r="A8438" s="116" t="s">
        <v>27465</v>
      </c>
      <c r="B8438" s="117" t="s">
        <v>13466</v>
      </c>
      <c r="C8438" t="s">
        <v>67</v>
      </c>
      <c r="D8438" t="s">
        <v>67</v>
      </c>
      <c r="E8438" t="s">
        <v>67</v>
      </c>
      <c r="F8438" t="s">
        <v>45</v>
      </c>
      <c r="G8438" s="117">
        <v>637.02</v>
      </c>
    </row>
    <row r="8439" spans="1:7" x14ac:dyDescent="0.25">
      <c r="A8439" s="116" t="s">
        <v>27466</v>
      </c>
      <c r="B8439" s="117" t="s">
        <v>13467</v>
      </c>
      <c r="C8439" t="s">
        <v>67</v>
      </c>
      <c r="D8439" t="s">
        <v>67</v>
      </c>
      <c r="E8439" t="s">
        <v>67</v>
      </c>
      <c r="F8439" t="s">
        <v>45</v>
      </c>
      <c r="G8439" s="117">
        <v>13.26</v>
      </c>
    </row>
    <row r="8440" spans="1:7" x14ac:dyDescent="0.25">
      <c r="A8440" s="116" t="s">
        <v>27467</v>
      </c>
      <c r="B8440" s="117" t="s">
        <v>13468</v>
      </c>
      <c r="C8440" t="s">
        <v>67</v>
      </c>
      <c r="D8440" t="s">
        <v>67</v>
      </c>
      <c r="E8440" t="s">
        <v>67</v>
      </c>
      <c r="F8440" t="s">
        <v>45</v>
      </c>
      <c r="G8440" s="117">
        <v>7.12</v>
      </c>
    </row>
    <row r="8441" spans="1:7" x14ac:dyDescent="0.25">
      <c r="A8441" s="116" t="s">
        <v>27468</v>
      </c>
      <c r="B8441" s="117" t="s">
        <v>13469</v>
      </c>
      <c r="C8441" t="s">
        <v>67</v>
      </c>
      <c r="D8441" t="s">
        <v>67</v>
      </c>
      <c r="E8441" t="s">
        <v>67</v>
      </c>
      <c r="F8441" t="s">
        <v>45</v>
      </c>
      <c r="G8441" s="117">
        <v>30.7</v>
      </c>
    </row>
    <row r="8442" spans="1:7" x14ac:dyDescent="0.25">
      <c r="A8442" s="116" t="s">
        <v>27469</v>
      </c>
      <c r="B8442" s="117" t="s">
        <v>13470</v>
      </c>
      <c r="C8442" t="s">
        <v>67</v>
      </c>
      <c r="D8442" t="s">
        <v>67</v>
      </c>
      <c r="E8442" t="s">
        <v>67</v>
      </c>
      <c r="F8442" t="s">
        <v>45</v>
      </c>
      <c r="G8442" s="117">
        <v>371.5</v>
      </c>
    </row>
    <row r="8443" spans="1:7" x14ac:dyDescent="0.25">
      <c r="A8443" s="116" t="s">
        <v>27470</v>
      </c>
      <c r="B8443" s="117" t="s">
        <v>13471</v>
      </c>
      <c r="C8443" t="s">
        <v>67</v>
      </c>
      <c r="D8443" t="s">
        <v>67</v>
      </c>
      <c r="E8443" t="s">
        <v>67</v>
      </c>
      <c r="F8443" t="s">
        <v>45</v>
      </c>
      <c r="G8443" s="117">
        <v>122.7</v>
      </c>
    </row>
    <row r="8444" spans="1:7" x14ac:dyDescent="0.25">
      <c r="A8444" s="116" t="s">
        <v>27471</v>
      </c>
      <c r="B8444" s="117" t="s">
        <v>13472</v>
      </c>
      <c r="C8444" t="s">
        <v>67</v>
      </c>
      <c r="D8444" t="s">
        <v>67</v>
      </c>
      <c r="E8444" t="s">
        <v>67</v>
      </c>
      <c r="F8444" t="s">
        <v>45</v>
      </c>
      <c r="G8444" s="117">
        <v>8.4499999999999993</v>
      </c>
    </row>
    <row r="8445" spans="1:7" x14ac:dyDescent="0.25">
      <c r="A8445" s="116" t="s">
        <v>27472</v>
      </c>
      <c r="B8445" s="117" t="s">
        <v>13473</v>
      </c>
      <c r="C8445" t="s">
        <v>67</v>
      </c>
      <c r="D8445" t="s">
        <v>67</v>
      </c>
      <c r="E8445" t="s">
        <v>67</v>
      </c>
      <c r="F8445" t="s">
        <v>45</v>
      </c>
      <c r="G8445" s="117">
        <v>14.68</v>
      </c>
    </row>
    <row r="8446" spans="1:7" x14ac:dyDescent="0.25">
      <c r="A8446" s="116" t="s">
        <v>27473</v>
      </c>
      <c r="B8446" s="117" t="s">
        <v>13474</v>
      </c>
      <c r="C8446" t="s">
        <v>67</v>
      </c>
      <c r="D8446" t="s">
        <v>67</v>
      </c>
      <c r="E8446" t="s">
        <v>67</v>
      </c>
      <c r="F8446" t="s">
        <v>45</v>
      </c>
      <c r="G8446" s="117">
        <v>243.37</v>
      </c>
    </row>
    <row r="8447" spans="1:7" x14ac:dyDescent="0.25">
      <c r="A8447" s="116" t="s">
        <v>27474</v>
      </c>
      <c r="B8447" s="117" t="s">
        <v>13475</v>
      </c>
      <c r="C8447" t="s">
        <v>67</v>
      </c>
      <c r="D8447" t="s">
        <v>67</v>
      </c>
      <c r="E8447" t="s">
        <v>67</v>
      </c>
      <c r="F8447" t="s">
        <v>45</v>
      </c>
      <c r="G8447" s="117">
        <v>16.82</v>
      </c>
    </row>
    <row r="8448" spans="1:7" x14ac:dyDescent="0.25">
      <c r="A8448" s="116" t="s">
        <v>27475</v>
      </c>
      <c r="B8448" s="117" t="s">
        <v>13476</v>
      </c>
      <c r="C8448" t="s">
        <v>67</v>
      </c>
      <c r="D8448" t="s">
        <v>67</v>
      </c>
      <c r="E8448" t="s">
        <v>67</v>
      </c>
      <c r="F8448" t="s">
        <v>45</v>
      </c>
      <c r="G8448" s="117">
        <v>15.57</v>
      </c>
    </row>
    <row r="8449" spans="1:7" x14ac:dyDescent="0.25">
      <c r="A8449" s="116" t="s">
        <v>27476</v>
      </c>
      <c r="B8449" s="117" t="s">
        <v>13477</v>
      </c>
      <c r="C8449" t="s">
        <v>67</v>
      </c>
      <c r="D8449" t="s">
        <v>67</v>
      </c>
      <c r="E8449" t="s">
        <v>67</v>
      </c>
      <c r="F8449" t="s">
        <v>45</v>
      </c>
      <c r="G8449" s="117">
        <v>193.89</v>
      </c>
    </row>
    <row r="8450" spans="1:7" x14ac:dyDescent="0.25">
      <c r="A8450" s="116" t="s">
        <v>27477</v>
      </c>
      <c r="B8450" s="117" t="s">
        <v>13478</v>
      </c>
      <c r="C8450" t="s">
        <v>67</v>
      </c>
      <c r="D8450" t="s">
        <v>67</v>
      </c>
      <c r="E8450" t="s">
        <v>67</v>
      </c>
      <c r="F8450" t="s">
        <v>27987</v>
      </c>
      <c r="G8450" s="117">
        <v>472.06</v>
      </c>
    </row>
    <row r="8451" spans="1:7" x14ac:dyDescent="0.25">
      <c r="A8451" s="116" t="s">
        <v>27478</v>
      </c>
      <c r="B8451" s="117" t="s">
        <v>13479</v>
      </c>
      <c r="C8451" t="s">
        <v>67</v>
      </c>
      <c r="D8451" t="s">
        <v>67</v>
      </c>
      <c r="E8451" t="s">
        <v>67</v>
      </c>
      <c r="F8451" t="s">
        <v>27987</v>
      </c>
      <c r="G8451" s="117">
        <v>241.58</v>
      </c>
    </row>
    <row r="8452" spans="1:7" x14ac:dyDescent="0.25">
      <c r="A8452" s="116" t="s">
        <v>27479</v>
      </c>
      <c r="B8452" s="117" t="s">
        <v>13480</v>
      </c>
      <c r="C8452" t="s">
        <v>67</v>
      </c>
      <c r="D8452" t="s">
        <v>67</v>
      </c>
      <c r="E8452" t="s">
        <v>67</v>
      </c>
      <c r="F8452" t="s">
        <v>45</v>
      </c>
      <c r="G8452" s="117">
        <v>338.58</v>
      </c>
    </row>
    <row r="8453" spans="1:7" x14ac:dyDescent="0.25">
      <c r="A8453" s="116" t="s">
        <v>27480</v>
      </c>
      <c r="B8453" s="117" t="s">
        <v>13481</v>
      </c>
      <c r="C8453" t="s">
        <v>67</v>
      </c>
      <c r="D8453" t="s">
        <v>67</v>
      </c>
      <c r="E8453" t="s">
        <v>67</v>
      </c>
      <c r="F8453" t="s">
        <v>27987</v>
      </c>
      <c r="G8453" s="117">
        <v>225.04</v>
      </c>
    </row>
    <row r="8454" spans="1:7" x14ac:dyDescent="0.25">
      <c r="A8454" s="116" t="s">
        <v>27481</v>
      </c>
      <c r="B8454" s="117" t="s">
        <v>13482</v>
      </c>
      <c r="C8454" t="s">
        <v>67</v>
      </c>
      <c r="D8454" t="s">
        <v>67</v>
      </c>
      <c r="E8454" t="s">
        <v>67</v>
      </c>
      <c r="F8454" t="s">
        <v>45</v>
      </c>
      <c r="G8454" s="117">
        <v>35.78</v>
      </c>
    </row>
    <row r="8455" spans="1:7" x14ac:dyDescent="0.25">
      <c r="A8455" s="116" t="s">
        <v>27482</v>
      </c>
      <c r="B8455" s="117" t="s">
        <v>13483</v>
      </c>
      <c r="C8455" t="s">
        <v>67</v>
      </c>
      <c r="D8455" t="s">
        <v>67</v>
      </c>
      <c r="E8455" t="s">
        <v>67</v>
      </c>
      <c r="F8455" t="s">
        <v>45</v>
      </c>
      <c r="G8455" s="117">
        <v>9.6999999999999993</v>
      </c>
    </row>
    <row r="8456" spans="1:7" x14ac:dyDescent="0.25">
      <c r="A8456" s="116" t="s">
        <v>27483</v>
      </c>
      <c r="B8456" s="117" t="s">
        <v>13484</v>
      </c>
      <c r="C8456" t="s">
        <v>67</v>
      </c>
      <c r="D8456" t="s">
        <v>67</v>
      </c>
      <c r="E8456" t="s">
        <v>67</v>
      </c>
      <c r="F8456" t="s">
        <v>45</v>
      </c>
      <c r="G8456" s="117">
        <v>162.75</v>
      </c>
    </row>
    <row r="8457" spans="1:7" x14ac:dyDescent="0.25">
      <c r="A8457" s="116" t="s">
        <v>13485</v>
      </c>
      <c r="B8457" s="117" t="s">
        <v>13486</v>
      </c>
      <c r="C8457" t="s">
        <v>67</v>
      </c>
      <c r="D8457" t="s">
        <v>67</v>
      </c>
      <c r="E8457" t="s">
        <v>67</v>
      </c>
      <c r="F8457" t="s">
        <v>45</v>
      </c>
      <c r="G8457" s="117">
        <v>8.41</v>
      </c>
    </row>
    <row r="8458" spans="1:7" x14ac:dyDescent="0.25">
      <c r="A8458" s="116" t="s">
        <v>13487</v>
      </c>
      <c r="B8458" s="117" t="s">
        <v>13488</v>
      </c>
      <c r="C8458" t="s">
        <v>67</v>
      </c>
      <c r="D8458" t="s">
        <v>67</v>
      </c>
      <c r="E8458" t="s">
        <v>67</v>
      </c>
      <c r="F8458" t="s">
        <v>45</v>
      </c>
      <c r="G8458" s="117">
        <v>1.33</v>
      </c>
    </row>
    <row r="8459" spans="1:7" x14ac:dyDescent="0.25">
      <c r="A8459" s="116" t="s">
        <v>13489</v>
      </c>
      <c r="B8459" s="117" t="s">
        <v>13490</v>
      </c>
      <c r="C8459" t="s">
        <v>67</v>
      </c>
      <c r="D8459" t="s">
        <v>67</v>
      </c>
      <c r="E8459" t="s">
        <v>67</v>
      </c>
      <c r="F8459" t="s">
        <v>27987</v>
      </c>
      <c r="G8459" s="117">
        <v>14.14</v>
      </c>
    </row>
    <row r="8460" spans="1:7" x14ac:dyDescent="0.25">
      <c r="A8460" s="116" t="s">
        <v>13491</v>
      </c>
      <c r="B8460" s="117" t="s">
        <v>13492</v>
      </c>
      <c r="C8460" t="s">
        <v>67</v>
      </c>
      <c r="D8460" t="s">
        <v>67</v>
      </c>
      <c r="E8460" t="s">
        <v>67</v>
      </c>
      <c r="F8460" t="s">
        <v>49</v>
      </c>
      <c r="G8460" s="117">
        <v>4.3600000000000003</v>
      </c>
    </row>
    <row r="8461" spans="1:7" x14ac:dyDescent="0.25">
      <c r="A8461" s="116" t="s">
        <v>13493</v>
      </c>
      <c r="B8461" s="117" t="s">
        <v>13494</v>
      </c>
      <c r="C8461" t="s">
        <v>67</v>
      </c>
      <c r="D8461" t="s">
        <v>67</v>
      </c>
      <c r="E8461" t="s">
        <v>67</v>
      </c>
      <c r="F8461" t="s">
        <v>27987</v>
      </c>
      <c r="G8461" s="117">
        <v>10.58</v>
      </c>
    </row>
    <row r="8462" spans="1:7" x14ac:dyDescent="0.25">
      <c r="A8462" s="116" t="s">
        <v>13495</v>
      </c>
      <c r="B8462" s="117" t="s">
        <v>13496</v>
      </c>
      <c r="C8462" t="s">
        <v>67</v>
      </c>
      <c r="D8462" t="s">
        <v>67</v>
      </c>
      <c r="E8462" t="s">
        <v>67</v>
      </c>
      <c r="F8462" t="s">
        <v>49</v>
      </c>
      <c r="G8462" s="117">
        <v>12.01</v>
      </c>
    </row>
    <row r="8463" spans="1:7" x14ac:dyDescent="0.25">
      <c r="A8463" s="116" t="s">
        <v>13497</v>
      </c>
      <c r="B8463" s="117" t="s">
        <v>13498</v>
      </c>
      <c r="C8463" t="s">
        <v>67</v>
      </c>
      <c r="D8463" t="s">
        <v>67</v>
      </c>
      <c r="E8463" t="s">
        <v>67</v>
      </c>
      <c r="F8463" t="s">
        <v>27987</v>
      </c>
      <c r="G8463" s="117">
        <v>28.92</v>
      </c>
    </row>
    <row r="8464" spans="1:7" x14ac:dyDescent="0.25">
      <c r="A8464" s="116" t="s">
        <v>13499</v>
      </c>
      <c r="B8464" s="117" t="s">
        <v>13500</v>
      </c>
      <c r="C8464" t="s">
        <v>67</v>
      </c>
      <c r="D8464" t="s">
        <v>67</v>
      </c>
      <c r="E8464" t="s">
        <v>67</v>
      </c>
      <c r="F8464" t="s">
        <v>45</v>
      </c>
      <c r="G8464" s="117">
        <v>36.93</v>
      </c>
    </row>
    <row r="8465" spans="1:7" x14ac:dyDescent="0.25">
      <c r="A8465" s="116" t="s">
        <v>31091</v>
      </c>
      <c r="B8465" s="117" t="s">
        <v>31092</v>
      </c>
      <c r="C8465" t="s">
        <v>67</v>
      </c>
      <c r="D8465" t="s">
        <v>67</v>
      </c>
      <c r="E8465" t="s">
        <v>67</v>
      </c>
      <c r="F8465" t="s">
        <v>45</v>
      </c>
      <c r="G8465" s="117">
        <v>9999</v>
      </c>
    </row>
    <row r="8466" spans="1:7" x14ac:dyDescent="0.25">
      <c r="A8466" s="116" t="s">
        <v>13501</v>
      </c>
      <c r="B8466" s="117" t="s">
        <v>13502</v>
      </c>
      <c r="C8466" t="s">
        <v>67</v>
      </c>
      <c r="D8466" t="s">
        <v>67</v>
      </c>
      <c r="E8466" t="s">
        <v>67</v>
      </c>
      <c r="F8466" t="s">
        <v>49</v>
      </c>
      <c r="G8466" s="117">
        <v>2.23</v>
      </c>
    </row>
    <row r="8467" spans="1:7" x14ac:dyDescent="0.25">
      <c r="A8467" s="116" t="s">
        <v>29028</v>
      </c>
      <c r="B8467" s="117" t="s">
        <v>29029</v>
      </c>
      <c r="C8467" t="s">
        <v>67</v>
      </c>
      <c r="D8467" t="s">
        <v>67</v>
      </c>
      <c r="E8467" t="s">
        <v>67</v>
      </c>
      <c r="F8467" t="s">
        <v>45</v>
      </c>
      <c r="G8467" s="117">
        <v>9999</v>
      </c>
    </row>
    <row r="8468" spans="1:7" x14ac:dyDescent="0.25">
      <c r="A8468" s="116" t="s">
        <v>13503</v>
      </c>
      <c r="B8468" s="117" t="s">
        <v>4700</v>
      </c>
      <c r="C8468" t="s">
        <v>67</v>
      </c>
      <c r="D8468" t="s">
        <v>67</v>
      </c>
      <c r="E8468" t="s">
        <v>67</v>
      </c>
      <c r="F8468" t="s">
        <v>45</v>
      </c>
      <c r="G8468" s="117">
        <v>3.12</v>
      </c>
    </row>
    <row r="8469" spans="1:7" x14ac:dyDescent="0.25">
      <c r="A8469" s="116" t="s">
        <v>13504</v>
      </c>
      <c r="B8469" s="117" t="s">
        <v>2684</v>
      </c>
      <c r="C8469" t="s">
        <v>67</v>
      </c>
      <c r="D8469" t="s">
        <v>67</v>
      </c>
      <c r="E8469" t="s">
        <v>67</v>
      </c>
      <c r="F8469" t="s">
        <v>27987</v>
      </c>
      <c r="G8469" s="117">
        <v>21.26</v>
      </c>
    </row>
    <row r="8470" spans="1:7" x14ac:dyDescent="0.25">
      <c r="A8470" s="116" t="s">
        <v>13505</v>
      </c>
      <c r="B8470" s="117" t="s">
        <v>9921</v>
      </c>
      <c r="C8470" t="s">
        <v>67</v>
      </c>
      <c r="D8470" t="s">
        <v>67</v>
      </c>
      <c r="E8470" t="s">
        <v>67</v>
      </c>
      <c r="F8470" t="s">
        <v>45</v>
      </c>
      <c r="G8470" s="117">
        <v>2.58</v>
      </c>
    </row>
    <row r="8471" spans="1:7" x14ac:dyDescent="0.25">
      <c r="A8471" s="116" t="s">
        <v>13506</v>
      </c>
      <c r="B8471" s="117" t="s">
        <v>13507</v>
      </c>
      <c r="C8471" t="s">
        <v>67</v>
      </c>
      <c r="D8471" t="s">
        <v>67</v>
      </c>
      <c r="E8471" t="s">
        <v>67</v>
      </c>
      <c r="F8471" t="s">
        <v>27987</v>
      </c>
      <c r="G8471" s="117">
        <v>34.619999999999997</v>
      </c>
    </row>
    <row r="8472" spans="1:7" x14ac:dyDescent="0.25">
      <c r="A8472" s="116" t="s">
        <v>13508</v>
      </c>
      <c r="B8472" s="117" t="s">
        <v>13509</v>
      </c>
      <c r="C8472" t="s">
        <v>67</v>
      </c>
      <c r="D8472" t="s">
        <v>67</v>
      </c>
      <c r="E8472" t="s">
        <v>67</v>
      </c>
      <c r="F8472" t="s">
        <v>27987</v>
      </c>
      <c r="G8472" s="117">
        <v>19.13</v>
      </c>
    </row>
    <row r="8473" spans="1:7" x14ac:dyDescent="0.25">
      <c r="A8473" s="116" t="s">
        <v>13510</v>
      </c>
      <c r="B8473" s="117" t="s">
        <v>13511</v>
      </c>
      <c r="C8473" t="s">
        <v>67</v>
      </c>
      <c r="D8473" t="s">
        <v>67</v>
      </c>
      <c r="E8473" t="s">
        <v>67</v>
      </c>
      <c r="F8473" t="s">
        <v>49</v>
      </c>
      <c r="G8473" s="117">
        <v>21.26</v>
      </c>
    </row>
    <row r="8474" spans="1:7" x14ac:dyDescent="0.25">
      <c r="A8474" s="116" t="s">
        <v>13512</v>
      </c>
      <c r="B8474" s="117" t="s">
        <v>13513</v>
      </c>
      <c r="C8474" t="s">
        <v>67</v>
      </c>
      <c r="D8474" t="s">
        <v>67</v>
      </c>
      <c r="E8474" t="s">
        <v>67</v>
      </c>
      <c r="F8474" t="s">
        <v>49</v>
      </c>
      <c r="G8474" s="117">
        <v>23.58</v>
      </c>
    </row>
    <row r="8475" spans="1:7" x14ac:dyDescent="0.25">
      <c r="A8475" s="116" t="s">
        <v>13514</v>
      </c>
      <c r="B8475" s="117" t="s">
        <v>13515</v>
      </c>
      <c r="C8475" t="s">
        <v>67</v>
      </c>
      <c r="D8475" t="s">
        <v>67</v>
      </c>
      <c r="E8475" t="s">
        <v>67</v>
      </c>
      <c r="F8475" t="s">
        <v>49</v>
      </c>
      <c r="G8475" s="117">
        <v>17.7</v>
      </c>
    </row>
    <row r="8476" spans="1:7" x14ac:dyDescent="0.25">
      <c r="A8476" s="116" t="s">
        <v>13516</v>
      </c>
      <c r="B8476" s="117" t="s">
        <v>13517</v>
      </c>
      <c r="C8476" t="s">
        <v>67</v>
      </c>
      <c r="D8476" t="s">
        <v>67</v>
      </c>
      <c r="E8476" t="s">
        <v>67</v>
      </c>
      <c r="F8476" t="s">
        <v>27990</v>
      </c>
      <c r="G8476" s="117">
        <v>4.8899999999999997</v>
      </c>
    </row>
    <row r="8477" spans="1:7" x14ac:dyDescent="0.25">
      <c r="A8477" s="116" t="s">
        <v>13518</v>
      </c>
      <c r="B8477" s="117" t="s">
        <v>13519</v>
      </c>
      <c r="C8477" t="s">
        <v>67</v>
      </c>
      <c r="D8477" t="s">
        <v>67</v>
      </c>
      <c r="E8477" t="s">
        <v>67</v>
      </c>
      <c r="F8477" t="s">
        <v>27987</v>
      </c>
      <c r="G8477" s="117">
        <v>7.56</v>
      </c>
    </row>
    <row r="8478" spans="1:7" x14ac:dyDescent="0.25">
      <c r="A8478" s="116" t="s">
        <v>13520</v>
      </c>
      <c r="B8478" s="117" t="s">
        <v>13521</v>
      </c>
      <c r="C8478" t="s">
        <v>67</v>
      </c>
      <c r="D8478" t="s">
        <v>67</v>
      </c>
      <c r="E8478" t="s">
        <v>67</v>
      </c>
      <c r="F8478" t="s">
        <v>49</v>
      </c>
      <c r="G8478" s="117">
        <v>9.6999999999999993</v>
      </c>
    </row>
    <row r="8479" spans="1:7" x14ac:dyDescent="0.25">
      <c r="A8479" s="116" t="s">
        <v>13522</v>
      </c>
      <c r="B8479" s="117" t="s">
        <v>13523</v>
      </c>
      <c r="C8479" t="s">
        <v>67</v>
      </c>
      <c r="D8479" t="s">
        <v>67</v>
      </c>
      <c r="E8479" t="s">
        <v>67</v>
      </c>
      <c r="F8479" t="s">
        <v>49</v>
      </c>
      <c r="G8479" s="117">
        <v>5.25</v>
      </c>
    </row>
    <row r="8480" spans="1:7" x14ac:dyDescent="0.25">
      <c r="A8480" s="116" t="s">
        <v>13524</v>
      </c>
      <c r="B8480" s="117" t="s">
        <v>13525</v>
      </c>
      <c r="C8480" t="s">
        <v>67</v>
      </c>
      <c r="D8480" t="s">
        <v>67</v>
      </c>
      <c r="E8480" t="s">
        <v>67</v>
      </c>
      <c r="F8480" t="s">
        <v>49</v>
      </c>
      <c r="G8480" s="117">
        <v>50.27</v>
      </c>
    </row>
    <row r="8481" spans="1:7" x14ac:dyDescent="0.25">
      <c r="A8481" s="116" t="s">
        <v>13526</v>
      </c>
      <c r="B8481" s="117" t="s">
        <v>13527</v>
      </c>
      <c r="C8481" t="s">
        <v>67</v>
      </c>
      <c r="D8481" t="s">
        <v>67</v>
      </c>
      <c r="E8481" t="s">
        <v>67</v>
      </c>
      <c r="F8481" t="s">
        <v>45</v>
      </c>
      <c r="G8481" s="117">
        <v>17.7</v>
      </c>
    </row>
    <row r="8482" spans="1:7" x14ac:dyDescent="0.25">
      <c r="A8482" s="116" t="s">
        <v>13528</v>
      </c>
      <c r="B8482" s="117" t="s">
        <v>13529</v>
      </c>
      <c r="C8482" t="s">
        <v>67</v>
      </c>
      <c r="D8482" t="s">
        <v>67</v>
      </c>
      <c r="E8482" t="s">
        <v>67</v>
      </c>
      <c r="F8482" t="s">
        <v>27987</v>
      </c>
      <c r="G8482" s="117">
        <v>5.79</v>
      </c>
    </row>
    <row r="8483" spans="1:7" x14ac:dyDescent="0.25">
      <c r="A8483" s="116" t="s">
        <v>13530</v>
      </c>
      <c r="B8483" s="117" t="s">
        <v>13531</v>
      </c>
      <c r="C8483" t="s">
        <v>67</v>
      </c>
      <c r="D8483" t="s">
        <v>67</v>
      </c>
      <c r="E8483" t="s">
        <v>67</v>
      </c>
      <c r="F8483" t="s">
        <v>49</v>
      </c>
      <c r="G8483" s="117">
        <v>4</v>
      </c>
    </row>
    <row r="8484" spans="1:7" x14ac:dyDescent="0.25">
      <c r="A8484" s="116" t="s">
        <v>13532</v>
      </c>
      <c r="B8484" s="117" t="s">
        <v>13533</v>
      </c>
      <c r="C8484" t="s">
        <v>67</v>
      </c>
      <c r="D8484" t="s">
        <v>67</v>
      </c>
      <c r="E8484" t="s">
        <v>67</v>
      </c>
      <c r="F8484" t="s">
        <v>27987</v>
      </c>
      <c r="G8484" s="117">
        <v>7.56</v>
      </c>
    </row>
    <row r="8485" spans="1:7" x14ac:dyDescent="0.25">
      <c r="A8485" s="116" t="s">
        <v>13534</v>
      </c>
      <c r="B8485" s="117" t="s">
        <v>13535</v>
      </c>
      <c r="C8485" t="s">
        <v>67</v>
      </c>
      <c r="D8485" t="s">
        <v>67</v>
      </c>
      <c r="E8485" t="s">
        <v>67</v>
      </c>
      <c r="F8485" t="s">
        <v>27987</v>
      </c>
      <c r="G8485" s="117">
        <v>3.12</v>
      </c>
    </row>
    <row r="8486" spans="1:7" x14ac:dyDescent="0.25">
      <c r="A8486" s="116" t="s">
        <v>13536</v>
      </c>
      <c r="B8486" s="117" t="s">
        <v>13537</v>
      </c>
      <c r="C8486" t="s">
        <v>67</v>
      </c>
      <c r="D8486" t="s">
        <v>67</v>
      </c>
      <c r="E8486" t="s">
        <v>67</v>
      </c>
      <c r="F8486" t="s">
        <v>27987</v>
      </c>
      <c r="G8486" s="117">
        <v>4.3600000000000003</v>
      </c>
    </row>
    <row r="8487" spans="1:7" x14ac:dyDescent="0.25">
      <c r="A8487" s="116" t="s">
        <v>13538</v>
      </c>
      <c r="B8487" s="117" t="s">
        <v>13539</v>
      </c>
      <c r="C8487" t="s">
        <v>67</v>
      </c>
      <c r="D8487" t="s">
        <v>67</v>
      </c>
      <c r="E8487" t="s">
        <v>67</v>
      </c>
      <c r="F8487" t="s">
        <v>49</v>
      </c>
      <c r="G8487" s="117">
        <v>13.26</v>
      </c>
    </row>
    <row r="8488" spans="1:7" x14ac:dyDescent="0.25">
      <c r="A8488" s="116" t="s">
        <v>13540</v>
      </c>
      <c r="B8488" s="117" t="s">
        <v>13541</v>
      </c>
      <c r="C8488" t="s">
        <v>67</v>
      </c>
      <c r="D8488" t="s">
        <v>67</v>
      </c>
      <c r="E8488" t="s">
        <v>67</v>
      </c>
      <c r="F8488" t="s">
        <v>27987</v>
      </c>
      <c r="G8488" s="117">
        <v>8.89</v>
      </c>
    </row>
    <row r="8489" spans="1:7" x14ac:dyDescent="0.25">
      <c r="A8489" s="116" t="s">
        <v>13542</v>
      </c>
      <c r="B8489" s="117" t="s">
        <v>13543</v>
      </c>
      <c r="C8489" t="s">
        <v>67</v>
      </c>
      <c r="D8489" t="s">
        <v>67</v>
      </c>
      <c r="E8489" t="s">
        <v>67</v>
      </c>
      <c r="F8489" t="s">
        <v>49</v>
      </c>
      <c r="G8489" s="117">
        <v>24.48</v>
      </c>
    </row>
    <row r="8490" spans="1:7" x14ac:dyDescent="0.25">
      <c r="A8490" s="116" t="s">
        <v>30679</v>
      </c>
      <c r="B8490" s="117" t="s">
        <v>30680</v>
      </c>
      <c r="C8490" t="s">
        <v>67</v>
      </c>
      <c r="D8490" t="s">
        <v>67</v>
      </c>
      <c r="E8490" t="s">
        <v>67</v>
      </c>
      <c r="F8490" t="s">
        <v>45</v>
      </c>
      <c r="G8490" s="117">
        <v>8</v>
      </c>
    </row>
    <row r="8491" spans="1:7" x14ac:dyDescent="0.25">
      <c r="A8491" s="116" t="s">
        <v>13544</v>
      </c>
      <c r="B8491" s="117" t="s">
        <v>12107</v>
      </c>
      <c r="C8491" t="s">
        <v>67</v>
      </c>
      <c r="D8491" t="s">
        <v>67</v>
      </c>
      <c r="E8491" t="s">
        <v>67</v>
      </c>
      <c r="F8491" t="s">
        <v>27987</v>
      </c>
      <c r="G8491" s="117">
        <v>35.5</v>
      </c>
    </row>
    <row r="8492" spans="1:7" x14ac:dyDescent="0.25">
      <c r="A8492" s="116" t="s">
        <v>13545</v>
      </c>
      <c r="B8492" s="117" t="s">
        <v>13546</v>
      </c>
      <c r="C8492" t="s">
        <v>67</v>
      </c>
      <c r="D8492" t="s">
        <v>67</v>
      </c>
      <c r="E8492" t="s">
        <v>67</v>
      </c>
      <c r="F8492" t="s">
        <v>27987</v>
      </c>
      <c r="G8492" s="117">
        <v>3.56</v>
      </c>
    </row>
    <row r="8493" spans="1:7" x14ac:dyDescent="0.25">
      <c r="A8493" s="116" t="s">
        <v>13547</v>
      </c>
      <c r="B8493" s="117" t="s">
        <v>13548</v>
      </c>
      <c r="C8493" t="s">
        <v>67</v>
      </c>
      <c r="D8493" t="s">
        <v>67</v>
      </c>
      <c r="E8493" t="s">
        <v>67</v>
      </c>
      <c r="F8493" t="s">
        <v>27987</v>
      </c>
      <c r="G8493" s="117">
        <v>1.33</v>
      </c>
    </row>
    <row r="8494" spans="1:7" x14ac:dyDescent="0.25">
      <c r="A8494" s="116" t="s">
        <v>13549</v>
      </c>
      <c r="B8494" s="117" t="s">
        <v>13550</v>
      </c>
      <c r="C8494" t="s">
        <v>67</v>
      </c>
      <c r="D8494" t="s">
        <v>67</v>
      </c>
      <c r="E8494" t="s">
        <v>67</v>
      </c>
      <c r="F8494" t="s">
        <v>27987</v>
      </c>
      <c r="G8494" s="117">
        <v>23.94</v>
      </c>
    </row>
    <row r="8495" spans="1:7" x14ac:dyDescent="0.25">
      <c r="A8495" s="116" t="s">
        <v>13551</v>
      </c>
      <c r="B8495" s="117" t="s">
        <v>4848</v>
      </c>
      <c r="C8495" t="s">
        <v>67</v>
      </c>
      <c r="D8495" t="s">
        <v>67</v>
      </c>
      <c r="E8495" t="s">
        <v>67</v>
      </c>
      <c r="F8495" t="s">
        <v>45</v>
      </c>
      <c r="G8495" s="117">
        <v>32.479999999999997</v>
      </c>
    </row>
    <row r="8496" spans="1:7" x14ac:dyDescent="0.25">
      <c r="A8496" s="116" t="s">
        <v>13552</v>
      </c>
      <c r="B8496" s="117" t="s">
        <v>13553</v>
      </c>
      <c r="C8496" t="s">
        <v>67</v>
      </c>
      <c r="D8496" t="s">
        <v>67</v>
      </c>
      <c r="E8496" t="s">
        <v>67</v>
      </c>
      <c r="F8496" t="s">
        <v>27987</v>
      </c>
      <c r="G8496" s="117">
        <v>2.23</v>
      </c>
    </row>
    <row r="8497" spans="1:7" x14ac:dyDescent="0.25">
      <c r="A8497" s="116" t="s">
        <v>13554</v>
      </c>
      <c r="B8497" s="117" t="s">
        <v>13555</v>
      </c>
      <c r="C8497" t="s">
        <v>67</v>
      </c>
      <c r="D8497" t="s">
        <v>67</v>
      </c>
      <c r="E8497" t="s">
        <v>67</v>
      </c>
      <c r="F8497" t="s">
        <v>27987</v>
      </c>
      <c r="G8497" s="117">
        <v>11.48</v>
      </c>
    </row>
    <row r="8498" spans="1:7" x14ac:dyDescent="0.25">
      <c r="A8498" s="116" t="s">
        <v>13556</v>
      </c>
      <c r="B8498" s="117" t="s">
        <v>13557</v>
      </c>
      <c r="C8498" t="s">
        <v>67</v>
      </c>
      <c r="D8498" t="s">
        <v>67</v>
      </c>
      <c r="E8498" t="s">
        <v>67</v>
      </c>
      <c r="F8498" t="s">
        <v>27987</v>
      </c>
      <c r="G8498" s="117">
        <v>40.49</v>
      </c>
    </row>
    <row r="8499" spans="1:7" x14ac:dyDescent="0.25">
      <c r="A8499" s="116" t="s">
        <v>13558</v>
      </c>
      <c r="B8499" s="117" t="s">
        <v>13559</v>
      </c>
      <c r="C8499" t="s">
        <v>67</v>
      </c>
      <c r="D8499" t="s">
        <v>67</v>
      </c>
      <c r="E8499" t="s">
        <v>67</v>
      </c>
      <c r="F8499" t="s">
        <v>27987</v>
      </c>
      <c r="G8499" s="117">
        <v>4.3600000000000003</v>
      </c>
    </row>
    <row r="8500" spans="1:7" x14ac:dyDescent="0.25">
      <c r="A8500" s="116" t="s">
        <v>13560</v>
      </c>
      <c r="B8500" s="117" t="s">
        <v>13561</v>
      </c>
      <c r="C8500" t="s">
        <v>67</v>
      </c>
      <c r="D8500" t="s">
        <v>67</v>
      </c>
      <c r="E8500" t="s">
        <v>67</v>
      </c>
      <c r="F8500" t="s">
        <v>27987</v>
      </c>
      <c r="G8500" s="117">
        <v>4</v>
      </c>
    </row>
    <row r="8501" spans="1:7" x14ac:dyDescent="0.25">
      <c r="A8501" s="116" t="s">
        <v>13562</v>
      </c>
      <c r="B8501" s="117" t="s">
        <v>13563</v>
      </c>
      <c r="C8501" t="s">
        <v>67</v>
      </c>
      <c r="D8501" t="s">
        <v>67</v>
      </c>
      <c r="E8501" t="s">
        <v>67</v>
      </c>
      <c r="F8501" t="s">
        <v>27987</v>
      </c>
      <c r="G8501" s="117">
        <v>7.92</v>
      </c>
    </row>
    <row r="8502" spans="1:7" x14ac:dyDescent="0.25">
      <c r="A8502" s="116" t="s">
        <v>13564</v>
      </c>
      <c r="B8502" s="117" t="s">
        <v>13565</v>
      </c>
      <c r="C8502" t="s">
        <v>67</v>
      </c>
      <c r="D8502" t="s">
        <v>67</v>
      </c>
      <c r="E8502" t="s">
        <v>67</v>
      </c>
      <c r="F8502" t="s">
        <v>45</v>
      </c>
      <c r="G8502" s="117">
        <v>13.8</v>
      </c>
    </row>
    <row r="8503" spans="1:7" x14ac:dyDescent="0.25">
      <c r="A8503" s="116" t="s">
        <v>13566</v>
      </c>
      <c r="B8503" s="117" t="s">
        <v>13567</v>
      </c>
      <c r="C8503" t="s">
        <v>67</v>
      </c>
      <c r="D8503" t="s">
        <v>67</v>
      </c>
      <c r="E8503" t="s">
        <v>67</v>
      </c>
      <c r="F8503" t="s">
        <v>45</v>
      </c>
      <c r="G8503" s="117">
        <v>14.68</v>
      </c>
    </row>
    <row r="8504" spans="1:7" x14ac:dyDescent="0.25">
      <c r="A8504" s="116" t="s">
        <v>13568</v>
      </c>
      <c r="B8504" s="117" t="s">
        <v>2231</v>
      </c>
      <c r="C8504" t="s">
        <v>67</v>
      </c>
      <c r="D8504" t="s">
        <v>67</v>
      </c>
      <c r="E8504" t="s">
        <v>67</v>
      </c>
      <c r="F8504" t="s">
        <v>27987</v>
      </c>
      <c r="G8504" s="117">
        <v>7.12</v>
      </c>
    </row>
    <row r="8505" spans="1:7" x14ac:dyDescent="0.25">
      <c r="A8505" s="116" t="s">
        <v>13569</v>
      </c>
      <c r="B8505" s="117" t="s">
        <v>13570</v>
      </c>
      <c r="C8505" t="s">
        <v>67</v>
      </c>
      <c r="D8505" t="s">
        <v>67</v>
      </c>
      <c r="E8505" t="s">
        <v>67</v>
      </c>
      <c r="F8505" t="s">
        <v>27987</v>
      </c>
      <c r="G8505" s="117">
        <v>13.8</v>
      </c>
    </row>
    <row r="8506" spans="1:7" x14ac:dyDescent="0.25">
      <c r="A8506" s="116" t="s">
        <v>13571</v>
      </c>
      <c r="B8506" s="117" t="s">
        <v>13572</v>
      </c>
      <c r="C8506" t="s">
        <v>67</v>
      </c>
      <c r="D8506" t="s">
        <v>67</v>
      </c>
      <c r="E8506" t="s">
        <v>67</v>
      </c>
      <c r="F8506" t="s">
        <v>45</v>
      </c>
      <c r="G8506" s="117">
        <v>7.12</v>
      </c>
    </row>
    <row r="8507" spans="1:7" x14ac:dyDescent="0.25">
      <c r="A8507" s="116" t="s">
        <v>13573</v>
      </c>
      <c r="B8507" s="117" t="s">
        <v>13574</v>
      </c>
      <c r="C8507" t="s">
        <v>67</v>
      </c>
      <c r="D8507" t="s">
        <v>67</v>
      </c>
      <c r="E8507" t="s">
        <v>67</v>
      </c>
      <c r="F8507" t="s">
        <v>27987</v>
      </c>
      <c r="G8507" s="117">
        <v>10.24</v>
      </c>
    </row>
    <row r="8508" spans="1:7" x14ac:dyDescent="0.25">
      <c r="A8508" s="116" t="s">
        <v>13575</v>
      </c>
      <c r="B8508" s="117" t="s">
        <v>13576</v>
      </c>
      <c r="C8508" t="s">
        <v>67</v>
      </c>
      <c r="D8508" t="s">
        <v>67</v>
      </c>
      <c r="E8508" t="s">
        <v>67</v>
      </c>
      <c r="F8508" t="s">
        <v>27987</v>
      </c>
      <c r="G8508" s="117">
        <v>21.26</v>
      </c>
    </row>
    <row r="8509" spans="1:7" x14ac:dyDescent="0.25">
      <c r="A8509" s="116" t="s">
        <v>26775</v>
      </c>
      <c r="B8509" s="117" t="s">
        <v>26776</v>
      </c>
      <c r="C8509" t="s">
        <v>67</v>
      </c>
      <c r="D8509" t="s">
        <v>67</v>
      </c>
      <c r="E8509" t="s">
        <v>67</v>
      </c>
      <c r="F8509" t="s">
        <v>45</v>
      </c>
      <c r="G8509" s="117">
        <v>45.32</v>
      </c>
    </row>
    <row r="8510" spans="1:7" x14ac:dyDescent="0.25">
      <c r="A8510" s="116" t="s">
        <v>26777</v>
      </c>
      <c r="B8510" s="117" t="s">
        <v>26778</v>
      </c>
      <c r="C8510" t="s">
        <v>67</v>
      </c>
      <c r="D8510" t="s">
        <v>67</v>
      </c>
      <c r="E8510" t="s">
        <v>67</v>
      </c>
      <c r="F8510" t="s">
        <v>45</v>
      </c>
      <c r="G8510" s="117">
        <v>12.44</v>
      </c>
    </row>
    <row r="8511" spans="1:7" x14ac:dyDescent="0.25">
      <c r="A8511" s="116" t="s">
        <v>13577</v>
      </c>
      <c r="B8511" s="117" t="s">
        <v>13578</v>
      </c>
      <c r="C8511" t="s">
        <v>67</v>
      </c>
      <c r="D8511" t="s">
        <v>67</v>
      </c>
      <c r="E8511" t="s">
        <v>67</v>
      </c>
      <c r="F8511" t="s">
        <v>27987</v>
      </c>
      <c r="G8511" s="117">
        <v>8.4499999999999993</v>
      </c>
    </row>
    <row r="8512" spans="1:7" x14ac:dyDescent="0.25">
      <c r="A8512" s="116" t="s">
        <v>26779</v>
      </c>
      <c r="B8512" s="117" t="s">
        <v>26780</v>
      </c>
      <c r="C8512" t="s">
        <v>67</v>
      </c>
      <c r="D8512" t="s">
        <v>67</v>
      </c>
      <c r="E8512" t="s">
        <v>67</v>
      </c>
      <c r="F8512" t="s">
        <v>45</v>
      </c>
      <c r="G8512" s="117">
        <v>3.35</v>
      </c>
    </row>
    <row r="8513" spans="1:7" x14ac:dyDescent="0.25">
      <c r="A8513" s="116" t="s">
        <v>26781</v>
      </c>
      <c r="B8513" s="117" t="s">
        <v>26782</v>
      </c>
      <c r="C8513" t="s">
        <v>67</v>
      </c>
      <c r="D8513" t="s">
        <v>67</v>
      </c>
      <c r="E8513" t="s">
        <v>67</v>
      </c>
      <c r="F8513" t="s">
        <v>45</v>
      </c>
      <c r="G8513" s="117">
        <v>39.1</v>
      </c>
    </row>
    <row r="8514" spans="1:7" x14ac:dyDescent="0.25">
      <c r="A8514" s="116" t="s">
        <v>26783</v>
      </c>
      <c r="B8514" s="117" t="s">
        <v>26784</v>
      </c>
      <c r="C8514" t="s">
        <v>67</v>
      </c>
      <c r="D8514" t="s">
        <v>67</v>
      </c>
      <c r="E8514" t="s">
        <v>67</v>
      </c>
      <c r="F8514" t="s">
        <v>45</v>
      </c>
      <c r="G8514" s="117">
        <v>5.62</v>
      </c>
    </row>
    <row r="8515" spans="1:7" x14ac:dyDescent="0.25">
      <c r="A8515" s="116" t="s">
        <v>26785</v>
      </c>
      <c r="B8515" s="117" t="s">
        <v>26786</v>
      </c>
      <c r="C8515" t="s">
        <v>67</v>
      </c>
      <c r="D8515" t="s">
        <v>67</v>
      </c>
      <c r="E8515" t="s">
        <v>67</v>
      </c>
      <c r="F8515" t="s">
        <v>45</v>
      </c>
      <c r="G8515" s="117">
        <v>5</v>
      </c>
    </row>
    <row r="8516" spans="1:7" x14ac:dyDescent="0.25">
      <c r="A8516" s="116" t="s">
        <v>26787</v>
      </c>
      <c r="B8516" s="117" t="s">
        <v>26788</v>
      </c>
      <c r="C8516" t="s">
        <v>67</v>
      </c>
      <c r="D8516" t="s">
        <v>67</v>
      </c>
      <c r="E8516" t="s">
        <v>67</v>
      </c>
      <c r="F8516" t="s">
        <v>45</v>
      </c>
      <c r="G8516" s="117">
        <v>6</v>
      </c>
    </row>
    <row r="8517" spans="1:7" x14ac:dyDescent="0.25">
      <c r="A8517" s="116" t="s">
        <v>26789</v>
      </c>
      <c r="B8517" s="117" t="s">
        <v>26790</v>
      </c>
      <c r="C8517" t="s">
        <v>67</v>
      </c>
      <c r="D8517" t="s">
        <v>67</v>
      </c>
      <c r="E8517" t="s">
        <v>67</v>
      </c>
      <c r="F8517" t="s">
        <v>45</v>
      </c>
      <c r="G8517" s="117">
        <v>5</v>
      </c>
    </row>
    <row r="8518" spans="1:7" x14ac:dyDescent="0.25">
      <c r="A8518" s="116" t="s">
        <v>26791</v>
      </c>
      <c r="B8518" s="117" t="s">
        <v>26792</v>
      </c>
      <c r="C8518" t="s">
        <v>67</v>
      </c>
      <c r="D8518" t="s">
        <v>67</v>
      </c>
      <c r="E8518" t="s">
        <v>67</v>
      </c>
      <c r="F8518" t="s">
        <v>45</v>
      </c>
      <c r="G8518" s="117">
        <v>46</v>
      </c>
    </row>
    <row r="8519" spans="1:7" x14ac:dyDescent="0.25">
      <c r="A8519" s="116" t="s">
        <v>26793</v>
      </c>
      <c r="B8519" s="117" t="s">
        <v>26794</v>
      </c>
      <c r="C8519" t="s">
        <v>67</v>
      </c>
      <c r="D8519" t="s">
        <v>67</v>
      </c>
      <c r="E8519" t="s">
        <v>67</v>
      </c>
      <c r="F8519" t="s">
        <v>45</v>
      </c>
      <c r="G8519" s="117">
        <v>8</v>
      </c>
    </row>
    <row r="8520" spans="1:7" x14ac:dyDescent="0.25">
      <c r="A8520" s="116" t="s">
        <v>26795</v>
      </c>
      <c r="B8520" s="117" t="s">
        <v>26796</v>
      </c>
      <c r="C8520" t="s">
        <v>67</v>
      </c>
      <c r="D8520" t="s">
        <v>67</v>
      </c>
      <c r="E8520" t="s">
        <v>67</v>
      </c>
      <c r="F8520" t="s">
        <v>45</v>
      </c>
      <c r="G8520" s="117">
        <v>22.6</v>
      </c>
    </row>
    <row r="8521" spans="1:7" x14ac:dyDescent="0.25">
      <c r="A8521" s="116" t="s">
        <v>26797</v>
      </c>
      <c r="B8521" s="117" t="s">
        <v>26798</v>
      </c>
      <c r="C8521" t="s">
        <v>67</v>
      </c>
      <c r="D8521" t="s">
        <v>67</v>
      </c>
      <c r="E8521" t="s">
        <v>67</v>
      </c>
      <c r="F8521" t="s">
        <v>45</v>
      </c>
      <c r="G8521" s="117">
        <v>12</v>
      </c>
    </row>
    <row r="8522" spans="1:7" x14ac:dyDescent="0.25">
      <c r="A8522" s="116" t="s">
        <v>26799</v>
      </c>
      <c r="B8522" s="117" t="s">
        <v>26800</v>
      </c>
      <c r="C8522" t="s">
        <v>67</v>
      </c>
      <c r="D8522" t="s">
        <v>67</v>
      </c>
      <c r="E8522" t="s">
        <v>67</v>
      </c>
      <c r="F8522" t="s">
        <v>45</v>
      </c>
      <c r="G8522" s="117">
        <v>10</v>
      </c>
    </row>
    <row r="8523" spans="1:7" x14ac:dyDescent="0.25">
      <c r="A8523" s="116" t="s">
        <v>26801</v>
      </c>
      <c r="B8523" s="117" t="s">
        <v>26802</v>
      </c>
      <c r="C8523" t="s">
        <v>67</v>
      </c>
      <c r="D8523" t="s">
        <v>67</v>
      </c>
      <c r="E8523" t="s">
        <v>67</v>
      </c>
      <c r="F8523" t="s">
        <v>45</v>
      </c>
      <c r="G8523" s="117">
        <v>4</v>
      </c>
    </row>
    <row r="8524" spans="1:7" x14ac:dyDescent="0.25">
      <c r="A8524" s="116" t="s">
        <v>26803</v>
      </c>
      <c r="B8524" s="117" t="s">
        <v>26804</v>
      </c>
      <c r="C8524" t="s">
        <v>67</v>
      </c>
      <c r="D8524" t="s">
        <v>67</v>
      </c>
      <c r="E8524" t="s">
        <v>67</v>
      </c>
      <c r="F8524" t="s">
        <v>45</v>
      </c>
      <c r="G8524" s="117">
        <v>5</v>
      </c>
    </row>
    <row r="8525" spans="1:7" x14ac:dyDescent="0.25">
      <c r="A8525" s="116" t="s">
        <v>13579</v>
      </c>
      <c r="B8525" s="117" t="s">
        <v>11787</v>
      </c>
      <c r="C8525" t="s">
        <v>67</v>
      </c>
      <c r="D8525" t="s">
        <v>67</v>
      </c>
      <c r="E8525" t="s">
        <v>67</v>
      </c>
      <c r="F8525" t="s">
        <v>45</v>
      </c>
      <c r="G8525" s="117">
        <v>2.58</v>
      </c>
    </row>
    <row r="8526" spans="1:7" x14ac:dyDescent="0.25">
      <c r="A8526" s="116" t="s">
        <v>13580</v>
      </c>
      <c r="B8526" s="117" t="s">
        <v>12260</v>
      </c>
      <c r="C8526" t="s">
        <v>67</v>
      </c>
      <c r="D8526" t="s">
        <v>67</v>
      </c>
      <c r="E8526" t="s">
        <v>67</v>
      </c>
      <c r="F8526" t="s">
        <v>27987</v>
      </c>
      <c r="G8526" s="117">
        <v>37.82</v>
      </c>
    </row>
    <row r="8527" spans="1:7" x14ac:dyDescent="0.25">
      <c r="A8527" s="116" t="s">
        <v>13581</v>
      </c>
      <c r="B8527" s="117" t="s">
        <v>13582</v>
      </c>
      <c r="C8527" t="s">
        <v>67</v>
      </c>
      <c r="D8527" t="s">
        <v>67</v>
      </c>
      <c r="E8527" t="s">
        <v>67</v>
      </c>
      <c r="F8527" t="s">
        <v>45</v>
      </c>
      <c r="G8527" s="117">
        <v>21.8</v>
      </c>
    </row>
    <row r="8528" spans="1:7" x14ac:dyDescent="0.25">
      <c r="A8528" s="116" t="s">
        <v>13583</v>
      </c>
      <c r="B8528" s="117" t="s">
        <v>13584</v>
      </c>
      <c r="C8528" t="s">
        <v>67</v>
      </c>
      <c r="D8528" t="s">
        <v>67</v>
      </c>
      <c r="E8528" t="s">
        <v>67</v>
      </c>
      <c r="F8528" t="s">
        <v>45</v>
      </c>
      <c r="G8528" s="117">
        <v>2.58</v>
      </c>
    </row>
    <row r="8529" spans="1:7" x14ac:dyDescent="0.25">
      <c r="A8529" s="116" t="s">
        <v>13585</v>
      </c>
      <c r="B8529" s="117" t="s">
        <v>13586</v>
      </c>
      <c r="C8529" t="s">
        <v>67</v>
      </c>
      <c r="D8529" t="s">
        <v>67</v>
      </c>
      <c r="E8529" t="s">
        <v>67</v>
      </c>
      <c r="F8529" t="s">
        <v>27987</v>
      </c>
      <c r="G8529" s="117">
        <v>4.8899999999999997</v>
      </c>
    </row>
    <row r="8530" spans="1:7" x14ac:dyDescent="0.25">
      <c r="A8530" s="116" t="s">
        <v>13587</v>
      </c>
      <c r="B8530" s="117" t="s">
        <v>13588</v>
      </c>
      <c r="C8530" t="s">
        <v>67</v>
      </c>
      <c r="D8530" t="s">
        <v>67</v>
      </c>
      <c r="E8530" t="s">
        <v>67</v>
      </c>
      <c r="F8530" t="s">
        <v>27987</v>
      </c>
      <c r="G8530" s="117">
        <v>5.79</v>
      </c>
    </row>
    <row r="8531" spans="1:7" x14ac:dyDescent="0.25">
      <c r="A8531" s="116" t="s">
        <v>13589</v>
      </c>
      <c r="B8531" s="117" t="s">
        <v>13590</v>
      </c>
      <c r="C8531" t="s">
        <v>67</v>
      </c>
      <c r="D8531" t="s">
        <v>67</v>
      </c>
      <c r="E8531" t="s">
        <v>67</v>
      </c>
      <c r="F8531" t="s">
        <v>45</v>
      </c>
      <c r="G8531" s="117">
        <v>4</v>
      </c>
    </row>
    <row r="8532" spans="1:7" x14ac:dyDescent="0.25">
      <c r="A8532" s="116" t="s">
        <v>13591</v>
      </c>
      <c r="B8532" s="117" t="s">
        <v>13592</v>
      </c>
      <c r="C8532" t="s">
        <v>67</v>
      </c>
      <c r="D8532" t="s">
        <v>67</v>
      </c>
      <c r="E8532" t="s">
        <v>67</v>
      </c>
      <c r="F8532" t="s">
        <v>27987</v>
      </c>
      <c r="G8532" s="117">
        <v>13.8</v>
      </c>
    </row>
    <row r="8533" spans="1:7" x14ac:dyDescent="0.25">
      <c r="A8533" s="116" t="s">
        <v>29030</v>
      </c>
      <c r="B8533" s="117" t="s">
        <v>502</v>
      </c>
      <c r="C8533" t="s">
        <v>67</v>
      </c>
      <c r="D8533" t="s">
        <v>67</v>
      </c>
      <c r="E8533" t="s">
        <v>67</v>
      </c>
      <c r="F8533" t="s">
        <v>27987</v>
      </c>
      <c r="G8533" s="117">
        <v>4.5999999999999996</v>
      </c>
    </row>
    <row r="8534" spans="1:7" x14ac:dyDescent="0.25">
      <c r="A8534" s="116" t="s">
        <v>13593</v>
      </c>
      <c r="B8534" s="117" t="s">
        <v>13594</v>
      </c>
      <c r="C8534" t="s">
        <v>67</v>
      </c>
      <c r="D8534" t="s">
        <v>67</v>
      </c>
      <c r="E8534" t="s">
        <v>67</v>
      </c>
      <c r="F8534" t="s">
        <v>27987</v>
      </c>
      <c r="G8534" s="117">
        <v>22.16</v>
      </c>
    </row>
    <row r="8535" spans="1:7" x14ac:dyDescent="0.25">
      <c r="A8535" s="116" t="s">
        <v>29793</v>
      </c>
      <c r="B8535" s="117" t="s">
        <v>30451</v>
      </c>
      <c r="C8535" t="s">
        <v>67</v>
      </c>
      <c r="D8535" t="s">
        <v>67</v>
      </c>
      <c r="E8535" t="s">
        <v>67</v>
      </c>
      <c r="F8535" t="s">
        <v>27987</v>
      </c>
      <c r="G8535" s="117">
        <v>28.88</v>
      </c>
    </row>
    <row r="8536" spans="1:7" x14ac:dyDescent="0.25">
      <c r="A8536" s="116" t="s">
        <v>29794</v>
      </c>
      <c r="B8536" s="117" t="s">
        <v>30452</v>
      </c>
      <c r="C8536" t="s">
        <v>67</v>
      </c>
      <c r="D8536" t="s">
        <v>67</v>
      </c>
      <c r="E8536" t="s">
        <v>67</v>
      </c>
      <c r="F8536" t="s">
        <v>45</v>
      </c>
      <c r="G8536" s="117">
        <v>7.35</v>
      </c>
    </row>
    <row r="8537" spans="1:7" x14ac:dyDescent="0.25">
      <c r="A8537" s="116" t="s">
        <v>29795</v>
      </c>
      <c r="B8537" s="117" t="s">
        <v>30453</v>
      </c>
      <c r="C8537" t="s">
        <v>67</v>
      </c>
      <c r="D8537" t="s">
        <v>67</v>
      </c>
      <c r="E8537" t="s">
        <v>67</v>
      </c>
      <c r="F8537" t="s">
        <v>45</v>
      </c>
      <c r="G8537" s="117">
        <v>2.21</v>
      </c>
    </row>
    <row r="8538" spans="1:7" x14ac:dyDescent="0.25">
      <c r="A8538" s="116" t="s">
        <v>29796</v>
      </c>
      <c r="B8538" s="117" t="s">
        <v>30454</v>
      </c>
      <c r="C8538" t="s">
        <v>67</v>
      </c>
      <c r="D8538" t="s">
        <v>67</v>
      </c>
      <c r="E8538" t="s">
        <v>67</v>
      </c>
      <c r="F8538" t="s">
        <v>45</v>
      </c>
      <c r="G8538" s="117">
        <v>9.0299999999999994</v>
      </c>
    </row>
    <row r="8539" spans="1:7" x14ac:dyDescent="0.25">
      <c r="A8539" s="116" t="s">
        <v>29797</v>
      </c>
      <c r="B8539" s="117" t="s">
        <v>30455</v>
      </c>
      <c r="C8539" t="s">
        <v>67</v>
      </c>
      <c r="D8539" t="s">
        <v>67</v>
      </c>
      <c r="E8539" t="s">
        <v>67</v>
      </c>
      <c r="F8539" t="s">
        <v>45</v>
      </c>
      <c r="G8539" s="117">
        <v>7.04</v>
      </c>
    </row>
    <row r="8540" spans="1:7" x14ac:dyDescent="0.25">
      <c r="A8540" s="116" t="s">
        <v>29798</v>
      </c>
      <c r="B8540" s="117" t="s">
        <v>30456</v>
      </c>
      <c r="C8540" t="s">
        <v>67</v>
      </c>
      <c r="D8540" t="s">
        <v>67</v>
      </c>
      <c r="E8540" t="s">
        <v>67</v>
      </c>
      <c r="F8540" t="s">
        <v>45</v>
      </c>
      <c r="G8540" s="117">
        <v>17.96</v>
      </c>
    </row>
    <row r="8541" spans="1:7" x14ac:dyDescent="0.25">
      <c r="A8541" s="116" t="s">
        <v>29799</v>
      </c>
      <c r="B8541" s="117" t="s">
        <v>30457</v>
      </c>
      <c r="C8541" t="s">
        <v>67</v>
      </c>
      <c r="D8541" t="s">
        <v>67</v>
      </c>
      <c r="E8541" t="s">
        <v>67</v>
      </c>
      <c r="F8541" t="s">
        <v>45</v>
      </c>
      <c r="G8541" s="117">
        <v>24.89</v>
      </c>
    </row>
    <row r="8542" spans="1:7" x14ac:dyDescent="0.25">
      <c r="A8542" s="116" t="s">
        <v>29800</v>
      </c>
      <c r="B8542" s="117" t="s">
        <v>30458</v>
      </c>
      <c r="C8542" t="s">
        <v>67</v>
      </c>
      <c r="D8542" t="s">
        <v>67</v>
      </c>
      <c r="E8542" t="s">
        <v>67</v>
      </c>
      <c r="F8542" t="s">
        <v>45</v>
      </c>
      <c r="G8542" s="117">
        <v>18.170000000000002</v>
      </c>
    </row>
    <row r="8543" spans="1:7" x14ac:dyDescent="0.25">
      <c r="A8543" s="116" t="s">
        <v>29801</v>
      </c>
      <c r="B8543" s="117" t="s">
        <v>30459</v>
      </c>
      <c r="C8543" t="s">
        <v>67</v>
      </c>
      <c r="D8543" t="s">
        <v>67</v>
      </c>
      <c r="E8543" t="s">
        <v>67</v>
      </c>
      <c r="F8543" t="s">
        <v>45</v>
      </c>
      <c r="G8543" s="117">
        <v>6.83</v>
      </c>
    </row>
    <row r="8544" spans="1:7" x14ac:dyDescent="0.25">
      <c r="A8544" s="116" t="s">
        <v>29802</v>
      </c>
      <c r="B8544" s="117" t="s">
        <v>30460</v>
      </c>
      <c r="C8544" t="s">
        <v>67</v>
      </c>
      <c r="D8544" t="s">
        <v>67</v>
      </c>
      <c r="E8544" t="s">
        <v>67</v>
      </c>
      <c r="F8544" t="s">
        <v>45</v>
      </c>
      <c r="G8544" s="117">
        <v>5.36</v>
      </c>
    </row>
    <row r="8545" spans="1:7" x14ac:dyDescent="0.25">
      <c r="A8545" s="116" t="s">
        <v>29803</v>
      </c>
      <c r="B8545" s="117" t="s">
        <v>30781</v>
      </c>
      <c r="C8545" t="s">
        <v>67</v>
      </c>
      <c r="D8545" t="s">
        <v>67</v>
      </c>
      <c r="E8545" t="s">
        <v>67</v>
      </c>
      <c r="F8545" t="s">
        <v>45</v>
      </c>
      <c r="G8545" s="117">
        <v>12.08</v>
      </c>
    </row>
    <row r="8546" spans="1:7" x14ac:dyDescent="0.25">
      <c r="A8546" s="116" t="s">
        <v>13595</v>
      </c>
      <c r="B8546" s="117" t="s">
        <v>13574</v>
      </c>
      <c r="C8546" t="s">
        <v>67</v>
      </c>
      <c r="D8546" t="s">
        <v>67</v>
      </c>
      <c r="E8546" t="s">
        <v>67</v>
      </c>
      <c r="F8546" t="s">
        <v>27987</v>
      </c>
      <c r="G8546" s="117">
        <v>9.7899999999999991</v>
      </c>
    </row>
    <row r="8547" spans="1:7" x14ac:dyDescent="0.25">
      <c r="A8547" s="116" t="s">
        <v>13596</v>
      </c>
      <c r="B8547" s="117" t="s">
        <v>13597</v>
      </c>
      <c r="C8547" t="s">
        <v>67</v>
      </c>
      <c r="D8547" t="s">
        <v>67</v>
      </c>
      <c r="E8547" t="s">
        <v>67</v>
      </c>
      <c r="F8547" t="s">
        <v>27987</v>
      </c>
      <c r="G8547" s="117">
        <v>8.4499999999999993</v>
      </c>
    </row>
    <row r="8548" spans="1:7" x14ac:dyDescent="0.25">
      <c r="A8548" s="116" t="s">
        <v>13598</v>
      </c>
      <c r="B8548" s="117" t="s">
        <v>13599</v>
      </c>
      <c r="C8548" t="s">
        <v>67</v>
      </c>
      <c r="D8548" t="s">
        <v>67</v>
      </c>
      <c r="E8548" t="s">
        <v>67</v>
      </c>
      <c r="F8548" t="s">
        <v>27987</v>
      </c>
      <c r="G8548" s="117">
        <v>13.26</v>
      </c>
    </row>
    <row r="8549" spans="1:7" x14ac:dyDescent="0.25">
      <c r="A8549" s="116" t="s">
        <v>29031</v>
      </c>
      <c r="B8549" s="117" t="s">
        <v>29032</v>
      </c>
      <c r="C8549" t="s">
        <v>67</v>
      </c>
      <c r="D8549" t="s">
        <v>67</v>
      </c>
      <c r="E8549" t="s">
        <v>67</v>
      </c>
      <c r="F8549" t="s">
        <v>27987</v>
      </c>
      <c r="G8549" s="117">
        <v>5</v>
      </c>
    </row>
    <row r="8550" spans="1:7" x14ac:dyDescent="0.25">
      <c r="A8550" s="116" t="s">
        <v>29033</v>
      </c>
      <c r="B8550" s="117" t="s">
        <v>29034</v>
      </c>
      <c r="C8550" t="s">
        <v>67</v>
      </c>
      <c r="D8550" t="s">
        <v>67</v>
      </c>
      <c r="E8550" t="s">
        <v>67</v>
      </c>
      <c r="F8550" t="s">
        <v>45</v>
      </c>
      <c r="G8550" s="117">
        <v>7</v>
      </c>
    </row>
    <row r="8551" spans="1:7" x14ac:dyDescent="0.25">
      <c r="A8551" s="116" t="s">
        <v>13600</v>
      </c>
      <c r="B8551" s="117" t="s">
        <v>13601</v>
      </c>
      <c r="C8551" t="s">
        <v>67</v>
      </c>
      <c r="D8551" t="s">
        <v>67</v>
      </c>
      <c r="E8551" t="s">
        <v>67</v>
      </c>
      <c r="F8551" t="s">
        <v>27987</v>
      </c>
      <c r="G8551" s="117">
        <v>13.8</v>
      </c>
    </row>
    <row r="8552" spans="1:7" x14ac:dyDescent="0.25">
      <c r="A8552" s="116" t="s">
        <v>13602</v>
      </c>
      <c r="B8552" s="117" t="s">
        <v>13603</v>
      </c>
      <c r="C8552" t="s">
        <v>67</v>
      </c>
      <c r="D8552" t="s">
        <v>67</v>
      </c>
      <c r="E8552" t="s">
        <v>67</v>
      </c>
      <c r="F8552" t="s">
        <v>27987</v>
      </c>
      <c r="G8552" s="117">
        <v>15.93</v>
      </c>
    </row>
    <row r="8553" spans="1:7" x14ac:dyDescent="0.25">
      <c r="A8553" s="116" t="s">
        <v>13604</v>
      </c>
      <c r="B8553" s="117" t="s">
        <v>13605</v>
      </c>
      <c r="C8553" t="s">
        <v>67</v>
      </c>
      <c r="D8553" t="s">
        <v>67</v>
      </c>
      <c r="E8553" t="s">
        <v>67</v>
      </c>
      <c r="F8553" t="s">
        <v>27987</v>
      </c>
      <c r="G8553" s="117">
        <v>13.26</v>
      </c>
    </row>
    <row r="8554" spans="1:7" x14ac:dyDescent="0.25">
      <c r="A8554" s="116" t="s">
        <v>13606</v>
      </c>
      <c r="B8554" s="117" t="s">
        <v>13607</v>
      </c>
      <c r="C8554" t="s">
        <v>67</v>
      </c>
      <c r="D8554" t="s">
        <v>67</v>
      </c>
      <c r="E8554" t="s">
        <v>67</v>
      </c>
      <c r="F8554" t="s">
        <v>27987</v>
      </c>
      <c r="G8554" s="117">
        <v>3.48</v>
      </c>
    </row>
    <row r="8555" spans="1:7" x14ac:dyDescent="0.25">
      <c r="A8555" s="116" t="s">
        <v>13608</v>
      </c>
      <c r="B8555" s="117" t="s">
        <v>3062</v>
      </c>
      <c r="C8555" t="s">
        <v>67</v>
      </c>
      <c r="D8555" t="s">
        <v>67</v>
      </c>
      <c r="E8555" t="s">
        <v>67</v>
      </c>
      <c r="F8555" t="s">
        <v>27987</v>
      </c>
      <c r="G8555" s="117">
        <v>59.18</v>
      </c>
    </row>
    <row r="8556" spans="1:7" x14ac:dyDescent="0.25">
      <c r="A8556" s="116" t="s">
        <v>13609</v>
      </c>
      <c r="B8556" s="117" t="s">
        <v>10538</v>
      </c>
      <c r="C8556" t="s">
        <v>67</v>
      </c>
      <c r="D8556" t="s">
        <v>67</v>
      </c>
      <c r="E8556" t="s">
        <v>67</v>
      </c>
      <c r="F8556" t="s">
        <v>27987</v>
      </c>
      <c r="G8556" s="117">
        <v>82.67</v>
      </c>
    </row>
    <row r="8557" spans="1:7" x14ac:dyDescent="0.25">
      <c r="A8557" s="116" t="s">
        <v>13610</v>
      </c>
      <c r="B8557" s="117" t="s">
        <v>13611</v>
      </c>
      <c r="C8557" t="s">
        <v>67</v>
      </c>
      <c r="D8557" t="s">
        <v>67</v>
      </c>
      <c r="E8557" t="s">
        <v>67</v>
      </c>
      <c r="F8557" t="s">
        <v>27987</v>
      </c>
      <c r="G8557" s="117">
        <v>106.33</v>
      </c>
    </row>
    <row r="8558" spans="1:7" x14ac:dyDescent="0.25">
      <c r="A8558" s="116" t="s">
        <v>13612</v>
      </c>
      <c r="B8558" s="117" t="s">
        <v>13613</v>
      </c>
      <c r="C8558" t="s">
        <v>67</v>
      </c>
      <c r="D8558" t="s">
        <v>67</v>
      </c>
      <c r="E8558" t="s">
        <v>67</v>
      </c>
      <c r="F8558" t="s">
        <v>27987</v>
      </c>
      <c r="G8558" s="117">
        <v>86.76</v>
      </c>
    </row>
    <row r="8559" spans="1:7" x14ac:dyDescent="0.25">
      <c r="A8559" s="116" t="s">
        <v>13614</v>
      </c>
      <c r="B8559" s="117" t="s">
        <v>13615</v>
      </c>
      <c r="C8559" t="s">
        <v>67</v>
      </c>
      <c r="D8559" t="s">
        <v>67</v>
      </c>
      <c r="E8559" t="s">
        <v>67</v>
      </c>
      <c r="F8559" t="s">
        <v>27987</v>
      </c>
      <c r="G8559" s="117">
        <v>47.61</v>
      </c>
    </row>
    <row r="8560" spans="1:7" x14ac:dyDescent="0.25">
      <c r="A8560" s="116" t="s">
        <v>13616</v>
      </c>
      <c r="B8560" s="117" t="s">
        <v>13617</v>
      </c>
      <c r="C8560" t="s">
        <v>67</v>
      </c>
      <c r="D8560" t="s">
        <v>67</v>
      </c>
      <c r="E8560" t="s">
        <v>67</v>
      </c>
      <c r="F8560" t="s">
        <v>45</v>
      </c>
      <c r="G8560" s="117">
        <v>2.58</v>
      </c>
    </row>
    <row r="8561" spans="1:7" x14ac:dyDescent="0.25">
      <c r="A8561" s="116" t="s">
        <v>13618</v>
      </c>
      <c r="B8561" s="117" t="s">
        <v>13619</v>
      </c>
      <c r="C8561" t="s">
        <v>67</v>
      </c>
      <c r="D8561" t="s">
        <v>67</v>
      </c>
      <c r="E8561" t="s">
        <v>67</v>
      </c>
      <c r="F8561" t="s">
        <v>27987</v>
      </c>
      <c r="G8561" s="117">
        <v>12.01</v>
      </c>
    </row>
    <row r="8562" spans="1:7" x14ac:dyDescent="0.25">
      <c r="A8562" s="116" t="s">
        <v>13620</v>
      </c>
      <c r="B8562" s="117" t="s">
        <v>10413</v>
      </c>
      <c r="C8562" t="s">
        <v>67</v>
      </c>
      <c r="D8562" t="s">
        <v>67</v>
      </c>
      <c r="E8562" t="s">
        <v>67</v>
      </c>
      <c r="F8562" t="s">
        <v>27987</v>
      </c>
      <c r="G8562" s="117">
        <v>12.01</v>
      </c>
    </row>
    <row r="8563" spans="1:7" x14ac:dyDescent="0.25">
      <c r="A8563" s="116" t="s">
        <v>13621</v>
      </c>
      <c r="B8563" s="117" t="s">
        <v>13622</v>
      </c>
      <c r="C8563" t="s">
        <v>67</v>
      </c>
      <c r="D8563" t="s">
        <v>67</v>
      </c>
      <c r="E8563" t="s">
        <v>67</v>
      </c>
      <c r="F8563" t="s">
        <v>27987</v>
      </c>
      <c r="G8563" s="117">
        <v>7.56</v>
      </c>
    </row>
    <row r="8564" spans="1:7" x14ac:dyDescent="0.25">
      <c r="A8564" s="116" t="s">
        <v>13623</v>
      </c>
      <c r="B8564" s="117" t="s">
        <v>13624</v>
      </c>
      <c r="C8564" t="s">
        <v>67</v>
      </c>
      <c r="D8564" t="s">
        <v>67</v>
      </c>
      <c r="E8564" t="s">
        <v>67</v>
      </c>
      <c r="F8564" t="s">
        <v>27987</v>
      </c>
      <c r="G8564" s="117">
        <v>27.5</v>
      </c>
    </row>
    <row r="8565" spans="1:7" x14ac:dyDescent="0.25">
      <c r="A8565" s="116" t="s">
        <v>13625</v>
      </c>
      <c r="B8565" s="117" t="s">
        <v>13626</v>
      </c>
      <c r="C8565" t="s">
        <v>67</v>
      </c>
      <c r="D8565" t="s">
        <v>67</v>
      </c>
      <c r="E8565" t="s">
        <v>67</v>
      </c>
      <c r="F8565" t="s">
        <v>27987</v>
      </c>
      <c r="G8565" s="117">
        <v>16.46</v>
      </c>
    </row>
    <row r="8566" spans="1:7" x14ac:dyDescent="0.25">
      <c r="A8566" s="116" t="s">
        <v>13627</v>
      </c>
      <c r="B8566" s="117" t="s">
        <v>13628</v>
      </c>
      <c r="C8566" t="s">
        <v>67</v>
      </c>
      <c r="D8566" t="s">
        <v>67</v>
      </c>
      <c r="E8566" t="s">
        <v>67</v>
      </c>
      <c r="F8566" t="s">
        <v>27987</v>
      </c>
      <c r="G8566" s="117">
        <v>8.4499999999999993</v>
      </c>
    </row>
    <row r="8567" spans="1:7" x14ac:dyDescent="0.25">
      <c r="A8567" s="116" t="s">
        <v>13629</v>
      </c>
      <c r="B8567" s="117" t="s">
        <v>13630</v>
      </c>
      <c r="C8567" t="s">
        <v>67</v>
      </c>
      <c r="D8567" t="s">
        <v>67</v>
      </c>
      <c r="E8567" t="s">
        <v>67</v>
      </c>
      <c r="F8567" t="s">
        <v>45</v>
      </c>
      <c r="G8567" s="117">
        <v>164.52</v>
      </c>
    </row>
    <row r="8568" spans="1:7" x14ac:dyDescent="0.25">
      <c r="A8568" s="116" t="s">
        <v>13631</v>
      </c>
      <c r="B8568" s="117" t="s">
        <v>13574</v>
      </c>
      <c r="C8568" t="s">
        <v>67</v>
      </c>
      <c r="D8568" t="s">
        <v>67</v>
      </c>
      <c r="E8568" t="s">
        <v>67</v>
      </c>
      <c r="F8568" t="s">
        <v>27987</v>
      </c>
      <c r="G8568" s="117">
        <v>82.67</v>
      </c>
    </row>
    <row r="8569" spans="1:7" x14ac:dyDescent="0.25">
      <c r="A8569" s="116" t="s">
        <v>13632</v>
      </c>
      <c r="B8569" s="117" t="s">
        <v>13633</v>
      </c>
      <c r="C8569" t="s">
        <v>67</v>
      </c>
      <c r="D8569" t="s">
        <v>67</v>
      </c>
      <c r="E8569" t="s">
        <v>67</v>
      </c>
      <c r="F8569" t="s">
        <v>27987</v>
      </c>
      <c r="G8569" s="117">
        <v>82.67</v>
      </c>
    </row>
    <row r="8570" spans="1:7" x14ac:dyDescent="0.25">
      <c r="A8570" s="116" t="s">
        <v>13634</v>
      </c>
      <c r="B8570" s="117" t="s">
        <v>13635</v>
      </c>
      <c r="C8570" t="s">
        <v>67</v>
      </c>
      <c r="D8570" t="s">
        <v>67</v>
      </c>
      <c r="E8570" t="s">
        <v>67</v>
      </c>
      <c r="F8570" t="s">
        <v>27987</v>
      </c>
      <c r="G8570" s="117">
        <v>10.58</v>
      </c>
    </row>
    <row r="8571" spans="1:7" x14ac:dyDescent="0.25">
      <c r="A8571" s="116" t="s">
        <v>13636</v>
      </c>
      <c r="B8571" s="117" t="s">
        <v>13637</v>
      </c>
      <c r="C8571" t="s">
        <v>67</v>
      </c>
      <c r="D8571" t="s">
        <v>67</v>
      </c>
      <c r="E8571" t="s">
        <v>67</v>
      </c>
      <c r="F8571" t="s">
        <v>27987</v>
      </c>
      <c r="G8571" s="117">
        <v>6.14</v>
      </c>
    </row>
    <row r="8572" spans="1:7" x14ac:dyDescent="0.25">
      <c r="A8572" s="116" t="s">
        <v>13638</v>
      </c>
      <c r="B8572" s="117" t="s">
        <v>13639</v>
      </c>
      <c r="C8572" t="s">
        <v>67</v>
      </c>
      <c r="D8572" t="s">
        <v>67</v>
      </c>
      <c r="E8572" t="s">
        <v>67</v>
      </c>
      <c r="F8572" t="s">
        <v>27987</v>
      </c>
      <c r="G8572" s="117">
        <v>43.51</v>
      </c>
    </row>
    <row r="8573" spans="1:7" x14ac:dyDescent="0.25">
      <c r="A8573" s="116" t="s">
        <v>13640</v>
      </c>
      <c r="B8573" s="117" t="s">
        <v>998</v>
      </c>
      <c r="C8573" t="s">
        <v>67</v>
      </c>
      <c r="D8573" t="s">
        <v>67</v>
      </c>
      <c r="E8573" t="s">
        <v>67</v>
      </c>
      <c r="F8573" t="s">
        <v>27987</v>
      </c>
      <c r="G8573" s="117">
        <v>80.52</v>
      </c>
    </row>
    <row r="8574" spans="1:7" x14ac:dyDescent="0.25">
      <c r="A8574" s="116" t="s">
        <v>13641</v>
      </c>
      <c r="B8574" s="117" t="s">
        <v>13642</v>
      </c>
      <c r="C8574" t="s">
        <v>67</v>
      </c>
      <c r="D8574" t="s">
        <v>67</v>
      </c>
      <c r="E8574" t="s">
        <v>67</v>
      </c>
      <c r="F8574" t="s">
        <v>27987</v>
      </c>
      <c r="G8574" s="117">
        <v>31.94</v>
      </c>
    </row>
    <row r="8575" spans="1:7" x14ac:dyDescent="0.25">
      <c r="A8575" s="116" t="s">
        <v>29035</v>
      </c>
      <c r="B8575" s="117" t="s">
        <v>29036</v>
      </c>
      <c r="C8575" t="s">
        <v>67</v>
      </c>
      <c r="D8575" t="s">
        <v>67</v>
      </c>
      <c r="E8575" t="s">
        <v>67</v>
      </c>
      <c r="F8575" t="s">
        <v>45</v>
      </c>
      <c r="G8575" s="117">
        <v>9999</v>
      </c>
    </row>
    <row r="8576" spans="1:7" x14ac:dyDescent="0.25">
      <c r="A8576" s="116" t="s">
        <v>13643</v>
      </c>
      <c r="B8576" s="117" t="s">
        <v>13644</v>
      </c>
      <c r="C8576" t="s">
        <v>67</v>
      </c>
      <c r="D8576" t="s">
        <v>67</v>
      </c>
      <c r="E8576" t="s">
        <v>67</v>
      </c>
      <c r="F8576" t="s">
        <v>27987</v>
      </c>
      <c r="G8576" s="117">
        <v>11.44</v>
      </c>
    </row>
    <row r="8577" spans="1:7" x14ac:dyDescent="0.25">
      <c r="A8577" s="116" t="s">
        <v>13645</v>
      </c>
      <c r="B8577" s="117" t="s">
        <v>13646</v>
      </c>
      <c r="C8577" t="s">
        <v>67</v>
      </c>
      <c r="D8577" t="s">
        <v>67</v>
      </c>
      <c r="E8577" t="s">
        <v>67</v>
      </c>
      <c r="F8577" t="s">
        <v>27987</v>
      </c>
      <c r="G8577" s="117">
        <v>9.24</v>
      </c>
    </row>
    <row r="8578" spans="1:7" x14ac:dyDescent="0.25">
      <c r="A8578" s="116" t="s">
        <v>13647</v>
      </c>
      <c r="B8578" s="117" t="s">
        <v>13613</v>
      </c>
      <c r="C8578" t="s">
        <v>67</v>
      </c>
      <c r="D8578" t="s">
        <v>67</v>
      </c>
      <c r="E8578" t="s">
        <v>67</v>
      </c>
      <c r="F8578" t="s">
        <v>27987</v>
      </c>
      <c r="G8578" s="117">
        <v>16.46</v>
      </c>
    </row>
    <row r="8579" spans="1:7" x14ac:dyDescent="0.25">
      <c r="A8579" s="116" t="s">
        <v>13648</v>
      </c>
      <c r="B8579" s="117" t="s">
        <v>13649</v>
      </c>
      <c r="C8579" t="s">
        <v>67</v>
      </c>
      <c r="D8579" t="s">
        <v>67</v>
      </c>
      <c r="E8579" t="s">
        <v>67</v>
      </c>
      <c r="F8579" t="s">
        <v>27987</v>
      </c>
      <c r="G8579" s="117">
        <v>5.79</v>
      </c>
    </row>
    <row r="8580" spans="1:7" x14ac:dyDescent="0.25">
      <c r="A8580" s="116" t="s">
        <v>13650</v>
      </c>
      <c r="B8580" s="117" t="s">
        <v>13651</v>
      </c>
      <c r="C8580" t="s">
        <v>67</v>
      </c>
      <c r="D8580" t="s">
        <v>67</v>
      </c>
      <c r="E8580" t="s">
        <v>67</v>
      </c>
      <c r="F8580" t="s">
        <v>27987</v>
      </c>
      <c r="G8580" s="117">
        <v>3.56</v>
      </c>
    </row>
    <row r="8581" spans="1:7" x14ac:dyDescent="0.25">
      <c r="A8581" s="116" t="s">
        <v>13652</v>
      </c>
      <c r="B8581" s="117" t="s">
        <v>13653</v>
      </c>
      <c r="C8581" t="s">
        <v>67</v>
      </c>
      <c r="D8581" t="s">
        <v>67</v>
      </c>
      <c r="E8581" t="s">
        <v>67</v>
      </c>
      <c r="F8581" t="s">
        <v>27987</v>
      </c>
      <c r="G8581" s="117">
        <v>49.38</v>
      </c>
    </row>
    <row r="8582" spans="1:7" x14ac:dyDescent="0.25">
      <c r="A8582" s="116" t="s">
        <v>13654</v>
      </c>
      <c r="B8582" s="117" t="s">
        <v>13655</v>
      </c>
      <c r="C8582" t="s">
        <v>67</v>
      </c>
      <c r="D8582" t="s">
        <v>67</v>
      </c>
      <c r="E8582" t="s">
        <v>67</v>
      </c>
      <c r="F8582" t="s">
        <v>27987</v>
      </c>
      <c r="G8582" s="117">
        <v>1.69</v>
      </c>
    </row>
    <row r="8583" spans="1:7" x14ac:dyDescent="0.25">
      <c r="A8583" s="116" t="s">
        <v>13656</v>
      </c>
      <c r="B8583" s="117" t="s">
        <v>13657</v>
      </c>
      <c r="C8583" t="s">
        <v>67</v>
      </c>
      <c r="D8583" t="s">
        <v>67</v>
      </c>
      <c r="E8583" t="s">
        <v>67</v>
      </c>
      <c r="F8583" t="s">
        <v>49</v>
      </c>
      <c r="G8583" s="117">
        <v>3.48</v>
      </c>
    </row>
    <row r="8584" spans="1:7" x14ac:dyDescent="0.25">
      <c r="A8584" s="116" t="s">
        <v>13658</v>
      </c>
      <c r="B8584" s="117" t="s">
        <v>13659</v>
      </c>
      <c r="C8584" t="s">
        <v>67</v>
      </c>
      <c r="D8584" t="s">
        <v>67</v>
      </c>
      <c r="E8584" t="s">
        <v>67</v>
      </c>
      <c r="F8584" t="s">
        <v>27987</v>
      </c>
      <c r="G8584" s="117">
        <v>7.02</v>
      </c>
    </row>
    <row r="8585" spans="1:7" x14ac:dyDescent="0.25">
      <c r="A8585" s="116" t="s">
        <v>13660</v>
      </c>
      <c r="B8585" s="117" t="s">
        <v>12732</v>
      </c>
      <c r="C8585" t="s">
        <v>67</v>
      </c>
      <c r="D8585" t="s">
        <v>67</v>
      </c>
      <c r="E8585" t="s">
        <v>67</v>
      </c>
      <c r="F8585" t="s">
        <v>27987</v>
      </c>
      <c r="G8585" s="117">
        <v>28.02</v>
      </c>
    </row>
    <row r="8586" spans="1:7" x14ac:dyDescent="0.25">
      <c r="A8586" s="116" t="s">
        <v>13661</v>
      </c>
      <c r="B8586" s="117" t="s">
        <v>13662</v>
      </c>
      <c r="C8586" t="s">
        <v>67</v>
      </c>
      <c r="D8586" t="s">
        <v>67</v>
      </c>
      <c r="E8586" t="s">
        <v>67</v>
      </c>
      <c r="F8586" t="s">
        <v>27987</v>
      </c>
      <c r="G8586" s="117">
        <v>5.25</v>
      </c>
    </row>
    <row r="8587" spans="1:7" x14ac:dyDescent="0.25">
      <c r="A8587" s="116" t="s">
        <v>13663</v>
      </c>
      <c r="B8587" s="117" t="s">
        <v>13664</v>
      </c>
      <c r="C8587" t="s">
        <v>67</v>
      </c>
      <c r="D8587" t="s">
        <v>67</v>
      </c>
      <c r="E8587" t="s">
        <v>67</v>
      </c>
      <c r="F8587" t="s">
        <v>27987</v>
      </c>
      <c r="G8587" s="117">
        <v>3.48</v>
      </c>
    </row>
    <row r="8588" spans="1:7" x14ac:dyDescent="0.25">
      <c r="A8588" s="116" t="s">
        <v>13665</v>
      </c>
      <c r="B8588" s="117" t="s">
        <v>13666</v>
      </c>
      <c r="C8588" t="s">
        <v>67</v>
      </c>
      <c r="D8588" t="s">
        <v>67</v>
      </c>
      <c r="E8588" t="s">
        <v>67</v>
      </c>
      <c r="F8588" t="s">
        <v>27987</v>
      </c>
      <c r="G8588" s="117">
        <v>79.11</v>
      </c>
    </row>
    <row r="8589" spans="1:7" x14ac:dyDescent="0.25">
      <c r="A8589" s="116" t="s">
        <v>26617</v>
      </c>
      <c r="B8589" s="117" t="s">
        <v>26904</v>
      </c>
      <c r="C8589" t="s">
        <v>67</v>
      </c>
      <c r="D8589" t="s">
        <v>67</v>
      </c>
      <c r="E8589" t="s">
        <v>67</v>
      </c>
      <c r="F8589" t="s">
        <v>49</v>
      </c>
      <c r="G8589" s="117">
        <v>5.38</v>
      </c>
    </row>
    <row r="8590" spans="1:7" x14ac:dyDescent="0.25">
      <c r="A8590" s="116" t="s">
        <v>29037</v>
      </c>
      <c r="B8590" s="117" t="s">
        <v>30782</v>
      </c>
      <c r="C8590" t="s">
        <v>67</v>
      </c>
      <c r="D8590" t="s">
        <v>67</v>
      </c>
      <c r="E8590" t="s">
        <v>67</v>
      </c>
      <c r="F8590" t="s">
        <v>27987</v>
      </c>
      <c r="G8590" s="117">
        <v>4</v>
      </c>
    </row>
    <row r="8591" spans="1:7" x14ac:dyDescent="0.25">
      <c r="A8591" s="116" t="s">
        <v>28149</v>
      </c>
      <c r="B8591" s="117" t="s">
        <v>29038</v>
      </c>
      <c r="C8591" t="s">
        <v>67</v>
      </c>
      <c r="D8591" t="s">
        <v>67</v>
      </c>
      <c r="E8591" t="s">
        <v>67</v>
      </c>
      <c r="F8591" t="s">
        <v>27987</v>
      </c>
      <c r="G8591" s="117">
        <v>45</v>
      </c>
    </row>
    <row r="8592" spans="1:7" x14ac:dyDescent="0.25">
      <c r="A8592" s="116" t="s">
        <v>28150</v>
      </c>
      <c r="B8592" s="117" t="s">
        <v>29039</v>
      </c>
      <c r="C8592" t="s">
        <v>67</v>
      </c>
      <c r="D8592" t="s">
        <v>67</v>
      </c>
      <c r="E8592" t="s">
        <v>67</v>
      </c>
      <c r="F8592" t="s">
        <v>27987</v>
      </c>
      <c r="G8592" s="117">
        <v>15</v>
      </c>
    </row>
    <row r="8593" spans="1:7" x14ac:dyDescent="0.25">
      <c r="A8593" s="116" t="s">
        <v>28151</v>
      </c>
      <c r="B8593" s="117" t="s">
        <v>30028</v>
      </c>
      <c r="C8593" t="s">
        <v>67</v>
      </c>
      <c r="D8593" t="s">
        <v>67</v>
      </c>
      <c r="E8593" t="s">
        <v>67</v>
      </c>
      <c r="F8593" t="s">
        <v>27987</v>
      </c>
      <c r="G8593" s="117">
        <v>5</v>
      </c>
    </row>
    <row r="8594" spans="1:7" x14ac:dyDescent="0.25">
      <c r="A8594" s="116" t="s">
        <v>28152</v>
      </c>
      <c r="B8594" s="117" t="s">
        <v>29804</v>
      </c>
      <c r="C8594" t="s">
        <v>67</v>
      </c>
      <c r="D8594" t="s">
        <v>67</v>
      </c>
      <c r="E8594" t="s">
        <v>67</v>
      </c>
      <c r="F8594" t="s">
        <v>27987</v>
      </c>
      <c r="G8594" s="117">
        <v>3</v>
      </c>
    </row>
    <row r="8595" spans="1:7" x14ac:dyDescent="0.25">
      <c r="A8595" s="116" t="s">
        <v>26994</v>
      </c>
      <c r="B8595" s="117" t="s">
        <v>29040</v>
      </c>
      <c r="C8595" t="s">
        <v>67</v>
      </c>
      <c r="D8595" t="s">
        <v>67</v>
      </c>
      <c r="E8595" t="s">
        <v>67</v>
      </c>
      <c r="F8595" t="s">
        <v>27987</v>
      </c>
      <c r="G8595" s="117">
        <v>22</v>
      </c>
    </row>
    <row r="8596" spans="1:7" x14ac:dyDescent="0.25">
      <c r="A8596" s="116" t="s">
        <v>26995</v>
      </c>
      <c r="B8596" s="117" t="s">
        <v>29041</v>
      </c>
      <c r="C8596" t="s">
        <v>67</v>
      </c>
      <c r="D8596" t="s">
        <v>67</v>
      </c>
      <c r="E8596" t="s">
        <v>67</v>
      </c>
      <c r="F8596" t="s">
        <v>27987</v>
      </c>
      <c r="G8596" s="117">
        <v>8.5</v>
      </c>
    </row>
    <row r="8597" spans="1:7" x14ac:dyDescent="0.25">
      <c r="A8597" s="116" t="s">
        <v>26699</v>
      </c>
      <c r="B8597" s="117" t="s">
        <v>29042</v>
      </c>
      <c r="C8597" t="s">
        <v>67</v>
      </c>
      <c r="D8597" t="s">
        <v>67</v>
      </c>
      <c r="E8597" t="s">
        <v>67</v>
      </c>
      <c r="F8597" t="s">
        <v>27987</v>
      </c>
      <c r="G8597" s="117">
        <v>12</v>
      </c>
    </row>
    <row r="8598" spans="1:7" x14ac:dyDescent="0.25">
      <c r="A8598" s="116" t="s">
        <v>26665</v>
      </c>
      <c r="B8598" s="117" t="s">
        <v>26905</v>
      </c>
      <c r="C8598" t="s">
        <v>67</v>
      </c>
      <c r="D8598" t="s">
        <v>67</v>
      </c>
      <c r="E8598" t="s">
        <v>67</v>
      </c>
      <c r="F8598" t="s">
        <v>27987</v>
      </c>
      <c r="G8598" s="117">
        <v>5.38</v>
      </c>
    </row>
    <row r="8599" spans="1:7" x14ac:dyDescent="0.25">
      <c r="A8599" s="116" t="s">
        <v>26666</v>
      </c>
      <c r="B8599" s="117" t="s">
        <v>26906</v>
      </c>
      <c r="C8599" t="s">
        <v>67</v>
      </c>
      <c r="D8599" t="s">
        <v>67</v>
      </c>
      <c r="E8599" t="s">
        <v>67</v>
      </c>
      <c r="F8599" t="s">
        <v>27987</v>
      </c>
      <c r="G8599" s="117">
        <v>6.46</v>
      </c>
    </row>
    <row r="8600" spans="1:7" x14ac:dyDescent="0.25">
      <c r="A8600" s="116" t="s">
        <v>26996</v>
      </c>
      <c r="B8600" s="117" t="s">
        <v>29043</v>
      </c>
      <c r="C8600" t="s">
        <v>67</v>
      </c>
      <c r="D8600" t="s">
        <v>67</v>
      </c>
      <c r="E8600" t="s">
        <v>67</v>
      </c>
      <c r="F8600" t="s">
        <v>27987</v>
      </c>
      <c r="G8600" s="117">
        <v>6</v>
      </c>
    </row>
    <row r="8601" spans="1:7" x14ac:dyDescent="0.25">
      <c r="A8601" s="116" t="s">
        <v>26667</v>
      </c>
      <c r="B8601" s="117" t="s">
        <v>26907</v>
      </c>
      <c r="C8601" t="s">
        <v>67</v>
      </c>
      <c r="D8601" t="s">
        <v>67</v>
      </c>
      <c r="E8601" t="s">
        <v>67</v>
      </c>
      <c r="F8601" t="s">
        <v>27987</v>
      </c>
      <c r="G8601" s="117">
        <v>1.91</v>
      </c>
    </row>
    <row r="8602" spans="1:7" x14ac:dyDescent="0.25">
      <c r="A8602" s="116" t="s">
        <v>29044</v>
      </c>
      <c r="B8602" s="117" t="s">
        <v>29045</v>
      </c>
      <c r="C8602" t="s">
        <v>67</v>
      </c>
      <c r="D8602" t="s">
        <v>67</v>
      </c>
      <c r="E8602" t="s">
        <v>67</v>
      </c>
      <c r="F8602" t="s">
        <v>49</v>
      </c>
      <c r="G8602" s="117">
        <v>6.2</v>
      </c>
    </row>
    <row r="8603" spans="1:7" x14ac:dyDescent="0.25">
      <c r="A8603" s="116" t="s">
        <v>29046</v>
      </c>
      <c r="B8603" s="117" t="s">
        <v>29047</v>
      </c>
      <c r="C8603" t="s">
        <v>67</v>
      </c>
      <c r="D8603" t="s">
        <v>67</v>
      </c>
      <c r="E8603" t="s">
        <v>67</v>
      </c>
      <c r="F8603" t="s">
        <v>49</v>
      </c>
      <c r="G8603" s="117">
        <v>5.04</v>
      </c>
    </row>
    <row r="8604" spans="1:7" x14ac:dyDescent="0.25">
      <c r="A8604" s="116" t="s">
        <v>29930</v>
      </c>
      <c r="B8604" s="117" t="s">
        <v>30461</v>
      </c>
      <c r="C8604" t="s">
        <v>67</v>
      </c>
      <c r="D8604" t="s">
        <v>67</v>
      </c>
      <c r="E8604" t="s">
        <v>67</v>
      </c>
      <c r="F8604" t="s">
        <v>27987</v>
      </c>
      <c r="G8604" s="117">
        <v>2</v>
      </c>
    </row>
    <row r="8605" spans="1:7" x14ac:dyDescent="0.25">
      <c r="A8605" s="116" t="s">
        <v>29048</v>
      </c>
      <c r="B8605" s="117" t="s">
        <v>29049</v>
      </c>
      <c r="C8605" t="s">
        <v>67</v>
      </c>
      <c r="D8605" t="s">
        <v>67</v>
      </c>
      <c r="E8605" t="s">
        <v>67</v>
      </c>
      <c r="F8605" t="s">
        <v>27987</v>
      </c>
      <c r="G8605" s="117">
        <v>3</v>
      </c>
    </row>
    <row r="8606" spans="1:7" x14ac:dyDescent="0.25">
      <c r="A8606" s="116" t="s">
        <v>29050</v>
      </c>
      <c r="B8606" s="117" t="s">
        <v>31130</v>
      </c>
      <c r="C8606" t="s">
        <v>67</v>
      </c>
      <c r="D8606" t="s">
        <v>67</v>
      </c>
      <c r="E8606" t="s">
        <v>67</v>
      </c>
      <c r="F8606" t="s">
        <v>27987</v>
      </c>
      <c r="G8606" s="117">
        <v>60.69</v>
      </c>
    </row>
    <row r="8607" spans="1:7" x14ac:dyDescent="0.25">
      <c r="A8607" s="116" t="s">
        <v>13667</v>
      </c>
      <c r="B8607" s="117" t="s">
        <v>12847</v>
      </c>
      <c r="C8607" t="s">
        <v>67</v>
      </c>
      <c r="D8607" t="s">
        <v>67</v>
      </c>
      <c r="E8607" t="s">
        <v>67</v>
      </c>
      <c r="F8607" t="s">
        <v>27987</v>
      </c>
      <c r="G8607" s="117">
        <v>0.8</v>
      </c>
    </row>
    <row r="8608" spans="1:7" x14ac:dyDescent="0.25">
      <c r="A8608" s="116" t="s">
        <v>13668</v>
      </c>
      <c r="B8608" s="117" t="s">
        <v>13669</v>
      </c>
      <c r="C8608" t="s">
        <v>67</v>
      </c>
      <c r="D8608" t="s">
        <v>67</v>
      </c>
      <c r="E8608" t="s">
        <v>67</v>
      </c>
      <c r="F8608" t="s">
        <v>49</v>
      </c>
      <c r="G8608" s="117">
        <v>2.58</v>
      </c>
    </row>
    <row r="8609" spans="1:7" x14ac:dyDescent="0.25">
      <c r="A8609" s="116" t="s">
        <v>13670</v>
      </c>
      <c r="B8609" s="117" t="s">
        <v>12794</v>
      </c>
      <c r="C8609" t="s">
        <v>67</v>
      </c>
      <c r="D8609" t="s">
        <v>67</v>
      </c>
      <c r="E8609" t="s">
        <v>67</v>
      </c>
      <c r="F8609" t="s">
        <v>45</v>
      </c>
      <c r="G8609" s="117">
        <v>0.44</v>
      </c>
    </row>
    <row r="8610" spans="1:7" x14ac:dyDescent="0.25">
      <c r="A8610" s="116" t="s">
        <v>13671</v>
      </c>
      <c r="B8610" s="117" t="s">
        <v>13672</v>
      </c>
      <c r="C8610" t="s">
        <v>67</v>
      </c>
      <c r="D8610" t="s">
        <v>67</v>
      </c>
      <c r="E8610" t="s">
        <v>67</v>
      </c>
      <c r="F8610" t="s">
        <v>49</v>
      </c>
      <c r="G8610" s="117">
        <v>21.26</v>
      </c>
    </row>
    <row r="8611" spans="1:7" x14ac:dyDescent="0.25">
      <c r="A8611" s="116" t="s">
        <v>13673</v>
      </c>
      <c r="B8611" s="117" t="s">
        <v>13674</v>
      </c>
      <c r="C8611" t="s">
        <v>67</v>
      </c>
      <c r="D8611" t="s">
        <v>67</v>
      </c>
      <c r="E8611" t="s">
        <v>67</v>
      </c>
      <c r="F8611" t="s">
        <v>49</v>
      </c>
      <c r="G8611" s="117">
        <v>12.01</v>
      </c>
    </row>
    <row r="8612" spans="1:7" x14ac:dyDescent="0.25">
      <c r="A8612" s="116" t="s">
        <v>13675</v>
      </c>
      <c r="B8612" s="117" t="s">
        <v>13676</v>
      </c>
      <c r="C8612" t="s">
        <v>67</v>
      </c>
      <c r="D8612" t="s">
        <v>67</v>
      </c>
      <c r="E8612" t="s">
        <v>67</v>
      </c>
      <c r="F8612" t="s">
        <v>45</v>
      </c>
      <c r="G8612" s="117">
        <v>7.54</v>
      </c>
    </row>
    <row r="8613" spans="1:7" x14ac:dyDescent="0.25">
      <c r="A8613" s="116" t="s">
        <v>13677</v>
      </c>
      <c r="B8613" s="117" t="s">
        <v>13678</v>
      </c>
      <c r="C8613" t="s">
        <v>67</v>
      </c>
      <c r="D8613" t="s">
        <v>67</v>
      </c>
      <c r="E8613" t="s">
        <v>67</v>
      </c>
      <c r="F8613" t="s">
        <v>27987</v>
      </c>
      <c r="G8613" s="117">
        <v>15.32</v>
      </c>
    </row>
    <row r="8614" spans="1:7" x14ac:dyDescent="0.25">
      <c r="A8614" s="116" t="s">
        <v>13679</v>
      </c>
      <c r="B8614" s="117" t="s">
        <v>13680</v>
      </c>
      <c r="C8614" t="s">
        <v>67</v>
      </c>
      <c r="D8614" t="s">
        <v>67</v>
      </c>
      <c r="E8614" t="s">
        <v>67</v>
      </c>
      <c r="F8614" t="s">
        <v>45</v>
      </c>
      <c r="G8614" s="117">
        <v>3.52</v>
      </c>
    </row>
    <row r="8615" spans="1:7" x14ac:dyDescent="0.25">
      <c r="A8615" s="116" t="s">
        <v>13681</v>
      </c>
      <c r="B8615" s="117" t="s">
        <v>13682</v>
      </c>
      <c r="C8615" t="s">
        <v>67</v>
      </c>
      <c r="D8615" t="s">
        <v>67</v>
      </c>
      <c r="E8615" t="s">
        <v>67</v>
      </c>
      <c r="F8615" t="s">
        <v>45</v>
      </c>
      <c r="G8615" s="117">
        <v>54.24</v>
      </c>
    </row>
    <row r="8616" spans="1:7" x14ac:dyDescent="0.25">
      <c r="A8616" s="116" t="s">
        <v>27042</v>
      </c>
      <c r="B8616" s="117" t="s">
        <v>29051</v>
      </c>
      <c r="C8616" t="s">
        <v>67</v>
      </c>
      <c r="D8616" t="s">
        <v>67</v>
      </c>
      <c r="E8616" t="s">
        <v>67</v>
      </c>
      <c r="F8616" t="s">
        <v>45</v>
      </c>
      <c r="G8616" s="117">
        <v>14</v>
      </c>
    </row>
    <row r="8617" spans="1:7" x14ac:dyDescent="0.25">
      <c r="A8617" s="116" t="s">
        <v>27043</v>
      </c>
      <c r="B8617" s="117" t="s">
        <v>29052</v>
      </c>
      <c r="C8617" t="s">
        <v>67</v>
      </c>
      <c r="D8617" t="s">
        <v>67</v>
      </c>
      <c r="E8617" t="s">
        <v>67</v>
      </c>
      <c r="F8617" t="s">
        <v>27987</v>
      </c>
      <c r="G8617" s="117">
        <v>35</v>
      </c>
    </row>
    <row r="8618" spans="1:7" x14ac:dyDescent="0.25">
      <c r="A8618" s="116" t="s">
        <v>27044</v>
      </c>
      <c r="B8618" s="117" t="s">
        <v>29053</v>
      </c>
      <c r="C8618" t="s">
        <v>67</v>
      </c>
      <c r="D8618" t="s">
        <v>67</v>
      </c>
      <c r="E8618" t="s">
        <v>67</v>
      </c>
      <c r="F8618" t="s">
        <v>27987</v>
      </c>
      <c r="G8618" s="117">
        <v>4.5</v>
      </c>
    </row>
    <row r="8619" spans="1:7" x14ac:dyDescent="0.25">
      <c r="A8619" s="116" t="s">
        <v>26997</v>
      </c>
      <c r="B8619" s="117" t="s">
        <v>29054</v>
      </c>
      <c r="C8619" t="s">
        <v>67</v>
      </c>
      <c r="D8619" t="s">
        <v>67</v>
      </c>
      <c r="E8619" t="s">
        <v>67</v>
      </c>
      <c r="F8619" t="s">
        <v>27987</v>
      </c>
      <c r="G8619" s="117">
        <v>6.5</v>
      </c>
    </row>
    <row r="8620" spans="1:7" x14ac:dyDescent="0.25">
      <c r="A8620" s="116" t="s">
        <v>27045</v>
      </c>
      <c r="B8620" s="117" t="s">
        <v>29053</v>
      </c>
      <c r="C8620" t="s">
        <v>67</v>
      </c>
      <c r="D8620" t="s">
        <v>67</v>
      </c>
      <c r="E8620" t="s">
        <v>67</v>
      </c>
      <c r="F8620" t="s">
        <v>27987</v>
      </c>
      <c r="G8620" s="117">
        <v>8</v>
      </c>
    </row>
    <row r="8621" spans="1:7" x14ac:dyDescent="0.25">
      <c r="A8621" s="116" t="s">
        <v>27046</v>
      </c>
      <c r="B8621" s="117" t="s">
        <v>29055</v>
      </c>
      <c r="C8621" t="s">
        <v>67</v>
      </c>
      <c r="D8621" t="s">
        <v>67</v>
      </c>
      <c r="E8621" t="s">
        <v>67</v>
      </c>
      <c r="F8621" t="s">
        <v>27987</v>
      </c>
      <c r="G8621" s="117">
        <v>4</v>
      </c>
    </row>
    <row r="8622" spans="1:7" x14ac:dyDescent="0.25">
      <c r="A8622" s="116" t="s">
        <v>26738</v>
      </c>
      <c r="B8622" s="117" t="s">
        <v>29056</v>
      </c>
      <c r="C8622" t="s">
        <v>67</v>
      </c>
      <c r="D8622" t="s">
        <v>67</v>
      </c>
      <c r="E8622" t="s">
        <v>67</v>
      </c>
      <c r="F8622" t="s">
        <v>27987</v>
      </c>
      <c r="G8622" s="117">
        <v>4.5599999999999996</v>
      </c>
    </row>
    <row r="8623" spans="1:7" x14ac:dyDescent="0.25">
      <c r="A8623" s="116" t="s">
        <v>27047</v>
      </c>
      <c r="B8623" s="117" t="s">
        <v>29057</v>
      </c>
      <c r="C8623" t="s">
        <v>67</v>
      </c>
      <c r="D8623" t="s">
        <v>67</v>
      </c>
      <c r="E8623" t="s">
        <v>67</v>
      </c>
      <c r="F8623" t="s">
        <v>27987</v>
      </c>
      <c r="G8623" s="117">
        <v>81.8</v>
      </c>
    </row>
    <row r="8624" spans="1:7" x14ac:dyDescent="0.25">
      <c r="A8624" s="116" t="s">
        <v>27048</v>
      </c>
      <c r="B8624" s="117" t="s">
        <v>29058</v>
      </c>
      <c r="C8624" t="s">
        <v>67</v>
      </c>
      <c r="D8624" t="s">
        <v>67</v>
      </c>
      <c r="E8624" t="s">
        <v>67</v>
      </c>
      <c r="F8624" t="s">
        <v>27987</v>
      </c>
      <c r="G8624" s="117">
        <v>34</v>
      </c>
    </row>
    <row r="8625" spans="1:7" x14ac:dyDescent="0.25">
      <c r="A8625" s="116" t="s">
        <v>27049</v>
      </c>
      <c r="B8625" s="117" t="s">
        <v>29059</v>
      </c>
      <c r="C8625" t="s">
        <v>67</v>
      </c>
      <c r="D8625" t="s">
        <v>67</v>
      </c>
      <c r="E8625" t="s">
        <v>67</v>
      </c>
      <c r="F8625" t="s">
        <v>27987</v>
      </c>
      <c r="G8625" s="117">
        <v>13.5</v>
      </c>
    </row>
    <row r="8626" spans="1:7" x14ac:dyDescent="0.25">
      <c r="A8626" s="116" t="s">
        <v>27050</v>
      </c>
      <c r="B8626" s="117" t="s">
        <v>29060</v>
      </c>
      <c r="C8626" t="s">
        <v>67</v>
      </c>
      <c r="D8626" t="s">
        <v>67</v>
      </c>
      <c r="E8626" t="s">
        <v>67</v>
      </c>
      <c r="F8626" t="s">
        <v>27987</v>
      </c>
      <c r="G8626" s="117">
        <v>17</v>
      </c>
    </row>
    <row r="8627" spans="1:7" x14ac:dyDescent="0.25">
      <c r="A8627" s="116" t="s">
        <v>28153</v>
      </c>
      <c r="B8627" s="117" t="s">
        <v>29061</v>
      </c>
      <c r="C8627" t="s">
        <v>67</v>
      </c>
      <c r="D8627" t="s">
        <v>67</v>
      </c>
      <c r="E8627" t="s">
        <v>67</v>
      </c>
      <c r="F8627" t="s">
        <v>27987</v>
      </c>
      <c r="G8627" s="117">
        <v>5</v>
      </c>
    </row>
    <row r="8628" spans="1:7" x14ac:dyDescent="0.25">
      <c r="A8628" s="116" t="s">
        <v>29062</v>
      </c>
      <c r="B8628" s="117" t="s">
        <v>29063</v>
      </c>
      <c r="C8628" t="s">
        <v>67</v>
      </c>
      <c r="D8628" t="s">
        <v>67</v>
      </c>
      <c r="E8628" t="s">
        <v>67</v>
      </c>
      <c r="F8628" t="s">
        <v>49</v>
      </c>
      <c r="G8628" s="117">
        <v>0.11</v>
      </c>
    </row>
    <row r="8629" spans="1:7" x14ac:dyDescent="0.25">
      <c r="A8629" s="116" t="s">
        <v>29064</v>
      </c>
      <c r="B8629" s="117" t="s">
        <v>29065</v>
      </c>
      <c r="C8629" t="s">
        <v>67</v>
      </c>
      <c r="D8629" t="s">
        <v>67</v>
      </c>
      <c r="E8629" t="s">
        <v>67</v>
      </c>
      <c r="F8629" t="s">
        <v>27987</v>
      </c>
      <c r="G8629" s="117">
        <v>0</v>
      </c>
    </row>
    <row r="8630" spans="1:7" x14ac:dyDescent="0.25">
      <c r="A8630" s="116" t="s">
        <v>29066</v>
      </c>
      <c r="B8630" s="117" t="s">
        <v>29805</v>
      </c>
      <c r="C8630" t="s">
        <v>67</v>
      </c>
      <c r="D8630" t="s">
        <v>67</v>
      </c>
      <c r="E8630" t="s">
        <v>67</v>
      </c>
      <c r="F8630" t="s">
        <v>27987</v>
      </c>
      <c r="G8630" s="117">
        <v>30</v>
      </c>
    </row>
    <row r="8631" spans="1:7" x14ac:dyDescent="0.25">
      <c r="A8631" s="116" t="s">
        <v>29067</v>
      </c>
      <c r="B8631" s="117" t="s">
        <v>29806</v>
      </c>
      <c r="C8631" t="s">
        <v>67</v>
      </c>
      <c r="D8631" t="s">
        <v>67</v>
      </c>
      <c r="E8631" t="s">
        <v>67</v>
      </c>
      <c r="F8631" t="s">
        <v>27987</v>
      </c>
      <c r="G8631" s="117">
        <v>45</v>
      </c>
    </row>
    <row r="8632" spans="1:7" x14ac:dyDescent="0.25">
      <c r="A8632" s="116" t="s">
        <v>29068</v>
      </c>
      <c r="B8632" s="117" t="s">
        <v>29807</v>
      </c>
      <c r="C8632" t="s">
        <v>67</v>
      </c>
      <c r="D8632" t="s">
        <v>67</v>
      </c>
      <c r="E8632" t="s">
        <v>67</v>
      </c>
      <c r="F8632" t="s">
        <v>27987</v>
      </c>
      <c r="G8632" s="117">
        <v>10</v>
      </c>
    </row>
    <row r="8633" spans="1:7" x14ac:dyDescent="0.25">
      <c r="A8633" s="116" t="s">
        <v>29069</v>
      </c>
      <c r="B8633" s="117" t="s">
        <v>29808</v>
      </c>
      <c r="C8633" t="s">
        <v>67</v>
      </c>
      <c r="D8633" t="s">
        <v>67</v>
      </c>
      <c r="E8633" t="s">
        <v>67</v>
      </c>
      <c r="F8633" t="s">
        <v>27987</v>
      </c>
      <c r="G8633" s="117">
        <v>10</v>
      </c>
    </row>
    <row r="8634" spans="1:7" x14ac:dyDescent="0.25">
      <c r="A8634" s="116" t="s">
        <v>13683</v>
      </c>
      <c r="B8634" s="117" t="s">
        <v>29070</v>
      </c>
      <c r="C8634" t="s">
        <v>67</v>
      </c>
      <c r="D8634" t="s">
        <v>67</v>
      </c>
      <c r="E8634" t="s">
        <v>67</v>
      </c>
      <c r="F8634" t="s">
        <v>27987</v>
      </c>
      <c r="G8634" s="117">
        <v>11.48</v>
      </c>
    </row>
    <row r="8635" spans="1:7" x14ac:dyDescent="0.25">
      <c r="A8635" s="116" t="s">
        <v>13684</v>
      </c>
      <c r="B8635" s="117" t="s">
        <v>1227</v>
      </c>
      <c r="C8635" t="s">
        <v>67</v>
      </c>
      <c r="D8635" t="s">
        <v>67</v>
      </c>
      <c r="E8635" t="s">
        <v>67</v>
      </c>
      <c r="F8635" t="s">
        <v>27987</v>
      </c>
      <c r="G8635" s="117">
        <v>64.87</v>
      </c>
    </row>
    <row r="8636" spans="1:7" x14ac:dyDescent="0.25">
      <c r="A8636" s="116" t="s">
        <v>13685</v>
      </c>
      <c r="B8636" s="117" t="s">
        <v>13686</v>
      </c>
      <c r="C8636" t="s">
        <v>67</v>
      </c>
      <c r="D8636" t="s">
        <v>67</v>
      </c>
      <c r="E8636" t="s">
        <v>67</v>
      </c>
      <c r="F8636" t="s">
        <v>27987</v>
      </c>
      <c r="G8636" s="117">
        <v>4.3600000000000003</v>
      </c>
    </row>
    <row r="8637" spans="1:7" x14ac:dyDescent="0.25">
      <c r="A8637" s="116" t="s">
        <v>13687</v>
      </c>
      <c r="B8637" s="117" t="s">
        <v>13688</v>
      </c>
      <c r="C8637" t="s">
        <v>67</v>
      </c>
      <c r="D8637" t="s">
        <v>67</v>
      </c>
      <c r="E8637" t="s">
        <v>67</v>
      </c>
      <c r="F8637" t="s">
        <v>27987</v>
      </c>
      <c r="G8637" s="117">
        <v>3.48</v>
      </c>
    </row>
    <row r="8638" spans="1:7" x14ac:dyDescent="0.25">
      <c r="A8638" s="116" t="s">
        <v>13689</v>
      </c>
      <c r="B8638" s="117" t="s">
        <v>13690</v>
      </c>
      <c r="C8638" t="s">
        <v>67</v>
      </c>
      <c r="D8638" t="s">
        <v>67</v>
      </c>
      <c r="E8638" t="s">
        <v>67</v>
      </c>
      <c r="F8638" t="s">
        <v>27987</v>
      </c>
      <c r="G8638" s="117">
        <v>7.92</v>
      </c>
    </row>
    <row r="8639" spans="1:7" x14ac:dyDescent="0.25">
      <c r="A8639" s="116" t="s">
        <v>13691</v>
      </c>
      <c r="B8639" s="117" t="s">
        <v>13613</v>
      </c>
      <c r="C8639" t="s">
        <v>67</v>
      </c>
      <c r="D8639" t="s">
        <v>67</v>
      </c>
      <c r="E8639" t="s">
        <v>67</v>
      </c>
      <c r="F8639" t="s">
        <v>27987</v>
      </c>
      <c r="G8639" s="117">
        <v>26.25</v>
      </c>
    </row>
    <row r="8640" spans="1:7" x14ac:dyDescent="0.25">
      <c r="A8640" s="116" t="s">
        <v>13692</v>
      </c>
      <c r="B8640" s="117" t="s">
        <v>13693</v>
      </c>
      <c r="C8640" t="s">
        <v>67</v>
      </c>
      <c r="D8640" t="s">
        <v>67</v>
      </c>
      <c r="E8640" t="s">
        <v>67</v>
      </c>
      <c r="F8640" t="s">
        <v>27987</v>
      </c>
      <c r="G8640" s="117">
        <v>3.56</v>
      </c>
    </row>
    <row r="8641" spans="1:7" x14ac:dyDescent="0.25">
      <c r="A8641" s="116" t="s">
        <v>30238</v>
      </c>
      <c r="B8641" s="117" t="s">
        <v>13989</v>
      </c>
      <c r="C8641" t="s">
        <v>67</v>
      </c>
      <c r="D8641" t="s">
        <v>67</v>
      </c>
      <c r="E8641" t="s">
        <v>67</v>
      </c>
      <c r="F8641" t="s">
        <v>45</v>
      </c>
      <c r="G8641" s="117">
        <v>9999</v>
      </c>
    </row>
    <row r="8642" spans="1:7" x14ac:dyDescent="0.25">
      <c r="A8642" s="116" t="s">
        <v>13694</v>
      </c>
      <c r="B8642" s="117" t="s">
        <v>13574</v>
      </c>
      <c r="C8642" t="s">
        <v>67</v>
      </c>
      <c r="D8642" t="s">
        <v>67</v>
      </c>
      <c r="E8642" t="s">
        <v>67</v>
      </c>
      <c r="F8642" t="s">
        <v>27987</v>
      </c>
      <c r="G8642" s="117">
        <v>4.3600000000000003</v>
      </c>
    </row>
    <row r="8643" spans="1:7" x14ac:dyDescent="0.25">
      <c r="A8643" s="116" t="s">
        <v>13695</v>
      </c>
      <c r="B8643" s="117" t="s">
        <v>13696</v>
      </c>
      <c r="C8643" t="s">
        <v>67</v>
      </c>
      <c r="D8643" t="s">
        <v>67</v>
      </c>
      <c r="E8643" t="s">
        <v>67</v>
      </c>
      <c r="F8643" t="s">
        <v>27987</v>
      </c>
      <c r="G8643" s="117">
        <v>137.71</v>
      </c>
    </row>
    <row r="8644" spans="1:7" x14ac:dyDescent="0.25">
      <c r="A8644" s="116" t="s">
        <v>13697</v>
      </c>
      <c r="B8644" s="117" t="s">
        <v>13698</v>
      </c>
      <c r="C8644" t="s">
        <v>67</v>
      </c>
      <c r="D8644" t="s">
        <v>67</v>
      </c>
      <c r="E8644" t="s">
        <v>67</v>
      </c>
      <c r="F8644" t="s">
        <v>27987</v>
      </c>
      <c r="G8644" s="117">
        <v>20.76</v>
      </c>
    </row>
    <row r="8645" spans="1:7" x14ac:dyDescent="0.25">
      <c r="A8645" s="116" t="s">
        <v>13699</v>
      </c>
      <c r="B8645" s="117" t="s">
        <v>13700</v>
      </c>
      <c r="C8645" t="s">
        <v>67</v>
      </c>
      <c r="D8645" t="s">
        <v>67</v>
      </c>
      <c r="E8645" t="s">
        <v>67</v>
      </c>
      <c r="F8645" t="s">
        <v>27987</v>
      </c>
      <c r="G8645" s="117">
        <v>38.56</v>
      </c>
    </row>
    <row r="8646" spans="1:7" x14ac:dyDescent="0.25">
      <c r="A8646" s="116" t="s">
        <v>13701</v>
      </c>
      <c r="B8646" s="117" t="s">
        <v>13702</v>
      </c>
      <c r="C8646" t="s">
        <v>67</v>
      </c>
      <c r="D8646" t="s">
        <v>67</v>
      </c>
      <c r="E8646" t="s">
        <v>67</v>
      </c>
      <c r="F8646" t="s">
        <v>27987</v>
      </c>
      <c r="G8646" s="117">
        <v>22.8</v>
      </c>
    </row>
    <row r="8647" spans="1:7" x14ac:dyDescent="0.25">
      <c r="A8647" s="116" t="s">
        <v>13703</v>
      </c>
      <c r="B8647" s="117" t="s">
        <v>13704</v>
      </c>
      <c r="C8647" t="s">
        <v>67</v>
      </c>
      <c r="D8647" t="s">
        <v>67</v>
      </c>
      <c r="E8647" t="s">
        <v>67</v>
      </c>
      <c r="F8647" t="s">
        <v>27987</v>
      </c>
      <c r="G8647" s="117">
        <v>35.17</v>
      </c>
    </row>
    <row r="8648" spans="1:7" x14ac:dyDescent="0.25">
      <c r="A8648" s="116" t="s">
        <v>13705</v>
      </c>
      <c r="B8648" s="117" t="s">
        <v>13706</v>
      </c>
      <c r="C8648" t="s">
        <v>67</v>
      </c>
      <c r="D8648" t="s">
        <v>67</v>
      </c>
      <c r="E8648" t="s">
        <v>67</v>
      </c>
      <c r="F8648" t="s">
        <v>27987</v>
      </c>
      <c r="G8648" s="117">
        <v>77.319999999999993</v>
      </c>
    </row>
    <row r="8649" spans="1:7" x14ac:dyDescent="0.25">
      <c r="A8649" s="116" t="s">
        <v>13707</v>
      </c>
      <c r="B8649" s="117" t="s">
        <v>13708</v>
      </c>
      <c r="C8649" t="s">
        <v>67</v>
      </c>
      <c r="D8649" t="s">
        <v>67</v>
      </c>
      <c r="E8649" t="s">
        <v>67</v>
      </c>
      <c r="F8649" t="s">
        <v>27987</v>
      </c>
      <c r="G8649" s="117">
        <v>93.88</v>
      </c>
    </row>
    <row r="8650" spans="1:7" x14ac:dyDescent="0.25">
      <c r="A8650" s="116" t="s">
        <v>13709</v>
      </c>
      <c r="B8650" s="117" t="s">
        <v>13710</v>
      </c>
      <c r="C8650" t="s">
        <v>67</v>
      </c>
      <c r="D8650" t="s">
        <v>67</v>
      </c>
      <c r="E8650" t="s">
        <v>67</v>
      </c>
      <c r="F8650" t="s">
        <v>27987</v>
      </c>
      <c r="G8650" s="117">
        <v>36.04</v>
      </c>
    </row>
    <row r="8651" spans="1:7" x14ac:dyDescent="0.25">
      <c r="A8651" s="116" t="s">
        <v>13711</v>
      </c>
      <c r="B8651" s="117" t="s">
        <v>13712</v>
      </c>
      <c r="C8651" t="s">
        <v>67</v>
      </c>
      <c r="D8651" t="s">
        <v>67</v>
      </c>
      <c r="E8651" t="s">
        <v>67</v>
      </c>
      <c r="F8651" t="s">
        <v>27987</v>
      </c>
      <c r="G8651" s="117">
        <v>9.6999999999999993</v>
      </c>
    </row>
    <row r="8652" spans="1:7" x14ac:dyDescent="0.25">
      <c r="A8652" s="116" t="s">
        <v>29071</v>
      </c>
      <c r="B8652" s="117" t="s">
        <v>29072</v>
      </c>
      <c r="C8652" t="s">
        <v>67</v>
      </c>
      <c r="D8652" t="s">
        <v>67</v>
      </c>
      <c r="E8652" t="s">
        <v>67</v>
      </c>
      <c r="F8652" t="s">
        <v>27987</v>
      </c>
      <c r="G8652" s="117">
        <v>9999</v>
      </c>
    </row>
    <row r="8653" spans="1:7" x14ac:dyDescent="0.25">
      <c r="A8653" s="116" t="s">
        <v>29073</v>
      </c>
      <c r="B8653" s="117" t="s">
        <v>30105</v>
      </c>
      <c r="C8653" t="s">
        <v>67</v>
      </c>
      <c r="D8653" t="s">
        <v>67</v>
      </c>
      <c r="E8653" t="s">
        <v>67</v>
      </c>
      <c r="F8653" t="s">
        <v>27987</v>
      </c>
      <c r="G8653" s="117">
        <v>15.12</v>
      </c>
    </row>
    <row r="8654" spans="1:7" x14ac:dyDescent="0.25">
      <c r="A8654" s="116" t="s">
        <v>29809</v>
      </c>
      <c r="B8654" s="117" t="s">
        <v>30462</v>
      </c>
      <c r="C8654" t="s">
        <v>67</v>
      </c>
      <c r="D8654" t="s">
        <v>67</v>
      </c>
      <c r="E8654" t="s">
        <v>67</v>
      </c>
      <c r="F8654" t="s">
        <v>45</v>
      </c>
      <c r="G8654" s="117">
        <v>5.04</v>
      </c>
    </row>
    <row r="8655" spans="1:7" x14ac:dyDescent="0.25">
      <c r="A8655" s="116" t="s">
        <v>28154</v>
      </c>
      <c r="B8655" s="117" t="s">
        <v>30029</v>
      </c>
      <c r="C8655" t="s">
        <v>67</v>
      </c>
      <c r="D8655" t="s">
        <v>67</v>
      </c>
      <c r="E8655" t="s">
        <v>67</v>
      </c>
      <c r="F8655" t="s">
        <v>49</v>
      </c>
      <c r="G8655" s="117">
        <v>2</v>
      </c>
    </row>
    <row r="8656" spans="1:7" x14ac:dyDescent="0.25">
      <c r="A8656" s="116" t="s">
        <v>28155</v>
      </c>
      <c r="B8656" s="117" t="s">
        <v>29074</v>
      </c>
      <c r="C8656" t="s">
        <v>67</v>
      </c>
      <c r="D8656" t="s">
        <v>67</v>
      </c>
      <c r="E8656" t="s">
        <v>67</v>
      </c>
      <c r="F8656" t="s">
        <v>27987</v>
      </c>
      <c r="G8656" s="117">
        <v>1</v>
      </c>
    </row>
    <row r="8657" spans="1:7" x14ac:dyDescent="0.25">
      <c r="A8657" s="116" t="s">
        <v>29931</v>
      </c>
      <c r="B8657" s="117" t="s">
        <v>30463</v>
      </c>
      <c r="C8657" t="s">
        <v>67</v>
      </c>
      <c r="D8657" t="s">
        <v>67</v>
      </c>
      <c r="E8657" t="s">
        <v>67</v>
      </c>
      <c r="F8657" t="s">
        <v>27987</v>
      </c>
      <c r="G8657" s="117">
        <v>13</v>
      </c>
    </row>
    <row r="8658" spans="1:7" x14ac:dyDescent="0.25">
      <c r="A8658" s="116" t="s">
        <v>29932</v>
      </c>
      <c r="B8658" s="117" t="s">
        <v>30464</v>
      </c>
      <c r="C8658" t="s">
        <v>67</v>
      </c>
      <c r="D8658" t="s">
        <v>67</v>
      </c>
      <c r="E8658" t="s">
        <v>67</v>
      </c>
      <c r="F8658" t="s">
        <v>27987</v>
      </c>
      <c r="G8658" s="117">
        <v>18</v>
      </c>
    </row>
    <row r="8659" spans="1:7" x14ac:dyDescent="0.25">
      <c r="A8659" s="116" t="s">
        <v>30647</v>
      </c>
      <c r="B8659" s="117" t="s">
        <v>30648</v>
      </c>
      <c r="C8659" t="s">
        <v>67</v>
      </c>
      <c r="D8659" t="s">
        <v>67</v>
      </c>
      <c r="E8659" t="s">
        <v>67</v>
      </c>
      <c r="F8659" t="s">
        <v>27987</v>
      </c>
      <c r="G8659" s="117">
        <v>3.12</v>
      </c>
    </row>
    <row r="8660" spans="1:7" x14ac:dyDescent="0.25">
      <c r="A8660" s="116" t="s">
        <v>29075</v>
      </c>
      <c r="B8660" s="117" t="s">
        <v>29810</v>
      </c>
      <c r="C8660" t="s">
        <v>67</v>
      </c>
      <c r="D8660" t="s">
        <v>67</v>
      </c>
      <c r="E8660" t="s">
        <v>67</v>
      </c>
      <c r="F8660" t="s">
        <v>27987</v>
      </c>
      <c r="G8660" s="117">
        <v>10</v>
      </c>
    </row>
    <row r="8661" spans="1:7" x14ac:dyDescent="0.25">
      <c r="A8661" s="116" t="s">
        <v>29076</v>
      </c>
      <c r="B8661" s="117" t="s">
        <v>30465</v>
      </c>
      <c r="C8661" t="s">
        <v>67</v>
      </c>
      <c r="D8661" t="s">
        <v>67</v>
      </c>
      <c r="E8661" t="s">
        <v>67</v>
      </c>
      <c r="F8661" t="s">
        <v>27987</v>
      </c>
      <c r="G8661" s="117">
        <v>6.68</v>
      </c>
    </row>
    <row r="8662" spans="1:7" x14ac:dyDescent="0.25">
      <c r="A8662" s="116" t="s">
        <v>29077</v>
      </c>
      <c r="B8662" s="117" t="s">
        <v>29078</v>
      </c>
      <c r="C8662" t="s">
        <v>67</v>
      </c>
      <c r="D8662" t="s">
        <v>67</v>
      </c>
      <c r="E8662" t="s">
        <v>67</v>
      </c>
      <c r="F8662" t="s">
        <v>27987</v>
      </c>
      <c r="G8662" s="117">
        <v>9999</v>
      </c>
    </row>
    <row r="8663" spans="1:7" x14ac:dyDescent="0.25">
      <c r="A8663" s="116" t="s">
        <v>29811</v>
      </c>
      <c r="B8663" s="117" t="s">
        <v>30466</v>
      </c>
      <c r="C8663" t="s">
        <v>67</v>
      </c>
      <c r="D8663" t="s">
        <v>67</v>
      </c>
      <c r="E8663" t="s">
        <v>67</v>
      </c>
      <c r="F8663" t="s">
        <v>27987</v>
      </c>
      <c r="G8663" s="117">
        <v>3.26</v>
      </c>
    </row>
    <row r="8664" spans="1:7" x14ac:dyDescent="0.25">
      <c r="A8664" s="116" t="s">
        <v>29867</v>
      </c>
      <c r="B8664" s="117" t="s">
        <v>30467</v>
      </c>
      <c r="C8664" t="s">
        <v>67</v>
      </c>
      <c r="D8664" t="s">
        <v>67</v>
      </c>
      <c r="E8664" t="s">
        <v>67</v>
      </c>
      <c r="F8664" t="s">
        <v>27987</v>
      </c>
      <c r="G8664" s="117">
        <v>4</v>
      </c>
    </row>
    <row r="8665" spans="1:7" x14ac:dyDescent="0.25">
      <c r="A8665" s="116" t="s">
        <v>13713</v>
      </c>
      <c r="B8665" s="117" t="s">
        <v>13714</v>
      </c>
      <c r="C8665" t="s">
        <v>67</v>
      </c>
      <c r="D8665" t="s">
        <v>67</v>
      </c>
      <c r="E8665" t="s">
        <v>67</v>
      </c>
      <c r="F8665" t="s">
        <v>49</v>
      </c>
      <c r="G8665" s="117">
        <v>4.8899999999999997</v>
      </c>
    </row>
    <row r="8666" spans="1:7" x14ac:dyDescent="0.25">
      <c r="A8666" s="116" t="s">
        <v>13715</v>
      </c>
      <c r="B8666" s="117" t="s">
        <v>13716</v>
      </c>
      <c r="C8666" t="s">
        <v>67</v>
      </c>
      <c r="D8666" t="s">
        <v>67</v>
      </c>
      <c r="E8666" t="s">
        <v>67</v>
      </c>
      <c r="F8666" t="s">
        <v>49</v>
      </c>
      <c r="G8666" s="117">
        <v>2.58</v>
      </c>
    </row>
    <row r="8667" spans="1:7" x14ac:dyDescent="0.25">
      <c r="A8667" s="116" t="s">
        <v>13717</v>
      </c>
      <c r="B8667" s="117" t="s">
        <v>13718</v>
      </c>
      <c r="C8667" t="s">
        <v>67</v>
      </c>
      <c r="D8667" t="s">
        <v>67</v>
      </c>
      <c r="E8667" t="s">
        <v>67</v>
      </c>
      <c r="F8667" t="s">
        <v>27987</v>
      </c>
      <c r="G8667" s="117">
        <v>68.55</v>
      </c>
    </row>
    <row r="8668" spans="1:7" x14ac:dyDescent="0.25">
      <c r="A8668" s="116" t="s">
        <v>13719</v>
      </c>
      <c r="B8668" s="117" t="s">
        <v>13720</v>
      </c>
      <c r="C8668" t="s">
        <v>67</v>
      </c>
      <c r="D8668" t="s">
        <v>67</v>
      </c>
      <c r="E8668" t="s">
        <v>67</v>
      </c>
      <c r="F8668" t="s">
        <v>27987</v>
      </c>
      <c r="G8668" s="117">
        <v>10.58</v>
      </c>
    </row>
    <row r="8669" spans="1:7" x14ac:dyDescent="0.25">
      <c r="A8669" s="116" t="s">
        <v>26690</v>
      </c>
      <c r="B8669" s="117" t="s">
        <v>26691</v>
      </c>
      <c r="C8669" t="s">
        <v>67</v>
      </c>
      <c r="D8669" t="s">
        <v>67</v>
      </c>
      <c r="E8669" t="s">
        <v>67</v>
      </c>
      <c r="F8669" t="s">
        <v>27987</v>
      </c>
      <c r="G8669" s="117">
        <v>42</v>
      </c>
    </row>
    <row r="8670" spans="1:7" x14ac:dyDescent="0.25">
      <c r="A8670" s="116" t="s">
        <v>13721</v>
      </c>
      <c r="B8670" s="117" t="s">
        <v>13722</v>
      </c>
      <c r="C8670" t="s">
        <v>67</v>
      </c>
      <c r="D8670" t="s">
        <v>67</v>
      </c>
      <c r="E8670" t="s">
        <v>67</v>
      </c>
      <c r="F8670" t="s">
        <v>27987</v>
      </c>
      <c r="G8670" s="117">
        <v>4.0199999999999996</v>
      </c>
    </row>
    <row r="8671" spans="1:7" x14ac:dyDescent="0.25">
      <c r="A8671" s="116" t="s">
        <v>13723</v>
      </c>
      <c r="B8671" s="117" t="s">
        <v>29079</v>
      </c>
      <c r="C8671" t="s">
        <v>67</v>
      </c>
      <c r="D8671" t="s">
        <v>67</v>
      </c>
      <c r="E8671" t="s">
        <v>67</v>
      </c>
      <c r="F8671" t="s">
        <v>27987</v>
      </c>
      <c r="G8671" s="117">
        <v>3.14</v>
      </c>
    </row>
    <row r="8672" spans="1:7" x14ac:dyDescent="0.25">
      <c r="A8672" s="116" t="s">
        <v>13724</v>
      </c>
      <c r="B8672" s="117" t="s">
        <v>13725</v>
      </c>
      <c r="C8672" t="s">
        <v>67</v>
      </c>
      <c r="D8672" t="s">
        <v>67</v>
      </c>
      <c r="E8672" t="s">
        <v>67</v>
      </c>
      <c r="F8672" t="s">
        <v>27987</v>
      </c>
      <c r="G8672" s="117">
        <v>3.56</v>
      </c>
    </row>
    <row r="8673" spans="1:7" x14ac:dyDescent="0.25">
      <c r="A8673" s="116" t="s">
        <v>13726</v>
      </c>
      <c r="B8673" s="117" t="s">
        <v>13727</v>
      </c>
      <c r="C8673" t="s">
        <v>67</v>
      </c>
      <c r="D8673" t="s">
        <v>67</v>
      </c>
      <c r="E8673" t="s">
        <v>67</v>
      </c>
      <c r="F8673" t="s">
        <v>27987</v>
      </c>
      <c r="G8673" s="117">
        <v>3.56</v>
      </c>
    </row>
    <row r="8674" spans="1:7" x14ac:dyDescent="0.25">
      <c r="A8674" s="116" t="s">
        <v>29080</v>
      </c>
      <c r="B8674" s="117" t="s">
        <v>29081</v>
      </c>
      <c r="C8674" t="s">
        <v>67</v>
      </c>
      <c r="D8674" t="s">
        <v>67</v>
      </c>
      <c r="E8674" t="s">
        <v>67</v>
      </c>
      <c r="F8674" t="s">
        <v>27987</v>
      </c>
      <c r="G8674" s="117">
        <v>3</v>
      </c>
    </row>
    <row r="8675" spans="1:7" x14ac:dyDescent="0.25">
      <c r="A8675" s="116" t="s">
        <v>29082</v>
      </c>
      <c r="B8675" s="117" t="s">
        <v>29083</v>
      </c>
      <c r="C8675" t="s">
        <v>67</v>
      </c>
      <c r="D8675" t="s">
        <v>67</v>
      </c>
      <c r="E8675" t="s">
        <v>67</v>
      </c>
      <c r="F8675" t="s">
        <v>27987</v>
      </c>
      <c r="G8675" s="117">
        <v>1</v>
      </c>
    </row>
    <row r="8676" spans="1:7" x14ac:dyDescent="0.25">
      <c r="A8676" s="116" t="s">
        <v>29084</v>
      </c>
      <c r="B8676" s="117" t="s">
        <v>29085</v>
      </c>
      <c r="C8676" t="s">
        <v>67</v>
      </c>
      <c r="D8676" t="s">
        <v>67</v>
      </c>
      <c r="E8676" t="s">
        <v>67</v>
      </c>
      <c r="F8676" t="s">
        <v>27987</v>
      </c>
      <c r="G8676" s="117">
        <v>1</v>
      </c>
    </row>
    <row r="8677" spans="1:7" x14ac:dyDescent="0.25">
      <c r="A8677" s="116" t="s">
        <v>29086</v>
      </c>
      <c r="B8677" s="117" t="s">
        <v>29087</v>
      </c>
      <c r="C8677" t="s">
        <v>67</v>
      </c>
      <c r="D8677" t="s">
        <v>67</v>
      </c>
      <c r="E8677" t="s">
        <v>67</v>
      </c>
      <c r="F8677" t="s">
        <v>27987</v>
      </c>
      <c r="G8677" s="117">
        <v>5.05</v>
      </c>
    </row>
    <row r="8678" spans="1:7" x14ac:dyDescent="0.25">
      <c r="A8678" s="116" t="s">
        <v>29088</v>
      </c>
      <c r="B8678" s="117" t="s">
        <v>31131</v>
      </c>
      <c r="C8678" t="s">
        <v>67</v>
      </c>
      <c r="D8678" t="s">
        <v>67</v>
      </c>
      <c r="E8678" t="s">
        <v>67</v>
      </c>
      <c r="F8678" t="s">
        <v>27987</v>
      </c>
      <c r="G8678" s="117">
        <v>33</v>
      </c>
    </row>
    <row r="8679" spans="1:7" x14ac:dyDescent="0.25">
      <c r="A8679" s="116" t="s">
        <v>29089</v>
      </c>
      <c r="B8679" s="117" t="s">
        <v>31132</v>
      </c>
      <c r="C8679" t="s">
        <v>67</v>
      </c>
      <c r="D8679" t="s">
        <v>67</v>
      </c>
      <c r="E8679" t="s">
        <v>67</v>
      </c>
      <c r="F8679" t="s">
        <v>27987</v>
      </c>
      <c r="G8679" s="117">
        <v>10</v>
      </c>
    </row>
    <row r="8680" spans="1:7" x14ac:dyDescent="0.25">
      <c r="A8680" s="116" t="s">
        <v>29090</v>
      </c>
      <c r="B8680" s="117" t="s">
        <v>30743</v>
      </c>
      <c r="C8680" t="s">
        <v>67</v>
      </c>
      <c r="D8680" t="s">
        <v>67</v>
      </c>
      <c r="E8680" t="s">
        <v>67</v>
      </c>
      <c r="F8680" t="s">
        <v>27987</v>
      </c>
      <c r="G8680" s="117">
        <v>5</v>
      </c>
    </row>
    <row r="8681" spans="1:7" x14ac:dyDescent="0.25">
      <c r="A8681" s="116" t="s">
        <v>29091</v>
      </c>
      <c r="B8681" s="117" t="s">
        <v>30744</v>
      </c>
      <c r="C8681" t="s">
        <v>67</v>
      </c>
      <c r="D8681" t="s">
        <v>67</v>
      </c>
      <c r="E8681" t="s">
        <v>67</v>
      </c>
      <c r="F8681" t="s">
        <v>27987</v>
      </c>
      <c r="G8681" s="117">
        <v>20</v>
      </c>
    </row>
    <row r="8682" spans="1:7" x14ac:dyDescent="0.25">
      <c r="A8682" s="116" t="s">
        <v>29092</v>
      </c>
      <c r="B8682" s="117" t="s">
        <v>31133</v>
      </c>
      <c r="C8682" t="s">
        <v>67</v>
      </c>
      <c r="D8682" t="s">
        <v>67</v>
      </c>
      <c r="E8682" t="s">
        <v>67</v>
      </c>
      <c r="F8682" t="s">
        <v>27987</v>
      </c>
      <c r="G8682" s="117">
        <v>5</v>
      </c>
    </row>
    <row r="8683" spans="1:7" x14ac:dyDescent="0.25">
      <c r="A8683" s="116" t="s">
        <v>28156</v>
      </c>
      <c r="B8683" s="117" t="s">
        <v>30150</v>
      </c>
      <c r="C8683" t="s">
        <v>67</v>
      </c>
      <c r="D8683" t="s">
        <v>67</v>
      </c>
      <c r="E8683" t="s">
        <v>67</v>
      </c>
      <c r="F8683" t="s">
        <v>27987</v>
      </c>
      <c r="G8683" s="117">
        <v>12.13</v>
      </c>
    </row>
    <row r="8684" spans="1:7" x14ac:dyDescent="0.25">
      <c r="A8684" s="116" t="s">
        <v>29093</v>
      </c>
      <c r="B8684" s="117" t="s">
        <v>29094</v>
      </c>
      <c r="C8684" t="s">
        <v>67</v>
      </c>
      <c r="D8684" t="s">
        <v>67</v>
      </c>
      <c r="E8684" t="s">
        <v>67</v>
      </c>
      <c r="F8684" t="s">
        <v>27987</v>
      </c>
      <c r="G8684" s="117">
        <v>36.229999999999997</v>
      </c>
    </row>
    <row r="8685" spans="1:7" x14ac:dyDescent="0.25">
      <c r="A8685" s="116" t="s">
        <v>29095</v>
      </c>
      <c r="B8685" s="117" t="s">
        <v>30745</v>
      </c>
      <c r="C8685" t="s">
        <v>67</v>
      </c>
      <c r="D8685" t="s">
        <v>67</v>
      </c>
      <c r="E8685" t="s">
        <v>67</v>
      </c>
      <c r="F8685" t="s">
        <v>27987</v>
      </c>
      <c r="G8685" s="117">
        <v>15</v>
      </c>
    </row>
    <row r="8686" spans="1:7" x14ac:dyDescent="0.25">
      <c r="A8686" s="116" t="s">
        <v>29096</v>
      </c>
      <c r="B8686" s="117" t="s">
        <v>29097</v>
      </c>
      <c r="C8686" t="s">
        <v>67</v>
      </c>
      <c r="D8686" t="s">
        <v>67</v>
      </c>
      <c r="E8686" t="s">
        <v>67</v>
      </c>
      <c r="F8686" t="s">
        <v>27987</v>
      </c>
      <c r="G8686" s="117">
        <v>15</v>
      </c>
    </row>
    <row r="8687" spans="1:7" x14ac:dyDescent="0.25">
      <c r="A8687" s="116" t="s">
        <v>29933</v>
      </c>
      <c r="B8687" s="117" t="s">
        <v>30468</v>
      </c>
      <c r="C8687" t="s">
        <v>67</v>
      </c>
      <c r="D8687" t="s">
        <v>67</v>
      </c>
      <c r="E8687" t="s">
        <v>67</v>
      </c>
      <c r="F8687" t="s">
        <v>27987</v>
      </c>
      <c r="G8687" s="117">
        <v>15</v>
      </c>
    </row>
    <row r="8688" spans="1:7" x14ac:dyDescent="0.25">
      <c r="A8688" s="116" t="s">
        <v>29934</v>
      </c>
      <c r="B8688" s="117" t="s">
        <v>30469</v>
      </c>
      <c r="C8688" t="s">
        <v>67</v>
      </c>
      <c r="D8688" t="s">
        <v>67</v>
      </c>
      <c r="E8688" t="s">
        <v>67</v>
      </c>
      <c r="F8688" t="s">
        <v>27987</v>
      </c>
      <c r="G8688" s="117">
        <v>5.78</v>
      </c>
    </row>
    <row r="8689" spans="1:7" x14ac:dyDescent="0.25">
      <c r="A8689" s="116" t="s">
        <v>29098</v>
      </c>
      <c r="B8689" s="117" t="s">
        <v>30470</v>
      </c>
      <c r="C8689" t="s">
        <v>67</v>
      </c>
      <c r="D8689" t="s">
        <v>67</v>
      </c>
      <c r="E8689" t="s">
        <v>67</v>
      </c>
      <c r="F8689" t="s">
        <v>27987</v>
      </c>
      <c r="G8689" s="117">
        <v>25</v>
      </c>
    </row>
    <row r="8690" spans="1:7" x14ac:dyDescent="0.25">
      <c r="A8690" s="116" t="s">
        <v>29099</v>
      </c>
      <c r="B8690" s="117" t="s">
        <v>30471</v>
      </c>
      <c r="C8690" t="s">
        <v>67</v>
      </c>
      <c r="D8690" t="s">
        <v>67</v>
      </c>
      <c r="E8690" t="s">
        <v>67</v>
      </c>
      <c r="F8690" t="s">
        <v>27987</v>
      </c>
      <c r="G8690" s="117">
        <v>6</v>
      </c>
    </row>
    <row r="8691" spans="1:7" x14ac:dyDescent="0.25">
      <c r="A8691" s="116" t="s">
        <v>29100</v>
      </c>
      <c r="B8691" s="117" t="s">
        <v>30746</v>
      </c>
      <c r="C8691" t="s">
        <v>67</v>
      </c>
      <c r="D8691" t="s">
        <v>67</v>
      </c>
      <c r="E8691" t="s">
        <v>67</v>
      </c>
      <c r="F8691" t="s">
        <v>27987</v>
      </c>
      <c r="G8691" s="117">
        <v>6</v>
      </c>
    </row>
    <row r="8692" spans="1:7" x14ac:dyDescent="0.25">
      <c r="A8692" s="116" t="s">
        <v>26739</v>
      </c>
      <c r="B8692" s="117" t="s">
        <v>29101</v>
      </c>
      <c r="C8692" t="s">
        <v>67</v>
      </c>
      <c r="D8692" t="s">
        <v>67</v>
      </c>
      <c r="E8692" t="s">
        <v>67</v>
      </c>
      <c r="F8692" t="s">
        <v>27987</v>
      </c>
      <c r="G8692" s="117">
        <v>9</v>
      </c>
    </row>
    <row r="8693" spans="1:7" x14ac:dyDescent="0.25">
      <c r="A8693" s="116" t="s">
        <v>13728</v>
      </c>
      <c r="B8693" s="117" t="s">
        <v>13729</v>
      </c>
      <c r="C8693" t="s">
        <v>67</v>
      </c>
      <c r="D8693" t="s">
        <v>67</v>
      </c>
      <c r="E8693" t="s">
        <v>67</v>
      </c>
      <c r="F8693" t="s">
        <v>27987</v>
      </c>
      <c r="G8693" s="117">
        <v>5.33</v>
      </c>
    </row>
    <row r="8694" spans="1:7" x14ac:dyDescent="0.25">
      <c r="A8694" s="116" t="s">
        <v>29102</v>
      </c>
      <c r="B8694" s="117" t="s">
        <v>29103</v>
      </c>
      <c r="C8694" t="s">
        <v>67</v>
      </c>
      <c r="D8694" t="s">
        <v>67</v>
      </c>
      <c r="E8694" t="s">
        <v>67</v>
      </c>
      <c r="F8694" t="s">
        <v>27987</v>
      </c>
      <c r="G8694" s="117">
        <v>14</v>
      </c>
    </row>
    <row r="8695" spans="1:7" x14ac:dyDescent="0.25">
      <c r="A8695" s="116" t="s">
        <v>29104</v>
      </c>
      <c r="B8695" s="117" t="s">
        <v>31134</v>
      </c>
      <c r="C8695" t="s">
        <v>67</v>
      </c>
      <c r="D8695" t="s">
        <v>67</v>
      </c>
      <c r="E8695" t="s">
        <v>67</v>
      </c>
      <c r="F8695" t="s">
        <v>27987</v>
      </c>
      <c r="G8695" s="117">
        <v>5</v>
      </c>
    </row>
    <row r="8696" spans="1:7" x14ac:dyDescent="0.25">
      <c r="A8696" s="116" t="s">
        <v>29105</v>
      </c>
      <c r="B8696" s="117" t="s">
        <v>29106</v>
      </c>
      <c r="C8696" t="s">
        <v>67</v>
      </c>
      <c r="D8696" t="s">
        <v>67</v>
      </c>
      <c r="E8696" t="s">
        <v>67</v>
      </c>
      <c r="F8696" t="s">
        <v>27987</v>
      </c>
      <c r="G8696" s="117">
        <v>12</v>
      </c>
    </row>
    <row r="8697" spans="1:7" x14ac:dyDescent="0.25">
      <c r="A8697" s="116" t="s">
        <v>29935</v>
      </c>
      <c r="B8697" s="117" t="s">
        <v>29936</v>
      </c>
      <c r="C8697" t="s">
        <v>67</v>
      </c>
      <c r="D8697" t="s">
        <v>67</v>
      </c>
      <c r="E8697" t="s">
        <v>67</v>
      </c>
      <c r="F8697" t="s">
        <v>27987</v>
      </c>
      <c r="G8697" s="117">
        <v>9999</v>
      </c>
    </row>
    <row r="8698" spans="1:7" x14ac:dyDescent="0.25">
      <c r="A8698" s="116" t="s">
        <v>29937</v>
      </c>
      <c r="B8698" s="117" t="s">
        <v>29938</v>
      </c>
      <c r="C8698" t="s">
        <v>67</v>
      </c>
      <c r="D8698" t="s">
        <v>67</v>
      </c>
      <c r="E8698" t="s">
        <v>67</v>
      </c>
      <c r="F8698" t="s">
        <v>27987</v>
      </c>
      <c r="G8698" s="117">
        <v>9999</v>
      </c>
    </row>
    <row r="8699" spans="1:7" x14ac:dyDescent="0.25">
      <c r="A8699" s="116" t="s">
        <v>29939</v>
      </c>
      <c r="B8699" s="117" t="s">
        <v>29940</v>
      </c>
      <c r="C8699" t="s">
        <v>67</v>
      </c>
      <c r="D8699" t="s">
        <v>67</v>
      </c>
      <c r="E8699" t="s">
        <v>67</v>
      </c>
      <c r="F8699" t="s">
        <v>27987</v>
      </c>
      <c r="G8699" s="117">
        <v>9999</v>
      </c>
    </row>
    <row r="8700" spans="1:7" x14ac:dyDescent="0.25">
      <c r="A8700" s="116" t="s">
        <v>30009</v>
      </c>
      <c r="B8700" s="117" t="s">
        <v>30472</v>
      </c>
      <c r="C8700" t="s">
        <v>67</v>
      </c>
      <c r="D8700" t="s">
        <v>67</v>
      </c>
      <c r="E8700" t="s">
        <v>67</v>
      </c>
      <c r="F8700" t="s">
        <v>27987</v>
      </c>
      <c r="G8700" s="117">
        <v>15</v>
      </c>
    </row>
    <row r="8701" spans="1:7" x14ac:dyDescent="0.25">
      <c r="A8701" s="116" t="s">
        <v>30010</v>
      </c>
      <c r="B8701" s="117" t="s">
        <v>30473</v>
      </c>
      <c r="C8701" t="s">
        <v>67</v>
      </c>
      <c r="D8701" t="s">
        <v>67</v>
      </c>
      <c r="E8701" t="s">
        <v>67</v>
      </c>
      <c r="F8701" t="s">
        <v>27987</v>
      </c>
      <c r="G8701" s="117">
        <v>2.5</v>
      </c>
    </row>
    <row r="8702" spans="1:7" x14ac:dyDescent="0.25">
      <c r="A8702" s="116" t="s">
        <v>30892</v>
      </c>
      <c r="B8702" s="117" t="s">
        <v>30893</v>
      </c>
      <c r="C8702" t="s">
        <v>67</v>
      </c>
      <c r="D8702" t="s">
        <v>67</v>
      </c>
      <c r="E8702" t="s">
        <v>67</v>
      </c>
      <c r="F8702" t="s">
        <v>45</v>
      </c>
      <c r="G8702" s="117">
        <v>9999</v>
      </c>
    </row>
    <row r="8703" spans="1:7" x14ac:dyDescent="0.25">
      <c r="A8703" s="116" t="s">
        <v>30894</v>
      </c>
      <c r="B8703" s="117" t="s">
        <v>30895</v>
      </c>
      <c r="C8703" t="s">
        <v>67</v>
      </c>
      <c r="D8703" t="s">
        <v>67</v>
      </c>
      <c r="E8703" t="s">
        <v>67</v>
      </c>
      <c r="F8703" t="s">
        <v>27987</v>
      </c>
      <c r="G8703" s="117">
        <v>9999</v>
      </c>
    </row>
    <row r="8704" spans="1:7" x14ac:dyDescent="0.25">
      <c r="A8704" s="116" t="s">
        <v>30896</v>
      </c>
      <c r="B8704" s="117" t="s">
        <v>30897</v>
      </c>
      <c r="C8704" t="s">
        <v>67</v>
      </c>
      <c r="D8704" t="s">
        <v>67</v>
      </c>
      <c r="E8704" t="s">
        <v>67</v>
      </c>
      <c r="F8704" t="s">
        <v>27987</v>
      </c>
      <c r="G8704" s="117">
        <v>9999</v>
      </c>
    </row>
    <row r="8705" spans="1:7" x14ac:dyDescent="0.25">
      <c r="A8705" s="116" t="s">
        <v>30898</v>
      </c>
      <c r="B8705" s="117" t="s">
        <v>30899</v>
      </c>
      <c r="C8705" t="s">
        <v>67</v>
      </c>
      <c r="D8705" t="s">
        <v>67</v>
      </c>
      <c r="E8705" t="s">
        <v>67</v>
      </c>
      <c r="F8705" t="s">
        <v>27987</v>
      </c>
      <c r="G8705" s="117">
        <v>9999</v>
      </c>
    </row>
    <row r="8706" spans="1:7" x14ac:dyDescent="0.25">
      <c r="A8706" s="116" t="s">
        <v>30900</v>
      </c>
      <c r="B8706" s="117" t="s">
        <v>30901</v>
      </c>
      <c r="C8706" t="s">
        <v>67</v>
      </c>
      <c r="D8706" t="s">
        <v>67</v>
      </c>
      <c r="E8706" t="s">
        <v>67</v>
      </c>
      <c r="F8706" t="s">
        <v>27987</v>
      </c>
      <c r="G8706" s="117">
        <v>9999</v>
      </c>
    </row>
    <row r="8707" spans="1:7" x14ac:dyDescent="0.25">
      <c r="A8707" s="116" t="s">
        <v>30902</v>
      </c>
      <c r="B8707" s="117" t="s">
        <v>30903</v>
      </c>
      <c r="C8707" t="s">
        <v>67</v>
      </c>
      <c r="D8707" t="s">
        <v>67</v>
      </c>
      <c r="E8707" t="s">
        <v>67</v>
      </c>
      <c r="F8707" t="s">
        <v>27987</v>
      </c>
      <c r="G8707" s="117">
        <v>9999</v>
      </c>
    </row>
    <row r="8708" spans="1:7" x14ac:dyDescent="0.25">
      <c r="A8708" s="116" t="s">
        <v>30904</v>
      </c>
      <c r="B8708" s="117" t="s">
        <v>30905</v>
      </c>
      <c r="C8708" t="s">
        <v>67</v>
      </c>
      <c r="D8708" t="s">
        <v>67</v>
      </c>
      <c r="E8708" t="s">
        <v>67</v>
      </c>
      <c r="F8708" t="s">
        <v>27987</v>
      </c>
      <c r="G8708" s="117">
        <v>9999</v>
      </c>
    </row>
    <row r="8709" spans="1:7" x14ac:dyDescent="0.25">
      <c r="A8709" s="116" t="s">
        <v>30906</v>
      </c>
      <c r="B8709" s="117" t="s">
        <v>30907</v>
      </c>
      <c r="C8709" t="s">
        <v>67</v>
      </c>
      <c r="D8709" t="s">
        <v>67</v>
      </c>
      <c r="E8709" t="s">
        <v>67</v>
      </c>
      <c r="F8709" t="s">
        <v>27987</v>
      </c>
      <c r="G8709" s="117">
        <v>9999</v>
      </c>
    </row>
    <row r="8710" spans="1:7" x14ac:dyDescent="0.25">
      <c r="A8710" s="116" t="s">
        <v>30908</v>
      </c>
      <c r="B8710" s="117" t="s">
        <v>30909</v>
      </c>
      <c r="C8710" t="s">
        <v>67</v>
      </c>
      <c r="D8710" t="s">
        <v>67</v>
      </c>
      <c r="E8710" t="s">
        <v>67</v>
      </c>
      <c r="F8710" t="s">
        <v>27987</v>
      </c>
      <c r="G8710" s="117">
        <v>9999</v>
      </c>
    </row>
    <row r="8711" spans="1:7" x14ac:dyDescent="0.25">
      <c r="A8711" s="116" t="s">
        <v>30910</v>
      </c>
      <c r="B8711" s="117" t="s">
        <v>30911</v>
      </c>
      <c r="C8711" t="s">
        <v>67</v>
      </c>
      <c r="D8711" t="s">
        <v>67</v>
      </c>
      <c r="E8711" t="s">
        <v>67</v>
      </c>
      <c r="F8711" t="s">
        <v>27987</v>
      </c>
      <c r="G8711" s="117">
        <v>9999</v>
      </c>
    </row>
    <row r="8712" spans="1:7" x14ac:dyDescent="0.25">
      <c r="A8712" s="116" t="s">
        <v>30912</v>
      </c>
      <c r="B8712" s="117" t="s">
        <v>30913</v>
      </c>
      <c r="C8712" t="s">
        <v>67</v>
      </c>
      <c r="D8712" t="s">
        <v>67</v>
      </c>
      <c r="E8712" t="s">
        <v>67</v>
      </c>
      <c r="F8712" t="s">
        <v>27987</v>
      </c>
      <c r="G8712" s="117">
        <v>9999</v>
      </c>
    </row>
    <row r="8713" spans="1:7" x14ac:dyDescent="0.25">
      <c r="A8713" s="116" t="s">
        <v>31097</v>
      </c>
      <c r="B8713" s="117" t="s">
        <v>31105</v>
      </c>
      <c r="C8713" t="s">
        <v>67</v>
      </c>
      <c r="D8713" t="s">
        <v>67</v>
      </c>
      <c r="E8713" t="s">
        <v>67</v>
      </c>
      <c r="F8713" t="s">
        <v>45</v>
      </c>
      <c r="G8713" s="117">
        <v>9999</v>
      </c>
    </row>
    <row r="8714" spans="1:7" x14ac:dyDescent="0.25">
      <c r="A8714" s="116" t="s">
        <v>31106</v>
      </c>
      <c r="B8714" s="117" t="s">
        <v>31107</v>
      </c>
      <c r="C8714" t="s">
        <v>67</v>
      </c>
      <c r="D8714" t="s">
        <v>67</v>
      </c>
      <c r="E8714" t="s">
        <v>67</v>
      </c>
      <c r="F8714" t="s">
        <v>45</v>
      </c>
      <c r="G8714" s="117">
        <v>9999</v>
      </c>
    </row>
    <row r="8715" spans="1:7" x14ac:dyDescent="0.25">
      <c r="A8715" s="116" t="s">
        <v>31108</v>
      </c>
      <c r="B8715" s="117" t="s">
        <v>31109</v>
      </c>
      <c r="C8715" t="s">
        <v>67</v>
      </c>
      <c r="D8715" t="s">
        <v>67</v>
      </c>
      <c r="E8715" t="s">
        <v>67</v>
      </c>
      <c r="F8715" t="s">
        <v>45</v>
      </c>
      <c r="G8715" s="117">
        <v>9999</v>
      </c>
    </row>
    <row r="8716" spans="1:7" x14ac:dyDescent="0.25">
      <c r="A8716" s="116" t="s">
        <v>26431</v>
      </c>
      <c r="B8716" s="117" t="s">
        <v>26432</v>
      </c>
      <c r="C8716" t="s">
        <v>67</v>
      </c>
      <c r="D8716" t="s">
        <v>67</v>
      </c>
      <c r="E8716" t="s">
        <v>67</v>
      </c>
      <c r="F8716" t="s">
        <v>27987</v>
      </c>
      <c r="G8716" s="117">
        <v>29.06</v>
      </c>
    </row>
    <row r="8717" spans="1:7" x14ac:dyDescent="0.25">
      <c r="A8717" s="116" t="s">
        <v>13730</v>
      </c>
      <c r="B8717" s="117" t="s">
        <v>13731</v>
      </c>
      <c r="C8717" t="s">
        <v>67</v>
      </c>
      <c r="D8717" t="s">
        <v>67</v>
      </c>
      <c r="E8717" t="s">
        <v>67</v>
      </c>
      <c r="F8717" t="s">
        <v>27987</v>
      </c>
      <c r="G8717" s="117">
        <v>23.35</v>
      </c>
    </row>
    <row r="8718" spans="1:7" x14ac:dyDescent="0.25">
      <c r="A8718" s="116" t="s">
        <v>13732</v>
      </c>
      <c r="B8718" s="117" t="s">
        <v>13733</v>
      </c>
      <c r="C8718" t="s">
        <v>67</v>
      </c>
      <c r="D8718" t="s">
        <v>67</v>
      </c>
      <c r="E8718" t="s">
        <v>67</v>
      </c>
      <c r="F8718" t="s">
        <v>27987</v>
      </c>
      <c r="G8718" s="117">
        <v>19.84</v>
      </c>
    </row>
    <row r="8719" spans="1:7" x14ac:dyDescent="0.25">
      <c r="A8719" s="116" t="s">
        <v>13734</v>
      </c>
      <c r="B8719" s="117" t="s">
        <v>13735</v>
      </c>
      <c r="C8719" t="s">
        <v>67</v>
      </c>
      <c r="D8719" t="s">
        <v>67</v>
      </c>
      <c r="E8719" t="s">
        <v>67</v>
      </c>
      <c r="F8719" t="s">
        <v>27987</v>
      </c>
      <c r="G8719" s="117">
        <v>16.07</v>
      </c>
    </row>
    <row r="8720" spans="1:7" x14ac:dyDescent="0.25">
      <c r="A8720" s="116" t="s">
        <v>13736</v>
      </c>
      <c r="B8720" s="117" t="s">
        <v>13737</v>
      </c>
      <c r="C8720" t="s">
        <v>67</v>
      </c>
      <c r="D8720" t="s">
        <v>67</v>
      </c>
      <c r="E8720" t="s">
        <v>67</v>
      </c>
      <c r="F8720" t="s">
        <v>27987</v>
      </c>
      <c r="G8720" s="117">
        <v>10.8</v>
      </c>
    </row>
    <row r="8721" spans="1:7" x14ac:dyDescent="0.25">
      <c r="A8721" s="116" t="s">
        <v>13738</v>
      </c>
      <c r="B8721" s="117" t="s">
        <v>13739</v>
      </c>
      <c r="C8721" t="s">
        <v>67</v>
      </c>
      <c r="D8721" t="s">
        <v>67</v>
      </c>
      <c r="E8721" t="s">
        <v>67</v>
      </c>
      <c r="F8721" t="s">
        <v>27987</v>
      </c>
      <c r="G8721" s="117">
        <v>3.01</v>
      </c>
    </row>
    <row r="8722" spans="1:7" x14ac:dyDescent="0.25">
      <c r="A8722" s="116" t="s">
        <v>30280</v>
      </c>
      <c r="B8722" s="117" t="s">
        <v>30281</v>
      </c>
      <c r="C8722" t="s">
        <v>67</v>
      </c>
      <c r="D8722" t="s">
        <v>67</v>
      </c>
      <c r="E8722" t="s">
        <v>67</v>
      </c>
      <c r="F8722" t="s">
        <v>45</v>
      </c>
      <c r="G8722" s="117">
        <v>9999</v>
      </c>
    </row>
    <row r="8723" spans="1:7" x14ac:dyDescent="0.25">
      <c r="A8723" s="116" t="s">
        <v>30914</v>
      </c>
      <c r="B8723" s="117" t="s">
        <v>30915</v>
      </c>
      <c r="C8723" t="s">
        <v>67</v>
      </c>
      <c r="D8723" t="s">
        <v>67</v>
      </c>
      <c r="E8723" t="s">
        <v>67</v>
      </c>
      <c r="F8723" t="s">
        <v>45</v>
      </c>
      <c r="G8723" s="117">
        <v>9999</v>
      </c>
    </row>
    <row r="8724" spans="1:7" x14ac:dyDescent="0.25">
      <c r="A8724" s="116" t="s">
        <v>30916</v>
      </c>
      <c r="B8724" s="117" t="s">
        <v>30917</v>
      </c>
      <c r="C8724" t="s">
        <v>67</v>
      </c>
      <c r="D8724" t="s">
        <v>67</v>
      </c>
      <c r="E8724" t="s">
        <v>67</v>
      </c>
      <c r="F8724" t="s">
        <v>45</v>
      </c>
      <c r="G8724" s="117">
        <v>9999</v>
      </c>
    </row>
    <row r="8725" spans="1:7" x14ac:dyDescent="0.25">
      <c r="A8725" s="116" t="s">
        <v>30918</v>
      </c>
      <c r="B8725" s="117" t="s">
        <v>30919</v>
      </c>
      <c r="C8725" t="s">
        <v>67</v>
      </c>
      <c r="D8725" t="s">
        <v>67</v>
      </c>
      <c r="E8725" t="s">
        <v>67</v>
      </c>
      <c r="F8725" t="s">
        <v>45</v>
      </c>
      <c r="G8725" s="117">
        <v>9999</v>
      </c>
    </row>
    <row r="8726" spans="1:7" x14ac:dyDescent="0.25">
      <c r="A8726" s="116" t="s">
        <v>30920</v>
      </c>
      <c r="B8726" s="117" t="s">
        <v>30921</v>
      </c>
      <c r="C8726" t="s">
        <v>67</v>
      </c>
      <c r="D8726" t="s">
        <v>67</v>
      </c>
      <c r="E8726" t="s">
        <v>67</v>
      </c>
      <c r="F8726" t="s">
        <v>45</v>
      </c>
      <c r="G8726" s="117">
        <v>9999</v>
      </c>
    </row>
    <row r="8727" spans="1:7" x14ac:dyDescent="0.25">
      <c r="A8727" s="116" t="s">
        <v>30922</v>
      </c>
      <c r="B8727" s="117" t="s">
        <v>30923</v>
      </c>
      <c r="C8727" t="s">
        <v>67</v>
      </c>
      <c r="D8727" t="s">
        <v>67</v>
      </c>
      <c r="E8727" t="s">
        <v>67</v>
      </c>
      <c r="F8727" t="s">
        <v>45</v>
      </c>
      <c r="G8727" s="117">
        <v>9999</v>
      </c>
    </row>
    <row r="8728" spans="1:7" x14ac:dyDescent="0.25">
      <c r="A8728" s="116" t="s">
        <v>30924</v>
      </c>
      <c r="B8728" s="117" t="s">
        <v>30925</v>
      </c>
      <c r="C8728" t="s">
        <v>67</v>
      </c>
      <c r="D8728" t="s">
        <v>67</v>
      </c>
      <c r="E8728" t="s">
        <v>67</v>
      </c>
      <c r="F8728" t="s">
        <v>45</v>
      </c>
      <c r="G8728" s="117">
        <v>9999</v>
      </c>
    </row>
    <row r="8729" spans="1:7" x14ac:dyDescent="0.25">
      <c r="A8729" s="116" t="s">
        <v>30926</v>
      </c>
      <c r="B8729" s="117" t="s">
        <v>30927</v>
      </c>
      <c r="C8729" t="s">
        <v>67</v>
      </c>
      <c r="D8729" t="s">
        <v>67</v>
      </c>
      <c r="E8729" t="s">
        <v>67</v>
      </c>
      <c r="F8729" t="s">
        <v>45</v>
      </c>
      <c r="G8729" s="117">
        <v>9999</v>
      </c>
    </row>
    <row r="8730" spans="1:7" x14ac:dyDescent="0.25">
      <c r="A8730" s="116" t="s">
        <v>30928</v>
      </c>
      <c r="B8730" s="117" t="s">
        <v>30929</v>
      </c>
      <c r="C8730" t="s">
        <v>67</v>
      </c>
      <c r="D8730" t="s">
        <v>67</v>
      </c>
      <c r="E8730" t="s">
        <v>67</v>
      </c>
      <c r="F8730" t="s">
        <v>45</v>
      </c>
      <c r="G8730" s="117">
        <v>9999</v>
      </c>
    </row>
    <row r="8731" spans="1:7" x14ac:dyDescent="0.25">
      <c r="A8731" s="116" t="s">
        <v>30930</v>
      </c>
      <c r="B8731" s="117" t="s">
        <v>30931</v>
      </c>
      <c r="C8731" t="s">
        <v>67</v>
      </c>
      <c r="D8731" t="s">
        <v>67</v>
      </c>
      <c r="E8731" t="s">
        <v>67</v>
      </c>
      <c r="F8731" t="s">
        <v>45</v>
      </c>
      <c r="G8731" s="117">
        <v>9999</v>
      </c>
    </row>
    <row r="8732" spans="1:7" x14ac:dyDescent="0.25">
      <c r="A8732" s="116" t="s">
        <v>30932</v>
      </c>
      <c r="B8732" s="117" t="s">
        <v>30933</v>
      </c>
      <c r="C8732" t="s">
        <v>67</v>
      </c>
      <c r="D8732" t="s">
        <v>67</v>
      </c>
      <c r="E8732" t="s">
        <v>67</v>
      </c>
      <c r="F8732" t="s">
        <v>45</v>
      </c>
      <c r="G8732" s="117">
        <v>9999</v>
      </c>
    </row>
    <row r="8733" spans="1:7" x14ac:dyDescent="0.25">
      <c r="A8733" s="116" t="s">
        <v>30934</v>
      </c>
      <c r="B8733" s="117" t="s">
        <v>30935</v>
      </c>
      <c r="C8733" t="s">
        <v>67</v>
      </c>
      <c r="D8733" t="s">
        <v>67</v>
      </c>
      <c r="E8733" t="s">
        <v>67</v>
      </c>
      <c r="F8733" t="s">
        <v>45</v>
      </c>
      <c r="G8733" s="117">
        <v>9999</v>
      </c>
    </row>
    <row r="8734" spans="1:7" x14ac:dyDescent="0.25">
      <c r="A8734" s="116" t="s">
        <v>30936</v>
      </c>
      <c r="B8734" s="117" t="s">
        <v>30937</v>
      </c>
      <c r="C8734" t="s">
        <v>67</v>
      </c>
      <c r="D8734" t="s">
        <v>67</v>
      </c>
      <c r="E8734" t="s">
        <v>67</v>
      </c>
      <c r="F8734" t="s">
        <v>45</v>
      </c>
      <c r="G8734" s="117">
        <v>9999</v>
      </c>
    </row>
    <row r="8735" spans="1:7" x14ac:dyDescent="0.25">
      <c r="A8735" s="116" t="s">
        <v>30938</v>
      </c>
      <c r="B8735" s="117" t="s">
        <v>30939</v>
      </c>
      <c r="C8735" t="s">
        <v>67</v>
      </c>
      <c r="D8735" t="s">
        <v>67</v>
      </c>
      <c r="E8735" t="s">
        <v>67</v>
      </c>
      <c r="F8735" t="s">
        <v>45</v>
      </c>
      <c r="G8735" s="117">
        <v>9999</v>
      </c>
    </row>
    <row r="8736" spans="1:7" x14ac:dyDescent="0.25">
      <c r="A8736" s="116" t="s">
        <v>30940</v>
      </c>
      <c r="B8736" s="117" t="s">
        <v>30941</v>
      </c>
      <c r="C8736" t="s">
        <v>67</v>
      </c>
      <c r="D8736" t="s">
        <v>67</v>
      </c>
      <c r="E8736" t="s">
        <v>67</v>
      </c>
      <c r="F8736" t="s">
        <v>45</v>
      </c>
      <c r="G8736" s="117">
        <v>9999</v>
      </c>
    </row>
    <row r="8737" spans="1:7" x14ac:dyDescent="0.25">
      <c r="A8737" s="116" t="s">
        <v>30942</v>
      </c>
      <c r="B8737" s="117" t="s">
        <v>30943</v>
      </c>
      <c r="C8737" t="s">
        <v>67</v>
      </c>
      <c r="D8737" t="s">
        <v>67</v>
      </c>
      <c r="E8737" t="s">
        <v>67</v>
      </c>
      <c r="F8737" t="s">
        <v>45</v>
      </c>
      <c r="G8737" s="117">
        <v>9999</v>
      </c>
    </row>
    <row r="8738" spans="1:7" x14ac:dyDescent="0.25">
      <c r="A8738" s="116" t="s">
        <v>30944</v>
      </c>
      <c r="B8738" s="117" t="s">
        <v>30945</v>
      </c>
      <c r="C8738" t="s">
        <v>67</v>
      </c>
      <c r="D8738" t="s">
        <v>67</v>
      </c>
      <c r="E8738" t="s">
        <v>67</v>
      </c>
      <c r="F8738" t="s">
        <v>45</v>
      </c>
      <c r="G8738" s="117">
        <v>9999</v>
      </c>
    </row>
    <row r="8739" spans="1:7" x14ac:dyDescent="0.25">
      <c r="A8739" s="116" t="s">
        <v>30946</v>
      </c>
      <c r="B8739" s="117" t="s">
        <v>30947</v>
      </c>
      <c r="C8739" t="s">
        <v>67</v>
      </c>
      <c r="D8739" t="s">
        <v>67</v>
      </c>
      <c r="E8739" t="s">
        <v>67</v>
      </c>
      <c r="F8739" t="s">
        <v>45</v>
      </c>
      <c r="G8739" s="117">
        <v>9999</v>
      </c>
    </row>
    <row r="8740" spans="1:7" x14ac:dyDescent="0.25">
      <c r="A8740" s="116" t="s">
        <v>30948</v>
      </c>
      <c r="B8740" s="117" t="s">
        <v>30949</v>
      </c>
      <c r="C8740" t="s">
        <v>67</v>
      </c>
      <c r="D8740" t="s">
        <v>67</v>
      </c>
      <c r="E8740" t="s">
        <v>67</v>
      </c>
      <c r="F8740" t="s">
        <v>45</v>
      </c>
      <c r="G8740" s="117">
        <v>9999</v>
      </c>
    </row>
    <row r="8741" spans="1:7" x14ac:dyDescent="0.25">
      <c r="A8741" s="116" t="s">
        <v>30950</v>
      </c>
      <c r="B8741" s="117" t="s">
        <v>30951</v>
      </c>
      <c r="C8741" t="s">
        <v>67</v>
      </c>
      <c r="D8741" t="s">
        <v>67</v>
      </c>
      <c r="E8741" t="s">
        <v>67</v>
      </c>
      <c r="F8741" t="s">
        <v>45</v>
      </c>
      <c r="G8741" s="117">
        <v>9999</v>
      </c>
    </row>
    <row r="8742" spans="1:7" x14ac:dyDescent="0.25">
      <c r="A8742" s="116" t="s">
        <v>30952</v>
      </c>
      <c r="B8742" s="117" t="s">
        <v>30903</v>
      </c>
      <c r="C8742" t="s">
        <v>67</v>
      </c>
      <c r="D8742" t="s">
        <v>67</v>
      </c>
      <c r="E8742" t="s">
        <v>67</v>
      </c>
      <c r="F8742" t="s">
        <v>45</v>
      </c>
      <c r="G8742" s="117">
        <v>9999</v>
      </c>
    </row>
    <row r="8743" spans="1:7" x14ac:dyDescent="0.25">
      <c r="A8743" s="116" t="s">
        <v>30953</v>
      </c>
      <c r="B8743" s="117" t="s">
        <v>30954</v>
      </c>
      <c r="C8743" t="s">
        <v>67</v>
      </c>
      <c r="D8743" t="s">
        <v>67</v>
      </c>
      <c r="E8743" t="s">
        <v>67</v>
      </c>
      <c r="F8743" t="s">
        <v>45</v>
      </c>
      <c r="G8743" s="117">
        <v>9999</v>
      </c>
    </row>
    <row r="8744" spans="1:7" x14ac:dyDescent="0.25">
      <c r="A8744" s="116" t="s">
        <v>30955</v>
      </c>
      <c r="B8744" s="117" t="s">
        <v>30956</v>
      </c>
      <c r="C8744" t="s">
        <v>67</v>
      </c>
      <c r="D8744" t="s">
        <v>67</v>
      </c>
      <c r="E8744" t="s">
        <v>67</v>
      </c>
      <c r="F8744" t="s">
        <v>45</v>
      </c>
      <c r="G8744" s="117">
        <v>9999</v>
      </c>
    </row>
    <row r="8745" spans="1:7" x14ac:dyDescent="0.25">
      <c r="A8745" s="116" t="s">
        <v>30957</v>
      </c>
      <c r="B8745" s="117" t="s">
        <v>30958</v>
      </c>
      <c r="C8745" t="s">
        <v>67</v>
      </c>
      <c r="D8745" t="s">
        <v>67</v>
      </c>
      <c r="E8745" t="s">
        <v>67</v>
      </c>
      <c r="F8745" t="s">
        <v>45</v>
      </c>
      <c r="G8745" s="117">
        <v>9999</v>
      </c>
    </row>
    <row r="8746" spans="1:7" x14ac:dyDescent="0.25">
      <c r="A8746" s="116" t="s">
        <v>13740</v>
      </c>
      <c r="B8746" s="117" t="s">
        <v>13741</v>
      </c>
      <c r="C8746" t="s">
        <v>67</v>
      </c>
      <c r="D8746" t="s">
        <v>67</v>
      </c>
      <c r="E8746" t="s">
        <v>67</v>
      </c>
      <c r="F8746" t="s">
        <v>27987</v>
      </c>
      <c r="G8746" s="117">
        <v>13.26</v>
      </c>
    </row>
    <row r="8747" spans="1:7" x14ac:dyDescent="0.25">
      <c r="A8747" s="116" t="s">
        <v>13742</v>
      </c>
      <c r="B8747" s="117" t="s">
        <v>13743</v>
      </c>
      <c r="C8747" t="s">
        <v>67</v>
      </c>
      <c r="D8747" t="s">
        <v>67</v>
      </c>
      <c r="E8747" t="s">
        <v>67</v>
      </c>
      <c r="F8747" t="s">
        <v>27987</v>
      </c>
      <c r="G8747" s="117">
        <v>16.2</v>
      </c>
    </row>
    <row r="8748" spans="1:7" x14ac:dyDescent="0.25">
      <c r="A8748" s="116" t="s">
        <v>13744</v>
      </c>
      <c r="B8748" s="117" t="s">
        <v>13745</v>
      </c>
      <c r="C8748" t="s">
        <v>67</v>
      </c>
      <c r="D8748" t="s">
        <v>67</v>
      </c>
      <c r="E8748" t="s">
        <v>67</v>
      </c>
      <c r="F8748" t="s">
        <v>27987</v>
      </c>
      <c r="G8748" s="117">
        <v>16.82</v>
      </c>
    </row>
    <row r="8749" spans="1:7" x14ac:dyDescent="0.25">
      <c r="A8749" s="116" t="s">
        <v>13746</v>
      </c>
      <c r="B8749" s="117" t="s">
        <v>13747</v>
      </c>
      <c r="C8749" t="s">
        <v>67</v>
      </c>
      <c r="D8749" t="s">
        <v>67</v>
      </c>
      <c r="E8749" t="s">
        <v>67</v>
      </c>
      <c r="F8749" t="s">
        <v>27987</v>
      </c>
      <c r="G8749" s="117">
        <v>3.12</v>
      </c>
    </row>
    <row r="8750" spans="1:7" x14ac:dyDescent="0.25">
      <c r="A8750" s="116" t="s">
        <v>13748</v>
      </c>
      <c r="B8750" s="117" t="s">
        <v>13749</v>
      </c>
      <c r="C8750" t="s">
        <v>67</v>
      </c>
      <c r="D8750" t="s">
        <v>67</v>
      </c>
      <c r="E8750" t="s">
        <v>67</v>
      </c>
      <c r="F8750" t="s">
        <v>27987</v>
      </c>
      <c r="G8750" s="117">
        <v>4</v>
      </c>
    </row>
    <row r="8751" spans="1:7" x14ac:dyDescent="0.25">
      <c r="A8751" s="116" t="s">
        <v>13750</v>
      </c>
      <c r="B8751" s="117" t="s">
        <v>13751</v>
      </c>
      <c r="C8751" t="s">
        <v>67</v>
      </c>
      <c r="D8751" t="s">
        <v>67</v>
      </c>
      <c r="E8751" t="s">
        <v>67</v>
      </c>
      <c r="F8751" t="s">
        <v>27987</v>
      </c>
      <c r="G8751" s="117">
        <v>1.69</v>
      </c>
    </row>
    <row r="8752" spans="1:7" x14ac:dyDescent="0.25">
      <c r="A8752" s="116" t="s">
        <v>13752</v>
      </c>
      <c r="B8752" s="117" t="s">
        <v>13753</v>
      </c>
      <c r="C8752" t="s">
        <v>67</v>
      </c>
      <c r="D8752" t="s">
        <v>67</v>
      </c>
      <c r="E8752" t="s">
        <v>67</v>
      </c>
      <c r="F8752" t="s">
        <v>27987</v>
      </c>
      <c r="G8752" s="117">
        <v>2.23</v>
      </c>
    </row>
    <row r="8753" spans="1:7" x14ac:dyDescent="0.25">
      <c r="A8753" s="116" t="s">
        <v>13754</v>
      </c>
      <c r="B8753" s="117" t="s">
        <v>13755</v>
      </c>
      <c r="C8753" t="s">
        <v>67</v>
      </c>
      <c r="D8753" t="s">
        <v>67</v>
      </c>
      <c r="E8753" t="s">
        <v>67</v>
      </c>
      <c r="F8753" t="s">
        <v>27987</v>
      </c>
      <c r="G8753" s="117">
        <v>2.58</v>
      </c>
    </row>
    <row r="8754" spans="1:7" x14ac:dyDescent="0.25">
      <c r="A8754" s="116" t="s">
        <v>13756</v>
      </c>
      <c r="B8754" s="117" t="s">
        <v>13757</v>
      </c>
      <c r="C8754" t="s">
        <v>67</v>
      </c>
      <c r="D8754" t="s">
        <v>67</v>
      </c>
      <c r="E8754" t="s">
        <v>67</v>
      </c>
      <c r="F8754" t="s">
        <v>27987</v>
      </c>
      <c r="G8754" s="117">
        <v>15.57</v>
      </c>
    </row>
    <row r="8755" spans="1:7" x14ac:dyDescent="0.25">
      <c r="A8755" s="116" t="s">
        <v>13758</v>
      </c>
      <c r="B8755" s="117" t="s">
        <v>13759</v>
      </c>
      <c r="C8755" t="s">
        <v>67</v>
      </c>
      <c r="D8755" t="s">
        <v>67</v>
      </c>
      <c r="E8755" t="s">
        <v>67</v>
      </c>
      <c r="F8755" t="s">
        <v>27987</v>
      </c>
      <c r="G8755" s="117">
        <v>7.56</v>
      </c>
    </row>
    <row r="8756" spans="1:7" x14ac:dyDescent="0.25">
      <c r="A8756" s="116" t="s">
        <v>13760</v>
      </c>
      <c r="B8756" s="117" t="s">
        <v>13761</v>
      </c>
      <c r="C8756" t="s">
        <v>67</v>
      </c>
      <c r="D8756" t="s">
        <v>67</v>
      </c>
      <c r="E8756" t="s">
        <v>67</v>
      </c>
      <c r="F8756" t="s">
        <v>27987</v>
      </c>
      <c r="G8756" s="117">
        <v>23.58</v>
      </c>
    </row>
    <row r="8757" spans="1:7" x14ac:dyDescent="0.25">
      <c r="A8757" s="116" t="s">
        <v>13762</v>
      </c>
      <c r="B8757" s="117" t="s">
        <v>13763</v>
      </c>
      <c r="C8757" t="s">
        <v>67</v>
      </c>
      <c r="D8757" t="s">
        <v>67</v>
      </c>
      <c r="E8757" t="s">
        <v>67</v>
      </c>
      <c r="F8757" t="s">
        <v>27987</v>
      </c>
      <c r="G8757" s="117">
        <v>4.3600000000000003</v>
      </c>
    </row>
    <row r="8758" spans="1:7" x14ac:dyDescent="0.25">
      <c r="A8758" s="116" t="s">
        <v>13764</v>
      </c>
      <c r="B8758" s="117" t="s">
        <v>13765</v>
      </c>
      <c r="C8758" t="s">
        <v>67</v>
      </c>
      <c r="D8758" t="s">
        <v>67</v>
      </c>
      <c r="E8758" t="s">
        <v>67</v>
      </c>
      <c r="F8758" t="s">
        <v>27987</v>
      </c>
      <c r="G8758" s="117">
        <v>21.8</v>
      </c>
    </row>
    <row r="8759" spans="1:7" x14ac:dyDescent="0.25">
      <c r="A8759" s="116" t="s">
        <v>13766</v>
      </c>
      <c r="B8759" s="117" t="s">
        <v>13767</v>
      </c>
      <c r="C8759" t="s">
        <v>67</v>
      </c>
      <c r="D8759" t="s">
        <v>67</v>
      </c>
      <c r="E8759" t="s">
        <v>67</v>
      </c>
      <c r="F8759" t="s">
        <v>27987</v>
      </c>
      <c r="G8759" s="117">
        <v>8.81</v>
      </c>
    </row>
    <row r="8760" spans="1:7" x14ac:dyDescent="0.25">
      <c r="A8760" s="116" t="s">
        <v>30239</v>
      </c>
      <c r="B8760" s="117" t="s">
        <v>30240</v>
      </c>
      <c r="C8760" t="s">
        <v>67</v>
      </c>
      <c r="D8760" t="s">
        <v>67</v>
      </c>
      <c r="E8760" t="s">
        <v>67</v>
      </c>
      <c r="F8760" t="s">
        <v>27987</v>
      </c>
      <c r="G8760" s="117">
        <v>9999</v>
      </c>
    </row>
    <row r="8761" spans="1:7" x14ac:dyDescent="0.25">
      <c r="A8761" s="116" t="s">
        <v>13768</v>
      </c>
      <c r="B8761" s="117" t="s">
        <v>13769</v>
      </c>
      <c r="C8761" t="s">
        <v>67</v>
      </c>
      <c r="D8761" t="s">
        <v>67</v>
      </c>
      <c r="E8761" t="s">
        <v>67</v>
      </c>
      <c r="F8761" t="s">
        <v>27987</v>
      </c>
      <c r="G8761" s="117">
        <v>145.15</v>
      </c>
    </row>
    <row r="8762" spans="1:7" x14ac:dyDescent="0.25">
      <c r="A8762" s="116" t="s">
        <v>13770</v>
      </c>
      <c r="B8762" s="117" t="s">
        <v>13771</v>
      </c>
      <c r="C8762" t="s">
        <v>67</v>
      </c>
      <c r="D8762" t="s">
        <v>67</v>
      </c>
      <c r="E8762" t="s">
        <v>67</v>
      </c>
      <c r="F8762" t="s">
        <v>27987</v>
      </c>
      <c r="G8762" s="117">
        <v>75.84</v>
      </c>
    </row>
    <row r="8763" spans="1:7" x14ac:dyDescent="0.25">
      <c r="A8763" s="116" t="s">
        <v>13772</v>
      </c>
      <c r="B8763" s="117" t="s">
        <v>13773</v>
      </c>
      <c r="C8763" t="s">
        <v>67</v>
      </c>
      <c r="D8763" t="s">
        <v>67</v>
      </c>
      <c r="E8763" t="s">
        <v>67</v>
      </c>
      <c r="F8763" t="s">
        <v>27987</v>
      </c>
      <c r="G8763" s="117">
        <v>7.2</v>
      </c>
    </row>
    <row r="8764" spans="1:7" x14ac:dyDescent="0.25">
      <c r="A8764" s="116" t="s">
        <v>13774</v>
      </c>
      <c r="B8764" s="117" t="s">
        <v>13775</v>
      </c>
      <c r="C8764" t="s">
        <v>67</v>
      </c>
      <c r="D8764" t="s">
        <v>67</v>
      </c>
      <c r="E8764" t="s">
        <v>67</v>
      </c>
      <c r="F8764" t="s">
        <v>27987</v>
      </c>
      <c r="G8764" s="117">
        <v>31.89</v>
      </c>
    </row>
    <row r="8765" spans="1:7" x14ac:dyDescent="0.25">
      <c r="A8765" s="116" t="s">
        <v>13776</v>
      </c>
      <c r="B8765" s="117" t="s">
        <v>13777</v>
      </c>
      <c r="C8765" t="s">
        <v>67</v>
      </c>
      <c r="D8765" t="s">
        <v>67</v>
      </c>
      <c r="E8765" t="s">
        <v>67</v>
      </c>
      <c r="F8765" t="s">
        <v>27987</v>
      </c>
      <c r="G8765" s="117">
        <v>17.7</v>
      </c>
    </row>
    <row r="8766" spans="1:7" x14ac:dyDescent="0.25">
      <c r="A8766" s="116" t="s">
        <v>13778</v>
      </c>
      <c r="B8766" s="117" t="s">
        <v>13779</v>
      </c>
      <c r="C8766" t="s">
        <v>67</v>
      </c>
      <c r="D8766" t="s">
        <v>67</v>
      </c>
      <c r="E8766" t="s">
        <v>67</v>
      </c>
      <c r="F8766" t="s">
        <v>27987</v>
      </c>
      <c r="G8766" s="117">
        <v>5.78</v>
      </c>
    </row>
    <row r="8767" spans="1:7" x14ac:dyDescent="0.25">
      <c r="A8767" s="116" t="s">
        <v>13780</v>
      </c>
      <c r="B8767" s="117" t="s">
        <v>13781</v>
      </c>
      <c r="C8767" t="s">
        <v>67</v>
      </c>
      <c r="D8767" t="s">
        <v>67</v>
      </c>
      <c r="E8767" t="s">
        <v>67</v>
      </c>
      <c r="F8767" t="s">
        <v>27987</v>
      </c>
      <c r="G8767" s="117">
        <v>13.81</v>
      </c>
    </row>
    <row r="8768" spans="1:7" x14ac:dyDescent="0.25">
      <c r="A8768" s="116" t="s">
        <v>26550</v>
      </c>
      <c r="B8768" s="117" t="s">
        <v>29107</v>
      </c>
      <c r="C8768" t="s">
        <v>67</v>
      </c>
      <c r="D8768" t="s">
        <v>67</v>
      </c>
      <c r="E8768" t="s">
        <v>67</v>
      </c>
      <c r="F8768" t="s">
        <v>49</v>
      </c>
      <c r="G8768" s="117">
        <v>30.7</v>
      </c>
    </row>
    <row r="8769" spans="1:7" x14ac:dyDescent="0.25">
      <c r="A8769" s="116" t="s">
        <v>13782</v>
      </c>
      <c r="B8769" s="117" t="s">
        <v>13783</v>
      </c>
      <c r="C8769" t="s">
        <v>67</v>
      </c>
      <c r="D8769" t="s">
        <v>67</v>
      </c>
      <c r="E8769" t="s">
        <v>67</v>
      </c>
      <c r="F8769" t="s">
        <v>27987</v>
      </c>
      <c r="G8769" s="117">
        <v>28.51</v>
      </c>
    </row>
    <row r="8770" spans="1:7" x14ac:dyDescent="0.25">
      <c r="A8770" s="116" t="s">
        <v>30329</v>
      </c>
      <c r="B8770" s="117" t="s">
        <v>30330</v>
      </c>
      <c r="C8770" t="s">
        <v>67</v>
      </c>
      <c r="D8770" t="s">
        <v>67</v>
      </c>
      <c r="E8770" t="s">
        <v>67</v>
      </c>
      <c r="F8770" t="s">
        <v>27987</v>
      </c>
      <c r="G8770" s="117">
        <v>9999</v>
      </c>
    </row>
    <row r="8771" spans="1:7" x14ac:dyDescent="0.25">
      <c r="A8771" s="116" t="s">
        <v>30331</v>
      </c>
      <c r="B8771" s="117" t="s">
        <v>30332</v>
      </c>
      <c r="C8771" t="s">
        <v>67</v>
      </c>
      <c r="D8771" t="s">
        <v>67</v>
      </c>
      <c r="E8771" t="s">
        <v>67</v>
      </c>
      <c r="F8771" t="s">
        <v>27987</v>
      </c>
      <c r="G8771" s="117">
        <v>9999</v>
      </c>
    </row>
    <row r="8772" spans="1:7" x14ac:dyDescent="0.25">
      <c r="A8772" s="116" t="s">
        <v>13784</v>
      </c>
      <c r="B8772" s="117" t="s">
        <v>13785</v>
      </c>
      <c r="C8772" t="s">
        <v>67</v>
      </c>
      <c r="D8772" t="s">
        <v>67</v>
      </c>
      <c r="E8772" t="s">
        <v>67</v>
      </c>
      <c r="F8772" t="s">
        <v>45</v>
      </c>
      <c r="G8772" s="117">
        <v>2.76</v>
      </c>
    </row>
    <row r="8773" spans="1:7" x14ac:dyDescent="0.25">
      <c r="A8773" s="116" t="s">
        <v>13786</v>
      </c>
      <c r="B8773" s="117" t="s">
        <v>13787</v>
      </c>
      <c r="C8773" t="s">
        <v>67</v>
      </c>
      <c r="D8773" t="s">
        <v>67</v>
      </c>
      <c r="E8773" t="s">
        <v>67</v>
      </c>
      <c r="F8773" t="s">
        <v>27987</v>
      </c>
      <c r="G8773" s="117">
        <v>15.57</v>
      </c>
    </row>
    <row r="8774" spans="1:7" x14ac:dyDescent="0.25">
      <c r="A8774" s="116" t="s">
        <v>13788</v>
      </c>
      <c r="B8774" s="117" t="s">
        <v>29108</v>
      </c>
      <c r="C8774" t="s">
        <v>67</v>
      </c>
      <c r="D8774" t="s">
        <v>67</v>
      </c>
      <c r="E8774" t="s">
        <v>67</v>
      </c>
      <c r="F8774" t="s">
        <v>27987</v>
      </c>
      <c r="G8774" s="117">
        <v>14.69</v>
      </c>
    </row>
    <row r="8775" spans="1:7" x14ac:dyDescent="0.25">
      <c r="A8775" s="116" t="s">
        <v>13789</v>
      </c>
      <c r="B8775" s="117" t="s">
        <v>13574</v>
      </c>
      <c r="C8775" t="s">
        <v>67</v>
      </c>
      <c r="D8775" t="s">
        <v>67</v>
      </c>
      <c r="E8775" t="s">
        <v>67</v>
      </c>
      <c r="F8775" t="s">
        <v>27987</v>
      </c>
      <c r="G8775" s="117">
        <v>15</v>
      </c>
    </row>
    <row r="8776" spans="1:7" x14ac:dyDescent="0.25">
      <c r="A8776" s="116" t="s">
        <v>13790</v>
      </c>
      <c r="B8776" s="117" t="s">
        <v>13597</v>
      </c>
      <c r="C8776" t="s">
        <v>67</v>
      </c>
      <c r="D8776" t="s">
        <v>67</v>
      </c>
      <c r="E8776" t="s">
        <v>67</v>
      </c>
      <c r="F8776" t="s">
        <v>27990</v>
      </c>
      <c r="G8776" s="117">
        <v>1.33</v>
      </c>
    </row>
    <row r="8777" spans="1:7" x14ac:dyDescent="0.25">
      <c r="A8777" s="116" t="s">
        <v>13791</v>
      </c>
      <c r="B8777" s="117" t="s">
        <v>1669</v>
      </c>
      <c r="C8777" t="s">
        <v>67</v>
      </c>
      <c r="D8777" t="s">
        <v>67</v>
      </c>
      <c r="E8777" t="s">
        <v>67</v>
      </c>
      <c r="F8777" t="s">
        <v>27987</v>
      </c>
      <c r="G8777" s="117">
        <v>9.0399999999999991</v>
      </c>
    </row>
    <row r="8778" spans="1:7" x14ac:dyDescent="0.25">
      <c r="A8778" s="116" t="s">
        <v>13792</v>
      </c>
      <c r="B8778" s="117" t="s">
        <v>2231</v>
      </c>
      <c r="C8778" t="s">
        <v>67</v>
      </c>
      <c r="D8778" t="s">
        <v>67</v>
      </c>
      <c r="E8778" t="s">
        <v>67</v>
      </c>
      <c r="F8778" t="s">
        <v>27987</v>
      </c>
      <c r="G8778" s="117">
        <v>2.13</v>
      </c>
    </row>
    <row r="8779" spans="1:7" x14ac:dyDescent="0.25">
      <c r="A8779" s="116" t="s">
        <v>28216</v>
      </c>
      <c r="B8779" s="117" t="s">
        <v>11787</v>
      </c>
      <c r="C8779" t="s">
        <v>67</v>
      </c>
      <c r="D8779" t="s">
        <v>67</v>
      </c>
      <c r="E8779" t="s">
        <v>67</v>
      </c>
      <c r="F8779" t="s">
        <v>27987</v>
      </c>
      <c r="G8779" s="117">
        <v>8</v>
      </c>
    </row>
    <row r="8780" spans="1:7" x14ac:dyDescent="0.25">
      <c r="A8780" s="116" t="s">
        <v>28121</v>
      </c>
      <c r="B8780" s="117" t="s">
        <v>16646</v>
      </c>
      <c r="C8780" t="s">
        <v>67</v>
      </c>
      <c r="D8780" t="s">
        <v>67</v>
      </c>
      <c r="E8780" t="s">
        <v>67</v>
      </c>
      <c r="F8780" t="s">
        <v>45</v>
      </c>
      <c r="G8780" s="117">
        <v>4</v>
      </c>
    </row>
    <row r="8781" spans="1:7" x14ac:dyDescent="0.25">
      <c r="A8781" s="116" t="s">
        <v>13793</v>
      </c>
      <c r="B8781" s="117" t="s">
        <v>13794</v>
      </c>
      <c r="C8781" t="s">
        <v>67</v>
      </c>
      <c r="D8781" t="s">
        <v>67</v>
      </c>
      <c r="E8781" t="s">
        <v>67</v>
      </c>
      <c r="F8781" t="s">
        <v>49</v>
      </c>
      <c r="G8781" s="117">
        <v>4.7699999999999996</v>
      </c>
    </row>
    <row r="8782" spans="1:7" x14ac:dyDescent="0.25">
      <c r="A8782" s="116" t="s">
        <v>28122</v>
      </c>
      <c r="B8782" s="117" t="s">
        <v>28123</v>
      </c>
      <c r="C8782" t="s">
        <v>67</v>
      </c>
      <c r="D8782" t="s">
        <v>67</v>
      </c>
      <c r="E8782" t="s">
        <v>67</v>
      </c>
      <c r="F8782" t="s">
        <v>27987</v>
      </c>
      <c r="G8782" s="117">
        <v>7</v>
      </c>
    </row>
    <row r="8783" spans="1:7" x14ac:dyDescent="0.25">
      <c r="A8783" s="116" t="s">
        <v>13795</v>
      </c>
      <c r="B8783" s="117" t="s">
        <v>1267</v>
      </c>
      <c r="C8783" t="s">
        <v>67</v>
      </c>
      <c r="D8783" t="s">
        <v>67</v>
      </c>
      <c r="E8783" t="s">
        <v>67</v>
      </c>
      <c r="F8783" t="s">
        <v>27987</v>
      </c>
      <c r="G8783" s="117">
        <v>19.84</v>
      </c>
    </row>
    <row r="8784" spans="1:7" x14ac:dyDescent="0.25">
      <c r="A8784" s="116" t="s">
        <v>13796</v>
      </c>
      <c r="B8784" s="117" t="s">
        <v>13797</v>
      </c>
      <c r="C8784" t="s">
        <v>67</v>
      </c>
      <c r="D8784" t="s">
        <v>67</v>
      </c>
      <c r="E8784" t="s">
        <v>67</v>
      </c>
      <c r="F8784" t="s">
        <v>27987</v>
      </c>
      <c r="G8784" s="117">
        <v>3.56</v>
      </c>
    </row>
    <row r="8785" spans="1:7" x14ac:dyDescent="0.25">
      <c r="A8785" s="116" t="s">
        <v>13798</v>
      </c>
      <c r="B8785" s="117" t="s">
        <v>13799</v>
      </c>
      <c r="C8785" t="s">
        <v>67</v>
      </c>
      <c r="D8785" t="s">
        <v>67</v>
      </c>
      <c r="E8785" t="s">
        <v>67</v>
      </c>
      <c r="F8785" t="s">
        <v>27987</v>
      </c>
      <c r="G8785" s="117">
        <v>46.83</v>
      </c>
    </row>
    <row r="8786" spans="1:7" x14ac:dyDescent="0.25">
      <c r="A8786" s="116" t="s">
        <v>13800</v>
      </c>
      <c r="B8786" s="117" t="s">
        <v>13801</v>
      </c>
      <c r="C8786" t="s">
        <v>67</v>
      </c>
      <c r="D8786" t="s">
        <v>67</v>
      </c>
      <c r="E8786" t="s">
        <v>67</v>
      </c>
      <c r="F8786" t="s">
        <v>27987</v>
      </c>
      <c r="G8786" s="117">
        <v>26.49</v>
      </c>
    </row>
    <row r="8787" spans="1:7" x14ac:dyDescent="0.25">
      <c r="A8787" s="116" t="s">
        <v>13802</v>
      </c>
      <c r="B8787" s="117" t="s">
        <v>13803</v>
      </c>
      <c r="C8787" t="s">
        <v>67</v>
      </c>
      <c r="D8787" t="s">
        <v>67</v>
      </c>
      <c r="E8787" t="s">
        <v>67</v>
      </c>
      <c r="F8787" t="s">
        <v>27987</v>
      </c>
      <c r="G8787" s="117">
        <v>5.9</v>
      </c>
    </row>
    <row r="8788" spans="1:7" x14ac:dyDescent="0.25">
      <c r="A8788" s="116" t="s">
        <v>13804</v>
      </c>
      <c r="B8788" s="117" t="s">
        <v>13805</v>
      </c>
      <c r="C8788" t="s">
        <v>67</v>
      </c>
      <c r="D8788" t="s">
        <v>67</v>
      </c>
      <c r="E8788" t="s">
        <v>67</v>
      </c>
      <c r="F8788" t="s">
        <v>27987</v>
      </c>
      <c r="G8788" s="117">
        <v>2.89</v>
      </c>
    </row>
    <row r="8789" spans="1:7" x14ac:dyDescent="0.25">
      <c r="A8789" s="116" t="s">
        <v>30094</v>
      </c>
      <c r="B8789" s="117" t="s">
        <v>30474</v>
      </c>
      <c r="C8789" t="s">
        <v>67</v>
      </c>
      <c r="D8789" t="s">
        <v>67</v>
      </c>
      <c r="E8789" t="s">
        <v>67</v>
      </c>
      <c r="F8789" t="s">
        <v>45</v>
      </c>
      <c r="G8789" s="117">
        <v>35.39</v>
      </c>
    </row>
    <row r="8790" spans="1:7" x14ac:dyDescent="0.25">
      <c r="A8790" s="116" t="s">
        <v>13806</v>
      </c>
      <c r="B8790" s="117" t="s">
        <v>13807</v>
      </c>
      <c r="C8790" t="s">
        <v>67</v>
      </c>
      <c r="D8790" t="s">
        <v>67</v>
      </c>
      <c r="E8790" t="s">
        <v>67</v>
      </c>
      <c r="F8790" t="s">
        <v>27987</v>
      </c>
      <c r="G8790" s="117">
        <v>4.6500000000000004</v>
      </c>
    </row>
    <row r="8791" spans="1:7" x14ac:dyDescent="0.25">
      <c r="A8791" s="116" t="s">
        <v>13808</v>
      </c>
      <c r="B8791" s="117" t="s">
        <v>13809</v>
      </c>
      <c r="C8791" t="s">
        <v>67</v>
      </c>
      <c r="D8791" t="s">
        <v>67</v>
      </c>
      <c r="E8791" t="s">
        <v>67</v>
      </c>
      <c r="F8791" t="s">
        <v>27987</v>
      </c>
      <c r="G8791" s="117">
        <v>3.01</v>
      </c>
    </row>
    <row r="8792" spans="1:7" x14ac:dyDescent="0.25">
      <c r="A8792" s="116" t="s">
        <v>29109</v>
      </c>
      <c r="B8792" s="117" t="s">
        <v>30106</v>
      </c>
      <c r="C8792" t="s">
        <v>67</v>
      </c>
      <c r="D8792" t="s">
        <v>67</v>
      </c>
      <c r="E8792" t="s">
        <v>67</v>
      </c>
      <c r="F8792" t="s">
        <v>27987</v>
      </c>
      <c r="G8792" s="117">
        <v>9.56</v>
      </c>
    </row>
    <row r="8793" spans="1:7" x14ac:dyDescent="0.25">
      <c r="A8793" s="116" t="s">
        <v>30681</v>
      </c>
      <c r="B8793" s="117" t="s">
        <v>30682</v>
      </c>
      <c r="C8793" t="s">
        <v>67</v>
      </c>
      <c r="D8793" t="s">
        <v>67</v>
      </c>
      <c r="E8793" t="s">
        <v>67</v>
      </c>
      <c r="F8793" t="s">
        <v>45</v>
      </c>
      <c r="G8793" s="117">
        <v>16</v>
      </c>
    </row>
    <row r="8794" spans="1:7" x14ac:dyDescent="0.25">
      <c r="A8794" s="116" t="s">
        <v>29110</v>
      </c>
      <c r="B8794" s="117" t="s">
        <v>30747</v>
      </c>
      <c r="C8794" t="s">
        <v>67</v>
      </c>
      <c r="D8794" t="s">
        <v>67</v>
      </c>
      <c r="E8794" t="s">
        <v>67</v>
      </c>
      <c r="F8794" t="s">
        <v>27987</v>
      </c>
      <c r="G8794" s="117">
        <v>10</v>
      </c>
    </row>
    <row r="8795" spans="1:7" x14ac:dyDescent="0.25">
      <c r="A8795" s="116" t="s">
        <v>13810</v>
      </c>
      <c r="B8795" s="117" t="s">
        <v>13811</v>
      </c>
      <c r="C8795" t="s">
        <v>67</v>
      </c>
      <c r="D8795" t="s">
        <v>67</v>
      </c>
      <c r="E8795" t="s">
        <v>67</v>
      </c>
      <c r="F8795" t="s">
        <v>27987</v>
      </c>
      <c r="G8795" s="117">
        <v>7.91</v>
      </c>
    </row>
    <row r="8796" spans="1:7" x14ac:dyDescent="0.25">
      <c r="A8796" s="116" t="s">
        <v>31082</v>
      </c>
      <c r="B8796" s="117" t="s">
        <v>31083</v>
      </c>
      <c r="C8796" t="s">
        <v>67</v>
      </c>
      <c r="D8796" t="s">
        <v>67</v>
      </c>
      <c r="E8796" t="s">
        <v>67</v>
      </c>
      <c r="F8796" t="s">
        <v>45</v>
      </c>
      <c r="G8796" s="117">
        <v>9999</v>
      </c>
    </row>
    <row r="8797" spans="1:7" x14ac:dyDescent="0.25">
      <c r="A8797" s="116" t="s">
        <v>29111</v>
      </c>
      <c r="B8797" s="117" t="s">
        <v>30107</v>
      </c>
      <c r="C8797" t="s">
        <v>67</v>
      </c>
      <c r="D8797" t="s">
        <v>67</v>
      </c>
      <c r="E8797" t="s">
        <v>67</v>
      </c>
      <c r="F8797" t="s">
        <v>27987</v>
      </c>
      <c r="G8797" s="117">
        <v>30</v>
      </c>
    </row>
    <row r="8798" spans="1:7" x14ac:dyDescent="0.25">
      <c r="A8798" s="116" t="s">
        <v>29112</v>
      </c>
      <c r="B8798" s="117" t="s">
        <v>30108</v>
      </c>
      <c r="C8798" t="s">
        <v>67</v>
      </c>
      <c r="D8798" t="s">
        <v>67</v>
      </c>
      <c r="E8798" t="s">
        <v>67</v>
      </c>
      <c r="F8798" t="s">
        <v>27987</v>
      </c>
      <c r="G8798" s="117">
        <v>8.51</v>
      </c>
    </row>
    <row r="8799" spans="1:7" x14ac:dyDescent="0.25">
      <c r="A8799" s="116" t="s">
        <v>29113</v>
      </c>
      <c r="B8799" s="117" t="s">
        <v>30030</v>
      </c>
      <c r="C8799" t="s">
        <v>67</v>
      </c>
      <c r="D8799" t="s">
        <v>67</v>
      </c>
      <c r="E8799" t="s">
        <v>67</v>
      </c>
      <c r="F8799" t="s">
        <v>27987</v>
      </c>
      <c r="G8799" s="117">
        <v>5.04</v>
      </c>
    </row>
    <row r="8800" spans="1:7" x14ac:dyDescent="0.25">
      <c r="A8800" s="116" t="s">
        <v>29114</v>
      </c>
      <c r="B8800" s="117" t="s">
        <v>29115</v>
      </c>
      <c r="C8800" t="s">
        <v>67</v>
      </c>
      <c r="D8800" t="s">
        <v>67</v>
      </c>
      <c r="E8800" t="s">
        <v>67</v>
      </c>
      <c r="F8800" t="s">
        <v>45</v>
      </c>
      <c r="G8800" s="117">
        <v>5</v>
      </c>
    </row>
    <row r="8801" spans="1:7" x14ac:dyDescent="0.25">
      <c r="A8801" s="116" t="s">
        <v>30122</v>
      </c>
      <c r="B8801" s="117" t="s">
        <v>30475</v>
      </c>
      <c r="C8801" t="s">
        <v>67</v>
      </c>
      <c r="D8801" t="s">
        <v>67</v>
      </c>
      <c r="E8801" t="s">
        <v>67</v>
      </c>
      <c r="F8801" t="s">
        <v>27987</v>
      </c>
      <c r="G8801" s="117">
        <v>1.58</v>
      </c>
    </row>
    <row r="8802" spans="1:7" x14ac:dyDescent="0.25">
      <c r="A8802" s="116" t="s">
        <v>26692</v>
      </c>
      <c r="B8802" s="117" t="s">
        <v>26693</v>
      </c>
      <c r="C8802" t="s">
        <v>67</v>
      </c>
      <c r="D8802" t="s">
        <v>67</v>
      </c>
      <c r="E8802" t="s">
        <v>67</v>
      </c>
      <c r="F8802" t="s">
        <v>49</v>
      </c>
      <c r="G8802" s="117">
        <v>4.3099999999999996</v>
      </c>
    </row>
    <row r="8803" spans="1:7" x14ac:dyDescent="0.25">
      <c r="A8803" s="116" t="s">
        <v>29116</v>
      </c>
      <c r="B8803" s="117" t="s">
        <v>29117</v>
      </c>
      <c r="C8803" t="s">
        <v>67</v>
      </c>
      <c r="D8803" t="s">
        <v>67</v>
      </c>
      <c r="E8803" t="s">
        <v>67</v>
      </c>
      <c r="F8803" t="s">
        <v>45</v>
      </c>
      <c r="G8803" s="117">
        <v>3.5</v>
      </c>
    </row>
    <row r="8804" spans="1:7" x14ac:dyDescent="0.25">
      <c r="A8804" s="116" t="s">
        <v>13812</v>
      </c>
      <c r="B8804" s="117" t="s">
        <v>13613</v>
      </c>
      <c r="C8804" t="s">
        <v>67</v>
      </c>
      <c r="D8804" t="s">
        <v>67</v>
      </c>
      <c r="E8804" t="s">
        <v>67</v>
      </c>
      <c r="F8804" t="s">
        <v>49</v>
      </c>
      <c r="G8804" s="117">
        <v>28.46</v>
      </c>
    </row>
    <row r="8805" spans="1:7" x14ac:dyDescent="0.25">
      <c r="A8805" s="116" t="s">
        <v>13813</v>
      </c>
      <c r="B8805" s="117" t="s">
        <v>13814</v>
      </c>
      <c r="C8805" t="s">
        <v>67</v>
      </c>
      <c r="D8805" t="s">
        <v>67</v>
      </c>
      <c r="E8805" t="s">
        <v>67</v>
      </c>
      <c r="F8805" t="s">
        <v>27987</v>
      </c>
      <c r="G8805" s="117">
        <v>25.23</v>
      </c>
    </row>
    <row r="8806" spans="1:7" x14ac:dyDescent="0.25">
      <c r="A8806" s="116" t="s">
        <v>26744</v>
      </c>
      <c r="B8806" s="117" t="s">
        <v>28086</v>
      </c>
      <c r="C8806" t="s">
        <v>67</v>
      </c>
      <c r="D8806" t="s">
        <v>67</v>
      </c>
      <c r="E8806" t="s">
        <v>67</v>
      </c>
      <c r="F8806" t="s">
        <v>49</v>
      </c>
      <c r="G8806" s="117">
        <v>10</v>
      </c>
    </row>
    <row r="8807" spans="1:7" x14ac:dyDescent="0.25">
      <c r="A8807" s="116" t="s">
        <v>13815</v>
      </c>
      <c r="B8807" s="117" t="s">
        <v>13816</v>
      </c>
      <c r="C8807" t="s">
        <v>67</v>
      </c>
      <c r="D8807" t="s">
        <v>67</v>
      </c>
      <c r="E8807" t="s">
        <v>67</v>
      </c>
      <c r="F8807" t="s">
        <v>49</v>
      </c>
      <c r="G8807" s="117">
        <v>7</v>
      </c>
    </row>
    <row r="8808" spans="1:7" x14ac:dyDescent="0.25">
      <c r="A8808" s="116" t="s">
        <v>26608</v>
      </c>
      <c r="B8808" s="117" t="s">
        <v>14069</v>
      </c>
      <c r="C8808" t="s">
        <v>67</v>
      </c>
      <c r="D8808" t="s">
        <v>67</v>
      </c>
      <c r="E8808" t="s">
        <v>67</v>
      </c>
      <c r="F8808" t="s">
        <v>49</v>
      </c>
      <c r="G8808" s="117">
        <v>2.3199999999999998</v>
      </c>
    </row>
    <row r="8809" spans="1:7" x14ac:dyDescent="0.25">
      <c r="A8809" s="116" t="s">
        <v>13817</v>
      </c>
      <c r="B8809" s="117" t="s">
        <v>13818</v>
      </c>
      <c r="C8809" t="s">
        <v>67</v>
      </c>
      <c r="D8809" t="s">
        <v>67</v>
      </c>
      <c r="E8809" t="s">
        <v>67</v>
      </c>
      <c r="F8809" t="s">
        <v>27990</v>
      </c>
      <c r="G8809" s="117">
        <v>24.23</v>
      </c>
    </row>
    <row r="8810" spans="1:7" x14ac:dyDescent="0.25">
      <c r="A8810" s="116" t="s">
        <v>13819</v>
      </c>
      <c r="B8810" s="117" t="s">
        <v>13820</v>
      </c>
      <c r="C8810" t="s">
        <v>67</v>
      </c>
      <c r="D8810" t="s">
        <v>67</v>
      </c>
      <c r="E8810" t="s">
        <v>67</v>
      </c>
      <c r="F8810" t="s">
        <v>27987</v>
      </c>
      <c r="G8810" s="117">
        <v>35</v>
      </c>
    </row>
    <row r="8811" spans="1:7" x14ac:dyDescent="0.25">
      <c r="A8811" s="116" t="s">
        <v>13821</v>
      </c>
      <c r="B8811" s="117" t="s">
        <v>1267</v>
      </c>
      <c r="C8811" t="s">
        <v>67</v>
      </c>
      <c r="D8811" t="s">
        <v>67</v>
      </c>
      <c r="E8811" t="s">
        <v>67</v>
      </c>
      <c r="F8811" t="s">
        <v>27987</v>
      </c>
      <c r="G8811" s="117">
        <v>9.42</v>
      </c>
    </row>
    <row r="8812" spans="1:7" x14ac:dyDescent="0.25">
      <c r="A8812" s="116" t="s">
        <v>13822</v>
      </c>
      <c r="B8812" s="117" t="s">
        <v>2231</v>
      </c>
      <c r="C8812" t="s">
        <v>67</v>
      </c>
      <c r="D8812" t="s">
        <v>67</v>
      </c>
      <c r="E8812" t="s">
        <v>67</v>
      </c>
      <c r="F8812" t="s">
        <v>27987</v>
      </c>
      <c r="G8812" s="117">
        <v>3.52</v>
      </c>
    </row>
    <row r="8813" spans="1:7" x14ac:dyDescent="0.25">
      <c r="A8813" s="116" t="s">
        <v>13823</v>
      </c>
      <c r="B8813" s="117" t="s">
        <v>13824</v>
      </c>
      <c r="C8813" t="s">
        <v>67</v>
      </c>
      <c r="D8813" t="s">
        <v>67</v>
      </c>
      <c r="E8813" t="s">
        <v>67</v>
      </c>
      <c r="F8813" t="s">
        <v>27987</v>
      </c>
      <c r="G8813" s="117">
        <v>8.66</v>
      </c>
    </row>
    <row r="8814" spans="1:7" x14ac:dyDescent="0.25">
      <c r="A8814" s="116" t="s">
        <v>29118</v>
      </c>
      <c r="B8814" s="117" t="s">
        <v>13662</v>
      </c>
      <c r="C8814" t="s">
        <v>67</v>
      </c>
      <c r="D8814" t="s">
        <v>67</v>
      </c>
      <c r="E8814" t="s">
        <v>67</v>
      </c>
      <c r="F8814" t="s">
        <v>27987</v>
      </c>
      <c r="G8814" s="117">
        <v>5</v>
      </c>
    </row>
    <row r="8815" spans="1:7" x14ac:dyDescent="0.25">
      <c r="A8815" s="116" t="s">
        <v>13825</v>
      </c>
      <c r="B8815" s="117" t="s">
        <v>13826</v>
      </c>
      <c r="C8815" t="s">
        <v>67</v>
      </c>
      <c r="D8815" t="s">
        <v>67</v>
      </c>
      <c r="E8815" t="s">
        <v>67</v>
      </c>
      <c r="F8815" t="s">
        <v>27987</v>
      </c>
      <c r="G8815" s="117">
        <v>7.5</v>
      </c>
    </row>
    <row r="8816" spans="1:7" x14ac:dyDescent="0.25">
      <c r="A8816" s="116" t="s">
        <v>26933</v>
      </c>
      <c r="B8816" s="117" t="s">
        <v>26934</v>
      </c>
      <c r="C8816" t="s">
        <v>67</v>
      </c>
      <c r="D8816" t="s">
        <v>67</v>
      </c>
      <c r="E8816" t="s">
        <v>67</v>
      </c>
      <c r="F8816" t="s">
        <v>27987</v>
      </c>
      <c r="G8816" s="117">
        <v>2</v>
      </c>
    </row>
    <row r="8817" spans="1:7" x14ac:dyDescent="0.25">
      <c r="A8817" s="116" t="s">
        <v>13827</v>
      </c>
      <c r="B8817" s="117" t="s">
        <v>13828</v>
      </c>
      <c r="C8817" t="s">
        <v>67</v>
      </c>
      <c r="D8817" t="s">
        <v>67</v>
      </c>
      <c r="E8817" t="s">
        <v>67</v>
      </c>
      <c r="F8817" t="s">
        <v>27987</v>
      </c>
      <c r="G8817" s="117">
        <v>8.73</v>
      </c>
    </row>
    <row r="8818" spans="1:7" x14ac:dyDescent="0.25">
      <c r="A8818" s="116" t="s">
        <v>13829</v>
      </c>
      <c r="B8818" s="117" t="s">
        <v>13830</v>
      </c>
      <c r="C8818" t="s">
        <v>67</v>
      </c>
      <c r="D8818" t="s">
        <v>67</v>
      </c>
      <c r="E8818" t="s">
        <v>67</v>
      </c>
      <c r="F8818" t="s">
        <v>49</v>
      </c>
      <c r="G8818" s="117">
        <v>4.3899999999999997</v>
      </c>
    </row>
    <row r="8819" spans="1:7" x14ac:dyDescent="0.25">
      <c r="A8819" s="116" t="s">
        <v>13831</v>
      </c>
      <c r="B8819" s="117" t="s">
        <v>998</v>
      </c>
      <c r="C8819" t="s">
        <v>67</v>
      </c>
      <c r="D8819" t="s">
        <v>67</v>
      </c>
      <c r="E8819" t="s">
        <v>67</v>
      </c>
      <c r="F8819" t="s">
        <v>27987</v>
      </c>
      <c r="G8819" s="117">
        <v>112.56</v>
      </c>
    </row>
    <row r="8820" spans="1:7" x14ac:dyDescent="0.25">
      <c r="A8820" s="116" t="s">
        <v>28198</v>
      </c>
      <c r="B8820" s="117" t="s">
        <v>28199</v>
      </c>
      <c r="C8820" t="s">
        <v>67</v>
      </c>
      <c r="D8820" t="s">
        <v>67</v>
      </c>
      <c r="E8820" t="s">
        <v>67</v>
      </c>
      <c r="F8820" t="s">
        <v>27987</v>
      </c>
      <c r="G8820" s="117">
        <v>30</v>
      </c>
    </row>
    <row r="8821" spans="1:7" x14ac:dyDescent="0.25">
      <c r="A8821" s="116" t="s">
        <v>13832</v>
      </c>
      <c r="B8821" s="117" t="s">
        <v>29120</v>
      </c>
      <c r="C8821" t="s">
        <v>67</v>
      </c>
      <c r="D8821" t="s">
        <v>67</v>
      </c>
      <c r="E8821" t="s">
        <v>67</v>
      </c>
      <c r="F8821" t="s">
        <v>27987</v>
      </c>
      <c r="G8821" s="117">
        <v>7.41</v>
      </c>
    </row>
    <row r="8822" spans="1:7" x14ac:dyDescent="0.25">
      <c r="A8822" s="116" t="s">
        <v>29941</v>
      </c>
      <c r="B8822" s="117" t="s">
        <v>30476</v>
      </c>
      <c r="C8822" t="s">
        <v>67</v>
      </c>
      <c r="D8822" t="s">
        <v>67</v>
      </c>
      <c r="E8822" t="s">
        <v>67</v>
      </c>
      <c r="F8822" t="s">
        <v>27987</v>
      </c>
      <c r="G8822" s="117">
        <v>10</v>
      </c>
    </row>
    <row r="8823" spans="1:7" x14ac:dyDescent="0.25">
      <c r="A8823" s="116" t="s">
        <v>13833</v>
      </c>
      <c r="B8823" s="117" t="s">
        <v>29121</v>
      </c>
      <c r="C8823" t="s">
        <v>67</v>
      </c>
      <c r="D8823" t="s">
        <v>67</v>
      </c>
      <c r="E8823" t="s">
        <v>67</v>
      </c>
      <c r="F8823" t="s">
        <v>27987</v>
      </c>
      <c r="G8823" s="117">
        <v>6.46</v>
      </c>
    </row>
    <row r="8824" spans="1:7" x14ac:dyDescent="0.25">
      <c r="A8824" s="116" t="s">
        <v>26618</v>
      </c>
      <c r="B8824" s="117" t="s">
        <v>26908</v>
      </c>
      <c r="C8824" t="s">
        <v>67</v>
      </c>
      <c r="D8824" t="s">
        <v>67</v>
      </c>
      <c r="E8824" t="s">
        <v>67</v>
      </c>
      <c r="F8824" t="s">
        <v>27987</v>
      </c>
      <c r="G8824" s="117">
        <v>2.72</v>
      </c>
    </row>
    <row r="8825" spans="1:7" x14ac:dyDescent="0.25">
      <c r="A8825" s="116" t="s">
        <v>13834</v>
      </c>
      <c r="B8825" s="117" t="s">
        <v>14090</v>
      </c>
      <c r="C8825" t="s">
        <v>67</v>
      </c>
      <c r="D8825" t="s">
        <v>67</v>
      </c>
      <c r="E8825" t="s">
        <v>67</v>
      </c>
      <c r="F8825" t="s">
        <v>27987</v>
      </c>
      <c r="G8825" s="117">
        <v>1.08</v>
      </c>
    </row>
    <row r="8826" spans="1:7" x14ac:dyDescent="0.25">
      <c r="A8826" s="116" t="s">
        <v>13835</v>
      </c>
      <c r="B8826" s="117" t="s">
        <v>29122</v>
      </c>
      <c r="C8826" t="s">
        <v>67</v>
      </c>
      <c r="D8826" t="s">
        <v>67</v>
      </c>
      <c r="E8826" t="s">
        <v>67</v>
      </c>
      <c r="F8826" t="s">
        <v>27987</v>
      </c>
      <c r="G8826" s="117">
        <v>8</v>
      </c>
    </row>
    <row r="8827" spans="1:7" x14ac:dyDescent="0.25">
      <c r="A8827" s="116" t="s">
        <v>31226</v>
      </c>
      <c r="B8827" s="117" t="s">
        <v>31227</v>
      </c>
      <c r="C8827" t="s">
        <v>67</v>
      </c>
      <c r="D8827" t="s">
        <v>67</v>
      </c>
      <c r="E8827" t="s">
        <v>67</v>
      </c>
      <c r="F8827" t="s">
        <v>45</v>
      </c>
      <c r="G8827" s="117">
        <v>8</v>
      </c>
    </row>
    <row r="8828" spans="1:7" x14ac:dyDescent="0.25">
      <c r="A8828" s="116" t="s">
        <v>28087</v>
      </c>
      <c r="B8828" s="117" t="s">
        <v>28088</v>
      </c>
      <c r="C8828" t="s">
        <v>67</v>
      </c>
      <c r="D8828" t="s">
        <v>67</v>
      </c>
      <c r="E8828" t="s">
        <v>67</v>
      </c>
      <c r="F8828" t="s">
        <v>27987</v>
      </c>
      <c r="G8828" s="117">
        <v>23</v>
      </c>
    </row>
    <row r="8829" spans="1:7" x14ac:dyDescent="0.25">
      <c r="A8829" s="116" t="s">
        <v>13836</v>
      </c>
      <c r="B8829" s="117" t="s">
        <v>13837</v>
      </c>
      <c r="C8829" t="s">
        <v>67</v>
      </c>
      <c r="D8829" t="s">
        <v>67</v>
      </c>
      <c r="E8829" t="s">
        <v>67</v>
      </c>
      <c r="F8829" t="s">
        <v>27987</v>
      </c>
      <c r="G8829" s="117">
        <v>6.46</v>
      </c>
    </row>
    <row r="8830" spans="1:7" x14ac:dyDescent="0.25">
      <c r="A8830" s="116" t="s">
        <v>30066</v>
      </c>
      <c r="B8830" s="117" t="s">
        <v>30073</v>
      </c>
      <c r="C8830" t="s">
        <v>67</v>
      </c>
      <c r="D8830" t="s">
        <v>67</v>
      </c>
      <c r="E8830" t="s">
        <v>67</v>
      </c>
      <c r="F8830" t="s">
        <v>27987</v>
      </c>
      <c r="G8830" s="117">
        <v>4</v>
      </c>
    </row>
    <row r="8831" spans="1:7" x14ac:dyDescent="0.25">
      <c r="A8831" s="116" t="s">
        <v>31135</v>
      </c>
      <c r="B8831" s="117" t="s">
        <v>31136</v>
      </c>
      <c r="C8831" t="s">
        <v>67</v>
      </c>
      <c r="D8831" t="s">
        <v>67</v>
      </c>
      <c r="E8831" t="s">
        <v>67</v>
      </c>
      <c r="F8831" t="s">
        <v>27987</v>
      </c>
      <c r="G8831" s="117">
        <v>24</v>
      </c>
    </row>
    <row r="8832" spans="1:7" x14ac:dyDescent="0.25">
      <c r="A8832" s="116" t="s">
        <v>31137</v>
      </c>
      <c r="B8832" s="117" t="s">
        <v>31138</v>
      </c>
      <c r="C8832" t="s">
        <v>67</v>
      </c>
      <c r="D8832" t="s">
        <v>67</v>
      </c>
      <c r="E8832" t="s">
        <v>67</v>
      </c>
      <c r="F8832" t="s">
        <v>27987</v>
      </c>
      <c r="G8832" s="117">
        <v>3</v>
      </c>
    </row>
    <row r="8833" spans="1:7" x14ac:dyDescent="0.25">
      <c r="A8833" s="116" t="s">
        <v>30784</v>
      </c>
      <c r="B8833" s="117" t="s">
        <v>30785</v>
      </c>
      <c r="C8833" t="s">
        <v>67</v>
      </c>
      <c r="D8833" t="s">
        <v>67</v>
      </c>
      <c r="E8833" t="s">
        <v>67</v>
      </c>
      <c r="F8833" t="s">
        <v>27987</v>
      </c>
      <c r="G8833" s="117">
        <v>1</v>
      </c>
    </row>
    <row r="8834" spans="1:7" x14ac:dyDescent="0.25">
      <c r="A8834" s="116" t="s">
        <v>26805</v>
      </c>
      <c r="B8834" s="117" t="s">
        <v>26806</v>
      </c>
      <c r="C8834" t="s">
        <v>67</v>
      </c>
      <c r="D8834" t="s">
        <v>67</v>
      </c>
      <c r="E8834" t="s">
        <v>67</v>
      </c>
      <c r="F8834" t="s">
        <v>27987</v>
      </c>
      <c r="G8834" s="117">
        <v>5.0199999999999996</v>
      </c>
    </row>
    <row r="8835" spans="1:7" x14ac:dyDescent="0.25">
      <c r="A8835" s="116" t="s">
        <v>13838</v>
      </c>
      <c r="B8835" s="117" t="s">
        <v>26468</v>
      </c>
      <c r="C8835" t="s">
        <v>67</v>
      </c>
      <c r="D8835" t="s">
        <v>67</v>
      </c>
      <c r="E8835" t="s">
        <v>67</v>
      </c>
      <c r="F8835" t="s">
        <v>27987</v>
      </c>
      <c r="G8835" s="117">
        <v>70</v>
      </c>
    </row>
    <row r="8836" spans="1:7" x14ac:dyDescent="0.25">
      <c r="A8836" s="116" t="s">
        <v>13839</v>
      </c>
      <c r="B8836" s="117" t="s">
        <v>26469</v>
      </c>
      <c r="C8836" t="s">
        <v>67</v>
      </c>
      <c r="D8836" t="s">
        <v>67</v>
      </c>
      <c r="E8836" t="s">
        <v>67</v>
      </c>
      <c r="F8836" t="s">
        <v>27987</v>
      </c>
      <c r="G8836" s="117">
        <v>40</v>
      </c>
    </row>
    <row r="8837" spans="1:7" x14ac:dyDescent="0.25">
      <c r="A8837" s="116" t="s">
        <v>13840</v>
      </c>
      <c r="B8837" s="117" t="s">
        <v>26470</v>
      </c>
      <c r="C8837" t="s">
        <v>67</v>
      </c>
      <c r="D8837" t="s">
        <v>67</v>
      </c>
      <c r="E8837" t="s">
        <v>67</v>
      </c>
      <c r="F8837" t="s">
        <v>27987</v>
      </c>
      <c r="G8837" s="117">
        <v>30</v>
      </c>
    </row>
    <row r="8838" spans="1:7" x14ac:dyDescent="0.25">
      <c r="A8838" s="116" t="s">
        <v>13841</v>
      </c>
      <c r="B8838" s="117" t="s">
        <v>26471</v>
      </c>
      <c r="C8838" t="s">
        <v>67</v>
      </c>
      <c r="D8838" t="s">
        <v>67</v>
      </c>
      <c r="E8838" t="s">
        <v>67</v>
      </c>
      <c r="F8838" t="s">
        <v>27987</v>
      </c>
      <c r="G8838" s="117">
        <v>12</v>
      </c>
    </row>
    <row r="8839" spans="1:7" x14ac:dyDescent="0.25">
      <c r="A8839" s="116" t="s">
        <v>13842</v>
      </c>
      <c r="B8839" s="117" t="s">
        <v>26472</v>
      </c>
      <c r="C8839" t="s">
        <v>67</v>
      </c>
      <c r="D8839" t="s">
        <v>67</v>
      </c>
      <c r="E8839" t="s">
        <v>67</v>
      </c>
      <c r="F8839" t="s">
        <v>27987</v>
      </c>
      <c r="G8839" s="117">
        <v>4</v>
      </c>
    </row>
    <row r="8840" spans="1:7" x14ac:dyDescent="0.25">
      <c r="A8840" s="116" t="s">
        <v>13843</v>
      </c>
      <c r="B8840" s="117" t="s">
        <v>26473</v>
      </c>
      <c r="C8840" t="s">
        <v>67</v>
      </c>
      <c r="D8840" t="s">
        <v>67</v>
      </c>
      <c r="E8840" t="s">
        <v>67</v>
      </c>
      <c r="F8840" t="s">
        <v>27987</v>
      </c>
      <c r="G8840" s="117">
        <v>87.58</v>
      </c>
    </row>
    <row r="8841" spans="1:7" x14ac:dyDescent="0.25">
      <c r="A8841" s="116" t="s">
        <v>13844</v>
      </c>
      <c r="B8841" s="117" t="s">
        <v>26474</v>
      </c>
      <c r="C8841" t="s">
        <v>67</v>
      </c>
      <c r="D8841" t="s">
        <v>67</v>
      </c>
      <c r="E8841" t="s">
        <v>67</v>
      </c>
      <c r="F8841" t="s">
        <v>27987</v>
      </c>
      <c r="G8841" s="117">
        <v>6</v>
      </c>
    </row>
    <row r="8842" spans="1:7" x14ac:dyDescent="0.25">
      <c r="A8842" s="116" t="s">
        <v>13845</v>
      </c>
      <c r="B8842" s="117" t="s">
        <v>26475</v>
      </c>
      <c r="C8842" t="s">
        <v>67</v>
      </c>
      <c r="D8842" t="s">
        <v>67</v>
      </c>
      <c r="E8842" t="s">
        <v>67</v>
      </c>
      <c r="F8842" t="s">
        <v>27987</v>
      </c>
      <c r="G8842" s="117">
        <v>12</v>
      </c>
    </row>
    <row r="8843" spans="1:7" x14ac:dyDescent="0.25">
      <c r="A8843" s="116" t="s">
        <v>13846</v>
      </c>
      <c r="B8843" s="117" t="s">
        <v>26476</v>
      </c>
      <c r="C8843" t="s">
        <v>67</v>
      </c>
      <c r="D8843" t="s">
        <v>67</v>
      </c>
      <c r="E8843" t="s">
        <v>67</v>
      </c>
      <c r="F8843" t="s">
        <v>27987</v>
      </c>
      <c r="G8843" s="117">
        <v>40</v>
      </c>
    </row>
    <row r="8844" spans="1:7" x14ac:dyDescent="0.25">
      <c r="A8844" s="116" t="s">
        <v>13847</v>
      </c>
      <c r="B8844" s="117" t="s">
        <v>26477</v>
      </c>
      <c r="C8844" t="s">
        <v>67</v>
      </c>
      <c r="D8844" t="s">
        <v>67</v>
      </c>
      <c r="E8844" t="s">
        <v>67</v>
      </c>
      <c r="F8844" t="s">
        <v>27987</v>
      </c>
      <c r="G8844" s="117">
        <v>40</v>
      </c>
    </row>
    <row r="8845" spans="1:7" x14ac:dyDescent="0.25">
      <c r="A8845" s="116" t="s">
        <v>13848</v>
      </c>
      <c r="B8845" s="117" t="s">
        <v>26478</v>
      </c>
      <c r="C8845" t="s">
        <v>67</v>
      </c>
      <c r="D8845" t="s">
        <v>67</v>
      </c>
      <c r="E8845" t="s">
        <v>67</v>
      </c>
      <c r="F8845" t="s">
        <v>27987</v>
      </c>
      <c r="G8845" s="117">
        <v>13</v>
      </c>
    </row>
    <row r="8846" spans="1:7" x14ac:dyDescent="0.25">
      <c r="A8846" s="116" t="s">
        <v>13849</v>
      </c>
      <c r="B8846" s="117" t="s">
        <v>26479</v>
      </c>
      <c r="C8846" t="s">
        <v>67</v>
      </c>
      <c r="D8846" t="s">
        <v>67</v>
      </c>
      <c r="E8846" t="s">
        <v>67</v>
      </c>
      <c r="F8846" t="s">
        <v>27987</v>
      </c>
      <c r="G8846" s="117">
        <v>13</v>
      </c>
    </row>
    <row r="8847" spans="1:7" x14ac:dyDescent="0.25">
      <c r="A8847" s="116" t="s">
        <v>28200</v>
      </c>
      <c r="B8847" s="117" t="s">
        <v>28201</v>
      </c>
      <c r="C8847" t="s">
        <v>67</v>
      </c>
      <c r="D8847" t="s">
        <v>67</v>
      </c>
      <c r="E8847" t="s">
        <v>67</v>
      </c>
      <c r="F8847" t="s">
        <v>45</v>
      </c>
      <c r="G8847" s="117">
        <v>8</v>
      </c>
    </row>
    <row r="8848" spans="1:7" x14ac:dyDescent="0.25">
      <c r="A8848" s="116" t="s">
        <v>29123</v>
      </c>
      <c r="B8848" s="117" t="s">
        <v>29124</v>
      </c>
      <c r="C8848" t="s">
        <v>67</v>
      </c>
      <c r="D8848" t="s">
        <v>67</v>
      </c>
      <c r="E8848" t="s">
        <v>67</v>
      </c>
      <c r="F8848" t="s">
        <v>27987</v>
      </c>
      <c r="G8848" s="117">
        <v>17</v>
      </c>
    </row>
    <row r="8849" spans="1:7" x14ac:dyDescent="0.25">
      <c r="A8849" s="116" t="s">
        <v>26998</v>
      </c>
      <c r="B8849" s="117" t="s">
        <v>29125</v>
      </c>
      <c r="C8849" t="s">
        <v>67</v>
      </c>
      <c r="D8849" t="s">
        <v>67</v>
      </c>
      <c r="E8849" t="s">
        <v>67</v>
      </c>
      <c r="F8849" t="s">
        <v>27987</v>
      </c>
      <c r="G8849" s="117">
        <v>48</v>
      </c>
    </row>
    <row r="8850" spans="1:7" x14ac:dyDescent="0.25">
      <c r="A8850" s="116" t="s">
        <v>26939</v>
      </c>
      <c r="B8850" s="117" t="s">
        <v>29126</v>
      </c>
      <c r="C8850" t="s">
        <v>67</v>
      </c>
      <c r="D8850" t="s">
        <v>67</v>
      </c>
      <c r="E8850" t="s">
        <v>67</v>
      </c>
      <c r="F8850" t="s">
        <v>27987</v>
      </c>
      <c r="G8850" s="117">
        <v>45</v>
      </c>
    </row>
    <row r="8851" spans="1:7" x14ac:dyDescent="0.25">
      <c r="A8851" s="116" t="s">
        <v>26940</v>
      </c>
      <c r="B8851" s="117" t="s">
        <v>29127</v>
      </c>
      <c r="C8851" t="s">
        <v>67</v>
      </c>
      <c r="D8851" t="s">
        <v>67</v>
      </c>
      <c r="E8851" t="s">
        <v>67</v>
      </c>
      <c r="F8851" t="s">
        <v>27987</v>
      </c>
      <c r="G8851" s="117">
        <v>46</v>
      </c>
    </row>
    <row r="8852" spans="1:7" x14ac:dyDescent="0.25">
      <c r="A8852" s="116" t="s">
        <v>26999</v>
      </c>
      <c r="B8852" s="117" t="s">
        <v>29128</v>
      </c>
      <c r="C8852" t="s">
        <v>67</v>
      </c>
      <c r="D8852" t="s">
        <v>67</v>
      </c>
      <c r="E8852" t="s">
        <v>67</v>
      </c>
      <c r="F8852" t="s">
        <v>27987</v>
      </c>
      <c r="G8852" s="117">
        <v>49</v>
      </c>
    </row>
    <row r="8853" spans="1:7" x14ac:dyDescent="0.25">
      <c r="A8853" s="116" t="s">
        <v>26941</v>
      </c>
      <c r="B8853" s="117" t="s">
        <v>29129</v>
      </c>
      <c r="C8853" t="s">
        <v>67</v>
      </c>
      <c r="D8853" t="s">
        <v>67</v>
      </c>
      <c r="E8853" t="s">
        <v>67</v>
      </c>
      <c r="F8853" t="s">
        <v>27987</v>
      </c>
      <c r="G8853" s="117">
        <v>120</v>
      </c>
    </row>
    <row r="8854" spans="1:7" x14ac:dyDescent="0.25">
      <c r="A8854" s="116" t="s">
        <v>26942</v>
      </c>
      <c r="B8854" s="117" t="s">
        <v>29130</v>
      </c>
      <c r="C8854" t="s">
        <v>67</v>
      </c>
      <c r="D8854" t="s">
        <v>67</v>
      </c>
      <c r="E8854" t="s">
        <v>67</v>
      </c>
      <c r="F8854" t="s">
        <v>27987</v>
      </c>
      <c r="G8854" s="117">
        <v>17</v>
      </c>
    </row>
    <row r="8855" spans="1:7" x14ac:dyDescent="0.25">
      <c r="A8855" s="116" t="s">
        <v>26876</v>
      </c>
      <c r="B8855" s="117" t="s">
        <v>29131</v>
      </c>
      <c r="C8855" t="s">
        <v>67</v>
      </c>
      <c r="D8855" t="s">
        <v>67</v>
      </c>
      <c r="E8855" t="s">
        <v>67</v>
      </c>
      <c r="F8855" t="s">
        <v>27987</v>
      </c>
      <c r="G8855" s="117">
        <v>16</v>
      </c>
    </row>
    <row r="8856" spans="1:7" x14ac:dyDescent="0.25">
      <c r="A8856" s="116" t="s">
        <v>27000</v>
      </c>
      <c r="B8856" s="117" t="s">
        <v>29132</v>
      </c>
      <c r="C8856" t="s">
        <v>67</v>
      </c>
      <c r="D8856" t="s">
        <v>67</v>
      </c>
      <c r="E8856" t="s">
        <v>67</v>
      </c>
      <c r="F8856" t="s">
        <v>27987</v>
      </c>
      <c r="G8856" s="117">
        <v>65</v>
      </c>
    </row>
    <row r="8857" spans="1:7" x14ac:dyDescent="0.25">
      <c r="A8857" s="116" t="s">
        <v>26943</v>
      </c>
      <c r="B8857" s="117" t="s">
        <v>29133</v>
      </c>
      <c r="C8857" t="s">
        <v>67</v>
      </c>
      <c r="D8857" t="s">
        <v>67</v>
      </c>
      <c r="E8857" t="s">
        <v>67</v>
      </c>
      <c r="F8857" t="s">
        <v>27987</v>
      </c>
      <c r="G8857" s="117">
        <v>10</v>
      </c>
    </row>
    <row r="8858" spans="1:7" x14ac:dyDescent="0.25">
      <c r="A8858" s="116" t="s">
        <v>26944</v>
      </c>
      <c r="B8858" s="117" t="s">
        <v>29134</v>
      </c>
      <c r="C8858" t="s">
        <v>67</v>
      </c>
      <c r="D8858" t="s">
        <v>67</v>
      </c>
      <c r="E8858" t="s">
        <v>67</v>
      </c>
      <c r="F8858" t="s">
        <v>27987</v>
      </c>
      <c r="G8858" s="117">
        <v>13</v>
      </c>
    </row>
    <row r="8859" spans="1:7" x14ac:dyDescent="0.25">
      <c r="A8859" s="116" t="s">
        <v>26575</v>
      </c>
      <c r="B8859" s="117" t="s">
        <v>26909</v>
      </c>
      <c r="C8859" t="s">
        <v>67</v>
      </c>
      <c r="D8859" t="s">
        <v>67</v>
      </c>
      <c r="E8859" t="s">
        <v>67</v>
      </c>
      <c r="F8859" t="s">
        <v>27987</v>
      </c>
      <c r="G8859" s="117">
        <v>1.79</v>
      </c>
    </row>
    <row r="8860" spans="1:7" x14ac:dyDescent="0.25">
      <c r="A8860" s="116" t="s">
        <v>26576</v>
      </c>
      <c r="B8860" s="117" t="s">
        <v>26910</v>
      </c>
      <c r="C8860" t="s">
        <v>67</v>
      </c>
      <c r="D8860" t="s">
        <v>67</v>
      </c>
      <c r="E8860" t="s">
        <v>67</v>
      </c>
      <c r="F8860" t="s">
        <v>27987</v>
      </c>
      <c r="G8860" s="117">
        <v>1.91</v>
      </c>
    </row>
    <row r="8861" spans="1:7" x14ac:dyDescent="0.25">
      <c r="A8861" s="116" t="s">
        <v>30171</v>
      </c>
      <c r="B8861" s="117" t="s">
        <v>30172</v>
      </c>
      <c r="C8861" t="s">
        <v>67</v>
      </c>
      <c r="D8861" t="s">
        <v>67</v>
      </c>
      <c r="E8861" t="s">
        <v>67</v>
      </c>
      <c r="F8861" t="s">
        <v>27987</v>
      </c>
      <c r="G8861" s="117">
        <v>20</v>
      </c>
    </row>
    <row r="8862" spans="1:7" x14ac:dyDescent="0.25">
      <c r="A8862" s="116" t="s">
        <v>29135</v>
      </c>
      <c r="B8862" s="117" t="s">
        <v>16841</v>
      </c>
      <c r="C8862" t="s">
        <v>67</v>
      </c>
      <c r="D8862" t="s">
        <v>67</v>
      </c>
      <c r="E8862" t="s">
        <v>67</v>
      </c>
      <c r="F8862" t="s">
        <v>27987</v>
      </c>
      <c r="G8862" s="117">
        <v>20</v>
      </c>
    </row>
    <row r="8863" spans="1:7" x14ac:dyDescent="0.25">
      <c r="A8863" s="116" t="s">
        <v>31085</v>
      </c>
      <c r="B8863" s="117" t="s">
        <v>31086</v>
      </c>
      <c r="C8863" t="s">
        <v>67</v>
      </c>
      <c r="D8863" t="s">
        <v>67</v>
      </c>
      <c r="E8863" t="s">
        <v>67</v>
      </c>
      <c r="F8863" t="s">
        <v>49</v>
      </c>
      <c r="G8863" s="117">
        <v>9999</v>
      </c>
    </row>
    <row r="8864" spans="1:7" x14ac:dyDescent="0.25">
      <c r="A8864" s="116" t="s">
        <v>26708</v>
      </c>
      <c r="B8864" s="117" t="s">
        <v>29049</v>
      </c>
      <c r="C8864" t="s">
        <v>67</v>
      </c>
      <c r="D8864" t="s">
        <v>67</v>
      </c>
      <c r="E8864" t="s">
        <v>67</v>
      </c>
      <c r="F8864" t="s">
        <v>27987</v>
      </c>
      <c r="G8864" s="117">
        <v>5</v>
      </c>
    </row>
    <row r="8865" spans="1:7" x14ac:dyDescent="0.25">
      <c r="A8865" s="116" t="s">
        <v>29136</v>
      </c>
      <c r="B8865" s="117" t="s">
        <v>29137</v>
      </c>
      <c r="C8865" t="s">
        <v>67</v>
      </c>
      <c r="D8865" t="s">
        <v>67</v>
      </c>
      <c r="E8865" t="s">
        <v>67</v>
      </c>
      <c r="F8865" t="s">
        <v>27987</v>
      </c>
      <c r="G8865" s="117">
        <v>5</v>
      </c>
    </row>
    <row r="8866" spans="1:7" x14ac:dyDescent="0.25">
      <c r="A8866" s="116" t="s">
        <v>29138</v>
      </c>
      <c r="B8866" s="117" t="s">
        <v>13690</v>
      </c>
      <c r="C8866" t="s">
        <v>67</v>
      </c>
      <c r="D8866" t="s">
        <v>67</v>
      </c>
      <c r="E8866" t="s">
        <v>67</v>
      </c>
      <c r="F8866" t="s">
        <v>27987</v>
      </c>
      <c r="G8866" s="117">
        <v>13.72</v>
      </c>
    </row>
    <row r="8867" spans="1:7" x14ac:dyDescent="0.25">
      <c r="A8867" s="116" t="s">
        <v>29139</v>
      </c>
      <c r="B8867" s="117" t="s">
        <v>30748</v>
      </c>
      <c r="C8867" t="s">
        <v>67</v>
      </c>
      <c r="D8867" t="s">
        <v>67</v>
      </c>
      <c r="E8867" t="s">
        <v>67</v>
      </c>
      <c r="F8867" t="s">
        <v>27987</v>
      </c>
      <c r="G8867" s="117">
        <v>33.18</v>
      </c>
    </row>
    <row r="8868" spans="1:7" x14ac:dyDescent="0.25">
      <c r="A8868" s="116" t="s">
        <v>29140</v>
      </c>
      <c r="B8868" s="117" t="s">
        <v>30749</v>
      </c>
      <c r="C8868" t="s">
        <v>67</v>
      </c>
      <c r="D8868" t="s">
        <v>67</v>
      </c>
      <c r="E8868" t="s">
        <v>67</v>
      </c>
      <c r="F8868" t="s">
        <v>27987</v>
      </c>
      <c r="G8868" s="117">
        <v>27</v>
      </c>
    </row>
    <row r="8869" spans="1:7" x14ac:dyDescent="0.25">
      <c r="A8869" s="116" t="s">
        <v>29141</v>
      </c>
      <c r="B8869" s="117" t="s">
        <v>29142</v>
      </c>
      <c r="C8869" t="s">
        <v>67</v>
      </c>
      <c r="D8869" t="s">
        <v>67</v>
      </c>
      <c r="E8869" t="s">
        <v>67</v>
      </c>
      <c r="F8869" t="s">
        <v>27987</v>
      </c>
      <c r="G8869" s="117">
        <v>5</v>
      </c>
    </row>
    <row r="8870" spans="1:7" x14ac:dyDescent="0.25">
      <c r="A8870" s="116" t="s">
        <v>29143</v>
      </c>
      <c r="B8870" s="117" t="s">
        <v>30750</v>
      </c>
      <c r="C8870" t="s">
        <v>67</v>
      </c>
      <c r="D8870" t="s">
        <v>67</v>
      </c>
      <c r="E8870" t="s">
        <v>67</v>
      </c>
      <c r="F8870" t="s">
        <v>27987</v>
      </c>
      <c r="G8870" s="117">
        <v>11</v>
      </c>
    </row>
    <row r="8871" spans="1:7" x14ac:dyDescent="0.25">
      <c r="A8871" s="116" t="s">
        <v>29144</v>
      </c>
      <c r="B8871" s="117" t="s">
        <v>31139</v>
      </c>
      <c r="C8871" t="s">
        <v>67</v>
      </c>
      <c r="D8871" t="s">
        <v>67</v>
      </c>
      <c r="E8871" t="s">
        <v>67</v>
      </c>
      <c r="F8871" t="s">
        <v>27987</v>
      </c>
      <c r="G8871" s="117">
        <v>25</v>
      </c>
    </row>
    <row r="8872" spans="1:7" x14ac:dyDescent="0.25">
      <c r="A8872" s="116" t="s">
        <v>13850</v>
      </c>
      <c r="B8872" s="117" t="s">
        <v>13851</v>
      </c>
      <c r="C8872" t="s">
        <v>67</v>
      </c>
      <c r="D8872" t="s">
        <v>67</v>
      </c>
      <c r="E8872" t="s">
        <v>67</v>
      </c>
      <c r="F8872" t="s">
        <v>49</v>
      </c>
      <c r="G8872" s="117">
        <v>8.4499999999999993</v>
      </c>
    </row>
    <row r="8873" spans="1:7" x14ac:dyDescent="0.25">
      <c r="A8873" s="116" t="s">
        <v>13852</v>
      </c>
      <c r="B8873" s="117" t="s">
        <v>13853</v>
      </c>
      <c r="C8873" t="s">
        <v>67</v>
      </c>
      <c r="D8873" t="s">
        <v>67</v>
      </c>
      <c r="E8873" t="s">
        <v>67</v>
      </c>
      <c r="F8873" t="s">
        <v>27987</v>
      </c>
      <c r="G8873" s="117">
        <v>36.93</v>
      </c>
    </row>
    <row r="8874" spans="1:7" x14ac:dyDescent="0.25">
      <c r="A8874" s="116" t="s">
        <v>13854</v>
      </c>
      <c r="B8874" s="117" t="s">
        <v>13855</v>
      </c>
      <c r="C8874" t="s">
        <v>67</v>
      </c>
      <c r="D8874" t="s">
        <v>67</v>
      </c>
      <c r="E8874" t="s">
        <v>67</v>
      </c>
      <c r="F8874" t="s">
        <v>27987</v>
      </c>
      <c r="G8874" s="117">
        <v>2.58</v>
      </c>
    </row>
    <row r="8875" spans="1:7" x14ac:dyDescent="0.25">
      <c r="A8875" s="116" t="s">
        <v>13856</v>
      </c>
      <c r="B8875" s="117" t="s">
        <v>13857</v>
      </c>
      <c r="C8875" t="s">
        <v>67</v>
      </c>
      <c r="D8875" t="s">
        <v>67</v>
      </c>
      <c r="E8875" t="s">
        <v>67</v>
      </c>
      <c r="F8875" t="s">
        <v>49</v>
      </c>
      <c r="G8875" s="117">
        <v>63.98</v>
      </c>
    </row>
    <row r="8876" spans="1:7" x14ac:dyDescent="0.25">
      <c r="A8876" s="116" t="s">
        <v>13858</v>
      </c>
      <c r="B8876" s="117" t="s">
        <v>13859</v>
      </c>
      <c r="C8876" t="s">
        <v>67</v>
      </c>
      <c r="D8876" t="s">
        <v>67</v>
      </c>
      <c r="E8876" t="s">
        <v>67</v>
      </c>
      <c r="F8876" t="s">
        <v>27987</v>
      </c>
      <c r="G8876" s="117">
        <v>20.92</v>
      </c>
    </row>
    <row r="8877" spans="1:7" x14ac:dyDescent="0.25">
      <c r="A8877" s="116" t="s">
        <v>13860</v>
      </c>
      <c r="B8877" s="117" t="s">
        <v>13861</v>
      </c>
      <c r="C8877" t="s">
        <v>67</v>
      </c>
      <c r="D8877" t="s">
        <v>67</v>
      </c>
      <c r="E8877" t="s">
        <v>67</v>
      </c>
      <c r="F8877" t="s">
        <v>45</v>
      </c>
      <c r="G8877" s="117">
        <v>23.94</v>
      </c>
    </row>
    <row r="8878" spans="1:7" x14ac:dyDescent="0.25">
      <c r="A8878" s="116" t="s">
        <v>13862</v>
      </c>
      <c r="B8878" s="117" t="s">
        <v>13863</v>
      </c>
      <c r="C8878" t="s">
        <v>67</v>
      </c>
      <c r="D8878" t="s">
        <v>67</v>
      </c>
      <c r="E8878" t="s">
        <v>67</v>
      </c>
      <c r="F8878" t="s">
        <v>45</v>
      </c>
      <c r="G8878" s="117">
        <v>30.7</v>
      </c>
    </row>
    <row r="8879" spans="1:7" x14ac:dyDescent="0.25">
      <c r="A8879" s="116" t="s">
        <v>13864</v>
      </c>
      <c r="B8879" s="117" t="s">
        <v>13865</v>
      </c>
      <c r="C8879" t="s">
        <v>67</v>
      </c>
      <c r="D8879" t="s">
        <v>67</v>
      </c>
      <c r="E8879" t="s">
        <v>67</v>
      </c>
      <c r="F8879" t="s">
        <v>45</v>
      </c>
      <c r="G8879" s="117">
        <v>27.14</v>
      </c>
    </row>
    <row r="8880" spans="1:7" x14ac:dyDescent="0.25">
      <c r="A8880" s="116" t="s">
        <v>13866</v>
      </c>
      <c r="B8880" s="117" t="s">
        <v>13867</v>
      </c>
      <c r="C8880" t="s">
        <v>67</v>
      </c>
      <c r="D8880" t="s">
        <v>67</v>
      </c>
      <c r="E8880" t="s">
        <v>67</v>
      </c>
      <c r="F8880" t="s">
        <v>27987</v>
      </c>
      <c r="G8880" s="117">
        <v>6.68</v>
      </c>
    </row>
    <row r="8881" spans="1:7" x14ac:dyDescent="0.25">
      <c r="A8881" s="116" t="s">
        <v>13868</v>
      </c>
      <c r="B8881" s="117" t="s">
        <v>3083</v>
      </c>
      <c r="C8881" t="s">
        <v>67</v>
      </c>
      <c r="D8881" t="s">
        <v>67</v>
      </c>
      <c r="E8881" t="s">
        <v>67</v>
      </c>
      <c r="F8881" t="s">
        <v>27987</v>
      </c>
      <c r="G8881" s="117">
        <v>10.58</v>
      </c>
    </row>
    <row r="8882" spans="1:7" x14ac:dyDescent="0.25">
      <c r="A8882" s="116" t="s">
        <v>13869</v>
      </c>
      <c r="B8882" s="117" t="s">
        <v>13870</v>
      </c>
      <c r="C8882" t="s">
        <v>67</v>
      </c>
      <c r="D8882" t="s">
        <v>67</v>
      </c>
      <c r="E8882" t="s">
        <v>67</v>
      </c>
      <c r="F8882" t="s">
        <v>27987</v>
      </c>
      <c r="G8882" s="117">
        <v>6.14</v>
      </c>
    </row>
    <row r="8883" spans="1:7" x14ac:dyDescent="0.25">
      <c r="A8883" s="116" t="s">
        <v>13871</v>
      </c>
      <c r="B8883" s="117" t="s">
        <v>13872</v>
      </c>
      <c r="C8883" t="s">
        <v>67</v>
      </c>
      <c r="D8883" t="s">
        <v>67</v>
      </c>
      <c r="E8883" t="s">
        <v>67</v>
      </c>
      <c r="F8883" t="s">
        <v>27987</v>
      </c>
      <c r="G8883" s="117">
        <v>4</v>
      </c>
    </row>
    <row r="8884" spans="1:7" x14ac:dyDescent="0.25">
      <c r="A8884" s="116" t="s">
        <v>13873</v>
      </c>
      <c r="B8884" s="117" t="s">
        <v>13874</v>
      </c>
      <c r="C8884" t="s">
        <v>67</v>
      </c>
      <c r="D8884" t="s">
        <v>67</v>
      </c>
      <c r="E8884" t="s">
        <v>67</v>
      </c>
      <c r="F8884" t="s">
        <v>27987</v>
      </c>
      <c r="G8884" s="117">
        <v>2.23</v>
      </c>
    </row>
    <row r="8885" spans="1:7" x14ac:dyDescent="0.25">
      <c r="A8885" s="116" t="s">
        <v>13875</v>
      </c>
      <c r="B8885" s="117" t="s">
        <v>13876</v>
      </c>
      <c r="C8885" t="s">
        <v>67</v>
      </c>
      <c r="D8885" t="s">
        <v>67</v>
      </c>
      <c r="E8885" t="s">
        <v>67</v>
      </c>
      <c r="F8885" t="s">
        <v>27987</v>
      </c>
      <c r="G8885" s="117">
        <v>5.79</v>
      </c>
    </row>
    <row r="8886" spans="1:7" x14ac:dyDescent="0.25">
      <c r="A8886" s="116" t="s">
        <v>13877</v>
      </c>
      <c r="B8886" s="117" t="s">
        <v>13878</v>
      </c>
      <c r="C8886" t="s">
        <v>67</v>
      </c>
      <c r="D8886" t="s">
        <v>67</v>
      </c>
      <c r="E8886" t="s">
        <v>67</v>
      </c>
      <c r="F8886" t="s">
        <v>49</v>
      </c>
      <c r="G8886" s="117">
        <v>1.33</v>
      </c>
    </row>
    <row r="8887" spans="1:7" x14ac:dyDescent="0.25">
      <c r="A8887" s="116" t="s">
        <v>13879</v>
      </c>
      <c r="B8887" s="117" t="s">
        <v>13880</v>
      </c>
      <c r="C8887" t="s">
        <v>67</v>
      </c>
      <c r="D8887" t="s">
        <v>67</v>
      </c>
      <c r="E8887" t="s">
        <v>67</v>
      </c>
      <c r="F8887" t="s">
        <v>49</v>
      </c>
      <c r="G8887" s="117">
        <v>1.33</v>
      </c>
    </row>
    <row r="8888" spans="1:7" x14ac:dyDescent="0.25">
      <c r="A8888" s="116" t="s">
        <v>13881</v>
      </c>
      <c r="B8888" s="117" t="s">
        <v>13882</v>
      </c>
      <c r="C8888" t="s">
        <v>67</v>
      </c>
      <c r="D8888" t="s">
        <v>67</v>
      </c>
      <c r="E8888" t="s">
        <v>67</v>
      </c>
      <c r="F8888" t="s">
        <v>27987</v>
      </c>
      <c r="G8888" s="117">
        <v>6.68</v>
      </c>
    </row>
    <row r="8889" spans="1:7" x14ac:dyDescent="0.25">
      <c r="A8889" s="116" t="s">
        <v>13883</v>
      </c>
      <c r="B8889" s="117" t="s">
        <v>13884</v>
      </c>
      <c r="C8889" t="s">
        <v>67</v>
      </c>
      <c r="D8889" t="s">
        <v>67</v>
      </c>
      <c r="E8889" t="s">
        <v>67</v>
      </c>
      <c r="F8889" t="s">
        <v>49</v>
      </c>
      <c r="G8889" s="117">
        <v>7.92</v>
      </c>
    </row>
    <row r="8890" spans="1:7" x14ac:dyDescent="0.25">
      <c r="A8890" s="116" t="s">
        <v>13885</v>
      </c>
      <c r="B8890" s="117" t="s">
        <v>11512</v>
      </c>
      <c r="C8890" t="s">
        <v>67</v>
      </c>
      <c r="D8890" t="s">
        <v>67</v>
      </c>
      <c r="E8890" t="s">
        <v>67</v>
      </c>
      <c r="F8890" t="s">
        <v>27987</v>
      </c>
      <c r="G8890" s="117">
        <v>3.15</v>
      </c>
    </row>
    <row r="8891" spans="1:7" x14ac:dyDescent="0.25">
      <c r="A8891" s="116" t="s">
        <v>13886</v>
      </c>
      <c r="B8891" s="117" t="s">
        <v>13887</v>
      </c>
      <c r="C8891" t="s">
        <v>67</v>
      </c>
      <c r="D8891" t="s">
        <v>67</v>
      </c>
      <c r="E8891" t="s">
        <v>67</v>
      </c>
      <c r="F8891" t="s">
        <v>27987</v>
      </c>
      <c r="G8891" s="117">
        <v>0.8</v>
      </c>
    </row>
    <row r="8892" spans="1:7" x14ac:dyDescent="0.25">
      <c r="A8892" s="116" t="s">
        <v>13888</v>
      </c>
      <c r="B8892" s="117" t="s">
        <v>13889</v>
      </c>
      <c r="C8892" t="s">
        <v>67</v>
      </c>
      <c r="D8892" t="s">
        <v>67</v>
      </c>
      <c r="E8892" t="s">
        <v>67</v>
      </c>
      <c r="F8892" t="s">
        <v>49</v>
      </c>
      <c r="G8892" s="117">
        <v>4</v>
      </c>
    </row>
    <row r="8893" spans="1:7" x14ac:dyDescent="0.25">
      <c r="A8893" s="116" t="s">
        <v>13890</v>
      </c>
      <c r="B8893" s="117" t="s">
        <v>13891</v>
      </c>
      <c r="C8893" t="s">
        <v>67</v>
      </c>
      <c r="D8893" t="s">
        <v>67</v>
      </c>
      <c r="E8893" t="s">
        <v>67</v>
      </c>
      <c r="F8893" t="s">
        <v>27987</v>
      </c>
      <c r="G8893" s="117">
        <v>37.82</v>
      </c>
    </row>
    <row r="8894" spans="1:7" x14ac:dyDescent="0.25">
      <c r="A8894" s="116" t="s">
        <v>13892</v>
      </c>
      <c r="B8894" s="117" t="s">
        <v>13893</v>
      </c>
      <c r="C8894" t="s">
        <v>67</v>
      </c>
      <c r="D8894" t="s">
        <v>67</v>
      </c>
      <c r="E8894" t="s">
        <v>67</v>
      </c>
      <c r="F8894" t="s">
        <v>45</v>
      </c>
      <c r="G8894" s="117">
        <v>43.51</v>
      </c>
    </row>
    <row r="8895" spans="1:7" x14ac:dyDescent="0.25">
      <c r="A8895" s="116" t="s">
        <v>13894</v>
      </c>
      <c r="B8895" s="117" t="s">
        <v>13895</v>
      </c>
      <c r="C8895" t="s">
        <v>67</v>
      </c>
      <c r="D8895" t="s">
        <v>67</v>
      </c>
      <c r="E8895" t="s">
        <v>67</v>
      </c>
      <c r="F8895" t="s">
        <v>27987</v>
      </c>
      <c r="G8895" s="117">
        <v>8.81</v>
      </c>
    </row>
    <row r="8896" spans="1:7" x14ac:dyDescent="0.25">
      <c r="A8896" s="116" t="s">
        <v>13896</v>
      </c>
      <c r="B8896" s="117" t="s">
        <v>13897</v>
      </c>
      <c r="C8896" t="s">
        <v>67</v>
      </c>
      <c r="D8896" t="s">
        <v>67</v>
      </c>
      <c r="E8896" t="s">
        <v>67</v>
      </c>
      <c r="F8896" t="s">
        <v>27987</v>
      </c>
      <c r="G8896" s="117">
        <v>2.58</v>
      </c>
    </row>
    <row r="8897" spans="1:7" x14ac:dyDescent="0.25">
      <c r="A8897" s="116" t="s">
        <v>13898</v>
      </c>
      <c r="B8897" s="117" t="s">
        <v>13899</v>
      </c>
      <c r="C8897" t="s">
        <v>67</v>
      </c>
      <c r="D8897" t="s">
        <v>67</v>
      </c>
      <c r="E8897" t="s">
        <v>67</v>
      </c>
      <c r="F8897" t="s">
        <v>27987</v>
      </c>
      <c r="G8897" s="117">
        <v>24.82</v>
      </c>
    </row>
    <row r="8898" spans="1:7" x14ac:dyDescent="0.25">
      <c r="A8898" s="116" t="s">
        <v>13900</v>
      </c>
      <c r="B8898" s="117" t="s">
        <v>13901</v>
      </c>
      <c r="C8898" t="s">
        <v>67</v>
      </c>
      <c r="D8898" t="s">
        <v>67</v>
      </c>
      <c r="E8898" t="s">
        <v>67</v>
      </c>
      <c r="F8898" t="s">
        <v>49</v>
      </c>
      <c r="G8898" s="117">
        <v>8.81</v>
      </c>
    </row>
    <row r="8899" spans="1:7" x14ac:dyDescent="0.25">
      <c r="A8899" s="116" t="s">
        <v>13902</v>
      </c>
      <c r="B8899" s="117" t="s">
        <v>13586</v>
      </c>
      <c r="C8899" t="s">
        <v>67</v>
      </c>
      <c r="D8899" t="s">
        <v>67</v>
      </c>
      <c r="E8899" t="s">
        <v>67</v>
      </c>
      <c r="F8899" t="s">
        <v>27987</v>
      </c>
      <c r="G8899" s="117">
        <v>3.12</v>
      </c>
    </row>
    <row r="8900" spans="1:7" x14ac:dyDescent="0.25">
      <c r="A8900" s="116" t="s">
        <v>13903</v>
      </c>
      <c r="B8900" s="117" t="s">
        <v>3482</v>
      </c>
      <c r="C8900" t="s">
        <v>67</v>
      </c>
      <c r="D8900" t="s">
        <v>67</v>
      </c>
      <c r="E8900" t="s">
        <v>67</v>
      </c>
      <c r="F8900" t="s">
        <v>27987</v>
      </c>
      <c r="G8900" s="117">
        <v>3.48</v>
      </c>
    </row>
    <row r="8901" spans="1:7" x14ac:dyDescent="0.25">
      <c r="A8901" s="116" t="s">
        <v>13904</v>
      </c>
      <c r="B8901" s="117" t="s">
        <v>13905</v>
      </c>
      <c r="C8901" t="s">
        <v>67</v>
      </c>
      <c r="D8901" t="s">
        <v>67</v>
      </c>
      <c r="E8901" t="s">
        <v>67</v>
      </c>
      <c r="F8901" t="s">
        <v>45</v>
      </c>
      <c r="G8901" s="117">
        <v>14.14</v>
      </c>
    </row>
    <row r="8902" spans="1:7" x14ac:dyDescent="0.25">
      <c r="A8902" s="116" t="s">
        <v>13906</v>
      </c>
      <c r="B8902" s="117" t="s">
        <v>2231</v>
      </c>
      <c r="C8902" t="s">
        <v>67</v>
      </c>
      <c r="D8902" t="s">
        <v>67</v>
      </c>
      <c r="E8902" t="s">
        <v>67</v>
      </c>
      <c r="F8902" t="s">
        <v>49</v>
      </c>
      <c r="G8902" s="117">
        <v>7.02</v>
      </c>
    </row>
    <row r="8903" spans="1:7" x14ac:dyDescent="0.25">
      <c r="A8903" s="116" t="s">
        <v>13907</v>
      </c>
      <c r="B8903" s="117" t="s">
        <v>13908</v>
      </c>
      <c r="C8903" t="s">
        <v>67</v>
      </c>
      <c r="D8903" t="s">
        <v>67</v>
      </c>
      <c r="E8903" t="s">
        <v>67</v>
      </c>
      <c r="F8903" t="s">
        <v>27987</v>
      </c>
      <c r="G8903" s="117">
        <v>4.3600000000000003</v>
      </c>
    </row>
    <row r="8904" spans="1:7" x14ac:dyDescent="0.25">
      <c r="A8904" s="116" t="s">
        <v>13909</v>
      </c>
      <c r="B8904" s="117" t="s">
        <v>13910</v>
      </c>
      <c r="C8904" t="s">
        <v>67</v>
      </c>
      <c r="D8904" t="s">
        <v>67</v>
      </c>
      <c r="E8904" t="s">
        <v>67</v>
      </c>
      <c r="F8904" t="s">
        <v>49</v>
      </c>
      <c r="G8904" s="117">
        <v>3.56</v>
      </c>
    </row>
    <row r="8905" spans="1:7" x14ac:dyDescent="0.25">
      <c r="A8905" s="116" t="s">
        <v>13911</v>
      </c>
      <c r="B8905" s="117" t="s">
        <v>13912</v>
      </c>
      <c r="C8905" t="s">
        <v>67</v>
      </c>
      <c r="D8905" t="s">
        <v>67</v>
      </c>
      <c r="E8905" t="s">
        <v>67</v>
      </c>
      <c r="F8905" t="s">
        <v>49</v>
      </c>
      <c r="G8905" s="117">
        <v>59.18</v>
      </c>
    </row>
    <row r="8906" spans="1:7" x14ac:dyDescent="0.25">
      <c r="A8906" s="116" t="s">
        <v>13913</v>
      </c>
      <c r="B8906" s="117" t="s">
        <v>13914</v>
      </c>
      <c r="C8906" t="s">
        <v>67</v>
      </c>
      <c r="D8906" t="s">
        <v>67</v>
      </c>
      <c r="E8906" t="s">
        <v>67</v>
      </c>
      <c r="F8906" t="s">
        <v>27987</v>
      </c>
      <c r="G8906" s="117">
        <v>14.14</v>
      </c>
    </row>
    <row r="8907" spans="1:7" x14ac:dyDescent="0.25">
      <c r="A8907" s="116" t="s">
        <v>13915</v>
      </c>
      <c r="B8907" s="117" t="s">
        <v>13916</v>
      </c>
      <c r="C8907" t="s">
        <v>67</v>
      </c>
      <c r="D8907" t="s">
        <v>67</v>
      </c>
      <c r="E8907" t="s">
        <v>67</v>
      </c>
      <c r="F8907" t="s">
        <v>27987</v>
      </c>
      <c r="G8907" s="117">
        <v>3.12</v>
      </c>
    </row>
    <row r="8908" spans="1:7" x14ac:dyDescent="0.25">
      <c r="A8908" s="116" t="s">
        <v>13917</v>
      </c>
      <c r="B8908" s="117" t="s">
        <v>832</v>
      </c>
      <c r="C8908" t="s">
        <v>67</v>
      </c>
      <c r="D8908" t="s">
        <v>67</v>
      </c>
      <c r="E8908" t="s">
        <v>67</v>
      </c>
      <c r="F8908" t="s">
        <v>49</v>
      </c>
      <c r="G8908" s="117">
        <v>4.8899999999999997</v>
      </c>
    </row>
    <row r="8909" spans="1:7" x14ac:dyDescent="0.25">
      <c r="A8909" s="116" t="s">
        <v>13918</v>
      </c>
      <c r="B8909" s="117" t="s">
        <v>13919</v>
      </c>
      <c r="C8909" t="s">
        <v>67</v>
      </c>
      <c r="D8909" t="s">
        <v>67</v>
      </c>
      <c r="E8909" t="s">
        <v>67</v>
      </c>
      <c r="F8909" t="s">
        <v>27987</v>
      </c>
      <c r="G8909" s="117">
        <v>1.69</v>
      </c>
    </row>
    <row r="8910" spans="1:7" x14ac:dyDescent="0.25">
      <c r="A8910" s="116" t="s">
        <v>13920</v>
      </c>
      <c r="B8910" s="117" t="s">
        <v>13921</v>
      </c>
      <c r="C8910" t="s">
        <v>67</v>
      </c>
      <c r="D8910" t="s">
        <v>67</v>
      </c>
      <c r="E8910" t="s">
        <v>67</v>
      </c>
      <c r="F8910" t="s">
        <v>27987</v>
      </c>
      <c r="G8910" s="117">
        <v>7.02</v>
      </c>
    </row>
    <row r="8911" spans="1:7" x14ac:dyDescent="0.25">
      <c r="A8911" s="116" t="s">
        <v>13922</v>
      </c>
      <c r="B8911" s="117" t="s">
        <v>13923</v>
      </c>
      <c r="C8911" t="s">
        <v>67</v>
      </c>
      <c r="D8911" t="s">
        <v>67</v>
      </c>
      <c r="E8911" t="s">
        <v>67</v>
      </c>
      <c r="F8911" t="s">
        <v>45</v>
      </c>
      <c r="G8911" s="117">
        <v>11.48</v>
      </c>
    </row>
    <row r="8912" spans="1:7" x14ac:dyDescent="0.25">
      <c r="A8912" s="116" t="s">
        <v>13924</v>
      </c>
      <c r="B8912" s="117" t="s">
        <v>13925</v>
      </c>
      <c r="C8912" t="s">
        <v>67</v>
      </c>
      <c r="D8912" t="s">
        <v>67</v>
      </c>
      <c r="E8912" t="s">
        <v>67</v>
      </c>
      <c r="F8912" t="s">
        <v>27987</v>
      </c>
      <c r="G8912" s="117">
        <v>4.8899999999999997</v>
      </c>
    </row>
    <row r="8913" spans="1:7" x14ac:dyDescent="0.25">
      <c r="A8913" s="116" t="s">
        <v>13926</v>
      </c>
      <c r="B8913" s="117" t="s">
        <v>13662</v>
      </c>
      <c r="C8913" t="s">
        <v>67</v>
      </c>
      <c r="D8913" t="s">
        <v>67</v>
      </c>
      <c r="E8913" t="s">
        <v>67</v>
      </c>
      <c r="F8913" t="s">
        <v>27987</v>
      </c>
      <c r="G8913" s="117">
        <v>3.48</v>
      </c>
    </row>
    <row r="8914" spans="1:7" x14ac:dyDescent="0.25">
      <c r="A8914" s="116" t="s">
        <v>13927</v>
      </c>
      <c r="B8914" s="117" t="s">
        <v>13597</v>
      </c>
      <c r="C8914" t="s">
        <v>67</v>
      </c>
      <c r="D8914" t="s">
        <v>67</v>
      </c>
      <c r="E8914" t="s">
        <v>67</v>
      </c>
      <c r="F8914" t="s">
        <v>45</v>
      </c>
      <c r="G8914" s="117">
        <v>1.33</v>
      </c>
    </row>
    <row r="8915" spans="1:7" x14ac:dyDescent="0.25">
      <c r="A8915" s="116" t="s">
        <v>13928</v>
      </c>
      <c r="B8915" s="117" t="s">
        <v>13929</v>
      </c>
      <c r="C8915" t="s">
        <v>67</v>
      </c>
      <c r="D8915" t="s">
        <v>67</v>
      </c>
      <c r="E8915" t="s">
        <v>67</v>
      </c>
      <c r="F8915" t="s">
        <v>49</v>
      </c>
      <c r="G8915" s="117">
        <v>5.79</v>
      </c>
    </row>
    <row r="8916" spans="1:7" x14ac:dyDescent="0.25">
      <c r="A8916" s="116" t="s">
        <v>13930</v>
      </c>
      <c r="B8916" s="117" t="s">
        <v>13931</v>
      </c>
      <c r="C8916" t="s">
        <v>67</v>
      </c>
      <c r="D8916" t="s">
        <v>67</v>
      </c>
      <c r="E8916" t="s">
        <v>67</v>
      </c>
      <c r="F8916" t="s">
        <v>27987</v>
      </c>
      <c r="G8916" s="117">
        <v>4</v>
      </c>
    </row>
    <row r="8917" spans="1:7" x14ac:dyDescent="0.25">
      <c r="A8917" s="116" t="s">
        <v>13932</v>
      </c>
      <c r="B8917" s="117" t="s">
        <v>13933</v>
      </c>
      <c r="C8917" t="s">
        <v>67</v>
      </c>
      <c r="D8917" t="s">
        <v>67</v>
      </c>
      <c r="E8917" t="s">
        <v>67</v>
      </c>
      <c r="F8917" t="s">
        <v>27987</v>
      </c>
      <c r="G8917" s="117">
        <v>7.02</v>
      </c>
    </row>
    <row r="8918" spans="1:7" x14ac:dyDescent="0.25">
      <c r="A8918" s="116" t="s">
        <v>13934</v>
      </c>
      <c r="B8918" s="117" t="s">
        <v>10313</v>
      </c>
      <c r="C8918" t="s">
        <v>67</v>
      </c>
      <c r="D8918" t="s">
        <v>67</v>
      </c>
      <c r="E8918" t="s">
        <v>67</v>
      </c>
      <c r="F8918" t="s">
        <v>49</v>
      </c>
      <c r="G8918" s="117">
        <v>0.8</v>
      </c>
    </row>
    <row r="8919" spans="1:7" x14ac:dyDescent="0.25">
      <c r="A8919" s="116" t="s">
        <v>13935</v>
      </c>
      <c r="B8919" s="117" t="s">
        <v>2231</v>
      </c>
      <c r="C8919" t="s">
        <v>67</v>
      </c>
      <c r="D8919" t="s">
        <v>67</v>
      </c>
      <c r="E8919" t="s">
        <v>67</v>
      </c>
      <c r="F8919" t="s">
        <v>27987</v>
      </c>
      <c r="G8919" s="117">
        <v>4.8899999999999997</v>
      </c>
    </row>
    <row r="8920" spans="1:7" x14ac:dyDescent="0.25">
      <c r="A8920" s="116" t="s">
        <v>13936</v>
      </c>
      <c r="B8920" s="117" t="s">
        <v>515</v>
      </c>
      <c r="C8920" t="s">
        <v>67</v>
      </c>
      <c r="D8920" t="s">
        <v>67</v>
      </c>
      <c r="E8920" t="s">
        <v>67</v>
      </c>
      <c r="F8920" t="s">
        <v>49</v>
      </c>
      <c r="G8920" s="117">
        <v>10.24</v>
      </c>
    </row>
    <row r="8921" spans="1:7" x14ac:dyDescent="0.25">
      <c r="A8921" s="116" t="s">
        <v>13937</v>
      </c>
      <c r="B8921" s="117" t="s">
        <v>13938</v>
      </c>
      <c r="C8921" t="s">
        <v>67</v>
      </c>
      <c r="D8921" t="s">
        <v>67</v>
      </c>
      <c r="E8921" t="s">
        <v>67</v>
      </c>
      <c r="F8921" t="s">
        <v>45</v>
      </c>
      <c r="G8921" s="117">
        <v>8.4499999999999993</v>
      </c>
    </row>
    <row r="8922" spans="1:7" x14ac:dyDescent="0.25">
      <c r="A8922" s="116" t="s">
        <v>13939</v>
      </c>
      <c r="B8922" s="117" t="s">
        <v>3412</v>
      </c>
      <c r="C8922" t="s">
        <v>67</v>
      </c>
      <c r="D8922" t="s">
        <v>67</v>
      </c>
      <c r="E8922" t="s">
        <v>67</v>
      </c>
      <c r="F8922" t="s">
        <v>27987</v>
      </c>
      <c r="G8922" s="117">
        <v>2.58</v>
      </c>
    </row>
    <row r="8923" spans="1:7" x14ac:dyDescent="0.25">
      <c r="A8923" s="116" t="s">
        <v>13940</v>
      </c>
      <c r="B8923" s="117" t="s">
        <v>13941</v>
      </c>
      <c r="C8923" t="s">
        <v>67</v>
      </c>
      <c r="D8923" t="s">
        <v>67</v>
      </c>
      <c r="E8923" t="s">
        <v>67</v>
      </c>
      <c r="F8923" t="s">
        <v>27987</v>
      </c>
      <c r="G8923" s="117">
        <v>4.3600000000000003</v>
      </c>
    </row>
    <row r="8924" spans="1:7" x14ac:dyDescent="0.25">
      <c r="A8924" s="116" t="s">
        <v>13942</v>
      </c>
      <c r="B8924" s="117" t="s">
        <v>13943</v>
      </c>
      <c r="C8924" t="s">
        <v>67</v>
      </c>
      <c r="D8924" t="s">
        <v>67</v>
      </c>
      <c r="E8924" t="s">
        <v>67</v>
      </c>
      <c r="F8924" t="s">
        <v>27987</v>
      </c>
      <c r="G8924" s="117">
        <v>7.02</v>
      </c>
    </row>
    <row r="8925" spans="1:7" x14ac:dyDescent="0.25">
      <c r="A8925" s="116" t="s">
        <v>13944</v>
      </c>
      <c r="B8925" s="117" t="s">
        <v>13945</v>
      </c>
      <c r="C8925" t="s">
        <v>67</v>
      </c>
      <c r="D8925" t="s">
        <v>67</v>
      </c>
      <c r="E8925" t="s">
        <v>67</v>
      </c>
      <c r="F8925" t="s">
        <v>27987</v>
      </c>
      <c r="G8925" s="117">
        <v>7.12</v>
      </c>
    </row>
    <row r="8926" spans="1:7" x14ac:dyDescent="0.25">
      <c r="A8926" s="116" t="s">
        <v>13946</v>
      </c>
      <c r="B8926" s="117" t="s">
        <v>13947</v>
      </c>
      <c r="C8926" t="s">
        <v>67</v>
      </c>
      <c r="D8926" t="s">
        <v>67</v>
      </c>
      <c r="E8926" t="s">
        <v>67</v>
      </c>
      <c r="F8926" t="s">
        <v>49</v>
      </c>
      <c r="G8926" s="117">
        <v>8.89</v>
      </c>
    </row>
    <row r="8927" spans="1:7" x14ac:dyDescent="0.25">
      <c r="A8927" s="116" t="s">
        <v>13948</v>
      </c>
      <c r="B8927" s="117" t="s">
        <v>13949</v>
      </c>
      <c r="C8927" t="s">
        <v>67</v>
      </c>
      <c r="D8927" t="s">
        <v>67</v>
      </c>
      <c r="E8927" t="s">
        <v>67</v>
      </c>
      <c r="F8927" t="s">
        <v>27987</v>
      </c>
      <c r="G8927" s="117">
        <v>53.3</v>
      </c>
    </row>
    <row r="8928" spans="1:7" x14ac:dyDescent="0.25">
      <c r="A8928" s="116" t="s">
        <v>13950</v>
      </c>
      <c r="B8928" s="117" t="s">
        <v>13908</v>
      </c>
      <c r="C8928" t="s">
        <v>67</v>
      </c>
      <c r="D8928" t="s">
        <v>67</v>
      </c>
      <c r="E8928" t="s">
        <v>67</v>
      </c>
      <c r="F8928" t="s">
        <v>27987</v>
      </c>
      <c r="G8928" s="117">
        <v>5.33</v>
      </c>
    </row>
    <row r="8929" spans="1:7" x14ac:dyDescent="0.25">
      <c r="A8929" s="116" t="s">
        <v>29145</v>
      </c>
      <c r="B8929" s="117" t="s">
        <v>29146</v>
      </c>
      <c r="C8929" t="s">
        <v>67</v>
      </c>
      <c r="D8929" t="s">
        <v>67</v>
      </c>
      <c r="E8929" t="s">
        <v>67</v>
      </c>
      <c r="F8929" t="s">
        <v>45</v>
      </c>
      <c r="G8929" s="117">
        <v>0</v>
      </c>
    </row>
    <row r="8930" spans="1:7" x14ac:dyDescent="0.25">
      <c r="A8930" s="116" t="s">
        <v>13951</v>
      </c>
      <c r="B8930" s="117" t="s">
        <v>13952</v>
      </c>
      <c r="C8930" t="s">
        <v>67</v>
      </c>
      <c r="D8930" t="s">
        <v>67</v>
      </c>
      <c r="E8930" t="s">
        <v>67</v>
      </c>
      <c r="F8930" t="s">
        <v>49</v>
      </c>
      <c r="G8930" s="117">
        <v>7.02</v>
      </c>
    </row>
    <row r="8931" spans="1:7" x14ac:dyDescent="0.25">
      <c r="A8931" s="116" t="s">
        <v>13953</v>
      </c>
      <c r="B8931" s="117" t="s">
        <v>13954</v>
      </c>
      <c r="C8931" t="s">
        <v>67</v>
      </c>
      <c r="D8931" t="s">
        <v>67</v>
      </c>
      <c r="E8931" t="s">
        <v>67</v>
      </c>
      <c r="F8931" t="s">
        <v>27987</v>
      </c>
      <c r="G8931" s="117">
        <v>8.4499999999999993</v>
      </c>
    </row>
    <row r="8932" spans="1:7" x14ac:dyDescent="0.25">
      <c r="A8932" s="116" t="s">
        <v>13955</v>
      </c>
      <c r="B8932" s="117" t="s">
        <v>13956</v>
      </c>
      <c r="C8932" t="s">
        <v>67</v>
      </c>
      <c r="D8932" t="s">
        <v>67</v>
      </c>
      <c r="E8932" t="s">
        <v>67</v>
      </c>
      <c r="F8932" t="s">
        <v>49</v>
      </c>
      <c r="G8932" s="117">
        <v>12.01</v>
      </c>
    </row>
    <row r="8933" spans="1:7" x14ac:dyDescent="0.25">
      <c r="A8933" s="116" t="s">
        <v>13957</v>
      </c>
      <c r="B8933" s="117" t="s">
        <v>13958</v>
      </c>
      <c r="C8933" t="s">
        <v>67</v>
      </c>
      <c r="D8933" t="s">
        <v>67</v>
      </c>
      <c r="E8933" t="s">
        <v>67</v>
      </c>
      <c r="F8933" t="s">
        <v>27987</v>
      </c>
      <c r="G8933" s="117">
        <v>5.79</v>
      </c>
    </row>
    <row r="8934" spans="1:7" x14ac:dyDescent="0.25">
      <c r="A8934" s="116" t="s">
        <v>13959</v>
      </c>
      <c r="B8934" s="117" t="s">
        <v>13960</v>
      </c>
      <c r="C8934" t="s">
        <v>67</v>
      </c>
      <c r="D8934" t="s">
        <v>67</v>
      </c>
      <c r="E8934" t="s">
        <v>67</v>
      </c>
      <c r="F8934" t="s">
        <v>45</v>
      </c>
      <c r="G8934" s="117">
        <v>17.7</v>
      </c>
    </row>
    <row r="8935" spans="1:7" x14ac:dyDescent="0.25">
      <c r="A8935" s="116" t="s">
        <v>13961</v>
      </c>
      <c r="B8935" s="117" t="s">
        <v>13962</v>
      </c>
      <c r="C8935" t="s">
        <v>67</v>
      </c>
      <c r="D8935" t="s">
        <v>67</v>
      </c>
      <c r="E8935" t="s">
        <v>67</v>
      </c>
      <c r="F8935" t="s">
        <v>27987</v>
      </c>
      <c r="G8935" s="117">
        <v>30.7</v>
      </c>
    </row>
    <row r="8936" spans="1:7" x14ac:dyDescent="0.25">
      <c r="A8936" s="116" t="s">
        <v>13963</v>
      </c>
      <c r="B8936" s="117" t="s">
        <v>13964</v>
      </c>
      <c r="C8936" t="s">
        <v>67</v>
      </c>
      <c r="D8936" t="s">
        <v>67</v>
      </c>
      <c r="E8936" t="s">
        <v>67</v>
      </c>
      <c r="F8936" t="s">
        <v>27987</v>
      </c>
      <c r="G8936" s="117">
        <v>9.6999999999999993</v>
      </c>
    </row>
    <row r="8937" spans="1:7" x14ac:dyDescent="0.25">
      <c r="A8937" s="116" t="s">
        <v>13965</v>
      </c>
      <c r="B8937" s="117" t="s">
        <v>13966</v>
      </c>
      <c r="C8937" t="s">
        <v>67</v>
      </c>
      <c r="D8937" t="s">
        <v>67</v>
      </c>
      <c r="E8937" t="s">
        <v>67</v>
      </c>
      <c r="F8937" t="s">
        <v>27987</v>
      </c>
      <c r="G8937" s="117">
        <v>41.38</v>
      </c>
    </row>
    <row r="8938" spans="1:7" x14ac:dyDescent="0.25">
      <c r="A8938" s="116" t="s">
        <v>13967</v>
      </c>
      <c r="B8938" s="117" t="s">
        <v>13968</v>
      </c>
      <c r="C8938" t="s">
        <v>67</v>
      </c>
      <c r="D8938" t="s">
        <v>67</v>
      </c>
      <c r="E8938" t="s">
        <v>67</v>
      </c>
      <c r="F8938" t="s">
        <v>45</v>
      </c>
      <c r="G8938" s="117">
        <v>3.48</v>
      </c>
    </row>
    <row r="8939" spans="1:7" x14ac:dyDescent="0.25">
      <c r="A8939" s="116" t="s">
        <v>13969</v>
      </c>
      <c r="B8939" s="117" t="s">
        <v>13970</v>
      </c>
      <c r="C8939" t="s">
        <v>67</v>
      </c>
      <c r="D8939" t="s">
        <v>67</v>
      </c>
      <c r="E8939" t="s">
        <v>67</v>
      </c>
      <c r="F8939" t="s">
        <v>27987</v>
      </c>
      <c r="G8939" s="117">
        <v>6.14</v>
      </c>
    </row>
    <row r="8940" spans="1:7" x14ac:dyDescent="0.25">
      <c r="A8940" s="116" t="s">
        <v>13971</v>
      </c>
      <c r="B8940" s="117" t="s">
        <v>13972</v>
      </c>
      <c r="C8940" t="s">
        <v>67</v>
      </c>
      <c r="D8940" t="s">
        <v>67</v>
      </c>
      <c r="E8940" t="s">
        <v>67</v>
      </c>
      <c r="F8940" t="s">
        <v>27987</v>
      </c>
      <c r="G8940" s="117">
        <v>5.79</v>
      </c>
    </row>
    <row r="8941" spans="1:7" x14ac:dyDescent="0.25">
      <c r="A8941" s="116" t="s">
        <v>13973</v>
      </c>
      <c r="B8941" s="117" t="s">
        <v>10733</v>
      </c>
      <c r="C8941" t="s">
        <v>67</v>
      </c>
      <c r="D8941" t="s">
        <v>67</v>
      </c>
      <c r="E8941" t="s">
        <v>67</v>
      </c>
      <c r="F8941" t="s">
        <v>27987</v>
      </c>
      <c r="G8941" s="117">
        <v>3.12</v>
      </c>
    </row>
    <row r="8942" spans="1:7" x14ac:dyDescent="0.25">
      <c r="A8942" s="116" t="s">
        <v>13974</v>
      </c>
      <c r="B8942" s="117" t="s">
        <v>13975</v>
      </c>
      <c r="C8942" t="s">
        <v>67</v>
      </c>
      <c r="D8942" t="s">
        <v>67</v>
      </c>
      <c r="E8942" t="s">
        <v>67</v>
      </c>
      <c r="F8942" t="s">
        <v>27987</v>
      </c>
      <c r="G8942" s="117">
        <v>4.8899999999999997</v>
      </c>
    </row>
    <row r="8943" spans="1:7" x14ac:dyDescent="0.25">
      <c r="A8943" s="116" t="s">
        <v>13976</v>
      </c>
      <c r="B8943" s="117" t="s">
        <v>13977</v>
      </c>
      <c r="C8943" t="s">
        <v>67</v>
      </c>
      <c r="D8943" t="s">
        <v>67</v>
      </c>
      <c r="E8943" t="s">
        <v>67</v>
      </c>
      <c r="F8943" t="s">
        <v>27987</v>
      </c>
      <c r="G8943" s="117">
        <v>21.26</v>
      </c>
    </row>
    <row r="8944" spans="1:7" x14ac:dyDescent="0.25">
      <c r="A8944" s="116" t="s">
        <v>13978</v>
      </c>
      <c r="B8944" s="117" t="s">
        <v>13662</v>
      </c>
      <c r="C8944" t="s">
        <v>67</v>
      </c>
      <c r="D8944" t="s">
        <v>67</v>
      </c>
      <c r="E8944" t="s">
        <v>67</v>
      </c>
      <c r="F8944" t="s">
        <v>27987</v>
      </c>
      <c r="G8944" s="117">
        <v>2.58</v>
      </c>
    </row>
    <row r="8945" spans="1:7" x14ac:dyDescent="0.25">
      <c r="A8945" s="116" t="s">
        <v>13979</v>
      </c>
      <c r="B8945" s="117" t="s">
        <v>13980</v>
      </c>
      <c r="C8945" t="s">
        <v>67</v>
      </c>
      <c r="D8945" t="s">
        <v>67</v>
      </c>
      <c r="E8945" t="s">
        <v>67</v>
      </c>
      <c r="F8945" t="s">
        <v>49</v>
      </c>
      <c r="G8945" s="117">
        <v>1.69</v>
      </c>
    </row>
    <row r="8946" spans="1:7" x14ac:dyDescent="0.25">
      <c r="A8946" s="116" t="s">
        <v>13981</v>
      </c>
      <c r="B8946" s="117" t="s">
        <v>12709</v>
      </c>
      <c r="C8946" t="s">
        <v>67</v>
      </c>
      <c r="D8946" t="s">
        <v>67</v>
      </c>
      <c r="E8946" t="s">
        <v>67</v>
      </c>
      <c r="F8946" t="s">
        <v>45</v>
      </c>
      <c r="G8946" s="117">
        <v>7.02</v>
      </c>
    </row>
    <row r="8947" spans="1:7" x14ac:dyDescent="0.25">
      <c r="A8947" s="116" t="s">
        <v>13982</v>
      </c>
      <c r="B8947" s="117" t="s">
        <v>13983</v>
      </c>
      <c r="C8947" t="s">
        <v>67</v>
      </c>
      <c r="D8947" t="s">
        <v>67</v>
      </c>
      <c r="E8947" t="s">
        <v>67</v>
      </c>
      <c r="F8947" t="s">
        <v>49</v>
      </c>
      <c r="G8947" s="117">
        <v>6.23</v>
      </c>
    </row>
    <row r="8948" spans="1:7" x14ac:dyDescent="0.25">
      <c r="A8948" s="116" t="s">
        <v>13984</v>
      </c>
      <c r="B8948" s="117" t="s">
        <v>13985</v>
      </c>
      <c r="C8948" t="s">
        <v>67</v>
      </c>
      <c r="D8948" t="s">
        <v>67</v>
      </c>
      <c r="E8948" t="s">
        <v>67</v>
      </c>
      <c r="F8948" t="s">
        <v>49</v>
      </c>
      <c r="G8948" s="117">
        <v>3.48</v>
      </c>
    </row>
    <row r="8949" spans="1:7" x14ac:dyDescent="0.25">
      <c r="A8949" s="116" t="s">
        <v>13986</v>
      </c>
      <c r="B8949" s="117" t="s">
        <v>13987</v>
      </c>
      <c r="C8949" t="s">
        <v>67</v>
      </c>
      <c r="D8949" t="s">
        <v>67</v>
      </c>
      <c r="E8949" t="s">
        <v>67</v>
      </c>
      <c r="F8949" t="s">
        <v>45</v>
      </c>
      <c r="G8949" s="117">
        <v>20.02</v>
      </c>
    </row>
    <row r="8950" spans="1:7" x14ac:dyDescent="0.25">
      <c r="A8950" s="116" t="s">
        <v>13988</v>
      </c>
      <c r="B8950" s="117" t="s">
        <v>13989</v>
      </c>
      <c r="C8950" t="s">
        <v>67</v>
      </c>
      <c r="D8950" t="s">
        <v>67</v>
      </c>
      <c r="E8950" t="s">
        <v>67</v>
      </c>
      <c r="F8950" t="s">
        <v>27987</v>
      </c>
      <c r="G8950" s="117">
        <v>22.69</v>
      </c>
    </row>
    <row r="8951" spans="1:7" x14ac:dyDescent="0.25">
      <c r="A8951" s="116" t="s">
        <v>13990</v>
      </c>
      <c r="B8951" s="117" t="s">
        <v>13991</v>
      </c>
      <c r="C8951" t="s">
        <v>67</v>
      </c>
      <c r="D8951" t="s">
        <v>67</v>
      </c>
      <c r="E8951" t="s">
        <v>67</v>
      </c>
      <c r="F8951" t="s">
        <v>49</v>
      </c>
      <c r="G8951" s="117">
        <v>6.14</v>
      </c>
    </row>
    <row r="8952" spans="1:7" x14ac:dyDescent="0.25">
      <c r="A8952" s="116" t="s">
        <v>13992</v>
      </c>
      <c r="B8952" s="117" t="s">
        <v>13993</v>
      </c>
      <c r="C8952" t="s">
        <v>67</v>
      </c>
      <c r="D8952" t="s">
        <v>67</v>
      </c>
      <c r="E8952" t="s">
        <v>67</v>
      </c>
      <c r="F8952" t="s">
        <v>27987</v>
      </c>
      <c r="G8952" s="117">
        <v>5.25</v>
      </c>
    </row>
    <row r="8953" spans="1:7" x14ac:dyDescent="0.25">
      <c r="A8953" s="116" t="s">
        <v>13994</v>
      </c>
      <c r="B8953" s="117" t="s">
        <v>13995</v>
      </c>
      <c r="C8953" t="s">
        <v>67</v>
      </c>
      <c r="D8953" t="s">
        <v>67</v>
      </c>
      <c r="E8953" t="s">
        <v>67</v>
      </c>
      <c r="F8953" t="s">
        <v>27987</v>
      </c>
      <c r="G8953" s="117">
        <v>31.06</v>
      </c>
    </row>
    <row r="8954" spans="1:7" x14ac:dyDescent="0.25">
      <c r="A8954" s="116" t="s">
        <v>13996</v>
      </c>
      <c r="B8954" s="117" t="s">
        <v>13997</v>
      </c>
      <c r="C8954" t="s">
        <v>67</v>
      </c>
      <c r="D8954" t="s">
        <v>67</v>
      </c>
      <c r="E8954" t="s">
        <v>67</v>
      </c>
      <c r="F8954" t="s">
        <v>27987</v>
      </c>
      <c r="G8954" s="117">
        <v>9.35</v>
      </c>
    </row>
    <row r="8955" spans="1:7" x14ac:dyDescent="0.25">
      <c r="A8955" s="116" t="s">
        <v>13998</v>
      </c>
      <c r="B8955" s="117" t="s">
        <v>13999</v>
      </c>
      <c r="C8955" t="s">
        <v>67</v>
      </c>
      <c r="D8955" t="s">
        <v>67</v>
      </c>
      <c r="E8955" t="s">
        <v>67</v>
      </c>
      <c r="F8955" t="s">
        <v>27987</v>
      </c>
      <c r="G8955" s="117">
        <v>17.7</v>
      </c>
    </row>
    <row r="8956" spans="1:7" x14ac:dyDescent="0.25">
      <c r="A8956" s="116" t="s">
        <v>14000</v>
      </c>
      <c r="B8956" s="117" t="s">
        <v>14001</v>
      </c>
      <c r="C8956" t="s">
        <v>67</v>
      </c>
      <c r="D8956" t="s">
        <v>67</v>
      </c>
      <c r="E8956" t="s">
        <v>67</v>
      </c>
      <c r="F8956" t="s">
        <v>45</v>
      </c>
      <c r="G8956" s="117">
        <v>6.14</v>
      </c>
    </row>
    <row r="8957" spans="1:7" x14ac:dyDescent="0.25">
      <c r="A8957" s="116" t="s">
        <v>14002</v>
      </c>
      <c r="B8957" s="117" t="s">
        <v>14003</v>
      </c>
      <c r="C8957" t="s">
        <v>67</v>
      </c>
      <c r="D8957" t="s">
        <v>67</v>
      </c>
      <c r="E8957" t="s">
        <v>67</v>
      </c>
      <c r="F8957" t="s">
        <v>27987</v>
      </c>
      <c r="G8957" s="117">
        <v>23.05</v>
      </c>
    </row>
    <row r="8958" spans="1:7" x14ac:dyDescent="0.25">
      <c r="A8958" s="116" t="s">
        <v>14004</v>
      </c>
      <c r="B8958" s="117" t="s">
        <v>14005</v>
      </c>
      <c r="C8958" t="s">
        <v>67</v>
      </c>
      <c r="D8958" t="s">
        <v>67</v>
      </c>
      <c r="E8958" t="s">
        <v>67</v>
      </c>
      <c r="F8958" t="s">
        <v>49</v>
      </c>
      <c r="G8958" s="117">
        <v>16.82</v>
      </c>
    </row>
    <row r="8959" spans="1:7" x14ac:dyDescent="0.25">
      <c r="A8959" s="116" t="s">
        <v>14006</v>
      </c>
      <c r="B8959" s="117" t="s">
        <v>14007</v>
      </c>
      <c r="C8959" t="s">
        <v>67</v>
      </c>
      <c r="D8959" t="s">
        <v>67</v>
      </c>
      <c r="E8959" t="s">
        <v>67</v>
      </c>
      <c r="F8959" t="s">
        <v>27987</v>
      </c>
      <c r="G8959" s="117">
        <v>14.68</v>
      </c>
    </row>
    <row r="8960" spans="1:7" x14ac:dyDescent="0.25">
      <c r="A8960" s="116" t="s">
        <v>14008</v>
      </c>
      <c r="B8960" s="117" t="s">
        <v>14009</v>
      </c>
      <c r="C8960" t="s">
        <v>67</v>
      </c>
      <c r="D8960" t="s">
        <v>67</v>
      </c>
      <c r="E8960" t="s">
        <v>67</v>
      </c>
      <c r="F8960" t="s">
        <v>27987</v>
      </c>
      <c r="G8960" s="117">
        <v>11.12</v>
      </c>
    </row>
    <row r="8961" spans="1:7" x14ac:dyDescent="0.25">
      <c r="A8961" s="116" t="s">
        <v>14010</v>
      </c>
      <c r="B8961" s="117" t="s">
        <v>14011</v>
      </c>
      <c r="C8961" t="s">
        <v>67</v>
      </c>
      <c r="D8961" t="s">
        <v>67</v>
      </c>
      <c r="E8961" t="s">
        <v>67</v>
      </c>
      <c r="F8961" t="s">
        <v>45</v>
      </c>
      <c r="G8961" s="117">
        <v>20.38</v>
      </c>
    </row>
    <row r="8962" spans="1:7" x14ac:dyDescent="0.25">
      <c r="A8962" s="116" t="s">
        <v>14012</v>
      </c>
      <c r="B8962" s="117" t="s">
        <v>14013</v>
      </c>
      <c r="C8962" t="s">
        <v>67</v>
      </c>
      <c r="D8962" t="s">
        <v>67</v>
      </c>
      <c r="E8962" t="s">
        <v>67</v>
      </c>
      <c r="F8962" t="s">
        <v>27987</v>
      </c>
      <c r="G8962" s="117">
        <v>15.04</v>
      </c>
    </row>
    <row r="8963" spans="1:7" x14ac:dyDescent="0.25">
      <c r="A8963" s="116" t="s">
        <v>14014</v>
      </c>
      <c r="B8963" s="117" t="s">
        <v>14015</v>
      </c>
      <c r="C8963" t="s">
        <v>67</v>
      </c>
      <c r="D8963" t="s">
        <v>67</v>
      </c>
      <c r="E8963" t="s">
        <v>67</v>
      </c>
      <c r="F8963" t="s">
        <v>49</v>
      </c>
      <c r="G8963" s="117">
        <v>20.92</v>
      </c>
    </row>
    <row r="8964" spans="1:7" x14ac:dyDescent="0.25">
      <c r="A8964" s="116" t="s">
        <v>14016</v>
      </c>
      <c r="B8964" s="117" t="s">
        <v>14017</v>
      </c>
      <c r="C8964" t="s">
        <v>67</v>
      </c>
      <c r="D8964" t="s">
        <v>67</v>
      </c>
      <c r="E8964" t="s">
        <v>67</v>
      </c>
      <c r="F8964" t="s">
        <v>27987</v>
      </c>
      <c r="G8964" s="117">
        <v>16.46</v>
      </c>
    </row>
    <row r="8965" spans="1:7" x14ac:dyDescent="0.25">
      <c r="A8965" s="116" t="s">
        <v>14018</v>
      </c>
      <c r="B8965" s="117" t="s">
        <v>14019</v>
      </c>
      <c r="C8965" t="s">
        <v>67</v>
      </c>
      <c r="D8965" t="s">
        <v>67</v>
      </c>
      <c r="E8965" t="s">
        <v>67</v>
      </c>
      <c r="F8965" t="s">
        <v>49</v>
      </c>
      <c r="G8965" s="117">
        <v>1.69</v>
      </c>
    </row>
    <row r="8966" spans="1:7" x14ac:dyDescent="0.25">
      <c r="A8966" s="116" t="s">
        <v>14020</v>
      </c>
      <c r="B8966" s="117" t="s">
        <v>2231</v>
      </c>
      <c r="C8966" t="s">
        <v>67</v>
      </c>
      <c r="D8966" t="s">
        <v>67</v>
      </c>
      <c r="E8966" t="s">
        <v>67</v>
      </c>
      <c r="F8966" t="s">
        <v>49</v>
      </c>
      <c r="G8966" s="117">
        <v>4</v>
      </c>
    </row>
    <row r="8967" spans="1:7" x14ac:dyDescent="0.25">
      <c r="A8967" s="116" t="s">
        <v>14021</v>
      </c>
      <c r="B8967" s="117" t="s">
        <v>14022</v>
      </c>
      <c r="C8967" t="s">
        <v>67</v>
      </c>
      <c r="D8967" t="s">
        <v>67</v>
      </c>
      <c r="E8967" t="s">
        <v>67</v>
      </c>
      <c r="F8967" t="s">
        <v>27987</v>
      </c>
      <c r="G8967" s="117">
        <v>16.46</v>
      </c>
    </row>
    <row r="8968" spans="1:7" x14ac:dyDescent="0.25">
      <c r="A8968" s="116" t="s">
        <v>14023</v>
      </c>
      <c r="B8968" s="117" t="s">
        <v>14024</v>
      </c>
      <c r="C8968" t="s">
        <v>67</v>
      </c>
      <c r="D8968" t="s">
        <v>67</v>
      </c>
      <c r="E8968" t="s">
        <v>67</v>
      </c>
      <c r="F8968" t="s">
        <v>27987</v>
      </c>
      <c r="G8968" s="117">
        <v>18.239999999999998</v>
      </c>
    </row>
    <row r="8969" spans="1:7" x14ac:dyDescent="0.25">
      <c r="A8969" s="116" t="s">
        <v>14025</v>
      </c>
      <c r="B8969" s="117" t="s">
        <v>14026</v>
      </c>
      <c r="C8969" t="s">
        <v>67</v>
      </c>
      <c r="D8969" t="s">
        <v>67</v>
      </c>
      <c r="E8969" t="s">
        <v>67</v>
      </c>
      <c r="F8969" t="s">
        <v>45</v>
      </c>
      <c r="G8969" s="117">
        <v>13.8</v>
      </c>
    </row>
    <row r="8970" spans="1:7" x14ac:dyDescent="0.25">
      <c r="A8970" s="116" t="s">
        <v>14027</v>
      </c>
      <c r="B8970" s="117" t="s">
        <v>14028</v>
      </c>
      <c r="C8970" t="s">
        <v>67</v>
      </c>
      <c r="D8970" t="s">
        <v>67</v>
      </c>
      <c r="E8970" t="s">
        <v>67</v>
      </c>
      <c r="F8970" t="s">
        <v>45</v>
      </c>
      <c r="G8970" s="117">
        <v>18.600000000000001</v>
      </c>
    </row>
    <row r="8971" spans="1:7" x14ac:dyDescent="0.25">
      <c r="A8971" s="116" t="s">
        <v>14029</v>
      </c>
      <c r="B8971" s="117" t="s">
        <v>14030</v>
      </c>
      <c r="C8971" t="s">
        <v>67</v>
      </c>
      <c r="D8971" t="s">
        <v>67</v>
      </c>
      <c r="E8971" t="s">
        <v>67</v>
      </c>
      <c r="F8971" t="s">
        <v>27987</v>
      </c>
      <c r="G8971" s="117">
        <v>30.7</v>
      </c>
    </row>
    <row r="8972" spans="1:7" x14ac:dyDescent="0.25">
      <c r="A8972" s="116" t="s">
        <v>14031</v>
      </c>
      <c r="B8972" s="117" t="s">
        <v>14032</v>
      </c>
      <c r="C8972" t="s">
        <v>67</v>
      </c>
      <c r="D8972" t="s">
        <v>67</v>
      </c>
      <c r="E8972" t="s">
        <v>67</v>
      </c>
      <c r="F8972" t="s">
        <v>27987</v>
      </c>
      <c r="G8972" s="117">
        <v>10.58</v>
      </c>
    </row>
    <row r="8973" spans="1:7" x14ac:dyDescent="0.25">
      <c r="A8973" s="116" t="s">
        <v>14033</v>
      </c>
      <c r="B8973" s="117" t="s">
        <v>2231</v>
      </c>
      <c r="C8973" t="s">
        <v>67</v>
      </c>
      <c r="D8973" t="s">
        <v>67</v>
      </c>
      <c r="E8973" t="s">
        <v>67</v>
      </c>
      <c r="F8973" t="s">
        <v>27987</v>
      </c>
      <c r="G8973" s="117">
        <v>15.04</v>
      </c>
    </row>
    <row r="8974" spans="1:7" x14ac:dyDescent="0.25">
      <c r="A8974" s="116" t="s">
        <v>14034</v>
      </c>
      <c r="B8974" s="117" t="s">
        <v>14035</v>
      </c>
      <c r="C8974" t="s">
        <v>67</v>
      </c>
      <c r="D8974" t="s">
        <v>67</v>
      </c>
      <c r="E8974" t="s">
        <v>67</v>
      </c>
      <c r="F8974" t="s">
        <v>27987</v>
      </c>
      <c r="G8974" s="117">
        <v>17.7</v>
      </c>
    </row>
    <row r="8975" spans="1:7" x14ac:dyDescent="0.25">
      <c r="A8975" s="116" t="s">
        <v>14036</v>
      </c>
      <c r="B8975" s="117" t="s">
        <v>14037</v>
      </c>
      <c r="C8975" t="s">
        <v>67</v>
      </c>
      <c r="D8975" t="s">
        <v>67</v>
      </c>
      <c r="E8975" t="s">
        <v>67</v>
      </c>
      <c r="F8975" t="s">
        <v>27987</v>
      </c>
      <c r="G8975" s="117">
        <v>31.94</v>
      </c>
    </row>
    <row r="8976" spans="1:7" x14ac:dyDescent="0.25">
      <c r="A8976" s="116" t="s">
        <v>14038</v>
      </c>
      <c r="B8976" s="117" t="s">
        <v>14039</v>
      </c>
      <c r="C8976" t="s">
        <v>67</v>
      </c>
      <c r="D8976" t="s">
        <v>67</v>
      </c>
      <c r="E8976" t="s">
        <v>67</v>
      </c>
      <c r="F8976" t="s">
        <v>27987</v>
      </c>
      <c r="G8976" s="117">
        <v>12.01</v>
      </c>
    </row>
    <row r="8977" spans="1:7" x14ac:dyDescent="0.25">
      <c r="A8977" s="116" t="s">
        <v>14040</v>
      </c>
      <c r="B8977" s="117" t="s">
        <v>13574</v>
      </c>
      <c r="C8977" t="s">
        <v>67</v>
      </c>
      <c r="D8977" t="s">
        <v>67</v>
      </c>
      <c r="E8977" t="s">
        <v>67</v>
      </c>
      <c r="F8977" t="s">
        <v>27987</v>
      </c>
      <c r="G8977" s="117">
        <v>28.02</v>
      </c>
    </row>
    <row r="8978" spans="1:7" x14ac:dyDescent="0.25">
      <c r="A8978" s="116" t="s">
        <v>14041</v>
      </c>
      <c r="B8978" s="117" t="s">
        <v>14042</v>
      </c>
      <c r="C8978" t="s">
        <v>67</v>
      </c>
      <c r="D8978" t="s">
        <v>67</v>
      </c>
      <c r="E8978" t="s">
        <v>67</v>
      </c>
      <c r="F8978" t="s">
        <v>45</v>
      </c>
      <c r="G8978" s="117">
        <v>101.88</v>
      </c>
    </row>
    <row r="8979" spans="1:7" x14ac:dyDescent="0.25">
      <c r="A8979" s="116" t="s">
        <v>14043</v>
      </c>
      <c r="B8979" s="117" t="s">
        <v>11127</v>
      </c>
      <c r="C8979" t="s">
        <v>67</v>
      </c>
      <c r="D8979" t="s">
        <v>67</v>
      </c>
      <c r="E8979" t="s">
        <v>67</v>
      </c>
      <c r="F8979" t="s">
        <v>27987</v>
      </c>
      <c r="G8979" s="117">
        <v>3.12</v>
      </c>
    </row>
    <row r="8980" spans="1:7" x14ac:dyDescent="0.25">
      <c r="A8980" s="116" t="s">
        <v>14044</v>
      </c>
      <c r="B8980" s="117" t="s">
        <v>10394</v>
      </c>
      <c r="C8980" t="s">
        <v>67</v>
      </c>
      <c r="D8980" t="s">
        <v>67</v>
      </c>
      <c r="E8980" t="s">
        <v>67</v>
      </c>
      <c r="F8980" t="s">
        <v>27987</v>
      </c>
      <c r="G8980" s="117">
        <v>8.4499999999999993</v>
      </c>
    </row>
    <row r="8981" spans="1:7" x14ac:dyDescent="0.25">
      <c r="A8981" s="116" t="s">
        <v>14045</v>
      </c>
      <c r="B8981" s="117" t="s">
        <v>29147</v>
      </c>
      <c r="C8981" t="s">
        <v>67</v>
      </c>
      <c r="D8981" t="s">
        <v>67</v>
      </c>
      <c r="E8981" t="s">
        <v>67</v>
      </c>
      <c r="F8981" t="s">
        <v>27987</v>
      </c>
      <c r="G8981" s="117">
        <v>6.14</v>
      </c>
    </row>
    <row r="8982" spans="1:7" x14ac:dyDescent="0.25">
      <c r="A8982" s="116" t="s">
        <v>14046</v>
      </c>
      <c r="B8982" s="117" t="s">
        <v>998</v>
      </c>
      <c r="C8982" t="s">
        <v>67</v>
      </c>
      <c r="D8982" t="s">
        <v>67</v>
      </c>
      <c r="E8982" t="s">
        <v>67</v>
      </c>
      <c r="F8982" t="s">
        <v>27987</v>
      </c>
      <c r="G8982" s="117">
        <v>54.86</v>
      </c>
    </row>
    <row r="8983" spans="1:7" x14ac:dyDescent="0.25">
      <c r="A8983" s="116" t="s">
        <v>14047</v>
      </c>
      <c r="B8983" s="117" t="s">
        <v>14048</v>
      </c>
      <c r="C8983" t="s">
        <v>67</v>
      </c>
      <c r="D8983" t="s">
        <v>67</v>
      </c>
      <c r="E8983" t="s">
        <v>67</v>
      </c>
      <c r="F8983" t="s">
        <v>27987</v>
      </c>
      <c r="G8983" s="117">
        <v>5.79</v>
      </c>
    </row>
    <row r="8984" spans="1:7" x14ac:dyDescent="0.25">
      <c r="A8984" s="116" t="s">
        <v>14049</v>
      </c>
      <c r="B8984" s="117" t="s">
        <v>14050</v>
      </c>
      <c r="C8984" t="s">
        <v>67</v>
      </c>
      <c r="D8984" t="s">
        <v>67</v>
      </c>
      <c r="E8984" t="s">
        <v>67</v>
      </c>
      <c r="F8984" t="s">
        <v>45</v>
      </c>
      <c r="G8984" s="117">
        <v>5.79</v>
      </c>
    </row>
    <row r="8985" spans="1:7" x14ac:dyDescent="0.25">
      <c r="A8985" s="116" t="s">
        <v>14051</v>
      </c>
      <c r="B8985" s="117" t="s">
        <v>14052</v>
      </c>
      <c r="C8985" t="s">
        <v>67</v>
      </c>
      <c r="D8985" t="s">
        <v>67</v>
      </c>
      <c r="E8985" t="s">
        <v>67</v>
      </c>
      <c r="F8985" t="s">
        <v>45</v>
      </c>
      <c r="G8985" s="117">
        <v>14.14</v>
      </c>
    </row>
    <row r="8986" spans="1:7" x14ac:dyDescent="0.25">
      <c r="A8986" s="116" t="s">
        <v>14053</v>
      </c>
      <c r="B8986" s="117" t="s">
        <v>14054</v>
      </c>
      <c r="C8986" t="s">
        <v>67</v>
      </c>
      <c r="D8986" t="s">
        <v>67</v>
      </c>
      <c r="E8986" t="s">
        <v>67</v>
      </c>
      <c r="F8986" t="s">
        <v>27987</v>
      </c>
      <c r="G8986" s="117">
        <v>9.6999999999999993</v>
      </c>
    </row>
    <row r="8987" spans="1:7" x14ac:dyDescent="0.25">
      <c r="A8987" s="116" t="s">
        <v>14055</v>
      </c>
      <c r="B8987" s="117" t="s">
        <v>14056</v>
      </c>
      <c r="C8987" t="s">
        <v>67</v>
      </c>
      <c r="D8987" t="s">
        <v>67</v>
      </c>
      <c r="E8987" t="s">
        <v>67</v>
      </c>
      <c r="F8987" t="s">
        <v>45</v>
      </c>
      <c r="G8987" s="117">
        <v>4.8899999999999997</v>
      </c>
    </row>
    <row r="8988" spans="1:7" x14ac:dyDescent="0.25">
      <c r="A8988" s="116" t="s">
        <v>14057</v>
      </c>
      <c r="B8988" s="117" t="s">
        <v>11376</v>
      </c>
      <c r="C8988" t="s">
        <v>67</v>
      </c>
      <c r="D8988" t="s">
        <v>67</v>
      </c>
      <c r="E8988" t="s">
        <v>67</v>
      </c>
      <c r="F8988" t="s">
        <v>45</v>
      </c>
      <c r="G8988" s="117">
        <v>5.25</v>
      </c>
    </row>
    <row r="8989" spans="1:7" x14ac:dyDescent="0.25">
      <c r="A8989" s="116" t="s">
        <v>14058</v>
      </c>
      <c r="B8989" s="117" t="s">
        <v>14059</v>
      </c>
      <c r="C8989" t="s">
        <v>67</v>
      </c>
      <c r="D8989" t="s">
        <v>67</v>
      </c>
      <c r="E8989" t="s">
        <v>67</v>
      </c>
      <c r="F8989" t="s">
        <v>27987</v>
      </c>
      <c r="G8989" s="117">
        <v>6.68</v>
      </c>
    </row>
    <row r="8990" spans="1:7" x14ac:dyDescent="0.25">
      <c r="A8990" s="116" t="s">
        <v>14060</v>
      </c>
      <c r="B8990" s="117" t="s">
        <v>14061</v>
      </c>
      <c r="C8990" t="s">
        <v>67</v>
      </c>
      <c r="D8990" t="s">
        <v>67</v>
      </c>
      <c r="E8990" t="s">
        <v>67</v>
      </c>
      <c r="F8990" t="s">
        <v>45</v>
      </c>
      <c r="G8990" s="117">
        <v>2.23</v>
      </c>
    </row>
    <row r="8991" spans="1:7" x14ac:dyDescent="0.25">
      <c r="A8991" s="116" t="s">
        <v>14062</v>
      </c>
      <c r="B8991" s="117" t="s">
        <v>14063</v>
      </c>
      <c r="C8991" t="s">
        <v>67</v>
      </c>
      <c r="D8991" t="s">
        <v>67</v>
      </c>
      <c r="E8991" t="s">
        <v>67</v>
      </c>
      <c r="F8991" t="s">
        <v>27987</v>
      </c>
      <c r="G8991" s="117">
        <v>4.3600000000000003</v>
      </c>
    </row>
    <row r="8992" spans="1:7" x14ac:dyDescent="0.25">
      <c r="A8992" s="116" t="s">
        <v>30202</v>
      </c>
      <c r="B8992" s="117" t="s">
        <v>30203</v>
      </c>
      <c r="C8992" t="s">
        <v>67</v>
      </c>
      <c r="D8992" t="s">
        <v>67</v>
      </c>
      <c r="E8992" t="s">
        <v>67</v>
      </c>
      <c r="F8992" t="s">
        <v>27987</v>
      </c>
      <c r="G8992" s="117">
        <v>19</v>
      </c>
    </row>
    <row r="8993" spans="1:7" x14ac:dyDescent="0.25">
      <c r="A8993" s="116" t="s">
        <v>14064</v>
      </c>
      <c r="B8993" s="117" t="s">
        <v>14065</v>
      </c>
      <c r="C8993" t="s">
        <v>67</v>
      </c>
      <c r="D8993" t="s">
        <v>67</v>
      </c>
      <c r="E8993" t="s">
        <v>67</v>
      </c>
      <c r="F8993" t="s">
        <v>27987</v>
      </c>
      <c r="G8993" s="117">
        <v>14.14</v>
      </c>
    </row>
    <row r="8994" spans="1:7" x14ac:dyDescent="0.25">
      <c r="A8994" s="116" t="s">
        <v>14066</v>
      </c>
      <c r="B8994" s="117" t="s">
        <v>14067</v>
      </c>
      <c r="C8994" t="s">
        <v>67</v>
      </c>
      <c r="D8994" t="s">
        <v>67</v>
      </c>
      <c r="E8994" t="s">
        <v>67</v>
      </c>
      <c r="F8994" t="s">
        <v>27987</v>
      </c>
      <c r="G8994" s="117">
        <v>4.3600000000000003</v>
      </c>
    </row>
    <row r="8995" spans="1:7" x14ac:dyDescent="0.25">
      <c r="A8995" s="116" t="s">
        <v>14068</v>
      </c>
      <c r="B8995" s="117" t="s">
        <v>14069</v>
      </c>
      <c r="C8995" t="s">
        <v>67</v>
      </c>
      <c r="D8995" t="s">
        <v>67</v>
      </c>
      <c r="E8995" t="s">
        <v>67</v>
      </c>
      <c r="F8995" t="s">
        <v>51</v>
      </c>
      <c r="G8995" s="117">
        <v>2.23</v>
      </c>
    </row>
    <row r="8996" spans="1:7" x14ac:dyDescent="0.25">
      <c r="A8996" s="116" t="s">
        <v>14070</v>
      </c>
      <c r="B8996" s="117" t="s">
        <v>14071</v>
      </c>
      <c r="C8996" t="s">
        <v>67</v>
      </c>
      <c r="D8996" t="s">
        <v>67</v>
      </c>
      <c r="E8996" t="s">
        <v>67</v>
      </c>
      <c r="F8996" t="s">
        <v>49</v>
      </c>
      <c r="G8996" s="117">
        <v>7.12</v>
      </c>
    </row>
    <row r="8997" spans="1:7" x14ac:dyDescent="0.25">
      <c r="A8997" s="116" t="s">
        <v>14072</v>
      </c>
      <c r="B8997" s="117" t="s">
        <v>14073</v>
      </c>
      <c r="C8997" t="s">
        <v>67</v>
      </c>
      <c r="D8997" t="s">
        <v>67</v>
      </c>
      <c r="E8997" t="s">
        <v>67</v>
      </c>
      <c r="F8997" t="s">
        <v>27987</v>
      </c>
      <c r="G8997" s="117">
        <v>2.58</v>
      </c>
    </row>
    <row r="8998" spans="1:7" x14ac:dyDescent="0.25">
      <c r="A8998" s="116" t="s">
        <v>28117</v>
      </c>
      <c r="B8998" s="117" t="s">
        <v>29148</v>
      </c>
      <c r="C8998" t="s">
        <v>67</v>
      </c>
      <c r="D8998" t="s">
        <v>67</v>
      </c>
      <c r="E8998" t="s">
        <v>67</v>
      </c>
      <c r="F8998" t="s">
        <v>27987</v>
      </c>
      <c r="G8998" s="117">
        <v>9999</v>
      </c>
    </row>
    <row r="8999" spans="1:7" x14ac:dyDescent="0.25">
      <c r="A8999" s="116" t="s">
        <v>14074</v>
      </c>
      <c r="B8999" s="117" t="s">
        <v>14075</v>
      </c>
      <c r="C8999" t="s">
        <v>67</v>
      </c>
      <c r="D8999" t="s">
        <v>67</v>
      </c>
      <c r="E8999" t="s">
        <v>67</v>
      </c>
      <c r="F8999" t="s">
        <v>45</v>
      </c>
      <c r="G8999" s="117">
        <v>13.18</v>
      </c>
    </row>
    <row r="9000" spans="1:7" x14ac:dyDescent="0.25">
      <c r="A9000" s="116" t="s">
        <v>14076</v>
      </c>
      <c r="B9000" s="117" t="s">
        <v>14077</v>
      </c>
      <c r="C9000" t="s">
        <v>67</v>
      </c>
      <c r="D9000" t="s">
        <v>67</v>
      </c>
      <c r="E9000" t="s">
        <v>67</v>
      </c>
      <c r="F9000" t="s">
        <v>27987</v>
      </c>
      <c r="G9000" s="117">
        <v>88.54</v>
      </c>
    </row>
    <row r="9001" spans="1:7" x14ac:dyDescent="0.25">
      <c r="A9001" s="116" t="s">
        <v>14078</v>
      </c>
      <c r="B9001" s="117" t="s">
        <v>13574</v>
      </c>
      <c r="C9001" t="s">
        <v>67</v>
      </c>
      <c r="D9001" t="s">
        <v>67</v>
      </c>
      <c r="E9001" t="s">
        <v>67</v>
      </c>
      <c r="F9001" t="s">
        <v>27987</v>
      </c>
      <c r="G9001" s="117">
        <v>25.71</v>
      </c>
    </row>
    <row r="9002" spans="1:7" x14ac:dyDescent="0.25">
      <c r="A9002" s="116" t="s">
        <v>14079</v>
      </c>
      <c r="B9002" s="117" t="s">
        <v>13574</v>
      </c>
      <c r="C9002" t="s">
        <v>67</v>
      </c>
      <c r="D9002" t="s">
        <v>67</v>
      </c>
      <c r="E9002" t="s">
        <v>67</v>
      </c>
      <c r="F9002" t="s">
        <v>27987</v>
      </c>
      <c r="G9002" s="117">
        <v>30.17</v>
      </c>
    </row>
    <row r="9003" spans="1:7" x14ac:dyDescent="0.25">
      <c r="A9003" s="116" t="s">
        <v>14080</v>
      </c>
      <c r="B9003" s="117" t="s">
        <v>14081</v>
      </c>
      <c r="C9003" t="s">
        <v>67</v>
      </c>
      <c r="D9003" t="s">
        <v>67</v>
      </c>
      <c r="E9003" t="s">
        <v>67</v>
      </c>
      <c r="F9003" t="s">
        <v>27987</v>
      </c>
      <c r="G9003" s="117">
        <v>6.23</v>
      </c>
    </row>
    <row r="9004" spans="1:7" x14ac:dyDescent="0.25">
      <c r="A9004" s="116" t="s">
        <v>14082</v>
      </c>
      <c r="B9004" s="117" t="s">
        <v>14083</v>
      </c>
      <c r="C9004" t="s">
        <v>67</v>
      </c>
      <c r="D9004" t="s">
        <v>67</v>
      </c>
      <c r="E9004" t="s">
        <v>67</v>
      </c>
      <c r="F9004" t="s">
        <v>45</v>
      </c>
      <c r="G9004" s="117">
        <v>6.23</v>
      </c>
    </row>
    <row r="9005" spans="1:7" x14ac:dyDescent="0.25">
      <c r="A9005" s="116" t="s">
        <v>14084</v>
      </c>
      <c r="B9005" s="117" t="s">
        <v>14085</v>
      </c>
      <c r="C9005" t="s">
        <v>67</v>
      </c>
      <c r="D9005" t="s">
        <v>67</v>
      </c>
      <c r="E9005" t="s">
        <v>67</v>
      </c>
      <c r="F9005" t="s">
        <v>27987</v>
      </c>
      <c r="G9005" s="117">
        <v>2.23</v>
      </c>
    </row>
    <row r="9006" spans="1:7" x14ac:dyDescent="0.25">
      <c r="A9006" s="116" t="s">
        <v>14086</v>
      </c>
      <c r="B9006" s="117" t="s">
        <v>14087</v>
      </c>
      <c r="C9006" t="s">
        <v>67</v>
      </c>
      <c r="D9006" t="s">
        <v>67</v>
      </c>
      <c r="E9006" t="s">
        <v>67</v>
      </c>
      <c r="F9006" t="s">
        <v>49</v>
      </c>
      <c r="G9006" s="117">
        <v>8.4499999999999993</v>
      </c>
    </row>
    <row r="9007" spans="1:7" x14ac:dyDescent="0.25">
      <c r="A9007" s="116" t="s">
        <v>14088</v>
      </c>
      <c r="B9007" s="117" t="s">
        <v>13586</v>
      </c>
      <c r="C9007" t="s">
        <v>67</v>
      </c>
      <c r="D9007" t="s">
        <v>67</v>
      </c>
      <c r="E9007" t="s">
        <v>67</v>
      </c>
      <c r="F9007" t="s">
        <v>49</v>
      </c>
      <c r="G9007" s="117">
        <v>3.56</v>
      </c>
    </row>
    <row r="9008" spans="1:7" x14ac:dyDescent="0.25">
      <c r="A9008" s="116" t="s">
        <v>14089</v>
      </c>
      <c r="B9008" s="117" t="s">
        <v>14090</v>
      </c>
      <c r="C9008" t="s">
        <v>67</v>
      </c>
      <c r="D9008" t="s">
        <v>67</v>
      </c>
      <c r="E9008" t="s">
        <v>67</v>
      </c>
      <c r="F9008" t="s">
        <v>45</v>
      </c>
      <c r="G9008" s="117">
        <v>0.8</v>
      </c>
    </row>
    <row r="9009" spans="1:7" x14ac:dyDescent="0.25">
      <c r="A9009" s="116" t="s">
        <v>14091</v>
      </c>
      <c r="B9009" s="117" t="s">
        <v>14092</v>
      </c>
      <c r="C9009" t="s">
        <v>67</v>
      </c>
      <c r="D9009" t="s">
        <v>67</v>
      </c>
      <c r="E9009" t="s">
        <v>67</v>
      </c>
      <c r="F9009" t="s">
        <v>27987</v>
      </c>
      <c r="G9009" s="117">
        <v>4</v>
      </c>
    </row>
    <row r="9010" spans="1:7" x14ac:dyDescent="0.25">
      <c r="A9010" s="116" t="s">
        <v>14093</v>
      </c>
      <c r="B9010" s="117" t="s">
        <v>26480</v>
      </c>
      <c r="C9010" t="s">
        <v>67</v>
      </c>
      <c r="D9010" t="s">
        <v>67</v>
      </c>
      <c r="E9010" t="s">
        <v>67</v>
      </c>
      <c r="F9010" t="s">
        <v>45</v>
      </c>
      <c r="G9010" s="117">
        <v>33.96</v>
      </c>
    </row>
    <row r="9011" spans="1:7" x14ac:dyDescent="0.25">
      <c r="A9011" s="116" t="s">
        <v>14094</v>
      </c>
      <c r="B9011" s="117" t="s">
        <v>14095</v>
      </c>
      <c r="C9011" t="s">
        <v>67</v>
      </c>
      <c r="D9011" t="s">
        <v>67</v>
      </c>
      <c r="E9011" t="s">
        <v>67</v>
      </c>
      <c r="F9011" t="s">
        <v>27987</v>
      </c>
      <c r="G9011" s="117">
        <v>5.79</v>
      </c>
    </row>
    <row r="9012" spans="1:7" x14ac:dyDescent="0.25">
      <c r="A9012" s="116" t="s">
        <v>14096</v>
      </c>
      <c r="B9012" s="117" t="s">
        <v>14097</v>
      </c>
      <c r="C9012" t="s">
        <v>67</v>
      </c>
      <c r="D9012" t="s">
        <v>67</v>
      </c>
      <c r="E9012" t="s">
        <v>67</v>
      </c>
      <c r="F9012" t="s">
        <v>49</v>
      </c>
      <c r="G9012" s="117">
        <v>10.24</v>
      </c>
    </row>
    <row r="9013" spans="1:7" x14ac:dyDescent="0.25">
      <c r="A9013" s="116" t="s">
        <v>14098</v>
      </c>
      <c r="B9013" s="117" t="s">
        <v>14099</v>
      </c>
      <c r="C9013" t="s">
        <v>67</v>
      </c>
      <c r="D9013" t="s">
        <v>67</v>
      </c>
      <c r="E9013" t="s">
        <v>67</v>
      </c>
      <c r="F9013" t="s">
        <v>45</v>
      </c>
      <c r="G9013" s="117">
        <v>2.58</v>
      </c>
    </row>
    <row r="9014" spans="1:7" x14ac:dyDescent="0.25">
      <c r="A9014" s="116" t="s">
        <v>14100</v>
      </c>
      <c r="B9014" s="117" t="s">
        <v>14101</v>
      </c>
      <c r="C9014" t="s">
        <v>67</v>
      </c>
      <c r="D9014" t="s">
        <v>67</v>
      </c>
      <c r="E9014" t="s">
        <v>67</v>
      </c>
      <c r="F9014" t="s">
        <v>27987</v>
      </c>
      <c r="G9014" s="117">
        <v>7.12</v>
      </c>
    </row>
    <row r="9015" spans="1:7" x14ac:dyDescent="0.25">
      <c r="A9015" s="116" t="s">
        <v>14102</v>
      </c>
      <c r="B9015" s="117" t="s">
        <v>14103</v>
      </c>
      <c r="C9015" t="s">
        <v>67</v>
      </c>
      <c r="D9015" t="s">
        <v>67</v>
      </c>
      <c r="E9015" t="s">
        <v>67</v>
      </c>
      <c r="F9015" t="s">
        <v>27987</v>
      </c>
      <c r="G9015" s="117">
        <v>22.69</v>
      </c>
    </row>
    <row r="9016" spans="1:7" x14ac:dyDescent="0.25">
      <c r="A9016" s="116" t="s">
        <v>14104</v>
      </c>
      <c r="B9016" s="117" t="s">
        <v>14105</v>
      </c>
      <c r="C9016" t="s">
        <v>67</v>
      </c>
      <c r="D9016" t="s">
        <v>67</v>
      </c>
      <c r="E9016" t="s">
        <v>67</v>
      </c>
      <c r="F9016" t="s">
        <v>45</v>
      </c>
      <c r="G9016" s="117">
        <v>12.37</v>
      </c>
    </row>
    <row r="9017" spans="1:7" x14ac:dyDescent="0.25">
      <c r="A9017" s="116" t="s">
        <v>14106</v>
      </c>
      <c r="B9017" s="117" t="s">
        <v>14107</v>
      </c>
      <c r="C9017" t="s">
        <v>67</v>
      </c>
      <c r="D9017" t="s">
        <v>67</v>
      </c>
      <c r="E9017" t="s">
        <v>67</v>
      </c>
      <c r="F9017" t="s">
        <v>27987</v>
      </c>
      <c r="G9017" s="117">
        <v>11.57</v>
      </c>
    </row>
    <row r="9018" spans="1:7" x14ac:dyDescent="0.25">
      <c r="A9018" s="116" t="s">
        <v>14108</v>
      </c>
      <c r="B9018" s="117" t="s">
        <v>14109</v>
      </c>
      <c r="C9018" t="s">
        <v>67</v>
      </c>
      <c r="D9018" t="s">
        <v>67</v>
      </c>
      <c r="E9018" t="s">
        <v>67</v>
      </c>
      <c r="F9018" t="s">
        <v>27987</v>
      </c>
      <c r="G9018" s="117">
        <v>3.48</v>
      </c>
    </row>
    <row r="9019" spans="1:7" x14ac:dyDescent="0.25">
      <c r="A9019" s="116" t="s">
        <v>14110</v>
      </c>
      <c r="B9019" s="117" t="s">
        <v>14111</v>
      </c>
      <c r="C9019" t="s">
        <v>67</v>
      </c>
      <c r="D9019" t="s">
        <v>67</v>
      </c>
      <c r="E9019" t="s">
        <v>67</v>
      </c>
      <c r="F9019" t="s">
        <v>49</v>
      </c>
      <c r="G9019" s="117">
        <v>4</v>
      </c>
    </row>
    <row r="9020" spans="1:7" x14ac:dyDescent="0.25">
      <c r="A9020" s="116" t="s">
        <v>14112</v>
      </c>
      <c r="B9020" s="117" t="s">
        <v>14113</v>
      </c>
      <c r="C9020" t="s">
        <v>67</v>
      </c>
      <c r="D9020" t="s">
        <v>67</v>
      </c>
      <c r="E9020" t="s">
        <v>67</v>
      </c>
      <c r="F9020" t="s">
        <v>49</v>
      </c>
      <c r="G9020" s="117">
        <v>10.58</v>
      </c>
    </row>
    <row r="9021" spans="1:7" x14ac:dyDescent="0.25">
      <c r="A9021" s="116" t="s">
        <v>14114</v>
      </c>
      <c r="B9021" s="117" t="s">
        <v>14115</v>
      </c>
      <c r="C9021" t="s">
        <v>67</v>
      </c>
      <c r="D9021" t="s">
        <v>67</v>
      </c>
      <c r="E9021" t="s">
        <v>67</v>
      </c>
      <c r="F9021" t="s">
        <v>27987</v>
      </c>
      <c r="G9021" s="117">
        <v>15.04</v>
      </c>
    </row>
    <row r="9022" spans="1:7" x14ac:dyDescent="0.25">
      <c r="A9022" s="116" t="s">
        <v>14116</v>
      </c>
      <c r="B9022" s="117" t="s">
        <v>14117</v>
      </c>
      <c r="C9022" t="s">
        <v>67</v>
      </c>
      <c r="D9022" t="s">
        <v>67</v>
      </c>
      <c r="E9022" t="s">
        <v>67</v>
      </c>
      <c r="F9022" t="s">
        <v>27990</v>
      </c>
      <c r="G9022" s="117">
        <v>0.8</v>
      </c>
    </row>
    <row r="9023" spans="1:7" x14ac:dyDescent="0.25">
      <c r="A9023" s="116" t="s">
        <v>14118</v>
      </c>
      <c r="B9023" s="117" t="s">
        <v>14119</v>
      </c>
      <c r="C9023" t="s">
        <v>67</v>
      </c>
      <c r="D9023" t="s">
        <v>67</v>
      </c>
      <c r="E9023" t="s">
        <v>67</v>
      </c>
      <c r="F9023" t="s">
        <v>49</v>
      </c>
      <c r="G9023" s="117">
        <v>6.14</v>
      </c>
    </row>
    <row r="9024" spans="1:7" x14ac:dyDescent="0.25">
      <c r="A9024" s="116" t="s">
        <v>14120</v>
      </c>
      <c r="B9024" s="117" t="s">
        <v>1477</v>
      </c>
      <c r="C9024" t="s">
        <v>67</v>
      </c>
      <c r="D9024" t="s">
        <v>67</v>
      </c>
      <c r="E9024" t="s">
        <v>67</v>
      </c>
      <c r="F9024" t="s">
        <v>27987</v>
      </c>
      <c r="G9024" s="117">
        <v>1.69</v>
      </c>
    </row>
    <row r="9025" spans="1:7" x14ac:dyDescent="0.25">
      <c r="A9025" s="116" t="s">
        <v>14121</v>
      </c>
      <c r="B9025" s="117" t="s">
        <v>13586</v>
      </c>
      <c r="C9025" t="s">
        <v>67</v>
      </c>
      <c r="D9025" t="s">
        <v>67</v>
      </c>
      <c r="E9025" t="s">
        <v>67</v>
      </c>
      <c r="F9025" t="s">
        <v>27987</v>
      </c>
      <c r="G9025" s="117">
        <v>1.69</v>
      </c>
    </row>
    <row r="9026" spans="1:7" x14ac:dyDescent="0.25">
      <c r="A9026" s="116" t="s">
        <v>14122</v>
      </c>
      <c r="B9026" s="117" t="s">
        <v>14123</v>
      </c>
      <c r="C9026" t="s">
        <v>67</v>
      </c>
      <c r="D9026" t="s">
        <v>67</v>
      </c>
      <c r="E9026" t="s">
        <v>67</v>
      </c>
      <c r="F9026" t="s">
        <v>27987</v>
      </c>
      <c r="G9026" s="117">
        <v>2.23</v>
      </c>
    </row>
    <row r="9027" spans="1:7" x14ac:dyDescent="0.25">
      <c r="A9027" s="116" t="s">
        <v>14124</v>
      </c>
      <c r="B9027" s="117" t="s">
        <v>14125</v>
      </c>
      <c r="C9027" t="s">
        <v>67</v>
      </c>
      <c r="D9027" t="s">
        <v>67</v>
      </c>
      <c r="E9027" t="s">
        <v>67</v>
      </c>
      <c r="F9027" t="s">
        <v>49</v>
      </c>
      <c r="G9027" s="117">
        <v>2.58</v>
      </c>
    </row>
    <row r="9028" spans="1:7" x14ac:dyDescent="0.25">
      <c r="A9028" s="116" t="s">
        <v>14126</v>
      </c>
      <c r="B9028" s="117" t="s">
        <v>14127</v>
      </c>
      <c r="C9028" t="s">
        <v>67</v>
      </c>
      <c r="D9028" t="s">
        <v>67</v>
      </c>
      <c r="E9028" t="s">
        <v>67</v>
      </c>
      <c r="F9028" t="s">
        <v>27987</v>
      </c>
      <c r="G9028" s="117">
        <v>1.01</v>
      </c>
    </row>
    <row r="9029" spans="1:7" x14ac:dyDescent="0.25">
      <c r="A9029" s="116" t="s">
        <v>14128</v>
      </c>
      <c r="B9029" s="117" t="s">
        <v>14129</v>
      </c>
      <c r="C9029" t="s">
        <v>67</v>
      </c>
      <c r="D9029" t="s">
        <v>67</v>
      </c>
      <c r="E9029" t="s">
        <v>67</v>
      </c>
      <c r="F9029" t="s">
        <v>49</v>
      </c>
      <c r="G9029" s="117">
        <v>2.58</v>
      </c>
    </row>
    <row r="9030" spans="1:7" x14ac:dyDescent="0.25">
      <c r="A9030" s="116" t="s">
        <v>14130</v>
      </c>
      <c r="B9030" s="117" t="s">
        <v>14131</v>
      </c>
      <c r="C9030" t="s">
        <v>67</v>
      </c>
      <c r="D9030" t="s">
        <v>67</v>
      </c>
      <c r="E9030" t="s">
        <v>67</v>
      </c>
      <c r="F9030" t="s">
        <v>27987</v>
      </c>
      <c r="G9030" s="117">
        <v>3.56</v>
      </c>
    </row>
    <row r="9031" spans="1:7" x14ac:dyDescent="0.25">
      <c r="A9031" s="116" t="s">
        <v>14132</v>
      </c>
      <c r="B9031" s="117" t="s">
        <v>14133</v>
      </c>
      <c r="C9031" t="s">
        <v>67</v>
      </c>
      <c r="D9031" t="s">
        <v>67</v>
      </c>
      <c r="E9031" t="s">
        <v>67</v>
      </c>
      <c r="F9031" t="s">
        <v>45</v>
      </c>
      <c r="G9031" s="117">
        <v>54.19</v>
      </c>
    </row>
    <row r="9032" spans="1:7" x14ac:dyDescent="0.25">
      <c r="A9032" s="116" t="s">
        <v>14134</v>
      </c>
      <c r="B9032" s="117" t="s">
        <v>14135</v>
      </c>
      <c r="C9032" t="s">
        <v>67</v>
      </c>
      <c r="D9032" t="s">
        <v>67</v>
      </c>
      <c r="E9032" t="s">
        <v>67</v>
      </c>
      <c r="F9032" t="s">
        <v>27987</v>
      </c>
      <c r="G9032" s="117">
        <v>25.71</v>
      </c>
    </row>
    <row r="9033" spans="1:7" x14ac:dyDescent="0.25">
      <c r="A9033" s="116" t="s">
        <v>29812</v>
      </c>
      <c r="B9033" s="117" t="s">
        <v>29119</v>
      </c>
      <c r="C9033" t="s">
        <v>67</v>
      </c>
      <c r="D9033" t="s">
        <v>67</v>
      </c>
      <c r="E9033" t="s">
        <v>67</v>
      </c>
      <c r="F9033" t="s">
        <v>27987</v>
      </c>
      <c r="G9033" s="117">
        <v>1.8</v>
      </c>
    </row>
    <row r="9034" spans="1:7" x14ac:dyDescent="0.25">
      <c r="A9034" s="116" t="s">
        <v>14136</v>
      </c>
      <c r="B9034" s="117" t="s">
        <v>14137</v>
      </c>
      <c r="C9034" t="s">
        <v>67</v>
      </c>
      <c r="D9034" t="s">
        <v>67</v>
      </c>
      <c r="E9034" t="s">
        <v>67</v>
      </c>
      <c r="F9034" t="s">
        <v>27987</v>
      </c>
      <c r="G9034" s="117">
        <v>59.18</v>
      </c>
    </row>
    <row r="9035" spans="1:7" x14ac:dyDescent="0.25">
      <c r="A9035" s="116" t="s">
        <v>14138</v>
      </c>
      <c r="B9035" s="117" t="s">
        <v>14139</v>
      </c>
      <c r="C9035" t="s">
        <v>67</v>
      </c>
      <c r="D9035" t="s">
        <v>67</v>
      </c>
      <c r="E9035" t="s">
        <v>67</v>
      </c>
      <c r="F9035" t="s">
        <v>49</v>
      </c>
      <c r="G9035" s="117">
        <v>3.56</v>
      </c>
    </row>
    <row r="9036" spans="1:7" x14ac:dyDescent="0.25">
      <c r="A9036" s="116" t="s">
        <v>14140</v>
      </c>
      <c r="B9036" s="117" t="s">
        <v>465</v>
      </c>
      <c r="C9036" t="s">
        <v>67</v>
      </c>
      <c r="D9036" t="s">
        <v>67</v>
      </c>
      <c r="E9036" t="s">
        <v>67</v>
      </c>
      <c r="F9036" t="s">
        <v>49</v>
      </c>
      <c r="G9036" s="117">
        <v>7.02</v>
      </c>
    </row>
    <row r="9037" spans="1:7" x14ac:dyDescent="0.25">
      <c r="A9037" s="116" t="s">
        <v>14141</v>
      </c>
      <c r="B9037" s="117" t="s">
        <v>14142</v>
      </c>
      <c r="C9037" t="s">
        <v>67</v>
      </c>
      <c r="D9037" t="s">
        <v>67</v>
      </c>
      <c r="E9037" t="s">
        <v>67</v>
      </c>
      <c r="F9037" t="s">
        <v>27990</v>
      </c>
      <c r="G9037" s="117">
        <v>1.33</v>
      </c>
    </row>
    <row r="9038" spans="1:7" x14ac:dyDescent="0.25">
      <c r="A9038" s="116" t="s">
        <v>14143</v>
      </c>
      <c r="B9038" s="117" t="s">
        <v>13662</v>
      </c>
      <c r="C9038" t="s">
        <v>67</v>
      </c>
      <c r="D9038" t="s">
        <v>67</v>
      </c>
      <c r="E9038" t="s">
        <v>67</v>
      </c>
      <c r="F9038" t="s">
        <v>45</v>
      </c>
      <c r="G9038" s="117">
        <v>2.23</v>
      </c>
    </row>
    <row r="9039" spans="1:7" x14ac:dyDescent="0.25">
      <c r="A9039" s="116" t="s">
        <v>14144</v>
      </c>
      <c r="B9039" s="117" t="s">
        <v>14145</v>
      </c>
      <c r="C9039" t="s">
        <v>67</v>
      </c>
      <c r="D9039" t="s">
        <v>67</v>
      </c>
      <c r="E9039" t="s">
        <v>67</v>
      </c>
      <c r="F9039" t="s">
        <v>45</v>
      </c>
      <c r="G9039" s="117">
        <v>82.67</v>
      </c>
    </row>
    <row r="9040" spans="1:7" x14ac:dyDescent="0.25">
      <c r="A9040" s="116" t="s">
        <v>14146</v>
      </c>
      <c r="B9040" s="117" t="s">
        <v>14147</v>
      </c>
      <c r="C9040" t="s">
        <v>67</v>
      </c>
      <c r="D9040" t="s">
        <v>67</v>
      </c>
      <c r="E9040" t="s">
        <v>67</v>
      </c>
      <c r="F9040" t="s">
        <v>27987</v>
      </c>
      <c r="G9040" s="117">
        <v>2.58</v>
      </c>
    </row>
    <row r="9041" spans="1:7" x14ac:dyDescent="0.25">
      <c r="A9041" s="116" t="s">
        <v>14148</v>
      </c>
      <c r="B9041" s="117" t="s">
        <v>14149</v>
      </c>
      <c r="C9041" t="s">
        <v>67</v>
      </c>
      <c r="D9041" t="s">
        <v>67</v>
      </c>
      <c r="E9041" t="s">
        <v>67</v>
      </c>
      <c r="F9041" t="s">
        <v>27987</v>
      </c>
      <c r="G9041" s="117">
        <v>11.48</v>
      </c>
    </row>
    <row r="9042" spans="1:7" x14ac:dyDescent="0.25">
      <c r="A9042" s="116" t="s">
        <v>29149</v>
      </c>
      <c r="B9042" s="117" t="s">
        <v>13929</v>
      </c>
      <c r="C9042" t="s">
        <v>67</v>
      </c>
      <c r="D9042" t="s">
        <v>67</v>
      </c>
      <c r="E9042" t="s">
        <v>67</v>
      </c>
      <c r="F9042" t="s">
        <v>45</v>
      </c>
      <c r="G9042" s="117">
        <v>9</v>
      </c>
    </row>
    <row r="9043" spans="1:7" x14ac:dyDescent="0.25">
      <c r="A9043" s="116" t="s">
        <v>14150</v>
      </c>
      <c r="B9043" s="117" t="s">
        <v>515</v>
      </c>
      <c r="C9043" t="s">
        <v>67</v>
      </c>
      <c r="D9043" t="s">
        <v>67</v>
      </c>
      <c r="E9043" t="s">
        <v>67</v>
      </c>
      <c r="F9043" t="s">
        <v>27987</v>
      </c>
      <c r="G9043" s="117">
        <v>1.33</v>
      </c>
    </row>
    <row r="9044" spans="1:7" x14ac:dyDescent="0.25">
      <c r="A9044" s="116" t="s">
        <v>29150</v>
      </c>
      <c r="B9044" s="117" t="s">
        <v>12726</v>
      </c>
      <c r="C9044" t="s">
        <v>67</v>
      </c>
      <c r="D9044" t="s">
        <v>67</v>
      </c>
      <c r="E9044" t="s">
        <v>67</v>
      </c>
      <c r="F9044" t="s">
        <v>45</v>
      </c>
      <c r="G9044" s="117">
        <v>0</v>
      </c>
    </row>
    <row r="9045" spans="1:7" x14ac:dyDescent="0.25">
      <c r="A9045" s="116" t="s">
        <v>14151</v>
      </c>
      <c r="B9045" s="117" t="s">
        <v>14152</v>
      </c>
      <c r="C9045" t="s">
        <v>67</v>
      </c>
      <c r="D9045" t="s">
        <v>67</v>
      </c>
      <c r="E9045" t="s">
        <v>67</v>
      </c>
      <c r="F9045" t="s">
        <v>45</v>
      </c>
      <c r="G9045" s="117">
        <v>9.35</v>
      </c>
    </row>
    <row r="9046" spans="1:7" x14ac:dyDescent="0.25">
      <c r="A9046" s="116" t="s">
        <v>14153</v>
      </c>
      <c r="B9046" s="117" t="s">
        <v>14154</v>
      </c>
      <c r="C9046" t="s">
        <v>67</v>
      </c>
      <c r="D9046" t="s">
        <v>67</v>
      </c>
      <c r="E9046" t="s">
        <v>67</v>
      </c>
      <c r="F9046" t="s">
        <v>49</v>
      </c>
      <c r="G9046" s="117">
        <v>0.8</v>
      </c>
    </row>
    <row r="9047" spans="1:7" x14ac:dyDescent="0.25">
      <c r="A9047" s="116" t="s">
        <v>14155</v>
      </c>
      <c r="B9047" s="117" t="s">
        <v>2231</v>
      </c>
      <c r="C9047" t="s">
        <v>67</v>
      </c>
      <c r="D9047" t="s">
        <v>67</v>
      </c>
      <c r="E9047" t="s">
        <v>67</v>
      </c>
      <c r="F9047" t="s">
        <v>27987</v>
      </c>
      <c r="G9047" s="117">
        <v>1.33</v>
      </c>
    </row>
    <row r="9048" spans="1:7" x14ac:dyDescent="0.25">
      <c r="A9048" s="116" t="s">
        <v>14156</v>
      </c>
      <c r="B9048" s="117" t="s">
        <v>29151</v>
      </c>
      <c r="C9048" t="s">
        <v>67</v>
      </c>
      <c r="D9048" t="s">
        <v>67</v>
      </c>
      <c r="E9048" t="s">
        <v>67</v>
      </c>
      <c r="F9048" t="s">
        <v>27987</v>
      </c>
      <c r="G9048" s="117">
        <v>4.8899999999999997</v>
      </c>
    </row>
    <row r="9049" spans="1:7" x14ac:dyDescent="0.25">
      <c r="A9049" s="116" t="s">
        <v>14157</v>
      </c>
      <c r="B9049" s="117" t="s">
        <v>14158</v>
      </c>
      <c r="C9049" t="s">
        <v>67</v>
      </c>
      <c r="D9049" t="s">
        <v>67</v>
      </c>
      <c r="E9049" t="s">
        <v>67</v>
      </c>
      <c r="F9049" t="s">
        <v>27987</v>
      </c>
      <c r="G9049" s="117">
        <v>17.7</v>
      </c>
    </row>
    <row r="9050" spans="1:7" x14ac:dyDescent="0.25">
      <c r="A9050" s="116" t="s">
        <v>14159</v>
      </c>
      <c r="B9050" s="117" t="s">
        <v>14160</v>
      </c>
      <c r="C9050" t="s">
        <v>67</v>
      </c>
      <c r="D9050" t="s">
        <v>67</v>
      </c>
      <c r="E9050" t="s">
        <v>67</v>
      </c>
      <c r="F9050" t="s">
        <v>27987</v>
      </c>
      <c r="G9050" s="117">
        <v>10.58</v>
      </c>
    </row>
    <row r="9051" spans="1:7" x14ac:dyDescent="0.25">
      <c r="A9051" s="116" t="s">
        <v>14161</v>
      </c>
      <c r="B9051" s="117" t="s">
        <v>14162</v>
      </c>
      <c r="C9051" t="s">
        <v>67</v>
      </c>
      <c r="D9051" t="s">
        <v>67</v>
      </c>
      <c r="E9051" t="s">
        <v>67</v>
      </c>
      <c r="F9051" t="s">
        <v>27987</v>
      </c>
      <c r="G9051" s="117">
        <v>15.57</v>
      </c>
    </row>
    <row r="9052" spans="1:7" x14ac:dyDescent="0.25">
      <c r="A9052" s="116" t="s">
        <v>14163</v>
      </c>
      <c r="B9052" s="117" t="s">
        <v>14164</v>
      </c>
      <c r="C9052" t="s">
        <v>67</v>
      </c>
      <c r="D9052" t="s">
        <v>67</v>
      </c>
      <c r="E9052" t="s">
        <v>67</v>
      </c>
      <c r="F9052" t="s">
        <v>27987</v>
      </c>
      <c r="G9052" s="117">
        <v>4.8899999999999997</v>
      </c>
    </row>
    <row r="9053" spans="1:7" x14ac:dyDescent="0.25">
      <c r="A9053" s="116" t="s">
        <v>14165</v>
      </c>
      <c r="B9053" s="117" t="s">
        <v>13234</v>
      </c>
      <c r="C9053" t="s">
        <v>67</v>
      </c>
      <c r="D9053" t="s">
        <v>67</v>
      </c>
      <c r="E9053" t="s">
        <v>67</v>
      </c>
      <c r="F9053" t="s">
        <v>27987</v>
      </c>
      <c r="G9053" s="117">
        <v>26.25</v>
      </c>
    </row>
    <row r="9054" spans="1:7" x14ac:dyDescent="0.25">
      <c r="A9054" s="116" t="s">
        <v>14166</v>
      </c>
      <c r="B9054" s="117" t="s">
        <v>14167</v>
      </c>
      <c r="C9054" t="s">
        <v>67</v>
      </c>
      <c r="D9054" t="s">
        <v>67</v>
      </c>
      <c r="E9054" t="s">
        <v>67</v>
      </c>
      <c r="F9054" t="s">
        <v>27987</v>
      </c>
      <c r="G9054" s="117">
        <v>2.58</v>
      </c>
    </row>
    <row r="9055" spans="1:7" x14ac:dyDescent="0.25">
      <c r="A9055" s="116" t="s">
        <v>14168</v>
      </c>
      <c r="B9055" s="117" t="s">
        <v>14169</v>
      </c>
      <c r="C9055" t="s">
        <v>67</v>
      </c>
      <c r="D9055" t="s">
        <v>67</v>
      </c>
      <c r="E9055" t="s">
        <v>67</v>
      </c>
      <c r="F9055" t="s">
        <v>45</v>
      </c>
      <c r="G9055" s="117">
        <v>4.8899999999999997</v>
      </c>
    </row>
    <row r="9056" spans="1:7" x14ac:dyDescent="0.25">
      <c r="A9056" s="116" t="s">
        <v>14170</v>
      </c>
      <c r="B9056" s="117" t="s">
        <v>14171</v>
      </c>
      <c r="C9056" t="s">
        <v>67</v>
      </c>
      <c r="D9056" t="s">
        <v>67</v>
      </c>
      <c r="E9056" t="s">
        <v>67</v>
      </c>
      <c r="F9056" t="s">
        <v>27990</v>
      </c>
      <c r="G9056" s="117">
        <v>1.77</v>
      </c>
    </row>
    <row r="9057" spans="1:7" x14ac:dyDescent="0.25">
      <c r="A9057" s="116" t="s">
        <v>14172</v>
      </c>
      <c r="B9057" s="117" t="s">
        <v>14135</v>
      </c>
      <c r="C9057" t="s">
        <v>67</v>
      </c>
      <c r="D9057" t="s">
        <v>67</v>
      </c>
      <c r="E9057" t="s">
        <v>67</v>
      </c>
      <c r="F9057" t="s">
        <v>27987</v>
      </c>
      <c r="G9057" s="117">
        <v>52.94</v>
      </c>
    </row>
    <row r="9058" spans="1:7" x14ac:dyDescent="0.25">
      <c r="A9058" s="116" t="s">
        <v>14173</v>
      </c>
      <c r="B9058" s="117" t="s">
        <v>14174</v>
      </c>
      <c r="C9058" t="s">
        <v>67</v>
      </c>
      <c r="D9058" t="s">
        <v>67</v>
      </c>
      <c r="E9058" t="s">
        <v>67</v>
      </c>
      <c r="F9058" t="s">
        <v>27987</v>
      </c>
      <c r="G9058" s="117">
        <v>3.12</v>
      </c>
    </row>
    <row r="9059" spans="1:7" x14ac:dyDescent="0.25">
      <c r="A9059" s="116" t="s">
        <v>14175</v>
      </c>
      <c r="B9059" s="117" t="s">
        <v>14176</v>
      </c>
      <c r="C9059" t="s">
        <v>67</v>
      </c>
      <c r="D9059" t="s">
        <v>67</v>
      </c>
      <c r="E9059" t="s">
        <v>67</v>
      </c>
      <c r="F9059" t="s">
        <v>49</v>
      </c>
      <c r="G9059" s="117">
        <v>0.8</v>
      </c>
    </row>
    <row r="9060" spans="1:7" x14ac:dyDescent="0.25">
      <c r="A9060" s="116" t="s">
        <v>14177</v>
      </c>
      <c r="B9060" s="117" t="s">
        <v>14178</v>
      </c>
      <c r="C9060" t="s">
        <v>67</v>
      </c>
      <c r="D9060" t="s">
        <v>67</v>
      </c>
      <c r="E9060" t="s">
        <v>67</v>
      </c>
      <c r="F9060" t="s">
        <v>27987</v>
      </c>
      <c r="G9060" s="117">
        <v>0.8</v>
      </c>
    </row>
    <row r="9061" spans="1:7" x14ac:dyDescent="0.25">
      <c r="A9061" s="116" t="s">
        <v>14179</v>
      </c>
      <c r="B9061" s="117" t="s">
        <v>2231</v>
      </c>
      <c r="C9061" t="s">
        <v>67</v>
      </c>
      <c r="D9061" t="s">
        <v>67</v>
      </c>
      <c r="E9061" t="s">
        <v>67</v>
      </c>
      <c r="F9061" t="s">
        <v>27987</v>
      </c>
      <c r="G9061" s="117">
        <v>1.77</v>
      </c>
    </row>
    <row r="9062" spans="1:7" x14ac:dyDescent="0.25">
      <c r="A9062" s="116" t="s">
        <v>14180</v>
      </c>
      <c r="B9062" s="117" t="s">
        <v>14181</v>
      </c>
      <c r="C9062" t="s">
        <v>67</v>
      </c>
      <c r="D9062" t="s">
        <v>67</v>
      </c>
      <c r="E9062" t="s">
        <v>67</v>
      </c>
      <c r="F9062" t="s">
        <v>27987</v>
      </c>
      <c r="G9062" s="117">
        <v>1.33</v>
      </c>
    </row>
    <row r="9063" spans="1:7" x14ac:dyDescent="0.25">
      <c r="A9063" s="116" t="s">
        <v>14182</v>
      </c>
      <c r="B9063" s="117" t="s">
        <v>13662</v>
      </c>
      <c r="C9063" t="s">
        <v>67</v>
      </c>
      <c r="D9063" t="s">
        <v>67</v>
      </c>
      <c r="E9063" t="s">
        <v>67</v>
      </c>
      <c r="F9063" t="s">
        <v>45</v>
      </c>
      <c r="G9063" s="117">
        <v>2.58</v>
      </c>
    </row>
    <row r="9064" spans="1:7" x14ac:dyDescent="0.25">
      <c r="A9064" s="116" t="s">
        <v>14183</v>
      </c>
      <c r="B9064" s="117" t="s">
        <v>14184</v>
      </c>
      <c r="C9064" t="s">
        <v>67</v>
      </c>
      <c r="D9064" t="s">
        <v>67</v>
      </c>
      <c r="E9064" t="s">
        <v>67</v>
      </c>
      <c r="F9064" t="s">
        <v>27987</v>
      </c>
      <c r="G9064" s="117">
        <v>15.57</v>
      </c>
    </row>
    <row r="9065" spans="1:7" x14ac:dyDescent="0.25">
      <c r="A9065" s="116" t="s">
        <v>14185</v>
      </c>
      <c r="B9065" s="117" t="s">
        <v>14186</v>
      </c>
      <c r="C9065" t="s">
        <v>67</v>
      </c>
      <c r="D9065" t="s">
        <v>67</v>
      </c>
      <c r="E9065" t="s">
        <v>67</v>
      </c>
      <c r="F9065" t="s">
        <v>49</v>
      </c>
      <c r="G9065" s="117">
        <v>6.14</v>
      </c>
    </row>
    <row r="9066" spans="1:7" x14ac:dyDescent="0.25">
      <c r="A9066" s="116" t="s">
        <v>14187</v>
      </c>
      <c r="B9066" s="117" t="s">
        <v>14188</v>
      </c>
      <c r="C9066" t="s">
        <v>67</v>
      </c>
      <c r="D9066" t="s">
        <v>67</v>
      </c>
      <c r="E9066" t="s">
        <v>67</v>
      </c>
      <c r="F9066" t="s">
        <v>27987</v>
      </c>
      <c r="G9066" s="117">
        <v>4.3600000000000003</v>
      </c>
    </row>
    <row r="9067" spans="1:7" x14ac:dyDescent="0.25">
      <c r="A9067" s="116" t="s">
        <v>14189</v>
      </c>
      <c r="B9067" s="117" t="s">
        <v>14190</v>
      </c>
      <c r="C9067" t="s">
        <v>67</v>
      </c>
      <c r="D9067" t="s">
        <v>67</v>
      </c>
      <c r="E9067" t="s">
        <v>67</v>
      </c>
      <c r="F9067" t="s">
        <v>27987</v>
      </c>
      <c r="G9067" s="117">
        <v>1.33</v>
      </c>
    </row>
    <row r="9068" spans="1:7" x14ac:dyDescent="0.25">
      <c r="A9068" s="116" t="s">
        <v>14191</v>
      </c>
      <c r="B9068" s="117" t="s">
        <v>14192</v>
      </c>
      <c r="C9068" t="s">
        <v>67</v>
      </c>
      <c r="D9068" t="s">
        <v>67</v>
      </c>
      <c r="E9068" t="s">
        <v>67</v>
      </c>
      <c r="F9068" t="s">
        <v>49</v>
      </c>
      <c r="G9068" s="117">
        <v>2.67</v>
      </c>
    </row>
    <row r="9069" spans="1:7" x14ac:dyDescent="0.25">
      <c r="A9069" s="116" t="s">
        <v>14193</v>
      </c>
      <c r="B9069" s="117" t="s">
        <v>14194</v>
      </c>
      <c r="C9069" t="s">
        <v>67</v>
      </c>
      <c r="D9069" t="s">
        <v>67</v>
      </c>
      <c r="E9069" t="s">
        <v>67</v>
      </c>
      <c r="F9069" t="s">
        <v>27990</v>
      </c>
      <c r="G9069" s="117">
        <v>2.23</v>
      </c>
    </row>
    <row r="9070" spans="1:7" x14ac:dyDescent="0.25">
      <c r="A9070" s="116" t="s">
        <v>14195</v>
      </c>
      <c r="B9070" s="117" t="s">
        <v>14196</v>
      </c>
      <c r="C9070" t="s">
        <v>67</v>
      </c>
      <c r="D9070" t="s">
        <v>67</v>
      </c>
      <c r="E9070" t="s">
        <v>67</v>
      </c>
      <c r="F9070" t="s">
        <v>27987</v>
      </c>
      <c r="G9070" s="117">
        <v>16.46</v>
      </c>
    </row>
    <row r="9071" spans="1:7" x14ac:dyDescent="0.25">
      <c r="A9071" s="116" t="s">
        <v>14197</v>
      </c>
      <c r="B9071" s="117" t="s">
        <v>14198</v>
      </c>
      <c r="C9071" t="s">
        <v>67</v>
      </c>
      <c r="D9071" t="s">
        <v>67</v>
      </c>
      <c r="E9071" t="s">
        <v>67</v>
      </c>
      <c r="F9071" t="s">
        <v>27987</v>
      </c>
      <c r="G9071" s="117">
        <v>60.06</v>
      </c>
    </row>
    <row r="9072" spans="1:7" x14ac:dyDescent="0.25">
      <c r="A9072" s="116" t="s">
        <v>14199</v>
      </c>
      <c r="B9072" s="117" t="s">
        <v>10538</v>
      </c>
      <c r="C9072" t="s">
        <v>67</v>
      </c>
      <c r="D9072" t="s">
        <v>67</v>
      </c>
      <c r="E9072" t="s">
        <v>67</v>
      </c>
      <c r="F9072" t="s">
        <v>49</v>
      </c>
      <c r="G9072" s="117">
        <v>6.68</v>
      </c>
    </row>
    <row r="9073" spans="1:7" x14ac:dyDescent="0.25">
      <c r="A9073" s="116" t="s">
        <v>14200</v>
      </c>
      <c r="B9073" s="117" t="s">
        <v>3062</v>
      </c>
      <c r="C9073" t="s">
        <v>67</v>
      </c>
      <c r="D9073" t="s">
        <v>67</v>
      </c>
      <c r="E9073" t="s">
        <v>67</v>
      </c>
      <c r="F9073" t="s">
        <v>27987</v>
      </c>
      <c r="G9073" s="117">
        <v>14.14</v>
      </c>
    </row>
    <row r="9074" spans="1:7" x14ac:dyDescent="0.25">
      <c r="A9074" s="116" t="s">
        <v>14201</v>
      </c>
      <c r="B9074" s="117" t="s">
        <v>14202</v>
      </c>
      <c r="C9074" t="s">
        <v>67</v>
      </c>
      <c r="D9074" t="s">
        <v>67</v>
      </c>
      <c r="E9074" t="s">
        <v>67</v>
      </c>
      <c r="F9074" t="s">
        <v>45</v>
      </c>
      <c r="G9074" s="117">
        <v>8.81</v>
      </c>
    </row>
    <row r="9075" spans="1:7" x14ac:dyDescent="0.25">
      <c r="A9075" s="116" t="s">
        <v>14203</v>
      </c>
      <c r="B9075" s="117" t="s">
        <v>14204</v>
      </c>
      <c r="C9075" t="s">
        <v>67</v>
      </c>
      <c r="D9075" t="s">
        <v>67</v>
      </c>
      <c r="E9075" t="s">
        <v>67</v>
      </c>
      <c r="F9075" t="s">
        <v>27987</v>
      </c>
      <c r="G9075" s="117">
        <v>3.56</v>
      </c>
    </row>
    <row r="9076" spans="1:7" x14ac:dyDescent="0.25">
      <c r="A9076" s="116" t="s">
        <v>14205</v>
      </c>
      <c r="B9076" s="117" t="s">
        <v>14206</v>
      </c>
      <c r="C9076" t="s">
        <v>67</v>
      </c>
      <c r="D9076" t="s">
        <v>67</v>
      </c>
      <c r="E9076" t="s">
        <v>67</v>
      </c>
      <c r="F9076" t="s">
        <v>27987</v>
      </c>
      <c r="G9076" s="117">
        <v>17.36</v>
      </c>
    </row>
    <row r="9077" spans="1:7" x14ac:dyDescent="0.25">
      <c r="A9077" s="116" t="s">
        <v>14207</v>
      </c>
      <c r="B9077" s="117" t="s">
        <v>14208</v>
      </c>
      <c r="C9077" t="s">
        <v>67</v>
      </c>
      <c r="D9077" t="s">
        <v>67</v>
      </c>
      <c r="E9077" t="s">
        <v>67</v>
      </c>
      <c r="F9077" t="s">
        <v>27987</v>
      </c>
      <c r="G9077" s="117">
        <v>6.14</v>
      </c>
    </row>
    <row r="9078" spans="1:7" x14ac:dyDescent="0.25">
      <c r="A9078" s="116" t="s">
        <v>14209</v>
      </c>
      <c r="B9078" s="117" t="s">
        <v>14210</v>
      </c>
      <c r="C9078" t="s">
        <v>67</v>
      </c>
      <c r="D9078" t="s">
        <v>67</v>
      </c>
      <c r="E9078" t="s">
        <v>67</v>
      </c>
      <c r="F9078" t="s">
        <v>45</v>
      </c>
      <c r="G9078" s="117">
        <v>10.58</v>
      </c>
    </row>
    <row r="9079" spans="1:7" x14ac:dyDescent="0.25">
      <c r="A9079" s="116" t="s">
        <v>14211</v>
      </c>
      <c r="B9079" s="117" t="s">
        <v>2865</v>
      </c>
      <c r="C9079" t="s">
        <v>67</v>
      </c>
      <c r="D9079" t="s">
        <v>67</v>
      </c>
      <c r="E9079" t="s">
        <v>67</v>
      </c>
      <c r="F9079" t="s">
        <v>27987</v>
      </c>
      <c r="G9079" s="117">
        <v>6.68</v>
      </c>
    </row>
    <row r="9080" spans="1:7" x14ac:dyDescent="0.25">
      <c r="A9080" s="116" t="s">
        <v>14212</v>
      </c>
      <c r="B9080" s="117" t="s">
        <v>14213</v>
      </c>
      <c r="C9080" t="s">
        <v>67</v>
      </c>
      <c r="D9080" t="s">
        <v>67</v>
      </c>
      <c r="E9080" t="s">
        <v>67</v>
      </c>
      <c r="F9080" t="s">
        <v>27987</v>
      </c>
      <c r="G9080" s="117">
        <v>4.8899999999999997</v>
      </c>
    </row>
    <row r="9081" spans="1:7" x14ac:dyDescent="0.25">
      <c r="A9081" s="116" t="s">
        <v>14214</v>
      </c>
      <c r="B9081" s="117" t="s">
        <v>14215</v>
      </c>
      <c r="C9081" t="s">
        <v>67</v>
      </c>
      <c r="D9081" t="s">
        <v>67</v>
      </c>
      <c r="E9081" t="s">
        <v>67</v>
      </c>
      <c r="F9081" t="s">
        <v>45</v>
      </c>
      <c r="G9081" s="117">
        <v>3.56</v>
      </c>
    </row>
    <row r="9082" spans="1:7" x14ac:dyDescent="0.25">
      <c r="A9082" s="116" t="s">
        <v>14216</v>
      </c>
      <c r="B9082" s="117" t="s">
        <v>14217</v>
      </c>
      <c r="C9082" t="s">
        <v>67</v>
      </c>
      <c r="D9082" t="s">
        <v>67</v>
      </c>
      <c r="E9082" t="s">
        <v>67</v>
      </c>
      <c r="F9082" t="s">
        <v>27987</v>
      </c>
      <c r="G9082" s="117">
        <v>10.24</v>
      </c>
    </row>
    <row r="9083" spans="1:7" x14ac:dyDescent="0.25">
      <c r="A9083" s="116" t="s">
        <v>14218</v>
      </c>
      <c r="B9083" s="117" t="s">
        <v>14219</v>
      </c>
      <c r="C9083" t="s">
        <v>67</v>
      </c>
      <c r="D9083" t="s">
        <v>67</v>
      </c>
      <c r="E9083" t="s">
        <v>67</v>
      </c>
      <c r="F9083" t="s">
        <v>45</v>
      </c>
      <c r="G9083" s="117">
        <v>79.11</v>
      </c>
    </row>
    <row r="9084" spans="1:7" x14ac:dyDescent="0.25">
      <c r="A9084" s="116" t="s">
        <v>14220</v>
      </c>
      <c r="B9084" s="117" t="s">
        <v>14221</v>
      </c>
      <c r="C9084" t="s">
        <v>67</v>
      </c>
      <c r="D9084" t="s">
        <v>67</v>
      </c>
      <c r="E9084" t="s">
        <v>67</v>
      </c>
      <c r="F9084" t="s">
        <v>27987</v>
      </c>
      <c r="G9084" s="117">
        <v>47.61</v>
      </c>
    </row>
    <row r="9085" spans="1:7" x14ac:dyDescent="0.25">
      <c r="A9085" s="116" t="s">
        <v>14222</v>
      </c>
      <c r="B9085" s="117" t="s">
        <v>14223</v>
      </c>
      <c r="C9085" t="s">
        <v>67</v>
      </c>
      <c r="D9085" t="s">
        <v>67</v>
      </c>
      <c r="E9085" t="s">
        <v>67</v>
      </c>
      <c r="F9085" t="s">
        <v>45</v>
      </c>
      <c r="G9085" s="117">
        <v>1.33</v>
      </c>
    </row>
    <row r="9086" spans="1:7" x14ac:dyDescent="0.25">
      <c r="A9086" s="116" t="s">
        <v>14224</v>
      </c>
      <c r="B9086" s="117" t="s">
        <v>13662</v>
      </c>
      <c r="C9086" t="s">
        <v>67</v>
      </c>
      <c r="D9086" t="s">
        <v>67</v>
      </c>
      <c r="E9086" t="s">
        <v>67</v>
      </c>
      <c r="F9086" t="s">
        <v>27987</v>
      </c>
      <c r="G9086" s="117">
        <v>4.8899999999999997</v>
      </c>
    </row>
    <row r="9087" spans="1:7" x14ac:dyDescent="0.25">
      <c r="A9087" s="116" t="s">
        <v>14225</v>
      </c>
      <c r="B9087" s="117" t="s">
        <v>14226</v>
      </c>
      <c r="C9087" t="s">
        <v>67</v>
      </c>
      <c r="D9087" t="s">
        <v>67</v>
      </c>
      <c r="E9087" t="s">
        <v>67</v>
      </c>
      <c r="F9087" t="s">
        <v>49</v>
      </c>
      <c r="G9087" s="117">
        <v>2.58</v>
      </c>
    </row>
    <row r="9088" spans="1:7" x14ac:dyDescent="0.25">
      <c r="A9088" s="116" t="s">
        <v>14227</v>
      </c>
      <c r="B9088" s="117" t="s">
        <v>14228</v>
      </c>
      <c r="C9088" t="s">
        <v>67</v>
      </c>
      <c r="D9088" t="s">
        <v>67</v>
      </c>
      <c r="E9088" t="s">
        <v>67</v>
      </c>
      <c r="F9088" t="s">
        <v>49</v>
      </c>
      <c r="G9088" s="117">
        <v>16.82</v>
      </c>
    </row>
    <row r="9089" spans="1:7" x14ac:dyDescent="0.25">
      <c r="A9089" s="116" t="s">
        <v>14229</v>
      </c>
      <c r="B9089" s="117" t="s">
        <v>14230</v>
      </c>
      <c r="C9089" t="s">
        <v>67</v>
      </c>
      <c r="D9089" t="s">
        <v>67</v>
      </c>
      <c r="E9089" t="s">
        <v>67</v>
      </c>
      <c r="F9089" t="s">
        <v>27987</v>
      </c>
      <c r="G9089" s="117">
        <v>4</v>
      </c>
    </row>
    <row r="9090" spans="1:7" x14ac:dyDescent="0.25">
      <c r="A9090" s="116" t="s">
        <v>14231</v>
      </c>
      <c r="B9090" s="117" t="s">
        <v>14232</v>
      </c>
      <c r="C9090" t="s">
        <v>67</v>
      </c>
      <c r="D9090" t="s">
        <v>67</v>
      </c>
      <c r="E9090" t="s">
        <v>67</v>
      </c>
      <c r="F9090" t="s">
        <v>49</v>
      </c>
      <c r="G9090" s="117">
        <v>1.33</v>
      </c>
    </row>
    <row r="9091" spans="1:7" x14ac:dyDescent="0.25">
      <c r="A9091" s="116" t="s">
        <v>14233</v>
      </c>
      <c r="B9091" s="117" t="s">
        <v>12709</v>
      </c>
      <c r="C9091" t="s">
        <v>67</v>
      </c>
      <c r="D9091" t="s">
        <v>67</v>
      </c>
      <c r="E9091" t="s">
        <v>67</v>
      </c>
      <c r="F9091" t="s">
        <v>27990</v>
      </c>
      <c r="G9091" s="117">
        <v>2.58</v>
      </c>
    </row>
    <row r="9092" spans="1:7" x14ac:dyDescent="0.25">
      <c r="A9092" s="116" t="s">
        <v>14234</v>
      </c>
      <c r="B9092" s="117" t="s">
        <v>14235</v>
      </c>
      <c r="C9092" t="s">
        <v>67</v>
      </c>
      <c r="D9092" t="s">
        <v>67</v>
      </c>
      <c r="E9092" t="s">
        <v>67</v>
      </c>
      <c r="F9092" t="s">
        <v>27987</v>
      </c>
      <c r="G9092" s="117">
        <v>63.98</v>
      </c>
    </row>
    <row r="9093" spans="1:7" x14ac:dyDescent="0.25">
      <c r="A9093" s="116" t="s">
        <v>14236</v>
      </c>
      <c r="B9093" s="117" t="s">
        <v>14237</v>
      </c>
      <c r="C9093" t="s">
        <v>67</v>
      </c>
      <c r="D9093" t="s">
        <v>67</v>
      </c>
      <c r="E9093" t="s">
        <v>67</v>
      </c>
      <c r="F9093" t="s">
        <v>49</v>
      </c>
      <c r="G9093" s="117">
        <v>1.69</v>
      </c>
    </row>
    <row r="9094" spans="1:7" x14ac:dyDescent="0.25">
      <c r="A9094" s="116" t="s">
        <v>14238</v>
      </c>
      <c r="B9094" s="117" t="s">
        <v>14192</v>
      </c>
      <c r="C9094" t="s">
        <v>67</v>
      </c>
      <c r="D9094" t="s">
        <v>67</v>
      </c>
      <c r="E9094" t="s">
        <v>67</v>
      </c>
      <c r="F9094" t="s">
        <v>49</v>
      </c>
      <c r="G9094" s="117">
        <v>2.58</v>
      </c>
    </row>
    <row r="9095" spans="1:7" x14ac:dyDescent="0.25">
      <c r="A9095" s="116" t="s">
        <v>14239</v>
      </c>
      <c r="B9095" s="117" t="s">
        <v>14240</v>
      </c>
      <c r="C9095" t="s">
        <v>67</v>
      </c>
      <c r="D9095" t="s">
        <v>67</v>
      </c>
      <c r="E9095" t="s">
        <v>67</v>
      </c>
      <c r="F9095" t="s">
        <v>45</v>
      </c>
      <c r="G9095" s="117">
        <v>4.3600000000000003</v>
      </c>
    </row>
    <row r="9096" spans="1:7" x14ac:dyDescent="0.25">
      <c r="A9096" s="116" t="s">
        <v>14241</v>
      </c>
      <c r="B9096" s="117" t="s">
        <v>14242</v>
      </c>
      <c r="C9096" t="s">
        <v>67</v>
      </c>
      <c r="D9096" t="s">
        <v>67</v>
      </c>
      <c r="E9096" t="s">
        <v>67</v>
      </c>
      <c r="F9096" t="s">
        <v>45</v>
      </c>
      <c r="G9096" s="117">
        <v>6.68</v>
      </c>
    </row>
    <row r="9097" spans="1:7" x14ac:dyDescent="0.25">
      <c r="A9097" s="116" t="s">
        <v>14243</v>
      </c>
      <c r="B9097" s="117" t="s">
        <v>14244</v>
      </c>
      <c r="C9097" t="s">
        <v>67</v>
      </c>
      <c r="D9097" t="s">
        <v>67</v>
      </c>
      <c r="E9097" t="s">
        <v>67</v>
      </c>
      <c r="F9097" t="s">
        <v>27987</v>
      </c>
      <c r="G9097" s="117">
        <v>17.7</v>
      </c>
    </row>
    <row r="9098" spans="1:7" x14ac:dyDescent="0.25">
      <c r="A9098" s="116" t="s">
        <v>14245</v>
      </c>
      <c r="B9098" s="117" t="s">
        <v>14246</v>
      </c>
      <c r="C9098" t="s">
        <v>67</v>
      </c>
      <c r="D9098" t="s">
        <v>67</v>
      </c>
      <c r="E9098" t="s">
        <v>67</v>
      </c>
      <c r="F9098" t="s">
        <v>27987</v>
      </c>
      <c r="G9098" s="117">
        <v>2.23</v>
      </c>
    </row>
    <row r="9099" spans="1:7" x14ac:dyDescent="0.25">
      <c r="A9099" s="116" t="s">
        <v>29942</v>
      </c>
      <c r="B9099" s="117" t="s">
        <v>30379</v>
      </c>
      <c r="C9099" t="s">
        <v>67</v>
      </c>
      <c r="D9099" t="s">
        <v>67</v>
      </c>
      <c r="E9099" t="s">
        <v>67</v>
      </c>
      <c r="F9099" t="s">
        <v>27987</v>
      </c>
      <c r="G9099" s="117">
        <v>4</v>
      </c>
    </row>
    <row r="9100" spans="1:7" x14ac:dyDescent="0.25">
      <c r="A9100" s="116" t="s">
        <v>14247</v>
      </c>
      <c r="B9100" s="117" t="s">
        <v>1267</v>
      </c>
      <c r="C9100" t="s">
        <v>67</v>
      </c>
      <c r="D9100" t="s">
        <v>67</v>
      </c>
      <c r="E9100" t="s">
        <v>67</v>
      </c>
      <c r="F9100" t="s">
        <v>27987</v>
      </c>
      <c r="G9100" s="117">
        <v>19.489999999999998</v>
      </c>
    </row>
    <row r="9101" spans="1:7" x14ac:dyDescent="0.25">
      <c r="A9101" s="116" t="s">
        <v>14248</v>
      </c>
      <c r="B9101" s="117" t="s">
        <v>14249</v>
      </c>
      <c r="C9101" t="s">
        <v>67</v>
      </c>
      <c r="D9101" t="s">
        <v>67</v>
      </c>
      <c r="E9101" t="s">
        <v>67</v>
      </c>
      <c r="F9101" t="s">
        <v>27987</v>
      </c>
      <c r="G9101" s="117">
        <v>1.33</v>
      </c>
    </row>
    <row r="9102" spans="1:7" x14ac:dyDescent="0.25">
      <c r="A9102" s="116" t="s">
        <v>14250</v>
      </c>
      <c r="B9102" s="117" t="s">
        <v>14251</v>
      </c>
      <c r="C9102" t="s">
        <v>67</v>
      </c>
      <c r="D9102" t="s">
        <v>67</v>
      </c>
      <c r="E9102" t="s">
        <v>67</v>
      </c>
      <c r="F9102" t="s">
        <v>49</v>
      </c>
      <c r="G9102" s="117">
        <v>0.8</v>
      </c>
    </row>
    <row r="9103" spans="1:7" x14ac:dyDescent="0.25">
      <c r="A9103" s="116" t="s">
        <v>14252</v>
      </c>
      <c r="B9103" s="117" t="s">
        <v>14253</v>
      </c>
      <c r="C9103" t="s">
        <v>67</v>
      </c>
      <c r="D9103" t="s">
        <v>67</v>
      </c>
      <c r="E9103" t="s">
        <v>67</v>
      </c>
      <c r="F9103" t="s">
        <v>27987</v>
      </c>
      <c r="G9103" s="117">
        <v>1.77</v>
      </c>
    </row>
    <row r="9104" spans="1:7" x14ac:dyDescent="0.25">
      <c r="A9104" s="116" t="s">
        <v>14254</v>
      </c>
      <c r="B9104" s="117" t="s">
        <v>14255</v>
      </c>
      <c r="C9104" t="s">
        <v>67</v>
      </c>
      <c r="D9104" t="s">
        <v>67</v>
      </c>
      <c r="E9104" t="s">
        <v>67</v>
      </c>
      <c r="F9104" t="s">
        <v>27987</v>
      </c>
      <c r="G9104" s="117">
        <v>4.8899999999999997</v>
      </c>
    </row>
    <row r="9105" spans="1:7" x14ac:dyDescent="0.25">
      <c r="A9105" s="116" t="s">
        <v>14256</v>
      </c>
      <c r="B9105" s="117" t="s">
        <v>11127</v>
      </c>
      <c r="C9105" t="s">
        <v>67</v>
      </c>
      <c r="D9105" t="s">
        <v>67</v>
      </c>
      <c r="E9105" t="s">
        <v>67</v>
      </c>
      <c r="F9105" t="s">
        <v>27987</v>
      </c>
      <c r="G9105" s="117">
        <v>2.23</v>
      </c>
    </row>
    <row r="9106" spans="1:7" x14ac:dyDescent="0.25">
      <c r="A9106" s="116" t="s">
        <v>14257</v>
      </c>
      <c r="B9106" s="117" t="s">
        <v>14258</v>
      </c>
      <c r="C9106" t="s">
        <v>67</v>
      </c>
      <c r="D9106" t="s">
        <v>67</v>
      </c>
      <c r="E9106" t="s">
        <v>67</v>
      </c>
      <c r="F9106" t="s">
        <v>27987</v>
      </c>
      <c r="G9106" s="117">
        <v>20.38</v>
      </c>
    </row>
    <row r="9107" spans="1:7" x14ac:dyDescent="0.25">
      <c r="A9107" s="116" t="s">
        <v>14259</v>
      </c>
      <c r="B9107" s="117" t="s">
        <v>14260</v>
      </c>
      <c r="C9107" t="s">
        <v>67</v>
      </c>
      <c r="D9107" t="s">
        <v>67</v>
      </c>
      <c r="E9107" t="s">
        <v>67</v>
      </c>
      <c r="F9107" t="s">
        <v>27987</v>
      </c>
      <c r="G9107" s="117">
        <v>23.05</v>
      </c>
    </row>
    <row r="9108" spans="1:7" x14ac:dyDescent="0.25">
      <c r="A9108" s="116" t="s">
        <v>14261</v>
      </c>
      <c r="B9108" s="117" t="s">
        <v>14262</v>
      </c>
      <c r="C9108" t="s">
        <v>67</v>
      </c>
      <c r="D9108" t="s">
        <v>67</v>
      </c>
      <c r="E9108" t="s">
        <v>67</v>
      </c>
      <c r="F9108" t="s">
        <v>49</v>
      </c>
      <c r="G9108" s="117">
        <v>1.69</v>
      </c>
    </row>
    <row r="9109" spans="1:7" x14ac:dyDescent="0.25">
      <c r="A9109" s="116" t="s">
        <v>14263</v>
      </c>
      <c r="B9109" s="117" t="s">
        <v>14264</v>
      </c>
      <c r="C9109" t="s">
        <v>67</v>
      </c>
      <c r="D9109" t="s">
        <v>67</v>
      </c>
      <c r="E9109" t="s">
        <v>67</v>
      </c>
      <c r="F9109" t="s">
        <v>49</v>
      </c>
      <c r="G9109" s="117">
        <v>1.33</v>
      </c>
    </row>
    <row r="9110" spans="1:7" x14ac:dyDescent="0.25">
      <c r="A9110" s="116" t="s">
        <v>14265</v>
      </c>
      <c r="B9110" s="117" t="s">
        <v>2231</v>
      </c>
      <c r="C9110" t="s">
        <v>67</v>
      </c>
      <c r="D9110" t="s">
        <v>67</v>
      </c>
      <c r="E9110" t="s">
        <v>67</v>
      </c>
      <c r="F9110" t="s">
        <v>49</v>
      </c>
      <c r="G9110" s="117">
        <v>2.23</v>
      </c>
    </row>
    <row r="9111" spans="1:7" x14ac:dyDescent="0.25">
      <c r="A9111" s="116" t="s">
        <v>14266</v>
      </c>
      <c r="B9111" s="117" t="s">
        <v>14267</v>
      </c>
      <c r="C9111" t="s">
        <v>67</v>
      </c>
      <c r="D9111" t="s">
        <v>67</v>
      </c>
      <c r="E9111" t="s">
        <v>67</v>
      </c>
      <c r="F9111" t="s">
        <v>27987</v>
      </c>
      <c r="G9111" s="117">
        <v>2.23</v>
      </c>
    </row>
    <row r="9112" spans="1:7" x14ac:dyDescent="0.25">
      <c r="A9112" s="116" t="s">
        <v>29152</v>
      </c>
      <c r="B9112" s="117" t="s">
        <v>29153</v>
      </c>
      <c r="C9112" t="s">
        <v>67</v>
      </c>
      <c r="D9112" t="s">
        <v>67</v>
      </c>
      <c r="E9112" t="s">
        <v>67</v>
      </c>
      <c r="F9112" t="s">
        <v>45</v>
      </c>
      <c r="G9112" s="117">
        <v>0</v>
      </c>
    </row>
    <row r="9113" spans="1:7" x14ac:dyDescent="0.25">
      <c r="A9113" s="116" t="s">
        <v>14268</v>
      </c>
      <c r="B9113" s="117" t="s">
        <v>14269</v>
      </c>
      <c r="C9113" t="s">
        <v>67</v>
      </c>
      <c r="D9113" t="s">
        <v>67</v>
      </c>
      <c r="E9113" t="s">
        <v>67</v>
      </c>
      <c r="F9113" t="s">
        <v>27987</v>
      </c>
      <c r="G9113" s="117">
        <v>6.14</v>
      </c>
    </row>
    <row r="9114" spans="1:7" x14ac:dyDescent="0.25">
      <c r="A9114" s="116" t="s">
        <v>14270</v>
      </c>
      <c r="B9114" s="117" t="s">
        <v>14269</v>
      </c>
      <c r="C9114" t="s">
        <v>67</v>
      </c>
      <c r="D9114" t="s">
        <v>67</v>
      </c>
      <c r="E9114" t="s">
        <v>67</v>
      </c>
      <c r="F9114" t="s">
        <v>27987</v>
      </c>
      <c r="G9114" s="117">
        <v>6.14</v>
      </c>
    </row>
    <row r="9115" spans="1:7" x14ac:dyDescent="0.25">
      <c r="A9115" s="116" t="s">
        <v>14271</v>
      </c>
      <c r="B9115" s="117" t="s">
        <v>14272</v>
      </c>
      <c r="C9115" t="s">
        <v>67</v>
      </c>
      <c r="D9115" t="s">
        <v>67</v>
      </c>
      <c r="E9115" t="s">
        <v>67</v>
      </c>
      <c r="F9115" t="s">
        <v>27987</v>
      </c>
      <c r="G9115" s="117">
        <v>15.57</v>
      </c>
    </row>
    <row r="9116" spans="1:7" x14ac:dyDescent="0.25">
      <c r="A9116" s="116" t="s">
        <v>14273</v>
      </c>
      <c r="B9116" s="117" t="s">
        <v>14274</v>
      </c>
      <c r="C9116" t="s">
        <v>67</v>
      </c>
      <c r="D9116" t="s">
        <v>67</v>
      </c>
      <c r="E9116" t="s">
        <v>67</v>
      </c>
      <c r="F9116" t="s">
        <v>45</v>
      </c>
      <c r="G9116" s="117">
        <v>33.369999999999997</v>
      </c>
    </row>
    <row r="9117" spans="1:7" x14ac:dyDescent="0.25">
      <c r="A9117" s="116" t="s">
        <v>14275</v>
      </c>
      <c r="B9117" s="117" t="s">
        <v>14276</v>
      </c>
      <c r="C9117" t="s">
        <v>67</v>
      </c>
      <c r="D9117" t="s">
        <v>67</v>
      </c>
      <c r="E9117" t="s">
        <v>67</v>
      </c>
      <c r="F9117" t="s">
        <v>27987</v>
      </c>
      <c r="G9117" s="117">
        <v>72.88</v>
      </c>
    </row>
    <row r="9118" spans="1:7" x14ac:dyDescent="0.25">
      <c r="A9118" s="116" t="s">
        <v>14277</v>
      </c>
      <c r="B9118" s="117" t="s">
        <v>14278</v>
      </c>
      <c r="C9118" t="s">
        <v>67</v>
      </c>
      <c r="D9118" t="s">
        <v>67</v>
      </c>
      <c r="E9118" t="s">
        <v>67</v>
      </c>
      <c r="F9118" t="s">
        <v>27987</v>
      </c>
      <c r="G9118" s="117">
        <v>4.08</v>
      </c>
    </row>
    <row r="9119" spans="1:7" x14ac:dyDescent="0.25">
      <c r="A9119" s="116" t="s">
        <v>14279</v>
      </c>
      <c r="B9119" s="117" t="s">
        <v>14280</v>
      </c>
      <c r="C9119" t="s">
        <v>67</v>
      </c>
      <c r="D9119" t="s">
        <v>67</v>
      </c>
      <c r="E9119" t="s">
        <v>67</v>
      </c>
      <c r="F9119" t="s">
        <v>27987</v>
      </c>
      <c r="G9119" s="117">
        <v>7.54</v>
      </c>
    </row>
    <row r="9120" spans="1:7" x14ac:dyDescent="0.25">
      <c r="A9120" s="116" t="s">
        <v>14281</v>
      </c>
      <c r="B9120" s="117" t="s">
        <v>14282</v>
      </c>
      <c r="C9120" t="s">
        <v>67</v>
      </c>
      <c r="D9120" t="s">
        <v>67</v>
      </c>
      <c r="E9120" t="s">
        <v>67</v>
      </c>
      <c r="F9120" t="s">
        <v>27987</v>
      </c>
      <c r="G9120" s="117">
        <v>35.5</v>
      </c>
    </row>
    <row r="9121" spans="1:7" x14ac:dyDescent="0.25">
      <c r="A9121" s="116" t="s">
        <v>14283</v>
      </c>
      <c r="B9121" s="117" t="s">
        <v>14284</v>
      </c>
      <c r="C9121" t="s">
        <v>67</v>
      </c>
      <c r="D9121" t="s">
        <v>67</v>
      </c>
      <c r="E9121" t="s">
        <v>67</v>
      </c>
      <c r="F9121" t="s">
        <v>49</v>
      </c>
      <c r="G9121" s="117">
        <v>9.35</v>
      </c>
    </row>
    <row r="9122" spans="1:7" x14ac:dyDescent="0.25">
      <c r="A9122" s="116" t="s">
        <v>14285</v>
      </c>
      <c r="B9122" s="117" t="s">
        <v>14286</v>
      </c>
      <c r="C9122" t="s">
        <v>67</v>
      </c>
      <c r="D9122" t="s">
        <v>67</v>
      </c>
      <c r="E9122" t="s">
        <v>67</v>
      </c>
      <c r="F9122" t="s">
        <v>27987</v>
      </c>
      <c r="G9122" s="117">
        <v>7.92</v>
      </c>
    </row>
    <row r="9123" spans="1:7" x14ac:dyDescent="0.25">
      <c r="A9123" s="116" t="s">
        <v>14287</v>
      </c>
      <c r="B9123" s="117" t="s">
        <v>14288</v>
      </c>
      <c r="C9123" t="s">
        <v>67</v>
      </c>
      <c r="D9123" t="s">
        <v>67</v>
      </c>
      <c r="E9123" t="s">
        <v>67</v>
      </c>
      <c r="F9123" t="s">
        <v>27987</v>
      </c>
      <c r="G9123" s="117">
        <v>25.36</v>
      </c>
    </row>
    <row r="9124" spans="1:7" x14ac:dyDescent="0.25">
      <c r="A9124" s="116" t="s">
        <v>14289</v>
      </c>
      <c r="B9124" s="117" t="s">
        <v>14290</v>
      </c>
      <c r="C9124" t="s">
        <v>67</v>
      </c>
      <c r="D9124" t="s">
        <v>67</v>
      </c>
      <c r="E9124" t="s">
        <v>67</v>
      </c>
      <c r="F9124" t="s">
        <v>45</v>
      </c>
      <c r="G9124" s="117">
        <v>10.24</v>
      </c>
    </row>
    <row r="9125" spans="1:7" x14ac:dyDescent="0.25">
      <c r="A9125" s="116" t="s">
        <v>14291</v>
      </c>
      <c r="B9125" s="117" t="s">
        <v>13574</v>
      </c>
      <c r="C9125" t="s">
        <v>67</v>
      </c>
      <c r="D9125" t="s">
        <v>67</v>
      </c>
      <c r="E9125" t="s">
        <v>67</v>
      </c>
      <c r="F9125" t="s">
        <v>27987</v>
      </c>
      <c r="G9125" s="117">
        <v>21.26</v>
      </c>
    </row>
    <row r="9126" spans="1:7" x14ac:dyDescent="0.25">
      <c r="A9126" s="116" t="s">
        <v>14292</v>
      </c>
      <c r="B9126" s="117" t="s">
        <v>14293</v>
      </c>
      <c r="C9126" t="s">
        <v>67</v>
      </c>
      <c r="D9126" t="s">
        <v>67</v>
      </c>
      <c r="E9126" t="s">
        <v>67</v>
      </c>
      <c r="F9126" t="s">
        <v>49</v>
      </c>
      <c r="G9126" s="117">
        <v>4</v>
      </c>
    </row>
    <row r="9127" spans="1:7" x14ac:dyDescent="0.25">
      <c r="A9127" s="116" t="s">
        <v>14294</v>
      </c>
      <c r="B9127" s="117" t="s">
        <v>14295</v>
      </c>
      <c r="C9127" t="s">
        <v>67</v>
      </c>
      <c r="D9127" t="s">
        <v>67</v>
      </c>
      <c r="E9127" t="s">
        <v>67</v>
      </c>
      <c r="F9127" t="s">
        <v>27987</v>
      </c>
      <c r="G9127" s="117">
        <v>48.86</v>
      </c>
    </row>
    <row r="9128" spans="1:7" x14ac:dyDescent="0.25">
      <c r="A9128" s="116" t="s">
        <v>14296</v>
      </c>
      <c r="B9128" s="117" t="s">
        <v>11787</v>
      </c>
      <c r="C9128" t="s">
        <v>67</v>
      </c>
      <c r="D9128" t="s">
        <v>67</v>
      </c>
      <c r="E9128" t="s">
        <v>67</v>
      </c>
      <c r="F9128" t="s">
        <v>27990</v>
      </c>
      <c r="G9128" s="117">
        <v>4.1500000000000004</v>
      </c>
    </row>
    <row r="9129" spans="1:7" x14ac:dyDescent="0.25">
      <c r="A9129" s="116" t="s">
        <v>14297</v>
      </c>
      <c r="B9129" s="117" t="s">
        <v>13611</v>
      </c>
      <c r="C9129" t="s">
        <v>67</v>
      </c>
      <c r="D9129" t="s">
        <v>67</v>
      </c>
      <c r="E9129" t="s">
        <v>67</v>
      </c>
      <c r="F9129" t="s">
        <v>27987</v>
      </c>
      <c r="G9129" s="117">
        <v>6.14</v>
      </c>
    </row>
    <row r="9130" spans="1:7" x14ac:dyDescent="0.25">
      <c r="A9130" s="116" t="s">
        <v>14298</v>
      </c>
      <c r="B9130" s="117" t="s">
        <v>14299</v>
      </c>
      <c r="C9130" t="s">
        <v>67</v>
      </c>
      <c r="D9130" t="s">
        <v>67</v>
      </c>
      <c r="E9130" t="s">
        <v>67</v>
      </c>
      <c r="F9130" t="s">
        <v>49</v>
      </c>
      <c r="G9130" s="117">
        <v>6.14</v>
      </c>
    </row>
    <row r="9131" spans="1:7" x14ac:dyDescent="0.25">
      <c r="A9131" s="116" t="s">
        <v>14300</v>
      </c>
      <c r="B9131" s="117" t="s">
        <v>3062</v>
      </c>
      <c r="C9131" t="s">
        <v>67</v>
      </c>
      <c r="D9131" t="s">
        <v>67</v>
      </c>
      <c r="E9131" t="s">
        <v>67</v>
      </c>
      <c r="F9131" t="s">
        <v>49</v>
      </c>
      <c r="G9131" s="117">
        <v>4.8899999999999997</v>
      </c>
    </row>
    <row r="9132" spans="1:7" x14ac:dyDescent="0.25">
      <c r="A9132" s="116" t="s">
        <v>14301</v>
      </c>
      <c r="B9132" s="117" t="s">
        <v>14302</v>
      </c>
      <c r="C9132" t="s">
        <v>67</v>
      </c>
      <c r="D9132" t="s">
        <v>67</v>
      </c>
      <c r="E9132" t="s">
        <v>67</v>
      </c>
      <c r="F9132" t="s">
        <v>27987</v>
      </c>
      <c r="G9132" s="117">
        <v>7.12</v>
      </c>
    </row>
    <row r="9133" spans="1:7" x14ac:dyDescent="0.25">
      <c r="A9133" s="116" t="s">
        <v>14303</v>
      </c>
      <c r="B9133" s="117" t="s">
        <v>14304</v>
      </c>
      <c r="C9133" t="s">
        <v>67</v>
      </c>
      <c r="D9133" t="s">
        <v>67</v>
      </c>
      <c r="E9133" t="s">
        <v>67</v>
      </c>
      <c r="F9133" t="s">
        <v>49</v>
      </c>
      <c r="G9133" s="117">
        <v>2.58</v>
      </c>
    </row>
    <row r="9134" spans="1:7" x14ac:dyDescent="0.25">
      <c r="A9134" s="116" t="s">
        <v>14305</v>
      </c>
      <c r="B9134" s="117" t="s">
        <v>14306</v>
      </c>
      <c r="C9134" t="s">
        <v>67</v>
      </c>
      <c r="D9134" t="s">
        <v>67</v>
      </c>
      <c r="E9134" t="s">
        <v>67</v>
      </c>
      <c r="F9134" t="s">
        <v>49</v>
      </c>
      <c r="G9134" s="117">
        <v>3.56</v>
      </c>
    </row>
    <row r="9135" spans="1:7" x14ac:dyDescent="0.25">
      <c r="A9135" s="116" t="s">
        <v>14307</v>
      </c>
      <c r="B9135" s="117" t="s">
        <v>14308</v>
      </c>
      <c r="C9135" t="s">
        <v>67</v>
      </c>
      <c r="D9135" t="s">
        <v>67</v>
      </c>
      <c r="E9135" t="s">
        <v>67</v>
      </c>
      <c r="F9135" t="s">
        <v>27987</v>
      </c>
      <c r="G9135" s="117">
        <v>2.23</v>
      </c>
    </row>
    <row r="9136" spans="1:7" x14ac:dyDescent="0.25">
      <c r="A9136" s="116" t="s">
        <v>14309</v>
      </c>
      <c r="B9136" s="117" t="s">
        <v>14310</v>
      </c>
      <c r="C9136" t="s">
        <v>67</v>
      </c>
      <c r="D9136" t="s">
        <v>67</v>
      </c>
      <c r="E9136" t="s">
        <v>67</v>
      </c>
      <c r="F9136" t="s">
        <v>45</v>
      </c>
      <c r="G9136" s="117">
        <v>10.58</v>
      </c>
    </row>
    <row r="9137" spans="1:7" x14ac:dyDescent="0.25">
      <c r="A9137" s="116" t="s">
        <v>14311</v>
      </c>
      <c r="B9137" s="117" t="s">
        <v>10413</v>
      </c>
      <c r="C9137" t="s">
        <v>67</v>
      </c>
      <c r="D9137" t="s">
        <v>67</v>
      </c>
      <c r="E9137" t="s">
        <v>67</v>
      </c>
      <c r="F9137" t="s">
        <v>27987</v>
      </c>
      <c r="G9137" s="117">
        <v>7.02</v>
      </c>
    </row>
    <row r="9138" spans="1:7" x14ac:dyDescent="0.25">
      <c r="A9138" s="116" t="s">
        <v>14312</v>
      </c>
      <c r="B9138" s="117" t="s">
        <v>13970</v>
      </c>
      <c r="C9138" t="s">
        <v>67</v>
      </c>
      <c r="D9138" t="s">
        <v>67</v>
      </c>
      <c r="E9138" t="s">
        <v>67</v>
      </c>
      <c r="F9138" t="s">
        <v>27987</v>
      </c>
      <c r="G9138" s="117">
        <v>7.92</v>
      </c>
    </row>
    <row r="9139" spans="1:7" x14ac:dyDescent="0.25">
      <c r="A9139" s="116" t="s">
        <v>14313</v>
      </c>
      <c r="B9139" s="117" t="s">
        <v>14314</v>
      </c>
      <c r="C9139" t="s">
        <v>67</v>
      </c>
      <c r="D9139" t="s">
        <v>67</v>
      </c>
      <c r="E9139" t="s">
        <v>67</v>
      </c>
      <c r="F9139" t="s">
        <v>45</v>
      </c>
      <c r="G9139" s="117">
        <v>11.48</v>
      </c>
    </row>
    <row r="9140" spans="1:7" x14ac:dyDescent="0.25">
      <c r="A9140" s="116" t="s">
        <v>14315</v>
      </c>
      <c r="B9140" s="117" t="s">
        <v>14316</v>
      </c>
      <c r="C9140" t="s">
        <v>67</v>
      </c>
      <c r="D9140" t="s">
        <v>67</v>
      </c>
      <c r="E9140" t="s">
        <v>67</v>
      </c>
      <c r="F9140" t="s">
        <v>45</v>
      </c>
      <c r="G9140" s="117">
        <v>7.56</v>
      </c>
    </row>
    <row r="9141" spans="1:7" x14ac:dyDescent="0.25">
      <c r="A9141" s="116" t="s">
        <v>14317</v>
      </c>
      <c r="B9141" s="117" t="s">
        <v>14318</v>
      </c>
      <c r="C9141" t="s">
        <v>67</v>
      </c>
      <c r="D9141" t="s">
        <v>67</v>
      </c>
      <c r="E9141" t="s">
        <v>67</v>
      </c>
      <c r="F9141" t="s">
        <v>27987</v>
      </c>
      <c r="G9141" s="117">
        <v>5.79</v>
      </c>
    </row>
    <row r="9142" spans="1:7" x14ac:dyDescent="0.25">
      <c r="A9142" s="116" t="s">
        <v>14319</v>
      </c>
      <c r="B9142" s="117" t="s">
        <v>515</v>
      </c>
      <c r="C9142" t="s">
        <v>67</v>
      </c>
      <c r="D9142" t="s">
        <v>67</v>
      </c>
      <c r="E9142" t="s">
        <v>67</v>
      </c>
      <c r="F9142" t="s">
        <v>49</v>
      </c>
      <c r="G9142" s="117">
        <v>16.82</v>
      </c>
    </row>
    <row r="9143" spans="1:7" x14ac:dyDescent="0.25">
      <c r="A9143" s="116" t="s">
        <v>14320</v>
      </c>
      <c r="B9143" s="117" t="s">
        <v>13662</v>
      </c>
      <c r="C9143" t="s">
        <v>67</v>
      </c>
      <c r="D9143" t="s">
        <v>67</v>
      </c>
      <c r="E9143" t="s">
        <v>67</v>
      </c>
      <c r="F9143" t="s">
        <v>45</v>
      </c>
      <c r="G9143" s="117">
        <v>14.14</v>
      </c>
    </row>
    <row r="9144" spans="1:7" x14ac:dyDescent="0.25">
      <c r="A9144" s="116" t="s">
        <v>14321</v>
      </c>
      <c r="B9144" s="117" t="s">
        <v>14322</v>
      </c>
      <c r="C9144" t="s">
        <v>67</v>
      </c>
      <c r="D9144" t="s">
        <v>67</v>
      </c>
      <c r="E9144" t="s">
        <v>67</v>
      </c>
      <c r="F9144" t="s">
        <v>27987</v>
      </c>
      <c r="G9144" s="117">
        <v>9.6999999999999993</v>
      </c>
    </row>
    <row r="9145" spans="1:7" x14ac:dyDescent="0.25">
      <c r="A9145" s="116" t="s">
        <v>14323</v>
      </c>
      <c r="B9145" s="117" t="s">
        <v>14324</v>
      </c>
      <c r="C9145" t="s">
        <v>67</v>
      </c>
      <c r="D9145" t="s">
        <v>67</v>
      </c>
      <c r="E9145" t="s">
        <v>67</v>
      </c>
      <c r="F9145" t="s">
        <v>49</v>
      </c>
      <c r="G9145" s="117">
        <v>4.1500000000000004</v>
      </c>
    </row>
    <row r="9146" spans="1:7" x14ac:dyDescent="0.25">
      <c r="A9146" s="116" t="s">
        <v>14325</v>
      </c>
      <c r="B9146" s="117" t="s">
        <v>2231</v>
      </c>
      <c r="C9146" t="s">
        <v>67</v>
      </c>
      <c r="D9146" t="s">
        <v>67</v>
      </c>
      <c r="E9146" t="s">
        <v>67</v>
      </c>
      <c r="F9146" t="s">
        <v>49</v>
      </c>
      <c r="G9146" s="117">
        <v>7.56</v>
      </c>
    </row>
    <row r="9147" spans="1:7" x14ac:dyDescent="0.25">
      <c r="A9147" s="116" t="s">
        <v>14326</v>
      </c>
      <c r="B9147" s="117" t="s">
        <v>14327</v>
      </c>
      <c r="C9147" t="s">
        <v>67</v>
      </c>
      <c r="D9147" t="s">
        <v>67</v>
      </c>
      <c r="E9147" t="s">
        <v>67</v>
      </c>
      <c r="F9147" t="s">
        <v>27987</v>
      </c>
      <c r="G9147" s="117">
        <v>8.4499999999999993</v>
      </c>
    </row>
    <row r="9148" spans="1:7" x14ac:dyDescent="0.25">
      <c r="A9148" s="116" t="s">
        <v>14328</v>
      </c>
      <c r="B9148" s="117" t="s">
        <v>2231</v>
      </c>
      <c r="C9148" t="s">
        <v>67</v>
      </c>
      <c r="D9148" t="s">
        <v>67</v>
      </c>
      <c r="E9148" t="s">
        <v>67</v>
      </c>
      <c r="F9148" t="s">
        <v>27987</v>
      </c>
      <c r="G9148" s="117">
        <v>7.56</v>
      </c>
    </row>
    <row r="9149" spans="1:7" x14ac:dyDescent="0.25">
      <c r="A9149" s="116" t="s">
        <v>14329</v>
      </c>
      <c r="B9149" s="117" t="s">
        <v>14330</v>
      </c>
      <c r="C9149" t="s">
        <v>67</v>
      </c>
      <c r="D9149" t="s">
        <v>67</v>
      </c>
      <c r="E9149" t="s">
        <v>67</v>
      </c>
      <c r="F9149" t="s">
        <v>27987</v>
      </c>
      <c r="G9149" s="117">
        <v>12.01</v>
      </c>
    </row>
    <row r="9150" spans="1:7" x14ac:dyDescent="0.25">
      <c r="A9150" s="116" t="s">
        <v>14331</v>
      </c>
      <c r="B9150" s="117" t="s">
        <v>14332</v>
      </c>
      <c r="C9150" t="s">
        <v>67</v>
      </c>
      <c r="D9150" t="s">
        <v>67</v>
      </c>
      <c r="E9150" t="s">
        <v>67</v>
      </c>
      <c r="F9150" t="s">
        <v>45</v>
      </c>
      <c r="G9150" s="117">
        <v>56.86</v>
      </c>
    </row>
    <row r="9151" spans="1:7" x14ac:dyDescent="0.25">
      <c r="A9151" s="116" t="s">
        <v>14333</v>
      </c>
      <c r="B9151" s="117" t="s">
        <v>14334</v>
      </c>
      <c r="C9151" t="s">
        <v>67</v>
      </c>
      <c r="D9151" t="s">
        <v>67</v>
      </c>
      <c r="E9151" t="s">
        <v>67</v>
      </c>
      <c r="F9151" t="s">
        <v>27987</v>
      </c>
      <c r="G9151" s="117">
        <v>61.31</v>
      </c>
    </row>
    <row r="9152" spans="1:7" x14ac:dyDescent="0.25">
      <c r="A9152" s="116" t="s">
        <v>14335</v>
      </c>
      <c r="B9152" s="117" t="s">
        <v>515</v>
      </c>
      <c r="C9152" t="s">
        <v>67</v>
      </c>
      <c r="D9152" t="s">
        <v>67</v>
      </c>
      <c r="E9152" t="s">
        <v>67</v>
      </c>
      <c r="F9152" t="s">
        <v>49</v>
      </c>
      <c r="G9152" s="117">
        <v>3.12</v>
      </c>
    </row>
    <row r="9153" spans="1:7" x14ac:dyDescent="0.25">
      <c r="A9153" s="116" t="s">
        <v>14336</v>
      </c>
      <c r="B9153" s="117" t="s">
        <v>14337</v>
      </c>
      <c r="C9153" t="s">
        <v>67</v>
      </c>
      <c r="D9153" t="s">
        <v>67</v>
      </c>
      <c r="E9153" t="s">
        <v>67</v>
      </c>
      <c r="F9153" t="s">
        <v>27987</v>
      </c>
      <c r="G9153" s="117">
        <v>35.5</v>
      </c>
    </row>
    <row r="9154" spans="1:7" x14ac:dyDescent="0.25">
      <c r="A9154" s="116" t="s">
        <v>14338</v>
      </c>
      <c r="B9154" s="117" t="s">
        <v>14339</v>
      </c>
      <c r="C9154" t="s">
        <v>67</v>
      </c>
      <c r="D9154" t="s">
        <v>67</v>
      </c>
      <c r="E9154" t="s">
        <v>67</v>
      </c>
      <c r="F9154" t="s">
        <v>49</v>
      </c>
      <c r="G9154" s="117">
        <v>15.93</v>
      </c>
    </row>
    <row r="9155" spans="1:7" x14ac:dyDescent="0.25">
      <c r="A9155" s="116" t="s">
        <v>14340</v>
      </c>
      <c r="B9155" s="117" t="s">
        <v>14341</v>
      </c>
      <c r="C9155" t="s">
        <v>67</v>
      </c>
      <c r="D9155" t="s">
        <v>67</v>
      </c>
      <c r="E9155" t="s">
        <v>67</v>
      </c>
      <c r="F9155" t="s">
        <v>45</v>
      </c>
      <c r="G9155" s="117">
        <v>1.33</v>
      </c>
    </row>
    <row r="9156" spans="1:7" x14ac:dyDescent="0.25">
      <c r="A9156" s="116" t="s">
        <v>14342</v>
      </c>
      <c r="B9156" s="117" t="s">
        <v>14343</v>
      </c>
      <c r="C9156" t="s">
        <v>67</v>
      </c>
      <c r="D9156" t="s">
        <v>67</v>
      </c>
      <c r="E9156" t="s">
        <v>67</v>
      </c>
      <c r="F9156" t="s">
        <v>27987</v>
      </c>
      <c r="G9156" s="117">
        <v>2.23</v>
      </c>
    </row>
    <row r="9157" spans="1:7" x14ac:dyDescent="0.25">
      <c r="A9157" s="116" t="s">
        <v>14344</v>
      </c>
      <c r="B9157" s="117" t="s">
        <v>17605</v>
      </c>
      <c r="C9157" t="s">
        <v>67</v>
      </c>
      <c r="D9157" t="s">
        <v>67</v>
      </c>
      <c r="E9157" t="s">
        <v>67</v>
      </c>
      <c r="F9157" t="s">
        <v>27987</v>
      </c>
      <c r="G9157" s="117">
        <v>7.2</v>
      </c>
    </row>
    <row r="9158" spans="1:7" x14ac:dyDescent="0.25">
      <c r="A9158" s="116" t="s">
        <v>14345</v>
      </c>
      <c r="B9158" s="117" t="s">
        <v>14346</v>
      </c>
      <c r="C9158" t="s">
        <v>67</v>
      </c>
      <c r="D9158" t="s">
        <v>67</v>
      </c>
      <c r="E9158" t="s">
        <v>67</v>
      </c>
      <c r="F9158" t="s">
        <v>27990</v>
      </c>
      <c r="G9158" s="117">
        <v>33.729999999999997</v>
      </c>
    </row>
    <row r="9159" spans="1:7" x14ac:dyDescent="0.25">
      <c r="A9159" s="116" t="s">
        <v>14347</v>
      </c>
      <c r="B9159" s="117" t="s">
        <v>14348</v>
      </c>
      <c r="C9159" t="s">
        <v>67</v>
      </c>
      <c r="D9159" t="s">
        <v>67</v>
      </c>
      <c r="E9159" t="s">
        <v>67</v>
      </c>
      <c r="F9159" t="s">
        <v>27987</v>
      </c>
      <c r="G9159" s="117">
        <v>2.58</v>
      </c>
    </row>
    <row r="9160" spans="1:7" x14ac:dyDescent="0.25">
      <c r="A9160" s="116" t="s">
        <v>14349</v>
      </c>
      <c r="B9160" s="117" t="s">
        <v>14350</v>
      </c>
      <c r="C9160" t="s">
        <v>67</v>
      </c>
      <c r="D9160" t="s">
        <v>67</v>
      </c>
      <c r="E9160" t="s">
        <v>67</v>
      </c>
      <c r="F9160" t="s">
        <v>27987</v>
      </c>
      <c r="G9160" s="117">
        <v>1.33</v>
      </c>
    </row>
    <row r="9161" spans="1:7" x14ac:dyDescent="0.25">
      <c r="A9161" s="116" t="s">
        <v>14351</v>
      </c>
      <c r="B9161" s="117" t="s">
        <v>13662</v>
      </c>
      <c r="C9161" t="s">
        <v>67</v>
      </c>
      <c r="D9161" t="s">
        <v>67</v>
      </c>
      <c r="E9161" t="s">
        <v>67</v>
      </c>
      <c r="F9161" t="s">
        <v>27987</v>
      </c>
      <c r="G9161" s="117">
        <v>2.23</v>
      </c>
    </row>
    <row r="9162" spans="1:7" x14ac:dyDescent="0.25">
      <c r="A9162" s="116" t="s">
        <v>14352</v>
      </c>
      <c r="B9162" s="117" t="s">
        <v>14353</v>
      </c>
      <c r="C9162" t="s">
        <v>67</v>
      </c>
      <c r="D9162" t="s">
        <v>67</v>
      </c>
      <c r="E9162" t="s">
        <v>67</v>
      </c>
      <c r="F9162" t="s">
        <v>27987</v>
      </c>
      <c r="G9162" s="117">
        <v>3.12</v>
      </c>
    </row>
    <row r="9163" spans="1:7" x14ac:dyDescent="0.25">
      <c r="A9163" s="116" t="s">
        <v>29154</v>
      </c>
      <c r="B9163" s="117" t="s">
        <v>10865</v>
      </c>
      <c r="C9163" t="s">
        <v>67</v>
      </c>
      <c r="D9163" t="s">
        <v>67</v>
      </c>
      <c r="E9163" t="s">
        <v>67</v>
      </c>
      <c r="F9163" t="s">
        <v>45</v>
      </c>
      <c r="G9163" s="117">
        <v>4</v>
      </c>
    </row>
    <row r="9164" spans="1:7" x14ac:dyDescent="0.25">
      <c r="A9164" s="116" t="s">
        <v>14354</v>
      </c>
      <c r="B9164" s="117" t="s">
        <v>14355</v>
      </c>
      <c r="C9164" t="s">
        <v>67</v>
      </c>
      <c r="D9164" t="s">
        <v>67</v>
      </c>
      <c r="E9164" t="s">
        <v>67</v>
      </c>
      <c r="F9164" t="s">
        <v>27990</v>
      </c>
      <c r="G9164" s="117">
        <v>2.23</v>
      </c>
    </row>
    <row r="9165" spans="1:7" x14ac:dyDescent="0.25">
      <c r="A9165" s="116" t="s">
        <v>14356</v>
      </c>
      <c r="B9165" s="117" t="s">
        <v>13574</v>
      </c>
      <c r="C9165" t="s">
        <v>67</v>
      </c>
      <c r="D9165" t="s">
        <v>67</v>
      </c>
      <c r="E9165" t="s">
        <v>67</v>
      </c>
      <c r="F9165" t="s">
        <v>27987</v>
      </c>
      <c r="G9165" s="117">
        <v>28.38</v>
      </c>
    </row>
    <row r="9166" spans="1:7" x14ac:dyDescent="0.25">
      <c r="A9166" s="116" t="s">
        <v>14357</v>
      </c>
      <c r="B9166" s="117" t="s">
        <v>14358</v>
      </c>
      <c r="C9166" t="s">
        <v>67</v>
      </c>
      <c r="D9166" t="s">
        <v>67</v>
      </c>
      <c r="E9166" t="s">
        <v>67</v>
      </c>
      <c r="F9166" t="s">
        <v>27987</v>
      </c>
      <c r="G9166" s="117">
        <v>17.7</v>
      </c>
    </row>
    <row r="9167" spans="1:7" x14ac:dyDescent="0.25">
      <c r="A9167" s="116" t="s">
        <v>14359</v>
      </c>
      <c r="B9167" s="117" t="s">
        <v>13662</v>
      </c>
      <c r="C9167" t="s">
        <v>67</v>
      </c>
      <c r="D9167" t="s">
        <v>67</v>
      </c>
      <c r="E9167" t="s">
        <v>67</v>
      </c>
      <c r="F9167" t="s">
        <v>49</v>
      </c>
      <c r="G9167" s="117">
        <v>2.23</v>
      </c>
    </row>
    <row r="9168" spans="1:7" x14ac:dyDescent="0.25">
      <c r="A9168" s="116" t="s">
        <v>14360</v>
      </c>
      <c r="B9168" s="117" t="s">
        <v>14090</v>
      </c>
      <c r="C9168" t="s">
        <v>67</v>
      </c>
      <c r="D9168" t="s">
        <v>67</v>
      </c>
      <c r="E9168" t="s">
        <v>67</v>
      </c>
      <c r="F9168" t="s">
        <v>49</v>
      </c>
      <c r="G9168" s="117">
        <v>1.33</v>
      </c>
    </row>
    <row r="9169" spans="1:7" x14ac:dyDescent="0.25">
      <c r="A9169" s="116" t="s">
        <v>14361</v>
      </c>
      <c r="B9169" s="117" t="s">
        <v>515</v>
      </c>
      <c r="C9169" t="s">
        <v>67</v>
      </c>
      <c r="D9169" t="s">
        <v>67</v>
      </c>
      <c r="E9169" t="s">
        <v>67</v>
      </c>
      <c r="F9169" t="s">
        <v>49</v>
      </c>
      <c r="G9169" s="117">
        <v>1.69</v>
      </c>
    </row>
    <row r="9170" spans="1:7" x14ac:dyDescent="0.25">
      <c r="A9170" s="116" t="s">
        <v>14362</v>
      </c>
      <c r="B9170" s="117" t="s">
        <v>13586</v>
      </c>
      <c r="C9170" t="s">
        <v>67</v>
      </c>
      <c r="D9170" t="s">
        <v>67</v>
      </c>
      <c r="E9170" t="s">
        <v>67</v>
      </c>
      <c r="F9170" t="s">
        <v>49</v>
      </c>
      <c r="G9170" s="117">
        <v>2.58</v>
      </c>
    </row>
    <row r="9171" spans="1:7" x14ac:dyDescent="0.25">
      <c r="A9171" s="116" t="s">
        <v>14363</v>
      </c>
      <c r="B9171" s="117" t="s">
        <v>14364</v>
      </c>
      <c r="C9171" t="s">
        <v>67</v>
      </c>
      <c r="D9171" t="s">
        <v>67</v>
      </c>
      <c r="E9171" t="s">
        <v>67</v>
      </c>
      <c r="F9171" t="s">
        <v>27987</v>
      </c>
      <c r="G9171" s="117">
        <v>26.25</v>
      </c>
    </row>
    <row r="9172" spans="1:7" x14ac:dyDescent="0.25">
      <c r="A9172" s="116" t="s">
        <v>14365</v>
      </c>
      <c r="B9172" s="117" t="s">
        <v>14366</v>
      </c>
      <c r="C9172" t="s">
        <v>67</v>
      </c>
      <c r="D9172" t="s">
        <v>67</v>
      </c>
      <c r="E9172" t="s">
        <v>67</v>
      </c>
      <c r="F9172" t="s">
        <v>49</v>
      </c>
      <c r="G9172" s="117">
        <v>0.8</v>
      </c>
    </row>
    <row r="9173" spans="1:7" x14ac:dyDescent="0.25">
      <c r="A9173" s="116" t="s">
        <v>30095</v>
      </c>
      <c r="B9173" s="117" t="s">
        <v>194</v>
      </c>
      <c r="C9173" t="s">
        <v>67</v>
      </c>
      <c r="D9173" t="s">
        <v>67</v>
      </c>
      <c r="E9173" t="s">
        <v>67</v>
      </c>
      <c r="F9173" t="s">
        <v>27987</v>
      </c>
      <c r="G9173" s="117">
        <v>10</v>
      </c>
    </row>
    <row r="9174" spans="1:7" x14ac:dyDescent="0.25">
      <c r="A9174" s="116" t="s">
        <v>14367</v>
      </c>
      <c r="B9174" s="117" t="s">
        <v>14368</v>
      </c>
      <c r="C9174" t="s">
        <v>67</v>
      </c>
      <c r="D9174" t="s">
        <v>67</v>
      </c>
      <c r="E9174" t="s">
        <v>67</v>
      </c>
      <c r="F9174" t="s">
        <v>27987</v>
      </c>
      <c r="G9174" s="117">
        <v>109.89</v>
      </c>
    </row>
    <row r="9175" spans="1:7" x14ac:dyDescent="0.25">
      <c r="A9175" s="116" t="s">
        <v>31173</v>
      </c>
      <c r="B9175" s="117" t="s">
        <v>13662</v>
      </c>
      <c r="C9175" t="s">
        <v>67</v>
      </c>
      <c r="D9175" t="s">
        <v>67</v>
      </c>
      <c r="E9175" t="s">
        <v>67</v>
      </c>
      <c r="F9175" t="s">
        <v>45</v>
      </c>
      <c r="G9175" s="117">
        <v>2.25</v>
      </c>
    </row>
    <row r="9176" spans="1:7" x14ac:dyDescent="0.25">
      <c r="A9176" s="116" t="s">
        <v>29155</v>
      </c>
      <c r="B9176" s="117" t="s">
        <v>2231</v>
      </c>
      <c r="C9176" t="s">
        <v>67</v>
      </c>
      <c r="D9176" t="s">
        <v>67</v>
      </c>
      <c r="E9176" t="s">
        <v>67</v>
      </c>
      <c r="F9176" t="s">
        <v>45</v>
      </c>
      <c r="G9176" s="117">
        <v>6</v>
      </c>
    </row>
    <row r="9177" spans="1:7" x14ac:dyDescent="0.25">
      <c r="A9177" s="116" t="s">
        <v>14369</v>
      </c>
      <c r="B9177" s="117" t="s">
        <v>14370</v>
      </c>
      <c r="C9177" t="s">
        <v>67</v>
      </c>
      <c r="D9177" t="s">
        <v>67</v>
      </c>
      <c r="E9177" t="s">
        <v>67</v>
      </c>
      <c r="F9177" t="s">
        <v>27987</v>
      </c>
      <c r="G9177" s="117">
        <v>7.92</v>
      </c>
    </row>
    <row r="9178" spans="1:7" x14ac:dyDescent="0.25">
      <c r="A9178" s="116" t="s">
        <v>14371</v>
      </c>
      <c r="B9178" s="117" t="s">
        <v>14372</v>
      </c>
      <c r="C9178" t="s">
        <v>67</v>
      </c>
      <c r="D9178" t="s">
        <v>67</v>
      </c>
      <c r="E9178" t="s">
        <v>67</v>
      </c>
      <c r="F9178" t="s">
        <v>27987</v>
      </c>
      <c r="G9178" s="117">
        <v>29.27</v>
      </c>
    </row>
    <row r="9179" spans="1:7" x14ac:dyDescent="0.25">
      <c r="A9179" s="116" t="s">
        <v>14373</v>
      </c>
      <c r="B9179" s="117" t="s">
        <v>14374</v>
      </c>
      <c r="C9179" t="s">
        <v>67</v>
      </c>
      <c r="D9179" t="s">
        <v>67</v>
      </c>
      <c r="E9179" t="s">
        <v>67</v>
      </c>
      <c r="F9179" t="s">
        <v>27990</v>
      </c>
      <c r="G9179" s="117">
        <v>1.69</v>
      </c>
    </row>
    <row r="9180" spans="1:7" x14ac:dyDescent="0.25">
      <c r="A9180" s="116" t="s">
        <v>14375</v>
      </c>
      <c r="B9180" s="117" t="s">
        <v>2231</v>
      </c>
      <c r="C9180" t="s">
        <v>67</v>
      </c>
      <c r="D9180" t="s">
        <v>67</v>
      </c>
      <c r="E9180" t="s">
        <v>67</v>
      </c>
      <c r="F9180" t="s">
        <v>27987</v>
      </c>
      <c r="G9180" s="117">
        <v>3.12</v>
      </c>
    </row>
    <row r="9181" spans="1:7" x14ac:dyDescent="0.25">
      <c r="A9181" s="116" t="s">
        <v>14376</v>
      </c>
      <c r="B9181" s="117" t="s">
        <v>14377</v>
      </c>
      <c r="C9181" t="s">
        <v>67</v>
      </c>
      <c r="D9181" t="s">
        <v>67</v>
      </c>
      <c r="E9181" t="s">
        <v>67</v>
      </c>
      <c r="F9181" t="s">
        <v>27990</v>
      </c>
      <c r="G9181" s="117">
        <v>2.58</v>
      </c>
    </row>
    <row r="9182" spans="1:7" x14ac:dyDescent="0.25">
      <c r="A9182" s="116" t="s">
        <v>14378</v>
      </c>
      <c r="B9182" s="117" t="s">
        <v>14379</v>
      </c>
      <c r="C9182" t="s">
        <v>67</v>
      </c>
      <c r="D9182" t="s">
        <v>67</v>
      </c>
      <c r="E9182" t="s">
        <v>67</v>
      </c>
      <c r="F9182" t="s">
        <v>27987</v>
      </c>
      <c r="G9182" s="117">
        <v>13.8</v>
      </c>
    </row>
    <row r="9183" spans="1:7" x14ac:dyDescent="0.25">
      <c r="A9183" s="116" t="s">
        <v>14380</v>
      </c>
      <c r="B9183" s="117" t="s">
        <v>13797</v>
      </c>
      <c r="C9183" t="s">
        <v>67</v>
      </c>
      <c r="D9183" t="s">
        <v>67</v>
      </c>
      <c r="E9183" t="s">
        <v>67</v>
      </c>
      <c r="F9183" t="s">
        <v>51</v>
      </c>
      <c r="G9183" s="117">
        <v>0.8</v>
      </c>
    </row>
    <row r="9184" spans="1:7" x14ac:dyDescent="0.25">
      <c r="A9184" s="116" t="s">
        <v>14381</v>
      </c>
      <c r="B9184" s="117" t="s">
        <v>14382</v>
      </c>
      <c r="C9184" t="s">
        <v>67</v>
      </c>
      <c r="D9184" t="s">
        <v>67</v>
      </c>
      <c r="E9184" t="s">
        <v>67</v>
      </c>
      <c r="F9184" t="s">
        <v>27987</v>
      </c>
      <c r="G9184" s="117">
        <v>4</v>
      </c>
    </row>
    <row r="9185" spans="1:7" x14ac:dyDescent="0.25">
      <c r="A9185" s="116" t="s">
        <v>14383</v>
      </c>
      <c r="B9185" s="117" t="s">
        <v>14384</v>
      </c>
      <c r="C9185" t="s">
        <v>67</v>
      </c>
      <c r="D9185" t="s">
        <v>67</v>
      </c>
      <c r="E9185" t="s">
        <v>67</v>
      </c>
      <c r="F9185" t="s">
        <v>27987</v>
      </c>
      <c r="G9185" s="117">
        <v>12.01</v>
      </c>
    </row>
    <row r="9186" spans="1:7" x14ac:dyDescent="0.25">
      <c r="A9186" s="116" t="s">
        <v>14385</v>
      </c>
      <c r="B9186" s="117" t="s">
        <v>14386</v>
      </c>
      <c r="C9186" t="s">
        <v>67</v>
      </c>
      <c r="D9186" t="s">
        <v>67</v>
      </c>
      <c r="E9186" t="s">
        <v>67</v>
      </c>
      <c r="F9186" t="s">
        <v>49</v>
      </c>
      <c r="G9186" s="117">
        <v>0.8</v>
      </c>
    </row>
    <row r="9187" spans="1:7" x14ac:dyDescent="0.25">
      <c r="A9187" s="116" t="s">
        <v>14387</v>
      </c>
      <c r="B9187" s="117" t="s">
        <v>14388</v>
      </c>
      <c r="C9187" t="s">
        <v>67</v>
      </c>
      <c r="D9187" t="s">
        <v>67</v>
      </c>
      <c r="E9187" t="s">
        <v>67</v>
      </c>
      <c r="F9187" t="s">
        <v>27987</v>
      </c>
      <c r="G9187" s="117">
        <v>9.35</v>
      </c>
    </row>
    <row r="9188" spans="1:7" x14ac:dyDescent="0.25">
      <c r="A9188" s="116" t="s">
        <v>14389</v>
      </c>
      <c r="B9188" s="117" t="s">
        <v>14390</v>
      </c>
      <c r="C9188" t="s">
        <v>67</v>
      </c>
      <c r="D9188" t="s">
        <v>67</v>
      </c>
      <c r="E9188" t="s">
        <v>67</v>
      </c>
      <c r="F9188" t="s">
        <v>27987</v>
      </c>
      <c r="G9188" s="117">
        <v>10.24</v>
      </c>
    </row>
    <row r="9189" spans="1:7" x14ac:dyDescent="0.25">
      <c r="A9189" s="116" t="s">
        <v>14391</v>
      </c>
      <c r="B9189" s="117" t="s">
        <v>14392</v>
      </c>
      <c r="C9189" t="s">
        <v>67</v>
      </c>
      <c r="D9189" t="s">
        <v>67</v>
      </c>
      <c r="E9189" t="s">
        <v>67</v>
      </c>
      <c r="F9189" t="s">
        <v>27987</v>
      </c>
      <c r="G9189" s="117">
        <v>4.3600000000000003</v>
      </c>
    </row>
    <row r="9190" spans="1:7" x14ac:dyDescent="0.25">
      <c r="A9190" s="116" t="s">
        <v>14393</v>
      </c>
      <c r="B9190" s="117" t="s">
        <v>10413</v>
      </c>
      <c r="C9190" t="s">
        <v>67</v>
      </c>
      <c r="D9190" t="s">
        <v>67</v>
      </c>
      <c r="E9190" t="s">
        <v>67</v>
      </c>
      <c r="F9190" t="s">
        <v>45</v>
      </c>
      <c r="G9190" s="117">
        <v>2.15</v>
      </c>
    </row>
    <row r="9191" spans="1:7" x14ac:dyDescent="0.25">
      <c r="A9191" s="116" t="s">
        <v>14394</v>
      </c>
      <c r="B9191" s="117" t="s">
        <v>14395</v>
      </c>
      <c r="C9191" t="s">
        <v>67</v>
      </c>
      <c r="D9191" t="s">
        <v>67</v>
      </c>
      <c r="E9191" t="s">
        <v>67</v>
      </c>
      <c r="F9191" t="s">
        <v>45</v>
      </c>
      <c r="G9191" s="117">
        <v>6.14</v>
      </c>
    </row>
    <row r="9192" spans="1:7" x14ac:dyDescent="0.25">
      <c r="A9192" s="116" t="s">
        <v>14396</v>
      </c>
      <c r="B9192" s="117" t="s">
        <v>13225</v>
      </c>
      <c r="C9192" t="s">
        <v>67</v>
      </c>
      <c r="D9192" t="s">
        <v>67</v>
      </c>
      <c r="E9192" t="s">
        <v>67</v>
      </c>
      <c r="F9192" t="s">
        <v>49</v>
      </c>
      <c r="G9192" s="117">
        <v>1.77</v>
      </c>
    </row>
    <row r="9193" spans="1:7" x14ac:dyDescent="0.25">
      <c r="A9193" s="116" t="s">
        <v>14397</v>
      </c>
      <c r="B9193" s="117" t="s">
        <v>13586</v>
      </c>
      <c r="C9193" t="s">
        <v>67</v>
      </c>
      <c r="D9193" t="s">
        <v>67</v>
      </c>
      <c r="E9193" t="s">
        <v>67</v>
      </c>
      <c r="F9193" t="s">
        <v>49</v>
      </c>
      <c r="G9193" s="117">
        <v>3.56</v>
      </c>
    </row>
    <row r="9194" spans="1:7" x14ac:dyDescent="0.25">
      <c r="A9194" s="116" t="s">
        <v>14398</v>
      </c>
      <c r="B9194" s="117" t="s">
        <v>12709</v>
      </c>
      <c r="C9194" t="s">
        <v>67</v>
      </c>
      <c r="D9194" t="s">
        <v>67</v>
      </c>
      <c r="E9194" t="s">
        <v>67</v>
      </c>
      <c r="F9194" t="s">
        <v>27987</v>
      </c>
      <c r="G9194" s="117">
        <v>3.27</v>
      </c>
    </row>
    <row r="9195" spans="1:7" x14ac:dyDescent="0.25">
      <c r="A9195" s="116" t="s">
        <v>14399</v>
      </c>
      <c r="B9195" s="117" t="s">
        <v>14400</v>
      </c>
      <c r="C9195" t="s">
        <v>67</v>
      </c>
      <c r="D9195" t="s">
        <v>67</v>
      </c>
      <c r="E9195" t="s">
        <v>67</v>
      </c>
      <c r="F9195" t="s">
        <v>45</v>
      </c>
      <c r="G9195" s="117">
        <v>4.8899999999999997</v>
      </c>
    </row>
    <row r="9196" spans="1:7" x14ac:dyDescent="0.25">
      <c r="A9196" s="116" t="s">
        <v>14401</v>
      </c>
      <c r="B9196" s="117" t="s">
        <v>14402</v>
      </c>
      <c r="C9196" t="s">
        <v>67</v>
      </c>
      <c r="D9196" t="s">
        <v>67</v>
      </c>
      <c r="E9196" t="s">
        <v>67</v>
      </c>
      <c r="F9196" t="s">
        <v>45</v>
      </c>
      <c r="G9196" s="117">
        <v>2.23</v>
      </c>
    </row>
    <row r="9197" spans="1:7" x14ac:dyDescent="0.25">
      <c r="A9197" s="116" t="s">
        <v>14403</v>
      </c>
      <c r="B9197" s="117" t="s">
        <v>14404</v>
      </c>
      <c r="C9197" t="s">
        <v>67</v>
      </c>
      <c r="D9197" t="s">
        <v>67</v>
      </c>
      <c r="E9197" t="s">
        <v>67</v>
      </c>
      <c r="F9197" t="s">
        <v>27987</v>
      </c>
      <c r="G9197" s="117">
        <v>2.58</v>
      </c>
    </row>
    <row r="9198" spans="1:7" x14ac:dyDescent="0.25">
      <c r="A9198" s="116" t="s">
        <v>14405</v>
      </c>
      <c r="B9198" s="117" t="s">
        <v>14406</v>
      </c>
      <c r="C9198" t="s">
        <v>67</v>
      </c>
      <c r="D9198" t="s">
        <v>67</v>
      </c>
      <c r="E9198" t="s">
        <v>67</v>
      </c>
      <c r="F9198" t="s">
        <v>45</v>
      </c>
      <c r="G9198" s="117">
        <v>2.58</v>
      </c>
    </row>
    <row r="9199" spans="1:7" x14ac:dyDescent="0.25">
      <c r="A9199" s="116" t="s">
        <v>14407</v>
      </c>
      <c r="B9199" s="117" t="s">
        <v>14408</v>
      </c>
      <c r="C9199" t="s">
        <v>67</v>
      </c>
      <c r="D9199" t="s">
        <v>67</v>
      </c>
      <c r="E9199" t="s">
        <v>67</v>
      </c>
      <c r="F9199" t="s">
        <v>27987</v>
      </c>
      <c r="G9199" s="117">
        <v>7.12</v>
      </c>
    </row>
    <row r="9200" spans="1:7" x14ac:dyDescent="0.25">
      <c r="A9200" s="116" t="s">
        <v>14409</v>
      </c>
      <c r="B9200" s="117" t="s">
        <v>14410</v>
      </c>
      <c r="C9200" t="s">
        <v>67</v>
      </c>
      <c r="D9200" t="s">
        <v>67</v>
      </c>
      <c r="E9200" t="s">
        <v>67</v>
      </c>
      <c r="F9200" t="s">
        <v>27987</v>
      </c>
      <c r="G9200" s="117">
        <v>1.9</v>
      </c>
    </row>
    <row r="9201" spans="1:7" x14ac:dyDescent="0.25">
      <c r="A9201" s="116" t="s">
        <v>14411</v>
      </c>
      <c r="B9201" s="117" t="s">
        <v>2231</v>
      </c>
      <c r="C9201" t="s">
        <v>67</v>
      </c>
      <c r="D9201" t="s">
        <v>67</v>
      </c>
      <c r="E9201" t="s">
        <v>67</v>
      </c>
      <c r="F9201" t="s">
        <v>27987</v>
      </c>
      <c r="G9201" s="117">
        <v>2.23</v>
      </c>
    </row>
    <row r="9202" spans="1:7" x14ac:dyDescent="0.25">
      <c r="A9202" s="116" t="s">
        <v>14412</v>
      </c>
      <c r="B9202" s="117" t="s">
        <v>14413</v>
      </c>
      <c r="C9202" t="s">
        <v>67</v>
      </c>
      <c r="D9202" t="s">
        <v>67</v>
      </c>
      <c r="E9202" t="s">
        <v>67</v>
      </c>
      <c r="F9202" t="s">
        <v>27987</v>
      </c>
      <c r="G9202" s="117">
        <v>123.24</v>
      </c>
    </row>
    <row r="9203" spans="1:7" x14ac:dyDescent="0.25">
      <c r="A9203" s="116" t="s">
        <v>14414</v>
      </c>
      <c r="B9203" s="117" t="s">
        <v>14415</v>
      </c>
      <c r="C9203" t="s">
        <v>67</v>
      </c>
      <c r="D9203" t="s">
        <v>67</v>
      </c>
      <c r="E9203" t="s">
        <v>67</v>
      </c>
      <c r="F9203" t="s">
        <v>27987</v>
      </c>
      <c r="G9203" s="117">
        <v>8.4499999999999993</v>
      </c>
    </row>
    <row r="9204" spans="1:7" x14ac:dyDescent="0.25">
      <c r="A9204" s="116" t="s">
        <v>14416</v>
      </c>
      <c r="B9204" s="117" t="s">
        <v>14417</v>
      </c>
      <c r="C9204" t="s">
        <v>67</v>
      </c>
      <c r="D9204" t="s">
        <v>67</v>
      </c>
      <c r="E9204" t="s">
        <v>67</v>
      </c>
      <c r="F9204" t="s">
        <v>27987</v>
      </c>
      <c r="G9204" s="117">
        <v>20.38</v>
      </c>
    </row>
    <row r="9205" spans="1:7" x14ac:dyDescent="0.25">
      <c r="A9205" s="116" t="s">
        <v>14418</v>
      </c>
      <c r="B9205" s="117" t="s">
        <v>14419</v>
      </c>
      <c r="C9205" t="s">
        <v>67</v>
      </c>
      <c r="D9205" t="s">
        <v>67</v>
      </c>
      <c r="E9205" t="s">
        <v>67</v>
      </c>
      <c r="F9205" t="s">
        <v>27987</v>
      </c>
      <c r="G9205" s="117">
        <v>9.35</v>
      </c>
    </row>
    <row r="9206" spans="1:7" x14ac:dyDescent="0.25">
      <c r="A9206" s="116" t="s">
        <v>14420</v>
      </c>
      <c r="B9206" s="117" t="s">
        <v>14421</v>
      </c>
      <c r="C9206" t="s">
        <v>67</v>
      </c>
      <c r="D9206" t="s">
        <v>67</v>
      </c>
      <c r="E9206" t="s">
        <v>67</v>
      </c>
      <c r="F9206" t="s">
        <v>27987</v>
      </c>
      <c r="G9206" s="117">
        <v>6.14</v>
      </c>
    </row>
    <row r="9207" spans="1:7" x14ac:dyDescent="0.25">
      <c r="A9207" s="116" t="s">
        <v>14422</v>
      </c>
      <c r="B9207" s="117" t="s">
        <v>13586</v>
      </c>
      <c r="C9207" t="s">
        <v>67</v>
      </c>
      <c r="D9207" t="s">
        <v>67</v>
      </c>
      <c r="E9207" t="s">
        <v>67</v>
      </c>
      <c r="F9207" t="s">
        <v>27987</v>
      </c>
      <c r="G9207" s="117">
        <v>4</v>
      </c>
    </row>
    <row r="9208" spans="1:7" x14ac:dyDescent="0.25">
      <c r="A9208" s="116" t="s">
        <v>14423</v>
      </c>
      <c r="B9208" s="117" t="s">
        <v>14069</v>
      </c>
      <c r="C9208" t="s">
        <v>67</v>
      </c>
      <c r="D9208" t="s">
        <v>67</v>
      </c>
      <c r="E9208" t="s">
        <v>67</v>
      </c>
      <c r="F9208" t="s">
        <v>27987</v>
      </c>
      <c r="G9208" s="117">
        <v>17.7</v>
      </c>
    </row>
    <row r="9209" spans="1:7" x14ac:dyDescent="0.25">
      <c r="A9209" s="116" t="s">
        <v>29156</v>
      </c>
      <c r="B9209" s="117" t="s">
        <v>29157</v>
      </c>
      <c r="C9209" t="s">
        <v>67</v>
      </c>
      <c r="D9209" t="s">
        <v>67</v>
      </c>
      <c r="E9209" t="s">
        <v>67</v>
      </c>
      <c r="F9209" t="s">
        <v>45</v>
      </c>
      <c r="G9209" s="117">
        <v>0</v>
      </c>
    </row>
    <row r="9210" spans="1:7" x14ac:dyDescent="0.25">
      <c r="A9210" s="116" t="s">
        <v>14424</v>
      </c>
      <c r="B9210" s="117" t="s">
        <v>14425</v>
      </c>
      <c r="C9210" t="s">
        <v>67</v>
      </c>
      <c r="D9210" t="s">
        <v>67</v>
      </c>
      <c r="E9210" t="s">
        <v>67</v>
      </c>
      <c r="F9210" t="s">
        <v>49</v>
      </c>
      <c r="G9210" s="117">
        <v>2.23</v>
      </c>
    </row>
    <row r="9211" spans="1:7" x14ac:dyDescent="0.25">
      <c r="A9211" s="116" t="s">
        <v>14426</v>
      </c>
      <c r="B9211" s="117" t="s">
        <v>14427</v>
      </c>
      <c r="C9211" t="s">
        <v>67</v>
      </c>
      <c r="D9211" t="s">
        <v>67</v>
      </c>
      <c r="E9211" t="s">
        <v>67</v>
      </c>
      <c r="F9211" t="s">
        <v>49</v>
      </c>
      <c r="G9211" s="117">
        <v>19.13</v>
      </c>
    </row>
    <row r="9212" spans="1:7" x14ac:dyDescent="0.25">
      <c r="A9212" s="116" t="s">
        <v>14428</v>
      </c>
      <c r="B9212" s="117" t="s">
        <v>14135</v>
      </c>
      <c r="C9212" t="s">
        <v>67</v>
      </c>
      <c r="D9212" t="s">
        <v>67</v>
      </c>
      <c r="E9212" t="s">
        <v>67</v>
      </c>
      <c r="F9212" t="s">
        <v>27987</v>
      </c>
      <c r="G9212" s="117">
        <v>48.5</v>
      </c>
    </row>
    <row r="9213" spans="1:7" x14ac:dyDescent="0.25">
      <c r="A9213" s="116" t="s">
        <v>14429</v>
      </c>
      <c r="B9213" s="117" t="s">
        <v>14430</v>
      </c>
      <c r="C9213" t="s">
        <v>67</v>
      </c>
      <c r="D9213" t="s">
        <v>67</v>
      </c>
      <c r="E9213" t="s">
        <v>67</v>
      </c>
      <c r="F9213" t="s">
        <v>45</v>
      </c>
      <c r="G9213" s="117">
        <v>15.57</v>
      </c>
    </row>
    <row r="9214" spans="1:7" x14ac:dyDescent="0.25">
      <c r="A9214" s="116" t="s">
        <v>14431</v>
      </c>
      <c r="B9214" s="117" t="s">
        <v>14432</v>
      </c>
      <c r="C9214" t="s">
        <v>67</v>
      </c>
      <c r="D9214" t="s">
        <v>67</v>
      </c>
      <c r="E9214" t="s">
        <v>67</v>
      </c>
      <c r="F9214" t="s">
        <v>49</v>
      </c>
      <c r="G9214" s="117">
        <v>42.62</v>
      </c>
    </row>
    <row r="9215" spans="1:7" x14ac:dyDescent="0.25">
      <c r="A9215" s="116" t="s">
        <v>14433</v>
      </c>
      <c r="B9215" s="117" t="s">
        <v>14434</v>
      </c>
      <c r="C9215" t="s">
        <v>67</v>
      </c>
      <c r="D9215" t="s">
        <v>67</v>
      </c>
      <c r="E9215" t="s">
        <v>67</v>
      </c>
      <c r="F9215" t="s">
        <v>27987</v>
      </c>
      <c r="G9215" s="117">
        <v>4.3600000000000003</v>
      </c>
    </row>
    <row r="9216" spans="1:7" x14ac:dyDescent="0.25">
      <c r="A9216" s="116" t="s">
        <v>14435</v>
      </c>
      <c r="B9216" s="117" t="s">
        <v>14436</v>
      </c>
      <c r="C9216" t="s">
        <v>67</v>
      </c>
      <c r="D9216" t="s">
        <v>67</v>
      </c>
      <c r="E9216" t="s">
        <v>67</v>
      </c>
      <c r="F9216" t="s">
        <v>27990</v>
      </c>
      <c r="G9216" s="117">
        <v>8.9</v>
      </c>
    </row>
    <row r="9217" spans="1:7" x14ac:dyDescent="0.25">
      <c r="A9217" s="116" t="s">
        <v>14437</v>
      </c>
      <c r="B9217" s="117" t="s">
        <v>14438</v>
      </c>
      <c r="C9217" t="s">
        <v>67</v>
      </c>
      <c r="D9217" t="s">
        <v>67</v>
      </c>
      <c r="E9217" t="s">
        <v>67</v>
      </c>
      <c r="F9217" t="s">
        <v>49</v>
      </c>
      <c r="G9217" s="117">
        <v>4.3600000000000003</v>
      </c>
    </row>
    <row r="9218" spans="1:7" x14ac:dyDescent="0.25">
      <c r="A9218" s="116" t="s">
        <v>14439</v>
      </c>
      <c r="B9218" s="117" t="s">
        <v>14440</v>
      </c>
      <c r="C9218" t="s">
        <v>67</v>
      </c>
      <c r="D9218" t="s">
        <v>67</v>
      </c>
      <c r="E9218" t="s">
        <v>67</v>
      </c>
      <c r="F9218" t="s">
        <v>27987</v>
      </c>
      <c r="G9218" s="117">
        <v>3.48</v>
      </c>
    </row>
    <row r="9219" spans="1:7" x14ac:dyDescent="0.25">
      <c r="A9219" s="116" t="s">
        <v>14441</v>
      </c>
      <c r="B9219" s="117" t="s">
        <v>14442</v>
      </c>
      <c r="C9219" t="s">
        <v>67</v>
      </c>
      <c r="D9219" t="s">
        <v>67</v>
      </c>
      <c r="E9219" t="s">
        <v>67</v>
      </c>
      <c r="F9219" t="s">
        <v>49</v>
      </c>
      <c r="G9219" s="117">
        <v>3.31</v>
      </c>
    </row>
    <row r="9220" spans="1:7" x14ac:dyDescent="0.25">
      <c r="A9220" s="116" t="s">
        <v>14443</v>
      </c>
      <c r="B9220" s="117" t="s">
        <v>14444</v>
      </c>
      <c r="C9220" t="s">
        <v>67</v>
      </c>
      <c r="D9220" t="s">
        <v>67</v>
      </c>
      <c r="E9220" t="s">
        <v>67</v>
      </c>
      <c r="F9220" t="s">
        <v>49</v>
      </c>
      <c r="G9220" s="117">
        <v>6.69</v>
      </c>
    </row>
    <row r="9221" spans="1:7" x14ac:dyDescent="0.25">
      <c r="A9221" s="116" t="s">
        <v>14445</v>
      </c>
      <c r="B9221" s="117" t="s">
        <v>14446</v>
      </c>
      <c r="C9221" t="s">
        <v>67</v>
      </c>
      <c r="D9221" t="s">
        <v>67</v>
      </c>
      <c r="E9221" t="s">
        <v>67</v>
      </c>
      <c r="F9221" t="s">
        <v>49</v>
      </c>
      <c r="G9221" s="117">
        <v>3.31</v>
      </c>
    </row>
    <row r="9222" spans="1:7" x14ac:dyDescent="0.25">
      <c r="A9222" s="116" t="s">
        <v>14447</v>
      </c>
      <c r="B9222" s="117" t="s">
        <v>14448</v>
      </c>
      <c r="C9222" t="s">
        <v>67</v>
      </c>
      <c r="D9222" t="s">
        <v>67</v>
      </c>
      <c r="E9222" t="s">
        <v>67</v>
      </c>
      <c r="F9222" t="s">
        <v>49</v>
      </c>
      <c r="G9222" s="117">
        <v>10.08</v>
      </c>
    </row>
    <row r="9223" spans="1:7" x14ac:dyDescent="0.25">
      <c r="A9223" s="116" t="s">
        <v>14449</v>
      </c>
      <c r="B9223" s="117" t="s">
        <v>14450</v>
      </c>
      <c r="C9223" t="s">
        <v>67</v>
      </c>
      <c r="D9223" t="s">
        <v>67</v>
      </c>
      <c r="E9223" t="s">
        <v>67</v>
      </c>
      <c r="F9223" t="s">
        <v>45</v>
      </c>
      <c r="G9223" s="117">
        <v>25.34</v>
      </c>
    </row>
    <row r="9224" spans="1:7" x14ac:dyDescent="0.25">
      <c r="A9224" s="116" t="s">
        <v>14451</v>
      </c>
      <c r="B9224" s="117" t="s">
        <v>14452</v>
      </c>
      <c r="C9224" t="s">
        <v>67</v>
      </c>
      <c r="D9224" t="s">
        <v>67</v>
      </c>
      <c r="E9224" t="s">
        <v>67</v>
      </c>
      <c r="F9224" t="s">
        <v>49</v>
      </c>
      <c r="G9224" s="117">
        <v>7.54</v>
      </c>
    </row>
    <row r="9225" spans="1:7" x14ac:dyDescent="0.25">
      <c r="A9225" s="116" t="s">
        <v>14453</v>
      </c>
      <c r="B9225" s="117" t="s">
        <v>14454</v>
      </c>
      <c r="C9225" t="s">
        <v>67</v>
      </c>
      <c r="D9225" t="s">
        <v>67</v>
      </c>
      <c r="E9225" t="s">
        <v>67</v>
      </c>
      <c r="F9225" t="s">
        <v>27990</v>
      </c>
      <c r="G9225" s="117">
        <v>7.2</v>
      </c>
    </row>
    <row r="9226" spans="1:7" x14ac:dyDescent="0.25">
      <c r="A9226" s="116" t="s">
        <v>14455</v>
      </c>
      <c r="B9226" s="117" t="s">
        <v>366</v>
      </c>
      <c r="C9226" t="s">
        <v>67</v>
      </c>
      <c r="D9226" t="s">
        <v>67</v>
      </c>
      <c r="E9226" t="s">
        <v>67</v>
      </c>
      <c r="F9226" t="s">
        <v>51</v>
      </c>
      <c r="G9226" s="117">
        <v>8.4499999999999993</v>
      </c>
    </row>
    <row r="9227" spans="1:7" x14ac:dyDescent="0.25">
      <c r="A9227" s="116" t="s">
        <v>14456</v>
      </c>
      <c r="B9227" s="117" t="s">
        <v>14457</v>
      </c>
      <c r="C9227" t="s">
        <v>67</v>
      </c>
      <c r="D9227" t="s">
        <v>67</v>
      </c>
      <c r="E9227" t="s">
        <v>67</v>
      </c>
      <c r="F9227" t="s">
        <v>27987</v>
      </c>
      <c r="G9227" s="117">
        <v>2.23</v>
      </c>
    </row>
    <row r="9228" spans="1:7" x14ac:dyDescent="0.25">
      <c r="A9228" s="116" t="s">
        <v>14458</v>
      </c>
      <c r="B9228" s="117" t="s">
        <v>14459</v>
      </c>
      <c r="C9228" t="s">
        <v>67</v>
      </c>
      <c r="D9228" t="s">
        <v>67</v>
      </c>
      <c r="E9228" t="s">
        <v>67</v>
      </c>
      <c r="F9228" t="s">
        <v>49</v>
      </c>
      <c r="G9228" s="117">
        <v>8.9</v>
      </c>
    </row>
    <row r="9229" spans="1:7" x14ac:dyDescent="0.25">
      <c r="A9229" s="116" t="s">
        <v>14460</v>
      </c>
      <c r="B9229" s="117" t="s">
        <v>2958</v>
      </c>
      <c r="C9229" t="s">
        <v>67</v>
      </c>
      <c r="D9229" t="s">
        <v>67</v>
      </c>
      <c r="E9229" t="s">
        <v>67</v>
      </c>
      <c r="F9229" t="s">
        <v>27987</v>
      </c>
      <c r="G9229" s="117">
        <v>4.8899999999999997</v>
      </c>
    </row>
    <row r="9230" spans="1:7" x14ac:dyDescent="0.25">
      <c r="A9230" s="116" t="s">
        <v>14461</v>
      </c>
      <c r="B9230" s="117" t="s">
        <v>14462</v>
      </c>
      <c r="C9230" t="s">
        <v>67</v>
      </c>
      <c r="D9230" t="s">
        <v>67</v>
      </c>
      <c r="E9230" t="s">
        <v>67</v>
      </c>
      <c r="F9230" t="s">
        <v>51</v>
      </c>
      <c r="G9230" s="117">
        <v>7.54</v>
      </c>
    </row>
    <row r="9231" spans="1:7" x14ac:dyDescent="0.25">
      <c r="A9231" s="116" t="s">
        <v>14463</v>
      </c>
      <c r="B9231" s="117" t="s">
        <v>14464</v>
      </c>
      <c r="C9231" t="s">
        <v>67</v>
      </c>
      <c r="D9231" t="s">
        <v>67</v>
      </c>
      <c r="E9231" t="s">
        <v>67</v>
      </c>
      <c r="F9231" t="s">
        <v>27987</v>
      </c>
      <c r="G9231" s="117">
        <v>20.25</v>
      </c>
    </row>
    <row r="9232" spans="1:7" x14ac:dyDescent="0.25">
      <c r="A9232" s="116" t="s">
        <v>14465</v>
      </c>
      <c r="B9232" s="117" t="s">
        <v>14466</v>
      </c>
      <c r="C9232" t="s">
        <v>67</v>
      </c>
      <c r="D9232" t="s">
        <v>67</v>
      </c>
      <c r="E9232" t="s">
        <v>67</v>
      </c>
      <c r="F9232" t="s">
        <v>27987</v>
      </c>
      <c r="G9232" s="117">
        <v>53.31</v>
      </c>
    </row>
    <row r="9233" spans="1:7" x14ac:dyDescent="0.25">
      <c r="A9233" s="116" t="s">
        <v>14467</v>
      </c>
      <c r="B9233" s="117" t="s">
        <v>14468</v>
      </c>
      <c r="C9233" t="s">
        <v>67</v>
      </c>
      <c r="D9233" t="s">
        <v>67</v>
      </c>
      <c r="E9233" t="s">
        <v>67</v>
      </c>
      <c r="F9233" t="s">
        <v>49</v>
      </c>
      <c r="G9233" s="117">
        <v>19.920000000000002</v>
      </c>
    </row>
    <row r="9234" spans="1:7" x14ac:dyDescent="0.25">
      <c r="A9234" s="116" t="s">
        <v>14469</v>
      </c>
      <c r="B9234" s="117" t="s">
        <v>14470</v>
      </c>
      <c r="C9234" t="s">
        <v>67</v>
      </c>
      <c r="D9234" t="s">
        <v>67</v>
      </c>
      <c r="E9234" t="s">
        <v>67</v>
      </c>
      <c r="F9234" t="s">
        <v>49</v>
      </c>
      <c r="G9234" s="117">
        <v>69.41</v>
      </c>
    </row>
    <row r="9235" spans="1:7" x14ac:dyDescent="0.25">
      <c r="A9235" s="116" t="s">
        <v>14471</v>
      </c>
      <c r="B9235" s="117" t="s">
        <v>14472</v>
      </c>
      <c r="C9235" t="s">
        <v>67</v>
      </c>
      <c r="D9235" t="s">
        <v>67</v>
      </c>
      <c r="E9235" t="s">
        <v>67</v>
      </c>
      <c r="F9235" t="s">
        <v>27987</v>
      </c>
      <c r="G9235" s="117">
        <v>53.81</v>
      </c>
    </row>
    <row r="9236" spans="1:7" x14ac:dyDescent="0.25">
      <c r="A9236" s="116" t="s">
        <v>14473</v>
      </c>
      <c r="B9236" s="117" t="s">
        <v>14474</v>
      </c>
      <c r="C9236" t="s">
        <v>67</v>
      </c>
      <c r="D9236" t="s">
        <v>67</v>
      </c>
      <c r="E9236" t="s">
        <v>67</v>
      </c>
      <c r="F9236" t="s">
        <v>27987</v>
      </c>
      <c r="G9236" s="117">
        <v>86.02</v>
      </c>
    </row>
    <row r="9237" spans="1:7" x14ac:dyDescent="0.25">
      <c r="A9237" s="116" t="s">
        <v>14475</v>
      </c>
      <c r="B9237" s="117" t="s">
        <v>13639</v>
      </c>
      <c r="C9237" t="s">
        <v>67</v>
      </c>
      <c r="D9237" t="s">
        <v>67</v>
      </c>
      <c r="E9237" t="s">
        <v>67</v>
      </c>
      <c r="F9237" t="s">
        <v>27987</v>
      </c>
      <c r="G9237" s="117">
        <v>56.5</v>
      </c>
    </row>
    <row r="9238" spans="1:7" x14ac:dyDescent="0.25">
      <c r="A9238" s="116" t="s">
        <v>14476</v>
      </c>
      <c r="B9238" s="117" t="s">
        <v>14477</v>
      </c>
      <c r="C9238" t="s">
        <v>67</v>
      </c>
      <c r="D9238" t="s">
        <v>67</v>
      </c>
      <c r="E9238" t="s">
        <v>67</v>
      </c>
      <c r="F9238" t="s">
        <v>27987</v>
      </c>
      <c r="G9238" s="117">
        <v>80.42</v>
      </c>
    </row>
    <row r="9239" spans="1:7" x14ac:dyDescent="0.25">
      <c r="A9239" s="116" t="s">
        <v>14478</v>
      </c>
      <c r="B9239" s="117" t="s">
        <v>14479</v>
      </c>
      <c r="C9239" t="s">
        <v>67</v>
      </c>
      <c r="D9239" t="s">
        <v>67</v>
      </c>
      <c r="E9239" t="s">
        <v>67</v>
      </c>
      <c r="F9239" t="s">
        <v>49</v>
      </c>
      <c r="G9239" s="117">
        <v>27.03</v>
      </c>
    </row>
    <row r="9240" spans="1:7" x14ac:dyDescent="0.25">
      <c r="A9240" s="116" t="s">
        <v>14480</v>
      </c>
      <c r="B9240" s="117" t="s">
        <v>14481</v>
      </c>
      <c r="C9240" t="s">
        <v>67</v>
      </c>
      <c r="D9240" t="s">
        <v>67</v>
      </c>
      <c r="E9240" t="s">
        <v>67</v>
      </c>
      <c r="F9240" t="s">
        <v>27987</v>
      </c>
      <c r="G9240" s="117">
        <v>89.41</v>
      </c>
    </row>
    <row r="9241" spans="1:7" x14ac:dyDescent="0.25">
      <c r="A9241" s="116" t="s">
        <v>14482</v>
      </c>
      <c r="B9241" s="117" t="s">
        <v>14483</v>
      </c>
      <c r="C9241" t="s">
        <v>67</v>
      </c>
      <c r="D9241" t="s">
        <v>67</v>
      </c>
      <c r="E9241" t="s">
        <v>67</v>
      </c>
      <c r="F9241" t="s">
        <v>49</v>
      </c>
      <c r="G9241" s="117">
        <v>10.24</v>
      </c>
    </row>
    <row r="9242" spans="1:7" x14ac:dyDescent="0.25">
      <c r="A9242" s="116" t="s">
        <v>14484</v>
      </c>
      <c r="B9242" s="117" t="s">
        <v>14485</v>
      </c>
      <c r="C9242" t="s">
        <v>67</v>
      </c>
      <c r="D9242" t="s">
        <v>67</v>
      </c>
      <c r="E9242" t="s">
        <v>67</v>
      </c>
      <c r="F9242" t="s">
        <v>45</v>
      </c>
      <c r="G9242" s="117">
        <v>14.68</v>
      </c>
    </row>
    <row r="9243" spans="1:7" x14ac:dyDescent="0.25">
      <c r="A9243" s="116" t="s">
        <v>14486</v>
      </c>
      <c r="B9243" s="117" t="s">
        <v>14487</v>
      </c>
      <c r="C9243" t="s">
        <v>67</v>
      </c>
      <c r="D9243" t="s">
        <v>67</v>
      </c>
      <c r="E9243" t="s">
        <v>67</v>
      </c>
      <c r="F9243" t="s">
        <v>27987</v>
      </c>
      <c r="G9243" s="117">
        <v>7.56</v>
      </c>
    </row>
    <row r="9244" spans="1:7" x14ac:dyDescent="0.25">
      <c r="A9244" s="116" t="s">
        <v>14488</v>
      </c>
      <c r="B9244" s="117" t="s">
        <v>14489</v>
      </c>
      <c r="C9244" t="s">
        <v>67</v>
      </c>
      <c r="D9244" t="s">
        <v>67</v>
      </c>
      <c r="E9244" t="s">
        <v>67</v>
      </c>
      <c r="F9244" t="s">
        <v>27987</v>
      </c>
      <c r="G9244" s="117">
        <v>13.26</v>
      </c>
    </row>
    <row r="9245" spans="1:7" x14ac:dyDescent="0.25">
      <c r="A9245" s="116" t="s">
        <v>14490</v>
      </c>
      <c r="B9245" s="117" t="s">
        <v>13662</v>
      </c>
      <c r="C9245" t="s">
        <v>67</v>
      </c>
      <c r="D9245" t="s">
        <v>67</v>
      </c>
      <c r="E9245" t="s">
        <v>67</v>
      </c>
      <c r="F9245" t="s">
        <v>45</v>
      </c>
      <c r="G9245" s="117">
        <v>3.48</v>
      </c>
    </row>
    <row r="9246" spans="1:7" x14ac:dyDescent="0.25">
      <c r="A9246" s="116" t="s">
        <v>14491</v>
      </c>
      <c r="B9246" s="117" t="s">
        <v>14492</v>
      </c>
      <c r="C9246" t="s">
        <v>67</v>
      </c>
      <c r="D9246" t="s">
        <v>67</v>
      </c>
      <c r="E9246" t="s">
        <v>67</v>
      </c>
      <c r="F9246" t="s">
        <v>27987</v>
      </c>
      <c r="G9246" s="117">
        <v>8.4499999999999993</v>
      </c>
    </row>
    <row r="9247" spans="1:7" x14ac:dyDescent="0.25">
      <c r="A9247" s="116" t="s">
        <v>14493</v>
      </c>
      <c r="B9247" s="117" t="s">
        <v>1669</v>
      </c>
      <c r="C9247" t="s">
        <v>67</v>
      </c>
      <c r="D9247" t="s">
        <v>67</v>
      </c>
      <c r="E9247" t="s">
        <v>67</v>
      </c>
      <c r="F9247" t="s">
        <v>27987</v>
      </c>
      <c r="G9247" s="117">
        <v>54.73</v>
      </c>
    </row>
    <row r="9248" spans="1:7" x14ac:dyDescent="0.25">
      <c r="A9248" s="116" t="s">
        <v>14494</v>
      </c>
      <c r="B9248" s="117" t="s">
        <v>13639</v>
      </c>
      <c r="C9248" t="s">
        <v>67</v>
      </c>
      <c r="D9248" t="s">
        <v>67</v>
      </c>
      <c r="E9248" t="s">
        <v>67</v>
      </c>
      <c r="F9248" t="s">
        <v>27987</v>
      </c>
      <c r="G9248" s="117">
        <v>35.14</v>
      </c>
    </row>
    <row r="9249" spans="1:7" x14ac:dyDescent="0.25">
      <c r="A9249" s="116" t="s">
        <v>14495</v>
      </c>
      <c r="B9249" s="117" t="s">
        <v>1267</v>
      </c>
      <c r="C9249" t="s">
        <v>67</v>
      </c>
      <c r="D9249" t="s">
        <v>67</v>
      </c>
      <c r="E9249" t="s">
        <v>67</v>
      </c>
      <c r="F9249" t="s">
        <v>27987</v>
      </c>
      <c r="G9249" s="117">
        <v>36.39</v>
      </c>
    </row>
    <row r="9250" spans="1:7" x14ac:dyDescent="0.25">
      <c r="A9250" s="116" t="s">
        <v>14496</v>
      </c>
      <c r="B9250" s="117" t="s">
        <v>14497</v>
      </c>
      <c r="C9250" t="s">
        <v>67</v>
      </c>
      <c r="D9250" t="s">
        <v>67</v>
      </c>
      <c r="E9250" t="s">
        <v>67</v>
      </c>
      <c r="F9250" t="s">
        <v>27987</v>
      </c>
      <c r="G9250" s="117">
        <v>11.48</v>
      </c>
    </row>
    <row r="9251" spans="1:7" x14ac:dyDescent="0.25">
      <c r="A9251" s="116" t="s">
        <v>14498</v>
      </c>
      <c r="B9251" s="117" t="s">
        <v>14499</v>
      </c>
      <c r="C9251" t="s">
        <v>67</v>
      </c>
      <c r="D9251" t="s">
        <v>67</v>
      </c>
      <c r="E9251" t="s">
        <v>67</v>
      </c>
      <c r="F9251" t="s">
        <v>49</v>
      </c>
      <c r="G9251" s="117">
        <v>17.36</v>
      </c>
    </row>
    <row r="9252" spans="1:7" x14ac:dyDescent="0.25">
      <c r="A9252" s="116" t="s">
        <v>14500</v>
      </c>
      <c r="B9252" s="117" t="s">
        <v>14434</v>
      </c>
      <c r="C9252" t="s">
        <v>67</v>
      </c>
      <c r="D9252" t="s">
        <v>67</v>
      </c>
      <c r="E9252" t="s">
        <v>67</v>
      </c>
      <c r="F9252" t="s">
        <v>49</v>
      </c>
      <c r="G9252" s="117">
        <v>3.56</v>
      </c>
    </row>
    <row r="9253" spans="1:7" x14ac:dyDescent="0.25">
      <c r="A9253" s="116" t="s">
        <v>14501</v>
      </c>
      <c r="B9253" s="117" t="s">
        <v>14502</v>
      </c>
      <c r="C9253" t="s">
        <v>67</v>
      </c>
      <c r="D9253" t="s">
        <v>67</v>
      </c>
      <c r="E9253" t="s">
        <v>67</v>
      </c>
      <c r="F9253" t="s">
        <v>27987</v>
      </c>
      <c r="G9253" s="117">
        <v>4</v>
      </c>
    </row>
    <row r="9254" spans="1:7" x14ac:dyDescent="0.25">
      <c r="A9254" s="116" t="s">
        <v>14503</v>
      </c>
      <c r="B9254" s="117" t="s">
        <v>14504</v>
      </c>
      <c r="C9254" t="s">
        <v>67</v>
      </c>
      <c r="D9254" t="s">
        <v>67</v>
      </c>
      <c r="E9254" t="s">
        <v>67</v>
      </c>
      <c r="F9254" t="s">
        <v>45</v>
      </c>
      <c r="G9254" s="117">
        <v>1.86</v>
      </c>
    </row>
    <row r="9255" spans="1:7" x14ac:dyDescent="0.25">
      <c r="A9255" s="116" t="s">
        <v>14505</v>
      </c>
      <c r="B9255" s="117" t="s">
        <v>14506</v>
      </c>
      <c r="C9255" t="s">
        <v>67</v>
      </c>
      <c r="D9255" t="s">
        <v>67</v>
      </c>
      <c r="E9255" t="s">
        <v>67</v>
      </c>
      <c r="F9255" t="s">
        <v>27987</v>
      </c>
      <c r="G9255" s="117">
        <v>3.12</v>
      </c>
    </row>
    <row r="9256" spans="1:7" x14ac:dyDescent="0.25">
      <c r="A9256" s="116" t="s">
        <v>14507</v>
      </c>
      <c r="B9256" s="117" t="s">
        <v>14508</v>
      </c>
      <c r="C9256" t="s">
        <v>67</v>
      </c>
      <c r="D9256" t="s">
        <v>67</v>
      </c>
      <c r="E9256" t="s">
        <v>67</v>
      </c>
      <c r="F9256" t="s">
        <v>27987</v>
      </c>
      <c r="G9256" s="117">
        <v>3.56</v>
      </c>
    </row>
    <row r="9257" spans="1:7" x14ac:dyDescent="0.25">
      <c r="A9257" s="116" t="s">
        <v>14509</v>
      </c>
      <c r="B9257" s="117" t="s">
        <v>3064</v>
      </c>
      <c r="C9257" t="s">
        <v>67</v>
      </c>
      <c r="D9257" t="s">
        <v>67</v>
      </c>
      <c r="E9257" t="s">
        <v>67</v>
      </c>
      <c r="F9257" t="s">
        <v>27987</v>
      </c>
      <c r="G9257" s="117">
        <v>2.23</v>
      </c>
    </row>
    <row r="9258" spans="1:7" x14ac:dyDescent="0.25">
      <c r="A9258" s="116" t="s">
        <v>14510</v>
      </c>
      <c r="B9258" s="117" t="s">
        <v>14511</v>
      </c>
      <c r="C9258" t="s">
        <v>67</v>
      </c>
      <c r="D9258" t="s">
        <v>67</v>
      </c>
      <c r="E9258" t="s">
        <v>67</v>
      </c>
      <c r="F9258" t="s">
        <v>27987</v>
      </c>
      <c r="G9258" s="117">
        <v>3.56</v>
      </c>
    </row>
    <row r="9259" spans="1:7" x14ac:dyDescent="0.25">
      <c r="A9259" s="116" t="s">
        <v>14512</v>
      </c>
      <c r="B9259" s="117" t="s">
        <v>14513</v>
      </c>
      <c r="C9259" t="s">
        <v>67</v>
      </c>
      <c r="D9259" t="s">
        <v>67</v>
      </c>
      <c r="E9259" t="s">
        <v>67</v>
      </c>
      <c r="F9259" t="s">
        <v>27987</v>
      </c>
      <c r="G9259" s="117">
        <v>15.57</v>
      </c>
    </row>
    <row r="9260" spans="1:7" x14ac:dyDescent="0.25">
      <c r="A9260" s="116" t="s">
        <v>14514</v>
      </c>
      <c r="B9260" s="117" t="s">
        <v>14515</v>
      </c>
      <c r="C9260" t="s">
        <v>67</v>
      </c>
      <c r="D9260" t="s">
        <v>67</v>
      </c>
      <c r="E9260" t="s">
        <v>67</v>
      </c>
      <c r="F9260" t="s">
        <v>27987</v>
      </c>
      <c r="G9260" s="117">
        <v>12.37</v>
      </c>
    </row>
    <row r="9261" spans="1:7" x14ac:dyDescent="0.25">
      <c r="A9261" s="116" t="s">
        <v>14516</v>
      </c>
      <c r="B9261" s="117" t="s">
        <v>14517</v>
      </c>
      <c r="C9261" t="s">
        <v>67</v>
      </c>
      <c r="D9261" t="s">
        <v>67</v>
      </c>
      <c r="E9261" t="s">
        <v>67</v>
      </c>
      <c r="F9261" t="s">
        <v>49</v>
      </c>
      <c r="G9261" s="117">
        <v>6.69</v>
      </c>
    </row>
    <row r="9262" spans="1:7" x14ac:dyDescent="0.25">
      <c r="A9262" s="116" t="s">
        <v>14518</v>
      </c>
      <c r="B9262" s="117" t="s">
        <v>14519</v>
      </c>
      <c r="C9262" t="s">
        <v>67</v>
      </c>
      <c r="D9262" t="s">
        <v>67</v>
      </c>
      <c r="E9262" t="s">
        <v>67</v>
      </c>
      <c r="F9262" t="s">
        <v>27987</v>
      </c>
      <c r="G9262" s="117">
        <v>9.6999999999999993</v>
      </c>
    </row>
    <row r="9263" spans="1:7" x14ac:dyDescent="0.25">
      <c r="A9263" s="116" t="s">
        <v>14520</v>
      </c>
      <c r="B9263" s="117" t="s">
        <v>14521</v>
      </c>
      <c r="C9263" t="s">
        <v>67</v>
      </c>
      <c r="D9263" t="s">
        <v>67</v>
      </c>
      <c r="E9263" t="s">
        <v>67</v>
      </c>
      <c r="F9263" t="s">
        <v>27987</v>
      </c>
      <c r="G9263" s="117">
        <v>22.16</v>
      </c>
    </row>
    <row r="9264" spans="1:7" x14ac:dyDescent="0.25">
      <c r="A9264" s="116" t="s">
        <v>14522</v>
      </c>
      <c r="B9264" s="117" t="s">
        <v>14523</v>
      </c>
      <c r="C9264" t="s">
        <v>67</v>
      </c>
      <c r="D9264" t="s">
        <v>67</v>
      </c>
      <c r="E9264" t="s">
        <v>67</v>
      </c>
      <c r="F9264" t="s">
        <v>27987</v>
      </c>
      <c r="G9264" s="117">
        <v>31.94</v>
      </c>
    </row>
    <row r="9265" spans="1:7" x14ac:dyDescent="0.25">
      <c r="A9265" s="116" t="s">
        <v>14524</v>
      </c>
      <c r="B9265" s="117" t="s">
        <v>14525</v>
      </c>
      <c r="C9265" t="s">
        <v>67</v>
      </c>
      <c r="D9265" t="s">
        <v>67</v>
      </c>
      <c r="E9265" t="s">
        <v>67</v>
      </c>
      <c r="F9265" t="s">
        <v>45</v>
      </c>
      <c r="G9265" s="117">
        <v>0.8</v>
      </c>
    </row>
    <row r="9266" spans="1:7" x14ac:dyDescent="0.25">
      <c r="A9266" s="116" t="s">
        <v>14526</v>
      </c>
      <c r="B9266" s="117" t="s">
        <v>14527</v>
      </c>
      <c r="C9266" t="s">
        <v>67</v>
      </c>
      <c r="D9266" t="s">
        <v>67</v>
      </c>
      <c r="E9266" t="s">
        <v>67</v>
      </c>
      <c r="F9266" t="s">
        <v>27987</v>
      </c>
      <c r="G9266" s="117">
        <v>14.14</v>
      </c>
    </row>
    <row r="9267" spans="1:7" x14ac:dyDescent="0.25">
      <c r="A9267" s="116" t="s">
        <v>14528</v>
      </c>
      <c r="B9267" s="117" t="s">
        <v>14529</v>
      </c>
      <c r="C9267" t="s">
        <v>67</v>
      </c>
      <c r="D9267" t="s">
        <v>67</v>
      </c>
      <c r="E9267" t="s">
        <v>67</v>
      </c>
      <c r="F9267" t="s">
        <v>27987</v>
      </c>
      <c r="G9267" s="117">
        <v>1.77</v>
      </c>
    </row>
    <row r="9268" spans="1:7" x14ac:dyDescent="0.25">
      <c r="A9268" s="116" t="s">
        <v>14530</v>
      </c>
      <c r="B9268" s="117" t="s">
        <v>5742</v>
      </c>
      <c r="C9268" t="s">
        <v>67</v>
      </c>
      <c r="D9268" t="s">
        <v>67</v>
      </c>
      <c r="E9268" t="s">
        <v>67</v>
      </c>
      <c r="F9268" t="s">
        <v>49</v>
      </c>
      <c r="G9268" s="117">
        <v>20.38</v>
      </c>
    </row>
    <row r="9269" spans="1:7" x14ac:dyDescent="0.25">
      <c r="A9269" s="116" t="s">
        <v>14531</v>
      </c>
      <c r="B9269" s="117" t="s">
        <v>5705</v>
      </c>
      <c r="C9269" t="s">
        <v>67</v>
      </c>
      <c r="D9269" t="s">
        <v>67</v>
      </c>
      <c r="E9269" t="s">
        <v>67</v>
      </c>
      <c r="F9269" t="s">
        <v>49</v>
      </c>
      <c r="G9269" s="117">
        <v>10.68</v>
      </c>
    </row>
    <row r="9270" spans="1:7" x14ac:dyDescent="0.25">
      <c r="A9270" s="116" t="s">
        <v>14532</v>
      </c>
      <c r="B9270" s="117" t="s">
        <v>14533</v>
      </c>
      <c r="C9270" t="s">
        <v>67</v>
      </c>
      <c r="D9270" t="s">
        <v>67</v>
      </c>
      <c r="E9270" t="s">
        <v>67</v>
      </c>
      <c r="F9270" t="s">
        <v>27987</v>
      </c>
      <c r="G9270" s="117">
        <v>1.77</v>
      </c>
    </row>
    <row r="9271" spans="1:7" x14ac:dyDescent="0.25">
      <c r="A9271" s="116" t="s">
        <v>14534</v>
      </c>
      <c r="B9271" s="117" t="s">
        <v>14535</v>
      </c>
      <c r="C9271" t="s">
        <v>67</v>
      </c>
      <c r="D9271" t="s">
        <v>67</v>
      </c>
      <c r="E9271" t="s">
        <v>67</v>
      </c>
      <c r="F9271" t="s">
        <v>27987</v>
      </c>
      <c r="G9271" s="117">
        <v>19.13</v>
      </c>
    </row>
    <row r="9272" spans="1:7" x14ac:dyDescent="0.25">
      <c r="A9272" s="116" t="s">
        <v>14536</v>
      </c>
      <c r="B9272" s="117" t="s">
        <v>14537</v>
      </c>
      <c r="C9272" t="s">
        <v>67</v>
      </c>
      <c r="D9272" t="s">
        <v>67</v>
      </c>
      <c r="E9272" t="s">
        <v>67</v>
      </c>
      <c r="F9272" t="s">
        <v>27987</v>
      </c>
      <c r="G9272" s="117">
        <v>1.69</v>
      </c>
    </row>
    <row r="9273" spans="1:7" x14ac:dyDescent="0.25">
      <c r="A9273" s="116" t="s">
        <v>14538</v>
      </c>
      <c r="B9273" s="117" t="s">
        <v>14539</v>
      </c>
      <c r="C9273" t="s">
        <v>67</v>
      </c>
      <c r="D9273" t="s">
        <v>67</v>
      </c>
      <c r="E9273" t="s">
        <v>67</v>
      </c>
      <c r="F9273" t="s">
        <v>45</v>
      </c>
      <c r="G9273" s="117">
        <v>36.93</v>
      </c>
    </row>
    <row r="9274" spans="1:7" x14ac:dyDescent="0.25">
      <c r="A9274" s="116" t="s">
        <v>14540</v>
      </c>
      <c r="B9274" s="117" t="s">
        <v>14541</v>
      </c>
      <c r="C9274" t="s">
        <v>67</v>
      </c>
      <c r="D9274" t="s">
        <v>67</v>
      </c>
      <c r="E9274" t="s">
        <v>67</v>
      </c>
      <c r="F9274" t="s">
        <v>27987</v>
      </c>
      <c r="G9274" s="117">
        <v>9.35</v>
      </c>
    </row>
    <row r="9275" spans="1:7" x14ac:dyDescent="0.25">
      <c r="A9275" s="116" t="s">
        <v>14542</v>
      </c>
      <c r="B9275" s="117" t="s">
        <v>14543</v>
      </c>
      <c r="C9275" t="s">
        <v>67</v>
      </c>
      <c r="D9275" t="s">
        <v>67</v>
      </c>
      <c r="E9275" t="s">
        <v>67</v>
      </c>
      <c r="F9275" t="s">
        <v>27987</v>
      </c>
      <c r="G9275" s="117">
        <v>2.23</v>
      </c>
    </row>
    <row r="9276" spans="1:7" x14ac:dyDescent="0.25">
      <c r="A9276" s="116" t="s">
        <v>14544</v>
      </c>
      <c r="B9276" s="117" t="s">
        <v>14545</v>
      </c>
      <c r="C9276" t="s">
        <v>67</v>
      </c>
      <c r="D9276" t="s">
        <v>67</v>
      </c>
      <c r="E9276" t="s">
        <v>67</v>
      </c>
      <c r="F9276" t="s">
        <v>27987</v>
      </c>
      <c r="G9276" s="117">
        <v>7.12</v>
      </c>
    </row>
    <row r="9277" spans="1:7" x14ac:dyDescent="0.25">
      <c r="A9277" s="116" t="s">
        <v>14546</v>
      </c>
      <c r="B9277" s="117" t="s">
        <v>14547</v>
      </c>
      <c r="C9277" t="s">
        <v>67</v>
      </c>
      <c r="D9277" t="s">
        <v>67</v>
      </c>
      <c r="E9277" t="s">
        <v>67</v>
      </c>
      <c r="F9277" t="s">
        <v>27987</v>
      </c>
      <c r="G9277" s="117">
        <v>27.5</v>
      </c>
    </row>
    <row r="9278" spans="1:7" x14ac:dyDescent="0.25">
      <c r="A9278" s="116" t="s">
        <v>14548</v>
      </c>
      <c r="B9278" s="117" t="s">
        <v>14549</v>
      </c>
      <c r="C9278" t="s">
        <v>67</v>
      </c>
      <c r="D9278" t="s">
        <v>67</v>
      </c>
      <c r="E9278" t="s">
        <v>67</v>
      </c>
      <c r="F9278" t="s">
        <v>27987</v>
      </c>
      <c r="G9278" s="117">
        <v>4.3600000000000003</v>
      </c>
    </row>
    <row r="9279" spans="1:7" x14ac:dyDescent="0.25">
      <c r="A9279" s="116" t="s">
        <v>14550</v>
      </c>
      <c r="B9279" s="117" t="s">
        <v>14551</v>
      </c>
      <c r="C9279" t="s">
        <v>67</v>
      </c>
      <c r="D9279" t="s">
        <v>67</v>
      </c>
      <c r="E9279" t="s">
        <v>67</v>
      </c>
      <c r="F9279" t="s">
        <v>27987</v>
      </c>
      <c r="G9279" s="117">
        <v>12.01</v>
      </c>
    </row>
    <row r="9280" spans="1:7" x14ac:dyDescent="0.25">
      <c r="A9280" s="116" t="s">
        <v>14552</v>
      </c>
      <c r="B9280" s="117" t="s">
        <v>14553</v>
      </c>
      <c r="C9280" t="s">
        <v>67</v>
      </c>
      <c r="D9280" t="s">
        <v>67</v>
      </c>
      <c r="E9280" t="s">
        <v>67</v>
      </c>
      <c r="F9280" t="s">
        <v>27987</v>
      </c>
      <c r="G9280" s="117">
        <v>8.4499999999999993</v>
      </c>
    </row>
    <row r="9281" spans="1:7" x14ac:dyDescent="0.25">
      <c r="A9281" s="116" t="s">
        <v>14554</v>
      </c>
      <c r="B9281" s="117" t="s">
        <v>14555</v>
      </c>
      <c r="C9281" t="s">
        <v>67</v>
      </c>
      <c r="D9281" t="s">
        <v>67</v>
      </c>
      <c r="E9281" t="s">
        <v>67</v>
      </c>
      <c r="F9281" t="s">
        <v>27987</v>
      </c>
      <c r="G9281" s="117">
        <v>9.35</v>
      </c>
    </row>
    <row r="9282" spans="1:7" x14ac:dyDescent="0.25">
      <c r="A9282" s="116" t="s">
        <v>14556</v>
      </c>
      <c r="B9282" s="117" t="s">
        <v>14557</v>
      </c>
      <c r="C9282" t="s">
        <v>67</v>
      </c>
      <c r="D9282" t="s">
        <v>67</v>
      </c>
      <c r="E9282" t="s">
        <v>67</v>
      </c>
      <c r="F9282" t="s">
        <v>45</v>
      </c>
      <c r="G9282" s="117">
        <v>31.94</v>
      </c>
    </row>
    <row r="9283" spans="1:7" x14ac:dyDescent="0.25">
      <c r="A9283" s="116" t="s">
        <v>14558</v>
      </c>
      <c r="B9283" s="117" t="s">
        <v>5718</v>
      </c>
      <c r="C9283" t="s">
        <v>67</v>
      </c>
      <c r="D9283" t="s">
        <v>67</v>
      </c>
      <c r="E9283" t="s">
        <v>67</v>
      </c>
      <c r="F9283" t="s">
        <v>49</v>
      </c>
      <c r="G9283" s="117">
        <v>15.93</v>
      </c>
    </row>
    <row r="9284" spans="1:7" x14ac:dyDescent="0.25">
      <c r="A9284" s="116" t="s">
        <v>14559</v>
      </c>
      <c r="B9284" s="117" t="s">
        <v>14560</v>
      </c>
      <c r="C9284" t="s">
        <v>67</v>
      </c>
      <c r="D9284" t="s">
        <v>67</v>
      </c>
      <c r="E9284" t="s">
        <v>67</v>
      </c>
      <c r="F9284" t="s">
        <v>45</v>
      </c>
      <c r="G9284" s="117">
        <v>22.16</v>
      </c>
    </row>
    <row r="9285" spans="1:7" x14ac:dyDescent="0.25">
      <c r="A9285" s="116" t="s">
        <v>14561</v>
      </c>
      <c r="B9285" s="117" t="s">
        <v>14562</v>
      </c>
      <c r="C9285" t="s">
        <v>67</v>
      </c>
      <c r="D9285" t="s">
        <v>67</v>
      </c>
      <c r="E9285" t="s">
        <v>67</v>
      </c>
      <c r="F9285" t="s">
        <v>27987</v>
      </c>
      <c r="G9285" s="117">
        <v>16.82</v>
      </c>
    </row>
    <row r="9286" spans="1:7" x14ac:dyDescent="0.25">
      <c r="A9286" s="116" t="s">
        <v>14563</v>
      </c>
      <c r="B9286" s="117" t="s">
        <v>14564</v>
      </c>
      <c r="C9286" t="s">
        <v>67</v>
      </c>
      <c r="D9286" t="s">
        <v>67</v>
      </c>
      <c r="E9286" t="s">
        <v>67</v>
      </c>
      <c r="F9286" t="s">
        <v>27987</v>
      </c>
      <c r="G9286" s="117">
        <v>12.45</v>
      </c>
    </row>
    <row r="9287" spans="1:7" x14ac:dyDescent="0.25">
      <c r="A9287" s="116" t="s">
        <v>14565</v>
      </c>
      <c r="B9287" s="117" t="s">
        <v>14566</v>
      </c>
      <c r="C9287" t="s">
        <v>67</v>
      </c>
      <c r="D9287" t="s">
        <v>67</v>
      </c>
      <c r="E9287" t="s">
        <v>67</v>
      </c>
      <c r="F9287" t="s">
        <v>27987</v>
      </c>
      <c r="G9287" s="117">
        <v>27.14</v>
      </c>
    </row>
    <row r="9288" spans="1:7" x14ac:dyDescent="0.25">
      <c r="A9288" s="116" t="s">
        <v>14567</v>
      </c>
      <c r="B9288" s="117" t="s">
        <v>2958</v>
      </c>
      <c r="C9288" t="s">
        <v>67</v>
      </c>
      <c r="D9288" t="s">
        <v>67</v>
      </c>
      <c r="E9288" t="s">
        <v>67</v>
      </c>
      <c r="F9288" t="s">
        <v>27987</v>
      </c>
      <c r="G9288" s="117">
        <v>9.35</v>
      </c>
    </row>
    <row r="9289" spans="1:7" x14ac:dyDescent="0.25">
      <c r="A9289" s="116" t="s">
        <v>14568</v>
      </c>
      <c r="B9289" s="117" t="s">
        <v>14569</v>
      </c>
      <c r="C9289" t="s">
        <v>67</v>
      </c>
      <c r="D9289" t="s">
        <v>67</v>
      </c>
      <c r="E9289" t="s">
        <v>67</v>
      </c>
      <c r="F9289" t="s">
        <v>45</v>
      </c>
      <c r="G9289" s="117">
        <v>6.68</v>
      </c>
    </row>
    <row r="9290" spans="1:7" x14ac:dyDescent="0.25">
      <c r="A9290" s="116" t="s">
        <v>14570</v>
      </c>
      <c r="B9290" s="117" t="s">
        <v>14571</v>
      </c>
      <c r="C9290" t="s">
        <v>67</v>
      </c>
      <c r="D9290" t="s">
        <v>67</v>
      </c>
      <c r="E9290" t="s">
        <v>67</v>
      </c>
      <c r="F9290" t="s">
        <v>49</v>
      </c>
      <c r="G9290" s="117">
        <v>9.6999999999999993</v>
      </c>
    </row>
    <row r="9291" spans="1:7" x14ac:dyDescent="0.25">
      <c r="A9291" s="116" t="s">
        <v>14572</v>
      </c>
      <c r="B9291" s="117" t="s">
        <v>14573</v>
      </c>
      <c r="C9291" t="s">
        <v>67</v>
      </c>
      <c r="D9291" t="s">
        <v>67</v>
      </c>
      <c r="E9291" t="s">
        <v>67</v>
      </c>
      <c r="F9291" t="s">
        <v>27990</v>
      </c>
      <c r="G9291" s="117">
        <v>1.33</v>
      </c>
    </row>
    <row r="9292" spans="1:7" x14ac:dyDescent="0.25">
      <c r="A9292" s="116" t="s">
        <v>14574</v>
      </c>
      <c r="B9292" s="117" t="s">
        <v>14575</v>
      </c>
      <c r="C9292" t="s">
        <v>67</v>
      </c>
      <c r="D9292" t="s">
        <v>67</v>
      </c>
      <c r="E9292" t="s">
        <v>67</v>
      </c>
      <c r="F9292" t="s">
        <v>27987</v>
      </c>
      <c r="G9292" s="117">
        <v>2.23</v>
      </c>
    </row>
    <row r="9293" spans="1:7" x14ac:dyDescent="0.25">
      <c r="A9293" s="116" t="s">
        <v>29158</v>
      </c>
      <c r="B9293" s="117" t="s">
        <v>30109</v>
      </c>
      <c r="C9293" t="s">
        <v>67</v>
      </c>
      <c r="D9293" t="s">
        <v>67</v>
      </c>
      <c r="E9293" t="s">
        <v>67</v>
      </c>
      <c r="F9293" t="s">
        <v>27987</v>
      </c>
      <c r="G9293" s="117">
        <v>3</v>
      </c>
    </row>
    <row r="9294" spans="1:7" x14ac:dyDescent="0.25">
      <c r="A9294" s="116" t="s">
        <v>14576</v>
      </c>
      <c r="B9294" s="117" t="s">
        <v>14577</v>
      </c>
      <c r="C9294" t="s">
        <v>67</v>
      </c>
      <c r="D9294" t="s">
        <v>67</v>
      </c>
      <c r="E9294" t="s">
        <v>67</v>
      </c>
      <c r="F9294" t="s">
        <v>45</v>
      </c>
      <c r="G9294" s="117">
        <v>1.33</v>
      </c>
    </row>
    <row r="9295" spans="1:7" x14ac:dyDescent="0.25">
      <c r="A9295" s="116" t="s">
        <v>14578</v>
      </c>
      <c r="B9295" s="117" t="s">
        <v>14579</v>
      </c>
      <c r="C9295" t="s">
        <v>67</v>
      </c>
      <c r="D9295" t="s">
        <v>67</v>
      </c>
      <c r="E9295" t="s">
        <v>67</v>
      </c>
      <c r="F9295" t="s">
        <v>27987</v>
      </c>
      <c r="G9295" s="117">
        <v>1.33</v>
      </c>
    </row>
    <row r="9296" spans="1:7" x14ac:dyDescent="0.25">
      <c r="A9296" s="116" t="s">
        <v>14580</v>
      </c>
      <c r="B9296" s="117" t="s">
        <v>14581</v>
      </c>
      <c r="C9296" t="s">
        <v>67</v>
      </c>
      <c r="D9296" t="s">
        <v>67</v>
      </c>
      <c r="E9296" t="s">
        <v>67</v>
      </c>
      <c r="F9296" t="s">
        <v>27987</v>
      </c>
      <c r="G9296" s="117">
        <v>2.23</v>
      </c>
    </row>
    <row r="9297" spans="1:7" x14ac:dyDescent="0.25">
      <c r="A9297" s="116" t="s">
        <v>14582</v>
      </c>
      <c r="B9297" s="117" t="s">
        <v>5552</v>
      </c>
      <c r="C9297" t="s">
        <v>67</v>
      </c>
      <c r="D9297" t="s">
        <v>67</v>
      </c>
      <c r="E9297" t="s">
        <v>67</v>
      </c>
      <c r="F9297" t="s">
        <v>27987</v>
      </c>
      <c r="G9297" s="117">
        <v>23.94</v>
      </c>
    </row>
    <row r="9298" spans="1:7" x14ac:dyDescent="0.25">
      <c r="A9298" s="116" t="s">
        <v>14583</v>
      </c>
      <c r="B9298" s="117" t="s">
        <v>14584</v>
      </c>
      <c r="C9298" t="s">
        <v>67</v>
      </c>
      <c r="D9298" t="s">
        <v>67</v>
      </c>
      <c r="E9298" t="s">
        <v>67</v>
      </c>
      <c r="F9298" t="s">
        <v>27987</v>
      </c>
      <c r="G9298" s="117">
        <v>2.58</v>
      </c>
    </row>
    <row r="9299" spans="1:7" x14ac:dyDescent="0.25">
      <c r="A9299" s="116" t="s">
        <v>14585</v>
      </c>
      <c r="B9299" s="117" t="s">
        <v>14586</v>
      </c>
      <c r="C9299" t="s">
        <v>67</v>
      </c>
      <c r="D9299" t="s">
        <v>67</v>
      </c>
      <c r="E9299" t="s">
        <v>67</v>
      </c>
      <c r="F9299" t="s">
        <v>49</v>
      </c>
      <c r="G9299" s="117">
        <v>18.239999999999998</v>
      </c>
    </row>
    <row r="9300" spans="1:7" x14ac:dyDescent="0.25">
      <c r="A9300" s="116" t="s">
        <v>14587</v>
      </c>
      <c r="B9300" s="117" t="s">
        <v>14588</v>
      </c>
      <c r="C9300" t="s">
        <v>67</v>
      </c>
      <c r="D9300" t="s">
        <v>67</v>
      </c>
      <c r="E9300" t="s">
        <v>67</v>
      </c>
      <c r="F9300" t="s">
        <v>27987</v>
      </c>
      <c r="G9300" s="117">
        <v>2.23</v>
      </c>
    </row>
    <row r="9301" spans="1:7" x14ac:dyDescent="0.25">
      <c r="A9301" s="116" t="s">
        <v>14589</v>
      </c>
      <c r="B9301" s="117" t="s">
        <v>14590</v>
      </c>
      <c r="C9301" t="s">
        <v>67</v>
      </c>
      <c r="D9301" t="s">
        <v>67</v>
      </c>
      <c r="E9301" t="s">
        <v>67</v>
      </c>
      <c r="F9301" t="s">
        <v>27987</v>
      </c>
      <c r="G9301" s="117">
        <v>36.39</v>
      </c>
    </row>
    <row r="9302" spans="1:7" x14ac:dyDescent="0.25">
      <c r="A9302" s="116" t="s">
        <v>14591</v>
      </c>
      <c r="B9302" s="117" t="s">
        <v>14592</v>
      </c>
      <c r="C9302" t="s">
        <v>67</v>
      </c>
      <c r="D9302" t="s">
        <v>67</v>
      </c>
      <c r="E9302" t="s">
        <v>67</v>
      </c>
      <c r="F9302" t="s">
        <v>27987</v>
      </c>
      <c r="G9302" s="117">
        <v>0.8</v>
      </c>
    </row>
    <row r="9303" spans="1:7" x14ac:dyDescent="0.25">
      <c r="A9303" s="116" t="s">
        <v>14593</v>
      </c>
      <c r="B9303" s="117" t="s">
        <v>14594</v>
      </c>
      <c r="C9303" t="s">
        <v>67</v>
      </c>
      <c r="D9303" t="s">
        <v>67</v>
      </c>
      <c r="E9303" t="s">
        <v>67</v>
      </c>
      <c r="F9303" t="s">
        <v>45</v>
      </c>
      <c r="G9303" s="117">
        <v>24.82</v>
      </c>
    </row>
    <row r="9304" spans="1:7" x14ac:dyDescent="0.25">
      <c r="A9304" s="116" t="s">
        <v>14595</v>
      </c>
      <c r="B9304" s="117" t="s">
        <v>5705</v>
      </c>
      <c r="C9304" t="s">
        <v>67</v>
      </c>
      <c r="D9304" t="s">
        <v>67</v>
      </c>
      <c r="E9304" t="s">
        <v>67</v>
      </c>
      <c r="F9304" t="s">
        <v>51</v>
      </c>
      <c r="G9304" s="117">
        <v>3.12</v>
      </c>
    </row>
    <row r="9305" spans="1:7" x14ac:dyDescent="0.25">
      <c r="A9305" s="116" t="s">
        <v>14596</v>
      </c>
      <c r="B9305" s="117" t="s">
        <v>14597</v>
      </c>
      <c r="C9305" t="s">
        <v>67</v>
      </c>
      <c r="D9305" t="s">
        <v>67</v>
      </c>
      <c r="E9305" t="s">
        <v>67</v>
      </c>
      <c r="F9305" t="s">
        <v>27987</v>
      </c>
      <c r="G9305" s="117">
        <v>33.369999999999997</v>
      </c>
    </row>
    <row r="9306" spans="1:7" x14ac:dyDescent="0.25">
      <c r="A9306" s="116" t="s">
        <v>14598</v>
      </c>
      <c r="B9306" s="117" t="s">
        <v>14599</v>
      </c>
      <c r="C9306" t="s">
        <v>67</v>
      </c>
      <c r="D9306" t="s">
        <v>67</v>
      </c>
      <c r="E9306" t="s">
        <v>67</v>
      </c>
      <c r="F9306" t="s">
        <v>49</v>
      </c>
      <c r="G9306" s="117">
        <v>3.12</v>
      </c>
    </row>
    <row r="9307" spans="1:7" x14ac:dyDescent="0.25">
      <c r="A9307" s="116" t="s">
        <v>14600</v>
      </c>
      <c r="B9307" s="117" t="s">
        <v>14601</v>
      </c>
      <c r="C9307" t="s">
        <v>67</v>
      </c>
      <c r="D9307" t="s">
        <v>67</v>
      </c>
      <c r="E9307" t="s">
        <v>67</v>
      </c>
      <c r="F9307" t="s">
        <v>27987</v>
      </c>
      <c r="G9307" s="117">
        <v>37.82</v>
      </c>
    </row>
    <row r="9308" spans="1:7" x14ac:dyDescent="0.25">
      <c r="A9308" s="116" t="s">
        <v>14602</v>
      </c>
      <c r="B9308" s="117" t="s">
        <v>14603</v>
      </c>
      <c r="C9308" t="s">
        <v>67</v>
      </c>
      <c r="D9308" t="s">
        <v>67</v>
      </c>
      <c r="E9308" t="s">
        <v>67</v>
      </c>
      <c r="F9308" t="s">
        <v>49</v>
      </c>
      <c r="G9308" s="117">
        <v>29.81</v>
      </c>
    </row>
    <row r="9309" spans="1:7" x14ac:dyDescent="0.25">
      <c r="A9309" s="116" t="s">
        <v>14604</v>
      </c>
      <c r="B9309" s="117" t="s">
        <v>14605</v>
      </c>
      <c r="C9309" t="s">
        <v>67</v>
      </c>
      <c r="D9309" t="s">
        <v>67</v>
      </c>
      <c r="E9309" t="s">
        <v>67</v>
      </c>
      <c r="F9309" t="s">
        <v>49</v>
      </c>
      <c r="G9309" s="117">
        <v>2.23</v>
      </c>
    </row>
    <row r="9310" spans="1:7" x14ac:dyDescent="0.25">
      <c r="A9310" s="116" t="s">
        <v>14606</v>
      </c>
      <c r="B9310" s="117" t="s">
        <v>14607</v>
      </c>
      <c r="C9310" t="s">
        <v>67</v>
      </c>
      <c r="D9310" t="s">
        <v>67</v>
      </c>
      <c r="E9310" t="s">
        <v>67</v>
      </c>
      <c r="F9310" t="s">
        <v>45</v>
      </c>
      <c r="G9310" s="117">
        <v>20.92</v>
      </c>
    </row>
    <row r="9311" spans="1:7" x14ac:dyDescent="0.25">
      <c r="A9311" s="116" t="s">
        <v>14608</v>
      </c>
      <c r="B9311" s="117" t="s">
        <v>14609</v>
      </c>
      <c r="C9311" t="s">
        <v>67</v>
      </c>
      <c r="D9311" t="s">
        <v>67</v>
      </c>
      <c r="E9311" t="s">
        <v>67</v>
      </c>
      <c r="F9311" t="s">
        <v>27987</v>
      </c>
      <c r="G9311" s="117">
        <v>0.89</v>
      </c>
    </row>
    <row r="9312" spans="1:7" x14ac:dyDescent="0.25">
      <c r="A9312" s="116" t="s">
        <v>14610</v>
      </c>
      <c r="B9312" s="117" t="s">
        <v>14611</v>
      </c>
      <c r="C9312" t="s">
        <v>67</v>
      </c>
      <c r="D9312" t="s">
        <v>67</v>
      </c>
      <c r="E9312" t="s">
        <v>67</v>
      </c>
      <c r="F9312" t="s">
        <v>45</v>
      </c>
      <c r="G9312" s="117">
        <v>6.68</v>
      </c>
    </row>
    <row r="9313" spans="1:7" x14ac:dyDescent="0.25">
      <c r="A9313" s="116" t="s">
        <v>14612</v>
      </c>
      <c r="B9313" s="117" t="s">
        <v>14613</v>
      </c>
      <c r="C9313" t="s">
        <v>67</v>
      </c>
      <c r="D9313" t="s">
        <v>67</v>
      </c>
      <c r="E9313" t="s">
        <v>67</v>
      </c>
      <c r="F9313" t="s">
        <v>27987</v>
      </c>
      <c r="G9313" s="117">
        <v>54.19</v>
      </c>
    </row>
    <row r="9314" spans="1:7" x14ac:dyDescent="0.25">
      <c r="A9314" s="116" t="s">
        <v>14614</v>
      </c>
      <c r="B9314" s="117" t="s">
        <v>14615</v>
      </c>
      <c r="C9314" t="s">
        <v>67</v>
      </c>
      <c r="D9314" t="s">
        <v>67</v>
      </c>
      <c r="E9314" t="s">
        <v>67</v>
      </c>
      <c r="F9314" t="s">
        <v>27987</v>
      </c>
      <c r="G9314" s="117">
        <v>13.26</v>
      </c>
    </row>
    <row r="9315" spans="1:7" x14ac:dyDescent="0.25">
      <c r="A9315" s="116" t="s">
        <v>14616</v>
      </c>
      <c r="B9315" s="117" t="s">
        <v>14617</v>
      </c>
      <c r="C9315" t="s">
        <v>67</v>
      </c>
      <c r="D9315" t="s">
        <v>67</v>
      </c>
      <c r="E9315" t="s">
        <v>67</v>
      </c>
      <c r="F9315" t="s">
        <v>27987</v>
      </c>
      <c r="G9315" s="117">
        <v>6.14</v>
      </c>
    </row>
    <row r="9316" spans="1:7" x14ac:dyDescent="0.25">
      <c r="A9316" s="116" t="s">
        <v>14618</v>
      </c>
      <c r="B9316" s="117" t="s">
        <v>14617</v>
      </c>
      <c r="C9316" t="s">
        <v>67</v>
      </c>
      <c r="D9316" t="s">
        <v>67</v>
      </c>
      <c r="E9316" t="s">
        <v>67</v>
      </c>
      <c r="F9316" t="s">
        <v>27987</v>
      </c>
      <c r="G9316" s="117">
        <v>4.8899999999999997</v>
      </c>
    </row>
    <row r="9317" spans="1:7" x14ac:dyDescent="0.25">
      <c r="A9317" s="116" t="s">
        <v>14619</v>
      </c>
      <c r="B9317" s="117" t="s">
        <v>14620</v>
      </c>
      <c r="C9317" t="s">
        <v>67</v>
      </c>
      <c r="D9317" t="s">
        <v>67</v>
      </c>
      <c r="E9317" t="s">
        <v>67</v>
      </c>
      <c r="F9317" t="s">
        <v>27987</v>
      </c>
      <c r="G9317" s="117">
        <v>2.23</v>
      </c>
    </row>
    <row r="9318" spans="1:7" x14ac:dyDescent="0.25">
      <c r="A9318" s="116" t="s">
        <v>14621</v>
      </c>
      <c r="B9318" s="117" t="s">
        <v>14622</v>
      </c>
      <c r="C9318" t="s">
        <v>67</v>
      </c>
      <c r="D9318" t="s">
        <v>67</v>
      </c>
      <c r="E9318" t="s">
        <v>67</v>
      </c>
      <c r="F9318" t="s">
        <v>27987</v>
      </c>
      <c r="G9318" s="117">
        <v>1.69</v>
      </c>
    </row>
    <row r="9319" spans="1:7" x14ac:dyDescent="0.25">
      <c r="A9319" s="116" t="s">
        <v>14623</v>
      </c>
      <c r="B9319" s="117" t="s">
        <v>14624</v>
      </c>
      <c r="C9319" t="s">
        <v>67</v>
      </c>
      <c r="D9319" t="s">
        <v>67</v>
      </c>
      <c r="E9319" t="s">
        <v>67</v>
      </c>
      <c r="F9319" t="s">
        <v>27987</v>
      </c>
      <c r="G9319" s="117">
        <v>6.14</v>
      </c>
    </row>
    <row r="9320" spans="1:7" x14ac:dyDescent="0.25">
      <c r="A9320" s="116" t="s">
        <v>14625</v>
      </c>
      <c r="B9320" s="117" t="s">
        <v>10195</v>
      </c>
      <c r="C9320" t="s">
        <v>67</v>
      </c>
      <c r="D9320" t="s">
        <v>67</v>
      </c>
      <c r="E9320" t="s">
        <v>67</v>
      </c>
      <c r="F9320" t="s">
        <v>27987</v>
      </c>
      <c r="G9320" s="117">
        <v>0.8</v>
      </c>
    </row>
    <row r="9321" spans="1:7" x14ac:dyDescent="0.25">
      <c r="A9321" s="116" t="s">
        <v>14626</v>
      </c>
      <c r="B9321" s="117" t="s">
        <v>568</v>
      </c>
      <c r="C9321" t="s">
        <v>67</v>
      </c>
      <c r="D9321" t="s">
        <v>67</v>
      </c>
      <c r="E9321" t="s">
        <v>67</v>
      </c>
      <c r="F9321" t="s">
        <v>49</v>
      </c>
      <c r="G9321" s="117">
        <v>4.8899999999999997</v>
      </c>
    </row>
    <row r="9322" spans="1:7" x14ac:dyDescent="0.25">
      <c r="A9322" s="116" t="s">
        <v>14627</v>
      </c>
      <c r="B9322" s="117" t="s">
        <v>14628</v>
      </c>
      <c r="C9322" t="s">
        <v>67</v>
      </c>
      <c r="D9322" t="s">
        <v>67</v>
      </c>
      <c r="E9322" t="s">
        <v>67</v>
      </c>
      <c r="F9322" t="s">
        <v>27987</v>
      </c>
      <c r="G9322" s="117">
        <v>4.8899999999999997</v>
      </c>
    </row>
    <row r="9323" spans="1:7" x14ac:dyDescent="0.25">
      <c r="A9323" s="116" t="s">
        <v>14629</v>
      </c>
      <c r="B9323" s="117" t="s">
        <v>13761</v>
      </c>
      <c r="C9323" t="s">
        <v>67</v>
      </c>
      <c r="D9323" t="s">
        <v>67</v>
      </c>
      <c r="E9323" t="s">
        <v>67</v>
      </c>
      <c r="F9323" t="s">
        <v>27987</v>
      </c>
      <c r="G9323" s="117">
        <v>3.56</v>
      </c>
    </row>
    <row r="9324" spans="1:7" x14ac:dyDescent="0.25">
      <c r="A9324" s="116" t="s">
        <v>14630</v>
      </c>
      <c r="B9324" s="117" t="s">
        <v>10313</v>
      </c>
      <c r="C9324" t="s">
        <v>67</v>
      </c>
      <c r="D9324" t="s">
        <v>67</v>
      </c>
      <c r="E9324" t="s">
        <v>67</v>
      </c>
      <c r="F9324" t="s">
        <v>49</v>
      </c>
      <c r="G9324" s="117">
        <v>1.69</v>
      </c>
    </row>
    <row r="9325" spans="1:7" x14ac:dyDescent="0.25">
      <c r="A9325" s="116" t="s">
        <v>14631</v>
      </c>
      <c r="B9325" s="117" t="s">
        <v>11787</v>
      </c>
      <c r="C9325" t="s">
        <v>67</v>
      </c>
      <c r="D9325" t="s">
        <v>67</v>
      </c>
      <c r="E9325" t="s">
        <v>67</v>
      </c>
      <c r="F9325" t="s">
        <v>51</v>
      </c>
      <c r="G9325" s="117">
        <v>1.33</v>
      </c>
    </row>
    <row r="9326" spans="1:7" x14ac:dyDescent="0.25">
      <c r="A9326" s="116" t="s">
        <v>14632</v>
      </c>
      <c r="B9326" s="117" t="s">
        <v>14633</v>
      </c>
      <c r="C9326" t="s">
        <v>67</v>
      </c>
      <c r="D9326" t="s">
        <v>67</v>
      </c>
      <c r="E9326" t="s">
        <v>67</v>
      </c>
      <c r="F9326" t="s">
        <v>49</v>
      </c>
      <c r="G9326" s="117">
        <v>15.57</v>
      </c>
    </row>
    <row r="9327" spans="1:7" x14ac:dyDescent="0.25">
      <c r="A9327" s="116" t="s">
        <v>14634</v>
      </c>
      <c r="B9327" s="117" t="s">
        <v>14635</v>
      </c>
      <c r="C9327" t="s">
        <v>67</v>
      </c>
      <c r="D9327" t="s">
        <v>67</v>
      </c>
      <c r="E9327" t="s">
        <v>67</v>
      </c>
      <c r="F9327" t="s">
        <v>49</v>
      </c>
      <c r="G9327" s="117">
        <v>5.25</v>
      </c>
    </row>
    <row r="9328" spans="1:7" x14ac:dyDescent="0.25">
      <c r="A9328" s="116" t="s">
        <v>14636</v>
      </c>
      <c r="B9328" s="117" t="s">
        <v>14637</v>
      </c>
      <c r="C9328" t="s">
        <v>67</v>
      </c>
      <c r="D9328" t="s">
        <v>67</v>
      </c>
      <c r="E9328" t="s">
        <v>67</v>
      </c>
      <c r="F9328" t="s">
        <v>45</v>
      </c>
      <c r="G9328" s="117">
        <v>20.38</v>
      </c>
    </row>
    <row r="9329" spans="1:7" x14ac:dyDescent="0.25">
      <c r="A9329" s="116" t="s">
        <v>14638</v>
      </c>
      <c r="B9329" s="117" t="s">
        <v>14639</v>
      </c>
      <c r="C9329" t="s">
        <v>67</v>
      </c>
      <c r="D9329" t="s">
        <v>67</v>
      </c>
      <c r="E9329" t="s">
        <v>67</v>
      </c>
      <c r="F9329" t="s">
        <v>45</v>
      </c>
      <c r="G9329" s="117">
        <v>0.96</v>
      </c>
    </row>
    <row r="9330" spans="1:7" x14ac:dyDescent="0.25">
      <c r="A9330" s="116" t="s">
        <v>14640</v>
      </c>
      <c r="B9330" s="117" t="s">
        <v>14641</v>
      </c>
      <c r="C9330" t="s">
        <v>67</v>
      </c>
      <c r="D9330" t="s">
        <v>67</v>
      </c>
      <c r="E9330" t="s">
        <v>67</v>
      </c>
      <c r="F9330" t="s">
        <v>27987</v>
      </c>
      <c r="G9330" s="117">
        <v>0.44</v>
      </c>
    </row>
    <row r="9331" spans="1:7" x14ac:dyDescent="0.25">
      <c r="A9331" s="116" t="s">
        <v>14642</v>
      </c>
      <c r="B9331" s="117" t="s">
        <v>14643</v>
      </c>
      <c r="C9331" t="s">
        <v>67</v>
      </c>
      <c r="D9331" t="s">
        <v>67</v>
      </c>
      <c r="E9331" t="s">
        <v>67</v>
      </c>
      <c r="F9331" t="s">
        <v>27987</v>
      </c>
      <c r="G9331" s="117">
        <v>19.489999999999998</v>
      </c>
    </row>
    <row r="9332" spans="1:7" x14ac:dyDescent="0.25">
      <c r="A9332" s="116" t="s">
        <v>14644</v>
      </c>
      <c r="B9332" s="117" t="s">
        <v>14645</v>
      </c>
      <c r="C9332" t="s">
        <v>67</v>
      </c>
      <c r="D9332" t="s">
        <v>67</v>
      </c>
      <c r="E9332" t="s">
        <v>67</v>
      </c>
      <c r="F9332" t="s">
        <v>27987</v>
      </c>
      <c r="G9332" s="117">
        <v>44.4</v>
      </c>
    </row>
    <row r="9333" spans="1:7" x14ac:dyDescent="0.25">
      <c r="A9333" s="116" t="s">
        <v>14646</v>
      </c>
      <c r="B9333" s="117" t="s">
        <v>14647</v>
      </c>
      <c r="C9333" t="s">
        <v>67</v>
      </c>
      <c r="D9333" t="s">
        <v>67</v>
      </c>
      <c r="E9333" t="s">
        <v>67</v>
      </c>
      <c r="F9333" t="s">
        <v>49</v>
      </c>
      <c r="G9333" s="117">
        <v>6.69</v>
      </c>
    </row>
    <row r="9334" spans="1:7" x14ac:dyDescent="0.25">
      <c r="A9334" s="116" t="s">
        <v>14648</v>
      </c>
      <c r="B9334" s="117" t="s">
        <v>14647</v>
      </c>
      <c r="C9334" t="s">
        <v>67</v>
      </c>
      <c r="D9334" t="s">
        <v>67</v>
      </c>
      <c r="E9334" t="s">
        <v>67</v>
      </c>
      <c r="F9334" t="s">
        <v>49</v>
      </c>
      <c r="G9334" s="117">
        <v>6.69</v>
      </c>
    </row>
    <row r="9335" spans="1:7" x14ac:dyDescent="0.25">
      <c r="A9335" s="116" t="s">
        <v>14649</v>
      </c>
      <c r="B9335" s="117" t="s">
        <v>14650</v>
      </c>
      <c r="C9335" t="s">
        <v>67</v>
      </c>
      <c r="D9335" t="s">
        <v>67</v>
      </c>
      <c r="E9335" t="s">
        <v>67</v>
      </c>
      <c r="F9335" t="s">
        <v>27987</v>
      </c>
      <c r="G9335" s="117">
        <v>4.3600000000000003</v>
      </c>
    </row>
    <row r="9336" spans="1:7" x14ac:dyDescent="0.25">
      <c r="A9336" s="116" t="s">
        <v>14651</v>
      </c>
      <c r="B9336" s="117" t="s">
        <v>14652</v>
      </c>
      <c r="C9336" t="s">
        <v>67</v>
      </c>
      <c r="D9336" t="s">
        <v>67</v>
      </c>
      <c r="E9336" t="s">
        <v>67</v>
      </c>
      <c r="F9336" t="s">
        <v>27987</v>
      </c>
      <c r="G9336" s="117">
        <v>4.8899999999999997</v>
      </c>
    </row>
    <row r="9337" spans="1:7" x14ac:dyDescent="0.25">
      <c r="A9337" s="116" t="s">
        <v>14653</v>
      </c>
      <c r="B9337" s="117" t="s">
        <v>14654</v>
      </c>
      <c r="C9337" t="s">
        <v>67</v>
      </c>
      <c r="D9337" t="s">
        <v>67</v>
      </c>
      <c r="E9337" t="s">
        <v>67</v>
      </c>
      <c r="F9337" t="s">
        <v>49</v>
      </c>
      <c r="G9337" s="117">
        <v>2.58</v>
      </c>
    </row>
    <row r="9338" spans="1:7" x14ac:dyDescent="0.25">
      <c r="A9338" s="116" t="s">
        <v>14655</v>
      </c>
      <c r="B9338" s="117" t="s">
        <v>14656</v>
      </c>
      <c r="C9338" t="s">
        <v>67</v>
      </c>
      <c r="D9338" t="s">
        <v>67</v>
      </c>
      <c r="E9338" t="s">
        <v>67</v>
      </c>
      <c r="F9338" t="s">
        <v>45</v>
      </c>
      <c r="G9338" s="117">
        <v>48.5</v>
      </c>
    </row>
    <row r="9339" spans="1:7" x14ac:dyDescent="0.25">
      <c r="A9339" s="116" t="s">
        <v>14657</v>
      </c>
      <c r="B9339" s="117" t="s">
        <v>14658</v>
      </c>
      <c r="C9339" t="s">
        <v>67</v>
      </c>
      <c r="D9339" t="s">
        <v>67</v>
      </c>
      <c r="E9339" t="s">
        <v>67</v>
      </c>
      <c r="F9339" t="s">
        <v>27987</v>
      </c>
      <c r="G9339" s="117">
        <v>1.33</v>
      </c>
    </row>
    <row r="9340" spans="1:7" x14ac:dyDescent="0.25">
      <c r="A9340" s="116" t="s">
        <v>14659</v>
      </c>
      <c r="B9340" s="117" t="s">
        <v>14654</v>
      </c>
      <c r="C9340" t="s">
        <v>67</v>
      </c>
      <c r="D9340" t="s">
        <v>67</v>
      </c>
      <c r="E9340" t="s">
        <v>67</v>
      </c>
      <c r="F9340" t="s">
        <v>45</v>
      </c>
      <c r="G9340" s="117">
        <v>6.14</v>
      </c>
    </row>
    <row r="9341" spans="1:7" x14ac:dyDescent="0.25">
      <c r="A9341" s="116" t="s">
        <v>14660</v>
      </c>
      <c r="B9341" s="117" t="s">
        <v>12167</v>
      </c>
      <c r="C9341" t="s">
        <v>67</v>
      </c>
      <c r="D9341" t="s">
        <v>67</v>
      </c>
      <c r="E9341" t="s">
        <v>67</v>
      </c>
      <c r="F9341" t="s">
        <v>45</v>
      </c>
      <c r="G9341" s="117">
        <v>4</v>
      </c>
    </row>
    <row r="9342" spans="1:7" x14ac:dyDescent="0.25">
      <c r="A9342" s="116" t="s">
        <v>14661</v>
      </c>
      <c r="B9342" s="117" t="s">
        <v>14662</v>
      </c>
      <c r="C9342" t="s">
        <v>67</v>
      </c>
      <c r="D9342" t="s">
        <v>67</v>
      </c>
      <c r="E9342" t="s">
        <v>67</v>
      </c>
      <c r="F9342" t="s">
        <v>49</v>
      </c>
      <c r="G9342" s="117">
        <v>7.12</v>
      </c>
    </row>
    <row r="9343" spans="1:7" x14ac:dyDescent="0.25">
      <c r="A9343" s="116" t="s">
        <v>14663</v>
      </c>
      <c r="B9343" s="117" t="s">
        <v>14664</v>
      </c>
      <c r="C9343" t="s">
        <v>67</v>
      </c>
      <c r="D9343" t="s">
        <v>67</v>
      </c>
      <c r="E9343" t="s">
        <v>67</v>
      </c>
      <c r="F9343" t="s">
        <v>45</v>
      </c>
      <c r="G9343" s="117">
        <v>4.8899999999999997</v>
      </c>
    </row>
    <row r="9344" spans="1:7" x14ac:dyDescent="0.25">
      <c r="A9344" s="116" t="s">
        <v>14665</v>
      </c>
      <c r="B9344" s="117" t="s">
        <v>14666</v>
      </c>
      <c r="C9344" t="s">
        <v>67</v>
      </c>
      <c r="D9344" t="s">
        <v>67</v>
      </c>
      <c r="E9344" t="s">
        <v>67</v>
      </c>
      <c r="F9344" t="s">
        <v>45</v>
      </c>
      <c r="G9344" s="117">
        <v>3.56</v>
      </c>
    </row>
    <row r="9345" spans="1:7" x14ac:dyDescent="0.25">
      <c r="A9345" s="116" t="s">
        <v>14667</v>
      </c>
      <c r="B9345" s="117" t="s">
        <v>14668</v>
      </c>
      <c r="C9345" t="s">
        <v>67</v>
      </c>
      <c r="D9345" t="s">
        <v>67</v>
      </c>
      <c r="E9345" t="s">
        <v>67</v>
      </c>
      <c r="F9345" t="s">
        <v>45</v>
      </c>
      <c r="G9345" s="117">
        <v>1.33</v>
      </c>
    </row>
    <row r="9346" spans="1:7" x14ac:dyDescent="0.25">
      <c r="A9346" s="116" t="s">
        <v>14669</v>
      </c>
      <c r="B9346" s="117" t="s">
        <v>14670</v>
      </c>
      <c r="C9346" t="s">
        <v>67</v>
      </c>
      <c r="D9346" t="s">
        <v>67</v>
      </c>
      <c r="E9346" t="s">
        <v>67</v>
      </c>
      <c r="F9346" t="s">
        <v>49</v>
      </c>
      <c r="G9346" s="117">
        <v>4</v>
      </c>
    </row>
    <row r="9347" spans="1:7" x14ac:dyDescent="0.25">
      <c r="A9347" s="116" t="s">
        <v>14671</v>
      </c>
      <c r="B9347" s="117" t="s">
        <v>14672</v>
      </c>
      <c r="C9347" t="s">
        <v>67</v>
      </c>
      <c r="D9347" t="s">
        <v>67</v>
      </c>
      <c r="E9347" t="s">
        <v>67</v>
      </c>
      <c r="F9347" t="s">
        <v>45</v>
      </c>
      <c r="G9347" s="117">
        <v>52.06</v>
      </c>
    </row>
    <row r="9348" spans="1:7" x14ac:dyDescent="0.25">
      <c r="A9348" s="116" t="s">
        <v>14673</v>
      </c>
      <c r="B9348" s="117" t="s">
        <v>14674</v>
      </c>
      <c r="C9348" t="s">
        <v>67</v>
      </c>
      <c r="D9348" t="s">
        <v>67</v>
      </c>
      <c r="E9348" t="s">
        <v>67</v>
      </c>
      <c r="F9348" t="s">
        <v>27987</v>
      </c>
      <c r="G9348" s="117">
        <v>9.35</v>
      </c>
    </row>
    <row r="9349" spans="1:7" x14ac:dyDescent="0.25">
      <c r="A9349" s="116" t="s">
        <v>14675</v>
      </c>
      <c r="B9349" s="117" t="s">
        <v>29159</v>
      </c>
      <c r="C9349" t="s">
        <v>67</v>
      </c>
      <c r="D9349" t="s">
        <v>67</v>
      </c>
      <c r="E9349" t="s">
        <v>67</v>
      </c>
      <c r="F9349" t="s">
        <v>45</v>
      </c>
      <c r="G9349" s="117">
        <v>4.8899999999999997</v>
      </c>
    </row>
    <row r="9350" spans="1:7" x14ac:dyDescent="0.25">
      <c r="A9350" s="116" t="s">
        <v>14677</v>
      </c>
      <c r="B9350" s="117" t="s">
        <v>14678</v>
      </c>
      <c r="C9350" t="s">
        <v>67</v>
      </c>
      <c r="D9350" t="s">
        <v>67</v>
      </c>
      <c r="E9350" t="s">
        <v>67</v>
      </c>
      <c r="F9350" t="s">
        <v>49</v>
      </c>
      <c r="G9350" s="117">
        <v>3.56</v>
      </c>
    </row>
    <row r="9351" spans="1:7" x14ac:dyDescent="0.25">
      <c r="A9351" s="116" t="s">
        <v>14679</v>
      </c>
      <c r="B9351" s="117" t="s">
        <v>14680</v>
      </c>
      <c r="C9351" t="s">
        <v>67</v>
      </c>
      <c r="D9351" t="s">
        <v>67</v>
      </c>
      <c r="E9351" t="s">
        <v>67</v>
      </c>
      <c r="F9351" t="s">
        <v>45</v>
      </c>
      <c r="G9351" s="117">
        <v>2.58</v>
      </c>
    </row>
    <row r="9352" spans="1:7" x14ac:dyDescent="0.25">
      <c r="A9352" s="116" t="s">
        <v>14681</v>
      </c>
      <c r="B9352" s="117" t="s">
        <v>14682</v>
      </c>
      <c r="C9352" t="s">
        <v>67</v>
      </c>
      <c r="D9352" t="s">
        <v>67</v>
      </c>
      <c r="E9352" t="s">
        <v>67</v>
      </c>
      <c r="F9352" t="s">
        <v>45</v>
      </c>
      <c r="G9352" s="117">
        <v>1.77</v>
      </c>
    </row>
    <row r="9353" spans="1:7" x14ac:dyDescent="0.25">
      <c r="A9353" s="116" t="s">
        <v>14683</v>
      </c>
      <c r="B9353" s="117" t="s">
        <v>14684</v>
      </c>
      <c r="C9353" t="s">
        <v>67</v>
      </c>
      <c r="D9353" t="s">
        <v>67</v>
      </c>
      <c r="E9353" t="s">
        <v>67</v>
      </c>
      <c r="F9353" t="s">
        <v>27987</v>
      </c>
      <c r="G9353" s="117">
        <v>3.56</v>
      </c>
    </row>
    <row r="9354" spans="1:7" x14ac:dyDescent="0.25">
      <c r="A9354" s="116" t="s">
        <v>14685</v>
      </c>
      <c r="B9354" s="117" t="s">
        <v>14686</v>
      </c>
      <c r="C9354" t="s">
        <v>67</v>
      </c>
      <c r="D9354" t="s">
        <v>67</v>
      </c>
      <c r="E9354" t="s">
        <v>67</v>
      </c>
      <c r="F9354" t="s">
        <v>27987</v>
      </c>
      <c r="G9354" s="117">
        <v>6.14</v>
      </c>
    </row>
    <row r="9355" spans="1:7" x14ac:dyDescent="0.25">
      <c r="A9355" s="116" t="s">
        <v>14687</v>
      </c>
      <c r="B9355" s="117" t="s">
        <v>14676</v>
      </c>
      <c r="C9355" t="s">
        <v>67</v>
      </c>
      <c r="D9355" t="s">
        <v>67</v>
      </c>
      <c r="E9355" t="s">
        <v>67</v>
      </c>
      <c r="F9355" t="s">
        <v>45</v>
      </c>
      <c r="G9355" s="117">
        <v>6.68</v>
      </c>
    </row>
    <row r="9356" spans="1:7" x14ac:dyDescent="0.25">
      <c r="A9356" s="116" t="s">
        <v>14688</v>
      </c>
      <c r="B9356" s="117" t="s">
        <v>14689</v>
      </c>
      <c r="C9356" t="s">
        <v>67</v>
      </c>
      <c r="D9356" t="s">
        <v>67</v>
      </c>
      <c r="E9356" t="s">
        <v>67</v>
      </c>
      <c r="F9356" t="s">
        <v>45</v>
      </c>
      <c r="G9356" s="117">
        <v>3.56</v>
      </c>
    </row>
    <row r="9357" spans="1:7" x14ac:dyDescent="0.25">
      <c r="A9357" s="116" t="s">
        <v>14690</v>
      </c>
      <c r="B9357" s="117" t="s">
        <v>14691</v>
      </c>
      <c r="C9357" t="s">
        <v>67</v>
      </c>
      <c r="D9357" t="s">
        <v>67</v>
      </c>
      <c r="E9357" t="s">
        <v>67</v>
      </c>
      <c r="F9357" t="s">
        <v>45</v>
      </c>
      <c r="G9357" s="117">
        <v>3.56</v>
      </c>
    </row>
    <row r="9358" spans="1:7" x14ac:dyDescent="0.25">
      <c r="A9358" s="116" t="s">
        <v>14692</v>
      </c>
      <c r="B9358" s="117" t="s">
        <v>14693</v>
      </c>
      <c r="C9358" t="s">
        <v>67</v>
      </c>
      <c r="D9358" t="s">
        <v>67</v>
      </c>
      <c r="E9358" t="s">
        <v>67</v>
      </c>
      <c r="F9358" t="s">
        <v>45</v>
      </c>
      <c r="G9358" s="117">
        <v>6.14</v>
      </c>
    </row>
    <row r="9359" spans="1:7" x14ac:dyDescent="0.25">
      <c r="A9359" s="116" t="s">
        <v>14694</v>
      </c>
      <c r="B9359" s="117" t="s">
        <v>14695</v>
      </c>
      <c r="C9359" t="s">
        <v>67</v>
      </c>
      <c r="D9359" t="s">
        <v>67</v>
      </c>
      <c r="E9359" t="s">
        <v>67</v>
      </c>
      <c r="F9359" t="s">
        <v>27987</v>
      </c>
      <c r="G9359" s="117">
        <v>2.58</v>
      </c>
    </row>
    <row r="9360" spans="1:7" x14ac:dyDescent="0.25">
      <c r="A9360" s="116" t="s">
        <v>14696</v>
      </c>
      <c r="B9360" s="117" t="s">
        <v>14697</v>
      </c>
      <c r="C9360" t="s">
        <v>67</v>
      </c>
      <c r="D9360" t="s">
        <v>67</v>
      </c>
      <c r="E9360" t="s">
        <v>67</v>
      </c>
      <c r="F9360" t="s">
        <v>27987</v>
      </c>
      <c r="G9360" s="117">
        <v>6.14</v>
      </c>
    </row>
    <row r="9361" spans="1:7" x14ac:dyDescent="0.25">
      <c r="A9361" s="116" t="s">
        <v>14698</v>
      </c>
      <c r="B9361" s="117" t="s">
        <v>14699</v>
      </c>
      <c r="C9361" t="s">
        <v>67</v>
      </c>
      <c r="D9361" t="s">
        <v>67</v>
      </c>
      <c r="E9361" t="s">
        <v>67</v>
      </c>
      <c r="F9361" t="s">
        <v>45</v>
      </c>
      <c r="G9361" s="117">
        <v>20.38</v>
      </c>
    </row>
    <row r="9362" spans="1:7" x14ac:dyDescent="0.25">
      <c r="A9362" s="116" t="s">
        <v>14700</v>
      </c>
      <c r="B9362" s="117" t="s">
        <v>14701</v>
      </c>
      <c r="C9362" t="s">
        <v>67</v>
      </c>
      <c r="D9362" t="s">
        <v>67</v>
      </c>
      <c r="E9362" t="s">
        <v>67</v>
      </c>
      <c r="F9362" t="s">
        <v>45</v>
      </c>
      <c r="G9362" s="117">
        <v>6.14</v>
      </c>
    </row>
    <row r="9363" spans="1:7" x14ac:dyDescent="0.25">
      <c r="A9363" s="116" t="s">
        <v>14702</v>
      </c>
      <c r="B9363" s="117" t="s">
        <v>14703</v>
      </c>
      <c r="C9363" t="s">
        <v>67</v>
      </c>
      <c r="D9363" t="s">
        <v>67</v>
      </c>
      <c r="E9363" t="s">
        <v>67</v>
      </c>
      <c r="F9363" t="s">
        <v>45</v>
      </c>
      <c r="G9363" s="117">
        <v>5.25</v>
      </c>
    </row>
    <row r="9364" spans="1:7" x14ac:dyDescent="0.25">
      <c r="A9364" s="116" t="s">
        <v>14704</v>
      </c>
      <c r="B9364" s="117" t="s">
        <v>14705</v>
      </c>
      <c r="C9364" t="s">
        <v>67</v>
      </c>
      <c r="D9364" t="s">
        <v>67</v>
      </c>
      <c r="E9364" t="s">
        <v>67</v>
      </c>
      <c r="F9364" t="s">
        <v>49</v>
      </c>
      <c r="G9364" s="117">
        <v>2.58</v>
      </c>
    </row>
    <row r="9365" spans="1:7" x14ac:dyDescent="0.25">
      <c r="A9365" s="116" t="s">
        <v>14706</v>
      </c>
      <c r="B9365" s="117" t="s">
        <v>14707</v>
      </c>
      <c r="C9365" t="s">
        <v>67</v>
      </c>
      <c r="D9365" t="s">
        <v>67</v>
      </c>
      <c r="E9365" t="s">
        <v>67</v>
      </c>
      <c r="F9365" t="s">
        <v>45</v>
      </c>
      <c r="G9365" s="117">
        <v>2.64</v>
      </c>
    </row>
    <row r="9366" spans="1:7" x14ac:dyDescent="0.25">
      <c r="A9366" s="116" t="s">
        <v>14708</v>
      </c>
      <c r="B9366" s="117" t="s">
        <v>14709</v>
      </c>
      <c r="C9366" t="s">
        <v>67</v>
      </c>
      <c r="D9366" t="s">
        <v>67</v>
      </c>
      <c r="E9366" t="s">
        <v>67</v>
      </c>
      <c r="F9366" t="s">
        <v>45</v>
      </c>
      <c r="G9366" s="117">
        <v>3.52</v>
      </c>
    </row>
    <row r="9367" spans="1:7" x14ac:dyDescent="0.25">
      <c r="A9367" s="116" t="s">
        <v>14710</v>
      </c>
      <c r="B9367" s="117" t="s">
        <v>14711</v>
      </c>
      <c r="C9367" t="s">
        <v>67</v>
      </c>
      <c r="D9367" t="s">
        <v>67</v>
      </c>
      <c r="E9367" t="s">
        <v>67</v>
      </c>
      <c r="F9367" t="s">
        <v>45</v>
      </c>
      <c r="G9367" s="117">
        <v>5.52</v>
      </c>
    </row>
    <row r="9368" spans="1:7" x14ac:dyDescent="0.25">
      <c r="A9368" s="116" t="s">
        <v>14712</v>
      </c>
      <c r="B9368" s="117" t="s">
        <v>14713</v>
      </c>
      <c r="C9368" t="s">
        <v>67</v>
      </c>
      <c r="D9368" t="s">
        <v>67</v>
      </c>
      <c r="E9368" t="s">
        <v>67</v>
      </c>
      <c r="F9368" t="s">
        <v>27987</v>
      </c>
      <c r="G9368" s="117">
        <v>3.48</v>
      </c>
    </row>
    <row r="9369" spans="1:7" x14ac:dyDescent="0.25">
      <c r="A9369" s="116" t="s">
        <v>14714</v>
      </c>
      <c r="B9369" s="117" t="s">
        <v>14715</v>
      </c>
      <c r="C9369" t="s">
        <v>67</v>
      </c>
      <c r="D9369" t="s">
        <v>67</v>
      </c>
      <c r="E9369" t="s">
        <v>67</v>
      </c>
      <c r="F9369" t="s">
        <v>27987</v>
      </c>
      <c r="G9369" s="117">
        <v>51.17</v>
      </c>
    </row>
    <row r="9370" spans="1:7" x14ac:dyDescent="0.25">
      <c r="A9370" s="116" t="s">
        <v>14716</v>
      </c>
      <c r="B9370" s="117" t="s">
        <v>14717</v>
      </c>
      <c r="C9370" t="s">
        <v>67</v>
      </c>
      <c r="D9370" t="s">
        <v>67</v>
      </c>
      <c r="E9370" t="s">
        <v>67</v>
      </c>
      <c r="F9370" t="s">
        <v>27987</v>
      </c>
      <c r="G9370" s="117">
        <v>0.8</v>
      </c>
    </row>
    <row r="9371" spans="1:7" x14ac:dyDescent="0.25">
      <c r="A9371" s="116" t="s">
        <v>14718</v>
      </c>
      <c r="B9371" s="117" t="s">
        <v>10195</v>
      </c>
      <c r="C9371" t="s">
        <v>67</v>
      </c>
      <c r="D9371" t="s">
        <v>67</v>
      </c>
      <c r="E9371" t="s">
        <v>67</v>
      </c>
      <c r="F9371" t="s">
        <v>45</v>
      </c>
      <c r="G9371" s="117">
        <v>5.33</v>
      </c>
    </row>
    <row r="9372" spans="1:7" x14ac:dyDescent="0.25">
      <c r="A9372" s="116" t="s">
        <v>14719</v>
      </c>
      <c r="B9372" s="117" t="s">
        <v>14720</v>
      </c>
      <c r="C9372" t="s">
        <v>67</v>
      </c>
      <c r="D9372" t="s">
        <v>67</v>
      </c>
      <c r="E9372" t="s">
        <v>67</v>
      </c>
      <c r="F9372" t="s">
        <v>27987</v>
      </c>
      <c r="G9372" s="117">
        <v>7.92</v>
      </c>
    </row>
    <row r="9373" spans="1:7" x14ac:dyDescent="0.25">
      <c r="A9373" s="116" t="s">
        <v>14721</v>
      </c>
      <c r="B9373" s="117" t="s">
        <v>14722</v>
      </c>
      <c r="C9373" t="s">
        <v>67</v>
      </c>
      <c r="D9373" t="s">
        <v>67</v>
      </c>
      <c r="E9373" t="s">
        <v>67</v>
      </c>
      <c r="F9373" t="s">
        <v>27987</v>
      </c>
      <c r="G9373" s="117">
        <v>17.7</v>
      </c>
    </row>
    <row r="9374" spans="1:7" x14ac:dyDescent="0.25">
      <c r="A9374" s="116" t="s">
        <v>14723</v>
      </c>
      <c r="B9374" s="117" t="s">
        <v>14724</v>
      </c>
      <c r="C9374" t="s">
        <v>67</v>
      </c>
      <c r="D9374" t="s">
        <v>67</v>
      </c>
      <c r="E9374" t="s">
        <v>67</v>
      </c>
      <c r="F9374" t="s">
        <v>27987</v>
      </c>
      <c r="G9374" s="117">
        <v>224.14</v>
      </c>
    </row>
    <row r="9375" spans="1:7" x14ac:dyDescent="0.25">
      <c r="A9375" s="116" t="s">
        <v>14725</v>
      </c>
      <c r="B9375" s="117" t="s">
        <v>14726</v>
      </c>
      <c r="C9375" t="s">
        <v>67</v>
      </c>
      <c r="D9375" t="s">
        <v>67</v>
      </c>
      <c r="E9375" t="s">
        <v>67</v>
      </c>
      <c r="F9375" t="s">
        <v>27987</v>
      </c>
      <c r="G9375" s="117">
        <v>5.33</v>
      </c>
    </row>
    <row r="9376" spans="1:7" x14ac:dyDescent="0.25">
      <c r="A9376" s="116" t="s">
        <v>14727</v>
      </c>
      <c r="B9376" s="117" t="s">
        <v>14728</v>
      </c>
      <c r="C9376" t="s">
        <v>67</v>
      </c>
      <c r="D9376" t="s">
        <v>67</v>
      </c>
      <c r="E9376" t="s">
        <v>67</v>
      </c>
      <c r="F9376" t="s">
        <v>45</v>
      </c>
      <c r="G9376" s="117">
        <v>0</v>
      </c>
    </row>
    <row r="9377" spans="1:7" x14ac:dyDescent="0.25">
      <c r="A9377" s="116" t="s">
        <v>14729</v>
      </c>
      <c r="B9377" s="117" t="s">
        <v>14730</v>
      </c>
      <c r="C9377" t="s">
        <v>67</v>
      </c>
      <c r="D9377" t="s">
        <v>67</v>
      </c>
      <c r="E9377" t="s">
        <v>67</v>
      </c>
      <c r="F9377" t="s">
        <v>45</v>
      </c>
      <c r="G9377" s="117">
        <v>26.25</v>
      </c>
    </row>
    <row r="9378" spans="1:7" x14ac:dyDescent="0.25">
      <c r="A9378" s="116" t="s">
        <v>14731</v>
      </c>
      <c r="B9378" s="117" t="s">
        <v>14732</v>
      </c>
      <c r="C9378" t="s">
        <v>67</v>
      </c>
      <c r="D9378" t="s">
        <v>67</v>
      </c>
      <c r="E9378" t="s">
        <v>67</v>
      </c>
      <c r="F9378" t="s">
        <v>27987</v>
      </c>
      <c r="G9378" s="117">
        <v>14.14</v>
      </c>
    </row>
    <row r="9379" spans="1:7" x14ac:dyDescent="0.25">
      <c r="A9379" s="116" t="s">
        <v>14733</v>
      </c>
      <c r="B9379" s="117" t="s">
        <v>14734</v>
      </c>
      <c r="C9379" t="s">
        <v>67</v>
      </c>
      <c r="D9379" t="s">
        <v>67</v>
      </c>
      <c r="E9379" t="s">
        <v>67</v>
      </c>
      <c r="F9379" t="s">
        <v>27987</v>
      </c>
      <c r="G9379" s="117">
        <v>6.14</v>
      </c>
    </row>
    <row r="9380" spans="1:7" x14ac:dyDescent="0.25">
      <c r="A9380" s="116" t="s">
        <v>14735</v>
      </c>
      <c r="B9380" s="117" t="s">
        <v>14736</v>
      </c>
      <c r="C9380" t="s">
        <v>67</v>
      </c>
      <c r="D9380" t="s">
        <v>67</v>
      </c>
      <c r="E9380" t="s">
        <v>67</v>
      </c>
      <c r="F9380" t="s">
        <v>51</v>
      </c>
      <c r="G9380" s="117">
        <v>2.58</v>
      </c>
    </row>
    <row r="9381" spans="1:7" x14ac:dyDescent="0.25">
      <c r="A9381" s="116" t="s">
        <v>14737</v>
      </c>
      <c r="B9381" s="117" t="s">
        <v>14738</v>
      </c>
      <c r="C9381" t="s">
        <v>67</v>
      </c>
      <c r="D9381" t="s">
        <v>67</v>
      </c>
      <c r="E9381" t="s">
        <v>67</v>
      </c>
      <c r="F9381" t="s">
        <v>27987</v>
      </c>
      <c r="G9381" s="117">
        <v>2.58</v>
      </c>
    </row>
    <row r="9382" spans="1:7" x14ac:dyDescent="0.25">
      <c r="A9382" s="116" t="s">
        <v>14739</v>
      </c>
      <c r="B9382" s="117" t="s">
        <v>14740</v>
      </c>
      <c r="C9382" t="s">
        <v>67</v>
      </c>
      <c r="D9382" t="s">
        <v>67</v>
      </c>
      <c r="E9382" t="s">
        <v>67</v>
      </c>
      <c r="F9382" t="s">
        <v>27987</v>
      </c>
      <c r="G9382" s="117">
        <v>21.8</v>
      </c>
    </row>
    <row r="9383" spans="1:7" x14ac:dyDescent="0.25">
      <c r="A9383" s="116" t="s">
        <v>14741</v>
      </c>
      <c r="B9383" s="117" t="s">
        <v>14742</v>
      </c>
      <c r="C9383" t="s">
        <v>67</v>
      </c>
      <c r="D9383" t="s">
        <v>67</v>
      </c>
      <c r="E9383" t="s">
        <v>67</v>
      </c>
      <c r="F9383" t="s">
        <v>27987</v>
      </c>
      <c r="G9383" s="117">
        <v>7.12</v>
      </c>
    </row>
    <row r="9384" spans="1:7" x14ac:dyDescent="0.25">
      <c r="A9384" s="116" t="s">
        <v>14743</v>
      </c>
      <c r="B9384" s="117" t="s">
        <v>14744</v>
      </c>
      <c r="C9384" t="s">
        <v>67</v>
      </c>
      <c r="D9384" t="s">
        <v>67</v>
      </c>
      <c r="E9384" t="s">
        <v>67</v>
      </c>
      <c r="F9384" t="s">
        <v>27987</v>
      </c>
      <c r="G9384" s="117">
        <v>2.12</v>
      </c>
    </row>
    <row r="9385" spans="1:7" x14ac:dyDescent="0.25">
      <c r="A9385" s="116" t="s">
        <v>14745</v>
      </c>
      <c r="B9385" s="117" t="s">
        <v>14652</v>
      </c>
      <c r="C9385" t="s">
        <v>67</v>
      </c>
      <c r="D9385" t="s">
        <v>67</v>
      </c>
      <c r="E9385" t="s">
        <v>67</v>
      </c>
      <c r="F9385" t="s">
        <v>45</v>
      </c>
      <c r="G9385" s="117">
        <v>12.01</v>
      </c>
    </row>
    <row r="9386" spans="1:7" x14ac:dyDescent="0.25">
      <c r="A9386" s="116" t="s">
        <v>14746</v>
      </c>
      <c r="B9386" s="117" t="s">
        <v>14747</v>
      </c>
      <c r="C9386" t="s">
        <v>67</v>
      </c>
      <c r="D9386" t="s">
        <v>67</v>
      </c>
      <c r="E9386" t="s">
        <v>67</v>
      </c>
      <c r="F9386" t="s">
        <v>27987</v>
      </c>
      <c r="G9386" s="117">
        <v>2.58</v>
      </c>
    </row>
    <row r="9387" spans="1:7" x14ac:dyDescent="0.25">
      <c r="A9387" s="116" t="s">
        <v>14748</v>
      </c>
      <c r="B9387" s="117" t="s">
        <v>14749</v>
      </c>
      <c r="C9387" t="s">
        <v>67</v>
      </c>
      <c r="D9387" t="s">
        <v>67</v>
      </c>
      <c r="E9387" t="s">
        <v>67</v>
      </c>
      <c r="F9387" t="s">
        <v>27987</v>
      </c>
      <c r="G9387" s="117">
        <v>4.8899999999999997</v>
      </c>
    </row>
    <row r="9388" spans="1:7" x14ac:dyDescent="0.25">
      <c r="A9388" s="116" t="s">
        <v>14750</v>
      </c>
      <c r="B9388" s="117" t="s">
        <v>14751</v>
      </c>
      <c r="C9388" t="s">
        <v>67</v>
      </c>
      <c r="D9388" t="s">
        <v>67</v>
      </c>
      <c r="E9388" t="s">
        <v>67</v>
      </c>
      <c r="F9388" t="s">
        <v>27987</v>
      </c>
      <c r="G9388" s="117">
        <v>14.14</v>
      </c>
    </row>
    <row r="9389" spans="1:7" x14ac:dyDescent="0.25">
      <c r="A9389" s="116" t="s">
        <v>14752</v>
      </c>
      <c r="B9389" s="117" t="s">
        <v>14753</v>
      </c>
      <c r="C9389" t="s">
        <v>67</v>
      </c>
      <c r="D9389" t="s">
        <v>67</v>
      </c>
      <c r="E9389" t="s">
        <v>67</v>
      </c>
      <c r="F9389" t="s">
        <v>27987</v>
      </c>
      <c r="G9389" s="117">
        <v>3.56</v>
      </c>
    </row>
    <row r="9390" spans="1:7" x14ac:dyDescent="0.25">
      <c r="A9390" s="116" t="s">
        <v>14754</v>
      </c>
      <c r="B9390" s="117" t="s">
        <v>5573</v>
      </c>
      <c r="C9390" t="s">
        <v>67</v>
      </c>
      <c r="D9390" t="s">
        <v>67</v>
      </c>
      <c r="E9390" t="s">
        <v>67</v>
      </c>
      <c r="F9390" t="s">
        <v>49</v>
      </c>
      <c r="G9390" s="117">
        <v>1.33</v>
      </c>
    </row>
    <row r="9391" spans="1:7" x14ac:dyDescent="0.25">
      <c r="A9391" s="116" t="s">
        <v>14755</v>
      </c>
      <c r="B9391" s="117" t="s">
        <v>14756</v>
      </c>
      <c r="C9391" t="s">
        <v>67</v>
      </c>
      <c r="D9391" t="s">
        <v>67</v>
      </c>
      <c r="E9391" t="s">
        <v>67</v>
      </c>
      <c r="F9391" t="s">
        <v>45</v>
      </c>
      <c r="G9391" s="117">
        <v>23.94</v>
      </c>
    </row>
    <row r="9392" spans="1:7" x14ac:dyDescent="0.25">
      <c r="A9392" s="116" t="s">
        <v>14757</v>
      </c>
      <c r="B9392" s="117" t="s">
        <v>14758</v>
      </c>
      <c r="C9392" t="s">
        <v>67</v>
      </c>
      <c r="D9392" t="s">
        <v>67</v>
      </c>
      <c r="E9392" t="s">
        <v>67</v>
      </c>
      <c r="F9392" t="s">
        <v>27987</v>
      </c>
      <c r="G9392" s="117">
        <v>2.58</v>
      </c>
    </row>
    <row r="9393" spans="1:7" x14ac:dyDescent="0.25">
      <c r="A9393" s="116" t="s">
        <v>14759</v>
      </c>
      <c r="B9393" s="117" t="s">
        <v>14760</v>
      </c>
      <c r="C9393" t="s">
        <v>67</v>
      </c>
      <c r="D9393" t="s">
        <v>67</v>
      </c>
      <c r="E9393" t="s">
        <v>67</v>
      </c>
      <c r="F9393" t="s">
        <v>49</v>
      </c>
      <c r="G9393" s="117">
        <v>4.8899999999999997</v>
      </c>
    </row>
    <row r="9394" spans="1:7" x14ac:dyDescent="0.25">
      <c r="A9394" s="116" t="s">
        <v>14761</v>
      </c>
      <c r="B9394" s="117" t="s">
        <v>14760</v>
      </c>
      <c r="C9394" t="s">
        <v>67</v>
      </c>
      <c r="D9394" t="s">
        <v>67</v>
      </c>
      <c r="E9394" t="s">
        <v>67</v>
      </c>
      <c r="F9394" t="s">
        <v>45</v>
      </c>
      <c r="G9394" s="117">
        <v>5.25</v>
      </c>
    </row>
    <row r="9395" spans="1:7" x14ac:dyDescent="0.25">
      <c r="A9395" s="116" t="s">
        <v>14762</v>
      </c>
      <c r="B9395" s="117" t="s">
        <v>14763</v>
      </c>
      <c r="C9395" t="s">
        <v>67</v>
      </c>
      <c r="D9395" t="s">
        <v>67</v>
      </c>
      <c r="E9395" t="s">
        <v>67</v>
      </c>
      <c r="F9395" t="s">
        <v>49</v>
      </c>
      <c r="G9395" s="117">
        <v>4.8899999999999997</v>
      </c>
    </row>
    <row r="9396" spans="1:7" x14ac:dyDescent="0.25">
      <c r="A9396" s="116" t="s">
        <v>14764</v>
      </c>
      <c r="B9396" s="117" t="s">
        <v>14765</v>
      </c>
      <c r="C9396" t="s">
        <v>67</v>
      </c>
      <c r="D9396" t="s">
        <v>67</v>
      </c>
      <c r="E9396" t="s">
        <v>67</v>
      </c>
      <c r="F9396" t="s">
        <v>49</v>
      </c>
      <c r="G9396" s="117">
        <v>1.69</v>
      </c>
    </row>
    <row r="9397" spans="1:7" x14ac:dyDescent="0.25">
      <c r="A9397" s="116" t="s">
        <v>14766</v>
      </c>
      <c r="B9397" s="117" t="s">
        <v>14767</v>
      </c>
      <c r="C9397" t="s">
        <v>67</v>
      </c>
      <c r="D9397" t="s">
        <v>67</v>
      </c>
      <c r="E9397" t="s">
        <v>67</v>
      </c>
      <c r="F9397" t="s">
        <v>49</v>
      </c>
      <c r="G9397" s="117">
        <v>15.57</v>
      </c>
    </row>
    <row r="9398" spans="1:7" x14ac:dyDescent="0.25">
      <c r="A9398" s="116" t="s">
        <v>14768</v>
      </c>
      <c r="B9398" s="117" t="s">
        <v>14769</v>
      </c>
      <c r="C9398" t="s">
        <v>67</v>
      </c>
      <c r="D9398" t="s">
        <v>67</v>
      </c>
      <c r="E9398" t="s">
        <v>67</v>
      </c>
      <c r="F9398" t="s">
        <v>27987</v>
      </c>
      <c r="G9398" s="117">
        <v>2.58</v>
      </c>
    </row>
    <row r="9399" spans="1:7" x14ac:dyDescent="0.25">
      <c r="A9399" s="116" t="s">
        <v>14770</v>
      </c>
      <c r="B9399" s="117" t="s">
        <v>14771</v>
      </c>
      <c r="C9399" t="s">
        <v>67</v>
      </c>
      <c r="D9399" t="s">
        <v>67</v>
      </c>
      <c r="E9399" t="s">
        <v>67</v>
      </c>
      <c r="F9399" t="s">
        <v>27987</v>
      </c>
      <c r="G9399" s="117">
        <v>3.56</v>
      </c>
    </row>
    <row r="9400" spans="1:7" x14ac:dyDescent="0.25">
      <c r="A9400" s="116" t="s">
        <v>14772</v>
      </c>
      <c r="B9400" s="117" t="s">
        <v>14773</v>
      </c>
      <c r="C9400" t="s">
        <v>67</v>
      </c>
      <c r="D9400" t="s">
        <v>67</v>
      </c>
      <c r="E9400" t="s">
        <v>67</v>
      </c>
      <c r="F9400" t="s">
        <v>27987</v>
      </c>
      <c r="G9400" s="117">
        <v>3.56</v>
      </c>
    </row>
    <row r="9401" spans="1:7" x14ac:dyDescent="0.25">
      <c r="A9401" s="116" t="s">
        <v>14774</v>
      </c>
      <c r="B9401" s="117" t="s">
        <v>14652</v>
      </c>
      <c r="C9401" t="s">
        <v>67</v>
      </c>
      <c r="D9401" t="s">
        <v>67</v>
      </c>
      <c r="E9401" t="s">
        <v>67</v>
      </c>
      <c r="F9401" t="s">
        <v>45</v>
      </c>
      <c r="G9401" s="117">
        <v>1.33</v>
      </c>
    </row>
    <row r="9402" spans="1:7" x14ac:dyDescent="0.25">
      <c r="A9402" s="116" t="s">
        <v>30751</v>
      </c>
      <c r="B9402" s="117" t="s">
        <v>30752</v>
      </c>
      <c r="C9402" t="s">
        <v>67</v>
      </c>
      <c r="D9402" t="s">
        <v>67</v>
      </c>
      <c r="E9402" t="s">
        <v>67</v>
      </c>
      <c r="F9402" t="s">
        <v>45</v>
      </c>
      <c r="G9402" s="117">
        <v>2.5</v>
      </c>
    </row>
    <row r="9403" spans="1:7" x14ac:dyDescent="0.25">
      <c r="A9403" s="116" t="s">
        <v>14775</v>
      </c>
      <c r="B9403" s="117" t="s">
        <v>14776</v>
      </c>
      <c r="C9403" t="s">
        <v>67</v>
      </c>
      <c r="D9403" t="s">
        <v>67</v>
      </c>
      <c r="E9403" t="s">
        <v>67</v>
      </c>
      <c r="F9403" t="s">
        <v>45</v>
      </c>
      <c r="G9403" s="117">
        <v>0.8</v>
      </c>
    </row>
    <row r="9404" spans="1:7" x14ac:dyDescent="0.25">
      <c r="A9404" s="116" t="s">
        <v>14777</v>
      </c>
      <c r="B9404" s="117" t="s">
        <v>14778</v>
      </c>
      <c r="C9404" t="s">
        <v>67</v>
      </c>
      <c r="D9404" t="s">
        <v>67</v>
      </c>
      <c r="E9404" t="s">
        <v>67</v>
      </c>
      <c r="F9404" t="s">
        <v>45</v>
      </c>
      <c r="G9404" s="117">
        <v>1.33</v>
      </c>
    </row>
    <row r="9405" spans="1:7" x14ac:dyDescent="0.25">
      <c r="A9405" s="116" t="s">
        <v>14779</v>
      </c>
      <c r="B9405" s="117" t="s">
        <v>14780</v>
      </c>
      <c r="C9405" t="s">
        <v>67</v>
      </c>
      <c r="D9405" t="s">
        <v>67</v>
      </c>
      <c r="E9405" t="s">
        <v>67</v>
      </c>
      <c r="F9405" t="s">
        <v>27987</v>
      </c>
      <c r="G9405" s="117">
        <v>4.8899999999999997</v>
      </c>
    </row>
    <row r="9406" spans="1:7" x14ac:dyDescent="0.25">
      <c r="A9406" s="116" t="s">
        <v>14781</v>
      </c>
      <c r="B9406" s="117" t="s">
        <v>14782</v>
      </c>
      <c r="C9406" t="s">
        <v>67</v>
      </c>
      <c r="D9406" t="s">
        <v>67</v>
      </c>
      <c r="E9406" t="s">
        <v>67</v>
      </c>
      <c r="F9406" t="s">
        <v>27987</v>
      </c>
      <c r="G9406" s="117">
        <v>2.58</v>
      </c>
    </row>
    <row r="9407" spans="1:7" x14ac:dyDescent="0.25">
      <c r="A9407" s="116" t="s">
        <v>14783</v>
      </c>
      <c r="B9407" s="117" t="s">
        <v>14784</v>
      </c>
      <c r="C9407" t="s">
        <v>67</v>
      </c>
      <c r="D9407" t="s">
        <v>67</v>
      </c>
      <c r="E9407" t="s">
        <v>67</v>
      </c>
      <c r="F9407" t="s">
        <v>27987</v>
      </c>
      <c r="G9407" s="117">
        <v>3.56</v>
      </c>
    </row>
    <row r="9408" spans="1:7" x14ac:dyDescent="0.25">
      <c r="A9408" s="116" t="s">
        <v>14785</v>
      </c>
      <c r="B9408" s="117" t="s">
        <v>14786</v>
      </c>
      <c r="C9408" t="s">
        <v>67</v>
      </c>
      <c r="D9408" t="s">
        <v>67</v>
      </c>
      <c r="E9408" t="s">
        <v>67</v>
      </c>
      <c r="F9408" t="s">
        <v>27987</v>
      </c>
      <c r="G9408" s="117">
        <v>3.56</v>
      </c>
    </row>
    <row r="9409" spans="1:7" x14ac:dyDescent="0.25">
      <c r="A9409" s="116" t="s">
        <v>14787</v>
      </c>
      <c r="B9409" s="117" t="s">
        <v>14788</v>
      </c>
      <c r="C9409" t="s">
        <v>67</v>
      </c>
      <c r="D9409" t="s">
        <v>67</v>
      </c>
      <c r="E9409" t="s">
        <v>67</v>
      </c>
      <c r="F9409" t="s">
        <v>27987</v>
      </c>
      <c r="G9409" s="117">
        <v>14.14</v>
      </c>
    </row>
    <row r="9410" spans="1:7" x14ac:dyDescent="0.25">
      <c r="A9410" s="116" t="s">
        <v>14789</v>
      </c>
      <c r="B9410" s="117" t="s">
        <v>14790</v>
      </c>
      <c r="C9410" t="s">
        <v>67</v>
      </c>
      <c r="D9410" t="s">
        <v>67</v>
      </c>
      <c r="E9410" t="s">
        <v>67</v>
      </c>
      <c r="F9410" t="s">
        <v>27987</v>
      </c>
      <c r="G9410" s="117">
        <v>14.14</v>
      </c>
    </row>
    <row r="9411" spans="1:7" x14ac:dyDescent="0.25">
      <c r="A9411" s="116" t="s">
        <v>14791</v>
      </c>
      <c r="B9411" s="117" t="s">
        <v>14792</v>
      </c>
      <c r="C9411" t="s">
        <v>67</v>
      </c>
      <c r="D9411" t="s">
        <v>67</v>
      </c>
      <c r="E9411" t="s">
        <v>67</v>
      </c>
      <c r="F9411" t="s">
        <v>27987</v>
      </c>
      <c r="G9411" s="117">
        <v>3.56</v>
      </c>
    </row>
    <row r="9412" spans="1:7" x14ac:dyDescent="0.25">
      <c r="A9412" s="116" t="s">
        <v>14793</v>
      </c>
      <c r="B9412" s="117" t="s">
        <v>14794</v>
      </c>
      <c r="C9412" t="s">
        <v>67</v>
      </c>
      <c r="D9412" t="s">
        <v>67</v>
      </c>
      <c r="E9412" t="s">
        <v>67</v>
      </c>
      <c r="F9412" t="s">
        <v>49</v>
      </c>
      <c r="G9412" s="117">
        <v>2.58</v>
      </c>
    </row>
    <row r="9413" spans="1:7" x14ac:dyDescent="0.25">
      <c r="A9413" s="116" t="s">
        <v>14795</v>
      </c>
      <c r="B9413" s="117" t="s">
        <v>14796</v>
      </c>
      <c r="C9413" t="s">
        <v>67</v>
      </c>
      <c r="D9413" t="s">
        <v>67</v>
      </c>
      <c r="E9413" t="s">
        <v>67</v>
      </c>
      <c r="F9413" t="s">
        <v>27987</v>
      </c>
      <c r="G9413" s="117">
        <v>1.69</v>
      </c>
    </row>
    <row r="9414" spans="1:7" x14ac:dyDescent="0.25">
      <c r="A9414" s="116" t="s">
        <v>14797</v>
      </c>
      <c r="B9414" s="117" t="s">
        <v>14798</v>
      </c>
      <c r="C9414" t="s">
        <v>67</v>
      </c>
      <c r="D9414" t="s">
        <v>67</v>
      </c>
      <c r="E9414" t="s">
        <v>67</v>
      </c>
      <c r="F9414" t="s">
        <v>27987</v>
      </c>
      <c r="G9414" s="117">
        <v>14.14</v>
      </c>
    </row>
    <row r="9415" spans="1:7" x14ac:dyDescent="0.25">
      <c r="A9415" s="116" t="s">
        <v>14799</v>
      </c>
      <c r="B9415" s="117" t="s">
        <v>14800</v>
      </c>
      <c r="C9415" t="s">
        <v>67</v>
      </c>
      <c r="D9415" t="s">
        <v>67</v>
      </c>
      <c r="E9415" t="s">
        <v>67</v>
      </c>
      <c r="F9415" t="s">
        <v>27987</v>
      </c>
      <c r="G9415" s="117">
        <v>14.14</v>
      </c>
    </row>
    <row r="9416" spans="1:7" x14ac:dyDescent="0.25">
      <c r="A9416" s="116" t="s">
        <v>26807</v>
      </c>
      <c r="B9416" s="117" t="s">
        <v>12947</v>
      </c>
      <c r="C9416" t="s">
        <v>67</v>
      </c>
      <c r="D9416" t="s">
        <v>67</v>
      </c>
      <c r="E9416" t="s">
        <v>67</v>
      </c>
      <c r="F9416" t="s">
        <v>27987</v>
      </c>
      <c r="G9416" s="117">
        <v>2.79</v>
      </c>
    </row>
    <row r="9417" spans="1:7" x14ac:dyDescent="0.25">
      <c r="A9417" s="116" t="s">
        <v>14801</v>
      </c>
      <c r="B9417" s="117" t="s">
        <v>14802</v>
      </c>
      <c r="C9417" t="s">
        <v>67</v>
      </c>
      <c r="D9417" t="s">
        <v>67</v>
      </c>
      <c r="E9417" t="s">
        <v>67</v>
      </c>
      <c r="F9417" t="s">
        <v>27987</v>
      </c>
      <c r="G9417" s="117">
        <v>3.12</v>
      </c>
    </row>
    <row r="9418" spans="1:7" x14ac:dyDescent="0.25">
      <c r="A9418" s="116" t="s">
        <v>14803</v>
      </c>
      <c r="B9418" s="117" t="s">
        <v>14804</v>
      </c>
      <c r="C9418" t="s">
        <v>67</v>
      </c>
      <c r="D9418" t="s">
        <v>67</v>
      </c>
      <c r="E9418" t="s">
        <v>67</v>
      </c>
      <c r="F9418" t="s">
        <v>27987</v>
      </c>
      <c r="G9418" s="117">
        <v>3.56</v>
      </c>
    </row>
    <row r="9419" spans="1:7" x14ac:dyDescent="0.25">
      <c r="A9419" s="116" t="s">
        <v>14805</v>
      </c>
      <c r="B9419" s="117" t="s">
        <v>14806</v>
      </c>
      <c r="C9419" t="s">
        <v>67</v>
      </c>
      <c r="D9419" t="s">
        <v>67</v>
      </c>
      <c r="E9419" t="s">
        <v>67</v>
      </c>
      <c r="F9419" t="s">
        <v>27987</v>
      </c>
      <c r="G9419" s="117">
        <v>3.56</v>
      </c>
    </row>
    <row r="9420" spans="1:7" x14ac:dyDescent="0.25">
      <c r="A9420" s="116" t="s">
        <v>14807</v>
      </c>
      <c r="B9420" s="117" t="s">
        <v>14808</v>
      </c>
      <c r="C9420" t="s">
        <v>67</v>
      </c>
      <c r="D9420" t="s">
        <v>67</v>
      </c>
      <c r="E9420" t="s">
        <v>67</v>
      </c>
      <c r="F9420" t="s">
        <v>49</v>
      </c>
      <c r="G9420" s="117">
        <v>8</v>
      </c>
    </row>
    <row r="9421" spans="1:7" x14ac:dyDescent="0.25">
      <c r="A9421" s="116" t="s">
        <v>14809</v>
      </c>
      <c r="B9421" s="117" t="s">
        <v>14810</v>
      </c>
      <c r="C9421" t="s">
        <v>67</v>
      </c>
      <c r="D9421" t="s">
        <v>67</v>
      </c>
      <c r="E9421" t="s">
        <v>67</v>
      </c>
      <c r="F9421" t="s">
        <v>27987</v>
      </c>
      <c r="G9421" s="117">
        <v>5.25</v>
      </c>
    </row>
    <row r="9422" spans="1:7" x14ac:dyDescent="0.25">
      <c r="A9422" s="116" t="s">
        <v>14811</v>
      </c>
      <c r="B9422" s="117" t="s">
        <v>2342</v>
      </c>
      <c r="C9422" t="s">
        <v>67</v>
      </c>
      <c r="D9422" t="s">
        <v>67</v>
      </c>
      <c r="E9422" t="s">
        <v>67</v>
      </c>
      <c r="F9422" t="s">
        <v>27987</v>
      </c>
      <c r="G9422" s="117">
        <v>1.33</v>
      </c>
    </row>
    <row r="9423" spans="1:7" x14ac:dyDescent="0.25">
      <c r="A9423" s="116" t="s">
        <v>14812</v>
      </c>
      <c r="B9423" s="117" t="s">
        <v>14813</v>
      </c>
      <c r="C9423" t="s">
        <v>67</v>
      </c>
      <c r="D9423" t="s">
        <v>67</v>
      </c>
      <c r="E9423" t="s">
        <v>67</v>
      </c>
      <c r="F9423" t="s">
        <v>27987</v>
      </c>
      <c r="G9423" s="117">
        <v>5.33</v>
      </c>
    </row>
    <row r="9424" spans="1:7" x14ac:dyDescent="0.25">
      <c r="A9424" s="116" t="s">
        <v>14814</v>
      </c>
      <c r="B9424" s="117" t="s">
        <v>14815</v>
      </c>
      <c r="C9424" t="s">
        <v>67</v>
      </c>
      <c r="D9424" t="s">
        <v>67</v>
      </c>
      <c r="E9424" t="s">
        <v>67</v>
      </c>
      <c r="F9424" t="s">
        <v>27987</v>
      </c>
      <c r="G9424" s="117">
        <v>2.23</v>
      </c>
    </row>
    <row r="9425" spans="1:7" x14ac:dyDescent="0.25">
      <c r="A9425" s="116" t="s">
        <v>14816</v>
      </c>
      <c r="B9425" s="117" t="s">
        <v>14817</v>
      </c>
      <c r="C9425" t="s">
        <v>67</v>
      </c>
      <c r="D9425" t="s">
        <v>67</v>
      </c>
      <c r="E9425" t="s">
        <v>67</v>
      </c>
      <c r="F9425" t="s">
        <v>27987</v>
      </c>
      <c r="G9425" s="117">
        <v>1.69</v>
      </c>
    </row>
    <row r="9426" spans="1:7" x14ac:dyDescent="0.25">
      <c r="A9426" s="116" t="s">
        <v>14818</v>
      </c>
      <c r="B9426" s="117" t="s">
        <v>14819</v>
      </c>
      <c r="C9426" t="s">
        <v>67</v>
      </c>
      <c r="D9426" t="s">
        <v>67</v>
      </c>
      <c r="E9426" t="s">
        <v>67</v>
      </c>
      <c r="F9426" t="s">
        <v>45</v>
      </c>
      <c r="G9426" s="117">
        <v>1.33</v>
      </c>
    </row>
    <row r="9427" spans="1:7" x14ac:dyDescent="0.25">
      <c r="A9427" s="116" t="s">
        <v>14820</v>
      </c>
      <c r="B9427" s="117" t="s">
        <v>14821</v>
      </c>
      <c r="C9427" t="s">
        <v>67</v>
      </c>
      <c r="D9427" t="s">
        <v>67</v>
      </c>
      <c r="E9427" t="s">
        <v>67</v>
      </c>
      <c r="F9427" t="s">
        <v>27990</v>
      </c>
      <c r="G9427" s="117">
        <v>2.23</v>
      </c>
    </row>
    <row r="9428" spans="1:7" x14ac:dyDescent="0.25">
      <c r="A9428" s="116" t="s">
        <v>14822</v>
      </c>
      <c r="B9428" s="117" t="s">
        <v>14823</v>
      </c>
      <c r="C9428" t="s">
        <v>67</v>
      </c>
      <c r="D9428" t="s">
        <v>67</v>
      </c>
      <c r="E9428" t="s">
        <v>67</v>
      </c>
      <c r="F9428" t="s">
        <v>27987</v>
      </c>
      <c r="G9428" s="117">
        <v>3.48</v>
      </c>
    </row>
    <row r="9429" spans="1:7" x14ac:dyDescent="0.25">
      <c r="A9429" s="116" t="s">
        <v>14824</v>
      </c>
      <c r="B9429" s="117" t="s">
        <v>14825</v>
      </c>
      <c r="C9429" t="s">
        <v>67</v>
      </c>
      <c r="D9429" t="s">
        <v>67</v>
      </c>
      <c r="E9429" t="s">
        <v>67</v>
      </c>
      <c r="F9429" t="s">
        <v>45</v>
      </c>
      <c r="G9429" s="117">
        <v>29.81</v>
      </c>
    </row>
    <row r="9430" spans="1:7" x14ac:dyDescent="0.25">
      <c r="A9430" s="116" t="s">
        <v>14826</v>
      </c>
      <c r="B9430" s="117" t="s">
        <v>14827</v>
      </c>
      <c r="C9430" t="s">
        <v>67</v>
      </c>
      <c r="D9430" t="s">
        <v>67</v>
      </c>
      <c r="E9430" t="s">
        <v>67</v>
      </c>
      <c r="F9430" t="s">
        <v>27987</v>
      </c>
      <c r="G9430" s="117">
        <v>29.81</v>
      </c>
    </row>
    <row r="9431" spans="1:7" x14ac:dyDescent="0.25">
      <c r="A9431" s="116" t="s">
        <v>14828</v>
      </c>
      <c r="B9431" s="117" t="s">
        <v>14829</v>
      </c>
      <c r="C9431" t="s">
        <v>67</v>
      </c>
      <c r="D9431" t="s">
        <v>67</v>
      </c>
      <c r="E9431" t="s">
        <v>67</v>
      </c>
      <c r="F9431" t="s">
        <v>27987</v>
      </c>
      <c r="G9431" s="117">
        <v>20.02</v>
      </c>
    </row>
    <row r="9432" spans="1:7" x14ac:dyDescent="0.25">
      <c r="A9432" s="116" t="s">
        <v>14830</v>
      </c>
      <c r="B9432" s="117" t="s">
        <v>14831</v>
      </c>
      <c r="C9432" t="s">
        <v>67</v>
      </c>
      <c r="D9432" t="s">
        <v>67</v>
      </c>
      <c r="E9432" t="s">
        <v>67</v>
      </c>
      <c r="F9432" t="s">
        <v>27987</v>
      </c>
      <c r="G9432" s="117">
        <v>4.3600000000000003</v>
      </c>
    </row>
    <row r="9433" spans="1:7" x14ac:dyDescent="0.25">
      <c r="A9433" s="116" t="s">
        <v>14832</v>
      </c>
      <c r="B9433" s="117" t="s">
        <v>14833</v>
      </c>
      <c r="C9433" t="s">
        <v>67</v>
      </c>
      <c r="D9433" t="s">
        <v>67</v>
      </c>
      <c r="E9433" t="s">
        <v>67</v>
      </c>
      <c r="F9433" t="s">
        <v>27987</v>
      </c>
      <c r="G9433" s="117">
        <v>0.8</v>
      </c>
    </row>
    <row r="9434" spans="1:7" x14ac:dyDescent="0.25">
      <c r="A9434" s="116" t="s">
        <v>14834</v>
      </c>
      <c r="B9434" s="117" t="s">
        <v>14835</v>
      </c>
      <c r="C9434" t="s">
        <v>67</v>
      </c>
      <c r="D9434" t="s">
        <v>67</v>
      </c>
      <c r="E9434" t="s">
        <v>67</v>
      </c>
      <c r="F9434" t="s">
        <v>45</v>
      </c>
      <c r="G9434" s="117">
        <v>9.6999999999999993</v>
      </c>
    </row>
    <row r="9435" spans="1:7" x14ac:dyDescent="0.25">
      <c r="A9435" s="116" t="s">
        <v>14836</v>
      </c>
      <c r="B9435" s="117" t="s">
        <v>11127</v>
      </c>
      <c r="C9435" t="s">
        <v>67</v>
      </c>
      <c r="D9435" t="s">
        <v>67</v>
      </c>
      <c r="E9435" t="s">
        <v>67</v>
      </c>
      <c r="F9435" t="s">
        <v>45</v>
      </c>
      <c r="G9435" s="117">
        <v>1.33</v>
      </c>
    </row>
    <row r="9436" spans="1:7" x14ac:dyDescent="0.25">
      <c r="A9436" s="116" t="s">
        <v>14837</v>
      </c>
      <c r="B9436" s="117" t="s">
        <v>14838</v>
      </c>
      <c r="C9436" t="s">
        <v>67</v>
      </c>
      <c r="D9436" t="s">
        <v>67</v>
      </c>
      <c r="E9436" t="s">
        <v>67</v>
      </c>
      <c r="F9436" t="s">
        <v>27987</v>
      </c>
      <c r="G9436" s="117">
        <v>28.38</v>
      </c>
    </row>
    <row r="9437" spans="1:7" x14ac:dyDescent="0.25">
      <c r="A9437" s="116" t="s">
        <v>14839</v>
      </c>
      <c r="B9437" s="117" t="s">
        <v>14840</v>
      </c>
      <c r="C9437" t="s">
        <v>67</v>
      </c>
      <c r="D9437" t="s">
        <v>67</v>
      </c>
      <c r="E9437" t="s">
        <v>67</v>
      </c>
      <c r="F9437" t="s">
        <v>27987</v>
      </c>
      <c r="G9437" s="117">
        <v>7.02</v>
      </c>
    </row>
    <row r="9438" spans="1:7" x14ac:dyDescent="0.25">
      <c r="A9438" s="116" t="s">
        <v>14841</v>
      </c>
      <c r="B9438" s="117" t="s">
        <v>14842</v>
      </c>
      <c r="C9438" t="s">
        <v>67</v>
      </c>
      <c r="D9438" t="s">
        <v>67</v>
      </c>
      <c r="E9438" t="s">
        <v>67</v>
      </c>
      <c r="F9438" t="s">
        <v>27987</v>
      </c>
      <c r="G9438" s="117">
        <v>19.13</v>
      </c>
    </row>
    <row r="9439" spans="1:7" x14ac:dyDescent="0.25">
      <c r="A9439" s="116" t="s">
        <v>14843</v>
      </c>
      <c r="B9439" s="117" t="s">
        <v>14844</v>
      </c>
      <c r="C9439" t="s">
        <v>67</v>
      </c>
      <c r="D9439" t="s">
        <v>67</v>
      </c>
      <c r="E9439" t="s">
        <v>67</v>
      </c>
      <c r="F9439" t="s">
        <v>49</v>
      </c>
      <c r="G9439" s="117">
        <v>9.6999999999999993</v>
      </c>
    </row>
    <row r="9440" spans="1:7" x14ac:dyDescent="0.25">
      <c r="A9440" s="116" t="s">
        <v>14845</v>
      </c>
      <c r="B9440" s="117" t="s">
        <v>14846</v>
      </c>
      <c r="C9440" t="s">
        <v>67</v>
      </c>
      <c r="D9440" t="s">
        <v>67</v>
      </c>
      <c r="E9440" t="s">
        <v>67</v>
      </c>
      <c r="F9440" t="s">
        <v>45</v>
      </c>
      <c r="G9440" s="117">
        <v>3.12</v>
      </c>
    </row>
    <row r="9441" spans="1:7" x14ac:dyDescent="0.25">
      <c r="A9441" s="116" t="s">
        <v>14847</v>
      </c>
      <c r="B9441" s="117" t="s">
        <v>14848</v>
      </c>
      <c r="C9441" t="s">
        <v>67</v>
      </c>
      <c r="D9441" t="s">
        <v>67</v>
      </c>
      <c r="E9441" t="s">
        <v>67</v>
      </c>
      <c r="F9441" t="s">
        <v>27987</v>
      </c>
      <c r="G9441" s="117">
        <v>2.58</v>
      </c>
    </row>
    <row r="9442" spans="1:7" x14ac:dyDescent="0.25">
      <c r="A9442" s="116" t="s">
        <v>14849</v>
      </c>
      <c r="B9442" s="117" t="s">
        <v>14850</v>
      </c>
      <c r="C9442" t="s">
        <v>67</v>
      </c>
      <c r="D9442" t="s">
        <v>67</v>
      </c>
      <c r="E9442" t="s">
        <v>67</v>
      </c>
      <c r="F9442" t="s">
        <v>27987</v>
      </c>
      <c r="G9442" s="117">
        <v>1.69</v>
      </c>
    </row>
    <row r="9443" spans="1:7" x14ac:dyDescent="0.25">
      <c r="A9443" s="116" t="s">
        <v>14851</v>
      </c>
      <c r="B9443" s="117" t="s">
        <v>5774</v>
      </c>
      <c r="C9443" t="s">
        <v>67</v>
      </c>
      <c r="D9443" t="s">
        <v>67</v>
      </c>
      <c r="E9443" t="s">
        <v>67</v>
      </c>
      <c r="F9443" t="s">
        <v>27987</v>
      </c>
      <c r="G9443" s="117">
        <v>5.25</v>
      </c>
    </row>
    <row r="9444" spans="1:7" x14ac:dyDescent="0.25">
      <c r="A9444" s="116" t="s">
        <v>14852</v>
      </c>
      <c r="B9444" s="117" t="s">
        <v>14853</v>
      </c>
      <c r="C9444" t="s">
        <v>67</v>
      </c>
      <c r="D9444" t="s">
        <v>67</v>
      </c>
      <c r="E9444" t="s">
        <v>67</v>
      </c>
      <c r="F9444" t="s">
        <v>27987</v>
      </c>
      <c r="G9444" s="117">
        <v>2.58</v>
      </c>
    </row>
    <row r="9445" spans="1:7" x14ac:dyDescent="0.25">
      <c r="A9445" s="116" t="s">
        <v>14854</v>
      </c>
      <c r="B9445" s="117" t="s">
        <v>14855</v>
      </c>
      <c r="C9445" t="s">
        <v>67</v>
      </c>
      <c r="D9445" t="s">
        <v>67</v>
      </c>
      <c r="E9445" t="s">
        <v>67</v>
      </c>
      <c r="F9445" t="s">
        <v>45</v>
      </c>
      <c r="G9445" s="117">
        <v>1.33</v>
      </c>
    </row>
    <row r="9446" spans="1:7" x14ac:dyDescent="0.25">
      <c r="A9446" s="116" t="s">
        <v>14856</v>
      </c>
      <c r="B9446" s="117" t="s">
        <v>14857</v>
      </c>
      <c r="C9446" t="s">
        <v>67</v>
      </c>
      <c r="D9446" t="s">
        <v>67</v>
      </c>
      <c r="E9446" t="s">
        <v>67</v>
      </c>
      <c r="F9446" t="s">
        <v>27990</v>
      </c>
      <c r="G9446" s="117">
        <v>33.729999999999997</v>
      </c>
    </row>
    <row r="9447" spans="1:7" x14ac:dyDescent="0.25">
      <c r="A9447" s="116" t="s">
        <v>14858</v>
      </c>
      <c r="B9447" s="117" t="s">
        <v>14859</v>
      </c>
      <c r="C9447" t="s">
        <v>67</v>
      </c>
      <c r="D9447" t="s">
        <v>67</v>
      </c>
      <c r="E9447" t="s">
        <v>67</v>
      </c>
      <c r="F9447" t="s">
        <v>27987</v>
      </c>
      <c r="G9447" s="117">
        <v>3.56</v>
      </c>
    </row>
    <row r="9448" spans="1:7" x14ac:dyDescent="0.25">
      <c r="A9448" s="116" t="s">
        <v>27001</v>
      </c>
      <c r="B9448" s="117" t="s">
        <v>29160</v>
      </c>
      <c r="C9448" t="s">
        <v>67</v>
      </c>
      <c r="D9448" t="s">
        <v>67</v>
      </c>
      <c r="E9448" t="s">
        <v>67</v>
      </c>
      <c r="F9448" t="s">
        <v>27987</v>
      </c>
      <c r="G9448" s="117">
        <v>4.5</v>
      </c>
    </row>
    <row r="9449" spans="1:7" x14ac:dyDescent="0.25">
      <c r="A9449" s="116" t="s">
        <v>30477</v>
      </c>
      <c r="B9449" s="117" t="s">
        <v>16027</v>
      </c>
      <c r="C9449" t="s">
        <v>67</v>
      </c>
      <c r="D9449" t="s">
        <v>67</v>
      </c>
      <c r="E9449" t="s">
        <v>67</v>
      </c>
      <c r="F9449" t="s">
        <v>27987</v>
      </c>
      <c r="G9449" s="117">
        <v>10</v>
      </c>
    </row>
    <row r="9450" spans="1:7" x14ac:dyDescent="0.25">
      <c r="A9450" s="116" t="s">
        <v>31206</v>
      </c>
      <c r="B9450" s="117" t="s">
        <v>15148</v>
      </c>
      <c r="C9450" t="s">
        <v>67</v>
      </c>
      <c r="D9450" t="s">
        <v>67</v>
      </c>
      <c r="E9450" t="s">
        <v>67</v>
      </c>
      <c r="F9450" t="s">
        <v>45</v>
      </c>
      <c r="G9450" s="117">
        <v>4</v>
      </c>
    </row>
    <row r="9451" spans="1:7" x14ac:dyDescent="0.25">
      <c r="A9451" s="116" t="s">
        <v>14860</v>
      </c>
      <c r="B9451" s="117" t="s">
        <v>14861</v>
      </c>
      <c r="C9451" t="s">
        <v>67</v>
      </c>
      <c r="D9451" t="s">
        <v>67</v>
      </c>
      <c r="E9451" t="s">
        <v>67</v>
      </c>
      <c r="F9451" t="s">
        <v>27987</v>
      </c>
      <c r="G9451" s="117">
        <v>4.8899999999999997</v>
      </c>
    </row>
    <row r="9452" spans="1:7" x14ac:dyDescent="0.25">
      <c r="A9452" s="116" t="s">
        <v>14862</v>
      </c>
      <c r="B9452" s="117" t="s">
        <v>14863</v>
      </c>
      <c r="C9452" t="s">
        <v>67</v>
      </c>
      <c r="D9452" t="s">
        <v>67</v>
      </c>
      <c r="E9452" t="s">
        <v>67</v>
      </c>
      <c r="F9452" t="s">
        <v>27987</v>
      </c>
      <c r="G9452" s="117">
        <v>4.8899999999999997</v>
      </c>
    </row>
    <row r="9453" spans="1:7" x14ac:dyDescent="0.25">
      <c r="A9453" s="116" t="s">
        <v>26808</v>
      </c>
      <c r="B9453" s="117" t="s">
        <v>26809</v>
      </c>
      <c r="C9453" t="s">
        <v>67</v>
      </c>
      <c r="D9453" t="s">
        <v>67</v>
      </c>
      <c r="E9453" t="s">
        <v>67</v>
      </c>
      <c r="F9453" t="s">
        <v>45</v>
      </c>
      <c r="G9453" s="117">
        <v>31</v>
      </c>
    </row>
    <row r="9454" spans="1:7" x14ac:dyDescent="0.25">
      <c r="A9454" s="116" t="s">
        <v>14864</v>
      </c>
      <c r="B9454" s="117" t="s">
        <v>14865</v>
      </c>
      <c r="C9454" t="s">
        <v>67</v>
      </c>
      <c r="D9454" t="s">
        <v>67</v>
      </c>
      <c r="E9454" t="s">
        <v>67</v>
      </c>
      <c r="F9454" t="s">
        <v>27987</v>
      </c>
      <c r="G9454" s="117">
        <v>11.48</v>
      </c>
    </row>
    <row r="9455" spans="1:7" x14ac:dyDescent="0.25">
      <c r="A9455" s="116" t="s">
        <v>26810</v>
      </c>
      <c r="B9455" s="117" t="s">
        <v>26811</v>
      </c>
      <c r="C9455" t="s">
        <v>67</v>
      </c>
      <c r="D9455" t="s">
        <v>67</v>
      </c>
      <c r="E9455" t="s">
        <v>67</v>
      </c>
      <c r="F9455" t="s">
        <v>45</v>
      </c>
      <c r="G9455" s="117">
        <v>5.5</v>
      </c>
    </row>
    <row r="9456" spans="1:7" x14ac:dyDescent="0.25">
      <c r="A9456" s="116" t="s">
        <v>26812</v>
      </c>
      <c r="B9456" s="117" t="s">
        <v>26813</v>
      </c>
      <c r="C9456" t="s">
        <v>67</v>
      </c>
      <c r="D9456" t="s">
        <v>67</v>
      </c>
      <c r="E9456" t="s">
        <v>67</v>
      </c>
      <c r="F9456" t="s">
        <v>45</v>
      </c>
      <c r="G9456" s="117">
        <v>5.5</v>
      </c>
    </row>
    <row r="9457" spans="1:7" x14ac:dyDescent="0.25">
      <c r="A9457" s="116" t="s">
        <v>26814</v>
      </c>
      <c r="B9457" s="117" t="s">
        <v>26815</v>
      </c>
      <c r="C9457" t="s">
        <v>67</v>
      </c>
      <c r="D9457" t="s">
        <v>67</v>
      </c>
      <c r="E9457" t="s">
        <v>67</v>
      </c>
      <c r="F9457" t="s">
        <v>45</v>
      </c>
      <c r="G9457" s="117">
        <v>8.3699999999999992</v>
      </c>
    </row>
    <row r="9458" spans="1:7" x14ac:dyDescent="0.25">
      <c r="A9458" s="116" t="s">
        <v>26816</v>
      </c>
      <c r="B9458" s="117" t="s">
        <v>26817</v>
      </c>
      <c r="C9458" t="s">
        <v>67</v>
      </c>
      <c r="D9458" t="s">
        <v>67</v>
      </c>
      <c r="E9458" t="s">
        <v>67</v>
      </c>
      <c r="F9458" t="s">
        <v>45</v>
      </c>
      <c r="G9458" s="117">
        <v>7.89</v>
      </c>
    </row>
    <row r="9459" spans="1:7" x14ac:dyDescent="0.25">
      <c r="A9459" s="116" t="s">
        <v>26818</v>
      </c>
      <c r="B9459" s="117" t="s">
        <v>26819</v>
      </c>
      <c r="C9459" t="s">
        <v>67</v>
      </c>
      <c r="D9459" t="s">
        <v>67</v>
      </c>
      <c r="E9459" t="s">
        <v>67</v>
      </c>
      <c r="F9459" t="s">
        <v>45</v>
      </c>
      <c r="G9459" s="117">
        <v>5</v>
      </c>
    </row>
    <row r="9460" spans="1:7" x14ac:dyDescent="0.25">
      <c r="A9460" s="116" t="s">
        <v>14866</v>
      </c>
      <c r="B9460" s="117" t="s">
        <v>14867</v>
      </c>
      <c r="C9460" t="s">
        <v>67</v>
      </c>
      <c r="D9460" t="s">
        <v>67</v>
      </c>
      <c r="E9460" t="s">
        <v>67</v>
      </c>
      <c r="F9460" t="s">
        <v>45</v>
      </c>
      <c r="G9460" s="117">
        <v>5.79</v>
      </c>
    </row>
    <row r="9461" spans="1:7" x14ac:dyDescent="0.25">
      <c r="A9461" s="116" t="s">
        <v>14868</v>
      </c>
      <c r="B9461" s="117" t="s">
        <v>14869</v>
      </c>
      <c r="C9461" t="s">
        <v>67</v>
      </c>
      <c r="D9461" t="s">
        <v>67</v>
      </c>
      <c r="E9461" t="s">
        <v>67</v>
      </c>
      <c r="F9461" t="s">
        <v>27987</v>
      </c>
      <c r="G9461" s="117">
        <v>5.25</v>
      </c>
    </row>
    <row r="9462" spans="1:7" x14ac:dyDescent="0.25">
      <c r="A9462" s="116" t="s">
        <v>14870</v>
      </c>
      <c r="B9462" s="117" t="s">
        <v>14871</v>
      </c>
      <c r="C9462" t="s">
        <v>67</v>
      </c>
      <c r="D9462" t="s">
        <v>67</v>
      </c>
      <c r="E9462" t="s">
        <v>67</v>
      </c>
      <c r="F9462" t="s">
        <v>27987</v>
      </c>
      <c r="G9462" s="117">
        <v>3.12</v>
      </c>
    </row>
    <row r="9463" spans="1:7" x14ac:dyDescent="0.25">
      <c r="A9463" s="116" t="s">
        <v>14872</v>
      </c>
      <c r="B9463" s="117" t="s">
        <v>14873</v>
      </c>
      <c r="C9463" t="s">
        <v>67</v>
      </c>
      <c r="D9463" t="s">
        <v>67</v>
      </c>
      <c r="E9463" t="s">
        <v>67</v>
      </c>
      <c r="F9463" t="s">
        <v>27987</v>
      </c>
      <c r="G9463" s="117">
        <v>8.81</v>
      </c>
    </row>
    <row r="9464" spans="1:7" x14ac:dyDescent="0.25">
      <c r="A9464" s="116" t="s">
        <v>14874</v>
      </c>
      <c r="B9464" s="117" t="s">
        <v>14875</v>
      </c>
      <c r="C9464" t="s">
        <v>67</v>
      </c>
      <c r="D9464" t="s">
        <v>67</v>
      </c>
      <c r="E9464" t="s">
        <v>67</v>
      </c>
      <c r="F9464" t="s">
        <v>49</v>
      </c>
      <c r="G9464" s="117">
        <v>7.02</v>
      </c>
    </row>
    <row r="9465" spans="1:7" x14ac:dyDescent="0.25">
      <c r="A9465" s="116" t="s">
        <v>29813</v>
      </c>
      <c r="B9465" s="117" t="s">
        <v>30478</v>
      </c>
      <c r="C9465" t="s">
        <v>67</v>
      </c>
      <c r="D9465" t="s">
        <v>67</v>
      </c>
      <c r="E9465" t="s">
        <v>67</v>
      </c>
      <c r="F9465" t="s">
        <v>45</v>
      </c>
      <c r="G9465" s="117">
        <v>6.09</v>
      </c>
    </row>
    <row r="9466" spans="1:7" x14ac:dyDescent="0.25">
      <c r="A9466" s="116" t="s">
        <v>29814</v>
      </c>
      <c r="B9466" s="117" t="s">
        <v>30479</v>
      </c>
      <c r="C9466" t="s">
        <v>67</v>
      </c>
      <c r="D9466" t="s">
        <v>67</v>
      </c>
      <c r="E9466" t="s">
        <v>67</v>
      </c>
      <c r="F9466" t="s">
        <v>45</v>
      </c>
      <c r="G9466" s="117">
        <v>4.83</v>
      </c>
    </row>
    <row r="9467" spans="1:7" x14ac:dyDescent="0.25">
      <c r="A9467" s="116" t="s">
        <v>14876</v>
      </c>
      <c r="B9467" s="117" t="s">
        <v>14877</v>
      </c>
      <c r="C9467" t="s">
        <v>67</v>
      </c>
      <c r="D9467" t="s">
        <v>67</v>
      </c>
      <c r="E9467" t="s">
        <v>67</v>
      </c>
      <c r="F9467" t="s">
        <v>45</v>
      </c>
      <c r="G9467" s="117">
        <v>2.13</v>
      </c>
    </row>
    <row r="9468" spans="1:7" x14ac:dyDescent="0.25">
      <c r="A9468" s="116" t="s">
        <v>14878</v>
      </c>
      <c r="B9468" s="117" t="s">
        <v>1465</v>
      </c>
      <c r="C9468" t="s">
        <v>67</v>
      </c>
      <c r="D9468" t="s">
        <v>67</v>
      </c>
      <c r="E9468" t="s">
        <v>67</v>
      </c>
      <c r="F9468" t="s">
        <v>27987</v>
      </c>
      <c r="G9468" s="117">
        <v>23.58</v>
      </c>
    </row>
    <row r="9469" spans="1:7" x14ac:dyDescent="0.25">
      <c r="A9469" s="116" t="s">
        <v>14879</v>
      </c>
      <c r="B9469" s="117" t="s">
        <v>14738</v>
      </c>
      <c r="C9469" t="s">
        <v>67</v>
      </c>
      <c r="D9469" t="s">
        <v>67</v>
      </c>
      <c r="E9469" t="s">
        <v>67</v>
      </c>
      <c r="F9469" t="s">
        <v>45</v>
      </c>
      <c r="G9469" s="117">
        <v>4.8899999999999997</v>
      </c>
    </row>
    <row r="9470" spans="1:7" x14ac:dyDescent="0.25">
      <c r="A9470" s="116" t="s">
        <v>14880</v>
      </c>
      <c r="B9470" s="117" t="s">
        <v>14881</v>
      </c>
      <c r="C9470" t="s">
        <v>67</v>
      </c>
      <c r="D9470" t="s">
        <v>67</v>
      </c>
      <c r="E9470" t="s">
        <v>67</v>
      </c>
      <c r="F9470" t="s">
        <v>49</v>
      </c>
      <c r="G9470" s="117">
        <v>4.3600000000000003</v>
      </c>
    </row>
    <row r="9471" spans="1:7" x14ac:dyDescent="0.25">
      <c r="A9471" s="116" t="s">
        <v>14882</v>
      </c>
      <c r="B9471" s="117" t="s">
        <v>14881</v>
      </c>
      <c r="C9471" t="s">
        <v>67</v>
      </c>
      <c r="D9471" t="s">
        <v>67</v>
      </c>
      <c r="E9471" t="s">
        <v>67</v>
      </c>
      <c r="F9471" t="s">
        <v>27987</v>
      </c>
      <c r="G9471" s="117">
        <v>17.36</v>
      </c>
    </row>
    <row r="9472" spans="1:7" x14ac:dyDescent="0.25">
      <c r="A9472" s="116" t="s">
        <v>14883</v>
      </c>
      <c r="B9472" s="117" t="s">
        <v>14884</v>
      </c>
      <c r="C9472" t="s">
        <v>67</v>
      </c>
      <c r="D9472" t="s">
        <v>67</v>
      </c>
      <c r="E9472" t="s">
        <v>67</v>
      </c>
      <c r="F9472" t="s">
        <v>27987</v>
      </c>
      <c r="G9472" s="117">
        <v>8.81</v>
      </c>
    </row>
    <row r="9473" spans="1:7" x14ac:dyDescent="0.25">
      <c r="A9473" s="116" t="s">
        <v>14885</v>
      </c>
      <c r="B9473" s="117" t="s">
        <v>14886</v>
      </c>
      <c r="C9473" t="s">
        <v>67</v>
      </c>
      <c r="D9473" t="s">
        <v>67</v>
      </c>
      <c r="E9473" t="s">
        <v>67</v>
      </c>
      <c r="F9473" t="s">
        <v>27987</v>
      </c>
      <c r="G9473" s="117">
        <v>12.01</v>
      </c>
    </row>
    <row r="9474" spans="1:7" x14ac:dyDescent="0.25">
      <c r="A9474" s="116" t="s">
        <v>14887</v>
      </c>
      <c r="B9474" s="117" t="s">
        <v>14888</v>
      </c>
      <c r="C9474" t="s">
        <v>67</v>
      </c>
      <c r="D9474" t="s">
        <v>67</v>
      </c>
      <c r="E9474" t="s">
        <v>67</v>
      </c>
      <c r="F9474" t="s">
        <v>27987</v>
      </c>
      <c r="G9474" s="117">
        <v>3.12</v>
      </c>
    </row>
    <row r="9475" spans="1:7" x14ac:dyDescent="0.25">
      <c r="A9475" s="116" t="s">
        <v>14889</v>
      </c>
      <c r="B9475" s="117" t="s">
        <v>14890</v>
      </c>
      <c r="C9475" t="s">
        <v>67</v>
      </c>
      <c r="D9475" t="s">
        <v>67</v>
      </c>
      <c r="E9475" t="s">
        <v>67</v>
      </c>
      <c r="F9475" t="s">
        <v>27987</v>
      </c>
      <c r="G9475" s="117">
        <v>6.68</v>
      </c>
    </row>
    <row r="9476" spans="1:7" x14ac:dyDescent="0.25">
      <c r="A9476" s="116" t="s">
        <v>14891</v>
      </c>
      <c r="B9476" s="117" t="s">
        <v>14892</v>
      </c>
      <c r="C9476" t="s">
        <v>67</v>
      </c>
      <c r="D9476" t="s">
        <v>67</v>
      </c>
      <c r="E9476" t="s">
        <v>67</v>
      </c>
      <c r="F9476" t="s">
        <v>27987</v>
      </c>
      <c r="G9476" s="117">
        <v>4.3600000000000003</v>
      </c>
    </row>
    <row r="9477" spans="1:7" x14ac:dyDescent="0.25">
      <c r="A9477" s="116" t="s">
        <v>14893</v>
      </c>
      <c r="B9477" s="117" t="s">
        <v>14894</v>
      </c>
      <c r="C9477" t="s">
        <v>67</v>
      </c>
      <c r="D9477" t="s">
        <v>67</v>
      </c>
      <c r="E9477" t="s">
        <v>67</v>
      </c>
      <c r="F9477" t="s">
        <v>27987</v>
      </c>
      <c r="G9477" s="117">
        <v>4.3600000000000003</v>
      </c>
    </row>
    <row r="9478" spans="1:7" x14ac:dyDescent="0.25">
      <c r="A9478" s="116" t="s">
        <v>14895</v>
      </c>
      <c r="B9478" s="117" t="s">
        <v>14896</v>
      </c>
      <c r="C9478" t="s">
        <v>67</v>
      </c>
      <c r="D9478" t="s">
        <v>67</v>
      </c>
      <c r="E9478" t="s">
        <v>67</v>
      </c>
      <c r="F9478" t="s">
        <v>27987</v>
      </c>
      <c r="G9478" s="117">
        <v>1.33</v>
      </c>
    </row>
    <row r="9479" spans="1:7" x14ac:dyDescent="0.25">
      <c r="A9479" s="116" t="s">
        <v>31271</v>
      </c>
      <c r="B9479" s="117" t="s">
        <v>31272</v>
      </c>
      <c r="C9479" t="s">
        <v>67</v>
      </c>
      <c r="D9479" t="s">
        <v>67</v>
      </c>
      <c r="E9479" t="s">
        <v>67</v>
      </c>
      <c r="F9479" t="s">
        <v>45</v>
      </c>
      <c r="G9479" s="117">
        <v>4.3</v>
      </c>
    </row>
    <row r="9480" spans="1:7" x14ac:dyDescent="0.25">
      <c r="A9480" s="116" t="s">
        <v>31174</v>
      </c>
      <c r="B9480" s="117" t="s">
        <v>31175</v>
      </c>
      <c r="C9480" t="s">
        <v>67</v>
      </c>
      <c r="D9480" t="s">
        <v>67</v>
      </c>
      <c r="E9480" t="s">
        <v>67</v>
      </c>
      <c r="F9480" t="s">
        <v>45</v>
      </c>
      <c r="G9480" s="117">
        <v>5.0999999999999996</v>
      </c>
    </row>
    <row r="9481" spans="1:7" x14ac:dyDescent="0.25">
      <c r="A9481" s="116" t="s">
        <v>14897</v>
      </c>
      <c r="B9481" s="117" t="s">
        <v>14898</v>
      </c>
      <c r="C9481" t="s">
        <v>67</v>
      </c>
      <c r="D9481" t="s">
        <v>67</v>
      </c>
      <c r="E9481" t="s">
        <v>67</v>
      </c>
      <c r="F9481" t="s">
        <v>27987</v>
      </c>
      <c r="G9481" s="117">
        <v>9.92</v>
      </c>
    </row>
    <row r="9482" spans="1:7" x14ac:dyDescent="0.25">
      <c r="A9482" s="116" t="s">
        <v>14899</v>
      </c>
      <c r="B9482" s="117" t="s">
        <v>14900</v>
      </c>
      <c r="C9482" t="s">
        <v>67</v>
      </c>
      <c r="D9482" t="s">
        <v>67</v>
      </c>
      <c r="E9482" t="s">
        <v>67</v>
      </c>
      <c r="F9482" t="s">
        <v>27987</v>
      </c>
      <c r="G9482" s="117">
        <v>79.64</v>
      </c>
    </row>
    <row r="9483" spans="1:7" x14ac:dyDescent="0.25">
      <c r="A9483" s="116" t="s">
        <v>14901</v>
      </c>
      <c r="B9483" s="117" t="s">
        <v>14902</v>
      </c>
      <c r="C9483" t="s">
        <v>67</v>
      </c>
      <c r="D9483" t="s">
        <v>67</v>
      </c>
      <c r="E9483" t="s">
        <v>67</v>
      </c>
      <c r="F9483" t="s">
        <v>49</v>
      </c>
      <c r="G9483" s="117">
        <v>2.58</v>
      </c>
    </row>
    <row r="9484" spans="1:7" x14ac:dyDescent="0.25">
      <c r="A9484" s="116" t="s">
        <v>26634</v>
      </c>
      <c r="B9484" s="117" t="s">
        <v>26635</v>
      </c>
      <c r="C9484" t="s">
        <v>67</v>
      </c>
      <c r="D9484" t="s">
        <v>67</v>
      </c>
      <c r="E9484" t="s">
        <v>67</v>
      </c>
      <c r="F9484" t="s">
        <v>49</v>
      </c>
      <c r="G9484" s="117">
        <v>1.08</v>
      </c>
    </row>
    <row r="9485" spans="1:7" x14ac:dyDescent="0.25">
      <c r="A9485" s="116" t="s">
        <v>14903</v>
      </c>
      <c r="B9485" s="117" t="s">
        <v>14904</v>
      </c>
      <c r="C9485" t="s">
        <v>67</v>
      </c>
      <c r="D9485" t="s">
        <v>67</v>
      </c>
      <c r="E9485" t="s">
        <v>67</v>
      </c>
      <c r="F9485" t="s">
        <v>45</v>
      </c>
      <c r="G9485" s="117">
        <v>1.51</v>
      </c>
    </row>
    <row r="9486" spans="1:7" x14ac:dyDescent="0.25">
      <c r="A9486" s="116" t="s">
        <v>14905</v>
      </c>
      <c r="B9486" s="117" t="s">
        <v>2243</v>
      </c>
      <c r="C9486" t="s">
        <v>67</v>
      </c>
      <c r="D9486" t="s">
        <v>67</v>
      </c>
      <c r="E9486" t="s">
        <v>67</v>
      </c>
      <c r="F9486" t="s">
        <v>27987</v>
      </c>
      <c r="G9486" s="117">
        <v>4.8899999999999997</v>
      </c>
    </row>
    <row r="9487" spans="1:7" x14ac:dyDescent="0.25">
      <c r="A9487" s="116" t="s">
        <v>14906</v>
      </c>
      <c r="B9487" s="117" t="s">
        <v>14907</v>
      </c>
      <c r="C9487" t="s">
        <v>67</v>
      </c>
      <c r="D9487" t="s">
        <v>67</v>
      </c>
      <c r="E9487" t="s">
        <v>67</v>
      </c>
      <c r="F9487" t="s">
        <v>27987</v>
      </c>
      <c r="G9487" s="117">
        <v>1.38</v>
      </c>
    </row>
    <row r="9488" spans="1:7" x14ac:dyDescent="0.25">
      <c r="A9488" s="116" t="s">
        <v>14908</v>
      </c>
      <c r="B9488" s="117" t="s">
        <v>14909</v>
      </c>
      <c r="C9488" t="s">
        <v>67</v>
      </c>
      <c r="D9488" t="s">
        <v>67</v>
      </c>
      <c r="E9488" t="s">
        <v>67</v>
      </c>
      <c r="F9488" t="s">
        <v>27987</v>
      </c>
      <c r="G9488" s="117">
        <v>3.56</v>
      </c>
    </row>
    <row r="9489" spans="1:7" x14ac:dyDescent="0.25">
      <c r="A9489" s="116" t="s">
        <v>14910</v>
      </c>
      <c r="B9489" s="117" t="s">
        <v>14911</v>
      </c>
      <c r="C9489" t="s">
        <v>67</v>
      </c>
      <c r="D9489" t="s">
        <v>67</v>
      </c>
      <c r="E9489" t="s">
        <v>67</v>
      </c>
      <c r="F9489" t="s">
        <v>27987</v>
      </c>
      <c r="G9489" s="117">
        <v>1.33</v>
      </c>
    </row>
    <row r="9490" spans="1:7" x14ac:dyDescent="0.25">
      <c r="A9490" s="116" t="s">
        <v>14912</v>
      </c>
      <c r="B9490" s="117" t="s">
        <v>14913</v>
      </c>
      <c r="C9490" t="s">
        <v>67</v>
      </c>
      <c r="D9490" t="s">
        <v>67</v>
      </c>
      <c r="E9490" t="s">
        <v>67</v>
      </c>
      <c r="F9490" t="s">
        <v>49</v>
      </c>
      <c r="G9490" s="117">
        <v>7.53</v>
      </c>
    </row>
    <row r="9491" spans="1:7" x14ac:dyDescent="0.25">
      <c r="A9491" s="116" t="s">
        <v>26619</v>
      </c>
      <c r="B9491" s="117" t="s">
        <v>5705</v>
      </c>
      <c r="C9491" t="s">
        <v>67</v>
      </c>
      <c r="D9491" t="s">
        <v>67</v>
      </c>
      <c r="E9491" t="s">
        <v>67</v>
      </c>
      <c r="F9491" t="s">
        <v>27987</v>
      </c>
      <c r="G9491" s="117">
        <v>1.91</v>
      </c>
    </row>
    <row r="9492" spans="1:7" x14ac:dyDescent="0.25">
      <c r="A9492" s="116" t="s">
        <v>14914</v>
      </c>
      <c r="B9492" s="117" t="s">
        <v>14915</v>
      </c>
      <c r="C9492" t="s">
        <v>67</v>
      </c>
      <c r="D9492" t="s">
        <v>67</v>
      </c>
      <c r="E9492" t="s">
        <v>67</v>
      </c>
      <c r="F9492" t="s">
        <v>45</v>
      </c>
      <c r="G9492" s="117">
        <v>1.38</v>
      </c>
    </row>
    <row r="9493" spans="1:7" x14ac:dyDescent="0.25">
      <c r="A9493" s="116" t="s">
        <v>14916</v>
      </c>
      <c r="B9493" s="117" t="s">
        <v>14917</v>
      </c>
      <c r="C9493" t="s">
        <v>67</v>
      </c>
      <c r="D9493" t="s">
        <v>67</v>
      </c>
      <c r="E9493" t="s">
        <v>67</v>
      </c>
      <c r="F9493" t="s">
        <v>51</v>
      </c>
      <c r="G9493" s="117">
        <v>35.17</v>
      </c>
    </row>
    <row r="9494" spans="1:7" x14ac:dyDescent="0.25">
      <c r="A9494" s="116" t="s">
        <v>14918</v>
      </c>
      <c r="B9494" s="117" t="s">
        <v>14919</v>
      </c>
      <c r="C9494" t="s">
        <v>67</v>
      </c>
      <c r="D9494" t="s">
        <v>67</v>
      </c>
      <c r="E9494" t="s">
        <v>67</v>
      </c>
      <c r="F9494" t="s">
        <v>51</v>
      </c>
      <c r="G9494" s="117">
        <v>15</v>
      </c>
    </row>
    <row r="9495" spans="1:7" x14ac:dyDescent="0.25">
      <c r="A9495" s="116" t="s">
        <v>14920</v>
      </c>
      <c r="B9495" s="117" t="s">
        <v>14921</v>
      </c>
      <c r="C9495" t="s">
        <v>67</v>
      </c>
      <c r="D9495" t="s">
        <v>67</v>
      </c>
      <c r="E9495" t="s">
        <v>67</v>
      </c>
      <c r="F9495" t="s">
        <v>27987</v>
      </c>
      <c r="G9495" s="117">
        <v>1.63</v>
      </c>
    </row>
    <row r="9496" spans="1:7" x14ac:dyDescent="0.25">
      <c r="A9496" s="116" t="s">
        <v>14922</v>
      </c>
      <c r="B9496" s="117" t="s">
        <v>14923</v>
      </c>
      <c r="C9496" t="s">
        <v>67</v>
      </c>
      <c r="D9496" t="s">
        <v>67</v>
      </c>
      <c r="E9496" t="s">
        <v>67</v>
      </c>
      <c r="F9496" t="s">
        <v>49</v>
      </c>
      <c r="G9496" s="117">
        <v>0.63</v>
      </c>
    </row>
    <row r="9497" spans="1:7" x14ac:dyDescent="0.25">
      <c r="A9497" s="116" t="s">
        <v>14924</v>
      </c>
      <c r="B9497" s="117" t="s">
        <v>14925</v>
      </c>
      <c r="C9497" t="s">
        <v>67</v>
      </c>
      <c r="D9497" t="s">
        <v>67</v>
      </c>
      <c r="E9497" t="s">
        <v>67</v>
      </c>
      <c r="F9497" t="s">
        <v>27987</v>
      </c>
      <c r="G9497" s="117">
        <v>3.64</v>
      </c>
    </row>
    <row r="9498" spans="1:7" x14ac:dyDescent="0.25">
      <c r="A9498" s="116" t="s">
        <v>29161</v>
      </c>
      <c r="B9498" s="117" t="s">
        <v>29162</v>
      </c>
      <c r="C9498" t="s">
        <v>67</v>
      </c>
      <c r="D9498" t="s">
        <v>67</v>
      </c>
      <c r="E9498" t="s">
        <v>67</v>
      </c>
      <c r="F9498" t="s">
        <v>27987</v>
      </c>
      <c r="G9498" s="117">
        <v>3.51</v>
      </c>
    </row>
    <row r="9499" spans="1:7" x14ac:dyDescent="0.25">
      <c r="A9499" s="116" t="s">
        <v>14926</v>
      </c>
      <c r="B9499" s="117" t="s">
        <v>14927</v>
      </c>
      <c r="C9499" t="s">
        <v>67</v>
      </c>
      <c r="D9499" t="s">
        <v>67</v>
      </c>
      <c r="E9499" t="s">
        <v>67</v>
      </c>
      <c r="F9499" t="s">
        <v>27987</v>
      </c>
      <c r="G9499" s="117">
        <v>1.63</v>
      </c>
    </row>
    <row r="9500" spans="1:7" x14ac:dyDescent="0.25">
      <c r="A9500" s="116" t="s">
        <v>14928</v>
      </c>
      <c r="B9500" s="117" t="s">
        <v>14929</v>
      </c>
      <c r="C9500" t="s">
        <v>67</v>
      </c>
      <c r="D9500" t="s">
        <v>67</v>
      </c>
      <c r="E9500" t="s">
        <v>67</v>
      </c>
      <c r="F9500" t="s">
        <v>27987</v>
      </c>
      <c r="G9500" s="117">
        <v>1.26</v>
      </c>
    </row>
    <row r="9501" spans="1:7" x14ac:dyDescent="0.25">
      <c r="A9501" s="116" t="s">
        <v>29163</v>
      </c>
      <c r="B9501" s="117" t="s">
        <v>30031</v>
      </c>
      <c r="C9501" t="s">
        <v>67</v>
      </c>
      <c r="D9501" t="s">
        <v>67</v>
      </c>
      <c r="E9501" t="s">
        <v>67</v>
      </c>
      <c r="F9501" t="s">
        <v>27987</v>
      </c>
      <c r="G9501" s="117">
        <v>3</v>
      </c>
    </row>
    <row r="9502" spans="1:7" x14ac:dyDescent="0.25">
      <c r="A9502" s="116" t="s">
        <v>29815</v>
      </c>
      <c r="B9502" s="117" t="s">
        <v>14835</v>
      </c>
      <c r="C9502" t="s">
        <v>67</v>
      </c>
      <c r="D9502" t="s">
        <v>67</v>
      </c>
      <c r="E9502" t="s">
        <v>67</v>
      </c>
      <c r="F9502" t="s">
        <v>27987</v>
      </c>
      <c r="G9502" s="117">
        <v>9.6999999999999993</v>
      </c>
    </row>
    <row r="9503" spans="1:7" x14ac:dyDescent="0.25">
      <c r="A9503" s="116" t="s">
        <v>29164</v>
      </c>
      <c r="B9503" s="117" t="s">
        <v>30110</v>
      </c>
      <c r="C9503" t="s">
        <v>67</v>
      </c>
      <c r="D9503" t="s">
        <v>67</v>
      </c>
      <c r="E9503" t="s">
        <v>67</v>
      </c>
      <c r="F9503" t="s">
        <v>27987</v>
      </c>
      <c r="G9503" s="117">
        <v>4</v>
      </c>
    </row>
    <row r="9504" spans="1:7" x14ac:dyDescent="0.25">
      <c r="A9504" s="116" t="s">
        <v>29165</v>
      </c>
      <c r="B9504" s="117" t="s">
        <v>30111</v>
      </c>
      <c r="C9504" t="s">
        <v>67</v>
      </c>
      <c r="D9504" t="s">
        <v>67</v>
      </c>
      <c r="E9504" t="s">
        <v>67</v>
      </c>
      <c r="F9504" t="s">
        <v>49</v>
      </c>
      <c r="G9504" s="117">
        <v>4</v>
      </c>
    </row>
    <row r="9505" spans="1:7" x14ac:dyDescent="0.25">
      <c r="A9505" s="116" t="s">
        <v>29166</v>
      </c>
      <c r="B9505" s="117" t="s">
        <v>29167</v>
      </c>
      <c r="C9505" t="s">
        <v>67</v>
      </c>
      <c r="D9505" t="s">
        <v>67</v>
      </c>
      <c r="E9505" t="s">
        <v>67</v>
      </c>
      <c r="F9505" t="s">
        <v>45</v>
      </c>
      <c r="G9505" s="117">
        <v>15</v>
      </c>
    </row>
    <row r="9506" spans="1:7" x14ac:dyDescent="0.25">
      <c r="A9506" s="116" t="s">
        <v>29168</v>
      </c>
      <c r="B9506" s="117" t="s">
        <v>29816</v>
      </c>
      <c r="C9506" t="s">
        <v>67</v>
      </c>
      <c r="D9506" t="s">
        <v>67</v>
      </c>
      <c r="E9506" t="s">
        <v>67</v>
      </c>
      <c r="F9506" t="s">
        <v>27987</v>
      </c>
      <c r="G9506" s="117">
        <v>350</v>
      </c>
    </row>
    <row r="9507" spans="1:7" x14ac:dyDescent="0.25">
      <c r="A9507" s="116" t="s">
        <v>14930</v>
      </c>
      <c r="B9507" s="117" t="s">
        <v>29169</v>
      </c>
      <c r="C9507" t="s">
        <v>67</v>
      </c>
      <c r="D9507" t="s">
        <v>67</v>
      </c>
      <c r="E9507" t="s">
        <v>67</v>
      </c>
      <c r="F9507" t="s">
        <v>27987</v>
      </c>
      <c r="G9507" s="117">
        <v>1.2</v>
      </c>
    </row>
    <row r="9508" spans="1:7" x14ac:dyDescent="0.25">
      <c r="A9508" s="116" t="s">
        <v>31228</v>
      </c>
      <c r="B9508" s="117" t="s">
        <v>31229</v>
      </c>
      <c r="C9508" t="s">
        <v>67</v>
      </c>
      <c r="D9508" t="s">
        <v>67</v>
      </c>
      <c r="E9508" t="s">
        <v>67</v>
      </c>
      <c r="F9508" t="s">
        <v>45</v>
      </c>
      <c r="G9508" s="117">
        <v>3.5</v>
      </c>
    </row>
    <row r="9509" spans="1:7" x14ac:dyDescent="0.25">
      <c r="A9509" s="116" t="s">
        <v>14931</v>
      </c>
      <c r="B9509" s="117" t="s">
        <v>29170</v>
      </c>
      <c r="C9509" t="s">
        <v>67</v>
      </c>
      <c r="D9509" t="s">
        <v>67</v>
      </c>
      <c r="E9509" t="s">
        <v>67</v>
      </c>
      <c r="F9509" t="s">
        <v>27987</v>
      </c>
      <c r="G9509" s="117">
        <v>0.6</v>
      </c>
    </row>
    <row r="9510" spans="1:7" x14ac:dyDescent="0.25">
      <c r="A9510" s="116" t="s">
        <v>30629</v>
      </c>
      <c r="B9510" s="117" t="s">
        <v>30630</v>
      </c>
      <c r="C9510" t="s">
        <v>67</v>
      </c>
      <c r="D9510" t="s">
        <v>67</v>
      </c>
      <c r="E9510" t="s">
        <v>67</v>
      </c>
      <c r="F9510" t="s">
        <v>27987</v>
      </c>
      <c r="G9510" s="117">
        <v>9999</v>
      </c>
    </row>
    <row r="9511" spans="1:7" x14ac:dyDescent="0.25">
      <c r="A9511" s="116" t="s">
        <v>14932</v>
      </c>
      <c r="B9511" s="117" t="s">
        <v>14933</v>
      </c>
      <c r="C9511" t="s">
        <v>67</v>
      </c>
      <c r="D9511" t="s">
        <v>67</v>
      </c>
      <c r="E9511" t="s">
        <v>67</v>
      </c>
      <c r="F9511" t="s">
        <v>27987</v>
      </c>
      <c r="G9511" s="117">
        <v>2.89</v>
      </c>
    </row>
    <row r="9512" spans="1:7" x14ac:dyDescent="0.25">
      <c r="A9512" s="116" t="s">
        <v>14934</v>
      </c>
      <c r="B9512" s="117" t="s">
        <v>14935</v>
      </c>
      <c r="C9512" t="s">
        <v>67</v>
      </c>
      <c r="D9512" t="s">
        <v>67</v>
      </c>
      <c r="E9512" t="s">
        <v>67</v>
      </c>
      <c r="F9512" t="s">
        <v>27987</v>
      </c>
      <c r="G9512" s="117">
        <v>3.14</v>
      </c>
    </row>
    <row r="9513" spans="1:7" x14ac:dyDescent="0.25">
      <c r="A9513" s="116" t="s">
        <v>14936</v>
      </c>
      <c r="B9513" s="117" t="s">
        <v>14937</v>
      </c>
      <c r="C9513" t="s">
        <v>67</v>
      </c>
      <c r="D9513" t="s">
        <v>67</v>
      </c>
      <c r="E9513" t="s">
        <v>67</v>
      </c>
      <c r="F9513" t="s">
        <v>27987</v>
      </c>
      <c r="G9513" s="117">
        <v>2.39</v>
      </c>
    </row>
    <row r="9514" spans="1:7" x14ac:dyDescent="0.25">
      <c r="A9514" s="116" t="s">
        <v>14938</v>
      </c>
      <c r="B9514" s="117" t="s">
        <v>14939</v>
      </c>
      <c r="C9514" t="s">
        <v>67</v>
      </c>
      <c r="D9514" t="s">
        <v>67</v>
      </c>
      <c r="E9514" t="s">
        <v>67</v>
      </c>
      <c r="F9514" t="s">
        <v>27987</v>
      </c>
      <c r="G9514" s="117">
        <v>6.53</v>
      </c>
    </row>
    <row r="9515" spans="1:7" x14ac:dyDescent="0.25">
      <c r="A9515" s="116" t="s">
        <v>30631</v>
      </c>
      <c r="B9515" s="117" t="s">
        <v>30632</v>
      </c>
      <c r="C9515" t="s">
        <v>67</v>
      </c>
      <c r="D9515" t="s">
        <v>67</v>
      </c>
      <c r="E9515" t="s">
        <v>67</v>
      </c>
      <c r="F9515" t="s">
        <v>27987</v>
      </c>
      <c r="G9515" s="117">
        <v>9999</v>
      </c>
    </row>
    <row r="9516" spans="1:7" x14ac:dyDescent="0.25">
      <c r="A9516" s="116" t="s">
        <v>14940</v>
      </c>
      <c r="B9516" s="117" t="s">
        <v>15108</v>
      </c>
      <c r="C9516" t="s">
        <v>67</v>
      </c>
      <c r="D9516" t="s">
        <v>67</v>
      </c>
      <c r="E9516" t="s">
        <v>67</v>
      </c>
      <c r="F9516" t="s">
        <v>27987</v>
      </c>
      <c r="G9516" s="117">
        <v>1.67</v>
      </c>
    </row>
    <row r="9517" spans="1:7" x14ac:dyDescent="0.25">
      <c r="A9517" s="116" t="s">
        <v>31230</v>
      </c>
      <c r="B9517" s="117" t="s">
        <v>31231</v>
      </c>
      <c r="C9517" t="s">
        <v>67</v>
      </c>
      <c r="D9517" t="s">
        <v>67</v>
      </c>
      <c r="E9517" t="s">
        <v>67</v>
      </c>
      <c r="F9517" t="s">
        <v>45</v>
      </c>
      <c r="G9517" s="117">
        <v>40</v>
      </c>
    </row>
    <row r="9518" spans="1:7" x14ac:dyDescent="0.25">
      <c r="A9518" s="116" t="s">
        <v>31232</v>
      </c>
      <c r="B9518" s="117" t="s">
        <v>31233</v>
      </c>
      <c r="C9518" t="s">
        <v>67</v>
      </c>
      <c r="D9518" t="s">
        <v>67</v>
      </c>
      <c r="E9518" t="s">
        <v>67</v>
      </c>
      <c r="F9518" t="s">
        <v>45</v>
      </c>
      <c r="G9518" s="117">
        <v>7</v>
      </c>
    </row>
    <row r="9519" spans="1:7" x14ac:dyDescent="0.25">
      <c r="A9519" s="116" t="s">
        <v>29943</v>
      </c>
      <c r="B9519" s="117" t="s">
        <v>14738</v>
      </c>
      <c r="C9519" t="s">
        <v>67</v>
      </c>
      <c r="D9519" t="s">
        <v>67</v>
      </c>
      <c r="E9519" t="s">
        <v>67</v>
      </c>
      <c r="F9519" t="s">
        <v>27987</v>
      </c>
      <c r="G9519" s="117">
        <v>2</v>
      </c>
    </row>
    <row r="9520" spans="1:7" x14ac:dyDescent="0.25">
      <c r="A9520" s="116" t="s">
        <v>29171</v>
      </c>
      <c r="B9520" s="117" t="s">
        <v>29172</v>
      </c>
      <c r="C9520" t="s">
        <v>67</v>
      </c>
      <c r="D9520" t="s">
        <v>67</v>
      </c>
      <c r="E9520" t="s">
        <v>67</v>
      </c>
      <c r="F9520" t="s">
        <v>49</v>
      </c>
      <c r="G9520" s="117">
        <v>9999</v>
      </c>
    </row>
    <row r="9521" spans="1:7" x14ac:dyDescent="0.25">
      <c r="A9521" s="116" t="s">
        <v>14941</v>
      </c>
      <c r="B9521" s="117" t="s">
        <v>26481</v>
      </c>
      <c r="C9521" t="s">
        <v>67</v>
      </c>
      <c r="D9521" t="s">
        <v>67</v>
      </c>
      <c r="E9521" t="s">
        <v>67</v>
      </c>
      <c r="F9521" t="s">
        <v>27987</v>
      </c>
      <c r="G9521" s="117">
        <v>40</v>
      </c>
    </row>
    <row r="9522" spans="1:7" x14ac:dyDescent="0.25">
      <c r="A9522" s="116" t="s">
        <v>14942</v>
      </c>
      <c r="B9522" s="117" t="s">
        <v>26482</v>
      </c>
      <c r="C9522" t="s">
        <v>67</v>
      </c>
      <c r="D9522" t="s">
        <v>67</v>
      </c>
      <c r="E9522" t="s">
        <v>67</v>
      </c>
      <c r="F9522" t="s">
        <v>27987</v>
      </c>
      <c r="G9522" s="117">
        <v>10</v>
      </c>
    </row>
    <row r="9523" spans="1:7" x14ac:dyDescent="0.25">
      <c r="A9523" s="116" t="s">
        <v>14943</v>
      </c>
      <c r="B9523" s="117" t="s">
        <v>26483</v>
      </c>
      <c r="C9523" t="s">
        <v>67</v>
      </c>
      <c r="D9523" t="s">
        <v>67</v>
      </c>
      <c r="E9523" t="s">
        <v>67</v>
      </c>
      <c r="F9523" t="s">
        <v>27987</v>
      </c>
      <c r="G9523" s="117">
        <v>10</v>
      </c>
    </row>
    <row r="9524" spans="1:7" x14ac:dyDescent="0.25">
      <c r="A9524" s="116" t="s">
        <v>14944</v>
      </c>
      <c r="B9524" s="117" t="s">
        <v>26484</v>
      </c>
      <c r="C9524" t="s">
        <v>67</v>
      </c>
      <c r="D9524" t="s">
        <v>67</v>
      </c>
      <c r="E9524" t="s">
        <v>67</v>
      </c>
      <c r="F9524" t="s">
        <v>27987</v>
      </c>
      <c r="G9524" s="117">
        <v>15</v>
      </c>
    </row>
    <row r="9525" spans="1:7" x14ac:dyDescent="0.25">
      <c r="A9525" s="116" t="s">
        <v>14945</v>
      </c>
      <c r="B9525" s="117" t="s">
        <v>26485</v>
      </c>
      <c r="C9525" t="s">
        <v>67</v>
      </c>
      <c r="D9525" t="s">
        <v>67</v>
      </c>
      <c r="E9525" t="s">
        <v>67</v>
      </c>
      <c r="F9525" t="s">
        <v>27987</v>
      </c>
      <c r="G9525" s="117">
        <v>12</v>
      </c>
    </row>
    <row r="9526" spans="1:7" x14ac:dyDescent="0.25">
      <c r="A9526" s="116" t="s">
        <v>14946</v>
      </c>
      <c r="B9526" s="117" t="s">
        <v>26486</v>
      </c>
      <c r="C9526" t="s">
        <v>67</v>
      </c>
      <c r="D9526" t="s">
        <v>67</v>
      </c>
      <c r="E9526" t="s">
        <v>67</v>
      </c>
      <c r="F9526" t="s">
        <v>27987</v>
      </c>
      <c r="G9526" s="117">
        <v>7</v>
      </c>
    </row>
    <row r="9527" spans="1:7" x14ac:dyDescent="0.25">
      <c r="A9527" s="116" t="s">
        <v>29173</v>
      </c>
      <c r="B9527" s="117" t="s">
        <v>12947</v>
      </c>
      <c r="C9527" t="s">
        <v>67</v>
      </c>
      <c r="D9527" t="s">
        <v>67</v>
      </c>
      <c r="E9527" t="s">
        <v>67</v>
      </c>
      <c r="F9527" t="s">
        <v>27987</v>
      </c>
      <c r="G9527" s="117">
        <v>8</v>
      </c>
    </row>
    <row r="9528" spans="1:7" x14ac:dyDescent="0.25">
      <c r="A9528" s="116" t="s">
        <v>29174</v>
      </c>
      <c r="B9528" s="117" t="s">
        <v>29175</v>
      </c>
      <c r="C9528" t="s">
        <v>67</v>
      </c>
      <c r="D9528" t="s">
        <v>67</v>
      </c>
      <c r="E9528" t="s">
        <v>67</v>
      </c>
      <c r="F9528" t="s">
        <v>27987</v>
      </c>
      <c r="G9528" s="117">
        <v>5</v>
      </c>
    </row>
    <row r="9529" spans="1:7" x14ac:dyDescent="0.25">
      <c r="A9529" s="116" t="s">
        <v>14947</v>
      </c>
      <c r="B9529" s="117" t="s">
        <v>26487</v>
      </c>
      <c r="C9529" t="s">
        <v>67</v>
      </c>
      <c r="D9529" t="s">
        <v>67</v>
      </c>
      <c r="E9529" t="s">
        <v>67</v>
      </c>
      <c r="F9529" t="s">
        <v>27987</v>
      </c>
      <c r="G9529" s="117">
        <v>30</v>
      </c>
    </row>
    <row r="9530" spans="1:7" x14ac:dyDescent="0.25">
      <c r="A9530" s="116" t="s">
        <v>14948</v>
      </c>
      <c r="B9530" s="117" t="s">
        <v>26488</v>
      </c>
      <c r="C9530" t="s">
        <v>67</v>
      </c>
      <c r="D9530" t="s">
        <v>67</v>
      </c>
      <c r="E9530" t="s">
        <v>67</v>
      </c>
      <c r="F9530" t="s">
        <v>27987</v>
      </c>
      <c r="G9530" s="117">
        <v>109.42</v>
      </c>
    </row>
    <row r="9531" spans="1:7" x14ac:dyDescent="0.25">
      <c r="A9531" s="116" t="s">
        <v>14949</v>
      </c>
      <c r="B9531" s="117" t="s">
        <v>26488</v>
      </c>
      <c r="C9531" t="s">
        <v>67</v>
      </c>
      <c r="D9531" t="s">
        <v>67</v>
      </c>
      <c r="E9531" t="s">
        <v>67</v>
      </c>
      <c r="F9531" t="s">
        <v>27987</v>
      </c>
      <c r="G9531" s="117">
        <v>126.88</v>
      </c>
    </row>
    <row r="9532" spans="1:7" x14ac:dyDescent="0.25">
      <c r="A9532" s="116" t="s">
        <v>14950</v>
      </c>
      <c r="B9532" s="117" t="s">
        <v>26488</v>
      </c>
      <c r="C9532" t="s">
        <v>67</v>
      </c>
      <c r="D9532" t="s">
        <v>67</v>
      </c>
      <c r="E9532" t="s">
        <v>67</v>
      </c>
      <c r="F9532" t="s">
        <v>27987</v>
      </c>
      <c r="G9532" s="117">
        <v>116</v>
      </c>
    </row>
    <row r="9533" spans="1:7" x14ac:dyDescent="0.25">
      <c r="A9533" s="116" t="s">
        <v>29176</v>
      </c>
      <c r="B9533" s="117" t="s">
        <v>29177</v>
      </c>
      <c r="C9533" t="s">
        <v>67</v>
      </c>
      <c r="D9533" t="s">
        <v>67</v>
      </c>
      <c r="E9533" t="s">
        <v>67</v>
      </c>
      <c r="F9533" t="s">
        <v>27987</v>
      </c>
      <c r="G9533" s="117">
        <v>3.7</v>
      </c>
    </row>
    <row r="9534" spans="1:7" x14ac:dyDescent="0.25">
      <c r="A9534" s="116" t="s">
        <v>14951</v>
      </c>
      <c r="B9534" s="117" t="s">
        <v>29160</v>
      </c>
      <c r="C9534" t="s">
        <v>67</v>
      </c>
      <c r="D9534" t="s">
        <v>67</v>
      </c>
      <c r="E9534" t="s">
        <v>67</v>
      </c>
      <c r="F9534" t="s">
        <v>27987</v>
      </c>
      <c r="G9534" s="117">
        <v>3.12</v>
      </c>
    </row>
    <row r="9535" spans="1:7" x14ac:dyDescent="0.25">
      <c r="A9535" s="116" t="s">
        <v>30633</v>
      </c>
      <c r="B9535" s="117" t="s">
        <v>30634</v>
      </c>
      <c r="C9535" t="s">
        <v>67</v>
      </c>
      <c r="D9535" t="s">
        <v>67</v>
      </c>
      <c r="E9535" t="s">
        <v>67</v>
      </c>
      <c r="F9535" t="s">
        <v>27987</v>
      </c>
      <c r="G9535" s="117">
        <v>6.83</v>
      </c>
    </row>
    <row r="9536" spans="1:7" x14ac:dyDescent="0.25">
      <c r="A9536" s="116" t="s">
        <v>30635</v>
      </c>
      <c r="B9536" s="117" t="s">
        <v>30636</v>
      </c>
      <c r="C9536" t="s">
        <v>67</v>
      </c>
      <c r="D9536" t="s">
        <v>67</v>
      </c>
      <c r="E9536" t="s">
        <v>67</v>
      </c>
      <c r="F9536" t="s">
        <v>27987</v>
      </c>
      <c r="G9536" s="117">
        <v>29.82</v>
      </c>
    </row>
    <row r="9537" spans="1:7" x14ac:dyDescent="0.25">
      <c r="A9537" s="116" t="s">
        <v>26945</v>
      </c>
      <c r="B9537" s="117" t="s">
        <v>29178</v>
      </c>
      <c r="C9537" t="s">
        <v>67</v>
      </c>
      <c r="D9537" t="s">
        <v>67</v>
      </c>
      <c r="E9537" t="s">
        <v>67</v>
      </c>
      <c r="F9537" t="s">
        <v>45</v>
      </c>
      <c r="G9537" s="117">
        <v>20</v>
      </c>
    </row>
    <row r="9538" spans="1:7" x14ac:dyDescent="0.25">
      <c r="A9538" s="116" t="s">
        <v>26946</v>
      </c>
      <c r="B9538" s="117" t="s">
        <v>29179</v>
      </c>
      <c r="C9538" t="s">
        <v>67</v>
      </c>
      <c r="D9538" t="s">
        <v>67</v>
      </c>
      <c r="E9538" t="s">
        <v>67</v>
      </c>
      <c r="F9538" t="s">
        <v>27987</v>
      </c>
      <c r="G9538" s="117">
        <v>7</v>
      </c>
    </row>
    <row r="9539" spans="1:7" x14ac:dyDescent="0.25">
      <c r="A9539" s="116" t="s">
        <v>29180</v>
      </c>
      <c r="B9539" s="117" t="s">
        <v>14965</v>
      </c>
      <c r="C9539" t="s">
        <v>67</v>
      </c>
      <c r="D9539" t="s">
        <v>67</v>
      </c>
      <c r="E9539" t="s">
        <v>67</v>
      </c>
      <c r="F9539" t="s">
        <v>27987</v>
      </c>
      <c r="G9539" s="117">
        <v>3</v>
      </c>
    </row>
    <row r="9540" spans="1:7" x14ac:dyDescent="0.25">
      <c r="A9540" s="116" t="s">
        <v>26609</v>
      </c>
      <c r="B9540" s="117" t="s">
        <v>26911</v>
      </c>
      <c r="C9540" t="s">
        <v>67</v>
      </c>
      <c r="D9540" t="s">
        <v>67</v>
      </c>
      <c r="E9540" t="s">
        <v>67</v>
      </c>
      <c r="F9540" t="s">
        <v>49</v>
      </c>
      <c r="G9540" s="117">
        <v>2.6</v>
      </c>
    </row>
    <row r="9541" spans="1:7" x14ac:dyDescent="0.25">
      <c r="A9541" s="116" t="s">
        <v>26636</v>
      </c>
      <c r="B9541" s="117" t="s">
        <v>26637</v>
      </c>
      <c r="C9541" t="s">
        <v>67</v>
      </c>
      <c r="D9541" t="s">
        <v>67</v>
      </c>
      <c r="E9541" t="s">
        <v>67</v>
      </c>
      <c r="F9541" t="s">
        <v>49</v>
      </c>
      <c r="G9541" s="117">
        <v>0.6</v>
      </c>
    </row>
    <row r="9542" spans="1:7" x14ac:dyDescent="0.25">
      <c r="A9542" s="116" t="s">
        <v>29944</v>
      </c>
      <c r="B9542" s="117" t="s">
        <v>14991</v>
      </c>
      <c r="C9542" t="s">
        <v>67</v>
      </c>
      <c r="D9542" t="s">
        <v>67</v>
      </c>
      <c r="E9542" t="s">
        <v>67</v>
      </c>
      <c r="F9542" t="s">
        <v>45</v>
      </c>
      <c r="G9542" s="117">
        <v>60.27</v>
      </c>
    </row>
    <row r="9543" spans="1:7" x14ac:dyDescent="0.25">
      <c r="A9543" s="116" t="s">
        <v>29945</v>
      </c>
      <c r="B9543" s="117" t="s">
        <v>5575</v>
      </c>
      <c r="C9543" t="s">
        <v>67</v>
      </c>
      <c r="D9543" t="s">
        <v>67</v>
      </c>
      <c r="E9543" t="s">
        <v>67</v>
      </c>
      <c r="F9543" t="s">
        <v>45</v>
      </c>
      <c r="G9543" s="117">
        <v>10</v>
      </c>
    </row>
    <row r="9544" spans="1:7" x14ac:dyDescent="0.25">
      <c r="A9544" s="116" t="s">
        <v>29181</v>
      </c>
      <c r="B9544" s="117" t="s">
        <v>31140</v>
      </c>
      <c r="C9544" t="s">
        <v>67</v>
      </c>
      <c r="D9544" t="s">
        <v>67</v>
      </c>
      <c r="E9544" t="s">
        <v>67</v>
      </c>
      <c r="F9544" t="s">
        <v>27987</v>
      </c>
      <c r="G9544" s="117">
        <v>6</v>
      </c>
    </row>
    <row r="9545" spans="1:7" x14ac:dyDescent="0.25">
      <c r="A9545" s="116" t="s">
        <v>26700</v>
      </c>
      <c r="B9545" s="117" t="s">
        <v>29182</v>
      </c>
      <c r="C9545" t="s">
        <v>67</v>
      </c>
      <c r="D9545" t="s">
        <v>67</v>
      </c>
      <c r="E9545" t="s">
        <v>67</v>
      </c>
      <c r="F9545" t="s">
        <v>27987</v>
      </c>
      <c r="G9545" s="117">
        <v>6</v>
      </c>
    </row>
    <row r="9546" spans="1:7" x14ac:dyDescent="0.25">
      <c r="A9546" s="116" t="s">
        <v>29847</v>
      </c>
      <c r="B9546" s="117" t="s">
        <v>30480</v>
      </c>
      <c r="C9546" t="s">
        <v>67</v>
      </c>
      <c r="D9546" t="s">
        <v>67</v>
      </c>
      <c r="E9546" t="s">
        <v>67</v>
      </c>
      <c r="F9546" t="s">
        <v>45</v>
      </c>
      <c r="G9546" s="117">
        <v>4</v>
      </c>
    </row>
    <row r="9547" spans="1:7" x14ac:dyDescent="0.25">
      <c r="A9547" s="116" t="s">
        <v>29183</v>
      </c>
      <c r="B9547" s="117" t="s">
        <v>5575</v>
      </c>
      <c r="C9547" t="s">
        <v>67</v>
      </c>
      <c r="D9547" t="s">
        <v>67</v>
      </c>
      <c r="E9547" t="s">
        <v>67</v>
      </c>
      <c r="F9547" t="s">
        <v>27987</v>
      </c>
      <c r="G9547" s="117">
        <v>4</v>
      </c>
    </row>
    <row r="9548" spans="1:7" x14ac:dyDescent="0.25">
      <c r="A9548" s="116" t="s">
        <v>29184</v>
      </c>
      <c r="B9548" s="117" t="s">
        <v>31141</v>
      </c>
      <c r="C9548" t="s">
        <v>67</v>
      </c>
      <c r="D9548" t="s">
        <v>67</v>
      </c>
      <c r="E9548" t="s">
        <v>67</v>
      </c>
      <c r="F9548" t="s">
        <v>27987</v>
      </c>
      <c r="G9548" s="117">
        <v>5.5</v>
      </c>
    </row>
    <row r="9549" spans="1:7" x14ac:dyDescent="0.25">
      <c r="A9549" s="116" t="s">
        <v>26974</v>
      </c>
      <c r="B9549" s="117" t="s">
        <v>29185</v>
      </c>
      <c r="C9549" t="s">
        <v>67</v>
      </c>
      <c r="D9549" t="s">
        <v>67</v>
      </c>
      <c r="E9549" t="s">
        <v>67</v>
      </c>
      <c r="F9549" t="s">
        <v>27987</v>
      </c>
      <c r="G9549" s="117">
        <v>25</v>
      </c>
    </row>
    <row r="9550" spans="1:7" x14ac:dyDescent="0.25">
      <c r="A9550" s="116" t="s">
        <v>29946</v>
      </c>
      <c r="B9550" s="117" t="s">
        <v>30481</v>
      </c>
      <c r="C9550" t="s">
        <v>67</v>
      </c>
      <c r="D9550" t="s">
        <v>67</v>
      </c>
      <c r="E9550" t="s">
        <v>67</v>
      </c>
      <c r="F9550" t="s">
        <v>27987</v>
      </c>
      <c r="G9550" s="117">
        <v>5.15</v>
      </c>
    </row>
    <row r="9551" spans="1:7" x14ac:dyDescent="0.25">
      <c r="A9551" s="116" t="s">
        <v>27051</v>
      </c>
      <c r="B9551" s="117" t="s">
        <v>29186</v>
      </c>
      <c r="C9551" t="s">
        <v>67</v>
      </c>
      <c r="D9551" t="s">
        <v>67</v>
      </c>
      <c r="E9551" t="s">
        <v>67</v>
      </c>
      <c r="F9551" t="s">
        <v>27987</v>
      </c>
      <c r="G9551" s="117">
        <v>4</v>
      </c>
    </row>
    <row r="9552" spans="1:7" x14ac:dyDescent="0.25">
      <c r="A9552" s="116" t="s">
        <v>29868</v>
      </c>
      <c r="B9552" s="117" t="s">
        <v>30482</v>
      </c>
      <c r="C9552" t="s">
        <v>67</v>
      </c>
      <c r="D9552" t="s">
        <v>67</v>
      </c>
      <c r="E9552" t="s">
        <v>67</v>
      </c>
      <c r="F9552" t="s">
        <v>27987</v>
      </c>
      <c r="G9552" s="117">
        <v>4</v>
      </c>
    </row>
    <row r="9553" spans="1:7" x14ac:dyDescent="0.25">
      <c r="A9553" s="116" t="s">
        <v>29187</v>
      </c>
      <c r="B9553" s="117" t="s">
        <v>29817</v>
      </c>
      <c r="C9553" t="s">
        <v>67</v>
      </c>
      <c r="D9553" t="s">
        <v>67</v>
      </c>
      <c r="E9553" t="s">
        <v>67</v>
      </c>
      <c r="F9553" t="s">
        <v>27987</v>
      </c>
      <c r="G9553" s="117">
        <v>12</v>
      </c>
    </row>
    <row r="9554" spans="1:7" x14ac:dyDescent="0.25">
      <c r="A9554" s="116" t="s">
        <v>29188</v>
      </c>
      <c r="B9554" s="117" t="s">
        <v>29818</v>
      </c>
      <c r="C9554" t="s">
        <v>67</v>
      </c>
      <c r="D9554" t="s">
        <v>67</v>
      </c>
      <c r="E9554" t="s">
        <v>67</v>
      </c>
      <c r="F9554" t="s">
        <v>27987</v>
      </c>
      <c r="G9554" s="117">
        <v>5</v>
      </c>
    </row>
    <row r="9555" spans="1:7" x14ac:dyDescent="0.25">
      <c r="A9555" s="116" t="s">
        <v>29189</v>
      </c>
      <c r="B9555" s="117" t="s">
        <v>30483</v>
      </c>
      <c r="C9555" t="s">
        <v>67</v>
      </c>
      <c r="D9555" t="s">
        <v>67</v>
      </c>
      <c r="E9555" t="s">
        <v>67</v>
      </c>
      <c r="F9555" t="s">
        <v>27987</v>
      </c>
      <c r="G9555" s="117">
        <v>4</v>
      </c>
    </row>
    <row r="9556" spans="1:7" x14ac:dyDescent="0.25">
      <c r="A9556" s="116" t="s">
        <v>29190</v>
      </c>
      <c r="B9556" s="117" t="s">
        <v>29819</v>
      </c>
      <c r="C9556" t="s">
        <v>67</v>
      </c>
      <c r="D9556" t="s">
        <v>67</v>
      </c>
      <c r="E9556" t="s">
        <v>67</v>
      </c>
      <c r="F9556" t="s">
        <v>27987</v>
      </c>
      <c r="G9556" s="117">
        <v>10</v>
      </c>
    </row>
    <row r="9557" spans="1:7" x14ac:dyDescent="0.25">
      <c r="A9557" s="116" t="s">
        <v>29191</v>
      </c>
      <c r="B9557" s="117" t="s">
        <v>29820</v>
      </c>
      <c r="C9557" t="s">
        <v>67</v>
      </c>
      <c r="D9557" t="s">
        <v>67</v>
      </c>
      <c r="E9557" t="s">
        <v>67</v>
      </c>
      <c r="F9557" t="s">
        <v>27987</v>
      </c>
      <c r="G9557" s="117">
        <v>5</v>
      </c>
    </row>
    <row r="9558" spans="1:7" x14ac:dyDescent="0.25">
      <c r="A9558" s="116" t="s">
        <v>29869</v>
      </c>
      <c r="B9558" s="117" t="s">
        <v>30484</v>
      </c>
      <c r="C9558" t="s">
        <v>67</v>
      </c>
      <c r="D9558" t="s">
        <v>67</v>
      </c>
      <c r="E9558" t="s">
        <v>67</v>
      </c>
      <c r="F9558" t="s">
        <v>27987</v>
      </c>
      <c r="G9558" s="117">
        <v>4.2</v>
      </c>
    </row>
    <row r="9559" spans="1:7" x14ac:dyDescent="0.25">
      <c r="A9559" s="116" t="s">
        <v>29821</v>
      </c>
      <c r="B9559" s="117" t="s">
        <v>30485</v>
      </c>
      <c r="C9559" t="s">
        <v>67</v>
      </c>
      <c r="D9559" t="s">
        <v>67</v>
      </c>
      <c r="E9559" t="s">
        <v>67</v>
      </c>
      <c r="F9559" t="s">
        <v>49</v>
      </c>
      <c r="G9559" s="117">
        <v>4</v>
      </c>
    </row>
    <row r="9560" spans="1:7" x14ac:dyDescent="0.25">
      <c r="A9560" s="116" t="s">
        <v>29192</v>
      </c>
      <c r="B9560" s="117" t="s">
        <v>30753</v>
      </c>
      <c r="C9560" t="s">
        <v>67</v>
      </c>
      <c r="D9560" t="s">
        <v>67</v>
      </c>
      <c r="E9560" t="s">
        <v>67</v>
      </c>
      <c r="F9560" t="s">
        <v>27987</v>
      </c>
      <c r="G9560" s="117">
        <v>5</v>
      </c>
    </row>
    <row r="9561" spans="1:7" x14ac:dyDescent="0.25">
      <c r="A9561" s="116" t="s">
        <v>29947</v>
      </c>
      <c r="B9561" s="117" t="s">
        <v>30486</v>
      </c>
      <c r="C9561" t="s">
        <v>67</v>
      </c>
      <c r="D9561" t="s">
        <v>67</v>
      </c>
      <c r="E9561" t="s">
        <v>67</v>
      </c>
      <c r="F9561" t="s">
        <v>27987</v>
      </c>
      <c r="G9561" s="117">
        <v>4</v>
      </c>
    </row>
    <row r="9562" spans="1:7" x14ac:dyDescent="0.25">
      <c r="A9562" s="116" t="s">
        <v>29193</v>
      </c>
      <c r="B9562" s="117" t="s">
        <v>30487</v>
      </c>
      <c r="C9562" t="s">
        <v>67</v>
      </c>
      <c r="D9562" t="s">
        <v>67</v>
      </c>
      <c r="E9562" t="s">
        <v>67</v>
      </c>
      <c r="F9562" t="s">
        <v>27987</v>
      </c>
      <c r="G9562" s="117">
        <v>5</v>
      </c>
    </row>
    <row r="9563" spans="1:7" x14ac:dyDescent="0.25">
      <c r="A9563" s="116" t="s">
        <v>29194</v>
      </c>
      <c r="B9563" s="117" t="s">
        <v>30488</v>
      </c>
      <c r="C9563" t="s">
        <v>67</v>
      </c>
      <c r="D9563" t="s">
        <v>67</v>
      </c>
      <c r="E9563" t="s">
        <v>67</v>
      </c>
      <c r="F9563" t="s">
        <v>27987</v>
      </c>
      <c r="G9563" s="117">
        <v>5</v>
      </c>
    </row>
    <row r="9564" spans="1:7" x14ac:dyDescent="0.25">
      <c r="A9564" s="116" t="s">
        <v>30959</v>
      </c>
      <c r="B9564" s="117" t="s">
        <v>30960</v>
      </c>
      <c r="C9564" t="s">
        <v>67</v>
      </c>
      <c r="D9564" t="s">
        <v>67</v>
      </c>
      <c r="E9564" t="s">
        <v>67</v>
      </c>
      <c r="F9564" t="s">
        <v>45</v>
      </c>
      <c r="G9564" s="117">
        <v>9999</v>
      </c>
    </row>
    <row r="9565" spans="1:7" x14ac:dyDescent="0.25">
      <c r="A9565" s="116" t="s">
        <v>30961</v>
      </c>
      <c r="B9565" s="117" t="s">
        <v>30962</v>
      </c>
      <c r="C9565" t="s">
        <v>67</v>
      </c>
      <c r="D9565" t="s">
        <v>67</v>
      </c>
      <c r="E9565" t="s">
        <v>67</v>
      </c>
      <c r="F9565" t="s">
        <v>45</v>
      </c>
      <c r="G9565" s="117">
        <v>9999</v>
      </c>
    </row>
    <row r="9566" spans="1:7" x14ac:dyDescent="0.25">
      <c r="A9566" s="116" t="s">
        <v>30963</v>
      </c>
      <c r="B9566" s="117" t="s">
        <v>30964</v>
      </c>
      <c r="C9566" t="s">
        <v>67</v>
      </c>
      <c r="D9566" t="s">
        <v>67</v>
      </c>
      <c r="E9566" t="s">
        <v>67</v>
      </c>
      <c r="F9566" t="s">
        <v>45</v>
      </c>
      <c r="G9566" s="117">
        <v>9999</v>
      </c>
    </row>
    <row r="9567" spans="1:7" x14ac:dyDescent="0.25">
      <c r="A9567" s="116" t="s">
        <v>30965</v>
      </c>
      <c r="B9567" s="117" t="s">
        <v>30966</v>
      </c>
      <c r="C9567" t="s">
        <v>67</v>
      </c>
      <c r="D9567" t="s">
        <v>67</v>
      </c>
      <c r="E9567" t="s">
        <v>67</v>
      </c>
      <c r="F9567" t="s">
        <v>45</v>
      </c>
      <c r="G9567" s="117">
        <v>9999</v>
      </c>
    </row>
    <row r="9568" spans="1:7" x14ac:dyDescent="0.25">
      <c r="A9568" s="116" t="s">
        <v>30967</v>
      </c>
      <c r="B9568" s="117" t="s">
        <v>30968</v>
      </c>
      <c r="C9568" t="s">
        <v>67</v>
      </c>
      <c r="D9568" t="s">
        <v>67</v>
      </c>
      <c r="E9568" t="s">
        <v>67</v>
      </c>
      <c r="F9568" t="s">
        <v>45</v>
      </c>
      <c r="G9568" s="117">
        <v>9999</v>
      </c>
    </row>
    <row r="9569" spans="1:7" x14ac:dyDescent="0.25">
      <c r="A9569" s="116" t="s">
        <v>30969</v>
      </c>
      <c r="B9569" s="117" t="s">
        <v>30970</v>
      </c>
      <c r="C9569" t="s">
        <v>67</v>
      </c>
      <c r="D9569" t="s">
        <v>67</v>
      </c>
      <c r="E9569" t="s">
        <v>67</v>
      </c>
      <c r="F9569" t="s">
        <v>45</v>
      </c>
      <c r="G9569" s="117">
        <v>9999</v>
      </c>
    </row>
    <row r="9570" spans="1:7" x14ac:dyDescent="0.25">
      <c r="A9570" s="116" t="s">
        <v>30971</v>
      </c>
      <c r="B9570" s="117" t="s">
        <v>30972</v>
      </c>
      <c r="C9570" t="s">
        <v>67</v>
      </c>
      <c r="D9570" t="s">
        <v>67</v>
      </c>
      <c r="E9570" t="s">
        <v>67</v>
      </c>
      <c r="F9570" t="s">
        <v>45</v>
      </c>
      <c r="G9570" s="117">
        <v>9999</v>
      </c>
    </row>
    <row r="9571" spans="1:7" x14ac:dyDescent="0.25">
      <c r="A9571" s="116" t="s">
        <v>30973</v>
      </c>
      <c r="B9571" s="117" t="s">
        <v>30974</v>
      </c>
      <c r="C9571" t="s">
        <v>67</v>
      </c>
      <c r="D9571" t="s">
        <v>67</v>
      </c>
      <c r="E9571" t="s">
        <v>67</v>
      </c>
      <c r="F9571" t="s">
        <v>45</v>
      </c>
      <c r="G9571" s="117">
        <v>9999</v>
      </c>
    </row>
    <row r="9572" spans="1:7" x14ac:dyDescent="0.25">
      <c r="A9572" s="116" t="s">
        <v>30975</v>
      </c>
      <c r="B9572" s="117" t="s">
        <v>30976</v>
      </c>
      <c r="C9572" t="s">
        <v>67</v>
      </c>
      <c r="D9572" t="s">
        <v>67</v>
      </c>
      <c r="E9572" t="s">
        <v>67</v>
      </c>
      <c r="F9572" t="s">
        <v>45</v>
      </c>
      <c r="G9572" s="117">
        <v>9999</v>
      </c>
    </row>
    <row r="9573" spans="1:7" x14ac:dyDescent="0.25">
      <c r="A9573" s="116" t="s">
        <v>30977</v>
      </c>
      <c r="B9573" s="117" t="s">
        <v>30978</v>
      </c>
      <c r="C9573" t="s">
        <v>67</v>
      </c>
      <c r="D9573" t="s">
        <v>67</v>
      </c>
      <c r="E9573" t="s">
        <v>67</v>
      </c>
      <c r="F9573" t="s">
        <v>27987</v>
      </c>
      <c r="G9573" s="117">
        <v>9999</v>
      </c>
    </row>
    <row r="9574" spans="1:7" x14ac:dyDescent="0.25">
      <c r="A9574" s="116" t="s">
        <v>30979</v>
      </c>
      <c r="B9574" s="117" t="s">
        <v>30980</v>
      </c>
      <c r="C9574" t="s">
        <v>67</v>
      </c>
      <c r="D9574" t="s">
        <v>67</v>
      </c>
      <c r="E9574" t="s">
        <v>67</v>
      </c>
      <c r="F9574" t="s">
        <v>45</v>
      </c>
      <c r="G9574" s="117">
        <v>9999</v>
      </c>
    </row>
    <row r="9575" spans="1:7" x14ac:dyDescent="0.25">
      <c r="A9575" s="116" t="s">
        <v>14952</v>
      </c>
      <c r="B9575" s="117" t="s">
        <v>14953</v>
      </c>
      <c r="C9575" t="s">
        <v>67</v>
      </c>
      <c r="D9575" t="s">
        <v>67</v>
      </c>
      <c r="E9575" t="s">
        <v>67</v>
      </c>
      <c r="F9575" t="s">
        <v>27987</v>
      </c>
      <c r="G9575" s="117">
        <v>14.14</v>
      </c>
    </row>
    <row r="9576" spans="1:7" x14ac:dyDescent="0.25">
      <c r="A9576" s="116" t="s">
        <v>14954</v>
      </c>
      <c r="B9576" s="117" t="s">
        <v>14955</v>
      </c>
      <c r="C9576" t="s">
        <v>67</v>
      </c>
      <c r="D9576" t="s">
        <v>67</v>
      </c>
      <c r="E9576" t="s">
        <v>67</v>
      </c>
      <c r="F9576" t="s">
        <v>27987</v>
      </c>
      <c r="G9576" s="117">
        <v>12.01</v>
      </c>
    </row>
    <row r="9577" spans="1:7" x14ac:dyDescent="0.25">
      <c r="A9577" s="116" t="s">
        <v>14956</v>
      </c>
      <c r="B9577" s="117" t="s">
        <v>14957</v>
      </c>
      <c r="C9577" t="s">
        <v>67</v>
      </c>
      <c r="D9577" t="s">
        <v>67</v>
      </c>
      <c r="E9577" t="s">
        <v>67</v>
      </c>
      <c r="F9577" t="s">
        <v>27987</v>
      </c>
      <c r="G9577" s="117">
        <v>13.26</v>
      </c>
    </row>
    <row r="9578" spans="1:7" x14ac:dyDescent="0.25">
      <c r="A9578" s="116" t="s">
        <v>14958</v>
      </c>
      <c r="B9578" s="117" t="s">
        <v>14959</v>
      </c>
      <c r="C9578" t="s">
        <v>67</v>
      </c>
      <c r="D9578" t="s">
        <v>67</v>
      </c>
      <c r="E9578" t="s">
        <v>67</v>
      </c>
      <c r="F9578" t="s">
        <v>27987</v>
      </c>
      <c r="G9578" s="117">
        <v>1.33</v>
      </c>
    </row>
    <row r="9579" spans="1:7" x14ac:dyDescent="0.25">
      <c r="A9579" s="116" t="s">
        <v>14960</v>
      </c>
      <c r="B9579" s="117" t="s">
        <v>14961</v>
      </c>
      <c r="C9579" t="s">
        <v>67</v>
      </c>
      <c r="D9579" t="s">
        <v>67</v>
      </c>
      <c r="E9579" t="s">
        <v>67</v>
      </c>
      <c r="F9579" t="s">
        <v>27987</v>
      </c>
      <c r="G9579" s="117">
        <v>8.4499999999999993</v>
      </c>
    </row>
    <row r="9580" spans="1:7" x14ac:dyDescent="0.25">
      <c r="A9580" s="116" t="s">
        <v>14962</v>
      </c>
      <c r="B9580" s="117" t="s">
        <v>14963</v>
      </c>
      <c r="C9580" t="s">
        <v>67</v>
      </c>
      <c r="D9580" t="s">
        <v>67</v>
      </c>
      <c r="E9580" t="s">
        <v>67</v>
      </c>
      <c r="F9580" t="s">
        <v>27987</v>
      </c>
      <c r="G9580" s="117">
        <v>13.26</v>
      </c>
    </row>
    <row r="9581" spans="1:7" x14ac:dyDescent="0.25">
      <c r="A9581" s="116" t="s">
        <v>14964</v>
      </c>
      <c r="B9581" s="117" t="s">
        <v>14965</v>
      </c>
      <c r="C9581" t="s">
        <v>67</v>
      </c>
      <c r="D9581" t="s">
        <v>67</v>
      </c>
      <c r="E9581" t="s">
        <v>67</v>
      </c>
      <c r="F9581" t="s">
        <v>49</v>
      </c>
      <c r="G9581" s="117">
        <v>0.8</v>
      </c>
    </row>
    <row r="9582" spans="1:7" x14ac:dyDescent="0.25">
      <c r="A9582" s="116" t="s">
        <v>14966</v>
      </c>
      <c r="B9582" s="117" t="s">
        <v>14967</v>
      </c>
      <c r="C9582" t="s">
        <v>67</v>
      </c>
      <c r="D9582" t="s">
        <v>67</v>
      </c>
      <c r="E9582" t="s">
        <v>67</v>
      </c>
      <c r="F9582" t="s">
        <v>27990</v>
      </c>
      <c r="G9582" s="117">
        <v>1.33</v>
      </c>
    </row>
    <row r="9583" spans="1:7" x14ac:dyDescent="0.25">
      <c r="A9583" s="116" t="s">
        <v>14968</v>
      </c>
      <c r="B9583" s="117" t="s">
        <v>14969</v>
      </c>
      <c r="C9583" t="s">
        <v>67</v>
      </c>
      <c r="D9583" t="s">
        <v>67</v>
      </c>
      <c r="E9583" t="s">
        <v>67</v>
      </c>
      <c r="F9583" t="s">
        <v>49</v>
      </c>
      <c r="G9583" s="117">
        <v>1.69</v>
      </c>
    </row>
    <row r="9584" spans="1:7" x14ac:dyDescent="0.25">
      <c r="A9584" s="116" t="s">
        <v>14970</v>
      </c>
      <c r="B9584" s="117" t="s">
        <v>14971</v>
      </c>
      <c r="C9584" t="s">
        <v>67</v>
      </c>
      <c r="D9584" t="s">
        <v>67</v>
      </c>
      <c r="E9584" t="s">
        <v>67</v>
      </c>
      <c r="F9584" t="s">
        <v>49</v>
      </c>
      <c r="G9584" s="117">
        <v>2.58</v>
      </c>
    </row>
    <row r="9585" spans="1:7" x14ac:dyDescent="0.25">
      <c r="A9585" s="116" t="s">
        <v>14972</v>
      </c>
      <c r="B9585" s="117" t="s">
        <v>10195</v>
      </c>
      <c r="C9585" t="s">
        <v>67</v>
      </c>
      <c r="D9585" t="s">
        <v>67</v>
      </c>
      <c r="E9585" t="s">
        <v>67</v>
      </c>
      <c r="F9585" t="s">
        <v>27990</v>
      </c>
      <c r="G9585" s="117">
        <v>0.8</v>
      </c>
    </row>
    <row r="9586" spans="1:7" x14ac:dyDescent="0.25">
      <c r="A9586" s="116" t="s">
        <v>14973</v>
      </c>
      <c r="B9586" s="117" t="s">
        <v>14974</v>
      </c>
      <c r="C9586" t="s">
        <v>67</v>
      </c>
      <c r="D9586" t="s">
        <v>67</v>
      </c>
      <c r="E9586" t="s">
        <v>67</v>
      </c>
      <c r="F9586" t="s">
        <v>45</v>
      </c>
      <c r="G9586" s="117">
        <v>1.33</v>
      </c>
    </row>
    <row r="9587" spans="1:7" x14ac:dyDescent="0.25">
      <c r="A9587" s="116" t="s">
        <v>14975</v>
      </c>
      <c r="B9587" s="117" t="s">
        <v>14976</v>
      </c>
      <c r="C9587" t="s">
        <v>67</v>
      </c>
      <c r="D9587" t="s">
        <v>67</v>
      </c>
      <c r="E9587" t="s">
        <v>67</v>
      </c>
      <c r="F9587" t="s">
        <v>27987</v>
      </c>
      <c r="G9587" s="117">
        <v>15.57</v>
      </c>
    </row>
    <row r="9588" spans="1:7" x14ac:dyDescent="0.25">
      <c r="A9588" s="116" t="s">
        <v>14977</v>
      </c>
      <c r="B9588" s="117" t="s">
        <v>14978</v>
      </c>
      <c r="C9588" t="s">
        <v>67</v>
      </c>
      <c r="D9588" t="s">
        <v>67</v>
      </c>
      <c r="E9588" t="s">
        <v>67</v>
      </c>
      <c r="F9588" t="s">
        <v>27987</v>
      </c>
      <c r="G9588" s="117">
        <v>6.14</v>
      </c>
    </row>
    <row r="9589" spans="1:7" x14ac:dyDescent="0.25">
      <c r="A9589" s="116" t="s">
        <v>14979</v>
      </c>
      <c r="B9589" s="117" t="s">
        <v>14980</v>
      </c>
      <c r="C9589" t="s">
        <v>67</v>
      </c>
      <c r="D9589" t="s">
        <v>67</v>
      </c>
      <c r="E9589" t="s">
        <v>67</v>
      </c>
      <c r="F9589" t="s">
        <v>49</v>
      </c>
      <c r="G9589" s="117">
        <v>4.8899999999999997</v>
      </c>
    </row>
    <row r="9590" spans="1:7" x14ac:dyDescent="0.25">
      <c r="A9590" s="116" t="s">
        <v>14981</v>
      </c>
      <c r="B9590" s="117" t="s">
        <v>14982</v>
      </c>
      <c r="C9590" t="s">
        <v>67</v>
      </c>
      <c r="D9590" t="s">
        <v>67</v>
      </c>
      <c r="E9590" t="s">
        <v>67</v>
      </c>
      <c r="F9590" t="s">
        <v>27987</v>
      </c>
      <c r="G9590" s="117">
        <v>0.44</v>
      </c>
    </row>
    <row r="9591" spans="1:7" x14ac:dyDescent="0.25">
      <c r="A9591" s="116" t="s">
        <v>14983</v>
      </c>
      <c r="B9591" s="117" t="s">
        <v>14765</v>
      </c>
      <c r="C9591" t="s">
        <v>67</v>
      </c>
      <c r="D9591" t="s">
        <v>67</v>
      </c>
      <c r="E9591" t="s">
        <v>67</v>
      </c>
      <c r="F9591" t="s">
        <v>49</v>
      </c>
      <c r="G9591" s="117">
        <v>6.68</v>
      </c>
    </row>
    <row r="9592" spans="1:7" x14ac:dyDescent="0.25">
      <c r="A9592" s="116" t="s">
        <v>14984</v>
      </c>
      <c r="B9592" s="117" t="s">
        <v>14985</v>
      </c>
      <c r="C9592" t="s">
        <v>67</v>
      </c>
      <c r="D9592" t="s">
        <v>67</v>
      </c>
      <c r="E9592" t="s">
        <v>67</v>
      </c>
      <c r="F9592" t="s">
        <v>27987</v>
      </c>
      <c r="G9592" s="117">
        <v>0.8</v>
      </c>
    </row>
    <row r="9593" spans="1:7" x14ac:dyDescent="0.25">
      <c r="A9593" s="116" t="s">
        <v>14986</v>
      </c>
      <c r="B9593" s="117" t="s">
        <v>14987</v>
      </c>
      <c r="C9593" t="s">
        <v>67</v>
      </c>
      <c r="D9593" t="s">
        <v>67</v>
      </c>
      <c r="E9593" t="s">
        <v>67</v>
      </c>
      <c r="F9593" t="s">
        <v>27987</v>
      </c>
      <c r="G9593" s="117">
        <v>0.8</v>
      </c>
    </row>
    <row r="9594" spans="1:7" x14ac:dyDescent="0.25">
      <c r="A9594" s="116" t="s">
        <v>14988</v>
      </c>
      <c r="B9594" s="117" t="s">
        <v>14989</v>
      </c>
      <c r="C9594" t="s">
        <v>67</v>
      </c>
      <c r="D9594" t="s">
        <v>67</v>
      </c>
      <c r="E9594" t="s">
        <v>67</v>
      </c>
      <c r="F9594" t="s">
        <v>27987</v>
      </c>
      <c r="G9594" s="117">
        <v>20.38</v>
      </c>
    </row>
    <row r="9595" spans="1:7" x14ac:dyDescent="0.25">
      <c r="A9595" s="116" t="s">
        <v>14990</v>
      </c>
      <c r="B9595" s="117" t="s">
        <v>14991</v>
      </c>
      <c r="C9595" t="s">
        <v>67</v>
      </c>
      <c r="D9595" t="s">
        <v>67</v>
      </c>
      <c r="E9595" t="s">
        <v>67</v>
      </c>
      <c r="F9595" t="s">
        <v>49</v>
      </c>
      <c r="G9595" s="117">
        <v>17.7</v>
      </c>
    </row>
    <row r="9596" spans="1:7" x14ac:dyDescent="0.25">
      <c r="A9596" s="116" t="s">
        <v>14992</v>
      </c>
      <c r="B9596" s="117" t="s">
        <v>14993</v>
      </c>
      <c r="C9596" t="s">
        <v>67</v>
      </c>
      <c r="D9596" t="s">
        <v>67</v>
      </c>
      <c r="E9596" t="s">
        <v>67</v>
      </c>
      <c r="F9596" t="s">
        <v>27987</v>
      </c>
      <c r="G9596" s="117">
        <v>1.91</v>
      </c>
    </row>
    <row r="9597" spans="1:7" x14ac:dyDescent="0.25">
      <c r="A9597" s="116" t="s">
        <v>14994</v>
      </c>
      <c r="B9597" s="117" t="s">
        <v>14995</v>
      </c>
      <c r="C9597" t="s">
        <v>67</v>
      </c>
      <c r="D9597" t="s">
        <v>67</v>
      </c>
      <c r="E9597" t="s">
        <v>67</v>
      </c>
      <c r="F9597" t="s">
        <v>27987</v>
      </c>
      <c r="G9597" s="117">
        <v>27.38</v>
      </c>
    </row>
    <row r="9598" spans="1:7" x14ac:dyDescent="0.25">
      <c r="A9598" s="116" t="s">
        <v>14996</v>
      </c>
      <c r="B9598" s="117" t="s">
        <v>14997</v>
      </c>
      <c r="C9598" t="s">
        <v>67</v>
      </c>
      <c r="D9598" t="s">
        <v>67</v>
      </c>
      <c r="E9598" t="s">
        <v>67</v>
      </c>
      <c r="F9598" t="s">
        <v>45</v>
      </c>
      <c r="G9598" s="117">
        <v>3.56</v>
      </c>
    </row>
    <row r="9599" spans="1:7" x14ac:dyDescent="0.25">
      <c r="A9599" s="116" t="s">
        <v>14998</v>
      </c>
      <c r="B9599" s="117" t="s">
        <v>14999</v>
      </c>
      <c r="C9599" t="s">
        <v>67</v>
      </c>
      <c r="D9599" t="s">
        <v>67</v>
      </c>
      <c r="E9599" t="s">
        <v>67</v>
      </c>
      <c r="F9599" t="s">
        <v>51</v>
      </c>
      <c r="G9599" s="117">
        <v>2.58</v>
      </c>
    </row>
    <row r="9600" spans="1:7" x14ac:dyDescent="0.25">
      <c r="A9600" s="116" t="s">
        <v>15000</v>
      </c>
      <c r="B9600" s="117" t="s">
        <v>15001</v>
      </c>
      <c r="C9600" t="s">
        <v>67</v>
      </c>
      <c r="D9600" t="s">
        <v>67</v>
      </c>
      <c r="E9600" t="s">
        <v>67</v>
      </c>
      <c r="F9600" t="s">
        <v>27987</v>
      </c>
      <c r="G9600" s="117">
        <v>0.8</v>
      </c>
    </row>
    <row r="9601" spans="1:7" x14ac:dyDescent="0.25">
      <c r="A9601" s="116" t="s">
        <v>15002</v>
      </c>
      <c r="B9601" s="117" t="s">
        <v>15003</v>
      </c>
      <c r="C9601" t="s">
        <v>67</v>
      </c>
      <c r="D9601" t="s">
        <v>67</v>
      </c>
      <c r="E9601" t="s">
        <v>67</v>
      </c>
      <c r="F9601" t="s">
        <v>27987</v>
      </c>
      <c r="G9601" s="117">
        <v>10.24</v>
      </c>
    </row>
    <row r="9602" spans="1:7" x14ac:dyDescent="0.25">
      <c r="A9602" s="116" t="s">
        <v>15004</v>
      </c>
      <c r="B9602" s="117" t="s">
        <v>15005</v>
      </c>
      <c r="C9602" t="s">
        <v>67</v>
      </c>
      <c r="D9602" t="s">
        <v>67</v>
      </c>
      <c r="E9602" t="s">
        <v>67</v>
      </c>
      <c r="F9602" t="s">
        <v>27987</v>
      </c>
      <c r="G9602" s="117">
        <v>10.24</v>
      </c>
    </row>
    <row r="9603" spans="1:7" x14ac:dyDescent="0.25">
      <c r="A9603" s="116" t="s">
        <v>15006</v>
      </c>
      <c r="B9603" s="117" t="s">
        <v>6001</v>
      </c>
      <c r="C9603" t="s">
        <v>67</v>
      </c>
      <c r="D9603" t="s">
        <v>67</v>
      </c>
      <c r="E9603" t="s">
        <v>67</v>
      </c>
      <c r="F9603" t="s">
        <v>49</v>
      </c>
      <c r="G9603" s="117">
        <v>15.17</v>
      </c>
    </row>
    <row r="9604" spans="1:7" x14ac:dyDescent="0.25">
      <c r="A9604" s="116" t="s">
        <v>15007</v>
      </c>
      <c r="B9604" s="117" t="s">
        <v>15008</v>
      </c>
      <c r="C9604" t="s">
        <v>67</v>
      </c>
      <c r="D9604" t="s">
        <v>67</v>
      </c>
      <c r="E9604" t="s">
        <v>67</v>
      </c>
      <c r="F9604" t="s">
        <v>27987</v>
      </c>
      <c r="G9604" s="117">
        <v>18.239999999999998</v>
      </c>
    </row>
    <row r="9605" spans="1:7" x14ac:dyDescent="0.25">
      <c r="A9605" s="116" t="s">
        <v>15009</v>
      </c>
      <c r="B9605" s="117" t="s">
        <v>15010</v>
      </c>
      <c r="C9605" t="s">
        <v>67</v>
      </c>
      <c r="D9605" t="s">
        <v>67</v>
      </c>
      <c r="E9605" t="s">
        <v>67</v>
      </c>
      <c r="F9605" t="s">
        <v>49</v>
      </c>
      <c r="G9605" s="117">
        <v>0.8</v>
      </c>
    </row>
    <row r="9606" spans="1:7" x14ac:dyDescent="0.25">
      <c r="A9606" s="116" t="s">
        <v>15011</v>
      </c>
      <c r="B9606" s="117" t="s">
        <v>12636</v>
      </c>
      <c r="C9606" t="s">
        <v>67</v>
      </c>
      <c r="D9606" t="s">
        <v>67</v>
      </c>
      <c r="E9606" t="s">
        <v>67</v>
      </c>
      <c r="F9606" t="s">
        <v>27990</v>
      </c>
      <c r="G9606" s="117">
        <v>15.57</v>
      </c>
    </row>
    <row r="9607" spans="1:7" x14ac:dyDescent="0.25">
      <c r="A9607" s="116" t="s">
        <v>15012</v>
      </c>
      <c r="B9607" s="117" t="s">
        <v>29195</v>
      </c>
      <c r="C9607" t="s">
        <v>67</v>
      </c>
      <c r="D9607" t="s">
        <v>67</v>
      </c>
      <c r="E9607" t="s">
        <v>67</v>
      </c>
      <c r="F9607" t="s">
        <v>49</v>
      </c>
      <c r="G9607" s="117">
        <v>1.69</v>
      </c>
    </row>
    <row r="9608" spans="1:7" x14ac:dyDescent="0.25">
      <c r="A9608" s="116" t="s">
        <v>26638</v>
      </c>
      <c r="B9608" s="117" t="s">
        <v>26639</v>
      </c>
      <c r="C9608" t="s">
        <v>67</v>
      </c>
      <c r="D9608" t="s">
        <v>67</v>
      </c>
      <c r="E9608" t="s">
        <v>67</v>
      </c>
      <c r="F9608" t="s">
        <v>27987</v>
      </c>
      <c r="G9608" s="117">
        <v>2.27</v>
      </c>
    </row>
    <row r="9609" spans="1:7" x14ac:dyDescent="0.25">
      <c r="A9609" s="116" t="s">
        <v>15013</v>
      </c>
      <c r="B9609" s="117" t="s">
        <v>15014</v>
      </c>
      <c r="C9609" t="s">
        <v>67</v>
      </c>
      <c r="D9609" t="s">
        <v>67</v>
      </c>
      <c r="E9609" t="s">
        <v>67</v>
      </c>
      <c r="F9609" t="s">
        <v>27987</v>
      </c>
      <c r="G9609" s="117">
        <v>2.58</v>
      </c>
    </row>
    <row r="9610" spans="1:7" x14ac:dyDescent="0.25">
      <c r="A9610" s="116" t="s">
        <v>15015</v>
      </c>
      <c r="B9610" s="117" t="s">
        <v>15016</v>
      </c>
      <c r="C9610" t="s">
        <v>67</v>
      </c>
      <c r="D9610" t="s">
        <v>67</v>
      </c>
      <c r="E9610" t="s">
        <v>67</v>
      </c>
      <c r="F9610" t="s">
        <v>27987</v>
      </c>
      <c r="G9610" s="117">
        <v>7.02</v>
      </c>
    </row>
    <row r="9611" spans="1:7" x14ac:dyDescent="0.25">
      <c r="A9611" s="116" t="s">
        <v>15017</v>
      </c>
      <c r="B9611" s="117" t="s">
        <v>15018</v>
      </c>
      <c r="C9611" t="s">
        <v>67</v>
      </c>
      <c r="D9611" t="s">
        <v>67</v>
      </c>
      <c r="E9611" t="s">
        <v>67</v>
      </c>
      <c r="F9611" t="s">
        <v>45</v>
      </c>
      <c r="G9611" s="117">
        <v>1.69</v>
      </c>
    </row>
    <row r="9612" spans="1:7" x14ac:dyDescent="0.25">
      <c r="A9612" s="116" t="s">
        <v>15019</v>
      </c>
      <c r="B9612" s="117" t="s">
        <v>15020</v>
      </c>
      <c r="C9612" t="s">
        <v>67</v>
      </c>
      <c r="D9612" t="s">
        <v>67</v>
      </c>
      <c r="E9612" t="s">
        <v>67</v>
      </c>
      <c r="F9612" t="s">
        <v>45</v>
      </c>
      <c r="G9612" s="117">
        <v>1.33</v>
      </c>
    </row>
    <row r="9613" spans="1:7" x14ac:dyDescent="0.25">
      <c r="A9613" s="116" t="s">
        <v>15021</v>
      </c>
      <c r="B9613" s="117" t="s">
        <v>15022</v>
      </c>
      <c r="C9613" t="s">
        <v>67</v>
      </c>
      <c r="D9613" t="s">
        <v>67</v>
      </c>
      <c r="E9613" t="s">
        <v>67</v>
      </c>
      <c r="F9613" t="s">
        <v>49</v>
      </c>
      <c r="G9613" s="117">
        <v>11.12</v>
      </c>
    </row>
    <row r="9614" spans="1:7" x14ac:dyDescent="0.25">
      <c r="A9614" s="116" t="s">
        <v>15023</v>
      </c>
      <c r="B9614" s="117" t="s">
        <v>14641</v>
      </c>
      <c r="C9614" t="s">
        <v>67</v>
      </c>
      <c r="D9614" t="s">
        <v>67</v>
      </c>
      <c r="E9614" t="s">
        <v>67</v>
      </c>
      <c r="F9614" t="s">
        <v>49</v>
      </c>
      <c r="G9614" s="117">
        <v>0.44</v>
      </c>
    </row>
    <row r="9615" spans="1:7" x14ac:dyDescent="0.25">
      <c r="A9615" s="116" t="s">
        <v>15024</v>
      </c>
      <c r="B9615" s="117" t="s">
        <v>15025</v>
      </c>
      <c r="C9615" t="s">
        <v>67</v>
      </c>
      <c r="D9615" t="s">
        <v>67</v>
      </c>
      <c r="E9615" t="s">
        <v>67</v>
      </c>
      <c r="F9615" t="s">
        <v>51</v>
      </c>
      <c r="G9615" s="117">
        <v>5.33</v>
      </c>
    </row>
    <row r="9616" spans="1:7" x14ac:dyDescent="0.25">
      <c r="A9616" s="116" t="s">
        <v>15026</v>
      </c>
      <c r="B9616" s="117" t="s">
        <v>15027</v>
      </c>
      <c r="C9616" t="s">
        <v>67</v>
      </c>
      <c r="D9616" t="s">
        <v>67</v>
      </c>
      <c r="E9616" t="s">
        <v>67</v>
      </c>
      <c r="F9616" t="s">
        <v>49</v>
      </c>
      <c r="G9616" s="117">
        <v>5.25</v>
      </c>
    </row>
    <row r="9617" spans="1:7" x14ac:dyDescent="0.25">
      <c r="A9617" s="116" t="s">
        <v>15028</v>
      </c>
      <c r="B9617" s="117" t="s">
        <v>15029</v>
      </c>
      <c r="C9617" t="s">
        <v>67</v>
      </c>
      <c r="D9617" t="s">
        <v>67</v>
      </c>
      <c r="E9617" t="s">
        <v>67</v>
      </c>
      <c r="F9617" t="s">
        <v>27987</v>
      </c>
      <c r="G9617" s="117">
        <v>28.38</v>
      </c>
    </row>
    <row r="9618" spans="1:7" x14ac:dyDescent="0.25">
      <c r="A9618" s="116" t="s">
        <v>15030</v>
      </c>
      <c r="B9618" s="117" t="s">
        <v>15031</v>
      </c>
      <c r="C9618" t="s">
        <v>67</v>
      </c>
      <c r="D9618" t="s">
        <v>67</v>
      </c>
      <c r="E9618" t="s">
        <v>67</v>
      </c>
      <c r="F9618" t="s">
        <v>49</v>
      </c>
      <c r="G9618" s="117">
        <v>3.56</v>
      </c>
    </row>
    <row r="9619" spans="1:7" x14ac:dyDescent="0.25">
      <c r="A9619" s="116" t="s">
        <v>15032</v>
      </c>
      <c r="B9619" s="117" t="s">
        <v>29196</v>
      </c>
      <c r="C9619" t="s">
        <v>67</v>
      </c>
      <c r="D9619" t="s">
        <v>67</v>
      </c>
      <c r="E9619" t="s">
        <v>67</v>
      </c>
      <c r="F9619" t="s">
        <v>27987</v>
      </c>
      <c r="G9619" s="117">
        <v>0.89</v>
      </c>
    </row>
    <row r="9620" spans="1:7" x14ac:dyDescent="0.25">
      <c r="A9620" s="116" t="s">
        <v>15033</v>
      </c>
      <c r="B9620" s="117" t="s">
        <v>15034</v>
      </c>
      <c r="C9620" t="s">
        <v>67</v>
      </c>
      <c r="D9620" t="s">
        <v>67</v>
      </c>
      <c r="E9620" t="s">
        <v>67</v>
      </c>
      <c r="F9620" t="s">
        <v>49</v>
      </c>
      <c r="G9620" s="117">
        <v>0.8</v>
      </c>
    </row>
    <row r="9621" spans="1:7" x14ac:dyDescent="0.25">
      <c r="A9621" s="116" t="s">
        <v>15035</v>
      </c>
      <c r="B9621" s="117" t="s">
        <v>15036</v>
      </c>
      <c r="C9621" t="s">
        <v>67</v>
      </c>
      <c r="D9621" t="s">
        <v>67</v>
      </c>
      <c r="E9621" t="s">
        <v>67</v>
      </c>
      <c r="F9621" t="s">
        <v>45</v>
      </c>
      <c r="G9621" s="117">
        <v>1.33</v>
      </c>
    </row>
    <row r="9622" spans="1:7" x14ac:dyDescent="0.25">
      <c r="A9622" s="116" t="s">
        <v>15037</v>
      </c>
      <c r="B9622" s="117" t="s">
        <v>15036</v>
      </c>
      <c r="C9622" t="s">
        <v>67</v>
      </c>
      <c r="D9622" t="s">
        <v>67</v>
      </c>
      <c r="E9622" t="s">
        <v>67</v>
      </c>
      <c r="F9622" t="s">
        <v>45</v>
      </c>
      <c r="G9622" s="117">
        <v>2.58</v>
      </c>
    </row>
    <row r="9623" spans="1:7" x14ac:dyDescent="0.25">
      <c r="A9623" s="116" t="s">
        <v>15038</v>
      </c>
      <c r="B9623" s="117" t="s">
        <v>15036</v>
      </c>
      <c r="C9623" t="s">
        <v>67</v>
      </c>
      <c r="D9623" t="s">
        <v>67</v>
      </c>
      <c r="E9623" t="s">
        <v>67</v>
      </c>
      <c r="F9623" t="s">
        <v>45</v>
      </c>
      <c r="G9623" s="117">
        <v>2.58</v>
      </c>
    </row>
    <row r="9624" spans="1:7" x14ac:dyDescent="0.25">
      <c r="A9624" s="116" t="s">
        <v>15039</v>
      </c>
      <c r="B9624" s="117" t="s">
        <v>15014</v>
      </c>
      <c r="C9624" t="s">
        <v>67</v>
      </c>
      <c r="D9624" t="s">
        <v>67</v>
      </c>
      <c r="E9624" t="s">
        <v>67</v>
      </c>
      <c r="F9624" t="s">
        <v>49</v>
      </c>
      <c r="G9624" s="117">
        <v>1.33</v>
      </c>
    </row>
    <row r="9625" spans="1:7" x14ac:dyDescent="0.25">
      <c r="A9625" s="116" t="s">
        <v>15040</v>
      </c>
      <c r="B9625" s="117" t="s">
        <v>15041</v>
      </c>
      <c r="C9625" t="s">
        <v>67</v>
      </c>
      <c r="D9625" t="s">
        <v>67</v>
      </c>
      <c r="E9625" t="s">
        <v>67</v>
      </c>
      <c r="F9625" t="s">
        <v>27987</v>
      </c>
      <c r="G9625" s="117">
        <v>1.33</v>
      </c>
    </row>
    <row r="9626" spans="1:7" x14ac:dyDescent="0.25">
      <c r="A9626" s="116" t="s">
        <v>15042</v>
      </c>
      <c r="B9626" s="117" t="s">
        <v>14997</v>
      </c>
      <c r="C9626" t="s">
        <v>67</v>
      </c>
      <c r="D9626" t="s">
        <v>67</v>
      </c>
      <c r="E9626" t="s">
        <v>67</v>
      </c>
      <c r="F9626" t="s">
        <v>45</v>
      </c>
      <c r="G9626" s="117">
        <v>1.33</v>
      </c>
    </row>
    <row r="9627" spans="1:7" x14ac:dyDescent="0.25">
      <c r="A9627" s="116" t="s">
        <v>15043</v>
      </c>
      <c r="B9627" s="117" t="s">
        <v>15044</v>
      </c>
      <c r="C9627" t="s">
        <v>67</v>
      </c>
      <c r="D9627" t="s">
        <v>67</v>
      </c>
      <c r="E9627" t="s">
        <v>67</v>
      </c>
      <c r="F9627" t="s">
        <v>45</v>
      </c>
      <c r="G9627" s="117">
        <v>4.8899999999999997</v>
      </c>
    </row>
    <row r="9628" spans="1:7" x14ac:dyDescent="0.25">
      <c r="A9628" s="116" t="s">
        <v>15045</v>
      </c>
      <c r="B9628" s="117" t="s">
        <v>12884</v>
      </c>
      <c r="C9628" t="s">
        <v>67</v>
      </c>
      <c r="D9628" t="s">
        <v>67</v>
      </c>
      <c r="E9628" t="s">
        <v>67</v>
      </c>
      <c r="F9628" t="s">
        <v>49</v>
      </c>
      <c r="G9628" s="117">
        <v>1.33</v>
      </c>
    </row>
    <row r="9629" spans="1:7" x14ac:dyDescent="0.25">
      <c r="A9629" s="116" t="s">
        <v>15046</v>
      </c>
      <c r="B9629" s="117" t="s">
        <v>2494</v>
      </c>
      <c r="C9629" t="s">
        <v>67</v>
      </c>
      <c r="D9629" t="s">
        <v>67</v>
      </c>
      <c r="E9629" t="s">
        <v>67</v>
      </c>
      <c r="F9629" t="s">
        <v>49</v>
      </c>
      <c r="G9629" s="117">
        <v>1.33</v>
      </c>
    </row>
    <row r="9630" spans="1:7" x14ac:dyDescent="0.25">
      <c r="A9630" s="116" t="s">
        <v>15047</v>
      </c>
      <c r="B9630" s="117" t="s">
        <v>15048</v>
      </c>
      <c r="C9630" t="s">
        <v>67</v>
      </c>
      <c r="D9630" t="s">
        <v>67</v>
      </c>
      <c r="E9630" t="s">
        <v>67</v>
      </c>
      <c r="F9630" t="s">
        <v>49</v>
      </c>
      <c r="G9630" s="117">
        <v>5.25</v>
      </c>
    </row>
    <row r="9631" spans="1:7" x14ac:dyDescent="0.25">
      <c r="A9631" s="116" t="s">
        <v>15049</v>
      </c>
      <c r="B9631" s="117" t="s">
        <v>29197</v>
      </c>
      <c r="C9631" t="s">
        <v>67</v>
      </c>
      <c r="D9631" t="s">
        <v>67</v>
      </c>
      <c r="E9631" t="s">
        <v>67</v>
      </c>
      <c r="F9631" t="s">
        <v>27990</v>
      </c>
      <c r="G9631" s="117">
        <v>2.58</v>
      </c>
    </row>
    <row r="9632" spans="1:7" x14ac:dyDescent="0.25">
      <c r="A9632" s="116" t="s">
        <v>15050</v>
      </c>
      <c r="B9632" s="117" t="s">
        <v>15051</v>
      </c>
      <c r="C9632" t="s">
        <v>67</v>
      </c>
      <c r="D9632" t="s">
        <v>67</v>
      </c>
      <c r="E9632" t="s">
        <v>67</v>
      </c>
      <c r="F9632" t="s">
        <v>27987</v>
      </c>
      <c r="G9632" s="117">
        <v>4.8899999999999997</v>
      </c>
    </row>
    <row r="9633" spans="1:7" x14ac:dyDescent="0.25">
      <c r="A9633" s="116" t="s">
        <v>15052</v>
      </c>
      <c r="B9633" s="117" t="s">
        <v>15014</v>
      </c>
      <c r="C9633" t="s">
        <v>67</v>
      </c>
      <c r="D9633" t="s">
        <v>67</v>
      </c>
      <c r="E9633" t="s">
        <v>67</v>
      </c>
      <c r="F9633" t="s">
        <v>45</v>
      </c>
      <c r="G9633" s="117">
        <v>4.3600000000000003</v>
      </c>
    </row>
    <row r="9634" spans="1:7" x14ac:dyDescent="0.25">
      <c r="A9634" s="116" t="s">
        <v>15053</v>
      </c>
      <c r="B9634" s="117" t="s">
        <v>15054</v>
      </c>
      <c r="C9634" t="s">
        <v>67</v>
      </c>
      <c r="D9634" t="s">
        <v>67</v>
      </c>
      <c r="E9634" t="s">
        <v>67</v>
      </c>
      <c r="F9634" t="s">
        <v>27990</v>
      </c>
      <c r="G9634" s="117">
        <v>0.8</v>
      </c>
    </row>
    <row r="9635" spans="1:7" x14ac:dyDescent="0.25">
      <c r="A9635" s="116" t="s">
        <v>15055</v>
      </c>
      <c r="B9635" s="117" t="s">
        <v>15056</v>
      </c>
      <c r="C9635" t="s">
        <v>67</v>
      </c>
      <c r="D9635" t="s">
        <v>67</v>
      </c>
      <c r="E9635" t="s">
        <v>67</v>
      </c>
      <c r="F9635" t="s">
        <v>27987</v>
      </c>
      <c r="G9635" s="117">
        <v>6.14</v>
      </c>
    </row>
    <row r="9636" spans="1:7" x14ac:dyDescent="0.25">
      <c r="A9636" s="116" t="s">
        <v>15057</v>
      </c>
      <c r="B9636" s="117" t="s">
        <v>15058</v>
      </c>
      <c r="C9636" t="s">
        <v>67</v>
      </c>
      <c r="D9636" t="s">
        <v>67</v>
      </c>
      <c r="E9636" t="s">
        <v>67</v>
      </c>
      <c r="F9636" t="s">
        <v>49</v>
      </c>
      <c r="G9636" s="117">
        <v>1.33</v>
      </c>
    </row>
    <row r="9637" spans="1:7" x14ac:dyDescent="0.25">
      <c r="A9637" s="116" t="s">
        <v>15059</v>
      </c>
      <c r="B9637" s="117" t="s">
        <v>15060</v>
      </c>
      <c r="C9637" t="s">
        <v>67</v>
      </c>
      <c r="D9637" t="s">
        <v>67</v>
      </c>
      <c r="E9637" t="s">
        <v>67</v>
      </c>
      <c r="F9637" t="s">
        <v>49</v>
      </c>
      <c r="G9637" s="117">
        <v>15.93</v>
      </c>
    </row>
    <row r="9638" spans="1:7" x14ac:dyDescent="0.25">
      <c r="A9638" s="116" t="s">
        <v>15061</v>
      </c>
      <c r="B9638" s="117" t="s">
        <v>15062</v>
      </c>
      <c r="C9638" t="s">
        <v>67</v>
      </c>
      <c r="D9638" t="s">
        <v>67</v>
      </c>
      <c r="E9638" t="s">
        <v>67</v>
      </c>
      <c r="F9638" t="s">
        <v>49</v>
      </c>
      <c r="G9638" s="117">
        <v>2.23</v>
      </c>
    </row>
    <row r="9639" spans="1:7" x14ac:dyDescent="0.25">
      <c r="A9639" s="116" t="s">
        <v>15063</v>
      </c>
      <c r="B9639" s="117" t="s">
        <v>15064</v>
      </c>
      <c r="C9639" t="s">
        <v>67</v>
      </c>
      <c r="D9639" t="s">
        <v>67</v>
      </c>
      <c r="E9639" t="s">
        <v>67</v>
      </c>
      <c r="F9639" t="s">
        <v>27987</v>
      </c>
      <c r="G9639" s="117">
        <v>9.6999999999999993</v>
      </c>
    </row>
    <row r="9640" spans="1:7" x14ac:dyDescent="0.25">
      <c r="A9640" s="116" t="s">
        <v>15065</v>
      </c>
      <c r="B9640" s="117" t="s">
        <v>15066</v>
      </c>
      <c r="C9640" t="s">
        <v>67</v>
      </c>
      <c r="D9640" t="s">
        <v>67</v>
      </c>
      <c r="E9640" t="s">
        <v>67</v>
      </c>
      <c r="F9640" t="s">
        <v>45</v>
      </c>
      <c r="G9640" s="117">
        <v>0.8</v>
      </c>
    </row>
    <row r="9641" spans="1:7" x14ac:dyDescent="0.25">
      <c r="A9641" s="116" t="s">
        <v>15067</v>
      </c>
      <c r="B9641" s="117" t="s">
        <v>15068</v>
      </c>
      <c r="C9641" t="s">
        <v>67</v>
      </c>
      <c r="D9641" t="s">
        <v>67</v>
      </c>
      <c r="E9641" t="s">
        <v>67</v>
      </c>
      <c r="F9641" t="s">
        <v>49</v>
      </c>
      <c r="G9641" s="117">
        <v>0.8</v>
      </c>
    </row>
    <row r="9642" spans="1:7" x14ac:dyDescent="0.25">
      <c r="A9642" s="116" t="s">
        <v>15069</v>
      </c>
      <c r="B9642" s="117" t="s">
        <v>15070</v>
      </c>
      <c r="C9642" t="s">
        <v>67</v>
      </c>
      <c r="D9642" t="s">
        <v>67</v>
      </c>
      <c r="E9642" t="s">
        <v>67</v>
      </c>
      <c r="F9642" t="s">
        <v>45</v>
      </c>
      <c r="G9642" s="117">
        <v>8.4499999999999993</v>
      </c>
    </row>
    <row r="9643" spans="1:7" x14ac:dyDescent="0.25">
      <c r="A9643" s="116" t="s">
        <v>15071</v>
      </c>
      <c r="B9643" s="117" t="s">
        <v>4587</v>
      </c>
      <c r="C9643" t="s">
        <v>67</v>
      </c>
      <c r="D9643" t="s">
        <v>67</v>
      </c>
      <c r="E9643" t="s">
        <v>67</v>
      </c>
      <c r="F9643" t="s">
        <v>27990</v>
      </c>
      <c r="G9643" s="117">
        <v>11.12</v>
      </c>
    </row>
    <row r="9644" spans="1:7" x14ac:dyDescent="0.25">
      <c r="A9644" s="116" t="s">
        <v>15072</v>
      </c>
      <c r="B9644" s="117" t="s">
        <v>15073</v>
      </c>
      <c r="C9644" t="s">
        <v>67</v>
      </c>
      <c r="D9644" t="s">
        <v>67</v>
      </c>
      <c r="E9644" t="s">
        <v>67</v>
      </c>
      <c r="F9644" t="s">
        <v>49</v>
      </c>
      <c r="G9644" s="117">
        <v>3.12</v>
      </c>
    </row>
    <row r="9645" spans="1:7" x14ac:dyDescent="0.25">
      <c r="A9645" s="116" t="s">
        <v>15074</v>
      </c>
      <c r="B9645" s="117" t="s">
        <v>15073</v>
      </c>
      <c r="C9645" t="s">
        <v>67</v>
      </c>
      <c r="D9645" t="s">
        <v>67</v>
      </c>
      <c r="E9645" t="s">
        <v>67</v>
      </c>
      <c r="F9645" t="s">
        <v>49</v>
      </c>
      <c r="G9645" s="117">
        <v>3.48</v>
      </c>
    </row>
    <row r="9646" spans="1:7" x14ac:dyDescent="0.25">
      <c r="A9646" s="116" t="s">
        <v>15075</v>
      </c>
      <c r="B9646" s="117" t="s">
        <v>15076</v>
      </c>
      <c r="C9646" t="s">
        <v>67</v>
      </c>
      <c r="D9646" t="s">
        <v>67</v>
      </c>
      <c r="E9646" t="s">
        <v>67</v>
      </c>
      <c r="F9646" t="s">
        <v>27987</v>
      </c>
      <c r="G9646" s="117">
        <v>0.44</v>
      </c>
    </row>
    <row r="9647" spans="1:7" x14ac:dyDescent="0.25">
      <c r="A9647" s="116" t="s">
        <v>15077</v>
      </c>
      <c r="B9647" s="117" t="s">
        <v>15078</v>
      </c>
      <c r="C9647" t="s">
        <v>67</v>
      </c>
      <c r="D9647" t="s">
        <v>67</v>
      </c>
      <c r="E9647" t="s">
        <v>67</v>
      </c>
      <c r="F9647" t="s">
        <v>27987</v>
      </c>
      <c r="G9647" s="117">
        <v>1.33</v>
      </c>
    </row>
    <row r="9648" spans="1:7" x14ac:dyDescent="0.25">
      <c r="A9648" s="116" t="s">
        <v>15079</v>
      </c>
      <c r="B9648" s="117" t="s">
        <v>15080</v>
      </c>
      <c r="C9648" t="s">
        <v>67</v>
      </c>
      <c r="D9648" t="s">
        <v>67</v>
      </c>
      <c r="E9648" t="s">
        <v>67</v>
      </c>
      <c r="F9648" t="s">
        <v>27987</v>
      </c>
      <c r="G9648" s="117">
        <v>13.8</v>
      </c>
    </row>
    <row r="9649" spans="1:7" x14ac:dyDescent="0.25">
      <c r="A9649" s="116" t="s">
        <v>15081</v>
      </c>
      <c r="B9649" s="117" t="s">
        <v>15082</v>
      </c>
      <c r="C9649" t="s">
        <v>67</v>
      </c>
      <c r="D9649" t="s">
        <v>67</v>
      </c>
      <c r="E9649" t="s">
        <v>67</v>
      </c>
      <c r="F9649" t="s">
        <v>45</v>
      </c>
      <c r="G9649" s="117">
        <v>2.23</v>
      </c>
    </row>
    <row r="9650" spans="1:7" x14ac:dyDescent="0.25">
      <c r="A9650" s="116" t="s">
        <v>15083</v>
      </c>
      <c r="B9650" s="117" t="s">
        <v>15084</v>
      </c>
      <c r="C9650" t="s">
        <v>67</v>
      </c>
      <c r="D9650" t="s">
        <v>67</v>
      </c>
      <c r="E9650" t="s">
        <v>67</v>
      </c>
      <c r="F9650" t="s">
        <v>45</v>
      </c>
      <c r="G9650" s="117">
        <v>59.18</v>
      </c>
    </row>
    <row r="9651" spans="1:7" x14ac:dyDescent="0.25">
      <c r="A9651" s="116" t="s">
        <v>15085</v>
      </c>
      <c r="B9651" s="117" t="s">
        <v>15086</v>
      </c>
      <c r="C9651" t="s">
        <v>67</v>
      </c>
      <c r="D9651" t="s">
        <v>67</v>
      </c>
      <c r="E9651" t="s">
        <v>67</v>
      </c>
      <c r="F9651" t="s">
        <v>45</v>
      </c>
      <c r="G9651" s="117">
        <v>0.8</v>
      </c>
    </row>
    <row r="9652" spans="1:7" x14ac:dyDescent="0.25">
      <c r="A9652" s="116" t="s">
        <v>15087</v>
      </c>
      <c r="B9652" s="117" t="s">
        <v>15088</v>
      </c>
      <c r="C9652" t="s">
        <v>67</v>
      </c>
      <c r="D9652" t="s">
        <v>67</v>
      </c>
      <c r="E9652" t="s">
        <v>67</v>
      </c>
      <c r="F9652" t="s">
        <v>27987</v>
      </c>
      <c r="G9652" s="117">
        <v>4</v>
      </c>
    </row>
    <row r="9653" spans="1:7" x14ac:dyDescent="0.25">
      <c r="A9653" s="116" t="s">
        <v>15089</v>
      </c>
      <c r="B9653" s="117" t="s">
        <v>11787</v>
      </c>
      <c r="C9653" t="s">
        <v>67</v>
      </c>
      <c r="D9653" t="s">
        <v>67</v>
      </c>
      <c r="E9653" t="s">
        <v>67</v>
      </c>
      <c r="F9653" t="s">
        <v>45</v>
      </c>
      <c r="G9653" s="117">
        <v>1.33</v>
      </c>
    </row>
    <row r="9654" spans="1:7" x14ac:dyDescent="0.25">
      <c r="A9654" s="116" t="s">
        <v>15090</v>
      </c>
      <c r="B9654" s="117" t="s">
        <v>15091</v>
      </c>
      <c r="C9654" t="s">
        <v>67</v>
      </c>
      <c r="D9654" t="s">
        <v>67</v>
      </c>
      <c r="E9654" t="s">
        <v>67</v>
      </c>
      <c r="F9654" t="s">
        <v>49</v>
      </c>
      <c r="G9654" s="117">
        <v>5.79</v>
      </c>
    </row>
    <row r="9655" spans="1:7" x14ac:dyDescent="0.25">
      <c r="A9655" s="116" t="s">
        <v>15092</v>
      </c>
      <c r="B9655" s="117" t="s">
        <v>15080</v>
      </c>
      <c r="C9655" t="s">
        <v>67</v>
      </c>
      <c r="D9655" t="s">
        <v>67</v>
      </c>
      <c r="E9655" t="s">
        <v>67</v>
      </c>
      <c r="F9655" t="s">
        <v>27987</v>
      </c>
      <c r="G9655" s="117">
        <v>8.89</v>
      </c>
    </row>
    <row r="9656" spans="1:7" x14ac:dyDescent="0.25">
      <c r="A9656" s="116" t="s">
        <v>15093</v>
      </c>
      <c r="B9656" s="117" t="s">
        <v>14991</v>
      </c>
      <c r="C9656" t="s">
        <v>67</v>
      </c>
      <c r="D9656" t="s">
        <v>67</v>
      </c>
      <c r="E9656" t="s">
        <v>67</v>
      </c>
      <c r="F9656" t="s">
        <v>27987</v>
      </c>
      <c r="G9656" s="117">
        <v>7.12</v>
      </c>
    </row>
    <row r="9657" spans="1:7" x14ac:dyDescent="0.25">
      <c r="A9657" s="116" t="s">
        <v>15094</v>
      </c>
      <c r="B9657" s="117" t="s">
        <v>5622</v>
      </c>
      <c r="C9657" t="s">
        <v>67</v>
      </c>
      <c r="D9657" t="s">
        <v>67</v>
      </c>
      <c r="E9657" t="s">
        <v>67</v>
      </c>
      <c r="F9657" t="s">
        <v>27987</v>
      </c>
      <c r="G9657" s="117">
        <v>57.75</v>
      </c>
    </row>
    <row r="9658" spans="1:7" x14ac:dyDescent="0.25">
      <c r="A9658" s="116" t="s">
        <v>15095</v>
      </c>
      <c r="B9658" s="117" t="s">
        <v>15096</v>
      </c>
      <c r="C9658" t="s">
        <v>67</v>
      </c>
      <c r="D9658" t="s">
        <v>67</v>
      </c>
      <c r="E9658" t="s">
        <v>67</v>
      </c>
      <c r="F9658" t="s">
        <v>49</v>
      </c>
      <c r="G9658" s="117">
        <v>4.8899999999999997</v>
      </c>
    </row>
    <row r="9659" spans="1:7" x14ac:dyDescent="0.25">
      <c r="A9659" s="116" t="s">
        <v>15097</v>
      </c>
      <c r="B9659" s="117" t="s">
        <v>15098</v>
      </c>
      <c r="C9659" t="s">
        <v>67</v>
      </c>
      <c r="D9659" t="s">
        <v>67</v>
      </c>
      <c r="E9659" t="s">
        <v>67</v>
      </c>
      <c r="F9659" t="s">
        <v>27987</v>
      </c>
      <c r="G9659" s="117">
        <v>12.01</v>
      </c>
    </row>
    <row r="9660" spans="1:7" x14ac:dyDescent="0.25">
      <c r="A9660" s="116" t="s">
        <v>15099</v>
      </c>
      <c r="B9660" s="117" t="s">
        <v>15100</v>
      </c>
      <c r="C9660" t="s">
        <v>67</v>
      </c>
      <c r="D9660" t="s">
        <v>67</v>
      </c>
      <c r="E9660" t="s">
        <v>67</v>
      </c>
      <c r="F9660" t="s">
        <v>27987</v>
      </c>
      <c r="G9660" s="117">
        <v>14.14</v>
      </c>
    </row>
    <row r="9661" spans="1:7" x14ac:dyDescent="0.25">
      <c r="A9661" s="116" t="s">
        <v>15101</v>
      </c>
      <c r="B9661" s="117" t="s">
        <v>15102</v>
      </c>
      <c r="C9661" t="s">
        <v>67</v>
      </c>
      <c r="D9661" t="s">
        <v>67</v>
      </c>
      <c r="E9661" t="s">
        <v>67</v>
      </c>
      <c r="F9661" t="s">
        <v>49</v>
      </c>
      <c r="G9661" s="117">
        <v>0.8</v>
      </c>
    </row>
    <row r="9662" spans="1:7" x14ac:dyDescent="0.25">
      <c r="A9662" s="116" t="s">
        <v>15103</v>
      </c>
      <c r="B9662" s="117" t="s">
        <v>15104</v>
      </c>
      <c r="C9662" t="s">
        <v>67</v>
      </c>
      <c r="D9662" t="s">
        <v>67</v>
      </c>
      <c r="E9662" t="s">
        <v>67</v>
      </c>
      <c r="F9662" t="s">
        <v>27990</v>
      </c>
      <c r="G9662" s="117">
        <v>2.58</v>
      </c>
    </row>
    <row r="9663" spans="1:7" x14ac:dyDescent="0.25">
      <c r="A9663" s="116" t="s">
        <v>15105</v>
      </c>
      <c r="B9663" s="117" t="s">
        <v>15106</v>
      </c>
      <c r="C9663" t="s">
        <v>67</v>
      </c>
      <c r="D9663" t="s">
        <v>67</v>
      </c>
      <c r="E9663" t="s">
        <v>67</v>
      </c>
      <c r="F9663" t="s">
        <v>49</v>
      </c>
      <c r="G9663" s="117">
        <v>9.35</v>
      </c>
    </row>
    <row r="9664" spans="1:7" x14ac:dyDescent="0.25">
      <c r="A9664" s="116" t="s">
        <v>15107</v>
      </c>
      <c r="B9664" s="117" t="s">
        <v>15108</v>
      </c>
      <c r="C9664" t="s">
        <v>67</v>
      </c>
      <c r="D9664" t="s">
        <v>67</v>
      </c>
      <c r="E9664" t="s">
        <v>67</v>
      </c>
      <c r="F9664" t="s">
        <v>45</v>
      </c>
      <c r="G9664" s="117">
        <v>0.8</v>
      </c>
    </row>
    <row r="9665" spans="1:7" x14ac:dyDescent="0.25">
      <c r="A9665" s="116" t="s">
        <v>30183</v>
      </c>
      <c r="B9665" s="117" t="s">
        <v>30489</v>
      </c>
      <c r="C9665" t="s">
        <v>67</v>
      </c>
      <c r="D9665" t="s">
        <v>67</v>
      </c>
      <c r="E9665" t="s">
        <v>67</v>
      </c>
      <c r="F9665" t="s">
        <v>45</v>
      </c>
      <c r="G9665" s="117">
        <v>5.5</v>
      </c>
    </row>
    <row r="9666" spans="1:7" x14ac:dyDescent="0.25">
      <c r="A9666" s="116" t="s">
        <v>15109</v>
      </c>
      <c r="B9666" s="117" t="s">
        <v>15110</v>
      </c>
      <c r="C9666" t="s">
        <v>67</v>
      </c>
      <c r="D9666" t="s">
        <v>67</v>
      </c>
      <c r="E9666" t="s">
        <v>67</v>
      </c>
      <c r="F9666" t="s">
        <v>27987</v>
      </c>
      <c r="G9666" s="117">
        <v>7.02</v>
      </c>
    </row>
    <row r="9667" spans="1:7" x14ac:dyDescent="0.25">
      <c r="A9667" s="116" t="s">
        <v>15111</v>
      </c>
      <c r="B9667" s="117" t="s">
        <v>15112</v>
      </c>
      <c r="C9667" t="s">
        <v>67</v>
      </c>
      <c r="D9667" t="s">
        <v>67</v>
      </c>
      <c r="E9667" t="s">
        <v>67</v>
      </c>
      <c r="F9667" t="s">
        <v>27990</v>
      </c>
      <c r="G9667" s="117">
        <v>4</v>
      </c>
    </row>
    <row r="9668" spans="1:7" x14ac:dyDescent="0.25">
      <c r="A9668" s="116" t="s">
        <v>15113</v>
      </c>
      <c r="B9668" s="117" t="s">
        <v>14348</v>
      </c>
      <c r="C9668" t="s">
        <v>67</v>
      </c>
      <c r="D9668" t="s">
        <v>67</v>
      </c>
      <c r="E9668" t="s">
        <v>67</v>
      </c>
      <c r="F9668" t="s">
        <v>27987</v>
      </c>
      <c r="G9668" s="117">
        <v>39.06</v>
      </c>
    </row>
    <row r="9669" spans="1:7" x14ac:dyDescent="0.25">
      <c r="A9669" s="116" t="s">
        <v>15114</v>
      </c>
      <c r="B9669" s="117" t="s">
        <v>15115</v>
      </c>
      <c r="C9669" t="s">
        <v>67</v>
      </c>
      <c r="D9669" t="s">
        <v>67</v>
      </c>
      <c r="E9669" t="s">
        <v>67</v>
      </c>
      <c r="F9669" t="s">
        <v>45</v>
      </c>
      <c r="G9669" s="117">
        <v>6.68</v>
      </c>
    </row>
    <row r="9670" spans="1:7" x14ac:dyDescent="0.25">
      <c r="A9670" s="116" t="s">
        <v>15116</v>
      </c>
      <c r="B9670" s="117" t="s">
        <v>15117</v>
      </c>
      <c r="C9670" t="s">
        <v>67</v>
      </c>
      <c r="D9670" t="s">
        <v>67</v>
      </c>
      <c r="E9670" t="s">
        <v>67</v>
      </c>
      <c r="F9670" t="s">
        <v>27987</v>
      </c>
      <c r="G9670" s="117">
        <v>1.69</v>
      </c>
    </row>
    <row r="9671" spans="1:7" x14ac:dyDescent="0.25">
      <c r="A9671" s="116" t="s">
        <v>15118</v>
      </c>
      <c r="B9671" s="117" t="s">
        <v>15119</v>
      </c>
      <c r="C9671" t="s">
        <v>67</v>
      </c>
      <c r="D9671" t="s">
        <v>67</v>
      </c>
      <c r="E9671" t="s">
        <v>67</v>
      </c>
      <c r="F9671" t="s">
        <v>27987</v>
      </c>
      <c r="G9671" s="117">
        <v>3.56</v>
      </c>
    </row>
    <row r="9672" spans="1:7" x14ac:dyDescent="0.25">
      <c r="A9672" s="116" t="s">
        <v>15120</v>
      </c>
      <c r="B9672" s="117" t="s">
        <v>14835</v>
      </c>
      <c r="C9672" t="s">
        <v>67</v>
      </c>
      <c r="D9672" t="s">
        <v>67</v>
      </c>
      <c r="E9672" t="s">
        <v>67</v>
      </c>
      <c r="F9672" t="s">
        <v>49</v>
      </c>
      <c r="G9672" s="117">
        <v>1.69</v>
      </c>
    </row>
    <row r="9673" spans="1:7" x14ac:dyDescent="0.25">
      <c r="A9673" s="116" t="s">
        <v>15121</v>
      </c>
      <c r="B9673" s="117" t="s">
        <v>15122</v>
      </c>
      <c r="C9673" t="s">
        <v>67</v>
      </c>
      <c r="D9673" t="s">
        <v>67</v>
      </c>
      <c r="E9673" t="s">
        <v>67</v>
      </c>
      <c r="F9673" t="s">
        <v>49</v>
      </c>
      <c r="G9673" s="117">
        <v>14.14</v>
      </c>
    </row>
    <row r="9674" spans="1:7" x14ac:dyDescent="0.25">
      <c r="A9674" s="116" t="s">
        <v>15123</v>
      </c>
      <c r="B9674" s="117" t="s">
        <v>15091</v>
      </c>
      <c r="C9674" t="s">
        <v>67</v>
      </c>
      <c r="D9674" t="s">
        <v>67</v>
      </c>
      <c r="E9674" t="s">
        <v>67</v>
      </c>
      <c r="F9674" t="s">
        <v>45</v>
      </c>
      <c r="G9674" s="117">
        <v>9.6999999999999993</v>
      </c>
    </row>
    <row r="9675" spans="1:7" x14ac:dyDescent="0.25">
      <c r="A9675" s="116" t="s">
        <v>15124</v>
      </c>
      <c r="B9675" s="117" t="s">
        <v>15125</v>
      </c>
      <c r="C9675" t="s">
        <v>67</v>
      </c>
      <c r="D9675" t="s">
        <v>67</v>
      </c>
      <c r="E9675" t="s">
        <v>67</v>
      </c>
      <c r="F9675" t="s">
        <v>27987</v>
      </c>
      <c r="G9675" s="117">
        <v>7.12</v>
      </c>
    </row>
    <row r="9676" spans="1:7" x14ac:dyDescent="0.25">
      <c r="A9676" s="116" t="s">
        <v>15126</v>
      </c>
      <c r="B9676" s="117" t="s">
        <v>29198</v>
      </c>
      <c r="C9676" t="s">
        <v>67</v>
      </c>
      <c r="D9676" t="s">
        <v>67</v>
      </c>
      <c r="E9676" t="s">
        <v>67</v>
      </c>
      <c r="F9676" t="s">
        <v>27987</v>
      </c>
      <c r="G9676" s="117">
        <v>3.89</v>
      </c>
    </row>
    <row r="9677" spans="1:7" x14ac:dyDescent="0.25">
      <c r="A9677" s="116" t="s">
        <v>15127</v>
      </c>
      <c r="B9677" s="117" t="s">
        <v>15115</v>
      </c>
      <c r="C9677" t="s">
        <v>67</v>
      </c>
      <c r="D9677" t="s">
        <v>67</v>
      </c>
      <c r="E9677" t="s">
        <v>67</v>
      </c>
      <c r="F9677" t="s">
        <v>27987</v>
      </c>
      <c r="G9677" s="117">
        <v>3.12</v>
      </c>
    </row>
    <row r="9678" spans="1:7" x14ac:dyDescent="0.25">
      <c r="A9678" s="116" t="s">
        <v>15128</v>
      </c>
      <c r="B9678" s="117" t="s">
        <v>15129</v>
      </c>
      <c r="C9678" t="s">
        <v>67</v>
      </c>
      <c r="D9678" t="s">
        <v>67</v>
      </c>
      <c r="E9678" t="s">
        <v>67</v>
      </c>
      <c r="F9678" t="s">
        <v>45</v>
      </c>
      <c r="G9678" s="117">
        <v>21.26</v>
      </c>
    </row>
    <row r="9679" spans="1:7" x14ac:dyDescent="0.25">
      <c r="A9679" s="116" t="s">
        <v>15130</v>
      </c>
      <c r="B9679" s="117" t="s">
        <v>15131</v>
      </c>
      <c r="C9679" t="s">
        <v>67</v>
      </c>
      <c r="D9679" t="s">
        <v>67</v>
      </c>
      <c r="E9679" t="s">
        <v>67</v>
      </c>
      <c r="F9679" t="s">
        <v>49</v>
      </c>
      <c r="G9679" s="117">
        <v>16.82</v>
      </c>
    </row>
    <row r="9680" spans="1:7" x14ac:dyDescent="0.25">
      <c r="A9680" s="116" t="s">
        <v>15132</v>
      </c>
      <c r="B9680" s="117" t="s">
        <v>15080</v>
      </c>
      <c r="C9680" t="s">
        <v>67</v>
      </c>
      <c r="D9680" t="s">
        <v>67</v>
      </c>
      <c r="E9680" t="s">
        <v>67</v>
      </c>
      <c r="F9680" t="s">
        <v>49</v>
      </c>
      <c r="G9680" s="117">
        <v>12.01</v>
      </c>
    </row>
    <row r="9681" spans="1:7" x14ac:dyDescent="0.25">
      <c r="A9681" s="116" t="s">
        <v>15133</v>
      </c>
      <c r="B9681" s="117" t="s">
        <v>10195</v>
      </c>
      <c r="C9681" t="s">
        <v>67</v>
      </c>
      <c r="D9681" t="s">
        <v>67</v>
      </c>
      <c r="E9681" t="s">
        <v>67</v>
      </c>
      <c r="F9681" t="s">
        <v>49</v>
      </c>
      <c r="G9681" s="117">
        <v>2.23</v>
      </c>
    </row>
    <row r="9682" spans="1:7" x14ac:dyDescent="0.25">
      <c r="A9682" s="116" t="s">
        <v>15134</v>
      </c>
      <c r="B9682" s="117" t="s">
        <v>15135</v>
      </c>
      <c r="C9682" t="s">
        <v>67</v>
      </c>
      <c r="D9682" t="s">
        <v>67</v>
      </c>
      <c r="E9682" t="s">
        <v>67</v>
      </c>
      <c r="F9682" t="s">
        <v>27987</v>
      </c>
      <c r="G9682" s="117">
        <v>13.26</v>
      </c>
    </row>
    <row r="9683" spans="1:7" x14ac:dyDescent="0.25">
      <c r="A9683" s="116" t="s">
        <v>15136</v>
      </c>
      <c r="B9683" s="117" t="s">
        <v>15137</v>
      </c>
      <c r="C9683" t="s">
        <v>67</v>
      </c>
      <c r="D9683" t="s">
        <v>67</v>
      </c>
      <c r="E9683" t="s">
        <v>67</v>
      </c>
      <c r="F9683" t="s">
        <v>27987</v>
      </c>
      <c r="G9683" s="117">
        <v>5.33</v>
      </c>
    </row>
    <row r="9684" spans="1:7" x14ac:dyDescent="0.25">
      <c r="A9684" s="116" t="s">
        <v>15138</v>
      </c>
      <c r="B9684" s="117" t="s">
        <v>15139</v>
      </c>
      <c r="C9684" t="s">
        <v>67</v>
      </c>
      <c r="D9684" t="s">
        <v>67</v>
      </c>
      <c r="E9684" t="s">
        <v>67</v>
      </c>
      <c r="F9684" t="s">
        <v>45</v>
      </c>
      <c r="G9684" s="117">
        <v>24.82</v>
      </c>
    </row>
    <row r="9685" spans="1:7" x14ac:dyDescent="0.25">
      <c r="A9685" s="116" t="s">
        <v>15140</v>
      </c>
      <c r="B9685" s="117" t="s">
        <v>15141</v>
      </c>
      <c r="C9685" t="s">
        <v>67</v>
      </c>
      <c r="D9685" t="s">
        <v>67</v>
      </c>
      <c r="E9685" t="s">
        <v>67</v>
      </c>
      <c r="F9685" t="s">
        <v>49</v>
      </c>
      <c r="G9685" s="117">
        <v>0.8</v>
      </c>
    </row>
    <row r="9686" spans="1:7" x14ac:dyDescent="0.25">
      <c r="A9686" s="116" t="s">
        <v>15142</v>
      </c>
      <c r="B9686" s="117" t="s">
        <v>15143</v>
      </c>
      <c r="C9686" t="s">
        <v>67</v>
      </c>
      <c r="D9686" t="s">
        <v>67</v>
      </c>
      <c r="E9686" t="s">
        <v>67</v>
      </c>
      <c r="F9686" t="s">
        <v>45</v>
      </c>
      <c r="G9686" s="117">
        <v>5.25</v>
      </c>
    </row>
    <row r="9687" spans="1:7" x14ac:dyDescent="0.25">
      <c r="A9687" s="116" t="s">
        <v>15144</v>
      </c>
      <c r="B9687" s="117" t="s">
        <v>15145</v>
      </c>
      <c r="C9687" t="s">
        <v>67</v>
      </c>
      <c r="D9687" t="s">
        <v>67</v>
      </c>
      <c r="E9687" t="s">
        <v>67</v>
      </c>
      <c r="F9687" t="s">
        <v>45</v>
      </c>
      <c r="G9687" s="117">
        <v>9.6999999999999993</v>
      </c>
    </row>
    <row r="9688" spans="1:7" x14ac:dyDescent="0.25">
      <c r="A9688" s="116" t="s">
        <v>15146</v>
      </c>
      <c r="B9688" s="117" t="s">
        <v>14991</v>
      </c>
      <c r="C9688" t="s">
        <v>67</v>
      </c>
      <c r="D9688" t="s">
        <v>67</v>
      </c>
      <c r="E9688" t="s">
        <v>67</v>
      </c>
      <c r="F9688" t="s">
        <v>27987</v>
      </c>
      <c r="G9688" s="117">
        <v>49.74</v>
      </c>
    </row>
    <row r="9689" spans="1:7" x14ac:dyDescent="0.25">
      <c r="A9689" s="116" t="s">
        <v>15147</v>
      </c>
      <c r="B9689" s="117" t="s">
        <v>15148</v>
      </c>
      <c r="C9689" t="s">
        <v>67</v>
      </c>
      <c r="D9689" t="s">
        <v>67</v>
      </c>
      <c r="E9689" t="s">
        <v>67</v>
      </c>
      <c r="F9689" t="s">
        <v>27987</v>
      </c>
      <c r="G9689" s="117">
        <v>5.25</v>
      </c>
    </row>
    <row r="9690" spans="1:7" x14ac:dyDescent="0.25">
      <c r="A9690" s="116" t="s">
        <v>15149</v>
      </c>
      <c r="B9690" s="117" t="s">
        <v>15150</v>
      </c>
      <c r="C9690" t="s">
        <v>67</v>
      </c>
      <c r="D9690" t="s">
        <v>67</v>
      </c>
      <c r="E9690" t="s">
        <v>67</v>
      </c>
      <c r="F9690" t="s">
        <v>45</v>
      </c>
      <c r="G9690" s="117">
        <v>35.5</v>
      </c>
    </row>
    <row r="9691" spans="1:7" x14ac:dyDescent="0.25">
      <c r="A9691" s="116" t="s">
        <v>15151</v>
      </c>
      <c r="B9691" s="117" t="s">
        <v>15152</v>
      </c>
      <c r="C9691" t="s">
        <v>67</v>
      </c>
      <c r="D9691" t="s">
        <v>67</v>
      </c>
      <c r="E9691" t="s">
        <v>67</v>
      </c>
      <c r="F9691" t="s">
        <v>49</v>
      </c>
      <c r="G9691" s="117">
        <v>1.33</v>
      </c>
    </row>
    <row r="9692" spans="1:7" x14ac:dyDescent="0.25">
      <c r="A9692" s="116" t="s">
        <v>15153</v>
      </c>
      <c r="B9692" s="117" t="s">
        <v>15154</v>
      </c>
      <c r="C9692" t="s">
        <v>67</v>
      </c>
      <c r="D9692" t="s">
        <v>67</v>
      </c>
      <c r="E9692" t="s">
        <v>67</v>
      </c>
      <c r="F9692" t="s">
        <v>49</v>
      </c>
      <c r="G9692" s="117">
        <v>101.36</v>
      </c>
    </row>
    <row r="9693" spans="1:7" x14ac:dyDescent="0.25">
      <c r="A9693" s="116" t="s">
        <v>15155</v>
      </c>
      <c r="B9693" s="117" t="s">
        <v>15156</v>
      </c>
      <c r="C9693" t="s">
        <v>67</v>
      </c>
      <c r="D9693" t="s">
        <v>67</v>
      </c>
      <c r="E9693" t="s">
        <v>67</v>
      </c>
      <c r="F9693" t="s">
        <v>49</v>
      </c>
      <c r="G9693" s="117">
        <v>30.17</v>
      </c>
    </row>
    <row r="9694" spans="1:7" x14ac:dyDescent="0.25">
      <c r="A9694" s="116" t="s">
        <v>15157</v>
      </c>
      <c r="B9694" s="117" t="s">
        <v>15158</v>
      </c>
      <c r="C9694" t="s">
        <v>67</v>
      </c>
      <c r="D9694" t="s">
        <v>67</v>
      </c>
      <c r="E9694" t="s">
        <v>67</v>
      </c>
      <c r="F9694" t="s">
        <v>45</v>
      </c>
      <c r="G9694" s="117">
        <v>14.14</v>
      </c>
    </row>
    <row r="9695" spans="1:7" x14ac:dyDescent="0.25">
      <c r="A9695" s="116" t="s">
        <v>15159</v>
      </c>
      <c r="B9695" s="117" t="s">
        <v>14991</v>
      </c>
      <c r="C9695" t="s">
        <v>67</v>
      </c>
      <c r="D9695" t="s">
        <v>67</v>
      </c>
      <c r="E9695" t="s">
        <v>67</v>
      </c>
      <c r="F9695" t="s">
        <v>27987</v>
      </c>
      <c r="G9695" s="117">
        <v>31.57</v>
      </c>
    </row>
    <row r="9696" spans="1:7" x14ac:dyDescent="0.25">
      <c r="A9696" s="116" t="s">
        <v>15160</v>
      </c>
      <c r="B9696" s="117" t="s">
        <v>15161</v>
      </c>
      <c r="C9696" t="s">
        <v>67</v>
      </c>
      <c r="D9696" t="s">
        <v>67</v>
      </c>
      <c r="E9696" t="s">
        <v>67</v>
      </c>
      <c r="F9696" t="s">
        <v>45</v>
      </c>
      <c r="G9696" s="117">
        <v>4.8899999999999997</v>
      </c>
    </row>
    <row r="9697" spans="1:7" x14ac:dyDescent="0.25">
      <c r="A9697" s="116" t="s">
        <v>15162</v>
      </c>
      <c r="B9697" s="117" t="s">
        <v>15163</v>
      </c>
      <c r="C9697" t="s">
        <v>67</v>
      </c>
      <c r="D9697" t="s">
        <v>67</v>
      </c>
      <c r="E9697" t="s">
        <v>67</v>
      </c>
      <c r="F9697" t="s">
        <v>27987</v>
      </c>
      <c r="G9697" s="117">
        <v>6.68</v>
      </c>
    </row>
    <row r="9698" spans="1:7" x14ac:dyDescent="0.25">
      <c r="A9698" s="116" t="s">
        <v>15164</v>
      </c>
      <c r="B9698" s="117" t="s">
        <v>15165</v>
      </c>
      <c r="C9698" t="s">
        <v>67</v>
      </c>
      <c r="D9698" t="s">
        <v>67</v>
      </c>
      <c r="E9698" t="s">
        <v>67</v>
      </c>
      <c r="F9698" t="s">
        <v>45</v>
      </c>
      <c r="G9698" s="117">
        <v>5.79</v>
      </c>
    </row>
    <row r="9699" spans="1:7" x14ac:dyDescent="0.25">
      <c r="A9699" s="116" t="s">
        <v>15166</v>
      </c>
      <c r="B9699" s="117" t="s">
        <v>15167</v>
      </c>
      <c r="C9699" t="s">
        <v>67</v>
      </c>
      <c r="D9699" t="s">
        <v>67</v>
      </c>
      <c r="E9699" t="s">
        <v>67</v>
      </c>
      <c r="F9699" t="s">
        <v>27987</v>
      </c>
      <c r="G9699" s="117">
        <v>2.23</v>
      </c>
    </row>
    <row r="9700" spans="1:7" x14ac:dyDescent="0.25">
      <c r="A9700" s="116" t="s">
        <v>15168</v>
      </c>
      <c r="B9700" s="117" t="s">
        <v>15169</v>
      </c>
      <c r="C9700" t="s">
        <v>67</v>
      </c>
      <c r="D9700" t="s">
        <v>67</v>
      </c>
      <c r="E9700" t="s">
        <v>67</v>
      </c>
      <c r="F9700" t="s">
        <v>45</v>
      </c>
      <c r="G9700" s="117">
        <v>8.89</v>
      </c>
    </row>
    <row r="9701" spans="1:7" x14ac:dyDescent="0.25">
      <c r="A9701" s="116" t="s">
        <v>15170</v>
      </c>
      <c r="B9701" s="117" t="s">
        <v>15171</v>
      </c>
      <c r="C9701" t="s">
        <v>67</v>
      </c>
      <c r="D9701" t="s">
        <v>67</v>
      </c>
      <c r="E9701" t="s">
        <v>67</v>
      </c>
      <c r="F9701" t="s">
        <v>45</v>
      </c>
      <c r="G9701" s="117">
        <v>7.56</v>
      </c>
    </row>
    <row r="9702" spans="1:7" x14ac:dyDescent="0.25">
      <c r="A9702" s="116" t="s">
        <v>15172</v>
      </c>
      <c r="B9702" s="117" t="s">
        <v>15173</v>
      </c>
      <c r="C9702" t="s">
        <v>67</v>
      </c>
      <c r="D9702" t="s">
        <v>67</v>
      </c>
      <c r="E9702" t="s">
        <v>67</v>
      </c>
      <c r="F9702" t="s">
        <v>45</v>
      </c>
      <c r="G9702" s="117">
        <v>2.58</v>
      </c>
    </row>
    <row r="9703" spans="1:7" x14ac:dyDescent="0.25">
      <c r="A9703" s="116" t="s">
        <v>15174</v>
      </c>
      <c r="B9703" s="117" t="s">
        <v>10195</v>
      </c>
      <c r="C9703" t="s">
        <v>67</v>
      </c>
      <c r="D9703" t="s">
        <v>67</v>
      </c>
      <c r="E9703" t="s">
        <v>67</v>
      </c>
      <c r="F9703" t="s">
        <v>27990</v>
      </c>
      <c r="G9703" s="117">
        <v>7.02</v>
      </c>
    </row>
    <row r="9704" spans="1:7" x14ac:dyDescent="0.25">
      <c r="A9704" s="116" t="s">
        <v>15175</v>
      </c>
      <c r="B9704" s="117" t="s">
        <v>15176</v>
      </c>
      <c r="C9704" t="s">
        <v>67</v>
      </c>
      <c r="D9704" t="s">
        <v>67</v>
      </c>
      <c r="E9704" t="s">
        <v>67</v>
      </c>
      <c r="F9704" t="s">
        <v>27987</v>
      </c>
      <c r="G9704" s="117">
        <v>21.26</v>
      </c>
    </row>
    <row r="9705" spans="1:7" x14ac:dyDescent="0.25">
      <c r="A9705" s="116" t="s">
        <v>15177</v>
      </c>
      <c r="B9705" s="117" t="s">
        <v>15178</v>
      </c>
      <c r="C9705" t="s">
        <v>67</v>
      </c>
      <c r="D9705" t="s">
        <v>67</v>
      </c>
      <c r="E9705" t="s">
        <v>67</v>
      </c>
      <c r="F9705" t="s">
        <v>45</v>
      </c>
      <c r="G9705" s="117">
        <v>4.8899999999999997</v>
      </c>
    </row>
    <row r="9706" spans="1:7" x14ac:dyDescent="0.25">
      <c r="A9706" s="116" t="s">
        <v>15179</v>
      </c>
      <c r="B9706" s="117" t="s">
        <v>15180</v>
      </c>
      <c r="C9706" t="s">
        <v>67</v>
      </c>
      <c r="D9706" t="s">
        <v>67</v>
      </c>
      <c r="E9706" t="s">
        <v>67</v>
      </c>
      <c r="F9706" t="s">
        <v>49</v>
      </c>
      <c r="G9706" s="117">
        <v>11.12</v>
      </c>
    </row>
    <row r="9707" spans="1:7" x14ac:dyDescent="0.25">
      <c r="A9707" s="116" t="s">
        <v>15181</v>
      </c>
      <c r="B9707" s="117" t="s">
        <v>15182</v>
      </c>
      <c r="C9707" t="s">
        <v>67</v>
      </c>
      <c r="D9707" t="s">
        <v>67</v>
      </c>
      <c r="E9707" t="s">
        <v>67</v>
      </c>
      <c r="F9707" t="s">
        <v>45</v>
      </c>
      <c r="G9707" s="117">
        <v>9.6999999999999993</v>
      </c>
    </row>
    <row r="9708" spans="1:7" x14ac:dyDescent="0.25">
      <c r="A9708" s="116" t="s">
        <v>15183</v>
      </c>
      <c r="B9708" s="117" t="s">
        <v>15184</v>
      </c>
      <c r="C9708" t="s">
        <v>67</v>
      </c>
      <c r="D9708" t="s">
        <v>67</v>
      </c>
      <c r="E9708" t="s">
        <v>67</v>
      </c>
      <c r="F9708" t="s">
        <v>45</v>
      </c>
      <c r="G9708" s="117">
        <v>9.6999999999999993</v>
      </c>
    </row>
    <row r="9709" spans="1:7" x14ac:dyDescent="0.25">
      <c r="A9709" s="116" t="s">
        <v>15185</v>
      </c>
      <c r="B9709" s="117" t="s">
        <v>15186</v>
      </c>
      <c r="C9709" t="s">
        <v>67</v>
      </c>
      <c r="D9709" t="s">
        <v>67</v>
      </c>
      <c r="E9709" t="s">
        <v>67</v>
      </c>
      <c r="F9709" t="s">
        <v>27987</v>
      </c>
      <c r="G9709" s="117">
        <v>7.12</v>
      </c>
    </row>
    <row r="9710" spans="1:7" x14ac:dyDescent="0.25">
      <c r="A9710" s="116" t="s">
        <v>15187</v>
      </c>
      <c r="B9710" s="117" t="s">
        <v>14738</v>
      </c>
      <c r="C9710" t="s">
        <v>67</v>
      </c>
      <c r="D9710" t="s">
        <v>67</v>
      </c>
      <c r="E9710" t="s">
        <v>67</v>
      </c>
      <c r="F9710" t="s">
        <v>27987</v>
      </c>
      <c r="G9710" s="117">
        <v>3.56</v>
      </c>
    </row>
    <row r="9711" spans="1:7" x14ac:dyDescent="0.25">
      <c r="A9711" s="116" t="s">
        <v>15188</v>
      </c>
      <c r="B9711" s="117" t="s">
        <v>15189</v>
      </c>
      <c r="C9711" t="s">
        <v>67</v>
      </c>
      <c r="D9711" t="s">
        <v>67</v>
      </c>
      <c r="E9711" t="s">
        <v>67</v>
      </c>
      <c r="F9711" t="s">
        <v>49</v>
      </c>
      <c r="G9711" s="117">
        <v>1.33</v>
      </c>
    </row>
    <row r="9712" spans="1:7" x14ac:dyDescent="0.25">
      <c r="A9712" s="116" t="s">
        <v>15190</v>
      </c>
      <c r="B9712" s="117" t="s">
        <v>15191</v>
      </c>
      <c r="C9712" t="s">
        <v>67</v>
      </c>
      <c r="D9712" t="s">
        <v>67</v>
      </c>
      <c r="E9712" t="s">
        <v>67</v>
      </c>
      <c r="F9712" t="s">
        <v>27987</v>
      </c>
      <c r="G9712" s="117">
        <v>0.8</v>
      </c>
    </row>
    <row r="9713" spans="1:7" x14ac:dyDescent="0.25">
      <c r="A9713" s="116" t="s">
        <v>15192</v>
      </c>
      <c r="B9713" s="117" t="s">
        <v>15193</v>
      </c>
      <c r="C9713" t="s">
        <v>67</v>
      </c>
      <c r="D9713" t="s">
        <v>67</v>
      </c>
      <c r="E9713" t="s">
        <v>67</v>
      </c>
      <c r="F9713" t="s">
        <v>49</v>
      </c>
      <c r="G9713" s="117">
        <v>7.02</v>
      </c>
    </row>
    <row r="9714" spans="1:7" x14ac:dyDescent="0.25">
      <c r="A9714" s="116" t="s">
        <v>15194</v>
      </c>
      <c r="B9714" s="117" t="s">
        <v>15195</v>
      </c>
      <c r="C9714" t="s">
        <v>67</v>
      </c>
      <c r="D9714" t="s">
        <v>67</v>
      </c>
      <c r="E9714" t="s">
        <v>67</v>
      </c>
      <c r="F9714" t="s">
        <v>27987</v>
      </c>
      <c r="G9714" s="117">
        <v>27.14</v>
      </c>
    </row>
    <row r="9715" spans="1:7" x14ac:dyDescent="0.25">
      <c r="A9715" s="116" t="s">
        <v>15196</v>
      </c>
      <c r="B9715" s="117" t="s">
        <v>14736</v>
      </c>
      <c r="C9715" t="s">
        <v>67</v>
      </c>
      <c r="D9715" t="s">
        <v>67</v>
      </c>
      <c r="E9715" t="s">
        <v>67</v>
      </c>
      <c r="F9715" t="s">
        <v>45</v>
      </c>
      <c r="G9715" s="117">
        <v>4.8899999999999997</v>
      </c>
    </row>
    <row r="9716" spans="1:7" x14ac:dyDescent="0.25">
      <c r="A9716" s="116" t="s">
        <v>15197</v>
      </c>
      <c r="B9716" s="117" t="s">
        <v>15198</v>
      </c>
      <c r="C9716" t="s">
        <v>67</v>
      </c>
      <c r="D9716" t="s">
        <v>67</v>
      </c>
      <c r="E9716" t="s">
        <v>67</v>
      </c>
      <c r="F9716" t="s">
        <v>49</v>
      </c>
      <c r="G9716" s="117">
        <v>2.23</v>
      </c>
    </row>
    <row r="9717" spans="1:7" x14ac:dyDescent="0.25">
      <c r="A9717" s="116" t="s">
        <v>15199</v>
      </c>
      <c r="B9717" s="117" t="s">
        <v>15200</v>
      </c>
      <c r="C9717" t="s">
        <v>67</v>
      </c>
      <c r="D9717" t="s">
        <v>67</v>
      </c>
      <c r="E9717" t="s">
        <v>67</v>
      </c>
      <c r="F9717" t="s">
        <v>45</v>
      </c>
      <c r="G9717" s="117">
        <v>2.58</v>
      </c>
    </row>
    <row r="9718" spans="1:7" x14ac:dyDescent="0.25">
      <c r="A9718" s="116" t="s">
        <v>15201</v>
      </c>
      <c r="B9718" s="117" t="s">
        <v>15202</v>
      </c>
      <c r="C9718" t="s">
        <v>67</v>
      </c>
      <c r="D9718" t="s">
        <v>67</v>
      </c>
      <c r="E9718" t="s">
        <v>67</v>
      </c>
      <c r="F9718" t="s">
        <v>27987</v>
      </c>
      <c r="G9718" s="117">
        <v>4.8899999999999997</v>
      </c>
    </row>
    <row r="9719" spans="1:7" x14ac:dyDescent="0.25">
      <c r="A9719" s="116" t="s">
        <v>15203</v>
      </c>
      <c r="B9719" s="117" t="s">
        <v>15204</v>
      </c>
      <c r="C9719" t="s">
        <v>67</v>
      </c>
      <c r="D9719" t="s">
        <v>67</v>
      </c>
      <c r="E9719" t="s">
        <v>67</v>
      </c>
      <c r="F9719" t="s">
        <v>27987</v>
      </c>
      <c r="G9719" s="117">
        <v>1.33</v>
      </c>
    </row>
    <row r="9720" spans="1:7" x14ac:dyDescent="0.25">
      <c r="A9720" s="116" t="s">
        <v>15205</v>
      </c>
      <c r="B9720" s="117" t="s">
        <v>15206</v>
      </c>
      <c r="C9720" t="s">
        <v>67</v>
      </c>
      <c r="D9720" t="s">
        <v>67</v>
      </c>
      <c r="E9720" t="s">
        <v>67</v>
      </c>
      <c r="F9720" t="s">
        <v>45</v>
      </c>
      <c r="G9720" s="117">
        <v>4.3600000000000003</v>
      </c>
    </row>
    <row r="9721" spans="1:7" x14ac:dyDescent="0.25">
      <c r="A9721" s="116" t="s">
        <v>15207</v>
      </c>
      <c r="B9721" s="117" t="s">
        <v>15034</v>
      </c>
      <c r="C9721" t="s">
        <v>67</v>
      </c>
      <c r="D9721" t="s">
        <v>67</v>
      </c>
      <c r="E9721" t="s">
        <v>67</v>
      </c>
      <c r="F9721" t="s">
        <v>49</v>
      </c>
      <c r="G9721" s="117">
        <v>7.12</v>
      </c>
    </row>
    <row r="9722" spans="1:7" x14ac:dyDescent="0.25">
      <c r="A9722" s="116" t="s">
        <v>15208</v>
      </c>
      <c r="B9722" s="117" t="s">
        <v>15209</v>
      </c>
      <c r="C9722" t="s">
        <v>67</v>
      </c>
      <c r="D9722" t="s">
        <v>67</v>
      </c>
      <c r="E9722" t="s">
        <v>67</v>
      </c>
      <c r="F9722" t="s">
        <v>45</v>
      </c>
      <c r="G9722" s="117">
        <v>1.69</v>
      </c>
    </row>
    <row r="9723" spans="1:7" x14ac:dyDescent="0.25">
      <c r="A9723" s="116" t="s">
        <v>15210</v>
      </c>
      <c r="B9723" s="117" t="s">
        <v>15211</v>
      </c>
      <c r="C9723" t="s">
        <v>67</v>
      </c>
      <c r="D9723" t="s">
        <v>67</v>
      </c>
      <c r="E9723" t="s">
        <v>67</v>
      </c>
      <c r="F9723" t="s">
        <v>27987</v>
      </c>
      <c r="G9723" s="117">
        <v>29.81</v>
      </c>
    </row>
    <row r="9724" spans="1:7" x14ac:dyDescent="0.25">
      <c r="A9724" s="116" t="s">
        <v>15212</v>
      </c>
      <c r="B9724" s="117" t="s">
        <v>15213</v>
      </c>
      <c r="C9724" t="s">
        <v>67</v>
      </c>
      <c r="D9724" t="s">
        <v>67</v>
      </c>
      <c r="E9724" t="s">
        <v>67</v>
      </c>
      <c r="F9724" t="s">
        <v>45</v>
      </c>
      <c r="G9724" s="117">
        <v>7.12</v>
      </c>
    </row>
    <row r="9725" spans="1:7" x14ac:dyDescent="0.25">
      <c r="A9725" s="116" t="s">
        <v>15214</v>
      </c>
      <c r="B9725" s="117" t="s">
        <v>15215</v>
      </c>
      <c r="C9725" t="s">
        <v>67</v>
      </c>
      <c r="D9725" t="s">
        <v>67</v>
      </c>
      <c r="E9725" t="s">
        <v>67</v>
      </c>
      <c r="F9725" t="s">
        <v>27987</v>
      </c>
      <c r="G9725" s="117">
        <v>10.24</v>
      </c>
    </row>
    <row r="9726" spans="1:7" x14ac:dyDescent="0.25">
      <c r="A9726" s="116" t="s">
        <v>15216</v>
      </c>
      <c r="B9726" s="117" t="s">
        <v>15217</v>
      </c>
      <c r="C9726" t="s">
        <v>67</v>
      </c>
      <c r="D9726" t="s">
        <v>67</v>
      </c>
      <c r="E9726" t="s">
        <v>67</v>
      </c>
      <c r="F9726" t="s">
        <v>27987</v>
      </c>
      <c r="G9726" s="117">
        <v>12.01</v>
      </c>
    </row>
    <row r="9727" spans="1:7" x14ac:dyDescent="0.25">
      <c r="A9727" s="116" t="s">
        <v>15218</v>
      </c>
      <c r="B9727" s="117" t="s">
        <v>15219</v>
      </c>
      <c r="C9727" t="s">
        <v>67</v>
      </c>
      <c r="D9727" t="s">
        <v>67</v>
      </c>
      <c r="E9727" t="s">
        <v>67</v>
      </c>
      <c r="F9727" t="s">
        <v>45</v>
      </c>
      <c r="G9727" s="117">
        <v>19.13</v>
      </c>
    </row>
    <row r="9728" spans="1:7" x14ac:dyDescent="0.25">
      <c r="A9728" s="116" t="s">
        <v>15220</v>
      </c>
      <c r="B9728" s="117" t="s">
        <v>15202</v>
      </c>
      <c r="C9728" t="s">
        <v>67</v>
      </c>
      <c r="D9728" t="s">
        <v>67</v>
      </c>
      <c r="E9728" t="s">
        <v>67</v>
      </c>
      <c r="F9728" t="s">
        <v>27987</v>
      </c>
      <c r="G9728" s="117">
        <v>1.33</v>
      </c>
    </row>
    <row r="9729" spans="1:7" x14ac:dyDescent="0.25">
      <c r="A9729" s="116" t="s">
        <v>15221</v>
      </c>
      <c r="B9729" s="117" t="s">
        <v>15222</v>
      </c>
      <c r="C9729" t="s">
        <v>67</v>
      </c>
      <c r="D9729" t="s">
        <v>67</v>
      </c>
      <c r="E9729" t="s">
        <v>67</v>
      </c>
      <c r="F9729" t="s">
        <v>27987</v>
      </c>
      <c r="G9729" s="117">
        <v>81.42</v>
      </c>
    </row>
    <row r="9730" spans="1:7" x14ac:dyDescent="0.25">
      <c r="A9730" s="116" t="s">
        <v>15223</v>
      </c>
      <c r="B9730" s="117" t="s">
        <v>15224</v>
      </c>
      <c r="C9730" t="s">
        <v>67</v>
      </c>
      <c r="D9730" t="s">
        <v>67</v>
      </c>
      <c r="E9730" t="s">
        <v>67</v>
      </c>
      <c r="F9730" t="s">
        <v>27987</v>
      </c>
      <c r="G9730" s="117">
        <v>82.67</v>
      </c>
    </row>
    <row r="9731" spans="1:7" x14ac:dyDescent="0.25">
      <c r="A9731" s="116" t="s">
        <v>15225</v>
      </c>
      <c r="B9731" s="117" t="s">
        <v>219</v>
      </c>
      <c r="C9731" t="s">
        <v>67</v>
      </c>
      <c r="D9731" t="s">
        <v>67</v>
      </c>
      <c r="E9731" t="s">
        <v>67</v>
      </c>
      <c r="F9731" t="s">
        <v>27987</v>
      </c>
      <c r="G9731" s="117">
        <v>53.83</v>
      </c>
    </row>
    <row r="9732" spans="1:7" x14ac:dyDescent="0.25">
      <c r="A9732" s="116" t="s">
        <v>15226</v>
      </c>
      <c r="B9732" s="117" t="s">
        <v>14884</v>
      </c>
      <c r="C9732" t="s">
        <v>67</v>
      </c>
      <c r="D9732" t="s">
        <v>67</v>
      </c>
      <c r="E9732" t="s">
        <v>67</v>
      </c>
      <c r="F9732" t="s">
        <v>27987</v>
      </c>
      <c r="G9732" s="117">
        <v>6.68</v>
      </c>
    </row>
    <row r="9733" spans="1:7" x14ac:dyDescent="0.25">
      <c r="A9733" s="116" t="s">
        <v>15227</v>
      </c>
      <c r="B9733" s="117" t="s">
        <v>15228</v>
      </c>
      <c r="C9733" t="s">
        <v>67</v>
      </c>
      <c r="D9733" t="s">
        <v>67</v>
      </c>
      <c r="E9733" t="s">
        <v>67</v>
      </c>
      <c r="F9733" t="s">
        <v>27987</v>
      </c>
      <c r="G9733" s="117">
        <v>54.73</v>
      </c>
    </row>
    <row r="9734" spans="1:7" x14ac:dyDescent="0.25">
      <c r="A9734" s="116" t="s">
        <v>15229</v>
      </c>
      <c r="B9734" s="117" t="s">
        <v>14504</v>
      </c>
      <c r="C9734" t="s">
        <v>67</v>
      </c>
      <c r="D9734" t="s">
        <v>67</v>
      </c>
      <c r="E9734" t="s">
        <v>67</v>
      </c>
      <c r="F9734" t="s">
        <v>45</v>
      </c>
      <c r="G9734" s="117">
        <v>0.89</v>
      </c>
    </row>
    <row r="9735" spans="1:7" x14ac:dyDescent="0.25">
      <c r="A9735" s="116" t="s">
        <v>15230</v>
      </c>
      <c r="B9735" s="117" t="s">
        <v>15231</v>
      </c>
      <c r="C9735" t="s">
        <v>67</v>
      </c>
      <c r="D9735" t="s">
        <v>67</v>
      </c>
      <c r="E9735" t="s">
        <v>67</v>
      </c>
      <c r="F9735" t="s">
        <v>51</v>
      </c>
      <c r="G9735" s="117">
        <v>4.66</v>
      </c>
    </row>
    <row r="9736" spans="1:7" x14ac:dyDescent="0.25">
      <c r="A9736" s="116" t="s">
        <v>15232</v>
      </c>
      <c r="B9736" s="117" t="s">
        <v>15233</v>
      </c>
      <c r="C9736" t="s">
        <v>67</v>
      </c>
      <c r="D9736" t="s">
        <v>67</v>
      </c>
      <c r="E9736" t="s">
        <v>67</v>
      </c>
      <c r="F9736" t="s">
        <v>27987</v>
      </c>
      <c r="G9736" s="117">
        <v>3.12</v>
      </c>
    </row>
    <row r="9737" spans="1:7" x14ac:dyDescent="0.25">
      <c r="A9737" s="116" t="s">
        <v>15234</v>
      </c>
      <c r="B9737" s="117" t="s">
        <v>15235</v>
      </c>
      <c r="C9737" t="s">
        <v>67</v>
      </c>
      <c r="D9737" t="s">
        <v>67</v>
      </c>
      <c r="E9737" t="s">
        <v>67</v>
      </c>
      <c r="F9737" t="s">
        <v>49</v>
      </c>
      <c r="G9737" s="117">
        <v>3.12</v>
      </c>
    </row>
    <row r="9738" spans="1:7" x14ac:dyDescent="0.25">
      <c r="A9738" s="116" t="s">
        <v>15236</v>
      </c>
      <c r="B9738" s="117" t="s">
        <v>15237</v>
      </c>
      <c r="C9738" t="s">
        <v>67</v>
      </c>
      <c r="D9738" t="s">
        <v>67</v>
      </c>
      <c r="E9738" t="s">
        <v>67</v>
      </c>
      <c r="F9738" t="s">
        <v>45</v>
      </c>
      <c r="G9738" s="117">
        <v>4.8899999999999997</v>
      </c>
    </row>
    <row r="9739" spans="1:7" x14ac:dyDescent="0.25">
      <c r="A9739" s="116" t="s">
        <v>15238</v>
      </c>
      <c r="B9739" s="117" t="s">
        <v>15239</v>
      </c>
      <c r="C9739" t="s">
        <v>67</v>
      </c>
      <c r="D9739" t="s">
        <v>67</v>
      </c>
      <c r="E9739" t="s">
        <v>67</v>
      </c>
      <c r="F9739" t="s">
        <v>27987</v>
      </c>
      <c r="G9739" s="117">
        <v>4.8899999999999997</v>
      </c>
    </row>
    <row r="9740" spans="1:7" x14ac:dyDescent="0.25">
      <c r="A9740" s="116" t="s">
        <v>15240</v>
      </c>
      <c r="B9740" s="117" t="s">
        <v>15241</v>
      </c>
      <c r="C9740" t="s">
        <v>67</v>
      </c>
      <c r="D9740" t="s">
        <v>67</v>
      </c>
      <c r="E9740" t="s">
        <v>67</v>
      </c>
      <c r="F9740" t="s">
        <v>45</v>
      </c>
      <c r="G9740" s="117">
        <v>1.77</v>
      </c>
    </row>
    <row r="9741" spans="1:7" x14ac:dyDescent="0.25">
      <c r="A9741" s="116" t="s">
        <v>15242</v>
      </c>
      <c r="B9741" s="117" t="s">
        <v>15243</v>
      </c>
      <c r="C9741" t="s">
        <v>67</v>
      </c>
      <c r="D9741" t="s">
        <v>67</v>
      </c>
      <c r="E9741" t="s">
        <v>67</v>
      </c>
      <c r="F9741" t="s">
        <v>49</v>
      </c>
      <c r="G9741" s="117">
        <v>2.58</v>
      </c>
    </row>
    <row r="9742" spans="1:7" x14ac:dyDescent="0.25">
      <c r="A9742" s="116" t="s">
        <v>15244</v>
      </c>
      <c r="B9742" s="117" t="s">
        <v>5575</v>
      </c>
      <c r="C9742" t="s">
        <v>67</v>
      </c>
      <c r="D9742" t="s">
        <v>67</v>
      </c>
      <c r="E9742" t="s">
        <v>67</v>
      </c>
      <c r="F9742" t="s">
        <v>49</v>
      </c>
      <c r="G9742" s="117">
        <v>4.3600000000000003</v>
      </c>
    </row>
    <row r="9743" spans="1:7" x14ac:dyDescent="0.25">
      <c r="A9743" s="116" t="s">
        <v>15245</v>
      </c>
      <c r="B9743" s="117" t="s">
        <v>15246</v>
      </c>
      <c r="C9743" t="s">
        <v>67</v>
      </c>
      <c r="D9743" t="s">
        <v>67</v>
      </c>
      <c r="E9743" t="s">
        <v>67</v>
      </c>
      <c r="F9743" t="s">
        <v>49</v>
      </c>
      <c r="G9743" s="117">
        <v>6.14</v>
      </c>
    </row>
    <row r="9744" spans="1:7" x14ac:dyDescent="0.25">
      <c r="A9744" s="116" t="s">
        <v>15247</v>
      </c>
      <c r="B9744" s="117" t="s">
        <v>12248</v>
      </c>
      <c r="C9744" t="s">
        <v>67</v>
      </c>
      <c r="D9744" t="s">
        <v>67</v>
      </c>
      <c r="E9744" t="s">
        <v>67</v>
      </c>
      <c r="F9744" t="s">
        <v>49</v>
      </c>
      <c r="G9744" s="117">
        <v>4.8899999999999997</v>
      </c>
    </row>
    <row r="9745" spans="1:7" x14ac:dyDescent="0.25">
      <c r="A9745" s="116" t="s">
        <v>15248</v>
      </c>
      <c r="B9745" s="117" t="s">
        <v>15249</v>
      </c>
      <c r="C9745" t="s">
        <v>67</v>
      </c>
      <c r="D9745" t="s">
        <v>67</v>
      </c>
      <c r="E9745" t="s">
        <v>67</v>
      </c>
      <c r="F9745" t="s">
        <v>27990</v>
      </c>
      <c r="G9745" s="117">
        <v>4.8899999999999997</v>
      </c>
    </row>
    <row r="9746" spans="1:7" x14ac:dyDescent="0.25">
      <c r="A9746" s="116" t="s">
        <v>15250</v>
      </c>
      <c r="B9746" s="117" t="s">
        <v>15251</v>
      </c>
      <c r="C9746" t="s">
        <v>67</v>
      </c>
      <c r="D9746" t="s">
        <v>67</v>
      </c>
      <c r="E9746" t="s">
        <v>67</v>
      </c>
      <c r="F9746" t="s">
        <v>49</v>
      </c>
      <c r="G9746" s="117">
        <v>1.33</v>
      </c>
    </row>
    <row r="9747" spans="1:7" x14ac:dyDescent="0.25">
      <c r="A9747" s="116" t="s">
        <v>15252</v>
      </c>
      <c r="B9747" s="117" t="s">
        <v>14504</v>
      </c>
      <c r="C9747" t="s">
        <v>67</v>
      </c>
      <c r="D9747" t="s">
        <v>67</v>
      </c>
      <c r="E9747" t="s">
        <v>67</v>
      </c>
      <c r="F9747" t="s">
        <v>51</v>
      </c>
      <c r="G9747" s="117">
        <v>2.46</v>
      </c>
    </row>
    <row r="9748" spans="1:7" x14ac:dyDescent="0.25">
      <c r="A9748" s="116" t="s">
        <v>15253</v>
      </c>
      <c r="B9748" s="117" t="s">
        <v>15254</v>
      </c>
      <c r="C9748" t="s">
        <v>67</v>
      </c>
      <c r="D9748" t="s">
        <v>67</v>
      </c>
      <c r="E9748" t="s">
        <v>67</v>
      </c>
      <c r="F9748" t="s">
        <v>45</v>
      </c>
      <c r="G9748" s="117">
        <v>5.51</v>
      </c>
    </row>
    <row r="9749" spans="1:7" x14ac:dyDescent="0.25">
      <c r="A9749" s="116" t="s">
        <v>15255</v>
      </c>
      <c r="B9749" s="117" t="s">
        <v>15256</v>
      </c>
      <c r="C9749" t="s">
        <v>67</v>
      </c>
      <c r="D9749" t="s">
        <v>67</v>
      </c>
      <c r="E9749" t="s">
        <v>67</v>
      </c>
      <c r="F9749" t="s">
        <v>45</v>
      </c>
      <c r="G9749" s="117">
        <v>6.69</v>
      </c>
    </row>
    <row r="9750" spans="1:7" x14ac:dyDescent="0.25">
      <c r="A9750" s="116" t="s">
        <v>15257</v>
      </c>
      <c r="B9750" s="117" t="s">
        <v>15258</v>
      </c>
      <c r="C9750" t="s">
        <v>67</v>
      </c>
      <c r="D9750" t="s">
        <v>67</v>
      </c>
      <c r="E9750" t="s">
        <v>67</v>
      </c>
      <c r="F9750" t="s">
        <v>27987</v>
      </c>
      <c r="G9750" s="117">
        <v>3.48</v>
      </c>
    </row>
    <row r="9751" spans="1:7" x14ac:dyDescent="0.25">
      <c r="A9751" s="116" t="s">
        <v>15259</v>
      </c>
      <c r="B9751" s="117" t="s">
        <v>15260</v>
      </c>
      <c r="C9751" t="s">
        <v>67</v>
      </c>
      <c r="D9751" t="s">
        <v>67</v>
      </c>
      <c r="E9751" t="s">
        <v>67</v>
      </c>
      <c r="F9751" t="s">
        <v>49</v>
      </c>
      <c r="G9751" s="117">
        <v>4</v>
      </c>
    </row>
    <row r="9752" spans="1:7" x14ac:dyDescent="0.25">
      <c r="A9752" s="116" t="s">
        <v>15261</v>
      </c>
      <c r="B9752" s="117" t="s">
        <v>15262</v>
      </c>
      <c r="C9752" t="s">
        <v>67</v>
      </c>
      <c r="D9752" t="s">
        <v>67</v>
      </c>
      <c r="E9752" t="s">
        <v>67</v>
      </c>
      <c r="F9752" t="s">
        <v>45</v>
      </c>
      <c r="G9752" s="117">
        <v>27.14</v>
      </c>
    </row>
    <row r="9753" spans="1:7" x14ac:dyDescent="0.25">
      <c r="A9753" s="116" t="s">
        <v>15263</v>
      </c>
      <c r="B9753" s="117" t="s">
        <v>15264</v>
      </c>
      <c r="C9753" t="s">
        <v>67</v>
      </c>
      <c r="D9753" t="s">
        <v>67</v>
      </c>
      <c r="E9753" t="s">
        <v>67</v>
      </c>
      <c r="F9753" t="s">
        <v>49</v>
      </c>
      <c r="G9753" s="117">
        <v>16.82</v>
      </c>
    </row>
    <row r="9754" spans="1:7" x14ac:dyDescent="0.25">
      <c r="A9754" s="116" t="s">
        <v>15265</v>
      </c>
      <c r="B9754" s="117" t="s">
        <v>14835</v>
      </c>
      <c r="C9754" t="s">
        <v>67</v>
      </c>
      <c r="D9754" t="s">
        <v>67</v>
      </c>
      <c r="E9754" t="s">
        <v>67</v>
      </c>
      <c r="F9754" t="s">
        <v>45</v>
      </c>
      <c r="G9754" s="117">
        <v>1.33</v>
      </c>
    </row>
    <row r="9755" spans="1:7" x14ac:dyDescent="0.25">
      <c r="A9755" s="116" t="s">
        <v>15266</v>
      </c>
      <c r="B9755" s="117" t="s">
        <v>15267</v>
      </c>
      <c r="C9755" t="s">
        <v>67</v>
      </c>
      <c r="D9755" t="s">
        <v>67</v>
      </c>
      <c r="E9755" t="s">
        <v>67</v>
      </c>
      <c r="F9755" t="s">
        <v>27987</v>
      </c>
      <c r="G9755" s="117">
        <v>24.82</v>
      </c>
    </row>
    <row r="9756" spans="1:7" x14ac:dyDescent="0.25">
      <c r="A9756" s="116" t="s">
        <v>15268</v>
      </c>
      <c r="B9756" s="117" t="s">
        <v>15269</v>
      </c>
      <c r="C9756" t="s">
        <v>67</v>
      </c>
      <c r="D9756" t="s">
        <v>67</v>
      </c>
      <c r="E9756" t="s">
        <v>67</v>
      </c>
      <c r="F9756" t="s">
        <v>27987</v>
      </c>
      <c r="G9756" s="117">
        <v>2.58</v>
      </c>
    </row>
    <row r="9757" spans="1:7" x14ac:dyDescent="0.25">
      <c r="A9757" s="116" t="s">
        <v>15270</v>
      </c>
      <c r="B9757" s="117" t="s">
        <v>15271</v>
      </c>
      <c r="C9757" t="s">
        <v>67</v>
      </c>
      <c r="D9757" t="s">
        <v>67</v>
      </c>
      <c r="E9757" t="s">
        <v>67</v>
      </c>
      <c r="F9757" t="s">
        <v>45</v>
      </c>
      <c r="G9757" s="117">
        <v>8.91</v>
      </c>
    </row>
    <row r="9758" spans="1:7" x14ac:dyDescent="0.25">
      <c r="A9758" s="116" t="s">
        <v>15272</v>
      </c>
      <c r="B9758" s="117" t="s">
        <v>15273</v>
      </c>
      <c r="C9758" t="s">
        <v>67</v>
      </c>
      <c r="D9758" t="s">
        <v>67</v>
      </c>
      <c r="E9758" t="s">
        <v>67</v>
      </c>
      <c r="F9758" t="s">
        <v>45</v>
      </c>
      <c r="G9758" s="117">
        <v>1.88</v>
      </c>
    </row>
    <row r="9759" spans="1:7" x14ac:dyDescent="0.25">
      <c r="A9759" s="116" t="s">
        <v>15274</v>
      </c>
      <c r="B9759" s="117" t="s">
        <v>15275</v>
      </c>
      <c r="C9759" t="s">
        <v>67</v>
      </c>
      <c r="D9759" t="s">
        <v>67</v>
      </c>
      <c r="E9759" t="s">
        <v>67</v>
      </c>
      <c r="F9759" t="s">
        <v>45</v>
      </c>
      <c r="G9759" s="117">
        <v>6.03</v>
      </c>
    </row>
    <row r="9760" spans="1:7" x14ac:dyDescent="0.25">
      <c r="A9760" s="116" t="s">
        <v>15276</v>
      </c>
      <c r="B9760" s="117" t="s">
        <v>15277</v>
      </c>
      <c r="C9760" t="s">
        <v>67</v>
      </c>
      <c r="D9760" t="s">
        <v>67</v>
      </c>
      <c r="E9760" t="s">
        <v>67</v>
      </c>
      <c r="F9760" t="s">
        <v>45</v>
      </c>
      <c r="G9760" s="117">
        <v>0.63</v>
      </c>
    </row>
    <row r="9761" spans="1:7" x14ac:dyDescent="0.25">
      <c r="A9761" s="116" t="s">
        <v>15278</v>
      </c>
      <c r="B9761" s="117" t="s">
        <v>15279</v>
      </c>
      <c r="C9761" t="s">
        <v>67</v>
      </c>
      <c r="D9761" t="s">
        <v>67</v>
      </c>
      <c r="E9761" t="s">
        <v>67</v>
      </c>
      <c r="F9761" t="s">
        <v>45</v>
      </c>
      <c r="G9761" s="117">
        <v>17.7</v>
      </c>
    </row>
    <row r="9762" spans="1:7" x14ac:dyDescent="0.25">
      <c r="A9762" s="116" t="s">
        <v>15280</v>
      </c>
      <c r="B9762" s="117" t="s">
        <v>15281</v>
      </c>
      <c r="C9762" t="s">
        <v>67</v>
      </c>
      <c r="D9762" t="s">
        <v>67</v>
      </c>
      <c r="E9762" t="s">
        <v>67</v>
      </c>
      <c r="F9762" t="s">
        <v>27987</v>
      </c>
      <c r="G9762" s="117">
        <v>4.8899999999999997</v>
      </c>
    </row>
    <row r="9763" spans="1:7" x14ac:dyDescent="0.25">
      <c r="A9763" s="116" t="s">
        <v>15282</v>
      </c>
      <c r="B9763" s="117" t="s">
        <v>15277</v>
      </c>
      <c r="C9763" t="s">
        <v>67</v>
      </c>
      <c r="D9763" t="s">
        <v>67</v>
      </c>
      <c r="E9763" t="s">
        <v>67</v>
      </c>
      <c r="F9763" t="s">
        <v>45</v>
      </c>
      <c r="G9763" s="117">
        <v>5.15</v>
      </c>
    </row>
    <row r="9764" spans="1:7" x14ac:dyDescent="0.25">
      <c r="A9764" s="116" t="s">
        <v>15283</v>
      </c>
      <c r="B9764" s="117" t="s">
        <v>1477</v>
      </c>
      <c r="C9764" t="s">
        <v>67</v>
      </c>
      <c r="D9764" t="s">
        <v>67</v>
      </c>
      <c r="E9764" t="s">
        <v>67</v>
      </c>
      <c r="F9764" t="s">
        <v>45</v>
      </c>
      <c r="G9764" s="117">
        <v>2.58</v>
      </c>
    </row>
    <row r="9765" spans="1:7" x14ac:dyDescent="0.25">
      <c r="A9765" s="116" t="s">
        <v>15284</v>
      </c>
      <c r="B9765" s="117" t="s">
        <v>14991</v>
      </c>
      <c r="C9765" t="s">
        <v>67</v>
      </c>
      <c r="D9765" t="s">
        <v>67</v>
      </c>
      <c r="E9765" t="s">
        <v>67</v>
      </c>
      <c r="F9765" t="s">
        <v>45</v>
      </c>
      <c r="G9765" s="117">
        <v>3.56</v>
      </c>
    </row>
    <row r="9766" spans="1:7" x14ac:dyDescent="0.25">
      <c r="A9766" s="116" t="s">
        <v>15285</v>
      </c>
      <c r="B9766" s="117" t="s">
        <v>15286</v>
      </c>
      <c r="C9766" t="s">
        <v>67</v>
      </c>
      <c r="D9766" t="s">
        <v>67</v>
      </c>
      <c r="E9766" t="s">
        <v>67</v>
      </c>
      <c r="F9766" t="s">
        <v>45</v>
      </c>
      <c r="G9766" s="117">
        <v>7.12</v>
      </c>
    </row>
    <row r="9767" spans="1:7" x14ac:dyDescent="0.25">
      <c r="A9767" s="116" t="s">
        <v>15287</v>
      </c>
      <c r="B9767" s="117" t="s">
        <v>15288</v>
      </c>
      <c r="C9767" t="s">
        <v>67</v>
      </c>
      <c r="D9767" t="s">
        <v>67</v>
      </c>
      <c r="E9767" t="s">
        <v>67</v>
      </c>
      <c r="F9767" t="s">
        <v>27987</v>
      </c>
      <c r="G9767" s="117">
        <v>1.33</v>
      </c>
    </row>
    <row r="9768" spans="1:7" x14ac:dyDescent="0.25">
      <c r="A9768" s="116" t="s">
        <v>15289</v>
      </c>
      <c r="B9768" s="117" t="s">
        <v>15290</v>
      </c>
      <c r="C9768" t="s">
        <v>67</v>
      </c>
      <c r="D9768" t="s">
        <v>67</v>
      </c>
      <c r="E9768" t="s">
        <v>67</v>
      </c>
      <c r="F9768" t="s">
        <v>27987</v>
      </c>
      <c r="G9768" s="117">
        <v>10.58</v>
      </c>
    </row>
    <row r="9769" spans="1:7" x14ac:dyDescent="0.25">
      <c r="A9769" s="116" t="s">
        <v>15291</v>
      </c>
      <c r="B9769" s="117" t="s">
        <v>15292</v>
      </c>
      <c r="C9769" t="s">
        <v>67</v>
      </c>
      <c r="D9769" t="s">
        <v>67</v>
      </c>
      <c r="E9769" t="s">
        <v>67</v>
      </c>
      <c r="F9769" t="s">
        <v>27987</v>
      </c>
      <c r="G9769" s="117">
        <v>12.37</v>
      </c>
    </row>
    <row r="9770" spans="1:7" x14ac:dyDescent="0.25">
      <c r="A9770" s="116" t="s">
        <v>15293</v>
      </c>
      <c r="B9770" s="117" t="s">
        <v>14504</v>
      </c>
      <c r="C9770" t="s">
        <v>67</v>
      </c>
      <c r="D9770" t="s">
        <v>67</v>
      </c>
      <c r="E9770" t="s">
        <v>67</v>
      </c>
      <c r="F9770" t="s">
        <v>27987</v>
      </c>
      <c r="G9770" s="117">
        <v>3.48</v>
      </c>
    </row>
    <row r="9771" spans="1:7" x14ac:dyDescent="0.25">
      <c r="A9771" s="116" t="s">
        <v>15294</v>
      </c>
      <c r="B9771" s="117" t="s">
        <v>15295</v>
      </c>
      <c r="C9771" t="s">
        <v>67</v>
      </c>
      <c r="D9771" t="s">
        <v>67</v>
      </c>
      <c r="E9771" t="s">
        <v>67</v>
      </c>
      <c r="F9771" t="s">
        <v>27987</v>
      </c>
      <c r="G9771" s="117">
        <v>56.86</v>
      </c>
    </row>
    <row r="9772" spans="1:7" x14ac:dyDescent="0.25">
      <c r="A9772" s="116" t="s">
        <v>15296</v>
      </c>
      <c r="B9772" s="117" t="s">
        <v>15297</v>
      </c>
      <c r="C9772" t="s">
        <v>67</v>
      </c>
      <c r="D9772" t="s">
        <v>67</v>
      </c>
      <c r="E9772" t="s">
        <v>67</v>
      </c>
      <c r="F9772" t="s">
        <v>45</v>
      </c>
      <c r="G9772" s="117">
        <v>6.14</v>
      </c>
    </row>
    <row r="9773" spans="1:7" x14ac:dyDescent="0.25">
      <c r="A9773" s="116" t="s">
        <v>15298</v>
      </c>
      <c r="B9773" s="117" t="s">
        <v>15299</v>
      </c>
      <c r="C9773" t="s">
        <v>67</v>
      </c>
      <c r="D9773" t="s">
        <v>67</v>
      </c>
      <c r="E9773" t="s">
        <v>67</v>
      </c>
      <c r="F9773" t="s">
        <v>45</v>
      </c>
      <c r="G9773" s="117">
        <v>1.33</v>
      </c>
    </row>
    <row r="9774" spans="1:7" x14ac:dyDescent="0.25">
      <c r="A9774" s="116" t="s">
        <v>15300</v>
      </c>
      <c r="B9774" s="117" t="s">
        <v>6011</v>
      </c>
      <c r="C9774" t="s">
        <v>67</v>
      </c>
      <c r="D9774" t="s">
        <v>67</v>
      </c>
      <c r="E9774" t="s">
        <v>67</v>
      </c>
      <c r="F9774" t="s">
        <v>45</v>
      </c>
      <c r="G9774" s="117">
        <v>3.48</v>
      </c>
    </row>
    <row r="9775" spans="1:7" x14ac:dyDescent="0.25">
      <c r="A9775" s="116" t="s">
        <v>15301</v>
      </c>
      <c r="B9775" s="117" t="s">
        <v>15302</v>
      </c>
      <c r="C9775" t="s">
        <v>67</v>
      </c>
      <c r="D9775" t="s">
        <v>67</v>
      </c>
      <c r="E9775" t="s">
        <v>67</v>
      </c>
      <c r="F9775" t="s">
        <v>49</v>
      </c>
      <c r="G9775" s="117">
        <v>1.33</v>
      </c>
    </row>
    <row r="9776" spans="1:7" x14ac:dyDescent="0.25">
      <c r="A9776" s="116" t="s">
        <v>15303</v>
      </c>
      <c r="B9776" s="117" t="s">
        <v>15304</v>
      </c>
      <c r="C9776" t="s">
        <v>67</v>
      </c>
      <c r="D9776" t="s">
        <v>67</v>
      </c>
      <c r="E9776" t="s">
        <v>67</v>
      </c>
      <c r="F9776" t="s">
        <v>45</v>
      </c>
      <c r="G9776" s="117">
        <v>4.8899999999999997</v>
      </c>
    </row>
    <row r="9777" spans="1:7" x14ac:dyDescent="0.25">
      <c r="A9777" s="116" t="s">
        <v>15305</v>
      </c>
      <c r="B9777" s="117" t="s">
        <v>15306</v>
      </c>
      <c r="C9777" t="s">
        <v>67</v>
      </c>
      <c r="D9777" t="s">
        <v>67</v>
      </c>
      <c r="E9777" t="s">
        <v>67</v>
      </c>
      <c r="F9777" t="s">
        <v>45</v>
      </c>
      <c r="G9777" s="117">
        <v>19.13</v>
      </c>
    </row>
    <row r="9778" spans="1:7" x14ac:dyDescent="0.25">
      <c r="A9778" s="116" t="s">
        <v>15307</v>
      </c>
      <c r="B9778" s="117" t="s">
        <v>15308</v>
      </c>
      <c r="C9778" t="s">
        <v>67</v>
      </c>
      <c r="D9778" t="s">
        <v>67</v>
      </c>
      <c r="E9778" t="s">
        <v>67</v>
      </c>
      <c r="F9778" t="s">
        <v>45</v>
      </c>
      <c r="G9778" s="117">
        <v>13.26</v>
      </c>
    </row>
    <row r="9779" spans="1:7" x14ac:dyDescent="0.25">
      <c r="A9779" s="116" t="s">
        <v>15309</v>
      </c>
      <c r="B9779" s="117" t="s">
        <v>15310</v>
      </c>
      <c r="C9779" t="s">
        <v>67</v>
      </c>
      <c r="D9779" t="s">
        <v>67</v>
      </c>
      <c r="E9779" t="s">
        <v>67</v>
      </c>
      <c r="F9779" t="s">
        <v>45</v>
      </c>
      <c r="G9779" s="117">
        <v>2.58</v>
      </c>
    </row>
    <row r="9780" spans="1:7" x14ac:dyDescent="0.25">
      <c r="A9780" s="116" t="s">
        <v>15311</v>
      </c>
      <c r="B9780" s="117" t="s">
        <v>15312</v>
      </c>
      <c r="C9780" t="s">
        <v>67</v>
      </c>
      <c r="D9780" t="s">
        <v>67</v>
      </c>
      <c r="E9780" t="s">
        <v>67</v>
      </c>
      <c r="F9780" t="s">
        <v>27987</v>
      </c>
      <c r="G9780" s="117">
        <v>15.57</v>
      </c>
    </row>
    <row r="9781" spans="1:7" x14ac:dyDescent="0.25">
      <c r="A9781" s="116" t="s">
        <v>15313</v>
      </c>
      <c r="B9781" s="117" t="s">
        <v>15314</v>
      </c>
      <c r="C9781" t="s">
        <v>67</v>
      </c>
      <c r="D9781" t="s">
        <v>67</v>
      </c>
      <c r="E9781" t="s">
        <v>67</v>
      </c>
      <c r="F9781" t="s">
        <v>45</v>
      </c>
      <c r="G9781" s="117">
        <v>32.479999999999997</v>
      </c>
    </row>
    <row r="9782" spans="1:7" x14ac:dyDescent="0.25">
      <c r="A9782" s="116" t="s">
        <v>29199</v>
      </c>
      <c r="B9782" s="117" t="s">
        <v>29200</v>
      </c>
      <c r="C9782" t="s">
        <v>67</v>
      </c>
      <c r="D9782" t="s">
        <v>67</v>
      </c>
      <c r="E9782" t="s">
        <v>67</v>
      </c>
      <c r="F9782" t="s">
        <v>27987</v>
      </c>
      <c r="G9782" s="117">
        <v>10</v>
      </c>
    </row>
    <row r="9783" spans="1:7" x14ac:dyDescent="0.25">
      <c r="A9783" s="116" t="s">
        <v>15315</v>
      </c>
      <c r="B9783" s="117" t="s">
        <v>15316</v>
      </c>
      <c r="C9783" t="s">
        <v>67</v>
      </c>
      <c r="D9783" t="s">
        <v>67</v>
      </c>
      <c r="E9783" t="s">
        <v>67</v>
      </c>
      <c r="F9783" t="s">
        <v>45</v>
      </c>
      <c r="G9783" s="117">
        <v>2.58</v>
      </c>
    </row>
    <row r="9784" spans="1:7" x14ac:dyDescent="0.25">
      <c r="A9784" s="116" t="s">
        <v>15317</v>
      </c>
      <c r="B9784" s="117" t="s">
        <v>15318</v>
      </c>
      <c r="C9784" t="s">
        <v>67</v>
      </c>
      <c r="D9784" t="s">
        <v>67</v>
      </c>
      <c r="E9784" t="s">
        <v>67</v>
      </c>
      <c r="F9784" t="s">
        <v>27987</v>
      </c>
      <c r="G9784" s="117">
        <v>1.77</v>
      </c>
    </row>
    <row r="9785" spans="1:7" x14ac:dyDescent="0.25">
      <c r="A9785" s="116" t="s">
        <v>15319</v>
      </c>
      <c r="B9785" s="117" t="s">
        <v>15320</v>
      </c>
      <c r="C9785" t="s">
        <v>67</v>
      </c>
      <c r="D9785" t="s">
        <v>67</v>
      </c>
      <c r="E9785" t="s">
        <v>67</v>
      </c>
      <c r="F9785" t="s">
        <v>27987</v>
      </c>
      <c r="G9785" s="117">
        <v>12.9</v>
      </c>
    </row>
    <row r="9786" spans="1:7" x14ac:dyDescent="0.25">
      <c r="A9786" s="116" t="s">
        <v>15321</v>
      </c>
      <c r="B9786" s="117" t="s">
        <v>15322</v>
      </c>
      <c r="C9786" t="s">
        <v>67</v>
      </c>
      <c r="D9786" t="s">
        <v>67</v>
      </c>
      <c r="E9786" t="s">
        <v>67</v>
      </c>
      <c r="F9786" t="s">
        <v>27987</v>
      </c>
      <c r="G9786" s="117">
        <v>12.01</v>
      </c>
    </row>
    <row r="9787" spans="1:7" x14ac:dyDescent="0.25">
      <c r="A9787" s="116" t="s">
        <v>15323</v>
      </c>
      <c r="B9787" s="117" t="s">
        <v>15324</v>
      </c>
      <c r="C9787" t="s">
        <v>67</v>
      </c>
      <c r="D9787" t="s">
        <v>67</v>
      </c>
      <c r="E9787" t="s">
        <v>67</v>
      </c>
      <c r="F9787" t="s">
        <v>27987</v>
      </c>
      <c r="G9787" s="117">
        <v>3.12</v>
      </c>
    </row>
    <row r="9788" spans="1:7" x14ac:dyDescent="0.25">
      <c r="A9788" s="116" t="s">
        <v>15325</v>
      </c>
      <c r="B9788" s="117" t="s">
        <v>15326</v>
      </c>
      <c r="C9788" t="s">
        <v>67</v>
      </c>
      <c r="D9788" t="s">
        <v>67</v>
      </c>
      <c r="E9788" t="s">
        <v>67</v>
      </c>
      <c r="F9788" t="s">
        <v>49</v>
      </c>
      <c r="G9788" s="117">
        <v>4.3600000000000003</v>
      </c>
    </row>
    <row r="9789" spans="1:7" x14ac:dyDescent="0.25">
      <c r="A9789" s="116" t="s">
        <v>15327</v>
      </c>
      <c r="B9789" s="117" t="s">
        <v>15328</v>
      </c>
      <c r="C9789" t="s">
        <v>67</v>
      </c>
      <c r="D9789" t="s">
        <v>67</v>
      </c>
      <c r="E9789" t="s">
        <v>67</v>
      </c>
      <c r="F9789" t="s">
        <v>45</v>
      </c>
      <c r="G9789" s="117">
        <v>2.58</v>
      </c>
    </row>
    <row r="9790" spans="1:7" x14ac:dyDescent="0.25">
      <c r="A9790" s="116" t="s">
        <v>15329</v>
      </c>
      <c r="B9790" s="117" t="s">
        <v>15330</v>
      </c>
      <c r="C9790" t="s">
        <v>67</v>
      </c>
      <c r="D9790" t="s">
        <v>67</v>
      </c>
      <c r="E9790" t="s">
        <v>67</v>
      </c>
      <c r="F9790" t="s">
        <v>45</v>
      </c>
      <c r="G9790" s="117">
        <v>63.98</v>
      </c>
    </row>
    <row r="9791" spans="1:7" x14ac:dyDescent="0.25">
      <c r="A9791" s="116" t="s">
        <v>15331</v>
      </c>
      <c r="B9791" s="117" t="s">
        <v>15332</v>
      </c>
      <c r="C9791" t="s">
        <v>67</v>
      </c>
      <c r="D9791" t="s">
        <v>67</v>
      </c>
      <c r="E9791" t="s">
        <v>67</v>
      </c>
      <c r="F9791" t="s">
        <v>45</v>
      </c>
      <c r="G9791" s="117">
        <v>66.3</v>
      </c>
    </row>
    <row r="9792" spans="1:7" x14ac:dyDescent="0.25">
      <c r="A9792" s="116" t="s">
        <v>15333</v>
      </c>
      <c r="B9792" s="117" t="s">
        <v>15334</v>
      </c>
      <c r="C9792" t="s">
        <v>67</v>
      </c>
      <c r="D9792" t="s">
        <v>67</v>
      </c>
      <c r="E9792" t="s">
        <v>67</v>
      </c>
      <c r="F9792" t="s">
        <v>45</v>
      </c>
      <c r="G9792" s="117">
        <v>61.31</v>
      </c>
    </row>
    <row r="9793" spans="1:7" x14ac:dyDescent="0.25">
      <c r="A9793" s="116" t="s">
        <v>15335</v>
      </c>
      <c r="B9793" s="117" t="s">
        <v>15336</v>
      </c>
      <c r="C9793" t="s">
        <v>67</v>
      </c>
      <c r="D9793" t="s">
        <v>67</v>
      </c>
      <c r="E9793" t="s">
        <v>67</v>
      </c>
      <c r="F9793" t="s">
        <v>45</v>
      </c>
      <c r="G9793" s="117">
        <v>3.12</v>
      </c>
    </row>
    <row r="9794" spans="1:7" x14ac:dyDescent="0.25">
      <c r="A9794" s="116" t="s">
        <v>15337</v>
      </c>
      <c r="B9794" s="117" t="s">
        <v>15338</v>
      </c>
      <c r="C9794" t="s">
        <v>67</v>
      </c>
      <c r="D9794" t="s">
        <v>67</v>
      </c>
      <c r="E9794" t="s">
        <v>67</v>
      </c>
      <c r="F9794" t="s">
        <v>49</v>
      </c>
      <c r="G9794" s="117">
        <v>26.25</v>
      </c>
    </row>
    <row r="9795" spans="1:7" x14ac:dyDescent="0.25">
      <c r="A9795" s="116" t="s">
        <v>15339</v>
      </c>
      <c r="B9795" s="117" t="s">
        <v>15340</v>
      </c>
      <c r="C9795" t="s">
        <v>67</v>
      </c>
      <c r="D9795" t="s">
        <v>67</v>
      </c>
      <c r="E9795" t="s">
        <v>67</v>
      </c>
      <c r="F9795" t="s">
        <v>27987</v>
      </c>
      <c r="G9795" s="117">
        <v>9.35</v>
      </c>
    </row>
    <row r="9796" spans="1:7" x14ac:dyDescent="0.25">
      <c r="A9796" s="116" t="s">
        <v>15341</v>
      </c>
      <c r="B9796" s="117" t="s">
        <v>15342</v>
      </c>
      <c r="C9796" t="s">
        <v>67</v>
      </c>
      <c r="D9796" t="s">
        <v>67</v>
      </c>
      <c r="E9796" t="s">
        <v>67</v>
      </c>
      <c r="F9796" t="s">
        <v>45</v>
      </c>
      <c r="G9796" s="117">
        <v>21.26</v>
      </c>
    </row>
    <row r="9797" spans="1:7" x14ac:dyDescent="0.25">
      <c r="A9797" s="116" t="s">
        <v>15343</v>
      </c>
      <c r="B9797" s="117" t="s">
        <v>15344</v>
      </c>
      <c r="C9797" t="s">
        <v>67</v>
      </c>
      <c r="D9797" t="s">
        <v>67</v>
      </c>
      <c r="E9797" t="s">
        <v>67</v>
      </c>
      <c r="F9797" t="s">
        <v>27987</v>
      </c>
      <c r="G9797" s="117">
        <v>5.79</v>
      </c>
    </row>
    <row r="9798" spans="1:7" x14ac:dyDescent="0.25">
      <c r="A9798" s="116" t="s">
        <v>15345</v>
      </c>
      <c r="B9798" s="117" t="s">
        <v>15346</v>
      </c>
      <c r="C9798" t="s">
        <v>67</v>
      </c>
      <c r="D9798" t="s">
        <v>67</v>
      </c>
      <c r="E9798" t="s">
        <v>67</v>
      </c>
      <c r="F9798" t="s">
        <v>27987</v>
      </c>
      <c r="G9798" s="117">
        <v>14.68</v>
      </c>
    </row>
    <row r="9799" spans="1:7" x14ac:dyDescent="0.25">
      <c r="A9799" s="116" t="s">
        <v>15347</v>
      </c>
      <c r="B9799" s="117" t="s">
        <v>15348</v>
      </c>
      <c r="C9799" t="s">
        <v>67</v>
      </c>
      <c r="D9799" t="s">
        <v>67</v>
      </c>
      <c r="E9799" t="s">
        <v>67</v>
      </c>
      <c r="F9799" t="s">
        <v>27987</v>
      </c>
      <c r="G9799" s="117">
        <v>8.4499999999999993</v>
      </c>
    </row>
    <row r="9800" spans="1:7" x14ac:dyDescent="0.25">
      <c r="A9800" s="116" t="s">
        <v>15349</v>
      </c>
      <c r="B9800" s="117" t="s">
        <v>15350</v>
      </c>
      <c r="C9800" t="s">
        <v>67</v>
      </c>
      <c r="D9800" t="s">
        <v>67</v>
      </c>
      <c r="E9800" t="s">
        <v>67</v>
      </c>
      <c r="F9800" t="s">
        <v>27987</v>
      </c>
      <c r="G9800" s="117">
        <v>1.33</v>
      </c>
    </row>
    <row r="9801" spans="1:7" x14ac:dyDescent="0.25">
      <c r="A9801" s="116" t="s">
        <v>15351</v>
      </c>
      <c r="B9801" s="117" t="s">
        <v>15352</v>
      </c>
      <c r="C9801" t="s">
        <v>67</v>
      </c>
      <c r="D9801" t="s">
        <v>67</v>
      </c>
      <c r="E9801" t="s">
        <v>67</v>
      </c>
      <c r="F9801" t="s">
        <v>45</v>
      </c>
      <c r="G9801" s="117">
        <v>12.9</v>
      </c>
    </row>
    <row r="9802" spans="1:7" x14ac:dyDescent="0.25">
      <c r="A9802" s="116" t="s">
        <v>15353</v>
      </c>
      <c r="B9802" s="117" t="s">
        <v>15354</v>
      </c>
      <c r="C9802" t="s">
        <v>67</v>
      </c>
      <c r="D9802" t="s">
        <v>67</v>
      </c>
      <c r="E9802" t="s">
        <v>67</v>
      </c>
      <c r="F9802" t="s">
        <v>45</v>
      </c>
      <c r="G9802" s="117">
        <v>7.12</v>
      </c>
    </row>
    <row r="9803" spans="1:7" x14ac:dyDescent="0.25">
      <c r="A9803" s="116" t="s">
        <v>15355</v>
      </c>
      <c r="B9803" s="117" t="s">
        <v>14976</v>
      </c>
      <c r="C9803" t="s">
        <v>67</v>
      </c>
      <c r="D9803" t="s">
        <v>67</v>
      </c>
      <c r="E9803" t="s">
        <v>67</v>
      </c>
      <c r="F9803" t="s">
        <v>45</v>
      </c>
      <c r="G9803" s="117">
        <v>1.69</v>
      </c>
    </row>
    <row r="9804" spans="1:7" x14ac:dyDescent="0.25">
      <c r="A9804" s="116" t="s">
        <v>15356</v>
      </c>
      <c r="B9804" s="117" t="s">
        <v>15357</v>
      </c>
      <c r="C9804" t="s">
        <v>67</v>
      </c>
      <c r="D9804" t="s">
        <v>67</v>
      </c>
      <c r="E9804" t="s">
        <v>67</v>
      </c>
      <c r="F9804" t="s">
        <v>45</v>
      </c>
      <c r="G9804" s="117">
        <v>4.8899999999999997</v>
      </c>
    </row>
    <row r="9805" spans="1:7" x14ac:dyDescent="0.25">
      <c r="A9805" s="116" t="s">
        <v>15358</v>
      </c>
      <c r="B9805" s="117" t="s">
        <v>15359</v>
      </c>
      <c r="C9805" t="s">
        <v>67</v>
      </c>
      <c r="D9805" t="s">
        <v>67</v>
      </c>
      <c r="E9805" t="s">
        <v>67</v>
      </c>
      <c r="F9805" t="s">
        <v>45</v>
      </c>
      <c r="G9805" s="117">
        <v>10.58</v>
      </c>
    </row>
    <row r="9806" spans="1:7" x14ac:dyDescent="0.25">
      <c r="A9806" s="116" t="s">
        <v>15360</v>
      </c>
      <c r="B9806" s="117" t="s">
        <v>15361</v>
      </c>
      <c r="C9806" t="s">
        <v>67</v>
      </c>
      <c r="D9806" t="s">
        <v>67</v>
      </c>
      <c r="E9806" t="s">
        <v>67</v>
      </c>
      <c r="F9806" t="s">
        <v>45</v>
      </c>
      <c r="G9806" s="117">
        <v>0.8</v>
      </c>
    </row>
    <row r="9807" spans="1:7" x14ac:dyDescent="0.25">
      <c r="A9807" s="116" t="s">
        <v>15362</v>
      </c>
      <c r="B9807" s="117" t="s">
        <v>15363</v>
      </c>
      <c r="C9807" t="s">
        <v>67</v>
      </c>
      <c r="D9807" t="s">
        <v>67</v>
      </c>
      <c r="E9807" t="s">
        <v>67</v>
      </c>
      <c r="F9807" t="s">
        <v>27987</v>
      </c>
      <c r="G9807" s="117">
        <v>1.69</v>
      </c>
    </row>
    <row r="9808" spans="1:7" x14ac:dyDescent="0.25">
      <c r="A9808" s="116" t="s">
        <v>15364</v>
      </c>
      <c r="B9808" s="117" t="s">
        <v>15365</v>
      </c>
      <c r="C9808" t="s">
        <v>67</v>
      </c>
      <c r="D9808" t="s">
        <v>67</v>
      </c>
      <c r="E9808" t="s">
        <v>67</v>
      </c>
      <c r="F9808" t="s">
        <v>45</v>
      </c>
      <c r="G9808" s="117">
        <v>8.89</v>
      </c>
    </row>
    <row r="9809" spans="1:7" x14ac:dyDescent="0.25">
      <c r="A9809" s="116" t="s">
        <v>15366</v>
      </c>
      <c r="B9809" s="117" t="s">
        <v>15367</v>
      </c>
      <c r="C9809" t="s">
        <v>67</v>
      </c>
      <c r="D9809" t="s">
        <v>67</v>
      </c>
      <c r="E9809" t="s">
        <v>67</v>
      </c>
      <c r="F9809" t="s">
        <v>27987</v>
      </c>
      <c r="G9809" s="117">
        <v>3.56</v>
      </c>
    </row>
    <row r="9810" spans="1:7" x14ac:dyDescent="0.25">
      <c r="A9810" s="116" t="s">
        <v>15368</v>
      </c>
      <c r="B9810" s="117" t="s">
        <v>15369</v>
      </c>
      <c r="C9810" t="s">
        <v>67</v>
      </c>
      <c r="D9810" t="s">
        <v>67</v>
      </c>
      <c r="E9810" t="s">
        <v>67</v>
      </c>
      <c r="F9810" t="s">
        <v>27987</v>
      </c>
      <c r="G9810" s="117">
        <v>2.58</v>
      </c>
    </row>
    <row r="9811" spans="1:7" x14ac:dyDescent="0.25">
      <c r="A9811" s="116" t="s">
        <v>15370</v>
      </c>
      <c r="B9811" s="117" t="s">
        <v>15371</v>
      </c>
      <c r="C9811" t="s">
        <v>67</v>
      </c>
      <c r="D9811" t="s">
        <v>67</v>
      </c>
      <c r="E9811" t="s">
        <v>67</v>
      </c>
      <c r="F9811" t="s">
        <v>45</v>
      </c>
      <c r="G9811" s="117">
        <v>1.69</v>
      </c>
    </row>
    <row r="9812" spans="1:7" x14ac:dyDescent="0.25">
      <c r="A9812" s="116" t="s">
        <v>15372</v>
      </c>
      <c r="B9812" s="117" t="s">
        <v>15373</v>
      </c>
      <c r="C9812" t="s">
        <v>67</v>
      </c>
      <c r="D9812" t="s">
        <v>67</v>
      </c>
      <c r="E9812" t="s">
        <v>67</v>
      </c>
      <c r="F9812" t="s">
        <v>27987</v>
      </c>
      <c r="G9812" s="117">
        <v>48.5</v>
      </c>
    </row>
    <row r="9813" spans="1:7" x14ac:dyDescent="0.25">
      <c r="A9813" s="116" t="s">
        <v>15374</v>
      </c>
      <c r="B9813" s="117" t="s">
        <v>15375</v>
      </c>
      <c r="C9813" t="s">
        <v>67</v>
      </c>
      <c r="D9813" t="s">
        <v>67</v>
      </c>
      <c r="E9813" t="s">
        <v>67</v>
      </c>
      <c r="F9813" t="s">
        <v>45</v>
      </c>
      <c r="G9813" s="117">
        <v>2.23</v>
      </c>
    </row>
    <row r="9814" spans="1:7" x14ac:dyDescent="0.25">
      <c r="A9814" s="116" t="s">
        <v>15376</v>
      </c>
      <c r="B9814" s="117" t="s">
        <v>15377</v>
      </c>
      <c r="C9814" t="s">
        <v>67</v>
      </c>
      <c r="D9814" t="s">
        <v>67</v>
      </c>
      <c r="E9814" t="s">
        <v>67</v>
      </c>
      <c r="F9814" t="s">
        <v>45</v>
      </c>
      <c r="G9814" s="117">
        <v>11.48</v>
      </c>
    </row>
    <row r="9815" spans="1:7" x14ac:dyDescent="0.25">
      <c r="A9815" s="116" t="s">
        <v>15378</v>
      </c>
      <c r="B9815" s="117" t="s">
        <v>15379</v>
      </c>
      <c r="C9815" t="s">
        <v>67</v>
      </c>
      <c r="D9815" t="s">
        <v>67</v>
      </c>
      <c r="E9815" t="s">
        <v>67</v>
      </c>
      <c r="F9815" t="s">
        <v>45</v>
      </c>
      <c r="G9815" s="117">
        <v>13.26</v>
      </c>
    </row>
    <row r="9816" spans="1:7" x14ac:dyDescent="0.25">
      <c r="A9816" s="116" t="s">
        <v>15380</v>
      </c>
      <c r="B9816" s="117" t="s">
        <v>15381</v>
      </c>
      <c r="C9816" t="s">
        <v>67</v>
      </c>
      <c r="D9816" t="s">
        <v>67</v>
      </c>
      <c r="E9816" t="s">
        <v>67</v>
      </c>
      <c r="F9816" t="s">
        <v>45</v>
      </c>
      <c r="G9816" s="117">
        <v>17.7</v>
      </c>
    </row>
    <row r="9817" spans="1:7" x14ac:dyDescent="0.25">
      <c r="A9817" s="116" t="s">
        <v>15382</v>
      </c>
      <c r="B9817" s="117" t="s">
        <v>15383</v>
      </c>
      <c r="C9817" t="s">
        <v>67</v>
      </c>
      <c r="D9817" t="s">
        <v>67</v>
      </c>
      <c r="E9817" t="s">
        <v>67</v>
      </c>
      <c r="F9817" t="s">
        <v>45</v>
      </c>
      <c r="G9817" s="117">
        <v>0.8</v>
      </c>
    </row>
    <row r="9818" spans="1:7" x14ac:dyDescent="0.25">
      <c r="A9818" s="116" t="s">
        <v>15384</v>
      </c>
      <c r="B9818" s="117" t="s">
        <v>15385</v>
      </c>
      <c r="C9818" t="s">
        <v>67</v>
      </c>
      <c r="D9818" t="s">
        <v>67</v>
      </c>
      <c r="E9818" t="s">
        <v>67</v>
      </c>
      <c r="F9818" t="s">
        <v>27987</v>
      </c>
      <c r="G9818" s="117">
        <v>15.93</v>
      </c>
    </row>
    <row r="9819" spans="1:7" x14ac:dyDescent="0.25">
      <c r="A9819" s="116" t="s">
        <v>15386</v>
      </c>
      <c r="B9819" s="117" t="s">
        <v>15387</v>
      </c>
      <c r="C9819" t="s">
        <v>67</v>
      </c>
      <c r="D9819" t="s">
        <v>67</v>
      </c>
      <c r="E9819" t="s">
        <v>67</v>
      </c>
      <c r="F9819" t="s">
        <v>27987</v>
      </c>
      <c r="G9819" s="117">
        <v>15.57</v>
      </c>
    </row>
    <row r="9820" spans="1:7" x14ac:dyDescent="0.25">
      <c r="A9820" s="116" t="s">
        <v>15388</v>
      </c>
      <c r="B9820" s="117" t="s">
        <v>15389</v>
      </c>
      <c r="C9820" t="s">
        <v>67</v>
      </c>
      <c r="D9820" t="s">
        <v>67</v>
      </c>
      <c r="E9820" t="s">
        <v>67</v>
      </c>
      <c r="F9820" t="s">
        <v>27987</v>
      </c>
      <c r="G9820" s="117">
        <v>6.68</v>
      </c>
    </row>
    <row r="9821" spans="1:7" x14ac:dyDescent="0.25">
      <c r="A9821" s="116" t="s">
        <v>15390</v>
      </c>
      <c r="B9821" s="117" t="s">
        <v>15391</v>
      </c>
      <c r="C9821" t="s">
        <v>67</v>
      </c>
      <c r="D9821" t="s">
        <v>67</v>
      </c>
      <c r="E9821" t="s">
        <v>67</v>
      </c>
      <c r="F9821" t="s">
        <v>45</v>
      </c>
      <c r="G9821" s="117">
        <v>12.37</v>
      </c>
    </row>
    <row r="9822" spans="1:7" x14ac:dyDescent="0.25">
      <c r="A9822" s="116" t="s">
        <v>15392</v>
      </c>
      <c r="B9822" s="117" t="s">
        <v>15393</v>
      </c>
      <c r="C9822" t="s">
        <v>67</v>
      </c>
      <c r="D9822" t="s">
        <v>67</v>
      </c>
      <c r="E9822" t="s">
        <v>67</v>
      </c>
      <c r="F9822" t="s">
        <v>45</v>
      </c>
      <c r="G9822" s="117">
        <v>0.8</v>
      </c>
    </row>
    <row r="9823" spans="1:7" x14ac:dyDescent="0.25">
      <c r="A9823" s="116" t="s">
        <v>15394</v>
      </c>
      <c r="B9823" s="117" t="s">
        <v>29195</v>
      </c>
      <c r="C9823" t="s">
        <v>67</v>
      </c>
      <c r="D9823" t="s">
        <v>67</v>
      </c>
      <c r="E9823" t="s">
        <v>67</v>
      </c>
      <c r="F9823" t="s">
        <v>27987</v>
      </c>
      <c r="G9823" s="117">
        <v>1.33</v>
      </c>
    </row>
    <row r="9824" spans="1:7" x14ac:dyDescent="0.25">
      <c r="A9824" s="116" t="s">
        <v>15395</v>
      </c>
      <c r="B9824" s="117" t="s">
        <v>15396</v>
      </c>
      <c r="C9824" t="s">
        <v>67</v>
      </c>
      <c r="D9824" t="s">
        <v>67</v>
      </c>
      <c r="E9824" t="s">
        <v>67</v>
      </c>
      <c r="F9824" t="s">
        <v>27987</v>
      </c>
      <c r="G9824" s="117">
        <v>17.7</v>
      </c>
    </row>
    <row r="9825" spans="1:7" x14ac:dyDescent="0.25">
      <c r="A9825" s="116" t="s">
        <v>15397</v>
      </c>
      <c r="B9825" s="117" t="s">
        <v>15398</v>
      </c>
      <c r="C9825" t="s">
        <v>67</v>
      </c>
      <c r="D9825" t="s">
        <v>67</v>
      </c>
      <c r="E9825" t="s">
        <v>67</v>
      </c>
      <c r="F9825" t="s">
        <v>45</v>
      </c>
      <c r="G9825" s="117">
        <v>2.58</v>
      </c>
    </row>
    <row r="9826" spans="1:7" x14ac:dyDescent="0.25">
      <c r="A9826" s="116" t="s">
        <v>15399</v>
      </c>
      <c r="B9826" s="117" t="s">
        <v>15400</v>
      </c>
      <c r="C9826" t="s">
        <v>67</v>
      </c>
      <c r="D9826" t="s">
        <v>67</v>
      </c>
      <c r="E9826" t="s">
        <v>67</v>
      </c>
      <c r="F9826" t="s">
        <v>45</v>
      </c>
      <c r="G9826" s="117">
        <v>2.58</v>
      </c>
    </row>
    <row r="9827" spans="1:7" x14ac:dyDescent="0.25">
      <c r="A9827" s="116" t="s">
        <v>15401</v>
      </c>
      <c r="B9827" s="117" t="s">
        <v>15402</v>
      </c>
      <c r="C9827" t="s">
        <v>67</v>
      </c>
      <c r="D9827" t="s">
        <v>67</v>
      </c>
      <c r="E9827" t="s">
        <v>67</v>
      </c>
      <c r="F9827" t="s">
        <v>27987</v>
      </c>
      <c r="G9827" s="117">
        <v>0.8</v>
      </c>
    </row>
    <row r="9828" spans="1:7" x14ac:dyDescent="0.25">
      <c r="A9828" s="116" t="s">
        <v>29201</v>
      </c>
      <c r="B9828" s="117" t="s">
        <v>29202</v>
      </c>
      <c r="C9828" t="s">
        <v>67</v>
      </c>
      <c r="D9828" t="s">
        <v>67</v>
      </c>
      <c r="E9828" t="s">
        <v>67</v>
      </c>
      <c r="F9828" t="s">
        <v>27987</v>
      </c>
      <c r="G9828" s="117">
        <v>9999</v>
      </c>
    </row>
    <row r="9829" spans="1:7" x14ac:dyDescent="0.25">
      <c r="A9829" s="116" t="s">
        <v>15403</v>
      </c>
      <c r="B9829" s="117" t="s">
        <v>15404</v>
      </c>
      <c r="C9829" t="s">
        <v>67</v>
      </c>
      <c r="D9829" t="s">
        <v>67</v>
      </c>
      <c r="E9829" t="s">
        <v>67</v>
      </c>
      <c r="F9829" t="s">
        <v>45</v>
      </c>
      <c r="G9829" s="117">
        <v>4.8899999999999997</v>
      </c>
    </row>
    <row r="9830" spans="1:7" x14ac:dyDescent="0.25">
      <c r="A9830" s="116" t="s">
        <v>15405</v>
      </c>
      <c r="B9830" s="117" t="s">
        <v>12035</v>
      </c>
      <c r="C9830" t="s">
        <v>67</v>
      </c>
      <c r="D9830" t="s">
        <v>67</v>
      </c>
      <c r="E9830" t="s">
        <v>67</v>
      </c>
      <c r="F9830" t="s">
        <v>27987</v>
      </c>
      <c r="G9830" s="117">
        <v>51.17</v>
      </c>
    </row>
    <row r="9831" spans="1:7" x14ac:dyDescent="0.25">
      <c r="A9831" s="116" t="s">
        <v>28089</v>
      </c>
      <c r="B9831" s="117" t="s">
        <v>28090</v>
      </c>
      <c r="C9831" t="s">
        <v>67</v>
      </c>
      <c r="D9831" t="s">
        <v>67</v>
      </c>
      <c r="E9831" t="s">
        <v>67</v>
      </c>
      <c r="F9831" t="s">
        <v>45</v>
      </c>
      <c r="G9831" s="117">
        <v>48</v>
      </c>
    </row>
    <row r="9832" spans="1:7" x14ac:dyDescent="0.25">
      <c r="A9832" s="116" t="s">
        <v>15406</v>
      </c>
      <c r="B9832" s="117" t="s">
        <v>13175</v>
      </c>
      <c r="C9832" t="s">
        <v>67</v>
      </c>
      <c r="D9832" t="s">
        <v>67</v>
      </c>
      <c r="E9832" t="s">
        <v>67</v>
      </c>
      <c r="F9832" t="s">
        <v>49</v>
      </c>
      <c r="G9832" s="117">
        <v>36.04</v>
      </c>
    </row>
    <row r="9833" spans="1:7" x14ac:dyDescent="0.25">
      <c r="A9833" s="116" t="s">
        <v>15407</v>
      </c>
      <c r="B9833" s="117" t="s">
        <v>15408</v>
      </c>
      <c r="C9833" t="s">
        <v>67</v>
      </c>
      <c r="D9833" t="s">
        <v>67</v>
      </c>
      <c r="E9833" t="s">
        <v>67</v>
      </c>
      <c r="F9833" t="s">
        <v>27987</v>
      </c>
      <c r="G9833" s="117">
        <v>2.58</v>
      </c>
    </row>
    <row r="9834" spans="1:7" x14ac:dyDescent="0.25">
      <c r="A9834" s="116" t="s">
        <v>15409</v>
      </c>
      <c r="B9834" s="117" t="s">
        <v>15410</v>
      </c>
      <c r="C9834" t="s">
        <v>67</v>
      </c>
      <c r="D9834" t="s">
        <v>67</v>
      </c>
      <c r="E9834" t="s">
        <v>67</v>
      </c>
      <c r="F9834" t="s">
        <v>27987</v>
      </c>
      <c r="G9834" s="117">
        <v>7.56</v>
      </c>
    </row>
    <row r="9835" spans="1:7" x14ac:dyDescent="0.25">
      <c r="A9835" s="116" t="s">
        <v>15411</v>
      </c>
      <c r="B9835" s="117" t="s">
        <v>10195</v>
      </c>
      <c r="C9835" t="s">
        <v>67</v>
      </c>
      <c r="D9835" t="s">
        <v>67</v>
      </c>
      <c r="E9835" t="s">
        <v>67</v>
      </c>
      <c r="F9835" t="s">
        <v>49</v>
      </c>
      <c r="G9835" s="117">
        <v>7.92</v>
      </c>
    </row>
    <row r="9836" spans="1:7" x14ac:dyDescent="0.25">
      <c r="A9836" s="116" t="s">
        <v>15412</v>
      </c>
      <c r="B9836" s="117" t="s">
        <v>29203</v>
      </c>
      <c r="C9836" t="s">
        <v>67</v>
      </c>
      <c r="D9836" t="s">
        <v>67</v>
      </c>
      <c r="E9836" t="s">
        <v>67</v>
      </c>
      <c r="F9836" t="s">
        <v>27987</v>
      </c>
      <c r="G9836" s="117">
        <v>5.79</v>
      </c>
    </row>
    <row r="9837" spans="1:7" x14ac:dyDescent="0.25">
      <c r="A9837" s="116" t="s">
        <v>15413</v>
      </c>
      <c r="B9837" s="117" t="s">
        <v>15414</v>
      </c>
      <c r="C9837" t="s">
        <v>67</v>
      </c>
      <c r="D9837" t="s">
        <v>67</v>
      </c>
      <c r="E9837" t="s">
        <v>67</v>
      </c>
      <c r="F9837" t="s">
        <v>45</v>
      </c>
      <c r="G9837" s="117">
        <v>3.56</v>
      </c>
    </row>
    <row r="9838" spans="1:7" x14ac:dyDescent="0.25">
      <c r="A9838" s="116" t="s">
        <v>15415</v>
      </c>
      <c r="B9838" s="117" t="s">
        <v>15416</v>
      </c>
      <c r="C9838" t="s">
        <v>67</v>
      </c>
      <c r="D9838" t="s">
        <v>67</v>
      </c>
      <c r="E9838" t="s">
        <v>67</v>
      </c>
      <c r="F9838" t="s">
        <v>27990</v>
      </c>
      <c r="G9838" s="117">
        <v>10.24</v>
      </c>
    </row>
    <row r="9839" spans="1:7" x14ac:dyDescent="0.25">
      <c r="A9839" s="116" t="s">
        <v>15417</v>
      </c>
      <c r="B9839" s="117" t="s">
        <v>14997</v>
      </c>
      <c r="C9839" t="s">
        <v>67</v>
      </c>
      <c r="D9839" t="s">
        <v>67</v>
      </c>
      <c r="E9839" t="s">
        <v>67</v>
      </c>
      <c r="F9839" t="s">
        <v>27990</v>
      </c>
      <c r="G9839" s="117">
        <v>8.4499999999999993</v>
      </c>
    </row>
    <row r="9840" spans="1:7" x14ac:dyDescent="0.25">
      <c r="A9840" s="116" t="s">
        <v>15418</v>
      </c>
      <c r="B9840" s="117" t="s">
        <v>15419</v>
      </c>
      <c r="C9840" t="s">
        <v>67</v>
      </c>
      <c r="D9840" t="s">
        <v>67</v>
      </c>
      <c r="E9840" t="s">
        <v>67</v>
      </c>
      <c r="F9840" t="s">
        <v>27987</v>
      </c>
      <c r="G9840" s="117">
        <v>9.35</v>
      </c>
    </row>
    <row r="9841" spans="1:7" x14ac:dyDescent="0.25">
      <c r="A9841" s="116" t="s">
        <v>15420</v>
      </c>
      <c r="B9841" s="117" t="s">
        <v>15421</v>
      </c>
      <c r="C9841" t="s">
        <v>67</v>
      </c>
      <c r="D9841" t="s">
        <v>67</v>
      </c>
      <c r="E9841" t="s">
        <v>67</v>
      </c>
      <c r="F9841" t="s">
        <v>27987</v>
      </c>
      <c r="G9841" s="117">
        <v>2.23</v>
      </c>
    </row>
    <row r="9842" spans="1:7" x14ac:dyDescent="0.25">
      <c r="A9842" s="116" t="s">
        <v>15422</v>
      </c>
      <c r="B9842" s="117" t="s">
        <v>15423</v>
      </c>
      <c r="C9842" t="s">
        <v>67</v>
      </c>
      <c r="D9842" t="s">
        <v>67</v>
      </c>
      <c r="E9842" t="s">
        <v>67</v>
      </c>
      <c r="F9842" t="s">
        <v>45</v>
      </c>
      <c r="G9842" s="117">
        <v>1.69</v>
      </c>
    </row>
    <row r="9843" spans="1:7" x14ac:dyDescent="0.25">
      <c r="A9843" s="116" t="s">
        <v>15424</v>
      </c>
      <c r="B9843" s="117" t="s">
        <v>15425</v>
      </c>
      <c r="C9843" t="s">
        <v>67</v>
      </c>
      <c r="D9843" t="s">
        <v>67</v>
      </c>
      <c r="E9843" t="s">
        <v>67</v>
      </c>
      <c r="F9843" t="s">
        <v>27987</v>
      </c>
      <c r="G9843" s="117">
        <v>6.14</v>
      </c>
    </row>
    <row r="9844" spans="1:7" x14ac:dyDescent="0.25">
      <c r="A9844" s="116" t="s">
        <v>15426</v>
      </c>
      <c r="B9844" s="117" t="s">
        <v>15427</v>
      </c>
      <c r="C9844" t="s">
        <v>67</v>
      </c>
      <c r="D9844" t="s">
        <v>67</v>
      </c>
      <c r="E9844" t="s">
        <v>67</v>
      </c>
      <c r="F9844" t="s">
        <v>49</v>
      </c>
      <c r="G9844" s="117">
        <v>47.61</v>
      </c>
    </row>
    <row r="9845" spans="1:7" x14ac:dyDescent="0.25">
      <c r="A9845" s="116" t="s">
        <v>15428</v>
      </c>
      <c r="B9845" s="117" t="s">
        <v>15429</v>
      </c>
      <c r="C9845" t="s">
        <v>67</v>
      </c>
      <c r="D9845" t="s">
        <v>67</v>
      </c>
      <c r="E9845" t="s">
        <v>67</v>
      </c>
      <c r="F9845" t="s">
        <v>27987</v>
      </c>
      <c r="G9845" s="117">
        <v>1.69</v>
      </c>
    </row>
    <row r="9846" spans="1:7" x14ac:dyDescent="0.25">
      <c r="A9846" s="116" t="s">
        <v>15430</v>
      </c>
      <c r="B9846" s="117" t="s">
        <v>29204</v>
      </c>
      <c r="C9846" t="s">
        <v>67</v>
      </c>
      <c r="D9846" t="s">
        <v>67</v>
      </c>
      <c r="E9846" t="s">
        <v>67</v>
      </c>
      <c r="F9846" t="s">
        <v>27990</v>
      </c>
      <c r="G9846" s="117">
        <v>16.82</v>
      </c>
    </row>
    <row r="9847" spans="1:7" x14ac:dyDescent="0.25">
      <c r="A9847" s="116" t="s">
        <v>15431</v>
      </c>
      <c r="B9847" s="117" t="s">
        <v>15432</v>
      </c>
      <c r="C9847" t="s">
        <v>67</v>
      </c>
      <c r="D9847" t="s">
        <v>67</v>
      </c>
      <c r="E9847" t="s">
        <v>67</v>
      </c>
      <c r="F9847" t="s">
        <v>49</v>
      </c>
      <c r="G9847" s="117">
        <v>7.02</v>
      </c>
    </row>
    <row r="9848" spans="1:7" x14ac:dyDescent="0.25">
      <c r="A9848" s="116" t="s">
        <v>15433</v>
      </c>
      <c r="B9848" s="117" t="s">
        <v>15434</v>
      </c>
      <c r="C9848" t="s">
        <v>67</v>
      </c>
      <c r="D9848" t="s">
        <v>67</v>
      </c>
      <c r="E9848" t="s">
        <v>67</v>
      </c>
      <c r="F9848" t="s">
        <v>27987</v>
      </c>
      <c r="G9848" s="117">
        <v>7.12</v>
      </c>
    </row>
    <row r="9849" spans="1:7" x14ac:dyDescent="0.25">
      <c r="A9849" s="116" t="s">
        <v>15435</v>
      </c>
      <c r="B9849" s="117" t="s">
        <v>15436</v>
      </c>
      <c r="C9849" t="s">
        <v>67</v>
      </c>
      <c r="D9849" t="s">
        <v>67</v>
      </c>
      <c r="E9849" t="s">
        <v>67</v>
      </c>
      <c r="F9849" t="s">
        <v>27987</v>
      </c>
      <c r="G9849" s="117">
        <v>9.35</v>
      </c>
    </row>
    <row r="9850" spans="1:7" x14ac:dyDescent="0.25">
      <c r="A9850" s="116" t="s">
        <v>15437</v>
      </c>
      <c r="B9850" s="117" t="s">
        <v>15338</v>
      </c>
      <c r="C9850" t="s">
        <v>67</v>
      </c>
      <c r="D9850" t="s">
        <v>67</v>
      </c>
      <c r="E9850" t="s">
        <v>67</v>
      </c>
      <c r="F9850" t="s">
        <v>49</v>
      </c>
      <c r="G9850" s="117">
        <v>26.61</v>
      </c>
    </row>
    <row r="9851" spans="1:7" x14ac:dyDescent="0.25">
      <c r="A9851" s="116" t="s">
        <v>15438</v>
      </c>
      <c r="B9851" s="117" t="s">
        <v>15439</v>
      </c>
      <c r="C9851" t="s">
        <v>67</v>
      </c>
      <c r="D9851" t="s">
        <v>67</v>
      </c>
      <c r="E9851" t="s">
        <v>67</v>
      </c>
      <c r="F9851" t="s">
        <v>27987</v>
      </c>
      <c r="G9851" s="117">
        <v>5.79</v>
      </c>
    </row>
    <row r="9852" spans="1:7" x14ac:dyDescent="0.25">
      <c r="A9852" s="116" t="s">
        <v>15440</v>
      </c>
      <c r="B9852" s="117" t="s">
        <v>14997</v>
      </c>
      <c r="C9852" t="s">
        <v>67</v>
      </c>
      <c r="D9852" t="s">
        <v>67</v>
      </c>
      <c r="E9852" t="s">
        <v>67</v>
      </c>
      <c r="F9852" t="s">
        <v>27987</v>
      </c>
      <c r="G9852" s="117">
        <v>5.79</v>
      </c>
    </row>
    <row r="9853" spans="1:7" x14ac:dyDescent="0.25">
      <c r="A9853" s="116" t="s">
        <v>15441</v>
      </c>
      <c r="B9853" s="117" t="s">
        <v>15442</v>
      </c>
      <c r="C9853" t="s">
        <v>67</v>
      </c>
      <c r="D9853" t="s">
        <v>67</v>
      </c>
      <c r="E9853" t="s">
        <v>67</v>
      </c>
      <c r="F9853" t="s">
        <v>27987</v>
      </c>
      <c r="G9853" s="117">
        <v>9.6999999999999993</v>
      </c>
    </row>
    <row r="9854" spans="1:7" x14ac:dyDescent="0.25">
      <c r="A9854" s="116" t="s">
        <v>15443</v>
      </c>
      <c r="B9854" s="117" t="s">
        <v>15444</v>
      </c>
      <c r="C9854" t="s">
        <v>67</v>
      </c>
      <c r="D9854" t="s">
        <v>67</v>
      </c>
      <c r="E9854" t="s">
        <v>67</v>
      </c>
      <c r="F9854" t="s">
        <v>27987</v>
      </c>
      <c r="G9854" s="117">
        <v>2.58</v>
      </c>
    </row>
    <row r="9855" spans="1:7" x14ac:dyDescent="0.25">
      <c r="A9855" s="116" t="s">
        <v>15445</v>
      </c>
      <c r="B9855" s="117" t="s">
        <v>15446</v>
      </c>
      <c r="C9855" t="s">
        <v>67</v>
      </c>
      <c r="D9855" t="s">
        <v>67</v>
      </c>
      <c r="E9855" t="s">
        <v>67</v>
      </c>
      <c r="F9855" t="s">
        <v>49</v>
      </c>
      <c r="G9855" s="117">
        <v>2.58</v>
      </c>
    </row>
    <row r="9856" spans="1:7" x14ac:dyDescent="0.25">
      <c r="A9856" s="116" t="s">
        <v>15447</v>
      </c>
      <c r="B9856" s="117" t="s">
        <v>15448</v>
      </c>
      <c r="C9856" t="s">
        <v>67</v>
      </c>
      <c r="D9856" t="s">
        <v>67</v>
      </c>
      <c r="E9856" t="s">
        <v>67</v>
      </c>
      <c r="F9856" t="s">
        <v>27987</v>
      </c>
      <c r="G9856" s="117">
        <v>6.68</v>
      </c>
    </row>
    <row r="9857" spans="1:7" x14ac:dyDescent="0.25">
      <c r="A9857" s="116" t="s">
        <v>15449</v>
      </c>
      <c r="B9857" s="117" t="s">
        <v>15450</v>
      </c>
      <c r="C9857" t="s">
        <v>67</v>
      </c>
      <c r="D9857" t="s">
        <v>67</v>
      </c>
      <c r="E9857" t="s">
        <v>67</v>
      </c>
      <c r="F9857" t="s">
        <v>27990</v>
      </c>
      <c r="G9857" s="117">
        <v>1.77</v>
      </c>
    </row>
    <row r="9858" spans="1:7" x14ac:dyDescent="0.25">
      <c r="A9858" s="116" t="s">
        <v>15451</v>
      </c>
      <c r="B9858" s="117" t="s">
        <v>15450</v>
      </c>
      <c r="C9858" t="s">
        <v>67</v>
      </c>
      <c r="D9858" t="s">
        <v>67</v>
      </c>
      <c r="E9858" t="s">
        <v>67</v>
      </c>
      <c r="F9858" t="s">
        <v>27990</v>
      </c>
      <c r="G9858" s="117">
        <v>1.77</v>
      </c>
    </row>
    <row r="9859" spans="1:7" x14ac:dyDescent="0.25">
      <c r="A9859" s="116" t="s">
        <v>15452</v>
      </c>
      <c r="B9859" s="117" t="s">
        <v>15453</v>
      </c>
      <c r="C9859" t="s">
        <v>67</v>
      </c>
      <c r="D9859" t="s">
        <v>67</v>
      </c>
      <c r="E9859" t="s">
        <v>67</v>
      </c>
      <c r="F9859" t="s">
        <v>45</v>
      </c>
      <c r="G9859" s="117">
        <v>1.33</v>
      </c>
    </row>
    <row r="9860" spans="1:7" x14ac:dyDescent="0.25">
      <c r="A9860" s="116" t="s">
        <v>15454</v>
      </c>
      <c r="B9860" s="117" t="s">
        <v>15455</v>
      </c>
      <c r="C9860" t="s">
        <v>67</v>
      </c>
      <c r="D9860" t="s">
        <v>67</v>
      </c>
      <c r="E9860" t="s">
        <v>67</v>
      </c>
      <c r="F9860" t="s">
        <v>45</v>
      </c>
      <c r="G9860" s="117">
        <v>12.01</v>
      </c>
    </row>
    <row r="9861" spans="1:7" x14ac:dyDescent="0.25">
      <c r="A9861" s="116" t="s">
        <v>15456</v>
      </c>
      <c r="B9861" s="117" t="s">
        <v>15457</v>
      </c>
      <c r="C9861" t="s">
        <v>67</v>
      </c>
      <c r="D9861" t="s">
        <v>67</v>
      </c>
      <c r="E9861" t="s">
        <v>67</v>
      </c>
      <c r="F9861" t="s">
        <v>27987</v>
      </c>
      <c r="G9861" s="117">
        <v>8.4499999999999993</v>
      </c>
    </row>
    <row r="9862" spans="1:7" x14ac:dyDescent="0.25">
      <c r="A9862" s="116" t="s">
        <v>15458</v>
      </c>
      <c r="B9862" s="117" t="s">
        <v>29205</v>
      </c>
      <c r="C9862" t="s">
        <v>67</v>
      </c>
      <c r="D9862" t="s">
        <v>67</v>
      </c>
      <c r="E9862" t="s">
        <v>67</v>
      </c>
      <c r="F9862" t="s">
        <v>27987</v>
      </c>
      <c r="G9862" s="117">
        <v>4.3600000000000003</v>
      </c>
    </row>
    <row r="9863" spans="1:7" x14ac:dyDescent="0.25">
      <c r="A9863" s="116" t="s">
        <v>15459</v>
      </c>
      <c r="B9863" s="117" t="s">
        <v>15444</v>
      </c>
      <c r="C9863" t="s">
        <v>67</v>
      </c>
      <c r="D9863" t="s">
        <v>67</v>
      </c>
      <c r="E9863" t="s">
        <v>67</v>
      </c>
      <c r="F9863" t="s">
        <v>45</v>
      </c>
      <c r="G9863" s="117">
        <v>1.69</v>
      </c>
    </row>
    <row r="9864" spans="1:7" x14ac:dyDescent="0.25">
      <c r="A9864" s="116" t="s">
        <v>15460</v>
      </c>
      <c r="B9864" s="117" t="s">
        <v>15461</v>
      </c>
      <c r="C9864" t="s">
        <v>67</v>
      </c>
      <c r="D9864" t="s">
        <v>67</v>
      </c>
      <c r="E9864" t="s">
        <v>67</v>
      </c>
      <c r="F9864" t="s">
        <v>27987</v>
      </c>
      <c r="G9864" s="117">
        <v>0.8</v>
      </c>
    </row>
    <row r="9865" spans="1:7" x14ac:dyDescent="0.25">
      <c r="A9865" s="116" t="s">
        <v>15462</v>
      </c>
      <c r="B9865" s="117" t="s">
        <v>15463</v>
      </c>
      <c r="C9865" t="s">
        <v>67</v>
      </c>
      <c r="D9865" t="s">
        <v>67</v>
      </c>
      <c r="E9865" t="s">
        <v>67</v>
      </c>
      <c r="F9865" t="s">
        <v>27987</v>
      </c>
      <c r="G9865" s="117">
        <v>1.33</v>
      </c>
    </row>
    <row r="9866" spans="1:7" x14ac:dyDescent="0.25">
      <c r="A9866" s="116" t="s">
        <v>15464</v>
      </c>
      <c r="B9866" s="117" t="s">
        <v>15465</v>
      </c>
      <c r="C9866" t="s">
        <v>67</v>
      </c>
      <c r="D9866" t="s">
        <v>67</v>
      </c>
      <c r="E9866" t="s">
        <v>67</v>
      </c>
      <c r="F9866" t="s">
        <v>45</v>
      </c>
      <c r="G9866" s="117">
        <v>8.81</v>
      </c>
    </row>
    <row r="9867" spans="1:7" x14ac:dyDescent="0.25">
      <c r="A9867" s="116" t="s">
        <v>15466</v>
      </c>
      <c r="B9867" s="117" t="s">
        <v>15338</v>
      </c>
      <c r="C9867" t="s">
        <v>67</v>
      </c>
      <c r="D9867" t="s">
        <v>67</v>
      </c>
      <c r="E9867" t="s">
        <v>67</v>
      </c>
      <c r="F9867" t="s">
        <v>27987</v>
      </c>
      <c r="G9867" s="117">
        <v>8.4499999999999993</v>
      </c>
    </row>
    <row r="9868" spans="1:7" x14ac:dyDescent="0.25">
      <c r="A9868" s="116" t="s">
        <v>15467</v>
      </c>
      <c r="B9868" s="117" t="s">
        <v>15468</v>
      </c>
      <c r="C9868" t="s">
        <v>67</v>
      </c>
      <c r="D9868" t="s">
        <v>67</v>
      </c>
      <c r="E9868" t="s">
        <v>67</v>
      </c>
      <c r="F9868" t="s">
        <v>27987</v>
      </c>
      <c r="G9868" s="117">
        <v>8.4499999999999993</v>
      </c>
    </row>
    <row r="9869" spans="1:7" x14ac:dyDescent="0.25">
      <c r="A9869" s="116" t="s">
        <v>15469</v>
      </c>
      <c r="B9869" s="117" t="s">
        <v>15470</v>
      </c>
      <c r="C9869" t="s">
        <v>67</v>
      </c>
      <c r="D9869" t="s">
        <v>67</v>
      </c>
      <c r="E9869" t="s">
        <v>67</v>
      </c>
      <c r="F9869" t="s">
        <v>27987</v>
      </c>
      <c r="G9869" s="117">
        <v>14.61</v>
      </c>
    </row>
    <row r="9870" spans="1:7" x14ac:dyDescent="0.25">
      <c r="A9870" s="116" t="s">
        <v>15471</v>
      </c>
      <c r="B9870" s="117" t="s">
        <v>15472</v>
      </c>
      <c r="C9870" t="s">
        <v>67</v>
      </c>
      <c r="D9870" t="s">
        <v>67</v>
      </c>
      <c r="E9870" t="s">
        <v>67</v>
      </c>
      <c r="F9870" t="s">
        <v>49</v>
      </c>
      <c r="G9870" s="117">
        <v>1.69</v>
      </c>
    </row>
    <row r="9871" spans="1:7" x14ac:dyDescent="0.25">
      <c r="A9871" s="116" t="s">
        <v>15473</v>
      </c>
      <c r="B9871" s="117" t="s">
        <v>15474</v>
      </c>
      <c r="C9871" t="s">
        <v>67</v>
      </c>
      <c r="D9871" t="s">
        <v>67</v>
      </c>
      <c r="E9871" t="s">
        <v>67</v>
      </c>
      <c r="F9871" t="s">
        <v>49</v>
      </c>
      <c r="G9871" s="117">
        <v>1.33</v>
      </c>
    </row>
    <row r="9872" spans="1:7" x14ac:dyDescent="0.25">
      <c r="A9872" s="116" t="s">
        <v>15475</v>
      </c>
      <c r="B9872" s="117" t="s">
        <v>13434</v>
      </c>
      <c r="C9872" t="s">
        <v>67</v>
      </c>
      <c r="D9872" t="s">
        <v>67</v>
      </c>
      <c r="E9872" t="s">
        <v>67</v>
      </c>
      <c r="F9872" t="s">
        <v>49</v>
      </c>
      <c r="G9872" s="117">
        <v>3.56</v>
      </c>
    </row>
    <row r="9873" spans="1:7" x14ac:dyDescent="0.25">
      <c r="A9873" s="116" t="s">
        <v>15476</v>
      </c>
      <c r="B9873" s="117" t="s">
        <v>13434</v>
      </c>
      <c r="C9873" t="s">
        <v>67</v>
      </c>
      <c r="D9873" t="s">
        <v>67</v>
      </c>
      <c r="E9873" t="s">
        <v>67</v>
      </c>
      <c r="F9873" t="s">
        <v>51</v>
      </c>
      <c r="G9873" s="117">
        <v>2.46</v>
      </c>
    </row>
    <row r="9874" spans="1:7" x14ac:dyDescent="0.25">
      <c r="A9874" s="116" t="s">
        <v>15477</v>
      </c>
      <c r="B9874" s="117" t="s">
        <v>15478</v>
      </c>
      <c r="C9874" t="s">
        <v>67</v>
      </c>
      <c r="D9874" t="s">
        <v>67</v>
      </c>
      <c r="E9874" t="s">
        <v>67</v>
      </c>
      <c r="F9874" t="s">
        <v>45</v>
      </c>
      <c r="G9874" s="117">
        <v>1.33</v>
      </c>
    </row>
    <row r="9875" spans="1:7" x14ac:dyDescent="0.25">
      <c r="A9875" s="116" t="s">
        <v>15479</v>
      </c>
      <c r="B9875" s="117" t="s">
        <v>13434</v>
      </c>
      <c r="C9875" t="s">
        <v>67</v>
      </c>
      <c r="D9875" t="s">
        <v>67</v>
      </c>
      <c r="E9875" t="s">
        <v>67</v>
      </c>
      <c r="F9875" t="s">
        <v>27987</v>
      </c>
      <c r="G9875" s="117">
        <v>0.89</v>
      </c>
    </row>
    <row r="9876" spans="1:7" x14ac:dyDescent="0.25">
      <c r="A9876" s="116" t="s">
        <v>15480</v>
      </c>
      <c r="B9876" s="117" t="s">
        <v>15338</v>
      </c>
      <c r="C9876" t="s">
        <v>67</v>
      </c>
      <c r="D9876" t="s">
        <v>67</v>
      </c>
      <c r="E9876" t="s">
        <v>67</v>
      </c>
      <c r="F9876" t="s">
        <v>49</v>
      </c>
      <c r="G9876" s="117">
        <v>18.600000000000001</v>
      </c>
    </row>
    <row r="9877" spans="1:7" x14ac:dyDescent="0.25">
      <c r="A9877" s="116" t="s">
        <v>15481</v>
      </c>
      <c r="B9877" s="117" t="s">
        <v>15338</v>
      </c>
      <c r="C9877" t="s">
        <v>67</v>
      </c>
      <c r="D9877" t="s">
        <v>67</v>
      </c>
      <c r="E9877" t="s">
        <v>67</v>
      </c>
      <c r="F9877" t="s">
        <v>49</v>
      </c>
      <c r="G9877" s="117">
        <v>3.12</v>
      </c>
    </row>
    <row r="9878" spans="1:7" x14ac:dyDescent="0.25">
      <c r="A9878" s="116" t="s">
        <v>15482</v>
      </c>
      <c r="B9878" s="117" t="s">
        <v>15483</v>
      </c>
      <c r="C9878" t="s">
        <v>67</v>
      </c>
      <c r="D9878" t="s">
        <v>67</v>
      </c>
      <c r="E9878" t="s">
        <v>67</v>
      </c>
      <c r="F9878" t="s">
        <v>49</v>
      </c>
      <c r="G9878" s="117">
        <v>9.6999999999999993</v>
      </c>
    </row>
    <row r="9879" spans="1:7" x14ac:dyDescent="0.25">
      <c r="A9879" s="116" t="s">
        <v>15484</v>
      </c>
      <c r="B9879" s="117" t="s">
        <v>13434</v>
      </c>
      <c r="C9879" t="s">
        <v>67</v>
      </c>
      <c r="D9879" t="s">
        <v>67</v>
      </c>
      <c r="E9879" t="s">
        <v>67</v>
      </c>
      <c r="F9879" t="s">
        <v>49</v>
      </c>
      <c r="G9879" s="117">
        <v>1.33</v>
      </c>
    </row>
    <row r="9880" spans="1:7" x14ac:dyDescent="0.25">
      <c r="A9880" s="116" t="s">
        <v>15485</v>
      </c>
      <c r="B9880" s="117" t="s">
        <v>15373</v>
      </c>
      <c r="C9880" t="s">
        <v>67</v>
      </c>
      <c r="D9880" t="s">
        <v>67</v>
      </c>
      <c r="E9880" t="s">
        <v>67</v>
      </c>
      <c r="F9880" t="s">
        <v>45</v>
      </c>
      <c r="G9880" s="117">
        <v>3.56</v>
      </c>
    </row>
    <row r="9881" spans="1:7" x14ac:dyDescent="0.25">
      <c r="A9881" s="116" t="s">
        <v>15486</v>
      </c>
      <c r="B9881" s="117" t="s">
        <v>15338</v>
      </c>
      <c r="C9881" t="s">
        <v>67</v>
      </c>
      <c r="D9881" t="s">
        <v>67</v>
      </c>
      <c r="E9881" t="s">
        <v>67</v>
      </c>
      <c r="F9881" t="s">
        <v>49</v>
      </c>
      <c r="G9881" s="117">
        <v>4.8899999999999997</v>
      </c>
    </row>
    <row r="9882" spans="1:7" x14ac:dyDescent="0.25">
      <c r="A9882" s="116" t="s">
        <v>15487</v>
      </c>
      <c r="B9882" s="117" t="s">
        <v>5826</v>
      </c>
      <c r="C9882" t="s">
        <v>67</v>
      </c>
      <c r="D9882" t="s">
        <v>67</v>
      </c>
      <c r="E9882" t="s">
        <v>67</v>
      </c>
      <c r="F9882" t="s">
        <v>49</v>
      </c>
      <c r="G9882" s="117">
        <v>13.26</v>
      </c>
    </row>
    <row r="9883" spans="1:7" x14ac:dyDescent="0.25">
      <c r="A9883" s="116" t="s">
        <v>15488</v>
      </c>
      <c r="B9883" s="117" t="s">
        <v>15338</v>
      </c>
      <c r="C9883" t="s">
        <v>67</v>
      </c>
      <c r="D9883" t="s">
        <v>67</v>
      </c>
      <c r="E9883" t="s">
        <v>67</v>
      </c>
      <c r="F9883" t="s">
        <v>45</v>
      </c>
      <c r="G9883" s="117">
        <v>4.8899999999999997</v>
      </c>
    </row>
    <row r="9884" spans="1:7" x14ac:dyDescent="0.25">
      <c r="A9884" s="116" t="s">
        <v>15489</v>
      </c>
      <c r="B9884" s="117" t="s">
        <v>15338</v>
      </c>
      <c r="C9884" t="s">
        <v>67</v>
      </c>
      <c r="D9884" t="s">
        <v>67</v>
      </c>
      <c r="E9884" t="s">
        <v>67</v>
      </c>
      <c r="F9884" t="s">
        <v>27990</v>
      </c>
      <c r="G9884" s="117">
        <v>20.92</v>
      </c>
    </row>
    <row r="9885" spans="1:7" x14ac:dyDescent="0.25">
      <c r="A9885" s="116" t="s">
        <v>15490</v>
      </c>
      <c r="B9885" s="117" t="s">
        <v>15491</v>
      </c>
      <c r="C9885" t="s">
        <v>67</v>
      </c>
      <c r="D9885" t="s">
        <v>67</v>
      </c>
      <c r="E9885" t="s">
        <v>67</v>
      </c>
      <c r="F9885" t="s">
        <v>45</v>
      </c>
      <c r="G9885" s="117">
        <v>3.55</v>
      </c>
    </row>
    <row r="9886" spans="1:7" x14ac:dyDescent="0.25">
      <c r="A9886" s="116" t="s">
        <v>15492</v>
      </c>
      <c r="B9886" s="117" t="s">
        <v>15338</v>
      </c>
      <c r="C9886" t="s">
        <v>67</v>
      </c>
      <c r="D9886" t="s">
        <v>67</v>
      </c>
      <c r="E9886" t="s">
        <v>67</v>
      </c>
      <c r="F9886" t="s">
        <v>45</v>
      </c>
      <c r="G9886" s="117">
        <v>4</v>
      </c>
    </row>
    <row r="9887" spans="1:7" x14ac:dyDescent="0.25">
      <c r="A9887" s="116" t="s">
        <v>15493</v>
      </c>
      <c r="B9887" s="117" t="s">
        <v>15338</v>
      </c>
      <c r="C9887" t="s">
        <v>67</v>
      </c>
      <c r="D9887" t="s">
        <v>67</v>
      </c>
      <c r="E9887" t="s">
        <v>67</v>
      </c>
      <c r="F9887" t="s">
        <v>49</v>
      </c>
      <c r="G9887" s="117">
        <v>2.58</v>
      </c>
    </row>
    <row r="9888" spans="1:7" x14ac:dyDescent="0.25">
      <c r="A9888" s="116" t="s">
        <v>15494</v>
      </c>
      <c r="B9888" s="117" t="s">
        <v>15338</v>
      </c>
      <c r="C9888" t="s">
        <v>67</v>
      </c>
      <c r="D9888" t="s">
        <v>67</v>
      </c>
      <c r="E9888" t="s">
        <v>67</v>
      </c>
      <c r="F9888" t="s">
        <v>27987</v>
      </c>
      <c r="G9888" s="117">
        <v>17.7</v>
      </c>
    </row>
    <row r="9889" spans="1:7" x14ac:dyDescent="0.25">
      <c r="A9889" s="116" t="s">
        <v>15495</v>
      </c>
      <c r="B9889" s="117" t="s">
        <v>13434</v>
      </c>
      <c r="C9889" t="s">
        <v>67</v>
      </c>
      <c r="D9889" t="s">
        <v>67</v>
      </c>
      <c r="E9889" t="s">
        <v>67</v>
      </c>
      <c r="F9889" t="s">
        <v>49</v>
      </c>
      <c r="G9889" s="117">
        <v>1.33</v>
      </c>
    </row>
    <row r="9890" spans="1:7" x14ac:dyDescent="0.25">
      <c r="A9890" s="116" t="s">
        <v>15496</v>
      </c>
      <c r="B9890" s="117" t="s">
        <v>15338</v>
      </c>
      <c r="C9890" t="s">
        <v>67</v>
      </c>
      <c r="D9890" t="s">
        <v>67</v>
      </c>
      <c r="E9890" t="s">
        <v>67</v>
      </c>
      <c r="F9890" t="s">
        <v>45</v>
      </c>
      <c r="G9890" s="117">
        <v>3.12</v>
      </c>
    </row>
    <row r="9891" spans="1:7" x14ac:dyDescent="0.25">
      <c r="A9891" s="116" t="s">
        <v>15497</v>
      </c>
      <c r="B9891" s="117" t="s">
        <v>15498</v>
      </c>
      <c r="C9891" t="s">
        <v>67</v>
      </c>
      <c r="D9891" t="s">
        <v>67</v>
      </c>
      <c r="E9891" t="s">
        <v>67</v>
      </c>
      <c r="F9891" t="s">
        <v>27987</v>
      </c>
      <c r="G9891" s="117">
        <v>3.56</v>
      </c>
    </row>
    <row r="9892" spans="1:7" x14ac:dyDescent="0.25">
      <c r="A9892" s="116" t="s">
        <v>15499</v>
      </c>
      <c r="B9892" s="117" t="s">
        <v>15498</v>
      </c>
      <c r="C9892" t="s">
        <v>67</v>
      </c>
      <c r="D9892" t="s">
        <v>67</v>
      </c>
      <c r="E9892" t="s">
        <v>67</v>
      </c>
      <c r="F9892" t="s">
        <v>45</v>
      </c>
      <c r="G9892" s="117">
        <v>5.79</v>
      </c>
    </row>
    <row r="9893" spans="1:7" x14ac:dyDescent="0.25">
      <c r="A9893" s="116" t="s">
        <v>15500</v>
      </c>
      <c r="B9893" s="117" t="s">
        <v>29206</v>
      </c>
      <c r="C9893" t="s">
        <v>67</v>
      </c>
      <c r="D9893" t="s">
        <v>67</v>
      </c>
      <c r="E9893" t="s">
        <v>67</v>
      </c>
      <c r="F9893" t="s">
        <v>27987</v>
      </c>
      <c r="G9893" s="117">
        <v>1.77</v>
      </c>
    </row>
    <row r="9894" spans="1:7" x14ac:dyDescent="0.25">
      <c r="A9894" s="116" t="s">
        <v>15501</v>
      </c>
      <c r="B9894" s="117" t="s">
        <v>15502</v>
      </c>
      <c r="C9894" t="s">
        <v>67</v>
      </c>
      <c r="D9894" t="s">
        <v>67</v>
      </c>
      <c r="E9894" t="s">
        <v>67</v>
      </c>
      <c r="F9894" t="s">
        <v>49</v>
      </c>
      <c r="G9894" s="117">
        <v>4.3600000000000003</v>
      </c>
    </row>
    <row r="9895" spans="1:7" x14ac:dyDescent="0.25">
      <c r="A9895" s="116" t="s">
        <v>15503</v>
      </c>
      <c r="B9895" s="117" t="s">
        <v>15504</v>
      </c>
      <c r="C9895" t="s">
        <v>67</v>
      </c>
      <c r="D9895" t="s">
        <v>67</v>
      </c>
      <c r="E9895" t="s">
        <v>67</v>
      </c>
      <c r="F9895" t="s">
        <v>49</v>
      </c>
      <c r="G9895" s="117">
        <v>12.37</v>
      </c>
    </row>
    <row r="9896" spans="1:7" x14ac:dyDescent="0.25">
      <c r="A9896" s="116" t="s">
        <v>27484</v>
      </c>
      <c r="B9896" s="117" t="s">
        <v>15505</v>
      </c>
      <c r="C9896" t="s">
        <v>67</v>
      </c>
      <c r="D9896" t="s">
        <v>67</v>
      </c>
      <c r="E9896" t="s">
        <v>67</v>
      </c>
      <c r="F9896" t="s">
        <v>45</v>
      </c>
      <c r="G9896" s="117">
        <v>197.45</v>
      </c>
    </row>
    <row r="9897" spans="1:7" x14ac:dyDescent="0.25">
      <c r="A9897" s="116" t="s">
        <v>28202</v>
      </c>
      <c r="B9897" s="117" t="s">
        <v>28203</v>
      </c>
      <c r="C9897" t="s">
        <v>67</v>
      </c>
      <c r="D9897" t="s">
        <v>67</v>
      </c>
      <c r="E9897" t="s">
        <v>67</v>
      </c>
      <c r="F9897" t="s">
        <v>45</v>
      </c>
      <c r="G9897" s="117">
        <v>20</v>
      </c>
    </row>
    <row r="9898" spans="1:7" x14ac:dyDescent="0.25">
      <c r="A9898" s="116" t="s">
        <v>28204</v>
      </c>
      <c r="B9898" s="117" t="s">
        <v>28205</v>
      </c>
      <c r="C9898" t="s">
        <v>67</v>
      </c>
      <c r="D9898" t="s">
        <v>67</v>
      </c>
      <c r="E9898" t="s">
        <v>67</v>
      </c>
      <c r="F9898" t="s">
        <v>27987</v>
      </c>
      <c r="G9898" s="117">
        <v>15</v>
      </c>
    </row>
    <row r="9899" spans="1:7" x14ac:dyDescent="0.25">
      <c r="A9899" s="116" t="s">
        <v>29207</v>
      </c>
      <c r="B9899" s="117" t="s">
        <v>29208</v>
      </c>
      <c r="C9899" t="s">
        <v>67</v>
      </c>
      <c r="D9899" t="s">
        <v>67</v>
      </c>
      <c r="E9899" t="s">
        <v>67</v>
      </c>
      <c r="F9899" t="s">
        <v>45</v>
      </c>
      <c r="G9899" s="117">
        <v>9999</v>
      </c>
    </row>
    <row r="9900" spans="1:7" x14ac:dyDescent="0.25">
      <c r="A9900" s="116" t="s">
        <v>15506</v>
      </c>
      <c r="B9900" s="117" t="s">
        <v>15507</v>
      </c>
      <c r="C9900" t="s">
        <v>67</v>
      </c>
      <c r="D9900" t="s">
        <v>67</v>
      </c>
      <c r="E9900" t="s">
        <v>67</v>
      </c>
      <c r="F9900" t="s">
        <v>49</v>
      </c>
      <c r="G9900" s="117">
        <v>10.58</v>
      </c>
    </row>
    <row r="9901" spans="1:7" x14ac:dyDescent="0.25">
      <c r="A9901" s="116" t="s">
        <v>15508</v>
      </c>
      <c r="B9901" s="117" t="s">
        <v>15509</v>
      </c>
      <c r="C9901" t="s">
        <v>67</v>
      </c>
      <c r="D9901" t="s">
        <v>67</v>
      </c>
      <c r="E9901" t="s">
        <v>67</v>
      </c>
      <c r="F9901" t="s">
        <v>45</v>
      </c>
      <c r="G9901" s="117">
        <v>10.58</v>
      </c>
    </row>
    <row r="9902" spans="1:7" x14ac:dyDescent="0.25">
      <c r="A9902" s="116" t="s">
        <v>15510</v>
      </c>
      <c r="B9902" s="117" t="s">
        <v>15511</v>
      </c>
      <c r="C9902" t="s">
        <v>67</v>
      </c>
      <c r="D9902" t="s">
        <v>67</v>
      </c>
      <c r="E9902" t="s">
        <v>67</v>
      </c>
      <c r="F9902" t="s">
        <v>49</v>
      </c>
      <c r="G9902" s="117">
        <v>6.68</v>
      </c>
    </row>
    <row r="9903" spans="1:7" x14ac:dyDescent="0.25">
      <c r="A9903" s="116" t="s">
        <v>15512</v>
      </c>
      <c r="B9903" s="117" t="s">
        <v>15513</v>
      </c>
      <c r="C9903" t="s">
        <v>67</v>
      </c>
      <c r="D9903" t="s">
        <v>67</v>
      </c>
      <c r="E9903" t="s">
        <v>67</v>
      </c>
      <c r="F9903" t="s">
        <v>49</v>
      </c>
      <c r="G9903" s="117">
        <v>7.92</v>
      </c>
    </row>
    <row r="9904" spans="1:7" x14ac:dyDescent="0.25">
      <c r="A9904" s="116" t="s">
        <v>15514</v>
      </c>
      <c r="B9904" s="117" t="s">
        <v>15515</v>
      </c>
      <c r="C9904" t="s">
        <v>67</v>
      </c>
      <c r="D9904" t="s">
        <v>67</v>
      </c>
      <c r="E9904" t="s">
        <v>67</v>
      </c>
      <c r="F9904" t="s">
        <v>27987</v>
      </c>
      <c r="G9904" s="117">
        <v>15.57</v>
      </c>
    </row>
    <row r="9905" spans="1:7" x14ac:dyDescent="0.25">
      <c r="A9905" s="116" t="s">
        <v>15516</v>
      </c>
      <c r="B9905" s="117" t="s">
        <v>13613</v>
      </c>
      <c r="C9905" t="s">
        <v>67</v>
      </c>
      <c r="D9905" t="s">
        <v>67</v>
      </c>
      <c r="E9905" t="s">
        <v>67</v>
      </c>
      <c r="F9905" t="s">
        <v>27987</v>
      </c>
      <c r="G9905" s="117">
        <v>37.159999999999997</v>
      </c>
    </row>
    <row r="9906" spans="1:7" x14ac:dyDescent="0.25">
      <c r="A9906" s="116" t="s">
        <v>15517</v>
      </c>
      <c r="B9906" s="117" t="s">
        <v>13611</v>
      </c>
      <c r="C9906" t="s">
        <v>67</v>
      </c>
      <c r="D9906" t="s">
        <v>67</v>
      </c>
      <c r="E9906" t="s">
        <v>67</v>
      </c>
      <c r="F9906" t="s">
        <v>49</v>
      </c>
      <c r="G9906" s="117">
        <v>12.01</v>
      </c>
    </row>
    <row r="9907" spans="1:7" x14ac:dyDescent="0.25">
      <c r="A9907" s="116" t="s">
        <v>29209</v>
      </c>
      <c r="B9907" s="117" t="s">
        <v>13613</v>
      </c>
      <c r="C9907" t="s">
        <v>67</v>
      </c>
      <c r="D9907" t="s">
        <v>67</v>
      </c>
      <c r="E9907" t="s">
        <v>67</v>
      </c>
      <c r="F9907" t="s">
        <v>45</v>
      </c>
      <c r="G9907" s="117">
        <v>0</v>
      </c>
    </row>
    <row r="9908" spans="1:7" x14ac:dyDescent="0.25">
      <c r="A9908" s="116" t="s">
        <v>15518</v>
      </c>
      <c r="B9908" s="117" t="s">
        <v>15519</v>
      </c>
      <c r="C9908" t="s">
        <v>67</v>
      </c>
      <c r="D9908" t="s">
        <v>67</v>
      </c>
      <c r="E9908" t="s">
        <v>67</v>
      </c>
      <c r="F9908" t="s">
        <v>45</v>
      </c>
      <c r="G9908" s="117">
        <v>2.58</v>
      </c>
    </row>
    <row r="9909" spans="1:7" x14ac:dyDescent="0.25">
      <c r="A9909" s="116" t="s">
        <v>15520</v>
      </c>
      <c r="B9909" s="117" t="s">
        <v>15521</v>
      </c>
      <c r="C9909" t="s">
        <v>67</v>
      </c>
      <c r="D9909" t="s">
        <v>67</v>
      </c>
      <c r="E9909" t="s">
        <v>67</v>
      </c>
      <c r="F9909" t="s">
        <v>49</v>
      </c>
      <c r="G9909" s="117">
        <v>4.3600000000000003</v>
      </c>
    </row>
    <row r="9910" spans="1:7" x14ac:dyDescent="0.25">
      <c r="A9910" s="116" t="s">
        <v>15522</v>
      </c>
      <c r="B9910" s="117" t="s">
        <v>15523</v>
      </c>
      <c r="C9910" t="s">
        <v>67</v>
      </c>
      <c r="D9910" t="s">
        <v>67</v>
      </c>
      <c r="E9910" t="s">
        <v>67</v>
      </c>
      <c r="F9910" t="s">
        <v>49</v>
      </c>
      <c r="G9910" s="117">
        <v>10.58</v>
      </c>
    </row>
    <row r="9911" spans="1:7" x14ac:dyDescent="0.25">
      <c r="A9911" s="116" t="s">
        <v>15524</v>
      </c>
      <c r="B9911" s="117" t="s">
        <v>15525</v>
      </c>
      <c r="C9911" t="s">
        <v>67</v>
      </c>
      <c r="D9911" t="s">
        <v>67</v>
      </c>
      <c r="E9911" t="s">
        <v>67</v>
      </c>
      <c r="F9911" t="s">
        <v>27987</v>
      </c>
      <c r="G9911" s="117">
        <v>6.14</v>
      </c>
    </row>
    <row r="9912" spans="1:7" x14ac:dyDescent="0.25">
      <c r="A9912" s="116" t="s">
        <v>15526</v>
      </c>
      <c r="B9912" s="117" t="s">
        <v>15527</v>
      </c>
      <c r="C9912" t="s">
        <v>67</v>
      </c>
      <c r="D9912" t="s">
        <v>67</v>
      </c>
      <c r="E9912" t="s">
        <v>67</v>
      </c>
      <c r="F9912" t="s">
        <v>49</v>
      </c>
      <c r="G9912" s="117">
        <v>4.8899999999999997</v>
      </c>
    </row>
    <row r="9913" spans="1:7" x14ac:dyDescent="0.25">
      <c r="A9913" s="116" t="s">
        <v>15528</v>
      </c>
      <c r="B9913" s="117" t="s">
        <v>10870</v>
      </c>
      <c r="C9913" t="s">
        <v>67</v>
      </c>
      <c r="D9913" t="s">
        <v>67</v>
      </c>
      <c r="E9913" t="s">
        <v>67</v>
      </c>
      <c r="F9913" t="s">
        <v>27987</v>
      </c>
      <c r="G9913" s="117">
        <v>15.04</v>
      </c>
    </row>
    <row r="9914" spans="1:7" x14ac:dyDescent="0.25">
      <c r="A9914" s="116" t="s">
        <v>15529</v>
      </c>
      <c r="B9914" s="117" t="s">
        <v>15530</v>
      </c>
      <c r="C9914" t="s">
        <v>67</v>
      </c>
      <c r="D9914" t="s">
        <v>67</v>
      </c>
      <c r="E9914" t="s">
        <v>67</v>
      </c>
      <c r="F9914" t="s">
        <v>45</v>
      </c>
      <c r="G9914" s="117">
        <v>8.4499999999999993</v>
      </c>
    </row>
    <row r="9915" spans="1:7" x14ac:dyDescent="0.25">
      <c r="A9915" s="116" t="s">
        <v>15531</v>
      </c>
      <c r="B9915" s="117" t="s">
        <v>15532</v>
      </c>
      <c r="C9915" t="s">
        <v>67</v>
      </c>
      <c r="D9915" t="s">
        <v>67</v>
      </c>
      <c r="E9915" t="s">
        <v>67</v>
      </c>
      <c r="F9915" t="s">
        <v>27987</v>
      </c>
      <c r="G9915" s="117">
        <v>16.82</v>
      </c>
    </row>
    <row r="9916" spans="1:7" x14ac:dyDescent="0.25">
      <c r="A9916" s="116" t="s">
        <v>15533</v>
      </c>
      <c r="B9916" s="117" t="s">
        <v>15534</v>
      </c>
      <c r="C9916" t="s">
        <v>67</v>
      </c>
      <c r="D9916" t="s">
        <v>67</v>
      </c>
      <c r="E9916" t="s">
        <v>67</v>
      </c>
      <c r="F9916" t="s">
        <v>27987</v>
      </c>
      <c r="G9916" s="117">
        <v>9.6999999999999993</v>
      </c>
    </row>
    <row r="9917" spans="1:7" x14ac:dyDescent="0.25">
      <c r="A9917" s="116" t="s">
        <v>15535</v>
      </c>
      <c r="B9917" s="117" t="s">
        <v>15536</v>
      </c>
      <c r="C9917" t="s">
        <v>67</v>
      </c>
      <c r="D9917" t="s">
        <v>67</v>
      </c>
      <c r="E9917" t="s">
        <v>67</v>
      </c>
      <c r="F9917" t="s">
        <v>27987</v>
      </c>
      <c r="G9917" s="117">
        <v>7.12</v>
      </c>
    </row>
    <row r="9918" spans="1:7" x14ac:dyDescent="0.25">
      <c r="A9918" s="116" t="s">
        <v>15537</v>
      </c>
      <c r="B9918" s="117" t="s">
        <v>15538</v>
      </c>
      <c r="C9918" t="s">
        <v>67</v>
      </c>
      <c r="D9918" t="s">
        <v>67</v>
      </c>
      <c r="E9918" t="s">
        <v>67</v>
      </c>
      <c r="F9918" t="s">
        <v>27987</v>
      </c>
      <c r="G9918" s="117">
        <v>7.92</v>
      </c>
    </row>
    <row r="9919" spans="1:7" x14ac:dyDescent="0.25">
      <c r="A9919" s="116" t="s">
        <v>15539</v>
      </c>
      <c r="B9919" s="117" t="s">
        <v>15540</v>
      </c>
      <c r="C9919" t="s">
        <v>67</v>
      </c>
      <c r="D9919" t="s">
        <v>67</v>
      </c>
      <c r="E9919" t="s">
        <v>67</v>
      </c>
      <c r="F9919" t="s">
        <v>27987</v>
      </c>
      <c r="G9919" s="117">
        <v>80.52</v>
      </c>
    </row>
    <row r="9920" spans="1:7" x14ac:dyDescent="0.25">
      <c r="A9920" s="116" t="s">
        <v>15541</v>
      </c>
      <c r="B9920" s="117" t="s">
        <v>15542</v>
      </c>
      <c r="C9920" t="s">
        <v>67</v>
      </c>
      <c r="D9920" t="s">
        <v>67</v>
      </c>
      <c r="E9920" t="s">
        <v>67</v>
      </c>
      <c r="F9920" t="s">
        <v>45</v>
      </c>
      <c r="G9920" s="117">
        <v>20.38</v>
      </c>
    </row>
    <row r="9921" spans="1:7" x14ac:dyDescent="0.25">
      <c r="A9921" s="116" t="s">
        <v>15543</v>
      </c>
      <c r="B9921" s="117" t="s">
        <v>15544</v>
      </c>
      <c r="C9921" t="s">
        <v>67</v>
      </c>
      <c r="D9921" t="s">
        <v>67</v>
      </c>
      <c r="E9921" t="s">
        <v>67</v>
      </c>
      <c r="F9921" t="s">
        <v>27987</v>
      </c>
      <c r="G9921" s="117">
        <v>36.93</v>
      </c>
    </row>
    <row r="9922" spans="1:7" x14ac:dyDescent="0.25">
      <c r="A9922" s="116" t="s">
        <v>15545</v>
      </c>
      <c r="B9922" s="117" t="s">
        <v>15546</v>
      </c>
      <c r="C9922" t="s">
        <v>67</v>
      </c>
      <c r="D9922" t="s">
        <v>67</v>
      </c>
      <c r="E9922" t="s">
        <v>67</v>
      </c>
      <c r="F9922" t="s">
        <v>49</v>
      </c>
      <c r="G9922" s="117">
        <v>37.29</v>
      </c>
    </row>
    <row r="9923" spans="1:7" x14ac:dyDescent="0.25">
      <c r="A9923" s="116" t="s">
        <v>15547</v>
      </c>
      <c r="B9923" s="117" t="s">
        <v>15548</v>
      </c>
      <c r="C9923" t="s">
        <v>67</v>
      </c>
      <c r="D9923" t="s">
        <v>67</v>
      </c>
      <c r="E9923" t="s">
        <v>67</v>
      </c>
      <c r="F9923" t="s">
        <v>45</v>
      </c>
      <c r="G9923" s="117">
        <v>14.14</v>
      </c>
    </row>
    <row r="9924" spans="1:7" x14ac:dyDescent="0.25">
      <c r="A9924" s="116" t="s">
        <v>15549</v>
      </c>
      <c r="B9924" s="117" t="s">
        <v>15550</v>
      </c>
      <c r="C9924" t="s">
        <v>67</v>
      </c>
      <c r="D9924" t="s">
        <v>67</v>
      </c>
      <c r="E9924" t="s">
        <v>67</v>
      </c>
      <c r="F9924" t="s">
        <v>27987</v>
      </c>
      <c r="G9924" s="117">
        <v>9.6999999999999993</v>
      </c>
    </row>
    <row r="9925" spans="1:7" x14ac:dyDescent="0.25">
      <c r="A9925" s="116" t="s">
        <v>15551</v>
      </c>
      <c r="B9925" s="117" t="s">
        <v>14487</v>
      </c>
      <c r="C9925" t="s">
        <v>67</v>
      </c>
      <c r="D9925" t="s">
        <v>67</v>
      </c>
      <c r="E9925" t="s">
        <v>67</v>
      </c>
      <c r="F9925" t="s">
        <v>49</v>
      </c>
      <c r="G9925" s="117">
        <v>10.24</v>
      </c>
    </row>
    <row r="9926" spans="1:7" x14ac:dyDescent="0.25">
      <c r="A9926" s="116" t="s">
        <v>15552</v>
      </c>
      <c r="B9926" s="117" t="s">
        <v>15509</v>
      </c>
      <c r="C9926" t="s">
        <v>67</v>
      </c>
      <c r="D9926" t="s">
        <v>67</v>
      </c>
      <c r="E9926" t="s">
        <v>67</v>
      </c>
      <c r="F9926" t="s">
        <v>27987</v>
      </c>
      <c r="G9926" s="117">
        <v>21.26</v>
      </c>
    </row>
    <row r="9927" spans="1:7" x14ac:dyDescent="0.25">
      <c r="A9927" s="116" t="s">
        <v>15553</v>
      </c>
      <c r="B9927" s="117" t="s">
        <v>15554</v>
      </c>
      <c r="C9927" t="s">
        <v>67</v>
      </c>
      <c r="D9927" t="s">
        <v>67</v>
      </c>
      <c r="E9927" t="s">
        <v>67</v>
      </c>
      <c r="F9927" t="s">
        <v>27987</v>
      </c>
      <c r="G9927" s="117">
        <v>1.33</v>
      </c>
    </row>
    <row r="9928" spans="1:7" x14ac:dyDescent="0.25">
      <c r="A9928" s="116" t="s">
        <v>15555</v>
      </c>
      <c r="B9928" s="117" t="s">
        <v>15556</v>
      </c>
      <c r="C9928" t="s">
        <v>67</v>
      </c>
      <c r="D9928" t="s">
        <v>67</v>
      </c>
      <c r="E9928" t="s">
        <v>67</v>
      </c>
      <c r="F9928" t="s">
        <v>27987</v>
      </c>
      <c r="G9928" s="117">
        <v>0.44</v>
      </c>
    </row>
    <row r="9929" spans="1:7" x14ac:dyDescent="0.25">
      <c r="A9929" s="116" t="s">
        <v>15557</v>
      </c>
      <c r="B9929" s="117" t="s">
        <v>15558</v>
      </c>
      <c r="C9929" t="s">
        <v>67</v>
      </c>
      <c r="D9929" t="s">
        <v>67</v>
      </c>
      <c r="E9929" t="s">
        <v>67</v>
      </c>
      <c r="F9929" t="s">
        <v>27987</v>
      </c>
      <c r="G9929" s="117">
        <v>2.58</v>
      </c>
    </row>
    <row r="9930" spans="1:7" x14ac:dyDescent="0.25">
      <c r="A9930" s="116" t="s">
        <v>15559</v>
      </c>
      <c r="B9930" s="117" t="s">
        <v>15560</v>
      </c>
      <c r="C9930" t="s">
        <v>67</v>
      </c>
      <c r="D9930" t="s">
        <v>67</v>
      </c>
      <c r="E9930" t="s">
        <v>67</v>
      </c>
      <c r="F9930" t="s">
        <v>49</v>
      </c>
      <c r="G9930" s="117">
        <v>6.68</v>
      </c>
    </row>
    <row r="9931" spans="1:7" x14ac:dyDescent="0.25">
      <c r="A9931" s="116" t="s">
        <v>15561</v>
      </c>
      <c r="B9931" s="117" t="s">
        <v>15562</v>
      </c>
      <c r="C9931" t="s">
        <v>67</v>
      </c>
      <c r="D9931" t="s">
        <v>67</v>
      </c>
      <c r="E9931" t="s">
        <v>67</v>
      </c>
      <c r="F9931" t="s">
        <v>49</v>
      </c>
      <c r="G9931" s="117">
        <v>63.98</v>
      </c>
    </row>
    <row r="9932" spans="1:7" x14ac:dyDescent="0.25">
      <c r="A9932" s="116" t="s">
        <v>15563</v>
      </c>
      <c r="B9932" s="117" t="s">
        <v>15849</v>
      </c>
      <c r="C9932" t="s">
        <v>67</v>
      </c>
      <c r="D9932" t="s">
        <v>67</v>
      </c>
      <c r="E9932" t="s">
        <v>67</v>
      </c>
      <c r="F9932" t="s">
        <v>27987</v>
      </c>
      <c r="G9932" s="117">
        <v>20.92</v>
      </c>
    </row>
    <row r="9933" spans="1:7" x14ac:dyDescent="0.25">
      <c r="A9933" s="116" t="s">
        <v>15564</v>
      </c>
      <c r="B9933" s="117" t="s">
        <v>15565</v>
      </c>
      <c r="C9933" t="s">
        <v>67</v>
      </c>
      <c r="D9933" t="s">
        <v>67</v>
      </c>
      <c r="E9933" t="s">
        <v>67</v>
      </c>
      <c r="F9933" t="s">
        <v>27987</v>
      </c>
      <c r="G9933" s="117">
        <v>33.369999999999997</v>
      </c>
    </row>
    <row r="9934" spans="1:7" x14ac:dyDescent="0.25">
      <c r="A9934" s="116" t="s">
        <v>15566</v>
      </c>
      <c r="B9934" s="117" t="s">
        <v>1591</v>
      </c>
      <c r="C9934" t="s">
        <v>67</v>
      </c>
      <c r="D9934" t="s">
        <v>67</v>
      </c>
      <c r="E9934" t="s">
        <v>67</v>
      </c>
      <c r="F9934" t="s">
        <v>27987</v>
      </c>
      <c r="G9934" s="117">
        <v>8.4499999999999993</v>
      </c>
    </row>
    <row r="9935" spans="1:7" x14ac:dyDescent="0.25">
      <c r="A9935" s="116" t="s">
        <v>15567</v>
      </c>
      <c r="B9935" s="117" t="s">
        <v>15568</v>
      </c>
      <c r="C9935" t="s">
        <v>67</v>
      </c>
      <c r="D9935" t="s">
        <v>67</v>
      </c>
      <c r="E9935" t="s">
        <v>67</v>
      </c>
      <c r="F9935" t="s">
        <v>27987</v>
      </c>
      <c r="G9935" s="117">
        <v>2.23</v>
      </c>
    </row>
    <row r="9936" spans="1:7" x14ac:dyDescent="0.25">
      <c r="A9936" s="116" t="s">
        <v>15569</v>
      </c>
      <c r="B9936" s="117" t="s">
        <v>15570</v>
      </c>
      <c r="C9936" t="s">
        <v>67</v>
      </c>
      <c r="D9936" t="s">
        <v>67</v>
      </c>
      <c r="E9936" t="s">
        <v>67</v>
      </c>
      <c r="F9936" t="s">
        <v>49</v>
      </c>
      <c r="G9936" s="117">
        <v>2.23</v>
      </c>
    </row>
    <row r="9937" spans="1:7" x14ac:dyDescent="0.25">
      <c r="A9937" s="116" t="s">
        <v>15571</v>
      </c>
      <c r="B9937" s="117" t="s">
        <v>14497</v>
      </c>
      <c r="C9937" t="s">
        <v>67</v>
      </c>
      <c r="D9937" t="s">
        <v>67</v>
      </c>
      <c r="E9937" t="s">
        <v>67</v>
      </c>
      <c r="F9937" t="s">
        <v>27987</v>
      </c>
      <c r="G9937" s="117">
        <v>8.4499999999999993</v>
      </c>
    </row>
    <row r="9938" spans="1:7" x14ac:dyDescent="0.25">
      <c r="A9938" s="116" t="s">
        <v>15572</v>
      </c>
      <c r="B9938" s="117" t="s">
        <v>15573</v>
      </c>
      <c r="C9938" t="s">
        <v>67</v>
      </c>
      <c r="D9938" t="s">
        <v>67</v>
      </c>
      <c r="E9938" t="s">
        <v>67</v>
      </c>
      <c r="F9938" t="s">
        <v>27987</v>
      </c>
      <c r="G9938" s="117">
        <v>4.3600000000000003</v>
      </c>
    </row>
    <row r="9939" spans="1:7" x14ac:dyDescent="0.25">
      <c r="A9939" s="116" t="s">
        <v>15574</v>
      </c>
      <c r="B9939" s="117" t="s">
        <v>15575</v>
      </c>
      <c r="C9939" t="s">
        <v>67</v>
      </c>
      <c r="D9939" t="s">
        <v>67</v>
      </c>
      <c r="E9939" t="s">
        <v>67</v>
      </c>
      <c r="F9939" t="s">
        <v>27987</v>
      </c>
      <c r="G9939" s="117">
        <v>86.23</v>
      </c>
    </row>
    <row r="9940" spans="1:7" x14ac:dyDescent="0.25">
      <c r="A9940" s="116" t="s">
        <v>15576</v>
      </c>
      <c r="B9940" s="117" t="s">
        <v>15577</v>
      </c>
      <c r="C9940" t="s">
        <v>67</v>
      </c>
      <c r="D9940" t="s">
        <v>67</v>
      </c>
      <c r="E9940" t="s">
        <v>67</v>
      </c>
      <c r="F9940" t="s">
        <v>27987</v>
      </c>
      <c r="G9940" s="117">
        <v>3.56</v>
      </c>
    </row>
    <row r="9941" spans="1:7" x14ac:dyDescent="0.25">
      <c r="A9941" s="116" t="s">
        <v>15578</v>
      </c>
      <c r="B9941" s="117" t="s">
        <v>15579</v>
      </c>
      <c r="C9941" t="s">
        <v>67</v>
      </c>
      <c r="D9941" t="s">
        <v>67</v>
      </c>
      <c r="E9941" t="s">
        <v>67</v>
      </c>
      <c r="F9941" t="s">
        <v>27987</v>
      </c>
      <c r="G9941" s="117">
        <v>24.82</v>
      </c>
    </row>
    <row r="9942" spans="1:7" x14ac:dyDescent="0.25">
      <c r="A9942" s="116" t="s">
        <v>15580</v>
      </c>
      <c r="B9942" s="117" t="s">
        <v>28557</v>
      </c>
      <c r="C9942" t="s">
        <v>67</v>
      </c>
      <c r="D9942" t="s">
        <v>67</v>
      </c>
      <c r="E9942" t="s">
        <v>67</v>
      </c>
      <c r="F9942" t="s">
        <v>49</v>
      </c>
      <c r="G9942" s="117">
        <v>7.12</v>
      </c>
    </row>
    <row r="9943" spans="1:7" x14ac:dyDescent="0.25">
      <c r="A9943" s="116" t="s">
        <v>15581</v>
      </c>
      <c r="B9943" s="117" t="s">
        <v>15582</v>
      </c>
      <c r="C9943" t="s">
        <v>67</v>
      </c>
      <c r="D9943" t="s">
        <v>67</v>
      </c>
      <c r="E9943" t="s">
        <v>67</v>
      </c>
      <c r="F9943" t="s">
        <v>27987</v>
      </c>
      <c r="G9943" s="117">
        <v>3.12</v>
      </c>
    </row>
    <row r="9944" spans="1:7" x14ac:dyDescent="0.25">
      <c r="A9944" s="116" t="s">
        <v>15583</v>
      </c>
      <c r="B9944" s="117" t="s">
        <v>15584</v>
      </c>
      <c r="C9944" t="s">
        <v>67</v>
      </c>
      <c r="D9944" t="s">
        <v>67</v>
      </c>
      <c r="E9944" t="s">
        <v>67</v>
      </c>
      <c r="F9944" t="s">
        <v>27987</v>
      </c>
      <c r="G9944" s="117">
        <v>12.01</v>
      </c>
    </row>
    <row r="9945" spans="1:7" x14ac:dyDescent="0.25">
      <c r="A9945" s="116" t="s">
        <v>15585</v>
      </c>
      <c r="B9945" s="117" t="s">
        <v>15586</v>
      </c>
      <c r="C9945" t="s">
        <v>67</v>
      </c>
      <c r="D9945" t="s">
        <v>67</v>
      </c>
      <c r="E9945" t="s">
        <v>67</v>
      </c>
      <c r="F9945" t="s">
        <v>27987</v>
      </c>
      <c r="G9945" s="117">
        <v>9.35</v>
      </c>
    </row>
    <row r="9946" spans="1:7" x14ac:dyDescent="0.25">
      <c r="A9946" s="116" t="s">
        <v>15587</v>
      </c>
      <c r="B9946" s="117" t="s">
        <v>1267</v>
      </c>
      <c r="C9946" t="s">
        <v>67</v>
      </c>
      <c r="D9946" t="s">
        <v>67</v>
      </c>
      <c r="E9946" t="s">
        <v>67</v>
      </c>
      <c r="F9946" t="s">
        <v>49</v>
      </c>
      <c r="G9946" s="117">
        <v>24.82</v>
      </c>
    </row>
    <row r="9947" spans="1:7" x14ac:dyDescent="0.25">
      <c r="A9947" s="116" t="s">
        <v>15588</v>
      </c>
      <c r="B9947" s="117" t="s">
        <v>13662</v>
      </c>
      <c r="C9947" t="s">
        <v>67</v>
      </c>
      <c r="D9947" t="s">
        <v>67</v>
      </c>
      <c r="E9947" t="s">
        <v>67</v>
      </c>
      <c r="F9947" t="s">
        <v>49</v>
      </c>
      <c r="G9947" s="117">
        <v>1.69</v>
      </c>
    </row>
    <row r="9948" spans="1:7" x14ac:dyDescent="0.25">
      <c r="A9948" s="116" t="s">
        <v>15589</v>
      </c>
      <c r="B9948" s="117" t="s">
        <v>29210</v>
      </c>
      <c r="C9948" t="s">
        <v>67</v>
      </c>
      <c r="D9948" t="s">
        <v>67</v>
      </c>
      <c r="E9948" t="s">
        <v>67</v>
      </c>
      <c r="F9948" t="s">
        <v>27987</v>
      </c>
      <c r="G9948" s="117">
        <v>2.58</v>
      </c>
    </row>
    <row r="9949" spans="1:7" x14ac:dyDescent="0.25">
      <c r="A9949" s="116" t="s">
        <v>15590</v>
      </c>
      <c r="B9949" s="117" t="s">
        <v>15591</v>
      </c>
      <c r="C9949" t="s">
        <v>67</v>
      </c>
      <c r="D9949" t="s">
        <v>67</v>
      </c>
      <c r="E9949" t="s">
        <v>67</v>
      </c>
      <c r="F9949" t="s">
        <v>49</v>
      </c>
      <c r="G9949" s="117">
        <v>14.68</v>
      </c>
    </row>
    <row r="9950" spans="1:7" x14ac:dyDescent="0.25">
      <c r="A9950" s="116" t="s">
        <v>15592</v>
      </c>
      <c r="B9950" s="117" t="s">
        <v>15593</v>
      </c>
      <c r="C9950" t="s">
        <v>67</v>
      </c>
      <c r="D9950" t="s">
        <v>67</v>
      </c>
      <c r="E9950" t="s">
        <v>67</v>
      </c>
      <c r="F9950" t="s">
        <v>27987</v>
      </c>
      <c r="G9950" s="117">
        <v>2.58</v>
      </c>
    </row>
    <row r="9951" spans="1:7" x14ac:dyDescent="0.25">
      <c r="A9951" s="116" t="s">
        <v>15594</v>
      </c>
      <c r="B9951" s="117" t="s">
        <v>15595</v>
      </c>
      <c r="C9951" t="s">
        <v>67</v>
      </c>
      <c r="D9951" t="s">
        <v>67</v>
      </c>
      <c r="E9951" t="s">
        <v>67</v>
      </c>
      <c r="F9951" t="s">
        <v>27987</v>
      </c>
      <c r="G9951" s="117">
        <v>1.69</v>
      </c>
    </row>
    <row r="9952" spans="1:7" x14ac:dyDescent="0.25">
      <c r="A9952" s="116" t="s">
        <v>15596</v>
      </c>
      <c r="B9952" s="117" t="s">
        <v>15597</v>
      </c>
      <c r="C9952" t="s">
        <v>67</v>
      </c>
      <c r="D9952" t="s">
        <v>67</v>
      </c>
      <c r="E9952" t="s">
        <v>67</v>
      </c>
      <c r="F9952" t="s">
        <v>45</v>
      </c>
      <c r="G9952" s="117">
        <v>21.8</v>
      </c>
    </row>
    <row r="9953" spans="1:7" x14ac:dyDescent="0.25">
      <c r="A9953" s="116" t="s">
        <v>15598</v>
      </c>
      <c r="B9953" s="117" t="s">
        <v>15599</v>
      </c>
      <c r="C9953" t="s">
        <v>67</v>
      </c>
      <c r="D9953" t="s">
        <v>67</v>
      </c>
      <c r="E9953" t="s">
        <v>67</v>
      </c>
      <c r="F9953" t="s">
        <v>27987</v>
      </c>
      <c r="G9953" s="117">
        <v>1.69</v>
      </c>
    </row>
    <row r="9954" spans="1:7" x14ac:dyDescent="0.25">
      <c r="A9954" s="116" t="s">
        <v>15600</v>
      </c>
      <c r="B9954" s="117" t="s">
        <v>1267</v>
      </c>
      <c r="C9954" t="s">
        <v>67</v>
      </c>
      <c r="D9954" t="s">
        <v>67</v>
      </c>
      <c r="E9954" t="s">
        <v>67</v>
      </c>
      <c r="F9954" t="s">
        <v>27987</v>
      </c>
      <c r="G9954" s="117">
        <v>22.69</v>
      </c>
    </row>
    <row r="9955" spans="1:7" x14ac:dyDescent="0.25">
      <c r="A9955" s="116" t="s">
        <v>29211</v>
      </c>
      <c r="B9955" s="117" t="s">
        <v>13662</v>
      </c>
      <c r="C9955" t="s">
        <v>67</v>
      </c>
      <c r="D9955" t="s">
        <v>67</v>
      </c>
      <c r="E9955" t="s">
        <v>67</v>
      </c>
      <c r="F9955" t="s">
        <v>45</v>
      </c>
      <c r="G9955" s="117">
        <v>2</v>
      </c>
    </row>
    <row r="9956" spans="1:7" x14ac:dyDescent="0.25">
      <c r="A9956" s="116" t="s">
        <v>15601</v>
      </c>
      <c r="B9956" s="117" t="s">
        <v>1267</v>
      </c>
      <c r="C9956" t="s">
        <v>67</v>
      </c>
      <c r="D9956" t="s">
        <v>67</v>
      </c>
      <c r="E9956" t="s">
        <v>67</v>
      </c>
      <c r="F9956" t="s">
        <v>45</v>
      </c>
      <c r="G9956" s="117">
        <v>20.38</v>
      </c>
    </row>
    <row r="9957" spans="1:7" x14ac:dyDescent="0.25">
      <c r="A9957" s="116" t="s">
        <v>15602</v>
      </c>
      <c r="B9957" s="117" t="s">
        <v>15603</v>
      </c>
      <c r="C9957" t="s">
        <v>67</v>
      </c>
      <c r="D9957" t="s">
        <v>67</v>
      </c>
      <c r="E9957" t="s">
        <v>67</v>
      </c>
      <c r="F9957" t="s">
        <v>49</v>
      </c>
      <c r="G9957" s="117">
        <v>5.79</v>
      </c>
    </row>
    <row r="9958" spans="1:7" x14ac:dyDescent="0.25">
      <c r="A9958" s="116" t="s">
        <v>15604</v>
      </c>
      <c r="B9958" s="117" t="s">
        <v>3062</v>
      </c>
      <c r="C9958" t="s">
        <v>67</v>
      </c>
      <c r="D9958" t="s">
        <v>67</v>
      </c>
      <c r="E9958" t="s">
        <v>67</v>
      </c>
      <c r="F9958" t="s">
        <v>49</v>
      </c>
      <c r="G9958" s="117">
        <v>35.5</v>
      </c>
    </row>
    <row r="9959" spans="1:7" x14ac:dyDescent="0.25">
      <c r="A9959" s="116" t="s">
        <v>15605</v>
      </c>
      <c r="B9959" s="117" t="s">
        <v>13586</v>
      </c>
      <c r="C9959" t="s">
        <v>67</v>
      </c>
      <c r="D9959" t="s">
        <v>67</v>
      </c>
      <c r="E9959" t="s">
        <v>67</v>
      </c>
      <c r="F9959" t="s">
        <v>45</v>
      </c>
      <c r="G9959" s="117">
        <v>4.8899999999999997</v>
      </c>
    </row>
    <row r="9960" spans="1:7" x14ac:dyDescent="0.25">
      <c r="A9960" s="116" t="s">
        <v>15606</v>
      </c>
      <c r="B9960" s="117" t="s">
        <v>15607</v>
      </c>
      <c r="C9960" t="s">
        <v>67</v>
      </c>
      <c r="D9960" t="s">
        <v>67</v>
      </c>
      <c r="E9960" t="s">
        <v>67</v>
      </c>
      <c r="F9960" t="s">
        <v>27987</v>
      </c>
      <c r="G9960" s="117">
        <v>2</v>
      </c>
    </row>
    <row r="9961" spans="1:7" x14ac:dyDescent="0.25">
      <c r="A9961" s="116" t="s">
        <v>15608</v>
      </c>
      <c r="B9961" s="117" t="s">
        <v>15609</v>
      </c>
      <c r="C9961" t="s">
        <v>67</v>
      </c>
      <c r="D9961" t="s">
        <v>67</v>
      </c>
      <c r="E9961" t="s">
        <v>67</v>
      </c>
      <c r="F9961" t="s">
        <v>27987</v>
      </c>
      <c r="G9961" s="117">
        <v>11.12</v>
      </c>
    </row>
    <row r="9962" spans="1:7" x14ac:dyDescent="0.25">
      <c r="A9962" s="116" t="s">
        <v>15610</v>
      </c>
      <c r="B9962" s="117" t="s">
        <v>15611</v>
      </c>
      <c r="C9962" t="s">
        <v>67</v>
      </c>
      <c r="D9962" t="s">
        <v>67</v>
      </c>
      <c r="E9962" t="s">
        <v>67</v>
      </c>
      <c r="F9962" t="s">
        <v>49</v>
      </c>
      <c r="G9962" s="117">
        <v>12.37</v>
      </c>
    </row>
    <row r="9963" spans="1:7" x14ac:dyDescent="0.25">
      <c r="A9963" s="116" t="s">
        <v>15612</v>
      </c>
      <c r="B9963" s="117" t="s">
        <v>15613</v>
      </c>
      <c r="C9963" t="s">
        <v>67</v>
      </c>
      <c r="D9963" t="s">
        <v>67</v>
      </c>
      <c r="E9963" t="s">
        <v>67</v>
      </c>
      <c r="F9963" t="s">
        <v>49</v>
      </c>
      <c r="G9963" s="117">
        <v>12.01</v>
      </c>
    </row>
    <row r="9964" spans="1:7" x14ac:dyDescent="0.25">
      <c r="A9964" s="116" t="s">
        <v>15614</v>
      </c>
      <c r="B9964" s="117" t="s">
        <v>15615</v>
      </c>
      <c r="C9964" t="s">
        <v>67</v>
      </c>
      <c r="D9964" t="s">
        <v>67</v>
      </c>
      <c r="E9964" t="s">
        <v>67</v>
      </c>
      <c r="F9964" t="s">
        <v>27987</v>
      </c>
      <c r="G9964" s="117">
        <v>3.56</v>
      </c>
    </row>
    <row r="9965" spans="1:7" x14ac:dyDescent="0.25">
      <c r="A9965" s="116" t="s">
        <v>15616</v>
      </c>
      <c r="B9965" s="117" t="s">
        <v>15617</v>
      </c>
      <c r="C9965" t="s">
        <v>67</v>
      </c>
      <c r="D9965" t="s">
        <v>67</v>
      </c>
      <c r="E9965" t="s">
        <v>67</v>
      </c>
      <c r="F9965" t="s">
        <v>49</v>
      </c>
      <c r="G9965" s="117">
        <v>11.48</v>
      </c>
    </row>
    <row r="9966" spans="1:7" x14ac:dyDescent="0.25">
      <c r="A9966" s="116" t="s">
        <v>15618</v>
      </c>
      <c r="B9966" s="117" t="s">
        <v>30151</v>
      </c>
      <c r="C9966" t="s">
        <v>67</v>
      </c>
      <c r="D9966" t="s">
        <v>67</v>
      </c>
      <c r="E9966" t="s">
        <v>67</v>
      </c>
      <c r="F9966" t="s">
        <v>49</v>
      </c>
      <c r="G9966" s="117">
        <v>14.14</v>
      </c>
    </row>
    <row r="9967" spans="1:7" x14ac:dyDescent="0.25">
      <c r="A9967" s="116" t="s">
        <v>15619</v>
      </c>
      <c r="B9967" s="117" t="s">
        <v>3851</v>
      </c>
      <c r="C9967" t="s">
        <v>67</v>
      </c>
      <c r="D9967" t="s">
        <v>67</v>
      </c>
      <c r="E9967" t="s">
        <v>67</v>
      </c>
      <c r="F9967" t="s">
        <v>49</v>
      </c>
      <c r="G9967" s="117">
        <v>5.25</v>
      </c>
    </row>
    <row r="9968" spans="1:7" x14ac:dyDescent="0.25">
      <c r="A9968" s="116" t="s">
        <v>15620</v>
      </c>
      <c r="B9968" s="117" t="s">
        <v>15621</v>
      </c>
      <c r="C9968" t="s">
        <v>67</v>
      </c>
      <c r="D9968" t="s">
        <v>67</v>
      </c>
      <c r="E9968" t="s">
        <v>67</v>
      </c>
      <c r="F9968" t="s">
        <v>27987</v>
      </c>
      <c r="G9968" s="117">
        <v>8.4499999999999993</v>
      </c>
    </row>
    <row r="9969" spans="1:7" x14ac:dyDescent="0.25">
      <c r="A9969" s="116" t="s">
        <v>15622</v>
      </c>
      <c r="B9969" s="117" t="s">
        <v>15623</v>
      </c>
      <c r="C9969" t="s">
        <v>67</v>
      </c>
      <c r="D9969" t="s">
        <v>67</v>
      </c>
      <c r="E9969" t="s">
        <v>67</v>
      </c>
      <c r="F9969" t="s">
        <v>49</v>
      </c>
      <c r="G9969" s="117">
        <v>16.82</v>
      </c>
    </row>
    <row r="9970" spans="1:7" x14ac:dyDescent="0.25">
      <c r="A9970" s="116" t="s">
        <v>15624</v>
      </c>
      <c r="B9970" s="117" t="s">
        <v>29212</v>
      </c>
      <c r="C9970" t="s">
        <v>67</v>
      </c>
      <c r="D9970" t="s">
        <v>67</v>
      </c>
      <c r="E9970" t="s">
        <v>67</v>
      </c>
      <c r="F9970" t="s">
        <v>27987</v>
      </c>
      <c r="G9970" s="117">
        <v>33.81</v>
      </c>
    </row>
    <row r="9971" spans="1:7" x14ac:dyDescent="0.25">
      <c r="A9971" s="116" t="s">
        <v>15625</v>
      </c>
      <c r="B9971" s="117" t="s">
        <v>15626</v>
      </c>
      <c r="C9971" t="s">
        <v>67</v>
      </c>
      <c r="D9971" t="s">
        <v>67</v>
      </c>
      <c r="E9971" t="s">
        <v>67</v>
      </c>
      <c r="F9971" t="s">
        <v>49</v>
      </c>
      <c r="G9971" s="117">
        <v>70.2</v>
      </c>
    </row>
    <row r="9972" spans="1:7" x14ac:dyDescent="0.25">
      <c r="A9972" s="116" t="s">
        <v>15627</v>
      </c>
      <c r="B9972" s="117" t="s">
        <v>15628</v>
      </c>
      <c r="C9972" t="s">
        <v>67</v>
      </c>
      <c r="D9972" t="s">
        <v>67</v>
      </c>
      <c r="E9972" t="s">
        <v>67</v>
      </c>
      <c r="F9972" t="s">
        <v>49</v>
      </c>
      <c r="G9972" s="117">
        <v>120.57</v>
      </c>
    </row>
    <row r="9973" spans="1:7" x14ac:dyDescent="0.25">
      <c r="A9973" s="116" t="s">
        <v>15629</v>
      </c>
      <c r="B9973" s="117" t="s">
        <v>15630</v>
      </c>
      <c r="C9973" t="s">
        <v>67</v>
      </c>
      <c r="D9973" t="s">
        <v>67</v>
      </c>
      <c r="E9973" t="s">
        <v>67</v>
      </c>
      <c r="F9973" t="s">
        <v>27987</v>
      </c>
      <c r="G9973" s="117">
        <v>112.02</v>
      </c>
    </row>
    <row r="9974" spans="1:7" x14ac:dyDescent="0.25">
      <c r="A9974" s="116" t="s">
        <v>15631</v>
      </c>
      <c r="B9974" s="117" t="s">
        <v>15632</v>
      </c>
      <c r="C9974" t="s">
        <v>67</v>
      </c>
      <c r="D9974" t="s">
        <v>67</v>
      </c>
      <c r="E9974" t="s">
        <v>67</v>
      </c>
      <c r="F9974" t="s">
        <v>27987</v>
      </c>
      <c r="G9974" s="117">
        <v>35.5</v>
      </c>
    </row>
    <row r="9975" spans="1:7" x14ac:dyDescent="0.25">
      <c r="A9975" s="116" t="s">
        <v>15633</v>
      </c>
      <c r="B9975" s="117" t="s">
        <v>15634</v>
      </c>
      <c r="C9975" t="s">
        <v>67</v>
      </c>
      <c r="D9975" t="s">
        <v>67</v>
      </c>
      <c r="E9975" t="s">
        <v>67</v>
      </c>
      <c r="F9975" t="s">
        <v>27987</v>
      </c>
      <c r="G9975" s="117">
        <v>71.989999999999995</v>
      </c>
    </row>
    <row r="9976" spans="1:7" x14ac:dyDescent="0.25">
      <c r="A9976" s="116" t="s">
        <v>15635</v>
      </c>
      <c r="B9976" s="117" t="s">
        <v>15636</v>
      </c>
      <c r="C9976" t="s">
        <v>67</v>
      </c>
      <c r="D9976" t="s">
        <v>67</v>
      </c>
      <c r="E9976" t="s">
        <v>67</v>
      </c>
      <c r="F9976" t="s">
        <v>27987</v>
      </c>
      <c r="G9976" s="117">
        <v>23.94</v>
      </c>
    </row>
    <row r="9977" spans="1:7" x14ac:dyDescent="0.25">
      <c r="A9977" s="116" t="s">
        <v>15637</v>
      </c>
      <c r="B9977" s="117" t="s">
        <v>15638</v>
      </c>
      <c r="C9977" t="s">
        <v>67</v>
      </c>
      <c r="D9977" t="s">
        <v>67</v>
      </c>
      <c r="E9977" t="s">
        <v>67</v>
      </c>
      <c r="F9977" t="s">
        <v>45</v>
      </c>
      <c r="G9977" s="117">
        <v>3.48</v>
      </c>
    </row>
    <row r="9978" spans="1:7" x14ac:dyDescent="0.25">
      <c r="A9978" s="116" t="s">
        <v>15639</v>
      </c>
      <c r="B9978" s="117" t="s">
        <v>15640</v>
      </c>
      <c r="C9978" t="s">
        <v>67</v>
      </c>
      <c r="D9978" t="s">
        <v>67</v>
      </c>
      <c r="E9978" t="s">
        <v>67</v>
      </c>
      <c r="F9978" t="s">
        <v>27987</v>
      </c>
      <c r="G9978" s="117">
        <v>2.58</v>
      </c>
    </row>
    <row r="9979" spans="1:7" x14ac:dyDescent="0.25">
      <c r="A9979" s="116" t="s">
        <v>15641</v>
      </c>
      <c r="B9979" s="117" t="s">
        <v>15642</v>
      </c>
      <c r="C9979" t="s">
        <v>67</v>
      </c>
      <c r="D9979" t="s">
        <v>67</v>
      </c>
      <c r="E9979" t="s">
        <v>67</v>
      </c>
      <c r="F9979" t="s">
        <v>27987</v>
      </c>
      <c r="G9979" s="117">
        <v>31.58</v>
      </c>
    </row>
    <row r="9980" spans="1:7" x14ac:dyDescent="0.25">
      <c r="A9980" s="116" t="s">
        <v>15643</v>
      </c>
      <c r="B9980" s="117" t="s">
        <v>15644</v>
      </c>
      <c r="C9980" t="s">
        <v>67</v>
      </c>
      <c r="D9980" t="s">
        <v>67</v>
      </c>
      <c r="E9980" t="s">
        <v>67</v>
      </c>
      <c r="F9980" t="s">
        <v>27987</v>
      </c>
      <c r="G9980" s="117">
        <v>28.02</v>
      </c>
    </row>
    <row r="9981" spans="1:7" x14ac:dyDescent="0.25">
      <c r="A9981" s="116" t="s">
        <v>15645</v>
      </c>
      <c r="B9981" s="117" t="s">
        <v>15646</v>
      </c>
      <c r="C9981" t="s">
        <v>67</v>
      </c>
      <c r="D9981" t="s">
        <v>67</v>
      </c>
      <c r="E9981" t="s">
        <v>67</v>
      </c>
      <c r="F9981" t="s">
        <v>27987</v>
      </c>
      <c r="G9981" s="117">
        <v>48.5</v>
      </c>
    </row>
    <row r="9982" spans="1:7" x14ac:dyDescent="0.25">
      <c r="A9982" s="116" t="s">
        <v>15647</v>
      </c>
      <c r="B9982" s="117" t="s">
        <v>15648</v>
      </c>
      <c r="C9982" t="s">
        <v>67</v>
      </c>
      <c r="D9982" t="s">
        <v>67</v>
      </c>
      <c r="E9982" t="s">
        <v>67</v>
      </c>
      <c r="F9982" t="s">
        <v>27987</v>
      </c>
      <c r="G9982" s="117">
        <v>20.38</v>
      </c>
    </row>
    <row r="9983" spans="1:7" x14ac:dyDescent="0.25">
      <c r="A9983" s="116" t="s">
        <v>15649</v>
      </c>
      <c r="B9983" s="117" t="s">
        <v>15650</v>
      </c>
      <c r="C9983" t="s">
        <v>67</v>
      </c>
      <c r="D9983" t="s">
        <v>67</v>
      </c>
      <c r="E9983" t="s">
        <v>67</v>
      </c>
      <c r="F9983" t="s">
        <v>27987</v>
      </c>
      <c r="G9983" s="117">
        <v>7.02</v>
      </c>
    </row>
    <row r="9984" spans="1:7" x14ac:dyDescent="0.25">
      <c r="A9984" s="116" t="s">
        <v>15651</v>
      </c>
      <c r="B9984" s="117" t="s">
        <v>15652</v>
      </c>
      <c r="C9984" t="s">
        <v>67</v>
      </c>
      <c r="D9984" t="s">
        <v>67</v>
      </c>
      <c r="E9984" t="s">
        <v>67</v>
      </c>
      <c r="F9984" t="s">
        <v>49</v>
      </c>
      <c r="G9984" s="117">
        <v>5.79</v>
      </c>
    </row>
    <row r="9985" spans="1:7" x14ac:dyDescent="0.25">
      <c r="A9985" s="116" t="s">
        <v>15653</v>
      </c>
      <c r="B9985" s="117" t="s">
        <v>15654</v>
      </c>
      <c r="C9985" t="s">
        <v>67</v>
      </c>
      <c r="D9985" t="s">
        <v>67</v>
      </c>
      <c r="E9985" t="s">
        <v>67</v>
      </c>
      <c r="F9985" t="s">
        <v>49</v>
      </c>
      <c r="G9985" s="117">
        <v>3.48</v>
      </c>
    </row>
    <row r="9986" spans="1:7" x14ac:dyDescent="0.25">
      <c r="A9986" s="116" t="s">
        <v>15655</v>
      </c>
      <c r="B9986" s="117" t="s">
        <v>14087</v>
      </c>
      <c r="C9986" t="s">
        <v>67</v>
      </c>
      <c r="D9986" t="s">
        <v>67</v>
      </c>
      <c r="E9986" t="s">
        <v>67</v>
      </c>
      <c r="F9986" t="s">
        <v>49</v>
      </c>
      <c r="G9986" s="117">
        <v>3.56</v>
      </c>
    </row>
    <row r="9987" spans="1:7" x14ac:dyDescent="0.25">
      <c r="A9987" s="116" t="s">
        <v>15656</v>
      </c>
      <c r="B9987" s="117" t="s">
        <v>15657</v>
      </c>
      <c r="C9987" t="s">
        <v>67</v>
      </c>
      <c r="D9987" t="s">
        <v>67</v>
      </c>
      <c r="E9987" t="s">
        <v>67</v>
      </c>
      <c r="F9987" t="s">
        <v>27987</v>
      </c>
      <c r="G9987" s="117">
        <v>5</v>
      </c>
    </row>
    <row r="9988" spans="1:7" x14ac:dyDescent="0.25">
      <c r="A9988" s="116" t="s">
        <v>15658</v>
      </c>
      <c r="B9988" s="117" t="s">
        <v>15659</v>
      </c>
      <c r="C9988" t="s">
        <v>67</v>
      </c>
      <c r="D9988" t="s">
        <v>67</v>
      </c>
      <c r="E9988" t="s">
        <v>67</v>
      </c>
      <c r="F9988" t="s">
        <v>27987</v>
      </c>
      <c r="G9988" s="117">
        <v>3.48</v>
      </c>
    </row>
    <row r="9989" spans="1:7" x14ac:dyDescent="0.25">
      <c r="A9989" s="116" t="s">
        <v>15660</v>
      </c>
      <c r="B9989" s="117" t="s">
        <v>15661</v>
      </c>
      <c r="C9989" t="s">
        <v>67</v>
      </c>
      <c r="D9989" t="s">
        <v>67</v>
      </c>
      <c r="E9989" t="s">
        <v>67</v>
      </c>
      <c r="F9989" t="s">
        <v>27987</v>
      </c>
      <c r="G9989" s="117">
        <v>33.369999999999997</v>
      </c>
    </row>
    <row r="9990" spans="1:7" x14ac:dyDescent="0.25">
      <c r="A9990" s="116" t="s">
        <v>15662</v>
      </c>
      <c r="B9990" s="117" t="s">
        <v>15663</v>
      </c>
      <c r="C9990" t="s">
        <v>67</v>
      </c>
      <c r="D9990" t="s">
        <v>67</v>
      </c>
      <c r="E9990" t="s">
        <v>67</v>
      </c>
      <c r="F9990" t="s">
        <v>27987</v>
      </c>
      <c r="G9990" s="117">
        <v>19.13</v>
      </c>
    </row>
    <row r="9991" spans="1:7" x14ac:dyDescent="0.25">
      <c r="A9991" s="116" t="s">
        <v>15664</v>
      </c>
      <c r="B9991" s="117" t="s">
        <v>15665</v>
      </c>
      <c r="C9991" t="s">
        <v>67</v>
      </c>
      <c r="D9991" t="s">
        <v>67</v>
      </c>
      <c r="E9991" t="s">
        <v>67</v>
      </c>
      <c r="F9991" t="s">
        <v>27987</v>
      </c>
      <c r="G9991" s="117">
        <v>7.02</v>
      </c>
    </row>
    <row r="9992" spans="1:7" x14ac:dyDescent="0.25">
      <c r="A9992" s="116" t="s">
        <v>15666</v>
      </c>
      <c r="B9992" s="117" t="s">
        <v>15667</v>
      </c>
      <c r="C9992" t="s">
        <v>67</v>
      </c>
      <c r="D9992" t="s">
        <v>67</v>
      </c>
      <c r="E9992" t="s">
        <v>67</v>
      </c>
      <c r="F9992" t="s">
        <v>49</v>
      </c>
      <c r="G9992" s="117">
        <v>52.06</v>
      </c>
    </row>
    <row r="9993" spans="1:7" x14ac:dyDescent="0.25">
      <c r="A9993" s="116" t="s">
        <v>15668</v>
      </c>
      <c r="B9993" s="117" t="s">
        <v>15669</v>
      </c>
      <c r="C9993" t="s">
        <v>67</v>
      </c>
      <c r="D9993" t="s">
        <v>67</v>
      </c>
      <c r="E9993" t="s">
        <v>67</v>
      </c>
      <c r="F9993" t="s">
        <v>27987</v>
      </c>
      <c r="G9993" s="117">
        <v>23.94</v>
      </c>
    </row>
    <row r="9994" spans="1:7" x14ac:dyDescent="0.25">
      <c r="A9994" s="116" t="s">
        <v>15670</v>
      </c>
      <c r="B9994" s="117" t="s">
        <v>15671</v>
      </c>
      <c r="C9994" t="s">
        <v>67</v>
      </c>
      <c r="D9994" t="s">
        <v>67</v>
      </c>
      <c r="E9994" t="s">
        <v>67</v>
      </c>
      <c r="F9994" t="s">
        <v>49</v>
      </c>
      <c r="G9994" s="117">
        <v>34.26</v>
      </c>
    </row>
    <row r="9995" spans="1:7" x14ac:dyDescent="0.25">
      <c r="A9995" s="116" t="s">
        <v>15672</v>
      </c>
      <c r="B9995" s="117" t="s">
        <v>10538</v>
      </c>
      <c r="C9995" t="s">
        <v>67</v>
      </c>
      <c r="D9995" t="s">
        <v>67</v>
      </c>
      <c r="E9995" t="s">
        <v>67</v>
      </c>
      <c r="F9995" t="s">
        <v>49</v>
      </c>
      <c r="G9995" s="117">
        <v>37.29</v>
      </c>
    </row>
    <row r="9996" spans="1:7" x14ac:dyDescent="0.25">
      <c r="A9996" s="116" t="s">
        <v>15673</v>
      </c>
      <c r="B9996" s="117" t="s">
        <v>15674</v>
      </c>
      <c r="C9996" t="s">
        <v>67</v>
      </c>
      <c r="D9996" t="s">
        <v>67</v>
      </c>
      <c r="E9996" t="s">
        <v>67</v>
      </c>
      <c r="F9996" t="s">
        <v>49</v>
      </c>
      <c r="G9996" s="117">
        <v>6.23</v>
      </c>
    </row>
    <row r="9997" spans="1:7" x14ac:dyDescent="0.25">
      <c r="A9997" s="116" t="s">
        <v>15675</v>
      </c>
      <c r="B9997" s="117" t="s">
        <v>15676</v>
      </c>
      <c r="C9997" t="s">
        <v>67</v>
      </c>
      <c r="D9997" t="s">
        <v>67</v>
      </c>
      <c r="E9997" t="s">
        <v>67</v>
      </c>
      <c r="F9997" t="s">
        <v>27987</v>
      </c>
      <c r="G9997" s="117">
        <v>22.69</v>
      </c>
    </row>
    <row r="9998" spans="1:7" x14ac:dyDescent="0.25">
      <c r="A9998" s="116" t="s">
        <v>15677</v>
      </c>
      <c r="B9998" s="117" t="s">
        <v>15678</v>
      </c>
      <c r="C9998" t="s">
        <v>67</v>
      </c>
      <c r="D9998" t="s">
        <v>67</v>
      </c>
      <c r="E9998" t="s">
        <v>67</v>
      </c>
      <c r="F9998" t="s">
        <v>45</v>
      </c>
      <c r="G9998" s="117">
        <v>2.23</v>
      </c>
    </row>
    <row r="9999" spans="1:7" x14ac:dyDescent="0.25">
      <c r="A9999" s="116" t="s">
        <v>15679</v>
      </c>
      <c r="B9999" s="117" t="s">
        <v>15680</v>
      </c>
      <c r="C9999" t="s">
        <v>67</v>
      </c>
      <c r="D9999" t="s">
        <v>67</v>
      </c>
      <c r="E9999" t="s">
        <v>67</v>
      </c>
      <c r="F9999" t="s">
        <v>45</v>
      </c>
      <c r="G9999" s="117">
        <v>2.58</v>
      </c>
    </row>
    <row r="10000" spans="1:7" x14ac:dyDescent="0.25">
      <c r="A10000" s="116" t="s">
        <v>15681</v>
      </c>
      <c r="B10000" s="117" t="s">
        <v>15682</v>
      </c>
      <c r="C10000" t="s">
        <v>67</v>
      </c>
      <c r="D10000" t="s">
        <v>67</v>
      </c>
      <c r="E10000" t="s">
        <v>67</v>
      </c>
      <c r="F10000" t="s">
        <v>27987</v>
      </c>
      <c r="G10000" s="117">
        <v>6.14</v>
      </c>
    </row>
    <row r="10001" spans="1:7" x14ac:dyDescent="0.25">
      <c r="A10001" s="116" t="s">
        <v>15683</v>
      </c>
      <c r="B10001" s="117" t="s">
        <v>15684</v>
      </c>
      <c r="C10001" t="s">
        <v>67</v>
      </c>
      <c r="D10001" t="s">
        <v>67</v>
      </c>
      <c r="E10001" t="s">
        <v>67</v>
      </c>
      <c r="F10001" t="s">
        <v>45</v>
      </c>
      <c r="G10001" s="117">
        <v>3.12</v>
      </c>
    </row>
    <row r="10002" spans="1:7" x14ac:dyDescent="0.25">
      <c r="A10002" s="116" t="s">
        <v>15685</v>
      </c>
      <c r="B10002" s="117" t="s">
        <v>15686</v>
      </c>
      <c r="C10002" t="s">
        <v>67</v>
      </c>
      <c r="D10002" t="s">
        <v>67</v>
      </c>
      <c r="E10002" t="s">
        <v>67</v>
      </c>
      <c r="F10002" t="s">
        <v>45</v>
      </c>
      <c r="G10002" s="117">
        <v>1.69</v>
      </c>
    </row>
    <row r="10003" spans="1:7" x14ac:dyDescent="0.25">
      <c r="A10003" s="116" t="s">
        <v>15687</v>
      </c>
      <c r="B10003" s="117" t="s">
        <v>13662</v>
      </c>
      <c r="C10003" t="s">
        <v>67</v>
      </c>
      <c r="D10003" t="s">
        <v>67</v>
      </c>
      <c r="E10003" t="s">
        <v>67</v>
      </c>
      <c r="F10003" t="s">
        <v>27987</v>
      </c>
      <c r="G10003" s="117">
        <v>2.58</v>
      </c>
    </row>
    <row r="10004" spans="1:7" x14ac:dyDescent="0.25">
      <c r="A10004" s="116" t="s">
        <v>15688</v>
      </c>
      <c r="B10004" s="117" t="s">
        <v>15689</v>
      </c>
      <c r="C10004" t="s">
        <v>67</v>
      </c>
      <c r="D10004" t="s">
        <v>67</v>
      </c>
      <c r="E10004" t="s">
        <v>67</v>
      </c>
      <c r="F10004" t="s">
        <v>27987</v>
      </c>
      <c r="G10004" s="117">
        <v>1.69</v>
      </c>
    </row>
    <row r="10005" spans="1:7" x14ac:dyDescent="0.25">
      <c r="A10005" s="116" t="s">
        <v>15690</v>
      </c>
      <c r="B10005" s="117" t="s">
        <v>15691</v>
      </c>
      <c r="C10005" t="s">
        <v>67</v>
      </c>
      <c r="D10005" t="s">
        <v>67</v>
      </c>
      <c r="E10005" t="s">
        <v>67</v>
      </c>
      <c r="F10005" t="s">
        <v>45</v>
      </c>
      <c r="G10005" s="117">
        <v>4.8899999999999997</v>
      </c>
    </row>
    <row r="10006" spans="1:7" x14ac:dyDescent="0.25">
      <c r="A10006" s="116" t="s">
        <v>15692</v>
      </c>
      <c r="B10006" s="117" t="s">
        <v>15693</v>
      </c>
      <c r="C10006" t="s">
        <v>67</v>
      </c>
      <c r="D10006" t="s">
        <v>67</v>
      </c>
      <c r="E10006" t="s">
        <v>67</v>
      </c>
      <c r="F10006" t="s">
        <v>27987</v>
      </c>
      <c r="G10006" s="117">
        <v>12.37</v>
      </c>
    </row>
    <row r="10007" spans="1:7" x14ac:dyDescent="0.25">
      <c r="A10007" s="116" t="s">
        <v>15694</v>
      </c>
      <c r="B10007" s="117" t="s">
        <v>15695</v>
      </c>
      <c r="C10007" t="s">
        <v>67</v>
      </c>
      <c r="D10007" t="s">
        <v>67</v>
      </c>
      <c r="E10007" t="s">
        <v>67</v>
      </c>
      <c r="F10007" t="s">
        <v>27987</v>
      </c>
      <c r="G10007" s="117">
        <v>1.33</v>
      </c>
    </row>
    <row r="10008" spans="1:7" x14ac:dyDescent="0.25">
      <c r="A10008" s="116" t="s">
        <v>15696</v>
      </c>
      <c r="B10008" s="117" t="s">
        <v>15697</v>
      </c>
      <c r="C10008" t="s">
        <v>67</v>
      </c>
      <c r="D10008" t="s">
        <v>67</v>
      </c>
      <c r="E10008" t="s">
        <v>67</v>
      </c>
      <c r="F10008" t="s">
        <v>49</v>
      </c>
      <c r="G10008" s="117">
        <v>1.33</v>
      </c>
    </row>
    <row r="10009" spans="1:7" x14ac:dyDescent="0.25">
      <c r="A10009" s="116" t="s">
        <v>15698</v>
      </c>
      <c r="B10009" s="117" t="s">
        <v>15699</v>
      </c>
      <c r="C10009" t="s">
        <v>67</v>
      </c>
      <c r="D10009" t="s">
        <v>67</v>
      </c>
      <c r="E10009" t="s">
        <v>67</v>
      </c>
      <c r="F10009" t="s">
        <v>27990</v>
      </c>
      <c r="G10009" s="117">
        <v>9.6999999999999993</v>
      </c>
    </row>
    <row r="10010" spans="1:7" x14ac:dyDescent="0.25">
      <c r="A10010" s="116" t="s">
        <v>29213</v>
      </c>
      <c r="B10010" s="117" t="s">
        <v>29214</v>
      </c>
      <c r="C10010" t="s">
        <v>67</v>
      </c>
      <c r="D10010" t="s">
        <v>67</v>
      </c>
      <c r="E10010" t="s">
        <v>67</v>
      </c>
      <c r="F10010" t="s">
        <v>45</v>
      </c>
      <c r="G10010" s="117">
        <v>1.5</v>
      </c>
    </row>
    <row r="10011" spans="1:7" x14ac:dyDescent="0.25">
      <c r="A10011" s="116" t="s">
        <v>15700</v>
      </c>
      <c r="B10011" s="117" t="s">
        <v>15701</v>
      </c>
      <c r="C10011" t="s">
        <v>67</v>
      </c>
      <c r="D10011" t="s">
        <v>67</v>
      </c>
      <c r="E10011" t="s">
        <v>67</v>
      </c>
      <c r="F10011" t="s">
        <v>49</v>
      </c>
      <c r="G10011" s="117">
        <v>17.7</v>
      </c>
    </row>
    <row r="10012" spans="1:7" x14ac:dyDescent="0.25">
      <c r="A10012" s="116" t="s">
        <v>15702</v>
      </c>
      <c r="B10012" s="117" t="s">
        <v>15703</v>
      </c>
      <c r="C10012" t="s">
        <v>67</v>
      </c>
      <c r="D10012" t="s">
        <v>67</v>
      </c>
      <c r="E10012" t="s">
        <v>67</v>
      </c>
      <c r="F10012" t="s">
        <v>45</v>
      </c>
      <c r="G10012" s="117">
        <v>6.14</v>
      </c>
    </row>
    <row r="10013" spans="1:7" x14ac:dyDescent="0.25">
      <c r="A10013" s="116" t="s">
        <v>15704</v>
      </c>
      <c r="B10013" s="117" t="s">
        <v>15705</v>
      </c>
      <c r="C10013" t="s">
        <v>67</v>
      </c>
      <c r="D10013" t="s">
        <v>67</v>
      </c>
      <c r="E10013" t="s">
        <v>67</v>
      </c>
      <c r="F10013" t="s">
        <v>27987</v>
      </c>
      <c r="G10013" s="117">
        <v>7.92</v>
      </c>
    </row>
    <row r="10014" spans="1:7" x14ac:dyDescent="0.25">
      <c r="A10014" s="116" t="s">
        <v>15706</v>
      </c>
      <c r="B10014" s="117" t="s">
        <v>14249</v>
      </c>
      <c r="C10014" t="s">
        <v>67</v>
      </c>
      <c r="D10014" t="s">
        <v>67</v>
      </c>
      <c r="E10014" t="s">
        <v>67</v>
      </c>
      <c r="F10014" t="s">
        <v>27987</v>
      </c>
      <c r="G10014" s="117">
        <v>6.68</v>
      </c>
    </row>
    <row r="10015" spans="1:7" x14ac:dyDescent="0.25">
      <c r="A10015" s="116" t="s">
        <v>15707</v>
      </c>
      <c r="B10015" s="117" t="s">
        <v>15708</v>
      </c>
      <c r="C10015" t="s">
        <v>67</v>
      </c>
      <c r="D10015" t="s">
        <v>67</v>
      </c>
      <c r="E10015" t="s">
        <v>67</v>
      </c>
      <c r="F10015" t="s">
        <v>49</v>
      </c>
      <c r="G10015" s="117">
        <v>6.68</v>
      </c>
    </row>
    <row r="10016" spans="1:7" x14ac:dyDescent="0.25">
      <c r="A10016" s="116" t="s">
        <v>15709</v>
      </c>
      <c r="B10016" s="117" t="s">
        <v>15710</v>
      </c>
      <c r="C10016" t="s">
        <v>67</v>
      </c>
      <c r="D10016" t="s">
        <v>67</v>
      </c>
      <c r="E10016" t="s">
        <v>67</v>
      </c>
      <c r="F10016" t="s">
        <v>27987</v>
      </c>
      <c r="G10016" s="117">
        <v>18.600000000000001</v>
      </c>
    </row>
    <row r="10017" spans="1:7" x14ac:dyDescent="0.25">
      <c r="A10017" s="116" t="s">
        <v>15711</v>
      </c>
      <c r="B10017" s="117" t="s">
        <v>15712</v>
      </c>
      <c r="C10017" t="s">
        <v>67</v>
      </c>
      <c r="D10017" t="s">
        <v>67</v>
      </c>
      <c r="E10017" t="s">
        <v>67</v>
      </c>
      <c r="F10017" t="s">
        <v>27987</v>
      </c>
      <c r="G10017" s="117">
        <v>13.26</v>
      </c>
    </row>
    <row r="10018" spans="1:7" x14ac:dyDescent="0.25">
      <c r="A10018" s="116" t="s">
        <v>15713</v>
      </c>
      <c r="B10018" s="117" t="s">
        <v>15714</v>
      </c>
      <c r="C10018" t="s">
        <v>67</v>
      </c>
      <c r="D10018" t="s">
        <v>67</v>
      </c>
      <c r="E10018" t="s">
        <v>67</v>
      </c>
      <c r="F10018" t="s">
        <v>27987</v>
      </c>
      <c r="G10018" s="117">
        <v>12.01</v>
      </c>
    </row>
    <row r="10019" spans="1:7" x14ac:dyDescent="0.25">
      <c r="A10019" s="116" t="s">
        <v>15715</v>
      </c>
      <c r="B10019" s="117" t="s">
        <v>13662</v>
      </c>
      <c r="C10019" t="s">
        <v>67</v>
      </c>
      <c r="D10019" t="s">
        <v>67</v>
      </c>
      <c r="E10019" t="s">
        <v>67</v>
      </c>
      <c r="F10019" t="s">
        <v>49</v>
      </c>
      <c r="G10019" s="117">
        <v>12.01</v>
      </c>
    </row>
    <row r="10020" spans="1:7" x14ac:dyDescent="0.25">
      <c r="A10020" s="116" t="s">
        <v>15716</v>
      </c>
      <c r="B10020" s="117" t="s">
        <v>15717</v>
      </c>
      <c r="C10020" t="s">
        <v>67</v>
      </c>
      <c r="D10020" t="s">
        <v>67</v>
      </c>
      <c r="E10020" t="s">
        <v>67</v>
      </c>
      <c r="F10020" t="s">
        <v>27987</v>
      </c>
      <c r="G10020" s="117">
        <v>15.57</v>
      </c>
    </row>
    <row r="10021" spans="1:7" x14ac:dyDescent="0.25">
      <c r="A10021" s="116" t="s">
        <v>15718</v>
      </c>
      <c r="B10021" s="117" t="s">
        <v>15719</v>
      </c>
      <c r="C10021" t="s">
        <v>67</v>
      </c>
      <c r="D10021" t="s">
        <v>67</v>
      </c>
      <c r="E10021" t="s">
        <v>67</v>
      </c>
      <c r="F10021" t="s">
        <v>27987</v>
      </c>
      <c r="G10021" s="117">
        <v>88.54</v>
      </c>
    </row>
    <row r="10022" spans="1:7" x14ac:dyDescent="0.25">
      <c r="A10022" s="116" t="s">
        <v>15720</v>
      </c>
      <c r="B10022" s="117" t="s">
        <v>15721</v>
      </c>
      <c r="C10022" t="s">
        <v>67</v>
      </c>
      <c r="D10022" t="s">
        <v>67</v>
      </c>
      <c r="E10022" t="s">
        <v>67</v>
      </c>
      <c r="F10022" t="s">
        <v>27987</v>
      </c>
      <c r="G10022" s="117">
        <v>91.2</v>
      </c>
    </row>
    <row r="10023" spans="1:7" x14ac:dyDescent="0.25">
      <c r="A10023" s="116" t="s">
        <v>15722</v>
      </c>
      <c r="B10023" s="117" t="s">
        <v>13613</v>
      </c>
      <c r="C10023" t="s">
        <v>67</v>
      </c>
      <c r="D10023" t="s">
        <v>67</v>
      </c>
      <c r="E10023" t="s">
        <v>67</v>
      </c>
      <c r="F10023" t="s">
        <v>27987</v>
      </c>
      <c r="G10023" s="117">
        <v>87.12</v>
      </c>
    </row>
    <row r="10024" spans="1:7" x14ac:dyDescent="0.25">
      <c r="A10024" s="116" t="s">
        <v>15723</v>
      </c>
      <c r="B10024" s="117" t="s">
        <v>14479</v>
      </c>
      <c r="C10024" t="s">
        <v>67</v>
      </c>
      <c r="D10024" t="s">
        <v>67</v>
      </c>
      <c r="E10024" t="s">
        <v>67</v>
      </c>
      <c r="F10024" t="s">
        <v>27987</v>
      </c>
      <c r="G10024" s="117">
        <v>114.35</v>
      </c>
    </row>
    <row r="10025" spans="1:7" x14ac:dyDescent="0.25">
      <c r="A10025" s="116" t="s">
        <v>15724</v>
      </c>
      <c r="B10025" s="117" t="s">
        <v>13639</v>
      </c>
      <c r="C10025" t="s">
        <v>67</v>
      </c>
      <c r="D10025" t="s">
        <v>67</v>
      </c>
      <c r="E10025" t="s">
        <v>67</v>
      </c>
      <c r="F10025" t="s">
        <v>27987</v>
      </c>
      <c r="G10025" s="117">
        <v>55.62</v>
      </c>
    </row>
    <row r="10026" spans="1:7" x14ac:dyDescent="0.25">
      <c r="A10026" s="116" t="s">
        <v>15725</v>
      </c>
      <c r="B10026" s="117" t="s">
        <v>15726</v>
      </c>
      <c r="C10026" t="s">
        <v>67</v>
      </c>
      <c r="D10026" t="s">
        <v>67</v>
      </c>
      <c r="E10026" t="s">
        <v>67</v>
      </c>
      <c r="F10026" t="s">
        <v>27987</v>
      </c>
      <c r="G10026" s="117">
        <v>5.25</v>
      </c>
    </row>
    <row r="10027" spans="1:7" x14ac:dyDescent="0.25">
      <c r="A10027" s="116" t="s">
        <v>15727</v>
      </c>
      <c r="B10027" s="117" t="s">
        <v>15728</v>
      </c>
      <c r="C10027" t="s">
        <v>67</v>
      </c>
      <c r="D10027" t="s">
        <v>67</v>
      </c>
      <c r="E10027" t="s">
        <v>67</v>
      </c>
      <c r="F10027" t="s">
        <v>49</v>
      </c>
      <c r="G10027" s="117">
        <v>16.82</v>
      </c>
    </row>
    <row r="10028" spans="1:7" x14ac:dyDescent="0.25">
      <c r="A10028" s="116" t="s">
        <v>15729</v>
      </c>
      <c r="B10028" s="117" t="s">
        <v>15730</v>
      </c>
      <c r="C10028" t="s">
        <v>67</v>
      </c>
      <c r="D10028" t="s">
        <v>67</v>
      </c>
      <c r="E10028" t="s">
        <v>67</v>
      </c>
      <c r="F10028" t="s">
        <v>27987</v>
      </c>
      <c r="G10028" s="117">
        <v>9.6999999999999993</v>
      </c>
    </row>
    <row r="10029" spans="1:7" x14ac:dyDescent="0.25">
      <c r="A10029" s="116" t="s">
        <v>15731</v>
      </c>
      <c r="B10029" s="117" t="s">
        <v>15732</v>
      </c>
      <c r="C10029" t="s">
        <v>67</v>
      </c>
      <c r="D10029" t="s">
        <v>67</v>
      </c>
      <c r="E10029" t="s">
        <v>67</v>
      </c>
      <c r="F10029" t="s">
        <v>27987</v>
      </c>
      <c r="G10029" s="117">
        <v>9.35</v>
      </c>
    </row>
    <row r="10030" spans="1:7" x14ac:dyDescent="0.25">
      <c r="A10030" s="116" t="s">
        <v>15733</v>
      </c>
      <c r="B10030" s="117" t="s">
        <v>15734</v>
      </c>
      <c r="C10030" t="s">
        <v>67</v>
      </c>
      <c r="D10030" t="s">
        <v>67</v>
      </c>
      <c r="E10030" t="s">
        <v>67</v>
      </c>
      <c r="F10030" t="s">
        <v>27987</v>
      </c>
      <c r="G10030" s="117">
        <v>7.56</v>
      </c>
    </row>
    <row r="10031" spans="1:7" x14ac:dyDescent="0.25">
      <c r="A10031" s="116" t="s">
        <v>15735</v>
      </c>
      <c r="B10031" s="117" t="s">
        <v>15736</v>
      </c>
      <c r="C10031" t="s">
        <v>67</v>
      </c>
      <c r="D10031" t="s">
        <v>67</v>
      </c>
      <c r="E10031" t="s">
        <v>67</v>
      </c>
      <c r="F10031" t="s">
        <v>27987</v>
      </c>
      <c r="G10031" s="117">
        <v>27.14</v>
      </c>
    </row>
    <row r="10032" spans="1:7" x14ac:dyDescent="0.25">
      <c r="A10032" s="116" t="s">
        <v>15737</v>
      </c>
      <c r="B10032" s="117" t="s">
        <v>15738</v>
      </c>
      <c r="C10032" t="s">
        <v>67</v>
      </c>
      <c r="D10032" t="s">
        <v>67</v>
      </c>
      <c r="E10032" t="s">
        <v>67</v>
      </c>
      <c r="F10032" t="s">
        <v>45</v>
      </c>
      <c r="G10032" s="117">
        <v>40.49</v>
      </c>
    </row>
    <row r="10033" spans="1:7" x14ac:dyDescent="0.25">
      <c r="A10033" s="116" t="s">
        <v>15739</v>
      </c>
      <c r="B10033" s="117" t="s">
        <v>15740</v>
      </c>
      <c r="C10033" t="s">
        <v>67</v>
      </c>
      <c r="D10033" t="s">
        <v>67</v>
      </c>
      <c r="E10033" t="s">
        <v>67</v>
      </c>
      <c r="F10033" t="s">
        <v>45</v>
      </c>
      <c r="G10033" s="117">
        <v>13.57</v>
      </c>
    </row>
    <row r="10034" spans="1:7" x14ac:dyDescent="0.25">
      <c r="A10034" s="116" t="s">
        <v>15741</v>
      </c>
      <c r="B10034" s="117" t="s">
        <v>15742</v>
      </c>
      <c r="C10034" t="s">
        <v>67</v>
      </c>
      <c r="D10034" t="s">
        <v>67</v>
      </c>
      <c r="E10034" t="s">
        <v>67</v>
      </c>
      <c r="F10034" t="s">
        <v>45</v>
      </c>
      <c r="G10034" s="117">
        <v>10.58</v>
      </c>
    </row>
    <row r="10035" spans="1:7" x14ac:dyDescent="0.25">
      <c r="A10035" s="116" t="s">
        <v>15743</v>
      </c>
      <c r="B10035" s="117" t="s">
        <v>15744</v>
      </c>
      <c r="C10035" t="s">
        <v>67</v>
      </c>
      <c r="D10035" t="s">
        <v>67</v>
      </c>
      <c r="E10035" t="s">
        <v>67</v>
      </c>
      <c r="F10035" t="s">
        <v>27987</v>
      </c>
      <c r="G10035" s="117">
        <v>7.12</v>
      </c>
    </row>
    <row r="10036" spans="1:7" x14ac:dyDescent="0.25">
      <c r="A10036" s="116" t="s">
        <v>15745</v>
      </c>
      <c r="B10036" s="117" t="s">
        <v>15511</v>
      </c>
      <c r="C10036" t="s">
        <v>67</v>
      </c>
      <c r="D10036" t="s">
        <v>67</v>
      </c>
      <c r="E10036" t="s">
        <v>67</v>
      </c>
      <c r="F10036" t="s">
        <v>49</v>
      </c>
      <c r="G10036" s="117">
        <v>7.12</v>
      </c>
    </row>
    <row r="10037" spans="1:7" x14ac:dyDescent="0.25">
      <c r="A10037" s="116" t="s">
        <v>15746</v>
      </c>
      <c r="B10037" s="117" t="s">
        <v>14135</v>
      </c>
      <c r="C10037" t="s">
        <v>67</v>
      </c>
      <c r="D10037" t="s">
        <v>67</v>
      </c>
      <c r="E10037" t="s">
        <v>67</v>
      </c>
      <c r="F10037" t="s">
        <v>45</v>
      </c>
      <c r="G10037" s="117">
        <v>44.05</v>
      </c>
    </row>
    <row r="10038" spans="1:7" x14ac:dyDescent="0.25">
      <c r="A10038" s="116" t="s">
        <v>15747</v>
      </c>
      <c r="B10038" s="117" t="s">
        <v>15748</v>
      </c>
      <c r="C10038" t="s">
        <v>67</v>
      </c>
      <c r="D10038" t="s">
        <v>67</v>
      </c>
      <c r="E10038" t="s">
        <v>67</v>
      </c>
      <c r="F10038" t="s">
        <v>27987</v>
      </c>
      <c r="G10038" s="117">
        <v>14.14</v>
      </c>
    </row>
    <row r="10039" spans="1:7" x14ac:dyDescent="0.25">
      <c r="A10039" s="116" t="s">
        <v>15749</v>
      </c>
      <c r="B10039" s="117" t="s">
        <v>15750</v>
      </c>
      <c r="C10039" t="s">
        <v>67</v>
      </c>
      <c r="D10039" t="s">
        <v>67</v>
      </c>
      <c r="E10039" t="s">
        <v>67</v>
      </c>
      <c r="F10039" t="s">
        <v>49</v>
      </c>
      <c r="G10039" s="117">
        <v>19.13</v>
      </c>
    </row>
    <row r="10040" spans="1:7" x14ac:dyDescent="0.25">
      <c r="A10040" s="116" t="s">
        <v>15751</v>
      </c>
      <c r="B10040" s="117" t="s">
        <v>15752</v>
      </c>
      <c r="C10040" t="s">
        <v>67</v>
      </c>
      <c r="D10040" t="s">
        <v>67</v>
      </c>
      <c r="E10040" t="s">
        <v>67</v>
      </c>
      <c r="F10040" t="s">
        <v>27987</v>
      </c>
      <c r="G10040" s="117">
        <v>7.12</v>
      </c>
    </row>
    <row r="10041" spans="1:7" x14ac:dyDescent="0.25">
      <c r="A10041" s="116" t="s">
        <v>15753</v>
      </c>
      <c r="B10041" s="117" t="s">
        <v>15754</v>
      </c>
      <c r="C10041" t="s">
        <v>67</v>
      </c>
      <c r="D10041" t="s">
        <v>67</v>
      </c>
      <c r="E10041" t="s">
        <v>67</v>
      </c>
      <c r="F10041" t="s">
        <v>27987</v>
      </c>
      <c r="G10041" s="117">
        <v>3.56</v>
      </c>
    </row>
    <row r="10042" spans="1:7" x14ac:dyDescent="0.25">
      <c r="A10042" s="116" t="s">
        <v>15755</v>
      </c>
      <c r="B10042" s="117" t="s">
        <v>15756</v>
      </c>
      <c r="C10042" t="s">
        <v>67</v>
      </c>
      <c r="D10042" t="s">
        <v>67</v>
      </c>
      <c r="E10042" t="s">
        <v>67</v>
      </c>
      <c r="F10042" t="s">
        <v>27990</v>
      </c>
      <c r="G10042" s="117">
        <v>11.12</v>
      </c>
    </row>
    <row r="10043" spans="1:7" x14ac:dyDescent="0.25">
      <c r="A10043" s="116" t="s">
        <v>15757</v>
      </c>
      <c r="B10043" s="117" t="s">
        <v>14615</v>
      </c>
      <c r="C10043" t="s">
        <v>67</v>
      </c>
      <c r="D10043" t="s">
        <v>67</v>
      </c>
      <c r="E10043" t="s">
        <v>67</v>
      </c>
      <c r="F10043" t="s">
        <v>27987</v>
      </c>
      <c r="G10043" s="117">
        <v>9.35</v>
      </c>
    </row>
    <row r="10044" spans="1:7" x14ac:dyDescent="0.25">
      <c r="A10044" s="116" t="s">
        <v>15758</v>
      </c>
      <c r="B10044" s="117" t="s">
        <v>15759</v>
      </c>
      <c r="C10044" t="s">
        <v>67</v>
      </c>
      <c r="D10044" t="s">
        <v>67</v>
      </c>
      <c r="E10044" t="s">
        <v>67</v>
      </c>
      <c r="F10044" t="s">
        <v>49</v>
      </c>
      <c r="G10044" s="117">
        <v>5.25</v>
      </c>
    </row>
    <row r="10045" spans="1:7" x14ac:dyDescent="0.25">
      <c r="A10045" s="116" t="s">
        <v>15760</v>
      </c>
      <c r="B10045" s="117" t="s">
        <v>15761</v>
      </c>
      <c r="C10045" t="s">
        <v>67</v>
      </c>
      <c r="D10045" t="s">
        <v>67</v>
      </c>
      <c r="E10045" t="s">
        <v>67</v>
      </c>
      <c r="F10045" t="s">
        <v>45</v>
      </c>
      <c r="G10045" s="117">
        <v>109.89</v>
      </c>
    </row>
    <row r="10046" spans="1:7" x14ac:dyDescent="0.25">
      <c r="A10046" s="116" t="s">
        <v>15762</v>
      </c>
      <c r="B10046" s="117" t="s">
        <v>15763</v>
      </c>
      <c r="C10046" t="s">
        <v>67</v>
      </c>
      <c r="D10046" t="s">
        <v>67</v>
      </c>
      <c r="E10046" t="s">
        <v>67</v>
      </c>
      <c r="F10046" t="s">
        <v>49</v>
      </c>
      <c r="G10046" s="117">
        <v>5.79</v>
      </c>
    </row>
    <row r="10047" spans="1:7" x14ac:dyDescent="0.25">
      <c r="A10047" s="116" t="s">
        <v>15764</v>
      </c>
      <c r="B10047" s="117" t="s">
        <v>344</v>
      </c>
      <c r="C10047" t="s">
        <v>67</v>
      </c>
      <c r="D10047" t="s">
        <v>67</v>
      </c>
      <c r="E10047" t="s">
        <v>67</v>
      </c>
      <c r="F10047" t="s">
        <v>45</v>
      </c>
      <c r="G10047" s="117">
        <v>20.38</v>
      </c>
    </row>
    <row r="10048" spans="1:7" x14ac:dyDescent="0.25">
      <c r="A10048" s="116" t="s">
        <v>15765</v>
      </c>
      <c r="B10048" s="117" t="s">
        <v>13637</v>
      </c>
      <c r="C10048" t="s">
        <v>67</v>
      </c>
      <c r="D10048" t="s">
        <v>67</v>
      </c>
      <c r="E10048" t="s">
        <v>67</v>
      </c>
      <c r="F10048" t="s">
        <v>27987</v>
      </c>
      <c r="G10048" s="117">
        <v>1.91</v>
      </c>
    </row>
    <row r="10049" spans="1:7" x14ac:dyDescent="0.25">
      <c r="A10049" s="116" t="s">
        <v>29215</v>
      </c>
      <c r="B10049" s="117" t="s">
        <v>29822</v>
      </c>
      <c r="C10049" t="s">
        <v>67</v>
      </c>
      <c r="D10049" t="s">
        <v>67</v>
      </c>
      <c r="E10049" t="s">
        <v>67</v>
      </c>
      <c r="F10049" t="s">
        <v>27987</v>
      </c>
      <c r="G10049" s="117">
        <v>3</v>
      </c>
    </row>
    <row r="10050" spans="1:7" x14ac:dyDescent="0.25">
      <c r="A10050" s="116" t="s">
        <v>15766</v>
      </c>
      <c r="B10050" s="117" t="s">
        <v>12130</v>
      </c>
      <c r="C10050" t="s">
        <v>67</v>
      </c>
      <c r="D10050" t="s">
        <v>67</v>
      </c>
      <c r="E10050" t="s">
        <v>67</v>
      </c>
      <c r="F10050" t="s">
        <v>49</v>
      </c>
      <c r="G10050" s="117">
        <v>1.33</v>
      </c>
    </row>
    <row r="10051" spans="1:7" x14ac:dyDescent="0.25">
      <c r="A10051" s="116" t="s">
        <v>15767</v>
      </c>
      <c r="B10051" s="117" t="s">
        <v>15768</v>
      </c>
      <c r="C10051" t="s">
        <v>67</v>
      </c>
      <c r="D10051" t="s">
        <v>67</v>
      </c>
      <c r="E10051" t="s">
        <v>67</v>
      </c>
      <c r="F10051" t="s">
        <v>27987</v>
      </c>
      <c r="G10051" s="117">
        <v>53.3</v>
      </c>
    </row>
    <row r="10052" spans="1:7" x14ac:dyDescent="0.25">
      <c r="A10052" s="116" t="s">
        <v>15769</v>
      </c>
      <c r="B10052" s="117" t="s">
        <v>15770</v>
      </c>
      <c r="C10052" t="s">
        <v>67</v>
      </c>
      <c r="D10052" t="s">
        <v>67</v>
      </c>
      <c r="E10052" t="s">
        <v>67</v>
      </c>
      <c r="F10052" t="s">
        <v>27987</v>
      </c>
      <c r="G10052" s="117">
        <v>2.23</v>
      </c>
    </row>
    <row r="10053" spans="1:7" x14ac:dyDescent="0.25">
      <c r="A10053" s="116" t="s">
        <v>15771</v>
      </c>
      <c r="B10053" s="117" t="s">
        <v>15772</v>
      </c>
      <c r="C10053" t="s">
        <v>67</v>
      </c>
      <c r="D10053" t="s">
        <v>67</v>
      </c>
      <c r="E10053" t="s">
        <v>67</v>
      </c>
      <c r="F10053" t="s">
        <v>49</v>
      </c>
      <c r="G10053" s="117">
        <v>2.2599999999999998</v>
      </c>
    </row>
    <row r="10054" spans="1:7" x14ac:dyDescent="0.25">
      <c r="A10054" s="116" t="s">
        <v>15773</v>
      </c>
      <c r="B10054" s="117" t="s">
        <v>15774</v>
      </c>
      <c r="C10054" t="s">
        <v>67</v>
      </c>
      <c r="D10054" t="s">
        <v>67</v>
      </c>
      <c r="E10054" t="s">
        <v>67</v>
      </c>
      <c r="F10054" t="s">
        <v>27987</v>
      </c>
      <c r="G10054" s="117">
        <v>14.68</v>
      </c>
    </row>
    <row r="10055" spans="1:7" x14ac:dyDescent="0.25">
      <c r="A10055" s="116" t="s">
        <v>15775</v>
      </c>
      <c r="B10055" s="117" t="s">
        <v>15776</v>
      </c>
      <c r="C10055" t="s">
        <v>67</v>
      </c>
      <c r="D10055" t="s">
        <v>67</v>
      </c>
      <c r="E10055" t="s">
        <v>67</v>
      </c>
      <c r="F10055" t="s">
        <v>45</v>
      </c>
      <c r="G10055" s="117">
        <v>16.46</v>
      </c>
    </row>
    <row r="10056" spans="1:7" x14ac:dyDescent="0.25">
      <c r="A10056" s="116" t="s">
        <v>15777</v>
      </c>
      <c r="B10056" s="117" t="s">
        <v>15778</v>
      </c>
      <c r="C10056" t="s">
        <v>67</v>
      </c>
      <c r="D10056" t="s">
        <v>67</v>
      </c>
      <c r="E10056" t="s">
        <v>67</v>
      </c>
      <c r="F10056" t="s">
        <v>49</v>
      </c>
      <c r="G10056" s="117">
        <v>11.48</v>
      </c>
    </row>
    <row r="10057" spans="1:7" x14ac:dyDescent="0.25">
      <c r="A10057" s="116" t="s">
        <v>15779</v>
      </c>
      <c r="B10057" s="117" t="s">
        <v>15780</v>
      </c>
      <c r="C10057" t="s">
        <v>67</v>
      </c>
      <c r="D10057" t="s">
        <v>67</v>
      </c>
      <c r="E10057" t="s">
        <v>67</v>
      </c>
      <c r="F10057" t="s">
        <v>27987</v>
      </c>
      <c r="G10057" s="117">
        <v>2.58</v>
      </c>
    </row>
    <row r="10058" spans="1:7" x14ac:dyDescent="0.25">
      <c r="A10058" s="116" t="s">
        <v>15781</v>
      </c>
      <c r="B10058" s="117" t="s">
        <v>15782</v>
      </c>
      <c r="C10058" t="s">
        <v>67</v>
      </c>
      <c r="D10058" t="s">
        <v>67</v>
      </c>
      <c r="E10058" t="s">
        <v>67</v>
      </c>
      <c r="F10058" t="s">
        <v>27987</v>
      </c>
      <c r="G10058" s="117">
        <v>2.58</v>
      </c>
    </row>
    <row r="10059" spans="1:7" x14ac:dyDescent="0.25">
      <c r="A10059" s="116" t="s">
        <v>15783</v>
      </c>
      <c r="B10059" s="117" t="s">
        <v>15784</v>
      </c>
      <c r="C10059" t="s">
        <v>67</v>
      </c>
      <c r="D10059" t="s">
        <v>67</v>
      </c>
      <c r="E10059" t="s">
        <v>67</v>
      </c>
      <c r="F10059" t="s">
        <v>27987</v>
      </c>
      <c r="G10059" s="117">
        <v>6.14</v>
      </c>
    </row>
    <row r="10060" spans="1:7" x14ac:dyDescent="0.25">
      <c r="A10060" s="116" t="s">
        <v>15785</v>
      </c>
      <c r="B10060" s="117" t="s">
        <v>15786</v>
      </c>
      <c r="C10060" t="s">
        <v>67</v>
      </c>
      <c r="D10060" t="s">
        <v>67</v>
      </c>
      <c r="E10060" t="s">
        <v>67</v>
      </c>
      <c r="F10060" t="s">
        <v>45</v>
      </c>
      <c r="G10060" s="117">
        <v>10.58</v>
      </c>
    </row>
    <row r="10061" spans="1:7" x14ac:dyDescent="0.25">
      <c r="A10061" s="116" t="s">
        <v>15787</v>
      </c>
      <c r="B10061" s="117" t="s">
        <v>15788</v>
      </c>
      <c r="C10061" t="s">
        <v>67</v>
      </c>
      <c r="D10061" t="s">
        <v>67</v>
      </c>
      <c r="E10061" t="s">
        <v>67</v>
      </c>
      <c r="F10061" t="s">
        <v>27987</v>
      </c>
      <c r="G10061" s="117">
        <v>22.69</v>
      </c>
    </row>
    <row r="10062" spans="1:7" x14ac:dyDescent="0.25">
      <c r="A10062" s="116" t="s">
        <v>15789</v>
      </c>
      <c r="B10062" s="117" t="s">
        <v>15790</v>
      </c>
      <c r="C10062" t="s">
        <v>67</v>
      </c>
      <c r="D10062" t="s">
        <v>67</v>
      </c>
      <c r="E10062" t="s">
        <v>67</v>
      </c>
      <c r="F10062" t="s">
        <v>27987</v>
      </c>
      <c r="G10062" s="117">
        <v>26.25</v>
      </c>
    </row>
    <row r="10063" spans="1:7" x14ac:dyDescent="0.25">
      <c r="A10063" s="116" t="s">
        <v>15791</v>
      </c>
      <c r="B10063" s="117" t="s">
        <v>15792</v>
      </c>
      <c r="C10063" t="s">
        <v>67</v>
      </c>
      <c r="D10063" t="s">
        <v>67</v>
      </c>
      <c r="E10063" t="s">
        <v>67</v>
      </c>
      <c r="F10063" t="s">
        <v>27987</v>
      </c>
      <c r="G10063" s="117">
        <v>55.62</v>
      </c>
    </row>
    <row r="10064" spans="1:7" x14ac:dyDescent="0.25">
      <c r="A10064" s="116" t="s">
        <v>15793</v>
      </c>
      <c r="B10064" s="117" t="s">
        <v>15794</v>
      </c>
      <c r="C10064" t="s">
        <v>67</v>
      </c>
      <c r="D10064" t="s">
        <v>67</v>
      </c>
      <c r="E10064" t="s">
        <v>67</v>
      </c>
      <c r="F10064" t="s">
        <v>27987</v>
      </c>
      <c r="G10064" s="117">
        <v>77.86</v>
      </c>
    </row>
    <row r="10065" spans="1:7" x14ac:dyDescent="0.25">
      <c r="A10065" s="116" t="s">
        <v>15795</v>
      </c>
      <c r="B10065" s="117" t="s">
        <v>15796</v>
      </c>
      <c r="C10065" t="s">
        <v>67</v>
      </c>
      <c r="D10065" t="s">
        <v>67</v>
      </c>
      <c r="E10065" t="s">
        <v>67</v>
      </c>
      <c r="F10065" t="s">
        <v>27987</v>
      </c>
      <c r="G10065" s="117">
        <v>15.04</v>
      </c>
    </row>
    <row r="10066" spans="1:7" x14ac:dyDescent="0.25">
      <c r="A10066" s="116" t="s">
        <v>15797</v>
      </c>
      <c r="B10066" s="117" t="s">
        <v>10865</v>
      </c>
      <c r="C10066" t="s">
        <v>67</v>
      </c>
      <c r="D10066" t="s">
        <v>67</v>
      </c>
      <c r="E10066" t="s">
        <v>67</v>
      </c>
      <c r="F10066" t="s">
        <v>27987</v>
      </c>
      <c r="G10066" s="117">
        <v>3.56</v>
      </c>
    </row>
    <row r="10067" spans="1:7" x14ac:dyDescent="0.25">
      <c r="A10067" s="116" t="s">
        <v>15798</v>
      </c>
      <c r="B10067" s="117" t="s">
        <v>15799</v>
      </c>
      <c r="C10067" t="s">
        <v>67</v>
      </c>
      <c r="D10067" t="s">
        <v>67</v>
      </c>
      <c r="E10067" t="s">
        <v>67</v>
      </c>
      <c r="F10067" t="s">
        <v>45</v>
      </c>
      <c r="G10067" s="117">
        <v>2.58</v>
      </c>
    </row>
    <row r="10068" spans="1:7" x14ac:dyDescent="0.25">
      <c r="A10068" s="116" t="s">
        <v>15800</v>
      </c>
      <c r="B10068" s="117" t="s">
        <v>13662</v>
      </c>
      <c r="C10068" t="s">
        <v>67</v>
      </c>
      <c r="D10068" t="s">
        <v>67</v>
      </c>
      <c r="E10068" t="s">
        <v>67</v>
      </c>
      <c r="F10068" t="s">
        <v>27987</v>
      </c>
      <c r="G10068" s="117">
        <v>4.8899999999999997</v>
      </c>
    </row>
    <row r="10069" spans="1:7" x14ac:dyDescent="0.25">
      <c r="A10069" s="116" t="s">
        <v>15801</v>
      </c>
      <c r="B10069" s="117" t="s">
        <v>15802</v>
      </c>
      <c r="C10069" t="s">
        <v>67</v>
      </c>
      <c r="D10069" t="s">
        <v>67</v>
      </c>
      <c r="E10069" t="s">
        <v>67</v>
      </c>
      <c r="F10069" t="s">
        <v>49</v>
      </c>
      <c r="G10069" s="117">
        <v>1.69</v>
      </c>
    </row>
    <row r="10070" spans="1:7" x14ac:dyDescent="0.25">
      <c r="A10070" s="116" t="s">
        <v>15803</v>
      </c>
      <c r="B10070" s="117" t="s">
        <v>15804</v>
      </c>
      <c r="C10070" t="s">
        <v>67</v>
      </c>
      <c r="D10070" t="s">
        <v>67</v>
      </c>
      <c r="E10070" t="s">
        <v>67</v>
      </c>
      <c r="F10070" t="s">
        <v>45</v>
      </c>
      <c r="G10070" s="117">
        <v>4.3600000000000003</v>
      </c>
    </row>
    <row r="10071" spans="1:7" x14ac:dyDescent="0.25">
      <c r="A10071" s="116" t="s">
        <v>15805</v>
      </c>
      <c r="B10071" s="117" t="s">
        <v>15806</v>
      </c>
      <c r="C10071" t="s">
        <v>67</v>
      </c>
      <c r="D10071" t="s">
        <v>67</v>
      </c>
      <c r="E10071" t="s">
        <v>67</v>
      </c>
      <c r="F10071" t="s">
        <v>51</v>
      </c>
      <c r="G10071" s="117">
        <v>17.37</v>
      </c>
    </row>
    <row r="10072" spans="1:7" x14ac:dyDescent="0.25">
      <c r="A10072" s="116" t="s">
        <v>15807</v>
      </c>
      <c r="B10072" s="117" t="s">
        <v>15808</v>
      </c>
      <c r="C10072" t="s">
        <v>67</v>
      </c>
      <c r="D10072" t="s">
        <v>67</v>
      </c>
      <c r="E10072" t="s">
        <v>67</v>
      </c>
      <c r="F10072" t="s">
        <v>45</v>
      </c>
      <c r="G10072" s="117">
        <v>4.3600000000000003</v>
      </c>
    </row>
    <row r="10073" spans="1:7" x14ac:dyDescent="0.25">
      <c r="A10073" s="116" t="s">
        <v>15809</v>
      </c>
      <c r="B10073" s="117" t="s">
        <v>15810</v>
      </c>
      <c r="C10073" t="s">
        <v>67</v>
      </c>
      <c r="D10073" t="s">
        <v>67</v>
      </c>
      <c r="E10073" t="s">
        <v>67</v>
      </c>
      <c r="F10073" t="s">
        <v>27987</v>
      </c>
      <c r="G10073" s="117">
        <v>1.69</v>
      </c>
    </row>
    <row r="10074" spans="1:7" x14ac:dyDescent="0.25">
      <c r="A10074" s="116" t="s">
        <v>15811</v>
      </c>
      <c r="B10074" s="117" t="s">
        <v>15812</v>
      </c>
      <c r="C10074" t="s">
        <v>67</v>
      </c>
      <c r="D10074" t="s">
        <v>67</v>
      </c>
      <c r="E10074" t="s">
        <v>67</v>
      </c>
      <c r="F10074" t="s">
        <v>27987</v>
      </c>
      <c r="G10074" s="117">
        <v>1.33</v>
      </c>
    </row>
    <row r="10075" spans="1:7" x14ac:dyDescent="0.25">
      <c r="A10075" s="116" t="s">
        <v>15813</v>
      </c>
      <c r="B10075" s="117" t="s">
        <v>13662</v>
      </c>
      <c r="C10075" t="s">
        <v>67</v>
      </c>
      <c r="D10075" t="s">
        <v>67</v>
      </c>
      <c r="E10075" t="s">
        <v>67</v>
      </c>
      <c r="F10075" t="s">
        <v>49</v>
      </c>
      <c r="G10075" s="117">
        <v>4</v>
      </c>
    </row>
    <row r="10076" spans="1:7" x14ac:dyDescent="0.25">
      <c r="A10076" s="116" t="s">
        <v>15814</v>
      </c>
      <c r="B10076" s="117" t="s">
        <v>15815</v>
      </c>
      <c r="C10076" t="s">
        <v>67</v>
      </c>
      <c r="D10076" t="s">
        <v>67</v>
      </c>
      <c r="E10076" t="s">
        <v>67</v>
      </c>
      <c r="F10076" t="s">
        <v>27987</v>
      </c>
      <c r="G10076" s="117">
        <v>16.46</v>
      </c>
    </row>
    <row r="10077" spans="1:7" x14ac:dyDescent="0.25">
      <c r="A10077" s="116" t="s">
        <v>15816</v>
      </c>
      <c r="B10077" s="117" t="s">
        <v>15817</v>
      </c>
      <c r="C10077" t="s">
        <v>67</v>
      </c>
      <c r="D10077" t="s">
        <v>67</v>
      </c>
      <c r="E10077" t="s">
        <v>67</v>
      </c>
      <c r="F10077" t="s">
        <v>27987</v>
      </c>
      <c r="G10077" s="117">
        <v>3.48</v>
      </c>
    </row>
    <row r="10078" spans="1:7" x14ac:dyDescent="0.25">
      <c r="A10078" s="116" t="s">
        <v>15818</v>
      </c>
      <c r="B10078" s="117" t="s">
        <v>15819</v>
      </c>
      <c r="C10078" t="s">
        <v>67</v>
      </c>
      <c r="D10078" t="s">
        <v>67</v>
      </c>
      <c r="E10078" t="s">
        <v>67</v>
      </c>
      <c r="F10078" t="s">
        <v>49</v>
      </c>
      <c r="G10078" s="117">
        <v>5.25</v>
      </c>
    </row>
    <row r="10079" spans="1:7" x14ac:dyDescent="0.25">
      <c r="A10079" s="116" t="s">
        <v>15820</v>
      </c>
      <c r="B10079" s="117" t="s">
        <v>15821</v>
      </c>
      <c r="C10079" t="s">
        <v>67</v>
      </c>
      <c r="D10079" t="s">
        <v>67</v>
      </c>
      <c r="E10079" t="s">
        <v>67</v>
      </c>
      <c r="F10079" t="s">
        <v>27987</v>
      </c>
      <c r="G10079" s="117">
        <v>2.23</v>
      </c>
    </row>
    <row r="10080" spans="1:7" x14ac:dyDescent="0.25">
      <c r="A10080" s="116" t="s">
        <v>15822</v>
      </c>
      <c r="B10080" s="117" t="s">
        <v>15823</v>
      </c>
      <c r="C10080" t="s">
        <v>67</v>
      </c>
      <c r="D10080" t="s">
        <v>67</v>
      </c>
      <c r="E10080" t="s">
        <v>67</v>
      </c>
      <c r="F10080" t="s">
        <v>49</v>
      </c>
      <c r="G10080" s="117">
        <v>2.58</v>
      </c>
    </row>
    <row r="10081" spans="1:7" x14ac:dyDescent="0.25">
      <c r="A10081" s="116" t="s">
        <v>15824</v>
      </c>
      <c r="B10081" s="117" t="s">
        <v>15825</v>
      </c>
      <c r="C10081" t="s">
        <v>67</v>
      </c>
      <c r="D10081" t="s">
        <v>67</v>
      </c>
      <c r="E10081" t="s">
        <v>67</v>
      </c>
      <c r="F10081" t="s">
        <v>27987</v>
      </c>
      <c r="G10081" s="117">
        <v>33.729999999999997</v>
      </c>
    </row>
    <row r="10082" spans="1:7" x14ac:dyDescent="0.25">
      <c r="A10082" s="116" t="s">
        <v>15826</v>
      </c>
      <c r="B10082" s="117" t="s">
        <v>14135</v>
      </c>
      <c r="C10082" t="s">
        <v>67</v>
      </c>
      <c r="D10082" t="s">
        <v>67</v>
      </c>
      <c r="E10082" t="s">
        <v>67</v>
      </c>
      <c r="F10082" t="s">
        <v>27987</v>
      </c>
      <c r="G10082" s="117">
        <v>34.26</v>
      </c>
    </row>
    <row r="10083" spans="1:7" x14ac:dyDescent="0.25">
      <c r="A10083" s="116" t="s">
        <v>15827</v>
      </c>
      <c r="B10083" s="117" t="s">
        <v>15828</v>
      </c>
      <c r="C10083" t="s">
        <v>67</v>
      </c>
      <c r="D10083" t="s">
        <v>67</v>
      </c>
      <c r="E10083" t="s">
        <v>67</v>
      </c>
      <c r="F10083" t="s">
        <v>27987</v>
      </c>
      <c r="G10083" s="117">
        <v>81.42</v>
      </c>
    </row>
    <row r="10084" spans="1:7" x14ac:dyDescent="0.25">
      <c r="A10084" s="116" t="s">
        <v>15829</v>
      </c>
      <c r="B10084" s="117" t="s">
        <v>15830</v>
      </c>
      <c r="C10084" t="s">
        <v>67</v>
      </c>
      <c r="D10084" t="s">
        <v>67</v>
      </c>
      <c r="E10084" t="s">
        <v>67</v>
      </c>
      <c r="F10084" t="s">
        <v>27987</v>
      </c>
      <c r="G10084" s="117">
        <v>3.56</v>
      </c>
    </row>
    <row r="10085" spans="1:7" x14ac:dyDescent="0.25">
      <c r="A10085" s="116" t="s">
        <v>15831</v>
      </c>
      <c r="B10085" s="117" t="s">
        <v>15832</v>
      </c>
      <c r="C10085" t="s">
        <v>67</v>
      </c>
      <c r="D10085" t="s">
        <v>67</v>
      </c>
      <c r="E10085" t="s">
        <v>67</v>
      </c>
      <c r="F10085" t="s">
        <v>27987</v>
      </c>
      <c r="G10085" s="117">
        <v>11.48</v>
      </c>
    </row>
    <row r="10086" spans="1:7" x14ac:dyDescent="0.25">
      <c r="A10086" s="116" t="s">
        <v>15833</v>
      </c>
      <c r="B10086" s="117" t="s">
        <v>15834</v>
      </c>
      <c r="C10086" t="s">
        <v>67</v>
      </c>
      <c r="D10086" t="s">
        <v>67</v>
      </c>
      <c r="E10086" t="s">
        <v>67</v>
      </c>
      <c r="F10086" t="s">
        <v>45</v>
      </c>
      <c r="G10086" s="117">
        <v>4</v>
      </c>
    </row>
    <row r="10087" spans="1:7" x14ac:dyDescent="0.25">
      <c r="A10087" s="116" t="s">
        <v>15835</v>
      </c>
      <c r="B10087" s="117" t="s">
        <v>15836</v>
      </c>
      <c r="C10087" t="s">
        <v>67</v>
      </c>
      <c r="D10087" t="s">
        <v>67</v>
      </c>
      <c r="E10087" t="s">
        <v>67</v>
      </c>
      <c r="F10087" t="s">
        <v>45</v>
      </c>
      <c r="G10087" s="117">
        <v>6.68</v>
      </c>
    </row>
    <row r="10088" spans="1:7" x14ac:dyDescent="0.25">
      <c r="A10088" s="116" t="s">
        <v>15837</v>
      </c>
      <c r="B10088" s="117" t="s">
        <v>15838</v>
      </c>
      <c r="C10088" t="s">
        <v>67</v>
      </c>
      <c r="D10088" t="s">
        <v>67</v>
      </c>
      <c r="E10088" t="s">
        <v>67</v>
      </c>
      <c r="F10088" t="s">
        <v>45</v>
      </c>
      <c r="G10088" s="117">
        <v>44.05</v>
      </c>
    </row>
    <row r="10089" spans="1:7" x14ac:dyDescent="0.25">
      <c r="A10089" s="116" t="s">
        <v>15839</v>
      </c>
      <c r="B10089" s="117" t="s">
        <v>15840</v>
      </c>
      <c r="C10089" t="s">
        <v>67</v>
      </c>
      <c r="D10089" t="s">
        <v>67</v>
      </c>
      <c r="E10089" t="s">
        <v>67</v>
      </c>
      <c r="F10089" t="s">
        <v>45</v>
      </c>
      <c r="G10089" s="117">
        <v>17.7</v>
      </c>
    </row>
    <row r="10090" spans="1:7" x14ac:dyDescent="0.25">
      <c r="A10090" s="116" t="s">
        <v>15841</v>
      </c>
      <c r="B10090" s="117" t="s">
        <v>13005</v>
      </c>
      <c r="C10090" t="s">
        <v>67</v>
      </c>
      <c r="D10090" t="s">
        <v>67</v>
      </c>
      <c r="E10090" t="s">
        <v>67</v>
      </c>
      <c r="F10090" t="s">
        <v>49</v>
      </c>
      <c r="G10090" s="117">
        <v>12.01</v>
      </c>
    </row>
    <row r="10091" spans="1:7" x14ac:dyDescent="0.25">
      <c r="A10091" s="116" t="s">
        <v>15842</v>
      </c>
      <c r="B10091" s="117" t="s">
        <v>15843</v>
      </c>
      <c r="C10091" t="s">
        <v>67</v>
      </c>
      <c r="D10091" t="s">
        <v>67</v>
      </c>
      <c r="E10091" t="s">
        <v>67</v>
      </c>
      <c r="F10091" t="s">
        <v>27987</v>
      </c>
      <c r="G10091" s="117">
        <v>93.35</v>
      </c>
    </row>
    <row r="10092" spans="1:7" x14ac:dyDescent="0.25">
      <c r="A10092" s="116" t="s">
        <v>15844</v>
      </c>
      <c r="B10092" s="117" t="s">
        <v>15845</v>
      </c>
      <c r="C10092" t="s">
        <v>67</v>
      </c>
      <c r="D10092" t="s">
        <v>67</v>
      </c>
      <c r="E10092" t="s">
        <v>67</v>
      </c>
      <c r="F10092" t="s">
        <v>45</v>
      </c>
      <c r="G10092" s="117">
        <v>6.14</v>
      </c>
    </row>
    <row r="10093" spans="1:7" x14ac:dyDescent="0.25">
      <c r="A10093" s="116" t="s">
        <v>15846</v>
      </c>
      <c r="B10093" s="117" t="s">
        <v>15847</v>
      </c>
      <c r="C10093" t="s">
        <v>67</v>
      </c>
      <c r="D10093" t="s">
        <v>67</v>
      </c>
      <c r="E10093" t="s">
        <v>67</v>
      </c>
      <c r="F10093" t="s">
        <v>45</v>
      </c>
      <c r="G10093" s="117">
        <v>38.700000000000003</v>
      </c>
    </row>
    <row r="10094" spans="1:7" x14ac:dyDescent="0.25">
      <c r="A10094" s="116" t="s">
        <v>15848</v>
      </c>
      <c r="B10094" s="117" t="s">
        <v>15849</v>
      </c>
      <c r="C10094" t="s">
        <v>67</v>
      </c>
      <c r="D10094" t="s">
        <v>67</v>
      </c>
      <c r="E10094" t="s">
        <v>67</v>
      </c>
      <c r="F10094" t="s">
        <v>45</v>
      </c>
      <c r="G10094" s="117">
        <v>20.38</v>
      </c>
    </row>
    <row r="10095" spans="1:7" x14ac:dyDescent="0.25">
      <c r="A10095" s="116" t="s">
        <v>15850</v>
      </c>
      <c r="B10095" s="117" t="s">
        <v>15851</v>
      </c>
      <c r="C10095" t="s">
        <v>67</v>
      </c>
      <c r="D10095" t="s">
        <v>67</v>
      </c>
      <c r="E10095" t="s">
        <v>67</v>
      </c>
      <c r="F10095" t="s">
        <v>45</v>
      </c>
      <c r="G10095" s="117">
        <v>17.7</v>
      </c>
    </row>
    <row r="10096" spans="1:7" x14ac:dyDescent="0.25">
      <c r="A10096" s="116" t="s">
        <v>15852</v>
      </c>
      <c r="B10096" s="117" t="s">
        <v>14479</v>
      </c>
      <c r="C10096" t="s">
        <v>67</v>
      </c>
      <c r="D10096" t="s">
        <v>67</v>
      </c>
      <c r="E10096" t="s">
        <v>67</v>
      </c>
      <c r="F10096" t="s">
        <v>45</v>
      </c>
      <c r="G10096" s="117">
        <v>4.8899999999999997</v>
      </c>
    </row>
    <row r="10097" spans="1:7" x14ac:dyDescent="0.25">
      <c r="A10097" s="116" t="s">
        <v>15853</v>
      </c>
      <c r="B10097" s="117" t="s">
        <v>15854</v>
      </c>
      <c r="C10097" t="s">
        <v>67</v>
      </c>
      <c r="D10097" t="s">
        <v>67</v>
      </c>
      <c r="E10097" t="s">
        <v>67</v>
      </c>
      <c r="F10097" t="s">
        <v>27987</v>
      </c>
      <c r="G10097" s="117">
        <v>21.26</v>
      </c>
    </row>
    <row r="10098" spans="1:7" x14ac:dyDescent="0.25">
      <c r="A10098" s="116" t="s">
        <v>15855</v>
      </c>
      <c r="B10098" s="117" t="s">
        <v>15856</v>
      </c>
      <c r="C10098" t="s">
        <v>67</v>
      </c>
      <c r="D10098" t="s">
        <v>67</v>
      </c>
      <c r="E10098" t="s">
        <v>67</v>
      </c>
      <c r="F10098" t="s">
        <v>27987</v>
      </c>
      <c r="G10098" s="117">
        <v>57.75</v>
      </c>
    </row>
    <row r="10099" spans="1:7" x14ac:dyDescent="0.25">
      <c r="A10099" s="116" t="s">
        <v>15857</v>
      </c>
      <c r="B10099" s="117" t="s">
        <v>15858</v>
      </c>
      <c r="C10099" t="s">
        <v>67</v>
      </c>
      <c r="D10099" t="s">
        <v>67</v>
      </c>
      <c r="E10099" t="s">
        <v>67</v>
      </c>
      <c r="F10099" t="s">
        <v>45</v>
      </c>
      <c r="G10099" s="117">
        <v>0.8</v>
      </c>
    </row>
    <row r="10100" spans="1:7" x14ac:dyDescent="0.25">
      <c r="A10100" s="116" t="s">
        <v>15859</v>
      </c>
      <c r="B10100" s="117" t="s">
        <v>15860</v>
      </c>
      <c r="C10100" t="s">
        <v>67</v>
      </c>
      <c r="D10100" t="s">
        <v>67</v>
      </c>
      <c r="E10100" t="s">
        <v>67</v>
      </c>
      <c r="F10100" t="s">
        <v>45</v>
      </c>
      <c r="G10100" s="117">
        <v>13.26</v>
      </c>
    </row>
    <row r="10101" spans="1:7" x14ac:dyDescent="0.25">
      <c r="A10101" s="116" t="s">
        <v>15861</v>
      </c>
      <c r="B10101" s="117" t="s">
        <v>15862</v>
      </c>
      <c r="C10101" t="s">
        <v>67</v>
      </c>
      <c r="D10101" t="s">
        <v>67</v>
      </c>
      <c r="E10101" t="s">
        <v>67</v>
      </c>
      <c r="F10101" t="s">
        <v>27987</v>
      </c>
      <c r="G10101" s="117">
        <v>15.57</v>
      </c>
    </row>
    <row r="10102" spans="1:7" x14ac:dyDescent="0.25">
      <c r="A10102" s="116" t="s">
        <v>15863</v>
      </c>
      <c r="B10102" s="117" t="s">
        <v>15864</v>
      </c>
      <c r="C10102" t="s">
        <v>67</v>
      </c>
      <c r="D10102" t="s">
        <v>67</v>
      </c>
      <c r="E10102" t="s">
        <v>67</v>
      </c>
      <c r="F10102" t="s">
        <v>27987</v>
      </c>
      <c r="G10102" s="117">
        <v>13.26</v>
      </c>
    </row>
    <row r="10103" spans="1:7" x14ac:dyDescent="0.25">
      <c r="A10103" s="116" t="s">
        <v>15865</v>
      </c>
      <c r="B10103" s="117" t="s">
        <v>15866</v>
      </c>
      <c r="C10103" t="s">
        <v>67</v>
      </c>
      <c r="D10103" t="s">
        <v>67</v>
      </c>
      <c r="E10103" t="s">
        <v>67</v>
      </c>
      <c r="F10103" t="s">
        <v>49</v>
      </c>
      <c r="G10103" s="117">
        <v>27.14</v>
      </c>
    </row>
    <row r="10104" spans="1:7" x14ac:dyDescent="0.25">
      <c r="A10104" s="116" t="s">
        <v>15867</v>
      </c>
      <c r="B10104" s="117" t="s">
        <v>15868</v>
      </c>
      <c r="C10104" t="s">
        <v>67</v>
      </c>
      <c r="D10104" t="s">
        <v>67</v>
      </c>
      <c r="E10104" t="s">
        <v>67</v>
      </c>
      <c r="F10104" t="s">
        <v>49</v>
      </c>
      <c r="G10104" s="117">
        <v>17.7</v>
      </c>
    </row>
    <row r="10105" spans="1:7" x14ac:dyDescent="0.25">
      <c r="A10105" s="116" t="s">
        <v>26682</v>
      </c>
      <c r="B10105" s="117" t="s">
        <v>26683</v>
      </c>
      <c r="C10105" t="s">
        <v>67</v>
      </c>
      <c r="D10105" t="s">
        <v>67</v>
      </c>
      <c r="E10105" t="s">
        <v>67</v>
      </c>
      <c r="F10105" t="s">
        <v>27987</v>
      </c>
      <c r="G10105" s="117">
        <v>13.98</v>
      </c>
    </row>
    <row r="10106" spans="1:7" x14ac:dyDescent="0.25">
      <c r="A10106" s="116" t="s">
        <v>15869</v>
      </c>
      <c r="B10106" s="117" t="s">
        <v>15870</v>
      </c>
      <c r="C10106" t="s">
        <v>67</v>
      </c>
      <c r="D10106" t="s">
        <v>67</v>
      </c>
      <c r="E10106" t="s">
        <v>67</v>
      </c>
      <c r="F10106" t="s">
        <v>27987</v>
      </c>
      <c r="G10106" s="117">
        <v>86.23</v>
      </c>
    </row>
    <row r="10107" spans="1:7" x14ac:dyDescent="0.25">
      <c r="A10107" s="116" t="s">
        <v>28091</v>
      </c>
      <c r="B10107" s="117" t="s">
        <v>28092</v>
      </c>
      <c r="C10107" t="s">
        <v>67</v>
      </c>
      <c r="D10107" t="s">
        <v>67</v>
      </c>
      <c r="E10107" t="s">
        <v>67</v>
      </c>
      <c r="F10107" t="s">
        <v>27987</v>
      </c>
      <c r="G10107" s="117">
        <v>53.31</v>
      </c>
    </row>
    <row r="10108" spans="1:7" x14ac:dyDescent="0.25">
      <c r="A10108" s="116" t="s">
        <v>28093</v>
      </c>
      <c r="B10108" s="117" t="s">
        <v>28094</v>
      </c>
      <c r="C10108" t="s">
        <v>67</v>
      </c>
      <c r="D10108" t="s">
        <v>67</v>
      </c>
      <c r="E10108" t="s">
        <v>67</v>
      </c>
      <c r="F10108" t="s">
        <v>27987</v>
      </c>
      <c r="G10108" s="117">
        <v>14.83</v>
      </c>
    </row>
    <row r="10109" spans="1:7" x14ac:dyDescent="0.25">
      <c r="A10109" s="116" t="s">
        <v>15871</v>
      </c>
      <c r="B10109" s="117" t="s">
        <v>15872</v>
      </c>
      <c r="C10109" t="s">
        <v>67</v>
      </c>
      <c r="D10109" t="s">
        <v>67</v>
      </c>
      <c r="E10109" t="s">
        <v>67</v>
      </c>
      <c r="F10109" t="s">
        <v>27987</v>
      </c>
      <c r="G10109" s="117">
        <v>14.14</v>
      </c>
    </row>
    <row r="10110" spans="1:7" x14ac:dyDescent="0.25">
      <c r="A10110" s="116" t="s">
        <v>28107</v>
      </c>
      <c r="B10110" s="117" t="s">
        <v>29216</v>
      </c>
      <c r="C10110" t="s">
        <v>67</v>
      </c>
      <c r="D10110" t="s">
        <v>67</v>
      </c>
      <c r="E10110" t="s">
        <v>67</v>
      </c>
      <c r="F10110" t="s">
        <v>27987</v>
      </c>
      <c r="G10110" s="117">
        <v>14.14</v>
      </c>
    </row>
    <row r="10111" spans="1:7" x14ac:dyDescent="0.25">
      <c r="A10111" s="116" t="s">
        <v>15873</v>
      </c>
      <c r="B10111" s="117" t="s">
        <v>15874</v>
      </c>
      <c r="C10111" t="s">
        <v>67</v>
      </c>
      <c r="D10111" t="s">
        <v>67</v>
      </c>
      <c r="E10111" t="s">
        <v>67</v>
      </c>
      <c r="F10111" t="s">
        <v>27987</v>
      </c>
      <c r="G10111" s="117">
        <v>55.62</v>
      </c>
    </row>
    <row r="10112" spans="1:7" x14ac:dyDescent="0.25">
      <c r="A10112" s="116" t="s">
        <v>15875</v>
      </c>
      <c r="B10112" s="117" t="s">
        <v>15876</v>
      </c>
      <c r="C10112" t="s">
        <v>67</v>
      </c>
      <c r="D10112" t="s">
        <v>67</v>
      </c>
      <c r="E10112" t="s">
        <v>67</v>
      </c>
      <c r="F10112" t="s">
        <v>45</v>
      </c>
      <c r="G10112" s="117">
        <v>8.4499999999999993</v>
      </c>
    </row>
    <row r="10113" spans="1:7" x14ac:dyDescent="0.25">
      <c r="A10113" s="116" t="s">
        <v>15877</v>
      </c>
      <c r="B10113" s="117" t="s">
        <v>15878</v>
      </c>
      <c r="C10113" t="s">
        <v>67</v>
      </c>
      <c r="D10113" t="s">
        <v>67</v>
      </c>
      <c r="E10113" t="s">
        <v>67</v>
      </c>
      <c r="F10113" t="s">
        <v>45</v>
      </c>
      <c r="G10113" s="117">
        <v>7.92</v>
      </c>
    </row>
    <row r="10114" spans="1:7" x14ac:dyDescent="0.25">
      <c r="A10114" s="116" t="s">
        <v>15879</v>
      </c>
      <c r="B10114" s="117" t="s">
        <v>15880</v>
      </c>
      <c r="C10114" t="s">
        <v>67</v>
      </c>
      <c r="D10114" t="s">
        <v>67</v>
      </c>
      <c r="E10114" t="s">
        <v>67</v>
      </c>
      <c r="F10114" t="s">
        <v>45</v>
      </c>
      <c r="G10114" s="117">
        <v>28.38</v>
      </c>
    </row>
    <row r="10115" spans="1:7" x14ac:dyDescent="0.25">
      <c r="A10115" s="116" t="s">
        <v>15881</v>
      </c>
      <c r="B10115" s="117" t="s">
        <v>15882</v>
      </c>
      <c r="C10115" t="s">
        <v>67</v>
      </c>
      <c r="D10115" t="s">
        <v>67</v>
      </c>
      <c r="E10115" t="s">
        <v>67</v>
      </c>
      <c r="F10115" t="s">
        <v>27987</v>
      </c>
      <c r="G10115" s="117">
        <v>15.57</v>
      </c>
    </row>
    <row r="10116" spans="1:7" x14ac:dyDescent="0.25">
      <c r="A10116" s="116" t="s">
        <v>15883</v>
      </c>
      <c r="B10116" s="117" t="s">
        <v>15882</v>
      </c>
      <c r="C10116" t="s">
        <v>67</v>
      </c>
      <c r="D10116" t="s">
        <v>67</v>
      </c>
      <c r="E10116" t="s">
        <v>67</v>
      </c>
      <c r="F10116" t="s">
        <v>27987</v>
      </c>
      <c r="G10116" s="117">
        <v>36.93</v>
      </c>
    </row>
    <row r="10117" spans="1:7" x14ac:dyDescent="0.25">
      <c r="A10117" s="116" t="s">
        <v>15884</v>
      </c>
      <c r="B10117" s="117" t="s">
        <v>15171</v>
      </c>
      <c r="C10117" t="s">
        <v>67</v>
      </c>
      <c r="D10117" t="s">
        <v>67</v>
      </c>
      <c r="E10117" t="s">
        <v>67</v>
      </c>
      <c r="F10117" t="s">
        <v>45</v>
      </c>
      <c r="G10117" s="117">
        <v>3.12</v>
      </c>
    </row>
    <row r="10118" spans="1:7" x14ac:dyDescent="0.25">
      <c r="A10118" s="116" t="s">
        <v>15885</v>
      </c>
      <c r="B10118" s="117" t="s">
        <v>15849</v>
      </c>
      <c r="C10118" t="s">
        <v>67</v>
      </c>
      <c r="D10118" t="s">
        <v>67</v>
      </c>
      <c r="E10118" t="s">
        <v>67</v>
      </c>
      <c r="F10118" t="s">
        <v>45</v>
      </c>
      <c r="G10118" s="117">
        <v>64.510000000000005</v>
      </c>
    </row>
    <row r="10119" spans="1:7" x14ac:dyDescent="0.25">
      <c r="A10119" s="116" t="s">
        <v>15886</v>
      </c>
      <c r="B10119" s="117" t="s">
        <v>15887</v>
      </c>
      <c r="C10119" t="s">
        <v>67</v>
      </c>
      <c r="D10119" t="s">
        <v>67</v>
      </c>
      <c r="E10119" t="s">
        <v>67</v>
      </c>
      <c r="F10119" t="s">
        <v>27987</v>
      </c>
      <c r="G10119" s="117">
        <v>7.92</v>
      </c>
    </row>
    <row r="10120" spans="1:7" x14ac:dyDescent="0.25">
      <c r="A10120" s="116" t="s">
        <v>15888</v>
      </c>
      <c r="B10120" s="117" t="s">
        <v>13997</v>
      </c>
      <c r="C10120" t="s">
        <v>67</v>
      </c>
      <c r="D10120" t="s">
        <v>67</v>
      </c>
      <c r="E10120" t="s">
        <v>67</v>
      </c>
      <c r="F10120" t="s">
        <v>49</v>
      </c>
      <c r="G10120" s="117">
        <v>15.57</v>
      </c>
    </row>
    <row r="10121" spans="1:7" x14ac:dyDescent="0.25">
      <c r="A10121" s="116" t="s">
        <v>15889</v>
      </c>
      <c r="B10121" s="117" t="s">
        <v>15890</v>
      </c>
      <c r="C10121" t="s">
        <v>67</v>
      </c>
      <c r="D10121" t="s">
        <v>67</v>
      </c>
      <c r="E10121" t="s">
        <v>67</v>
      </c>
      <c r="F10121" t="s">
        <v>49</v>
      </c>
      <c r="G10121" s="117">
        <v>2.58</v>
      </c>
    </row>
    <row r="10122" spans="1:7" x14ac:dyDescent="0.25">
      <c r="A10122" s="116" t="s">
        <v>15891</v>
      </c>
      <c r="B10122" s="117" t="s">
        <v>15849</v>
      </c>
      <c r="C10122" t="s">
        <v>67</v>
      </c>
      <c r="D10122" t="s">
        <v>67</v>
      </c>
      <c r="E10122" t="s">
        <v>67</v>
      </c>
      <c r="F10122" t="s">
        <v>45</v>
      </c>
      <c r="G10122" s="117">
        <v>21.26</v>
      </c>
    </row>
    <row r="10123" spans="1:7" x14ac:dyDescent="0.25">
      <c r="A10123" s="116" t="s">
        <v>15892</v>
      </c>
      <c r="B10123" s="117" t="s">
        <v>15893</v>
      </c>
      <c r="C10123" t="s">
        <v>67</v>
      </c>
      <c r="D10123" t="s">
        <v>67</v>
      </c>
      <c r="E10123" t="s">
        <v>67</v>
      </c>
      <c r="F10123" t="s">
        <v>27987</v>
      </c>
      <c r="G10123" s="117">
        <v>1.33</v>
      </c>
    </row>
    <row r="10124" spans="1:7" x14ac:dyDescent="0.25">
      <c r="A10124" s="116" t="s">
        <v>15894</v>
      </c>
      <c r="B10124" s="117" t="s">
        <v>15895</v>
      </c>
      <c r="C10124" t="s">
        <v>67</v>
      </c>
      <c r="D10124" t="s">
        <v>67</v>
      </c>
      <c r="E10124" t="s">
        <v>67</v>
      </c>
      <c r="F10124" t="s">
        <v>45</v>
      </c>
      <c r="G10124" s="117">
        <v>2.23</v>
      </c>
    </row>
    <row r="10125" spans="1:7" x14ac:dyDescent="0.25">
      <c r="A10125" s="116" t="s">
        <v>15896</v>
      </c>
      <c r="B10125" s="117" t="s">
        <v>15897</v>
      </c>
      <c r="C10125" t="s">
        <v>67</v>
      </c>
      <c r="D10125" t="s">
        <v>67</v>
      </c>
      <c r="E10125" t="s">
        <v>67</v>
      </c>
      <c r="F10125" t="s">
        <v>45</v>
      </c>
      <c r="G10125" s="117">
        <v>10.58</v>
      </c>
    </row>
    <row r="10126" spans="1:7" x14ac:dyDescent="0.25">
      <c r="A10126" s="116" t="s">
        <v>15898</v>
      </c>
      <c r="B10126" s="117" t="s">
        <v>15899</v>
      </c>
      <c r="C10126" t="s">
        <v>67</v>
      </c>
      <c r="D10126" t="s">
        <v>67</v>
      </c>
      <c r="E10126" t="s">
        <v>67</v>
      </c>
      <c r="F10126" t="s">
        <v>45</v>
      </c>
      <c r="G10126" s="117">
        <v>6.14</v>
      </c>
    </row>
    <row r="10127" spans="1:7" x14ac:dyDescent="0.25">
      <c r="A10127" s="116" t="s">
        <v>15900</v>
      </c>
      <c r="B10127" s="117" t="s">
        <v>15890</v>
      </c>
      <c r="C10127" t="s">
        <v>67</v>
      </c>
      <c r="D10127" t="s">
        <v>67</v>
      </c>
      <c r="E10127" t="s">
        <v>67</v>
      </c>
      <c r="F10127" t="s">
        <v>49</v>
      </c>
      <c r="G10127" s="117">
        <v>1.77</v>
      </c>
    </row>
    <row r="10128" spans="1:7" x14ac:dyDescent="0.25">
      <c r="A10128" s="116" t="s">
        <v>15901</v>
      </c>
      <c r="B10128" s="117" t="s">
        <v>15902</v>
      </c>
      <c r="C10128" t="s">
        <v>67</v>
      </c>
      <c r="D10128" t="s">
        <v>67</v>
      </c>
      <c r="E10128" t="s">
        <v>67</v>
      </c>
      <c r="F10128" t="s">
        <v>45</v>
      </c>
      <c r="G10128" s="117">
        <v>4.8899999999999997</v>
      </c>
    </row>
    <row r="10129" spans="1:7" x14ac:dyDescent="0.25">
      <c r="A10129" s="116" t="s">
        <v>15903</v>
      </c>
      <c r="B10129" s="117" t="s">
        <v>14358</v>
      </c>
      <c r="C10129" t="s">
        <v>67</v>
      </c>
      <c r="D10129" t="s">
        <v>67</v>
      </c>
      <c r="E10129" t="s">
        <v>67</v>
      </c>
      <c r="F10129" t="s">
        <v>45</v>
      </c>
      <c r="G10129" s="117">
        <v>11.12</v>
      </c>
    </row>
    <row r="10130" spans="1:7" x14ac:dyDescent="0.25">
      <c r="A10130" s="116" t="s">
        <v>15904</v>
      </c>
      <c r="B10130" s="117" t="s">
        <v>15905</v>
      </c>
      <c r="C10130" t="s">
        <v>67</v>
      </c>
      <c r="D10130" t="s">
        <v>67</v>
      </c>
      <c r="E10130" t="s">
        <v>67</v>
      </c>
      <c r="F10130" t="s">
        <v>45</v>
      </c>
      <c r="G10130" s="117">
        <v>4.3600000000000003</v>
      </c>
    </row>
    <row r="10131" spans="1:7" x14ac:dyDescent="0.25">
      <c r="A10131" s="116" t="s">
        <v>15906</v>
      </c>
      <c r="B10131" s="117" t="s">
        <v>15671</v>
      </c>
      <c r="C10131" t="s">
        <v>67</v>
      </c>
      <c r="D10131" t="s">
        <v>67</v>
      </c>
      <c r="E10131" t="s">
        <v>67</v>
      </c>
      <c r="F10131" t="s">
        <v>45</v>
      </c>
      <c r="G10131" s="117">
        <v>10.58</v>
      </c>
    </row>
    <row r="10132" spans="1:7" x14ac:dyDescent="0.25">
      <c r="A10132" s="116" t="s">
        <v>15907</v>
      </c>
      <c r="B10132" s="117" t="s">
        <v>15908</v>
      </c>
      <c r="C10132" t="s">
        <v>67</v>
      </c>
      <c r="D10132" t="s">
        <v>67</v>
      </c>
      <c r="E10132" t="s">
        <v>67</v>
      </c>
      <c r="F10132" t="s">
        <v>27987</v>
      </c>
      <c r="G10132" s="117">
        <v>60.42</v>
      </c>
    </row>
    <row r="10133" spans="1:7" x14ac:dyDescent="0.25">
      <c r="A10133" s="116" t="s">
        <v>15909</v>
      </c>
      <c r="B10133" s="117" t="s">
        <v>15910</v>
      </c>
      <c r="C10133" t="s">
        <v>67</v>
      </c>
      <c r="D10133" t="s">
        <v>67</v>
      </c>
      <c r="E10133" t="s">
        <v>67</v>
      </c>
      <c r="F10133" t="s">
        <v>49</v>
      </c>
      <c r="G10133" s="117">
        <v>4</v>
      </c>
    </row>
    <row r="10134" spans="1:7" x14ac:dyDescent="0.25">
      <c r="A10134" s="116" t="s">
        <v>15911</v>
      </c>
      <c r="B10134" s="117" t="s">
        <v>12035</v>
      </c>
      <c r="C10134" t="s">
        <v>67</v>
      </c>
      <c r="D10134" t="s">
        <v>67</v>
      </c>
      <c r="E10134" t="s">
        <v>67</v>
      </c>
      <c r="F10134" t="s">
        <v>45</v>
      </c>
      <c r="G10134" s="117">
        <v>4.8899999999999997</v>
      </c>
    </row>
    <row r="10135" spans="1:7" x14ac:dyDescent="0.25">
      <c r="A10135" s="116" t="s">
        <v>15912</v>
      </c>
      <c r="B10135" s="117" t="s">
        <v>12035</v>
      </c>
      <c r="C10135" t="s">
        <v>67</v>
      </c>
      <c r="D10135" t="s">
        <v>67</v>
      </c>
      <c r="E10135" t="s">
        <v>67</v>
      </c>
      <c r="F10135" t="s">
        <v>45</v>
      </c>
      <c r="G10135" s="117">
        <v>12.01</v>
      </c>
    </row>
    <row r="10136" spans="1:7" x14ac:dyDescent="0.25">
      <c r="A10136" s="116" t="s">
        <v>15913</v>
      </c>
      <c r="B10136" s="117" t="s">
        <v>15914</v>
      </c>
      <c r="C10136" t="s">
        <v>67</v>
      </c>
      <c r="D10136" t="s">
        <v>67</v>
      </c>
      <c r="E10136" t="s">
        <v>67</v>
      </c>
      <c r="F10136" t="s">
        <v>27987</v>
      </c>
      <c r="G10136" s="117">
        <v>35.5</v>
      </c>
    </row>
    <row r="10137" spans="1:7" x14ac:dyDescent="0.25">
      <c r="A10137" s="116" t="s">
        <v>15915</v>
      </c>
      <c r="B10137" s="117" t="s">
        <v>15916</v>
      </c>
      <c r="C10137" t="s">
        <v>67</v>
      </c>
      <c r="D10137" t="s">
        <v>67</v>
      </c>
      <c r="E10137" t="s">
        <v>67</v>
      </c>
      <c r="F10137" t="s">
        <v>27987</v>
      </c>
      <c r="G10137" s="117">
        <v>11.12</v>
      </c>
    </row>
    <row r="10138" spans="1:7" x14ac:dyDescent="0.25">
      <c r="A10138" s="116" t="s">
        <v>15917</v>
      </c>
      <c r="B10138" s="117" t="s">
        <v>15918</v>
      </c>
      <c r="C10138" t="s">
        <v>67</v>
      </c>
      <c r="D10138" t="s">
        <v>67</v>
      </c>
      <c r="E10138" t="s">
        <v>67</v>
      </c>
      <c r="F10138" t="s">
        <v>27987</v>
      </c>
      <c r="G10138" s="117">
        <v>26.25</v>
      </c>
    </row>
    <row r="10139" spans="1:7" x14ac:dyDescent="0.25">
      <c r="A10139" s="116" t="s">
        <v>15919</v>
      </c>
      <c r="B10139" s="117" t="s">
        <v>15920</v>
      </c>
      <c r="C10139" t="s">
        <v>67</v>
      </c>
      <c r="D10139" t="s">
        <v>67</v>
      </c>
      <c r="E10139" t="s">
        <v>67</v>
      </c>
      <c r="F10139" t="s">
        <v>27987</v>
      </c>
      <c r="G10139" s="117">
        <v>4.8899999999999997</v>
      </c>
    </row>
    <row r="10140" spans="1:7" x14ac:dyDescent="0.25">
      <c r="A10140" s="116" t="s">
        <v>15921</v>
      </c>
      <c r="B10140" s="117" t="s">
        <v>15922</v>
      </c>
      <c r="C10140" t="s">
        <v>67</v>
      </c>
      <c r="D10140" t="s">
        <v>67</v>
      </c>
      <c r="E10140" t="s">
        <v>67</v>
      </c>
      <c r="F10140" t="s">
        <v>45</v>
      </c>
      <c r="G10140" s="117">
        <v>39.950000000000003</v>
      </c>
    </row>
    <row r="10141" spans="1:7" x14ac:dyDescent="0.25">
      <c r="A10141" s="116" t="s">
        <v>15923</v>
      </c>
      <c r="B10141" s="117" t="s">
        <v>15924</v>
      </c>
      <c r="C10141" t="s">
        <v>67</v>
      </c>
      <c r="D10141" t="s">
        <v>67</v>
      </c>
      <c r="E10141" t="s">
        <v>67</v>
      </c>
      <c r="F10141" t="s">
        <v>27987</v>
      </c>
      <c r="G10141" s="117">
        <v>8.4</v>
      </c>
    </row>
    <row r="10142" spans="1:7" x14ac:dyDescent="0.25">
      <c r="A10142" s="116" t="s">
        <v>15925</v>
      </c>
      <c r="B10142" s="117" t="s">
        <v>15926</v>
      </c>
      <c r="C10142" t="s">
        <v>67</v>
      </c>
      <c r="D10142" t="s">
        <v>67</v>
      </c>
      <c r="E10142" t="s">
        <v>67</v>
      </c>
      <c r="F10142" t="s">
        <v>27987</v>
      </c>
      <c r="G10142" s="117">
        <v>10.5</v>
      </c>
    </row>
    <row r="10143" spans="1:7" x14ac:dyDescent="0.25">
      <c r="A10143" s="116" t="s">
        <v>15927</v>
      </c>
      <c r="B10143" s="117" t="s">
        <v>15928</v>
      </c>
      <c r="C10143" t="s">
        <v>67</v>
      </c>
      <c r="D10143" t="s">
        <v>67</v>
      </c>
      <c r="E10143" t="s">
        <v>67</v>
      </c>
      <c r="F10143" t="s">
        <v>27987</v>
      </c>
      <c r="G10143" s="117">
        <v>38.700000000000003</v>
      </c>
    </row>
    <row r="10144" spans="1:7" x14ac:dyDescent="0.25">
      <c r="A10144" s="116" t="s">
        <v>15929</v>
      </c>
      <c r="B10144" s="117" t="s">
        <v>15930</v>
      </c>
      <c r="C10144" t="s">
        <v>67</v>
      </c>
      <c r="D10144" t="s">
        <v>67</v>
      </c>
      <c r="E10144" t="s">
        <v>67</v>
      </c>
      <c r="F10144" t="s">
        <v>45</v>
      </c>
      <c r="G10144" s="117">
        <v>64.87</v>
      </c>
    </row>
    <row r="10145" spans="1:7" x14ac:dyDescent="0.25">
      <c r="A10145" s="116" t="s">
        <v>15931</v>
      </c>
      <c r="B10145" s="117" t="s">
        <v>15932</v>
      </c>
      <c r="C10145" t="s">
        <v>67</v>
      </c>
      <c r="D10145" t="s">
        <v>67</v>
      </c>
      <c r="E10145" t="s">
        <v>67</v>
      </c>
      <c r="F10145" t="s">
        <v>45</v>
      </c>
      <c r="G10145" s="117">
        <v>6.14</v>
      </c>
    </row>
    <row r="10146" spans="1:7" x14ac:dyDescent="0.25">
      <c r="A10146" s="116" t="s">
        <v>15933</v>
      </c>
      <c r="B10146" s="117" t="s">
        <v>15934</v>
      </c>
      <c r="C10146" t="s">
        <v>67</v>
      </c>
      <c r="D10146" t="s">
        <v>67</v>
      </c>
      <c r="E10146" t="s">
        <v>67</v>
      </c>
      <c r="F10146" t="s">
        <v>45</v>
      </c>
      <c r="G10146" s="117">
        <v>5.25</v>
      </c>
    </row>
    <row r="10147" spans="1:7" x14ac:dyDescent="0.25">
      <c r="A10147" s="116" t="s">
        <v>15935</v>
      </c>
      <c r="B10147" s="117" t="s">
        <v>15936</v>
      </c>
      <c r="C10147" t="s">
        <v>67</v>
      </c>
      <c r="D10147" t="s">
        <v>67</v>
      </c>
      <c r="E10147" t="s">
        <v>67</v>
      </c>
      <c r="F10147" t="s">
        <v>45</v>
      </c>
      <c r="G10147" s="117">
        <v>4.8899999999999997</v>
      </c>
    </row>
    <row r="10148" spans="1:7" x14ac:dyDescent="0.25">
      <c r="A10148" s="116" t="s">
        <v>15937</v>
      </c>
      <c r="B10148" s="117" t="s">
        <v>15938</v>
      </c>
      <c r="C10148" t="s">
        <v>67</v>
      </c>
      <c r="D10148" t="s">
        <v>67</v>
      </c>
      <c r="E10148" t="s">
        <v>67</v>
      </c>
      <c r="F10148" t="s">
        <v>27987</v>
      </c>
      <c r="G10148" s="117">
        <v>1.33</v>
      </c>
    </row>
    <row r="10149" spans="1:7" x14ac:dyDescent="0.25">
      <c r="A10149" s="116" t="s">
        <v>15939</v>
      </c>
      <c r="B10149" s="117" t="s">
        <v>15940</v>
      </c>
      <c r="C10149" t="s">
        <v>67</v>
      </c>
      <c r="D10149" t="s">
        <v>67</v>
      </c>
      <c r="E10149" t="s">
        <v>67</v>
      </c>
      <c r="F10149" t="s">
        <v>27987</v>
      </c>
      <c r="G10149" s="117">
        <v>1.77</v>
      </c>
    </row>
    <row r="10150" spans="1:7" x14ac:dyDescent="0.25">
      <c r="A10150" s="116" t="s">
        <v>15941</v>
      </c>
      <c r="B10150" s="117" t="s">
        <v>13586</v>
      </c>
      <c r="C10150" t="s">
        <v>67</v>
      </c>
      <c r="D10150" t="s">
        <v>67</v>
      </c>
      <c r="E10150" t="s">
        <v>67</v>
      </c>
      <c r="F10150" t="s">
        <v>45</v>
      </c>
      <c r="G10150" s="117">
        <v>1.33</v>
      </c>
    </row>
    <row r="10151" spans="1:7" x14ac:dyDescent="0.25">
      <c r="A10151" s="116" t="s">
        <v>15942</v>
      </c>
      <c r="B10151" s="117" t="s">
        <v>15943</v>
      </c>
      <c r="C10151" t="s">
        <v>67</v>
      </c>
      <c r="D10151" t="s">
        <v>67</v>
      </c>
      <c r="E10151" t="s">
        <v>67</v>
      </c>
      <c r="F10151" t="s">
        <v>27987</v>
      </c>
      <c r="G10151" s="117">
        <v>13.26</v>
      </c>
    </row>
    <row r="10152" spans="1:7" x14ac:dyDescent="0.25">
      <c r="A10152" s="116" t="s">
        <v>15944</v>
      </c>
      <c r="B10152" s="117" t="s">
        <v>15945</v>
      </c>
      <c r="C10152" t="s">
        <v>67</v>
      </c>
      <c r="D10152" t="s">
        <v>67</v>
      </c>
      <c r="E10152" t="s">
        <v>67</v>
      </c>
      <c r="F10152" t="s">
        <v>27987</v>
      </c>
      <c r="G10152" s="117">
        <v>12.37</v>
      </c>
    </row>
    <row r="10153" spans="1:7" x14ac:dyDescent="0.25">
      <c r="A10153" s="116" t="s">
        <v>15946</v>
      </c>
      <c r="B10153" s="117" t="s">
        <v>15947</v>
      </c>
      <c r="C10153" t="s">
        <v>67</v>
      </c>
      <c r="D10153" t="s">
        <v>67</v>
      </c>
      <c r="E10153" t="s">
        <v>67</v>
      </c>
      <c r="F10153" t="s">
        <v>45</v>
      </c>
      <c r="G10153" s="117">
        <v>17.7</v>
      </c>
    </row>
    <row r="10154" spans="1:7" x14ac:dyDescent="0.25">
      <c r="A10154" s="116" t="s">
        <v>15948</v>
      </c>
      <c r="B10154" s="117" t="s">
        <v>15949</v>
      </c>
      <c r="C10154" t="s">
        <v>67</v>
      </c>
      <c r="D10154" t="s">
        <v>67</v>
      </c>
      <c r="E10154" t="s">
        <v>67</v>
      </c>
      <c r="F10154" t="s">
        <v>27987</v>
      </c>
      <c r="G10154" s="117">
        <v>8.4499999999999993</v>
      </c>
    </row>
    <row r="10155" spans="1:7" x14ac:dyDescent="0.25">
      <c r="A10155" s="116" t="s">
        <v>15950</v>
      </c>
      <c r="B10155" s="117" t="s">
        <v>15951</v>
      </c>
      <c r="C10155" t="s">
        <v>67</v>
      </c>
      <c r="D10155" t="s">
        <v>67</v>
      </c>
      <c r="E10155" t="s">
        <v>67</v>
      </c>
      <c r="F10155" t="s">
        <v>27987</v>
      </c>
      <c r="G10155" s="117">
        <v>0.8</v>
      </c>
    </row>
    <row r="10156" spans="1:7" x14ac:dyDescent="0.25">
      <c r="A10156" s="116" t="s">
        <v>26620</v>
      </c>
      <c r="B10156" s="117" t="s">
        <v>26912</v>
      </c>
      <c r="C10156" t="s">
        <v>67</v>
      </c>
      <c r="D10156" t="s">
        <v>67</v>
      </c>
      <c r="E10156" t="s">
        <v>67</v>
      </c>
      <c r="F10156" t="s">
        <v>27987</v>
      </c>
      <c r="G10156" s="117">
        <v>4.63</v>
      </c>
    </row>
    <row r="10157" spans="1:7" x14ac:dyDescent="0.25">
      <c r="A10157" s="116" t="s">
        <v>26701</v>
      </c>
      <c r="B10157" s="117" t="s">
        <v>29217</v>
      </c>
      <c r="C10157" t="s">
        <v>67</v>
      </c>
      <c r="D10157" t="s">
        <v>67</v>
      </c>
      <c r="E10157" t="s">
        <v>67</v>
      </c>
      <c r="F10157" t="s">
        <v>27987</v>
      </c>
      <c r="G10157" s="117">
        <v>0.8</v>
      </c>
    </row>
    <row r="10158" spans="1:7" x14ac:dyDescent="0.25">
      <c r="A10158" s="116" t="s">
        <v>15952</v>
      </c>
      <c r="B10158" s="117" t="s">
        <v>15953</v>
      </c>
      <c r="C10158" t="s">
        <v>67</v>
      </c>
      <c r="D10158" t="s">
        <v>67</v>
      </c>
      <c r="E10158" t="s">
        <v>67</v>
      </c>
      <c r="F10158" t="s">
        <v>49</v>
      </c>
      <c r="G10158" s="117">
        <v>7.12</v>
      </c>
    </row>
    <row r="10159" spans="1:7" x14ac:dyDescent="0.25">
      <c r="A10159" s="116" t="s">
        <v>15954</v>
      </c>
      <c r="B10159" s="117" t="s">
        <v>15955</v>
      </c>
      <c r="C10159" t="s">
        <v>67</v>
      </c>
      <c r="D10159" t="s">
        <v>67</v>
      </c>
      <c r="E10159" t="s">
        <v>67</v>
      </c>
      <c r="F10159" t="s">
        <v>45</v>
      </c>
      <c r="G10159" s="117">
        <v>94.76</v>
      </c>
    </row>
    <row r="10160" spans="1:7" x14ac:dyDescent="0.25">
      <c r="A10160" s="116" t="s">
        <v>15956</v>
      </c>
      <c r="B10160" s="117" t="s">
        <v>15957</v>
      </c>
      <c r="C10160" t="s">
        <v>67</v>
      </c>
      <c r="D10160" t="s">
        <v>67</v>
      </c>
      <c r="E10160" t="s">
        <v>67</v>
      </c>
      <c r="F10160" t="s">
        <v>27987</v>
      </c>
      <c r="G10160" s="117">
        <v>44.94</v>
      </c>
    </row>
    <row r="10161" spans="1:7" x14ac:dyDescent="0.25">
      <c r="A10161" s="116" t="s">
        <v>15958</v>
      </c>
      <c r="B10161" s="117" t="s">
        <v>15959</v>
      </c>
      <c r="C10161" t="s">
        <v>67</v>
      </c>
      <c r="D10161" t="s">
        <v>67</v>
      </c>
      <c r="E10161" t="s">
        <v>67</v>
      </c>
      <c r="F10161" t="s">
        <v>27987</v>
      </c>
      <c r="G10161" s="117">
        <v>92.1</v>
      </c>
    </row>
    <row r="10162" spans="1:7" x14ac:dyDescent="0.25">
      <c r="A10162" s="116" t="s">
        <v>15960</v>
      </c>
      <c r="B10162" s="117" t="s">
        <v>15961</v>
      </c>
      <c r="C10162" t="s">
        <v>67</v>
      </c>
      <c r="D10162" t="s">
        <v>67</v>
      </c>
      <c r="E10162" t="s">
        <v>67</v>
      </c>
      <c r="F10162" t="s">
        <v>45</v>
      </c>
      <c r="G10162" s="117">
        <v>46.18</v>
      </c>
    </row>
    <row r="10163" spans="1:7" x14ac:dyDescent="0.25">
      <c r="A10163" s="116" t="s">
        <v>15962</v>
      </c>
      <c r="B10163" s="117" t="s">
        <v>15963</v>
      </c>
      <c r="C10163" t="s">
        <v>67</v>
      </c>
      <c r="D10163" t="s">
        <v>67</v>
      </c>
      <c r="E10163" t="s">
        <v>67</v>
      </c>
      <c r="F10163" t="s">
        <v>27987</v>
      </c>
      <c r="G10163" s="117">
        <v>55.62</v>
      </c>
    </row>
    <row r="10164" spans="1:7" x14ac:dyDescent="0.25">
      <c r="A10164" s="116" t="s">
        <v>15964</v>
      </c>
      <c r="B10164" s="117" t="s">
        <v>15965</v>
      </c>
      <c r="C10164" t="s">
        <v>67</v>
      </c>
      <c r="D10164" t="s">
        <v>67</v>
      </c>
      <c r="E10164" t="s">
        <v>67</v>
      </c>
      <c r="F10164" t="s">
        <v>45</v>
      </c>
      <c r="G10164" s="117">
        <v>5.79</v>
      </c>
    </row>
    <row r="10165" spans="1:7" x14ac:dyDescent="0.25">
      <c r="A10165" s="116" t="s">
        <v>15966</v>
      </c>
      <c r="B10165" s="117" t="s">
        <v>15967</v>
      </c>
      <c r="C10165" t="s">
        <v>67</v>
      </c>
      <c r="D10165" t="s">
        <v>67</v>
      </c>
      <c r="E10165" t="s">
        <v>67</v>
      </c>
      <c r="F10165" t="s">
        <v>45</v>
      </c>
      <c r="G10165" s="117">
        <v>5.79</v>
      </c>
    </row>
    <row r="10166" spans="1:7" x14ac:dyDescent="0.25">
      <c r="A10166" s="116" t="s">
        <v>15968</v>
      </c>
      <c r="B10166" s="117" t="s">
        <v>15967</v>
      </c>
      <c r="C10166" t="s">
        <v>67</v>
      </c>
      <c r="D10166" t="s">
        <v>67</v>
      </c>
      <c r="E10166" t="s">
        <v>67</v>
      </c>
      <c r="F10166" t="s">
        <v>45</v>
      </c>
      <c r="G10166" s="117">
        <v>5.79</v>
      </c>
    </row>
    <row r="10167" spans="1:7" x14ac:dyDescent="0.25">
      <c r="A10167" s="116" t="s">
        <v>15969</v>
      </c>
      <c r="B10167" s="117" t="s">
        <v>15965</v>
      </c>
      <c r="C10167" t="s">
        <v>67</v>
      </c>
      <c r="D10167" t="s">
        <v>67</v>
      </c>
      <c r="E10167" t="s">
        <v>67</v>
      </c>
      <c r="F10167" t="s">
        <v>45</v>
      </c>
      <c r="G10167" s="117">
        <v>53.3</v>
      </c>
    </row>
    <row r="10168" spans="1:7" x14ac:dyDescent="0.25">
      <c r="A10168" s="116" t="s">
        <v>15970</v>
      </c>
      <c r="B10168" s="117" t="s">
        <v>15971</v>
      </c>
      <c r="C10168" t="s">
        <v>67</v>
      </c>
      <c r="D10168" t="s">
        <v>67</v>
      </c>
      <c r="E10168" t="s">
        <v>67</v>
      </c>
      <c r="F10168" t="s">
        <v>27987</v>
      </c>
      <c r="G10168" s="117">
        <v>77.319999999999993</v>
      </c>
    </row>
    <row r="10169" spans="1:7" x14ac:dyDescent="0.25">
      <c r="A10169" s="116" t="s">
        <v>29823</v>
      </c>
      <c r="B10169" s="117" t="s">
        <v>30490</v>
      </c>
      <c r="C10169" t="s">
        <v>67</v>
      </c>
      <c r="D10169" t="s">
        <v>67</v>
      </c>
      <c r="E10169" t="s">
        <v>67</v>
      </c>
      <c r="F10169" t="s">
        <v>45</v>
      </c>
      <c r="G10169" s="117">
        <v>0.84</v>
      </c>
    </row>
    <row r="10170" spans="1:7" x14ac:dyDescent="0.25">
      <c r="A10170" s="116" t="s">
        <v>15972</v>
      </c>
      <c r="B10170" s="117" t="s">
        <v>15973</v>
      </c>
      <c r="C10170" t="s">
        <v>67</v>
      </c>
      <c r="D10170" t="s">
        <v>67</v>
      </c>
      <c r="E10170" t="s">
        <v>67</v>
      </c>
      <c r="F10170" t="s">
        <v>49</v>
      </c>
      <c r="G10170" s="117">
        <v>3.12</v>
      </c>
    </row>
    <row r="10171" spans="1:7" x14ac:dyDescent="0.25">
      <c r="A10171" s="116" t="s">
        <v>15974</v>
      </c>
      <c r="B10171" s="117" t="s">
        <v>26489</v>
      </c>
      <c r="C10171" t="s">
        <v>67</v>
      </c>
      <c r="D10171" t="s">
        <v>67</v>
      </c>
      <c r="E10171" t="s">
        <v>67</v>
      </c>
      <c r="F10171" t="s">
        <v>27987</v>
      </c>
      <c r="G10171" s="117">
        <v>3.47</v>
      </c>
    </row>
    <row r="10172" spans="1:7" x14ac:dyDescent="0.25">
      <c r="A10172" s="116" t="s">
        <v>15975</v>
      </c>
      <c r="B10172" s="117" t="s">
        <v>15976</v>
      </c>
      <c r="C10172" t="s">
        <v>67</v>
      </c>
      <c r="D10172" t="s">
        <v>67</v>
      </c>
      <c r="E10172" t="s">
        <v>67</v>
      </c>
      <c r="F10172" t="s">
        <v>45</v>
      </c>
      <c r="G10172" s="117">
        <v>8.81</v>
      </c>
    </row>
    <row r="10173" spans="1:7" x14ac:dyDescent="0.25">
      <c r="A10173" s="116" t="s">
        <v>15977</v>
      </c>
      <c r="B10173" s="117" t="s">
        <v>15978</v>
      </c>
      <c r="C10173" t="s">
        <v>67</v>
      </c>
      <c r="D10173" t="s">
        <v>67</v>
      </c>
      <c r="E10173" t="s">
        <v>67</v>
      </c>
      <c r="F10173" t="s">
        <v>27987</v>
      </c>
      <c r="G10173" s="117">
        <v>68.430000000000007</v>
      </c>
    </row>
    <row r="10174" spans="1:7" x14ac:dyDescent="0.25">
      <c r="A10174" s="116" t="s">
        <v>15979</v>
      </c>
      <c r="B10174" s="117" t="s">
        <v>15980</v>
      </c>
      <c r="C10174" t="s">
        <v>67</v>
      </c>
      <c r="D10174" t="s">
        <v>67</v>
      </c>
      <c r="E10174" t="s">
        <v>67</v>
      </c>
      <c r="F10174" t="s">
        <v>45</v>
      </c>
      <c r="G10174" s="117">
        <v>3.56</v>
      </c>
    </row>
    <row r="10175" spans="1:7" x14ac:dyDescent="0.25">
      <c r="A10175" s="116" t="s">
        <v>15981</v>
      </c>
      <c r="B10175" s="117" t="s">
        <v>15982</v>
      </c>
      <c r="C10175" t="s">
        <v>67</v>
      </c>
      <c r="D10175" t="s">
        <v>67</v>
      </c>
      <c r="E10175" t="s">
        <v>67</v>
      </c>
      <c r="F10175" t="s">
        <v>45</v>
      </c>
      <c r="G10175" s="117">
        <v>10.58</v>
      </c>
    </row>
    <row r="10176" spans="1:7" x14ac:dyDescent="0.25">
      <c r="A10176" s="116" t="s">
        <v>15983</v>
      </c>
      <c r="B10176" s="117" t="s">
        <v>15984</v>
      </c>
      <c r="C10176" t="s">
        <v>67</v>
      </c>
      <c r="D10176" t="s">
        <v>67</v>
      </c>
      <c r="E10176" t="s">
        <v>67</v>
      </c>
      <c r="F10176" t="s">
        <v>27987</v>
      </c>
      <c r="G10176" s="117">
        <v>14.14</v>
      </c>
    </row>
    <row r="10177" spans="1:7" x14ac:dyDescent="0.25">
      <c r="A10177" s="116" t="s">
        <v>15985</v>
      </c>
      <c r="B10177" s="117" t="s">
        <v>15986</v>
      </c>
      <c r="C10177" t="s">
        <v>67</v>
      </c>
      <c r="D10177" t="s">
        <v>67</v>
      </c>
      <c r="E10177" t="s">
        <v>67</v>
      </c>
      <c r="F10177" t="s">
        <v>27987</v>
      </c>
      <c r="G10177" s="117">
        <v>20.38</v>
      </c>
    </row>
    <row r="10178" spans="1:7" x14ac:dyDescent="0.25">
      <c r="A10178" s="116" t="s">
        <v>15987</v>
      </c>
      <c r="B10178" s="117" t="s">
        <v>15988</v>
      </c>
      <c r="C10178" t="s">
        <v>67</v>
      </c>
      <c r="D10178" t="s">
        <v>67</v>
      </c>
      <c r="E10178" t="s">
        <v>67</v>
      </c>
      <c r="F10178" t="s">
        <v>27987</v>
      </c>
      <c r="G10178" s="117">
        <v>18.600000000000001</v>
      </c>
    </row>
    <row r="10179" spans="1:7" x14ac:dyDescent="0.25">
      <c r="A10179" s="116" t="s">
        <v>15989</v>
      </c>
      <c r="B10179" s="117" t="s">
        <v>15990</v>
      </c>
      <c r="C10179" t="s">
        <v>67</v>
      </c>
      <c r="D10179" t="s">
        <v>67</v>
      </c>
      <c r="E10179" t="s">
        <v>67</v>
      </c>
      <c r="F10179" t="s">
        <v>27987</v>
      </c>
      <c r="G10179" s="117">
        <v>22.69</v>
      </c>
    </row>
    <row r="10180" spans="1:7" x14ac:dyDescent="0.25">
      <c r="A10180" s="116" t="s">
        <v>15991</v>
      </c>
      <c r="B10180" s="117" t="s">
        <v>11607</v>
      </c>
      <c r="C10180" t="s">
        <v>67</v>
      </c>
      <c r="D10180" t="s">
        <v>67</v>
      </c>
      <c r="E10180" t="s">
        <v>67</v>
      </c>
      <c r="F10180" t="s">
        <v>45</v>
      </c>
      <c r="G10180" s="117">
        <v>10.58</v>
      </c>
    </row>
    <row r="10181" spans="1:7" x14ac:dyDescent="0.25">
      <c r="A10181" s="116" t="s">
        <v>15992</v>
      </c>
      <c r="B10181" s="117" t="s">
        <v>15993</v>
      </c>
      <c r="C10181" t="s">
        <v>67</v>
      </c>
      <c r="D10181" t="s">
        <v>67</v>
      </c>
      <c r="E10181" t="s">
        <v>67</v>
      </c>
      <c r="F10181" t="s">
        <v>27987</v>
      </c>
      <c r="G10181" s="117">
        <v>20.92</v>
      </c>
    </row>
    <row r="10182" spans="1:7" x14ac:dyDescent="0.25">
      <c r="A10182" s="116" t="s">
        <v>15994</v>
      </c>
      <c r="B10182" s="117" t="s">
        <v>15995</v>
      </c>
      <c r="C10182" t="s">
        <v>67</v>
      </c>
      <c r="D10182" t="s">
        <v>67</v>
      </c>
      <c r="E10182" t="s">
        <v>67</v>
      </c>
      <c r="F10182" t="s">
        <v>27987</v>
      </c>
      <c r="G10182" s="117">
        <v>9.35</v>
      </c>
    </row>
    <row r="10183" spans="1:7" x14ac:dyDescent="0.25">
      <c r="A10183" s="116" t="s">
        <v>15996</v>
      </c>
      <c r="B10183" s="117" t="s">
        <v>15997</v>
      </c>
      <c r="C10183" t="s">
        <v>67</v>
      </c>
      <c r="D10183" t="s">
        <v>67</v>
      </c>
      <c r="E10183" t="s">
        <v>67</v>
      </c>
      <c r="F10183" t="s">
        <v>49</v>
      </c>
      <c r="G10183" s="117">
        <v>6.14</v>
      </c>
    </row>
    <row r="10184" spans="1:7" x14ac:dyDescent="0.25">
      <c r="A10184" s="116" t="s">
        <v>15998</v>
      </c>
      <c r="B10184" s="117" t="s">
        <v>15999</v>
      </c>
      <c r="C10184" t="s">
        <v>67</v>
      </c>
      <c r="D10184" t="s">
        <v>67</v>
      </c>
      <c r="E10184" t="s">
        <v>67</v>
      </c>
      <c r="F10184" t="s">
        <v>49</v>
      </c>
      <c r="G10184" s="117">
        <v>14.14</v>
      </c>
    </row>
    <row r="10185" spans="1:7" x14ac:dyDescent="0.25">
      <c r="A10185" s="116" t="s">
        <v>16000</v>
      </c>
      <c r="B10185" s="117" t="s">
        <v>16001</v>
      </c>
      <c r="C10185" t="s">
        <v>67</v>
      </c>
      <c r="D10185" t="s">
        <v>67</v>
      </c>
      <c r="E10185" t="s">
        <v>67</v>
      </c>
      <c r="F10185" t="s">
        <v>27987</v>
      </c>
      <c r="G10185" s="117">
        <v>5.33</v>
      </c>
    </row>
    <row r="10186" spans="1:7" x14ac:dyDescent="0.25">
      <c r="A10186" s="116" t="s">
        <v>16002</v>
      </c>
      <c r="B10186" s="117" t="s">
        <v>16003</v>
      </c>
      <c r="C10186" t="s">
        <v>67</v>
      </c>
      <c r="D10186" t="s">
        <v>67</v>
      </c>
      <c r="E10186" t="s">
        <v>67</v>
      </c>
      <c r="F10186" t="s">
        <v>27987</v>
      </c>
      <c r="G10186" s="117">
        <v>4.8899999999999997</v>
      </c>
    </row>
    <row r="10187" spans="1:7" x14ac:dyDescent="0.25">
      <c r="A10187" s="116" t="s">
        <v>16004</v>
      </c>
      <c r="B10187" s="117" t="s">
        <v>16005</v>
      </c>
      <c r="C10187" t="s">
        <v>67</v>
      </c>
      <c r="D10187" t="s">
        <v>67</v>
      </c>
      <c r="E10187" t="s">
        <v>67</v>
      </c>
      <c r="F10187" t="s">
        <v>45</v>
      </c>
      <c r="G10187" s="117">
        <v>6.68</v>
      </c>
    </row>
    <row r="10188" spans="1:7" x14ac:dyDescent="0.25">
      <c r="A10188" s="116" t="s">
        <v>16006</v>
      </c>
      <c r="B10188" s="117" t="s">
        <v>15511</v>
      </c>
      <c r="C10188" t="s">
        <v>67</v>
      </c>
      <c r="D10188" t="s">
        <v>67</v>
      </c>
      <c r="E10188" t="s">
        <v>67</v>
      </c>
      <c r="F10188" t="s">
        <v>45</v>
      </c>
      <c r="G10188" s="117">
        <v>2.23</v>
      </c>
    </row>
    <row r="10189" spans="1:7" x14ac:dyDescent="0.25">
      <c r="A10189" s="116" t="s">
        <v>16007</v>
      </c>
      <c r="B10189" s="117" t="s">
        <v>16008</v>
      </c>
      <c r="C10189" t="s">
        <v>67</v>
      </c>
      <c r="D10189" t="s">
        <v>67</v>
      </c>
      <c r="E10189" t="s">
        <v>67</v>
      </c>
      <c r="F10189" t="s">
        <v>49</v>
      </c>
      <c r="G10189" s="117">
        <v>6.14</v>
      </c>
    </row>
    <row r="10190" spans="1:7" x14ac:dyDescent="0.25">
      <c r="A10190" s="116" t="s">
        <v>16009</v>
      </c>
      <c r="B10190" s="117" t="s">
        <v>16010</v>
      </c>
      <c r="C10190" t="s">
        <v>67</v>
      </c>
      <c r="D10190" t="s">
        <v>67</v>
      </c>
      <c r="E10190" t="s">
        <v>67</v>
      </c>
      <c r="F10190" t="s">
        <v>27987</v>
      </c>
      <c r="G10190" s="117">
        <v>2.23</v>
      </c>
    </row>
    <row r="10191" spans="1:7" x14ac:dyDescent="0.25">
      <c r="A10191" s="116" t="s">
        <v>16011</v>
      </c>
      <c r="B10191" s="117" t="s">
        <v>16012</v>
      </c>
      <c r="C10191" t="s">
        <v>67</v>
      </c>
      <c r="D10191" t="s">
        <v>67</v>
      </c>
      <c r="E10191" t="s">
        <v>67</v>
      </c>
      <c r="F10191" t="s">
        <v>45</v>
      </c>
      <c r="G10191" s="117">
        <v>3.48</v>
      </c>
    </row>
    <row r="10192" spans="1:7" x14ac:dyDescent="0.25">
      <c r="A10192" s="116" t="s">
        <v>16013</v>
      </c>
      <c r="B10192" s="117" t="s">
        <v>16014</v>
      </c>
      <c r="C10192" t="s">
        <v>67</v>
      </c>
      <c r="D10192" t="s">
        <v>67</v>
      </c>
      <c r="E10192" t="s">
        <v>67</v>
      </c>
      <c r="F10192" t="s">
        <v>45</v>
      </c>
      <c r="G10192" s="117">
        <v>46.71</v>
      </c>
    </row>
    <row r="10193" spans="1:7" x14ac:dyDescent="0.25">
      <c r="A10193" s="116" t="s">
        <v>16015</v>
      </c>
      <c r="B10193" s="117" t="s">
        <v>16016</v>
      </c>
      <c r="C10193" t="s">
        <v>67</v>
      </c>
      <c r="D10193" t="s">
        <v>67</v>
      </c>
      <c r="E10193" t="s">
        <v>67</v>
      </c>
      <c r="F10193" t="s">
        <v>49</v>
      </c>
      <c r="G10193" s="117">
        <v>6.14</v>
      </c>
    </row>
    <row r="10194" spans="1:7" x14ac:dyDescent="0.25">
      <c r="A10194" s="116" t="s">
        <v>16017</v>
      </c>
      <c r="B10194" s="117" t="s">
        <v>16018</v>
      </c>
      <c r="C10194" t="s">
        <v>67</v>
      </c>
      <c r="D10194" t="s">
        <v>67</v>
      </c>
      <c r="E10194" t="s">
        <v>67</v>
      </c>
      <c r="F10194" t="s">
        <v>27987</v>
      </c>
      <c r="G10194" s="117">
        <v>25.71</v>
      </c>
    </row>
    <row r="10195" spans="1:7" x14ac:dyDescent="0.25">
      <c r="A10195" s="116" t="s">
        <v>16019</v>
      </c>
      <c r="B10195" s="117" t="s">
        <v>13225</v>
      </c>
      <c r="C10195" t="s">
        <v>67</v>
      </c>
      <c r="D10195" t="s">
        <v>67</v>
      </c>
      <c r="E10195" t="s">
        <v>67</v>
      </c>
      <c r="F10195" t="s">
        <v>45</v>
      </c>
      <c r="G10195" s="117">
        <v>1.33</v>
      </c>
    </row>
    <row r="10196" spans="1:7" x14ac:dyDescent="0.25">
      <c r="A10196" s="116" t="s">
        <v>16020</v>
      </c>
      <c r="B10196" s="117" t="s">
        <v>344</v>
      </c>
      <c r="C10196" t="s">
        <v>67</v>
      </c>
      <c r="D10196" t="s">
        <v>67</v>
      </c>
      <c r="E10196" t="s">
        <v>67</v>
      </c>
      <c r="F10196" t="s">
        <v>45</v>
      </c>
      <c r="G10196" s="117">
        <v>6.14</v>
      </c>
    </row>
    <row r="10197" spans="1:7" x14ac:dyDescent="0.25">
      <c r="A10197" s="116" t="s">
        <v>16021</v>
      </c>
      <c r="B10197" s="117" t="s">
        <v>10865</v>
      </c>
      <c r="C10197" t="s">
        <v>67</v>
      </c>
      <c r="D10197" t="s">
        <v>67</v>
      </c>
      <c r="E10197" t="s">
        <v>67</v>
      </c>
      <c r="F10197" t="s">
        <v>27987</v>
      </c>
      <c r="G10197" s="117">
        <v>1.33</v>
      </c>
    </row>
    <row r="10198" spans="1:7" x14ac:dyDescent="0.25">
      <c r="A10198" s="116" t="s">
        <v>16022</v>
      </c>
      <c r="B10198" s="117" t="s">
        <v>16023</v>
      </c>
      <c r="C10198" t="s">
        <v>67</v>
      </c>
      <c r="D10198" t="s">
        <v>67</v>
      </c>
      <c r="E10198" t="s">
        <v>67</v>
      </c>
      <c r="F10198" t="s">
        <v>27987</v>
      </c>
      <c r="G10198" s="117">
        <v>8.4499999999999993</v>
      </c>
    </row>
    <row r="10199" spans="1:7" x14ac:dyDescent="0.25">
      <c r="A10199" s="116" t="s">
        <v>16024</v>
      </c>
      <c r="B10199" s="117" t="s">
        <v>16025</v>
      </c>
      <c r="C10199" t="s">
        <v>67</v>
      </c>
      <c r="D10199" t="s">
        <v>67</v>
      </c>
      <c r="E10199" t="s">
        <v>67</v>
      </c>
      <c r="F10199" t="s">
        <v>27987</v>
      </c>
      <c r="G10199" s="117">
        <v>7.02</v>
      </c>
    </row>
    <row r="10200" spans="1:7" x14ac:dyDescent="0.25">
      <c r="A10200" s="116" t="s">
        <v>16026</v>
      </c>
      <c r="B10200" s="117" t="s">
        <v>16027</v>
      </c>
      <c r="C10200" t="s">
        <v>67</v>
      </c>
      <c r="D10200" t="s">
        <v>67</v>
      </c>
      <c r="E10200" t="s">
        <v>67</v>
      </c>
      <c r="F10200" t="s">
        <v>27987</v>
      </c>
      <c r="G10200" s="117">
        <v>3.12</v>
      </c>
    </row>
    <row r="10201" spans="1:7" x14ac:dyDescent="0.25">
      <c r="A10201" s="116" t="s">
        <v>16028</v>
      </c>
      <c r="B10201" s="117" t="s">
        <v>515</v>
      </c>
      <c r="C10201" t="s">
        <v>67</v>
      </c>
      <c r="D10201" t="s">
        <v>67</v>
      </c>
      <c r="E10201" t="s">
        <v>67</v>
      </c>
      <c r="F10201" t="s">
        <v>27987</v>
      </c>
      <c r="G10201" s="117">
        <v>2.23</v>
      </c>
    </row>
    <row r="10202" spans="1:7" x14ac:dyDescent="0.25">
      <c r="A10202" s="116" t="s">
        <v>16029</v>
      </c>
      <c r="B10202" s="117" t="s">
        <v>13662</v>
      </c>
      <c r="C10202" t="s">
        <v>67</v>
      </c>
      <c r="D10202" t="s">
        <v>67</v>
      </c>
      <c r="E10202" t="s">
        <v>67</v>
      </c>
      <c r="F10202" t="s">
        <v>27987</v>
      </c>
      <c r="G10202" s="117">
        <v>2.23</v>
      </c>
    </row>
    <row r="10203" spans="1:7" x14ac:dyDescent="0.25">
      <c r="A10203" s="116" t="s">
        <v>16030</v>
      </c>
      <c r="B10203" s="117" t="s">
        <v>16031</v>
      </c>
      <c r="C10203" t="s">
        <v>67</v>
      </c>
      <c r="D10203" t="s">
        <v>67</v>
      </c>
      <c r="E10203" t="s">
        <v>67</v>
      </c>
      <c r="F10203" t="s">
        <v>45</v>
      </c>
      <c r="G10203" s="117">
        <v>13.26</v>
      </c>
    </row>
    <row r="10204" spans="1:7" x14ac:dyDescent="0.25">
      <c r="A10204" s="116" t="s">
        <v>16032</v>
      </c>
      <c r="B10204" s="117" t="s">
        <v>16033</v>
      </c>
      <c r="C10204" t="s">
        <v>67</v>
      </c>
      <c r="D10204" t="s">
        <v>67</v>
      </c>
      <c r="E10204" t="s">
        <v>67</v>
      </c>
      <c r="F10204" t="s">
        <v>27987</v>
      </c>
      <c r="G10204" s="117">
        <v>14.14</v>
      </c>
    </row>
    <row r="10205" spans="1:7" x14ac:dyDescent="0.25">
      <c r="A10205" s="116" t="s">
        <v>16034</v>
      </c>
      <c r="B10205" s="117" t="s">
        <v>14135</v>
      </c>
      <c r="C10205" t="s">
        <v>67</v>
      </c>
      <c r="D10205" t="s">
        <v>67</v>
      </c>
      <c r="E10205" t="s">
        <v>67</v>
      </c>
      <c r="F10205" t="s">
        <v>27987</v>
      </c>
      <c r="G10205" s="117">
        <v>33.369999999999997</v>
      </c>
    </row>
    <row r="10206" spans="1:7" x14ac:dyDescent="0.25">
      <c r="A10206" s="116" t="s">
        <v>16035</v>
      </c>
      <c r="B10206" s="117" t="s">
        <v>16036</v>
      </c>
      <c r="C10206" t="s">
        <v>67</v>
      </c>
      <c r="D10206" t="s">
        <v>67</v>
      </c>
      <c r="E10206" t="s">
        <v>67</v>
      </c>
      <c r="F10206" t="s">
        <v>27987</v>
      </c>
      <c r="G10206" s="117">
        <v>1.01</v>
      </c>
    </row>
    <row r="10207" spans="1:7" x14ac:dyDescent="0.25">
      <c r="A10207" s="116" t="s">
        <v>16037</v>
      </c>
      <c r="B10207" s="117" t="s">
        <v>16038</v>
      </c>
      <c r="C10207" t="s">
        <v>67</v>
      </c>
      <c r="D10207" t="s">
        <v>67</v>
      </c>
      <c r="E10207" t="s">
        <v>67</v>
      </c>
      <c r="F10207" t="s">
        <v>27987</v>
      </c>
      <c r="G10207" s="117">
        <v>2.58</v>
      </c>
    </row>
    <row r="10208" spans="1:7" x14ac:dyDescent="0.25">
      <c r="A10208" s="116" t="s">
        <v>16039</v>
      </c>
      <c r="B10208" s="117" t="s">
        <v>515</v>
      </c>
      <c r="C10208" t="s">
        <v>67</v>
      </c>
      <c r="D10208" t="s">
        <v>67</v>
      </c>
      <c r="E10208" t="s">
        <v>67</v>
      </c>
      <c r="F10208" t="s">
        <v>45</v>
      </c>
      <c r="G10208" s="117">
        <v>4.3600000000000003</v>
      </c>
    </row>
    <row r="10209" spans="1:7" x14ac:dyDescent="0.25">
      <c r="A10209" s="116" t="s">
        <v>16040</v>
      </c>
      <c r="B10209" s="117" t="s">
        <v>16041</v>
      </c>
      <c r="C10209" t="s">
        <v>67</v>
      </c>
      <c r="D10209" t="s">
        <v>67</v>
      </c>
      <c r="E10209" t="s">
        <v>67</v>
      </c>
      <c r="F10209" t="s">
        <v>27987</v>
      </c>
      <c r="G10209" s="117">
        <v>3.56</v>
      </c>
    </row>
    <row r="10210" spans="1:7" x14ac:dyDescent="0.25">
      <c r="A10210" s="116" t="s">
        <v>16042</v>
      </c>
      <c r="B10210" s="117" t="s">
        <v>16043</v>
      </c>
      <c r="C10210" t="s">
        <v>67</v>
      </c>
      <c r="D10210" t="s">
        <v>67</v>
      </c>
      <c r="E10210" t="s">
        <v>67</v>
      </c>
      <c r="F10210" t="s">
        <v>49</v>
      </c>
      <c r="G10210" s="117">
        <v>1.33</v>
      </c>
    </row>
    <row r="10211" spans="1:7" x14ac:dyDescent="0.25">
      <c r="A10211" s="116" t="s">
        <v>16044</v>
      </c>
      <c r="B10211" s="117" t="s">
        <v>16045</v>
      </c>
      <c r="C10211" t="s">
        <v>67</v>
      </c>
      <c r="D10211" t="s">
        <v>67</v>
      </c>
      <c r="E10211" t="s">
        <v>67</v>
      </c>
      <c r="F10211" t="s">
        <v>27987</v>
      </c>
      <c r="G10211" s="117">
        <v>4.8899999999999997</v>
      </c>
    </row>
    <row r="10212" spans="1:7" x14ac:dyDescent="0.25">
      <c r="A10212" s="116" t="s">
        <v>16046</v>
      </c>
      <c r="B10212" s="117" t="s">
        <v>16047</v>
      </c>
      <c r="C10212" t="s">
        <v>67</v>
      </c>
      <c r="D10212" t="s">
        <v>67</v>
      </c>
      <c r="E10212" t="s">
        <v>67</v>
      </c>
      <c r="F10212" t="s">
        <v>27987</v>
      </c>
      <c r="G10212" s="117">
        <v>10.24</v>
      </c>
    </row>
    <row r="10213" spans="1:7" x14ac:dyDescent="0.25">
      <c r="A10213" s="116" t="s">
        <v>29218</v>
      </c>
      <c r="B10213" s="117" t="s">
        <v>29219</v>
      </c>
      <c r="C10213" t="s">
        <v>67</v>
      </c>
      <c r="D10213" t="s">
        <v>67</v>
      </c>
      <c r="E10213" t="s">
        <v>67</v>
      </c>
      <c r="F10213" t="s">
        <v>45</v>
      </c>
      <c r="G10213" s="117">
        <v>18.5</v>
      </c>
    </row>
    <row r="10214" spans="1:7" x14ac:dyDescent="0.25">
      <c r="A10214" s="116" t="s">
        <v>16048</v>
      </c>
      <c r="B10214" s="117" t="s">
        <v>12634</v>
      </c>
      <c r="C10214" t="s">
        <v>67</v>
      </c>
      <c r="D10214" t="s">
        <v>67</v>
      </c>
      <c r="E10214" t="s">
        <v>67</v>
      </c>
      <c r="F10214" t="s">
        <v>27987</v>
      </c>
      <c r="G10214" s="117">
        <v>14.14</v>
      </c>
    </row>
    <row r="10215" spans="1:7" x14ac:dyDescent="0.25">
      <c r="A10215" s="116" t="s">
        <v>16049</v>
      </c>
      <c r="B10215" s="117" t="s">
        <v>16050</v>
      </c>
      <c r="C10215" t="s">
        <v>67</v>
      </c>
      <c r="D10215" t="s">
        <v>67</v>
      </c>
      <c r="E10215" t="s">
        <v>67</v>
      </c>
      <c r="F10215" t="s">
        <v>27987</v>
      </c>
      <c r="G10215" s="117">
        <v>50.63</v>
      </c>
    </row>
    <row r="10216" spans="1:7" x14ac:dyDescent="0.25">
      <c r="A10216" s="116" t="s">
        <v>16051</v>
      </c>
      <c r="B10216" s="117" t="s">
        <v>29220</v>
      </c>
      <c r="C10216" t="s">
        <v>67</v>
      </c>
      <c r="D10216" t="s">
        <v>67</v>
      </c>
      <c r="E10216" t="s">
        <v>67</v>
      </c>
      <c r="F10216" t="s">
        <v>27987</v>
      </c>
      <c r="G10216" s="117">
        <v>8.0500000000000007</v>
      </c>
    </row>
    <row r="10217" spans="1:7" x14ac:dyDescent="0.25">
      <c r="A10217" s="116" t="s">
        <v>26490</v>
      </c>
      <c r="B10217" s="117" t="s">
        <v>1669</v>
      </c>
      <c r="C10217" t="s">
        <v>67</v>
      </c>
      <c r="D10217" t="s">
        <v>67</v>
      </c>
      <c r="E10217" t="s">
        <v>67</v>
      </c>
      <c r="F10217" t="s">
        <v>27987</v>
      </c>
      <c r="G10217" s="117">
        <v>10</v>
      </c>
    </row>
    <row r="10218" spans="1:7" x14ac:dyDescent="0.25">
      <c r="A10218" s="116" t="s">
        <v>16052</v>
      </c>
      <c r="B10218" s="117" t="s">
        <v>14135</v>
      </c>
      <c r="C10218" t="s">
        <v>67</v>
      </c>
      <c r="D10218" t="s">
        <v>67</v>
      </c>
      <c r="E10218" t="s">
        <v>67</v>
      </c>
      <c r="F10218" t="s">
        <v>27987</v>
      </c>
      <c r="G10218" s="117">
        <v>23.94</v>
      </c>
    </row>
    <row r="10219" spans="1:7" x14ac:dyDescent="0.25">
      <c r="A10219" s="116" t="s">
        <v>16053</v>
      </c>
      <c r="B10219" s="117" t="s">
        <v>13662</v>
      </c>
      <c r="C10219" t="s">
        <v>67</v>
      </c>
      <c r="D10219" t="s">
        <v>67</v>
      </c>
      <c r="E10219" t="s">
        <v>67</v>
      </c>
      <c r="F10219" t="s">
        <v>27987</v>
      </c>
      <c r="G10219" s="117">
        <v>3.12</v>
      </c>
    </row>
    <row r="10220" spans="1:7" x14ac:dyDescent="0.25">
      <c r="A10220" s="116" t="s">
        <v>16054</v>
      </c>
      <c r="B10220" s="117" t="s">
        <v>16055</v>
      </c>
      <c r="C10220" t="s">
        <v>67</v>
      </c>
      <c r="D10220" t="s">
        <v>67</v>
      </c>
      <c r="E10220" t="s">
        <v>67</v>
      </c>
      <c r="F10220" t="s">
        <v>49</v>
      </c>
      <c r="G10220" s="117">
        <v>1.77</v>
      </c>
    </row>
    <row r="10221" spans="1:7" x14ac:dyDescent="0.25">
      <c r="A10221" s="116" t="s">
        <v>16056</v>
      </c>
      <c r="B10221" s="117" t="s">
        <v>15802</v>
      </c>
      <c r="C10221" t="s">
        <v>67</v>
      </c>
      <c r="D10221" t="s">
        <v>67</v>
      </c>
      <c r="E10221" t="s">
        <v>67</v>
      </c>
      <c r="F10221" t="s">
        <v>49</v>
      </c>
      <c r="G10221" s="117">
        <v>1.33</v>
      </c>
    </row>
    <row r="10222" spans="1:7" x14ac:dyDescent="0.25">
      <c r="A10222" s="116" t="s">
        <v>16057</v>
      </c>
      <c r="B10222" s="117" t="s">
        <v>16058</v>
      </c>
      <c r="C10222" t="s">
        <v>67</v>
      </c>
      <c r="D10222" t="s">
        <v>67</v>
      </c>
      <c r="E10222" t="s">
        <v>67</v>
      </c>
      <c r="F10222" t="s">
        <v>27987</v>
      </c>
      <c r="G10222" s="117">
        <v>3.5</v>
      </c>
    </row>
    <row r="10223" spans="1:7" x14ac:dyDescent="0.25">
      <c r="A10223" s="116" t="s">
        <v>16059</v>
      </c>
      <c r="B10223" s="117" t="s">
        <v>16060</v>
      </c>
      <c r="C10223" t="s">
        <v>67</v>
      </c>
      <c r="D10223" t="s">
        <v>67</v>
      </c>
      <c r="E10223" t="s">
        <v>67</v>
      </c>
      <c r="F10223" t="s">
        <v>27987</v>
      </c>
      <c r="G10223" s="117">
        <v>23.94</v>
      </c>
    </row>
    <row r="10224" spans="1:7" x14ac:dyDescent="0.25">
      <c r="A10224" s="116" t="s">
        <v>16061</v>
      </c>
      <c r="B10224" s="117" t="s">
        <v>16062</v>
      </c>
      <c r="C10224" t="s">
        <v>67</v>
      </c>
      <c r="D10224" t="s">
        <v>67</v>
      </c>
      <c r="E10224" t="s">
        <v>67</v>
      </c>
      <c r="F10224" t="s">
        <v>45</v>
      </c>
      <c r="G10224" s="117">
        <v>1.33</v>
      </c>
    </row>
    <row r="10225" spans="1:7" x14ac:dyDescent="0.25">
      <c r="A10225" s="116" t="s">
        <v>16063</v>
      </c>
      <c r="B10225" s="117" t="s">
        <v>16064</v>
      </c>
      <c r="C10225" t="s">
        <v>67</v>
      </c>
      <c r="D10225" t="s">
        <v>67</v>
      </c>
      <c r="E10225" t="s">
        <v>67</v>
      </c>
      <c r="F10225" t="s">
        <v>27987</v>
      </c>
      <c r="G10225" s="117">
        <v>6.68</v>
      </c>
    </row>
    <row r="10226" spans="1:7" x14ac:dyDescent="0.25">
      <c r="A10226" s="116" t="s">
        <v>16065</v>
      </c>
      <c r="B10226" s="117" t="s">
        <v>16066</v>
      </c>
      <c r="C10226" t="s">
        <v>67</v>
      </c>
      <c r="D10226" t="s">
        <v>67</v>
      </c>
      <c r="E10226" t="s">
        <v>67</v>
      </c>
      <c r="F10226" t="s">
        <v>45</v>
      </c>
      <c r="G10226" s="117">
        <v>64.510000000000005</v>
      </c>
    </row>
    <row r="10227" spans="1:7" x14ac:dyDescent="0.25">
      <c r="A10227" s="116" t="s">
        <v>16067</v>
      </c>
      <c r="B10227" s="117" t="s">
        <v>16068</v>
      </c>
      <c r="C10227" t="s">
        <v>67</v>
      </c>
      <c r="D10227" t="s">
        <v>67</v>
      </c>
      <c r="E10227" t="s">
        <v>67</v>
      </c>
      <c r="F10227" t="s">
        <v>45</v>
      </c>
      <c r="G10227" s="117">
        <v>96.9</v>
      </c>
    </row>
    <row r="10228" spans="1:7" x14ac:dyDescent="0.25">
      <c r="A10228" s="116" t="s">
        <v>16069</v>
      </c>
      <c r="B10228" s="117" t="s">
        <v>29221</v>
      </c>
      <c r="C10228" t="s">
        <v>67</v>
      </c>
      <c r="D10228" t="s">
        <v>67</v>
      </c>
      <c r="E10228" t="s">
        <v>67</v>
      </c>
      <c r="F10228" t="s">
        <v>27987</v>
      </c>
      <c r="G10228" s="117">
        <v>10.24</v>
      </c>
    </row>
    <row r="10229" spans="1:7" x14ac:dyDescent="0.25">
      <c r="A10229" s="116" t="s">
        <v>16070</v>
      </c>
      <c r="B10229" s="117" t="s">
        <v>16071</v>
      </c>
      <c r="C10229" t="s">
        <v>67</v>
      </c>
      <c r="D10229" t="s">
        <v>67</v>
      </c>
      <c r="E10229" t="s">
        <v>67</v>
      </c>
      <c r="F10229" t="s">
        <v>27987</v>
      </c>
      <c r="G10229" s="117">
        <v>9.6999999999999993</v>
      </c>
    </row>
    <row r="10230" spans="1:7" x14ac:dyDescent="0.25">
      <c r="A10230" s="116" t="s">
        <v>16072</v>
      </c>
      <c r="B10230" s="117" t="s">
        <v>16073</v>
      </c>
      <c r="C10230" t="s">
        <v>67</v>
      </c>
      <c r="D10230" t="s">
        <v>67</v>
      </c>
      <c r="E10230" t="s">
        <v>67</v>
      </c>
      <c r="F10230" t="s">
        <v>45</v>
      </c>
      <c r="G10230" s="117">
        <v>29.81</v>
      </c>
    </row>
    <row r="10231" spans="1:7" x14ac:dyDescent="0.25">
      <c r="A10231" s="116" t="s">
        <v>16074</v>
      </c>
      <c r="B10231" s="117" t="s">
        <v>16075</v>
      </c>
      <c r="C10231" t="s">
        <v>67</v>
      </c>
      <c r="D10231" t="s">
        <v>67</v>
      </c>
      <c r="E10231" t="s">
        <v>67</v>
      </c>
      <c r="F10231" t="s">
        <v>27987</v>
      </c>
      <c r="G10231" s="117">
        <v>10.24</v>
      </c>
    </row>
    <row r="10232" spans="1:7" x14ac:dyDescent="0.25">
      <c r="A10232" s="116" t="s">
        <v>16076</v>
      </c>
      <c r="B10232" s="117" t="s">
        <v>16077</v>
      </c>
      <c r="C10232" t="s">
        <v>67</v>
      </c>
      <c r="D10232" t="s">
        <v>67</v>
      </c>
      <c r="E10232" t="s">
        <v>67</v>
      </c>
      <c r="F10232" t="s">
        <v>49</v>
      </c>
      <c r="G10232" s="117">
        <v>6.14</v>
      </c>
    </row>
    <row r="10233" spans="1:7" x14ac:dyDescent="0.25">
      <c r="A10233" s="116" t="s">
        <v>16078</v>
      </c>
      <c r="B10233" s="117" t="s">
        <v>16079</v>
      </c>
      <c r="C10233" t="s">
        <v>67</v>
      </c>
      <c r="D10233" t="s">
        <v>67</v>
      </c>
      <c r="E10233" t="s">
        <v>67</v>
      </c>
      <c r="F10233" t="s">
        <v>45</v>
      </c>
      <c r="G10233" s="117">
        <v>76.44</v>
      </c>
    </row>
    <row r="10234" spans="1:7" x14ac:dyDescent="0.25">
      <c r="A10234" s="116" t="s">
        <v>16080</v>
      </c>
      <c r="B10234" s="117" t="s">
        <v>16081</v>
      </c>
      <c r="C10234" t="s">
        <v>67</v>
      </c>
      <c r="D10234" t="s">
        <v>67</v>
      </c>
      <c r="E10234" t="s">
        <v>67</v>
      </c>
      <c r="F10234" t="s">
        <v>45</v>
      </c>
      <c r="G10234" s="117">
        <v>26.25</v>
      </c>
    </row>
    <row r="10235" spans="1:7" x14ac:dyDescent="0.25">
      <c r="A10235" s="116" t="s">
        <v>16082</v>
      </c>
      <c r="B10235" s="117" t="s">
        <v>16083</v>
      </c>
      <c r="C10235" t="s">
        <v>67</v>
      </c>
      <c r="D10235" t="s">
        <v>67</v>
      </c>
      <c r="E10235" t="s">
        <v>67</v>
      </c>
      <c r="F10235" t="s">
        <v>49</v>
      </c>
      <c r="G10235" s="117">
        <v>12.01</v>
      </c>
    </row>
    <row r="10236" spans="1:7" x14ac:dyDescent="0.25">
      <c r="A10236" s="116" t="s">
        <v>16084</v>
      </c>
      <c r="B10236" s="117" t="s">
        <v>16085</v>
      </c>
      <c r="C10236" t="s">
        <v>67</v>
      </c>
      <c r="D10236" t="s">
        <v>67</v>
      </c>
      <c r="E10236" t="s">
        <v>67</v>
      </c>
      <c r="F10236" t="s">
        <v>45</v>
      </c>
      <c r="G10236" s="117">
        <v>14.68</v>
      </c>
    </row>
    <row r="10237" spans="1:7" x14ac:dyDescent="0.25">
      <c r="A10237" s="116" t="s">
        <v>16086</v>
      </c>
      <c r="B10237" s="117" t="s">
        <v>30152</v>
      </c>
      <c r="C10237" t="s">
        <v>67</v>
      </c>
      <c r="D10237" t="s">
        <v>67</v>
      </c>
      <c r="E10237" t="s">
        <v>67</v>
      </c>
      <c r="F10237" t="s">
        <v>27987</v>
      </c>
      <c r="G10237" s="117">
        <v>9.6999999999999993</v>
      </c>
    </row>
    <row r="10238" spans="1:7" x14ac:dyDescent="0.25">
      <c r="A10238" s="116" t="s">
        <v>16087</v>
      </c>
      <c r="B10238" s="117" t="s">
        <v>16088</v>
      </c>
      <c r="C10238" t="s">
        <v>67</v>
      </c>
      <c r="D10238" t="s">
        <v>67</v>
      </c>
      <c r="E10238" t="s">
        <v>67</v>
      </c>
      <c r="F10238" t="s">
        <v>45</v>
      </c>
      <c r="G10238" s="117">
        <v>26.25</v>
      </c>
    </row>
    <row r="10239" spans="1:7" x14ac:dyDescent="0.25">
      <c r="A10239" s="116" t="s">
        <v>16089</v>
      </c>
      <c r="B10239" s="117" t="s">
        <v>16090</v>
      </c>
      <c r="C10239" t="s">
        <v>67</v>
      </c>
      <c r="D10239" t="s">
        <v>67</v>
      </c>
      <c r="E10239" t="s">
        <v>67</v>
      </c>
      <c r="F10239" t="s">
        <v>45</v>
      </c>
      <c r="G10239" s="117">
        <v>10.58</v>
      </c>
    </row>
    <row r="10240" spans="1:7" x14ac:dyDescent="0.25">
      <c r="A10240" s="116" t="s">
        <v>16091</v>
      </c>
      <c r="B10240" s="117" t="s">
        <v>16092</v>
      </c>
      <c r="C10240" t="s">
        <v>67</v>
      </c>
      <c r="D10240" t="s">
        <v>67</v>
      </c>
      <c r="E10240" t="s">
        <v>67</v>
      </c>
      <c r="F10240" t="s">
        <v>27987</v>
      </c>
      <c r="G10240" s="117">
        <v>6.14</v>
      </c>
    </row>
    <row r="10241" spans="1:7" x14ac:dyDescent="0.25">
      <c r="A10241" s="116" t="s">
        <v>16093</v>
      </c>
      <c r="B10241" s="117" t="s">
        <v>16094</v>
      </c>
      <c r="C10241" t="s">
        <v>67</v>
      </c>
      <c r="D10241" t="s">
        <v>67</v>
      </c>
      <c r="E10241" t="s">
        <v>67</v>
      </c>
      <c r="F10241" t="s">
        <v>27987</v>
      </c>
      <c r="G10241" s="117">
        <v>7.12</v>
      </c>
    </row>
    <row r="10242" spans="1:7" x14ac:dyDescent="0.25">
      <c r="A10242" s="116" t="s">
        <v>16095</v>
      </c>
      <c r="B10242" s="117" t="s">
        <v>16096</v>
      </c>
      <c r="C10242" t="s">
        <v>67</v>
      </c>
      <c r="D10242" t="s">
        <v>67</v>
      </c>
      <c r="E10242" t="s">
        <v>67</v>
      </c>
      <c r="F10242" t="s">
        <v>27987</v>
      </c>
      <c r="G10242" s="117">
        <v>8.81</v>
      </c>
    </row>
    <row r="10243" spans="1:7" x14ac:dyDescent="0.25">
      <c r="A10243" s="116" t="s">
        <v>16097</v>
      </c>
      <c r="B10243" s="117" t="s">
        <v>16098</v>
      </c>
      <c r="C10243" t="s">
        <v>67</v>
      </c>
      <c r="D10243" t="s">
        <v>67</v>
      </c>
      <c r="E10243" t="s">
        <v>67</v>
      </c>
      <c r="F10243" t="s">
        <v>45</v>
      </c>
      <c r="G10243" s="117">
        <v>10.58</v>
      </c>
    </row>
    <row r="10244" spans="1:7" x14ac:dyDescent="0.25">
      <c r="A10244" s="116" t="s">
        <v>16099</v>
      </c>
      <c r="B10244" s="117" t="s">
        <v>16100</v>
      </c>
      <c r="C10244" t="s">
        <v>67</v>
      </c>
      <c r="D10244" t="s">
        <v>67</v>
      </c>
      <c r="E10244" t="s">
        <v>67</v>
      </c>
      <c r="F10244" t="s">
        <v>45</v>
      </c>
      <c r="G10244" s="117">
        <v>71.989999999999995</v>
      </c>
    </row>
    <row r="10245" spans="1:7" x14ac:dyDescent="0.25">
      <c r="A10245" s="116" t="s">
        <v>16101</v>
      </c>
      <c r="B10245" s="117" t="s">
        <v>16102</v>
      </c>
      <c r="C10245" t="s">
        <v>67</v>
      </c>
      <c r="D10245" t="s">
        <v>67</v>
      </c>
      <c r="E10245" t="s">
        <v>67</v>
      </c>
      <c r="F10245" t="s">
        <v>45</v>
      </c>
      <c r="G10245" s="117">
        <v>23.94</v>
      </c>
    </row>
    <row r="10246" spans="1:7" x14ac:dyDescent="0.25">
      <c r="A10246" s="116" t="s">
        <v>16103</v>
      </c>
      <c r="B10246" s="117" t="s">
        <v>16104</v>
      </c>
      <c r="C10246" t="s">
        <v>67</v>
      </c>
      <c r="D10246" t="s">
        <v>67</v>
      </c>
      <c r="E10246" t="s">
        <v>67</v>
      </c>
      <c r="F10246" t="s">
        <v>45</v>
      </c>
      <c r="G10246" s="117">
        <v>16.82</v>
      </c>
    </row>
    <row r="10247" spans="1:7" x14ac:dyDescent="0.25">
      <c r="A10247" s="116" t="s">
        <v>16105</v>
      </c>
      <c r="B10247" s="117" t="s">
        <v>16106</v>
      </c>
      <c r="C10247" t="s">
        <v>67</v>
      </c>
      <c r="D10247" t="s">
        <v>67</v>
      </c>
      <c r="E10247" t="s">
        <v>67</v>
      </c>
      <c r="F10247" t="s">
        <v>27987</v>
      </c>
      <c r="G10247" s="117">
        <v>6.14</v>
      </c>
    </row>
    <row r="10248" spans="1:7" x14ac:dyDescent="0.25">
      <c r="A10248" s="116" t="s">
        <v>16107</v>
      </c>
      <c r="B10248" s="117" t="s">
        <v>16108</v>
      </c>
      <c r="C10248" t="s">
        <v>67</v>
      </c>
      <c r="D10248" t="s">
        <v>67</v>
      </c>
      <c r="E10248" t="s">
        <v>67</v>
      </c>
      <c r="F10248" t="s">
        <v>45</v>
      </c>
      <c r="G10248" s="117">
        <v>10.58</v>
      </c>
    </row>
    <row r="10249" spans="1:7" x14ac:dyDescent="0.25">
      <c r="A10249" s="116" t="s">
        <v>16109</v>
      </c>
      <c r="B10249" s="117" t="s">
        <v>15882</v>
      </c>
      <c r="C10249" t="s">
        <v>67</v>
      </c>
      <c r="D10249" t="s">
        <v>67</v>
      </c>
      <c r="E10249" t="s">
        <v>67</v>
      </c>
      <c r="F10249" t="s">
        <v>45</v>
      </c>
      <c r="G10249" s="117">
        <v>43.58</v>
      </c>
    </row>
    <row r="10250" spans="1:7" x14ac:dyDescent="0.25">
      <c r="A10250" s="116" t="s">
        <v>16110</v>
      </c>
      <c r="B10250" s="117" t="s">
        <v>16111</v>
      </c>
      <c r="C10250" t="s">
        <v>67</v>
      </c>
      <c r="D10250" t="s">
        <v>67</v>
      </c>
      <c r="E10250" t="s">
        <v>67</v>
      </c>
      <c r="F10250" t="s">
        <v>27987</v>
      </c>
      <c r="G10250" s="117">
        <v>15.04</v>
      </c>
    </row>
    <row r="10251" spans="1:7" x14ac:dyDescent="0.25">
      <c r="A10251" s="116" t="s">
        <v>16112</v>
      </c>
      <c r="B10251" s="117" t="s">
        <v>15080</v>
      </c>
      <c r="C10251" t="s">
        <v>67</v>
      </c>
      <c r="D10251" t="s">
        <v>67</v>
      </c>
      <c r="E10251" t="s">
        <v>67</v>
      </c>
      <c r="F10251" t="s">
        <v>45</v>
      </c>
      <c r="G10251" s="117">
        <v>9.6999999999999993</v>
      </c>
    </row>
    <row r="10252" spans="1:7" x14ac:dyDescent="0.25">
      <c r="A10252" s="116" t="s">
        <v>16113</v>
      </c>
      <c r="B10252" s="117" t="s">
        <v>16114</v>
      </c>
      <c r="C10252" t="s">
        <v>67</v>
      </c>
      <c r="D10252" t="s">
        <v>67</v>
      </c>
      <c r="E10252" t="s">
        <v>67</v>
      </c>
      <c r="F10252" t="s">
        <v>45</v>
      </c>
      <c r="G10252" s="117">
        <v>6.14</v>
      </c>
    </row>
    <row r="10253" spans="1:7" x14ac:dyDescent="0.25">
      <c r="A10253" s="116" t="s">
        <v>16115</v>
      </c>
      <c r="B10253" s="117" t="s">
        <v>16116</v>
      </c>
      <c r="C10253" t="s">
        <v>67</v>
      </c>
      <c r="D10253" t="s">
        <v>67</v>
      </c>
      <c r="E10253" t="s">
        <v>67</v>
      </c>
      <c r="F10253" t="s">
        <v>45</v>
      </c>
      <c r="G10253" s="117">
        <v>112.02</v>
      </c>
    </row>
    <row r="10254" spans="1:7" x14ac:dyDescent="0.25">
      <c r="A10254" s="116" t="s">
        <v>16117</v>
      </c>
      <c r="B10254" s="117" t="s">
        <v>13851</v>
      </c>
      <c r="C10254" t="s">
        <v>67</v>
      </c>
      <c r="D10254" t="s">
        <v>67</v>
      </c>
      <c r="E10254" t="s">
        <v>67</v>
      </c>
      <c r="F10254" t="s">
        <v>49</v>
      </c>
      <c r="G10254" s="117">
        <v>24.48</v>
      </c>
    </row>
    <row r="10255" spans="1:7" x14ac:dyDescent="0.25">
      <c r="A10255" s="116" t="s">
        <v>16118</v>
      </c>
      <c r="B10255" s="117" t="s">
        <v>16119</v>
      </c>
      <c r="C10255" t="s">
        <v>67</v>
      </c>
      <c r="D10255" t="s">
        <v>67</v>
      </c>
      <c r="E10255" t="s">
        <v>67</v>
      </c>
      <c r="F10255" t="s">
        <v>27990</v>
      </c>
      <c r="G10255" s="117">
        <v>5.79</v>
      </c>
    </row>
    <row r="10256" spans="1:7" x14ac:dyDescent="0.25">
      <c r="A10256" s="116" t="s">
        <v>16120</v>
      </c>
      <c r="B10256" s="117" t="s">
        <v>16121</v>
      </c>
      <c r="C10256" t="s">
        <v>67</v>
      </c>
      <c r="D10256" t="s">
        <v>67</v>
      </c>
      <c r="E10256" t="s">
        <v>67</v>
      </c>
      <c r="F10256" t="s">
        <v>49</v>
      </c>
      <c r="G10256" s="117">
        <v>4.8899999999999997</v>
      </c>
    </row>
    <row r="10257" spans="1:7" x14ac:dyDescent="0.25">
      <c r="A10257" s="116" t="s">
        <v>16122</v>
      </c>
      <c r="B10257" s="117" t="s">
        <v>16123</v>
      </c>
      <c r="C10257" t="s">
        <v>67</v>
      </c>
      <c r="D10257" t="s">
        <v>67</v>
      </c>
      <c r="E10257" t="s">
        <v>67</v>
      </c>
      <c r="F10257" t="s">
        <v>27987</v>
      </c>
      <c r="G10257" s="117">
        <v>6.14</v>
      </c>
    </row>
    <row r="10258" spans="1:7" x14ac:dyDescent="0.25">
      <c r="A10258" s="116" t="s">
        <v>16124</v>
      </c>
      <c r="B10258" s="117" t="s">
        <v>16125</v>
      </c>
      <c r="C10258" t="s">
        <v>67</v>
      </c>
      <c r="D10258" t="s">
        <v>67</v>
      </c>
      <c r="E10258" t="s">
        <v>67</v>
      </c>
      <c r="F10258" t="s">
        <v>49</v>
      </c>
      <c r="G10258" s="117">
        <v>6.68</v>
      </c>
    </row>
    <row r="10259" spans="1:7" x14ac:dyDescent="0.25">
      <c r="A10259" s="116" t="s">
        <v>16126</v>
      </c>
      <c r="B10259" s="117" t="s">
        <v>15404</v>
      </c>
      <c r="C10259" t="s">
        <v>67</v>
      </c>
      <c r="D10259" t="s">
        <v>67</v>
      </c>
      <c r="E10259" t="s">
        <v>67</v>
      </c>
      <c r="F10259" t="s">
        <v>49</v>
      </c>
      <c r="G10259" s="117">
        <v>10.58</v>
      </c>
    </row>
    <row r="10260" spans="1:7" x14ac:dyDescent="0.25">
      <c r="A10260" s="116" t="s">
        <v>16127</v>
      </c>
      <c r="B10260" s="117" t="s">
        <v>29222</v>
      </c>
      <c r="C10260" t="s">
        <v>67</v>
      </c>
      <c r="D10260" t="s">
        <v>67</v>
      </c>
      <c r="E10260" t="s">
        <v>67</v>
      </c>
      <c r="F10260" t="s">
        <v>49</v>
      </c>
      <c r="G10260" s="117">
        <v>12.37</v>
      </c>
    </row>
    <row r="10261" spans="1:7" x14ac:dyDescent="0.25">
      <c r="A10261" s="116" t="s">
        <v>16128</v>
      </c>
      <c r="B10261" s="117" t="s">
        <v>15849</v>
      </c>
      <c r="C10261" t="s">
        <v>67</v>
      </c>
      <c r="D10261" t="s">
        <v>67</v>
      </c>
      <c r="E10261" t="s">
        <v>67</v>
      </c>
      <c r="F10261" t="s">
        <v>27987</v>
      </c>
      <c r="G10261" s="117">
        <v>95.66</v>
      </c>
    </row>
    <row r="10262" spans="1:7" x14ac:dyDescent="0.25">
      <c r="A10262" s="116" t="s">
        <v>29948</v>
      </c>
      <c r="B10262" s="117" t="s">
        <v>1082</v>
      </c>
      <c r="C10262" t="s">
        <v>67</v>
      </c>
      <c r="D10262" t="s">
        <v>67</v>
      </c>
      <c r="E10262" t="s">
        <v>67</v>
      </c>
      <c r="F10262" t="s">
        <v>27987</v>
      </c>
      <c r="G10262" s="117">
        <v>5</v>
      </c>
    </row>
    <row r="10263" spans="1:7" x14ac:dyDescent="0.25">
      <c r="A10263" s="116" t="s">
        <v>16129</v>
      </c>
      <c r="B10263" s="117" t="s">
        <v>384</v>
      </c>
      <c r="C10263" t="s">
        <v>67</v>
      </c>
      <c r="D10263" t="s">
        <v>67</v>
      </c>
      <c r="E10263" t="s">
        <v>67</v>
      </c>
      <c r="F10263" t="s">
        <v>45</v>
      </c>
      <c r="G10263" s="117">
        <v>12.01</v>
      </c>
    </row>
    <row r="10264" spans="1:7" x14ac:dyDescent="0.25">
      <c r="A10264" s="116" t="s">
        <v>16130</v>
      </c>
      <c r="B10264" s="117" t="s">
        <v>16131</v>
      </c>
      <c r="C10264" t="s">
        <v>67</v>
      </c>
      <c r="D10264" t="s">
        <v>67</v>
      </c>
      <c r="E10264" t="s">
        <v>67</v>
      </c>
      <c r="F10264" t="s">
        <v>27987</v>
      </c>
      <c r="G10264" s="117">
        <v>2.23</v>
      </c>
    </row>
    <row r="10265" spans="1:7" x14ac:dyDescent="0.25">
      <c r="A10265" s="116" t="s">
        <v>16132</v>
      </c>
      <c r="B10265" s="117" t="s">
        <v>16133</v>
      </c>
      <c r="C10265" t="s">
        <v>67</v>
      </c>
      <c r="D10265" t="s">
        <v>67</v>
      </c>
      <c r="E10265" t="s">
        <v>67</v>
      </c>
      <c r="F10265" t="s">
        <v>27987</v>
      </c>
      <c r="G10265" s="117">
        <v>31.58</v>
      </c>
    </row>
    <row r="10266" spans="1:7" x14ac:dyDescent="0.25">
      <c r="A10266" s="116" t="s">
        <v>16134</v>
      </c>
      <c r="B10266" s="117" t="s">
        <v>16098</v>
      </c>
      <c r="C10266" t="s">
        <v>67</v>
      </c>
      <c r="D10266" t="s">
        <v>67</v>
      </c>
      <c r="E10266" t="s">
        <v>67</v>
      </c>
      <c r="F10266" t="s">
        <v>45</v>
      </c>
      <c r="G10266" s="117">
        <v>9.6999999999999993</v>
      </c>
    </row>
    <row r="10267" spans="1:7" x14ac:dyDescent="0.25">
      <c r="A10267" s="116" t="s">
        <v>16135</v>
      </c>
      <c r="B10267" s="117" t="s">
        <v>16136</v>
      </c>
      <c r="C10267" t="s">
        <v>67</v>
      </c>
      <c r="D10267" t="s">
        <v>67</v>
      </c>
      <c r="E10267" t="s">
        <v>67</v>
      </c>
      <c r="F10267" t="s">
        <v>27987</v>
      </c>
      <c r="G10267" s="117">
        <v>104.02</v>
      </c>
    </row>
    <row r="10268" spans="1:7" x14ac:dyDescent="0.25">
      <c r="A10268" s="116" t="s">
        <v>16137</v>
      </c>
      <c r="B10268" s="117" t="s">
        <v>16138</v>
      </c>
      <c r="C10268" t="s">
        <v>67</v>
      </c>
      <c r="D10268" t="s">
        <v>67</v>
      </c>
      <c r="E10268" t="s">
        <v>67</v>
      </c>
      <c r="F10268" t="s">
        <v>45</v>
      </c>
      <c r="G10268" s="117">
        <v>0.89</v>
      </c>
    </row>
    <row r="10269" spans="1:7" x14ac:dyDescent="0.25">
      <c r="A10269" s="116" t="s">
        <v>16139</v>
      </c>
      <c r="B10269" s="117" t="s">
        <v>16140</v>
      </c>
      <c r="C10269" t="s">
        <v>67</v>
      </c>
      <c r="D10269" t="s">
        <v>67</v>
      </c>
      <c r="E10269" t="s">
        <v>67</v>
      </c>
      <c r="F10269" t="s">
        <v>49</v>
      </c>
      <c r="G10269" s="117">
        <v>54.19</v>
      </c>
    </row>
    <row r="10270" spans="1:7" x14ac:dyDescent="0.25">
      <c r="A10270" s="116" t="s">
        <v>16141</v>
      </c>
      <c r="B10270" s="117" t="s">
        <v>16142</v>
      </c>
      <c r="C10270" t="s">
        <v>67</v>
      </c>
      <c r="D10270" t="s">
        <v>67</v>
      </c>
      <c r="E10270" t="s">
        <v>67</v>
      </c>
      <c r="F10270" t="s">
        <v>49</v>
      </c>
      <c r="G10270" s="117">
        <v>23.58</v>
      </c>
    </row>
    <row r="10271" spans="1:7" x14ac:dyDescent="0.25">
      <c r="A10271" s="116" t="s">
        <v>16143</v>
      </c>
      <c r="B10271" s="117" t="s">
        <v>16144</v>
      </c>
      <c r="C10271" t="s">
        <v>67</v>
      </c>
      <c r="D10271" t="s">
        <v>67</v>
      </c>
      <c r="E10271" t="s">
        <v>67</v>
      </c>
      <c r="F10271" t="s">
        <v>49</v>
      </c>
      <c r="G10271" s="117">
        <v>46.71</v>
      </c>
    </row>
    <row r="10272" spans="1:7" x14ac:dyDescent="0.25">
      <c r="A10272" s="116" t="s">
        <v>16145</v>
      </c>
      <c r="B10272" s="117" t="s">
        <v>16146</v>
      </c>
      <c r="C10272" t="s">
        <v>67</v>
      </c>
      <c r="D10272" t="s">
        <v>67</v>
      </c>
      <c r="E10272" t="s">
        <v>67</v>
      </c>
      <c r="F10272" t="s">
        <v>27987</v>
      </c>
      <c r="G10272" s="117">
        <v>1.33</v>
      </c>
    </row>
    <row r="10273" spans="1:7" x14ac:dyDescent="0.25">
      <c r="A10273" s="116" t="s">
        <v>16147</v>
      </c>
      <c r="B10273" s="117" t="s">
        <v>16148</v>
      </c>
      <c r="C10273" t="s">
        <v>67</v>
      </c>
      <c r="D10273" t="s">
        <v>67</v>
      </c>
      <c r="E10273" t="s">
        <v>67</v>
      </c>
      <c r="F10273" t="s">
        <v>49</v>
      </c>
      <c r="G10273" s="117">
        <v>8.4499999999999993</v>
      </c>
    </row>
    <row r="10274" spans="1:7" x14ac:dyDescent="0.25">
      <c r="A10274" s="116" t="s">
        <v>16149</v>
      </c>
      <c r="B10274" s="117" t="s">
        <v>2231</v>
      </c>
      <c r="C10274" t="s">
        <v>67</v>
      </c>
      <c r="D10274" t="s">
        <v>67</v>
      </c>
      <c r="E10274" t="s">
        <v>67</v>
      </c>
      <c r="F10274" t="s">
        <v>27987</v>
      </c>
      <c r="G10274" s="117">
        <v>2.67</v>
      </c>
    </row>
    <row r="10275" spans="1:7" x14ac:dyDescent="0.25">
      <c r="A10275" s="116" t="s">
        <v>16150</v>
      </c>
      <c r="B10275" s="117" t="s">
        <v>2231</v>
      </c>
      <c r="C10275" t="s">
        <v>67</v>
      </c>
      <c r="D10275" t="s">
        <v>67</v>
      </c>
      <c r="E10275" t="s">
        <v>67</v>
      </c>
      <c r="F10275" t="s">
        <v>49</v>
      </c>
      <c r="G10275" s="117">
        <v>2.58</v>
      </c>
    </row>
    <row r="10276" spans="1:7" x14ac:dyDescent="0.25">
      <c r="A10276" s="116" t="s">
        <v>16151</v>
      </c>
      <c r="B10276" s="117" t="s">
        <v>16152</v>
      </c>
      <c r="C10276" t="s">
        <v>67</v>
      </c>
      <c r="D10276" t="s">
        <v>67</v>
      </c>
      <c r="E10276" t="s">
        <v>67</v>
      </c>
      <c r="F10276" t="s">
        <v>45</v>
      </c>
      <c r="G10276" s="117">
        <v>6.14</v>
      </c>
    </row>
    <row r="10277" spans="1:7" x14ac:dyDescent="0.25">
      <c r="A10277" s="116" t="s">
        <v>16153</v>
      </c>
      <c r="B10277" s="117" t="s">
        <v>16154</v>
      </c>
      <c r="C10277" t="s">
        <v>67</v>
      </c>
      <c r="D10277" t="s">
        <v>67</v>
      </c>
      <c r="E10277" t="s">
        <v>67</v>
      </c>
      <c r="F10277" t="s">
        <v>27987</v>
      </c>
      <c r="G10277" s="117">
        <v>7.02</v>
      </c>
    </row>
    <row r="10278" spans="1:7" x14ac:dyDescent="0.25">
      <c r="A10278" s="116" t="s">
        <v>16155</v>
      </c>
      <c r="B10278" s="117" t="s">
        <v>3370</v>
      </c>
      <c r="C10278" t="s">
        <v>67</v>
      </c>
      <c r="D10278" t="s">
        <v>67</v>
      </c>
      <c r="E10278" t="s">
        <v>67</v>
      </c>
      <c r="F10278" t="s">
        <v>27987</v>
      </c>
      <c r="G10278" s="117">
        <v>1.69</v>
      </c>
    </row>
    <row r="10279" spans="1:7" x14ac:dyDescent="0.25">
      <c r="A10279" s="116" t="s">
        <v>16156</v>
      </c>
      <c r="B10279" s="117" t="s">
        <v>16157</v>
      </c>
      <c r="C10279" t="s">
        <v>67</v>
      </c>
      <c r="D10279" t="s">
        <v>67</v>
      </c>
      <c r="E10279" t="s">
        <v>67</v>
      </c>
      <c r="F10279" t="s">
        <v>27987</v>
      </c>
      <c r="G10279" s="117">
        <v>20.72</v>
      </c>
    </row>
    <row r="10280" spans="1:7" x14ac:dyDescent="0.25">
      <c r="A10280" s="116" t="s">
        <v>16158</v>
      </c>
      <c r="B10280" s="117" t="s">
        <v>16159</v>
      </c>
      <c r="C10280" t="s">
        <v>67</v>
      </c>
      <c r="D10280" t="s">
        <v>67</v>
      </c>
      <c r="E10280" t="s">
        <v>67</v>
      </c>
      <c r="F10280" t="s">
        <v>27987</v>
      </c>
      <c r="G10280" s="117">
        <v>17.7</v>
      </c>
    </row>
    <row r="10281" spans="1:7" x14ac:dyDescent="0.25">
      <c r="A10281" s="116" t="s">
        <v>16160</v>
      </c>
      <c r="B10281" s="117" t="s">
        <v>16161</v>
      </c>
      <c r="C10281" t="s">
        <v>67</v>
      </c>
      <c r="D10281" t="s">
        <v>67</v>
      </c>
      <c r="E10281" t="s">
        <v>67</v>
      </c>
      <c r="F10281" t="s">
        <v>49</v>
      </c>
      <c r="G10281" s="117">
        <v>33.369999999999997</v>
      </c>
    </row>
    <row r="10282" spans="1:7" x14ac:dyDescent="0.25">
      <c r="A10282" s="116" t="s">
        <v>16162</v>
      </c>
      <c r="B10282" s="117" t="s">
        <v>16163</v>
      </c>
      <c r="C10282" t="s">
        <v>67</v>
      </c>
      <c r="D10282" t="s">
        <v>67</v>
      </c>
      <c r="E10282" t="s">
        <v>67</v>
      </c>
      <c r="F10282" t="s">
        <v>27987</v>
      </c>
      <c r="G10282" s="117">
        <v>8.81</v>
      </c>
    </row>
    <row r="10283" spans="1:7" x14ac:dyDescent="0.25">
      <c r="A10283" s="116" t="s">
        <v>16164</v>
      </c>
      <c r="B10283" s="117" t="s">
        <v>16165</v>
      </c>
      <c r="C10283" t="s">
        <v>67</v>
      </c>
      <c r="D10283" t="s">
        <v>67</v>
      </c>
      <c r="E10283" t="s">
        <v>67</v>
      </c>
      <c r="F10283" t="s">
        <v>27987</v>
      </c>
      <c r="G10283" s="117">
        <v>15.93</v>
      </c>
    </row>
    <row r="10284" spans="1:7" x14ac:dyDescent="0.25">
      <c r="A10284" s="116" t="s">
        <v>16166</v>
      </c>
      <c r="B10284" s="117" t="s">
        <v>16167</v>
      </c>
      <c r="C10284" t="s">
        <v>67</v>
      </c>
      <c r="D10284" t="s">
        <v>67</v>
      </c>
      <c r="E10284" t="s">
        <v>67</v>
      </c>
      <c r="F10284" t="s">
        <v>27987</v>
      </c>
      <c r="G10284" s="117">
        <v>4.8899999999999997</v>
      </c>
    </row>
    <row r="10285" spans="1:7" x14ac:dyDescent="0.25">
      <c r="A10285" s="116" t="s">
        <v>16168</v>
      </c>
      <c r="B10285" s="117" t="s">
        <v>14230</v>
      </c>
      <c r="C10285" t="s">
        <v>67</v>
      </c>
      <c r="D10285" t="s">
        <v>67</v>
      </c>
      <c r="E10285" t="s">
        <v>67</v>
      </c>
      <c r="F10285" t="s">
        <v>27987</v>
      </c>
      <c r="G10285" s="117">
        <v>5.33</v>
      </c>
    </row>
    <row r="10286" spans="1:7" x14ac:dyDescent="0.25">
      <c r="A10286" s="116" t="s">
        <v>16169</v>
      </c>
      <c r="B10286" s="117" t="s">
        <v>12709</v>
      </c>
      <c r="C10286" t="s">
        <v>67</v>
      </c>
      <c r="D10286" t="s">
        <v>67</v>
      </c>
      <c r="E10286" t="s">
        <v>67</v>
      </c>
      <c r="F10286" t="s">
        <v>27987</v>
      </c>
      <c r="G10286" s="117">
        <v>2.23</v>
      </c>
    </row>
    <row r="10287" spans="1:7" x14ac:dyDescent="0.25">
      <c r="A10287" s="116" t="s">
        <v>16170</v>
      </c>
      <c r="B10287" s="117" t="s">
        <v>16171</v>
      </c>
      <c r="C10287" t="s">
        <v>67</v>
      </c>
      <c r="D10287" t="s">
        <v>67</v>
      </c>
      <c r="E10287" t="s">
        <v>67</v>
      </c>
      <c r="F10287" t="s">
        <v>27987</v>
      </c>
      <c r="G10287" s="117">
        <v>3.12</v>
      </c>
    </row>
    <row r="10288" spans="1:7" x14ac:dyDescent="0.25">
      <c r="A10288" s="116" t="s">
        <v>16172</v>
      </c>
      <c r="B10288" s="117" t="s">
        <v>16173</v>
      </c>
      <c r="C10288" t="s">
        <v>67</v>
      </c>
      <c r="D10288" t="s">
        <v>67</v>
      </c>
      <c r="E10288" t="s">
        <v>67</v>
      </c>
      <c r="F10288" t="s">
        <v>27987</v>
      </c>
      <c r="G10288" s="117">
        <v>7.92</v>
      </c>
    </row>
    <row r="10289" spans="1:7" x14ac:dyDescent="0.25">
      <c r="A10289" s="116" t="s">
        <v>16174</v>
      </c>
      <c r="B10289" s="117" t="s">
        <v>1921</v>
      </c>
      <c r="C10289" t="s">
        <v>67</v>
      </c>
      <c r="D10289" t="s">
        <v>67</v>
      </c>
      <c r="E10289" t="s">
        <v>67</v>
      </c>
      <c r="F10289" t="s">
        <v>27987</v>
      </c>
      <c r="G10289" s="117">
        <v>32.479999999999997</v>
      </c>
    </row>
    <row r="10290" spans="1:7" x14ac:dyDescent="0.25">
      <c r="A10290" s="116" t="s">
        <v>16175</v>
      </c>
      <c r="B10290" s="117" t="s">
        <v>16176</v>
      </c>
      <c r="C10290" t="s">
        <v>67</v>
      </c>
      <c r="D10290" t="s">
        <v>67</v>
      </c>
      <c r="E10290" t="s">
        <v>67</v>
      </c>
      <c r="F10290" t="s">
        <v>27987</v>
      </c>
      <c r="G10290" s="117">
        <v>1.69</v>
      </c>
    </row>
    <row r="10291" spans="1:7" x14ac:dyDescent="0.25">
      <c r="A10291" s="116" t="s">
        <v>16177</v>
      </c>
      <c r="B10291" s="117" t="s">
        <v>16178</v>
      </c>
      <c r="C10291" t="s">
        <v>67</v>
      </c>
      <c r="D10291" t="s">
        <v>67</v>
      </c>
      <c r="E10291" t="s">
        <v>67</v>
      </c>
      <c r="F10291" t="s">
        <v>45</v>
      </c>
      <c r="G10291" s="117">
        <v>3.48</v>
      </c>
    </row>
    <row r="10292" spans="1:7" x14ac:dyDescent="0.25">
      <c r="A10292" s="116" t="s">
        <v>16179</v>
      </c>
      <c r="B10292" s="117" t="s">
        <v>16180</v>
      </c>
      <c r="C10292" t="s">
        <v>67</v>
      </c>
      <c r="D10292" t="s">
        <v>67</v>
      </c>
      <c r="E10292" t="s">
        <v>67</v>
      </c>
      <c r="F10292" t="s">
        <v>45</v>
      </c>
      <c r="G10292" s="117">
        <v>7.56</v>
      </c>
    </row>
    <row r="10293" spans="1:7" x14ac:dyDescent="0.25">
      <c r="A10293" s="116" t="s">
        <v>16181</v>
      </c>
      <c r="B10293" s="117" t="s">
        <v>16182</v>
      </c>
      <c r="C10293" t="s">
        <v>67</v>
      </c>
      <c r="D10293" t="s">
        <v>67</v>
      </c>
      <c r="E10293" t="s">
        <v>67</v>
      </c>
      <c r="F10293" t="s">
        <v>45</v>
      </c>
      <c r="G10293" s="117">
        <v>114.35</v>
      </c>
    </row>
    <row r="10294" spans="1:7" x14ac:dyDescent="0.25">
      <c r="A10294" s="116" t="s">
        <v>16183</v>
      </c>
      <c r="B10294" s="117" t="s">
        <v>14092</v>
      </c>
      <c r="C10294" t="s">
        <v>67</v>
      </c>
      <c r="D10294" t="s">
        <v>67</v>
      </c>
      <c r="E10294" t="s">
        <v>67</v>
      </c>
      <c r="F10294" t="s">
        <v>45</v>
      </c>
      <c r="G10294" s="117">
        <v>10.24</v>
      </c>
    </row>
    <row r="10295" spans="1:7" x14ac:dyDescent="0.25">
      <c r="A10295" s="116" t="s">
        <v>16184</v>
      </c>
      <c r="B10295" s="117" t="s">
        <v>16185</v>
      </c>
      <c r="C10295" t="s">
        <v>67</v>
      </c>
      <c r="D10295" t="s">
        <v>67</v>
      </c>
      <c r="E10295" t="s">
        <v>67</v>
      </c>
      <c r="F10295" t="s">
        <v>27987</v>
      </c>
      <c r="G10295" s="117">
        <v>39.340000000000003</v>
      </c>
    </row>
    <row r="10296" spans="1:7" x14ac:dyDescent="0.25">
      <c r="A10296" s="116" t="s">
        <v>16186</v>
      </c>
      <c r="B10296" s="117" t="s">
        <v>3482</v>
      </c>
      <c r="C10296" t="s">
        <v>67</v>
      </c>
      <c r="D10296" t="s">
        <v>67</v>
      </c>
      <c r="E10296" t="s">
        <v>67</v>
      </c>
      <c r="F10296" t="s">
        <v>45</v>
      </c>
      <c r="G10296" s="117">
        <v>10.24</v>
      </c>
    </row>
    <row r="10297" spans="1:7" x14ac:dyDescent="0.25">
      <c r="A10297" s="116" t="s">
        <v>16187</v>
      </c>
      <c r="B10297" s="117" t="s">
        <v>3482</v>
      </c>
      <c r="C10297" t="s">
        <v>67</v>
      </c>
      <c r="D10297" t="s">
        <v>67</v>
      </c>
      <c r="E10297" t="s">
        <v>67</v>
      </c>
      <c r="F10297" t="s">
        <v>45</v>
      </c>
      <c r="G10297" s="117">
        <v>10.24</v>
      </c>
    </row>
    <row r="10298" spans="1:7" x14ac:dyDescent="0.25">
      <c r="A10298" s="116" t="s">
        <v>30096</v>
      </c>
      <c r="B10298" s="117" t="s">
        <v>15854</v>
      </c>
      <c r="C10298" t="s">
        <v>67</v>
      </c>
      <c r="D10298" t="s">
        <v>67</v>
      </c>
      <c r="E10298" t="s">
        <v>67</v>
      </c>
      <c r="F10298" t="s">
        <v>27987</v>
      </c>
      <c r="G10298" s="117">
        <v>10.29</v>
      </c>
    </row>
    <row r="10299" spans="1:7" x14ac:dyDescent="0.25">
      <c r="A10299" s="116" t="s">
        <v>16188</v>
      </c>
      <c r="B10299" s="117" t="s">
        <v>16189</v>
      </c>
      <c r="C10299" t="s">
        <v>67</v>
      </c>
      <c r="D10299" t="s">
        <v>67</v>
      </c>
      <c r="E10299" t="s">
        <v>67</v>
      </c>
      <c r="F10299" t="s">
        <v>45</v>
      </c>
      <c r="G10299" s="117">
        <v>4</v>
      </c>
    </row>
    <row r="10300" spans="1:7" x14ac:dyDescent="0.25">
      <c r="A10300" s="116" t="s">
        <v>16190</v>
      </c>
      <c r="B10300" s="117" t="s">
        <v>16191</v>
      </c>
      <c r="C10300" t="s">
        <v>67</v>
      </c>
      <c r="D10300" t="s">
        <v>67</v>
      </c>
      <c r="E10300" t="s">
        <v>67</v>
      </c>
      <c r="F10300" t="s">
        <v>45</v>
      </c>
      <c r="G10300" s="117">
        <v>5.25</v>
      </c>
    </row>
    <row r="10301" spans="1:7" x14ac:dyDescent="0.25">
      <c r="A10301" s="116" t="s">
        <v>16192</v>
      </c>
      <c r="B10301" s="117" t="s">
        <v>16193</v>
      </c>
      <c r="C10301" t="s">
        <v>67</v>
      </c>
      <c r="D10301" t="s">
        <v>67</v>
      </c>
      <c r="E10301" t="s">
        <v>67</v>
      </c>
      <c r="F10301" t="s">
        <v>27987</v>
      </c>
      <c r="G10301" s="117">
        <v>80.52</v>
      </c>
    </row>
    <row r="10302" spans="1:7" x14ac:dyDescent="0.25">
      <c r="A10302" s="116" t="s">
        <v>16194</v>
      </c>
      <c r="B10302" s="117" t="s">
        <v>16195</v>
      </c>
      <c r="C10302" t="s">
        <v>67</v>
      </c>
      <c r="D10302" t="s">
        <v>67</v>
      </c>
      <c r="E10302" t="s">
        <v>67</v>
      </c>
      <c r="F10302" t="s">
        <v>45</v>
      </c>
      <c r="G10302" s="117">
        <v>20.38</v>
      </c>
    </row>
    <row r="10303" spans="1:7" x14ac:dyDescent="0.25">
      <c r="A10303" s="116" t="s">
        <v>16196</v>
      </c>
      <c r="B10303" s="117" t="s">
        <v>16197</v>
      </c>
      <c r="C10303" t="s">
        <v>67</v>
      </c>
      <c r="D10303" t="s">
        <v>67</v>
      </c>
      <c r="E10303" t="s">
        <v>67</v>
      </c>
      <c r="F10303" t="s">
        <v>27987</v>
      </c>
      <c r="G10303" s="117">
        <v>14.14</v>
      </c>
    </row>
    <row r="10304" spans="1:7" x14ac:dyDescent="0.25">
      <c r="A10304" s="116" t="s">
        <v>16198</v>
      </c>
      <c r="B10304" s="117" t="s">
        <v>16199</v>
      </c>
      <c r="C10304" t="s">
        <v>67</v>
      </c>
      <c r="D10304" t="s">
        <v>67</v>
      </c>
      <c r="E10304" t="s">
        <v>67</v>
      </c>
      <c r="F10304" t="s">
        <v>27987</v>
      </c>
      <c r="G10304" s="117">
        <v>44.94</v>
      </c>
    </row>
    <row r="10305" spans="1:7" x14ac:dyDescent="0.25">
      <c r="A10305" s="116" t="s">
        <v>16200</v>
      </c>
      <c r="B10305" s="117" t="s">
        <v>515</v>
      </c>
      <c r="C10305" t="s">
        <v>67</v>
      </c>
      <c r="D10305" t="s">
        <v>67</v>
      </c>
      <c r="E10305" t="s">
        <v>67</v>
      </c>
      <c r="F10305" t="s">
        <v>49</v>
      </c>
      <c r="G10305" s="117">
        <v>7.2</v>
      </c>
    </row>
    <row r="10306" spans="1:7" x14ac:dyDescent="0.25">
      <c r="A10306" s="116" t="s">
        <v>16201</v>
      </c>
      <c r="B10306" s="117" t="s">
        <v>16202</v>
      </c>
      <c r="C10306" t="s">
        <v>67</v>
      </c>
      <c r="D10306" t="s">
        <v>67</v>
      </c>
      <c r="E10306" t="s">
        <v>67</v>
      </c>
      <c r="F10306" t="s">
        <v>49</v>
      </c>
      <c r="G10306" s="117">
        <v>3.81</v>
      </c>
    </row>
    <row r="10307" spans="1:7" x14ac:dyDescent="0.25">
      <c r="A10307" s="116" t="s">
        <v>16203</v>
      </c>
      <c r="B10307" s="117" t="s">
        <v>16204</v>
      </c>
      <c r="C10307" t="s">
        <v>67</v>
      </c>
      <c r="D10307" t="s">
        <v>67</v>
      </c>
      <c r="E10307" t="s">
        <v>67</v>
      </c>
      <c r="F10307" t="s">
        <v>27987</v>
      </c>
      <c r="G10307" s="117">
        <v>33.369999999999997</v>
      </c>
    </row>
    <row r="10308" spans="1:7" x14ac:dyDescent="0.25">
      <c r="A10308" s="116" t="s">
        <v>16205</v>
      </c>
      <c r="B10308" s="117" t="s">
        <v>3144</v>
      </c>
      <c r="C10308" t="s">
        <v>67</v>
      </c>
      <c r="D10308" t="s">
        <v>67</v>
      </c>
      <c r="E10308" t="s">
        <v>67</v>
      </c>
      <c r="F10308" t="s">
        <v>27987</v>
      </c>
      <c r="G10308" s="117">
        <v>6.68</v>
      </c>
    </row>
    <row r="10309" spans="1:7" x14ac:dyDescent="0.25">
      <c r="A10309" s="116" t="s">
        <v>16206</v>
      </c>
      <c r="B10309" s="117" t="s">
        <v>10350</v>
      </c>
      <c r="C10309" t="s">
        <v>67</v>
      </c>
      <c r="D10309" t="s">
        <v>67</v>
      </c>
      <c r="E10309" t="s">
        <v>67</v>
      </c>
      <c r="F10309" t="s">
        <v>27987</v>
      </c>
      <c r="G10309" s="117">
        <v>8.4499999999999993</v>
      </c>
    </row>
    <row r="10310" spans="1:7" x14ac:dyDescent="0.25">
      <c r="A10310" s="116" t="s">
        <v>16207</v>
      </c>
      <c r="B10310" s="117" t="s">
        <v>16208</v>
      </c>
      <c r="C10310" t="s">
        <v>67</v>
      </c>
      <c r="D10310" t="s">
        <v>67</v>
      </c>
      <c r="E10310" t="s">
        <v>67</v>
      </c>
      <c r="F10310" t="s">
        <v>49</v>
      </c>
      <c r="G10310" s="117">
        <v>5.85</v>
      </c>
    </row>
    <row r="10311" spans="1:7" x14ac:dyDescent="0.25">
      <c r="A10311" s="116" t="s">
        <v>16209</v>
      </c>
      <c r="B10311" s="117" t="s">
        <v>16210</v>
      </c>
      <c r="C10311" t="s">
        <v>67</v>
      </c>
      <c r="D10311" t="s">
        <v>67</v>
      </c>
      <c r="E10311" t="s">
        <v>67</v>
      </c>
      <c r="F10311" t="s">
        <v>49</v>
      </c>
      <c r="G10311" s="117">
        <v>6.36</v>
      </c>
    </row>
    <row r="10312" spans="1:7" x14ac:dyDescent="0.25">
      <c r="A10312" s="116" t="s">
        <v>16211</v>
      </c>
      <c r="B10312" s="117" t="s">
        <v>16212</v>
      </c>
      <c r="C10312" t="s">
        <v>67</v>
      </c>
      <c r="D10312" t="s">
        <v>67</v>
      </c>
      <c r="E10312" t="s">
        <v>67</v>
      </c>
      <c r="F10312" t="s">
        <v>27990</v>
      </c>
      <c r="G10312" s="117">
        <v>6.36</v>
      </c>
    </row>
    <row r="10313" spans="1:7" x14ac:dyDescent="0.25">
      <c r="A10313" s="116" t="s">
        <v>16213</v>
      </c>
      <c r="B10313" s="117" t="s">
        <v>16214</v>
      </c>
      <c r="C10313" t="s">
        <v>67</v>
      </c>
      <c r="D10313" t="s">
        <v>67</v>
      </c>
      <c r="E10313" t="s">
        <v>67</v>
      </c>
      <c r="F10313" t="s">
        <v>27987</v>
      </c>
      <c r="G10313" s="117">
        <v>4.8899999999999997</v>
      </c>
    </row>
    <row r="10314" spans="1:7" x14ac:dyDescent="0.25">
      <c r="A10314" s="116" t="s">
        <v>16215</v>
      </c>
      <c r="B10314" s="117" t="s">
        <v>16216</v>
      </c>
      <c r="C10314" t="s">
        <v>67</v>
      </c>
      <c r="D10314" t="s">
        <v>67</v>
      </c>
      <c r="E10314" t="s">
        <v>67</v>
      </c>
      <c r="F10314" t="s">
        <v>27987</v>
      </c>
      <c r="G10314" s="117">
        <v>8.81</v>
      </c>
    </row>
    <row r="10315" spans="1:7" x14ac:dyDescent="0.25">
      <c r="A10315" s="116" t="s">
        <v>16217</v>
      </c>
      <c r="B10315" s="117" t="s">
        <v>16218</v>
      </c>
      <c r="C10315" t="s">
        <v>67</v>
      </c>
      <c r="D10315" t="s">
        <v>67</v>
      </c>
      <c r="E10315" t="s">
        <v>67</v>
      </c>
      <c r="F10315" t="s">
        <v>27987</v>
      </c>
      <c r="G10315" s="117">
        <v>7.12</v>
      </c>
    </row>
    <row r="10316" spans="1:7" x14ac:dyDescent="0.25">
      <c r="A10316" s="116" t="s">
        <v>16219</v>
      </c>
      <c r="B10316" s="117" t="s">
        <v>16220</v>
      </c>
      <c r="C10316" t="s">
        <v>67</v>
      </c>
      <c r="D10316" t="s">
        <v>67</v>
      </c>
      <c r="E10316" t="s">
        <v>67</v>
      </c>
      <c r="F10316" t="s">
        <v>27987</v>
      </c>
      <c r="G10316" s="117">
        <v>3.12</v>
      </c>
    </row>
    <row r="10317" spans="1:7" x14ac:dyDescent="0.25">
      <c r="A10317" s="116" t="s">
        <v>16221</v>
      </c>
      <c r="B10317" s="117" t="s">
        <v>10413</v>
      </c>
      <c r="C10317" t="s">
        <v>67</v>
      </c>
      <c r="D10317" t="s">
        <v>67</v>
      </c>
      <c r="E10317" t="s">
        <v>67</v>
      </c>
      <c r="F10317" t="s">
        <v>27987</v>
      </c>
      <c r="G10317" s="117">
        <v>2.58</v>
      </c>
    </row>
    <row r="10318" spans="1:7" x14ac:dyDescent="0.25">
      <c r="A10318" s="116" t="s">
        <v>16222</v>
      </c>
      <c r="B10318" s="117" t="s">
        <v>16223</v>
      </c>
      <c r="C10318" t="s">
        <v>67</v>
      </c>
      <c r="D10318" t="s">
        <v>67</v>
      </c>
      <c r="E10318" t="s">
        <v>67</v>
      </c>
      <c r="F10318" t="s">
        <v>49</v>
      </c>
      <c r="G10318" s="117">
        <v>5</v>
      </c>
    </row>
    <row r="10319" spans="1:7" x14ac:dyDescent="0.25">
      <c r="A10319" s="116" t="s">
        <v>16224</v>
      </c>
      <c r="B10319" s="117" t="s">
        <v>16225</v>
      </c>
      <c r="C10319" t="s">
        <v>67</v>
      </c>
      <c r="D10319" t="s">
        <v>67</v>
      </c>
      <c r="E10319" t="s">
        <v>67</v>
      </c>
      <c r="F10319" t="s">
        <v>49</v>
      </c>
      <c r="G10319" s="117">
        <v>5</v>
      </c>
    </row>
    <row r="10320" spans="1:7" x14ac:dyDescent="0.25">
      <c r="A10320" s="116" t="s">
        <v>16226</v>
      </c>
      <c r="B10320" s="117" t="s">
        <v>16227</v>
      </c>
      <c r="C10320" t="s">
        <v>67</v>
      </c>
      <c r="D10320" t="s">
        <v>67</v>
      </c>
      <c r="E10320" t="s">
        <v>67</v>
      </c>
      <c r="F10320" t="s">
        <v>27990</v>
      </c>
      <c r="G10320" s="117">
        <v>4.66</v>
      </c>
    </row>
    <row r="10321" spans="1:7" x14ac:dyDescent="0.25">
      <c r="A10321" s="116" t="s">
        <v>16228</v>
      </c>
      <c r="B10321" s="117" t="s">
        <v>15705</v>
      </c>
      <c r="C10321" t="s">
        <v>67</v>
      </c>
      <c r="D10321" t="s">
        <v>67</v>
      </c>
      <c r="E10321" t="s">
        <v>67</v>
      </c>
      <c r="F10321" t="s">
        <v>49</v>
      </c>
      <c r="G10321" s="117">
        <v>2.46</v>
      </c>
    </row>
    <row r="10322" spans="1:7" x14ac:dyDescent="0.25">
      <c r="A10322" s="116" t="s">
        <v>16229</v>
      </c>
      <c r="B10322" s="117" t="s">
        <v>16230</v>
      </c>
      <c r="C10322" t="s">
        <v>67</v>
      </c>
      <c r="D10322" t="s">
        <v>67</v>
      </c>
      <c r="E10322" t="s">
        <v>67</v>
      </c>
      <c r="F10322" t="s">
        <v>27987</v>
      </c>
      <c r="G10322" s="117">
        <v>6.14</v>
      </c>
    </row>
    <row r="10323" spans="1:7" x14ac:dyDescent="0.25">
      <c r="A10323" s="116" t="s">
        <v>16231</v>
      </c>
      <c r="B10323" s="117" t="s">
        <v>16232</v>
      </c>
      <c r="C10323" t="s">
        <v>67</v>
      </c>
      <c r="D10323" t="s">
        <v>67</v>
      </c>
      <c r="E10323" t="s">
        <v>67</v>
      </c>
      <c r="F10323" t="s">
        <v>27987</v>
      </c>
      <c r="G10323" s="117">
        <v>34.26</v>
      </c>
    </row>
    <row r="10324" spans="1:7" x14ac:dyDescent="0.25">
      <c r="A10324" s="116" t="s">
        <v>16233</v>
      </c>
      <c r="B10324" s="117" t="s">
        <v>16234</v>
      </c>
      <c r="C10324" t="s">
        <v>67</v>
      </c>
      <c r="D10324" t="s">
        <v>67</v>
      </c>
      <c r="E10324" t="s">
        <v>67</v>
      </c>
      <c r="F10324" t="s">
        <v>27987</v>
      </c>
      <c r="G10324" s="117">
        <v>2.23</v>
      </c>
    </row>
    <row r="10325" spans="1:7" x14ac:dyDescent="0.25">
      <c r="A10325" s="116" t="s">
        <v>16235</v>
      </c>
      <c r="B10325" s="117" t="s">
        <v>16236</v>
      </c>
      <c r="C10325" t="s">
        <v>67</v>
      </c>
      <c r="D10325" t="s">
        <v>67</v>
      </c>
      <c r="E10325" t="s">
        <v>67</v>
      </c>
      <c r="F10325" t="s">
        <v>27987</v>
      </c>
      <c r="G10325" s="117">
        <v>1.69</v>
      </c>
    </row>
    <row r="10326" spans="1:7" x14ac:dyDescent="0.25">
      <c r="A10326" s="116" t="s">
        <v>16237</v>
      </c>
      <c r="B10326" s="117" t="s">
        <v>16238</v>
      </c>
      <c r="C10326" t="s">
        <v>67</v>
      </c>
      <c r="D10326" t="s">
        <v>67</v>
      </c>
      <c r="E10326" t="s">
        <v>67</v>
      </c>
      <c r="F10326" t="s">
        <v>45</v>
      </c>
      <c r="G10326" s="117">
        <v>3.12</v>
      </c>
    </row>
    <row r="10327" spans="1:7" x14ac:dyDescent="0.25">
      <c r="A10327" s="116" t="s">
        <v>16239</v>
      </c>
      <c r="B10327" s="117" t="s">
        <v>16240</v>
      </c>
      <c r="C10327" t="s">
        <v>67</v>
      </c>
      <c r="D10327" t="s">
        <v>67</v>
      </c>
      <c r="E10327" t="s">
        <v>67</v>
      </c>
      <c r="F10327" t="s">
        <v>45</v>
      </c>
      <c r="G10327" s="117">
        <v>0.89</v>
      </c>
    </row>
    <row r="10328" spans="1:7" x14ac:dyDescent="0.25">
      <c r="A10328" s="116" t="s">
        <v>16241</v>
      </c>
      <c r="B10328" s="117" t="s">
        <v>16242</v>
      </c>
      <c r="C10328" t="s">
        <v>67</v>
      </c>
      <c r="D10328" t="s">
        <v>67</v>
      </c>
      <c r="E10328" t="s">
        <v>67</v>
      </c>
      <c r="F10328" t="s">
        <v>45</v>
      </c>
      <c r="G10328" s="117">
        <v>0.89</v>
      </c>
    </row>
    <row r="10329" spans="1:7" x14ac:dyDescent="0.25">
      <c r="A10329" s="116" t="s">
        <v>16243</v>
      </c>
      <c r="B10329" s="117" t="s">
        <v>16244</v>
      </c>
      <c r="C10329" t="s">
        <v>67</v>
      </c>
      <c r="D10329" t="s">
        <v>67</v>
      </c>
      <c r="E10329" t="s">
        <v>67</v>
      </c>
      <c r="F10329" t="s">
        <v>27987</v>
      </c>
      <c r="G10329" s="117">
        <v>1.33</v>
      </c>
    </row>
    <row r="10330" spans="1:7" x14ac:dyDescent="0.25">
      <c r="A10330" s="116" t="s">
        <v>16245</v>
      </c>
      <c r="B10330" s="117" t="s">
        <v>13662</v>
      </c>
      <c r="C10330" t="s">
        <v>67</v>
      </c>
      <c r="D10330" t="s">
        <v>67</v>
      </c>
      <c r="E10330" t="s">
        <v>67</v>
      </c>
      <c r="F10330" t="s">
        <v>27987</v>
      </c>
      <c r="G10330" s="117">
        <v>3.12</v>
      </c>
    </row>
    <row r="10331" spans="1:7" x14ac:dyDescent="0.25">
      <c r="A10331" s="116" t="s">
        <v>16246</v>
      </c>
      <c r="B10331" s="117" t="s">
        <v>16247</v>
      </c>
      <c r="C10331" t="s">
        <v>67</v>
      </c>
      <c r="D10331" t="s">
        <v>67</v>
      </c>
      <c r="E10331" t="s">
        <v>67</v>
      </c>
      <c r="F10331" t="s">
        <v>27987</v>
      </c>
      <c r="G10331" s="117">
        <v>10.58</v>
      </c>
    </row>
    <row r="10332" spans="1:7" x14ac:dyDescent="0.25">
      <c r="A10332" s="116" t="s">
        <v>16248</v>
      </c>
      <c r="B10332" s="117" t="s">
        <v>16249</v>
      </c>
      <c r="C10332" t="s">
        <v>67</v>
      </c>
      <c r="D10332" t="s">
        <v>67</v>
      </c>
      <c r="E10332" t="s">
        <v>67</v>
      </c>
      <c r="F10332" t="s">
        <v>27987</v>
      </c>
      <c r="G10332" s="117">
        <v>48.5</v>
      </c>
    </row>
    <row r="10333" spans="1:7" x14ac:dyDescent="0.25">
      <c r="A10333" s="116" t="s">
        <v>16250</v>
      </c>
      <c r="B10333" s="117" t="s">
        <v>16251</v>
      </c>
      <c r="C10333" t="s">
        <v>67</v>
      </c>
      <c r="D10333" t="s">
        <v>67</v>
      </c>
      <c r="E10333" t="s">
        <v>67</v>
      </c>
      <c r="F10333" t="s">
        <v>27987</v>
      </c>
      <c r="G10333" s="117">
        <v>77.86</v>
      </c>
    </row>
    <row r="10334" spans="1:7" x14ac:dyDescent="0.25">
      <c r="A10334" s="116" t="s">
        <v>16252</v>
      </c>
      <c r="B10334" s="117" t="s">
        <v>13851</v>
      </c>
      <c r="C10334" t="s">
        <v>67</v>
      </c>
      <c r="D10334" t="s">
        <v>67</v>
      </c>
      <c r="E10334" t="s">
        <v>67</v>
      </c>
      <c r="F10334" t="s">
        <v>49</v>
      </c>
      <c r="G10334" s="117">
        <v>8.4499999999999993</v>
      </c>
    </row>
    <row r="10335" spans="1:7" x14ac:dyDescent="0.25">
      <c r="A10335" s="116" t="s">
        <v>16253</v>
      </c>
      <c r="B10335" s="117" t="s">
        <v>16254</v>
      </c>
      <c r="C10335" t="s">
        <v>67</v>
      </c>
      <c r="D10335" t="s">
        <v>67</v>
      </c>
      <c r="E10335" t="s">
        <v>67</v>
      </c>
      <c r="F10335" t="s">
        <v>27987</v>
      </c>
      <c r="G10335" s="117">
        <v>16.82</v>
      </c>
    </row>
    <row r="10336" spans="1:7" x14ac:dyDescent="0.25">
      <c r="A10336" s="116" t="s">
        <v>16255</v>
      </c>
      <c r="B10336" s="117" t="s">
        <v>16256</v>
      </c>
      <c r="C10336" t="s">
        <v>67</v>
      </c>
      <c r="D10336" t="s">
        <v>67</v>
      </c>
      <c r="E10336" t="s">
        <v>67</v>
      </c>
      <c r="F10336" t="s">
        <v>27987</v>
      </c>
      <c r="G10336" s="117">
        <v>20.38</v>
      </c>
    </row>
    <row r="10337" spans="1:7" x14ac:dyDescent="0.25">
      <c r="A10337" s="116" t="s">
        <v>16257</v>
      </c>
      <c r="B10337" s="117" t="s">
        <v>13818</v>
      </c>
      <c r="C10337" t="s">
        <v>67</v>
      </c>
      <c r="D10337" t="s">
        <v>67</v>
      </c>
      <c r="E10337" t="s">
        <v>67</v>
      </c>
      <c r="F10337" t="s">
        <v>45</v>
      </c>
      <c r="G10337" s="117">
        <v>19.13</v>
      </c>
    </row>
    <row r="10338" spans="1:7" x14ac:dyDescent="0.25">
      <c r="A10338" s="116" t="s">
        <v>16258</v>
      </c>
      <c r="B10338" s="117" t="s">
        <v>1669</v>
      </c>
      <c r="C10338" t="s">
        <v>67</v>
      </c>
      <c r="D10338" t="s">
        <v>67</v>
      </c>
      <c r="E10338" t="s">
        <v>67</v>
      </c>
      <c r="F10338" t="s">
        <v>49</v>
      </c>
      <c r="G10338" s="117">
        <v>17.7</v>
      </c>
    </row>
    <row r="10339" spans="1:7" x14ac:dyDescent="0.25">
      <c r="A10339" s="116" t="s">
        <v>16259</v>
      </c>
      <c r="B10339" s="117" t="s">
        <v>16260</v>
      </c>
      <c r="C10339" t="s">
        <v>67</v>
      </c>
      <c r="D10339" t="s">
        <v>67</v>
      </c>
      <c r="E10339" t="s">
        <v>67</v>
      </c>
      <c r="F10339" t="s">
        <v>51</v>
      </c>
      <c r="G10339" s="117">
        <v>1.33</v>
      </c>
    </row>
    <row r="10340" spans="1:7" x14ac:dyDescent="0.25">
      <c r="A10340" s="116" t="s">
        <v>16261</v>
      </c>
      <c r="B10340" s="117" t="s">
        <v>5106</v>
      </c>
      <c r="C10340" t="s">
        <v>67</v>
      </c>
      <c r="D10340" t="s">
        <v>67</v>
      </c>
      <c r="E10340" t="s">
        <v>67</v>
      </c>
      <c r="F10340" t="s">
        <v>27990</v>
      </c>
      <c r="G10340" s="117">
        <v>2.58</v>
      </c>
    </row>
    <row r="10341" spans="1:7" x14ac:dyDescent="0.25">
      <c r="A10341" s="116" t="s">
        <v>16262</v>
      </c>
      <c r="B10341" s="117" t="s">
        <v>14736</v>
      </c>
      <c r="C10341" t="s">
        <v>67</v>
      </c>
      <c r="D10341" t="s">
        <v>67</v>
      </c>
      <c r="E10341" t="s">
        <v>67</v>
      </c>
      <c r="F10341" t="s">
        <v>51</v>
      </c>
      <c r="G10341" s="117">
        <v>2.58</v>
      </c>
    </row>
    <row r="10342" spans="1:7" x14ac:dyDescent="0.25">
      <c r="A10342" s="116" t="s">
        <v>16263</v>
      </c>
      <c r="B10342" s="117" t="s">
        <v>16264</v>
      </c>
      <c r="C10342" t="s">
        <v>67</v>
      </c>
      <c r="D10342" t="s">
        <v>67</v>
      </c>
      <c r="E10342" t="s">
        <v>67</v>
      </c>
      <c r="F10342" t="s">
        <v>49</v>
      </c>
      <c r="G10342" s="117">
        <v>8.89</v>
      </c>
    </row>
    <row r="10343" spans="1:7" x14ac:dyDescent="0.25">
      <c r="A10343" s="116" t="s">
        <v>29223</v>
      </c>
      <c r="B10343" s="117" t="s">
        <v>13586</v>
      </c>
      <c r="C10343" t="s">
        <v>67</v>
      </c>
      <c r="D10343" t="s">
        <v>67</v>
      </c>
      <c r="E10343" t="s">
        <v>67</v>
      </c>
      <c r="F10343" t="s">
        <v>27987</v>
      </c>
      <c r="G10343" s="117">
        <v>5</v>
      </c>
    </row>
    <row r="10344" spans="1:7" x14ac:dyDescent="0.25">
      <c r="A10344" s="116" t="s">
        <v>16265</v>
      </c>
      <c r="B10344" s="117" t="s">
        <v>13851</v>
      </c>
      <c r="C10344" t="s">
        <v>67</v>
      </c>
      <c r="D10344" t="s">
        <v>67</v>
      </c>
      <c r="E10344" t="s">
        <v>67</v>
      </c>
      <c r="F10344" t="s">
        <v>27990</v>
      </c>
      <c r="G10344" s="117">
        <v>6.68</v>
      </c>
    </row>
    <row r="10345" spans="1:7" x14ac:dyDescent="0.25">
      <c r="A10345" s="116" t="s">
        <v>16266</v>
      </c>
      <c r="B10345" s="117" t="s">
        <v>16267</v>
      </c>
      <c r="C10345" t="s">
        <v>67</v>
      </c>
      <c r="D10345" t="s">
        <v>67</v>
      </c>
      <c r="E10345" t="s">
        <v>67</v>
      </c>
      <c r="F10345" t="s">
        <v>51</v>
      </c>
      <c r="G10345" s="117">
        <v>91.1</v>
      </c>
    </row>
    <row r="10346" spans="1:7" x14ac:dyDescent="0.25">
      <c r="A10346" s="116" t="s">
        <v>16268</v>
      </c>
      <c r="B10346" s="117" t="s">
        <v>16269</v>
      </c>
      <c r="C10346" t="s">
        <v>67</v>
      </c>
      <c r="D10346" t="s">
        <v>67</v>
      </c>
      <c r="E10346" t="s">
        <v>67</v>
      </c>
      <c r="F10346" t="s">
        <v>27987</v>
      </c>
      <c r="G10346" s="117">
        <v>38.56</v>
      </c>
    </row>
    <row r="10347" spans="1:7" x14ac:dyDescent="0.25">
      <c r="A10347" s="116" t="s">
        <v>16270</v>
      </c>
      <c r="B10347" s="117" t="s">
        <v>16271</v>
      </c>
      <c r="C10347" t="s">
        <v>67</v>
      </c>
      <c r="D10347" t="s">
        <v>67</v>
      </c>
      <c r="E10347" t="s">
        <v>67</v>
      </c>
      <c r="F10347" t="s">
        <v>27987</v>
      </c>
      <c r="G10347" s="117">
        <v>55.85</v>
      </c>
    </row>
    <row r="10348" spans="1:7" x14ac:dyDescent="0.25">
      <c r="A10348" s="116" t="s">
        <v>16272</v>
      </c>
      <c r="B10348" s="117" t="s">
        <v>16273</v>
      </c>
      <c r="C10348" t="s">
        <v>67</v>
      </c>
      <c r="D10348" t="s">
        <v>67</v>
      </c>
      <c r="E10348" t="s">
        <v>67</v>
      </c>
      <c r="F10348" t="s">
        <v>49</v>
      </c>
      <c r="G10348" s="117">
        <v>39.75</v>
      </c>
    </row>
    <row r="10349" spans="1:7" x14ac:dyDescent="0.25">
      <c r="A10349" s="116" t="s">
        <v>16274</v>
      </c>
      <c r="B10349" s="117" t="s">
        <v>16275</v>
      </c>
      <c r="C10349" t="s">
        <v>67</v>
      </c>
      <c r="D10349" t="s">
        <v>67</v>
      </c>
      <c r="E10349" t="s">
        <v>67</v>
      </c>
      <c r="F10349" t="s">
        <v>27990</v>
      </c>
      <c r="G10349" s="117">
        <v>7.2</v>
      </c>
    </row>
    <row r="10350" spans="1:7" x14ac:dyDescent="0.25">
      <c r="A10350" s="116" t="s">
        <v>16276</v>
      </c>
      <c r="B10350" s="117" t="s">
        <v>16277</v>
      </c>
      <c r="C10350" t="s">
        <v>67</v>
      </c>
      <c r="D10350" t="s">
        <v>67</v>
      </c>
      <c r="E10350" t="s">
        <v>67</v>
      </c>
      <c r="F10350" t="s">
        <v>27990</v>
      </c>
      <c r="G10350" s="117">
        <v>26.19</v>
      </c>
    </row>
    <row r="10351" spans="1:7" x14ac:dyDescent="0.25">
      <c r="A10351" s="116" t="s">
        <v>16278</v>
      </c>
      <c r="B10351" s="117" t="s">
        <v>10804</v>
      </c>
      <c r="C10351" t="s">
        <v>67</v>
      </c>
      <c r="D10351" t="s">
        <v>67</v>
      </c>
      <c r="E10351" t="s">
        <v>67</v>
      </c>
      <c r="F10351" t="s">
        <v>51</v>
      </c>
      <c r="G10351" s="117">
        <v>20.25</v>
      </c>
    </row>
    <row r="10352" spans="1:7" x14ac:dyDescent="0.25">
      <c r="A10352" s="116" t="s">
        <v>16279</v>
      </c>
      <c r="B10352" s="117" t="s">
        <v>16280</v>
      </c>
      <c r="C10352" t="s">
        <v>67</v>
      </c>
      <c r="D10352" t="s">
        <v>67</v>
      </c>
      <c r="E10352" t="s">
        <v>67</v>
      </c>
      <c r="F10352" t="s">
        <v>51</v>
      </c>
      <c r="G10352" s="117">
        <v>13.14</v>
      </c>
    </row>
    <row r="10353" spans="1:7" x14ac:dyDescent="0.25">
      <c r="A10353" s="116" t="s">
        <v>16281</v>
      </c>
      <c r="B10353" s="117" t="s">
        <v>16282</v>
      </c>
      <c r="C10353" t="s">
        <v>67</v>
      </c>
      <c r="D10353" t="s">
        <v>67</v>
      </c>
      <c r="E10353" t="s">
        <v>67</v>
      </c>
      <c r="F10353" t="s">
        <v>51</v>
      </c>
      <c r="G10353" s="117">
        <v>22.8</v>
      </c>
    </row>
    <row r="10354" spans="1:7" x14ac:dyDescent="0.25">
      <c r="A10354" s="116" t="s">
        <v>16283</v>
      </c>
      <c r="B10354" s="117" t="s">
        <v>16284</v>
      </c>
      <c r="C10354" t="s">
        <v>67</v>
      </c>
      <c r="D10354" t="s">
        <v>67</v>
      </c>
      <c r="E10354" t="s">
        <v>67</v>
      </c>
      <c r="F10354" t="s">
        <v>27990</v>
      </c>
      <c r="G10354" s="117">
        <v>4.66</v>
      </c>
    </row>
    <row r="10355" spans="1:7" x14ac:dyDescent="0.25">
      <c r="A10355" s="116" t="s">
        <v>16285</v>
      </c>
      <c r="B10355" s="117" t="s">
        <v>14111</v>
      </c>
      <c r="C10355" t="s">
        <v>67</v>
      </c>
      <c r="D10355" t="s">
        <v>67</v>
      </c>
      <c r="E10355" t="s">
        <v>67</v>
      </c>
      <c r="F10355" t="s">
        <v>51</v>
      </c>
      <c r="G10355" s="117">
        <v>7.54</v>
      </c>
    </row>
    <row r="10356" spans="1:7" x14ac:dyDescent="0.25">
      <c r="A10356" s="116" t="s">
        <v>16286</v>
      </c>
      <c r="B10356" s="117" t="s">
        <v>14314</v>
      </c>
      <c r="C10356" t="s">
        <v>67</v>
      </c>
      <c r="D10356" t="s">
        <v>67</v>
      </c>
      <c r="E10356" t="s">
        <v>67</v>
      </c>
      <c r="F10356" t="s">
        <v>51</v>
      </c>
      <c r="G10356" s="117">
        <v>8.9</v>
      </c>
    </row>
    <row r="10357" spans="1:7" x14ac:dyDescent="0.25">
      <c r="A10357" s="116" t="s">
        <v>16287</v>
      </c>
      <c r="B10357" s="117" t="s">
        <v>16214</v>
      </c>
      <c r="C10357" t="s">
        <v>67</v>
      </c>
      <c r="D10357" t="s">
        <v>67</v>
      </c>
      <c r="E10357" t="s">
        <v>67</v>
      </c>
      <c r="F10357" t="s">
        <v>51</v>
      </c>
      <c r="G10357" s="117">
        <v>5.51</v>
      </c>
    </row>
    <row r="10358" spans="1:7" x14ac:dyDescent="0.25">
      <c r="A10358" s="116" t="s">
        <v>16288</v>
      </c>
      <c r="B10358" s="117" t="s">
        <v>16289</v>
      </c>
      <c r="C10358" t="s">
        <v>67</v>
      </c>
      <c r="D10358" t="s">
        <v>67</v>
      </c>
      <c r="E10358" t="s">
        <v>67</v>
      </c>
      <c r="F10358" t="s">
        <v>51</v>
      </c>
      <c r="G10358" s="117">
        <v>5.51</v>
      </c>
    </row>
    <row r="10359" spans="1:7" x14ac:dyDescent="0.25">
      <c r="A10359" s="116" t="s">
        <v>16290</v>
      </c>
      <c r="B10359" s="117" t="s">
        <v>16291</v>
      </c>
      <c r="C10359" t="s">
        <v>67</v>
      </c>
      <c r="D10359" t="s">
        <v>67</v>
      </c>
      <c r="E10359" t="s">
        <v>67</v>
      </c>
      <c r="F10359" t="s">
        <v>45</v>
      </c>
      <c r="G10359" s="117">
        <v>3.31</v>
      </c>
    </row>
    <row r="10360" spans="1:7" x14ac:dyDescent="0.25">
      <c r="A10360" s="116" t="s">
        <v>16292</v>
      </c>
      <c r="B10360" s="117" t="s">
        <v>16293</v>
      </c>
      <c r="C10360" t="s">
        <v>67</v>
      </c>
      <c r="D10360" t="s">
        <v>67</v>
      </c>
      <c r="E10360" t="s">
        <v>67</v>
      </c>
      <c r="F10360" t="s">
        <v>45</v>
      </c>
      <c r="G10360" s="117">
        <v>7.54</v>
      </c>
    </row>
    <row r="10361" spans="1:7" x14ac:dyDescent="0.25">
      <c r="A10361" s="116" t="s">
        <v>16294</v>
      </c>
      <c r="B10361" s="117" t="s">
        <v>16295</v>
      </c>
      <c r="C10361" t="s">
        <v>67</v>
      </c>
      <c r="D10361" t="s">
        <v>67</v>
      </c>
      <c r="E10361" t="s">
        <v>67</v>
      </c>
      <c r="F10361" t="s">
        <v>45</v>
      </c>
      <c r="G10361" s="117">
        <v>6.69</v>
      </c>
    </row>
    <row r="10362" spans="1:7" x14ac:dyDescent="0.25">
      <c r="A10362" s="116" t="s">
        <v>16296</v>
      </c>
      <c r="B10362" s="117" t="s">
        <v>16297</v>
      </c>
      <c r="C10362" t="s">
        <v>67</v>
      </c>
      <c r="D10362" t="s">
        <v>67</v>
      </c>
      <c r="E10362" t="s">
        <v>67</v>
      </c>
      <c r="F10362" t="s">
        <v>49</v>
      </c>
      <c r="G10362" s="117">
        <v>3.31</v>
      </c>
    </row>
    <row r="10363" spans="1:7" x14ac:dyDescent="0.25">
      <c r="A10363" s="116" t="s">
        <v>16298</v>
      </c>
      <c r="B10363" s="117" t="s">
        <v>16299</v>
      </c>
      <c r="C10363" t="s">
        <v>67</v>
      </c>
      <c r="D10363" t="s">
        <v>67</v>
      </c>
      <c r="E10363" t="s">
        <v>67</v>
      </c>
      <c r="F10363" t="s">
        <v>49</v>
      </c>
      <c r="G10363" s="117">
        <v>21.61</v>
      </c>
    </row>
    <row r="10364" spans="1:7" x14ac:dyDescent="0.25">
      <c r="A10364" s="116" t="s">
        <v>16300</v>
      </c>
      <c r="B10364" s="117" t="s">
        <v>16216</v>
      </c>
      <c r="C10364" t="s">
        <v>67</v>
      </c>
      <c r="D10364" t="s">
        <v>67</v>
      </c>
      <c r="E10364" t="s">
        <v>67</v>
      </c>
      <c r="F10364" t="s">
        <v>27987</v>
      </c>
      <c r="G10364" s="117">
        <v>8.39</v>
      </c>
    </row>
    <row r="10365" spans="1:7" x14ac:dyDescent="0.25">
      <c r="A10365" s="116" t="s">
        <v>16301</v>
      </c>
      <c r="B10365" s="117" t="s">
        <v>16302</v>
      </c>
      <c r="C10365" t="s">
        <v>67</v>
      </c>
      <c r="D10365" t="s">
        <v>67</v>
      </c>
      <c r="E10365" t="s">
        <v>67</v>
      </c>
      <c r="F10365" t="s">
        <v>51</v>
      </c>
      <c r="G10365" s="117">
        <v>21.61</v>
      </c>
    </row>
    <row r="10366" spans="1:7" x14ac:dyDescent="0.25">
      <c r="A10366" s="116" t="s">
        <v>16303</v>
      </c>
      <c r="B10366" s="117" t="s">
        <v>16304</v>
      </c>
      <c r="C10366" t="s">
        <v>67</v>
      </c>
      <c r="D10366" t="s">
        <v>67</v>
      </c>
      <c r="E10366" t="s">
        <v>67</v>
      </c>
      <c r="F10366" t="s">
        <v>27990</v>
      </c>
      <c r="G10366" s="117">
        <v>41.1</v>
      </c>
    </row>
    <row r="10367" spans="1:7" x14ac:dyDescent="0.25">
      <c r="A10367" s="116" t="s">
        <v>16305</v>
      </c>
      <c r="B10367" s="117" t="s">
        <v>16306</v>
      </c>
      <c r="C10367" t="s">
        <v>67</v>
      </c>
      <c r="D10367" t="s">
        <v>67</v>
      </c>
      <c r="E10367" t="s">
        <v>67</v>
      </c>
      <c r="F10367" t="s">
        <v>27987</v>
      </c>
      <c r="G10367" s="117">
        <v>62.63</v>
      </c>
    </row>
    <row r="10368" spans="1:7" x14ac:dyDescent="0.25">
      <c r="A10368" s="116" t="s">
        <v>16307</v>
      </c>
      <c r="B10368" s="117" t="s">
        <v>16308</v>
      </c>
      <c r="C10368" t="s">
        <v>67</v>
      </c>
      <c r="D10368" t="s">
        <v>67</v>
      </c>
      <c r="E10368" t="s">
        <v>67</v>
      </c>
      <c r="F10368" t="s">
        <v>45</v>
      </c>
      <c r="G10368" s="117">
        <v>11.44</v>
      </c>
    </row>
    <row r="10369" spans="1:7" x14ac:dyDescent="0.25">
      <c r="A10369" s="116" t="s">
        <v>16309</v>
      </c>
      <c r="B10369" s="117" t="s">
        <v>16310</v>
      </c>
      <c r="C10369" t="s">
        <v>67</v>
      </c>
      <c r="D10369" t="s">
        <v>67</v>
      </c>
      <c r="E10369" t="s">
        <v>67</v>
      </c>
      <c r="F10369" t="s">
        <v>27987</v>
      </c>
      <c r="G10369" s="117">
        <v>3.12</v>
      </c>
    </row>
    <row r="10370" spans="1:7" x14ac:dyDescent="0.25">
      <c r="A10370" s="116" t="s">
        <v>16311</v>
      </c>
      <c r="B10370" s="117" t="s">
        <v>16312</v>
      </c>
      <c r="C10370" t="s">
        <v>67</v>
      </c>
      <c r="D10370" t="s">
        <v>67</v>
      </c>
      <c r="E10370" t="s">
        <v>67</v>
      </c>
      <c r="F10370" t="s">
        <v>45</v>
      </c>
      <c r="G10370" s="117">
        <v>24.82</v>
      </c>
    </row>
    <row r="10371" spans="1:7" x14ac:dyDescent="0.25">
      <c r="A10371" s="116" t="s">
        <v>16313</v>
      </c>
      <c r="B10371" s="117" t="s">
        <v>29224</v>
      </c>
      <c r="C10371" t="s">
        <v>67</v>
      </c>
      <c r="D10371" t="s">
        <v>67</v>
      </c>
      <c r="E10371" t="s">
        <v>67</v>
      </c>
      <c r="F10371" t="s">
        <v>27987</v>
      </c>
      <c r="G10371" s="117">
        <v>20.25</v>
      </c>
    </row>
    <row r="10372" spans="1:7" x14ac:dyDescent="0.25">
      <c r="A10372" s="116" t="s">
        <v>16314</v>
      </c>
      <c r="B10372" s="117" t="s">
        <v>16315</v>
      </c>
      <c r="C10372" t="s">
        <v>67</v>
      </c>
      <c r="D10372" t="s">
        <v>67</v>
      </c>
      <c r="E10372" t="s">
        <v>67</v>
      </c>
      <c r="F10372" t="s">
        <v>45</v>
      </c>
      <c r="G10372" s="117">
        <v>5.25</v>
      </c>
    </row>
    <row r="10373" spans="1:7" x14ac:dyDescent="0.25">
      <c r="A10373" s="116" t="s">
        <v>16316</v>
      </c>
      <c r="B10373" s="117" t="s">
        <v>16317</v>
      </c>
      <c r="C10373" t="s">
        <v>67</v>
      </c>
      <c r="D10373" t="s">
        <v>67</v>
      </c>
      <c r="E10373" t="s">
        <v>67</v>
      </c>
      <c r="F10373" t="s">
        <v>27987</v>
      </c>
      <c r="G10373" s="117">
        <v>11.12</v>
      </c>
    </row>
    <row r="10374" spans="1:7" x14ac:dyDescent="0.25">
      <c r="A10374" s="116" t="s">
        <v>16318</v>
      </c>
      <c r="B10374" s="117" t="s">
        <v>16319</v>
      </c>
      <c r="C10374" t="s">
        <v>67</v>
      </c>
      <c r="D10374" t="s">
        <v>67</v>
      </c>
      <c r="E10374" t="s">
        <v>67</v>
      </c>
      <c r="F10374" t="s">
        <v>27987</v>
      </c>
      <c r="G10374" s="117">
        <v>15.57</v>
      </c>
    </row>
    <row r="10375" spans="1:7" x14ac:dyDescent="0.25">
      <c r="A10375" s="116" t="s">
        <v>16320</v>
      </c>
      <c r="B10375" s="117" t="s">
        <v>16321</v>
      </c>
      <c r="C10375" t="s">
        <v>67</v>
      </c>
      <c r="D10375" t="s">
        <v>67</v>
      </c>
      <c r="E10375" t="s">
        <v>67</v>
      </c>
      <c r="F10375" t="s">
        <v>45</v>
      </c>
      <c r="G10375" s="117">
        <v>2.58</v>
      </c>
    </row>
    <row r="10376" spans="1:7" x14ac:dyDescent="0.25">
      <c r="A10376" s="116" t="s">
        <v>16322</v>
      </c>
      <c r="B10376" s="117" t="s">
        <v>16323</v>
      </c>
      <c r="C10376" t="s">
        <v>67</v>
      </c>
      <c r="D10376" t="s">
        <v>67</v>
      </c>
      <c r="E10376" t="s">
        <v>67</v>
      </c>
      <c r="F10376" t="s">
        <v>27987</v>
      </c>
      <c r="G10376" s="117">
        <v>48.5</v>
      </c>
    </row>
    <row r="10377" spans="1:7" x14ac:dyDescent="0.25">
      <c r="A10377" s="116" t="s">
        <v>16324</v>
      </c>
      <c r="B10377" s="117" t="s">
        <v>16325</v>
      </c>
      <c r="C10377" t="s">
        <v>67</v>
      </c>
      <c r="D10377" t="s">
        <v>67</v>
      </c>
      <c r="E10377" t="s">
        <v>67</v>
      </c>
      <c r="F10377" t="s">
        <v>27987</v>
      </c>
      <c r="G10377" s="117">
        <v>10.24</v>
      </c>
    </row>
    <row r="10378" spans="1:7" x14ac:dyDescent="0.25">
      <c r="A10378" s="116" t="s">
        <v>16326</v>
      </c>
      <c r="B10378" s="117" t="s">
        <v>16327</v>
      </c>
      <c r="C10378" t="s">
        <v>67</v>
      </c>
      <c r="D10378" t="s">
        <v>67</v>
      </c>
      <c r="E10378" t="s">
        <v>67</v>
      </c>
      <c r="F10378" t="s">
        <v>27990</v>
      </c>
      <c r="G10378" s="117">
        <v>4.3600000000000003</v>
      </c>
    </row>
    <row r="10379" spans="1:7" x14ac:dyDescent="0.25">
      <c r="A10379" s="116" t="s">
        <v>16328</v>
      </c>
      <c r="B10379" s="117" t="s">
        <v>16329</v>
      </c>
      <c r="C10379" t="s">
        <v>67</v>
      </c>
      <c r="D10379" t="s">
        <v>67</v>
      </c>
      <c r="E10379" t="s">
        <v>67</v>
      </c>
      <c r="F10379" t="s">
        <v>45</v>
      </c>
      <c r="G10379" s="117">
        <v>4.3600000000000003</v>
      </c>
    </row>
    <row r="10380" spans="1:7" x14ac:dyDescent="0.25">
      <c r="A10380" s="116" t="s">
        <v>16330</v>
      </c>
      <c r="B10380" s="117" t="s">
        <v>16331</v>
      </c>
      <c r="C10380" t="s">
        <v>67</v>
      </c>
      <c r="D10380" t="s">
        <v>67</v>
      </c>
      <c r="E10380" t="s">
        <v>67</v>
      </c>
      <c r="F10380" t="s">
        <v>27987</v>
      </c>
      <c r="G10380" s="117">
        <v>2.67</v>
      </c>
    </row>
    <row r="10381" spans="1:7" x14ac:dyDescent="0.25">
      <c r="A10381" s="116" t="s">
        <v>16332</v>
      </c>
      <c r="B10381" s="117" t="s">
        <v>16333</v>
      </c>
      <c r="C10381" t="s">
        <v>67</v>
      </c>
      <c r="D10381" t="s">
        <v>67</v>
      </c>
      <c r="E10381" t="s">
        <v>67</v>
      </c>
      <c r="F10381" t="s">
        <v>49</v>
      </c>
      <c r="G10381" s="117">
        <v>3.48</v>
      </c>
    </row>
    <row r="10382" spans="1:7" x14ac:dyDescent="0.25">
      <c r="A10382" s="116" t="s">
        <v>16334</v>
      </c>
      <c r="B10382" s="117" t="s">
        <v>16335</v>
      </c>
      <c r="C10382" t="s">
        <v>67</v>
      </c>
      <c r="D10382" t="s">
        <v>67</v>
      </c>
      <c r="E10382" t="s">
        <v>67</v>
      </c>
      <c r="F10382" t="s">
        <v>49</v>
      </c>
      <c r="G10382" s="117">
        <v>42.62</v>
      </c>
    </row>
    <row r="10383" spans="1:7" x14ac:dyDescent="0.25">
      <c r="A10383" s="116" t="s">
        <v>16336</v>
      </c>
      <c r="B10383" s="117" t="s">
        <v>16337</v>
      </c>
      <c r="C10383" t="s">
        <v>67</v>
      </c>
      <c r="D10383" t="s">
        <v>67</v>
      </c>
      <c r="E10383" t="s">
        <v>67</v>
      </c>
      <c r="F10383" t="s">
        <v>27987</v>
      </c>
      <c r="G10383" s="117">
        <v>9.6999999999999993</v>
      </c>
    </row>
    <row r="10384" spans="1:7" x14ac:dyDescent="0.25">
      <c r="A10384" s="116" t="s">
        <v>16338</v>
      </c>
      <c r="B10384" s="117" t="s">
        <v>16339</v>
      </c>
      <c r="C10384" t="s">
        <v>67</v>
      </c>
      <c r="D10384" t="s">
        <v>67</v>
      </c>
      <c r="E10384" t="s">
        <v>67</v>
      </c>
      <c r="F10384" t="s">
        <v>27987</v>
      </c>
      <c r="G10384" s="117">
        <v>13.26</v>
      </c>
    </row>
    <row r="10385" spans="1:7" x14ac:dyDescent="0.25">
      <c r="A10385" s="116" t="s">
        <v>16340</v>
      </c>
      <c r="B10385" s="117" t="s">
        <v>16341</v>
      </c>
      <c r="C10385" t="s">
        <v>67</v>
      </c>
      <c r="D10385" t="s">
        <v>67</v>
      </c>
      <c r="E10385" t="s">
        <v>67</v>
      </c>
      <c r="F10385" t="s">
        <v>27987</v>
      </c>
      <c r="G10385" s="117">
        <v>7.56</v>
      </c>
    </row>
    <row r="10386" spans="1:7" x14ac:dyDescent="0.25">
      <c r="A10386" s="116" t="s">
        <v>16342</v>
      </c>
      <c r="B10386" s="117" t="s">
        <v>16343</v>
      </c>
      <c r="C10386" t="s">
        <v>67</v>
      </c>
      <c r="D10386" t="s">
        <v>67</v>
      </c>
      <c r="E10386" t="s">
        <v>67</v>
      </c>
      <c r="F10386" t="s">
        <v>45</v>
      </c>
      <c r="G10386" s="117">
        <v>6.14</v>
      </c>
    </row>
    <row r="10387" spans="1:7" x14ac:dyDescent="0.25">
      <c r="A10387" s="116" t="s">
        <v>16344</v>
      </c>
      <c r="B10387" s="117" t="s">
        <v>16345</v>
      </c>
      <c r="C10387" t="s">
        <v>67</v>
      </c>
      <c r="D10387" t="s">
        <v>67</v>
      </c>
      <c r="E10387" t="s">
        <v>67</v>
      </c>
      <c r="F10387" t="s">
        <v>45</v>
      </c>
      <c r="G10387" s="117">
        <v>44.05</v>
      </c>
    </row>
    <row r="10388" spans="1:7" x14ac:dyDescent="0.25">
      <c r="A10388" s="116" t="s">
        <v>16346</v>
      </c>
      <c r="B10388" s="117" t="s">
        <v>16347</v>
      </c>
      <c r="C10388" t="s">
        <v>67</v>
      </c>
      <c r="D10388" t="s">
        <v>67</v>
      </c>
      <c r="E10388" t="s">
        <v>67</v>
      </c>
      <c r="F10388" t="s">
        <v>27987</v>
      </c>
      <c r="G10388" s="117">
        <v>59.18</v>
      </c>
    </row>
    <row r="10389" spans="1:7" x14ac:dyDescent="0.25">
      <c r="A10389" s="116" t="s">
        <v>16348</v>
      </c>
      <c r="B10389" s="117" t="s">
        <v>16349</v>
      </c>
      <c r="C10389" t="s">
        <v>67</v>
      </c>
      <c r="D10389" t="s">
        <v>67</v>
      </c>
      <c r="E10389" t="s">
        <v>67</v>
      </c>
      <c r="F10389" t="s">
        <v>27987</v>
      </c>
      <c r="G10389" s="117">
        <v>19.489999999999998</v>
      </c>
    </row>
    <row r="10390" spans="1:7" x14ac:dyDescent="0.25">
      <c r="A10390" s="116" t="s">
        <v>16350</v>
      </c>
      <c r="B10390" s="117" t="s">
        <v>16351</v>
      </c>
      <c r="C10390" t="s">
        <v>67</v>
      </c>
      <c r="D10390" t="s">
        <v>67</v>
      </c>
      <c r="E10390" t="s">
        <v>67</v>
      </c>
      <c r="F10390" t="s">
        <v>45</v>
      </c>
      <c r="G10390" s="117">
        <v>10.58</v>
      </c>
    </row>
    <row r="10391" spans="1:7" x14ac:dyDescent="0.25">
      <c r="A10391" s="116" t="s">
        <v>16352</v>
      </c>
      <c r="B10391" s="117" t="s">
        <v>16353</v>
      </c>
      <c r="C10391" t="s">
        <v>67</v>
      </c>
      <c r="D10391" t="s">
        <v>67</v>
      </c>
      <c r="E10391" t="s">
        <v>67</v>
      </c>
      <c r="F10391" t="s">
        <v>45</v>
      </c>
      <c r="G10391" s="117">
        <v>7.92</v>
      </c>
    </row>
    <row r="10392" spans="1:7" x14ac:dyDescent="0.25">
      <c r="A10392" s="116" t="s">
        <v>16354</v>
      </c>
      <c r="B10392" s="117" t="s">
        <v>16355</v>
      </c>
      <c r="C10392" t="s">
        <v>67</v>
      </c>
      <c r="D10392" t="s">
        <v>67</v>
      </c>
      <c r="E10392" t="s">
        <v>67</v>
      </c>
      <c r="F10392" t="s">
        <v>45</v>
      </c>
      <c r="G10392" s="117">
        <v>14.14</v>
      </c>
    </row>
    <row r="10393" spans="1:7" x14ac:dyDescent="0.25">
      <c r="A10393" s="116" t="s">
        <v>16356</v>
      </c>
      <c r="B10393" s="117" t="s">
        <v>16357</v>
      </c>
      <c r="C10393" t="s">
        <v>67</v>
      </c>
      <c r="D10393" t="s">
        <v>67</v>
      </c>
      <c r="E10393" t="s">
        <v>67</v>
      </c>
      <c r="F10393" t="s">
        <v>45</v>
      </c>
      <c r="G10393" s="117">
        <v>7.12</v>
      </c>
    </row>
    <row r="10394" spans="1:7" x14ac:dyDescent="0.25">
      <c r="A10394" s="116" t="s">
        <v>16358</v>
      </c>
      <c r="B10394" s="117" t="s">
        <v>16359</v>
      </c>
      <c r="C10394" t="s">
        <v>67</v>
      </c>
      <c r="D10394" t="s">
        <v>67</v>
      </c>
      <c r="E10394" t="s">
        <v>67</v>
      </c>
      <c r="F10394" t="s">
        <v>27987</v>
      </c>
      <c r="G10394" s="117">
        <v>55.75</v>
      </c>
    </row>
    <row r="10395" spans="1:7" x14ac:dyDescent="0.25">
      <c r="A10395" s="116" t="s">
        <v>16360</v>
      </c>
      <c r="B10395" s="117" t="s">
        <v>16361</v>
      </c>
      <c r="C10395" t="s">
        <v>67</v>
      </c>
      <c r="D10395" t="s">
        <v>67</v>
      </c>
      <c r="E10395" t="s">
        <v>67</v>
      </c>
      <c r="F10395" t="s">
        <v>27987</v>
      </c>
      <c r="G10395" s="117">
        <v>48.5</v>
      </c>
    </row>
    <row r="10396" spans="1:7" x14ac:dyDescent="0.25">
      <c r="A10396" s="116" t="s">
        <v>16362</v>
      </c>
      <c r="B10396" s="117" t="s">
        <v>13574</v>
      </c>
      <c r="C10396" t="s">
        <v>67</v>
      </c>
      <c r="D10396" t="s">
        <v>67</v>
      </c>
      <c r="E10396" t="s">
        <v>67</v>
      </c>
      <c r="F10396" t="s">
        <v>27987</v>
      </c>
      <c r="G10396" s="117">
        <v>5.79</v>
      </c>
    </row>
    <row r="10397" spans="1:7" x14ac:dyDescent="0.25">
      <c r="A10397" s="116" t="s">
        <v>16363</v>
      </c>
      <c r="B10397" s="117" t="s">
        <v>515</v>
      </c>
      <c r="C10397" t="s">
        <v>67</v>
      </c>
      <c r="D10397" t="s">
        <v>67</v>
      </c>
      <c r="E10397" t="s">
        <v>67</v>
      </c>
      <c r="F10397" t="s">
        <v>27987</v>
      </c>
      <c r="G10397" s="117">
        <v>2.58</v>
      </c>
    </row>
    <row r="10398" spans="1:7" x14ac:dyDescent="0.25">
      <c r="A10398" s="116" t="s">
        <v>16364</v>
      </c>
      <c r="B10398" s="117" t="s">
        <v>13968</v>
      </c>
      <c r="C10398" t="s">
        <v>67</v>
      </c>
      <c r="D10398" t="s">
        <v>67</v>
      </c>
      <c r="E10398" t="s">
        <v>67</v>
      </c>
      <c r="F10398" t="s">
        <v>27987</v>
      </c>
      <c r="G10398" s="117">
        <v>3.12</v>
      </c>
    </row>
    <row r="10399" spans="1:7" x14ac:dyDescent="0.25">
      <c r="A10399" s="116" t="s">
        <v>16365</v>
      </c>
      <c r="B10399" s="117" t="s">
        <v>16366</v>
      </c>
      <c r="C10399" t="s">
        <v>67</v>
      </c>
      <c r="D10399" t="s">
        <v>67</v>
      </c>
      <c r="E10399" t="s">
        <v>67</v>
      </c>
      <c r="F10399" t="s">
        <v>27987</v>
      </c>
      <c r="G10399" s="117">
        <v>55.75</v>
      </c>
    </row>
    <row r="10400" spans="1:7" x14ac:dyDescent="0.25">
      <c r="A10400" s="116" t="s">
        <v>16367</v>
      </c>
      <c r="B10400" s="117" t="s">
        <v>16368</v>
      </c>
      <c r="C10400" t="s">
        <v>67</v>
      </c>
      <c r="D10400" t="s">
        <v>67</v>
      </c>
      <c r="E10400" t="s">
        <v>67</v>
      </c>
      <c r="F10400" t="s">
        <v>27987</v>
      </c>
      <c r="G10400" s="117">
        <v>5.79</v>
      </c>
    </row>
    <row r="10401" spans="1:7" x14ac:dyDescent="0.25">
      <c r="A10401" s="116" t="s">
        <v>16369</v>
      </c>
      <c r="B10401" s="117" t="s">
        <v>16370</v>
      </c>
      <c r="C10401" t="s">
        <v>67</v>
      </c>
      <c r="D10401" t="s">
        <v>67</v>
      </c>
      <c r="E10401" t="s">
        <v>67</v>
      </c>
      <c r="F10401" t="s">
        <v>27987</v>
      </c>
      <c r="G10401" s="117">
        <v>7.02</v>
      </c>
    </row>
    <row r="10402" spans="1:7" x14ac:dyDescent="0.25">
      <c r="A10402" s="116" t="s">
        <v>16371</v>
      </c>
      <c r="B10402" s="117" t="s">
        <v>16372</v>
      </c>
      <c r="C10402" t="s">
        <v>67</v>
      </c>
      <c r="D10402" t="s">
        <v>67</v>
      </c>
      <c r="E10402" t="s">
        <v>67</v>
      </c>
      <c r="F10402" t="s">
        <v>27987</v>
      </c>
      <c r="G10402" s="117">
        <v>13.8</v>
      </c>
    </row>
    <row r="10403" spans="1:7" x14ac:dyDescent="0.25">
      <c r="A10403" s="116" t="s">
        <v>16373</v>
      </c>
      <c r="B10403" s="117" t="s">
        <v>16374</v>
      </c>
      <c r="C10403" t="s">
        <v>67</v>
      </c>
      <c r="D10403" t="s">
        <v>67</v>
      </c>
      <c r="E10403" t="s">
        <v>67</v>
      </c>
      <c r="F10403" t="s">
        <v>27987</v>
      </c>
      <c r="G10403" s="117">
        <v>8.81</v>
      </c>
    </row>
    <row r="10404" spans="1:7" x14ac:dyDescent="0.25">
      <c r="A10404" s="116" t="s">
        <v>16375</v>
      </c>
      <c r="B10404" s="117" t="s">
        <v>14736</v>
      </c>
      <c r="C10404" t="s">
        <v>67</v>
      </c>
      <c r="D10404" t="s">
        <v>67</v>
      </c>
      <c r="E10404" t="s">
        <v>67</v>
      </c>
      <c r="F10404" t="s">
        <v>27987</v>
      </c>
      <c r="G10404" s="117">
        <v>37.82</v>
      </c>
    </row>
    <row r="10405" spans="1:7" x14ac:dyDescent="0.25">
      <c r="A10405" s="116" t="s">
        <v>16376</v>
      </c>
      <c r="B10405" s="117" t="s">
        <v>16377</v>
      </c>
      <c r="C10405" t="s">
        <v>67</v>
      </c>
      <c r="D10405" t="s">
        <v>67</v>
      </c>
      <c r="E10405" t="s">
        <v>67</v>
      </c>
      <c r="F10405" t="s">
        <v>27987</v>
      </c>
      <c r="G10405" s="117">
        <v>5.25</v>
      </c>
    </row>
    <row r="10406" spans="1:7" x14ac:dyDescent="0.25">
      <c r="A10406" s="116" t="s">
        <v>16378</v>
      </c>
      <c r="B10406" s="117" t="s">
        <v>16379</v>
      </c>
      <c r="C10406" t="s">
        <v>67</v>
      </c>
      <c r="D10406" t="s">
        <v>67</v>
      </c>
      <c r="E10406" t="s">
        <v>67</v>
      </c>
      <c r="F10406" t="s">
        <v>27987</v>
      </c>
      <c r="G10406" s="117">
        <v>8.4499999999999993</v>
      </c>
    </row>
    <row r="10407" spans="1:7" x14ac:dyDescent="0.25">
      <c r="A10407" s="116" t="s">
        <v>16380</v>
      </c>
      <c r="B10407" s="117" t="s">
        <v>2231</v>
      </c>
      <c r="C10407" t="s">
        <v>67</v>
      </c>
      <c r="D10407" t="s">
        <v>67</v>
      </c>
      <c r="E10407" t="s">
        <v>67</v>
      </c>
      <c r="F10407" t="s">
        <v>49</v>
      </c>
      <c r="G10407" s="117">
        <v>2.23</v>
      </c>
    </row>
    <row r="10408" spans="1:7" x14ac:dyDescent="0.25">
      <c r="A10408" s="116" t="s">
        <v>16381</v>
      </c>
      <c r="B10408" s="117" t="s">
        <v>16123</v>
      </c>
      <c r="C10408" t="s">
        <v>67</v>
      </c>
      <c r="D10408" t="s">
        <v>67</v>
      </c>
      <c r="E10408" t="s">
        <v>67</v>
      </c>
      <c r="F10408" t="s">
        <v>27987</v>
      </c>
      <c r="G10408" s="117">
        <v>6.14</v>
      </c>
    </row>
    <row r="10409" spans="1:7" x14ac:dyDescent="0.25">
      <c r="A10409" s="116" t="s">
        <v>16382</v>
      </c>
      <c r="B10409" s="117" t="s">
        <v>16098</v>
      </c>
      <c r="C10409" t="s">
        <v>67</v>
      </c>
      <c r="D10409" t="s">
        <v>67</v>
      </c>
      <c r="E10409" t="s">
        <v>67</v>
      </c>
      <c r="F10409" t="s">
        <v>27987</v>
      </c>
      <c r="G10409" s="117">
        <v>12.01</v>
      </c>
    </row>
    <row r="10410" spans="1:7" x14ac:dyDescent="0.25">
      <c r="A10410" s="116" t="s">
        <v>16383</v>
      </c>
      <c r="B10410" s="117" t="s">
        <v>16384</v>
      </c>
      <c r="C10410" t="s">
        <v>67</v>
      </c>
      <c r="D10410" t="s">
        <v>67</v>
      </c>
      <c r="E10410" t="s">
        <v>67</v>
      </c>
      <c r="F10410" t="s">
        <v>45</v>
      </c>
      <c r="G10410" s="117">
        <v>33.78</v>
      </c>
    </row>
    <row r="10411" spans="1:7" x14ac:dyDescent="0.25">
      <c r="A10411" s="116" t="s">
        <v>16385</v>
      </c>
      <c r="B10411" s="117" t="s">
        <v>16386</v>
      </c>
      <c r="C10411" t="s">
        <v>67</v>
      </c>
      <c r="D10411" t="s">
        <v>67</v>
      </c>
      <c r="E10411" t="s">
        <v>67</v>
      </c>
      <c r="F10411" t="s">
        <v>45</v>
      </c>
      <c r="G10411" s="117">
        <v>41.31</v>
      </c>
    </row>
    <row r="10412" spans="1:7" x14ac:dyDescent="0.25">
      <c r="A10412" s="116" t="s">
        <v>16387</v>
      </c>
      <c r="B10412" s="117" t="s">
        <v>10865</v>
      </c>
      <c r="C10412" t="s">
        <v>67</v>
      </c>
      <c r="D10412" t="s">
        <v>67</v>
      </c>
      <c r="E10412" t="s">
        <v>67</v>
      </c>
      <c r="F10412" t="s">
        <v>45</v>
      </c>
      <c r="G10412" s="117">
        <v>102.59</v>
      </c>
    </row>
    <row r="10413" spans="1:7" x14ac:dyDescent="0.25">
      <c r="A10413" s="116" t="s">
        <v>16388</v>
      </c>
      <c r="B10413" s="117" t="s">
        <v>16389</v>
      </c>
      <c r="C10413" t="s">
        <v>67</v>
      </c>
      <c r="D10413" t="s">
        <v>67</v>
      </c>
      <c r="E10413" t="s">
        <v>67</v>
      </c>
      <c r="F10413" t="s">
        <v>45</v>
      </c>
      <c r="G10413" s="117">
        <v>78.48</v>
      </c>
    </row>
    <row r="10414" spans="1:7" x14ac:dyDescent="0.25">
      <c r="A10414" s="116" t="s">
        <v>16390</v>
      </c>
      <c r="B10414" s="117" t="s">
        <v>16391</v>
      </c>
      <c r="C10414" t="s">
        <v>67</v>
      </c>
      <c r="D10414" t="s">
        <v>67</v>
      </c>
      <c r="E10414" t="s">
        <v>67</v>
      </c>
      <c r="F10414" t="s">
        <v>45</v>
      </c>
      <c r="G10414" s="117">
        <v>60.02</v>
      </c>
    </row>
    <row r="10415" spans="1:7" x14ac:dyDescent="0.25">
      <c r="A10415" s="116" t="s">
        <v>16392</v>
      </c>
      <c r="B10415" s="117" t="s">
        <v>16393</v>
      </c>
      <c r="C10415" t="s">
        <v>67</v>
      </c>
      <c r="D10415" t="s">
        <v>67</v>
      </c>
      <c r="E10415" t="s">
        <v>67</v>
      </c>
      <c r="F10415" t="s">
        <v>45</v>
      </c>
      <c r="G10415" s="117">
        <v>62.02</v>
      </c>
    </row>
    <row r="10416" spans="1:7" x14ac:dyDescent="0.25">
      <c r="A10416" s="116" t="s">
        <v>16394</v>
      </c>
      <c r="B10416" s="117" t="s">
        <v>16395</v>
      </c>
      <c r="C10416" t="s">
        <v>67</v>
      </c>
      <c r="D10416" t="s">
        <v>67</v>
      </c>
      <c r="E10416" t="s">
        <v>67</v>
      </c>
      <c r="F10416" t="s">
        <v>45</v>
      </c>
      <c r="G10416" s="117">
        <v>10.92</v>
      </c>
    </row>
    <row r="10417" spans="1:7" x14ac:dyDescent="0.25">
      <c r="A10417" s="116" t="s">
        <v>16396</v>
      </c>
      <c r="B10417" s="117" t="s">
        <v>16393</v>
      </c>
      <c r="C10417" t="s">
        <v>67</v>
      </c>
      <c r="D10417" t="s">
        <v>67</v>
      </c>
      <c r="E10417" t="s">
        <v>67</v>
      </c>
      <c r="F10417" t="s">
        <v>45</v>
      </c>
      <c r="G10417" s="117">
        <v>5.52</v>
      </c>
    </row>
    <row r="10418" spans="1:7" x14ac:dyDescent="0.25">
      <c r="A10418" s="116" t="s">
        <v>16397</v>
      </c>
      <c r="B10418" s="117" t="s">
        <v>16398</v>
      </c>
      <c r="C10418" t="s">
        <v>67</v>
      </c>
      <c r="D10418" t="s">
        <v>67</v>
      </c>
      <c r="E10418" t="s">
        <v>67</v>
      </c>
      <c r="F10418" t="s">
        <v>45</v>
      </c>
      <c r="G10418" s="117">
        <v>7.04</v>
      </c>
    </row>
    <row r="10419" spans="1:7" x14ac:dyDescent="0.25">
      <c r="A10419" s="116" t="s">
        <v>16399</v>
      </c>
      <c r="B10419" s="117" t="s">
        <v>16400</v>
      </c>
      <c r="C10419" t="s">
        <v>67</v>
      </c>
      <c r="D10419" t="s">
        <v>67</v>
      </c>
      <c r="E10419" t="s">
        <v>67</v>
      </c>
      <c r="F10419" t="s">
        <v>45</v>
      </c>
      <c r="G10419" s="117">
        <v>18.96</v>
      </c>
    </row>
    <row r="10420" spans="1:7" x14ac:dyDescent="0.25">
      <c r="A10420" s="116" t="s">
        <v>16401</v>
      </c>
      <c r="B10420" s="117" t="s">
        <v>16402</v>
      </c>
      <c r="C10420" t="s">
        <v>67</v>
      </c>
      <c r="D10420" t="s">
        <v>67</v>
      </c>
      <c r="E10420" t="s">
        <v>67</v>
      </c>
      <c r="F10420" t="s">
        <v>45</v>
      </c>
      <c r="G10420" s="117">
        <v>9.42</v>
      </c>
    </row>
    <row r="10421" spans="1:7" x14ac:dyDescent="0.25">
      <c r="A10421" s="116" t="s">
        <v>16403</v>
      </c>
      <c r="B10421" s="117" t="s">
        <v>16404</v>
      </c>
      <c r="C10421" t="s">
        <v>67</v>
      </c>
      <c r="D10421" t="s">
        <v>67</v>
      </c>
      <c r="E10421" t="s">
        <v>67</v>
      </c>
      <c r="F10421" t="s">
        <v>45</v>
      </c>
      <c r="G10421" s="117">
        <v>4.53</v>
      </c>
    </row>
    <row r="10422" spans="1:7" x14ac:dyDescent="0.25">
      <c r="A10422" s="116" t="s">
        <v>16405</v>
      </c>
      <c r="B10422" s="117" t="s">
        <v>16406</v>
      </c>
      <c r="C10422" t="s">
        <v>67</v>
      </c>
      <c r="D10422" t="s">
        <v>67</v>
      </c>
      <c r="E10422" t="s">
        <v>67</v>
      </c>
      <c r="F10422" t="s">
        <v>45</v>
      </c>
      <c r="G10422" s="117">
        <v>102.08</v>
      </c>
    </row>
    <row r="10423" spans="1:7" x14ac:dyDescent="0.25">
      <c r="A10423" s="116" t="s">
        <v>16407</v>
      </c>
      <c r="B10423" s="117" t="s">
        <v>16408</v>
      </c>
      <c r="C10423" t="s">
        <v>67</v>
      </c>
      <c r="D10423" t="s">
        <v>67</v>
      </c>
      <c r="E10423" t="s">
        <v>67</v>
      </c>
      <c r="F10423" t="s">
        <v>27987</v>
      </c>
      <c r="G10423" s="117">
        <v>2.58</v>
      </c>
    </row>
    <row r="10424" spans="1:7" x14ac:dyDescent="0.25">
      <c r="A10424" s="116" t="s">
        <v>16409</v>
      </c>
      <c r="B10424" s="117" t="s">
        <v>184</v>
      </c>
      <c r="C10424" t="s">
        <v>67</v>
      </c>
      <c r="D10424" t="s">
        <v>67</v>
      </c>
      <c r="E10424" t="s">
        <v>67</v>
      </c>
      <c r="F10424" t="s">
        <v>27987</v>
      </c>
      <c r="G10424" s="117">
        <v>2.23</v>
      </c>
    </row>
    <row r="10425" spans="1:7" x14ac:dyDescent="0.25">
      <c r="A10425" s="116" t="s">
        <v>16410</v>
      </c>
      <c r="B10425" s="117" t="s">
        <v>4934</v>
      </c>
      <c r="C10425" t="s">
        <v>67</v>
      </c>
      <c r="D10425" t="s">
        <v>67</v>
      </c>
      <c r="E10425" t="s">
        <v>67</v>
      </c>
      <c r="F10425" t="s">
        <v>45</v>
      </c>
      <c r="G10425" s="117">
        <v>13.26</v>
      </c>
    </row>
    <row r="10426" spans="1:7" x14ac:dyDescent="0.25">
      <c r="A10426" s="116" t="s">
        <v>16411</v>
      </c>
      <c r="B10426" s="117" t="s">
        <v>16412</v>
      </c>
      <c r="C10426" t="s">
        <v>67</v>
      </c>
      <c r="D10426" t="s">
        <v>67</v>
      </c>
      <c r="E10426" t="s">
        <v>67</v>
      </c>
      <c r="F10426" t="s">
        <v>45</v>
      </c>
      <c r="G10426" s="117">
        <v>8.4499999999999993</v>
      </c>
    </row>
    <row r="10427" spans="1:7" x14ac:dyDescent="0.25">
      <c r="A10427" s="116" t="s">
        <v>16413</v>
      </c>
      <c r="B10427" s="117" t="s">
        <v>16414</v>
      </c>
      <c r="C10427" t="s">
        <v>67</v>
      </c>
      <c r="D10427" t="s">
        <v>67</v>
      </c>
      <c r="E10427" t="s">
        <v>67</v>
      </c>
      <c r="F10427" t="s">
        <v>27987</v>
      </c>
      <c r="G10427" s="117">
        <v>60.42</v>
      </c>
    </row>
    <row r="10428" spans="1:7" x14ac:dyDescent="0.25">
      <c r="A10428" s="116" t="s">
        <v>16415</v>
      </c>
      <c r="B10428" s="117" t="s">
        <v>16416</v>
      </c>
      <c r="C10428" t="s">
        <v>67</v>
      </c>
      <c r="D10428" t="s">
        <v>67</v>
      </c>
      <c r="E10428" t="s">
        <v>67</v>
      </c>
      <c r="F10428" t="s">
        <v>27987</v>
      </c>
      <c r="G10428" s="117">
        <v>2.23</v>
      </c>
    </row>
    <row r="10429" spans="1:7" x14ac:dyDescent="0.25">
      <c r="A10429" s="116" t="s">
        <v>16417</v>
      </c>
      <c r="B10429" s="117" t="s">
        <v>384</v>
      </c>
      <c r="C10429" t="s">
        <v>67</v>
      </c>
      <c r="D10429" t="s">
        <v>67</v>
      </c>
      <c r="E10429" t="s">
        <v>67</v>
      </c>
      <c r="F10429" t="s">
        <v>45</v>
      </c>
      <c r="G10429" s="117">
        <v>29.81</v>
      </c>
    </row>
    <row r="10430" spans="1:7" x14ac:dyDescent="0.25">
      <c r="A10430" s="116" t="s">
        <v>16418</v>
      </c>
      <c r="B10430" s="117" t="s">
        <v>16419</v>
      </c>
      <c r="C10430" t="s">
        <v>67</v>
      </c>
      <c r="D10430" t="s">
        <v>67</v>
      </c>
      <c r="E10430" t="s">
        <v>67</v>
      </c>
      <c r="F10430" t="s">
        <v>45</v>
      </c>
      <c r="G10430" s="117">
        <v>6.14</v>
      </c>
    </row>
    <row r="10431" spans="1:7" x14ac:dyDescent="0.25">
      <c r="A10431" s="116" t="s">
        <v>16420</v>
      </c>
      <c r="B10431" s="117" t="s">
        <v>16421</v>
      </c>
      <c r="C10431" t="s">
        <v>67</v>
      </c>
      <c r="D10431" t="s">
        <v>67</v>
      </c>
      <c r="E10431" t="s">
        <v>67</v>
      </c>
      <c r="F10431" t="s">
        <v>45</v>
      </c>
      <c r="G10431" s="117">
        <v>7.56</v>
      </c>
    </row>
    <row r="10432" spans="1:7" x14ac:dyDescent="0.25">
      <c r="A10432" s="116" t="s">
        <v>16422</v>
      </c>
      <c r="B10432" s="117" t="s">
        <v>16423</v>
      </c>
      <c r="C10432" t="s">
        <v>67</v>
      </c>
      <c r="D10432" t="s">
        <v>67</v>
      </c>
      <c r="E10432" t="s">
        <v>67</v>
      </c>
      <c r="F10432" t="s">
        <v>45</v>
      </c>
      <c r="G10432" s="117">
        <v>77.86</v>
      </c>
    </row>
    <row r="10433" spans="1:7" x14ac:dyDescent="0.25">
      <c r="A10433" s="116" t="s">
        <v>16424</v>
      </c>
      <c r="B10433" s="117" t="s">
        <v>16425</v>
      </c>
      <c r="C10433" t="s">
        <v>67</v>
      </c>
      <c r="D10433" t="s">
        <v>67</v>
      </c>
      <c r="E10433" t="s">
        <v>67</v>
      </c>
      <c r="F10433" t="s">
        <v>45</v>
      </c>
      <c r="G10433" s="117">
        <v>57.75</v>
      </c>
    </row>
    <row r="10434" spans="1:7" x14ac:dyDescent="0.25">
      <c r="A10434" s="116" t="s">
        <v>16426</v>
      </c>
      <c r="B10434" s="117" t="s">
        <v>16182</v>
      </c>
      <c r="C10434" t="s">
        <v>67</v>
      </c>
      <c r="D10434" t="s">
        <v>67</v>
      </c>
      <c r="E10434" t="s">
        <v>67</v>
      </c>
      <c r="F10434" t="s">
        <v>45</v>
      </c>
      <c r="G10434" s="117">
        <v>80.52</v>
      </c>
    </row>
    <row r="10435" spans="1:7" x14ac:dyDescent="0.25">
      <c r="A10435" s="116" t="s">
        <v>16427</v>
      </c>
      <c r="B10435" s="117" t="s">
        <v>16098</v>
      </c>
      <c r="C10435" t="s">
        <v>67</v>
      </c>
      <c r="D10435" t="s">
        <v>67</v>
      </c>
      <c r="E10435" t="s">
        <v>67</v>
      </c>
      <c r="F10435" t="s">
        <v>45</v>
      </c>
      <c r="G10435" s="117">
        <v>1.69</v>
      </c>
    </row>
    <row r="10436" spans="1:7" x14ac:dyDescent="0.25">
      <c r="A10436" s="116" t="s">
        <v>16428</v>
      </c>
      <c r="B10436" s="117" t="s">
        <v>16429</v>
      </c>
      <c r="C10436" t="s">
        <v>67</v>
      </c>
      <c r="D10436" t="s">
        <v>67</v>
      </c>
      <c r="E10436" t="s">
        <v>67</v>
      </c>
      <c r="F10436" t="s">
        <v>45</v>
      </c>
      <c r="G10436" s="117">
        <v>15.57</v>
      </c>
    </row>
    <row r="10437" spans="1:7" x14ac:dyDescent="0.25">
      <c r="A10437" s="116" t="s">
        <v>16430</v>
      </c>
      <c r="B10437" s="117" t="s">
        <v>16431</v>
      </c>
      <c r="C10437" t="s">
        <v>67</v>
      </c>
      <c r="D10437" t="s">
        <v>67</v>
      </c>
      <c r="E10437" t="s">
        <v>67</v>
      </c>
      <c r="F10437" t="s">
        <v>27987</v>
      </c>
      <c r="G10437" s="117">
        <v>3.56</v>
      </c>
    </row>
    <row r="10438" spans="1:7" x14ac:dyDescent="0.25">
      <c r="A10438" s="116" t="s">
        <v>16432</v>
      </c>
      <c r="B10438" s="117" t="s">
        <v>16433</v>
      </c>
      <c r="C10438" t="s">
        <v>67</v>
      </c>
      <c r="D10438" t="s">
        <v>67</v>
      </c>
      <c r="E10438" t="s">
        <v>67</v>
      </c>
      <c r="F10438" t="s">
        <v>45</v>
      </c>
      <c r="G10438" s="117">
        <v>6.68</v>
      </c>
    </row>
    <row r="10439" spans="1:7" x14ac:dyDescent="0.25">
      <c r="A10439" s="116" t="s">
        <v>16434</v>
      </c>
      <c r="B10439" s="117" t="s">
        <v>29225</v>
      </c>
      <c r="C10439" t="s">
        <v>67</v>
      </c>
      <c r="D10439" t="s">
        <v>67</v>
      </c>
      <c r="E10439" t="s">
        <v>67</v>
      </c>
      <c r="F10439" t="s">
        <v>27987</v>
      </c>
      <c r="G10439" s="117">
        <v>2.23</v>
      </c>
    </row>
    <row r="10440" spans="1:7" x14ac:dyDescent="0.25">
      <c r="A10440" s="116" t="s">
        <v>16435</v>
      </c>
      <c r="B10440" s="117" t="s">
        <v>1267</v>
      </c>
      <c r="C10440" t="s">
        <v>67</v>
      </c>
      <c r="D10440" t="s">
        <v>67</v>
      </c>
      <c r="E10440" t="s">
        <v>67</v>
      </c>
      <c r="F10440" t="s">
        <v>27987</v>
      </c>
      <c r="G10440" s="117">
        <v>22.69</v>
      </c>
    </row>
    <row r="10441" spans="1:7" x14ac:dyDescent="0.25">
      <c r="A10441" s="116" t="s">
        <v>30605</v>
      </c>
      <c r="B10441" s="117" t="s">
        <v>30606</v>
      </c>
      <c r="C10441" t="s">
        <v>67</v>
      </c>
      <c r="D10441" t="s">
        <v>67</v>
      </c>
      <c r="E10441" t="s">
        <v>67</v>
      </c>
      <c r="F10441" t="s">
        <v>45</v>
      </c>
      <c r="G10441" s="117">
        <v>9999</v>
      </c>
    </row>
    <row r="10442" spans="1:7" x14ac:dyDescent="0.25">
      <c r="A10442" s="116" t="s">
        <v>16436</v>
      </c>
      <c r="B10442" s="117" t="s">
        <v>16437</v>
      </c>
      <c r="C10442" t="s">
        <v>67</v>
      </c>
      <c r="D10442" t="s">
        <v>67</v>
      </c>
      <c r="E10442" t="s">
        <v>67</v>
      </c>
      <c r="F10442" t="s">
        <v>45</v>
      </c>
      <c r="G10442" s="117">
        <v>9.6999999999999993</v>
      </c>
    </row>
    <row r="10443" spans="1:7" x14ac:dyDescent="0.25">
      <c r="A10443" s="116" t="s">
        <v>16438</v>
      </c>
      <c r="B10443" s="117" t="s">
        <v>16439</v>
      </c>
      <c r="C10443" t="s">
        <v>67</v>
      </c>
      <c r="D10443" t="s">
        <v>67</v>
      </c>
      <c r="E10443" t="s">
        <v>67</v>
      </c>
      <c r="F10443" t="s">
        <v>45</v>
      </c>
      <c r="G10443" s="117">
        <v>33.369999999999997</v>
      </c>
    </row>
    <row r="10444" spans="1:7" x14ac:dyDescent="0.25">
      <c r="A10444" s="116" t="s">
        <v>16440</v>
      </c>
      <c r="B10444" s="117" t="s">
        <v>384</v>
      </c>
      <c r="C10444" t="s">
        <v>67</v>
      </c>
      <c r="D10444" t="s">
        <v>67</v>
      </c>
      <c r="E10444" t="s">
        <v>67</v>
      </c>
      <c r="F10444" t="s">
        <v>45</v>
      </c>
      <c r="G10444" s="117">
        <v>3.56</v>
      </c>
    </row>
    <row r="10445" spans="1:7" x14ac:dyDescent="0.25">
      <c r="A10445" s="116" t="s">
        <v>16441</v>
      </c>
      <c r="B10445" s="117" t="s">
        <v>16442</v>
      </c>
      <c r="C10445" t="s">
        <v>67</v>
      </c>
      <c r="D10445" t="s">
        <v>67</v>
      </c>
      <c r="E10445" t="s">
        <v>67</v>
      </c>
      <c r="F10445" t="s">
        <v>27987</v>
      </c>
      <c r="G10445" s="117">
        <v>9.6999999999999993</v>
      </c>
    </row>
    <row r="10446" spans="1:7" x14ac:dyDescent="0.25">
      <c r="A10446" s="116" t="s">
        <v>16443</v>
      </c>
      <c r="B10446" s="117" t="s">
        <v>16444</v>
      </c>
      <c r="C10446" t="s">
        <v>67</v>
      </c>
      <c r="D10446" t="s">
        <v>67</v>
      </c>
      <c r="E10446" t="s">
        <v>67</v>
      </c>
      <c r="F10446" t="s">
        <v>45</v>
      </c>
      <c r="G10446" s="117">
        <v>11.48</v>
      </c>
    </row>
    <row r="10447" spans="1:7" x14ac:dyDescent="0.25">
      <c r="A10447" s="116" t="s">
        <v>16445</v>
      </c>
      <c r="B10447" s="117" t="s">
        <v>16425</v>
      </c>
      <c r="C10447" t="s">
        <v>67</v>
      </c>
      <c r="D10447" t="s">
        <v>67</v>
      </c>
      <c r="E10447" t="s">
        <v>67</v>
      </c>
      <c r="F10447" t="s">
        <v>45</v>
      </c>
      <c r="G10447" s="117">
        <v>25.71</v>
      </c>
    </row>
    <row r="10448" spans="1:7" x14ac:dyDescent="0.25">
      <c r="A10448" s="116" t="s">
        <v>16446</v>
      </c>
      <c r="B10448" s="117" t="s">
        <v>16447</v>
      </c>
      <c r="C10448" t="s">
        <v>67</v>
      </c>
      <c r="D10448" t="s">
        <v>67</v>
      </c>
      <c r="E10448" t="s">
        <v>67</v>
      </c>
      <c r="F10448" t="s">
        <v>45</v>
      </c>
      <c r="G10448" s="117">
        <v>20.92</v>
      </c>
    </row>
    <row r="10449" spans="1:7" x14ac:dyDescent="0.25">
      <c r="A10449" s="116" t="s">
        <v>16448</v>
      </c>
      <c r="B10449" s="117" t="s">
        <v>16449</v>
      </c>
      <c r="C10449" t="s">
        <v>67</v>
      </c>
      <c r="D10449" t="s">
        <v>67</v>
      </c>
      <c r="E10449" t="s">
        <v>67</v>
      </c>
      <c r="F10449" t="s">
        <v>45</v>
      </c>
      <c r="G10449" s="117">
        <v>3.56</v>
      </c>
    </row>
    <row r="10450" spans="1:7" x14ac:dyDescent="0.25">
      <c r="A10450" s="116" t="s">
        <v>16450</v>
      </c>
      <c r="B10450" s="117" t="s">
        <v>16451</v>
      </c>
      <c r="C10450" t="s">
        <v>67</v>
      </c>
      <c r="D10450" t="s">
        <v>67</v>
      </c>
      <c r="E10450" t="s">
        <v>67</v>
      </c>
      <c r="F10450" t="s">
        <v>45</v>
      </c>
      <c r="G10450" s="117">
        <v>5.79</v>
      </c>
    </row>
    <row r="10451" spans="1:7" x14ac:dyDescent="0.25">
      <c r="A10451" s="116" t="s">
        <v>16452</v>
      </c>
      <c r="B10451" s="117" t="s">
        <v>515</v>
      </c>
      <c r="C10451" t="s">
        <v>67</v>
      </c>
      <c r="D10451" t="s">
        <v>67</v>
      </c>
      <c r="E10451" t="s">
        <v>67</v>
      </c>
      <c r="F10451" t="s">
        <v>49</v>
      </c>
      <c r="G10451" s="117">
        <v>2.23</v>
      </c>
    </row>
    <row r="10452" spans="1:7" x14ac:dyDescent="0.25">
      <c r="A10452" s="116" t="s">
        <v>16453</v>
      </c>
      <c r="B10452" s="117" t="s">
        <v>14111</v>
      </c>
      <c r="C10452" t="s">
        <v>67</v>
      </c>
      <c r="D10452" t="s">
        <v>67</v>
      </c>
      <c r="E10452" t="s">
        <v>67</v>
      </c>
      <c r="F10452" t="s">
        <v>27990</v>
      </c>
      <c r="G10452" s="117">
        <v>2.23</v>
      </c>
    </row>
    <row r="10453" spans="1:7" x14ac:dyDescent="0.25">
      <c r="A10453" s="116" t="s">
        <v>16454</v>
      </c>
      <c r="B10453" s="117" t="s">
        <v>16455</v>
      </c>
      <c r="C10453" t="s">
        <v>67</v>
      </c>
      <c r="D10453" t="s">
        <v>67</v>
      </c>
      <c r="E10453" t="s">
        <v>67</v>
      </c>
      <c r="F10453" t="s">
        <v>49</v>
      </c>
      <c r="G10453" s="117">
        <v>1.33</v>
      </c>
    </row>
    <row r="10454" spans="1:7" x14ac:dyDescent="0.25">
      <c r="A10454" s="116" t="s">
        <v>16456</v>
      </c>
      <c r="B10454" s="117" t="s">
        <v>16457</v>
      </c>
      <c r="C10454" t="s">
        <v>67</v>
      </c>
      <c r="D10454" t="s">
        <v>67</v>
      </c>
      <c r="E10454" t="s">
        <v>67</v>
      </c>
      <c r="F10454" t="s">
        <v>45</v>
      </c>
      <c r="G10454" s="117">
        <v>15.7</v>
      </c>
    </row>
    <row r="10455" spans="1:7" x14ac:dyDescent="0.25">
      <c r="A10455" s="116" t="s">
        <v>29824</v>
      </c>
      <c r="B10455" s="117" t="s">
        <v>30491</v>
      </c>
      <c r="C10455" t="s">
        <v>67</v>
      </c>
      <c r="D10455" t="s">
        <v>67</v>
      </c>
      <c r="E10455" t="s">
        <v>67</v>
      </c>
      <c r="F10455" t="s">
        <v>27987</v>
      </c>
      <c r="G10455" s="117">
        <v>1.5</v>
      </c>
    </row>
    <row r="10456" spans="1:7" x14ac:dyDescent="0.25">
      <c r="A10456" s="116" t="s">
        <v>16458</v>
      </c>
      <c r="B10456" s="117" t="s">
        <v>16459</v>
      </c>
      <c r="C10456" t="s">
        <v>67</v>
      </c>
      <c r="D10456" t="s">
        <v>67</v>
      </c>
      <c r="E10456" t="s">
        <v>67</v>
      </c>
      <c r="F10456" t="s">
        <v>27987</v>
      </c>
      <c r="G10456" s="117">
        <v>53.3</v>
      </c>
    </row>
    <row r="10457" spans="1:7" x14ac:dyDescent="0.25">
      <c r="A10457" s="116" t="s">
        <v>16460</v>
      </c>
      <c r="B10457" s="117" t="s">
        <v>15243</v>
      </c>
      <c r="C10457" t="s">
        <v>67</v>
      </c>
      <c r="D10457" t="s">
        <v>67</v>
      </c>
      <c r="E10457" t="s">
        <v>67</v>
      </c>
      <c r="F10457" t="s">
        <v>49</v>
      </c>
      <c r="G10457" s="117">
        <v>7.02</v>
      </c>
    </row>
    <row r="10458" spans="1:7" x14ac:dyDescent="0.25">
      <c r="A10458" s="116" t="s">
        <v>16461</v>
      </c>
      <c r="B10458" s="117" t="s">
        <v>15243</v>
      </c>
      <c r="C10458" t="s">
        <v>67</v>
      </c>
      <c r="D10458" t="s">
        <v>67</v>
      </c>
      <c r="E10458" t="s">
        <v>67</v>
      </c>
      <c r="F10458" t="s">
        <v>27987</v>
      </c>
      <c r="G10458" s="117">
        <v>12.37</v>
      </c>
    </row>
    <row r="10459" spans="1:7" x14ac:dyDescent="0.25">
      <c r="A10459" s="116" t="s">
        <v>16462</v>
      </c>
      <c r="B10459" s="117" t="s">
        <v>16463</v>
      </c>
      <c r="C10459" t="s">
        <v>67</v>
      </c>
      <c r="D10459" t="s">
        <v>67</v>
      </c>
      <c r="E10459" t="s">
        <v>67</v>
      </c>
      <c r="F10459" t="s">
        <v>27987</v>
      </c>
      <c r="G10459" s="117">
        <v>22.69</v>
      </c>
    </row>
    <row r="10460" spans="1:7" x14ac:dyDescent="0.25">
      <c r="A10460" s="116" t="s">
        <v>16464</v>
      </c>
      <c r="B10460" s="117" t="s">
        <v>16465</v>
      </c>
      <c r="C10460" t="s">
        <v>67</v>
      </c>
      <c r="D10460" t="s">
        <v>67</v>
      </c>
      <c r="E10460" t="s">
        <v>67</v>
      </c>
      <c r="F10460" t="s">
        <v>27987</v>
      </c>
      <c r="G10460" s="117">
        <v>37.82</v>
      </c>
    </row>
    <row r="10461" spans="1:7" x14ac:dyDescent="0.25">
      <c r="A10461" s="116" t="s">
        <v>16466</v>
      </c>
      <c r="B10461" s="117" t="s">
        <v>16467</v>
      </c>
      <c r="C10461" t="s">
        <v>67</v>
      </c>
      <c r="D10461" t="s">
        <v>67</v>
      </c>
      <c r="E10461" t="s">
        <v>67</v>
      </c>
      <c r="F10461" t="s">
        <v>49</v>
      </c>
      <c r="G10461" s="117">
        <v>4.8899999999999997</v>
      </c>
    </row>
    <row r="10462" spans="1:7" x14ac:dyDescent="0.25">
      <c r="A10462" s="116" t="s">
        <v>16468</v>
      </c>
      <c r="B10462" s="117" t="s">
        <v>16469</v>
      </c>
      <c r="C10462" t="s">
        <v>67</v>
      </c>
      <c r="D10462" t="s">
        <v>67</v>
      </c>
      <c r="E10462" t="s">
        <v>67</v>
      </c>
      <c r="F10462" t="s">
        <v>27987</v>
      </c>
      <c r="G10462" s="117">
        <v>23.94</v>
      </c>
    </row>
    <row r="10463" spans="1:7" x14ac:dyDescent="0.25">
      <c r="A10463" s="116" t="s">
        <v>16470</v>
      </c>
      <c r="B10463" s="117" t="s">
        <v>16471</v>
      </c>
      <c r="C10463" t="s">
        <v>67</v>
      </c>
      <c r="D10463" t="s">
        <v>67</v>
      </c>
      <c r="E10463" t="s">
        <v>67</v>
      </c>
      <c r="F10463" t="s">
        <v>27987</v>
      </c>
      <c r="G10463" s="117">
        <v>37.82</v>
      </c>
    </row>
    <row r="10464" spans="1:7" x14ac:dyDescent="0.25">
      <c r="A10464" s="116" t="s">
        <v>16472</v>
      </c>
      <c r="B10464" s="117" t="s">
        <v>16473</v>
      </c>
      <c r="C10464" t="s">
        <v>67</v>
      </c>
      <c r="D10464" t="s">
        <v>67</v>
      </c>
      <c r="E10464" t="s">
        <v>67</v>
      </c>
      <c r="F10464" t="s">
        <v>27987</v>
      </c>
      <c r="G10464" s="117">
        <v>20.38</v>
      </c>
    </row>
    <row r="10465" spans="1:7" x14ac:dyDescent="0.25">
      <c r="A10465" s="116" t="s">
        <v>16474</v>
      </c>
      <c r="B10465" s="117" t="s">
        <v>16475</v>
      </c>
      <c r="C10465" t="s">
        <v>67</v>
      </c>
      <c r="D10465" t="s">
        <v>67</v>
      </c>
      <c r="E10465" t="s">
        <v>67</v>
      </c>
      <c r="F10465" t="s">
        <v>45</v>
      </c>
      <c r="G10465" s="117">
        <v>71.099999999999994</v>
      </c>
    </row>
    <row r="10466" spans="1:7" x14ac:dyDescent="0.25">
      <c r="A10466" s="116" t="s">
        <v>16476</v>
      </c>
      <c r="B10466" s="117" t="s">
        <v>16477</v>
      </c>
      <c r="C10466" t="s">
        <v>67</v>
      </c>
      <c r="D10466" t="s">
        <v>67</v>
      </c>
      <c r="E10466" t="s">
        <v>67</v>
      </c>
      <c r="F10466" t="s">
        <v>49</v>
      </c>
      <c r="G10466" s="117">
        <v>10.68</v>
      </c>
    </row>
    <row r="10467" spans="1:7" x14ac:dyDescent="0.25">
      <c r="A10467" s="116" t="s">
        <v>16478</v>
      </c>
      <c r="B10467" s="117" t="s">
        <v>16479</v>
      </c>
      <c r="C10467" t="s">
        <v>67</v>
      </c>
      <c r="D10467" t="s">
        <v>67</v>
      </c>
      <c r="E10467" t="s">
        <v>67</v>
      </c>
      <c r="F10467" t="s">
        <v>49</v>
      </c>
      <c r="G10467" s="117">
        <v>3.56</v>
      </c>
    </row>
    <row r="10468" spans="1:7" x14ac:dyDescent="0.25">
      <c r="A10468" s="116" t="s">
        <v>16480</v>
      </c>
      <c r="B10468" s="117" t="s">
        <v>16481</v>
      </c>
      <c r="C10468" t="s">
        <v>67</v>
      </c>
      <c r="D10468" t="s">
        <v>67</v>
      </c>
      <c r="E10468" t="s">
        <v>67</v>
      </c>
      <c r="F10468" t="s">
        <v>27987</v>
      </c>
      <c r="G10468" s="117">
        <v>36.93</v>
      </c>
    </row>
    <row r="10469" spans="1:7" x14ac:dyDescent="0.25">
      <c r="A10469" s="116" t="s">
        <v>16482</v>
      </c>
      <c r="B10469" s="117" t="s">
        <v>16483</v>
      </c>
      <c r="C10469" t="s">
        <v>67</v>
      </c>
      <c r="D10469" t="s">
        <v>67</v>
      </c>
      <c r="E10469" t="s">
        <v>67</v>
      </c>
      <c r="F10469" t="s">
        <v>27987</v>
      </c>
      <c r="G10469" s="117">
        <v>37.82</v>
      </c>
    </row>
    <row r="10470" spans="1:7" x14ac:dyDescent="0.25">
      <c r="A10470" s="116" t="s">
        <v>16484</v>
      </c>
      <c r="B10470" s="117" t="s">
        <v>16485</v>
      </c>
      <c r="C10470" t="s">
        <v>67</v>
      </c>
      <c r="D10470" t="s">
        <v>67</v>
      </c>
      <c r="E10470" t="s">
        <v>67</v>
      </c>
      <c r="F10470" t="s">
        <v>27987</v>
      </c>
      <c r="G10470" s="117">
        <v>47.61</v>
      </c>
    </row>
    <row r="10471" spans="1:7" x14ac:dyDescent="0.25">
      <c r="A10471" s="116" t="s">
        <v>16486</v>
      </c>
      <c r="B10471" s="117" t="s">
        <v>16487</v>
      </c>
      <c r="C10471" t="s">
        <v>67</v>
      </c>
      <c r="D10471" t="s">
        <v>67</v>
      </c>
      <c r="E10471" t="s">
        <v>67</v>
      </c>
      <c r="F10471" t="s">
        <v>27987</v>
      </c>
      <c r="G10471" s="117">
        <v>112.02</v>
      </c>
    </row>
    <row r="10472" spans="1:7" x14ac:dyDescent="0.25">
      <c r="A10472" s="116" t="s">
        <v>16488</v>
      </c>
      <c r="B10472" s="117" t="s">
        <v>16489</v>
      </c>
      <c r="C10472" t="s">
        <v>67</v>
      </c>
      <c r="D10472" t="s">
        <v>67</v>
      </c>
      <c r="E10472" t="s">
        <v>67</v>
      </c>
      <c r="F10472" t="s">
        <v>27987</v>
      </c>
      <c r="G10472" s="117">
        <v>84.98</v>
      </c>
    </row>
    <row r="10473" spans="1:7" x14ac:dyDescent="0.25">
      <c r="A10473" s="116" t="s">
        <v>16490</v>
      </c>
      <c r="B10473" s="117" t="s">
        <v>29226</v>
      </c>
      <c r="C10473" t="s">
        <v>67</v>
      </c>
      <c r="D10473" t="s">
        <v>67</v>
      </c>
      <c r="E10473" t="s">
        <v>67</v>
      </c>
      <c r="F10473" t="s">
        <v>27987</v>
      </c>
      <c r="G10473" s="117">
        <v>63.98</v>
      </c>
    </row>
    <row r="10474" spans="1:7" x14ac:dyDescent="0.25">
      <c r="A10474" s="116" t="s">
        <v>16491</v>
      </c>
      <c r="B10474" s="117" t="s">
        <v>16492</v>
      </c>
      <c r="C10474" t="s">
        <v>67</v>
      </c>
      <c r="D10474" t="s">
        <v>67</v>
      </c>
      <c r="E10474" t="s">
        <v>67</v>
      </c>
      <c r="F10474" t="s">
        <v>45</v>
      </c>
      <c r="G10474" s="117">
        <v>66.3</v>
      </c>
    </row>
    <row r="10475" spans="1:7" x14ac:dyDescent="0.25">
      <c r="A10475" s="116" t="s">
        <v>16493</v>
      </c>
      <c r="B10475" s="117" t="s">
        <v>16494</v>
      </c>
      <c r="C10475" t="s">
        <v>67</v>
      </c>
      <c r="D10475" t="s">
        <v>67</v>
      </c>
      <c r="E10475" t="s">
        <v>67</v>
      </c>
      <c r="F10475" t="s">
        <v>27987</v>
      </c>
      <c r="G10475" s="117">
        <v>12.37</v>
      </c>
    </row>
    <row r="10476" spans="1:7" x14ac:dyDescent="0.25">
      <c r="A10476" s="116" t="s">
        <v>16495</v>
      </c>
      <c r="B10476" s="117" t="s">
        <v>16496</v>
      </c>
      <c r="C10476" t="s">
        <v>67</v>
      </c>
      <c r="D10476" t="s">
        <v>67</v>
      </c>
      <c r="E10476" t="s">
        <v>67</v>
      </c>
      <c r="F10476" t="s">
        <v>45</v>
      </c>
      <c r="G10476" s="117">
        <v>6.14</v>
      </c>
    </row>
    <row r="10477" spans="1:7" x14ac:dyDescent="0.25">
      <c r="A10477" s="116" t="s">
        <v>16497</v>
      </c>
      <c r="B10477" s="117" t="s">
        <v>16498</v>
      </c>
      <c r="C10477" t="s">
        <v>67</v>
      </c>
      <c r="D10477" t="s">
        <v>67</v>
      </c>
      <c r="E10477" t="s">
        <v>67</v>
      </c>
      <c r="F10477" t="s">
        <v>27987</v>
      </c>
      <c r="G10477" s="117">
        <v>7.92</v>
      </c>
    </row>
    <row r="10478" spans="1:7" x14ac:dyDescent="0.25">
      <c r="A10478" s="116" t="s">
        <v>16499</v>
      </c>
      <c r="B10478" s="117" t="s">
        <v>16500</v>
      </c>
      <c r="C10478" t="s">
        <v>67</v>
      </c>
      <c r="D10478" t="s">
        <v>67</v>
      </c>
      <c r="E10478" t="s">
        <v>67</v>
      </c>
      <c r="F10478" t="s">
        <v>49</v>
      </c>
      <c r="G10478" s="117">
        <v>22.69</v>
      </c>
    </row>
    <row r="10479" spans="1:7" x14ac:dyDescent="0.25">
      <c r="A10479" s="116" t="s">
        <v>16501</v>
      </c>
      <c r="B10479" s="117" t="s">
        <v>16502</v>
      </c>
      <c r="C10479" t="s">
        <v>67</v>
      </c>
      <c r="D10479" t="s">
        <v>67</v>
      </c>
      <c r="E10479" t="s">
        <v>67</v>
      </c>
      <c r="F10479" t="s">
        <v>49</v>
      </c>
      <c r="G10479" s="117">
        <v>12.01</v>
      </c>
    </row>
    <row r="10480" spans="1:7" x14ac:dyDescent="0.25">
      <c r="A10480" s="116" t="s">
        <v>16503</v>
      </c>
      <c r="B10480" s="117" t="s">
        <v>16504</v>
      </c>
      <c r="C10480" t="s">
        <v>67</v>
      </c>
      <c r="D10480" t="s">
        <v>67</v>
      </c>
      <c r="E10480" t="s">
        <v>67</v>
      </c>
      <c r="F10480" t="s">
        <v>27987</v>
      </c>
      <c r="G10480" s="117">
        <v>6.14</v>
      </c>
    </row>
    <row r="10481" spans="1:7" x14ac:dyDescent="0.25">
      <c r="A10481" s="116" t="s">
        <v>16505</v>
      </c>
      <c r="B10481" s="117" t="s">
        <v>16506</v>
      </c>
      <c r="C10481" t="s">
        <v>67</v>
      </c>
      <c r="D10481" t="s">
        <v>67</v>
      </c>
      <c r="E10481" t="s">
        <v>67</v>
      </c>
      <c r="F10481" t="s">
        <v>27987</v>
      </c>
      <c r="G10481" s="117">
        <v>112.02</v>
      </c>
    </row>
    <row r="10482" spans="1:7" x14ac:dyDescent="0.25">
      <c r="A10482" s="116" t="s">
        <v>16507</v>
      </c>
      <c r="B10482" s="117" t="s">
        <v>16508</v>
      </c>
      <c r="C10482" t="s">
        <v>67</v>
      </c>
      <c r="D10482" t="s">
        <v>67</v>
      </c>
      <c r="E10482" t="s">
        <v>67</v>
      </c>
      <c r="F10482" t="s">
        <v>27987</v>
      </c>
      <c r="G10482" s="117">
        <v>49.38</v>
      </c>
    </row>
    <row r="10483" spans="1:7" x14ac:dyDescent="0.25">
      <c r="A10483" s="116" t="s">
        <v>16509</v>
      </c>
      <c r="B10483" s="117" t="s">
        <v>16510</v>
      </c>
      <c r="C10483" t="s">
        <v>67</v>
      </c>
      <c r="D10483" t="s">
        <v>67</v>
      </c>
      <c r="E10483" t="s">
        <v>67</v>
      </c>
      <c r="F10483" t="s">
        <v>27987</v>
      </c>
      <c r="G10483" s="117">
        <v>5.79</v>
      </c>
    </row>
    <row r="10484" spans="1:7" x14ac:dyDescent="0.25">
      <c r="A10484" s="116" t="s">
        <v>16511</v>
      </c>
      <c r="B10484" s="117" t="s">
        <v>16512</v>
      </c>
      <c r="C10484" t="s">
        <v>67</v>
      </c>
      <c r="D10484" t="s">
        <v>67</v>
      </c>
      <c r="E10484" t="s">
        <v>67</v>
      </c>
      <c r="F10484" t="s">
        <v>49</v>
      </c>
      <c r="G10484" s="117">
        <v>59.18</v>
      </c>
    </row>
    <row r="10485" spans="1:7" x14ac:dyDescent="0.25">
      <c r="A10485" s="116" t="s">
        <v>16513</v>
      </c>
      <c r="B10485" s="117" t="s">
        <v>16514</v>
      </c>
      <c r="C10485" t="s">
        <v>67</v>
      </c>
      <c r="D10485" t="s">
        <v>67</v>
      </c>
      <c r="E10485" t="s">
        <v>67</v>
      </c>
      <c r="F10485" t="s">
        <v>45</v>
      </c>
      <c r="G10485" s="117">
        <v>7.92</v>
      </c>
    </row>
    <row r="10486" spans="1:7" x14ac:dyDescent="0.25">
      <c r="A10486" s="116" t="s">
        <v>16515</v>
      </c>
      <c r="B10486" s="117" t="s">
        <v>14728</v>
      </c>
      <c r="C10486" t="s">
        <v>67</v>
      </c>
      <c r="D10486" t="s">
        <v>67</v>
      </c>
      <c r="E10486" t="s">
        <v>67</v>
      </c>
      <c r="F10486" t="s">
        <v>45</v>
      </c>
      <c r="G10486" s="117">
        <v>24.36</v>
      </c>
    </row>
    <row r="10487" spans="1:7" x14ac:dyDescent="0.25">
      <c r="A10487" s="116" t="s">
        <v>16516</v>
      </c>
      <c r="B10487" s="117" t="s">
        <v>16517</v>
      </c>
      <c r="C10487" t="s">
        <v>67</v>
      </c>
      <c r="D10487" t="s">
        <v>67</v>
      </c>
      <c r="E10487" t="s">
        <v>67</v>
      </c>
      <c r="F10487" t="s">
        <v>49</v>
      </c>
      <c r="G10487" s="117">
        <v>8.81</v>
      </c>
    </row>
    <row r="10488" spans="1:7" x14ac:dyDescent="0.25">
      <c r="A10488" s="116" t="s">
        <v>16518</v>
      </c>
      <c r="B10488" s="117" t="s">
        <v>16519</v>
      </c>
      <c r="C10488" t="s">
        <v>67</v>
      </c>
      <c r="D10488" t="s">
        <v>67</v>
      </c>
      <c r="E10488" t="s">
        <v>67</v>
      </c>
      <c r="F10488" t="s">
        <v>45</v>
      </c>
      <c r="G10488" s="117">
        <v>23.94</v>
      </c>
    </row>
    <row r="10489" spans="1:7" x14ac:dyDescent="0.25">
      <c r="A10489" s="116" t="s">
        <v>16520</v>
      </c>
      <c r="B10489" s="117" t="s">
        <v>15949</v>
      </c>
      <c r="C10489" t="s">
        <v>67</v>
      </c>
      <c r="D10489" t="s">
        <v>67</v>
      </c>
      <c r="E10489" t="s">
        <v>67</v>
      </c>
      <c r="F10489" t="s">
        <v>45</v>
      </c>
      <c r="G10489" s="117">
        <v>16.82</v>
      </c>
    </row>
    <row r="10490" spans="1:7" x14ac:dyDescent="0.25">
      <c r="A10490" s="116" t="s">
        <v>16521</v>
      </c>
      <c r="B10490" s="117" t="s">
        <v>16522</v>
      </c>
      <c r="C10490" t="s">
        <v>67</v>
      </c>
      <c r="D10490" t="s">
        <v>67</v>
      </c>
      <c r="E10490" t="s">
        <v>67</v>
      </c>
      <c r="F10490" t="s">
        <v>27987</v>
      </c>
      <c r="G10490" s="117">
        <v>4</v>
      </c>
    </row>
    <row r="10491" spans="1:7" x14ac:dyDescent="0.25">
      <c r="A10491" s="116" t="s">
        <v>16523</v>
      </c>
      <c r="B10491" s="117" t="s">
        <v>16524</v>
      </c>
      <c r="C10491" t="s">
        <v>67</v>
      </c>
      <c r="D10491" t="s">
        <v>67</v>
      </c>
      <c r="E10491" t="s">
        <v>67</v>
      </c>
      <c r="F10491" t="s">
        <v>27987</v>
      </c>
      <c r="G10491" s="117">
        <v>7.92</v>
      </c>
    </row>
    <row r="10492" spans="1:7" x14ac:dyDescent="0.25">
      <c r="A10492" s="116" t="s">
        <v>16525</v>
      </c>
      <c r="B10492" s="117" t="s">
        <v>15014</v>
      </c>
      <c r="C10492" t="s">
        <v>67</v>
      </c>
      <c r="D10492" t="s">
        <v>67</v>
      </c>
      <c r="E10492" t="s">
        <v>67</v>
      </c>
      <c r="F10492" t="s">
        <v>49</v>
      </c>
      <c r="G10492" s="117">
        <v>2.58</v>
      </c>
    </row>
    <row r="10493" spans="1:7" x14ac:dyDescent="0.25">
      <c r="A10493" s="116" t="s">
        <v>16526</v>
      </c>
      <c r="B10493" s="117" t="s">
        <v>1271</v>
      </c>
      <c r="C10493" t="s">
        <v>67</v>
      </c>
      <c r="D10493" t="s">
        <v>67</v>
      </c>
      <c r="E10493" t="s">
        <v>67</v>
      </c>
      <c r="F10493" t="s">
        <v>45</v>
      </c>
      <c r="G10493" s="117">
        <v>93.35</v>
      </c>
    </row>
    <row r="10494" spans="1:7" x14ac:dyDescent="0.25">
      <c r="A10494" s="116" t="s">
        <v>16527</v>
      </c>
      <c r="B10494" s="117" t="s">
        <v>16528</v>
      </c>
      <c r="C10494" t="s">
        <v>67</v>
      </c>
      <c r="D10494" t="s">
        <v>67</v>
      </c>
      <c r="E10494" t="s">
        <v>67</v>
      </c>
      <c r="F10494" t="s">
        <v>45</v>
      </c>
      <c r="G10494" s="117">
        <v>6.68</v>
      </c>
    </row>
    <row r="10495" spans="1:7" x14ac:dyDescent="0.25">
      <c r="A10495" s="116" t="s">
        <v>16529</v>
      </c>
      <c r="B10495" s="117" t="s">
        <v>16528</v>
      </c>
      <c r="C10495" t="s">
        <v>67</v>
      </c>
      <c r="D10495" t="s">
        <v>67</v>
      </c>
      <c r="E10495" t="s">
        <v>67</v>
      </c>
      <c r="F10495" t="s">
        <v>45</v>
      </c>
      <c r="G10495" s="117">
        <v>15.57</v>
      </c>
    </row>
    <row r="10496" spans="1:7" x14ac:dyDescent="0.25">
      <c r="A10496" s="116" t="s">
        <v>16530</v>
      </c>
      <c r="B10496" s="117" t="s">
        <v>13502</v>
      </c>
      <c r="C10496" t="s">
        <v>67</v>
      </c>
      <c r="D10496" t="s">
        <v>67</v>
      </c>
      <c r="E10496" t="s">
        <v>67</v>
      </c>
      <c r="F10496" t="s">
        <v>45</v>
      </c>
      <c r="G10496" s="117">
        <v>21.26</v>
      </c>
    </row>
    <row r="10497" spans="1:7" x14ac:dyDescent="0.25">
      <c r="A10497" s="116" t="s">
        <v>16531</v>
      </c>
      <c r="B10497" s="117" t="s">
        <v>13797</v>
      </c>
      <c r="C10497" t="s">
        <v>67</v>
      </c>
      <c r="D10497" t="s">
        <v>67</v>
      </c>
      <c r="E10497" t="s">
        <v>67</v>
      </c>
      <c r="F10497" t="s">
        <v>45</v>
      </c>
      <c r="G10497" s="117">
        <v>7.12</v>
      </c>
    </row>
    <row r="10498" spans="1:7" x14ac:dyDescent="0.25">
      <c r="A10498" s="116" t="s">
        <v>16532</v>
      </c>
      <c r="B10498" s="117" t="s">
        <v>344</v>
      </c>
      <c r="C10498" t="s">
        <v>67</v>
      </c>
      <c r="D10498" t="s">
        <v>67</v>
      </c>
      <c r="E10498" t="s">
        <v>67</v>
      </c>
      <c r="F10498" t="s">
        <v>45</v>
      </c>
      <c r="G10498" s="117">
        <v>26.25</v>
      </c>
    </row>
    <row r="10499" spans="1:7" x14ac:dyDescent="0.25">
      <c r="A10499" s="116" t="s">
        <v>16533</v>
      </c>
      <c r="B10499" s="117" t="s">
        <v>16534</v>
      </c>
      <c r="C10499" t="s">
        <v>67</v>
      </c>
      <c r="D10499" t="s">
        <v>67</v>
      </c>
      <c r="E10499" t="s">
        <v>67</v>
      </c>
      <c r="F10499" t="s">
        <v>45</v>
      </c>
      <c r="G10499" s="117">
        <v>1.33</v>
      </c>
    </row>
    <row r="10500" spans="1:7" x14ac:dyDescent="0.25">
      <c r="A10500" s="116" t="s">
        <v>16535</v>
      </c>
      <c r="B10500" s="117" t="s">
        <v>16536</v>
      </c>
      <c r="C10500" t="s">
        <v>67</v>
      </c>
      <c r="D10500" t="s">
        <v>67</v>
      </c>
      <c r="E10500" t="s">
        <v>67</v>
      </c>
      <c r="F10500" t="s">
        <v>45</v>
      </c>
      <c r="G10500" s="117">
        <v>77.849999999999994</v>
      </c>
    </row>
    <row r="10501" spans="1:7" x14ac:dyDescent="0.25">
      <c r="A10501" s="116" t="s">
        <v>16537</v>
      </c>
      <c r="B10501" s="117" t="s">
        <v>515</v>
      </c>
      <c r="C10501" t="s">
        <v>67</v>
      </c>
      <c r="D10501" t="s">
        <v>67</v>
      </c>
      <c r="E10501" t="s">
        <v>67</v>
      </c>
      <c r="F10501" t="s">
        <v>45</v>
      </c>
      <c r="G10501" s="117">
        <v>17.7</v>
      </c>
    </row>
    <row r="10502" spans="1:7" x14ac:dyDescent="0.25">
      <c r="A10502" s="116" t="s">
        <v>16538</v>
      </c>
      <c r="B10502" s="117" t="s">
        <v>15705</v>
      </c>
      <c r="C10502" t="s">
        <v>67</v>
      </c>
      <c r="D10502" t="s">
        <v>67</v>
      </c>
      <c r="E10502" t="s">
        <v>67</v>
      </c>
      <c r="F10502" t="s">
        <v>45</v>
      </c>
      <c r="G10502" s="117">
        <v>15.57</v>
      </c>
    </row>
    <row r="10503" spans="1:7" x14ac:dyDescent="0.25">
      <c r="A10503" s="116" t="s">
        <v>16539</v>
      </c>
      <c r="B10503" s="117" t="s">
        <v>16540</v>
      </c>
      <c r="C10503" t="s">
        <v>67</v>
      </c>
      <c r="D10503" t="s">
        <v>67</v>
      </c>
      <c r="E10503" t="s">
        <v>67</v>
      </c>
      <c r="F10503" t="s">
        <v>45</v>
      </c>
      <c r="G10503" s="117">
        <v>60.42</v>
      </c>
    </row>
    <row r="10504" spans="1:7" x14ac:dyDescent="0.25">
      <c r="A10504" s="116" t="s">
        <v>16541</v>
      </c>
      <c r="B10504" s="117" t="s">
        <v>16542</v>
      </c>
      <c r="C10504" t="s">
        <v>67</v>
      </c>
      <c r="D10504" t="s">
        <v>67</v>
      </c>
      <c r="E10504" t="s">
        <v>67</v>
      </c>
      <c r="F10504" t="s">
        <v>45</v>
      </c>
      <c r="G10504" s="117">
        <v>69.86</v>
      </c>
    </row>
    <row r="10505" spans="1:7" x14ac:dyDescent="0.25">
      <c r="A10505" s="116" t="s">
        <v>16543</v>
      </c>
      <c r="B10505" s="117" t="s">
        <v>16544</v>
      </c>
      <c r="C10505" t="s">
        <v>67</v>
      </c>
      <c r="D10505" t="s">
        <v>67</v>
      </c>
      <c r="E10505" t="s">
        <v>67</v>
      </c>
      <c r="F10505" t="s">
        <v>49</v>
      </c>
      <c r="G10505" s="117">
        <v>67.540000000000006</v>
      </c>
    </row>
    <row r="10506" spans="1:7" x14ac:dyDescent="0.25">
      <c r="A10506" s="116" t="s">
        <v>16545</v>
      </c>
      <c r="B10506" s="117" t="s">
        <v>16546</v>
      </c>
      <c r="C10506" t="s">
        <v>67</v>
      </c>
      <c r="D10506" t="s">
        <v>67</v>
      </c>
      <c r="E10506" t="s">
        <v>67</v>
      </c>
      <c r="F10506" t="s">
        <v>27987</v>
      </c>
      <c r="G10506" s="117">
        <v>53.3</v>
      </c>
    </row>
    <row r="10507" spans="1:7" x14ac:dyDescent="0.25">
      <c r="A10507" s="116" t="s">
        <v>16547</v>
      </c>
      <c r="B10507" s="117" t="s">
        <v>16548</v>
      </c>
      <c r="C10507" t="s">
        <v>67</v>
      </c>
      <c r="D10507" t="s">
        <v>67</v>
      </c>
      <c r="E10507" t="s">
        <v>67</v>
      </c>
      <c r="F10507" t="s">
        <v>45</v>
      </c>
      <c r="G10507" s="117">
        <v>3.56</v>
      </c>
    </row>
    <row r="10508" spans="1:7" x14ac:dyDescent="0.25">
      <c r="A10508" s="116" t="s">
        <v>16549</v>
      </c>
      <c r="B10508" s="117" t="s">
        <v>16550</v>
      </c>
      <c r="C10508" t="s">
        <v>67</v>
      </c>
      <c r="D10508" t="s">
        <v>67</v>
      </c>
      <c r="E10508" t="s">
        <v>67</v>
      </c>
      <c r="F10508" t="s">
        <v>27987</v>
      </c>
      <c r="G10508" s="117">
        <v>20.92</v>
      </c>
    </row>
    <row r="10509" spans="1:7" x14ac:dyDescent="0.25">
      <c r="A10509" s="116" t="s">
        <v>16551</v>
      </c>
      <c r="B10509" s="117" t="s">
        <v>16552</v>
      </c>
      <c r="C10509" t="s">
        <v>67</v>
      </c>
      <c r="D10509" t="s">
        <v>67</v>
      </c>
      <c r="E10509" t="s">
        <v>67</v>
      </c>
      <c r="F10509" t="s">
        <v>27987</v>
      </c>
      <c r="G10509" s="117">
        <v>46.18</v>
      </c>
    </row>
    <row r="10510" spans="1:7" x14ac:dyDescent="0.25">
      <c r="A10510" s="116" t="s">
        <v>16553</v>
      </c>
      <c r="B10510" s="117" t="s">
        <v>16554</v>
      </c>
      <c r="C10510" t="s">
        <v>67</v>
      </c>
      <c r="D10510" t="s">
        <v>67</v>
      </c>
      <c r="E10510" t="s">
        <v>67</v>
      </c>
      <c r="F10510" t="s">
        <v>27987</v>
      </c>
      <c r="G10510" s="117">
        <v>7.12</v>
      </c>
    </row>
    <row r="10511" spans="1:7" x14ac:dyDescent="0.25">
      <c r="A10511" s="116" t="s">
        <v>16555</v>
      </c>
      <c r="B10511" s="117" t="s">
        <v>16556</v>
      </c>
      <c r="C10511" t="s">
        <v>67</v>
      </c>
      <c r="D10511" t="s">
        <v>67</v>
      </c>
      <c r="E10511" t="s">
        <v>67</v>
      </c>
      <c r="F10511" t="s">
        <v>27987</v>
      </c>
      <c r="G10511" s="117">
        <v>19.13</v>
      </c>
    </row>
    <row r="10512" spans="1:7" x14ac:dyDescent="0.25">
      <c r="A10512" s="116" t="s">
        <v>16557</v>
      </c>
      <c r="B10512" s="117" t="s">
        <v>16558</v>
      </c>
      <c r="C10512" t="s">
        <v>67</v>
      </c>
      <c r="D10512" t="s">
        <v>67</v>
      </c>
      <c r="E10512" t="s">
        <v>67</v>
      </c>
      <c r="F10512" t="s">
        <v>27987</v>
      </c>
      <c r="G10512" s="117">
        <v>53.3</v>
      </c>
    </row>
    <row r="10513" spans="1:7" x14ac:dyDescent="0.25">
      <c r="A10513" s="116" t="s">
        <v>16559</v>
      </c>
      <c r="B10513" s="117" t="s">
        <v>16066</v>
      </c>
      <c r="C10513" t="s">
        <v>67</v>
      </c>
      <c r="D10513" t="s">
        <v>67</v>
      </c>
      <c r="E10513" t="s">
        <v>67</v>
      </c>
      <c r="F10513" t="s">
        <v>27987</v>
      </c>
      <c r="G10513" s="117">
        <v>12.9</v>
      </c>
    </row>
    <row r="10514" spans="1:7" x14ac:dyDescent="0.25">
      <c r="A10514" s="116" t="s">
        <v>16560</v>
      </c>
      <c r="B10514" s="117" t="s">
        <v>14135</v>
      </c>
      <c r="C10514" t="s">
        <v>67</v>
      </c>
      <c r="D10514" t="s">
        <v>67</v>
      </c>
      <c r="E10514" t="s">
        <v>67</v>
      </c>
      <c r="F10514" t="s">
        <v>27987</v>
      </c>
      <c r="G10514" s="117">
        <v>48.86</v>
      </c>
    </row>
    <row r="10515" spans="1:7" x14ac:dyDescent="0.25">
      <c r="A10515" s="116" t="s">
        <v>16561</v>
      </c>
      <c r="B10515" s="117" t="s">
        <v>16562</v>
      </c>
      <c r="C10515" t="s">
        <v>67</v>
      </c>
      <c r="D10515" t="s">
        <v>67</v>
      </c>
      <c r="E10515" t="s">
        <v>67</v>
      </c>
      <c r="F10515" t="s">
        <v>45</v>
      </c>
      <c r="G10515" s="117">
        <v>8.4499999999999993</v>
      </c>
    </row>
    <row r="10516" spans="1:7" x14ac:dyDescent="0.25">
      <c r="A10516" s="116" t="s">
        <v>16563</v>
      </c>
      <c r="B10516" s="117" t="s">
        <v>16564</v>
      </c>
      <c r="C10516" t="s">
        <v>67</v>
      </c>
      <c r="D10516" t="s">
        <v>67</v>
      </c>
      <c r="E10516" t="s">
        <v>67</v>
      </c>
      <c r="F10516" t="s">
        <v>45</v>
      </c>
      <c r="G10516" s="117">
        <v>182.86</v>
      </c>
    </row>
    <row r="10517" spans="1:7" x14ac:dyDescent="0.25">
      <c r="A10517" s="116" t="s">
        <v>16565</v>
      </c>
      <c r="B10517" s="117" t="s">
        <v>16566</v>
      </c>
      <c r="C10517" t="s">
        <v>67</v>
      </c>
      <c r="D10517" t="s">
        <v>67</v>
      </c>
      <c r="E10517" t="s">
        <v>67</v>
      </c>
      <c r="F10517" t="s">
        <v>27987</v>
      </c>
      <c r="G10517" s="117">
        <v>73.760000000000005</v>
      </c>
    </row>
    <row r="10518" spans="1:7" x14ac:dyDescent="0.25">
      <c r="A10518" s="116" t="s">
        <v>16567</v>
      </c>
      <c r="B10518" s="117" t="s">
        <v>29227</v>
      </c>
      <c r="C10518" t="s">
        <v>67</v>
      </c>
      <c r="D10518" t="s">
        <v>67</v>
      </c>
      <c r="E10518" t="s">
        <v>67</v>
      </c>
      <c r="F10518" t="s">
        <v>45</v>
      </c>
      <c r="G10518" s="117">
        <v>40.49</v>
      </c>
    </row>
    <row r="10519" spans="1:7" x14ac:dyDescent="0.25">
      <c r="A10519" s="116" t="s">
        <v>16568</v>
      </c>
      <c r="B10519" s="117" t="s">
        <v>16569</v>
      </c>
      <c r="C10519" t="s">
        <v>67</v>
      </c>
      <c r="D10519" t="s">
        <v>67</v>
      </c>
      <c r="E10519" t="s">
        <v>67</v>
      </c>
      <c r="F10519" t="s">
        <v>45</v>
      </c>
      <c r="G10519" s="117">
        <v>12.01</v>
      </c>
    </row>
    <row r="10520" spans="1:7" x14ac:dyDescent="0.25">
      <c r="A10520" s="116" t="s">
        <v>26654</v>
      </c>
      <c r="B10520" s="117" t="s">
        <v>26913</v>
      </c>
      <c r="C10520" t="s">
        <v>67</v>
      </c>
      <c r="D10520" t="s">
        <v>67</v>
      </c>
      <c r="E10520" t="s">
        <v>67</v>
      </c>
      <c r="F10520" t="s">
        <v>27987</v>
      </c>
      <c r="G10520" s="117">
        <v>13.51</v>
      </c>
    </row>
    <row r="10521" spans="1:7" x14ac:dyDescent="0.25">
      <c r="A10521" s="116" t="s">
        <v>16570</v>
      </c>
      <c r="B10521" s="117" t="s">
        <v>1267</v>
      </c>
      <c r="C10521" t="s">
        <v>67</v>
      </c>
      <c r="D10521" t="s">
        <v>67</v>
      </c>
      <c r="E10521" t="s">
        <v>67</v>
      </c>
      <c r="F10521" t="s">
        <v>27987</v>
      </c>
      <c r="G10521" s="117">
        <v>27.14</v>
      </c>
    </row>
    <row r="10522" spans="1:7" x14ac:dyDescent="0.25">
      <c r="A10522" s="116" t="s">
        <v>16571</v>
      </c>
      <c r="B10522" s="117" t="s">
        <v>16572</v>
      </c>
      <c r="C10522" t="s">
        <v>67</v>
      </c>
      <c r="D10522" t="s">
        <v>67</v>
      </c>
      <c r="E10522" t="s">
        <v>67</v>
      </c>
      <c r="F10522" t="s">
        <v>27987</v>
      </c>
      <c r="G10522" s="117">
        <v>13.26</v>
      </c>
    </row>
    <row r="10523" spans="1:7" x14ac:dyDescent="0.25">
      <c r="A10523" s="116" t="s">
        <v>16573</v>
      </c>
      <c r="B10523" s="117" t="s">
        <v>16574</v>
      </c>
      <c r="C10523" t="s">
        <v>67</v>
      </c>
      <c r="D10523" t="s">
        <v>67</v>
      </c>
      <c r="E10523" t="s">
        <v>67</v>
      </c>
      <c r="F10523" t="s">
        <v>27987</v>
      </c>
      <c r="G10523" s="117">
        <v>13.26</v>
      </c>
    </row>
    <row r="10524" spans="1:7" x14ac:dyDescent="0.25">
      <c r="A10524" s="116" t="s">
        <v>16575</v>
      </c>
      <c r="B10524" s="117" t="s">
        <v>16576</v>
      </c>
      <c r="C10524" t="s">
        <v>67</v>
      </c>
      <c r="D10524" t="s">
        <v>67</v>
      </c>
      <c r="E10524" t="s">
        <v>67</v>
      </c>
      <c r="F10524" t="s">
        <v>27987</v>
      </c>
      <c r="G10524" s="117">
        <v>37.29</v>
      </c>
    </row>
    <row r="10525" spans="1:7" x14ac:dyDescent="0.25">
      <c r="A10525" s="116" t="s">
        <v>16577</v>
      </c>
      <c r="B10525" s="117" t="s">
        <v>16578</v>
      </c>
      <c r="C10525" t="s">
        <v>67</v>
      </c>
      <c r="D10525" t="s">
        <v>67</v>
      </c>
      <c r="E10525" t="s">
        <v>67</v>
      </c>
      <c r="F10525" t="s">
        <v>27987</v>
      </c>
      <c r="G10525" s="117">
        <v>26.25</v>
      </c>
    </row>
    <row r="10526" spans="1:7" x14ac:dyDescent="0.25">
      <c r="A10526" s="116" t="s">
        <v>16579</v>
      </c>
      <c r="B10526" s="117" t="s">
        <v>515</v>
      </c>
      <c r="C10526" t="s">
        <v>67</v>
      </c>
      <c r="D10526" t="s">
        <v>67</v>
      </c>
      <c r="E10526" t="s">
        <v>67</v>
      </c>
      <c r="F10526" t="s">
        <v>49</v>
      </c>
      <c r="G10526" s="117">
        <v>1.77</v>
      </c>
    </row>
    <row r="10527" spans="1:7" x14ac:dyDescent="0.25">
      <c r="A10527" s="116" t="s">
        <v>16580</v>
      </c>
      <c r="B10527" s="117" t="s">
        <v>16581</v>
      </c>
      <c r="C10527" t="s">
        <v>67</v>
      </c>
      <c r="D10527" t="s">
        <v>67</v>
      </c>
      <c r="E10527" t="s">
        <v>67</v>
      </c>
      <c r="F10527" t="s">
        <v>45</v>
      </c>
      <c r="G10527" s="117">
        <v>7.56</v>
      </c>
    </row>
    <row r="10528" spans="1:7" x14ac:dyDescent="0.25">
      <c r="A10528" s="116" t="s">
        <v>16582</v>
      </c>
      <c r="B10528" s="117" t="s">
        <v>16583</v>
      </c>
      <c r="C10528" t="s">
        <v>67</v>
      </c>
      <c r="D10528" t="s">
        <v>67</v>
      </c>
      <c r="E10528" t="s">
        <v>67</v>
      </c>
      <c r="F10528" t="s">
        <v>45</v>
      </c>
      <c r="G10528" s="117">
        <v>41.38</v>
      </c>
    </row>
    <row r="10529" spans="1:7" x14ac:dyDescent="0.25">
      <c r="A10529" s="116" t="s">
        <v>16584</v>
      </c>
      <c r="B10529" s="117" t="s">
        <v>16569</v>
      </c>
      <c r="C10529" t="s">
        <v>67</v>
      </c>
      <c r="D10529" t="s">
        <v>67</v>
      </c>
      <c r="E10529" t="s">
        <v>67</v>
      </c>
      <c r="F10529" t="s">
        <v>45</v>
      </c>
      <c r="G10529" s="117">
        <v>12.01</v>
      </c>
    </row>
    <row r="10530" spans="1:7" x14ac:dyDescent="0.25">
      <c r="A10530" s="116" t="s">
        <v>16585</v>
      </c>
      <c r="B10530" s="117" t="s">
        <v>16586</v>
      </c>
      <c r="C10530" t="s">
        <v>67</v>
      </c>
      <c r="D10530" t="s">
        <v>67</v>
      </c>
      <c r="E10530" t="s">
        <v>67</v>
      </c>
      <c r="F10530" t="s">
        <v>45</v>
      </c>
      <c r="G10530" s="117">
        <v>10.24</v>
      </c>
    </row>
    <row r="10531" spans="1:7" x14ac:dyDescent="0.25">
      <c r="A10531" s="116" t="s">
        <v>16587</v>
      </c>
      <c r="B10531" s="117" t="s">
        <v>16588</v>
      </c>
      <c r="C10531" t="s">
        <v>67</v>
      </c>
      <c r="D10531" t="s">
        <v>67</v>
      </c>
      <c r="E10531" t="s">
        <v>67</v>
      </c>
      <c r="F10531" t="s">
        <v>45</v>
      </c>
      <c r="G10531" s="117">
        <v>8.4499999999999993</v>
      </c>
    </row>
    <row r="10532" spans="1:7" x14ac:dyDescent="0.25">
      <c r="A10532" s="116" t="s">
        <v>16589</v>
      </c>
      <c r="B10532" s="117" t="s">
        <v>16590</v>
      </c>
      <c r="C10532" t="s">
        <v>67</v>
      </c>
      <c r="D10532" t="s">
        <v>67</v>
      </c>
      <c r="E10532" t="s">
        <v>67</v>
      </c>
      <c r="F10532" t="s">
        <v>45</v>
      </c>
      <c r="G10532" s="117">
        <v>51.17</v>
      </c>
    </row>
    <row r="10533" spans="1:7" x14ac:dyDescent="0.25">
      <c r="A10533" s="116" t="s">
        <v>16591</v>
      </c>
      <c r="B10533" s="117" t="s">
        <v>16592</v>
      </c>
      <c r="C10533" t="s">
        <v>67</v>
      </c>
      <c r="D10533" t="s">
        <v>67</v>
      </c>
      <c r="E10533" t="s">
        <v>67</v>
      </c>
      <c r="F10533" t="s">
        <v>45</v>
      </c>
      <c r="G10533" s="117">
        <v>79.64</v>
      </c>
    </row>
    <row r="10534" spans="1:7" x14ac:dyDescent="0.25">
      <c r="A10534" s="116" t="s">
        <v>16593</v>
      </c>
      <c r="B10534" s="117" t="s">
        <v>16594</v>
      </c>
      <c r="C10534" t="s">
        <v>67</v>
      </c>
      <c r="D10534" t="s">
        <v>67</v>
      </c>
      <c r="E10534" t="s">
        <v>67</v>
      </c>
      <c r="F10534" t="s">
        <v>45</v>
      </c>
      <c r="G10534" s="117">
        <v>7.02</v>
      </c>
    </row>
    <row r="10535" spans="1:7" x14ac:dyDescent="0.25">
      <c r="A10535" s="116" t="s">
        <v>16595</v>
      </c>
      <c r="B10535" s="117" t="s">
        <v>16596</v>
      </c>
      <c r="C10535" t="s">
        <v>67</v>
      </c>
      <c r="D10535" t="s">
        <v>67</v>
      </c>
      <c r="E10535" t="s">
        <v>67</v>
      </c>
      <c r="F10535" t="s">
        <v>45</v>
      </c>
      <c r="G10535" s="117">
        <v>14.14</v>
      </c>
    </row>
    <row r="10536" spans="1:7" x14ac:dyDescent="0.25">
      <c r="A10536" s="116" t="s">
        <v>16597</v>
      </c>
      <c r="B10536" s="117" t="s">
        <v>16598</v>
      </c>
      <c r="C10536" t="s">
        <v>67</v>
      </c>
      <c r="D10536" t="s">
        <v>67</v>
      </c>
      <c r="E10536" t="s">
        <v>67</v>
      </c>
      <c r="F10536" t="s">
        <v>45</v>
      </c>
      <c r="G10536" s="117">
        <v>9.35</v>
      </c>
    </row>
    <row r="10537" spans="1:7" x14ac:dyDescent="0.25">
      <c r="A10537" s="116" t="s">
        <v>16599</v>
      </c>
      <c r="B10537" s="117" t="s">
        <v>16600</v>
      </c>
      <c r="C10537" t="s">
        <v>67</v>
      </c>
      <c r="D10537" t="s">
        <v>67</v>
      </c>
      <c r="E10537" t="s">
        <v>67</v>
      </c>
      <c r="F10537" t="s">
        <v>27987</v>
      </c>
      <c r="G10537" s="117">
        <v>12.01</v>
      </c>
    </row>
    <row r="10538" spans="1:7" x14ac:dyDescent="0.25">
      <c r="A10538" s="116" t="s">
        <v>16601</v>
      </c>
      <c r="B10538" s="117" t="s">
        <v>16602</v>
      </c>
      <c r="C10538" t="s">
        <v>67</v>
      </c>
      <c r="D10538" t="s">
        <v>67</v>
      </c>
      <c r="E10538" t="s">
        <v>67</v>
      </c>
      <c r="F10538" t="s">
        <v>45</v>
      </c>
      <c r="G10538" s="117">
        <v>56.86</v>
      </c>
    </row>
    <row r="10539" spans="1:7" x14ac:dyDescent="0.25">
      <c r="A10539" s="116" t="s">
        <v>16603</v>
      </c>
      <c r="B10539" s="117" t="s">
        <v>16604</v>
      </c>
      <c r="C10539" t="s">
        <v>67</v>
      </c>
      <c r="D10539" t="s">
        <v>67</v>
      </c>
      <c r="E10539" t="s">
        <v>67</v>
      </c>
      <c r="F10539" t="s">
        <v>45</v>
      </c>
      <c r="G10539" s="117">
        <v>19.13</v>
      </c>
    </row>
    <row r="10540" spans="1:7" x14ac:dyDescent="0.25">
      <c r="A10540" s="116" t="s">
        <v>16605</v>
      </c>
      <c r="B10540" s="117" t="s">
        <v>16606</v>
      </c>
      <c r="C10540" t="s">
        <v>67</v>
      </c>
      <c r="D10540" t="s">
        <v>67</v>
      </c>
      <c r="E10540" t="s">
        <v>67</v>
      </c>
      <c r="F10540" t="s">
        <v>27987</v>
      </c>
      <c r="G10540" s="117">
        <v>7.12</v>
      </c>
    </row>
    <row r="10541" spans="1:7" x14ac:dyDescent="0.25">
      <c r="A10541" s="116" t="s">
        <v>16607</v>
      </c>
      <c r="B10541" s="117" t="s">
        <v>16608</v>
      </c>
      <c r="C10541" t="s">
        <v>67</v>
      </c>
      <c r="D10541" t="s">
        <v>67</v>
      </c>
      <c r="E10541" t="s">
        <v>67</v>
      </c>
      <c r="F10541" t="s">
        <v>45</v>
      </c>
      <c r="G10541" s="117">
        <v>6.14</v>
      </c>
    </row>
    <row r="10542" spans="1:7" x14ac:dyDescent="0.25">
      <c r="A10542" s="116" t="s">
        <v>16609</v>
      </c>
      <c r="B10542" s="117" t="s">
        <v>16610</v>
      </c>
      <c r="C10542" t="s">
        <v>67</v>
      </c>
      <c r="D10542" t="s">
        <v>67</v>
      </c>
      <c r="E10542" t="s">
        <v>67</v>
      </c>
      <c r="F10542" t="s">
        <v>45</v>
      </c>
      <c r="G10542" s="117">
        <v>6.14</v>
      </c>
    </row>
    <row r="10543" spans="1:7" x14ac:dyDescent="0.25">
      <c r="A10543" s="116" t="s">
        <v>16611</v>
      </c>
      <c r="B10543" s="117" t="s">
        <v>16612</v>
      </c>
      <c r="C10543" t="s">
        <v>67</v>
      </c>
      <c r="D10543" t="s">
        <v>67</v>
      </c>
      <c r="E10543" t="s">
        <v>67</v>
      </c>
      <c r="F10543" t="s">
        <v>45</v>
      </c>
      <c r="G10543" s="117">
        <v>6.68</v>
      </c>
    </row>
    <row r="10544" spans="1:7" x14ac:dyDescent="0.25">
      <c r="A10544" s="116" t="s">
        <v>16613</v>
      </c>
      <c r="B10544" s="117" t="s">
        <v>16614</v>
      </c>
      <c r="C10544" t="s">
        <v>67</v>
      </c>
      <c r="D10544" t="s">
        <v>67</v>
      </c>
      <c r="E10544" t="s">
        <v>67</v>
      </c>
      <c r="F10544" t="s">
        <v>45</v>
      </c>
      <c r="G10544" s="117">
        <v>29.81</v>
      </c>
    </row>
    <row r="10545" spans="1:7" x14ac:dyDescent="0.25">
      <c r="A10545" s="116" t="s">
        <v>16615</v>
      </c>
      <c r="B10545" s="117" t="s">
        <v>16616</v>
      </c>
      <c r="C10545" t="s">
        <v>67</v>
      </c>
      <c r="D10545" t="s">
        <v>67</v>
      </c>
      <c r="E10545" t="s">
        <v>67</v>
      </c>
      <c r="F10545" t="s">
        <v>45</v>
      </c>
      <c r="G10545" s="117">
        <v>9.6999999999999993</v>
      </c>
    </row>
    <row r="10546" spans="1:7" x14ac:dyDescent="0.25">
      <c r="A10546" s="116" t="s">
        <v>16617</v>
      </c>
      <c r="B10546" s="117" t="s">
        <v>26491</v>
      </c>
      <c r="C10546" t="s">
        <v>67</v>
      </c>
      <c r="D10546" t="s">
        <v>67</v>
      </c>
      <c r="E10546" t="s">
        <v>67</v>
      </c>
      <c r="F10546" t="s">
        <v>27987</v>
      </c>
      <c r="G10546" s="117">
        <v>4</v>
      </c>
    </row>
    <row r="10547" spans="1:7" x14ac:dyDescent="0.25">
      <c r="A10547" s="116" t="s">
        <v>16618</v>
      </c>
      <c r="B10547" s="117" t="s">
        <v>26492</v>
      </c>
      <c r="C10547" t="s">
        <v>67</v>
      </c>
      <c r="D10547" t="s">
        <v>67</v>
      </c>
      <c r="E10547" t="s">
        <v>67</v>
      </c>
      <c r="F10547" t="s">
        <v>45</v>
      </c>
      <c r="G10547" s="117">
        <v>10</v>
      </c>
    </row>
    <row r="10548" spans="1:7" x14ac:dyDescent="0.25">
      <c r="A10548" s="116" t="s">
        <v>16619</v>
      </c>
      <c r="B10548" s="117" t="s">
        <v>16620</v>
      </c>
      <c r="C10548" t="s">
        <v>67</v>
      </c>
      <c r="D10548" t="s">
        <v>67</v>
      </c>
      <c r="E10548" t="s">
        <v>67</v>
      </c>
      <c r="F10548" t="s">
        <v>45</v>
      </c>
      <c r="G10548" s="117">
        <v>25.71</v>
      </c>
    </row>
    <row r="10549" spans="1:7" x14ac:dyDescent="0.25">
      <c r="A10549" s="116" t="s">
        <v>16621</v>
      </c>
      <c r="B10549" s="117" t="s">
        <v>16622</v>
      </c>
      <c r="C10549" t="s">
        <v>67</v>
      </c>
      <c r="D10549" t="s">
        <v>67</v>
      </c>
      <c r="E10549" t="s">
        <v>67</v>
      </c>
      <c r="F10549" t="s">
        <v>27987</v>
      </c>
      <c r="G10549" s="117">
        <v>6.14</v>
      </c>
    </row>
    <row r="10550" spans="1:7" x14ac:dyDescent="0.25">
      <c r="A10550" s="116" t="s">
        <v>16623</v>
      </c>
      <c r="B10550" s="117" t="s">
        <v>16624</v>
      </c>
      <c r="C10550" t="s">
        <v>67</v>
      </c>
      <c r="D10550" t="s">
        <v>67</v>
      </c>
      <c r="E10550" t="s">
        <v>67</v>
      </c>
      <c r="F10550" t="s">
        <v>45</v>
      </c>
      <c r="G10550" s="117">
        <v>7.56</v>
      </c>
    </row>
    <row r="10551" spans="1:7" x14ac:dyDescent="0.25">
      <c r="A10551" s="116" t="s">
        <v>16625</v>
      </c>
      <c r="B10551" s="117" t="s">
        <v>16626</v>
      </c>
      <c r="C10551" t="s">
        <v>67</v>
      </c>
      <c r="D10551" t="s">
        <v>67</v>
      </c>
      <c r="E10551" t="s">
        <v>67</v>
      </c>
      <c r="F10551" t="s">
        <v>45</v>
      </c>
      <c r="G10551" s="117">
        <v>2.58</v>
      </c>
    </row>
    <row r="10552" spans="1:7" x14ac:dyDescent="0.25">
      <c r="A10552" s="116" t="s">
        <v>16627</v>
      </c>
      <c r="B10552" s="117" t="s">
        <v>16628</v>
      </c>
      <c r="C10552" t="s">
        <v>67</v>
      </c>
      <c r="D10552" t="s">
        <v>67</v>
      </c>
      <c r="E10552" t="s">
        <v>67</v>
      </c>
      <c r="F10552" t="s">
        <v>45</v>
      </c>
      <c r="G10552" s="117">
        <v>16.82</v>
      </c>
    </row>
    <row r="10553" spans="1:7" x14ac:dyDescent="0.25">
      <c r="A10553" s="116" t="s">
        <v>16629</v>
      </c>
      <c r="B10553" s="117" t="s">
        <v>16630</v>
      </c>
      <c r="C10553" t="s">
        <v>67</v>
      </c>
      <c r="D10553" t="s">
        <v>67</v>
      </c>
      <c r="E10553" t="s">
        <v>67</v>
      </c>
      <c r="F10553" t="s">
        <v>45</v>
      </c>
      <c r="G10553" s="117">
        <v>7.02</v>
      </c>
    </row>
    <row r="10554" spans="1:7" x14ac:dyDescent="0.25">
      <c r="A10554" s="116" t="s">
        <v>16631</v>
      </c>
      <c r="B10554" s="117" t="s">
        <v>16632</v>
      </c>
      <c r="C10554" t="s">
        <v>67</v>
      </c>
      <c r="D10554" t="s">
        <v>67</v>
      </c>
      <c r="E10554" t="s">
        <v>67</v>
      </c>
      <c r="F10554" t="s">
        <v>45</v>
      </c>
      <c r="G10554" s="117">
        <v>26.61</v>
      </c>
    </row>
    <row r="10555" spans="1:7" x14ac:dyDescent="0.25">
      <c r="A10555" s="116" t="s">
        <v>16633</v>
      </c>
      <c r="B10555" s="117" t="s">
        <v>16634</v>
      </c>
      <c r="C10555" t="s">
        <v>67</v>
      </c>
      <c r="D10555" t="s">
        <v>67</v>
      </c>
      <c r="E10555" t="s">
        <v>67</v>
      </c>
      <c r="F10555" t="s">
        <v>45</v>
      </c>
      <c r="G10555" s="117">
        <v>2.58</v>
      </c>
    </row>
    <row r="10556" spans="1:7" x14ac:dyDescent="0.25">
      <c r="A10556" s="116" t="s">
        <v>16635</v>
      </c>
      <c r="B10556" s="117" t="s">
        <v>16636</v>
      </c>
      <c r="C10556" t="s">
        <v>67</v>
      </c>
      <c r="D10556" t="s">
        <v>67</v>
      </c>
      <c r="E10556" t="s">
        <v>67</v>
      </c>
      <c r="F10556" t="s">
        <v>45</v>
      </c>
      <c r="G10556" s="117">
        <v>2.58</v>
      </c>
    </row>
    <row r="10557" spans="1:7" x14ac:dyDescent="0.25">
      <c r="A10557" s="116" t="s">
        <v>16637</v>
      </c>
      <c r="B10557" s="117" t="s">
        <v>16638</v>
      </c>
      <c r="C10557" t="s">
        <v>67</v>
      </c>
      <c r="D10557" t="s">
        <v>67</v>
      </c>
      <c r="E10557" t="s">
        <v>67</v>
      </c>
      <c r="F10557" t="s">
        <v>27987</v>
      </c>
      <c r="G10557" s="117">
        <v>103.13</v>
      </c>
    </row>
    <row r="10558" spans="1:7" x14ac:dyDescent="0.25">
      <c r="A10558" s="116" t="s">
        <v>16639</v>
      </c>
      <c r="B10558" s="117" t="s">
        <v>16640</v>
      </c>
      <c r="C10558" t="s">
        <v>67</v>
      </c>
      <c r="D10558" t="s">
        <v>67</v>
      </c>
      <c r="E10558" t="s">
        <v>67</v>
      </c>
      <c r="F10558" t="s">
        <v>45</v>
      </c>
      <c r="G10558" s="117">
        <v>40.49</v>
      </c>
    </row>
    <row r="10559" spans="1:7" x14ac:dyDescent="0.25">
      <c r="A10559" s="116" t="s">
        <v>16641</v>
      </c>
      <c r="B10559" s="117" t="s">
        <v>16642</v>
      </c>
      <c r="C10559" t="s">
        <v>67</v>
      </c>
      <c r="D10559" t="s">
        <v>67</v>
      </c>
      <c r="E10559" t="s">
        <v>67</v>
      </c>
      <c r="F10559" t="s">
        <v>45</v>
      </c>
      <c r="G10559" s="117">
        <v>8.81</v>
      </c>
    </row>
    <row r="10560" spans="1:7" x14ac:dyDescent="0.25">
      <c r="A10560" s="116" t="s">
        <v>16643</v>
      </c>
      <c r="B10560" s="117" t="s">
        <v>16644</v>
      </c>
      <c r="C10560" t="s">
        <v>67</v>
      </c>
      <c r="D10560" t="s">
        <v>67</v>
      </c>
      <c r="E10560" t="s">
        <v>67</v>
      </c>
      <c r="F10560" t="s">
        <v>45</v>
      </c>
      <c r="G10560" s="117">
        <v>8.4499999999999993</v>
      </c>
    </row>
    <row r="10561" spans="1:7" x14ac:dyDescent="0.25">
      <c r="A10561" s="116" t="s">
        <v>16645</v>
      </c>
      <c r="B10561" s="117" t="s">
        <v>16646</v>
      </c>
      <c r="C10561" t="s">
        <v>67</v>
      </c>
      <c r="D10561" t="s">
        <v>67</v>
      </c>
      <c r="E10561" t="s">
        <v>67</v>
      </c>
      <c r="F10561" t="s">
        <v>27987</v>
      </c>
      <c r="G10561" s="117">
        <v>4.8899999999999997</v>
      </c>
    </row>
    <row r="10562" spans="1:7" x14ac:dyDescent="0.25">
      <c r="A10562" s="116" t="s">
        <v>16647</v>
      </c>
      <c r="B10562" s="117" t="s">
        <v>13662</v>
      </c>
      <c r="C10562" t="s">
        <v>67</v>
      </c>
      <c r="D10562" t="s">
        <v>67</v>
      </c>
      <c r="E10562" t="s">
        <v>67</v>
      </c>
      <c r="F10562" t="s">
        <v>27987</v>
      </c>
      <c r="G10562" s="117">
        <v>2.58</v>
      </c>
    </row>
    <row r="10563" spans="1:7" x14ac:dyDescent="0.25">
      <c r="A10563" s="116" t="s">
        <v>16648</v>
      </c>
      <c r="B10563" s="117" t="s">
        <v>1267</v>
      </c>
      <c r="C10563" t="s">
        <v>67</v>
      </c>
      <c r="D10563" t="s">
        <v>67</v>
      </c>
      <c r="E10563" t="s">
        <v>67</v>
      </c>
      <c r="F10563" t="s">
        <v>27987</v>
      </c>
      <c r="G10563" s="117">
        <v>89.79</v>
      </c>
    </row>
    <row r="10564" spans="1:7" x14ac:dyDescent="0.25">
      <c r="A10564" s="116" t="s">
        <v>16649</v>
      </c>
      <c r="B10564" s="117" t="s">
        <v>16650</v>
      </c>
      <c r="C10564" t="s">
        <v>67</v>
      </c>
      <c r="D10564" t="s">
        <v>67</v>
      </c>
      <c r="E10564" t="s">
        <v>67</v>
      </c>
      <c r="F10564" t="s">
        <v>49</v>
      </c>
      <c r="G10564" s="117">
        <v>1.69</v>
      </c>
    </row>
    <row r="10565" spans="1:7" x14ac:dyDescent="0.25">
      <c r="A10565" s="116" t="s">
        <v>16651</v>
      </c>
      <c r="B10565" s="117" t="s">
        <v>16652</v>
      </c>
      <c r="C10565" t="s">
        <v>67</v>
      </c>
      <c r="D10565" t="s">
        <v>67</v>
      </c>
      <c r="E10565" t="s">
        <v>67</v>
      </c>
      <c r="F10565" t="s">
        <v>45</v>
      </c>
      <c r="G10565" s="117">
        <v>8.89</v>
      </c>
    </row>
    <row r="10566" spans="1:7" x14ac:dyDescent="0.25">
      <c r="A10566" s="116" t="s">
        <v>16653</v>
      </c>
      <c r="B10566" s="117" t="s">
        <v>16654</v>
      </c>
      <c r="C10566" t="s">
        <v>67</v>
      </c>
      <c r="D10566" t="s">
        <v>67</v>
      </c>
      <c r="E10566" t="s">
        <v>67</v>
      </c>
      <c r="F10566" t="s">
        <v>45</v>
      </c>
      <c r="G10566" s="117">
        <v>2.58</v>
      </c>
    </row>
    <row r="10567" spans="1:7" x14ac:dyDescent="0.25">
      <c r="A10567" s="116" t="s">
        <v>16655</v>
      </c>
      <c r="B10567" s="117" t="s">
        <v>10635</v>
      </c>
      <c r="C10567" t="s">
        <v>67</v>
      </c>
      <c r="D10567" t="s">
        <v>67</v>
      </c>
      <c r="E10567" t="s">
        <v>67</v>
      </c>
      <c r="F10567" t="s">
        <v>27987</v>
      </c>
      <c r="G10567" s="117">
        <v>3.56</v>
      </c>
    </row>
    <row r="10568" spans="1:7" x14ac:dyDescent="0.25">
      <c r="A10568" s="116" t="s">
        <v>16656</v>
      </c>
      <c r="B10568" s="117" t="s">
        <v>16657</v>
      </c>
      <c r="C10568" t="s">
        <v>67</v>
      </c>
      <c r="D10568" t="s">
        <v>67</v>
      </c>
      <c r="E10568" t="s">
        <v>67</v>
      </c>
      <c r="F10568" t="s">
        <v>27987</v>
      </c>
      <c r="G10568" s="117">
        <v>4.8899999999999997</v>
      </c>
    </row>
    <row r="10569" spans="1:7" x14ac:dyDescent="0.25">
      <c r="A10569" s="116" t="s">
        <v>16658</v>
      </c>
      <c r="B10569" s="117" t="s">
        <v>16659</v>
      </c>
      <c r="C10569" t="s">
        <v>67</v>
      </c>
      <c r="D10569" t="s">
        <v>67</v>
      </c>
      <c r="E10569" t="s">
        <v>67</v>
      </c>
      <c r="F10569" t="s">
        <v>27987</v>
      </c>
      <c r="G10569" s="117">
        <v>4.8899999999999997</v>
      </c>
    </row>
    <row r="10570" spans="1:7" x14ac:dyDescent="0.25">
      <c r="A10570" s="116" t="s">
        <v>16660</v>
      </c>
      <c r="B10570" s="117" t="s">
        <v>16661</v>
      </c>
      <c r="C10570" t="s">
        <v>67</v>
      </c>
      <c r="D10570" t="s">
        <v>67</v>
      </c>
      <c r="E10570" t="s">
        <v>67</v>
      </c>
      <c r="F10570" t="s">
        <v>45</v>
      </c>
      <c r="G10570" s="117">
        <v>22.69</v>
      </c>
    </row>
    <row r="10571" spans="1:7" x14ac:dyDescent="0.25">
      <c r="A10571" s="116" t="s">
        <v>16662</v>
      </c>
      <c r="B10571" s="117" t="s">
        <v>16663</v>
      </c>
      <c r="C10571" t="s">
        <v>67</v>
      </c>
      <c r="D10571" t="s">
        <v>67</v>
      </c>
      <c r="E10571" t="s">
        <v>67</v>
      </c>
      <c r="F10571" t="s">
        <v>45</v>
      </c>
      <c r="G10571" s="117">
        <v>48.5</v>
      </c>
    </row>
    <row r="10572" spans="1:7" x14ac:dyDescent="0.25">
      <c r="A10572" s="116" t="s">
        <v>16664</v>
      </c>
      <c r="B10572" s="117" t="s">
        <v>16665</v>
      </c>
      <c r="C10572" t="s">
        <v>67</v>
      </c>
      <c r="D10572" t="s">
        <v>67</v>
      </c>
      <c r="E10572" t="s">
        <v>67</v>
      </c>
      <c r="F10572" t="s">
        <v>45</v>
      </c>
      <c r="G10572" s="117">
        <v>42.62</v>
      </c>
    </row>
    <row r="10573" spans="1:7" x14ac:dyDescent="0.25">
      <c r="A10573" s="116" t="s">
        <v>16666</v>
      </c>
      <c r="B10573" s="117" t="s">
        <v>16667</v>
      </c>
      <c r="C10573" t="s">
        <v>67</v>
      </c>
      <c r="D10573" t="s">
        <v>67</v>
      </c>
      <c r="E10573" t="s">
        <v>67</v>
      </c>
      <c r="F10573" t="s">
        <v>45</v>
      </c>
      <c r="G10573" s="117">
        <v>27.14</v>
      </c>
    </row>
    <row r="10574" spans="1:7" x14ac:dyDescent="0.25">
      <c r="A10574" s="116" t="s">
        <v>16668</v>
      </c>
      <c r="B10574" s="117" t="s">
        <v>16669</v>
      </c>
      <c r="C10574" t="s">
        <v>67</v>
      </c>
      <c r="D10574" t="s">
        <v>67</v>
      </c>
      <c r="E10574" t="s">
        <v>67</v>
      </c>
      <c r="F10574" t="s">
        <v>45</v>
      </c>
      <c r="G10574" s="117">
        <v>42.62</v>
      </c>
    </row>
    <row r="10575" spans="1:7" x14ac:dyDescent="0.25">
      <c r="A10575" s="116" t="s">
        <v>16670</v>
      </c>
      <c r="B10575" s="117" t="s">
        <v>16671</v>
      </c>
      <c r="C10575" t="s">
        <v>67</v>
      </c>
      <c r="D10575" t="s">
        <v>67</v>
      </c>
      <c r="E10575" t="s">
        <v>67</v>
      </c>
      <c r="F10575" t="s">
        <v>45</v>
      </c>
      <c r="G10575" s="117">
        <v>12.01</v>
      </c>
    </row>
    <row r="10576" spans="1:7" x14ac:dyDescent="0.25">
      <c r="A10576" s="116" t="s">
        <v>16672</v>
      </c>
      <c r="B10576" s="117" t="s">
        <v>16673</v>
      </c>
      <c r="C10576" t="s">
        <v>67</v>
      </c>
      <c r="D10576" t="s">
        <v>67</v>
      </c>
      <c r="E10576" t="s">
        <v>67</v>
      </c>
      <c r="F10576" t="s">
        <v>45</v>
      </c>
      <c r="G10576" s="117">
        <v>95.66</v>
      </c>
    </row>
    <row r="10577" spans="1:7" x14ac:dyDescent="0.25">
      <c r="A10577" s="116" t="s">
        <v>16674</v>
      </c>
      <c r="B10577" s="117" t="s">
        <v>16675</v>
      </c>
      <c r="C10577" t="s">
        <v>67</v>
      </c>
      <c r="D10577" t="s">
        <v>67</v>
      </c>
      <c r="E10577" t="s">
        <v>67</v>
      </c>
      <c r="F10577" t="s">
        <v>45</v>
      </c>
      <c r="G10577" s="117">
        <v>29.81</v>
      </c>
    </row>
    <row r="10578" spans="1:7" x14ac:dyDescent="0.25">
      <c r="A10578" s="116" t="s">
        <v>16676</v>
      </c>
      <c r="B10578" s="117" t="s">
        <v>16677</v>
      </c>
      <c r="C10578" t="s">
        <v>67</v>
      </c>
      <c r="D10578" t="s">
        <v>67</v>
      </c>
      <c r="E10578" t="s">
        <v>67</v>
      </c>
      <c r="F10578" t="s">
        <v>27987</v>
      </c>
      <c r="G10578" s="117">
        <v>6.14</v>
      </c>
    </row>
    <row r="10579" spans="1:7" x14ac:dyDescent="0.25">
      <c r="A10579" s="116" t="s">
        <v>16678</v>
      </c>
      <c r="B10579" s="117" t="s">
        <v>16679</v>
      </c>
      <c r="C10579" t="s">
        <v>67</v>
      </c>
      <c r="D10579" t="s">
        <v>67</v>
      </c>
      <c r="E10579" t="s">
        <v>67</v>
      </c>
      <c r="F10579" t="s">
        <v>45</v>
      </c>
      <c r="G10579" s="117">
        <v>4.3600000000000003</v>
      </c>
    </row>
    <row r="10580" spans="1:7" x14ac:dyDescent="0.25">
      <c r="A10580" s="116" t="s">
        <v>16680</v>
      </c>
      <c r="B10580" s="117" t="s">
        <v>16681</v>
      </c>
      <c r="C10580" t="s">
        <v>67</v>
      </c>
      <c r="D10580" t="s">
        <v>67</v>
      </c>
      <c r="E10580" t="s">
        <v>67</v>
      </c>
      <c r="F10580" t="s">
        <v>27987</v>
      </c>
      <c r="G10580" s="117">
        <v>6.14</v>
      </c>
    </row>
    <row r="10581" spans="1:7" x14ac:dyDescent="0.25">
      <c r="A10581" s="116" t="s">
        <v>16682</v>
      </c>
      <c r="B10581" s="117" t="s">
        <v>16683</v>
      </c>
      <c r="C10581" t="s">
        <v>67</v>
      </c>
      <c r="D10581" t="s">
        <v>67</v>
      </c>
      <c r="E10581" t="s">
        <v>67</v>
      </c>
      <c r="F10581" t="s">
        <v>27987</v>
      </c>
      <c r="G10581" s="117">
        <v>2.58</v>
      </c>
    </row>
    <row r="10582" spans="1:7" x14ac:dyDescent="0.25">
      <c r="A10582" s="116" t="s">
        <v>16684</v>
      </c>
      <c r="B10582" s="117" t="s">
        <v>502</v>
      </c>
      <c r="C10582" t="s">
        <v>67</v>
      </c>
      <c r="D10582" t="s">
        <v>67</v>
      </c>
      <c r="E10582" t="s">
        <v>67</v>
      </c>
      <c r="F10582" t="s">
        <v>27987</v>
      </c>
      <c r="G10582" s="117">
        <v>5.33</v>
      </c>
    </row>
    <row r="10583" spans="1:7" x14ac:dyDescent="0.25">
      <c r="A10583" s="116" t="s">
        <v>16685</v>
      </c>
      <c r="B10583" s="117" t="s">
        <v>16686</v>
      </c>
      <c r="C10583" t="s">
        <v>67</v>
      </c>
      <c r="D10583" t="s">
        <v>67</v>
      </c>
      <c r="E10583" t="s">
        <v>67</v>
      </c>
      <c r="F10583" t="s">
        <v>27987</v>
      </c>
      <c r="G10583" s="117">
        <v>36.39</v>
      </c>
    </row>
    <row r="10584" spans="1:7" x14ac:dyDescent="0.25">
      <c r="A10584" s="116" t="s">
        <v>16687</v>
      </c>
      <c r="B10584" s="117" t="s">
        <v>16688</v>
      </c>
      <c r="C10584" t="s">
        <v>67</v>
      </c>
      <c r="D10584" t="s">
        <v>67</v>
      </c>
      <c r="E10584" t="s">
        <v>67</v>
      </c>
      <c r="F10584" t="s">
        <v>27987</v>
      </c>
      <c r="G10584" s="117">
        <v>19.13</v>
      </c>
    </row>
    <row r="10585" spans="1:7" x14ac:dyDescent="0.25">
      <c r="A10585" s="116" t="s">
        <v>16689</v>
      </c>
      <c r="B10585" s="117" t="s">
        <v>16690</v>
      </c>
      <c r="C10585" t="s">
        <v>67</v>
      </c>
      <c r="D10585" t="s">
        <v>67</v>
      </c>
      <c r="E10585" t="s">
        <v>67</v>
      </c>
      <c r="F10585" t="s">
        <v>45</v>
      </c>
      <c r="G10585" s="117">
        <v>74.66</v>
      </c>
    </row>
    <row r="10586" spans="1:7" x14ac:dyDescent="0.25">
      <c r="A10586" s="116" t="s">
        <v>16691</v>
      </c>
      <c r="B10586" s="117" t="s">
        <v>16692</v>
      </c>
      <c r="C10586" t="s">
        <v>67</v>
      </c>
      <c r="D10586" t="s">
        <v>67</v>
      </c>
      <c r="E10586" t="s">
        <v>67</v>
      </c>
      <c r="F10586" t="s">
        <v>45</v>
      </c>
      <c r="G10586" s="117">
        <v>86.23</v>
      </c>
    </row>
    <row r="10587" spans="1:7" x14ac:dyDescent="0.25">
      <c r="A10587" s="116" t="s">
        <v>16693</v>
      </c>
      <c r="B10587" s="117" t="s">
        <v>16694</v>
      </c>
      <c r="C10587" t="s">
        <v>67</v>
      </c>
      <c r="D10587" t="s">
        <v>67</v>
      </c>
      <c r="E10587" t="s">
        <v>67</v>
      </c>
      <c r="F10587" t="s">
        <v>45</v>
      </c>
      <c r="G10587" s="117">
        <v>9.6999999999999993</v>
      </c>
    </row>
    <row r="10588" spans="1:7" x14ac:dyDescent="0.25">
      <c r="A10588" s="116" t="s">
        <v>16695</v>
      </c>
      <c r="B10588" s="117" t="s">
        <v>16696</v>
      </c>
      <c r="C10588" t="s">
        <v>67</v>
      </c>
      <c r="D10588" t="s">
        <v>67</v>
      </c>
      <c r="E10588" t="s">
        <v>67</v>
      </c>
      <c r="F10588" t="s">
        <v>27987</v>
      </c>
      <c r="G10588" s="117">
        <v>36.93</v>
      </c>
    </row>
    <row r="10589" spans="1:7" x14ac:dyDescent="0.25">
      <c r="A10589" s="116" t="s">
        <v>16697</v>
      </c>
      <c r="B10589" s="117" t="s">
        <v>16698</v>
      </c>
      <c r="C10589" t="s">
        <v>67</v>
      </c>
      <c r="D10589" t="s">
        <v>67</v>
      </c>
      <c r="E10589" t="s">
        <v>67</v>
      </c>
      <c r="F10589" t="s">
        <v>27987</v>
      </c>
      <c r="G10589" s="117">
        <v>7.92</v>
      </c>
    </row>
    <row r="10590" spans="1:7" x14ac:dyDescent="0.25">
      <c r="A10590" s="116" t="s">
        <v>16699</v>
      </c>
      <c r="B10590" s="117" t="s">
        <v>16700</v>
      </c>
      <c r="C10590" t="s">
        <v>67</v>
      </c>
      <c r="D10590" t="s">
        <v>67</v>
      </c>
      <c r="E10590" t="s">
        <v>67</v>
      </c>
      <c r="F10590" t="s">
        <v>45</v>
      </c>
      <c r="G10590" s="117">
        <v>1.33</v>
      </c>
    </row>
    <row r="10591" spans="1:7" x14ac:dyDescent="0.25">
      <c r="A10591" s="116" t="s">
        <v>16701</v>
      </c>
      <c r="B10591" s="117" t="s">
        <v>16702</v>
      </c>
      <c r="C10591" t="s">
        <v>67</v>
      </c>
      <c r="D10591" t="s">
        <v>67</v>
      </c>
      <c r="E10591" t="s">
        <v>67</v>
      </c>
      <c r="F10591" t="s">
        <v>27987</v>
      </c>
      <c r="G10591" s="117">
        <v>3.56</v>
      </c>
    </row>
    <row r="10592" spans="1:7" x14ac:dyDescent="0.25">
      <c r="A10592" s="116" t="s">
        <v>16703</v>
      </c>
      <c r="B10592" s="117" t="s">
        <v>16704</v>
      </c>
      <c r="C10592" t="s">
        <v>67</v>
      </c>
      <c r="D10592" t="s">
        <v>67</v>
      </c>
      <c r="E10592" t="s">
        <v>67</v>
      </c>
      <c r="F10592" t="s">
        <v>27987</v>
      </c>
      <c r="G10592" s="117">
        <v>5.25</v>
      </c>
    </row>
    <row r="10593" spans="1:7" x14ac:dyDescent="0.25">
      <c r="A10593" s="116" t="s">
        <v>16705</v>
      </c>
      <c r="B10593" s="117" t="s">
        <v>16706</v>
      </c>
      <c r="C10593" t="s">
        <v>67</v>
      </c>
      <c r="D10593" t="s">
        <v>67</v>
      </c>
      <c r="E10593" t="s">
        <v>67</v>
      </c>
      <c r="F10593" t="s">
        <v>45</v>
      </c>
      <c r="G10593" s="117">
        <v>15.93</v>
      </c>
    </row>
    <row r="10594" spans="1:7" x14ac:dyDescent="0.25">
      <c r="A10594" s="116" t="s">
        <v>16707</v>
      </c>
      <c r="B10594" s="117" t="s">
        <v>16708</v>
      </c>
      <c r="C10594" t="s">
        <v>67</v>
      </c>
      <c r="D10594" t="s">
        <v>67</v>
      </c>
      <c r="E10594" t="s">
        <v>67</v>
      </c>
      <c r="F10594" t="s">
        <v>27987</v>
      </c>
      <c r="G10594" s="117">
        <v>16.82</v>
      </c>
    </row>
    <row r="10595" spans="1:7" x14ac:dyDescent="0.25">
      <c r="A10595" s="116" t="s">
        <v>16709</v>
      </c>
      <c r="B10595" s="117" t="s">
        <v>16710</v>
      </c>
      <c r="C10595" t="s">
        <v>67</v>
      </c>
      <c r="D10595" t="s">
        <v>67</v>
      </c>
      <c r="E10595" t="s">
        <v>67</v>
      </c>
      <c r="F10595" t="s">
        <v>45</v>
      </c>
      <c r="G10595" s="117">
        <v>27.14</v>
      </c>
    </row>
    <row r="10596" spans="1:7" x14ac:dyDescent="0.25">
      <c r="A10596" s="116" t="s">
        <v>16711</v>
      </c>
      <c r="B10596" s="117" t="s">
        <v>16712</v>
      </c>
      <c r="C10596" t="s">
        <v>67</v>
      </c>
      <c r="D10596" t="s">
        <v>67</v>
      </c>
      <c r="E10596" t="s">
        <v>67</v>
      </c>
      <c r="F10596" t="s">
        <v>27987</v>
      </c>
      <c r="G10596" s="117">
        <v>3.56</v>
      </c>
    </row>
    <row r="10597" spans="1:7" x14ac:dyDescent="0.25">
      <c r="A10597" s="116" t="s">
        <v>16713</v>
      </c>
      <c r="B10597" s="117" t="s">
        <v>16714</v>
      </c>
      <c r="C10597" t="s">
        <v>67</v>
      </c>
      <c r="D10597" t="s">
        <v>67</v>
      </c>
      <c r="E10597" t="s">
        <v>67</v>
      </c>
      <c r="F10597" t="s">
        <v>45</v>
      </c>
      <c r="G10597" s="117">
        <v>62.74</v>
      </c>
    </row>
    <row r="10598" spans="1:7" x14ac:dyDescent="0.25">
      <c r="A10598" s="116" t="s">
        <v>16715</v>
      </c>
      <c r="B10598" s="117" t="s">
        <v>16716</v>
      </c>
      <c r="C10598" t="s">
        <v>67</v>
      </c>
      <c r="D10598" t="s">
        <v>67</v>
      </c>
      <c r="E10598" t="s">
        <v>67</v>
      </c>
      <c r="F10598" t="s">
        <v>45</v>
      </c>
      <c r="G10598" s="117">
        <v>60.42</v>
      </c>
    </row>
    <row r="10599" spans="1:7" x14ac:dyDescent="0.25">
      <c r="A10599" s="116" t="s">
        <v>16717</v>
      </c>
      <c r="B10599" s="117" t="s">
        <v>14738</v>
      </c>
      <c r="C10599" t="s">
        <v>67</v>
      </c>
      <c r="D10599" t="s">
        <v>67</v>
      </c>
      <c r="E10599" t="s">
        <v>67</v>
      </c>
      <c r="F10599" t="s">
        <v>45</v>
      </c>
      <c r="G10599" s="117">
        <v>23.94</v>
      </c>
    </row>
    <row r="10600" spans="1:7" x14ac:dyDescent="0.25">
      <c r="A10600" s="116" t="s">
        <v>16718</v>
      </c>
      <c r="B10600" s="117" t="s">
        <v>796</v>
      </c>
      <c r="C10600" t="s">
        <v>67</v>
      </c>
      <c r="D10600" t="s">
        <v>67</v>
      </c>
      <c r="E10600" t="s">
        <v>67</v>
      </c>
      <c r="F10600" t="s">
        <v>45</v>
      </c>
      <c r="G10600" s="117">
        <v>14.14</v>
      </c>
    </row>
    <row r="10601" spans="1:7" x14ac:dyDescent="0.25">
      <c r="A10601" s="116" t="s">
        <v>16719</v>
      </c>
      <c r="B10601" s="117" t="s">
        <v>1477</v>
      </c>
      <c r="C10601" t="s">
        <v>67</v>
      </c>
      <c r="D10601" t="s">
        <v>67</v>
      </c>
      <c r="E10601" t="s">
        <v>67</v>
      </c>
      <c r="F10601" t="s">
        <v>49</v>
      </c>
      <c r="G10601" s="117">
        <v>4.3600000000000003</v>
      </c>
    </row>
    <row r="10602" spans="1:7" x14ac:dyDescent="0.25">
      <c r="A10602" s="116" t="s">
        <v>16720</v>
      </c>
      <c r="B10602" s="117" t="s">
        <v>16721</v>
      </c>
      <c r="C10602" t="s">
        <v>67</v>
      </c>
      <c r="D10602" t="s">
        <v>67</v>
      </c>
      <c r="E10602" t="s">
        <v>67</v>
      </c>
      <c r="F10602" t="s">
        <v>45</v>
      </c>
      <c r="G10602" s="117">
        <v>21.26</v>
      </c>
    </row>
    <row r="10603" spans="1:7" x14ac:dyDescent="0.25">
      <c r="A10603" s="116" t="s">
        <v>16722</v>
      </c>
      <c r="B10603" s="117" t="s">
        <v>16723</v>
      </c>
      <c r="C10603" t="s">
        <v>67</v>
      </c>
      <c r="D10603" t="s">
        <v>67</v>
      </c>
      <c r="E10603" t="s">
        <v>67</v>
      </c>
      <c r="F10603" t="s">
        <v>45</v>
      </c>
      <c r="G10603" s="117">
        <v>6.14</v>
      </c>
    </row>
    <row r="10604" spans="1:7" x14ac:dyDescent="0.25">
      <c r="A10604" s="116" t="s">
        <v>16724</v>
      </c>
      <c r="B10604" s="117" t="s">
        <v>12660</v>
      </c>
      <c r="C10604" t="s">
        <v>67</v>
      </c>
      <c r="D10604" t="s">
        <v>67</v>
      </c>
      <c r="E10604" t="s">
        <v>67</v>
      </c>
      <c r="F10604" t="s">
        <v>45</v>
      </c>
      <c r="G10604" s="117">
        <v>10.58</v>
      </c>
    </row>
    <row r="10605" spans="1:7" x14ac:dyDescent="0.25">
      <c r="A10605" s="116" t="s">
        <v>16725</v>
      </c>
      <c r="B10605" s="117" t="s">
        <v>16726</v>
      </c>
      <c r="C10605" t="s">
        <v>67</v>
      </c>
      <c r="D10605" t="s">
        <v>67</v>
      </c>
      <c r="E10605" t="s">
        <v>67</v>
      </c>
      <c r="F10605" t="s">
        <v>45</v>
      </c>
      <c r="G10605" s="117">
        <v>7.02</v>
      </c>
    </row>
    <row r="10606" spans="1:7" x14ac:dyDescent="0.25">
      <c r="A10606" s="116" t="s">
        <v>16727</v>
      </c>
      <c r="B10606" s="117" t="s">
        <v>16728</v>
      </c>
      <c r="C10606" t="s">
        <v>67</v>
      </c>
      <c r="D10606" t="s">
        <v>67</v>
      </c>
      <c r="E10606" t="s">
        <v>67</v>
      </c>
      <c r="F10606" t="s">
        <v>27987</v>
      </c>
      <c r="G10606" s="117">
        <v>2.58</v>
      </c>
    </row>
    <row r="10607" spans="1:7" x14ac:dyDescent="0.25">
      <c r="A10607" s="116" t="s">
        <v>16729</v>
      </c>
      <c r="B10607" s="117" t="s">
        <v>16730</v>
      </c>
      <c r="C10607" t="s">
        <v>67</v>
      </c>
      <c r="D10607" t="s">
        <v>67</v>
      </c>
      <c r="E10607" t="s">
        <v>67</v>
      </c>
      <c r="F10607" t="s">
        <v>45</v>
      </c>
      <c r="G10607" s="117">
        <v>30.17</v>
      </c>
    </row>
    <row r="10608" spans="1:7" x14ac:dyDescent="0.25">
      <c r="A10608" s="116" t="s">
        <v>16731</v>
      </c>
      <c r="B10608" s="117" t="s">
        <v>13761</v>
      </c>
      <c r="C10608" t="s">
        <v>67</v>
      </c>
      <c r="D10608" t="s">
        <v>67</v>
      </c>
      <c r="E10608" t="s">
        <v>67</v>
      </c>
      <c r="F10608" t="s">
        <v>45</v>
      </c>
      <c r="G10608" s="117">
        <v>36.39</v>
      </c>
    </row>
    <row r="10609" spans="1:7" x14ac:dyDescent="0.25">
      <c r="A10609" s="116" t="s">
        <v>16732</v>
      </c>
      <c r="B10609" s="117" t="s">
        <v>13761</v>
      </c>
      <c r="C10609" t="s">
        <v>67</v>
      </c>
      <c r="D10609" t="s">
        <v>67</v>
      </c>
      <c r="E10609" t="s">
        <v>67</v>
      </c>
      <c r="F10609" t="s">
        <v>27987</v>
      </c>
      <c r="G10609" s="117">
        <v>35.5</v>
      </c>
    </row>
    <row r="10610" spans="1:7" x14ac:dyDescent="0.25">
      <c r="A10610" s="116" t="s">
        <v>16733</v>
      </c>
      <c r="B10610" s="117" t="s">
        <v>16734</v>
      </c>
      <c r="C10610" t="s">
        <v>67</v>
      </c>
      <c r="D10610" t="s">
        <v>67</v>
      </c>
      <c r="E10610" t="s">
        <v>67</v>
      </c>
      <c r="F10610" t="s">
        <v>45</v>
      </c>
      <c r="G10610" s="117">
        <v>28.02</v>
      </c>
    </row>
    <row r="10611" spans="1:7" x14ac:dyDescent="0.25">
      <c r="A10611" s="116" t="s">
        <v>16735</v>
      </c>
      <c r="B10611" s="117" t="s">
        <v>16736</v>
      </c>
      <c r="C10611" t="s">
        <v>67</v>
      </c>
      <c r="D10611" t="s">
        <v>67</v>
      </c>
      <c r="E10611" t="s">
        <v>67</v>
      </c>
      <c r="F10611" t="s">
        <v>45</v>
      </c>
      <c r="G10611" s="117">
        <v>27.14</v>
      </c>
    </row>
    <row r="10612" spans="1:7" x14ac:dyDescent="0.25">
      <c r="A10612" s="116" t="s">
        <v>16737</v>
      </c>
      <c r="B10612" s="117" t="s">
        <v>16738</v>
      </c>
      <c r="C10612" t="s">
        <v>67</v>
      </c>
      <c r="D10612" t="s">
        <v>67</v>
      </c>
      <c r="E10612" t="s">
        <v>67</v>
      </c>
      <c r="F10612" t="s">
        <v>45</v>
      </c>
      <c r="G10612" s="117">
        <v>15.57</v>
      </c>
    </row>
    <row r="10613" spans="1:7" x14ac:dyDescent="0.25">
      <c r="A10613" s="116" t="s">
        <v>16739</v>
      </c>
      <c r="B10613" s="117" t="s">
        <v>16740</v>
      </c>
      <c r="C10613" t="s">
        <v>67</v>
      </c>
      <c r="D10613" t="s">
        <v>67</v>
      </c>
      <c r="E10613" t="s">
        <v>67</v>
      </c>
      <c r="F10613" t="s">
        <v>45</v>
      </c>
      <c r="G10613" s="117">
        <v>75.55</v>
      </c>
    </row>
    <row r="10614" spans="1:7" x14ac:dyDescent="0.25">
      <c r="A10614" s="116" t="s">
        <v>16741</v>
      </c>
      <c r="B10614" s="117" t="s">
        <v>16742</v>
      </c>
      <c r="C10614" t="s">
        <v>67</v>
      </c>
      <c r="D10614" t="s">
        <v>67</v>
      </c>
      <c r="E10614" t="s">
        <v>67</v>
      </c>
      <c r="F10614" t="s">
        <v>45</v>
      </c>
      <c r="G10614" s="117">
        <v>37.82</v>
      </c>
    </row>
    <row r="10615" spans="1:7" x14ac:dyDescent="0.25">
      <c r="A10615" s="116" t="s">
        <v>16743</v>
      </c>
      <c r="B10615" s="117" t="s">
        <v>16744</v>
      </c>
      <c r="C10615" t="s">
        <v>67</v>
      </c>
      <c r="D10615" t="s">
        <v>67</v>
      </c>
      <c r="E10615" t="s">
        <v>67</v>
      </c>
      <c r="F10615" t="s">
        <v>45</v>
      </c>
      <c r="G10615" s="117">
        <v>26.25</v>
      </c>
    </row>
    <row r="10616" spans="1:7" x14ac:dyDescent="0.25">
      <c r="A10616" s="116" t="s">
        <v>16745</v>
      </c>
      <c r="B10616" s="117" t="s">
        <v>16746</v>
      </c>
      <c r="C10616" t="s">
        <v>67</v>
      </c>
      <c r="D10616" t="s">
        <v>67</v>
      </c>
      <c r="E10616" t="s">
        <v>67</v>
      </c>
      <c r="F10616" t="s">
        <v>45</v>
      </c>
      <c r="G10616" s="117">
        <v>26.25</v>
      </c>
    </row>
    <row r="10617" spans="1:7" x14ac:dyDescent="0.25">
      <c r="A10617" s="116" t="s">
        <v>16747</v>
      </c>
      <c r="B10617" s="117" t="s">
        <v>16748</v>
      </c>
      <c r="C10617" t="s">
        <v>67</v>
      </c>
      <c r="D10617" t="s">
        <v>67</v>
      </c>
      <c r="E10617" t="s">
        <v>67</v>
      </c>
      <c r="F10617" t="s">
        <v>45</v>
      </c>
      <c r="G10617" s="117">
        <v>24.82</v>
      </c>
    </row>
    <row r="10618" spans="1:7" x14ac:dyDescent="0.25">
      <c r="A10618" s="116" t="s">
        <v>16749</v>
      </c>
      <c r="B10618" s="117" t="s">
        <v>16750</v>
      </c>
      <c r="C10618" t="s">
        <v>67</v>
      </c>
      <c r="D10618" t="s">
        <v>67</v>
      </c>
      <c r="E10618" t="s">
        <v>67</v>
      </c>
      <c r="F10618" t="s">
        <v>45</v>
      </c>
      <c r="G10618" s="117">
        <v>25.71</v>
      </c>
    </row>
    <row r="10619" spans="1:7" x14ac:dyDescent="0.25">
      <c r="A10619" s="116" t="s">
        <v>16751</v>
      </c>
      <c r="B10619" s="117" t="s">
        <v>16752</v>
      </c>
      <c r="C10619" t="s">
        <v>67</v>
      </c>
      <c r="D10619" t="s">
        <v>67</v>
      </c>
      <c r="E10619" t="s">
        <v>67</v>
      </c>
      <c r="F10619" t="s">
        <v>27987</v>
      </c>
      <c r="G10619" s="117">
        <v>25.71</v>
      </c>
    </row>
    <row r="10620" spans="1:7" x14ac:dyDescent="0.25">
      <c r="A10620" s="116" t="s">
        <v>16753</v>
      </c>
      <c r="B10620" s="117" t="s">
        <v>16754</v>
      </c>
      <c r="C10620" t="s">
        <v>67</v>
      </c>
      <c r="D10620" t="s">
        <v>67</v>
      </c>
      <c r="E10620" t="s">
        <v>67</v>
      </c>
      <c r="F10620" t="s">
        <v>27987</v>
      </c>
      <c r="G10620" s="117">
        <v>25.71</v>
      </c>
    </row>
    <row r="10621" spans="1:7" x14ac:dyDescent="0.25">
      <c r="A10621" s="116" t="s">
        <v>16755</v>
      </c>
      <c r="B10621" s="117" t="s">
        <v>16756</v>
      </c>
      <c r="C10621" t="s">
        <v>67</v>
      </c>
      <c r="D10621" t="s">
        <v>67</v>
      </c>
      <c r="E10621" t="s">
        <v>67</v>
      </c>
      <c r="F10621" t="s">
        <v>27987</v>
      </c>
      <c r="G10621" s="117">
        <v>8.4499999999999993</v>
      </c>
    </row>
    <row r="10622" spans="1:7" x14ac:dyDescent="0.25">
      <c r="A10622" s="116" t="s">
        <v>16757</v>
      </c>
      <c r="B10622" s="117" t="s">
        <v>16758</v>
      </c>
      <c r="C10622" t="s">
        <v>67</v>
      </c>
      <c r="D10622" t="s">
        <v>67</v>
      </c>
      <c r="E10622" t="s">
        <v>67</v>
      </c>
      <c r="F10622" t="s">
        <v>49</v>
      </c>
      <c r="G10622" s="117">
        <v>9.6999999999999993</v>
      </c>
    </row>
    <row r="10623" spans="1:7" x14ac:dyDescent="0.25">
      <c r="A10623" s="116" t="s">
        <v>16759</v>
      </c>
      <c r="B10623" s="117" t="s">
        <v>16760</v>
      </c>
      <c r="C10623" t="s">
        <v>67</v>
      </c>
      <c r="D10623" t="s">
        <v>67</v>
      </c>
      <c r="E10623" t="s">
        <v>67</v>
      </c>
      <c r="F10623" t="s">
        <v>27987</v>
      </c>
      <c r="G10623" s="117">
        <v>21.26</v>
      </c>
    </row>
    <row r="10624" spans="1:7" x14ac:dyDescent="0.25">
      <c r="A10624" s="116" t="s">
        <v>16761</v>
      </c>
      <c r="B10624" s="117" t="s">
        <v>16762</v>
      </c>
      <c r="C10624" t="s">
        <v>67</v>
      </c>
      <c r="D10624" t="s">
        <v>67</v>
      </c>
      <c r="E10624" t="s">
        <v>67</v>
      </c>
      <c r="F10624" t="s">
        <v>45</v>
      </c>
      <c r="G10624" s="117">
        <v>10.58</v>
      </c>
    </row>
    <row r="10625" spans="1:7" x14ac:dyDescent="0.25">
      <c r="A10625" s="116" t="s">
        <v>16763</v>
      </c>
      <c r="B10625" s="117" t="s">
        <v>16764</v>
      </c>
      <c r="C10625" t="s">
        <v>67</v>
      </c>
      <c r="D10625" t="s">
        <v>67</v>
      </c>
      <c r="E10625" t="s">
        <v>67</v>
      </c>
      <c r="F10625" t="s">
        <v>27987</v>
      </c>
      <c r="G10625" s="117">
        <v>10.58</v>
      </c>
    </row>
    <row r="10626" spans="1:7" x14ac:dyDescent="0.25">
      <c r="A10626" s="116" t="s">
        <v>16765</v>
      </c>
      <c r="B10626" s="117" t="s">
        <v>16766</v>
      </c>
      <c r="C10626" t="s">
        <v>67</v>
      </c>
      <c r="D10626" t="s">
        <v>67</v>
      </c>
      <c r="E10626" t="s">
        <v>67</v>
      </c>
      <c r="F10626" t="s">
        <v>45</v>
      </c>
      <c r="G10626" s="117">
        <v>37.82</v>
      </c>
    </row>
    <row r="10627" spans="1:7" x14ac:dyDescent="0.25">
      <c r="A10627" s="116" t="s">
        <v>16767</v>
      </c>
      <c r="B10627" s="117" t="s">
        <v>16768</v>
      </c>
      <c r="C10627" t="s">
        <v>67</v>
      </c>
      <c r="D10627" t="s">
        <v>67</v>
      </c>
      <c r="E10627" t="s">
        <v>67</v>
      </c>
      <c r="F10627" t="s">
        <v>27987</v>
      </c>
      <c r="G10627" s="117">
        <v>14.14</v>
      </c>
    </row>
    <row r="10628" spans="1:7" x14ac:dyDescent="0.25">
      <c r="A10628" s="116" t="s">
        <v>16769</v>
      </c>
      <c r="B10628" s="117" t="s">
        <v>16770</v>
      </c>
      <c r="C10628" t="s">
        <v>67</v>
      </c>
      <c r="D10628" t="s">
        <v>67</v>
      </c>
      <c r="E10628" t="s">
        <v>67</v>
      </c>
      <c r="F10628" t="s">
        <v>27987</v>
      </c>
      <c r="G10628" s="117">
        <v>7.56</v>
      </c>
    </row>
    <row r="10629" spans="1:7" x14ac:dyDescent="0.25">
      <c r="A10629" s="116" t="s">
        <v>16771</v>
      </c>
      <c r="B10629" s="117" t="s">
        <v>16772</v>
      </c>
      <c r="C10629" t="s">
        <v>67</v>
      </c>
      <c r="D10629" t="s">
        <v>67</v>
      </c>
      <c r="E10629" t="s">
        <v>67</v>
      </c>
      <c r="F10629" t="s">
        <v>45</v>
      </c>
      <c r="G10629" s="117">
        <v>6.68</v>
      </c>
    </row>
    <row r="10630" spans="1:7" x14ac:dyDescent="0.25">
      <c r="A10630" s="116" t="s">
        <v>16773</v>
      </c>
      <c r="B10630" s="117" t="s">
        <v>16774</v>
      </c>
      <c r="C10630" t="s">
        <v>67</v>
      </c>
      <c r="D10630" t="s">
        <v>67</v>
      </c>
      <c r="E10630" t="s">
        <v>67</v>
      </c>
      <c r="F10630" t="s">
        <v>45</v>
      </c>
      <c r="G10630" s="117">
        <v>23.94</v>
      </c>
    </row>
    <row r="10631" spans="1:7" x14ac:dyDescent="0.25">
      <c r="A10631" s="116" t="s">
        <v>16775</v>
      </c>
      <c r="B10631" s="117" t="s">
        <v>16776</v>
      </c>
      <c r="C10631" t="s">
        <v>67</v>
      </c>
      <c r="D10631" t="s">
        <v>67</v>
      </c>
      <c r="E10631" t="s">
        <v>67</v>
      </c>
      <c r="F10631" t="s">
        <v>45</v>
      </c>
      <c r="G10631" s="117">
        <v>5.25</v>
      </c>
    </row>
    <row r="10632" spans="1:7" x14ac:dyDescent="0.25">
      <c r="A10632" s="116" t="s">
        <v>16777</v>
      </c>
      <c r="B10632" s="117" t="s">
        <v>16778</v>
      </c>
      <c r="C10632" t="s">
        <v>67</v>
      </c>
      <c r="D10632" t="s">
        <v>67</v>
      </c>
      <c r="E10632" t="s">
        <v>67</v>
      </c>
      <c r="F10632" t="s">
        <v>45</v>
      </c>
      <c r="G10632" s="117">
        <v>3.12</v>
      </c>
    </row>
    <row r="10633" spans="1:7" x14ac:dyDescent="0.25">
      <c r="A10633" s="116" t="s">
        <v>16779</v>
      </c>
      <c r="B10633" s="117" t="s">
        <v>16780</v>
      </c>
      <c r="C10633" t="s">
        <v>67</v>
      </c>
      <c r="D10633" t="s">
        <v>67</v>
      </c>
      <c r="E10633" t="s">
        <v>67</v>
      </c>
      <c r="F10633" t="s">
        <v>45</v>
      </c>
      <c r="G10633" s="117">
        <v>26.25</v>
      </c>
    </row>
    <row r="10634" spans="1:7" x14ac:dyDescent="0.25">
      <c r="A10634" s="116" t="s">
        <v>16781</v>
      </c>
      <c r="B10634" s="117" t="s">
        <v>16782</v>
      </c>
      <c r="C10634" t="s">
        <v>67</v>
      </c>
      <c r="D10634" t="s">
        <v>67</v>
      </c>
      <c r="E10634" t="s">
        <v>67</v>
      </c>
      <c r="F10634" t="s">
        <v>45</v>
      </c>
      <c r="G10634" s="117">
        <v>3.56</v>
      </c>
    </row>
    <row r="10635" spans="1:7" x14ac:dyDescent="0.25">
      <c r="A10635" s="116" t="s">
        <v>16783</v>
      </c>
      <c r="B10635" s="117" t="s">
        <v>16784</v>
      </c>
      <c r="C10635" t="s">
        <v>67</v>
      </c>
      <c r="D10635" t="s">
        <v>67</v>
      </c>
      <c r="E10635" t="s">
        <v>67</v>
      </c>
      <c r="F10635" t="s">
        <v>45</v>
      </c>
      <c r="G10635" s="117">
        <v>12.01</v>
      </c>
    </row>
    <row r="10636" spans="1:7" x14ac:dyDescent="0.25">
      <c r="A10636" s="116" t="s">
        <v>16785</v>
      </c>
      <c r="B10636" s="117" t="s">
        <v>16786</v>
      </c>
      <c r="C10636" t="s">
        <v>67</v>
      </c>
      <c r="D10636" t="s">
        <v>67</v>
      </c>
      <c r="E10636" t="s">
        <v>67</v>
      </c>
      <c r="F10636" t="s">
        <v>27987</v>
      </c>
      <c r="G10636" s="117">
        <v>55.62</v>
      </c>
    </row>
    <row r="10637" spans="1:7" x14ac:dyDescent="0.25">
      <c r="A10637" s="116" t="s">
        <v>16787</v>
      </c>
      <c r="B10637" s="117" t="s">
        <v>16788</v>
      </c>
      <c r="C10637" t="s">
        <v>67</v>
      </c>
      <c r="D10637" t="s">
        <v>67</v>
      </c>
      <c r="E10637" t="s">
        <v>67</v>
      </c>
      <c r="F10637" t="s">
        <v>27987</v>
      </c>
      <c r="G10637" s="117">
        <v>19.13</v>
      </c>
    </row>
    <row r="10638" spans="1:7" x14ac:dyDescent="0.25">
      <c r="A10638" s="116" t="s">
        <v>16789</v>
      </c>
      <c r="B10638" s="117" t="s">
        <v>16790</v>
      </c>
      <c r="C10638" t="s">
        <v>67</v>
      </c>
      <c r="D10638" t="s">
        <v>67</v>
      </c>
      <c r="E10638" t="s">
        <v>67</v>
      </c>
      <c r="F10638" t="s">
        <v>27987</v>
      </c>
      <c r="G10638" s="117">
        <v>2.58</v>
      </c>
    </row>
    <row r="10639" spans="1:7" x14ac:dyDescent="0.25">
      <c r="A10639" s="116" t="s">
        <v>16791</v>
      </c>
      <c r="B10639" s="117" t="s">
        <v>16792</v>
      </c>
      <c r="C10639" t="s">
        <v>67</v>
      </c>
      <c r="D10639" t="s">
        <v>67</v>
      </c>
      <c r="E10639" t="s">
        <v>67</v>
      </c>
      <c r="F10639" t="s">
        <v>27987</v>
      </c>
      <c r="G10639" s="117">
        <v>59.18</v>
      </c>
    </row>
    <row r="10640" spans="1:7" x14ac:dyDescent="0.25">
      <c r="A10640" s="116" t="s">
        <v>16793</v>
      </c>
      <c r="B10640" s="117" t="s">
        <v>16794</v>
      </c>
      <c r="C10640" t="s">
        <v>67</v>
      </c>
      <c r="D10640" t="s">
        <v>67</v>
      </c>
      <c r="E10640" t="s">
        <v>67</v>
      </c>
      <c r="F10640" t="s">
        <v>27987</v>
      </c>
      <c r="G10640" s="117">
        <v>2.58</v>
      </c>
    </row>
    <row r="10641" spans="1:7" x14ac:dyDescent="0.25">
      <c r="A10641" s="116" t="s">
        <v>16795</v>
      </c>
      <c r="B10641" s="117" t="s">
        <v>16796</v>
      </c>
      <c r="C10641" t="s">
        <v>67</v>
      </c>
      <c r="D10641" t="s">
        <v>67</v>
      </c>
      <c r="E10641" t="s">
        <v>67</v>
      </c>
      <c r="F10641" t="s">
        <v>27987</v>
      </c>
      <c r="G10641" s="117">
        <v>2.58</v>
      </c>
    </row>
    <row r="10642" spans="1:7" x14ac:dyDescent="0.25">
      <c r="A10642" s="116" t="s">
        <v>16797</v>
      </c>
      <c r="B10642" s="117" t="s">
        <v>16798</v>
      </c>
      <c r="C10642" t="s">
        <v>67</v>
      </c>
      <c r="D10642" t="s">
        <v>67</v>
      </c>
      <c r="E10642" t="s">
        <v>67</v>
      </c>
      <c r="F10642" t="s">
        <v>45</v>
      </c>
      <c r="G10642" s="117">
        <v>4.8899999999999997</v>
      </c>
    </row>
    <row r="10643" spans="1:7" x14ac:dyDescent="0.25">
      <c r="A10643" s="116" t="s">
        <v>16799</v>
      </c>
      <c r="B10643" s="117" t="s">
        <v>16800</v>
      </c>
      <c r="C10643" t="s">
        <v>67</v>
      </c>
      <c r="D10643" t="s">
        <v>67</v>
      </c>
      <c r="E10643" t="s">
        <v>67</v>
      </c>
      <c r="F10643" t="s">
        <v>27987</v>
      </c>
      <c r="G10643" s="117">
        <v>41.38</v>
      </c>
    </row>
    <row r="10644" spans="1:7" x14ac:dyDescent="0.25">
      <c r="A10644" s="116" t="s">
        <v>16801</v>
      </c>
      <c r="B10644" s="117" t="s">
        <v>16802</v>
      </c>
      <c r="C10644" t="s">
        <v>67</v>
      </c>
      <c r="D10644" t="s">
        <v>67</v>
      </c>
      <c r="E10644" t="s">
        <v>67</v>
      </c>
      <c r="F10644" t="s">
        <v>45</v>
      </c>
      <c r="G10644" s="117">
        <v>1.69</v>
      </c>
    </row>
    <row r="10645" spans="1:7" x14ac:dyDescent="0.25">
      <c r="A10645" s="116" t="s">
        <v>16803</v>
      </c>
      <c r="B10645" s="117" t="s">
        <v>16804</v>
      </c>
      <c r="C10645" t="s">
        <v>67</v>
      </c>
      <c r="D10645" t="s">
        <v>67</v>
      </c>
      <c r="E10645" t="s">
        <v>67</v>
      </c>
      <c r="F10645" t="s">
        <v>27987</v>
      </c>
      <c r="G10645" s="117">
        <v>6.14</v>
      </c>
    </row>
    <row r="10646" spans="1:7" x14ac:dyDescent="0.25">
      <c r="A10646" s="116" t="s">
        <v>16805</v>
      </c>
      <c r="B10646" s="117" t="s">
        <v>16806</v>
      </c>
      <c r="C10646" t="s">
        <v>67</v>
      </c>
      <c r="D10646" t="s">
        <v>67</v>
      </c>
      <c r="E10646" t="s">
        <v>67</v>
      </c>
      <c r="F10646" t="s">
        <v>27987</v>
      </c>
      <c r="G10646" s="117">
        <v>9.6999999999999993</v>
      </c>
    </row>
    <row r="10647" spans="1:7" x14ac:dyDescent="0.25">
      <c r="A10647" s="116" t="s">
        <v>16807</v>
      </c>
      <c r="B10647" s="117" t="s">
        <v>16808</v>
      </c>
      <c r="C10647" t="s">
        <v>67</v>
      </c>
      <c r="D10647" t="s">
        <v>67</v>
      </c>
      <c r="E10647" t="s">
        <v>67</v>
      </c>
      <c r="F10647" t="s">
        <v>45</v>
      </c>
      <c r="G10647" s="117">
        <v>49.74</v>
      </c>
    </row>
    <row r="10648" spans="1:7" x14ac:dyDescent="0.25">
      <c r="A10648" s="116" t="s">
        <v>16809</v>
      </c>
      <c r="B10648" s="117" t="s">
        <v>16810</v>
      </c>
      <c r="C10648" t="s">
        <v>67</v>
      </c>
      <c r="D10648" t="s">
        <v>67</v>
      </c>
      <c r="E10648" t="s">
        <v>67</v>
      </c>
      <c r="F10648" t="s">
        <v>45</v>
      </c>
      <c r="G10648" s="117">
        <v>49.74</v>
      </c>
    </row>
    <row r="10649" spans="1:7" x14ac:dyDescent="0.25">
      <c r="A10649" s="116" t="s">
        <v>16811</v>
      </c>
      <c r="B10649" s="117" t="s">
        <v>16812</v>
      </c>
      <c r="C10649" t="s">
        <v>67</v>
      </c>
      <c r="D10649" t="s">
        <v>67</v>
      </c>
      <c r="E10649" t="s">
        <v>67</v>
      </c>
      <c r="F10649" t="s">
        <v>45</v>
      </c>
      <c r="G10649" s="117">
        <v>49.74</v>
      </c>
    </row>
    <row r="10650" spans="1:7" x14ac:dyDescent="0.25">
      <c r="A10650" s="116" t="s">
        <v>16813</v>
      </c>
      <c r="B10650" s="117" t="s">
        <v>16814</v>
      </c>
      <c r="C10650" t="s">
        <v>67</v>
      </c>
      <c r="D10650" t="s">
        <v>67</v>
      </c>
      <c r="E10650" t="s">
        <v>67</v>
      </c>
      <c r="F10650" t="s">
        <v>45</v>
      </c>
      <c r="G10650" s="117">
        <v>15.57</v>
      </c>
    </row>
    <row r="10651" spans="1:7" x14ac:dyDescent="0.25">
      <c r="A10651" s="116" t="s">
        <v>16815</v>
      </c>
      <c r="B10651" s="117" t="s">
        <v>16816</v>
      </c>
      <c r="C10651" t="s">
        <v>67</v>
      </c>
      <c r="D10651" t="s">
        <v>67</v>
      </c>
      <c r="E10651" t="s">
        <v>67</v>
      </c>
      <c r="F10651" t="s">
        <v>45</v>
      </c>
      <c r="G10651" s="117">
        <v>15.57</v>
      </c>
    </row>
    <row r="10652" spans="1:7" x14ac:dyDescent="0.25">
      <c r="A10652" s="116" t="s">
        <v>16817</v>
      </c>
      <c r="B10652" s="117" t="s">
        <v>16818</v>
      </c>
      <c r="C10652" t="s">
        <v>67</v>
      </c>
      <c r="D10652" t="s">
        <v>67</v>
      </c>
      <c r="E10652" t="s">
        <v>67</v>
      </c>
      <c r="F10652" t="s">
        <v>45</v>
      </c>
      <c r="G10652" s="117">
        <v>59.18</v>
      </c>
    </row>
    <row r="10653" spans="1:7" x14ac:dyDescent="0.25">
      <c r="A10653" s="116" t="s">
        <v>16819</v>
      </c>
      <c r="B10653" s="117" t="s">
        <v>16820</v>
      </c>
      <c r="C10653" t="s">
        <v>67</v>
      </c>
      <c r="D10653" t="s">
        <v>67</v>
      </c>
      <c r="E10653" t="s">
        <v>67</v>
      </c>
      <c r="F10653" t="s">
        <v>45</v>
      </c>
      <c r="G10653" s="117">
        <v>17.7</v>
      </c>
    </row>
    <row r="10654" spans="1:7" x14ac:dyDescent="0.25">
      <c r="A10654" s="116" t="s">
        <v>16821</v>
      </c>
      <c r="B10654" s="117" t="s">
        <v>16822</v>
      </c>
      <c r="C10654" t="s">
        <v>67</v>
      </c>
      <c r="D10654" t="s">
        <v>67</v>
      </c>
      <c r="E10654" t="s">
        <v>67</v>
      </c>
      <c r="F10654" t="s">
        <v>45</v>
      </c>
      <c r="G10654" s="117">
        <v>108.48</v>
      </c>
    </row>
    <row r="10655" spans="1:7" x14ac:dyDescent="0.25">
      <c r="A10655" s="116" t="s">
        <v>16823</v>
      </c>
      <c r="B10655" s="117" t="s">
        <v>16824</v>
      </c>
      <c r="C10655" t="s">
        <v>67</v>
      </c>
      <c r="D10655" t="s">
        <v>67</v>
      </c>
      <c r="E10655" t="s">
        <v>67</v>
      </c>
      <c r="F10655" t="s">
        <v>45</v>
      </c>
      <c r="G10655" s="117">
        <v>80.52</v>
      </c>
    </row>
    <row r="10656" spans="1:7" x14ac:dyDescent="0.25">
      <c r="A10656" s="116" t="s">
        <v>16825</v>
      </c>
      <c r="B10656" s="117" t="s">
        <v>16826</v>
      </c>
      <c r="C10656" t="s">
        <v>67</v>
      </c>
      <c r="D10656" t="s">
        <v>67</v>
      </c>
      <c r="E10656" t="s">
        <v>67</v>
      </c>
      <c r="F10656" t="s">
        <v>45</v>
      </c>
      <c r="G10656" s="117">
        <v>51.17</v>
      </c>
    </row>
    <row r="10657" spans="1:7" x14ac:dyDescent="0.25">
      <c r="A10657" s="116" t="s">
        <v>16827</v>
      </c>
      <c r="B10657" s="117" t="s">
        <v>16098</v>
      </c>
      <c r="C10657" t="s">
        <v>67</v>
      </c>
      <c r="D10657" t="s">
        <v>67</v>
      </c>
      <c r="E10657" t="s">
        <v>67</v>
      </c>
      <c r="F10657" t="s">
        <v>45</v>
      </c>
      <c r="G10657" s="117">
        <v>11.12</v>
      </c>
    </row>
    <row r="10658" spans="1:7" x14ac:dyDescent="0.25">
      <c r="A10658" s="116" t="s">
        <v>16828</v>
      </c>
      <c r="B10658" s="117" t="s">
        <v>16829</v>
      </c>
      <c r="C10658" t="s">
        <v>67</v>
      </c>
      <c r="D10658" t="s">
        <v>67</v>
      </c>
      <c r="E10658" t="s">
        <v>67</v>
      </c>
      <c r="F10658" t="s">
        <v>27987</v>
      </c>
      <c r="G10658" s="117">
        <v>20.38</v>
      </c>
    </row>
    <row r="10659" spans="1:7" x14ac:dyDescent="0.25">
      <c r="A10659" s="116" t="s">
        <v>16830</v>
      </c>
      <c r="B10659" s="117" t="s">
        <v>16831</v>
      </c>
      <c r="C10659" t="s">
        <v>67</v>
      </c>
      <c r="D10659" t="s">
        <v>67</v>
      </c>
      <c r="E10659" t="s">
        <v>67</v>
      </c>
      <c r="F10659" t="s">
        <v>49</v>
      </c>
      <c r="G10659" s="117">
        <v>2.58</v>
      </c>
    </row>
    <row r="10660" spans="1:7" x14ac:dyDescent="0.25">
      <c r="A10660" s="116" t="s">
        <v>16832</v>
      </c>
      <c r="B10660" s="117" t="s">
        <v>16833</v>
      </c>
      <c r="C10660" t="s">
        <v>67</v>
      </c>
      <c r="D10660" t="s">
        <v>67</v>
      </c>
      <c r="E10660" t="s">
        <v>67</v>
      </c>
      <c r="F10660" t="s">
        <v>49</v>
      </c>
      <c r="G10660" s="117">
        <v>9.6999999999999993</v>
      </c>
    </row>
    <row r="10661" spans="1:7" x14ac:dyDescent="0.25">
      <c r="A10661" s="116" t="s">
        <v>16834</v>
      </c>
      <c r="B10661" s="117" t="s">
        <v>16835</v>
      </c>
      <c r="C10661" t="s">
        <v>67</v>
      </c>
      <c r="D10661" t="s">
        <v>67</v>
      </c>
      <c r="E10661" t="s">
        <v>67</v>
      </c>
      <c r="F10661" t="s">
        <v>45</v>
      </c>
      <c r="G10661" s="117">
        <v>15.57</v>
      </c>
    </row>
    <row r="10662" spans="1:7" x14ac:dyDescent="0.25">
      <c r="A10662" s="116" t="s">
        <v>16836</v>
      </c>
      <c r="B10662" s="117" t="s">
        <v>16837</v>
      </c>
      <c r="C10662" t="s">
        <v>67</v>
      </c>
      <c r="D10662" t="s">
        <v>67</v>
      </c>
      <c r="E10662" t="s">
        <v>67</v>
      </c>
      <c r="F10662" t="s">
        <v>45</v>
      </c>
      <c r="G10662" s="117">
        <v>16.82</v>
      </c>
    </row>
    <row r="10663" spans="1:7" x14ac:dyDescent="0.25">
      <c r="A10663" s="116" t="s">
        <v>16838</v>
      </c>
      <c r="B10663" s="117" t="s">
        <v>16839</v>
      </c>
      <c r="C10663" t="s">
        <v>67</v>
      </c>
      <c r="D10663" t="s">
        <v>67</v>
      </c>
      <c r="E10663" t="s">
        <v>67</v>
      </c>
      <c r="F10663" t="s">
        <v>27987</v>
      </c>
      <c r="G10663" s="117">
        <v>1.33</v>
      </c>
    </row>
    <row r="10664" spans="1:7" x14ac:dyDescent="0.25">
      <c r="A10664" s="116" t="s">
        <v>16840</v>
      </c>
      <c r="B10664" s="117" t="s">
        <v>16841</v>
      </c>
      <c r="C10664" t="s">
        <v>67</v>
      </c>
      <c r="D10664" t="s">
        <v>67</v>
      </c>
      <c r="E10664" t="s">
        <v>67</v>
      </c>
      <c r="F10664" t="s">
        <v>45</v>
      </c>
      <c r="G10664" s="117">
        <v>16.82</v>
      </c>
    </row>
    <row r="10665" spans="1:7" x14ac:dyDescent="0.25">
      <c r="A10665" s="116" t="s">
        <v>16842</v>
      </c>
      <c r="B10665" s="117" t="s">
        <v>16843</v>
      </c>
      <c r="C10665" t="s">
        <v>67</v>
      </c>
      <c r="D10665" t="s">
        <v>67</v>
      </c>
      <c r="E10665" t="s">
        <v>67</v>
      </c>
      <c r="F10665" t="s">
        <v>27987</v>
      </c>
      <c r="G10665" s="117">
        <v>1.69</v>
      </c>
    </row>
    <row r="10666" spans="1:7" x14ac:dyDescent="0.25">
      <c r="A10666" s="116" t="s">
        <v>16844</v>
      </c>
      <c r="B10666" s="117" t="s">
        <v>16845</v>
      </c>
      <c r="C10666" t="s">
        <v>67</v>
      </c>
      <c r="D10666" t="s">
        <v>67</v>
      </c>
      <c r="E10666" t="s">
        <v>67</v>
      </c>
      <c r="F10666" t="s">
        <v>49</v>
      </c>
      <c r="G10666" s="117">
        <v>1.69</v>
      </c>
    </row>
    <row r="10667" spans="1:7" x14ac:dyDescent="0.25">
      <c r="A10667" s="116" t="s">
        <v>16846</v>
      </c>
      <c r="B10667" s="117" t="s">
        <v>16847</v>
      </c>
      <c r="C10667" t="s">
        <v>67</v>
      </c>
      <c r="D10667" t="s">
        <v>67</v>
      </c>
      <c r="E10667" t="s">
        <v>67</v>
      </c>
      <c r="F10667" t="s">
        <v>45</v>
      </c>
      <c r="G10667" s="117">
        <v>15.57</v>
      </c>
    </row>
    <row r="10668" spans="1:7" x14ac:dyDescent="0.25">
      <c r="A10668" s="116" t="s">
        <v>16848</v>
      </c>
      <c r="B10668" s="117" t="s">
        <v>29228</v>
      </c>
      <c r="C10668" t="s">
        <v>67</v>
      </c>
      <c r="D10668" t="s">
        <v>67</v>
      </c>
      <c r="E10668" t="s">
        <v>67</v>
      </c>
      <c r="F10668" t="s">
        <v>27987</v>
      </c>
      <c r="G10668" s="117">
        <v>1.55</v>
      </c>
    </row>
    <row r="10669" spans="1:7" x14ac:dyDescent="0.25">
      <c r="A10669" s="116" t="s">
        <v>16849</v>
      </c>
      <c r="B10669" s="117" t="s">
        <v>16850</v>
      </c>
      <c r="C10669" t="s">
        <v>67</v>
      </c>
      <c r="D10669" t="s">
        <v>67</v>
      </c>
      <c r="E10669" t="s">
        <v>67</v>
      </c>
      <c r="F10669" t="s">
        <v>45</v>
      </c>
      <c r="G10669" s="117">
        <v>29.81</v>
      </c>
    </row>
    <row r="10670" spans="1:7" x14ac:dyDescent="0.25">
      <c r="A10670" s="116" t="s">
        <v>16851</v>
      </c>
      <c r="B10670" s="117" t="s">
        <v>16852</v>
      </c>
      <c r="C10670" t="s">
        <v>67</v>
      </c>
      <c r="D10670" t="s">
        <v>67</v>
      </c>
      <c r="E10670" t="s">
        <v>67</v>
      </c>
      <c r="F10670" t="s">
        <v>45</v>
      </c>
      <c r="G10670" s="117">
        <v>63.98</v>
      </c>
    </row>
    <row r="10671" spans="1:7" x14ac:dyDescent="0.25">
      <c r="A10671" s="116" t="s">
        <v>16853</v>
      </c>
      <c r="B10671" s="117" t="s">
        <v>16854</v>
      </c>
      <c r="C10671" t="s">
        <v>67</v>
      </c>
      <c r="D10671" t="s">
        <v>67</v>
      </c>
      <c r="E10671" t="s">
        <v>67</v>
      </c>
      <c r="F10671" t="s">
        <v>27987</v>
      </c>
      <c r="G10671" s="117">
        <v>15</v>
      </c>
    </row>
    <row r="10672" spans="1:7" x14ac:dyDescent="0.25">
      <c r="A10672" s="116" t="s">
        <v>16855</v>
      </c>
      <c r="B10672" s="117" t="s">
        <v>16856</v>
      </c>
      <c r="C10672" t="s">
        <v>67</v>
      </c>
      <c r="D10672" t="s">
        <v>67</v>
      </c>
      <c r="E10672" t="s">
        <v>67</v>
      </c>
      <c r="F10672" t="s">
        <v>27987</v>
      </c>
      <c r="G10672" s="117">
        <v>27.14</v>
      </c>
    </row>
    <row r="10673" spans="1:7" x14ac:dyDescent="0.25">
      <c r="A10673" s="116" t="s">
        <v>16857</v>
      </c>
      <c r="B10673" s="117" t="s">
        <v>16858</v>
      </c>
      <c r="C10673" t="s">
        <v>67</v>
      </c>
      <c r="D10673" t="s">
        <v>67</v>
      </c>
      <c r="E10673" t="s">
        <v>67</v>
      </c>
      <c r="F10673" t="s">
        <v>45</v>
      </c>
      <c r="G10673" s="117">
        <v>13.26</v>
      </c>
    </row>
    <row r="10674" spans="1:7" x14ac:dyDescent="0.25">
      <c r="A10674" s="116" t="s">
        <v>16859</v>
      </c>
      <c r="B10674" s="117" t="s">
        <v>11787</v>
      </c>
      <c r="C10674" t="s">
        <v>67</v>
      </c>
      <c r="D10674" t="s">
        <v>67</v>
      </c>
      <c r="E10674" t="s">
        <v>67</v>
      </c>
      <c r="F10674" t="s">
        <v>27987</v>
      </c>
      <c r="G10674" s="117">
        <v>2.58</v>
      </c>
    </row>
    <row r="10675" spans="1:7" x14ac:dyDescent="0.25">
      <c r="A10675" s="116" t="s">
        <v>16860</v>
      </c>
      <c r="B10675" s="117" t="s">
        <v>16861</v>
      </c>
      <c r="C10675" t="s">
        <v>67</v>
      </c>
      <c r="D10675" t="s">
        <v>67</v>
      </c>
      <c r="E10675" t="s">
        <v>67</v>
      </c>
      <c r="F10675" t="s">
        <v>27987</v>
      </c>
      <c r="G10675" s="117">
        <v>12.01</v>
      </c>
    </row>
    <row r="10676" spans="1:7" x14ac:dyDescent="0.25">
      <c r="A10676" s="116" t="s">
        <v>16862</v>
      </c>
      <c r="B10676" s="117" t="s">
        <v>16863</v>
      </c>
      <c r="C10676" t="s">
        <v>67</v>
      </c>
      <c r="D10676" t="s">
        <v>67</v>
      </c>
      <c r="E10676" t="s">
        <v>67</v>
      </c>
      <c r="F10676" t="s">
        <v>45</v>
      </c>
      <c r="G10676" s="117">
        <v>37.82</v>
      </c>
    </row>
    <row r="10677" spans="1:7" x14ac:dyDescent="0.25">
      <c r="A10677" s="116" t="s">
        <v>16864</v>
      </c>
      <c r="B10677" s="117" t="s">
        <v>16865</v>
      </c>
      <c r="C10677" t="s">
        <v>67</v>
      </c>
      <c r="D10677" t="s">
        <v>67</v>
      </c>
      <c r="E10677" t="s">
        <v>67</v>
      </c>
      <c r="F10677" t="s">
        <v>45</v>
      </c>
      <c r="G10677" s="117">
        <v>4.8899999999999997</v>
      </c>
    </row>
    <row r="10678" spans="1:7" x14ac:dyDescent="0.25">
      <c r="A10678" s="116" t="s">
        <v>16866</v>
      </c>
      <c r="B10678" s="117" t="s">
        <v>16867</v>
      </c>
      <c r="C10678" t="s">
        <v>67</v>
      </c>
      <c r="D10678" t="s">
        <v>67</v>
      </c>
      <c r="E10678" t="s">
        <v>67</v>
      </c>
      <c r="F10678" t="s">
        <v>27987</v>
      </c>
      <c r="G10678" s="117">
        <v>51.17</v>
      </c>
    </row>
    <row r="10679" spans="1:7" x14ac:dyDescent="0.25">
      <c r="A10679" s="116" t="s">
        <v>16868</v>
      </c>
      <c r="B10679" s="117" t="s">
        <v>16869</v>
      </c>
      <c r="C10679" t="s">
        <v>67</v>
      </c>
      <c r="D10679" t="s">
        <v>67</v>
      </c>
      <c r="E10679" t="s">
        <v>67</v>
      </c>
      <c r="F10679" t="s">
        <v>27987</v>
      </c>
      <c r="G10679" s="117">
        <v>17.7</v>
      </c>
    </row>
    <row r="10680" spans="1:7" x14ac:dyDescent="0.25">
      <c r="A10680" s="116" t="s">
        <v>16870</v>
      </c>
      <c r="B10680" s="117" t="s">
        <v>16871</v>
      </c>
      <c r="C10680" t="s">
        <v>67</v>
      </c>
      <c r="D10680" t="s">
        <v>67</v>
      </c>
      <c r="E10680" t="s">
        <v>67</v>
      </c>
      <c r="F10680" t="s">
        <v>27987</v>
      </c>
      <c r="G10680" s="117">
        <v>28.38</v>
      </c>
    </row>
    <row r="10681" spans="1:7" x14ac:dyDescent="0.25">
      <c r="A10681" s="116" t="s">
        <v>16872</v>
      </c>
      <c r="B10681" s="117" t="s">
        <v>16873</v>
      </c>
      <c r="C10681" t="s">
        <v>67</v>
      </c>
      <c r="D10681" t="s">
        <v>67</v>
      </c>
      <c r="E10681" t="s">
        <v>67</v>
      </c>
      <c r="F10681" t="s">
        <v>27987</v>
      </c>
      <c r="G10681" s="117">
        <v>17.7</v>
      </c>
    </row>
    <row r="10682" spans="1:7" x14ac:dyDescent="0.25">
      <c r="A10682" s="116" t="s">
        <v>16874</v>
      </c>
      <c r="B10682" s="117" t="s">
        <v>16875</v>
      </c>
      <c r="C10682" t="s">
        <v>67</v>
      </c>
      <c r="D10682" t="s">
        <v>67</v>
      </c>
      <c r="E10682" t="s">
        <v>67</v>
      </c>
      <c r="F10682" t="s">
        <v>27987</v>
      </c>
      <c r="G10682" s="117">
        <v>3.56</v>
      </c>
    </row>
    <row r="10683" spans="1:7" x14ac:dyDescent="0.25">
      <c r="A10683" s="116" t="s">
        <v>16876</v>
      </c>
      <c r="B10683" s="117" t="s">
        <v>16877</v>
      </c>
      <c r="C10683" t="s">
        <v>67</v>
      </c>
      <c r="D10683" t="s">
        <v>67</v>
      </c>
      <c r="E10683" t="s">
        <v>67</v>
      </c>
      <c r="F10683" t="s">
        <v>27987</v>
      </c>
      <c r="G10683" s="117">
        <v>17.7</v>
      </c>
    </row>
    <row r="10684" spans="1:7" x14ac:dyDescent="0.25">
      <c r="A10684" s="116" t="s">
        <v>16878</v>
      </c>
      <c r="B10684" s="117" t="s">
        <v>16879</v>
      </c>
      <c r="C10684" t="s">
        <v>67</v>
      </c>
      <c r="D10684" t="s">
        <v>67</v>
      </c>
      <c r="E10684" t="s">
        <v>67</v>
      </c>
      <c r="F10684" t="s">
        <v>27987</v>
      </c>
      <c r="G10684" s="117">
        <v>49.74</v>
      </c>
    </row>
    <row r="10685" spans="1:7" x14ac:dyDescent="0.25">
      <c r="A10685" s="116" t="s">
        <v>16880</v>
      </c>
      <c r="B10685" s="117" t="s">
        <v>16881</v>
      </c>
      <c r="C10685" t="s">
        <v>67</v>
      </c>
      <c r="D10685" t="s">
        <v>67</v>
      </c>
      <c r="E10685" t="s">
        <v>67</v>
      </c>
      <c r="F10685" t="s">
        <v>27987</v>
      </c>
      <c r="G10685" s="117">
        <v>5.25</v>
      </c>
    </row>
    <row r="10686" spans="1:7" x14ac:dyDescent="0.25">
      <c r="A10686" s="116" t="s">
        <v>16882</v>
      </c>
      <c r="B10686" s="117" t="s">
        <v>16883</v>
      </c>
      <c r="C10686" t="s">
        <v>67</v>
      </c>
      <c r="D10686" t="s">
        <v>67</v>
      </c>
      <c r="E10686" t="s">
        <v>67</v>
      </c>
      <c r="F10686" t="s">
        <v>27987</v>
      </c>
      <c r="G10686" s="117">
        <v>49.74</v>
      </c>
    </row>
    <row r="10687" spans="1:7" x14ac:dyDescent="0.25">
      <c r="A10687" s="116" t="s">
        <v>16884</v>
      </c>
      <c r="B10687" s="117" t="s">
        <v>16885</v>
      </c>
      <c r="C10687" t="s">
        <v>67</v>
      </c>
      <c r="D10687" t="s">
        <v>67</v>
      </c>
      <c r="E10687" t="s">
        <v>67</v>
      </c>
      <c r="F10687" t="s">
        <v>27987</v>
      </c>
      <c r="G10687" s="117">
        <v>29.81</v>
      </c>
    </row>
    <row r="10688" spans="1:7" x14ac:dyDescent="0.25">
      <c r="A10688" s="116" t="s">
        <v>16886</v>
      </c>
      <c r="B10688" s="117" t="s">
        <v>16887</v>
      </c>
      <c r="C10688" t="s">
        <v>67</v>
      </c>
      <c r="D10688" t="s">
        <v>67</v>
      </c>
      <c r="E10688" t="s">
        <v>67</v>
      </c>
      <c r="F10688" t="s">
        <v>27987</v>
      </c>
      <c r="G10688" s="117">
        <v>4</v>
      </c>
    </row>
    <row r="10689" spans="1:7" x14ac:dyDescent="0.25">
      <c r="A10689" s="116" t="s">
        <v>16888</v>
      </c>
      <c r="B10689" s="117" t="s">
        <v>16889</v>
      </c>
      <c r="C10689" t="s">
        <v>67</v>
      </c>
      <c r="D10689" t="s">
        <v>67</v>
      </c>
      <c r="E10689" t="s">
        <v>67</v>
      </c>
      <c r="F10689" t="s">
        <v>27987</v>
      </c>
      <c r="G10689" s="117">
        <v>3.56</v>
      </c>
    </row>
    <row r="10690" spans="1:7" x14ac:dyDescent="0.25">
      <c r="A10690" s="116" t="s">
        <v>16890</v>
      </c>
      <c r="B10690" s="117" t="s">
        <v>16891</v>
      </c>
      <c r="C10690" t="s">
        <v>67</v>
      </c>
      <c r="D10690" t="s">
        <v>67</v>
      </c>
      <c r="E10690" t="s">
        <v>67</v>
      </c>
      <c r="F10690" t="s">
        <v>27987</v>
      </c>
      <c r="G10690" s="117">
        <v>8.4499999999999993</v>
      </c>
    </row>
    <row r="10691" spans="1:7" x14ac:dyDescent="0.25">
      <c r="A10691" s="116" t="s">
        <v>16892</v>
      </c>
      <c r="B10691" s="117" t="s">
        <v>16893</v>
      </c>
      <c r="C10691" t="s">
        <v>67</v>
      </c>
      <c r="D10691" t="s">
        <v>67</v>
      </c>
      <c r="E10691" t="s">
        <v>67</v>
      </c>
      <c r="F10691" t="s">
        <v>27987</v>
      </c>
      <c r="G10691" s="117">
        <v>3.56</v>
      </c>
    </row>
    <row r="10692" spans="1:7" x14ac:dyDescent="0.25">
      <c r="A10692" s="116" t="s">
        <v>16894</v>
      </c>
      <c r="B10692" s="117" t="s">
        <v>16895</v>
      </c>
      <c r="C10692" t="s">
        <v>67</v>
      </c>
      <c r="D10692" t="s">
        <v>67</v>
      </c>
      <c r="E10692" t="s">
        <v>67</v>
      </c>
      <c r="F10692" t="s">
        <v>27987</v>
      </c>
      <c r="G10692" s="117">
        <v>3.56</v>
      </c>
    </row>
    <row r="10693" spans="1:7" x14ac:dyDescent="0.25">
      <c r="A10693" s="116" t="s">
        <v>16896</v>
      </c>
      <c r="B10693" s="117" t="s">
        <v>16897</v>
      </c>
      <c r="C10693" t="s">
        <v>67</v>
      </c>
      <c r="D10693" t="s">
        <v>67</v>
      </c>
      <c r="E10693" t="s">
        <v>67</v>
      </c>
      <c r="F10693" t="s">
        <v>45</v>
      </c>
      <c r="G10693" s="117">
        <v>51.17</v>
      </c>
    </row>
    <row r="10694" spans="1:7" x14ac:dyDescent="0.25">
      <c r="A10694" s="116" t="s">
        <v>16898</v>
      </c>
      <c r="B10694" s="117" t="s">
        <v>16899</v>
      </c>
      <c r="C10694" t="s">
        <v>67</v>
      </c>
      <c r="D10694" t="s">
        <v>67</v>
      </c>
      <c r="E10694" t="s">
        <v>67</v>
      </c>
      <c r="F10694" t="s">
        <v>27987</v>
      </c>
      <c r="G10694" s="117">
        <v>4.8899999999999997</v>
      </c>
    </row>
    <row r="10695" spans="1:7" x14ac:dyDescent="0.25">
      <c r="A10695" s="116" t="s">
        <v>16900</v>
      </c>
      <c r="B10695" s="117" t="s">
        <v>12541</v>
      </c>
      <c r="C10695" t="s">
        <v>67</v>
      </c>
      <c r="D10695" t="s">
        <v>67</v>
      </c>
      <c r="E10695" t="s">
        <v>67</v>
      </c>
      <c r="F10695" t="s">
        <v>27987</v>
      </c>
      <c r="G10695" s="117">
        <v>3.56</v>
      </c>
    </row>
    <row r="10696" spans="1:7" x14ac:dyDescent="0.25">
      <c r="A10696" s="116" t="s">
        <v>16901</v>
      </c>
      <c r="B10696" s="117" t="s">
        <v>16902</v>
      </c>
      <c r="C10696" t="s">
        <v>67</v>
      </c>
      <c r="D10696" t="s">
        <v>67</v>
      </c>
      <c r="E10696" t="s">
        <v>67</v>
      </c>
      <c r="F10696" t="s">
        <v>45</v>
      </c>
      <c r="G10696" s="117">
        <v>51.17</v>
      </c>
    </row>
    <row r="10697" spans="1:7" x14ac:dyDescent="0.25">
      <c r="A10697" s="116" t="s">
        <v>16903</v>
      </c>
      <c r="B10697" s="117" t="s">
        <v>16904</v>
      </c>
      <c r="C10697" t="s">
        <v>67</v>
      </c>
      <c r="D10697" t="s">
        <v>67</v>
      </c>
      <c r="E10697" t="s">
        <v>67</v>
      </c>
      <c r="F10697" t="s">
        <v>27987</v>
      </c>
      <c r="G10697" s="117">
        <v>54.19</v>
      </c>
    </row>
    <row r="10698" spans="1:7" x14ac:dyDescent="0.25">
      <c r="A10698" s="116" t="s">
        <v>16905</v>
      </c>
      <c r="B10698" s="117" t="s">
        <v>16906</v>
      </c>
      <c r="C10698" t="s">
        <v>67</v>
      </c>
      <c r="D10698" t="s">
        <v>67</v>
      </c>
      <c r="E10698" t="s">
        <v>67</v>
      </c>
      <c r="F10698" t="s">
        <v>45</v>
      </c>
      <c r="G10698" s="117">
        <v>3.56</v>
      </c>
    </row>
    <row r="10699" spans="1:7" x14ac:dyDescent="0.25">
      <c r="A10699" s="116" t="s">
        <v>16907</v>
      </c>
      <c r="B10699" s="117" t="s">
        <v>16908</v>
      </c>
      <c r="C10699" t="s">
        <v>67</v>
      </c>
      <c r="D10699" t="s">
        <v>67</v>
      </c>
      <c r="E10699" t="s">
        <v>67</v>
      </c>
      <c r="F10699" t="s">
        <v>27987</v>
      </c>
      <c r="G10699" s="117">
        <v>47.61</v>
      </c>
    </row>
    <row r="10700" spans="1:7" x14ac:dyDescent="0.25">
      <c r="A10700" s="116" t="s">
        <v>16909</v>
      </c>
      <c r="B10700" s="117" t="s">
        <v>16910</v>
      </c>
      <c r="C10700" t="s">
        <v>67</v>
      </c>
      <c r="D10700" t="s">
        <v>67</v>
      </c>
      <c r="E10700" t="s">
        <v>67</v>
      </c>
      <c r="F10700" t="s">
        <v>27987</v>
      </c>
      <c r="G10700" s="117">
        <v>31.94</v>
      </c>
    </row>
    <row r="10701" spans="1:7" x14ac:dyDescent="0.25">
      <c r="A10701" s="116" t="s">
        <v>16911</v>
      </c>
      <c r="B10701" s="117" t="s">
        <v>16912</v>
      </c>
      <c r="C10701" t="s">
        <v>67</v>
      </c>
      <c r="D10701" t="s">
        <v>67</v>
      </c>
      <c r="E10701" t="s">
        <v>67</v>
      </c>
      <c r="F10701" t="s">
        <v>27987</v>
      </c>
      <c r="G10701" s="117">
        <v>3.56</v>
      </c>
    </row>
    <row r="10702" spans="1:7" x14ac:dyDescent="0.25">
      <c r="A10702" s="116" t="s">
        <v>16913</v>
      </c>
      <c r="B10702" s="117" t="s">
        <v>16914</v>
      </c>
      <c r="C10702" t="s">
        <v>67</v>
      </c>
      <c r="D10702" t="s">
        <v>67</v>
      </c>
      <c r="E10702" t="s">
        <v>67</v>
      </c>
      <c r="F10702" t="s">
        <v>27987</v>
      </c>
      <c r="G10702" s="117">
        <v>8.4499999999999993</v>
      </c>
    </row>
    <row r="10703" spans="1:7" x14ac:dyDescent="0.25">
      <c r="A10703" s="116" t="s">
        <v>16915</v>
      </c>
      <c r="B10703" s="117" t="s">
        <v>16916</v>
      </c>
      <c r="C10703" t="s">
        <v>67</v>
      </c>
      <c r="D10703" t="s">
        <v>67</v>
      </c>
      <c r="E10703" t="s">
        <v>67</v>
      </c>
      <c r="F10703" t="s">
        <v>45</v>
      </c>
      <c r="G10703" s="117">
        <v>12.01</v>
      </c>
    </row>
    <row r="10704" spans="1:7" x14ac:dyDescent="0.25">
      <c r="A10704" s="116" t="s">
        <v>16917</v>
      </c>
      <c r="B10704" s="117" t="s">
        <v>16918</v>
      </c>
      <c r="C10704" t="s">
        <v>67</v>
      </c>
      <c r="D10704" t="s">
        <v>67</v>
      </c>
      <c r="E10704" t="s">
        <v>67</v>
      </c>
      <c r="F10704" t="s">
        <v>27987</v>
      </c>
      <c r="G10704" s="117">
        <v>1.77</v>
      </c>
    </row>
    <row r="10705" spans="1:7" x14ac:dyDescent="0.25">
      <c r="A10705" s="116" t="s">
        <v>16919</v>
      </c>
      <c r="B10705" s="117" t="s">
        <v>16920</v>
      </c>
      <c r="C10705" t="s">
        <v>67</v>
      </c>
      <c r="D10705" t="s">
        <v>67</v>
      </c>
      <c r="E10705" t="s">
        <v>67</v>
      </c>
      <c r="F10705" t="s">
        <v>27987</v>
      </c>
      <c r="G10705" s="117">
        <v>25.36</v>
      </c>
    </row>
    <row r="10706" spans="1:7" x14ac:dyDescent="0.25">
      <c r="A10706" s="116" t="s">
        <v>16921</v>
      </c>
      <c r="B10706" s="117" t="s">
        <v>16922</v>
      </c>
      <c r="C10706" t="s">
        <v>67</v>
      </c>
      <c r="D10706" t="s">
        <v>67</v>
      </c>
      <c r="E10706" t="s">
        <v>67</v>
      </c>
      <c r="F10706" t="s">
        <v>27987</v>
      </c>
      <c r="G10706" s="117">
        <v>9.6999999999999993</v>
      </c>
    </row>
    <row r="10707" spans="1:7" x14ac:dyDescent="0.25">
      <c r="A10707" s="116" t="s">
        <v>16923</v>
      </c>
      <c r="B10707" s="117" t="s">
        <v>16924</v>
      </c>
      <c r="C10707" t="s">
        <v>67</v>
      </c>
      <c r="D10707" t="s">
        <v>67</v>
      </c>
      <c r="E10707" t="s">
        <v>67</v>
      </c>
      <c r="F10707" t="s">
        <v>27987</v>
      </c>
      <c r="G10707" s="117">
        <v>4.8899999999999997</v>
      </c>
    </row>
    <row r="10708" spans="1:7" x14ac:dyDescent="0.25">
      <c r="A10708" s="116" t="s">
        <v>16925</v>
      </c>
      <c r="B10708" s="117" t="s">
        <v>16926</v>
      </c>
      <c r="C10708" t="s">
        <v>67</v>
      </c>
      <c r="D10708" t="s">
        <v>67</v>
      </c>
      <c r="E10708" t="s">
        <v>67</v>
      </c>
      <c r="F10708" t="s">
        <v>27987</v>
      </c>
      <c r="G10708" s="117">
        <v>4.8899999999999997</v>
      </c>
    </row>
    <row r="10709" spans="1:7" x14ac:dyDescent="0.25">
      <c r="A10709" s="116" t="s">
        <v>16927</v>
      </c>
      <c r="B10709" s="117" t="s">
        <v>16928</v>
      </c>
      <c r="C10709" t="s">
        <v>67</v>
      </c>
      <c r="D10709" t="s">
        <v>67</v>
      </c>
      <c r="E10709" t="s">
        <v>67</v>
      </c>
      <c r="F10709" t="s">
        <v>27987</v>
      </c>
      <c r="G10709" s="117">
        <v>4</v>
      </c>
    </row>
    <row r="10710" spans="1:7" x14ac:dyDescent="0.25">
      <c r="A10710" s="116" t="s">
        <v>16929</v>
      </c>
      <c r="B10710" s="117" t="s">
        <v>16924</v>
      </c>
      <c r="C10710" t="s">
        <v>67</v>
      </c>
      <c r="D10710" t="s">
        <v>67</v>
      </c>
      <c r="E10710" t="s">
        <v>67</v>
      </c>
      <c r="F10710" t="s">
        <v>27987</v>
      </c>
      <c r="G10710" s="117">
        <v>5.79</v>
      </c>
    </row>
    <row r="10711" spans="1:7" x14ac:dyDescent="0.25">
      <c r="A10711" s="116" t="s">
        <v>16930</v>
      </c>
      <c r="B10711" s="117" t="s">
        <v>16931</v>
      </c>
      <c r="C10711" t="s">
        <v>67</v>
      </c>
      <c r="D10711" t="s">
        <v>67</v>
      </c>
      <c r="E10711" t="s">
        <v>67</v>
      </c>
      <c r="F10711" t="s">
        <v>27987</v>
      </c>
      <c r="G10711" s="117">
        <v>10.58</v>
      </c>
    </row>
    <row r="10712" spans="1:7" x14ac:dyDescent="0.25">
      <c r="A10712" s="116" t="s">
        <v>16932</v>
      </c>
      <c r="B10712" s="117" t="s">
        <v>16933</v>
      </c>
      <c r="C10712" t="s">
        <v>67</v>
      </c>
      <c r="D10712" t="s">
        <v>67</v>
      </c>
      <c r="E10712" t="s">
        <v>67</v>
      </c>
      <c r="F10712" t="s">
        <v>27987</v>
      </c>
      <c r="G10712" s="117">
        <v>7.12</v>
      </c>
    </row>
    <row r="10713" spans="1:7" x14ac:dyDescent="0.25">
      <c r="A10713" s="116" t="s">
        <v>16934</v>
      </c>
      <c r="B10713" s="117" t="s">
        <v>16935</v>
      </c>
      <c r="C10713" t="s">
        <v>67</v>
      </c>
      <c r="D10713" t="s">
        <v>67</v>
      </c>
      <c r="E10713" t="s">
        <v>67</v>
      </c>
      <c r="F10713" t="s">
        <v>27987</v>
      </c>
      <c r="G10713" s="117">
        <v>18.239999999999998</v>
      </c>
    </row>
    <row r="10714" spans="1:7" x14ac:dyDescent="0.25">
      <c r="A10714" s="116" t="s">
        <v>16936</v>
      </c>
      <c r="B10714" s="117" t="s">
        <v>16937</v>
      </c>
      <c r="C10714" t="s">
        <v>67</v>
      </c>
      <c r="D10714" t="s">
        <v>67</v>
      </c>
      <c r="E10714" t="s">
        <v>67</v>
      </c>
      <c r="F10714" t="s">
        <v>27987</v>
      </c>
      <c r="G10714" s="117">
        <v>13.26</v>
      </c>
    </row>
    <row r="10715" spans="1:7" x14ac:dyDescent="0.25">
      <c r="A10715" s="116" t="s">
        <v>16938</v>
      </c>
      <c r="B10715" s="117" t="s">
        <v>3412</v>
      </c>
      <c r="C10715" t="s">
        <v>67</v>
      </c>
      <c r="D10715" t="s">
        <v>67</v>
      </c>
      <c r="E10715" t="s">
        <v>67</v>
      </c>
      <c r="F10715" t="s">
        <v>45</v>
      </c>
      <c r="G10715" s="117">
        <v>6.14</v>
      </c>
    </row>
    <row r="10716" spans="1:7" x14ac:dyDescent="0.25">
      <c r="A10716" s="116" t="s">
        <v>16939</v>
      </c>
      <c r="B10716" s="117" t="s">
        <v>12709</v>
      </c>
      <c r="C10716" t="s">
        <v>67</v>
      </c>
      <c r="D10716" t="s">
        <v>67</v>
      </c>
      <c r="E10716" t="s">
        <v>67</v>
      </c>
      <c r="F10716" t="s">
        <v>27987</v>
      </c>
      <c r="G10716" s="117">
        <v>5.25</v>
      </c>
    </row>
    <row r="10717" spans="1:7" x14ac:dyDescent="0.25">
      <c r="A10717" s="116" t="s">
        <v>16940</v>
      </c>
      <c r="B10717" s="117" t="s">
        <v>10144</v>
      </c>
      <c r="C10717" t="s">
        <v>67</v>
      </c>
      <c r="D10717" t="s">
        <v>67</v>
      </c>
      <c r="E10717" t="s">
        <v>67</v>
      </c>
      <c r="F10717" t="s">
        <v>27987</v>
      </c>
      <c r="G10717" s="117">
        <v>3.12</v>
      </c>
    </row>
    <row r="10718" spans="1:7" x14ac:dyDescent="0.25">
      <c r="A10718" s="116" t="s">
        <v>16941</v>
      </c>
      <c r="B10718" s="117" t="s">
        <v>16942</v>
      </c>
      <c r="C10718" t="s">
        <v>67</v>
      </c>
      <c r="D10718" t="s">
        <v>67</v>
      </c>
      <c r="E10718" t="s">
        <v>67</v>
      </c>
      <c r="F10718" t="s">
        <v>27987</v>
      </c>
      <c r="G10718" s="117">
        <v>3.12</v>
      </c>
    </row>
    <row r="10719" spans="1:7" x14ac:dyDescent="0.25">
      <c r="A10719" s="116" t="s">
        <v>16943</v>
      </c>
      <c r="B10719" s="117" t="s">
        <v>16944</v>
      </c>
      <c r="C10719" t="s">
        <v>67</v>
      </c>
      <c r="D10719" t="s">
        <v>67</v>
      </c>
      <c r="E10719" t="s">
        <v>67</v>
      </c>
      <c r="F10719" t="s">
        <v>45</v>
      </c>
      <c r="G10719" s="117">
        <v>8.4499999999999993</v>
      </c>
    </row>
    <row r="10720" spans="1:7" x14ac:dyDescent="0.25">
      <c r="A10720" s="116" t="s">
        <v>16945</v>
      </c>
      <c r="B10720" s="117" t="s">
        <v>16946</v>
      </c>
      <c r="C10720" t="s">
        <v>67</v>
      </c>
      <c r="D10720" t="s">
        <v>67</v>
      </c>
      <c r="E10720" t="s">
        <v>67</v>
      </c>
      <c r="F10720" t="s">
        <v>27987</v>
      </c>
      <c r="G10720" s="117">
        <v>13.26</v>
      </c>
    </row>
    <row r="10721" spans="1:7" x14ac:dyDescent="0.25">
      <c r="A10721" s="116" t="s">
        <v>16947</v>
      </c>
      <c r="B10721" s="117" t="s">
        <v>16948</v>
      </c>
      <c r="C10721" t="s">
        <v>67</v>
      </c>
      <c r="D10721" t="s">
        <v>67</v>
      </c>
      <c r="E10721" t="s">
        <v>67</v>
      </c>
      <c r="F10721" t="s">
        <v>27987</v>
      </c>
      <c r="G10721" s="117">
        <v>3.12</v>
      </c>
    </row>
    <row r="10722" spans="1:7" x14ac:dyDescent="0.25">
      <c r="A10722" s="116" t="s">
        <v>16949</v>
      </c>
      <c r="B10722" s="117" t="s">
        <v>14736</v>
      </c>
      <c r="C10722" t="s">
        <v>67</v>
      </c>
      <c r="D10722" t="s">
        <v>67</v>
      </c>
      <c r="E10722" t="s">
        <v>67</v>
      </c>
      <c r="F10722" t="s">
        <v>45</v>
      </c>
      <c r="G10722" s="117">
        <v>3.56</v>
      </c>
    </row>
    <row r="10723" spans="1:7" x14ac:dyDescent="0.25">
      <c r="A10723" s="116" t="s">
        <v>16950</v>
      </c>
      <c r="B10723" s="117" t="s">
        <v>16951</v>
      </c>
      <c r="C10723" t="s">
        <v>67</v>
      </c>
      <c r="D10723" t="s">
        <v>67</v>
      </c>
      <c r="E10723" t="s">
        <v>67</v>
      </c>
      <c r="F10723" t="s">
        <v>27987</v>
      </c>
      <c r="G10723" s="117">
        <v>3.56</v>
      </c>
    </row>
    <row r="10724" spans="1:7" x14ac:dyDescent="0.25">
      <c r="A10724" s="116" t="s">
        <v>16952</v>
      </c>
      <c r="B10724" s="117" t="s">
        <v>16953</v>
      </c>
      <c r="C10724" t="s">
        <v>67</v>
      </c>
      <c r="D10724" t="s">
        <v>67</v>
      </c>
      <c r="E10724" t="s">
        <v>67</v>
      </c>
      <c r="F10724" t="s">
        <v>27987</v>
      </c>
      <c r="G10724" s="117">
        <v>1.69</v>
      </c>
    </row>
    <row r="10725" spans="1:7" x14ac:dyDescent="0.25">
      <c r="A10725" s="116" t="s">
        <v>16954</v>
      </c>
      <c r="B10725" s="117" t="s">
        <v>16955</v>
      </c>
      <c r="C10725" t="s">
        <v>67</v>
      </c>
      <c r="D10725" t="s">
        <v>67</v>
      </c>
      <c r="E10725" t="s">
        <v>67</v>
      </c>
      <c r="F10725" t="s">
        <v>45</v>
      </c>
      <c r="G10725" s="117">
        <v>7.12</v>
      </c>
    </row>
    <row r="10726" spans="1:7" x14ac:dyDescent="0.25">
      <c r="A10726" s="116" t="s">
        <v>16956</v>
      </c>
      <c r="B10726" s="117" t="s">
        <v>12884</v>
      </c>
      <c r="C10726" t="s">
        <v>67</v>
      </c>
      <c r="D10726" t="s">
        <v>67</v>
      </c>
      <c r="E10726" t="s">
        <v>67</v>
      </c>
      <c r="F10726" t="s">
        <v>45</v>
      </c>
      <c r="G10726" s="117">
        <v>1.69</v>
      </c>
    </row>
    <row r="10727" spans="1:7" x14ac:dyDescent="0.25">
      <c r="A10727" s="116" t="s">
        <v>16957</v>
      </c>
      <c r="B10727" s="117" t="s">
        <v>16958</v>
      </c>
      <c r="C10727" t="s">
        <v>67</v>
      </c>
      <c r="D10727" t="s">
        <v>67</v>
      </c>
      <c r="E10727" t="s">
        <v>67</v>
      </c>
      <c r="F10727" t="s">
        <v>27987</v>
      </c>
      <c r="G10727" s="117">
        <v>3.12</v>
      </c>
    </row>
    <row r="10728" spans="1:7" x14ac:dyDescent="0.25">
      <c r="A10728" s="116" t="s">
        <v>16959</v>
      </c>
      <c r="B10728" s="117" t="s">
        <v>14192</v>
      </c>
      <c r="C10728" t="s">
        <v>67</v>
      </c>
      <c r="D10728" t="s">
        <v>67</v>
      </c>
      <c r="E10728" t="s">
        <v>67</v>
      </c>
      <c r="F10728" t="s">
        <v>45</v>
      </c>
      <c r="G10728" s="117">
        <v>3.12</v>
      </c>
    </row>
    <row r="10729" spans="1:7" x14ac:dyDescent="0.25">
      <c r="A10729" s="116" t="s">
        <v>16960</v>
      </c>
      <c r="B10729" s="117" t="s">
        <v>11127</v>
      </c>
      <c r="C10729" t="s">
        <v>67</v>
      </c>
      <c r="D10729" t="s">
        <v>67</v>
      </c>
      <c r="E10729" t="s">
        <v>67</v>
      </c>
      <c r="F10729" t="s">
        <v>45</v>
      </c>
      <c r="G10729" s="117">
        <v>3.12</v>
      </c>
    </row>
    <row r="10730" spans="1:7" x14ac:dyDescent="0.25">
      <c r="A10730" s="116" t="s">
        <v>16961</v>
      </c>
      <c r="B10730" s="117" t="s">
        <v>16962</v>
      </c>
      <c r="C10730" t="s">
        <v>67</v>
      </c>
      <c r="D10730" t="s">
        <v>67</v>
      </c>
      <c r="E10730" t="s">
        <v>67</v>
      </c>
      <c r="F10730" t="s">
        <v>45</v>
      </c>
      <c r="G10730" s="117">
        <v>51.17</v>
      </c>
    </row>
    <row r="10731" spans="1:7" x14ac:dyDescent="0.25">
      <c r="A10731" s="116" t="s">
        <v>16963</v>
      </c>
      <c r="B10731" s="117" t="s">
        <v>16964</v>
      </c>
      <c r="C10731" t="s">
        <v>67</v>
      </c>
      <c r="D10731" t="s">
        <v>67</v>
      </c>
      <c r="E10731" t="s">
        <v>67</v>
      </c>
      <c r="F10731" t="s">
        <v>45</v>
      </c>
      <c r="G10731" s="117">
        <v>70.2</v>
      </c>
    </row>
    <row r="10732" spans="1:7" x14ac:dyDescent="0.25">
      <c r="A10732" s="116" t="s">
        <v>16965</v>
      </c>
      <c r="B10732" s="117" t="s">
        <v>16966</v>
      </c>
      <c r="C10732" t="s">
        <v>67</v>
      </c>
      <c r="D10732" t="s">
        <v>67</v>
      </c>
      <c r="E10732" t="s">
        <v>67</v>
      </c>
      <c r="F10732" t="s">
        <v>45</v>
      </c>
      <c r="G10732" s="117">
        <v>71.63</v>
      </c>
    </row>
    <row r="10733" spans="1:7" x14ac:dyDescent="0.25">
      <c r="A10733" s="116" t="s">
        <v>16967</v>
      </c>
      <c r="B10733" s="117" t="s">
        <v>16968</v>
      </c>
      <c r="C10733" t="s">
        <v>67</v>
      </c>
      <c r="D10733" t="s">
        <v>67</v>
      </c>
      <c r="E10733" t="s">
        <v>67</v>
      </c>
      <c r="F10733" t="s">
        <v>27987</v>
      </c>
      <c r="G10733" s="117">
        <v>3.12</v>
      </c>
    </row>
    <row r="10734" spans="1:7" x14ac:dyDescent="0.25">
      <c r="A10734" s="116" t="s">
        <v>16969</v>
      </c>
      <c r="B10734" s="117" t="s">
        <v>16970</v>
      </c>
      <c r="C10734" t="s">
        <v>67</v>
      </c>
      <c r="D10734" t="s">
        <v>67</v>
      </c>
      <c r="E10734" t="s">
        <v>67</v>
      </c>
      <c r="F10734" t="s">
        <v>27987</v>
      </c>
      <c r="G10734" s="117">
        <v>4.8899999999999997</v>
      </c>
    </row>
    <row r="10735" spans="1:7" x14ac:dyDescent="0.25">
      <c r="A10735" s="116" t="s">
        <v>16971</v>
      </c>
      <c r="B10735" s="117" t="s">
        <v>832</v>
      </c>
      <c r="C10735" t="s">
        <v>67</v>
      </c>
      <c r="D10735" t="s">
        <v>67</v>
      </c>
      <c r="E10735" t="s">
        <v>67</v>
      </c>
      <c r="F10735" t="s">
        <v>27987</v>
      </c>
      <c r="G10735" s="117">
        <v>7.92</v>
      </c>
    </row>
    <row r="10736" spans="1:7" x14ac:dyDescent="0.25">
      <c r="A10736" s="116" t="s">
        <v>16972</v>
      </c>
      <c r="B10736" s="117" t="s">
        <v>13586</v>
      </c>
      <c r="C10736" t="s">
        <v>67</v>
      </c>
      <c r="D10736" t="s">
        <v>67</v>
      </c>
      <c r="E10736" t="s">
        <v>67</v>
      </c>
      <c r="F10736" t="s">
        <v>27987</v>
      </c>
      <c r="G10736" s="117">
        <v>2.58</v>
      </c>
    </row>
    <row r="10737" spans="1:7" x14ac:dyDescent="0.25">
      <c r="A10737" s="116" t="s">
        <v>16973</v>
      </c>
      <c r="B10737" s="117" t="s">
        <v>16974</v>
      </c>
      <c r="C10737" t="s">
        <v>67</v>
      </c>
      <c r="D10737" t="s">
        <v>67</v>
      </c>
      <c r="E10737" t="s">
        <v>67</v>
      </c>
      <c r="F10737" t="s">
        <v>27987</v>
      </c>
      <c r="G10737" s="117">
        <v>9.6999999999999993</v>
      </c>
    </row>
    <row r="10738" spans="1:7" x14ac:dyDescent="0.25">
      <c r="A10738" s="116" t="s">
        <v>16975</v>
      </c>
      <c r="B10738" s="117" t="s">
        <v>16976</v>
      </c>
      <c r="C10738" t="s">
        <v>67</v>
      </c>
      <c r="D10738" t="s">
        <v>67</v>
      </c>
      <c r="E10738" t="s">
        <v>67</v>
      </c>
      <c r="F10738" t="s">
        <v>27987</v>
      </c>
      <c r="G10738" s="117">
        <v>7.12</v>
      </c>
    </row>
    <row r="10739" spans="1:7" x14ac:dyDescent="0.25">
      <c r="A10739" s="116" t="s">
        <v>16977</v>
      </c>
      <c r="B10739" s="117" t="s">
        <v>16978</v>
      </c>
      <c r="C10739" t="s">
        <v>67</v>
      </c>
      <c r="D10739" t="s">
        <v>67</v>
      </c>
      <c r="E10739" t="s">
        <v>67</v>
      </c>
      <c r="F10739" t="s">
        <v>27987</v>
      </c>
      <c r="G10739" s="117">
        <v>82.67</v>
      </c>
    </row>
    <row r="10740" spans="1:7" x14ac:dyDescent="0.25">
      <c r="A10740" s="116" t="s">
        <v>16979</v>
      </c>
      <c r="B10740" s="117" t="s">
        <v>16980</v>
      </c>
      <c r="C10740" t="s">
        <v>67</v>
      </c>
      <c r="D10740" t="s">
        <v>67</v>
      </c>
      <c r="E10740" t="s">
        <v>67</v>
      </c>
      <c r="F10740" t="s">
        <v>27987</v>
      </c>
      <c r="G10740" s="117">
        <v>15.57</v>
      </c>
    </row>
    <row r="10741" spans="1:7" x14ac:dyDescent="0.25">
      <c r="A10741" s="116" t="s">
        <v>16981</v>
      </c>
      <c r="B10741" s="117" t="s">
        <v>16982</v>
      </c>
      <c r="C10741" t="s">
        <v>67</v>
      </c>
      <c r="D10741" t="s">
        <v>67</v>
      </c>
      <c r="E10741" t="s">
        <v>67</v>
      </c>
      <c r="F10741" t="s">
        <v>27987</v>
      </c>
      <c r="G10741" s="117">
        <v>17.7</v>
      </c>
    </row>
    <row r="10742" spans="1:7" x14ac:dyDescent="0.25">
      <c r="A10742" s="116" t="s">
        <v>16983</v>
      </c>
      <c r="B10742" s="117" t="s">
        <v>16984</v>
      </c>
      <c r="C10742" t="s">
        <v>67</v>
      </c>
      <c r="D10742" t="s">
        <v>67</v>
      </c>
      <c r="E10742" t="s">
        <v>67</v>
      </c>
      <c r="F10742" t="s">
        <v>45</v>
      </c>
      <c r="G10742" s="117">
        <v>3.12</v>
      </c>
    </row>
    <row r="10743" spans="1:7" x14ac:dyDescent="0.25">
      <c r="A10743" s="116" t="s">
        <v>16985</v>
      </c>
      <c r="B10743" s="117" t="s">
        <v>13908</v>
      </c>
      <c r="C10743" t="s">
        <v>67</v>
      </c>
      <c r="D10743" t="s">
        <v>67</v>
      </c>
      <c r="E10743" t="s">
        <v>67</v>
      </c>
      <c r="F10743" t="s">
        <v>27987</v>
      </c>
      <c r="G10743" s="117">
        <v>7.92</v>
      </c>
    </row>
    <row r="10744" spans="1:7" x14ac:dyDescent="0.25">
      <c r="A10744" s="116" t="s">
        <v>16986</v>
      </c>
      <c r="B10744" s="117" t="s">
        <v>16987</v>
      </c>
      <c r="C10744" t="s">
        <v>67</v>
      </c>
      <c r="D10744" t="s">
        <v>67</v>
      </c>
      <c r="E10744" t="s">
        <v>67</v>
      </c>
      <c r="F10744" t="s">
        <v>45</v>
      </c>
      <c r="G10744" s="117">
        <v>6.14</v>
      </c>
    </row>
    <row r="10745" spans="1:7" x14ac:dyDescent="0.25">
      <c r="A10745" s="116" t="s">
        <v>16988</v>
      </c>
      <c r="B10745" s="117" t="s">
        <v>16989</v>
      </c>
      <c r="C10745" t="s">
        <v>67</v>
      </c>
      <c r="D10745" t="s">
        <v>67</v>
      </c>
      <c r="E10745" t="s">
        <v>67</v>
      </c>
      <c r="F10745" t="s">
        <v>27987</v>
      </c>
      <c r="G10745" s="117">
        <v>4.3600000000000003</v>
      </c>
    </row>
    <row r="10746" spans="1:7" x14ac:dyDescent="0.25">
      <c r="A10746" s="116" t="s">
        <v>16990</v>
      </c>
      <c r="B10746" s="117" t="s">
        <v>16991</v>
      </c>
      <c r="C10746" t="s">
        <v>67</v>
      </c>
      <c r="D10746" t="s">
        <v>67</v>
      </c>
      <c r="E10746" t="s">
        <v>67</v>
      </c>
      <c r="F10746" t="s">
        <v>45</v>
      </c>
      <c r="G10746" s="117">
        <v>3.56</v>
      </c>
    </row>
    <row r="10747" spans="1:7" x14ac:dyDescent="0.25">
      <c r="A10747" s="116" t="s">
        <v>16992</v>
      </c>
      <c r="B10747" s="117" t="s">
        <v>16993</v>
      </c>
      <c r="C10747" t="s">
        <v>67</v>
      </c>
      <c r="D10747" t="s">
        <v>67</v>
      </c>
      <c r="E10747" t="s">
        <v>67</v>
      </c>
      <c r="F10747" t="s">
        <v>45</v>
      </c>
      <c r="G10747" s="117">
        <v>5.25</v>
      </c>
    </row>
    <row r="10748" spans="1:7" x14ac:dyDescent="0.25">
      <c r="A10748" s="116" t="s">
        <v>16994</v>
      </c>
      <c r="B10748" s="117" t="s">
        <v>16995</v>
      </c>
      <c r="C10748" t="s">
        <v>67</v>
      </c>
      <c r="D10748" t="s">
        <v>67</v>
      </c>
      <c r="E10748" t="s">
        <v>67</v>
      </c>
      <c r="F10748" t="s">
        <v>27987</v>
      </c>
      <c r="G10748" s="117">
        <v>49.74</v>
      </c>
    </row>
    <row r="10749" spans="1:7" x14ac:dyDescent="0.25">
      <c r="A10749" s="116" t="s">
        <v>16996</v>
      </c>
      <c r="B10749" s="117" t="s">
        <v>16997</v>
      </c>
      <c r="C10749" t="s">
        <v>67</v>
      </c>
      <c r="D10749" t="s">
        <v>67</v>
      </c>
      <c r="E10749" t="s">
        <v>67</v>
      </c>
      <c r="F10749" t="s">
        <v>27987</v>
      </c>
      <c r="G10749" s="117">
        <v>3.56</v>
      </c>
    </row>
    <row r="10750" spans="1:7" x14ac:dyDescent="0.25">
      <c r="A10750" s="116" t="s">
        <v>16998</v>
      </c>
      <c r="B10750" s="117" t="s">
        <v>16999</v>
      </c>
      <c r="C10750" t="s">
        <v>67</v>
      </c>
      <c r="D10750" t="s">
        <v>67</v>
      </c>
      <c r="E10750" t="s">
        <v>67</v>
      </c>
      <c r="F10750" t="s">
        <v>45</v>
      </c>
      <c r="G10750" s="117">
        <v>2.58</v>
      </c>
    </row>
    <row r="10751" spans="1:7" x14ac:dyDescent="0.25">
      <c r="A10751" s="116" t="s">
        <v>17000</v>
      </c>
      <c r="B10751" s="117" t="s">
        <v>17001</v>
      </c>
      <c r="C10751" t="s">
        <v>67</v>
      </c>
      <c r="D10751" t="s">
        <v>67</v>
      </c>
      <c r="E10751" t="s">
        <v>67</v>
      </c>
      <c r="F10751" t="s">
        <v>27987</v>
      </c>
      <c r="G10751" s="117">
        <v>3.12</v>
      </c>
    </row>
    <row r="10752" spans="1:7" x14ac:dyDescent="0.25">
      <c r="A10752" s="116" t="s">
        <v>17002</v>
      </c>
      <c r="B10752" s="117" t="s">
        <v>17003</v>
      </c>
      <c r="C10752" t="s">
        <v>67</v>
      </c>
      <c r="D10752" t="s">
        <v>67</v>
      </c>
      <c r="E10752" t="s">
        <v>67</v>
      </c>
      <c r="F10752" t="s">
        <v>27987</v>
      </c>
      <c r="G10752" s="117">
        <v>3.12</v>
      </c>
    </row>
    <row r="10753" spans="1:7" x14ac:dyDescent="0.25">
      <c r="A10753" s="116" t="s">
        <v>17004</v>
      </c>
      <c r="B10753" s="117" t="s">
        <v>17005</v>
      </c>
      <c r="C10753" t="s">
        <v>67</v>
      </c>
      <c r="D10753" t="s">
        <v>67</v>
      </c>
      <c r="E10753" t="s">
        <v>67</v>
      </c>
      <c r="F10753" t="s">
        <v>27987</v>
      </c>
      <c r="G10753" s="117">
        <v>5.25</v>
      </c>
    </row>
    <row r="10754" spans="1:7" x14ac:dyDescent="0.25">
      <c r="A10754" s="116" t="s">
        <v>17006</v>
      </c>
      <c r="B10754" s="117" t="s">
        <v>10394</v>
      </c>
      <c r="C10754" t="s">
        <v>67</v>
      </c>
      <c r="D10754" t="s">
        <v>67</v>
      </c>
      <c r="E10754" t="s">
        <v>67</v>
      </c>
      <c r="F10754" t="s">
        <v>27987</v>
      </c>
      <c r="G10754" s="117">
        <v>11.12</v>
      </c>
    </row>
    <row r="10755" spans="1:7" x14ac:dyDescent="0.25">
      <c r="A10755" s="116" t="s">
        <v>17007</v>
      </c>
      <c r="B10755" s="117" t="s">
        <v>17008</v>
      </c>
      <c r="C10755" t="s">
        <v>67</v>
      </c>
      <c r="D10755" t="s">
        <v>67</v>
      </c>
      <c r="E10755" t="s">
        <v>67</v>
      </c>
      <c r="F10755" t="s">
        <v>45</v>
      </c>
      <c r="G10755" s="117">
        <v>3.56</v>
      </c>
    </row>
    <row r="10756" spans="1:7" x14ac:dyDescent="0.25">
      <c r="A10756" s="116" t="s">
        <v>17009</v>
      </c>
      <c r="B10756" s="117" t="s">
        <v>1267</v>
      </c>
      <c r="C10756" t="s">
        <v>67</v>
      </c>
      <c r="D10756" t="s">
        <v>67</v>
      </c>
      <c r="E10756" t="s">
        <v>67</v>
      </c>
      <c r="F10756" t="s">
        <v>45</v>
      </c>
      <c r="G10756" s="117">
        <v>39.6</v>
      </c>
    </row>
    <row r="10757" spans="1:7" x14ac:dyDescent="0.25">
      <c r="A10757" s="116" t="s">
        <v>17010</v>
      </c>
      <c r="B10757" s="117" t="s">
        <v>13574</v>
      </c>
      <c r="C10757" t="s">
        <v>67</v>
      </c>
      <c r="D10757" t="s">
        <v>67</v>
      </c>
      <c r="E10757" t="s">
        <v>67</v>
      </c>
      <c r="F10757" t="s">
        <v>27987</v>
      </c>
      <c r="G10757" s="117">
        <v>19.13</v>
      </c>
    </row>
    <row r="10758" spans="1:7" x14ac:dyDescent="0.25">
      <c r="A10758" s="116" t="s">
        <v>17011</v>
      </c>
      <c r="B10758" s="117" t="s">
        <v>13662</v>
      </c>
      <c r="C10758" t="s">
        <v>67</v>
      </c>
      <c r="D10758" t="s">
        <v>67</v>
      </c>
      <c r="E10758" t="s">
        <v>67</v>
      </c>
      <c r="F10758" t="s">
        <v>27987</v>
      </c>
      <c r="G10758" s="117">
        <v>8.4499999999999993</v>
      </c>
    </row>
    <row r="10759" spans="1:7" x14ac:dyDescent="0.25">
      <c r="A10759" s="116" t="s">
        <v>17012</v>
      </c>
      <c r="B10759" s="117" t="s">
        <v>2231</v>
      </c>
      <c r="C10759" t="s">
        <v>67</v>
      </c>
      <c r="D10759" t="s">
        <v>67</v>
      </c>
      <c r="E10759" t="s">
        <v>67</v>
      </c>
      <c r="F10759" t="s">
        <v>27987</v>
      </c>
      <c r="G10759" s="117">
        <v>7.12</v>
      </c>
    </row>
    <row r="10760" spans="1:7" x14ac:dyDescent="0.25">
      <c r="A10760" s="116" t="s">
        <v>17013</v>
      </c>
      <c r="B10760" s="117" t="s">
        <v>17014</v>
      </c>
      <c r="C10760" t="s">
        <v>67</v>
      </c>
      <c r="D10760" t="s">
        <v>67</v>
      </c>
      <c r="E10760" t="s">
        <v>67</v>
      </c>
      <c r="F10760" t="s">
        <v>27987</v>
      </c>
      <c r="G10760" s="117">
        <v>33.729999999999997</v>
      </c>
    </row>
    <row r="10761" spans="1:7" x14ac:dyDescent="0.25">
      <c r="A10761" s="116" t="s">
        <v>17015</v>
      </c>
      <c r="B10761" s="117" t="s">
        <v>17016</v>
      </c>
      <c r="C10761" t="s">
        <v>67</v>
      </c>
      <c r="D10761" t="s">
        <v>67</v>
      </c>
      <c r="E10761" t="s">
        <v>67</v>
      </c>
      <c r="F10761" t="s">
        <v>45</v>
      </c>
      <c r="G10761" s="117">
        <v>1.33</v>
      </c>
    </row>
    <row r="10762" spans="1:7" x14ac:dyDescent="0.25">
      <c r="A10762" s="116" t="s">
        <v>17017</v>
      </c>
      <c r="B10762" s="117" t="s">
        <v>17018</v>
      </c>
      <c r="C10762" t="s">
        <v>67</v>
      </c>
      <c r="D10762" t="s">
        <v>67</v>
      </c>
      <c r="E10762" t="s">
        <v>67</v>
      </c>
      <c r="F10762" t="s">
        <v>45</v>
      </c>
      <c r="G10762" s="117">
        <v>14.14</v>
      </c>
    </row>
    <row r="10763" spans="1:7" x14ac:dyDescent="0.25">
      <c r="A10763" s="116" t="s">
        <v>17019</v>
      </c>
      <c r="B10763" s="117" t="s">
        <v>17020</v>
      </c>
      <c r="C10763" t="s">
        <v>67</v>
      </c>
      <c r="D10763" t="s">
        <v>67</v>
      </c>
      <c r="E10763" t="s">
        <v>67</v>
      </c>
      <c r="F10763" t="s">
        <v>45</v>
      </c>
      <c r="G10763" s="117">
        <v>12.01</v>
      </c>
    </row>
    <row r="10764" spans="1:7" x14ac:dyDescent="0.25">
      <c r="A10764" s="116" t="s">
        <v>17021</v>
      </c>
      <c r="B10764" s="117" t="s">
        <v>17022</v>
      </c>
      <c r="C10764" t="s">
        <v>67</v>
      </c>
      <c r="D10764" t="s">
        <v>67</v>
      </c>
      <c r="E10764" t="s">
        <v>67</v>
      </c>
      <c r="F10764" t="s">
        <v>45</v>
      </c>
      <c r="G10764" s="117">
        <v>12.01</v>
      </c>
    </row>
    <row r="10765" spans="1:7" x14ac:dyDescent="0.25">
      <c r="A10765" s="116" t="s">
        <v>17023</v>
      </c>
      <c r="B10765" s="117" t="s">
        <v>17024</v>
      </c>
      <c r="C10765" t="s">
        <v>67</v>
      </c>
      <c r="D10765" t="s">
        <v>67</v>
      </c>
      <c r="E10765" t="s">
        <v>67</v>
      </c>
      <c r="F10765" t="s">
        <v>27987</v>
      </c>
      <c r="G10765" s="117">
        <v>16.46</v>
      </c>
    </row>
    <row r="10766" spans="1:7" x14ac:dyDescent="0.25">
      <c r="A10766" s="116" t="s">
        <v>17025</v>
      </c>
      <c r="B10766" s="117" t="s">
        <v>17026</v>
      </c>
      <c r="C10766" t="s">
        <v>67</v>
      </c>
      <c r="D10766" t="s">
        <v>67</v>
      </c>
      <c r="E10766" t="s">
        <v>67</v>
      </c>
      <c r="F10766" t="s">
        <v>27987</v>
      </c>
      <c r="G10766" s="117">
        <v>2.58</v>
      </c>
    </row>
    <row r="10767" spans="1:7" x14ac:dyDescent="0.25">
      <c r="A10767" s="116" t="s">
        <v>17027</v>
      </c>
      <c r="B10767" s="117" t="s">
        <v>17028</v>
      </c>
      <c r="C10767" t="s">
        <v>67</v>
      </c>
      <c r="D10767" t="s">
        <v>67</v>
      </c>
      <c r="E10767" t="s">
        <v>67</v>
      </c>
      <c r="F10767" t="s">
        <v>27987</v>
      </c>
      <c r="G10767" s="117">
        <v>23.94</v>
      </c>
    </row>
    <row r="10768" spans="1:7" x14ac:dyDescent="0.25">
      <c r="A10768" s="116" t="s">
        <v>17029</v>
      </c>
      <c r="B10768" s="117" t="s">
        <v>17030</v>
      </c>
      <c r="C10768" t="s">
        <v>67</v>
      </c>
      <c r="D10768" t="s">
        <v>67</v>
      </c>
      <c r="E10768" t="s">
        <v>67</v>
      </c>
      <c r="F10768" t="s">
        <v>27987</v>
      </c>
      <c r="G10768" s="117">
        <v>8.81</v>
      </c>
    </row>
    <row r="10769" spans="1:7" x14ac:dyDescent="0.25">
      <c r="A10769" s="116" t="s">
        <v>17031</v>
      </c>
      <c r="B10769" s="117" t="s">
        <v>17032</v>
      </c>
      <c r="C10769" t="s">
        <v>67</v>
      </c>
      <c r="D10769" t="s">
        <v>67</v>
      </c>
      <c r="E10769" t="s">
        <v>67</v>
      </c>
      <c r="F10769" t="s">
        <v>27987</v>
      </c>
      <c r="G10769" s="117">
        <v>65.680000000000007</v>
      </c>
    </row>
    <row r="10770" spans="1:7" x14ac:dyDescent="0.25">
      <c r="A10770" s="116" t="s">
        <v>17033</v>
      </c>
      <c r="B10770" s="117" t="s">
        <v>17034</v>
      </c>
      <c r="C10770" t="s">
        <v>67</v>
      </c>
      <c r="D10770" t="s">
        <v>67</v>
      </c>
      <c r="E10770" t="s">
        <v>67</v>
      </c>
      <c r="F10770" t="s">
        <v>27987</v>
      </c>
      <c r="G10770" s="117">
        <v>13.47</v>
      </c>
    </row>
    <row r="10771" spans="1:7" x14ac:dyDescent="0.25">
      <c r="A10771" s="116" t="s">
        <v>17035</v>
      </c>
      <c r="B10771" s="117" t="s">
        <v>17036</v>
      </c>
      <c r="C10771" t="s">
        <v>67</v>
      </c>
      <c r="D10771" t="s">
        <v>67</v>
      </c>
      <c r="E10771" t="s">
        <v>67</v>
      </c>
      <c r="F10771" t="s">
        <v>27987</v>
      </c>
      <c r="G10771" s="117">
        <v>31.94</v>
      </c>
    </row>
    <row r="10772" spans="1:7" x14ac:dyDescent="0.25">
      <c r="A10772" s="116" t="s">
        <v>17037</v>
      </c>
      <c r="B10772" s="117" t="s">
        <v>17038</v>
      </c>
      <c r="C10772" t="s">
        <v>67</v>
      </c>
      <c r="D10772" t="s">
        <v>67</v>
      </c>
      <c r="E10772" t="s">
        <v>67</v>
      </c>
      <c r="F10772" t="s">
        <v>27987</v>
      </c>
      <c r="G10772" s="117">
        <v>14.14</v>
      </c>
    </row>
    <row r="10773" spans="1:7" x14ac:dyDescent="0.25">
      <c r="A10773" s="116" t="s">
        <v>17039</v>
      </c>
      <c r="B10773" s="117" t="s">
        <v>17040</v>
      </c>
      <c r="C10773" t="s">
        <v>67</v>
      </c>
      <c r="D10773" t="s">
        <v>67</v>
      </c>
      <c r="E10773" t="s">
        <v>67</v>
      </c>
      <c r="F10773" t="s">
        <v>27987</v>
      </c>
      <c r="G10773" s="117">
        <v>14.68</v>
      </c>
    </row>
    <row r="10774" spans="1:7" x14ac:dyDescent="0.25">
      <c r="A10774" s="116" t="s">
        <v>17041</v>
      </c>
      <c r="B10774" s="117" t="s">
        <v>17042</v>
      </c>
      <c r="C10774" t="s">
        <v>67</v>
      </c>
      <c r="D10774" t="s">
        <v>67</v>
      </c>
      <c r="E10774" t="s">
        <v>67</v>
      </c>
      <c r="F10774" t="s">
        <v>27987</v>
      </c>
      <c r="G10774" s="117">
        <v>15.57</v>
      </c>
    </row>
    <row r="10775" spans="1:7" x14ac:dyDescent="0.25">
      <c r="A10775" s="116" t="s">
        <v>17043</v>
      </c>
      <c r="B10775" s="117" t="s">
        <v>17044</v>
      </c>
      <c r="C10775" t="s">
        <v>67</v>
      </c>
      <c r="D10775" t="s">
        <v>67</v>
      </c>
      <c r="E10775" t="s">
        <v>67</v>
      </c>
      <c r="F10775" t="s">
        <v>45</v>
      </c>
      <c r="G10775" s="117">
        <v>19.489999999999998</v>
      </c>
    </row>
    <row r="10776" spans="1:7" x14ac:dyDescent="0.25">
      <c r="A10776" s="116" t="s">
        <v>17045</v>
      </c>
      <c r="B10776" s="117" t="s">
        <v>17046</v>
      </c>
      <c r="C10776" t="s">
        <v>67</v>
      </c>
      <c r="D10776" t="s">
        <v>67</v>
      </c>
      <c r="E10776" t="s">
        <v>67</v>
      </c>
      <c r="F10776" t="s">
        <v>27987</v>
      </c>
      <c r="G10776" s="117">
        <v>70.2</v>
      </c>
    </row>
    <row r="10777" spans="1:7" x14ac:dyDescent="0.25">
      <c r="A10777" s="116" t="s">
        <v>17047</v>
      </c>
      <c r="B10777" s="117" t="s">
        <v>17048</v>
      </c>
      <c r="C10777" t="s">
        <v>67</v>
      </c>
      <c r="D10777" t="s">
        <v>67</v>
      </c>
      <c r="E10777" t="s">
        <v>67</v>
      </c>
      <c r="F10777" t="s">
        <v>27987</v>
      </c>
      <c r="G10777" s="117">
        <v>14.68</v>
      </c>
    </row>
    <row r="10778" spans="1:7" x14ac:dyDescent="0.25">
      <c r="A10778" s="116" t="s">
        <v>17049</v>
      </c>
      <c r="B10778" s="117" t="s">
        <v>17050</v>
      </c>
      <c r="C10778" t="s">
        <v>67</v>
      </c>
      <c r="D10778" t="s">
        <v>67</v>
      </c>
      <c r="E10778" t="s">
        <v>67</v>
      </c>
      <c r="F10778" t="s">
        <v>27987</v>
      </c>
      <c r="G10778" s="117">
        <v>15.57</v>
      </c>
    </row>
    <row r="10779" spans="1:7" x14ac:dyDescent="0.25">
      <c r="A10779" s="116" t="s">
        <v>17051</v>
      </c>
      <c r="B10779" s="117" t="s">
        <v>17052</v>
      </c>
      <c r="C10779" t="s">
        <v>67</v>
      </c>
      <c r="D10779" t="s">
        <v>67</v>
      </c>
      <c r="E10779" t="s">
        <v>67</v>
      </c>
      <c r="F10779" t="s">
        <v>27987</v>
      </c>
      <c r="G10779" s="117">
        <v>14.14</v>
      </c>
    </row>
    <row r="10780" spans="1:7" x14ac:dyDescent="0.25">
      <c r="A10780" s="116" t="s">
        <v>17053</v>
      </c>
      <c r="B10780" s="117" t="s">
        <v>17054</v>
      </c>
      <c r="C10780" t="s">
        <v>67</v>
      </c>
      <c r="D10780" t="s">
        <v>67</v>
      </c>
      <c r="E10780" t="s">
        <v>67</v>
      </c>
      <c r="F10780" t="s">
        <v>27987</v>
      </c>
      <c r="G10780" s="117">
        <v>14.14</v>
      </c>
    </row>
    <row r="10781" spans="1:7" x14ac:dyDescent="0.25">
      <c r="A10781" s="116" t="s">
        <v>17055</v>
      </c>
      <c r="B10781" s="117" t="s">
        <v>17056</v>
      </c>
      <c r="C10781" t="s">
        <v>67</v>
      </c>
      <c r="D10781" t="s">
        <v>67</v>
      </c>
      <c r="E10781" t="s">
        <v>67</v>
      </c>
      <c r="F10781" t="s">
        <v>27987</v>
      </c>
      <c r="G10781" s="117">
        <v>14.14</v>
      </c>
    </row>
    <row r="10782" spans="1:7" x14ac:dyDescent="0.25">
      <c r="A10782" s="116" t="s">
        <v>17057</v>
      </c>
      <c r="B10782" s="117" t="s">
        <v>17058</v>
      </c>
      <c r="C10782" t="s">
        <v>67</v>
      </c>
      <c r="D10782" t="s">
        <v>67</v>
      </c>
      <c r="E10782" t="s">
        <v>67</v>
      </c>
      <c r="F10782" t="s">
        <v>27987</v>
      </c>
      <c r="G10782" s="117">
        <v>14.14</v>
      </c>
    </row>
    <row r="10783" spans="1:7" x14ac:dyDescent="0.25">
      <c r="A10783" s="116" t="s">
        <v>17059</v>
      </c>
      <c r="B10783" s="117" t="s">
        <v>17060</v>
      </c>
      <c r="C10783" t="s">
        <v>67</v>
      </c>
      <c r="D10783" t="s">
        <v>67</v>
      </c>
      <c r="E10783" t="s">
        <v>67</v>
      </c>
      <c r="F10783" t="s">
        <v>27987</v>
      </c>
      <c r="G10783" s="117">
        <v>9.6999999999999993</v>
      </c>
    </row>
    <row r="10784" spans="1:7" x14ac:dyDescent="0.25">
      <c r="A10784" s="116" t="s">
        <v>17061</v>
      </c>
      <c r="B10784" s="117" t="s">
        <v>17062</v>
      </c>
      <c r="C10784" t="s">
        <v>67</v>
      </c>
      <c r="D10784" t="s">
        <v>67</v>
      </c>
      <c r="E10784" t="s">
        <v>67</v>
      </c>
      <c r="F10784" t="s">
        <v>27987</v>
      </c>
      <c r="G10784" s="117">
        <v>46.71</v>
      </c>
    </row>
    <row r="10785" spans="1:7" x14ac:dyDescent="0.25">
      <c r="A10785" s="116" t="s">
        <v>17063</v>
      </c>
      <c r="B10785" s="117" t="s">
        <v>17064</v>
      </c>
      <c r="C10785" t="s">
        <v>67</v>
      </c>
      <c r="D10785" t="s">
        <v>67</v>
      </c>
      <c r="E10785" t="s">
        <v>67</v>
      </c>
      <c r="F10785" t="s">
        <v>45</v>
      </c>
      <c r="G10785" s="117">
        <v>22.69</v>
      </c>
    </row>
    <row r="10786" spans="1:7" x14ac:dyDescent="0.25">
      <c r="A10786" s="116" t="s">
        <v>17065</v>
      </c>
      <c r="B10786" s="117" t="s">
        <v>15717</v>
      </c>
      <c r="C10786" t="s">
        <v>67</v>
      </c>
      <c r="D10786" t="s">
        <v>67</v>
      </c>
      <c r="E10786" t="s">
        <v>67</v>
      </c>
      <c r="F10786" t="s">
        <v>27987</v>
      </c>
      <c r="G10786" s="117">
        <v>5.25</v>
      </c>
    </row>
    <row r="10787" spans="1:7" x14ac:dyDescent="0.25">
      <c r="A10787" s="116" t="s">
        <v>17066</v>
      </c>
      <c r="B10787" s="117" t="s">
        <v>17067</v>
      </c>
      <c r="C10787" t="s">
        <v>67</v>
      </c>
      <c r="D10787" t="s">
        <v>67</v>
      </c>
      <c r="E10787" t="s">
        <v>67</v>
      </c>
      <c r="F10787" t="s">
        <v>45</v>
      </c>
      <c r="G10787" s="117">
        <v>5.85</v>
      </c>
    </row>
    <row r="10788" spans="1:7" x14ac:dyDescent="0.25">
      <c r="A10788" s="116" t="s">
        <v>17068</v>
      </c>
      <c r="B10788" s="117" t="s">
        <v>14249</v>
      </c>
      <c r="C10788" t="s">
        <v>67</v>
      </c>
      <c r="D10788" t="s">
        <v>67</v>
      </c>
      <c r="E10788" t="s">
        <v>67</v>
      </c>
      <c r="F10788" t="s">
        <v>27987</v>
      </c>
      <c r="G10788" s="117">
        <v>6.14</v>
      </c>
    </row>
    <row r="10789" spans="1:7" x14ac:dyDescent="0.25">
      <c r="A10789" s="116" t="s">
        <v>17069</v>
      </c>
      <c r="B10789" s="117" t="s">
        <v>17070</v>
      </c>
      <c r="C10789" t="s">
        <v>67</v>
      </c>
      <c r="D10789" t="s">
        <v>67</v>
      </c>
      <c r="E10789" t="s">
        <v>67</v>
      </c>
      <c r="F10789" t="s">
        <v>27987</v>
      </c>
      <c r="G10789" s="117">
        <v>5.85</v>
      </c>
    </row>
    <row r="10790" spans="1:7" x14ac:dyDescent="0.25">
      <c r="A10790" s="116" t="s">
        <v>17071</v>
      </c>
      <c r="B10790" s="117" t="s">
        <v>17072</v>
      </c>
      <c r="C10790" t="s">
        <v>67</v>
      </c>
      <c r="D10790" t="s">
        <v>67</v>
      </c>
      <c r="E10790" t="s">
        <v>67</v>
      </c>
      <c r="F10790" t="s">
        <v>27987</v>
      </c>
      <c r="G10790" s="117">
        <v>8.9</v>
      </c>
    </row>
    <row r="10791" spans="1:7" x14ac:dyDescent="0.25">
      <c r="A10791" s="116" t="s">
        <v>17073</v>
      </c>
      <c r="B10791" s="117" t="s">
        <v>17074</v>
      </c>
      <c r="C10791" t="s">
        <v>67</v>
      </c>
      <c r="D10791" t="s">
        <v>67</v>
      </c>
      <c r="E10791" t="s">
        <v>67</v>
      </c>
      <c r="F10791" t="s">
        <v>27987</v>
      </c>
      <c r="G10791" s="117">
        <v>5.85</v>
      </c>
    </row>
    <row r="10792" spans="1:7" x14ac:dyDescent="0.25">
      <c r="A10792" s="116" t="s">
        <v>17075</v>
      </c>
      <c r="B10792" s="117" t="s">
        <v>17076</v>
      </c>
      <c r="C10792" t="s">
        <v>67</v>
      </c>
      <c r="D10792" t="s">
        <v>67</v>
      </c>
      <c r="E10792" t="s">
        <v>67</v>
      </c>
      <c r="F10792" t="s">
        <v>27987</v>
      </c>
      <c r="G10792" s="117">
        <v>26.25</v>
      </c>
    </row>
    <row r="10793" spans="1:7" x14ac:dyDescent="0.25">
      <c r="A10793" s="116" t="s">
        <v>17077</v>
      </c>
      <c r="B10793" s="117" t="s">
        <v>17078</v>
      </c>
      <c r="C10793" t="s">
        <v>67</v>
      </c>
      <c r="D10793" t="s">
        <v>67</v>
      </c>
      <c r="E10793" t="s">
        <v>67</v>
      </c>
      <c r="F10793" t="s">
        <v>27987</v>
      </c>
      <c r="G10793" s="117">
        <v>42.62</v>
      </c>
    </row>
    <row r="10794" spans="1:7" x14ac:dyDescent="0.25">
      <c r="A10794" s="116" t="s">
        <v>17079</v>
      </c>
      <c r="B10794" s="117" t="s">
        <v>17080</v>
      </c>
      <c r="C10794" t="s">
        <v>67</v>
      </c>
      <c r="D10794" t="s">
        <v>67</v>
      </c>
      <c r="E10794" t="s">
        <v>67</v>
      </c>
      <c r="F10794" t="s">
        <v>27987</v>
      </c>
      <c r="G10794" s="117">
        <v>134.6</v>
      </c>
    </row>
    <row r="10795" spans="1:7" x14ac:dyDescent="0.25">
      <c r="A10795" s="116" t="s">
        <v>17081</v>
      </c>
      <c r="B10795" s="117" t="s">
        <v>17082</v>
      </c>
      <c r="C10795" t="s">
        <v>67</v>
      </c>
      <c r="D10795" t="s">
        <v>67</v>
      </c>
      <c r="E10795" t="s">
        <v>67</v>
      </c>
      <c r="F10795" t="s">
        <v>27987</v>
      </c>
      <c r="G10795" s="117">
        <v>14.68</v>
      </c>
    </row>
    <row r="10796" spans="1:7" x14ac:dyDescent="0.25">
      <c r="A10796" s="116" t="s">
        <v>17083</v>
      </c>
      <c r="B10796" s="117" t="s">
        <v>17084</v>
      </c>
      <c r="C10796" t="s">
        <v>67</v>
      </c>
      <c r="D10796" t="s">
        <v>67</v>
      </c>
      <c r="E10796" t="s">
        <v>67</v>
      </c>
      <c r="F10796" t="s">
        <v>27987</v>
      </c>
      <c r="G10796" s="117">
        <v>4</v>
      </c>
    </row>
    <row r="10797" spans="1:7" x14ac:dyDescent="0.25">
      <c r="A10797" s="116" t="s">
        <v>17085</v>
      </c>
      <c r="B10797" s="117" t="s">
        <v>17086</v>
      </c>
      <c r="C10797" t="s">
        <v>67</v>
      </c>
      <c r="D10797" t="s">
        <v>67</v>
      </c>
      <c r="E10797" t="s">
        <v>67</v>
      </c>
      <c r="F10797" t="s">
        <v>45</v>
      </c>
      <c r="G10797" s="117">
        <v>3.12</v>
      </c>
    </row>
    <row r="10798" spans="1:7" x14ac:dyDescent="0.25">
      <c r="A10798" s="116" t="s">
        <v>17087</v>
      </c>
      <c r="B10798" s="117" t="s">
        <v>17088</v>
      </c>
      <c r="C10798" t="s">
        <v>67</v>
      </c>
      <c r="D10798" t="s">
        <v>67</v>
      </c>
      <c r="E10798" t="s">
        <v>67</v>
      </c>
      <c r="F10798" t="s">
        <v>45</v>
      </c>
      <c r="G10798" s="117">
        <v>21.26</v>
      </c>
    </row>
    <row r="10799" spans="1:7" x14ac:dyDescent="0.25">
      <c r="A10799" s="116" t="s">
        <v>17089</v>
      </c>
      <c r="B10799" s="117" t="s">
        <v>17090</v>
      </c>
      <c r="C10799" t="s">
        <v>67</v>
      </c>
      <c r="D10799" t="s">
        <v>67</v>
      </c>
      <c r="E10799" t="s">
        <v>67</v>
      </c>
      <c r="F10799" t="s">
        <v>45</v>
      </c>
      <c r="G10799" s="117">
        <v>2.58</v>
      </c>
    </row>
    <row r="10800" spans="1:7" x14ac:dyDescent="0.25">
      <c r="A10800" s="116" t="s">
        <v>17091</v>
      </c>
      <c r="B10800" s="117" t="s">
        <v>17092</v>
      </c>
      <c r="C10800" t="s">
        <v>67</v>
      </c>
      <c r="D10800" t="s">
        <v>67</v>
      </c>
      <c r="E10800" t="s">
        <v>67</v>
      </c>
      <c r="F10800" t="s">
        <v>27987</v>
      </c>
      <c r="G10800" s="117">
        <v>17.7</v>
      </c>
    </row>
    <row r="10801" spans="1:7" x14ac:dyDescent="0.25">
      <c r="A10801" s="116" t="s">
        <v>17093</v>
      </c>
      <c r="B10801" s="117" t="s">
        <v>17094</v>
      </c>
      <c r="C10801" t="s">
        <v>67</v>
      </c>
      <c r="D10801" t="s">
        <v>67</v>
      </c>
      <c r="E10801" t="s">
        <v>67</v>
      </c>
      <c r="F10801" t="s">
        <v>27987</v>
      </c>
      <c r="G10801" s="117">
        <v>31.58</v>
      </c>
    </row>
    <row r="10802" spans="1:7" x14ac:dyDescent="0.25">
      <c r="A10802" s="116" t="s">
        <v>17095</v>
      </c>
      <c r="B10802" s="117" t="s">
        <v>17096</v>
      </c>
      <c r="C10802" t="s">
        <v>67</v>
      </c>
      <c r="D10802" t="s">
        <v>67</v>
      </c>
      <c r="E10802" t="s">
        <v>67</v>
      </c>
      <c r="F10802" t="s">
        <v>27987</v>
      </c>
      <c r="G10802" s="117">
        <v>21.26</v>
      </c>
    </row>
    <row r="10803" spans="1:7" x14ac:dyDescent="0.25">
      <c r="A10803" s="116" t="s">
        <v>17097</v>
      </c>
      <c r="B10803" s="117" t="s">
        <v>17098</v>
      </c>
      <c r="C10803" t="s">
        <v>67</v>
      </c>
      <c r="D10803" t="s">
        <v>67</v>
      </c>
      <c r="E10803" t="s">
        <v>67</v>
      </c>
      <c r="F10803" t="s">
        <v>27987</v>
      </c>
      <c r="G10803" s="117">
        <v>14.14</v>
      </c>
    </row>
    <row r="10804" spans="1:7" x14ac:dyDescent="0.25">
      <c r="A10804" s="116" t="s">
        <v>17099</v>
      </c>
      <c r="B10804" s="117" t="s">
        <v>17100</v>
      </c>
      <c r="C10804" t="s">
        <v>67</v>
      </c>
      <c r="D10804" t="s">
        <v>67</v>
      </c>
      <c r="E10804" t="s">
        <v>67</v>
      </c>
      <c r="F10804" t="s">
        <v>27987</v>
      </c>
      <c r="G10804" s="117">
        <v>14.14</v>
      </c>
    </row>
    <row r="10805" spans="1:7" x14ac:dyDescent="0.25">
      <c r="A10805" s="116" t="s">
        <v>17101</v>
      </c>
      <c r="B10805" s="117" t="s">
        <v>17102</v>
      </c>
      <c r="C10805" t="s">
        <v>67</v>
      </c>
      <c r="D10805" t="s">
        <v>67</v>
      </c>
      <c r="E10805" t="s">
        <v>67</v>
      </c>
      <c r="F10805" t="s">
        <v>27987</v>
      </c>
      <c r="G10805" s="117">
        <v>18.239999999999998</v>
      </c>
    </row>
    <row r="10806" spans="1:7" x14ac:dyDescent="0.25">
      <c r="A10806" s="116" t="s">
        <v>17103</v>
      </c>
      <c r="B10806" s="117" t="s">
        <v>17104</v>
      </c>
      <c r="C10806" t="s">
        <v>67</v>
      </c>
      <c r="D10806" t="s">
        <v>67</v>
      </c>
      <c r="E10806" t="s">
        <v>67</v>
      </c>
      <c r="F10806" t="s">
        <v>27987</v>
      </c>
      <c r="G10806" s="117">
        <v>15.57</v>
      </c>
    </row>
    <row r="10807" spans="1:7" x14ac:dyDescent="0.25">
      <c r="A10807" s="116" t="s">
        <v>17105</v>
      </c>
      <c r="B10807" s="117" t="s">
        <v>17106</v>
      </c>
      <c r="C10807" t="s">
        <v>67</v>
      </c>
      <c r="D10807" t="s">
        <v>67</v>
      </c>
      <c r="E10807" t="s">
        <v>67</v>
      </c>
      <c r="F10807" t="s">
        <v>27987</v>
      </c>
      <c r="G10807" s="117">
        <v>14.14</v>
      </c>
    </row>
    <row r="10808" spans="1:7" x14ac:dyDescent="0.25">
      <c r="A10808" s="116" t="s">
        <v>17107</v>
      </c>
      <c r="B10808" s="117" t="s">
        <v>17108</v>
      </c>
      <c r="C10808" t="s">
        <v>67</v>
      </c>
      <c r="D10808" t="s">
        <v>67</v>
      </c>
      <c r="E10808" t="s">
        <v>67</v>
      </c>
      <c r="F10808" t="s">
        <v>45</v>
      </c>
      <c r="G10808" s="117">
        <v>7.56</v>
      </c>
    </row>
    <row r="10809" spans="1:7" x14ac:dyDescent="0.25">
      <c r="A10809" s="116" t="s">
        <v>17109</v>
      </c>
      <c r="B10809" s="117" t="s">
        <v>17110</v>
      </c>
      <c r="C10809" t="s">
        <v>67</v>
      </c>
      <c r="D10809" t="s">
        <v>67</v>
      </c>
      <c r="E10809" t="s">
        <v>67</v>
      </c>
      <c r="F10809" t="s">
        <v>27987</v>
      </c>
      <c r="G10809" s="117">
        <v>3.56</v>
      </c>
    </row>
    <row r="10810" spans="1:7" x14ac:dyDescent="0.25">
      <c r="A10810" s="116" t="s">
        <v>17111</v>
      </c>
      <c r="B10810" s="117" t="s">
        <v>17112</v>
      </c>
      <c r="C10810" t="s">
        <v>67</v>
      </c>
      <c r="D10810" t="s">
        <v>67</v>
      </c>
      <c r="E10810" t="s">
        <v>67</v>
      </c>
      <c r="F10810" t="s">
        <v>45</v>
      </c>
      <c r="G10810" s="117">
        <v>6.14</v>
      </c>
    </row>
    <row r="10811" spans="1:7" x14ac:dyDescent="0.25">
      <c r="A10811" s="116" t="s">
        <v>17113</v>
      </c>
      <c r="B10811" s="117" t="s">
        <v>17114</v>
      </c>
      <c r="C10811" t="s">
        <v>67</v>
      </c>
      <c r="D10811" t="s">
        <v>67</v>
      </c>
      <c r="E10811" t="s">
        <v>67</v>
      </c>
      <c r="F10811" t="s">
        <v>45</v>
      </c>
      <c r="G10811" s="117">
        <v>4.3600000000000003</v>
      </c>
    </row>
    <row r="10812" spans="1:7" x14ac:dyDescent="0.25">
      <c r="A10812" s="116" t="s">
        <v>17115</v>
      </c>
      <c r="B10812" s="117" t="s">
        <v>17116</v>
      </c>
      <c r="C10812" t="s">
        <v>67</v>
      </c>
      <c r="D10812" t="s">
        <v>67</v>
      </c>
      <c r="E10812" t="s">
        <v>67</v>
      </c>
      <c r="F10812" t="s">
        <v>45</v>
      </c>
      <c r="G10812" s="117">
        <v>7.12</v>
      </c>
    </row>
    <row r="10813" spans="1:7" x14ac:dyDescent="0.25">
      <c r="A10813" s="116" t="s">
        <v>17117</v>
      </c>
      <c r="B10813" s="117" t="s">
        <v>4934</v>
      </c>
      <c r="C10813" t="s">
        <v>67</v>
      </c>
      <c r="D10813" t="s">
        <v>67</v>
      </c>
      <c r="E10813" t="s">
        <v>67</v>
      </c>
      <c r="F10813" t="s">
        <v>45</v>
      </c>
      <c r="G10813" s="117">
        <v>2.58</v>
      </c>
    </row>
    <row r="10814" spans="1:7" x14ac:dyDescent="0.25">
      <c r="A10814" s="116" t="s">
        <v>17118</v>
      </c>
      <c r="B10814" s="117" t="s">
        <v>17119</v>
      </c>
      <c r="C10814" t="s">
        <v>67</v>
      </c>
      <c r="D10814" t="s">
        <v>67</v>
      </c>
      <c r="E10814" t="s">
        <v>67</v>
      </c>
      <c r="F10814" t="s">
        <v>27987</v>
      </c>
      <c r="G10814" s="117">
        <v>107.58</v>
      </c>
    </row>
    <row r="10815" spans="1:7" x14ac:dyDescent="0.25">
      <c r="A10815" s="116" t="s">
        <v>17120</v>
      </c>
      <c r="B10815" s="117" t="s">
        <v>17121</v>
      </c>
      <c r="C10815" t="s">
        <v>67</v>
      </c>
      <c r="D10815" t="s">
        <v>67</v>
      </c>
      <c r="E10815" t="s">
        <v>67</v>
      </c>
      <c r="F10815" t="s">
        <v>27987</v>
      </c>
      <c r="G10815" s="117">
        <v>19.13</v>
      </c>
    </row>
    <row r="10816" spans="1:7" x14ac:dyDescent="0.25">
      <c r="A10816" s="116" t="s">
        <v>17122</v>
      </c>
      <c r="B10816" s="117" t="s">
        <v>17123</v>
      </c>
      <c r="C10816" t="s">
        <v>67</v>
      </c>
      <c r="D10816" t="s">
        <v>67</v>
      </c>
      <c r="E10816" t="s">
        <v>67</v>
      </c>
      <c r="F10816" t="s">
        <v>27987</v>
      </c>
      <c r="G10816" s="117">
        <v>21.26</v>
      </c>
    </row>
    <row r="10817" spans="1:7" x14ac:dyDescent="0.25">
      <c r="A10817" s="116" t="s">
        <v>17124</v>
      </c>
      <c r="B10817" s="117" t="s">
        <v>17125</v>
      </c>
      <c r="C10817" t="s">
        <v>67</v>
      </c>
      <c r="D10817" t="s">
        <v>67</v>
      </c>
      <c r="E10817" t="s">
        <v>67</v>
      </c>
      <c r="F10817" t="s">
        <v>27987</v>
      </c>
      <c r="G10817" s="117">
        <v>18.239999999999998</v>
      </c>
    </row>
    <row r="10818" spans="1:7" x14ac:dyDescent="0.25">
      <c r="A10818" s="116" t="s">
        <v>17126</v>
      </c>
      <c r="B10818" s="117" t="s">
        <v>17127</v>
      </c>
      <c r="C10818" t="s">
        <v>67</v>
      </c>
      <c r="D10818" t="s">
        <v>67</v>
      </c>
      <c r="E10818" t="s">
        <v>67</v>
      </c>
      <c r="F10818" t="s">
        <v>27987</v>
      </c>
      <c r="G10818" s="117">
        <v>14.14</v>
      </c>
    </row>
    <row r="10819" spans="1:7" x14ac:dyDescent="0.25">
      <c r="A10819" s="116" t="s">
        <v>17128</v>
      </c>
      <c r="B10819" s="117" t="s">
        <v>17129</v>
      </c>
      <c r="C10819" t="s">
        <v>67</v>
      </c>
      <c r="D10819" t="s">
        <v>67</v>
      </c>
      <c r="E10819" t="s">
        <v>67</v>
      </c>
      <c r="F10819" t="s">
        <v>45</v>
      </c>
      <c r="G10819" s="117">
        <v>16.82</v>
      </c>
    </row>
    <row r="10820" spans="1:7" x14ac:dyDescent="0.25">
      <c r="A10820" s="116" t="s">
        <v>17130</v>
      </c>
      <c r="B10820" s="117" t="s">
        <v>29229</v>
      </c>
      <c r="C10820" t="s">
        <v>67</v>
      </c>
      <c r="D10820" t="s">
        <v>67</v>
      </c>
      <c r="E10820" t="s">
        <v>67</v>
      </c>
      <c r="F10820" t="s">
        <v>27987</v>
      </c>
      <c r="G10820" s="117">
        <v>14.14</v>
      </c>
    </row>
    <row r="10821" spans="1:7" x14ac:dyDescent="0.25">
      <c r="A10821" s="116" t="s">
        <v>17131</v>
      </c>
      <c r="B10821" s="117" t="s">
        <v>17132</v>
      </c>
      <c r="C10821" t="s">
        <v>67</v>
      </c>
      <c r="D10821" t="s">
        <v>67</v>
      </c>
      <c r="E10821" t="s">
        <v>67</v>
      </c>
      <c r="F10821" t="s">
        <v>27987</v>
      </c>
      <c r="G10821" s="117">
        <v>6.14</v>
      </c>
    </row>
    <row r="10822" spans="1:7" x14ac:dyDescent="0.25">
      <c r="A10822" s="116" t="s">
        <v>17133</v>
      </c>
      <c r="B10822" s="117" t="s">
        <v>17134</v>
      </c>
      <c r="C10822" t="s">
        <v>67</v>
      </c>
      <c r="D10822" t="s">
        <v>67</v>
      </c>
      <c r="E10822" t="s">
        <v>67</v>
      </c>
      <c r="F10822" t="s">
        <v>27987</v>
      </c>
      <c r="G10822" s="117">
        <v>1.33</v>
      </c>
    </row>
    <row r="10823" spans="1:7" x14ac:dyDescent="0.25">
      <c r="A10823" s="116" t="s">
        <v>17135</v>
      </c>
      <c r="B10823" s="117" t="s">
        <v>17136</v>
      </c>
      <c r="C10823" t="s">
        <v>67</v>
      </c>
      <c r="D10823" t="s">
        <v>67</v>
      </c>
      <c r="E10823" t="s">
        <v>67</v>
      </c>
      <c r="F10823" t="s">
        <v>27987</v>
      </c>
      <c r="G10823" s="117">
        <v>15.57</v>
      </c>
    </row>
    <row r="10824" spans="1:7" x14ac:dyDescent="0.25">
      <c r="A10824" s="116" t="s">
        <v>17137</v>
      </c>
      <c r="B10824" s="117" t="s">
        <v>17138</v>
      </c>
      <c r="C10824" t="s">
        <v>67</v>
      </c>
      <c r="D10824" t="s">
        <v>67</v>
      </c>
      <c r="E10824" t="s">
        <v>67</v>
      </c>
      <c r="F10824" t="s">
        <v>27987</v>
      </c>
      <c r="G10824" s="117">
        <v>3.56</v>
      </c>
    </row>
    <row r="10825" spans="1:7" x14ac:dyDescent="0.25">
      <c r="A10825" s="116" t="s">
        <v>17139</v>
      </c>
      <c r="B10825" s="117" t="s">
        <v>17140</v>
      </c>
      <c r="C10825" t="s">
        <v>67</v>
      </c>
      <c r="D10825" t="s">
        <v>67</v>
      </c>
      <c r="E10825" t="s">
        <v>67</v>
      </c>
      <c r="F10825" t="s">
        <v>27987</v>
      </c>
      <c r="G10825" s="117">
        <v>2.58</v>
      </c>
    </row>
    <row r="10826" spans="1:7" x14ac:dyDescent="0.25">
      <c r="A10826" s="116" t="s">
        <v>17141</v>
      </c>
      <c r="B10826" s="117" t="s">
        <v>17142</v>
      </c>
      <c r="C10826" t="s">
        <v>67</v>
      </c>
      <c r="D10826" t="s">
        <v>67</v>
      </c>
      <c r="E10826" t="s">
        <v>67</v>
      </c>
      <c r="F10826" t="s">
        <v>27987</v>
      </c>
      <c r="G10826" s="117">
        <v>86.23</v>
      </c>
    </row>
    <row r="10827" spans="1:7" x14ac:dyDescent="0.25">
      <c r="A10827" s="116" t="s">
        <v>17143</v>
      </c>
      <c r="B10827" s="117" t="s">
        <v>17144</v>
      </c>
      <c r="C10827" t="s">
        <v>67</v>
      </c>
      <c r="D10827" t="s">
        <v>67</v>
      </c>
      <c r="E10827" t="s">
        <v>67</v>
      </c>
      <c r="F10827" t="s">
        <v>27987</v>
      </c>
      <c r="G10827" s="117">
        <v>23.94</v>
      </c>
    </row>
    <row r="10828" spans="1:7" x14ac:dyDescent="0.25">
      <c r="A10828" s="116" t="s">
        <v>17145</v>
      </c>
      <c r="B10828" s="117" t="s">
        <v>17146</v>
      </c>
      <c r="C10828" t="s">
        <v>67</v>
      </c>
      <c r="D10828" t="s">
        <v>67</v>
      </c>
      <c r="E10828" t="s">
        <v>67</v>
      </c>
      <c r="F10828" t="s">
        <v>27987</v>
      </c>
      <c r="G10828" s="117">
        <v>23.94</v>
      </c>
    </row>
    <row r="10829" spans="1:7" x14ac:dyDescent="0.25">
      <c r="A10829" s="116" t="s">
        <v>17147</v>
      </c>
      <c r="B10829" s="117" t="s">
        <v>17148</v>
      </c>
      <c r="C10829" t="s">
        <v>67</v>
      </c>
      <c r="D10829" t="s">
        <v>67</v>
      </c>
      <c r="E10829" t="s">
        <v>67</v>
      </c>
      <c r="F10829" t="s">
        <v>27987</v>
      </c>
      <c r="G10829" s="117">
        <v>41.38</v>
      </c>
    </row>
    <row r="10830" spans="1:7" x14ac:dyDescent="0.25">
      <c r="A10830" s="116" t="s">
        <v>17149</v>
      </c>
      <c r="B10830" s="117" t="s">
        <v>17150</v>
      </c>
      <c r="C10830" t="s">
        <v>67</v>
      </c>
      <c r="D10830" t="s">
        <v>67</v>
      </c>
      <c r="E10830" t="s">
        <v>67</v>
      </c>
      <c r="F10830" t="s">
        <v>27987</v>
      </c>
      <c r="G10830" s="117">
        <v>15.57</v>
      </c>
    </row>
    <row r="10831" spans="1:7" x14ac:dyDescent="0.25">
      <c r="A10831" s="116" t="s">
        <v>17151</v>
      </c>
      <c r="B10831" s="117" t="s">
        <v>17152</v>
      </c>
      <c r="C10831" t="s">
        <v>67</v>
      </c>
      <c r="D10831" t="s">
        <v>67</v>
      </c>
      <c r="E10831" t="s">
        <v>67</v>
      </c>
      <c r="F10831" t="s">
        <v>27987</v>
      </c>
      <c r="G10831" s="117">
        <v>15.93</v>
      </c>
    </row>
    <row r="10832" spans="1:7" x14ac:dyDescent="0.25">
      <c r="A10832" s="116" t="s">
        <v>17153</v>
      </c>
      <c r="B10832" s="117" t="s">
        <v>17154</v>
      </c>
      <c r="C10832" t="s">
        <v>67</v>
      </c>
      <c r="D10832" t="s">
        <v>67</v>
      </c>
      <c r="E10832" t="s">
        <v>67</v>
      </c>
      <c r="F10832" t="s">
        <v>27987</v>
      </c>
      <c r="G10832" s="117">
        <v>14.14</v>
      </c>
    </row>
    <row r="10833" spans="1:7" x14ac:dyDescent="0.25">
      <c r="A10833" s="116" t="s">
        <v>17155</v>
      </c>
      <c r="B10833" s="117" t="s">
        <v>17156</v>
      </c>
      <c r="C10833" t="s">
        <v>67</v>
      </c>
      <c r="D10833" t="s">
        <v>67</v>
      </c>
      <c r="E10833" t="s">
        <v>67</v>
      </c>
      <c r="F10833" t="s">
        <v>45</v>
      </c>
      <c r="G10833" s="117">
        <v>4.3600000000000003</v>
      </c>
    </row>
    <row r="10834" spans="1:7" x14ac:dyDescent="0.25">
      <c r="A10834" s="116" t="s">
        <v>17157</v>
      </c>
      <c r="B10834" s="117" t="s">
        <v>17158</v>
      </c>
      <c r="C10834" t="s">
        <v>67</v>
      </c>
      <c r="D10834" t="s">
        <v>67</v>
      </c>
      <c r="E10834" t="s">
        <v>67</v>
      </c>
      <c r="F10834" t="s">
        <v>45</v>
      </c>
      <c r="G10834" s="117">
        <v>14.14</v>
      </c>
    </row>
    <row r="10835" spans="1:7" x14ac:dyDescent="0.25">
      <c r="A10835" s="116" t="s">
        <v>17159</v>
      </c>
      <c r="B10835" s="117" t="s">
        <v>16010</v>
      </c>
      <c r="C10835" t="s">
        <v>67</v>
      </c>
      <c r="D10835" t="s">
        <v>67</v>
      </c>
      <c r="E10835" t="s">
        <v>67</v>
      </c>
      <c r="F10835" t="s">
        <v>27987</v>
      </c>
      <c r="G10835" s="117">
        <v>8.81</v>
      </c>
    </row>
    <row r="10836" spans="1:7" x14ac:dyDescent="0.25">
      <c r="A10836" s="116" t="s">
        <v>17160</v>
      </c>
      <c r="B10836" s="117" t="s">
        <v>17161</v>
      </c>
      <c r="C10836" t="s">
        <v>67</v>
      </c>
      <c r="D10836" t="s">
        <v>67</v>
      </c>
      <c r="E10836" t="s">
        <v>67</v>
      </c>
      <c r="F10836" t="s">
        <v>45</v>
      </c>
      <c r="G10836" s="117">
        <v>4.3600000000000003</v>
      </c>
    </row>
    <row r="10837" spans="1:7" x14ac:dyDescent="0.25">
      <c r="A10837" s="116" t="s">
        <v>17162</v>
      </c>
      <c r="B10837" s="117" t="s">
        <v>17163</v>
      </c>
      <c r="C10837" t="s">
        <v>67</v>
      </c>
      <c r="D10837" t="s">
        <v>67</v>
      </c>
      <c r="E10837" t="s">
        <v>67</v>
      </c>
      <c r="F10837" t="s">
        <v>45</v>
      </c>
      <c r="G10837" s="117">
        <v>4.3600000000000003</v>
      </c>
    </row>
    <row r="10838" spans="1:7" x14ac:dyDescent="0.25">
      <c r="A10838" s="116" t="s">
        <v>17164</v>
      </c>
      <c r="B10838" s="117" t="s">
        <v>14736</v>
      </c>
      <c r="C10838" t="s">
        <v>67</v>
      </c>
      <c r="D10838" t="s">
        <v>67</v>
      </c>
      <c r="E10838" t="s">
        <v>67</v>
      </c>
      <c r="F10838" t="s">
        <v>27987</v>
      </c>
      <c r="G10838" s="117">
        <v>16.46</v>
      </c>
    </row>
    <row r="10839" spans="1:7" x14ac:dyDescent="0.25">
      <c r="A10839" s="116" t="s">
        <v>17165</v>
      </c>
      <c r="B10839" s="117" t="s">
        <v>17166</v>
      </c>
      <c r="C10839" t="s">
        <v>67</v>
      </c>
      <c r="D10839" t="s">
        <v>67</v>
      </c>
      <c r="E10839" t="s">
        <v>67</v>
      </c>
      <c r="F10839" t="s">
        <v>27987</v>
      </c>
      <c r="G10839" s="117">
        <v>31.94</v>
      </c>
    </row>
    <row r="10840" spans="1:7" x14ac:dyDescent="0.25">
      <c r="A10840" s="116" t="s">
        <v>17167</v>
      </c>
      <c r="B10840" s="117" t="s">
        <v>17168</v>
      </c>
      <c r="C10840" t="s">
        <v>67</v>
      </c>
      <c r="D10840" t="s">
        <v>67</v>
      </c>
      <c r="E10840" t="s">
        <v>67</v>
      </c>
      <c r="F10840" t="s">
        <v>27987</v>
      </c>
      <c r="G10840" s="117">
        <v>22.69</v>
      </c>
    </row>
    <row r="10841" spans="1:7" x14ac:dyDescent="0.25">
      <c r="A10841" s="116" t="s">
        <v>17169</v>
      </c>
      <c r="B10841" s="117" t="s">
        <v>17170</v>
      </c>
      <c r="C10841" t="s">
        <v>67</v>
      </c>
      <c r="D10841" t="s">
        <v>67</v>
      </c>
      <c r="E10841" t="s">
        <v>67</v>
      </c>
      <c r="F10841" t="s">
        <v>27987</v>
      </c>
      <c r="G10841" s="117">
        <v>3.56</v>
      </c>
    </row>
    <row r="10842" spans="1:7" x14ac:dyDescent="0.25">
      <c r="A10842" s="116" t="s">
        <v>17171</v>
      </c>
      <c r="B10842" s="117" t="s">
        <v>17172</v>
      </c>
      <c r="C10842" t="s">
        <v>67</v>
      </c>
      <c r="D10842" t="s">
        <v>67</v>
      </c>
      <c r="E10842" t="s">
        <v>67</v>
      </c>
      <c r="F10842" t="s">
        <v>49</v>
      </c>
      <c r="G10842" s="117">
        <v>4.8899999999999997</v>
      </c>
    </row>
    <row r="10843" spans="1:7" x14ac:dyDescent="0.25">
      <c r="A10843" s="116" t="s">
        <v>17173</v>
      </c>
      <c r="B10843" s="117" t="s">
        <v>17174</v>
      </c>
      <c r="C10843" t="s">
        <v>67</v>
      </c>
      <c r="D10843" t="s">
        <v>67</v>
      </c>
      <c r="E10843" t="s">
        <v>67</v>
      </c>
      <c r="F10843" t="s">
        <v>27987</v>
      </c>
      <c r="G10843" s="117">
        <v>3.56</v>
      </c>
    </row>
    <row r="10844" spans="1:7" x14ac:dyDescent="0.25">
      <c r="A10844" s="116" t="s">
        <v>17175</v>
      </c>
      <c r="B10844" s="117" t="s">
        <v>17176</v>
      </c>
      <c r="C10844" t="s">
        <v>67</v>
      </c>
      <c r="D10844" t="s">
        <v>67</v>
      </c>
      <c r="E10844" t="s">
        <v>67</v>
      </c>
      <c r="F10844" t="s">
        <v>27987</v>
      </c>
      <c r="G10844" s="117">
        <v>2.58</v>
      </c>
    </row>
    <row r="10845" spans="1:7" x14ac:dyDescent="0.25">
      <c r="A10845" s="116" t="s">
        <v>17177</v>
      </c>
      <c r="B10845" s="117" t="s">
        <v>17178</v>
      </c>
      <c r="C10845" t="s">
        <v>67</v>
      </c>
      <c r="D10845" t="s">
        <v>67</v>
      </c>
      <c r="E10845" t="s">
        <v>67</v>
      </c>
      <c r="F10845" t="s">
        <v>27987</v>
      </c>
      <c r="G10845" s="117">
        <v>2.58</v>
      </c>
    </row>
    <row r="10846" spans="1:7" x14ac:dyDescent="0.25">
      <c r="A10846" s="116" t="s">
        <v>17179</v>
      </c>
      <c r="B10846" s="117" t="s">
        <v>17180</v>
      </c>
      <c r="C10846" t="s">
        <v>67</v>
      </c>
      <c r="D10846" t="s">
        <v>67</v>
      </c>
      <c r="E10846" t="s">
        <v>67</v>
      </c>
      <c r="F10846" t="s">
        <v>27987</v>
      </c>
      <c r="G10846" s="117">
        <v>55.62</v>
      </c>
    </row>
    <row r="10847" spans="1:7" x14ac:dyDescent="0.25">
      <c r="A10847" s="116" t="s">
        <v>17181</v>
      </c>
      <c r="B10847" s="117" t="s">
        <v>17182</v>
      </c>
      <c r="C10847" t="s">
        <v>67</v>
      </c>
      <c r="D10847" t="s">
        <v>67</v>
      </c>
      <c r="E10847" t="s">
        <v>67</v>
      </c>
      <c r="F10847" t="s">
        <v>27987</v>
      </c>
      <c r="G10847" s="117">
        <v>100.46</v>
      </c>
    </row>
    <row r="10848" spans="1:7" x14ac:dyDescent="0.25">
      <c r="A10848" s="116" t="s">
        <v>17183</v>
      </c>
      <c r="B10848" s="117" t="s">
        <v>15414</v>
      </c>
      <c r="C10848" t="s">
        <v>67</v>
      </c>
      <c r="D10848" t="s">
        <v>67</v>
      </c>
      <c r="E10848" t="s">
        <v>67</v>
      </c>
      <c r="F10848" t="s">
        <v>45</v>
      </c>
      <c r="G10848" s="117">
        <v>1.77</v>
      </c>
    </row>
    <row r="10849" spans="1:7" x14ac:dyDescent="0.25">
      <c r="A10849" s="116" t="s">
        <v>17184</v>
      </c>
      <c r="B10849" s="117" t="s">
        <v>17185</v>
      </c>
      <c r="C10849" t="s">
        <v>67</v>
      </c>
      <c r="D10849" t="s">
        <v>67</v>
      </c>
      <c r="E10849" t="s">
        <v>67</v>
      </c>
      <c r="F10849" t="s">
        <v>27987</v>
      </c>
      <c r="G10849" s="117">
        <v>22.69</v>
      </c>
    </row>
    <row r="10850" spans="1:7" x14ac:dyDescent="0.25">
      <c r="A10850" s="116" t="s">
        <v>17186</v>
      </c>
      <c r="B10850" s="117" t="s">
        <v>16798</v>
      </c>
      <c r="C10850" t="s">
        <v>67</v>
      </c>
      <c r="D10850" t="s">
        <v>67</v>
      </c>
      <c r="E10850" t="s">
        <v>67</v>
      </c>
      <c r="F10850" t="s">
        <v>27987</v>
      </c>
      <c r="G10850" s="117">
        <v>28.92</v>
      </c>
    </row>
    <row r="10851" spans="1:7" x14ac:dyDescent="0.25">
      <c r="A10851" s="116" t="s">
        <v>17187</v>
      </c>
      <c r="B10851" s="117" t="s">
        <v>17188</v>
      </c>
      <c r="C10851" t="s">
        <v>67</v>
      </c>
      <c r="D10851" t="s">
        <v>67</v>
      </c>
      <c r="E10851" t="s">
        <v>67</v>
      </c>
      <c r="F10851" t="s">
        <v>45</v>
      </c>
      <c r="G10851" s="117">
        <v>4.3600000000000003</v>
      </c>
    </row>
    <row r="10852" spans="1:7" x14ac:dyDescent="0.25">
      <c r="A10852" s="116" t="s">
        <v>17189</v>
      </c>
      <c r="B10852" s="117" t="s">
        <v>17190</v>
      </c>
      <c r="C10852" t="s">
        <v>67</v>
      </c>
      <c r="D10852" t="s">
        <v>67</v>
      </c>
      <c r="E10852" t="s">
        <v>67</v>
      </c>
      <c r="F10852" t="s">
        <v>27987</v>
      </c>
      <c r="G10852" s="117">
        <v>31.58</v>
      </c>
    </row>
    <row r="10853" spans="1:7" x14ac:dyDescent="0.25">
      <c r="A10853" s="116" t="s">
        <v>17191</v>
      </c>
      <c r="B10853" s="117" t="s">
        <v>17192</v>
      </c>
      <c r="C10853" t="s">
        <v>67</v>
      </c>
      <c r="D10853" t="s">
        <v>67</v>
      </c>
      <c r="E10853" t="s">
        <v>67</v>
      </c>
      <c r="F10853" t="s">
        <v>27987</v>
      </c>
      <c r="G10853" s="117">
        <v>23.05</v>
      </c>
    </row>
    <row r="10854" spans="1:7" x14ac:dyDescent="0.25">
      <c r="A10854" s="116" t="s">
        <v>17193</v>
      </c>
      <c r="B10854" s="117" t="s">
        <v>17194</v>
      </c>
      <c r="C10854" t="s">
        <v>67</v>
      </c>
      <c r="D10854" t="s">
        <v>67</v>
      </c>
      <c r="E10854" t="s">
        <v>67</v>
      </c>
      <c r="F10854" t="s">
        <v>45</v>
      </c>
      <c r="G10854" s="117">
        <v>3.12</v>
      </c>
    </row>
    <row r="10855" spans="1:7" x14ac:dyDescent="0.25">
      <c r="A10855" s="116" t="s">
        <v>17195</v>
      </c>
      <c r="B10855" s="117" t="s">
        <v>17196</v>
      </c>
      <c r="C10855" t="s">
        <v>67</v>
      </c>
      <c r="D10855" t="s">
        <v>67</v>
      </c>
      <c r="E10855" t="s">
        <v>67</v>
      </c>
      <c r="F10855" t="s">
        <v>27987</v>
      </c>
      <c r="G10855" s="117">
        <v>7.02</v>
      </c>
    </row>
    <row r="10856" spans="1:7" x14ac:dyDescent="0.25">
      <c r="A10856" s="116" t="s">
        <v>17197</v>
      </c>
      <c r="B10856" s="117" t="s">
        <v>17198</v>
      </c>
      <c r="C10856" t="s">
        <v>67</v>
      </c>
      <c r="D10856" t="s">
        <v>67</v>
      </c>
      <c r="E10856" t="s">
        <v>67</v>
      </c>
      <c r="F10856" t="s">
        <v>45</v>
      </c>
      <c r="G10856" s="117">
        <v>3.12</v>
      </c>
    </row>
    <row r="10857" spans="1:7" x14ac:dyDescent="0.25">
      <c r="A10857" s="116" t="s">
        <v>17199</v>
      </c>
      <c r="B10857" s="117" t="s">
        <v>17200</v>
      </c>
      <c r="C10857" t="s">
        <v>67</v>
      </c>
      <c r="D10857" t="s">
        <v>67</v>
      </c>
      <c r="E10857" t="s">
        <v>67</v>
      </c>
      <c r="F10857" t="s">
        <v>27987</v>
      </c>
      <c r="G10857" s="117">
        <v>17.7</v>
      </c>
    </row>
    <row r="10858" spans="1:7" x14ac:dyDescent="0.25">
      <c r="A10858" s="116" t="s">
        <v>17201</v>
      </c>
      <c r="B10858" s="117" t="s">
        <v>17202</v>
      </c>
      <c r="C10858" t="s">
        <v>67</v>
      </c>
      <c r="D10858" t="s">
        <v>67</v>
      </c>
      <c r="E10858" t="s">
        <v>67</v>
      </c>
      <c r="F10858" t="s">
        <v>27987</v>
      </c>
      <c r="G10858" s="117">
        <v>4.3600000000000003</v>
      </c>
    </row>
    <row r="10859" spans="1:7" x14ac:dyDescent="0.25">
      <c r="A10859" s="116" t="s">
        <v>17203</v>
      </c>
      <c r="B10859" s="117" t="s">
        <v>17204</v>
      </c>
      <c r="C10859" t="s">
        <v>67</v>
      </c>
      <c r="D10859" t="s">
        <v>67</v>
      </c>
      <c r="E10859" t="s">
        <v>67</v>
      </c>
      <c r="F10859" t="s">
        <v>27987</v>
      </c>
      <c r="G10859" s="117">
        <v>15.57</v>
      </c>
    </row>
    <row r="10860" spans="1:7" x14ac:dyDescent="0.25">
      <c r="A10860" s="116" t="s">
        <v>17205</v>
      </c>
      <c r="B10860" s="117" t="s">
        <v>17206</v>
      </c>
      <c r="C10860" t="s">
        <v>67</v>
      </c>
      <c r="D10860" t="s">
        <v>67</v>
      </c>
      <c r="E10860" t="s">
        <v>67</v>
      </c>
      <c r="F10860" t="s">
        <v>27987</v>
      </c>
      <c r="G10860" s="117">
        <v>4.8899999999999997</v>
      </c>
    </row>
    <row r="10861" spans="1:7" x14ac:dyDescent="0.25">
      <c r="A10861" s="116" t="s">
        <v>17207</v>
      </c>
      <c r="B10861" s="117" t="s">
        <v>17208</v>
      </c>
      <c r="C10861" t="s">
        <v>67</v>
      </c>
      <c r="D10861" t="s">
        <v>67</v>
      </c>
      <c r="E10861" t="s">
        <v>67</v>
      </c>
      <c r="F10861" t="s">
        <v>27987</v>
      </c>
      <c r="G10861" s="117">
        <v>14.14</v>
      </c>
    </row>
    <row r="10862" spans="1:7" x14ac:dyDescent="0.25">
      <c r="A10862" s="116" t="s">
        <v>17209</v>
      </c>
      <c r="B10862" s="117" t="s">
        <v>17210</v>
      </c>
      <c r="C10862" t="s">
        <v>67</v>
      </c>
      <c r="D10862" t="s">
        <v>67</v>
      </c>
      <c r="E10862" t="s">
        <v>67</v>
      </c>
      <c r="F10862" t="s">
        <v>45</v>
      </c>
      <c r="G10862" s="117">
        <v>15.57</v>
      </c>
    </row>
    <row r="10863" spans="1:7" x14ac:dyDescent="0.25">
      <c r="A10863" s="116" t="s">
        <v>17211</v>
      </c>
      <c r="B10863" s="117" t="s">
        <v>17212</v>
      </c>
      <c r="C10863" t="s">
        <v>67</v>
      </c>
      <c r="D10863" t="s">
        <v>67</v>
      </c>
      <c r="E10863" t="s">
        <v>67</v>
      </c>
      <c r="F10863" t="s">
        <v>27987</v>
      </c>
      <c r="G10863" s="117">
        <v>14.14</v>
      </c>
    </row>
    <row r="10864" spans="1:7" x14ac:dyDescent="0.25">
      <c r="A10864" s="116" t="s">
        <v>17213</v>
      </c>
      <c r="B10864" s="117" t="s">
        <v>17214</v>
      </c>
      <c r="C10864" t="s">
        <v>67</v>
      </c>
      <c r="D10864" t="s">
        <v>67</v>
      </c>
      <c r="E10864" t="s">
        <v>67</v>
      </c>
      <c r="F10864" t="s">
        <v>45</v>
      </c>
      <c r="G10864" s="117">
        <v>15.57</v>
      </c>
    </row>
    <row r="10865" spans="1:7" x14ac:dyDescent="0.25">
      <c r="A10865" s="116" t="s">
        <v>17215</v>
      </c>
      <c r="B10865" s="117" t="s">
        <v>17216</v>
      </c>
      <c r="C10865" t="s">
        <v>67</v>
      </c>
      <c r="D10865" t="s">
        <v>67</v>
      </c>
      <c r="E10865" t="s">
        <v>67</v>
      </c>
      <c r="F10865" t="s">
        <v>27987</v>
      </c>
      <c r="G10865" s="117">
        <v>14.14</v>
      </c>
    </row>
    <row r="10866" spans="1:7" x14ac:dyDescent="0.25">
      <c r="A10866" s="116" t="s">
        <v>17217</v>
      </c>
      <c r="B10866" s="117" t="s">
        <v>17218</v>
      </c>
      <c r="C10866" t="s">
        <v>67</v>
      </c>
      <c r="D10866" t="s">
        <v>67</v>
      </c>
      <c r="E10866" t="s">
        <v>67</v>
      </c>
      <c r="F10866" t="s">
        <v>27987</v>
      </c>
      <c r="G10866" s="117">
        <v>3.56</v>
      </c>
    </row>
    <row r="10867" spans="1:7" x14ac:dyDescent="0.25">
      <c r="A10867" s="116" t="s">
        <v>17219</v>
      </c>
      <c r="B10867" s="117" t="s">
        <v>17220</v>
      </c>
      <c r="C10867" t="s">
        <v>67</v>
      </c>
      <c r="D10867" t="s">
        <v>67</v>
      </c>
      <c r="E10867" t="s">
        <v>67</v>
      </c>
      <c r="F10867" t="s">
        <v>27987</v>
      </c>
      <c r="G10867" s="117">
        <v>3.56</v>
      </c>
    </row>
    <row r="10868" spans="1:7" x14ac:dyDescent="0.25">
      <c r="A10868" s="116" t="s">
        <v>17221</v>
      </c>
      <c r="B10868" s="117" t="s">
        <v>17222</v>
      </c>
      <c r="C10868" t="s">
        <v>67</v>
      </c>
      <c r="D10868" t="s">
        <v>67</v>
      </c>
      <c r="E10868" t="s">
        <v>67</v>
      </c>
      <c r="F10868" t="s">
        <v>45</v>
      </c>
      <c r="G10868" s="117">
        <v>26.25</v>
      </c>
    </row>
    <row r="10869" spans="1:7" x14ac:dyDescent="0.25">
      <c r="A10869" s="116" t="s">
        <v>17223</v>
      </c>
      <c r="B10869" s="117" t="s">
        <v>16798</v>
      </c>
      <c r="C10869" t="s">
        <v>67</v>
      </c>
      <c r="D10869" t="s">
        <v>67</v>
      </c>
      <c r="E10869" t="s">
        <v>67</v>
      </c>
      <c r="F10869" t="s">
        <v>27987</v>
      </c>
      <c r="G10869" s="117">
        <v>4</v>
      </c>
    </row>
    <row r="10870" spans="1:7" x14ac:dyDescent="0.25">
      <c r="A10870" s="116" t="s">
        <v>17224</v>
      </c>
      <c r="B10870" s="117" t="s">
        <v>17225</v>
      </c>
      <c r="C10870" t="s">
        <v>67</v>
      </c>
      <c r="D10870" t="s">
        <v>67</v>
      </c>
      <c r="E10870" t="s">
        <v>67</v>
      </c>
      <c r="F10870" t="s">
        <v>27987</v>
      </c>
      <c r="G10870" s="117">
        <v>17.36</v>
      </c>
    </row>
    <row r="10871" spans="1:7" x14ac:dyDescent="0.25">
      <c r="A10871" s="116" t="s">
        <v>17226</v>
      </c>
      <c r="B10871" s="117" t="s">
        <v>17227</v>
      </c>
      <c r="C10871" t="s">
        <v>67</v>
      </c>
      <c r="D10871" t="s">
        <v>67</v>
      </c>
      <c r="E10871" t="s">
        <v>67</v>
      </c>
      <c r="F10871" t="s">
        <v>27987</v>
      </c>
      <c r="G10871" s="117">
        <v>3.56</v>
      </c>
    </row>
    <row r="10872" spans="1:7" x14ac:dyDescent="0.25">
      <c r="A10872" s="116" t="s">
        <v>17228</v>
      </c>
      <c r="B10872" s="117" t="s">
        <v>17229</v>
      </c>
      <c r="C10872" t="s">
        <v>67</v>
      </c>
      <c r="D10872" t="s">
        <v>67</v>
      </c>
      <c r="E10872" t="s">
        <v>67</v>
      </c>
      <c r="F10872" t="s">
        <v>45</v>
      </c>
      <c r="G10872" s="117">
        <v>17.36</v>
      </c>
    </row>
    <row r="10873" spans="1:7" x14ac:dyDescent="0.25">
      <c r="A10873" s="116" t="s">
        <v>17230</v>
      </c>
      <c r="B10873" s="117" t="s">
        <v>17231</v>
      </c>
      <c r="C10873" t="s">
        <v>67</v>
      </c>
      <c r="D10873" t="s">
        <v>67</v>
      </c>
      <c r="E10873" t="s">
        <v>67</v>
      </c>
      <c r="F10873" t="s">
        <v>27987</v>
      </c>
      <c r="G10873" s="117">
        <v>2.58</v>
      </c>
    </row>
    <row r="10874" spans="1:7" x14ac:dyDescent="0.25">
      <c r="A10874" s="116" t="s">
        <v>17232</v>
      </c>
      <c r="B10874" s="117" t="s">
        <v>17233</v>
      </c>
      <c r="C10874" t="s">
        <v>67</v>
      </c>
      <c r="D10874" t="s">
        <v>67</v>
      </c>
      <c r="E10874" t="s">
        <v>67</v>
      </c>
      <c r="F10874" t="s">
        <v>45</v>
      </c>
      <c r="G10874" s="117">
        <v>14.14</v>
      </c>
    </row>
    <row r="10875" spans="1:7" x14ac:dyDescent="0.25">
      <c r="A10875" s="116" t="s">
        <v>17234</v>
      </c>
      <c r="B10875" s="117" t="s">
        <v>17235</v>
      </c>
      <c r="C10875" t="s">
        <v>67</v>
      </c>
      <c r="D10875" t="s">
        <v>67</v>
      </c>
      <c r="E10875" t="s">
        <v>67</v>
      </c>
      <c r="F10875" t="s">
        <v>27987</v>
      </c>
      <c r="G10875" s="117">
        <v>3.56</v>
      </c>
    </row>
    <row r="10876" spans="1:7" x14ac:dyDescent="0.25">
      <c r="A10876" s="116" t="s">
        <v>17236</v>
      </c>
      <c r="B10876" s="117" t="s">
        <v>17237</v>
      </c>
      <c r="C10876" t="s">
        <v>67</v>
      </c>
      <c r="D10876" t="s">
        <v>67</v>
      </c>
      <c r="E10876" t="s">
        <v>67</v>
      </c>
      <c r="F10876" t="s">
        <v>49</v>
      </c>
      <c r="G10876" s="117">
        <v>2.58</v>
      </c>
    </row>
    <row r="10877" spans="1:7" x14ac:dyDescent="0.25">
      <c r="A10877" s="116" t="s">
        <v>17238</v>
      </c>
      <c r="B10877" s="117" t="s">
        <v>17239</v>
      </c>
      <c r="C10877" t="s">
        <v>67</v>
      </c>
      <c r="D10877" t="s">
        <v>67</v>
      </c>
      <c r="E10877" t="s">
        <v>67</v>
      </c>
      <c r="F10877" t="s">
        <v>27987</v>
      </c>
      <c r="G10877" s="117">
        <v>44.4</v>
      </c>
    </row>
    <row r="10878" spans="1:7" x14ac:dyDescent="0.25">
      <c r="A10878" s="116" t="s">
        <v>17240</v>
      </c>
      <c r="B10878" s="117" t="s">
        <v>17241</v>
      </c>
      <c r="C10878" t="s">
        <v>67</v>
      </c>
      <c r="D10878" t="s">
        <v>67</v>
      </c>
      <c r="E10878" t="s">
        <v>67</v>
      </c>
      <c r="F10878" t="s">
        <v>27987</v>
      </c>
      <c r="G10878" s="117">
        <v>73.42</v>
      </c>
    </row>
    <row r="10879" spans="1:7" x14ac:dyDescent="0.25">
      <c r="A10879" s="116" t="s">
        <v>17242</v>
      </c>
      <c r="B10879" s="117" t="s">
        <v>17243</v>
      </c>
      <c r="C10879" t="s">
        <v>67</v>
      </c>
      <c r="D10879" t="s">
        <v>67</v>
      </c>
      <c r="E10879" t="s">
        <v>67</v>
      </c>
      <c r="F10879" t="s">
        <v>45</v>
      </c>
      <c r="G10879" s="117">
        <v>3.56</v>
      </c>
    </row>
    <row r="10880" spans="1:7" x14ac:dyDescent="0.25">
      <c r="A10880" s="116" t="s">
        <v>17244</v>
      </c>
      <c r="B10880" s="117" t="s">
        <v>17245</v>
      </c>
      <c r="C10880" t="s">
        <v>67</v>
      </c>
      <c r="D10880" t="s">
        <v>67</v>
      </c>
      <c r="E10880" t="s">
        <v>67</v>
      </c>
      <c r="F10880" t="s">
        <v>27987</v>
      </c>
      <c r="G10880" s="117">
        <v>14.14</v>
      </c>
    </row>
    <row r="10881" spans="1:7" x14ac:dyDescent="0.25">
      <c r="A10881" s="116" t="s">
        <v>17246</v>
      </c>
      <c r="B10881" s="117" t="s">
        <v>17247</v>
      </c>
      <c r="C10881" t="s">
        <v>67</v>
      </c>
      <c r="D10881" t="s">
        <v>67</v>
      </c>
      <c r="E10881" t="s">
        <v>67</v>
      </c>
      <c r="F10881" t="s">
        <v>27987</v>
      </c>
      <c r="G10881" s="117">
        <v>15.04</v>
      </c>
    </row>
    <row r="10882" spans="1:7" x14ac:dyDescent="0.25">
      <c r="A10882" s="116" t="s">
        <v>17248</v>
      </c>
      <c r="B10882" s="117" t="s">
        <v>17249</v>
      </c>
      <c r="C10882" t="s">
        <v>67</v>
      </c>
      <c r="D10882" t="s">
        <v>67</v>
      </c>
      <c r="E10882" t="s">
        <v>67</v>
      </c>
      <c r="F10882" t="s">
        <v>27987</v>
      </c>
      <c r="G10882" s="117">
        <v>14.14</v>
      </c>
    </row>
    <row r="10883" spans="1:7" x14ac:dyDescent="0.25">
      <c r="A10883" s="116" t="s">
        <v>17250</v>
      </c>
      <c r="B10883" s="117" t="s">
        <v>17251</v>
      </c>
      <c r="C10883" t="s">
        <v>67</v>
      </c>
      <c r="D10883" t="s">
        <v>67</v>
      </c>
      <c r="E10883" t="s">
        <v>67</v>
      </c>
      <c r="F10883" t="s">
        <v>27987</v>
      </c>
      <c r="G10883" s="117">
        <v>28.38</v>
      </c>
    </row>
    <row r="10884" spans="1:7" x14ac:dyDescent="0.25">
      <c r="A10884" s="116" t="s">
        <v>17252</v>
      </c>
      <c r="B10884" s="117" t="s">
        <v>17253</v>
      </c>
      <c r="C10884" t="s">
        <v>67</v>
      </c>
      <c r="D10884" t="s">
        <v>67</v>
      </c>
      <c r="E10884" t="s">
        <v>67</v>
      </c>
      <c r="F10884" t="s">
        <v>27987</v>
      </c>
      <c r="G10884" s="117">
        <v>14.14</v>
      </c>
    </row>
    <row r="10885" spans="1:7" x14ac:dyDescent="0.25">
      <c r="A10885" s="116" t="s">
        <v>17254</v>
      </c>
      <c r="B10885" s="117" t="s">
        <v>17255</v>
      </c>
      <c r="C10885" t="s">
        <v>67</v>
      </c>
      <c r="D10885" t="s">
        <v>67</v>
      </c>
      <c r="E10885" t="s">
        <v>67</v>
      </c>
      <c r="F10885" t="s">
        <v>27987</v>
      </c>
      <c r="G10885" s="117">
        <v>14.14</v>
      </c>
    </row>
    <row r="10886" spans="1:7" x14ac:dyDescent="0.25">
      <c r="A10886" s="116" t="s">
        <v>17256</v>
      </c>
      <c r="B10886" s="117" t="s">
        <v>17257</v>
      </c>
      <c r="C10886" t="s">
        <v>67</v>
      </c>
      <c r="D10886" t="s">
        <v>67</v>
      </c>
      <c r="E10886" t="s">
        <v>67</v>
      </c>
      <c r="F10886" t="s">
        <v>27987</v>
      </c>
      <c r="G10886" s="117">
        <v>14.14</v>
      </c>
    </row>
    <row r="10887" spans="1:7" x14ac:dyDescent="0.25">
      <c r="A10887" s="116" t="s">
        <v>29230</v>
      </c>
      <c r="B10887" s="117" t="s">
        <v>29231</v>
      </c>
      <c r="C10887" t="s">
        <v>67</v>
      </c>
      <c r="D10887" t="s">
        <v>67</v>
      </c>
      <c r="E10887" t="s">
        <v>67</v>
      </c>
      <c r="F10887" t="s">
        <v>27987</v>
      </c>
      <c r="G10887" s="117">
        <v>3.15</v>
      </c>
    </row>
    <row r="10888" spans="1:7" x14ac:dyDescent="0.25">
      <c r="A10888" s="116" t="s">
        <v>17258</v>
      </c>
      <c r="B10888" s="117" t="s">
        <v>17259</v>
      </c>
      <c r="C10888" t="s">
        <v>67</v>
      </c>
      <c r="D10888" t="s">
        <v>67</v>
      </c>
      <c r="E10888" t="s">
        <v>67</v>
      </c>
      <c r="F10888" t="s">
        <v>27987</v>
      </c>
      <c r="G10888" s="117">
        <v>15.57</v>
      </c>
    </row>
    <row r="10889" spans="1:7" x14ac:dyDescent="0.25">
      <c r="A10889" s="116" t="s">
        <v>17260</v>
      </c>
      <c r="B10889" s="117" t="s">
        <v>17261</v>
      </c>
      <c r="C10889" t="s">
        <v>67</v>
      </c>
      <c r="D10889" t="s">
        <v>67</v>
      </c>
      <c r="E10889" t="s">
        <v>67</v>
      </c>
      <c r="F10889" t="s">
        <v>27987</v>
      </c>
      <c r="G10889" s="117">
        <v>44.94</v>
      </c>
    </row>
    <row r="10890" spans="1:7" x14ac:dyDescent="0.25">
      <c r="A10890" s="116" t="s">
        <v>17262</v>
      </c>
      <c r="B10890" s="117" t="s">
        <v>17263</v>
      </c>
      <c r="C10890" t="s">
        <v>67</v>
      </c>
      <c r="D10890" t="s">
        <v>67</v>
      </c>
      <c r="E10890" t="s">
        <v>67</v>
      </c>
      <c r="F10890" t="s">
        <v>27987</v>
      </c>
      <c r="G10890" s="117">
        <v>14.14</v>
      </c>
    </row>
    <row r="10891" spans="1:7" x14ac:dyDescent="0.25">
      <c r="A10891" s="116" t="s">
        <v>17264</v>
      </c>
      <c r="B10891" s="117" t="s">
        <v>17265</v>
      </c>
      <c r="C10891" t="s">
        <v>67</v>
      </c>
      <c r="D10891" t="s">
        <v>67</v>
      </c>
      <c r="E10891" t="s">
        <v>67</v>
      </c>
      <c r="F10891" t="s">
        <v>45</v>
      </c>
      <c r="G10891" s="117">
        <v>37.82</v>
      </c>
    </row>
    <row r="10892" spans="1:7" x14ac:dyDescent="0.25">
      <c r="A10892" s="116" t="s">
        <v>17266</v>
      </c>
      <c r="B10892" s="117" t="s">
        <v>17267</v>
      </c>
      <c r="C10892" t="s">
        <v>67</v>
      </c>
      <c r="D10892" t="s">
        <v>67</v>
      </c>
      <c r="E10892" t="s">
        <v>67</v>
      </c>
      <c r="F10892" t="s">
        <v>27987</v>
      </c>
      <c r="G10892" s="117">
        <v>14.14</v>
      </c>
    </row>
    <row r="10893" spans="1:7" x14ac:dyDescent="0.25">
      <c r="A10893" s="116" t="s">
        <v>17268</v>
      </c>
      <c r="B10893" s="117" t="s">
        <v>15682</v>
      </c>
      <c r="C10893" t="s">
        <v>67</v>
      </c>
      <c r="D10893" t="s">
        <v>67</v>
      </c>
      <c r="E10893" t="s">
        <v>67</v>
      </c>
      <c r="F10893" t="s">
        <v>27987</v>
      </c>
      <c r="G10893" s="117">
        <v>14.14</v>
      </c>
    </row>
    <row r="10894" spans="1:7" x14ac:dyDescent="0.25">
      <c r="A10894" s="116" t="s">
        <v>17269</v>
      </c>
      <c r="B10894" s="117" t="s">
        <v>14135</v>
      </c>
      <c r="C10894" t="s">
        <v>67</v>
      </c>
      <c r="D10894" t="s">
        <v>67</v>
      </c>
      <c r="E10894" t="s">
        <v>67</v>
      </c>
      <c r="F10894" t="s">
        <v>27987</v>
      </c>
      <c r="G10894" s="117">
        <v>32.83</v>
      </c>
    </row>
    <row r="10895" spans="1:7" x14ac:dyDescent="0.25">
      <c r="A10895" s="116" t="s">
        <v>17270</v>
      </c>
      <c r="B10895" s="117" t="s">
        <v>13662</v>
      </c>
      <c r="C10895" t="s">
        <v>67</v>
      </c>
      <c r="D10895" t="s">
        <v>67</v>
      </c>
      <c r="E10895" t="s">
        <v>67</v>
      </c>
      <c r="F10895" t="s">
        <v>45</v>
      </c>
      <c r="G10895" s="117">
        <v>4.3600000000000003</v>
      </c>
    </row>
    <row r="10896" spans="1:7" x14ac:dyDescent="0.25">
      <c r="A10896" s="116" t="s">
        <v>17271</v>
      </c>
      <c r="B10896" s="117" t="s">
        <v>13761</v>
      </c>
      <c r="C10896" t="s">
        <v>67</v>
      </c>
      <c r="D10896" t="s">
        <v>67</v>
      </c>
      <c r="E10896" t="s">
        <v>67</v>
      </c>
      <c r="F10896" t="s">
        <v>27987</v>
      </c>
      <c r="G10896" s="117">
        <v>18.600000000000001</v>
      </c>
    </row>
    <row r="10897" spans="1:7" x14ac:dyDescent="0.25">
      <c r="A10897" s="116" t="s">
        <v>17272</v>
      </c>
      <c r="B10897" s="117" t="s">
        <v>17273</v>
      </c>
      <c r="C10897" t="s">
        <v>67</v>
      </c>
      <c r="D10897" t="s">
        <v>67</v>
      </c>
      <c r="E10897" t="s">
        <v>67</v>
      </c>
      <c r="F10897" t="s">
        <v>45</v>
      </c>
      <c r="G10897" s="117">
        <v>2.23</v>
      </c>
    </row>
    <row r="10898" spans="1:7" x14ac:dyDescent="0.25">
      <c r="A10898" s="116" t="s">
        <v>17274</v>
      </c>
      <c r="B10898" s="117" t="s">
        <v>17275</v>
      </c>
      <c r="C10898" t="s">
        <v>67</v>
      </c>
      <c r="D10898" t="s">
        <v>67</v>
      </c>
      <c r="E10898" t="s">
        <v>67</v>
      </c>
      <c r="F10898" t="s">
        <v>27987</v>
      </c>
      <c r="G10898" s="117">
        <v>4.3600000000000003</v>
      </c>
    </row>
    <row r="10899" spans="1:7" x14ac:dyDescent="0.25">
      <c r="A10899" s="116" t="s">
        <v>17276</v>
      </c>
      <c r="B10899" s="117" t="s">
        <v>17277</v>
      </c>
      <c r="C10899" t="s">
        <v>67</v>
      </c>
      <c r="D10899" t="s">
        <v>67</v>
      </c>
      <c r="E10899" t="s">
        <v>67</v>
      </c>
      <c r="F10899" t="s">
        <v>27987</v>
      </c>
      <c r="G10899" s="117">
        <v>4</v>
      </c>
    </row>
    <row r="10900" spans="1:7" x14ac:dyDescent="0.25">
      <c r="A10900" s="116" t="s">
        <v>17278</v>
      </c>
      <c r="B10900" s="117" t="s">
        <v>2231</v>
      </c>
      <c r="C10900" t="s">
        <v>67</v>
      </c>
      <c r="D10900" t="s">
        <v>67</v>
      </c>
      <c r="E10900" t="s">
        <v>67</v>
      </c>
      <c r="F10900" t="s">
        <v>27987</v>
      </c>
      <c r="G10900" s="117">
        <v>4</v>
      </c>
    </row>
    <row r="10901" spans="1:7" x14ac:dyDescent="0.25">
      <c r="A10901" s="116" t="s">
        <v>17279</v>
      </c>
      <c r="B10901" s="117" t="s">
        <v>17280</v>
      </c>
      <c r="C10901" t="s">
        <v>67</v>
      </c>
      <c r="D10901" t="s">
        <v>67</v>
      </c>
      <c r="E10901" t="s">
        <v>67</v>
      </c>
      <c r="F10901" t="s">
        <v>45</v>
      </c>
      <c r="G10901" s="117">
        <v>60.06</v>
      </c>
    </row>
    <row r="10902" spans="1:7" x14ac:dyDescent="0.25">
      <c r="A10902" s="116" t="s">
        <v>30011</v>
      </c>
      <c r="B10902" s="117" t="s">
        <v>30492</v>
      </c>
      <c r="C10902" t="s">
        <v>67</v>
      </c>
      <c r="D10902" t="s">
        <v>67</v>
      </c>
      <c r="E10902" t="s">
        <v>67</v>
      </c>
      <c r="F10902" t="s">
        <v>27987</v>
      </c>
      <c r="G10902" s="117">
        <v>22</v>
      </c>
    </row>
    <row r="10903" spans="1:7" x14ac:dyDescent="0.25">
      <c r="A10903" s="116" t="s">
        <v>17281</v>
      </c>
      <c r="B10903" s="117" t="s">
        <v>17282</v>
      </c>
      <c r="C10903" t="s">
        <v>67</v>
      </c>
      <c r="D10903" t="s">
        <v>67</v>
      </c>
      <c r="E10903" t="s">
        <v>67</v>
      </c>
      <c r="F10903" t="s">
        <v>27987</v>
      </c>
      <c r="G10903" s="117">
        <v>62.18</v>
      </c>
    </row>
    <row r="10904" spans="1:7" x14ac:dyDescent="0.25">
      <c r="A10904" s="116" t="s">
        <v>17283</v>
      </c>
      <c r="B10904" s="117" t="s">
        <v>17284</v>
      </c>
      <c r="C10904" t="s">
        <v>67</v>
      </c>
      <c r="D10904" t="s">
        <v>67</v>
      </c>
      <c r="E10904" t="s">
        <v>67</v>
      </c>
      <c r="F10904" t="s">
        <v>45</v>
      </c>
      <c r="G10904" s="117">
        <v>2.58</v>
      </c>
    </row>
    <row r="10905" spans="1:7" x14ac:dyDescent="0.25">
      <c r="A10905" s="116" t="s">
        <v>17285</v>
      </c>
      <c r="B10905" s="117" t="s">
        <v>17286</v>
      </c>
      <c r="C10905" t="s">
        <v>67</v>
      </c>
      <c r="D10905" t="s">
        <v>67</v>
      </c>
      <c r="E10905" t="s">
        <v>67</v>
      </c>
      <c r="F10905" t="s">
        <v>45</v>
      </c>
      <c r="G10905" s="117">
        <v>46.71</v>
      </c>
    </row>
    <row r="10906" spans="1:7" x14ac:dyDescent="0.25">
      <c r="A10906" s="116" t="s">
        <v>17287</v>
      </c>
      <c r="B10906" s="117" t="s">
        <v>17288</v>
      </c>
      <c r="C10906" t="s">
        <v>67</v>
      </c>
      <c r="D10906" t="s">
        <v>67</v>
      </c>
      <c r="E10906" t="s">
        <v>67</v>
      </c>
      <c r="F10906" t="s">
        <v>45</v>
      </c>
      <c r="G10906" s="117">
        <v>44.4</v>
      </c>
    </row>
    <row r="10907" spans="1:7" x14ac:dyDescent="0.25">
      <c r="A10907" s="116" t="s">
        <v>17289</v>
      </c>
      <c r="B10907" s="117" t="s">
        <v>13302</v>
      </c>
      <c r="C10907" t="s">
        <v>67</v>
      </c>
      <c r="D10907" t="s">
        <v>67</v>
      </c>
      <c r="E10907" t="s">
        <v>67</v>
      </c>
      <c r="F10907" t="s">
        <v>45</v>
      </c>
      <c r="G10907" s="117">
        <v>14.14</v>
      </c>
    </row>
    <row r="10908" spans="1:7" x14ac:dyDescent="0.25">
      <c r="A10908" s="116" t="s">
        <v>17290</v>
      </c>
      <c r="B10908" s="117" t="s">
        <v>17291</v>
      </c>
      <c r="C10908" t="s">
        <v>67</v>
      </c>
      <c r="D10908" t="s">
        <v>67</v>
      </c>
      <c r="E10908" t="s">
        <v>67</v>
      </c>
      <c r="F10908" t="s">
        <v>45</v>
      </c>
      <c r="G10908" s="117">
        <v>14.14</v>
      </c>
    </row>
    <row r="10909" spans="1:7" x14ac:dyDescent="0.25">
      <c r="A10909" s="116" t="s">
        <v>17292</v>
      </c>
      <c r="B10909" s="117" t="s">
        <v>17293</v>
      </c>
      <c r="C10909" t="s">
        <v>67</v>
      </c>
      <c r="D10909" t="s">
        <v>67</v>
      </c>
      <c r="E10909" t="s">
        <v>67</v>
      </c>
      <c r="F10909" t="s">
        <v>45</v>
      </c>
      <c r="G10909" s="117">
        <v>14.14</v>
      </c>
    </row>
    <row r="10910" spans="1:7" x14ac:dyDescent="0.25">
      <c r="A10910" s="116" t="s">
        <v>17294</v>
      </c>
      <c r="B10910" s="117" t="s">
        <v>17295</v>
      </c>
      <c r="C10910" t="s">
        <v>67</v>
      </c>
      <c r="D10910" t="s">
        <v>67</v>
      </c>
      <c r="E10910" t="s">
        <v>67</v>
      </c>
      <c r="F10910" t="s">
        <v>45</v>
      </c>
      <c r="G10910" s="117">
        <v>14.14</v>
      </c>
    </row>
    <row r="10911" spans="1:7" x14ac:dyDescent="0.25">
      <c r="A10911" s="116" t="s">
        <v>17296</v>
      </c>
      <c r="B10911" s="117" t="s">
        <v>17297</v>
      </c>
      <c r="C10911" t="s">
        <v>67</v>
      </c>
      <c r="D10911" t="s">
        <v>67</v>
      </c>
      <c r="E10911" t="s">
        <v>67</v>
      </c>
      <c r="F10911" t="s">
        <v>45</v>
      </c>
      <c r="G10911" s="117">
        <v>14.14</v>
      </c>
    </row>
    <row r="10912" spans="1:7" x14ac:dyDescent="0.25">
      <c r="A10912" s="116" t="s">
        <v>17298</v>
      </c>
      <c r="B10912" s="117" t="s">
        <v>17299</v>
      </c>
      <c r="C10912" t="s">
        <v>67</v>
      </c>
      <c r="D10912" t="s">
        <v>67</v>
      </c>
      <c r="E10912" t="s">
        <v>67</v>
      </c>
      <c r="F10912" t="s">
        <v>45</v>
      </c>
      <c r="G10912" s="117">
        <v>14.14</v>
      </c>
    </row>
    <row r="10913" spans="1:7" x14ac:dyDescent="0.25">
      <c r="A10913" s="116" t="s">
        <v>17300</v>
      </c>
      <c r="B10913" s="117" t="s">
        <v>17301</v>
      </c>
      <c r="C10913" t="s">
        <v>67</v>
      </c>
      <c r="D10913" t="s">
        <v>67</v>
      </c>
      <c r="E10913" t="s">
        <v>67</v>
      </c>
      <c r="F10913" t="s">
        <v>45</v>
      </c>
      <c r="G10913" s="117">
        <v>3.56</v>
      </c>
    </row>
    <row r="10914" spans="1:7" x14ac:dyDescent="0.25">
      <c r="A10914" s="116" t="s">
        <v>17302</v>
      </c>
      <c r="B10914" s="117" t="s">
        <v>17303</v>
      </c>
      <c r="C10914" t="s">
        <v>67</v>
      </c>
      <c r="D10914" t="s">
        <v>67</v>
      </c>
      <c r="E10914" t="s">
        <v>67</v>
      </c>
      <c r="F10914" t="s">
        <v>27987</v>
      </c>
      <c r="G10914" s="117">
        <v>15.57</v>
      </c>
    </row>
    <row r="10915" spans="1:7" x14ac:dyDescent="0.25">
      <c r="A10915" s="116" t="s">
        <v>17304</v>
      </c>
      <c r="B10915" s="117" t="s">
        <v>17305</v>
      </c>
      <c r="C10915" t="s">
        <v>67</v>
      </c>
      <c r="D10915" t="s">
        <v>67</v>
      </c>
      <c r="E10915" t="s">
        <v>67</v>
      </c>
      <c r="F10915" t="s">
        <v>45</v>
      </c>
      <c r="G10915" s="117">
        <v>3.56</v>
      </c>
    </row>
    <row r="10916" spans="1:7" x14ac:dyDescent="0.25">
      <c r="A10916" s="116" t="s">
        <v>17306</v>
      </c>
      <c r="B10916" s="117" t="s">
        <v>17307</v>
      </c>
      <c r="C10916" t="s">
        <v>67</v>
      </c>
      <c r="D10916" t="s">
        <v>67</v>
      </c>
      <c r="E10916" t="s">
        <v>67</v>
      </c>
      <c r="F10916" t="s">
        <v>27987</v>
      </c>
      <c r="G10916" s="117">
        <v>28.38</v>
      </c>
    </row>
    <row r="10917" spans="1:7" x14ac:dyDescent="0.25">
      <c r="A10917" s="116" t="s">
        <v>17308</v>
      </c>
      <c r="B10917" s="117" t="s">
        <v>12709</v>
      </c>
      <c r="C10917" t="s">
        <v>67</v>
      </c>
      <c r="D10917" t="s">
        <v>67</v>
      </c>
      <c r="E10917" t="s">
        <v>67</v>
      </c>
      <c r="F10917" t="s">
        <v>27987</v>
      </c>
      <c r="G10917" s="117">
        <v>3.56</v>
      </c>
    </row>
    <row r="10918" spans="1:7" x14ac:dyDescent="0.25">
      <c r="A10918" s="116" t="s">
        <v>17309</v>
      </c>
      <c r="B10918" s="117" t="s">
        <v>17310</v>
      </c>
      <c r="C10918" t="s">
        <v>67</v>
      </c>
      <c r="D10918" t="s">
        <v>67</v>
      </c>
      <c r="E10918" t="s">
        <v>67</v>
      </c>
      <c r="F10918" t="s">
        <v>27987</v>
      </c>
      <c r="G10918" s="117">
        <v>3.56</v>
      </c>
    </row>
    <row r="10919" spans="1:7" x14ac:dyDescent="0.25">
      <c r="A10919" s="116" t="s">
        <v>17311</v>
      </c>
      <c r="B10919" s="117" t="s">
        <v>17312</v>
      </c>
      <c r="C10919" t="s">
        <v>67</v>
      </c>
      <c r="D10919" t="s">
        <v>67</v>
      </c>
      <c r="E10919" t="s">
        <v>67</v>
      </c>
      <c r="F10919" t="s">
        <v>27987</v>
      </c>
      <c r="G10919" s="117">
        <v>2.23</v>
      </c>
    </row>
    <row r="10920" spans="1:7" x14ac:dyDescent="0.25">
      <c r="A10920" s="116" t="s">
        <v>17313</v>
      </c>
      <c r="B10920" s="117" t="s">
        <v>17314</v>
      </c>
      <c r="C10920" t="s">
        <v>67</v>
      </c>
      <c r="D10920" t="s">
        <v>67</v>
      </c>
      <c r="E10920" t="s">
        <v>67</v>
      </c>
      <c r="F10920" t="s">
        <v>27987</v>
      </c>
      <c r="G10920" s="117">
        <v>3.12</v>
      </c>
    </row>
    <row r="10921" spans="1:7" x14ac:dyDescent="0.25">
      <c r="A10921" s="116" t="s">
        <v>17315</v>
      </c>
      <c r="B10921" s="117" t="s">
        <v>29232</v>
      </c>
      <c r="C10921" t="s">
        <v>67</v>
      </c>
      <c r="D10921" t="s">
        <v>67</v>
      </c>
      <c r="E10921" t="s">
        <v>67</v>
      </c>
      <c r="F10921" t="s">
        <v>27987</v>
      </c>
      <c r="G10921" s="117">
        <v>1.79</v>
      </c>
    </row>
    <row r="10922" spans="1:7" x14ac:dyDescent="0.25">
      <c r="A10922" s="116" t="s">
        <v>17316</v>
      </c>
      <c r="B10922" s="117" t="s">
        <v>17317</v>
      </c>
      <c r="C10922" t="s">
        <v>67</v>
      </c>
      <c r="D10922" t="s">
        <v>67</v>
      </c>
      <c r="E10922" t="s">
        <v>67</v>
      </c>
      <c r="F10922" t="s">
        <v>27987</v>
      </c>
      <c r="G10922" s="117">
        <v>2.23</v>
      </c>
    </row>
    <row r="10923" spans="1:7" x14ac:dyDescent="0.25">
      <c r="A10923" s="116" t="s">
        <v>17318</v>
      </c>
      <c r="B10923" s="117" t="s">
        <v>17319</v>
      </c>
      <c r="C10923" t="s">
        <v>67</v>
      </c>
      <c r="D10923" t="s">
        <v>67</v>
      </c>
      <c r="E10923" t="s">
        <v>67</v>
      </c>
      <c r="F10923" t="s">
        <v>27987</v>
      </c>
      <c r="G10923" s="117">
        <v>3.12</v>
      </c>
    </row>
    <row r="10924" spans="1:7" x14ac:dyDescent="0.25">
      <c r="A10924" s="116" t="s">
        <v>17320</v>
      </c>
      <c r="B10924" s="117" t="s">
        <v>17321</v>
      </c>
      <c r="C10924" t="s">
        <v>67</v>
      </c>
      <c r="D10924" t="s">
        <v>67</v>
      </c>
      <c r="E10924" t="s">
        <v>67</v>
      </c>
      <c r="F10924" t="s">
        <v>27987</v>
      </c>
      <c r="G10924" s="117">
        <v>2.23</v>
      </c>
    </row>
    <row r="10925" spans="1:7" x14ac:dyDescent="0.25">
      <c r="A10925" s="116" t="s">
        <v>17322</v>
      </c>
      <c r="B10925" s="117" t="s">
        <v>17323</v>
      </c>
      <c r="C10925" t="s">
        <v>67</v>
      </c>
      <c r="D10925" t="s">
        <v>67</v>
      </c>
      <c r="E10925" t="s">
        <v>67</v>
      </c>
      <c r="F10925" t="s">
        <v>27987</v>
      </c>
      <c r="G10925" s="117">
        <v>2.23</v>
      </c>
    </row>
    <row r="10926" spans="1:7" x14ac:dyDescent="0.25">
      <c r="A10926" s="116" t="s">
        <v>17324</v>
      </c>
      <c r="B10926" s="117" t="s">
        <v>17325</v>
      </c>
      <c r="C10926" t="s">
        <v>67</v>
      </c>
      <c r="D10926" t="s">
        <v>67</v>
      </c>
      <c r="E10926" t="s">
        <v>67</v>
      </c>
      <c r="F10926" t="s">
        <v>45</v>
      </c>
      <c r="G10926" s="117">
        <v>1.69</v>
      </c>
    </row>
    <row r="10927" spans="1:7" x14ac:dyDescent="0.25">
      <c r="A10927" s="116" t="s">
        <v>17326</v>
      </c>
      <c r="B10927" s="117" t="s">
        <v>17327</v>
      </c>
      <c r="C10927" t="s">
        <v>67</v>
      </c>
      <c r="D10927" t="s">
        <v>67</v>
      </c>
      <c r="E10927" t="s">
        <v>67</v>
      </c>
      <c r="F10927" t="s">
        <v>27987</v>
      </c>
      <c r="G10927" s="117">
        <v>2.58</v>
      </c>
    </row>
    <row r="10928" spans="1:7" x14ac:dyDescent="0.25">
      <c r="A10928" s="116" t="s">
        <v>17328</v>
      </c>
      <c r="B10928" s="117" t="s">
        <v>17329</v>
      </c>
      <c r="C10928" t="s">
        <v>67</v>
      </c>
      <c r="D10928" t="s">
        <v>67</v>
      </c>
      <c r="E10928" t="s">
        <v>67</v>
      </c>
      <c r="F10928" t="s">
        <v>27987</v>
      </c>
      <c r="G10928" s="117">
        <v>5.79</v>
      </c>
    </row>
    <row r="10929" spans="1:7" x14ac:dyDescent="0.25">
      <c r="A10929" s="116" t="s">
        <v>17330</v>
      </c>
      <c r="B10929" s="117" t="s">
        <v>17331</v>
      </c>
      <c r="C10929" t="s">
        <v>67</v>
      </c>
      <c r="D10929" t="s">
        <v>67</v>
      </c>
      <c r="E10929" t="s">
        <v>67</v>
      </c>
      <c r="F10929" t="s">
        <v>27987</v>
      </c>
      <c r="G10929" s="117">
        <v>3.56</v>
      </c>
    </row>
    <row r="10930" spans="1:7" x14ac:dyDescent="0.25">
      <c r="A10930" s="116" t="s">
        <v>17332</v>
      </c>
      <c r="B10930" s="117" t="s">
        <v>17333</v>
      </c>
      <c r="C10930" t="s">
        <v>67</v>
      </c>
      <c r="D10930" t="s">
        <v>67</v>
      </c>
      <c r="E10930" t="s">
        <v>67</v>
      </c>
      <c r="F10930" t="s">
        <v>27987</v>
      </c>
      <c r="G10930" s="117">
        <v>27.14</v>
      </c>
    </row>
    <row r="10931" spans="1:7" x14ac:dyDescent="0.25">
      <c r="A10931" s="116" t="s">
        <v>17334</v>
      </c>
      <c r="B10931" s="117" t="s">
        <v>17335</v>
      </c>
      <c r="C10931" t="s">
        <v>67</v>
      </c>
      <c r="D10931" t="s">
        <v>67</v>
      </c>
      <c r="E10931" t="s">
        <v>67</v>
      </c>
      <c r="F10931" t="s">
        <v>27987</v>
      </c>
      <c r="G10931" s="117">
        <v>17.36</v>
      </c>
    </row>
    <row r="10932" spans="1:7" x14ac:dyDescent="0.25">
      <c r="A10932" s="116" t="s">
        <v>17336</v>
      </c>
      <c r="B10932" s="117" t="s">
        <v>17337</v>
      </c>
      <c r="C10932" t="s">
        <v>67</v>
      </c>
      <c r="D10932" t="s">
        <v>67</v>
      </c>
      <c r="E10932" t="s">
        <v>67</v>
      </c>
      <c r="F10932" t="s">
        <v>27987</v>
      </c>
      <c r="G10932" s="117">
        <v>14.14</v>
      </c>
    </row>
    <row r="10933" spans="1:7" x14ac:dyDescent="0.25">
      <c r="A10933" s="116" t="s">
        <v>17338</v>
      </c>
      <c r="B10933" s="117" t="s">
        <v>17339</v>
      </c>
      <c r="C10933" t="s">
        <v>67</v>
      </c>
      <c r="D10933" t="s">
        <v>67</v>
      </c>
      <c r="E10933" t="s">
        <v>67</v>
      </c>
      <c r="F10933" t="s">
        <v>27987</v>
      </c>
      <c r="G10933" s="117">
        <v>15.57</v>
      </c>
    </row>
    <row r="10934" spans="1:7" x14ac:dyDescent="0.25">
      <c r="A10934" s="116" t="s">
        <v>17340</v>
      </c>
      <c r="B10934" s="117" t="s">
        <v>17341</v>
      </c>
      <c r="C10934" t="s">
        <v>67</v>
      </c>
      <c r="D10934" t="s">
        <v>67</v>
      </c>
      <c r="E10934" t="s">
        <v>67</v>
      </c>
      <c r="F10934" t="s">
        <v>27987</v>
      </c>
      <c r="G10934" s="117">
        <v>14.14</v>
      </c>
    </row>
    <row r="10935" spans="1:7" x14ac:dyDescent="0.25">
      <c r="A10935" s="116" t="s">
        <v>17342</v>
      </c>
      <c r="B10935" s="117" t="s">
        <v>17343</v>
      </c>
      <c r="C10935" t="s">
        <v>67</v>
      </c>
      <c r="D10935" t="s">
        <v>67</v>
      </c>
      <c r="E10935" t="s">
        <v>67</v>
      </c>
      <c r="F10935" t="s">
        <v>27987</v>
      </c>
      <c r="G10935" s="117">
        <v>15.57</v>
      </c>
    </row>
    <row r="10936" spans="1:7" x14ac:dyDescent="0.25">
      <c r="A10936" s="116" t="s">
        <v>17344</v>
      </c>
      <c r="B10936" s="117" t="s">
        <v>16182</v>
      </c>
      <c r="C10936" t="s">
        <v>67</v>
      </c>
      <c r="D10936" t="s">
        <v>67</v>
      </c>
      <c r="E10936" t="s">
        <v>67</v>
      </c>
      <c r="F10936" t="s">
        <v>27987</v>
      </c>
      <c r="G10936" s="117">
        <v>41.38</v>
      </c>
    </row>
    <row r="10937" spans="1:7" x14ac:dyDescent="0.25">
      <c r="A10937" s="116" t="s">
        <v>17345</v>
      </c>
      <c r="B10937" s="117" t="s">
        <v>17346</v>
      </c>
      <c r="C10937" t="s">
        <v>67</v>
      </c>
      <c r="D10937" t="s">
        <v>67</v>
      </c>
      <c r="E10937" t="s">
        <v>67</v>
      </c>
      <c r="F10937" t="s">
        <v>45</v>
      </c>
      <c r="G10937" s="117">
        <v>14.14</v>
      </c>
    </row>
    <row r="10938" spans="1:7" x14ac:dyDescent="0.25">
      <c r="A10938" s="116" t="s">
        <v>17347</v>
      </c>
      <c r="B10938" s="117" t="s">
        <v>17348</v>
      </c>
      <c r="C10938" t="s">
        <v>67</v>
      </c>
      <c r="D10938" t="s">
        <v>67</v>
      </c>
      <c r="E10938" t="s">
        <v>67</v>
      </c>
      <c r="F10938" t="s">
        <v>27987</v>
      </c>
      <c r="G10938" s="117">
        <v>2.58</v>
      </c>
    </row>
    <row r="10939" spans="1:7" x14ac:dyDescent="0.25">
      <c r="A10939" s="116" t="s">
        <v>17349</v>
      </c>
      <c r="B10939" s="117" t="s">
        <v>17350</v>
      </c>
      <c r="C10939" t="s">
        <v>67</v>
      </c>
      <c r="D10939" t="s">
        <v>67</v>
      </c>
      <c r="E10939" t="s">
        <v>67</v>
      </c>
      <c r="F10939" t="s">
        <v>27987</v>
      </c>
      <c r="G10939" s="117">
        <v>2.58</v>
      </c>
    </row>
    <row r="10940" spans="1:7" x14ac:dyDescent="0.25">
      <c r="A10940" s="116" t="s">
        <v>17351</v>
      </c>
      <c r="B10940" s="117" t="s">
        <v>17352</v>
      </c>
      <c r="C10940" t="s">
        <v>67</v>
      </c>
      <c r="D10940" t="s">
        <v>67</v>
      </c>
      <c r="E10940" t="s">
        <v>67</v>
      </c>
      <c r="F10940" t="s">
        <v>45</v>
      </c>
      <c r="G10940" s="117">
        <v>1.33</v>
      </c>
    </row>
    <row r="10941" spans="1:7" x14ac:dyDescent="0.25">
      <c r="A10941" s="116" t="s">
        <v>17353</v>
      </c>
      <c r="B10941" s="117" t="s">
        <v>17354</v>
      </c>
      <c r="C10941" t="s">
        <v>67</v>
      </c>
      <c r="D10941" t="s">
        <v>67</v>
      </c>
      <c r="E10941" t="s">
        <v>67</v>
      </c>
      <c r="F10941" t="s">
        <v>27987</v>
      </c>
      <c r="G10941" s="117">
        <v>32.83</v>
      </c>
    </row>
    <row r="10942" spans="1:7" x14ac:dyDescent="0.25">
      <c r="A10942" s="116" t="s">
        <v>17355</v>
      </c>
      <c r="B10942" s="117" t="s">
        <v>17354</v>
      </c>
      <c r="C10942" t="s">
        <v>67</v>
      </c>
      <c r="D10942" t="s">
        <v>67</v>
      </c>
      <c r="E10942" t="s">
        <v>67</v>
      </c>
      <c r="F10942" t="s">
        <v>27987</v>
      </c>
      <c r="G10942" s="117">
        <v>37.82</v>
      </c>
    </row>
    <row r="10943" spans="1:7" x14ac:dyDescent="0.25">
      <c r="A10943" s="116" t="s">
        <v>17356</v>
      </c>
      <c r="B10943" s="117" t="s">
        <v>17357</v>
      </c>
      <c r="C10943" t="s">
        <v>67</v>
      </c>
      <c r="D10943" t="s">
        <v>67</v>
      </c>
      <c r="E10943" t="s">
        <v>67</v>
      </c>
      <c r="F10943" t="s">
        <v>27987</v>
      </c>
      <c r="G10943" s="117">
        <v>11.48</v>
      </c>
    </row>
    <row r="10944" spans="1:7" x14ac:dyDescent="0.25">
      <c r="A10944" s="116" t="s">
        <v>17358</v>
      </c>
      <c r="B10944" s="117" t="s">
        <v>17357</v>
      </c>
      <c r="C10944" t="s">
        <v>67</v>
      </c>
      <c r="D10944" t="s">
        <v>67</v>
      </c>
      <c r="E10944" t="s">
        <v>67</v>
      </c>
      <c r="F10944" t="s">
        <v>27987</v>
      </c>
      <c r="G10944" s="117">
        <v>12.37</v>
      </c>
    </row>
    <row r="10945" spans="1:7" x14ac:dyDescent="0.25">
      <c r="A10945" s="116" t="s">
        <v>17359</v>
      </c>
      <c r="B10945" s="117" t="s">
        <v>17360</v>
      </c>
      <c r="C10945" t="s">
        <v>67</v>
      </c>
      <c r="D10945" t="s">
        <v>67</v>
      </c>
      <c r="E10945" t="s">
        <v>67</v>
      </c>
      <c r="F10945" t="s">
        <v>27990</v>
      </c>
      <c r="G10945" s="117">
        <v>1.69</v>
      </c>
    </row>
    <row r="10946" spans="1:7" x14ac:dyDescent="0.25">
      <c r="A10946" s="116" t="s">
        <v>17361</v>
      </c>
      <c r="B10946" s="117" t="s">
        <v>13597</v>
      </c>
      <c r="C10946" t="s">
        <v>67</v>
      </c>
      <c r="D10946" t="s">
        <v>67</v>
      </c>
      <c r="E10946" t="s">
        <v>67</v>
      </c>
      <c r="F10946" t="s">
        <v>27987</v>
      </c>
      <c r="G10946" s="117">
        <v>4.7699999999999996</v>
      </c>
    </row>
    <row r="10947" spans="1:7" x14ac:dyDescent="0.25">
      <c r="A10947" s="116" t="s">
        <v>17362</v>
      </c>
      <c r="B10947" s="117" t="s">
        <v>17363</v>
      </c>
      <c r="C10947" t="s">
        <v>67</v>
      </c>
      <c r="D10947" t="s">
        <v>67</v>
      </c>
      <c r="E10947" t="s">
        <v>67</v>
      </c>
      <c r="F10947" t="s">
        <v>27987</v>
      </c>
      <c r="G10947" s="117">
        <v>3.56</v>
      </c>
    </row>
    <row r="10948" spans="1:7" x14ac:dyDescent="0.25">
      <c r="A10948" s="116" t="s">
        <v>29233</v>
      </c>
      <c r="B10948" s="117" t="s">
        <v>3532</v>
      </c>
      <c r="C10948" t="s">
        <v>67</v>
      </c>
      <c r="D10948" t="s">
        <v>67</v>
      </c>
      <c r="E10948" t="s">
        <v>67</v>
      </c>
      <c r="F10948" t="s">
        <v>49</v>
      </c>
      <c r="G10948" s="117">
        <v>15.33</v>
      </c>
    </row>
    <row r="10949" spans="1:7" x14ac:dyDescent="0.25">
      <c r="A10949" s="116" t="s">
        <v>17364</v>
      </c>
      <c r="B10949" s="117" t="s">
        <v>17365</v>
      </c>
      <c r="C10949" t="s">
        <v>67</v>
      </c>
      <c r="D10949" t="s">
        <v>67</v>
      </c>
      <c r="E10949" t="s">
        <v>67</v>
      </c>
      <c r="F10949" t="s">
        <v>27987</v>
      </c>
      <c r="G10949" s="117">
        <v>2.58</v>
      </c>
    </row>
    <row r="10950" spans="1:7" x14ac:dyDescent="0.25">
      <c r="A10950" s="116" t="s">
        <v>17366</v>
      </c>
      <c r="B10950" s="117" t="s">
        <v>17367</v>
      </c>
      <c r="C10950" t="s">
        <v>67</v>
      </c>
      <c r="D10950" t="s">
        <v>67</v>
      </c>
      <c r="E10950" t="s">
        <v>67</v>
      </c>
      <c r="F10950" t="s">
        <v>27987</v>
      </c>
      <c r="G10950" s="117">
        <v>17.329999999999998</v>
      </c>
    </row>
    <row r="10951" spans="1:7" x14ac:dyDescent="0.25">
      <c r="A10951" s="116" t="s">
        <v>17368</v>
      </c>
      <c r="B10951" s="117" t="s">
        <v>17369</v>
      </c>
      <c r="C10951" t="s">
        <v>67</v>
      </c>
      <c r="D10951" t="s">
        <v>67</v>
      </c>
      <c r="E10951" t="s">
        <v>67</v>
      </c>
      <c r="F10951" t="s">
        <v>27987</v>
      </c>
      <c r="G10951" s="117">
        <v>4</v>
      </c>
    </row>
    <row r="10952" spans="1:7" x14ac:dyDescent="0.25">
      <c r="A10952" s="116" t="s">
        <v>17370</v>
      </c>
      <c r="B10952" s="117" t="s">
        <v>16646</v>
      </c>
      <c r="C10952" t="s">
        <v>67</v>
      </c>
      <c r="D10952" t="s">
        <v>67</v>
      </c>
      <c r="E10952" t="s">
        <v>67</v>
      </c>
      <c r="F10952" t="s">
        <v>27987</v>
      </c>
      <c r="G10952" s="117">
        <v>3</v>
      </c>
    </row>
    <row r="10953" spans="1:7" x14ac:dyDescent="0.25">
      <c r="A10953" s="116" t="s">
        <v>17371</v>
      </c>
      <c r="B10953" s="117" t="s">
        <v>17372</v>
      </c>
      <c r="C10953" t="s">
        <v>67</v>
      </c>
      <c r="D10953" t="s">
        <v>67</v>
      </c>
      <c r="E10953" t="s">
        <v>67</v>
      </c>
      <c r="F10953" t="s">
        <v>27987</v>
      </c>
      <c r="G10953" s="117">
        <v>2</v>
      </c>
    </row>
    <row r="10954" spans="1:7" x14ac:dyDescent="0.25">
      <c r="A10954" s="116" t="s">
        <v>17373</v>
      </c>
      <c r="B10954" s="117" t="s">
        <v>17374</v>
      </c>
      <c r="C10954" t="s">
        <v>67</v>
      </c>
      <c r="D10954" t="s">
        <v>67</v>
      </c>
      <c r="E10954" t="s">
        <v>67</v>
      </c>
      <c r="F10954" t="s">
        <v>27987</v>
      </c>
      <c r="G10954" s="117">
        <v>3.23</v>
      </c>
    </row>
    <row r="10955" spans="1:7" x14ac:dyDescent="0.25">
      <c r="A10955" s="116" t="s">
        <v>17375</v>
      </c>
      <c r="B10955" s="117" t="s">
        <v>17376</v>
      </c>
      <c r="C10955" t="s">
        <v>67</v>
      </c>
      <c r="D10955" t="s">
        <v>67</v>
      </c>
      <c r="E10955" t="s">
        <v>67</v>
      </c>
      <c r="F10955" t="s">
        <v>49</v>
      </c>
      <c r="G10955" s="117">
        <v>3.56</v>
      </c>
    </row>
    <row r="10956" spans="1:7" x14ac:dyDescent="0.25">
      <c r="A10956" s="116" t="s">
        <v>17377</v>
      </c>
      <c r="B10956" s="117" t="s">
        <v>17378</v>
      </c>
      <c r="C10956" t="s">
        <v>67</v>
      </c>
      <c r="D10956" t="s">
        <v>67</v>
      </c>
      <c r="E10956" t="s">
        <v>67</v>
      </c>
      <c r="F10956" t="s">
        <v>27987</v>
      </c>
      <c r="G10956" s="117">
        <v>3.48</v>
      </c>
    </row>
    <row r="10957" spans="1:7" x14ac:dyDescent="0.25">
      <c r="A10957" s="116" t="s">
        <v>17379</v>
      </c>
      <c r="B10957" s="117" t="s">
        <v>17380</v>
      </c>
      <c r="C10957" t="s">
        <v>67</v>
      </c>
      <c r="D10957" t="s">
        <v>67</v>
      </c>
      <c r="E10957" t="s">
        <v>67</v>
      </c>
      <c r="F10957" t="s">
        <v>27987</v>
      </c>
      <c r="G10957" s="117">
        <v>8.4499999999999993</v>
      </c>
    </row>
    <row r="10958" spans="1:7" x14ac:dyDescent="0.25">
      <c r="A10958" s="116" t="s">
        <v>17381</v>
      </c>
      <c r="B10958" s="117" t="s">
        <v>17382</v>
      </c>
      <c r="C10958" t="s">
        <v>67</v>
      </c>
      <c r="D10958" t="s">
        <v>67</v>
      </c>
      <c r="E10958" t="s">
        <v>67</v>
      </c>
      <c r="F10958" t="s">
        <v>27987</v>
      </c>
      <c r="G10958" s="117">
        <v>2.58</v>
      </c>
    </row>
    <row r="10959" spans="1:7" x14ac:dyDescent="0.25">
      <c r="A10959" s="116" t="s">
        <v>17383</v>
      </c>
      <c r="B10959" s="117" t="s">
        <v>17384</v>
      </c>
      <c r="C10959" t="s">
        <v>67</v>
      </c>
      <c r="D10959" t="s">
        <v>67</v>
      </c>
      <c r="E10959" t="s">
        <v>67</v>
      </c>
      <c r="F10959" t="s">
        <v>45</v>
      </c>
      <c r="G10959" s="117">
        <v>12.01</v>
      </c>
    </row>
    <row r="10960" spans="1:7" x14ac:dyDescent="0.25">
      <c r="A10960" s="116" t="s">
        <v>17385</v>
      </c>
      <c r="B10960" s="117" t="s">
        <v>17386</v>
      </c>
      <c r="C10960" t="s">
        <v>67</v>
      </c>
      <c r="D10960" t="s">
        <v>67</v>
      </c>
      <c r="E10960" t="s">
        <v>67</v>
      </c>
      <c r="F10960" t="s">
        <v>45</v>
      </c>
      <c r="G10960" s="117">
        <v>12.01</v>
      </c>
    </row>
    <row r="10961" spans="1:7" x14ac:dyDescent="0.25">
      <c r="A10961" s="116" t="s">
        <v>17387</v>
      </c>
      <c r="B10961" s="117" t="s">
        <v>17388</v>
      </c>
      <c r="C10961" t="s">
        <v>67</v>
      </c>
      <c r="D10961" t="s">
        <v>67</v>
      </c>
      <c r="E10961" t="s">
        <v>67</v>
      </c>
      <c r="F10961" t="s">
        <v>45</v>
      </c>
      <c r="G10961" s="117">
        <v>92.45</v>
      </c>
    </row>
    <row r="10962" spans="1:7" x14ac:dyDescent="0.25">
      <c r="A10962" s="116" t="s">
        <v>17389</v>
      </c>
      <c r="B10962" s="117" t="s">
        <v>17390</v>
      </c>
      <c r="C10962" t="s">
        <v>67</v>
      </c>
      <c r="D10962" t="s">
        <v>67</v>
      </c>
      <c r="E10962" t="s">
        <v>67</v>
      </c>
      <c r="F10962" t="s">
        <v>45</v>
      </c>
      <c r="G10962" s="117">
        <v>18.600000000000001</v>
      </c>
    </row>
    <row r="10963" spans="1:7" x14ac:dyDescent="0.25">
      <c r="A10963" s="116" t="s">
        <v>17391</v>
      </c>
      <c r="B10963" s="117" t="s">
        <v>17392</v>
      </c>
      <c r="C10963" t="s">
        <v>67</v>
      </c>
      <c r="D10963" t="s">
        <v>67</v>
      </c>
      <c r="E10963" t="s">
        <v>67</v>
      </c>
      <c r="F10963" t="s">
        <v>27987</v>
      </c>
      <c r="G10963" s="117">
        <v>5.79</v>
      </c>
    </row>
    <row r="10964" spans="1:7" x14ac:dyDescent="0.25">
      <c r="A10964" s="116" t="s">
        <v>17393</v>
      </c>
      <c r="B10964" s="117" t="s">
        <v>17394</v>
      </c>
      <c r="C10964" t="s">
        <v>67</v>
      </c>
      <c r="D10964" t="s">
        <v>67</v>
      </c>
      <c r="E10964" t="s">
        <v>67</v>
      </c>
      <c r="F10964" t="s">
        <v>27987</v>
      </c>
      <c r="G10964" s="117">
        <v>23.94</v>
      </c>
    </row>
    <row r="10965" spans="1:7" x14ac:dyDescent="0.25">
      <c r="A10965" s="116" t="s">
        <v>17395</v>
      </c>
      <c r="B10965" s="117" t="s">
        <v>515</v>
      </c>
      <c r="C10965" t="s">
        <v>67</v>
      </c>
      <c r="D10965" t="s">
        <v>67</v>
      </c>
      <c r="E10965" t="s">
        <v>67</v>
      </c>
      <c r="F10965" t="s">
        <v>27987</v>
      </c>
      <c r="G10965" s="117">
        <v>6.68</v>
      </c>
    </row>
    <row r="10966" spans="1:7" x14ac:dyDescent="0.25">
      <c r="A10966" s="116" t="s">
        <v>17396</v>
      </c>
      <c r="B10966" s="117" t="s">
        <v>17397</v>
      </c>
      <c r="C10966" t="s">
        <v>67</v>
      </c>
      <c r="D10966" t="s">
        <v>67</v>
      </c>
      <c r="E10966" t="s">
        <v>67</v>
      </c>
      <c r="F10966" t="s">
        <v>27987</v>
      </c>
      <c r="G10966" s="117">
        <v>94.76</v>
      </c>
    </row>
    <row r="10967" spans="1:7" x14ac:dyDescent="0.25">
      <c r="A10967" s="116" t="s">
        <v>17398</v>
      </c>
      <c r="B10967" s="117" t="s">
        <v>13662</v>
      </c>
      <c r="C10967" t="s">
        <v>67</v>
      </c>
      <c r="D10967" t="s">
        <v>67</v>
      </c>
      <c r="E10967" t="s">
        <v>67</v>
      </c>
      <c r="F10967" t="s">
        <v>27987</v>
      </c>
      <c r="G10967" s="117">
        <v>35.5</v>
      </c>
    </row>
    <row r="10968" spans="1:7" x14ac:dyDescent="0.25">
      <c r="A10968" s="116" t="s">
        <v>17399</v>
      </c>
      <c r="B10968" s="117" t="s">
        <v>17400</v>
      </c>
      <c r="C10968" t="s">
        <v>67</v>
      </c>
      <c r="D10968" t="s">
        <v>67</v>
      </c>
      <c r="E10968" t="s">
        <v>67</v>
      </c>
      <c r="F10968" t="s">
        <v>27987</v>
      </c>
      <c r="G10968" s="117">
        <v>9.35</v>
      </c>
    </row>
    <row r="10969" spans="1:7" x14ac:dyDescent="0.25">
      <c r="A10969" s="116" t="s">
        <v>17401</v>
      </c>
      <c r="B10969" s="117" t="s">
        <v>17402</v>
      </c>
      <c r="C10969" t="s">
        <v>67</v>
      </c>
      <c r="D10969" t="s">
        <v>67</v>
      </c>
      <c r="E10969" t="s">
        <v>67</v>
      </c>
      <c r="F10969" t="s">
        <v>27987</v>
      </c>
      <c r="G10969" s="117">
        <v>8.4499999999999993</v>
      </c>
    </row>
    <row r="10970" spans="1:7" x14ac:dyDescent="0.25">
      <c r="A10970" s="116" t="s">
        <v>17403</v>
      </c>
      <c r="B10970" s="117" t="s">
        <v>17404</v>
      </c>
      <c r="C10970" t="s">
        <v>67</v>
      </c>
      <c r="D10970" t="s">
        <v>67</v>
      </c>
      <c r="E10970" t="s">
        <v>67</v>
      </c>
      <c r="F10970" t="s">
        <v>27987</v>
      </c>
      <c r="G10970" s="117">
        <v>35.14</v>
      </c>
    </row>
    <row r="10971" spans="1:7" x14ac:dyDescent="0.25">
      <c r="A10971" s="116" t="s">
        <v>17405</v>
      </c>
      <c r="B10971" s="117" t="s">
        <v>13929</v>
      </c>
      <c r="C10971" t="s">
        <v>67</v>
      </c>
      <c r="D10971" t="s">
        <v>67</v>
      </c>
      <c r="E10971" t="s">
        <v>67</v>
      </c>
      <c r="F10971" t="s">
        <v>27987</v>
      </c>
      <c r="G10971" s="117">
        <v>24.82</v>
      </c>
    </row>
    <row r="10972" spans="1:7" x14ac:dyDescent="0.25">
      <c r="A10972" s="116" t="s">
        <v>17406</v>
      </c>
      <c r="B10972" s="117" t="s">
        <v>14479</v>
      </c>
      <c r="C10972" t="s">
        <v>67</v>
      </c>
      <c r="D10972" t="s">
        <v>67</v>
      </c>
      <c r="E10972" t="s">
        <v>67</v>
      </c>
      <c r="F10972" t="s">
        <v>27987</v>
      </c>
      <c r="G10972" s="117">
        <v>15.93</v>
      </c>
    </row>
    <row r="10973" spans="1:7" x14ac:dyDescent="0.25">
      <c r="A10973" s="116" t="s">
        <v>17407</v>
      </c>
      <c r="B10973" s="117" t="s">
        <v>13639</v>
      </c>
      <c r="C10973" t="s">
        <v>67</v>
      </c>
      <c r="D10973" t="s">
        <v>67</v>
      </c>
      <c r="E10973" t="s">
        <v>67</v>
      </c>
      <c r="F10973" t="s">
        <v>27987</v>
      </c>
      <c r="G10973" s="117">
        <v>18.600000000000001</v>
      </c>
    </row>
    <row r="10974" spans="1:7" x14ac:dyDescent="0.25">
      <c r="A10974" s="116" t="s">
        <v>17408</v>
      </c>
      <c r="B10974" s="117" t="s">
        <v>13630</v>
      </c>
      <c r="C10974" t="s">
        <v>67</v>
      </c>
      <c r="D10974" t="s">
        <v>67</v>
      </c>
      <c r="E10974" t="s">
        <v>67</v>
      </c>
      <c r="F10974" t="s">
        <v>27987</v>
      </c>
      <c r="G10974" s="117">
        <v>21.26</v>
      </c>
    </row>
    <row r="10975" spans="1:7" x14ac:dyDescent="0.25">
      <c r="A10975" s="116" t="s">
        <v>17409</v>
      </c>
      <c r="B10975" s="117" t="s">
        <v>17410</v>
      </c>
      <c r="C10975" t="s">
        <v>67</v>
      </c>
      <c r="D10975" t="s">
        <v>67</v>
      </c>
      <c r="E10975" t="s">
        <v>67</v>
      </c>
      <c r="F10975" t="s">
        <v>27987</v>
      </c>
      <c r="G10975" s="117">
        <v>15.93</v>
      </c>
    </row>
    <row r="10976" spans="1:7" x14ac:dyDescent="0.25">
      <c r="A10976" s="116" t="s">
        <v>17411</v>
      </c>
      <c r="B10976" s="117" t="s">
        <v>14302</v>
      </c>
      <c r="C10976" t="s">
        <v>67</v>
      </c>
      <c r="D10976" t="s">
        <v>67</v>
      </c>
      <c r="E10976" t="s">
        <v>67</v>
      </c>
      <c r="F10976" t="s">
        <v>27987</v>
      </c>
      <c r="G10976" s="117">
        <v>4.8899999999999997</v>
      </c>
    </row>
    <row r="10977" spans="1:7" x14ac:dyDescent="0.25">
      <c r="A10977" s="116" t="s">
        <v>17412</v>
      </c>
      <c r="B10977" s="117" t="s">
        <v>2231</v>
      </c>
      <c r="C10977" t="s">
        <v>67</v>
      </c>
      <c r="D10977" t="s">
        <v>67</v>
      </c>
      <c r="E10977" t="s">
        <v>67</v>
      </c>
      <c r="F10977" t="s">
        <v>27987</v>
      </c>
      <c r="G10977" s="117">
        <v>3.48</v>
      </c>
    </row>
    <row r="10978" spans="1:7" x14ac:dyDescent="0.25">
      <c r="A10978" s="116" t="s">
        <v>17413</v>
      </c>
      <c r="B10978" s="117" t="s">
        <v>17414</v>
      </c>
      <c r="C10978" t="s">
        <v>67</v>
      </c>
      <c r="D10978" t="s">
        <v>67</v>
      </c>
      <c r="E10978" t="s">
        <v>67</v>
      </c>
      <c r="F10978" t="s">
        <v>27987</v>
      </c>
      <c r="G10978" s="117">
        <v>4.8899999999999997</v>
      </c>
    </row>
    <row r="10979" spans="1:7" x14ac:dyDescent="0.25">
      <c r="A10979" s="116" t="s">
        <v>17415</v>
      </c>
      <c r="B10979" s="117" t="s">
        <v>17416</v>
      </c>
      <c r="C10979" t="s">
        <v>67</v>
      </c>
      <c r="D10979" t="s">
        <v>67</v>
      </c>
      <c r="E10979" t="s">
        <v>67</v>
      </c>
      <c r="F10979" t="s">
        <v>27987</v>
      </c>
      <c r="G10979" s="117">
        <v>2.23</v>
      </c>
    </row>
    <row r="10980" spans="1:7" x14ac:dyDescent="0.25">
      <c r="A10980" s="116" t="s">
        <v>17417</v>
      </c>
      <c r="B10980" s="117" t="s">
        <v>17418</v>
      </c>
      <c r="C10980" t="s">
        <v>67</v>
      </c>
      <c r="D10980" t="s">
        <v>67</v>
      </c>
      <c r="E10980" t="s">
        <v>67</v>
      </c>
      <c r="F10980" t="s">
        <v>27987</v>
      </c>
      <c r="G10980" s="117">
        <v>3.12</v>
      </c>
    </row>
    <row r="10981" spans="1:7" x14ac:dyDescent="0.25">
      <c r="A10981" s="116" t="s">
        <v>17419</v>
      </c>
      <c r="B10981" s="117" t="s">
        <v>17420</v>
      </c>
      <c r="C10981" t="s">
        <v>67</v>
      </c>
      <c r="D10981" t="s">
        <v>67</v>
      </c>
      <c r="E10981" t="s">
        <v>67</v>
      </c>
      <c r="F10981" t="s">
        <v>27987</v>
      </c>
      <c r="G10981" s="117">
        <v>1.69</v>
      </c>
    </row>
    <row r="10982" spans="1:7" x14ac:dyDescent="0.25">
      <c r="A10982" s="116" t="s">
        <v>17421</v>
      </c>
      <c r="B10982" s="117" t="s">
        <v>17422</v>
      </c>
      <c r="C10982" t="s">
        <v>67</v>
      </c>
      <c r="D10982" t="s">
        <v>67</v>
      </c>
      <c r="E10982" t="s">
        <v>67</v>
      </c>
      <c r="F10982" t="s">
        <v>27987</v>
      </c>
      <c r="G10982" s="117">
        <v>1.69</v>
      </c>
    </row>
    <row r="10983" spans="1:7" x14ac:dyDescent="0.25">
      <c r="A10983" s="116" t="s">
        <v>17423</v>
      </c>
      <c r="B10983" s="117" t="s">
        <v>17424</v>
      </c>
      <c r="C10983" t="s">
        <v>67</v>
      </c>
      <c r="D10983" t="s">
        <v>67</v>
      </c>
      <c r="E10983" t="s">
        <v>67</v>
      </c>
      <c r="F10983" t="s">
        <v>45</v>
      </c>
      <c r="G10983" s="117">
        <v>39.6</v>
      </c>
    </row>
    <row r="10984" spans="1:7" x14ac:dyDescent="0.25">
      <c r="A10984" s="116" t="s">
        <v>17425</v>
      </c>
      <c r="B10984" s="117" t="s">
        <v>17426</v>
      </c>
      <c r="C10984" t="s">
        <v>67</v>
      </c>
      <c r="D10984" t="s">
        <v>67</v>
      </c>
      <c r="E10984" t="s">
        <v>67</v>
      </c>
      <c r="F10984" t="s">
        <v>27987</v>
      </c>
      <c r="G10984" s="117">
        <v>28.92</v>
      </c>
    </row>
    <row r="10985" spans="1:7" x14ac:dyDescent="0.25">
      <c r="A10985" s="116" t="s">
        <v>17427</v>
      </c>
      <c r="B10985" s="117" t="s">
        <v>17428</v>
      </c>
      <c r="C10985" t="s">
        <v>67</v>
      </c>
      <c r="D10985" t="s">
        <v>67</v>
      </c>
      <c r="E10985" t="s">
        <v>67</v>
      </c>
      <c r="F10985" t="s">
        <v>45</v>
      </c>
      <c r="G10985" s="117">
        <v>33.729999999999997</v>
      </c>
    </row>
    <row r="10986" spans="1:7" x14ac:dyDescent="0.25">
      <c r="A10986" s="116" t="s">
        <v>17429</v>
      </c>
      <c r="B10986" s="117" t="s">
        <v>17430</v>
      </c>
      <c r="C10986" t="s">
        <v>67</v>
      </c>
      <c r="D10986" t="s">
        <v>67</v>
      </c>
      <c r="E10986" t="s">
        <v>67</v>
      </c>
      <c r="F10986" t="s">
        <v>45</v>
      </c>
      <c r="G10986" s="117">
        <v>13.26</v>
      </c>
    </row>
    <row r="10987" spans="1:7" x14ac:dyDescent="0.25">
      <c r="A10987" s="116" t="s">
        <v>17431</v>
      </c>
      <c r="B10987" s="117" t="s">
        <v>17432</v>
      </c>
      <c r="C10987" t="s">
        <v>67</v>
      </c>
      <c r="D10987" t="s">
        <v>67</v>
      </c>
      <c r="E10987" t="s">
        <v>67</v>
      </c>
      <c r="F10987" t="s">
        <v>45</v>
      </c>
      <c r="G10987" s="117">
        <v>11.12</v>
      </c>
    </row>
    <row r="10988" spans="1:7" x14ac:dyDescent="0.25">
      <c r="A10988" s="116" t="s">
        <v>17433</v>
      </c>
      <c r="B10988" s="117" t="s">
        <v>17434</v>
      </c>
      <c r="C10988" t="s">
        <v>67</v>
      </c>
      <c r="D10988" t="s">
        <v>67</v>
      </c>
      <c r="E10988" t="s">
        <v>67</v>
      </c>
      <c r="F10988" t="s">
        <v>45</v>
      </c>
      <c r="G10988" s="117">
        <v>17.7</v>
      </c>
    </row>
    <row r="10989" spans="1:7" x14ac:dyDescent="0.25">
      <c r="A10989" s="116" t="s">
        <v>17435</v>
      </c>
      <c r="B10989" s="117" t="s">
        <v>17436</v>
      </c>
      <c r="C10989" t="s">
        <v>67</v>
      </c>
      <c r="D10989" t="s">
        <v>67</v>
      </c>
      <c r="E10989" t="s">
        <v>67</v>
      </c>
      <c r="F10989" t="s">
        <v>27987</v>
      </c>
      <c r="G10989" s="117">
        <v>9.35</v>
      </c>
    </row>
    <row r="10990" spans="1:7" x14ac:dyDescent="0.25">
      <c r="A10990" s="116" t="s">
        <v>17437</v>
      </c>
      <c r="B10990" s="117" t="s">
        <v>17438</v>
      </c>
      <c r="C10990" t="s">
        <v>67</v>
      </c>
      <c r="D10990" t="s">
        <v>67</v>
      </c>
      <c r="E10990" t="s">
        <v>67</v>
      </c>
      <c r="F10990" t="s">
        <v>27987</v>
      </c>
      <c r="G10990" s="117">
        <v>16.46</v>
      </c>
    </row>
    <row r="10991" spans="1:7" x14ac:dyDescent="0.25">
      <c r="A10991" s="116" t="s">
        <v>17439</v>
      </c>
      <c r="B10991" s="117" t="s">
        <v>17440</v>
      </c>
      <c r="C10991" t="s">
        <v>67</v>
      </c>
      <c r="D10991" t="s">
        <v>67</v>
      </c>
      <c r="E10991" t="s">
        <v>67</v>
      </c>
      <c r="F10991" t="s">
        <v>27987</v>
      </c>
      <c r="G10991" s="117">
        <v>9.35</v>
      </c>
    </row>
    <row r="10992" spans="1:7" x14ac:dyDescent="0.25">
      <c r="A10992" s="116" t="s">
        <v>17441</v>
      </c>
      <c r="B10992" s="117" t="s">
        <v>17442</v>
      </c>
      <c r="C10992" t="s">
        <v>67</v>
      </c>
      <c r="D10992" t="s">
        <v>67</v>
      </c>
      <c r="E10992" t="s">
        <v>67</v>
      </c>
      <c r="F10992" t="s">
        <v>27987</v>
      </c>
      <c r="G10992" s="117">
        <v>8.81</v>
      </c>
    </row>
    <row r="10993" spans="1:7" x14ac:dyDescent="0.25">
      <c r="A10993" s="116" t="s">
        <v>17443</v>
      </c>
      <c r="B10993" s="117" t="s">
        <v>17444</v>
      </c>
      <c r="C10993" t="s">
        <v>67</v>
      </c>
      <c r="D10993" t="s">
        <v>67</v>
      </c>
      <c r="E10993" t="s">
        <v>67</v>
      </c>
      <c r="F10993" t="s">
        <v>27987</v>
      </c>
      <c r="G10993" s="117">
        <v>4.8899999999999997</v>
      </c>
    </row>
    <row r="10994" spans="1:7" x14ac:dyDescent="0.25">
      <c r="A10994" s="116" t="s">
        <v>17445</v>
      </c>
      <c r="B10994" s="117" t="s">
        <v>17446</v>
      </c>
      <c r="C10994" t="s">
        <v>67</v>
      </c>
      <c r="D10994" t="s">
        <v>67</v>
      </c>
      <c r="E10994" t="s">
        <v>67</v>
      </c>
      <c r="F10994" t="s">
        <v>27987</v>
      </c>
      <c r="G10994" s="117">
        <v>5.79</v>
      </c>
    </row>
    <row r="10995" spans="1:7" x14ac:dyDescent="0.25">
      <c r="A10995" s="116" t="s">
        <v>17447</v>
      </c>
      <c r="B10995" s="117" t="s">
        <v>17448</v>
      </c>
      <c r="C10995" t="s">
        <v>67</v>
      </c>
      <c r="D10995" t="s">
        <v>67</v>
      </c>
      <c r="E10995" t="s">
        <v>67</v>
      </c>
      <c r="F10995" t="s">
        <v>45</v>
      </c>
      <c r="G10995" s="117">
        <v>18.239999999999998</v>
      </c>
    </row>
    <row r="10996" spans="1:7" x14ac:dyDescent="0.25">
      <c r="A10996" s="116" t="s">
        <v>17449</v>
      </c>
      <c r="B10996" s="117" t="s">
        <v>17450</v>
      </c>
      <c r="C10996" t="s">
        <v>67</v>
      </c>
      <c r="D10996" t="s">
        <v>67</v>
      </c>
      <c r="E10996" t="s">
        <v>67</v>
      </c>
      <c r="F10996" t="s">
        <v>27987</v>
      </c>
      <c r="G10996" s="117">
        <v>14.14</v>
      </c>
    </row>
    <row r="10997" spans="1:7" x14ac:dyDescent="0.25">
      <c r="A10997" s="116" t="s">
        <v>17451</v>
      </c>
      <c r="B10997" s="117" t="s">
        <v>832</v>
      </c>
      <c r="C10997" t="s">
        <v>67</v>
      </c>
      <c r="D10997" t="s">
        <v>67</v>
      </c>
      <c r="E10997" t="s">
        <v>67</v>
      </c>
      <c r="F10997" t="s">
        <v>27987</v>
      </c>
      <c r="G10997" s="117">
        <v>14.14</v>
      </c>
    </row>
    <row r="10998" spans="1:7" x14ac:dyDescent="0.25">
      <c r="A10998" s="116" t="s">
        <v>17452</v>
      </c>
      <c r="B10998" s="117" t="s">
        <v>17453</v>
      </c>
      <c r="C10998" t="s">
        <v>67</v>
      </c>
      <c r="D10998" t="s">
        <v>67</v>
      </c>
      <c r="E10998" t="s">
        <v>67</v>
      </c>
      <c r="F10998" t="s">
        <v>27987</v>
      </c>
      <c r="G10998" s="117">
        <v>14.14</v>
      </c>
    </row>
    <row r="10999" spans="1:7" x14ac:dyDescent="0.25">
      <c r="A10999" s="116" t="s">
        <v>17454</v>
      </c>
      <c r="B10999" s="117" t="s">
        <v>17455</v>
      </c>
      <c r="C10999" t="s">
        <v>67</v>
      </c>
      <c r="D10999" t="s">
        <v>67</v>
      </c>
      <c r="E10999" t="s">
        <v>67</v>
      </c>
      <c r="F10999" t="s">
        <v>27987</v>
      </c>
      <c r="G10999" s="117">
        <v>14.14</v>
      </c>
    </row>
    <row r="11000" spans="1:7" x14ac:dyDescent="0.25">
      <c r="A11000" s="116" t="s">
        <v>17456</v>
      </c>
      <c r="B11000" s="117" t="s">
        <v>17457</v>
      </c>
      <c r="C11000" t="s">
        <v>67</v>
      </c>
      <c r="D11000" t="s">
        <v>67</v>
      </c>
      <c r="E11000" t="s">
        <v>67</v>
      </c>
      <c r="F11000" t="s">
        <v>27987</v>
      </c>
      <c r="G11000" s="117">
        <v>2.58</v>
      </c>
    </row>
    <row r="11001" spans="1:7" x14ac:dyDescent="0.25">
      <c r="A11001" s="116" t="s">
        <v>17458</v>
      </c>
      <c r="B11001" s="117" t="s">
        <v>17459</v>
      </c>
      <c r="C11001" t="s">
        <v>67</v>
      </c>
      <c r="D11001" t="s">
        <v>67</v>
      </c>
      <c r="E11001" t="s">
        <v>67</v>
      </c>
      <c r="F11001" t="s">
        <v>27987</v>
      </c>
      <c r="G11001" s="117">
        <v>2.58</v>
      </c>
    </row>
    <row r="11002" spans="1:7" x14ac:dyDescent="0.25">
      <c r="A11002" s="116" t="s">
        <v>17460</v>
      </c>
      <c r="B11002" s="117" t="s">
        <v>17461</v>
      </c>
      <c r="C11002" t="s">
        <v>67</v>
      </c>
      <c r="D11002" t="s">
        <v>67</v>
      </c>
      <c r="E11002" t="s">
        <v>67</v>
      </c>
      <c r="F11002" t="s">
        <v>27987</v>
      </c>
      <c r="G11002" s="117">
        <v>53.3</v>
      </c>
    </row>
    <row r="11003" spans="1:7" x14ac:dyDescent="0.25">
      <c r="A11003" s="116" t="s">
        <v>17462</v>
      </c>
      <c r="B11003" s="117" t="s">
        <v>17463</v>
      </c>
      <c r="C11003" t="s">
        <v>67</v>
      </c>
      <c r="D11003" t="s">
        <v>67</v>
      </c>
      <c r="E11003" t="s">
        <v>67</v>
      </c>
      <c r="F11003" t="s">
        <v>27987</v>
      </c>
      <c r="G11003" s="117">
        <v>9.6999999999999993</v>
      </c>
    </row>
    <row r="11004" spans="1:7" x14ac:dyDescent="0.25">
      <c r="A11004" s="116" t="s">
        <v>17464</v>
      </c>
      <c r="B11004" s="117" t="s">
        <v>17465</v>
      </c>
      <c r="C11004" t="s">
        <v>67</v>
      </c>
      <c r="D11004" t="s">
        <v>67</v>
      </c>
      <c r="E11004" t="s">
        <v>67</v>
      </c>
      <c r="F11004" t="s">
        <v>45</v>
      </c>
      <c r="G11004" s="117">
        <v>14.14</v>
      </c>
    </row>
    <row r="11005" spans="1:7" x14ac:dyDescent="0.25">
      <c r="A11005" s="116" t="s">
        <v>17466</v>
      </c>
      <c r="B11005" s="117" t="s">
        <v>17467</v>
      </c>
      <c r="C11005" t="s">
        <v>67</v>
      </c>
      <c r="D11005" t="s">
        <v>67</v>
      </c>
      <c r="E11005" t="s">
        <v>67</v>
      </c>
      <c r="F11005" t="s">
        <v>27987</v>
      </c>
      <c r="G11005" s="117">
        <v>39.6</v>
      </c>
    </row>
    <row r="11006" spans="1:7" x14ac:dyDescent="0.25">
      <c r="A11006" s="116" t="s">
        <v>17468</v>
      </c>
      <c r="B11006" s="117" t="s">
        <v>17469</v>
      </c>
      <c r="C11006" t="s">
        <v>67</v>
      </c>
      <c r="D11006" t="s">
        <v>67</v>
      </c>
      <c r="E11006" t="s">
        <v>67</v>
      </c>
      <c r="F11006" t="s">
        <v>27987</v>
      </c>
      <c r="G11006" s="117">
        <v>3.56</v>
      </c>
    </row>
    <row r="11007" spans="1:7" x14ac:dyDescent="0.25">
      <c r="A11007" s="116" t="s">
        <v>29234</v>
      </c>
      <c r="B11007" s="117" t="s">
        <v>30491</v>
      </c>
      <c r="C11007" t="s">
        <v>67</v>
      </c>
      <c r="D11007" t="s">
        <v>67</v>
      </c>
      <c r="E11007" t="s">
        <v>67</v>
      </c>
      <c r="F11007" t="s">
        <v>27987</v>
      </c>
      <c r="G11007" s="117">
        <v>2</v>
      </c>
    </row>
    <row r="11008" spans="1:7" x14ac:dyDescent="0.25">
      <c r="A11008" s="116" t="s">
        <v>17470</v>
      </c>
      <c r="B11008" s="117" t="s">
        <v>17471</v>
      </c>
      <c r="C11008" t="s">
        <v>67</v>
      </c>
      <c r="D11008" t="s">
        <v>67</v>
      </c>
      <c r="E11008" t="s">
        <v>67</v>
      </c>
      <c r="F11008" t="s">
        <v>27987</v>
      </c>
      <c r="G11008" s="117">
        <v>45.3</v>
      </c>
    </row>
    <row r="11009" spans="1:7" x14ac:dyDescent="0.25">
      <c r="A11009" s="116" t="s">
        <v>17472</v>
      </c>
      <c r="B11009" s="117" t="s">
        <v>17473</v>
      </c>
      <c r="C11009" t="s">
        <v>67</v>
      </c>
      <c r="D11009" t="s">
        <v>67</v>
      </c>
      <c r="E11009" t="s">
        <v>67</v>
      </c>
      <c r="F11009" t="s">
        <v>27987</v>
      </c>
      <c r="G11009" s="117">
        <v>14.14</v>
      </c>
    </row>
    <row r="11010" spans="1:7" x14ac:dyDescent="0.25">
      <c r="A11010" s="116" t="s">
        <v>17474</v>
      </c>
      <c r="B11010" s="117" t="s">
        <v>17475</v>
      </c>
      <c r="C11010" t="s">
        <v>67</v>
      </c>
      <c r="D11010" t="s">
        <v>67</v>
      </c>
      <c r="E11010" t="s">
        <v>67</v>
      </c>
      <c r="F11010" t="s">
        <v>27987</v>
      </c>
      <c r="G11010" s="117">
        <v>14.14</v>
      </c>
    </row>
    <row r="11011" spans="1:7" x14ac:dyDescent="0.25">
      <c r="A11011" s="116" t="s">
        <v>17476</v>
      </c>
      <c r="B11011" s="117" t="s">
        <v>17477</v>
      </c>
      <c r="C11011" t="s">
        <v>67</v>
      </c>
      <c r="D11011" t="s">
        <v>67</v>
      </c>
      <c r="E11011" t="s">
        <v>67</v>
      </c>
      <c r="F11011" t="s">
        <v>27987</v>
      </c>
      <c r="G11011" s="117">
        <v>14.14</v>
      </c>
    </row>
    <row r="11012" spans="1:7" x14ac:dyDescent="0.25">
      <c r="A11012" s="116" t="s">
        <v>17478</v>
      </c>
      <c r="B11012" s="117" t="s">
        <v>17479</v>
      </c>
      <c r="C11012" t="s">
        <v>67</v>
      </c>
      <c r="D11012" t="s">
        <v>67</v>
      </c>
      <c r="E11012" t="s">
        <v>67</v>
      </c>
      <c r="F11012" t="s">
        <v>27987</v>
      </c>
      <c r="G11012" s="117">
        <v>14.14</v>
      </c>
    </row>
    <row r="11013" spans="1:7" x14ac:dyDescent="0.25">
      <c r="A11013" s="116" t="s">
        <v>17480</v>
      </c>
      <c r="B11013" s="117" t="s">
        <v>17481</v>
      </c>
      <c r="C11013" t="s">
        <v>67</v>
      </c>
      <c r="D11013" t="s">
        <v>67</v>
      </c>
      <c r="E11013" t="s">
        <v>67</v>
      </c>
      <c r="F11013" t="s">
        <v>27987</v>
      </c>
      <c r="G11013" s="117">
        <v>33.729999999999997</v>
      </c>
    </row>
    <row r="11014" spans="1:7" x14ac:dyDescent="0.25">
      <c r="A11014" s="116" t="s">
        <v>17482</v>
      </c>
      <c r="B11014" s="117" t="s">
        <v>29235</v>
      </c>
      <c r="C11014" t="s">
        <v>67</v>
      </c>
      <c r="D11014" t="s">
        <v>67</v>
      </c>
      <c r="E11014" t="s">
        <v>67</v>
      </c>
      <c r="F11014" t="s">
        <v>27987</v>
      </c>
      <c r="G11014" s="117">
        <v>23.8</v>
      </c>
    </row>
    <row r="11015" spans="1:7" x14ac:dyDescent="0.25">
      <c r="A11015" s="116" t="s">
        <v>17483</v>
      </c>
      <c r="B11015" s="117" t="s">
        <v>17484</v>
      </c>
      <c r="C11015" t="s">
        <v>67</v>
      </c>
      <c r="D11015" t="s">
        <v>67</v>
      </c>
      <c r="E11015" t="s">
        <v>67</v>
      </c>
      <c r="F11015" t="s">
        <v>27987</v>
      </c>
      <c r="G11015" s="117">
        <v>10.58</v>
      </c>
    </row>
    <row r="11016" spans="1:7" x14ac:dyDescent="0.25">
      <c r="A11016" s="116" t="s">
        <v>17485</v>
      </c>
      <c r="B11016" s="117" t="s">
        <v>17486</v>
      </c>
      <c r="C11016" t="s">
        <v>67</v>
      </c>
      <c r="D11016" t="s">
        <v>67</v>
      </c>
      <c r="E11016" t="s">
        <v>67</v>
      </c>
      <c r="F11016" t="s">
        <v>27987</v>
      </c>
      <c r="G11016" s="117">
        <v>4</v>
      </c>
    </row>
    <row r="11017" spans="1:7" x14ac:dyDescent="0.25">
      <c r="A11017" s="116" t="s">
        <v>17487</v>
      </c>
      <c r="B11017" s="117" t="s">
        <v>17488</v>
      </c>
      <c r="C11017" t="s">
        <v>67</v>
      </c>
      <c r="D11017" t="s">
        <v>67</v>
      </c>
      <c r="E11017" t="s">
        <v>67</v>
      </c>
      <c r="F11017" t="s">
        <v>27987</v>
      </c>
      <c r="G11017" s="117">
        <v>3.56</v>
      </c>
    </row>
    <row r="11018" spans="1:7" x14ac:dyDescent="0.25">
      <c r="A11018" s="116" t="s">
        <v>17489</v>
      </c>
      <c r="B11018" s="117" t="s">
        <v>17490</v>
      </c>
      <c r="C11018" t="s">
        <v>67</v>
      </c>
      <c r="D11018" t="s">
        <v>67</v>
      </c>
      <c r="E11018" t="s">
        <v>67</v>
      </c>
      <c r="F11018" t="s">
        <v>27987</v>
      </c>
      <c r="G11018" s="117">
        <v>3.56</v>
      </c>
    </row>
    <row r="11019" spans="1:7" x14ac:dyDescent="0.25">
      <c r="A11019" s="116" t="s">
        <v>17491</v>
      </c>
      <c r="B11019" s="117" t="s">
        <v>17492</v>
      </c>
      <c r="C11019" t="s">
        <v>67</v>
      </c>
      <c r="D11019" t="s">
        <v>67</v>
      </c>
      <c r="E11019" t="s">
        <v>67</v>
      </c>
      <c r="F11019" t="s">
        <v>27987</v>
      </c>
      <c r="G11019" s="117">
        <v>7.02</v>
      </c>
    </row>
    <row r="11020" spans="1:7" x14ac:dyDescent="0.25">
      <c r="A11020" s="116" t="s">
        <v>17493</v>
      </c>
      <c r="B11020" s="117" t="s">
        <v>17494</v>
      </c>
      <c r="C11020" t="s">
        <v>67</v>
      </c>
      <c r="D11020" t="s">
        <v>67</v>
      </c>
      <c r="E11020" t="s">
        <v>67</v>
      </c>
      <c r="F11020" t="s">
        <v>27987</v>
      </c>
      <c r="G11020" s="117">
        <v>2.58</v>
      </c>
    </row>
    <row r="11021" spans="1:7" x14ac:dyDescent="0.25">
      <c r="A11021" s="116" t="s">
        <v>17495</v>
      </c>
      <c r="B11021" s="117" t="s">
        <v>17496</v>
      </c>
      <c r="C11021" t="s">
        <v>67</v>
      </c>
      <c r="D11021" t="s">
        <v>67</v>
      </c>
      <c r="E11021" t="s">
        <v>67</v>
      </c>
      <c r="F11021" t="s">
        <v>27987</v>
      </c>
      <c r="G11021" s="117">
        <v>16.82</v>
      </c>
    </row>
    <row r="11022" spans="1:7" x14ac:dyDescent="0.25">
      <c r="A11022" s="116" t="s">
        <v>17497</v>
      </c>
      <c r="B11022" s="117" t="s">
        <v>17498</v>
      </c>
      <c r="C11022" t="s">
        <v>67</v>
      </c>
      <c r="D11022" t="s">
        <v>67</v>
      </c>
      <c r="E11022" t="s">
        <v>67</v>
      </c>
      <c r="F11022" t="s">
        <v>27987</v>
      </c>
      <c r="G11022" s="117">
        <v>1.69</v>
      </c>
    </row>
    <row r="11023" spans="1:7" x14ac:dyDescent="0.25">
      <c r="A11023" s="116" t="s">
        <v>17499</v>
      </c>
      <c r="B11023" s="117" t="s">
        <v>17500</v>
      </c>
      <c r="C11023" t="s">
        <v>67</v>
      </c>
      <c r="D11023" t="s">
        <v>67</v>
      </c>
      <c r="E11023" t="s">
        <v>67</v>
      </c>
      <c r="F11023" t="s">
        <v>45</v>
      </c>
      <c r="G11023" s="117">
        <v>23.94</v>
      </c>
    </row>
    <row r="11024" spans="1:7" x14ac:dyDescent="0.25">
      <c r="A11024" s="116" t="s">
        <v>17501</v>
      </c>
      <c r="B11024" s="117" t="s">
        <v>17502</v>
      </c>
      <c r="C11024" t="s">
        <v>67</v>
      </c>
      <c r="D11024" t="s">
        <v>67</v>
      </c>
      <c r="E11024" t="s">
        <v>67</v>
      </c>
      <c r="F11024" t="s">
        <v>45</v>
      </c>
      <c r="G11024" s="117">
        <v>10.58</v>
      </c>
    </row>
    <row r="11025" spans="1:7" x14ac:dyDescent="0.25">
      <c r="A11025" s="116" t="s">
        <v>17503</v>
      </c>
      <c r="B11025" s="117" t="s">
        <v>17504</v>
      </c>
      <c r="C11025" t="s">
        <v>67</v>
      </c>
      <c r="D11025" t="s">
        <v>67</v>
      </c>
      <c r="E11025" t="s">
        <v>67</v>
      </c>
      <c r="F11025" t="s">
        <v>45</v>
      </c>
      <c r="G11025" s="117">
        <v>26.25</v>
      </c>
    </row>
    <row r="11026" spans="1:7" x14ac:dyDescent="0.25">
      <c r="A11026" s="116" t="s">
        <v>17505</v>
      </c>
      <c r="B11026" s="117" t="s">
        <v>17506</v>
      </c>
      <c r="C11026" t="s">
        <v>67</v>
      </c>
      <c r="D11026" t="s">
        <v>67</v>
      </c>
      <c r="E11026" t="s">
        <v>67</v>
      </c>
      <c r="F11026" t="s">
        <v>27987</v>
      </c>
      <c r="G11026" s="117">
        <v>11.48</v>
      </c>
    </row>
    <row r="11027" spans="1:7" x14ac:dyDescent="0.25">
      <c r="A11027" s="116" t="s">
        <v>17507</v>
      </c>
      <c r="B11027" s="117" t="s">
        <v>17508</v>
      </c>
      <c r="C11027" t="s">
        <v>67</v>
      </c>
      <c r="D11027" t="s">
        <v>67</v>
      </c>
      <c r="E11027" t="s">
        <v>67</v>
      </c>
      <c r="F11027" t="s">
        <v>27987</v>
      </c>
      <c r="G11027" s="117">
        <v>6.68</v>
      </c>
    </row>
    <row r="11028" spans="1:7" x14ac:dyDescent="0.25">
      <c r="A11028" s="116" t="s">
        <v>17509</v>
      </c>
      <c r="B11028" s="117" t="s">
        <v>17510</v>
      </c>
      <c r="C11028" t="s">
        <v>67</v>
      </c>
      <c r="D11028" t="s">
        <v>67</v>
      </c>
      <c r="E11028" t="s">
        <v>67</v>
      </c>
      <c r="F11028" t="s">
        <v>27987</v>
      </c>
      <c r="G11028" s="117">
        <v>9.6999999999999993</v>
      </c>
    </row>
    <row r="11029" spans="1:7" x14ac:dyDescent="0.25">
      <c r="A11029" s="116" t="s">
        <v>17511</v>
      </c>
      <c r="B11029" s="117" t="s">
        <v>17512</v>
      </c>
      <c r="C11029" t="s">
        <v>67</v>
      </c>
      <c r="D11029" t="s">
        <v>67</v>
      </c>
      <c r="E11029" t="s">
        <v>67</v>
      </c>
      <c r="F11029" t="s">
        <v>27987</v>
      </c>
      <c r="G11029" s="117">
        <v>15.57</v>
      </c>
    </row>
    <row r="11030" spans="1:7" x14ac:dyDescent="0.25">
      <c r="A11030" s="116" t="s">
        <v>17513</v>
      </c>
      <c r="B11030" s="117" t="s">
        <v>17514</v>
      </c>
      <c r="C11030" t="s">
        <v>67</v>
      </c>
      <c r="D11030" t="s">
        <v>67</v>
      </c>
      <c r="E11030" t="s">
        <v>67</v>
      </c>
      <c r="F11030" t="s">
        <v>27987</v>
      </c>
      <c r="G11030" s="117">
        <v>9.6999999999999993</v>
      </c>
    </row>
    <row r="11031" spans="1:7" x14ac:dyDescent="0.25">
      <c r="A11031" s="116" t="s">
        <v>17515</v>
      </c>
      <c r="B11031" s="117" t="s">
        <v>14111</v>
      </c>
      <c r="C11031" t="s">
        <v>67</v>
      </c>
      <c r="D11031" t="s">
        <v>67</v>
      </c>
      <c r="E11031" t="s">
        <v>67</v>
      </c>
      <c r="F11031" t="s">
        <v>27987</v>
      </c>
      <c r="G11031" s="117">
        <v>4</v>
      </c>
    </row>
    <row r="11032" spans="1:7" x14ac:dyDescent="0.25">
      <c r="A11032" s="116" t="s">
        <v>17516</v>
      </c>
      <c r="B11032" s="117" t="s">
        <v>17517</v>
      </c>
      <c r="C11032" t="s">
        <v>67</v>
      </c>
      <c r="D11032" t="s">
        <v>67</v>
      </c>
      <c r="E11032" t="s">
        <v>67</v>
      </c>
      <c r="F11032" t="s">
        <v>27987</v>
      </c>
      <c r="G11032" s="117">
        <v>33.729999999999997</v>
      </c>
    </row>
    <row r="11033" spans="1:7" x14ac:dyDescent="0.25">
      <c r="A11033" s="116" t="s">
        <v>17518</v>
      </c>
      <c r="B11033" s="117" t="s">
        <v>17519</v>
      </c>
      <c r="C11033" t="s">
        <v>67</v>
      </c>
      <c r="D11033" t="s">
        <v>67</v>
      </c>
      <c r="E11033" t="s">
        <v>67</v>
      </c>
      <c r="F11033" t="s">
        <v>27987</v>
      </c>
      <c r="G11033" s="117">
        <v>1.33</v>
      </c>
    </row>
    <row r="11034" spans="1:7" x14ac:dyDescent="0.25">
      <c r="A11034" s="116" t="s">
        <v>17520</v>
      </c>
      <c r="B11034" s="117" t="s">
        <v>17521</v>
      </c>
      <c r="C11034" t="s">
        <v>67</v>
      </c>
      <c r="D11034" t="s">
        <v>67</v>
      </c>
      <c r="E11034" t="s">
        <v>67</v>
      </c>
      <c r="F11034" t="s">
        <v>27987</v>
      </c>
      <c r="G11034" s="117">
        <v>1.33</v>
      </c>
    </row>
    <row r="11035" spans="1:7" x14ac:dyDescent="0.25">
      <c r="A11035" s="116" t="s">
        <v>17522</v>
      </c>
      <c r="B11035" s="117" t="s">
        <v>17523</v>
      </c>
      <c r="C11035" t="s">
        <v>67</v>
      </c>
      <c r="D11035" t="s">
        <v>67</v>
      </c>
      <c r="E11035" t="s">
        <v>67</v>
      </c>
      <c r="F11035" t="s">
        <v>27987</v>
      </c>
      <c r="G11035" s="117">
        <v>0.8</v>
      </c>
    </row>
    <row r="11036" spans="1:7" x14ac:dyDescent="0.25">
      <c r="A11036" s="116" t="s">
        <v>17524</v>
      </c>
      <c r="B11036" s="117" t="s">
        <v>17525</v>
      </c>
      <c r="C11036" t="s">
        <v>67</v>
      </c>
      <c r="D11036" t="s">
        <v>67</v>
      </c>
      <c r="E11036" t="s">
        <v>67</v>
      </c>
      <c r="F11036" t="s">
        <v>27987</v>
      </c>
      <c r="G11036" s="117">
        <v>12.37</v>
      </c>
    </row>
    <row r="11037" spans="1:7" x14ac:dyDescent="0.25">
      <c r="A11037" s="116" t="s">
        <v>17526</v>
      </c>
      <c r="B11037" s="117" t="s">
        <v>17527</v>
      </c>
      <c r="C11037" t="s">
        <v>67</v>
      </c>
      <c r="D11037" t="s">
        <v>67</v>
      </c>
      <c r="E11037" t="s">
        <v>67</v>
      </c>
      <c r="F11037" t="s">
        <v>27987</v>
      </c>
      <c r="G11037" s="117">
        <v>9.35</v>
      </c>
    </row>
    <row r="11038" spans="1:7" x14ac:dyDescent="0.25">
      <c r="A11038" s="116" t="s">
        <v>17528</v>
      </c>
      <c r="B11038" s="117" t="s">
        <v>17529</v>
      </c>
      <c r="C11038" t="s">
        <v>67</v>
      </c>
      <c r="D11038" t="s">
        <v>67</v>
      </c>
      <c r="E11038" t="s">
        <v>67</v>
      </c>
      <c r="F11038" t="s">
        <v>45</v>
      </c>
      <c r="G11038" s="117">
        <v>59.18</v>
      </c>
    </row>
    <row r="11039" spans="1:7" x14ac:dyDescent="0.25">
      <c r="A11039" s="116" t="s">
        <v>17530</v>
      </c>
      <c r="B11039" s="117" t="s">
        <v>17531</v>
      </c>
      <c r="C11039" t="s">
        <v>67</v>
      </c>
      <c r="D11039" t="s">
        <v>67</v>
      </c>
      <c r="E11039" t="s">
        <v>67</v>
      </c>
      <c r="F11039" t="s">
        <v>27987</v>
      </c>
      <c r="G11039" s="117">
        <v>88.54</v>
      </c>
    </row>
    <row r="11040" spans="1:7" x14ac:dyDescent="0.25">
      <c r="A11040" s="116" t="s">
        <v>17532</v>
      </c>
      <c r="B11040" s="117" t="s">
        <v>17533</v>
      </c>
      <c r="C11040" t="s">
        <v>67</v>
      </c>
      <c r="D11040" t="s">
        <v>67</v>
      </c>
      <c r="E11040" t="s">
        <v>67</v>
      </c>
      <c r="F11040" t="s">
        <v>27987</v>
      </c>
      <c r="G11040" s="117">
        <v>76.98</v>
      </c>
    </row>
    <row r="11041" spans="1:7" x14ac:dyDescent="0.25">
      <c r="A11041" s="116" t="s">
        <v>17534</v>
      </c>
      <c r="B11041" s="117" t="s">
        <v>17535</v>
      </c>
      <c r="C11041" t="s">
        <v>67</v>
      </c>
      <c r="D11041" t="s">
        <v>67</v>
      </c>
      <c r="E11041" t="s">
        <v>67</v>
      </c>
      <c r="F11041" t="s">
        <v>27987</v>
      </c>
      <c r="G11041" s="117">
        <v>76.98</v>
      </c>
    </row>
    <row r="11042" spans="1:7" x14ac:dyDescent="0.25">
      <c r="A11042" s="116" t="s">
        <v>17536</v>
      </c>
      <c r="B11042" s="117" t="s">
        <v>17537</v>
      </c>
      <c r="C11042" t="s">
        <v>67</v>
      </c>
      <c r="D11042" t="s">
        <v>67</v>
      </c>
      <c r="E11042" t="s">
        <v>67</v>
      </c>
      <c r="F11042" t="s">
        <v>27987</v>
      </c>
      <c r="G11042" s="117">
        <v>41.38</v>
      </c>
    </row>
    <row r="11043" spans="1:7" x14ac:dyDescent="0.25">
      <c r="A11043" s="116" t="s">
        <v>17538</v>
      </c>
      <c r="B11043" s="117" t="s">
        <v>17539</v>
      </c>
      <c r="C11043" t="s">
        <v>67</v>
      </c>
      <c r="D11043" t="s">
        <v>67</v>
      </c>
      <c r="E11043" t="s">
        <v>67</v>
      </c>
      <c r="F11043" t="s">
        <v>27987</v>
      </c>
      <c r="G11043" s="117">
        <v>76.98</v>
      </c>
    </row>
    <row r="11044" spans="1:7" x14ac:dyDescent="0.25">
      <c r="A11044" s="116" t="s">
        <v>17540</v>
      </c>
      <c r="B11044" s="117" t="s">
        <v>17541</v>
      </c>
      <c r="C11044" t="s">
        <v>67</v>
      </c>
      <c r="D11044" t="s">
        <v>67</v>
      </c>
      <c r="E11044" t="s">
        <v>67</v>
      </c>
      <c r="F11044" t="s">
        <v>27987</v>
      </c>
      <c r="G11044" s="117">
        <v>36.93</v>
      </c>
    </row>
    <row r="11045" spans="1:7" x14ac:dyDescent="0.25">
      <c r="A11045" s="116" t="s">
        <v>17542</v>
      </c>
      <c r="B11045" s="117" t="s">
        <v>17543</v>
      </c>
      <c r="C11045" t="s">
        <v>67</v>
      </c>
      <c r="D11045" t="s">
        <v>67</v>
      </c>
      <c r="E11045" t="s">
        <v>67</v>
      </c>
      <c r="F11045" t="s">
        <v>27987</v>
      </c>
      <c r="G11045" s="117">
        <v>64.87</v>
      </c>
    </row>
    <row r="11046" spans="1:7" x14ac:dyDescent="0.25">
      <c r="A11046" s="116" t="s">
        <v>17544</v>
      </c>
      <c r="B11046" s="117" t="s">
        <v>17545</v>
      </c>
      <c r="C11046" t="s">
        <v>67</v>
      </c>
      <c r="D11046" t="s">
        <v>67</v>
      </c>
      <c r="E11046" t="s">
        <v>67</v>
      </c>
      <c r="F11046" t="s">
        <v>27987</v>
      </c>
      <c r="G11046" s="117">
        <v>74.66</v>
      </c>
    </row>
    <row r="11047" spans="1:7" x14ac:dyDescent="0.25">
      <c r="A11047" s="116" t="s">
        <v>17546</v>
      </c>
      <c r="B11047" s="117" t="s">
        <v>17547</v>
      </c>
      <c r="C11047" t="s">
        <v>67</v>
      </c>
      <c r="D11047" t="s">
        <v>67</v>
      </c>
      <c r="E11047" t="s">
        <v>67</v>
      </c>
      <c r="F11047" t="s">
        <v>27987</v>
      </c>
      <c r="G11047" s="117">
        <v>19.13</v>
      </c>
    </row>
    <row r="11048" spans="1:7" x14ac:dyDescent="0.25">
      <c r="A11048" s="116" t="s">
        <v>17548</v>
      </c>
      <c r="B11048" s="117" t="s">
        <v>17549</v>
      </c>
      <c r="C11048" t="s">
        <v>67</v>
      </c>
      <c r="D11048" t="s">
        <v>67</v>
      </c>
      <c r="E11048" t="s">
        <v>67</v>
      </c>
      <c r="F11048" t="s">
        <v>27987</v>
      </c>
      <c r="G11048" s="117">
        <v>36.93</v>
      </c>
    </row>
    <row r="11049" spans="1:7" x14ac:dyDescent="0.25">
      <c r="A11049" s="116" t="s">
        <v>17550</v>
      </c>
      <c r="B11049" s="117" t="s">
        <v>17551</v>
      </c>
      <c r="C11049" t="s">
        <v>67</v>
      </c>
      <c r="D11049" t="s">
        <v>67</v>
      </c>
      <c r="E11049" t="s">
        <v>67</v>
      </c>
      <c r="F11049" t="s">
        <v>27987</v>
      </c>
      <c r="G11049" s="117">
        <v>10.58</v>
      </c>
    </row>
    <row r="11050" spans="1:7" x14ac:dyDescent="0.25">
      <c r="A11050" s="116" t="s">
        <v>17552</v>
      </c>
      <c r="B11050" s="117" t="s">
        <v>17553</v>
      </c>
      <c r="C11050" t="s">
        <v>67</v>
      </c>
      <c r="D11050" t="s">
        <v>67</v>
      </c>
      <c r="E11050" t="s">
        <v>67</v>
      </c>
      <c r="F11050" t="s">
        <v>27987</v>
      </c>
      <c r="G11050" s="117">
        <v>10.58</v>
      </c>
    </row>
    <row r="11051" spans="1:7" x14ac:dyDescent="0.25">
      <c r="A11051" s="116" t="s">
        <v>29236</v>
      </c>
      <c r="B11051" s="117" t="s">
        <v>31142</v>
      </c>
      <c r="C11051" t="s">
        <v>67</v>
      </c>
      <c r="D11051" t="s">
        <v>67</v>
      </c>
      <c r="E11051" t="s">
        <v>67</v>
      </c>
      <c r="F11051" t="s">
        <v>27987</v>
      </c>
      <c r="G11051" s="117">
        <v>2</v>
      </c>
    </row>
    <row r="11052" spans="1:7" x14ac:dyDescent="0.25">
      <c r="A11052" s="116" t="s">
        <v>17554</v>
      </c>
      <c r="B11052" s="117" t="s">
        <v>17555</v>
      </c>
      <c r="C11052" t="s">
        <v>67</v>
      </c>
      <c r="D11052" t="s">
        <v>67</v>
      </c>
      <c r="E11052" t="s">
        <v>67</v>
      </c>
      <c r="F11052" t="s">
        <v>27987</v>
      </c>
      <c r="G11052" s="117">
        <v>4.8899999999999997</v>
      </c>
    </row>
    <row r="11053" spans="1:7" x14ac:dyDescent="0.25">
      <c r="A11053" s="116" t="s">
        <v>17556</v>
      </c>
      <c r="B11053" s="117" t="s">
        <v>17557</v>
      </c>
      <c r="C11053" t="s">
        <v>67</v>
      </c>
      <c r="D11053" t="s">
        <v>67</v>
      </c>
      <c r="E11053" t="s">
        <v>67</v>
      </c>
      <c r="F11053" t="s">
        <v>27987</v>
      </c>
      <c r="G11053" s="117">
        <v>19.13</v>
      </c>
    </row>
    <row r="11054" spans="1:7" x14ac:dyDescent="0.25">
      <c r="A11054" s="116" t="s">
        <v>17558</v>
      </c>
      <c r="B11054" s="117" t="s">
        <v>17559</v>
      </c>
      <c r="C11054" t="s">
        <v>67</v>
      </c>
      <c r="D11054" t="s">
        <v>67</v>
      </c>
      <c r="E11054" t="s">
        <v>67</v>
      </c>
      <c r="F11054" t="s">
        <v>27987</v>
      </c>
      <c r="G11054" s="117">
        <v>4.3600000000000003</v>
      </c>
    </row>
    <row r="11055" spans="1:7" x14ac:dyDescent="0.25">
      <c r="A11055" s="116" t="s">
        <v>17560</v>
      </c>
      <c r="B11055" s="117" t="s">
        <v>17561</v>
      </c>
      <c r="C11055" t="s">
        <v>67</v>
      </c>
      <c r="D11055" t="s">
        <v>67</v>
      </c>
      <c r="E11055" t="s">
        <v>67</v>
      </c>
      <c r="F11055" t="s">
        <v>27987</v>
      </c>
      <c r="G11055" s="117">
        <v>21.26</v>
      </c>
    </row>
    <row r="11056" spans="1:7" x14ac:dyDescent="0.25">
      <c r="A11056" s="116" t="s">
        <v>17562</v>
      </c>
      <c r="B11056" s="117" t="s">
        <v>17563</v>
      </c>
      <c r="C11056" t="s">
        <v>67</v>
      </c>
      <c r="D11056" t="s">
        <v>67</v>
      </c>
      <c r="E11056" t="s">
        <v>67</v>
      </c>
      <c r="F11056" t="s">
        <v>45</v>
      </c>
      <c r="G11056" s="117">
        <v>180.19</v>
      </c>
    </row>
    <row r="11057" spans="1:7" x14ac:dyDescent="0.25">
      <c r="A11057" s="116" t="s">
        <v>17564</v>
      </c>
      <c r="B11057" s="117" t="s">
        <v>17565</v>
      </c>
      <c r="C11057" t="s">
        <v>67</v>
      </c>
      <c r="D11057" t="s">
        <v>67</v>
      </c>
      <c r="E11057" t="s">
        <v>67</v>
      </c>
      <c r="F11057" t="s">
        <v>27987</v>
      </c>
      <c r="G11057" s="117">
        <v>181.08</v>
      </c>
    </row>
    <row r="11058" spans="1:7" x14ac:dyDescent="0.25">
      <c r="A11058" s="116" t="s">
        <v>17566</v>
      </c>
      <c r="B11058" s="117" t="s">
        <v>17567</v>
      </c>
      <c r="C11058" t="s">
        <v>67</v>
      </c>
      <c r="D11058" t="s">
        <v>67</v>
      </c>
      <c r="E11058" t="s">
        <v>67</v>
      </c>
      <c r="F11058" t="s">
        <v>27987</v>
      </c>
      <c r="G11058" s="117">
        <v>74.3</v>
      </c>
    </row>
    <row r="11059" spans="1:7" x14ac:dyDescent="0.25">
      <c r="A11059" s="116" t="s">
        <v>17568</v>
      </c>
      <c r="B11059" s="117" t="s">
        <v>17569</v>
      </c>
      <c r="C11059" t="s">
        <v>67</v>
      </c>
      <c r="D11059" t="s">
        <v>67</v>
      </c>
      <c r="E11059" t="s">
        <v>67</v>
      </c>
      <c r="F11059" t="s">
        <v>27987</v>
      </c>
      <c r="G11059" s="117">
        <v>60.42</v>
      </c>
    </row>
    <row r="11060" spans="1:7" x14ac:dyDescent="0.25">
      <c r="A11060" s="116" t="s">
        <v>17570</v>
      </c>
      <c r="B11060" s="117" t="s">
        <v>17571</v>
      </c>
      <c r="C11060" t="s">
        <v>67</v>
      </c>
      <c r="D11060" t="s">
        <v>67</v>
      </c>
      <c r="E11060" t="s">
        <v>67</v>
      </c>
      <c r="F11060" t="s">
        <v>27987</v>
      </c>
      <c r="G11060" s="117">
        <v>67.540000000000006</v>
      </c>
    </row>
    <row r="11061" spans="1:7" x14ac:dyDescent="0.25">
      <c r="A11061" s="116" t="s">
        <v>17572</v>
      </c>
      <c r="B11061" s="117" t="s">
        <v>17573</v>
      </c>
      <c r="C11061" t="s">
        <v>67</v>
      </c>
      <c r="D11061" t="s">
        <v>67</v>
      </c>
      <c r="E11061" t="s">
        <v>67</v>
      </c>
      <c r="F11061" t="s">
        <v>27987</v>
      </c>
      <c r="G11061" s="117">
        <v>17.7</v>
      </c>
    </row>
    <row r="11062" spans="1:7" x14ac:dyDescent="0.25">
      <c r="A11062" s="116" t="s">
        <v>17574</v>
      </c>
      <c r="B11062" s="117" t="s">
        <v>17575</v>
      </c>
      <c r="C11062" t="s">
        <v>67</v>
      </c>
      <c r="D11062" t="s">
        <v>67</v>
      </c>
      <c r="E11062" t="s">
        <v>67</v>
      </c>
      <c r="F11062" t="s">
        <v>27987</v>
      </c>
      <c r="G11062" s="117">
        <v>2.58</v>
      </c>
    </row>
    <row r="11063" spans="1:7" x14ac:dyDescent="0.25">
      <c r="A11063" s="116" t="s">
        <v>17576</v>
      </c>
      <c r="B11063" s="117" t="s">
        <v>17577</v>
      </c>
      <c r="C11063" t="s">
        <v>67</v>
      </c>
      <c r="D11063" t="s">
        <v>67</v>
      </c>
      <c r="E11063" t="s">
        <v>67</v>
      </c>
      <c r="F11063" t="s">
        <v>27987</v>
      </c>
      <c r="G11063" s="117">
        <v>1.69</v>
      </c>
    </row>
    <row r="11064" spans="1:7" x14ac:dyDescent="0.25">
      <c r="A11064" s="116" t="s">
        <v>17578</v>
      </c>
      <c r="B11064" s="117" t="s">
        <v>17579</v>
      </c>
      <c r="C11064" t="s">
        <v>67</v>
      </c>
      <c r="D11064" t="s">
        <v>67</v>
      </c>
      <c r="E11064" t="s">
        <v>67</v>
      </c>
      <c r="F11064" t="s">
        <v>27987</v>
      </c>
      <c r="G11064" s="117">
        <v>2.23</v>
      </c>
    </row>
    <row r="11065" spans="1:7" x14ac:dyDescent="0.25">
      <c r="A11065" s="116" t="s">
        <v>17580</v>
      </c>
      <c r="B11065" s="117" t="s">
        <v>17581</v>
      </c>
      <c r="C11065" t="s">
        <v>67</v>
      </c>
      <c r="D11065" t="s">
        <v>67</v>
      </c>
      <c r="E11065" t="s">
        <v>67</v>
      </c>
      <c r="F11065" t="s">
        <v>27987</v>
      </c>
      <c r="G11065" s="117">
        <v>1.33</v>
      </c>
    </row>
    <row r="11066" spans="1:7" x14ac:dyDescent="0.25">
      <c r="A11066" s="116" t="s">
        <v>17582</v>
      </c>
      <c r="B11066" s="117" t="s">
        <v>17583</v>
      </c>
      <c r="C11066" t="s">
        <v>67</v>
      </c>
      <c r="D11066" t="s">
        <v>67</v>
      </c>
      <c r="E11066" t="s">
        <v>67</v>
      </c>
      <c r="F11066" t="s">
        <v>45</v>
      </c>
      <c r="G11066" s="117">
        <v>1.33</v>
      </c>
    </row>
    <row r="11067" spans="1:7" x14ac:dyDescent="0.25">
      <c r="A11067" s="116" t="s">
        <v>17584</v>
      </c>
      <c r="B11067" s="117" t="s">
        <v>17585</v>
      </c>
      <c r="C11067" t="s">
        <v>67</v>
      </c>
      <c r="D11067" t="s">
        <v>67</v>
      </c>
      <c r="E11067" t="s">
        <v>67</v>
      </c>
      <c r="F11067" t="s">
        <v>27987</v>
      </c>
      <c r="G11067" s="117">
        <v>15.57</v>
      </c>
    </row>
    <row r="11068" spans="1:7" x14ac:dyDescent="0.25">
      <c r="A11068" s="116" t="s">
        <v>17586</v>
      </c>
      <c r="B11068" s="117" t="s">
        <v>17587</v>
      </c>
      <c r="C11068" t="s">
        <v>67</v>
      </c>
      <c r="D11068" t="s">
        <v>67</v>
      </c>
      <c r="E11068" t="s">
        <v>67</v>
      </c>
      <c r="F11068" t="s">
        <v>45</v>
      </c>
      <c r="G11068" s="117">
        <v>3.56</v>
      </c>
    </row>
    <row r="11069" spans="1:7" x14ac:dyDescent="0.25">
      <c r="A11069" s="116" t="s">
        <v>17588</v>
      </c>
      <c r="B11069" s="117" t="s">
        <v>17589</v>
      </c>
      <c r="C11069" t="s">
        <v>67</v>
      </c>
      <c r="D11069" t="s">
        <v>67</v>
      </c>
      <c r="E11069" t="s">
        <v>67</v>
      </c>
      <c r="F11069" t="s">
        <v>27987</v>
      </c>
      <c r="G11069" s="117">
        <v>33.369999999999997</v>
      </c>
    </row>
    <row r="11070" spans="1:7" x14ac:dyDescent="0.25">
      <c r="A11070" s="116" t="s">
        <v>17590</v>
      </c>
      <c r="B11070" s="117" t="s">
        <v>17591</v>
      </c>
      <c r="C11070" t="s">
        <v>67</v>
      </c>
      <c r="D11070" t="s">
        <v>67</v>
      </c>
      <c r="E11070" t="s">
        <v>67</v>
      </c>
      <c r="F11070" t="s">
        <v>27987</v>
      </c>
      <c r="G11070" s="117">
        <v>47.96</v>
      </c>
    </row>
    <row r="11071" spans="1:7" x14ac:dyDescent="0.25">
      <c r="A11071" s="116" t="s">
        <v>17592</v>
      </c>
      <c r="B11071" s="117" t="s">
        <v>17593</v>
      </c>
      <c r="C11071" t="s">
        <v>67</v>
      </c>
      <c r="D11071" t="s">
        <v>67</v>
      </c>
      <c r="E11071" t="s">
        <v>67</v>
      </c>
      <c r="F11071" t="s">
        <v>45</v>
      </c>
      <c r="G11071" s="117">
        <v>10.58</v>
      </c>
    </row>
    <row r="11072" spans="1:7" x14ac:dyDescent="0.25">
      <c r="A11072" s="116" t="s">
        <v>17594</v>
      </c>
      <c r="B11072" s="117" t="s">
        <v>17595</v>
      </c>
      <c r="C11072" t="s">
        <v>67</v>
      </c>
      <c r="D11072" t="s">
        <v>67</v>
      </c>
      <c r="E11072" t="s">
        <v>67</v>
      </c>
      <c r="F11072" t="s">
        <v>27987</v>
      </c>
      <c r="G11072" s="117">
        <v>10.58</v>
      </c>
    </row>
    <row r="11073" spans="1:7" x14ac:dyDescent="0.25">
      <c r="A11073" s="116" t="s">
        <v>17596</v>
      </c>
      <c r="B11073" s="117" t="s">
        <v>17597</v>
      </c>
      <c r="C11073" t="s">
        <v>67</v>
      </c>
      <c r="D11073" t="s">
        <v>67</v>
      </c>
      <c r="E11073" t="s">
        <v>67</v>
      </c>
      <c r="F11073" t="s">
        <v>27987</v>
      </c>
      <c r="G11073" s="117">
        <v>25.71</v>
      </c>
    </row>
    <row r="11074" spans="1:7" x14ac:dyDescent="0.25">
      <c r="A11074" s="116" t="s">
        <v>17598</v>
      </c>
      <c r="B11074" s="117" t="s">
        <v>17599</v>
      </c>
      <c r="C11074" t="s">
        <v>67</v>
      </c>
      <c r="D11074" t="s">
        <v>67</v>
      </c>
      <c r="E11074" t="s">
        <v>67</v>
      </c>
      <c r="F11074" t="s">
        <v>27987</v>
      </c>
      <c r="G11074" s="117">
        <v>10.58</v>
      </c>
    </row>
    <row r="11075" spans="1:7" x14ac:dyDescent="0.25">
      <c r="A11075" s="116" t="s">
        <v>17600</v>
      </c>
      <c r="B11075" s="117" t="s">
        <v>17601</v>
      </c>
      <c r="C11075" t="s">
        <v>67</v>
      </c>
      <c r="D11075" t="s">
        <v>67</v>
      </c>
      <c r="E11075" t="s">
        <v>67</v>
      </c>
      <c r="F11075" t="s">
        <v>45</v>
      </c>
      <c r="G11075" s="117">
        <v>4.8899999999999997</v>
      </c>
    </row>
    <row r="11076" spans="1:7" x14ac:dyDescent="0.25">
      <c r="A11076" s="116" t="s">
        <v>17602</v>
      </c>
      <c r="B11076" s="117" t="s">
        <v>17603</v>
      </c>
      <c r="C11076" t="s">
        <v>67</v>
      </c>
      <c r="D11076" t="s">
        <v>67</v>
      </c>
      <c r="E11076" t="s">
        <v>67</v>
      </c>
      <c r="F11076" t="s">
        <v>45</v>
      </c>
      <c r="G11076" s="117">
        <v>6.14</v>
      </c>
    </row>
    <row r="11077" spans="1:7" x14ac:dyDescent="0.25">
      <c r="A11077" s="116" t="s">
        <v>17604</v>
      </c>
      <c r="B11077" s="117" t="s">
        <v>17605</v>
      </c>
      <c r="C11077" t="s">
        <v>67</v>
      </c>
      <c r="D11077" t="s">
        <v>67</v>
      </c>
      <c r="E11077" t="s">
        <v>67</v>
      </c>
      <c r="F11077" t="s">
        <v>27987</v>
      </c>
      <c r="G11077" s="117">
        <v>55.98</v>
      </c>
    </row>
    <row r="11078" spans="1:7" x14ac:dyDescent="0.25">
      <c r="A11078" s="116" t="s">
        <v>17606</v>
      </c>
      <c r="B11078" s="117" t="s">
        <v>17607</v>
      </c>
      <c r="C11078" t="s">
        <v>67</v>
      </c>
      <c r="D11078" t="s">
        <v>67</v>
      </c>
      <c r="E11078" t="s">
        <v>67</v>
      </c>
      <c r="F11078" t="s">
        <v>45</v>
      </c>
      <c r="G11078" s="117">
        <v>63.98</v>
      </c>
    </row>
    <row r="11079" spans="1:7" x14ac:dyDescent="0.25">
      <c r="A11079" s="116" t="s">
        <v>17608</v>
      </c>
      <c r="B11079" s="117" t="s">
        <v>17609</v>
      </c>
      <c r="C11079" t="s">
        <v>67</v>
      </c>
      <c r="D11079" t="s">
        <v>67</v>
      </c>
      <c r="E11079" t="s">
        <v>67</v>
      </c>
      <c r="F11079" t="s">
        <v>27987</v>
      </c>
      <c r="G11079" s="117">
        <v>3.12</v>
      </c>
    </row>
    <row r="11080" spans="1:7" x14ac:dyDescent="0.25">
      <c r="A11080" s="116" t="s">
        <v>28206</v>
      </c>
      <c r="B11080" s="117" t="s">
        <v>12709</v>
      </c>
      <c r="C11080" t="s">
        <v>67</v>
      </c>
      <c r="D11080" t="s">
        <v>67</v>
      </c>
      <c r="E11080" t="s">
        <v>67</v>
      </c>
      <c r="F11080" t="s">
        <v>27987</v>
      </c>
      <c r="G11080" s="117">
        <v>3.5</v>
      </c>
    </row>
    <row r="11081" spans="1:7" x14ac:dyDescent="0.25">
      <c r="A11081" s="116" t="s">
        <v>17610</v>
      </c>
      <c r="B11081" s="117" t="s">
        <v>17611</v>
      </c>
      <c r="C11081" t="s">
        <v>67</v>
      </c>
      <c r="D11081" t="s">
        <v>67</v>
      </c>
      <c r="E11081" t="s">
        <v>67</v>
      </c>
      <c r="F11081" t="s">
        <v>27987</v>
      </c>
      <c r="G11081" s="117">
        <v>6.14</v>
      </c>
    </row>
    <row r="11082" spans="1:7" x14ac:dyDescent="0.25">
      <c r="A11082" s="116" t="s">
        <v>17612</v>
      </c>
      <c r="B11082" s="117" t="s">
        <v>17613</v>
      </c>
      <c r="C11082" t="s">
        <v>67</v>
      </c>
      <c r="D11082" t="s">
        <v>67</v>
      </c>
      <c r="E11082" t="s">
        <v>67</v>
      </c>
      <c r="F11082" t="s">
        <v>27987</v>
      </c>
      <c r="G11082" s="117">
        <v>6.14</v>
      </c>
    </row>
    <row r="11083" spans="1:7" x14ac:dyDescent="0.25">
      <c r="A11083" s="116" t="s">
        <v>17614</v>
      </c>
      <c r="B11083" s="117" t="s">
        <v>17615</v>
      </c>
      <c r="C11083" t="s">
        <v>67</v>
      </c>
      <c r="D11083" t="s">
        <v>67</v>
      </c>
      <c r="E11083" t="s">
        <v>67</v>
      </c>
      <c r="F11083" t="s">
        <v>45</v>
      </c>
      <c r="G11083" s="117">
        <v>3.48</v>
      </c>
    </row>
    <row r="11084" spans="1:7" x14ac:dyDescent="0.25">
      <c r="A11084" s="116" t="s">
        <v>17616</v>
      </c>
      <c r="B11084" s="117" t="s">
        <v>17617</v>
      </c>
      <c r="C11084" t="s">
        <v>67</v>
      </c>
      <c r="D11084" t="s">
        <v>67</v>
      </c>
      <c r="E11084" t="s">
        <v>67</v>
      </c>
      <c r="F11084" t="s">
        <v>27987</v>
      </c>
      <c r="G11084" s="117">
        <v>5.25</v>
      </c>
    </row>
    <row r="11085" spans="1:7" x14ac:dyDescent="0.25">
      <c r="A11085" s="116" t="s">
        <v>17618</v>
      </c>
      <c r="B11085" s="117" t="s">
        <v>17619</v>
      </c>
      <c r="C11085" t="s">
        <v>67</v>
      </c>
      <c r="D11085" t="s">
        <v>67</v>
      </c>
      <c r="E11085" t="s">
        <v>67</v>
      </c>
      <c r="F11085" t="s">
        <v>27987</v>
      </c>
      <c r="G11085" s="117">
        <v>2.58</v>
      </c>
    </row>
    <row r="11086" spans="1:7" x14ac:dyDescent="0.25">
      <c r="A11086" s="116" t="s">
        <v>17620</v>
      </c>
      <c r="B11086" s="117" t="s">
        <v>4204</v>
      </c>
      <c r="C11086" t="s">
        <v>67</v>
      </c>
      <c r="D11086" t="s">
        <v>67</v>
      </c>
      <c r="E11086" t="s">
        <v>67</v>
      </c>
      <c r="F11086" t="s">
        <v>45</v>
      </c>
      <c r="G11086" s="117">
        <v>7.56</v>
      </c>
    </row>
    <row r="11087" spans="1:7" x14ac:dyDescent="0.25">
      <c r="A11087" s="116" t="s">
        <v>17621</v>
      </c>
      <c r="B11087" s="117" t="s">
        <v>17622</v>
      </c>
      <c r="C11087" t="s">
        <v>67</v>
      </c>
      <c r="D11087" t="s">
        <v>67</v>
      </c>
      <c r="E11087" t="s">
        <v>67</v>
      </c>
      <c r="F11087" t="s">
        <v>27987</v>
      </c>
      <c r="G11087" s="117">
        <v>5.25</v>
      </c>
    </row>
    <row r="11088" spans="1:7" x14ac:dyDescent="0.25">
      <c r="A11088" s="116" t="s">
        <v>17623</v>
      </c>
      <c r="B11088" s="117" t="s">
        <v>17624</v>
      </c>
      <c r="C11088" t="s">
        <v>67</v>
      </c>
      <c r="D11088" t="s">
        <v>67</v>
      </c>
      <c r="E11088" t="s">
        <v>67</v>
      </c>
      <c r="F11088" t="s">
        <v>27987</v>
      </c>
      <c r="G11088" s="117">
        <v>6.68</v>
      </c>
    </row>
    <row r="11089" spans="1:7" x14ac:dyDescent="0.25">
      <c r="A11089" s="116" t="s">
        <v>17625</v>
      </c>
      <c r="B11089" s="117" t="s">
        <v>17626</v>
      </c>
      <c r="C11089" t="s">
        <v>67</v>
      </c>
      <c r="D11089" t="s">
        <v>67</v>
      </c>
      <c r="E11089" t="s">
        <v>67</v>
      </c>
      <c r="F11089" t="s">
        <v>45</v>
      </c>
      <c r="G11089" s="117">
        <v>4.3600000000000003</v>
      </c>
    </row>
    <row r="11090" spans="1:7" x14ac:dyDescent="0.25">
      <c r="A11090" s="116" t="s">
        <v>17627</v>
      </c>
      <c r="B11090" s="117" t="s">
        <v>17628</v>
      </c>
      <c r="C11090" t="s">
        <v>67</v>
      </c>
      <c r="D11090" t="s">
        <v>67</v>
      </c>
      <c r="E11090" t="s">
        <v>67</v>
      </c>
      <c r="F11090" t="s">
        <v>27987</v>
      </c>
      <c r="G11090" s="117">
        <v>3.48</v>
      </c>
    </row>
    <row r="11091" spans="1:7" x14ac:dyDescent="0.25">
      <c r="A11091" s="116" t="s">
        <v>17629</v>
      </c>
      <c r="B11091" s="117" t="s">
        <v>17630</v>
      </c>
      <c r="C11091" t="s">
        <v>67</v>
      </c>
      <c r="D11091" t="s">
        <v>67</v>
      </c>
      <c r="E11091" t="s">
        <v>67</v>
      </c>
      <c r="F11091" t="s">
        <v>27987</v>
      </c>
      <c r="G11091" s="117">
        <v>16.82</v>
      </c>
    </row>
    <row r="11092" spans="1:7" x14ac:dyDescent="0.25">
      <c r="A11092" s="116" t="s">
        <v>17631</v>
      </c>
      <c r="B11092" s="117" t="s">
        <v>16768</v>
      </c>
      <c r="C11092" t="s">
        <v>67</v>
      </c>
      <c r="D11092" t="s">
        <v>67</v>
      </c>
      <c r="E11092" t="s">
        <v>67</v>
      </c>
      <c r="F11092" t="s">
        <v>27987</v>
      </c>
      <c r="G11092" s="117">
        <v>32.83</v>
      </c>
    </row>
    <row r="11093" spans="1:7" x14ac:dyDescent="0.25">
      <c r="A11093" s="116" t="s">
        <v>17632</v>
      </c>
      <c r="B11093" s="117" t="s">
        <v>16182</v>
      </c>
      <c r="C11093" t="s">
        <v>67</v>
      </c>
      <c r="D11093" t="s">
        <v>67</v>
      </c>
      <c r="E11093" t="s">
        <v>67</v>
      </c>
      <c r="F11093" t="s">
        <v>27987</v>
      </c>
      <c r="G11093" s="117">
        <v>45.3</v>
      </c>
    </row>
    <row r="11094" spans="1:7" x14ac:dyDescent="0.25">
      <c r="A11094" s="116" t="s">
        <v>17633</v>
      </c>
      <c r="B11094" s="117" t="s">
        <v>17634</v>
      </c>
      <c r="C11094" t="s">
        <v>67</v>
      </c>
      <c r="D11094" t="s">
        <v>67</v>
      </c>
      <c r="E11094" t="s">
        <v>67</v>
      </c>
      <c r="F11094" t="s">
        <v>27987</v>
      </c>
      <c r="G11094" s="117">
        <v>11.12</v>
      </c>
    </row>
    <row r="11095" spans="1:7" x14ac:dyDescent="0.25">
      <c r="A11095" s="116" t="s">
        <v>17635</v>
      </c>
      <c r="B11095" s="117" t="s">
        <v>17636</v>
      </c>
      <c r="C11095" t="s">
        <v>67</v>
      </c>
      <c r="D11095" t="s">
        <v>67</v>
      </c>
      <c r="E11095" t="s">
        <v>67</v>
      </c>
      <c r="F11095" t="s">
        <v>27987</v>
      </c>
      <c r="G11095" s="117">
        <v>6.68</v>
      </c>
    </row>
    <row r="11096" spans="1:7" x14ac:dyDescent="0.25">
      <c r="A11096" s="116" t="s">
        <v>17637</v>
      </c>
      <c r="B11096" s="117" t="s">
        <v>17638</v>
      </c>
      <c r="C11096" t="s">
        <v>67</v>
      </c>
      <c r="D11096" t="s">
        <v>67</v>
      </c>
      <c r="E11096" t="s">
        <v>67</v>
      </c>
      <c r="F11096" t="s">
        <v>27987</v>
      </c>
      <c r="G11096" s="117">
        <v>16.82</v>
      </c>
    </row>
    <row r="11097" spans="1:7" x14ac:dyDescent="0.25">
      <c r="A11097" s="116" t="s">
        <v>17639</v>
      </c>
      <c r="B11097" s="117" t="s">
        <v>17640</v>
      </c>
      <c r="C11097" t="s">
        <v>67</v>
      </c>
      <c r="D11097" t="s">
        <v>67</v>
      </c>
      <c r="E11097" t="s">
        <v>67</v>
      </c>
      <c r="F11097" t="s">
        <v>27987</v>
      </c>
      <c r="G11097" s="117">
        <v>30.7</v>
      </c>
    </row>
    <row r="11098" spans="1:7" x14ac:dyDescent="0.25">
      <c r="A11098" s="116" t="s">
        <v>17641</v>
      </c>
      <c r="B11098" s="117" t="s">
        <v>17642</v>
      </c>
      <c r="C11098" t="s">
        <v>67</v>
      </c>
      <c r="D11098" t="s">
        <v>67</v>
      </c>
      <c r="E11098" t="s">
        <v>67</v>
      </c>
      <c r="F11098" t="s">
        <v>27987</v>
      </c>
      <c r="G11098" s="117">
        <v>15.04</v>
      </c>
    </row>
    <row r="11099" spans="1:7" x14ac:dyDescent="0.25">
      <c r="A11099" s="116" t="s">
        <v>17643</v>
      </c>
      <c r="B11099" s="117" t="s">
        <v>17644</v>
      </c>
      <c r="C11099" t="s">
        <v>67</v>
      </c>
      <c r="D11099" t="s">
        <v>67</v>
      </c>
      <c r="E11099" t="s">
        <v>67</v>
      </c>
      <c r="F11099" t="s">
        <v>27987</v>
      </c>
      <c r="G11099" s="117">
        <v>7.92</v>
      </c>
    </row>
    <row r="11100" spans="1:7" x14ac:dyDescent="0.25">
      <c r="A11100" s="116" t="s">
        <v>17645</v>
      </c>
      <c r="B11100" s="117" t="s">
        <v>17646</v>
      </c>
      <c r="C11100" t="s">
        <v>67</v>
      </c>
      <c r="D11100" t="s">
        <v>67</v>
      </c>
      <c r="E11100" t="s">
        <v>67</v>
      </c>
      <c r="F11100" t="s">
        <v>27987</v>
      </c>
      <c r="G11100" s="117">
        <v>2.23</v>
      </c>
    </row>
    <row r="11101" spans="1:7" x14ac:dyDescent="0.25">
      <c r="A11101" s="116" t="s">
        <v>17647</v>
      </c>
      <c r="B11101" s="117" t="s">
        <v>17648</v>
      </c>
      <c r="C11101" t="s">
        <v>67</v>
      </c>
      <c r="D11101" t="s">
        <v>67</v>
      </c>
      <c r="E11101" t="s">
        <v>67</v>
      </c>
      <c r="F11101" t="s">
        <v>27987</v>
      </c>
      <c r="G11101" s="117">
        <v>12.01</v>
      </c>
    </row>
    <row r="11102" spans="1:7" x14ac:dyDescent="0.25">
      <c r="A11102" s="116" t="s">
        <v>17649</v>
      </c>
      <c r="B11102" s="117" t="s">
        <v>17650</v>
      </c>
      <c r="C11102" t="s">
        <v>67</v>
      </c>
      <c r="D11102" t="s">
        <v>67</v>
      </c>
      <c r="E11102" t="s">
        <v>67</v>
      </c>
      <c r="F11102" t="s">
        <v>27987</v>
      </c>
      <c r="G11102" s="117">
        <v>15.57</v>
      </c>
    </row>
    <row r="11103" spans="1:7" x14ac:dyDescent="0.25">
      <c r="A11103" s="116" t="s">
        <v>17651</v>
      </c>
      <c r="B11103" s="117" t="s">
        <v>17652</v>
      </c>
      <c r="C11103" t="s">
        <v>67</v>
      </c>
      <c r="D11103" t="s">
        <v>67</v>
      </c>
      <c r="E11103" t="s">
        <v>67</v>
      </c>
      <c r="F11103" t="s">
        <v>27987</v>
      </c>
      <c r="G11103" s="117">
        <v>2.58</v>
      </c>
    </row>
    <row r="11104" spans="1:7" x14ac:dyDescent="0.25">
      <c r="A11104" s="116" t="s">
        <v>17653</v>
      </c>
      <c r="B11104" s="117" t="s">
        <v>2584</v>
      </c>
      <c r="C11104" t="s">
        <v>67</v>
      </c>
      <c r="D11104" t="s">
        <v>67</v>
      </c>
      <c r="E11104" t="s">
        <v>67</v>
      </c>
      <c r="F11104" t="s">
        <v>27987</v>
      </c>
      <c r="G11104" s="117">
        <v>13.26</v>
      </c>
    </row>
    <row r="11105" spans="1:7" x14ac:dyDescent="0.25">
      <c r="A11105" s="116" t="s">
        <v>17654</v>
      </c>
      <c r="B11105" s="117" t="s">
        <v>17655</v>
      </c>
      <c r="C11105" t="s">
        <v>67</v>
      </c>
      <c r="D11105" t="s">
        <v>67</v>
      </c>
      <c r="E11105" t="s">
        <v>67</v>
      </c>
      <c r="F11105" t="s">
        <v>45</v>
      </c>
      <c r="G11105" s="117">
        <v>213.02</v>
      </c>
    </row>
    <row r="11106" spans="1:7" x14ac:dyDescent="0.25">
      <c r="A11106" s="116" t="s">
        <v>30282</v>
      </c>
      <c r="B11106" s="117" t="s">
        <v>30283</v>
      </c>
      <c r="C11106" t="s">
        <v>67</v>
      </c>
      <c r="D11106" t="s">
        <v>67</v>
      </c>
      <c r="E11106" t="s">
        <v>67</v>
      </c>
      <c r="F11106" t="s">
        <v>45</v>
      </c>
      <c r="G11106" s="117">
        <v>79.3</v>
      </c>
    </row>
    <row r="11107" spans="1:7" x14ac:dyDescent="0.25">
      <c r="A11107" s="116" t="s">
        <v>17656</v>
      </c>
      <c r="B11107" s="117" t="s">
        <v>17657</v>
      </c>
      <c r="C11107" t="s">
        <v>67</v>
      </c>
      <c r="D11107" t="s">
        <v>67</v>
      </c>
      <c r="E11107" t="s">
        <v>67</v>
      </c>
      <c r="F11107" t="s">
        <v>45</v>
      </c>
      <c r="G11107" s="117">
        <v>161.86000000000001</v>
      </c>
    </row>
    <row r="11108" spans="1:7" x14ac:dyDescent="0.25">
      <c r="A11108" s="116" t="s">
        <v>17658</v>
      </c>
      <c r="B11108" s="117" t="s">
        <v>17659</v>
      </c>
      <c r="C11108" t="s">
        <v>67</v>
      </c>
      <c r="D11108" t="s">
        <v>67</v>
      </c>
      <c r="E11108" t="s">
        <v>67</v>
      </c>
      <c r="F11108" t="s">
        <v>49</v>
      </c>
      <c r="G11108" s="117">
        <v>169.87</v>
      </c>
    </row>
    <row r="11109" spans="1:7" x14ac:dyDescent="0.25">
      <c r="A11109" s="116" t="s">
        <v>17660</v>
      </c>
      <c r="B11109" s="117" t="s">
        <v>17661</v>
      </c>
      <c r="C11109" t="s">
        <v>67</v>
      </c>
      <c r="D11109" t="s">
        <v>67</v>
      </c>
      <c r="E11109" t="s">
        <v>67</v>
      </c>
      <c r="F11109" t="s">
        <v>49</v>
      </c>
      <c r="G11109" s="117">
        <v>338.94</v>
      </c>
    </row>
    <row r="11110" spans="1:7" x14ac:dyDescent="0.25">
      <c r="A11110" s="116" t="s">
        <v>17662</v>
      </c>
      <c r="B11110" s="117" t="s">
        <v>17663</v>
      </c>
      <c r="C11110" t="s">
        <v>67</v>
      </c>
      <c r="D11110" t="s">
        <v>67</v>
      </c>
      <c r="E11110" t="s">
        <v>67</v>
      </c>
      <c r="F11110" t="s">
        <v>45</v>
      </c>
      <c r="G11110" s="117">
        <v>354.06</v>
      </c>
    </row>
    <row r="11111" spans="1:7" x14ac:dyDescent="0.25">
      <c r="A11111" s="116" t="s">
        <v>17664</v>
      </c>
      <c r="B11111" s="117" t="s">
        <v>17665</v>
      </c>
      <c r="C11111" t="s">
        <v>67</v>
      </c>
      <c r="D11111" t="s">
        <v>67</v>
      </c>
      <c r="E11111" t="s">
        <v>67</v>
      </c>
      <c r="F11111" t="s">
        <v>51</v>
      </c>
      <c r="G11111" s="117">
        <v>254.05</v>
      </c>
    </row>
    <row r="11112" spans="1:7" x14ac:dyDescent="0.25">
      <c r="A11112" s="116" t="s">
        <v>17666</v>
      </c>
      <c r="B11112" s="117" t="s">
        <v>17667</v>
      </c>
      <c r="C11112" t="s">
        <v>67</v>
      </c>
      <c r="D11112" t="s">
        <v>67</v>
      </c>
      <c r="E11112" t="s">
        <v>67</v>
      </c>
      <c r="F11112" t="s">
        <v>27987</v>
      </c>
      <c r="G11112" s="117">
        <v>189.08</v>
      </c>
    </row>
    <row r="11113" spans="1:7" x14ac:dyDescent="0.25">
      <c r="A11113" s="116" t="s">
        <v>17668</v>
      </c>
      <c r="B11113" s="117" t="s">
        <v>17669</v>
      </c>
      <c r="C11113" t="s">
        <v>67</v>
      </c>
      <c r="D11113" t="s">
        <v>67</v>
      </c>
      <c r="E11113" t="s">
        <v>67</v>
      </c>
      <c r="F11113" t="s">
        <v>49</v>
      </c>
      <c r="G11113" s="117">
        <v>100.46</v>
      </c>
    </row>
    <row r="11114" spans="1:7" x14ac:dyDescent="0.25">
      <c r="A11114" s="116" t="s">
        <v>17670</v>
      </c>
      <c r="B11114" s="117" t="s">
        <v>17669</v>
      </c>
      <c r="C11114" t="s">
        <v>67</v>
      </c>
      <c r="D11114" t="s">
        <v>67</v>
      </c>
      <c r="E11114" t="s">
        <v>67</v>
      </c>
      <c r="F11114" t="s">
        <v>27987</v>
      </c>
      <c r="G11114" s="117">
        <v>66.3</v>
      </c>
    </row>
    <row r="11115" spans="1:7" x14ac:dyDescent="0.25">
      <c r="A11115" s="116" t="s">
        <v>17671</v>
      </c>
      <c r="B11115" s="117" t="s">
        <v>29237</v>
      </c>
      <c r="C11115" t="s">
        <v>67</v>
      </c>
      <c r="D11115" t="s">
        <v>67</v>
      </c>
      <c r="E11115" t="s">
        <v>67</v>
      </c>
      <c r="F11115" t="s">
        <v>27987</v>
      </c>
      <c r="G11115" s="117">
        <v>73.78</v>
      </c>
    </row>
    <row r="11116" spans="1:7" x14ac:dyDescent="0.25">
      <c r="A11116" s="116" t="s">
        <v>17672</v>
      </c>
      <c r="B11116" s="117" t="s">
        <v>17673</v>
      </c>
      <c r="C11116" t="s">
        <v>67</v>
      </c>
      <c r="D11116" t="s">
        <v>67</v>
      </c>
      <c r="E11116" t="s">
        <v>67</v>
      </c>
      <c r="F11116" t="s">
        <v>45</v>
      </c>
      <c r="G11116" s="117">
        <v>122.7</v>
      </c>
    </row>
    <row r="11117" spans="1:7" x14ac:dyDescent="0.25">
      <c r="A11117" s="116" t="s">
        <v>17674</v>
      </c>
      <c r="B11117" s="117" t="s">
        <v>17675</v>
      </c>
      <c r="C11117" t="s">
        <v>67</v>
      </c>
      <c r="D11117" t="s">
        <v>67</v>
      </c>
      <c r="E11117" t="s">
        <v>67</v>
      </c>
      <c r="F11117" t="s">
        <v>27987</v>
      </c>
      <c r="G11117" s="117">
        <v>75.55</v>
      </c>
    </row>
    <row r="11118" spans="1:7" x14ac:dyDescent="0.25">
      <c r="A11118" s="116" t="s">
        <v>17676</v>
      </c>
      <c r="B11118" s="117" t="s">
        <v>17677</v>
      </c>
      <c r="C11118" t="s">
        <v>67</v>
      </c>
      <c r="D11118" t="s">
        <v>67</v>
      </c>
      <c r="E11118" t="s">
        <v>67</v>
      </c>
      <c r="F11118" t="s">
        <v>27987</v>
      </c>
      <c r="G11118" s="117">
        <v>76.98</v>
      </c>
    </row>
    <row r="11119" spans="1:7" x14ac:dyDescent="0.25">
      <c r="A11119" s="116" t="s">
        <v>17678</v>
      </c>
      <c r="B11119" s="117" t="s">
        <v>17679</v>
      </c>
      <c r="C11119" t="s">
        <v>67</v>
      </c>
      <c r="D11119" t="s">
        <v>67</v>
      </c>
      <c r="E11119" t="s">
        <v>67</v>
      </c>
      <c r="F11119" t="s">
        <v>45</v>
      </c>
      <c r="G11119" s="117">
        <v>77.86</v>
      </c>
    </row>
    <row r="11120" spans="1:7" x14ac:dyDescent="0.25">
      <c r="A11120" s="116" t="s">
        <v>17680</v>
      </c>
      <c r="B11120" s="117" t="s">
        <v>17681</v>
      </c>
      <c r="C11120" t="s">
        <v>67</v>
      </c>
      <c r="D11120" t="s">
        <v>67</v>
      </c>
      <c r="E11120" t="s">
        <v>67</v>
      </c>
      <c r="F11120" t="s">
        <v>27987</v>
      </c>
      <c r="G11120" s="117">
        <v>120.57</v>
      </c>
    </row>
    <row r="11121" spans="1:7" x14ac:dyDescent="0.25">
      <c r="A11121" s="116" t="s">
        <v>17682</v>
      </c>
      <c r="B11121" s="117" t="s">
        <v>17683</v>
      </c>
      <c r="C11121" t="s">
        <v>67</v>
      </c>
      <c r="D11121" t="s">
        <v>67</v>
      </c>
      <c r="E11121" t="s">
        <v>67</v>
      </c>
      <c r="F11121" t="s">
        <v>27990</v>
      </c>
      <c r="G11121" s="117">
        <v>135.69999999999999</v>
      </c>
    </row>
    <row r="11122" spans="1:7" x14ac:dyDescent="0.25">
      <c r="A11122" s="116" t="s">
        <v>17684</v>
      </c>
      <c r="B11122" s="117" t="s">
        <v>17685</v>
      </c>
      <c r="C11122" t="s">
        <v>67</v>
      </c>
      <c r="D11122" t="s">
        <v>67</v>
      </c>
      <c r="E11122" t="s">
        <v>67</v>
      </c>
      <c r="F11122" t="s">
        <v>45</v>
      </c>
      <c r="G11122" s="117">
        <v>126.26</v>
      </c>
    </row>
    <row r="11123" spans="1:7" x14ac:dyDescent="0.25">
      <c r="A11123" s="116" t="s">
        <v>17686</v>
      </c>
      <c r="B11123" s="117" t="s">
        <v>17687</v>
      </c>
      <c r="C11123" t="s">
        <v>67</v>
      </c>
      <c r="D11123" t="s">
        <v>67</v>
      </c>
      <c r="E11123" t="s">
        <v>67</v>
      </c>
      <c r="F11123" t="s">
        <v>45</v>
      </c>
      <c r="G11123" s="117">
        <v>212.58</v>
      </c>
    </row>
    <row r="11124" spans="1:7" x14ac:dyDescent="0.25">
      <c r="A11124" s="116" t="s">
        <v>17688</v>
      </c>
      <c r="B11124" s="117" t="s">
        <v>17687</v>
      </c>
      <c r="C11124" t="s">
        <v>67</v>
      </c>
      <c r="D11124" t="s">
        <v>67</v>
      </c>
      <c r="E11124" t="s">
        <v>67</v>
      </c>
      <c r="F11124" t="s">
        <v>49</v>
      </c>
      <c r="G11124" s="117">
        <v>298.54000000000002</v>
      </c>
    </row>
    <row r="11125" spans="1:7" x14ac:dyDescent="0.25">
      <c r="A11125" s="116" t="s">
        <v>17689</v>
      </c>
      <c r="B11125" s="117" t="s">
        <v>17669</v>
      </c>
      <c r="C11125" t="s">
        <v>67</v>
      </c>
      <c r="D11125" t="s">
        <v>67</v>
      </c>
      <c r="E11125" t="s">
        <v>67</v>
      </c>
      <c r="F11125" t="s">
        <v>45</v>
      </c>
      <c r="G11125" s="117">
        <v>74.66</v>
      </c>
    </row>
    <row r="11126" spans="1:7" x14ac:dyDescent="0.25">
      <c r="A11126" s="116" t="s">
        <v>17690</v>
      </c>
      <c r="B11126" s="117" t="s">
        <v>17669</v>
      </c>
      <c r="C11126" t="s">
        <v>67</v>
      </c>
      <c r="D11126" t="s">
        <v>67</v>
      </c>
      <c r="E11126" t="s">
        <v>67</v>
      </c>
      <c r="F11126" t="s">
        <v>27987</v>
      </c>
      <c r="G11126" s="117">
        <v>70.2</v>
      </c>
    </row>
    <row r="11127" spans="1:7" x14ac:dyDescent="0.25">
      <c r="A11127" s="116" t="s">
        <v>17691</v>
      </c>
      <c r="B11127" s="117" t="s">
        <v>17692</v>
      </c>
      <c r="C11127" t="s">
        <v>67</v>
      </c>
      <c r="D11127" t="s">
        <v>67</v>
      </c>
      <c r="E11127" t="s">
        <v>67</v>
      </c>
      <c r="F11127" t="s">
        <v>27987</v>
      </c>
      <c r="G11127" s="117">
        <v>72.52</v>
      </c>
    </row>
    <row r="11128" spans="1:7" x14ac:dyDescent="0.25">
      <c r="A11128" s="116" t="s">
        <v>17693</v>
      </c>
      <c r="B11128" s="117" t="s">
        <v>17694</v>
      </c>
      <c r="C11128" t="s">
        <v>67</v>
      </c>
      <c r="D11128" t="s">
        <v>67</v>
      </c>
      <c r="E11128" t="s">
        <v>67</v>
      </c>
      <c r="F11128" t="s">
        <v>27987</v>
      </c>
      <c r="G11128" s="117">
        <v>123.24</v>
      </c>
    </row>
    <row r="11129" spans="1:7" x14ac:dyDescent="0.25">
      <c r="A11129" s="116" t="s">
        <v>17695</v>
      </c>
      <c r="B11129" s="117" t="s">
        <v>17696</v>
      </c>
      <c r="C11129" t="s">
        <v>67</v>
      </c>
      <c r="D11129" t="s">
        <v>67</v>
      </c>
      <c r="E11129" t="s">
        <v>67</v>
      </c>
      <c r="F11129" t="s">
        <v>49</v>
      </c>
      <c r="G11129" s="117">
        <v>57.39</v>
      </c>
    </row>
    <row r="11130" spans="1:7" x14ac:dyDescent="0.25">
      <c r="A11130" s="116" t="s">
        <v>17697</v>
      </c>
      <c r="B11130" s="117" t="s">
        <v>17698</v>
      </c>
      <c r="C11130" t="s">
        <v>67</v>
      </c>
      <c r="D11130" t="s">
        <v>67</v>
      </c>
      <c r="E11130" t="s">
        <v>67</v>
      </c>
      <c r="F11130" t="s">
        <v>27987</v>
      </c>
      <c r="G11130" s="117">
        <v>279.86</v>
      </c>
    </row>
    <row r="11131" spans="1:7" x14ac:dyDescent="0.25">
      <c r="A11131" s="116" t="s">
        <v>17699</v>
      </c>
      <c r="B11131" s="117" t="s">
        <v>17700</v>
      </c>
      <c r="C11131" t="s">
        <v>67</v>
      </c>
      <c r="D11131" t="s">
        <v>67</v>
      </c>
      <c r="E11131" t="s">
        <v>67</v>
      </c>
      <c r="F11131" t="s">
        <v>45</v>
      </c>
      <c r="G11131" s="117">
        <v>82.31</v>
      </c>
    </row>
    <row r="11132" spans="1:7" x14ac:dyDescent="0.25">
      <c r="A11132" s="116" t="s">
        <v>17701</v>
      </c>
      <c r="B11132" s="117" t="s">
        <v>17702</v>
      </c>
      <c r="C11132" t="s">
        <v>67</v>
      </c>
      <c r="D11132" t="s">
        <v>67</v>
      </c>
      <c r="E11132" t="s">
        <v>67</v>
      </c>
      <c r="F11132" t="s">
        <v>27987</v>
      </c>
      <c r="G11132" s="117">
        <v>128.58000000000001</v>
      </c>
    </row>
    <row r="11133" spans="1:7" x14ac:dyDescent="0.25">
      <c r="A11133" s="116" t="s">
        <v>17703</v>
      </c>
      <c r="B11133" s="117" t="s">
        <v>17704</v>
      </c>
      <c r="C11133" t="s">
        <v>67</v>
      </c>
      <c r="D11133" t="s">
        <v>67</v>
      </c>
      <c r="E11133" t="s">
        <v>67</v>
      </c>
      <c r="F11133" t="s">
        <v>45</v>
      </c>
      <c r="G11133" s="117">
        <v>185.85</v>
      </c>
    </row>
    <row r="11134" spans="1:7" x14ac:dyDescent="0.25">
      <c r="A11134" s="116" t="s">
        <v>17705</v>
      </c>
      <c r="B11134" s="117" t="s">
        <v>17706</v>
      </c>
      <c r="C11134" t="s">
        <v>67</v>
      </c>
      <c r="D11134" t="s">
        <v>67</v>
      </c>
      <c r="E11134" t="s">
        <v>67</v>
      </c>
      <c r="F11134" t="s">
        <v>27990</v>
      </c>
      <c r="G11134" s="117">
        <v>334.5</v>
      </c>
    </row>
    <row r="11135" spans="1:7" x14ac:dyDescent="0.25">
      <c r="A11135" s="116" t="s">
        <v>17707</v>
      </c>
      <c r="B11135" s="117" t="s">
        <v>17708</v>
      </c>
      <c r="C11135" t="s">
        <v>67</v>
      </c>
      <c r="D11135" t="s">
        <v>67</v>
      </c>
      <c r="E11135" t="s">
        <v>67</v>
      </c>
      <c r="F11135" t="s">
        <v>45</v>
      </c>
      <c r="G11135" s="117">
        <v>82.67</v>
      </c>
    </row>
    <row r="11136" spans="1:7" x14ac:dyDescent="0.25">
      <c r="A11136" s="116" t="s">
        <v>17709</v>
      </c>
      <c r="B11136" s="117" t="s">
        <v>17710</v>
      </c>
      <c r="C11136" t="s">
        <v>67</v>
      </c>
      <c r="D11136" t="s">
        <v>67</v>
      </c>
      <c r="E11136" t="s">
        <v>67</v>
      </c>
      <c r="F11136" t="s">
        <v>27987</v>
      </c>
      <c r="G11136" s="117">
        <v>132.13999999999999</v>
      </c>
    </row>
    <row r="11137" spans="1:7" x14ac:dyDescent="0.25">
      <c r="A11137" s="116" t="s">
        <v>17711</v>
      </c>
      <c r="B11137" s="117" t="s">
        <v>17712</v>
      </c>
      <c r="C11137" t="s">
        <v>67</v>
      </c>
      <c r="D11137" t="s">
        <v>67</v>
      </c>
      <c r="E11137" t="s">
        <v>67</v>
      </c>
      <c r="F11137" t="s">
        <v>45</v>
      </c>
      <c r="G11137" s="117">
        <v>179.66</v>
      </c>
    </row>
    <row r="11138" spans="1:7" x14ac:dyDescent="0.25">
      <c r="A11138" s="116" t="s">
        <v>17713</v>
      </c>
      <c r="B11138" s="117" t="s">
        <v>17714</v>
      </c>
      <c r="C11138" t="s">
        <v>67</v>
      </c>
      <c r="D11138" t="s">
        <v>67</v>
      </c>
      <c r="E11138" t="s">
        <v>67</v>
      </c>
      <c r="F11138" t="s">
        <v>27987</v>
      </c>
      <c r="G11138" s="117">
        <v>76.08</v>
      </c>
    </row>
    <row r="11139" spans="1:7" x14ac:dyDescent="0.25">
      <c r="A11139" s="116" t="s">
        <v>17715</v>
      </c>
      <c r="B11139" s="117" t="s">
        <v>17716</v>
      </c>
      <c r="C11139" t="s">
        <v>67</v>
      </c>
      <c r="D11139" t="s">
        <v>67</v>
      </c>
      <c r="E11139" t="s">
        <v>67</v>
      </c>
      <c r="F11139" t="s">
        <v>49</v>
      </c>
      <c r="G11139" s="117">
        <v>111.5</v>
      </c>
    </row>
    <row r="11140" spans="1:7" x14ac:dyDescent="0.25">
      <c r="A11140" s="116" t="s">
        <v>30981</v>
      </c>
      <c r="B11140" s="117" t="s">
        <v>30982</v>
      </c>
      <c r="C11140" t="s">
        <v>67</v>
      </c>
      <c r="D11140" t="s">
        <v>67</v>
      </c>
      <c r="E11140" t="s">
        <v>67</v>
      </c>
      <c r="F11140" t="s">
        <v>45</v>
      </c>
      <c r="G11140" s="117">
        <v>9999</v>
      </c>
    </row>
    <row r="11141" spans="1:7" x14ac:dyDescent="0.25">
      <c r="A11141" s="116" t="s">
        <v>17717</v>
      </c>
      <c r="B11141" s="117" t="s">
        <v>17718</v>
      </c>
      <c r="C11141" t="s">
        <v>67</v>
      </c>
      <c r="D11141" t="s">
        <v>67</v>
      </c>
      <c r="E11141" t="s">
        <v>67</v>
      </c>
      <c r="F11141" t="s">
        <v>27987</v>
      </c>
      <c r="G11141" s="117">
        <v>142.82</v>
      </c>
    </row>
    <row r="11142" spans="1:7" x14ac:dyDescent="0.25">
      <c r="A11142" s="116" t="s">
        <v>17719</v>
      </c>
      <c r="B11142" s="117" t="s">
        <v>17669</v>
      </c>
      <c r="C11142" t="s">
        <v>67</v>
      </c>
      <c r="D11142" t="s">
        <v>67</v>
      </c>
      <c r="E11142" t="s">
        <v>67</v>
      </c>
      <c r="F11142" t="s">
        <v>27987</v>
      </c>
      <c r="G11142" s="117">
        <v>80.88</v>
      </c>
    </row>
    <row r="11143" spans="1:7" x14ac:dyDescent="0.25">
      <c r="A11143" s="116" t="s">
        <v>26569</v>
      </c>
      <c r="B11143" s="117" t="s">
        <v>17708</v>
      </c>
      <c r="C11143" t="s">
        <v>67</v>
      </c>
      <c r="D11143" t="s">
        <v>67</v>
      </c>
      <c r="E11143" t="s">
        <v>67</v>
      </c>
      <c r="F11143" t="s">
        <v>27987</v>
      </c>
      <c r="G11143" s="117">
        <v>74.38</v>
      </c>
    </row>
    <row r="11144" spans="1:7" x14ac:dyDescent="0.25">
      <c r="A11144" s="116" t="s">
        <v>17720</v>
      </c>
      <c r="B11144" s="117" t="s">
        <v>17721</v>
      </c>
      <c r="C11144" t="s">
        <v>67</v>
      </c>
      <c r="D11144" t="s">
        <v>67</v>
      </c>
      <c r="E11144" t="s">
        <v>67</v>
      </c>
      <c r="F11144" t="s">
        <v>27987</v>
      </c>
      <c r="G11144" s="117">
        <v>202.16</v>
      </c>
    </row>
    <row r="11145" spans="1:7" x14ac:dyDescent="0.25">
      <c r="A11145" s="116" t="s">
        <v>17722</v>
      </c>
      <c r="B11145" s="117" t="s">
        <v>17723</v>
      </c>
      <c r="C11145" t="s">
        <v>67</v>
      </c>
      <c r="D11145" t="s">
        <v>67</v>
      </c>
      <c r="E11145" t="s">
        <v>67</v>
      </c>
      <c r="F11145" t="s">
        <v>45</v>
      </c>
      <c r="G11145" s="117">
        <v>100.46</v>
      </c>
    </row>
    <row r="11146" spans="1:7" x14ac:dyDescent="0.25">
      <c r="A11146" s="116" t="s">
        <v>17724</v>
      </c>
      <c r="B11146" s="117" t="s">
        <v>17712</v>
      </c>
      <c r="C11146" t="s">
        <v>67</v>
      </c>
      <c r="D11146" t="s">
        <v>67</v>
      </c>
      <c r="E11146" t="s">
        <v>67</v>
      </c>
      <c r="F11146" t="s">
        <v>45</v>
      </c>
      <c r="G11146" s="117">
        <v>131.88</v>
      </c>
    </row>
    <row r="11147" spans="1:7" x14ac:dyDescent="0.25">
      <c r="A11147" s="116" t="s">
        <v>17725</v>
      </c>
      <c r="B11147" s="117" t="s">
        <v>17726</v>
      </c>
      <c r="C11147" t="s">
        <v>67</v>
      </c>
      <c r="D11147" t="s">
        <v>67</v>
      </c>
      <c r="E11147" t="s">
        <v>67</v>
      </c>
      <c r="F11147" t="s">
        <v>27987</v>
      </c>
      <c r="G11147" s="117">
        <v>118.41</v>
      </c>
    </row>
    <row r="11148" spans="1:7" x14ac:dyDescent="0.25">
      <c r="A11148" s="116" t="s">
        <v>17727</v>
      </c>
      <c r="B11148" s="117" t="s">
        <v>17669</v>
      </c>
      <c r="C11148" t="s">
        <v>67</v>
      </c>
      <c r="D11148" t="s">
        <v>67</v>
      </c>
      <c r="E11148" t="s">
        <v>67</v>
      </c>
      <c r="F11148" t="s">
        <v>27987</v>
      </c>
      <c r="G11148" s="117">
        <v>76.98</v>
      </c>
    </row>
    <row r="11149" spans="1:7" x14ac:dyDescent="0.25">
      <c r="A11149" s="116" t="s">
        <v>17729</v>
      </c>
      <c r="B11149" s="117" t="s">
        <v>26493</v>
      </c>
      <c r="C11149" t="s">
        <v>67</v>
      </c>
      <c r="D11149" t="s">
        <v>67</v>
      </c>
      <c r="E11149" t="s">
        <v>67</v>
      </c>
      <c r="F11149" t="s">
        <v>27987</v>
      </c>
      <c r="G11149" s="117">
        <v>82.67</v>
      </c>
    </row>
    <row r="11150" spans="1:7" x14ac:dyDescent="0.25">
      <c r="A11150" s="116" t="s">
        <v>17731</v>
      </c>
      <c r="B11150" s="117" t="s">
        <v>29238</v>
      </c>
      <c r="C11150" t="s">
        <v>67</v>
      </c>
      <c r="D11150" t="s">
        <v>67</v>
      </c>
      <c r="E11150" t="s">
        <v>67</v>
      </c>
      <c r="F11150" t="s">
        <v>49</v>
      </c>
      <c r="G11150" s="117">
        <v>112.77</v>
      </c>
    </row>
    <row r="11151" spans="1:7" x14ac:dyDescent="0.25">
      <c r="A11151" s="116" t="s">
        <v>26922</v>
      </c>
      <c r="B11151" s="117" t="s">
        <v>26923</v>
      </c>
      <c r="C11151" t="s">
        <v>67</v>
      </c>
      <c r="D11151" t="s">
        <v>67</v>
      </c>
      <c r="E11151" t="s">
        <v>67</v>
      </c>
      <c r="F11151" t="s">
        <v>27990</v>
      </c>
      <c r="G11151" s="117">
        <v>221.48</v>
      </c>
    </row>
    <row r="11152" spans="1:7" x14ac:dyDescent="0.25">
      <c r="A11152" s="116" t="s">
        <v>17732</v>
      </c>
      <c r="B11152" s="117" t="s">
        <v>17733</v>
      </c>
      <c r="C11152" t="s">
        <v>67</v>
      </c>
      <c r="D11152" t="s">
        <v>67</v>
      </c>
      <c r="E11152" t="s">
        <v>67</v>
      </c>
      <c r="F11152" t="s">
        <v>27987</v>
      </c>
      <c r="G11152" s="117">
        <v>240.17</v>
      </c>
    </row>
    <row r="11153" spans="1:7" x14ac:dyDescent="0.25">
      <c r="A11153" s="116" t="s">
        <v>17734</v>
      </c>
      <c r="B11153" s="117" t="s">
        <v>17893</v>
      </c>
      <c r="C11153" t="s">
        <v>67</v>
      </c>
      <c r="D11153" t="s">
        <v>67</v>
      </c>
      <c r="E11153" t="s">
        <v>67</v>
      </c>
      <c r="F11153" t="s">
        <v>45</v>
      </c>
      <c r="G11153" s="117">
        <v>126.52</v>
      </c>
    </row>
    <row r="11154" spans="1:7" x14ac:dyDescent="0.25">
      <c r="A11154" s="116" t="s">
        <v>17735</v>
      </c>
      <c r="B11154" s="117" t="s">
        <v>26494</v>
      </c>
      <c r="C11154" t="s">
        <v>67</v>
      </c>
      <c r="D11154" t="s">
        <v>67</v>
      </c>
      <c r="E11154" t="s">
        <v>67</v>
      </c>
      <c r="F11154" t="s">
        <v>27987</v>
      </c>
      <c r="G11154" s="117">
        <v>231.87</v>
      </c>
    </row>
    <row r="11155" spans="1:7" x14ac:dyDescent="0.25">
      <c r="A11155" s="116" t="s">
        <v>26702</v>
      </c>
      <c r="B11155" s="117" t="s">
        <v>26703</v>
      </c>
      <c r="C11155" t="s">
        <v>67</v>
      </c>
      <c r="D11155" t="s">
        <v>67</v>
      </c>
      <c r="E11155" t="s">
        <v>67</v>
      </c>
      <c r="F11155" t="s">
        <v>27987</v>
      </c>
      <c r="G11155" s="117">
        <v>90</v>
      </c>
    </row>
    <row r="11156" spans="1:7" x14ac:dyDescent="0.25">
      <c r="A11156" s="116" t="s">
        <v>29239</v>
      </c>
      <c r="B11156" s="117" t="s">
        <v>30754</v>
      </c>
      <c r="C11156" t="s">
        <v>67</v>
      </c>
      <c r="D11156" t="s">
        <v>67</v>
      </c>
      <c r="E11156" t="s">
        <v>67</v>
      </c>
      <c r="F11156" t="s">
        <v>27987</v>
      </c>
      <c r="G11156" s="117">
        <v>150</v>
      </c>
    </row>
    <row r="11157" spans="1:7" x14ac:dyDescent="0.25">
      <c r="A11157" s="116" t="s">
        <v>29240</v>
      </c>
      <c r="B11157" s="117" t="s">
        <v>18221</v>
      </c>
      <c r="C11157" t="s">
        <v>67</v>
      </c>
      <c r="D11157" t="s">
        <v>67</v>
      </c>
      <c r="E11157" t="s">
        <v>67</v>
      </c>
      <c r="F11157" t="s">
        <v>27987</v>
      </c>
      <c r="G11157" s="117">
        <v>181.96</v>
      </c>
    </row>
    <row r="11158" spans="1:7" x14ac:dyDescent="0.25">
      <c r="A11158" s="116" t="s">
        <v>28157</v>
      </c>
      <c r="B11158" s="117" t="s">
        <v>29241</v>
      </c>
      <c r="C11158" t="s">
        <v>67</v>
      </c>
      <c r="D11158" t="s">
        <v>67</v>
      </c>
      <c r="E11158" t="s">
        <v>67</v>
      </c>
      <c r="F11158" t="s">
        <v>27987</v>
      </c>
      <c r="G11158" s="117">
        <v>100</v>
      </c>
    </row>
    <row r="11159" spans="1:7" x14ac:dyDescent="0.25">
      <c r="A11159" s="116" t="s">
        <v>27052</v>
      </c>
      <c r="B11159" s="117" t="s">
        <v>27053</v>
      </c>
      <c r="C11159" t="s">
        <v>67</v>
      </c>
      <c r="D11159" t="s">
        <v>67</v>
      </c>
      <c r="E11159" t="s">
        <v>67</v>
      </c>
      <c r="F11159" t="s">
        <v>27987</v>
      </c>
      <c r="G11159" s="117">
        <v>122</v>
      </c>
    </row>
    <row r="11160" spans="1:7" x14ac:dyDescent="0.25">
      <c r="A11160" s="116" t="s">
        <v>28217</v>
      </c>
      <c r="B11160" s="117" t="s">
        <v>17663</v>
      </c>
      <c r="C11160" t="s">
        <v>67</v>
      </c>
      <c r="D11160" t="s">
        <v>67</v>
      </c>
      <c r="E11160" t="s">
        <v>67</v>
      </c>
      <c r="F11160" t="s">
        <v>49</v>
      </c>
      <c r="G11160" s="117">
        <v>360</v>
      </c>
    </row>
    <row r="11161" spans="1:7" x14ac:dyDescent="0.25">
      <c r="A11161" s="116" t="s">
        <v>17736</v>
      </c>
      <c r="B11161" s="117" t="s">
        <v>17737</v>
      </c>
      <c r="C11161" t="s">
        <v>67</v>
      </c>
      <c r="D11161" t="s">
        <v>67</v>
      </c>
      <c r="E11161" t="s">
        <v>67</v>
      </c>
      <c r="F11161" t="s">
        <v>27987</v>
      </c>
      <c r="G11161" s="117">
        <v>164.83</v>
      </c>
    </row>
    <row r="11162" spans="1:7" x14ac:dyDescent="0.25">
      <c r="A11162" s="116" t="s">
        <v>17738</v>
      </c>
      <c r="B11162" s="117" t="s">
        <v>17739</v>
      </c>
      <c r="C11162" t="s">
        <v>67</v>
      </c>
      <c r="D11162" t="s">
        <v>67</v>
      </c>
      <c r="E11162" t="s">
        <v>67</v>
      </c>
      <c r="F11162" t="s">
        <v>27987</v>
      </c>
      <c r="G11162" s="117">
        <v>187.67</v>
      </c>
    </row>
    <row r="11163" spans="1:7" x14ac:dyDescent="0.25">
      <c r="A11163" s="116" t="s">
        <v>17740</v>
      </c>
      <c r="B11163" s="117" t="s">
        <v>17741</v>
      </c>
      <c r="C11163" t="s">
        <v>67</v>
      </c>
      <c r="D11163" t="s">
        <v>67</v>
      </c>
      <c r="E11163" t="s">
        <v>67</v>
      </c>
      <c r="F11163" t="s">
        <v>45</v>
      </c>
      <c r="G11163" s="117">
        <v>179.66</v>
      </c>
    </row>
    <row r="11164" spans="1:7" x14ac:dyDescent="0.25">
      <c r="A11164" s="116" t="s">
        <v>17742</v>
      </c>
      <c r="B11164" s="117" t="s">
        <v>17743</v>
      </c>
      <c r="C11164" t="s">
        <v>67</v>
      </c>
      <c r="D11164" t="s">
        <v>67</v>
      </c>
      <c r="E11164" t="s">
        <v>67</v>
      </c>
      <c r="F11164" t="s">
        <v>27987</v>
      </c>
      <c r="G11164" s="117">
        <v>173.43</v>
      </c>
    </row>
    <row r="11165" spans="1:7" x14ac:dyDescent="0.25">
      <c r="A11165" s="116" t="s">
        <v>17744</v>
      </c>
      <c r="B11165" s="117" t="s">
        <v>17669</v>
      </c>
      <c r="C11165" t="s">
        <v>67</v>
      </c>
      <c r="D11165" t="s">
        <v>67</v>
      </c>
      <c r="E11165" t="s">
        <v>67</v>
      </c>
      <c r="F11165" t="s">
        <v>27987</v>
      </c>
      <c r="G11165" s="117">
        <v>241.94</v>
      </c>
    </row>
    <row r="11166" spans="1:7" x14ac:dyDescent="0.25">
      <c r="A11166" s="116" t="s">
        <v>17745</v>
      </c>
      <c r="B11166" s="117" t="s">
        <v>17746</v>
      </c>
      <c r="C11166" t="s">
        <v>67</v>
      </c>
      <c r="D11166" t="s">
        <v>67</v>
      </c>
      <c r="E11166" t="s">
        <v>67</v>
      </c>
      <c r="F11166" t="s">
        <v>49</v>
      </c>
      <c r="G11166" s="117">
        <v>124.13</v>
      </c>
    </row>
    <row r="11167" spans="1:7" x14ac:dyDescent="0.25">
      <c r="A11167" s="116" t="s">
        <v>17747</v>
      </c>
      <c r="B11167" s="117" t="s">
        <v>17748</v>
      </c>
      <c r="C11167" t="s">
        <v>67</v>
      </c>
      <c r="D11167" t="s">
        <v>67</v>
      </c>
      <c r="E11167" t="s">
        <v>67</v>
      </c>
      <c r="F11167" t="s">
        <v>27987</v>
      </c>
      <c r="G11167" s="117">
        <v>253.76</v>
      </c>
    </row>
    <row r="11168" spans="1:7" x14ac:dyDescent="0.25">
      <c r="A11168" s="116" t="s">
        <v>17749</v>
      </c>
      <c r="B11168" s="117" t="s">
        <v>17669</v>
      </c>
      <c r="C11168" t="s">
        <v>67</v>
      </c>
      <c r="D11168" t="s">
        <v>67</v>
      </c>
      <c r="E11168" t="s">
        <v>67</v>
      </c>
      <c r="F11168" t="s">
        <v>27987</v>
      </c>
      <c r="G11168" s="117">
        <v>209.56</v>
      </c>
    </row>
    <row r="11169" spans="1:7" x14ac:dyDescent="0.25">
      <c r="A11169" s="116" t="s">
        <v>26597</v>
      </c>
      <c r="B11169" s="117" t="s">
        <v>26598</v>
      </c>
      <c r="C11169" t="s">
        <v>67</v>
      </c>
      <c r="D11169" t="s">
        <v>67</v>
      </c>
      <c r="E11169" t="s">
        <v>67</v>
      </c>
      <c r="F11169" t="s">
        <v>49</v>
      </c>
      <c r="G11169" s="117">
        <v>188.22</v>
      </c>
    </row>
    <row r="11170" spans="1:7" x14ac:dyDescent="0.25">
      <c r="A11170" s="116" t="s">
        <v>17750</v>
      </c>
      <c r="B11170" s="117" t="s">
        <v>17669</v>
      </c>
      <c r="C11170" t="s">
        <v>67</v>
      </c>
      <c r="D11170" t="s">
        <v>67</v>
      </c>
      <c r="E11170" t="s">
        <v>67</v>
      </c>
      <c r="F11170" t="s">
        <v>49</v>
      </c>
      <c r="G11170" s="117">
        <v>208.08</v>
      </c>
    </row>
    <row r="11171" spans="1:7" x14ac:dyDescent="0.25">
      <c r="A11171" s="116" t="s">
        <v>17751</v>
      </c>
      <c r="B11171" s="117" t="s">
        <v>17669</v>
      </c>
      <c r="C11171" t="s">
        <v>67</v>
      </c>
      <c r="D11171" t="s">
        <v>67</v>
      </c>
      <c r="E11171" t="s">
        <v>67</v>
      </c>
      <c r="F11171" t="s">
        <v>27987</v>
      </c>
      <c r="G11171" s="117">
        <v>151.68</v>
      </c>
    </row>
    <row r="11172" spans="1:7" x14ac:dyDescent="0.25">
      <c r="A11172" s="116" t="s">
        <v>17752</v>
      </c>
      <c r="B11172" s="117" t="s">
        <v>17753</v>
      </c>
      <c r="C11172" t="s">
        <v>67</v>
      </c>
      <c r="D11172" t="s">
        <v>67</v>
      </c>
      <c r="E11172" t="s">
        <v>67</v>
      </c>
      <c r="F11172" t="s">
        <v>51</v>
      </c>
      <c r="G11172" s="117">
        <v>155.69999999999999</v>
      </c>
    </row>
    <row r="11173" spans="1:7" x14ac:dyDescent="0.25">
      <c r="A11173" s="116" t="s">
        <v>28013</v>
      </c>
      <c r="B11173" s="117" t="s">
        <v>29242</v>
      </c>
      <c r="C11173" t="s">
        <v>67</v>
      </c>
      <c r="D11173" t="s">
        <v>67</v>
      </c>
      <c r="E11173" t="s">
        <v>67</v>
      </c>
      <c r="F11173" t="s">
        <v>27987</v>
      </c>
      <c r="G11173" s="117">
        <v>120</v>
      </c>
    </row>
    <row r="11174" spans="1:7" x14ac:dyDescent="0.25">
      <c r="A11174" s="116" t="s">
        <v>26655</v>
      </c>
      <c r="B11174" s="117" t="s">
        <v>26914</v>
      </c>
      <c r="C11174" t="s">
        <v>67</v>
      </c>
      <c r="D11174" t="s">
        <v>67</v>
      </c>
      <c r="E11174" t="s">
        <v>67</v>
      </c>
      <c r="F11174" t="s">
        <v>49</v>
      </c>
      <c r="G11174" s="117">
        <v>149.72</v>
      </c>
    </row>
    <row r="11175" spans="1:7" x14ac:dyDescent="0.25">
      <c r="A11175" s="116" t="s">
        <v>17754</v>
      </c>
      <c r="B11175" s="117" t="s">
        <v>17755</v>
      </c>
      <c r="C11175" t="s">
        <v>67</v>
      </c>
      <c r="D11175" t="s">
        <v>67</v>
      </c>
      <c r="E11175" t="s">
        <v>67</v>
      </c>
      <c r="F11175" t="s">
        <v>45</v>
      </c>
      <c r="G11175" s="117">
        <v>289.11</v>
      </c>
    </row>
    <row r="11176" spans="1:7" x14ac:dyDescent="0.25">
      <c r="A11176" s="116" t="s">
        <v>17756</v>
      </c>
      <c r="B11176" s="117" t="s">
        <v>17669</v>
      </c>
      <c r="C11176" t="s">
        <v>67</v>
      </c>
      <c r="D11176" t="s">
        <v>67</v>
      </c>
      <c r="E11176" t="s">
        <v>67</v>
      </c>
      <c r="F11176" t="s">
        <v>27987</v>
      </c>
      <c r="G11176" s="117">
        <v>263.3</v>
      </c>
    </row>
    <row r="11177" spans="1:7" x14ac:dyDescent="0.25">
      <c r="A11177" s="116" t="s">
        <v>17757</v>
      </c>
      <c r="B11177" s="117" t="s">
        <v>17669</v>
      </c>
      <c r="C11177" t="s">
        <v>67</v>
      </c>
      <c r="D11177" t="s">
        <v>67</v>
      </c>
      <c r="E11177" t="s">
        <v>67</v>
      </c>
      <c r="F11177" t="s">
        <v>45</v>
      </c>
      <c r="G11177" s="117">
        <v>239.81</v>
      </c>
    </row>
    <row r="11178" spans="1:7" x14ac:dyDescent="0.25">
      <c r="A11178" s="116" t="s">
        <v>17758</v>
      </c>
      <c r="B11178" s="117" t="s">
        <v>17669</v>
      </c>
      <c r="C11178" t="s">
        <v>67</v>
      </c>
      <c r="D11178" t="s">
        <v>67</v>
      </c>
      <c r="E11178" t="s">
        <v>67</v>
      </c>
      <c r="F11178" t="s">
        <v>27987</v>
      </c>
      <c r="G11178" s="117">
        <v>259.74</v>
      </c>
    </row>
    <row r="11179" spans="1:7" x14ac:dyDescent="0.25">
      <c r="A11179" s="116" t="s">
        <v>29243</v>
      </c>
      <c r="B11179" s="117" t="s">
        <v>29244</v>
      </c>
      <c r="C11179" t="s">
        <v>67</v>
      </c>
      <c r="D11179" t="s">
        <v>67</v>
      </c>
      <c r="E11179" t="s">
        <v>67</v>
      </c>
      <c r="F11179" t="s">
        <v>45</v>
      </c>
      <c r="G11179" s="117">
        <v>0</v>
      </c>
    </row>
    <row r="11180" spans="1:7" x14ac:dyDescent="0.25">
      <c r="A11180" s="116" t="s">
        <v>17759</v>
      </c>
      <c r="B11180" s="117" t="s">
        <v>17760</v>
      </c>
      <c r="C11180" t="s">
        <v>67</v>
      </c>
      <c r="D11180" t="s">
        <v>67</v>
      </c>
      <c r="E11180" t="s">
        <v>67</v>
      </c>
      <c r="F11180" t="s">
        <v>45</v>
      </c>
      <c r="G11180" s="117">
        <v>433.26</v>
      </c>
    </row>
    <row r="11181" spans="1:7" x14ac:dyDescent="0.25">
      <c r="A11181" s="116" t="s">
        <v>17761</v>
      </c>
      <c r="B11181" s="117" t="s">
        <v>17762</v>
      </c>
      <c r="C11181" t="s">
        <v>67</v>
      </c>
      <c r="D11181" t="s">
        <v>67</v>
      </c>
      <c r="E11181" t="s">
        <v>67</v>
      </c>
      <c r="F11181" t="s">
        <v>27987</v>
      </c>
      <c r="G11181" s="117">
        <v>324.7</v>
      </c>
    </row>
    <row r="11182" spans="1:7" x14ac:dyDescent="0.25">
      <c r="A11182" s="116" t="s">
        <v>17763</v>
      </c>
      <c r="B11182" s="117" t="s">
        <v>17764</v>
      </c>
      <c r="C11182" t="s">
        <v>67</v>
      </c>
      <c r="D11182" t="s">
        <v>67</v>
      </c>
      <c r="E11182" t="s">
        <v>67</v>
      </c>
      <c r="F11182" t="s">
        <v>27987</v>
      </c>
      <c r="G11182" s="117">
        <v>283.42</v>
      </c>
    </row>
    <row r="11183" spans="1:7" x14ac:dyDescent="0.25">
      <c r="A11183" s="116" t="s">
        <v>17765</v>
      </c>
      <c r="B11183" s="117" t="s">
        <v>17762</v>
      </c>
      <c r="C11183" t="s">
        <v>67</v>
      </c>
      <c r="D11183" t="s">
        <v>67</v>
      </c>
      <c r="E11183" t="s">
        <v>67</v>
      </c>
      <c r="F11183" t="s">
        <v>27987</v>
      </c>
      <c r="G11183" s="117">
        <v>357.62</v>
      </c>
    </row>
    <row r="11184" spans="1:7" x14ac:dyDescent="0.25">
      <c r="A11184" s="116" t="s">
        <v>17766</v>
      </c>
      <c r="B11184" s="117" t="s">
        <v>17762</v>
      </c>
      <c r="C11184" t="s">
        <v>67</v>
      </c>
      <c r="D11184" t="s">
        <v>67</v>
      </c>
      <c r="E11184" t="s">
        <v>67</v>
      </c>
      <c r="F11184" t="s">
        <v>45</v>
      </c>
      <c r="G11184" s="117">
        <v>281.63</v>
      </c>
    </row>
    <row r="11185" spans="1:7" x14ac:dyDescent="0.25">
      <c r="A11185" s="116" t="s">
        <v>17767</v>
      </c>
      <c r="B11185" s="117" t="s">
        <v>17768</v>
      </c>
      <c r="C11185" t="s">
        <v>67</v>
      </c>
      <c r="D11185" t="s">
        <v>67</v>
      </c>
      <c r="E11185" t="s">
        <v>67</v>
      </c>
      <c r="F11185" t="s">
        <v>27987</v>
      </c>
      <c r="G11185" s="117">
        <v>260.27</v>
      </c>
    </row>
    <row r="11186" spans="1:7" x14ac:dyDescent="0.25">
      <c r="A11186" s="116" t="s">
        <v>17769</v>
      </c>
      <c r="B11186" s="117" t="s">
        <v>17669</v>
      </c>
      <c r="C11186" t="s">
        <v>67</v>
      </c>
      <c r="D11186" t="s">
        <v>67</v>
      </c>
      <c r="E11186" t="s">
        <v>67</v>
      </c>
      <c r="F11186" t="s">
        <v>27987</v>
      </c>
      <c r="G11186" s="117">
        <v>283.42</v>
      </c>
    </row>
    <row r="11187" spans="1:7" x14ac:dyDescent="0.25">
      <c r="A11187" s="116" t="s">
        <v>17770</v>
      </c>
      <c r="B11187" s="117" t="s">
        <v>17669</v>
      </c>
      <c r="C11187" t="s">
        <v>67</v>
      </c>
      <c r="D11187" t="s">
        <v>67</v>
      </c>
      <c r="E11187" t="s">
        <v>67</v>
      </c>
      <c r="F11187" t="s">
        <v>45</v>
      </c>
      <c r="G11187" s="117">
        <v>88.54</v>
      </c>
    </row>
    <row r="11188" spans="1:7" x14ac:dyDescent="0.25">
      <c r="A11188" s="116" t="s">
        <v>17771</v>
      </c>
      <c r="B11188" s="117" t="s">
        <v>17772</v>
      </c>
      <c r="C11188" t="s">
        <v>67</v>
      </c>
      <c r="D11188" t="s">
        <v>67</v>
      </c>
      <c r="E11188" t="s">
        <v>67</v>
      </c>
      <c r="F11188" t="s">
        <v>51</v>
      </c>
      <c r="G11188" s="117">
        <v>104.02</v>
      </c>
    </row>
    <row r="11189" spans="1:7" x14ac:dyDescent="0.25">
      <c r="A11189" s="116" t="s">
        <v>17773</v>
      </c>
      <c r="B11189" s="117" t="s">
        <v>17669</v>
      </c>
      <c r="C11189" t="s">
        <v>67</v>
      </c>
      <c r="D11189" t="s">
        <v>67</v>
      </c>
      <c r="E11189" t="s">
        <v>67</v>
      </c>
      <c r="F11189" t="s">
        <v>27987</v>
      </c>
      <c r="G11189" s="117">
        <v>205.11</v>
      </c>
    </row>
    <row r="11190" spans="1:7" x14ac:dyDescent="0.25">
      <c r="A11190" s="116" t="s">
        <v>17774</v>
      </c>
      <c r="B11190" s="117" t="s">
        <v>17669</v>
      </c>
      <c r="C11190" t="s">
        <v>67</v>
      </c>
      <c r="D11190" t="s">
        <v>67</v>
      </c>
      <c r="E11190" t="s">
        <v>67</v>
      </c>
      <c r="F11190" t="s">
        <v>27987</v>
      </c>
      <c r="G11190" s="117">
        <v>186.42</v>
      </c>
    </row>
    <row r="11191" spans="1:7" x14ac:dyDescent="0.25">
      <c r="A11191" s="116" t="s">
        <v>17775</v>
      </c>
      <c r="B11191" s="117" t="s">
        <v>17776</v>
      </c>
      <c r="C11191" t="s">
        <v>67</v>
      </c>
      <c r="D11191" t="s">
        <v>67</v>
      </c>
      <c r="E11191" t="s">
        <v>67</v>
      </c>
      <c r="F11191" t="s">
        <v>27987</v>
      </c>
      <c r="G11191" s="117">
        <v>227.7</v>
      </c>
    </row>
    <row r="11192" spans="1:7" x14ac:dyDescent="0.25">
      <c r="A11192" s="116" t="s">
        <v>17777</v>
      </c>
      <c r="B11192" s="117" t="s">
        <v>17778</v>
      </c>
      <c r="C11192" t="s">
        <v>67</v>
      </c>
      <c r="D11192" t="s">
        <v>67</v>
      </c>
      <c r="E11192" t="s">
        <v>67</v>
      </c>
      <c r="F11192" t="s">
        <v>27987</v>
      </c>
      <c r="G11192" s="117">
        <v>214.89</v>
      </c>
    </row>
    <row r="11193" spans="1:7" x14ac:dyDescent="0.25">
      <c r="A11193" s="116" t="s">
        <v>17779</v>
      </c>
      <c r="B11193" s="117" t="s">
        <v>17780</v>
      </c>
      <c r="C11193" t="s">
        <v>67</v>
      </c>
      <c r="D11193" t="s">
        <v>67</v>
      </c>
      <c r="E11193" t="s">
        <v>67</v>
      </c>
      <c r="F11193" t="s">
        <v>27987</v>
      </c>
      <c r="G11193" s="117">
        <v>212.58</v>
      </c>
    </row>
    <row r="11194" spans="1:7" x14ac:dyDescent="0.25">
      <c r="A11194" s="116" t="s">
        <v>17781</v>
      </c>
      <c r="B11194" s="117" t="s">
        <v>17782</v>
      </c>
      <c r="C11194" t="s">
        <v>67</v>
      </c>
      <c r="D11194" t="s">
        <v>67</v>
      </c>
      <c r="E11194" t="s">
        <v>67</v>
      </c>
      <c r="F11194" t="s">
        <v>27987</v>
      </c>
      <c r="G11194" s="117">
        <v>68.430000000000007</v>
      </c>
    </row>
    <row r="11195" spans="1:7" x14ac:dyDescent="0.25">
      <c r="A11195" s="116" t="s">
        <v>17783</v>
      </c>
      <c r="B11195" s="117" t="s">
        <v>17784</v>
      </c>
      <c r="C11195" t="s">
        <v>67</v>
      </c>
      <c r="D11195" t="s">
        <v>67</v>
      </c>
      <c r="E11195" t="s">
        <v>67</v>
      </c>
      <c r="F11195" t="s">
        <v>27987</v>
      </c>
      <c r="G11195" s="117">
        <v>182.86</v>
      </c>
    </row>
    <row r="11196" spans="1:7" x14ac:dyDescent="0.25">
      <c r="A11196" s="116" t="s">
        <v>17785</v>
      </c>
      <c r="B11196" s="117" t="s">
        <v>17786</v>
      </c>
      <c r="C11196" t="s">
        <v>67</v>
      </c>
      <c r="D11196" t="s">
        <v>67</v>
      </c>
      <c r="E11196" t="s">
        <v>67</v>
      </c>
      <c r="F11196" t="s">
        <v>27987</v>
      </c>
      <c r="G11196" s="117">
        <v>147.62</v>
      </c>
    </row>
    <row r="11197" spans="1:7" x14ac:dyDescent="0.25">
      <c r="A11197" s="116" t="s">
        <v>17787</v>
      </c>
      <c r="B11197" s="117" t="s">
        <v>17669</v>
      </c>
      <c r="C11197" t="s">
        <v>67</v>
      </c>
      <c r="D11197" t="s">
        <v>67</v>
      </c>
      <c r="E11197" t="s">
        <v>67</v>
      </c>
      <c r="F11197" t="s">
        <v>27987</v>
      </c>
      <c r="G11197" s="117">
        <v>126.26</v>
      </c>
    </row>
    <row r="11198" spans="1:7" x14ac:dyDescent="0.25">
      <c r="A11198" s="116" t="s">
        <v>17788</v>
      </c>
      <c r="B11198" s="117" t="s">
        <v>17789</v>
      </c>
      <c r="C11198" t="s">
        <v>67</v>
      </c>
      <c r="D11198" t="s">
        <v>67</v>
      </c>
      <c r="E11198" t="s">
        <v>67</v>
      </c>
      <c r="F11198" t="s">
        <v>45</v>
      </c>
      <c r="G11198" s="117">
        <v>269.18</v>
      </c>
    </row>
    <row r="11199" spans="1:7" x14ac:dyDescent="0.25">
      <c r="A11199" s="116" t="s">
        <v>17790</v>
      </c>
      <c r="B11199" s="117" t="s">
        <v>17791</v>
      </c>
      <c r="C11199" t="s">
        <v>67</v>
      </c>
      <c r="D11199" t="s">
        <v>67</v>
      </c>
      <c r="E11199" t="s">
        <v>67</v>
      </c>
      <c r="F11199" t="s">
        <v>27987</v>
      </c>
      <c r="G11199" s="117">
        <v>92.45</v>
      </c>
    </row>
    <row r="11200" spans="1:7" x14ac:dyDescent="0.25">
      <c r="A11200" s="116" t="s">
        <v>17792</v>
      </c>
      <c r="B11200" s="117" t="s">
        <v>17793</v>
      </c>
      <c r="C11200" t="s">
        <v>67</v>
      </c>
      <c r="D11200" t="s">
        <v>67</v>
      </c>
      <c r="E11200" t="s">
        <v>67</v>
      </c>
      <c r="F11200" t="s">
        <v>27987</v>
      </c>
      <c r="G11200" s="117">
        <v>271.31</v>
      </c>
    </row>
    <row r="11201" spans="1:7" x14ac:dyDescent="0.25">
      <c r="A11201" s="116" t="s">
        <v>17794</v>
      </c>
      <c r="B11201" s="117" t="s">
        <v>17795</v>
      </c>
      <c r="C11201" t="s">
        <v>67</v>
      </c>
      <c r="D11201" t="s">
        <v>67</v>
      </c>
      <c r="E11201" t="s">
        <v>67</v>
      </c>
      <c r="F11201" t="s">
        <v>27987</v>
      </c>
      <c r="G11201" s="117">
        <v>153.5</v>
      </c>
    </row>
    <row r="11202" spans="1:7" x14ac:dyDescent="0.25">
      <c r="A11202" s="116" t="s">
        <v>17796</v>
      </c>
      <c r="B11202" s="117" t="s">
        <v>17797</v>
      </c>
      <c r="C11202" t="s">
        <v>67</v>
      </c>
      <c r="D11202" t="s">
        <v>67</v>
      </c>
      <c r="E11202" t="s">
        <v>67</v>
      </c>
      <c r="F11202" t="s">
        <v>49</v>
      </c>
      <c r="G11202" s="117">
        <v>259.74</v>
      </c>
    </row>
    <row r="11203" spans="1:7" x14ac:dyDescent="0.25">
      <c r="A11203" s="116" t="s">
        <v>17798</v>
      </c>
      <c r="B11203" s="117" t="s">
        <v>17799</v>
      </c>
      <c r="C11203" t="s">
        <v>67</v>
      </c>
      <c r="D11203" t="s">
        <v>67</v>
      </c>
      <c r="E11203" t="s">
        <v>67</v>
      </c>
      <c r="F11203" t="s">
        <v>27987</v>
      </c>
      <c r="G11203" s="117">
        <v>262.06</v>
      </c>
    </row>
    <row r="11204" spans="1:7" x14ac:dyDescent="0.25">
      <c r="A11204" s="116" t="s">
        <v>17800</v>
      </c>
      <c r="B11204" s="117" t="s">
        <v>17801</v>
      </c>
      <c r="C11204" t="s">
        <v>67</v>
      </c>
      <c r="D11204" t="s">
        <v>67</v>
      </c>
      <c r="E11204" t="s">
        <v>67</v>
      </c>
      <c r="F11204" t="s">
        <v>27987</v>
      </c>
      <c r="G11204" s="117">
        <v>144.06</v>
      </c>
    </row>
    <row r="11205" spans="1:7" x14ac:dyDescent="0.25">
      <c r="A11205" s="116" t="s">
        <v>17802</v>
      </c>
      <c r="B11205" s="117" t="s">
        <v>17803</v>
      </c>
      <c r="C11205" t="s">
        <v>67</v>
      </c>
      <c r="D11205" t="s">
        <v>67</v>
      </c>
      <c r="E11205" t="s">
        <v>67</v>
      </c>
      <c r="F11205" t="s">
        <v>45</v>
      </c>
      <c r="G11205" s="117">
        <v>173.43</v>
      </c>
    </row>
    <row r="11206" spans="1:7" x14ac:dyDescent="0.25">
      <c r="A11206" s="116" t="s">
        <v>17804</v>
      </c>
      <c r="B11206" s="117" t="s">
        <v>17805</v>
      </c>
      <c r="C11206" t="s">
        <v>67</v>
      </c>
      <c r="D11206" t="s">
        <v>67</v>
      </c>
      <c r="E11206" t="s">
        <v>67</v>
      </c>
      <c r="F11206" t="s">
        <v>27987</v>
      </c>
      <c r="G11206" s="117">
        <v>271.31</v>
      </c>
    </row>
    <row r="11207" spans="1:7" x14ac:dyDescent="0.25">
      <c r="A11207" s="116" t="s">
        <v>29245</v>
      </c>
      <c r="B11207" s="117" t="s">
        <v>29246</v>
      </c>
      <c r="C11207" t="s">
        <v>67</v>
      </c>
      <c r="D11207" t="s">
        <v>67</v>
      </c>
      <c r="E11207" t="s">
        <v>67</v>
      </c>
      <c r="F11207" t="s">
        <v>45</v>
      </c>
      <c r="G11207" s="117">
        <v>0</v>
      </c>
    </row>
    <row r="11208" spans="1:7" x14ac:dyDescent="0.25">
      <c r="A11208" s="116" t="s">
        <v>17806</v>
      </c>
      <c r="B11208" s="117" t="s">
        <v>17807</v>
      </c>
      <c r="C11208" t="s">
        <v>67</v>
      </c>
      <c r="D11208" t="s">
        <v>67</v>
      </c>
      <c r="E11208" t="s">
        <v>67</v>
      </c>
      <c r="F11208" t="s">
        <v>45</v>
      </c>
      <c r="G11208" s="117">
        <v>218.45</v>
      </c>
    </row>
    <row r="11209" spans="1:7" x14ac:dyDescent="0.25">
      <c r="A11209" s="116" t="s">
        <v>17808</v>
      </c>
      <c r="B11209" s="117" t="s">
        <v>17809</v>
      </c>
      <c r="C11209" t="s">
        <v>67</v>
      </c>
      <c r="D11209" t="s">
        <v>67</v>
      </c>
      <c r="E11209" t="s">
        <v>67</v>
      </c>
      <c r="F11209" t="s">
        <v>27990</v>
      </c>
      <c r="G11209" s="117">
        <v>165.42</v>
      </c>
    </row>
    <row r="11210" spans="1:7" x14ac:dyDescent="0.25">
      <c r="A11210" s="116" t="s">
        <v>17810</v>
      </c>
      <c r="B11210" s="117" t="s">
        <v>17811</v>
      </c>
      <c r="C11210" t="s">
        <v>67</v>
      </c>
      <c r="D11210" t="s">
        <v>67</v>
      </c>
      <c r="E11210" t="s">
        <v>67</v>
      </c>
      <c r="F11210" t="s">
        <v>27987</v>
      </c>
      <c r="G11210" s="117">
        <v>135.69999999999999</v>
      </c>
    </row>
    <row r="11211" spans="1:7" x14ac:dyDescent="0.25">
      <c r="A11211" s="116" t="s">
        <v>17812</v>
      </c>
      <c r="B11211" s="117" t="s">
        <v>17762</v>
      </c>
      <c r="C11211" t="s">
        <v>67</v>
      </c>
      <c r="D11211" t="s">
        <v>67</v>
      </c>
      <c r="E11211" t="s">
        <v>67</v>
      </c>
      <c r="F11211" t="s">
        <v>27987</v>
      </c>
      <c r="G11211" s="117">
        <v>131.25</v>
      </c>
    </row>
    <row r="11212" spans="1:7" x14ac:dyDescent="0.25">
      <c r="A11212" s="116" t="s">
        <v>17813</v>
      </c>
      <c r="B11212" s="117" t="s">
        <v>17814</v>
      </c>
      <c r="C11212" t="s">
        <v>67</v>
      </c>
      <c r="D11212" t="s">
        <v>67</v>
      </c>
      <c r="E11212" t="s">
        <v>67</v>
      </c>
      <c r="F11212" t="s">
        <v>27987</v>
      </c>
      <c r="G11212" s="117">
        <v>230.38</v>
      </c>
    </row>
    <row r="11213" spans="1:7" x14ac:dyDescent="0.25">
      <c r="A11213" s="116" t="s">
        <v>29247</v>
      </c>
      <c r="B11213" s="117" t="s">
        <v>29248</v>
      </c>
      <c r="C11213" t="s">
        <v>67</v>
      </c>
      <c r="D11213" t="s">
        <v>67</v>
      </c>
      <c r="E11213" t="s">
        <v>67</v>
      </c>
      <c r="F11213" t="s">
        <v>45</v>
      </c>
      <c r="G11213" s="117">
        <v>0</v>
      </c>
    </row>
    <row r="11214" spans="1:7" x14ac:dyDescent="0.25">
      <c r="A11214" s="116" t="s">
        <v>17815</v>
      </c>
      <c r="B11214" s="117" t="s">
        <v>17816</v>
      </c>
      <c r="C11214" t="s">
        <v>67</v>
      </c>
      <c r="D11214" t="s">
        <v>67</v>
      </c>
      <c r="E11214" t="s">
        <v>67</v>
      </c>
      <c r="F11214" t="s">
        <v>45</v>
      </c>
      <c r="G11214" s="117">
        <v>146.38</v>
      </c>
    </row>
    <row r="11215" spans="1:7" x14ac:dyDescent="0.25">
      <c r="A11215" s="116" t="s">
        <v>17817</v>
      </c>
      <c r="B11215" s="117" t="s">
        <v>17818</v>
      </c>
      <c r="C11215" t="s">
        <v>67</v>
      </c>
      <c r="D11215" t="s">
        <v>67</v>
      </c>
      <c r="E11215" t="s">
        <v>67</v>
      </c>
      <c r="F11215" t="s">
        <v>27987</v>
      </c>
      <c r="G11215" s="117">
        <v>101.36</v>
      </c>
    </row>
    <row r="11216" spans="1:7" x14ac:dyDescent="0.25">
      <c r="A11216" s="116" t="s">
        <v>17819</v>
      </c>
      <c r="B11216" s="117" t="s">
        <v>17820</v>
      </c>
      <c r="C11216" t="s">
        <v>67</v>
      </c>
      <c r="D11216" t="s">
        <v>67</v>
      </c>
      <c r="E11216" t="s">
        <v>67</v>
      </c>
      <c r="F11216" t="s">
        <v>49</v>
      </c>
      <c r="G11216" s="117">
        <v>304.76</v>
      </c>
    </row>
    <row r="11217" spans="1:7" x14ac:dyDescent="0.25">
      <c r="A11217" s="116" t="s">
        <v>17821</v>
      </c>
      <c r="B11217" s="117" t="s">
        <v>17822</v>
      </c>
      <c r="C11217" t="s">
        <v>67</v>
      </c>
      <c r="D11217" t="s">
        <v>67</v>
      </c>
      <c r="E11217" t="s">
        <v>67</v>
      </c>
      <c r="F11217" t="s">
        <v>49</v>
      </c>
      <c r="G11217" s="117">
        <v>135.69999999999999</v>
      </c>
    </row>
    <row r="11218" spans="1:7" x14ac:dyDescent="0.25">
      <c r="A11218" s="116" t="s">
        <v>17823</v>
      </c>
      <c r="B11218" s="117" t="s">
        <v>17824</v>
      </c>
      <c r="C11218" t="s">
        <v>67</v>
      </c>
      <c r="D11218" t="s">
        <v>67</v>
      </c>
      <c r="E11218" t="s">
        <v>67</v>
      </c>
      <c r="F11218" t="s">
        <v>27987</v>
      </c>
      <c r="G11218" s="117">
        <v>189.08</v>
      </c>
    </row>
    <row r="11219" spans="1:7" x14ac:dyDescent="0.25">
      <c r="A11219" s="116" t="s">
        <v>17825</v>
      </c>
      <c r="B11219" s="117" t="s">
        <v>17826</v>
      </c>
      <c r="C11219" t="s">
        <v>67</v>
      </c>
      <c r="D11219" t="s">
        <v>67</v>
      </c>
      <c r="E11219" t="s">
        <v>67</v>
      </c>
      <c r="F11219" t="s">
        <v>45</v>
      </c>
      <c r="G11219" s="117">
        <v>159.19</v>
      </c>
    </row>
    <row r="11220" spans="1:7" x14ac:dyDescent="0.25">
      <c r="A11220" s="116" t="s">
        <v>17827</v>
      </c>
      <c r="B11220" s="117" t="s">
        <v>17828</v>
      </c>
      <c r="C11220" t="s">
        <v>67</v>
      </c>
      <c r="D11220" t="s">
        <v>67</v>
      </c>
      <c r="E11220" t="s">
        <v>67</v>
      </c>
      <c r="F11220" t="s">
        <v>27987</v>
      </c>
      <c r="G11220" s="117">
        <v>96.9</v>
      </c>
    </row>
    <row r="11221" spans="1:7" x14ac:dyDescent="0.25">
      <c r="A11221" s="116" t="s">
        <v>17829</v>
      </c>
      <c r="B11221" s="117" t="s">
        <v>17830</v>
      </c>
      <c r="C11221" t="s">
        <v>67</v>
      </c>
      <c r="D11221" t="s">
        <v>67</v>
      </c>
      <c r="E11221" t="s">
        <v>67</v>
      </c>
      <c r="F11221" t="s">
        <v>45</v>
      </c>
      <c r="G11221" s="117">
        <v>224.14</v>
      </c>
    </row>
    <row r="11222" spans="1:7" x14ac:dyDescent="0.25">
      <c r="A11222" s="116" t="s">
        <v>17831</v>
      </c>
      <c r="B11222" s="117" t="s">
        <v>17716</v>
      </c>
      <c r="C11222" t="s">
        <v>67</v>
      </c>
      <c r="D11222" t="s">
        <v>67</v>
      </c>
      <c r="E11222" t="s">
        <v>67</v>
      </c>
      <c r="F11222" t="s">
        <v>45</v>
      </c>
      <c r="G11222" s="117">
        <v>121.82</v>
      </c>
    </row>
    <row r="11223" spans="1:7" x14ac:dyDescent="0.25">
      <c r="A11223" s="116" t="s">
        <v>17832</v>
      </c>
      <c r="B11223" s="117" t="s">
        <v>17833</v>
      </c>
      <c r="C11223" t="s">
        <v>67</v>
      </c>
      <c r="D11223" t="s">
        <v>67</v>
      </c>
      <c r="E11223" t="s">
        <v>67</v>
      </c>
      <c r="F11223" t="s">
        <v>27990</v>
      </c>
      <c r="G11223" s="117">
        <v>107.58</v>
      </c>
    </row>
    <row r="11224" spans="1:7" x14ac:dyDescent="0.25">
      <c r="A11224" s="116" t="s">
        <v>17834</v>
      </c>
      <c r="B11224" s="117" t="s">
        <v>17762</v>
      </c>
      <c r="C11224" t="s">
        <v>67</v>
      </c>
      <c r="D11224" t="s">
        <v>67</v>
      </c>
      <c r="E11224" t="s">
        <v>67</v>
      </c>
      <c r="F11224" t="s">
        <v>45</v>
      </c>
      <c r="G11224" s="117">
        <v>96.9</v>
      </c>
    </row>
    <row r="11225" spans="1:7" x14ac:dyDescent="0.25">
      <c r="A11225" s="116" t="s">
        <v>17835</v>
      </c>
      <c r="B11225" s="117" t="s">
        <v>17836</v>
      </c>
      <c r="C11225" t="s">
        <v>67</v>
      </c>
      <c r="D11225" t="s">
        <v>67</v>
      </c>
      <c r="E11225" t="s">
        <v>67</v>
      </c>
      <c r="F11225" t="s">
        <v>27987</v>
      </c>
      <c r="G11225" s="117">
        <v>306.89999999999998</v>
      </c>
    </row>
    <row r="11226" spans="1:7" x14ac:dyDescent="0.25">
      <c r="A11226" s="116" t="s">
        <v>17837</v>
      </c>
      <c r="B11226" s="117" t="s">
        <v>17753</v>
      </c>
      <c r="C11226" t="s">
        <v>67</v>
      </c>
      <c r="D11226" t="s">
        <v>67</v>
      </c>
      <c r="E11226" t="s">
        <v>67</v>
      </c>
      <c r="F11226" t="s">
        <v>45</v>
      </c>
      <c r="G11226" s="117">
        <v>124.13</v>
      </c>
    </row>
    <row r="11227" spans="1:7" x14ac:dyDescent="0.25">
      <c r="A11227" s="116" t="s">
        <v>17838</v>
      </c>
      <c r="B11227" s="117" t="s">
        <v>17669</v>
      </c>
      <c r="C11227" t="s">
        <v>67</v>
      </c>
      <c r="D11227" t="s">
        <v>67</v>
      </c>
      <c r="E11227" t="s">
        <v>67</v>
      </c>
      <c r="F11227" t="s">
        <v>27987</v>
      </c>
      <c r="G11227" s="117">
        <v>116</v>
      </c>
    </row>
    <row r="11228" spans="1:7" x14ac:dyDescent="0.25">
      <c r="A11228" s="116" t="s">
        <v>17839</v>
      </c>
      <c r="B11228" s="117" t="s">
        <v>17840</v>
      </c>
      <c r="C11228" t="s">
        <v>67</v>
      </c>
      <c r="D11228" t="s">
        <v>67</v>
      </c>
      <c r="E11228" t="s">
        <v>67</v>
      </c>
      <c r="F11228" t="s">
        <v>27987</v>
      </c>
      <c r="G11228" s="117">
        <v>86.76</v>
      </c>
    </row>
    <row r="11229" spans="1:7" x14ac:dyDescent="0.25">
      <c r="A11229" s="116" t="s">
        <v>17841</v>
      </c>
      <c r="B11229" s="117" t="s">
        <v>17842</v>
      </c>
      <c r="C11229" t="s">
        <v>67</v>
      </c>
      <c r="D11229" t="s">
        <v>67</v>
      </c>
      <c r="E11229" t="s">
        <v>67</v>
      </c>
      <c r="F11229" t="s">
        <v>27987</v>
      </c>
      <c r="G11229" s="117">
        <v>115.58</v>
      </c>
    </row>
    <row r="11230" spans="1:7" x14ac:dyDescent="0.25">
      <c r="A11230" s="116" t="s">
        <v>17843</v>
      </c>
      <c r="B11230" s="117" t="s">
        <v>17844</v>
      </c>
      <c r="C11230" t="s">
        <v>67</v>
      </c>
      <c r="D11230" t="s">
        <v>67</v>
      </c>
      <c r="E11230" t="s">
        <v>67</v>
      </c>
      <c r="F11230" t="s">
        <v>27987</v>
      </c>
      <c r="G11230" s="117">
        <v>96.01</v>
      </c>
    </row>
    <row r="11231" spans="1:7" x14ac:dyDescent="0.25">
      <c r="A11231" s="116" t="s">
        <v>17845</v>
      </c>
      <c r="B11231" s="117" t="s">
        <v>17846</v>
      </c>
      <c r="C11231" t="s">
        <v>67</v>
      </c>
      <c r="D11231" t="s">
        <v>67</v>
      </c>
      <c r="E11231" t="s">
        <v>67</v>
      </c>
      <c r="F11231" t="s">
        <v>27987</v>
      </c>
      <c r="G11231" s="117">
        <v>104.02</v>
      </c>
    </row>
    <row r="11232" spans="1:7" x14ac:dyDescent="0.25">
      <c r="A11232" s="116" t="s">
        <v>17847</v>
      </c>
      <c r="B11232" s="117" t="s">
        <v>17848</v>
      </c>
      <c r="C11232" t="s">
        <v>67</v>
      </c>
      <c r="D11232" t="s">
        <v>67</v>
      </c>
      <c r="E11232" t="s">
        <v>67</v>
      </c>
      <c r="F11232" t="s">
        <v>27987</v>
      </c>
      <c r="G11232" s="117">
        <v>113.45</v>
      </c>
    </row>
    <row r="11233" spans="1:7" x14ac:dyDescent="0.25">
      <c r="A11233" s="116" t="s">
        <v>17849</v>
      </c>
      <c r="B11233" s="117" t="s">
        <v>17850</v>
      </c>
      <c r="C11233" t="s">
        <v>67</v>
      </c>
      <c r="D11233" t="s">
        <v>67</v>
      </c>
      <c r="E11233" t="s">
        <v>67</v>
      </c>
      <c r="F11233" t="s">
        <v>49</v>
      </c>
      <c r="G11233" s="117">
        <v>94.76</v>
      </c>
    </row>
    <row r="11234" spans="1:7" x14ac:dyDescent="0.25">
      <c r="A11234" s="116" t="s">
        <v>17851</v>
      </c>
      <c r="B11234" s="117" t="s">
        <v>17852</v>
      </c>
      <c r="C11234" t="s">
        <v>67</v>
      </c>
      <c r="D11234" t="s">
        <v>67</v>
      </c>
      <c r="E11234" t="s">
        <v>67</v>
      </c>
      <c r="F11234" t="s">
        <v>27987</v>
      </c>
      <c r="G11234" s="117">
        <v>88.54</v>
      </c>
    </row>
    <row r="11235" spans="1:7" x14ac:dyDescent="0.25">
      <c r="A11235" s="116" t="s">
        <v>27993</v>
      </c>
      <c r="B11235" s="117" t="s">
        <v>27994</v>
      </c>
      <c r="C11235" t="s">
        <v>67</v>
      </c>
      <c r="D11235" t="s">
        <v>67</v>
      </c>
      <c r="E11235" t="s">
        <v>67</v>
      </c>
      <c r="F11235" t="s">
        <v>45</v>
      </c>
      <c r="G11235" s="117">
        <v>114.68</v>
      </c>
    </row>
    <row r="11236" spans="1:7" x14ac:dyDescent="0.25">
      <c r="A11236" s="116" t="s">
        <v>17853</v>
      </c>
      <c r="B11236" s="117" t="s">
        <v>17854</v>
      </c>
      <c r="C11236" t="s">
        <v>67</v>
      </c>
      <c r="D11236" t="s">
        <v>67</v>
      </c>
      <c r="E11236" t="s">
        <v>67</v>
      </c>
      <c r="F11236" t="s">
        <v>27987</v>
      </c>
      <c r="G11236" s="117">
        <v>330.57</v>
      </c>
    </row>
    <row r="11237" spans="1:7" x14ac:dyDescent="0.25">
      <c r="A11237" s="116" t="s">
        <v>17855</v>
      </c>
      <c r="B11237" s="117" t="s">
        <v>17856</v>
      </c>
      <c r="C11237" t="s">
        <v>67</v>
      </c>
      <c r="D11237" t="s">
        <v>67</v>
      </c>
      <c r="E11237" t="s">
        <v>67</v>
      </c>
      <c r="F11237" t="s">
        <v>45</v>
      </c>
      <c r="G11237" s="117">
        <v>393.21</v>
      </c>
    </row>
    <row r="11238" spans="1:7" x14ac:dyDescent="0.25">
      <c r="A11238" s="116" t="s">
        <v>17857</v>
      </c>
      <c r="B11238" s="117" t="s">
        <v>17858</v>
      </c>
      <c r="C11238" t="s">
        <v>67</v>
      </c>
      <c r="D11238" t="s">
        <v>67</v>
      </c>
      <c r="E11238" t="s">
        <v>67</v>
      </c>
      <c r="F11238" t="s">
        <v>27987</v>
      </c>
      <c r="G11238" s="117">
        <v>427.02</v>
      </c>
    </row>
    <row r="11239" spans="1:7" x14ac:dyDescent="0.25">
      <c r="A11239" s="116" t="s">
        <v>17859</v>
      </c>
      <c r="B11239" s="117" t="s">
        <v>17860</v>
      </c>
      <c r="C11239" t="s">
        <v>67</v>
      </c>
      <c r="D11239" t="s">
        <v>67</v>
      </c>
      <c r="E11239" t="s">
        <v>67</v>
      </c>
      <c r="F11239" t="s">
        <v>45</v>
      </c>
      <c r="G11239" s="117">
        <v>440.02</v>
      </c>
    </row>
    <row r="11240" spans="1:7" x14ac:dyDescent="0.25">
      <c r="A11240" s="116" t="s">
        <v>17861</v>
      </c>
      <c r="B11240" s="117" t="s">
        <v>17669</v>
      </c>
      <c r="C11240" t="s">
        <v>67</v>
      </c>
      <c r="D11240" t="s">
        <v>67</v>
      </c>
      <c r="E11240" t="s">
        <v>67</v>
      </c>
      <c r="F11240" t="s">
        <v>27987</v>
      </c>
      <c r="G11240" s="117">
        <v>524.02</v>
      </c>
    </row>
    <row r="11241" spans="1:7" x14ac:dyDescent="0.25">
      <c r="A11241" s="116" t="s">
        <v>17862</v>
      </c>
      <c r="B11241" s="117" t="s">
        <v>17669</v>
      </c>
      <c r="C11241" t="s">
        <v>67</v>
      </c>
      <c r="D11241" t="s">
        <v>67</v>
      </c>
      <c r="E11241" t="s">
        <v>67</v>
      </c>
      <c r="F11241" t="s">
        <v>27987</v>
      </c>
      <c r="G11241" s="117">
        <v>267.39</v>
      </c>
    </row>
    <row r="11242" spans="1:7" x14ac:dyDescent="0.25">
      <c r="A11242" s="116" t="s">
        <v>30204</v>
      </c>
      <c r="B11242" s="117" t="s">
        <v>30493</v>
      </c>
      <c r="C11242" t="s">
        <v>67</v>
      </c>
      <c r="D11242" t="s">
        <v>67</v>
      </c>
      <c r="E11242" t="s">
        <v>67</v>
      </c>
      <c r="F11242" t="s">
        <v>27987</v>
      </c>
      <c r="G11242" s="117">
        <v>210</v>
      </c>
    </row>
    <row r="11243" spans="1:7" x14ac:dyDescent="0.25">
      <c r="A11243" s="116" t="s">
        <v>29249</v>
      </c>
      <c r="B11243" s="117" t="s">
        <v>29250</v>
      </c>
      <c r="C11243" t="s">
        <v>67</v>
      </c>
      <c r="D11243" t="s">
        <v>67</v>
      </c>
      <c r="E11243" t="s">
        <v>67</v>
      </c>
      <c r="F11243" t="s">
        <v>45</v>
      </c>
      <c r="G11243" s="117">
        <v>0</v>
      </c>
    </row>
    <row r="11244" spans="1:7" x14ac:dyDescent="0.25">
      <c r="A11244" s="116" t="s">
        <v>17863</v>
      </c>
      <c r="B11244" s="117" t="s">
        <v>17864</v>
      </c>
      <c r="C11244" t="s">
        <v>67</v>
      </c>
      <c r="D11244" t="s">
        <v>67</v>
      </c>
      <c r="E11244" t="s">
        <v>67</v>
      </c>
      <c r="F11244" t="s">
        <v>27987</v>
      </c>
      <c r="G11244" s="117">
        <v>245.5</v>
      </c>
    </row>
    <row r="11245" spans="1:7" x14ac:dyDescent="0.25">
      <c r="A11245" s="116" t="s">
        <v>17865</v>
      </c>
      <c r="B11245" s="117" t="s">
        <v>17866</v>
      </c>
      <c r="C11245" t="s">
        <v>67</v>
      </c>
      <c r="D11245" t="s">
        <v>67</v>
      </c>
      <c r="E11245" t="s">
        <v>67</v>
      </c>
      <c r="F11245" t="s">
        <v>27987</v>
      </c>
      <c r="G11245" s="117">
        <v>254.05</v>
      </c>
    </row>
    <row r="11246" spans="1:7" x14ac:dyDescent="0.25">
      <c r="A11246" s="116" t="s">
        <v>17867</v>
      </c>
      <c r="B11246" s="117" t="s">
        <v>17868</v>
      </c>
      <c r="C11246" t="s">
        <v>67</v>
      </c>
      <c r="D11246" t="s">
        <v>67</v>
      </c>
      <c r="E11246" t="s">
        <v>67</v>
      </c>
      <c r="F11246" t="s">
        <v>45</v>
      </c>
      <c r="G11246" s="117">
        <v>221.48</v>
      </c>
    </row>
    <row r="11247" spans="1:7" x14ac:dyDescent="0.25">
      <c r="A11247" s="116" t="s">
        <v>17869</v>
      </c>
      <c r="B11247" s="117" t="s">
        <v>17733</v>
      </c>
      <c r="C11247" t="s">
        <v>67</v>
      </c>
      <c r="D11247" t="s">
        <v>67</v>
      </c>
      <c r="E11247" t="s">
        <v>67</v>
      </c>
      <c r="F11247" t="s">
        <v>45</v>
      </c>
      <c r="G11247" s="117">
        <v>240.17</v>
      </c>
    </row>
    <row r="11248" spans="1:7" x14ac:dyDescent="0.25">
      <c r="A11248" s="116" t="s">
        <v>17870</v>
      </c>
      <c r="B11248" s="117" t="s">
        <v>17871</v>
      </c>
      <c r="C11248" t="s">
        <v>67</v>
      </c>
      <c r="D11248" t="s">
        <v>67</v>
      </c>
      <c r="E11248" t="s">
        <v>67</v>
      </c>
      <c r="F11248" t="s">
        <v>27987</v>
      </c>
      <c r="G11248" s="117">
        <v>224.68</v>
      </c>
    </row>
    <row r="11249" spans="1:7" x14ac:dyDescent="0.25">
      <c r="A11249" s="116" t="s">
        <v>17872</v>
      </c>
      <c r="B11249" s="117" t="s">
        <v>17873</v>
      </c>
      <c r="C11249" t="s">
        <v>67</v>
      </c>
      <c r="D11249" t="s">
        <v>67</v>
      </c>
      <c r="E11249" t="s">
        <v>67</v>
      </c>
      <c r="F11249" t="s">
        <v>27987</v>
      </c>
      <c r="G11249" s="117">
        <v>219.7</v>
      </c>
    </row>
    <row r="11250" spans="1:7" x14ac:dyDescent="0.25">
      <c r="A11250" s="116" t="s">
        <v>17874</v>
      </c>
      <c r="B11250" s="117" t="s">
        <v>17875</v>
      </c>
      <c r="C11250" t="s">
        <v>67</v>
      </c>
      <c r="D11250" t="s">
        <v>67</v>
      </c>
      <c r="E11250" t="s">
        <v>67</v>
      </c>
      <c r="F11250" t="s">
        <v>45</v>
      </c>
      <c r="G11250" s="117">
        <v>278.95999999999998</v>
      </c>
    </row>
    <row r="11251" spans="1:7" x14ac:dyDescent="0.25">
      <c r="A11251" s="116" t="s">
        <v>17876</v>
      </c>
      <c r="B11251" s="117" t="s">
        <v>17669</v>
      </c>
      <c r="C11251" t="s">
        <v>67</v>
      </c>
      <c r="D11251" t="s">
        <v>67</v>
      </c>
      <c r="E11251" t="s">
        <v>67</v>
      </c>
      <c r="F11251" t="s">
        <v>49</v>
      </c>
      <c r="G11251" s="117">
        <v>94.24</v>
      </c>
    </row>
    <row r="11252" spans="1:7" x14ac:dyDescent="0.25">
      <c r="A11252" s="116" t="s">
        <v>17877</v>
      </c>
      <c r="B11252" s="117" t="s">
        <v>17878</v>
      </c>
      <c r="C11252" t="s">
        <v>67</v>
      </c>
      <c r="D11252" t="s">
        <v>67</v>
      </c>
      <c r="E11252" t="s">
        <v>67</v>
      </c>
      <c r="F11252" t="s">
        <v>45</v>
      </c>
      <c r="G11252" s="117">
        <v>127.69</v>
      </c>
    </row>
    <row r="11253" spans="1:7" x14ac:dyDescent="0.25">
      <c r="A11253" s="116" t="s">
        <v>17879</v>
      </c>
      <c r="B11253" s="117" t="s">
        <v>17880</v>
      </c>
      <c r="C11253" t="s">
        <v>67</v>
      </c>
      <c r="D11253" t="s">
        <v>67</v>
      </c>
      <c r="E11253" t="s">
        <v>67</v>
      </c>
      <c r="F11253" t="s">
        <v>27987</v>
      </c>
      <c r="G11253" s="117">
        <v>181.98</v>
      </c>
    </row>
    <row r="11254" spans="1:7" x14ac:dyDescent="0.25">
      <c r="A11254" s="116" t="s">
        <v>17881</v>
      </c>
      <c r="B11254" s="117" t="s">
        <v>17669</v>
      </c>
      <c r="C11254" t="s">
        <v>67</v>
      </c>
      <c r="D11254" t="s">
        <v>67</v>
      </c>
      <c r="E11254" t="s">
        <v>67</v>
      </c>
      <c r="F11254" t="s">
        <v>27987</v>
      </c>
      <c r="G11254" s="117">
        <v>125.02</v>
      </c>
    </row>
    <row r="11255" spans="1:7" x14ac:dyDescent="0.25">
      <c r="A11255" s="116" t="s">
        <v>17882</v>
      </c>
      <c r="B11255" s="117" t="s">
        <v>17669</v>
      </c>
      <c r="C11255" t="s">
        <v>67</v>
      </c>
      <c r="D11255" t="s">
        <v>67</v>
      </c>
      <c r="E11255" t="s">
        <v>67</v>
      </c>
      <c r="F11255" t="s">
        <v>45</v>
      </c>
      <c r="G11255" s="117">
        <v>126.8</v>
      </c>
    </row>
    <row r="11256" spans="1:7" x14ac:dyDescent="0.25">
      <c r="A11256" s="116" t="s">
        <v>17883</v>
      </c>
      <c r="B11256" s="117" t="s">
        <v>17762</v>
      </c>
      <c r="C11256" t="s">
        <v>67</v>
      </c>
      <c r="D11256" t="s">
        <v>67</v>
      </c>
      <c r="E11256" t="s">
        <v>67</v>
      </c>
      <c r="F11256" t="s">
        <v>27987</v>
      </c>
      <c r="G11256" s="117">
        <v>107.23</v>
      </c>
    </row>
    <row r="11257" spans="1:7" x14ac:dyDescent="0.25">
      <c r="A11257" s="116" t="s">
        <v>17884</v>
      </c>
      <c r="B11257" s="117" t="s">
        <v>17669</v>
      </c>
      <c r="C11257" t="s">
        <v>67</v>
      </c>
      <c r="D11257" t="s">
        <v>67</v>
      </c>
      <c r="E11257" t="s">
        <v>67</v>
      </c>
      <c r="F11257" t="s">
        <v>45</v>
      </c>
      <c r="G11257" s="117">
        <v>108.12</v>
      </c>
    </row>
    <row r="11258" spans="1:7" x14ac:dyDescent="0.25">
      <c r="A11258" s="116" t="s">
        <v>17885</v>
      </c>
      <c r="B11258" s="117" t="s">
        <v>17886</v>
      </c>
      <c r="C11258" t="s">
        <v>67</v>
      </c>
      <c r="D11258" t="s">
        <v>67</v>
      </c>
      <c r="E11258" t="s">
        <v>67</v>
      </c>
      <c r="F11258" t="s">
        <v>27987</v>
      </c>
      <c r="G11258" s="117">
        <v>114.7</v>
      </c>
    </row>
    <row r="11259" spans="1:7" x14ac:dyDescent="0.25">
      <c r="A11259" s="116" t="s">
        <v>17887</v>
      </c>
      <c r="B11259" s="117" t="s">
        <v>17669</v>
      </c>
      <c r="C11259" t="s">
        <v>67</v>
      </c>
      <c r="D11259" t="s">
        <v>67</v>
      </c>
      <c r="E11259" t="s">
        <v>67</v>
      </c>
      <c r="F11259" t="s">
        <v>27987</v>
      </c>
      <c r="G11259" s="117">
        <v>176.99</v>
      </c>
    </row>
    <row r="11260" spans="1:7" x14ac:dyDescent="0.25">
      <c r="A11260" s="116" t="s">
        <v>17888</v>
      </c>
      <c r="B11260" s="117" t="s">
        <v>17762</v>
      </c>
      <c r="C11260" t="s">
        <v>67</v>
      </c>
      <c r="D11260" t="s">
        <v>67</v>
      </c>
      <c r="E11260" t="s">
        <v>67</v>
      </c>
      <c r="F11260" t="s">
        <v>27987</v>
      </c>
      <c r="G11260" s="117">
        <v>177.52</v>
      </c>
    </row>
    <row r="11261" spans="1:7" x14ac:dyDescent="0.25">
      <c r="A11261" s="116" t="s">
        <v>17889</v>
      </c>
      <c r="B11261" s="117" t="s">
        <v>17890</v>
      </c>
      <c r="C11261" t="s">
        <v>67</v>
      </c>
      <c r="D11261" t="s">
        <v>67</v>
      </c>
      <c r="E11261" t="s">
        <v>67</v>
      </c>
      <c r="F11261" t="s">
        <v>27987</v>
      </c>
      <c r="G11261" s="117">
        <v>247.82</v>
      </c>
    </row>
    <row r="11262" spans="1:7" x14ac:dyDescent="0.25">
      <c r="A11262" s="116" t="s">
        <v>17891</v>
      </c>
      <c r="B11262" s="117" t="s">
        <v>17669</v>
      </c>
      <c r="C11262" t="s">
        <v>67</v>
      </c>
      <c r="D11262" t="s">
        <v>67</v>
      </c>
      <c r="E11262" t="s">
        <v>67</v>
      </c>
      <c r="F11262" t="s">
        <v>27987</v>
      </c>
      <c r="G11262" s="117">
        <v>126.76</v>
      </c>
    </row>
    <row r="11263" spans="1:7" x14ac:dyDescent="0.25">
      <c r="A11263" s="116" t="s">
        <v>17892</v>
      </c>
      <c r="B11263" s="117" t="s">
        <v>17893</v>
      </c>
      <c r="C11263" t="s">
        <v>67</v>
      </c>
      <c r="D11263" t="s">
        <v>67</v>
      </c>
      <c r="E11263" t="s">
        <v>67</v>
      </c>
      <c r="F11263" t="s">
        <v>45</v>
      </c>
      <c r="G11263" s="117">
        <v>141.93</v>
      </c>
    </row>
    <row r="11264" spans="1:7" x14ac:dyDescent="0.25">
      <c r="A11264" s="116" t="s">
        <v>17894</v>
      </c>
      <c r="B11264" s="117" t="s">
        <v>17895</v>
      </c>
      <c r="C11264" t="s">
        <v>67</v>
      </c>
      <c r="D11264" t="s">
        <v>67</v>
      </c>
      <c r="E11264" t="s">
        <v>67</v>
      </c>
      <c r="F11264" t="s">
        <v>27987</v>
      </c>
      <c r="G11264" s="117">
        <v>98.68</v>
      </c>
    </row>
    <row r="11265" spans="1:7" x14ac:dyDescent="0.25">
      <c r="A11265" s="116" t="s">
        <v>17896</v>
      </c>
      <c r="B11265" s="117" t="s">
        <v>17669</v>
      </c>
      <c r="C11265" t="s">
        <v>67</v>
      </c>
      <c r="D11265" t="s">
        <v>67</v>
      </c>
      <c r="E11265" t="s">
        <v>67</v>
      </c>
      <c r="F11265" t="s">
        <v>27987</v>
      </c>
      <c r="G11265" s="117">
        <v>155.63</v>
      </c>
    </row>
    <row r="11266" spans="1:7" x14ac:dyDescent="0.25">
      <c r="A11266" s="116" t="s">
        <v>29251</v>
      </c>
      <c r="B11266" s="117" t="s">
        <v>29252</v>
      </c>
      <c r="C11266" t="s">
        <v>67</v>
      </c>
      <c r="D11266" t="s">
        <v>67</v>
      </c>
      <c r="E11266" t="s">
        <v>67</v>
      </c>
      <c r="F11266" t="s">
        <v>45</v>
      </c>
      <c r="G11266" s="117">
        <v>0</v>
      </c>
    </row>
    <row r="11267" spans="1:7" x14ac:dyDescent="0.25">
      <c r="A11267" s="116" t="s">
        <v>17897</v>
      </c>
      <c r="B11267" s="117" t="s">
        <v>17669</v>
      </c>
      <c r="C11267" t="s">
        <v>67</v>
      </c>
      <c r="D11267" t="s">
        <v>67</v>
      </c>
      <c r="E11267" t="s">
        <v>67</v>
      </c>
      <c r="F11267" t="s">
        <v>27987</v>
      </c>
      <c r="G11267" s="117">
        <v>479.18</v>
      </c>
    </row>
    <row r="11268" spans="1:7" x14ac:dyDescent="0.25">
      <c r="A11268" s="116" t="s">
        <v>17898</v>
      </c>
      <c r="B11268" s="117" t="s">
        <v>17899</v>
      </c>
      <c r="C11268" t="s">
        <v>67</v>
      </c>
      <c r="D11268" t="s">
        <v>67</v>
      </c>
      <c r="E11268" t="s">
        <v>67</v>
      </c>
      <c r="F11268" t="s">
        <v>27990</v>
      </c>
      <c r="G11268" s="117">
        <v>82.67</v>
      </c>
    </row>
    <row r="11269" spans="1:7" x14ac:dyDescent="0.25">
      <c r="A11269" s="116" t="s">
        <v>17900</v>
      </c>
      <c r="B11269" s="117" t="s">
        <v>17901</v>
      </c>
      <c r="C11269" t="s">
        <v>67</v>
      </c>
      <c r="D11269" t="s">
        <v>67</v>
      </c>
      <c r="E11269" t="s">
        <v>67</v>
      </c>
      <c r="F11269" t="s">
        <v>49</v>
      </c>
      <c r="G11269" s="117">
        <v>76.98</v>
      </c>
    </row>
    <row r="11270" spans="1:7" x14ac:dyDescent="0.25">
      <c r="A11270" s="116" t="s">
        <v>17902</v>
      </c>
      <c r="B11270" s="117" t="s">
        <v>17903</v>
      </c>
      <c r="C11270" t="s">
        <v>67</v>
      </c>
      <c r="D11270" t="s">
        <v>67</v>
      </c>
      <c r="E11270" t="s">
        <v>67</v>
      </c>
      <c r="F11270" t="s">
        <v>27987</v>
      </c>
      <c r="G11270" s="117">
        <v>382.54</v>
      </c>
    </row>
    <row r="11271" spans="1:7" x14ac:dyDescent="0.25">
      <c r="A11271" s="116" t="s">
        <v>29253</v>
      </c>
      <c r="B11271" s="117" t="s">
        <v>29254</v>
      </c>
      <c r="C11271" t="s">
        <v>67</v>
      </c>
      <c r="D11271" t="s">
        <v>67</v>
      </c>
      <c r="E11271" t="s">
        <v>67</v>
      </c>
      <c r="F11271" t="s">
        <v>45</v>
      </c>
      <c r="G11271" s="117">
        <v>0</v>
      </c>
    </row>
    <row r="11272" spans="1:7" x14ac:dyDescent="0.25">
      <c r="A11272" s="116" t="s">
        <v>17904</v>
      </c>
      <c r="B11272" s="117" t="s">
        <v>17905</v>
      </c>
      <c r="C11272" t="s">
        <v>67</v>
      </c>
      <c r="D11272" t="s">
        <v>67</v>
      </c>
      <c r="E11272" t="s">
        <v>67</v>
      </c>
      <c r="F11272" t="s">
        <v>51</v>
      </c>
      <c r="G11272" s="117">
        <v>68.430000000000007</v>
      </c>
    </row>
    <row r="11273" spans="1:7" x14ac:dyDescent="0.25">
      <c r="A11273" s="116" t="s">
        <v>17906</v>
      </c>
      <c r="B11273" s="117" t="s">
        <v>17669</v>
      </c>
      <c r="C11273" t="s">
        <v>67</v>
      </c>
      <c r="D11273" t="s">
        <v>67</v>
      </c>
      <c r="E11273" t="s">
        <v>67</v>
      </c>
      <c r="F11273" t="s">
        <v>27987</v>
      </c>
      <c r="G11273" s="117">
        <v>71.099999999999994</v>
      </c>
    </row>
    <row r="11274" spans="1:7" x14ac:dyDescent="0.25">
      <c r="A11274" s="116" t="s">
        <v>17907</v>
      </c>
      <c r="B11274" s="117" t="s">
        <v>17908</v>
      </c>
      <c r="C11274" t="s">
        <v>67</v>
      </c>
      <c r="D11274" t="s">
        <v>67</v>
      </c>
      <c r="E11274" t="s">
        <v>67</v>
      </c>
      <c r="F11274" t="s">
        <v>45</v>
      </c>
      <c r="G11274" s="117">
        <v>114.7</v>
      </c>
    </row>
    <row r="11275" spans="1:7" x14ac:dyDescent="0.25">
      <c r="A11275" s="116" t="s">
        <v>17909</v>
      </c>
      <c r="B11275" s="117" t="s">
        <v>17910</v>
      </c>
      <c r="C11275" t="s">
        <v>67</v>
      </c>
      <c r="D11275" t="s">
        <v>67</v>
      </c>
      <c r="E11275" t="s">
        <v>67</v>
      </c>
      <c r="F11275" t="s">
        <v>27987</v>
      </c>
      <c r="G11275" s="117">
        <v>106.69</v>
      </c>
    </row>
    <row r="11276" spans="1:7" x14ac:dyDescent="0.25">
      <c r="A11276" s="116" t="s">
        <v>17911</v>
      </c>
      <c r="B11276" s="117" t="s">
        <v>17762</v>
      </c>
      <c r="C11276" t="s">
        <v>67</v>
      </c>
      <c r="D11276" t="s">
        <v>67</v>
      </c>
      <c r="E11276" t="s">
        <v>67</v>
      </c>
      <c r="F11276" t="s">
        <v>27987</v>
      </c>
      <c r="G11276" s="117">
        <v>139.26</v>
      </c>
    </row>
    <row r="11277" spans="1:7" x14ac:dyDescent="0.25">
      <c r="A11277" s="116" t="s">
        <v>17912</v>
      </c>
      <c r="B11277" s="117" t="s">
        <v>17762</v>
      </c>
      <c r="C11277" t="s">
        <v>67</v>
      </c>
      <c r="D11277" t="s">
        <v>67</v>
      </c>
      <c r="E11277" t="s">
        <v>67</v>
      </c>
      <c r="F11277" t="s">
        <v>27987</v>
      </c>
      <c r="G11277" s="117">
        <v>138.37</v>
      </c>
    </row>
    <row r="11278" spans="1:7" x14ac:dyDescent="0.25">
      <c r="A11278" s="116" t="s">
        <v>17913</v>
      </c>
      <c r="B11278" s="117" t="s">
        <v>17914</v>
      </c>
      <c r="C11278" t="s">
        <v>67</v>
      </c>
      <c r="D11278" t="s">
        <v>67</v>
      </c>
      <c r="E11278" t="s">
        <v>67</v>
      </c>
      <c r="F11278" t="s">
        <v>27987</v>
      </c>
      <c r="G11278" s="117">
        <v>76.44</v>
      </c>
    </row>
    <row r="11279" spans="1:7" x14ac:dyDescent="0.25">
      <c r="A11279" s="116" t="s">
        <v>17915</v>
      </c>
      <c r="B11279" s="117" t="s">
        <v>17916</v>
      </c>
      <c r="C11279" t="s">
        <v>67</v>
      </c>
      <c r="D11279" t="s">
        <v>67</v>
      </c>
      <c r="E11279" t="s">
        <v>67</v>
      </c>
      <c r="F11279" t="s">
        <v>49</v>
      </c>
      <c r="G11279" s="117">
        <v>72.52</v>
      </c>
    </row>
    <row r="11280" spans="1:7" x14ac:dyDescent="0.25">
      <c r="A11280" s="116" t="s">
        <v>17917</v>
      </c>
      <c r="B11280" s="117" t="s">
        <v>17918</v>
      </c>
      <c r="C11280" t="s">
        <v>67</v>
      </c>
      <c r="D11280" t="s">
        <v>67</v>
      </c>
      <c r="E11280" t="s">
        <v>67</v>
      </c>
      <c r="F11280" t="s">
        <v>27987</v>
      </c>
      <c r="G11280" s="117">
        <v>144.06</v>
      </c>
    </row>
    <row r="11281" spans="1:7" x14ac:dyDescent="0.25">
      <c r="A11281" s="116" t="s">
        <v>17919</v>
      </c>
      <c r="B11281" s="117" t="s">
        <v>17728</v>
      </c>
      <c r="C11281" t="s">
        <v>67</v>
      </c>
      <c r="D11281" t="s">
        <v>67</v>
      </c>
      <c r="E11281" t="s">
        <v>67</v>
      </c>
      <c r="F11281" t="s">
        <v>45</v>
      </c>
      <c r="G11281" s="117">
        <v>76.98</v>
      </c>
    </row>
    <row r="11282" spans="1:7" x14ac:dyDescent="0.25">
      <c r="A11282" s="116" t="s">
        <v>17920</v>
      </c>
      <c r="B11282" s="117" t="s">
        <v>17921</v>
      </c>
      <c r="C11282" t="s">
        <v>67</v>
      </c>
      <c r="D11282" t="s">
        <v>67</v>
      </c>
      <c r="E11282" t="s">
        <v>67</v>
      </c>
      <c r="F11282" t="s">
        <v>45</v>
      </c>
      <c r="G11282" s="117">
        <v>113.45</v>
      </c>
    </row>
    <row r="11283" spans="1:7" x14ac:dyDescent="0.25">
      <c r="A11283" s="116" t="s">
        <v>17922</v>
      </c>
      <c r="B11283" s="117" t="s">
        <v>17923</v>
      </c>
      <c r="C11283" t="s">
        <v>67</v>
      </c>
      <c r="D11283" t="s">
        <v>67</v>
      </c>
      <c r="E11283" t="s">
        <v>67</v>
      </c>
      <c r="F11283" t="s">
        <v>27987</v>
      </c>
      <c r="G11283" s="117">
        <v>160.97999999999999</v>
      </c>
    </row>
    <row r="11284" spans="1:7" x14ac:dyDescent="0.25">
      <c r="A11284" s="116" t="s">
        <v>17924</v>
      </c>
      <c r="B11284" s="117" t="s">
        <v>17925</v>
      </c>
      <c r="C11284" t="s">
        <v>67</v>
      </c>
      <c r="D11284" t="s">
        <v>67</v>
      </c>
      <c r="E11284" t="s">
        <v>67</v>
      </c>
      <c r="F11284" t="s">
        <v>27987</v>
      </c>
      <c r="G11284" s="117">
        <v>212.58</v>
      </c>
    </row>
    <row r="11285" spans="1:7" x14ac:dyDescent="0.25">
      <c r="A11285" s="116" t="s">
        <v>17926</v>
      </c>
      <c r="B11285" s="117" t="s">
        <v>17669</v>
      </c>
      <c r="C11285" t="s">
        <v>67</v>
      </c>
      <c r="D11285" t="s">
        <v>67</v>
      </c>
      <c r="E11285" t="s">
        <v>67</v>
      </c>
      <c r="F11285" t="s">
        <v>27987</v>
      </c>
      <c r="G11285" s="117">
        <v>216.14</v>
      </c>
    </row>
    <row r="11286" spans="1:7" x14ac:dyDescent="0.25">
      <c r="A11286" s="116" t="s">
        <v>17927</v>
      </c>
      <c r="B11286" s="117" t="s">
        <v>17928</v>
      </c>
      <c r="C11286" t="s">
        <v>67</v>
      </c>
      <c r="D11286" t="s">
        <v>67</v>
      </c>
      <c r="E11286" t="s">
        <v>67</v>
      </c>
      <c r="F11286" t="s">
        <v>27987</v>
      </c>
      <c r="G11286" s="117">
        <v>209.02</v>
      </c>
    </row>
    <row r="11287" spans="1:7" x14ac:dyDescent="0.25">
      <c r="A11287" s="116" t="s">
        <v>17929</v>
      </c>
      <c r="B11287" s="117" t="s">
        <v>17930</v>
      </c>
      <c r="C11287" t="s">
        <v>67</v>
      </c>
      <c r="D11287" t="s">
        <v>67</v>
      </c>
      <c r="E11287" t="s">
        <v>67</v>
      </c>
      <c r="F11287" t="s">
        <v>27987</v>
      </c>
      <c r="G11287" s="117">
        <v>95.12</v>
      </c>
    </row>
    <row r="11288" spans="1:7" x14ac:dyDescent="0.25">
      <c r="A11288" s="116" t="s">
        <v>17931</v>
      </c>
      <c r="B11288" s="117" t="s">
        <v>17932</v>
      </c>
      <c r="C11288" t="s">
        <v>67</v>
      </c>
      <c r="D11288" t="s">
        <v>67</v>
      </c>
      <c r="E11288" t="s">
        <v>67</v>
      </c>
      <c r="F11288" t="s">
        <v>45</v>
      </c>
      <c r="G11288" s="117">
        <v>82.67</v>
      </c>
    </row>
    <row r="11289" spans="1:7" x14ac:dyDescent="0.25">
      <c r="A11289" s="116" t="s">
        <v>17933</v>
      </c>
      <c r="B11289" s="117" t="s">
        <v>17934</v>
      </c>
      <c r="C11289" t="s">
        <v>67</v>
      </c>
      <c r="D11289" t="s">
        <v>67</v>
      </c>
      <c r="E11289" t="s">
        <v>67</v>
      </c>
      <c r="F11289" t="s">
        <v>45</v>
      </c>
      <c r="G11289" s="117">
        <v>99.21</v>
      </c>
    </row>
    <row r="11290" spans="1:7" x14ac:dyDescent="0.25">
      <c r="A11290" s="116" t="s">
        <v>17935</v>
      </c>
      <c r="B11290" s="117" t="s">
        <v>17726</v>
      </c>
      <c r="C11290" t="s">
        <v>67</v>
      </c>
      <c r="D11290" t="s">
        <v>67</v>
      </c>
      <c r="E11290" t="s">
        <v>67</v>
      </c>
      <c r="F11290" t="s">
        <v>45</v>
      </c>
      <c r="G11290" s="117">
        <v>133.38</v>
      </c>
    </row>
    <row r="11291" spans="1:7" x14ac:dyDescent="0.25">
      <c r="A11291" s="116" t="s">
        <v>17936</v>
      </c>
      <c r="B11291" s="117" t="s">
        <v>17937</v>
      </c>
      <c r="C11291" t="s">
        <v>67</v>
      </c>
      <c r="D11291" t="s">
        <v>67</v>
      </c>
      <c r="E11291" t="s">
        <v>67</v>
      </c>
      <c r="F11291" t="s">
        <v>27987</v>
      </c>
      <c r="G11291" s="117">
        <v>82.67</v>
      </c>
    </row>
    <row r="11292" spans="1:7" x14ac:dyDescent="0.25">
      <c r="A11292" s="116" t="s">
        <v>17938</v>
      </c>
      <c r="B11292" s="117" t="s">
        <v>17762</v>
      </c>
      <c r="C11292" t="s">
        <v>67</v>
      </c>
      <c r="D11292" t="s">
        <v>67</v>
      </c>
      <c r="E11292" t="s">
        <v>67</v>
      </c>
      <c r="F11292" t="s">
        <v>45</v>
      </c>
      <c r="G11292" s="117">
        <v>98.32</v>
      </c>
    </row>
    <row r="11293" spans="1:7" x14ac:dyDescent="0.25">
      <c r="A11293" s="116" t="s">
        <v>17939</v>
      </c>
      <c r="B11293" s="117" t="s">
        <v>17940</v>
      </c>
      <c r="C11293" t="s">
        <v>67</v>
      </c>
      <c r="D11293" t="s">
        <v>67</v>
      </c>
      <c r="E11293" t="s">
        <v>67</v>
      </c>
      <c r="F11293" t="s">
        <v>27987</v>
      </c>
      <c r="G11293" s="117">
        <v>87.64</v>
      </c>
    </row>
    <row r="11294" spans="1:7" x14ac:dyDescent="0.25">
      <c r="A11294" s="116" t="s">
        <v>17941</v>
      </c>
      <c r="B11294" s="117" t="s">
        <v>17942</v>
      </c>
      <c r="C11294" t="s">
        <v>67</v>
      </c>
      <c r="D11294" t="s">
        <v>67</v>
      </c>
      <c r="E11294" t="s">
        <v>67</v>
      </c>
      <c r="F11294" t="s">
        <v>27987</v>
      </c>
      <c r="G11294" s="117">
        <v>71.099999999999994</v>
      </c>
    </row>
    <row r="11295" spans="1:7" x14ac:dyDescent="0.25">
      <c r="A11295" s="116" t="s">
        <v>17943</v>
      </c>
      <c r="B11295" s="117" t="s">
        <v>17944</v>
      </c>
      <c r="C11295" t="s">
        <v>67</v>
      </c>
      <c r="D11295" t="s">
        <v>67</v>
      </c>
      <c r="E11295" t="s">
        <v>67</v>
      </c>
      <c r="F11295" t="s">
        <v>27987</v>
      </c>
      <c r="G11295" s="117">
        <v>62.74</v>
      </c>
    </row>
    <row r="11296" spans="1:7" x14ac:dyDescent="0.25">
      <c r="A11296" s="116" t="s">
        <v>17945</v>
      </c>
      <c r="B11296" s="117" t="s">
        <v>17946</v>
      </c>
      <c r="C11296" t="s">
        <v>67</v>
      </c>
      <c r="D11296" t="s">
        <v>67</v>
      </c>
      <c r="E11296" t="s">
        <v>67</v>
      </c>
      <c r="F11296" t="s">
        <v>27987</v>
      </c>
      <c r="G11296" s="117">
        <v>63.98</v>
      </c>
    </row>
    <row r="11297" spans="1:7" x14ac:dyDescent="0.25">
      <c r="A11297" s="116" t="s">
        <v>17947</v>
      </c>
      <c r="B11297" s="117" t="s">
        <v>17948</v>
      </c>
      <c r="C11297" t="s">
        <v>67</v>
      </c>
      <c r="D11297" t="s">
        <v>67</v>
      </c>
      <c r="E11297" t="s">
        <v>67</v>
      </c>
      <c r="F11297" t="s">
        <v>49</v>
      </c>
      <c r="G11297" s="117">
        <v>113.45</v>
      </c>
    </row>
    <row r="11298" spans="1:7" x14ac:dyDescent="0.25">
      <c r="A11298" s="116" t="s">
        <v>17949</v>
      </c>
      <c r="B11298" s="117" t="s">
        <v>17950</v>
      </c>
      <c r="C11298" t="s">
        <v>67</v>
      </c>
      <c r="D11298" t="s">
        <v>67</v>
      </c>
      <c r="E11298" t="s">
        <v>67</v>
      </c>
      <c r="F11298" t="s">
        <v>27987</v>
      </c>
      <c r="G11298" s="117">
        <v>212.58</v>
      </c>
    </row>
    <row r="11299" spans="1:7" x14ac:dyDescent="0.25">
      <c r="A11299" s="116" t="s">
        <v>29255</v>
      </c>
      <c r="B11299" s="117" t="s">
        <v>29256</v>
      </c>
      <c r="C11299" t="s">
        <v>67</v>
      </c>
      <c r="D11299" t="s">
        <v>67</v>
      </c>
      <c r="E11299" t="s">
        <v>67</v>
      </c>
      <c r="F11299" t="s">
        <v>45</v>
      </c>
      <c r="G11299" s="117">
        <v>0</v>
      </c>
    </row>
    <row r="11300" spans="1:7" x14ac:dyDescent="0.25">
      <c r="A11300" s="116" t="s">
        <v>29257</v>
      </c>
      <c r="B11300" s="117" t="s">
        <v>29258</v>
      </c>
      <c r="C11300" t="s">
        <v>67</v>
      </c>
      <c r="D11300" t="s">
        <v>67</v>
      </c>
      <c r="E11300" t="s">
        <v>67</v>
      </c>
      <c r="F11300" t="s">
        <v>45</v>
      </c>
      <c r="G11300" s="117">
        <v>0</v>
      </c>
    </row>
    <row r="11301" spans="1:7" x14ac:dyDescent="0.25">
      <c r="A11301" s="116" t="s">
        <v>17951</v>
      </c>
      <c r="B11301" s="117" t="s">
        <v>17952</v>
      </c>
      <c r="C11301" t="s">
        <v>67</v>
      </c>
      <c r="D11301" t="s">
        <v>67</v>
      </c>
      <c r="E11301" t="s">
        <v>67</v>
      </c>
      <c r="F11301" t="s">
        <v>45</v>
      </c>
      <c r="G11301" s="117">
        <v>201.01</v>
      </c>
    </row>
    <row r="11302" spans="1:7" x14ac:dyDescent="0.25">
      <c r="A11302" s="116" t="s">
        <v>17953</v>
      </c>
      <c r="B11302" s="117" t="s">
        <v>17954</v>
      </c>
      <c r="C11302" t="s">
        <v>67</v>
      </c>
      <c r="D11302" t="s">
        <v>67</v>
      </c>
      <c r="E11302" t="s">
        <v>67</v>
      </c>
      <c r="F11302" t="s">
        <v>27987</v>
      </c>
      <c r="G11302" s="117">
        <v>370.62</v>
      </c>
    </row>
    <row r="11303" spans="1:7" x14ac:dyDescent="0.25">
      <c r="A11303" s="116" t="s">
        <v>17955</v>
      </c>
      <c r="B11303" s="117" t="s">
        <v>17956</v>
      </c>
      <c r="C11303" t="s">
        <v>67</v>
      </c>
      <c r="D11303" t="s">
        <v>67</v>
      </c>
      <c r="E11303" t="s">
        <v>67</v>
      </c>
      <c r="F11303" t="s">
        <v>27987</v>
      </c>
      <c r="G11303" s="117">
        <v>224.14</v>
      </c>
    </row>
    <row r="11304" spans="1:7" x14ac:dyDescent="0.25">
      <c r="A11304" s="116" t="s">
        <v>17957</v>
      </c>
      <c r="B11304" s="117" t="s">
        <v>17958</v>
      </c>
      <c r="C11304" t="s">
        <v>67</v>
      </c>
      <c r="D11304" t="s">
        <v>67</v>
      </c>
      <c r="E11304" t="s">
        <v>67</v>
      </c>
      <c r="F11304" t="s">
        <v>27987</v>
      </c>
      <c r="G11304" s="117">
        <v>254.05</v>
      </c>
    </row>
    <row r="11305" spans="1:7" x14ac:dyDescent="0.25">
      <c r="A11305" s="116" t="s">
        <v>17959</v>
      </c>
      <c r="B11305" s="117" t="s">
        <v>17669</v>
      </c>
      <c r="C11305" t="s">
        <v>67</v>
      </c>
      <c r="D11305" t="s">
        <v>67</v>
      </c>
      <c r="E11305" t="s">
        <v>67</v>
      </c>
      <c r="F11305" t="s">
        <v>27987</v>
      </c>
      <c r="G11305" s="117">
        <v>188.56</v>
      </c>
    </row>
    <row r="11306" spans="1:7" x14ac:dyDescent="0.25">
      <c r="A11306" s="116" t="s">
        <v>17960</v>
      </c>
      <c r="B11306" s="117" t="s">
        <v>17961</v>
      </c>
      <c r="C11306" t="s">
        <v>67</v>
      </c>
      <c r="D11306" t="s">
        <v>67</v>
      </c>
      <c r="E11306" t="s">
        <v>67</v>
      </c>
      <c r="F11306" t="s">
        <v>45</v>
      </c>
      <c r="G11306" s="117">
        <v>212.58</v>
      </c>
    </row>
    <row r="11307" spans="1:7" x14ac:dyDescent="0.25">
      <c r="A11307" s="116" t="s">
        <v>17962</v>
      </c>
      <c r="B11307" s="117" t="s">
        <v>17963</v>
      </c>
      <c r="C11307" t="s">
        <v>67</v>
      </c>
      <c r="D11307" t="s">
        <v>67</v>
      </c>
      <c r="E11307" t="s">
        <v>67</v>
      </c>
      <c r="F11307" t="s">
        <v>27987</v>
      </c>
      <c r="G11307" s="117">
        <v>206</v>
      </c>
    </row>
    <row r="11308" spans="1:7" x14ac:dyDescent="0.25">
      <c r="A11308" s="116" t="s">
        <v>17964</v>
      </c>
      <c r="B11308" s="117" t="s">
        <v>17965</v>
      </c>
      <c r="C11308" t="s">
        <v>67</v>
      </c>
      <c r="D11308" t="s">
        <v>67</v>
      </c>
      <c r="E11308" t="s">
        <v>67</v>
      </c>
      <c r="F11308" t="s">
        <v>27987</v>
      </c>
      <c r="G11308" s="117">
        <v>194.79</v>
      </c>
    </row>
    <row r="11309" spans="1:7" x14ac:dyDescent="0.25">
      <c r="A11309" s="116" t="s">
        <v>17966</v>
      </c>
      <c r="B11309" s="117" t="s">
        <v>17967</v>
      </c>
      <c r="C11309" t="s">
        <v>67</v>
      </c>
      <c r="D11309" t="s">
        <v>67</v>
      </c>
      <c r="E11309" t="s">
        <v>67</v>
      </c>
      <c r="F11309" t="s">
        <v>45</v>
      </c>
      <c r="G11309" s="117">
        <v>215.25</v>
      </c>
    </row>
    <row r="11310" spans="1:7" x14ac:dyDescent="0.25">
      <c r="A11310" s="116" t="s">
        <v>17968</v>
      </c>
      <c r="B11310" s="117" t="s">
        <v>17969</v>
      </c>
      <c r="C11310" t="s">
        <v>67</v>
      </c>
      <c r="D11310" t="s">
        <v>67</v>
      </c>
      <c r="E11310" t="s">
        <v>67</v>
      </c>
      <c r="F11310" t="s">
        <v>27987</v>
      </c>
      <c r="G11310" s="117">
        <v>413.32</v>
      </c>
    </row>
    <row r="11311" spans="1:7" x14ac:dyDescent="0.25">
      <c r="A11311" s="116" t="s">
        <v>17970</v>
      </c>
      <c r="B11311" s="117" t="s">
        <v>17971</v>
      </c>
      <c r="C11311" t="s">
        <v>67</v>
      </c>
      <c r="D11311" t="s">
        <v>67</v>
      </c>
      <c r="E11311" t="s">
        <v>67</v>
      </c>
      <c r="F11311" t="s">
        <v>27987</v>
      </c>
      <c r="G11311" s="117">
        <v>312.77</v>
      </c>
    </row>
    <row r="11312" spans="1:7" x14ac:dyDescent="0.25">
      <c r="A11312" s="116" t="s">
        <v>17972</v>
      </c>
      <c r="B11312" s="117" t="s">
        <v>17973</v>
      </c>
      <c r="C11312" t="s">
        <v>67</v>
      </c>
      <c r="D11312" t="s">
        <v>67</v>
      </c>
      <c r="E11312" t="s">
        <v>67</v>
      </c>
      <c r="F11312" t="s">
        <v>45</v>
      </c>
      <c r="G11312" s="117">
        <v>259.38</v>
      </c>
    </row>
    <row r="11313" spans="1:7" x14ac:dyDescent="0.25">
      <c r="A11313" s="116" t="s">
        <v>17974</v>
      </c>
      <c r="B11313" s="117" t="s">
        <v>17975</v>
      </c>
      <c r="C11313" t="s">
        <v>67</v>
      </c>
      <c r="D11313" t="s">
        <v>67</v>
      </c>
      <c r="E11313" t="s">
        <v>67</v>
      </c>
      <c r="F11313" t="s">
        <v>27987</v>
      </c>
      <c r="G11313" s="117">
        <v>370.62</v>
      </c>
    </row>
    <row r="11314" spans="1:7" x14ac:dyDescent="0.25">
      <c r="A11314" s="116" t="s">
        <v>17976</v>
      </c>
      <c r="B11314" s="117" t="s">
        <v>17977</v>
      </c>
      <c r="C11314" t="s">
        <v>67</v>
      </c>
      <c r="D11314" t="s">
        <v>67</v>
      </c>
      <c r="E11314" t="s">
        <v>67</v>
      </c>
      <c r="F11314" t="s">
        <v>27987</v>
      </c>
      <c r="G11314" s="117">
        <v>454.15</v>
      </c>
    </row>
    <row r="11315" spans="1:7" x14ac:dyDescent="0.25">
      <c r="A11315" s="116" t="s">
        <v>17978</v>
      </c>
      <c r="B11315" s="117" t="s">
        <v>17669</v>
      </c>
      <c r="C11315" t="s">
        <v>67</v>
      </c>
      <c r="D11315" t="s">
        <v>67</v>
      </c>
      <c r="E11315" t="s">
        <v>67</v>
      </c>
      <c r="F11315" t="s">
        <v>45</v>
      </c>
      <c r="G11315" s="117">
        <v>316.33</v>
      </c>
    </row>
    <row r="11316" spans="1:7" x14ac:dyDescent="0.25">
      <c r="A11316" s="116" t="s">
        <v>29259</v>
      </c>
      <c r="B11316" s="117" t="s">
        <v>29260</v>
      </c>
      <c r="C11316" t="s">
        <v>67</v>
      </c>
      <c r="D11316" t="s">
        <v>67</v>
      </c>
      <c r="E11316" t="s">
        <v>67</v>
      </c>
      <c r="F11316" t="s">
        <v>45</v>
      </c>
      <c r="G11316" s="117">
        <v>0</v>
      </c>
    </row>
    <row r="11317" spans="1:7" x14ac:dyDescent="0.25">
      <c r="A11317" s="116" t="s">
        <v>17979</v>
      </c>
      <c r="B11317" s="117" t="s">
        <v>17762</v>
      </c>
      <c r="C11317" t="s">
        <v>67</v>
      </c>
      <c r="D11317" t="s">
        <v>67</v>
      </c>
      <c r="E11317" t="s">
        <v>67</v>
      </c>
      <c r="F11317" t="s">
        <v>45</v>
      </c>
      <c r="G11317" s="117">
        <v>350.5</v>
      </c>
    </row>
    <row r="11318" spans="1:7" x14ac:dyDescent="0.25">
      <c r="A11318" s="116" t="s">
        <v>17980</v>
      </c>
      <c r="B11318" s="117" t="s">
        <v>17981</v>
      </c>
      <c r="C11318" t="s">
        <v>67</v>
      </c>
      <c r="D11318" t="s">
        <v>67</v>
      </c>
      <c r="E11318" t="s">
        <v>67</v>
      </c>
      <c r="F11318" t="s">
        <v>27990</v>
      </c>
      <c r="G11318" s="117">
        <v>332.7</v>
      </c>
    </row>
    <row r="11319" spans="1:7" x14ac:dyDescent="0.25">
      <c r="A11319" s="116" t="s">
        <v>17982</v>
      </c>
      <c r="B11319" s="117" t="s">
        <v>17983</v>
      </c>
      <c r="C11319" t="s">
        <v>67</v>
      </c>
      <c r="D11319" t="s">
        <v>67</v>
      </c>
      <c r="E11319" t="s">
        <v>67</v>
      </c>
      <c r="F11319" t="s">
        <v>49</v>
      </c>
      <c r="G11319" s="117">
        <v>247.82</v>
      </c>
    </row>
    <row r="11320" spans="1:7" x14ac:dyDescent="0.25">
      <c r="A11320" s="116" t="s">
        <v>17984</v>
      </c>
      <c r="B11320" s="117" t="s">
        <v>17985</v>
      </c>
      <c r="C11320" t="s">
        <v>67</v>
      </c>
      <c r="D11320" t="s">
        <v>67</v>
      </c>
      <c r="E11320" t="s">
        <v>67</v>
      </c>
      <c r="F11320" t="s">
        <v>45</v>
      </c>
      <c r="G11320" s="117">
        <v>427.56</v>
      </c>
    </row>
    <row r="11321" spans="1:7" x14ac:dyDescent="0.25">
      <c r="A11321" s="116" t="s">
        <v>17986</v>
      </c>
      <c r="B11321" s="117" t="s">
        <v>17987</v>
      </c>
      <c r="C11321" t="s">
        <v>67</v>
      </c>
      <c r="D11321" t="s">
        <v>67</v>
      </c>
      <c r="E11321" t="s">
        <v>67</v>
      </c>
      <c r="F11321" t="s">
        <v>27987</v>
      </c>
      <c r="G11321" s="117">
        <v>153.5</v>
      </c>
    </row>
    <row r="11322" spans="1:7" x14ac:dyDescent="0.25">
      <c r="A11322" s="116" t="s">
        <v>17988</v>
      </c>
      <c r="B11322" s="117" t="s">
        <v>17989</v>
      </c>
      <c r="C11322" t="s">
        <v>67</v>
      </c>
      <c r="D11322" t="s">
        <v>67</v>
      </c>
      <c r="E11322" t="s">
        <v>67</v>
      </c>
      <c r="F11322" t="s">
        <v>27987</v>
      </c>
      <c r="G11322" s="117">
        <v>501.42</v>
      </c>
    </row>
    <row r="11323" spans="1:7" x14ac:dyDescent="0.25">
      <c r="A11323" s="116" t="s">
        <v>17990</v>
      </c>
      <c r="B11323" s="117" t="s">
        <v>17991</v>
      </c>
      <c r="C11323" t="s">
        <v>67</v>
      </c>
      <c r="D11323" t="s">
        <v>67</v>
      </c>
      <c r="E11323" t="s">
        <v>67</v>
      </c>
      <c r="F11323" t="s">
        <v>27987</v>
      </c>
      <c r="G11323" s="117">
        <v>259.74</v>
      </c>
    </row>
    <row r="11324" spans="1:7" x14ac:dyDescent="0.25">
      <c r="A11324" s="116" t="s">
        <v>17992</v>
      </c>
      <c r="B11324" s="117" t="s">
        <v>17762</v>
      </c>
      <c r="C11324" t="s">
        <v>67</v>
      </c>
      <c r="D11324" t="s">
        <v>67</v>
      </c>
      <c r="E11324" t="s">
        <v>67</v>
      </c>
      <c r="F11324" t="s">
        <v>45</v>
      </c>
      <c r="G11324" s="117">
        <v>390.19</v>
      </c>
    </row>
    <row r="11325" spans="1:7" x14ac:dyDescent="0.25">
      <c r="A11325" s="116" t="s">
        <v>17993</v>
      </c>
      <c r="B11325" s="117" t="s">
        <v>17994</v>
      </c>
      <c r="C11325" t="s">
        <v>67</v>
      </c>
      <c r="D11325" t="s">
        <v>67</v>
      </c>
      <c r="E11325" t="s">
        <v>67</v>
      </c>
      <c r="F11325" t="s">
        <v>27987</v>
      </c>
      <c r="G11325" s="117">
        <v>354.06</v>
      </c>
    </row>
    <row r="11326" spans="1:7" x14ac:dyDescent="0.25">
      <c r="A11326" s="116" t="s">
        <v>17995</v>
      </c>
      <c r="B11326" s="117" t="s">
        <v>17996</v>
      </c>
      <c r="C11326" t="s">
        <v>67</v>
      </c>
      <c r="D11326" t="s">
        <v>67</v>
      </c>
      <c r="E11326" t="s">
        <v>67</v>
      </c>
      <c r="F11326" t="s">
        <v>49</v>
      </c>
      <c r="G11326" s="117">
        <v>318.48</v>
      </c>
    </row>
    <row r="11327" spans="1:7" x14ac:dyDescent="0.25">
      <c r="A11327" s="116" t="s">
        <v>17997</v>
      </c>
      <c r="B11327" s="117" t="s">
        <v>17998</v>
      </c>
      <c r="C11327" t="s">
        <v>67</v>
      </c>
      <c r="D11327" t="s">
        <v>67</v>
      </c>
      <c r="E11327" t="s">
        <v>67</v>
      </c>
      <c r="F11327" t="s">
        <v>27987</v>
      </c>
      <c r="G11327" s="117">
        <v>507.64</v>
      </c>
    </row>
    <row r="11328" spans="1:7" x14ac:dyDescent="0.25">
      <c r="A11328" s="116" t="s">
        <v>29261</v>
      </c>
      <c r="B11328" s="117" t="s">
        <v>29262</v>
      </c>
      <c r="C11328" t="s">
        <v>67</v>
      </c>
      <c r="D11328" t="s">
        <v>67</v>
      </c>
      <c r="E11328" t="s">
        <v>67</v>
      </c>
      <c r="F11328" t="s">
        <v>45</v>
      </c>
      <c r="G11328" s="117">
        <v>355</v>
      </c>
    </row>
    <row r="11329" spans="1:7" x14ac:dyDescent="0.25">
      <c r="A11329" s="116" t="s">
        <v>17999</v>
      </c>
      <c r="B11329" s="117" t="s">
        <v>18000</v>
      </c>
      <c r="C11329" t="s">
        <v>67</v>
      </c>
      <c r="D11329" t="s">
        <v>67</v>
      </c>
      <c r="E11329" t="s">
        <v>67</v>
      </c>
      <c r="F11329" t="s">
        <v>27987</v>
      </c>
      <c r="G11329" s="117">
        <v>162.75</v>
      </c>
    </row>
    <row r="11330" spans="1:7" x14ac:dyDescent="0.25">
      <c r="A11330" s="116" t="s">
        <v>29263</v>
      </c>
      <c r="B11330" s="117" t="s">
        <v>29264</v>
      </c>
      <c r="C11330" t="s">
        <v>67</v>
      </c>
      <c r="D11330" t="s">
        <v>67</v>
      </c>
      <c r="E11330" t="s">
        <v>67</v>
      </c>
      <c r="F11330" t="s">
        <v>45</v>
      </c>
      <c r="G11330" s="117">
        <v>0</v>
      </c>
    </row>
    <row r="11331" spans="1:7" x14ac:dyDescent="0.25">
      <c r="A11331" s="116" t="s">
        <v>18001</v>
      </c>
      <c r="B11331" s="117" t="s">
        <v>3427</v>
      </c>
      <c r="C11331" t="s">
        <v>67</v>
      </c>
      <c r="D11331" t="s">
        <v>67</v>
      </c>
      <c r="E11331" t="s">
        <v>67</v>
      </c>
      <c r="F11331" t="s">
        <v>27987</v>
      </c>
      <c r="G11331" s="117">
        <v>176.99</v>
      </c>
    </row>
    <row r="11332" spans="1:7" x14ac:dyDescent="0.25">
      <c r="A11332" s="116" t="s">
        <v>18002</v>
      </c>
      <c r="B11332" s="117" t="s">
        <v>18003</v>
      </c>
      <c r="C11332" t="s">
        <v>67</v>
      </c>
      <c r="D11332" t="s">
        <v>67</v>
      </c>
      <c r="E11332" t="s">
        <v>67</v>
      </c>
      <c r="F11332" t="s">
        <v>27987</v>
      </c>
      <c r="G11332" s="117">
        <v>354.06</v>
      </c>
    </row>
    <row r="11333" spans="1:7" x14ac:dyDescent="0.25">
      <c r="A11333" s="116" t="s">
        <v>18004</v>
      </c>
      <c r="B11333" s="117" t="s">
        <v>18005</v>
      </c>
      <c r="C11333" t="s">
        <v>67</v>
      </c>
      <c r="D11333" t="s">
        <v>67</v>
      </c>
      <c r="E11333" t="s">
        <v>67</v>
      </c>
      <c r="F11333" t="s">
        <v>27987</v>
      </c>
      <c r="G11333" s="117">
        <v>424.89</v>
      </c>
    </row>
    <row r="11334" spans="1:7" x14ac:dyDescent="0.25">
      <c r="A11334" s="116" t="s">
        <v>18006</v>
      </c>
      <c r="B11334" s="117" t="s">
        <v>18007</v>
      </c>
      <c r="C11334" t="s">
        <v>67</v>
      </c>
      <c r="D11334" t="s">
        <v>67</v>
      </c>
      <c r="E11334" t="s">
        <v>67</v>
      </c>
      <c r="F11334" t="s">
        <v>51</v>
      </c>
      <c r="G11334" s="117">
        <v>181.98</v>
      </c>
    </row>
    <row r="11335" spans="1:7" x14ac:dyDescent="0.25">
      <c r="A11335" s="116" t="s">
        <v>18008</v>
      </c>
      <c r="B11335" s="117" t="s">
        <v>18009</v>
      </c>
      <c r="C11335" t="s">
        <v>67</v>
      </c>
      <c r="D11335" t="s">
        <v>67</v>
      </c>
      <c r="E11335" t="s">
        <v>67</v>
      </c>
      <c r="F11335" t="s">
        <v>51</v>
      </c>
      <c r="G11335" s="117">
        <v>200.66</v>
      </c>
    </row>
    <row r="11336" spans="1:7" x14ac:dyDescent="0.25">
      <c r="A11336" s="116" t="s">
        <v>18010</v>
      </c>
      <c r="B11336" s="117" t="s">
        <v>17762</v>
      </c>
      <c r="C11336" t="s">
        <v>67</v>
      </c>
      <c r="D11336" t="s">
        <v>67</v>
      </c>
      <c r="E11336" t="s">
        <v>67</v>
      </c>
      <c r="F11336" t="s">
        <v>27990</v>
      </c>
      <c r="G11336" s="117">
        <v>539.75</v>
      </c>
    </row>
    <row r="11337" spans="1:7" x14ac:dyDescent="0.25">
      <c r="A11337" s="116" t="s">
        <v>18011</v>
      </c>
      <c r="B11337" s="117" t="s">
        <v>17762</v>
      </c>
      <c r="C11337" t="s">
        <v>67</v>
      </c>
      <c r="D11337" t="s">
        <v>67</v>
      </c>
      <c r="E11337" t="s">
        <v>67</v>
      </c>
      <c r="F11337" t="s">
        <v>27987</v>
      </c>
      <c r="G11337" s="117">
        <v>158.30000000000001</v>
      </c>
    </row>
    <row r="11338" spans="1:7" x14ac:dyDescent="0.25">
      <c r="A11338" s="116" t="s">
        <v>18012</v>
      </c>
      <c r="B11338" s="117" t="s">
        <v>18013</v>
      </c>
      <c r="C11338" t="s">
        <v>67</v>
      </c>
      <c r="D11338" t="s">
        <v>67</v>
      </c>
      <c r="E11338" t="s">
        <v>67</v>
      </c>
      <c r="F11338" t="s">
        <v>45</v>
      </c>
      <c r="G11338" s="117">
        <v>186.42</v>
      </c>
    </row>
    <row r="11339" spans="1:7" x14ac:dyDescent="0.25">
      <c r="A11339" s="116" t="s">
        <v>18014</v>
      </c>
      <c r="B11339" s="117" t="s">
        <v>18015</v>
      </c>
      <c r="C11339" t="s">
        <v>67</v>
      </c>
      <c r="D11339" t="s">
        <v>67</v>
      </c>
      <c r="E11339" t="s">
        <v>67</v>
      </c>
      <c r="F11339" t="s">
        <v>45</v>
      </c>
      <c r="G11339" s="117">
        <v>122.7</v>
      </c>
    </row>
    <row r="11340" spans="1:7" x14ac:dyDescent="0.25">
      <c r="A11340" s="116" t="s">
        <v>18016</v>
      </c>
      <c r="B11340" s="117" t="s">
        <v>18017</v>
      </c>
      <c r="C11340" t="s">
        <v>67</v>
      </c>
      <c r="D11340" t="s">
        <v>67</v>
      </c>
      <c r="E11340" t="s">
        <v>67</v>
      </c>
      <c r="F11340" t="s">
        <v>27987</v>
      </c>
      <c r="G11340" s="117">
        <v>181.98</v>
      </c>
    </row>
    <row r="11341" spans="1:7" x14ac:dyDescent="0.25">
      <c r="A11341" s="116" t="s">
        <v>18018</v>
      </c>
      <c r="B11341" s="117" t="s">
        <v>17669</v>
      </c>
      <c r="C11341" t="s">
        <v>67</v>
      </c>
      <c r="D11341" t="s">
        <v>67</v>
      </c>
      <c r="E11341" t="s">
        <v>67</v>
      </c>
      <c r="F11341" t="s">
        <v>45</v>
      </c>
      <c r="G11341" s="117">
        <v>185.52</v>
      </c>
    </row>
    <row r="11342" spans="1:7" x14ac:dyDescent="0.25">
      <c r="A11342" s="116" t="s">
        <v>18019</v>
      </c>
      <c r="B11342" s="117" t="s">
        <v>18020</v>
      </c>
      <c r="C11342" t="s">
        <v>67</v>
      </c>
      <c r="D11342" t="s">
        <v>67</v>
      </c>
      <c r="E11342" t="s">
        <v>67</v>
      </c>
      <c r="F11342" t="s">
        <v>27987</v>
      </c>
      <c r="G11342" s="117">
        <v>176.99</v>
      </c>
    </row>
    <row r="11343" spans="1:7" x14ac:dyDescent="0.25">
      <c r="A11343" s="116" t="s">
        <v>29265</v>
      </c>
      <c r="B11343" s="117" t="s">
        <v>29266</v>
      </c>
      <c r="C11343" t="s">
        <v>67</v>
      </c>
      <c r="D11343" t="s">
        <v>67</v>
      </c>
      <c r="E11343" t="s">
        <v>67</v>
      </c>
      <c r="F11343" t="s">
        <v>45</v>
      </c>
      <c r="G11343" s="117">
        <v>0</v>
      </c>
    </row>
    <row r="11344" spans="1:7" x14ac:dyDescent="0.25">
      <c r="A11344" s="116" t="s">
        <v>29267</v>
      </c>
      <c r="B11344" s="117" t="s">
        <v>29268</v>
      </c>
      <c r="C11344" t="s">
        <v>67</v>
      </c>
      <c r="D11344" t="s">
        <v>67</v>
      </c>
      <c r="E11344" t="s">
        <v>67</v>
      </c>
      <c r="F11344" t="s">
        <v>45</v>
      </c>
      <c r="G11344" s="117">
        <v>0</v>
      </c>
    </row>
    <row r="11345" spans="1:7" x14ac:dyDescent="0.25">
      <c r="A11345" s="116" t="s">
        <v>18021</v>
      </c>
      <c r="B11345" s="117" t="s">
        <v>18022</v>
      </c>
      <c r="C11345" t="s">
        <v>67</v>
      </c>
      <c r="D11345" t="s">
        <v>67</v>
      </c>
      <c r="E11345" t="s">
        <v>67</v>
      </c>
      <c r="F11345" t="s">
        <v>27987</v>
      </c>
      <c r="G11345" s="117">
        <v>153.5</v>
      </c>
    </row>
    <row r="11346" spans="1:7" x14ac:dyDescent="0.25">
      <c r="A11346" s="116" t="s">
        <v>18023</v>
      </c>
      <c r="B11346" s="117" t="s">
        <v>18024</v>
      </c>
      <c r="C11346" t="s">
        <v>67</v>
      </c>
      <c r="D11346" t="s">
        <v>67</v>
      </c>
      <c r="E11346" t="s">
        <v>67</v>
      </c>
      <c r="F11346" t="s">
        <v>45</v>
      </c>
      <c r="G11346" s="117">
        <v>204.21</v>
      </c>
    </row>
    <row r="11347" spans="1:7" x14ac:dyDescent="0.25">
      <c r="A11347" s="116" t="s">
        <v>18025</v>
      </c>
      <c r="B11347" s="117" t="s">
        <v>18026</v>
      </c>
      <c r="C11347" t="s">
        <v>67</v>
      </c>
      <c r="D11347" t="s">
        <v>67</v>
      </c>
      <c r="E11347" t="s">
        <v>67</v>
      </c>
      <c r="F11347" t="s">
        <v>45</v>
      </c>
      <c r="G11347" s="117">
        <v>252.26</v>
      </c>
    </row>
    <row r="11348" spans="1:7" x14ac:dyDescent="0.25">
      <c r="A11348" s="116" t="s">
        <v>18027</v>
      </c>
      <c r="B11348" s="117" t="s">
        <v>18028</v>
      </c>
      <c r="C11348" t="s">
        <v>67</v>
      </c>
      <c r="D11348" t="s">
        <v>67</v>
      </c>
      <c r="E11348" t="s">
        <v>67</v>
      </c>
      <c r="F11348" t="s">
        <v>45</v>
      </c>
      <c r="G11348" s="117">
        <v>142.82</v>
      </c>
    </row>
    <row r="11349" spans="1:7" x14ac:dyDescent="0.25">
      <c r="A11349" s="116" t="s">
        <v>18029</v>
      </c>
      <c r="B11349" s="117" t="s">
        <v>18030</v>
      </c>
      <c r="C11349" t="s">
        <v>67</v>
      </c>
      <c r="D11349" t="s">
        <v>67</v>
      </c>
      <c r="E11349" t="s">
        <v>67</v>
      </c>
      <c r="F11349" t="s">
        <v>27987</v>
      </c>
      <c r="G11349" s="117">
        <v>100.46</v>
      </c>
    </row>
    <row r="11350" spans="1:7" x14ac:dyDescent="0.25">
      <c r="A11350" s="116" t="s">
        <v>18031</v>
      </c>
      <c r="B11350" s="117" t="s">
        <v>17669</v>
      </c>
      <c r="C11350" t="s">
        <v>67</v>
      </c>
      <c r="D11350" t="s">
        <v>67</v>
      </c>
      <c r="E11350" t="s">
        <v>67</v>
      </c>
      <c r="F11350" t="s">
        <v>49</v>
      </c>
      <c r="G11350" s="117">
        <v>63.98</v>
      </c>
    </row>
    <row r="11351" spans="1:7" x14ac:dyDescent="0.25">
      <c r="A11351" s="116" t="s">
        <v>18032</v>
      </c>
      <c r="B11351" s="117" t="s">
        <v>18033</v>
      </c>
      <c r="C11351" t="s">
        <v>67</v>
      </c>
      <c r="D11351" t="s">
        <v>67</v>
      </c>
      <c r="E11351" t="s">
        <v>67</v>
      </c>
      <c r="F11351" t="s">
        <v>49</v>
      </c>
      <c r="G11351" s="117">
        <v>143.69999999999999</v>
      </c>
    </row>
    <row r="11352" spans="1:7" x14ac:dyDescent="0.25">
      <c r="A11352" s="116" t="s">
        <v>18034</v>
      </c>
      <c r="B11352" s="117" t="s">
        <v>18035</v>
      </c>
      <c r="C11352" t="s">
        <v>67</v>
      </c>
      <c r="D11352" t="s">
        <v>67</v>
      </c>
      <c r="E11352" t="s">
        <v>67</v>
      </c>
      <c r="F11352" t="s">
        <v>27987</v>
      </c>
      <c r="G11352" s="117">
        <v>151.18</v>
      </c>
    </row>
    <row r="11353" spans="1:7" x14ac:dyDescent="0.25">
      <c r="A11353" s="116" t="s">
        <v>29269</v>
      </c>
      <c r="B11353" s="117" t="s">
        <v>29270</v>
      </c>
      <c r="C11353" t="s">
        <v>67</v>
      </c>
      <c r="D11353" t="s">
        <v>67</v>
      </c>
      <c r="E11353" t="s">
        <v>67</v>
      </c>
      <c r="F11353" t="s">
        <v>45</v>
      </c>
      <c r="G11353" s="117">
        <v>0</v>
      </c>
    </row>
    <row r="11354" spans="1:7" x14ac:dyDescent="0.25">
      <c r="A11354" s="116" t="s">
        <v>18036</v>
      </c>
      <c r="B11354" s="117" t="s">
        <v>18037</v>
      </c>
      <c r="C11354" t="s">
        <v>67</v>
      </c>
      <c r="D11354" t="s">
        <v>67</v>
      </c>
      <c r="E11354" t="s">
        <v>67</v>
      </c>
      <c r="F11354" t="s">
        <v>45</v>
      </c>
      <c r="G11354" s="117">
        <v>69.86</v>
      </c>
    </row>
    <row r="11355" spans="1:7" x14ac:dyDescent="0.25">
      <c r="A11355" s="116" t="s">
        <v>18038</v>
      </c>
      <c r="B11355" s="117" t="s">
        <v>18039</v>
      </c>
      <c r="C11355" t="s">
        <v>67</v>
      </c>
      <c r="D11355" t="s">
        <v>67</v>
      </c>
      <c r="E11355" t="s">
        <v>67</v>
      </c>
      <c r="F11355" t="s">
        <v>27987</v>
      </c>
      <c r="G11355" s="117">
        <v>101.88</v>
      </c>
    </row>
    <row r="11356" spans="1:7" x14ac:dyDescent="0.25">
      <c r="A11356" s="116" t="s">
        <v>29271</v>
      </c>
      <c r="B11356" s="117" t="s">
        <v>29272</v>
      </c>
      <c r="C11356" t="s">
        <v>67</v>
      </c>
      <c r="D11356" t="s">
        <v>67</v>
      </c>
      <c r="E11356" t="s">
        <v>67</v>
      </c>
      <c r="F11356" t="s">
        <v>45</v>
      </c>
      <c r="G11356" s="117">
        <v>0</v>
      </c>
    </row>
    <row r="11357" spans="1:7" x14ac:dyDescent="0.25">
      <c r="A11357" s="116" t="s">
        <v>18040</v>
      </c>
      <c r="B11357" s="117" t="s">
        <v>18041</v>
      </c>
      <c r="C11357" t="s">
        <v>67</v>
      </c>
      <c r="D11357" t="s">
        <v>67</v>
      </c>
      <c r="E11357" t="s">
        <v>67</v>
      </c>
      <c r="F11357" t="s">
        <v>45</v>
      </c>
      <c r="G11357" s="117">
        <v>172.8</v>
      </c>
    </row>
    <row r="11358" spans="1:7" x14ac:dyDescent="0.25">
      <c r="A11358" s="116" t="s">
        <v>18042</v>
      </c>
      <c r="B11358" s="117" t="s">
        <v>18043</v>
      </c>
      <c r="C11358" t="s">
        <v>67</v>
      </c>
      <c r="D11358" t="s">
        <v>67</v>
      </c>
      <c r="E11358" t="s">
        <v>67</v>
      </c>
      <c r="F11358" t="s">
        <v>27987</v>
      </c>
      <c r="G11358" s="117">
        <v>210.8</v>
      </c>
    </row>
    <row r="11359" spans="1:7" x14ac:dyDescent="0.25">
      <c r="A11359" s="116" t="s">
        <v>18044</v>
      </c>
      <c r="B11359" s="117" t="s">
        <v>18045</v>
      </c>
      <c r="C11359" t="s">
        <v>67</v>
      </c>
      <c r="D11359" t="s">
        <v>67</v>
      </c>
      <c r="E11359" t="s">
        <v>67</v>
      </c>
      <c r="F11359" t="s">
        <v>27987</v>
      </c>
      <c r="G11359" s="117">
        <v>203.32</v>
      </c>
    </row>
    <row r="11360" spans="1:7" x14ac:dyDescent="0.25">
      <c r="A11360" s="116" t="s">
        <v>18046</v>
      </c>
      <c r="B11360" s="117" t="s">
        <v>18047</v>
      </c>
      <c r="C11360" t="s">
        <v>67</v>
      </c>
      <c r="D11360" t="s">
        <v>67</v>
      </c>
      <c r="E11360" t="s">
        <v>67</v>
      </c>
      <c r="F11360" t="s">
        <v>27987</v>
      </c>
      <c r="G11360" s="117">
        <v>63.98</v>
      </c>
    </row>
    <row r="11361" spans="1:7" x14ac:dyDescent="0.25">
      <c r="A11361" s="116" t="s">
        <v>29273</v>
      </c>
      <c r="B11361" s="117" t="s">
        <v>29274</v>
      </c>
      <c r="C11361" t="s">
        <v>67</v>
      </c>
      <c r="D11361" t="s">
        <v>67</v>
      </c>
      <c r="E11361" t="s">
        <v>67</v>
      </c>
      <c r="F11361" t="s">
        <v>45</v>
      </c>
      <c r="G11361" s="117">
        <v>0</v>
      </c>
    </row>
    <row r="11362" spans="1:7" x14ac:dyDescent="0.25">
      <c r="A11362" s="116" t="s">
        <v>18048</v>
      </c>
      <c r="B11362" s="117" t="s">
        <v>17669</v>
      </c>
      <c r="C11362" t="s">
        <v>67</v>
      </c>
      <c r="D11362" t="s">
        <v>67</v>
      </c>
      <c r="E11362" t="s">
        <v>67</v>
      </c>
      <c r="F11362" t="s">
        <v>27987</v>
      </c>
      <c r="G11362" s="117">
        <v>68.430000000000007</v>
      </c>
    </row>
    <row r="11363" spans="1:7" x14ac:dyDescent="0.25">
      <c r="A11363" s="116" t="s">
        <v>29275</v>
      </c>
      <c r="B11363" s="117" t="s">
        <v>30112</v>
      </c>
      <c r="C11363" t="s">
        <v>67</v>
      </c>
      <c r="D11363" t="s">
        <v>67</v>
      </c>
      <c r="E11363" t="s">
        <v>67</v>
      </c>
      <c r="F11363" t="s">
        <v>27987</v>
      </c>
      <c r="G11363" s="117">
        <v>146.06</v>
      </c>
    </row>
    <row r="11364" spans="1:7" x14ac:dyDescent="0.25">
      <c r="A11364" s="116" t="s">
        <v>18049</v>
      </c>
      <c r="B11364" s="117" t="s">
        <v>18050</v>
      </c>
      <c r="C11364" t="s">
        <v>67</v>
      </c>
      <c r="D11364" t="s">
        <v>67</v>
      </c>
      <c r="E11364" t="s">
        <v>67</v>
      </c>
      <c r="F11364" t="s">
        <v>27987</v>
      </c>
      <c r="G11364" s="117">
        <v>189.08</v>
      </c>
    </row>
    <row r="11365" spans="1:7" x14ac:dyDescent="0.25">
      <c r="A11365" s="116" t="s">
        <v>18051</v>
      </c>
      <c r="B11365" s="117" t="s">
        <v>18052</v>
      </c>
      <c r="C11365" t="s">
        <v>67</v>
      </c>
      <c r="D11365" t="s">
        <v>67</v>
      </c>
      <c r="E11365" t="s">
        <v>67</v>
      </c>
      <c r="F11365" t="s">
        <v>27987</v>
      </c>
      <c r="G11365" s="117">
        <v>108.48</v>
      </c>
    </row>
    <row r="11366" spans="1:7" x14ac:dyDescent="0.25">
      <c r="A11366" s="116" t="s">
        <v>18053</v>
      </c>
      <c r="B11366" s="117" t="s">
        <v>18054</v>
      </c>
      <c r="C11366" t="s">
        <v>67</v>
      </c>
      <c r="D11366" t="s">
        <v>67</v>
      </c>
      <c r="E11366" t="s">
        <v>67</v>
      </c>
      <c r="F11366" t="s">
        <v>27987</v>
      </c>
      <c r="G11366" s="117">
        <v>71.989999999999995</v>
      </c>
    </row>
    <row r="11367" spans="1:7" x14ac:dyDescent="0.25">
      <c r="A11367" s="116" t="s">
        <v>18055</v>
      </c>
      <c r="B11367" s="117" t="s">
        <v>18056</v>
      </c>
      <c r="C11367" t="s">
        <v>67</v>
      </c>
      <c r="D11367" t="s">
        <v>67</v>
      </c>
      <c r="E11367" t="s">
        <v>67</v>
      </c>
      <c r="F11367" t="s">
        <v>27987</v>
      </c>
      <c r="G11367" s="117">
        <v>191.23</v>
      </c>
    </row>
    <row r="11368" spans="1:7" x14ac:dyDescent="0.25">
      <c r="A11368" s="116" t="s">
        <v>18057</v>
      </c>
      <c r="B11368" s="117" t="s">
        <v>18058</v>
      </c>
      <c r="C11368" t="s">
        <v>67</v>
      </c>
      <c r="D11368" t="s">
        <v>67</v>
      </c>
      <c r="E11368" t="s">
        <v>67</v>
      </c>
      <c r="F11368" t="s">
        <v>27987</v>
      </c>
      <c r="G11368" s="117">
        <v>472.06</v>
      </c>
    </row>
    <row r="11369" spans="1:7" x14ac:dyDescent="0.25">
      <c r="A11369" s="116" t="s">
        <v>18059</v>
      </c>
      <c r="B11369" s="117" t="s">
        <v>18060</v>
      </c>
      <c r="C11369" t="s">
        <v>67</v>
      </c>
      <c r="D11369" t="s">
        <v>67</v>
      </c>
      <c r="E11369" t="s">
        <v>67</v>
      </c>
      <c r="F11369" t="s">
        <v>51</v>
      </c>
      <c r="G11369" s="117">
        <v>206.88</v>
      </c>
    </row>
    <row r="11370" spans="1:7" x14ac:dyDescent="0.25">
      <c r="A11370" s="116" t="s">
        <v>18061</v>
      </c>
      <c r="B11370" s="117" t="s">
        <v>18062</v>
      </c>
      <c r="C11370" t="s">
        <v>67</v>
      </c>
      <c r="D11370" t="s">
        <v>67</v>
      </c>
      <c r="E11370" t="s">
        <v>67</v>
      </c>
      <c r="F11370" t="s">
        <v>27987</v>
      </c>
      <c r="G11370" s="117">
        <v>417.24</v>
      </c>
    </row>
    <row r="11371" spans="1:7" x14ac:dyDescent="0.25">
      <c r="A11371" s="116" t="s">
        <v>18063</v>
      </c>
      <c r="B11371" s="117" t="s">
        <v>18064</v>
      </c>
      <c r="C11371" t="s">
        <v>67</v>
      </c>
      <c r="D11371" t="s">
        <v>67</v>
      </c>
      <c r="E11371" t="s">
        <v>67</v>
      </c>
      <c r="F11371" t="s">
        <v>27987</v>
      </c>
      <c r="G11371" s="117">
        <v>417.24</v>
      </c>
    </row>
    <row r="11372" spans="1:7" x14ac:dyDescent="0.25">
      <c r="A11372" s="116" t="s">
        <v>18065</v>
      </c>
      <c r="B11372" s="117" t="s">
        <v>17669</v>
      </c>
      <c r="C11372" t="s">
        <v>67</v>
      </c>
      <c r="D11372" t="s">
        <v>67</v>
      </c>
      <c r="E11372" t="s">
        <v>67</v>
      </c>
      <c r="F11372" t="s">
        <v>45</v>
      </c>
      <c r="G11372" s="117">
        <v>375.42</v>
      </c>
    </row>
    <row r="11373" spans="1:7" x14ac:dyDescent="0.25">
      <c r="A11373" s="116" t="s">
        <v>18066</v>
      </c>
      <c r="B11373" s="117" t="s">
        <v>18067</v>
      </c>
      <c r="C11373" t="s">
        <v>67</v>
      </c>
      <c r="D11373" t="s">
        <v>67</v>
      </c>
      <c r="E11373" t="s">
        <v>67</v>
      </c>
      <c r="F11373" t="s">
        <v>27987</v>
      </c>
      <c r="G11373" s="117">
        <v>266.86</v>
      </c>
    </row>
    <row r="11374" spans="1:7" x14ac:dyDescent="0.25">
      <c r="A11374" s="116" t="s">
        <v>18068</v>
      </c>
      <c r="B11374" s="117" t="s">
        <v>18069</v>
      </c>
      <c r="C11374" t="s">
        <v>67</v>
      </c>
      <c r="D11374" t="s">
        <v>67</v>
      </c>
      <c r="E11374" t="s">
        <v>67</v>
      </c>
      <c r="F11374" t="s">
        <v>27987</v>
      </c>
      <c r="G11374" s="117">
        <v>245.5</v>
      </c>
    </row>
    <row r="11375" spans="1:7" x14ac:dyDescent="0.25">
      <c r="A11375" s="116" t="s">
        <v>18070</v>
      </c>
      <c r="B11375" s="117" t="s">
        <v>18071</v>
      </c>
      <c r="C11375" t="s">
        <v>67</v>
      </c>
      <c r="D11375" t="s">
        <v>67</v>
      </c>
      <c r="E11375" t="s">
        <v>67</v>
      </c>
      <c r="F11375" t="s">
        <v>51</v>
      </c>
      <c r="G11375" s="117">
        <v>224.14</v>
      </c>
    </row>
    <row r="11376" spans="1:7" x14ac:dyDescent="0.25">
      <c r="A11376" s="116" t="s">
        <v>18072</v>
      </c>
      <c r="B11376" s="117" t="s">
        <v>18073</v>
      </c>
      <c r="C11376" t="s">
        <v>67</v>
      </c>
      <c r="D11376" t="s">
        <v>67</v>
      </c>
      <c r="E11376" t="s">
        <v>67</v>
      </c>
      <c r="F11376" t="s">
        <v>27987</v>
      </c>
      <c r="G11376" s="117">
        <v>454.26</v>
      </c>
    </row>
    <row r="11377" spans="1:7" x14ac:dyDescent="0.25">
      <c r="A11377" s="116" t="s">
        <v>18074</v>
      </c>
      <c r="B11377" s="117" t="s">
        <v>18075</v>
      </c>
      <c r="C11377" t="s">
        <v>67</v>
      </c>
      <c r="D11377" t="s">
        <v>67</v>
      </c>
      <c r="E11377" t="s">
        <v>67</v>
      </c>
      <c r="F11377" t="s">
        <v>27987</v>
      </c>
      <c r="G11377" s="117">
        <v>194.63</v>
      </c>
    </row>
    <row r="11378" spans="1:7" x14ac:dyDescent="0.25">
      <c r="A11378" s="116" t="s">
        <v>18076</v>
      </c>
      <c r="B11378" s="117" t="s">
        <v>17669</v>
      </c>
      <c r="C11378" t="s">
        <v>67</v>
      </c>
      <c r="D11378" t="s">
        <v>67</v>
      </c>
      <c r="E11378" t="s">
        <v>67</v>
      </c>
      <c r="F11378" t="s">
        <v>45</v>
      </c>
      <c r="G11378" s="117">
        <v>149.94</v>
      </c>
    </row>
    <row r="11379" spans="1:7" x14ac:dyDescent="0.25">
      <c r="A11379" s="116" t="s">
        <v>18077</v>
      </c>
      <c r="B11379" s="117" t="s">
        <v>17669</v>
      </c>
      <c r="C11379" t="s">
        <v>67</v>
      </c>
      <c r="D11379" t="s">
        <v>67</v>
      </c>
      <c r="E11379" t="s">
        <v>67</v>
      </c>
      <c r="F11379" t="s">
        <v>27987</v>
      </c>
      <c r="G11379" s="117">
        <v>151.18</v>
      </c>
    </row>
    <row r="11380" spans="1:7" x14ac:dyDescent="0.25">
      <c r="A11380" s="116" t="s">
        <v>18078</v>
      </c>
      <c r="B11380" s="117" t="s">
        <v>18079</v>
      </c>
      <c r="C11380" t="s">
        <v>67</v>
      </c>
      <c r="D11380" t="s">
        <v>67</v>
      </c>
      <c r="E11380" t="s">
        <v>67</v>
      </c>
      <c r="F11380" t="s">
        <v>49</v>
      </c>
      <c r="G11380" s="117">
        <v>204.21</v>
      </c>
    </row>
    <row r="11381" spans="1:7" x14ac:dyDescent="0.25">
      <c r="A11381" s="116" t="s">
        <v>18080</v>
      </c>
      <c r="B11381" s="117" t="s">
        <v>18081</v>
      </c>
      <c r="C11381" t="s">
        <v>67</v>
      </c>
      <c r="D11381" t="s">
        <v>67</v>
      </c>
      <c r="E11381" t="s">
        <v>67</v>
      </c>
      <c r="F11381" t="s">
        <v>27987</v>
      </c>
      <c r="G11381" s="117">
        <v>454.26</v>
      </c>
    </row>
    <row r="11382" spans="1:7" x14ac:dyDescent="0.25">
      <c r="A11382" s="116" t="s">
        <v>18082</v>
      </c>
      <c r="B11382" s="117" t="s">
        <v>18083</v>
      </c>
      <c r="C11382" t="s">
        <v>67</v>
      </c>
      <c r="D11382" t="s">
        <v>67</v>
      </c>
      <c r="E11382" t="s">
        <v>67</v>
      </c>
      <c r="F11382" t="s">
        <v>27987</v>
      </c>
      <c r="G11382" s="117">
        <v>204.21</v>
      </c>
    </row>
    <row r="11383" spans="1:7" x14ac:dyDescent="0.25">
      <c r="A11383" s="116" t="s">
        <v>18084</v>
      </c>
      <c r="B11383" s="117" t="s">
        <v>17669</v>
      </c>
      <c r="C11383" t="s">
        <v>67</v>
      </c>
      <c r="D11383" t="s">
        <v>67</v>
      </c>
      <c r="E11383" t="s">
        <v>67</v>
      </c>
      <c r="F11383" t="s">
        <v>27987</v>
      </c>
      <c r="G11383" s="117">
        <v>127.69</v>
      </c>
    </row>
    <row r="11384" spans="1:7" x14ac:dyDescent="0.25">
      <c r="A11384" s="116" t="s">
        <v>18085</v>
      </c>
      <c r="B11384" s="117" t="s">
        <v>18086</v>
      </c>
      <c r="C11384" t="s">
        <v>67</v>
      </c>
      <c r="D11384" t="s">
        <v>67</v>
      </c>
      <c r="E11384" t="s">
        <v>67</v>
      </c>
      <c r="F11384" t="s">
        <v>27987</v>
      </c>
      <c r="G11384" s="117">
        <v>205.46</v>
      </c>
    </row>
    <row r="11385" spans="1:7" x14ac:dyDescent="0.25">
      <c r="A11385" s="116" t="s">
        <v>18087</v>
      </c>
      <c r="B11385" s="117" t="s">
        <v>18088</v>
      </c>
      <c r="C11385" t="s">
        <v>67</v>
      </c>
      <c r="D11385" t="s">
        <v>67</v>
      </c>
      <c r="E11385" t="s">
        <v>67</v>
      </c>
      <c r="F11385" t="s">
        <v>27987</v>
      </c>
      <c r="G11385" s="117">
        <v>371.5</v>
      </c>
    </row>
    <row r="11386" spans="1:7" x14ac:dyDescent="0.25">
      <c r="A11386" s="116" t="s">
        <v>18089</v>
      </c>
      <c r="B11386" s="117" t="s">
        <v>18090</v>
      </c>
      <c r="C11386" t="s">
        <v>67</v>
      </c>
      <c r="D11386" t="s">
        <v>67</v>
      </c>
      <c r="E11386" t="s">
        <v>67</v>
      </c>
      <c r="F11386" t="s">
        <v>49</v>
      </c>
      <c r="G11386" s="117">
        <v>189.08</v>
      </c>
    </row>
    <row r="11387" spans="1:7" x14ac:dyDescent="0.25">
      <c r="A11387" s="116" t="s">
        <v>18091</v>
      </c>
      <c r="B11387" s="117" t="s">
        <v>18092</v>
      </c>
      <c r="C11387" t="s">
        <v>67</v>
      </c>
      <c r="D11387" t="s">
        <v>67</v>
      </c>
      <c r="E11387" t="s">
        <v>67</v>
      </c>
      <c r="F11387" t="s">
        <v>51</v>
      </c>
      <c r="G11387" s="117">
        <v>408.05</v>
      </c>
    </row>
    <row r="11388" spans="1:7" x14ac:dyDescent="0.25">
      <c r="A11388" s="116" t="s">
        <v>18093</v>
      </c>
      <c r="B11388" s="117" t="s">
        <v>18094</v>
      </c>
      <c r="C11388" t="s">
        <v>67</v>
      </c>
      <c r="D11388" t="s">
        <v>67</v>
      </c>
      <c r="E11388" t="s">
        <v>67</v>
      </c>
      <c r="F11388" t="s">
        <v>49</v>
      </c>
      <c r="G11388" s="117">
        <v>171.3</v>
      </c>
    </row>
    <row r="11389" spans="1:7" x14ac:dyDescent="0.25">
      <c r="A11389" s="116" t="s">
        <v>18095</v>
      </c>
      <c r="B11389" s="117" t="s">
        <v>18096</v>
      </c>
      <c r="C11389" t="s">
        <v>67</v>
      </c>
      <c r="D11389" t="s">
        <v>67</v>
      </c>
      <c r="E11389" t="s">
        <v>67</v>
      </c>
      <c r="F11389" t="s">
        <v>27987</v>
      </c>
      <c r="G11389" s="117">
        <v>456.93</v>
      </c>
    </row>
    <row r="11390" spans="1:7" x14ac:dyDescent="0.25">
      <c r="A11390" s="116" t="s">
        <v>18097</v>
      </c>
      <c r="B11390" s="117" t="s">
        <v>18098</v>
      </c>
      <c r="C11390" t="s">
        <v>67</v>
      </c>
      <c r="D11390" t="s">
        <v>67</v>
      </c>
      <c r="E11390" t="s">
        <v>67</v>
      </c>
      <c r="F11390" t="s">
        <v>49</v>
      </c>
      <c r="G11390" s="117">
        <v>483.98</v>
      </c>
    </row>
    <row r="11391" spans="1:7" x14ac:dyDescent="0.25">
      <c r="A11391" s="116" t="s">
        <v>18099</v>
      </c>
      <c r="B11391" s="117" t="s">
        <v>18100</v>
      </c>
      <c r="C11391" t="s">
        <v>67</v>
      </c>
      <c r="D11391" t="s">
        <v>67</v>
      </c>
      <c r="E11391" t="s">
        <v>67</v>
      </c>
      <c r="F11391" t="s">
        <v>49</v>
      </c>
      <c r="G11391" s="117">
        <v>132.85</v>
      </c>
    </row>
    <row r="11392" spans="1:7" x14ac:dyDescent="0.25">
      <c r="A11392" s="116" t="s">
        <v>18101</v>
      </c>
      <c r="B11392" s="117" t="s">
        <v>18102</v>
      </c>
      <c r="C11392" t="s">
        <v>67</v>
      </c>
      <c r="D11392" t="s">
        <v>67</v>
      </c>
      <c r="E11392" t="s">
        <v>67</v>
      </c>
      <c r="F11392" t="s">
        <v>45</v>
      </c>
      <c r="G11392" s="117">
        <v>86.23</v>
      </c>
    </row>
    <row r="11393" spans="1:7" x14ac:dyDescent="0.25">
      <c r="A11393" s="116" t="s">
        <v>18103</v>
      </c>
      <c r="B11393" s="117" t="s">
        <v>29276</v>
      </c>
      <c r="C11393" t="s">
        <v>67</v>
      </c>
      <c r="D11393" t="s">
        <v>67</v>
      </c>
      <c r="E11393" t="s">
        <v>67</v>
      </c>
      <c r="F11393" t="s">
        <v>27987</v>
      </c>
      <c r="G11393" s="117">
        <v>107.23</v>
      </c>
    </row>
    <row r="11394" spans="1:7" x14ac:dyDescent="0.25">
      <c r="A11394" s="116" t="s">
        <v>29277</v>
      </c>
      <c r="B11394" s="117" t="s">
        <v>29278</v>
      </c>
      <c r="C11394" t="s">
        <v>67</v>
      </c>
      <c r="D11394" t="s">
        <v>67</v>
      </c>
      <c r="E11394" t="s">
        <v>67</v>
      </c>
      <c r="F11394" t="s">
        <v>27987</v>
      </c>
      <c r="G11394" s="117">
        <v>9999</v>
      </c>
    </row>
    <row r="11395" spans="1:7" x14ac:dyDescent="0.25">
      <c r="A11395" s="116" t="s">
        <v>18104</v>
      </c>
      <c r="B11395" s="117" t="s">
        <v>18105</v>
      </c>
      <c r="C11395" t="s">
        <v>67</v>
      </c>
      <c r="D11395" t="s">
        <v>67</v>
      </c>
      <c r="E11395" t="s">
        <v>67</v>
      </c>
      <c r="F11395" t="s">
        <v>27990</v>
      </c>
      <c r="G11395" s="117">
        <v>117.01</v>
      </c>
    </row>
    <row r="11396" spans="1:7" x14ac:dyDescent="0.25">
      <c r="A11396" s="116" t="s">
        <v>18106</v>
      </c>
      <c r="B11396" s="117" t="s">
        <v>17878</v>
      </c>
      <c r="C11396" t="s">
        <v>67</v>
      </c>
      <c r="D11396" t="s">
        <v>67</v>
      </c>
      <c r="E11396" t="s">
        <v>67</v>
      </c>
      <c r="F11396" t="s">
        <v>49</v>
      </c>
      <c r="G11396" s="117">
        <v>105.22</v>
      </c>
    </row>
    <row r="11397" spans="1:7" x14ac:dyDescent="0.25">
      <c r="A11397" s="116" t="s">
        <v>18107</v>
      </c>
      <c r="B11397" s="117" t="s">
        <v>26495</v>
      </c>
      <c r="C11397" t="s">
        <v>67</v>
      </c>
      <c r="D11397" t="s">
        <v>67</v>
      </c>
      <c r="E11397" t="s">
        <v>67</v>
      </c>
      <c r="F11397" t="s">
        <v>49</v>
      </c>
      <c r="G11397" s="117">
        <v>227</v>
      </c>
    </row>
    <row r="11398" spans="1:7" x14ac:dyDescent="0.25">
      <c r="A11398" s="116" t="s">
        <v>27979</v>
      </c>
      <c r="B11398" s="117" t="s">
        <v>17842</v>
      </c>
      <c r="C11398" t="s">
        <v>67</v>
      </c>
      <c r="D11398" t="s">
        <v>67</v>
      </c>
      <c r="E11398" t="s">
        <v>67</v>
      </c>
      <c r="F11398" t="s">
        <v>27987</v>
      </c>
      <c r="G11398" s="117">
        <v>115.58</v>
      </c>
    </row>
    <row r="11399" spans="1:7" x14ac:dyDescent="0.25">
      <c r="A11399" s="116" t="s">
        <v>18108</v>
      </c>
      <c r="B11399" s="117" t="s">
        <v>18109</v>
      </c>
      <c r="C11399" t="s">
        <v>67</v>
      </c>
      <c r="D11399" t="s">
        <v>67</v>
      </c>
      <c r="E11399" t="s">
        <v>67</v>
      </c>
      <c r="F11399" t="s">
        <v>45</v>
      </c>
      <c r="G11399" s="117">
        <v>129.82</v>
      </c>
    </row>
    <row r="11400" spans="1:7" x14ac:dyDescent="0.25">
      <c r="A11400" s="116" t="s">
        <v>18110</v>
      </c>
      <c r="B11400" s="117" t="s">
        <v>18111</v>
      </c>
      <c r="C11400" t="s">
        <v>67</v>
      </c>
      <c r="D11400" t="s">
        <v>67</v>
      </c>
      <c r="E11400" t="s">
        <v>67</v>
      </c>
      <c r="F11400" t="s">
        <v>27987</v>
      </c>
      <c r="G11400" s="117">
        <v>395.88</v>
      </c>
    </row>
    <row r="11401" spans="1:7" x14ac:dyDescent="0.25">
      <c r="A11401" s="116" t="s">
        <v>18112</v>
      </c>
      <c r="B11401" s="117" t="s">
        <v>17661</v>
      </c>
      <c r="C11401" t="s">
        <v>67</v>
      </c>
      <c r="D11401" t="s">
        <v>67</v>
      </c>
      <c r="E11401" t="s">
        <v>67</v>
      </c>
      <c r="F11401" t="s">
        <v>45</v>
      </c>
      <c r="G11401" s="117">
        <v>242.83</v>
      </c>
    </row>
    <row r="11402" spans="1:7" x14ac:dyDescent="0.25">
      <c r="A11402" s="116" t="s">
        <v>18113</v>
      </c>
      <c r="B11402" s="117" t="s">
        <v>17669</v>
      </c>
      <c r="C11402" t="s">
        <v>67</v>
      </c>
      <c r="D11402" t="s">
        <v>67</v>
      </c>
      <c r="E11402" t="s">
        <v>67</v>
      </c>
      <c r="F11402" t="s">
        <v>27987</v>
      </c>
      <c r="G11402" s="117">
        <v>71.099999999999994</v>
      </c>
    </row>
    <row r="11403" spans="1:7" x14ac:dyDescent="0.25">
      <c r="A11403" s="116" t="s">
        <v>18114</v>
      </c>
      <c r="B11403" s="117" t="s">
        <v>17708</v>
      </c>
      <c r="C11403" t="s">
        <v>67</v>
      </c>
      <c r="D11403" t="s">
        <v>67</v>
      </c>
      <c r="E11403" t="s">
        <v>67</v>
      </c>
      <c r="F11403" t="s">
        <v>27987</v>
      </c>
      <c r="G11403" s="117">
        <v>100.46</v>
      </c>
    </row>
    <row r="11404" spans="1:7" x14ac:dyDescent="0.25">
      <c r="A11404" s="116" t="s">
        <v>18115</v>
      </c>
      <c r="B11404" s="117" t="s">
        <v>17708</v>
      </c>
      <c r="C11404" t="s">
        <v>67</v>
      </c>
      <c r="D11404" t="s">
        <v>67</v>
      </c>
      <c r="E11404" t="s">
        <v>67</v>
      </c>
      <c r="F11404" t="s">
        <v>45</v>
      </c>
      <c r="G11404" s="117">
        <v>165.42</v>
      </c>
    </row>
    <row r="11405" spans="1:7" x14ac:dyDescent="0.25">
      <c r="A11405" s="116" t="s">
        <v>18116</v>
      </c>
      <c r="B11405" s="117" t="s">
        <v>17708</v>
      </c>
      <c r="C11405" t="s">
        <v>67</v>
      </c>
      <c r="D11405" t="s">
        <v>67</v>
      </c>
      <c r="E11405" t="s">
        <v>67</v>
      </c>
      <c r="F11405" t="s">
        <v>27987</v>
      </c>
      <c r="G11405" s="117">
        <v>126.26</v>
      </c>
    </row>
    <row r="11406" spans="1:7" x14ac:dyDescent="0.25">
      <c r="A11406" s="116" t="s">
        <v>18117</v>
      </c>
      <c r="B11406" s="117" t="s">
        <v>18118</v>
      </c>
      <c r="C11406" t="s">
        <v>67</v>
      </c>
      <c r="D11406" t="s">
        <v>67</v>
      </c>
      <c r="E11406" t="s">
        <v>67</v>
      </c>
      <c r="F11406" t="s">
        <v>27987</v>
      </c>
      <c r="G11406" s="117">
        <v>176.99</v>
      </c>
    </row>
    <row r="11407" spans="1:7" x14ac:dyDescent="0.25">
      <c r="A11407" s="116" t="s">
        <v>18119</v>
      </c>
      <c r="B11407" s="117" t="s">
        <v>17721</v>
      </c>
      <c r="C11407" t="s">
        <v>67</v>
      </c>
      <c r="D11407" t="s">
        <v>67</v>
      </c>
      <c r="E11407" t="s">
        <v>67</v>
      </c>
      <c r="F11407" t="s">
        <v>27987</v>
      </c>
      <c r="G11407" s="117">
        <v>172.56</v>
      </c>
    </row>
    <row r="11408" spans="1:7" x14ac:dyDescent="0.25">
      <c r="A11408" s="116" t="s">
        <v>18120</v>
      </c>
      <c r="B11408" s="117" t="s">
        <v>17708</v>
      </c>
      <c r="C11408" t="s">
        <v>67</v>
      </c>
      <c r="D11408" t="s">
        <v>67</v>
      </c>
      <c r="E11408" t="s">
        <v>67</v>
      </c>
      <c r="F11408" t="s">
        <v>45</v>
      </c>
      <c r="G11408" s="117">
        <v>176.86</v>
      </c>
    </row>
    <row r="11409" spans="1:7" x14ac:dyDescent="0.25">
      <c r="A11409" s="116" t="s">
        <v>18121</v>
      </c>
      <c r="B11409" s="117" t="s">
        <v>18122</v>
      </c>
      <c r="C11409" t="s">
        <v>67</v>
      </c>
      <c r="D11409" t="s">
        <v>67</v>
      </c>
      <c r="E11409" t="s">
        <v>67</v>
      </c>
      <c r="F11409" t="s">
        <v>27987</v>
      </c>
      <c r="G11409" s="117">
        <v>354.06</v>
      </c>
    </row>
    <row r="11410" spans="1:7" x14ac:dyDescent="0.25">
      <c r="A11410" s="116" t="s">
        <v>18123</v>
      </c>
      <c r="B11410" s="117" t="s">
        <v>18124</v>
      </c>
      <c r="C11410" t="s">
        <v>67</v>
      </c>
      <c r="D11410" t="s">
        <v>67</v>
      </c>
      <c r="E11410" t="s">
        <v>67</v>
      </c>
      <c r="F11410" t="s">
        <v>27987</v>
      </c>
      <c r="G11410" s="117">
        <v>106.33</v>
      </c>
    </row>
    <row r="11411" spans="1:7" x14ac:dyDescent="0.25">
      <c r="A11411" s="116" t="s">
        <v>18125</v>
      </c>
      <c r="B11411" s="117" t="s">
        <v>18126</v>
      </c>
      <c r="C11411" t="s">
        <v>67</v>
      </c>
      <c r="D11411" t="s">
        <v>67</v>
      </c>
      <c r="E11411" t="s">
        <v>67</v>
      </c>
      <c r="F11411" t="s">
        <v>45</v>
      </c>
      <c r="G11411" s="117">
        <v>211.33</v>
      </c>
    </row>
    <row r="11412" spans="1:7" x14ac:dyDescent="0.25">
      <c r="A11412" s="116" t="s">
        <v>18127</v>
      </c>
      <c r="B11412" s="117" t="s">
        <v>17708</v>
      </c>
      <c r="C11412" t="s">
        <v>67</v>
      </c>
      <c r="D11412" t="s">
        <v>67</v>
      </c>
      <c r="E11412" t="s">
        <v>67</v>
      </c>
      <c r="F11412" t="s">
        <v>27987</v>
      </c>
      <c r="G11412" s="117">
        <v>102.77</v>
      </c>
    </row>
    <row r="11413" spans="1:7" x14ac:dyDescent="0.25">
      <c r="A11413" s="116" t="s">
        <v>18128</v>
      </c>
      <c r="B11413" s="117" t="s">
        <v>18129</v>
      </c>
      <c r="C11413" t="s">
        <v>67</v>
      </c>
      <c r="D11413" t="s">
        <v>67</v>
      </c>
      <c r="E11413" t="s">
        <v>67</v>
      </c>
      <c r="F11413" t="s">
        <v>45</v>
      </c>
      <c r="G11413" s="117">
        <v>410.66</v>
      </c>
    </row>
    <row r="11414" spans="1:7" x14ac:dyDescent="0.25">
      <c r="A11414" s="116" t="s">
        <v>18130</v>
      </c>
      <c r="B11414" s="117" t="s">
        <v>18131</v>
      </c>
      <c r="C11414" t="s">
        <v>67</v>
      </c>
      <c r="D11414" t="s">
        <v>67</v>
      </c>
      <c r="E11414" t="s">
        <v>67</v>
      </c>
      <c r="F11414" t="s">
        <v>27987</v>
      </c>
      <c r="G11414" s="117">
        <v>124.13</v>
      </c>
    </row>
    <row r="11415" spans="1:7" x14ac:dyDescent="0.25">
      <c r="A11415" s="116" t="s">
        <v>18132</v>
      </c>
      <c r="B11415" s="117" t="s">
        <v>18133</v>
      </c>
      <c r="C11415" t="s">
        <v>67</v>
      </c>
      <c r="D11415" t="s">
        <v>67</v>
      </c>
      <c r="E11415" t="s">
        <v>67</v>
      </c>
      <c r="F11415" t="s">
        <v>27987</v>
      </c>
      <c r="G11415" s="117">
        <v>432.37</v>
      </c>
    </row>
    <row r="11416" spans="1:7" x14ac:dyDescent="0.25">
      <c r="A11416" s="116" t="s">
        <v>18134</v>
      </c>
      <c r="B11416" s="117" t="s">
        <v>18135</v>
      </c>
      <c r="C11416" t="s">
        <v>67</v>
      </c>
      <c r="D11416" t="s">
        <v>67</v>
      </c>
      <c r="E11416" t="s">
        <v>67</v>
      </c>
      <c r="F11416" t="s">
        <v>45</v>
      </c>
      <c r="G11416" s="117">
        <v>416.36</v>
      </c>
    </row>
    <row r="11417" spans="1:7" x14ac:dyDescent="0.25">
      <c r="A11417" s="116" t="s">
        <v>18136</v>
      </c>
      <c r="B11417" s="117" t="s">
        <v>18137</v>
      </c>
      <c r="C11417" t="s">
        <v>67</v>
      </c>
      <c r="D11417" t="s">
        <v>67</v>
      </c>
      <c r="E11417" t="s">
        <v>67</v>
      </c>
      <c r="F11417" t="s">
        <v>45</v>
      </c>
      <c r="G11417" s="117">
        <v>163.29</v>
      </c>
    </row>
    <row r="11418" spans="1:7" x14ac:dyDescent="0.25">
      <c r="A11418" s="116" t="s">
        <v>18138</v>
      </c>
      <c r="B11418" s="117" t="s">
        <v>18139</v>
      </c>
      <c r="C11418" t="s">
        <v>67</v>
      </c>
      <c r="D11418" t="s">
        <v>67</v>
      </c>
      <c r="E11418" t="s">
        <v>67</v>
      </c>
      <c r="F11418" t="s">
        <v>45</v>
      </c>
      <c r="G11418" s="117">
        <v>92.1</v>
      </c>
    </row>
    <row r="11419" spans="1:7" x14ac:dyDescent="0.25">
      <c r="A11419" s="116" t="s">
        <v>18140</v>
      </c>
      <c r="B11419" s="117" t="s">
        <v>18141</v>
      </c>
      <c r="C11419" t="s">
        <v>67</v>
      </c>
      <c r="D11419" t="s">
        <v>67</v>
      </c>
      <c r="E11419" t="s">
        <v>67</v>
      </c>
      <c r="F11419" t="s">
        <v>27987</v>
      </c>
      <c r="G11419" s="117">
        <v>162.38999999999999</v>
      </c>
    </row>
    <row r="11420" spans="1:7" x14ac:dyDescent="0.25">
      <c r="A11420" s="116" t="s">
        <v>18142</v>
      </c>
      <c r="B11420" s="117" t="s">
        <v>18143</v>
      </c>
      <c r="C11420" t="s">
        <v>67</v>
      </c>
      <c r="D11420" t="s">
        <v>67</v>
      </c>
      <c r="E11420" t="s">
        <v>67</v>
      </c>
      <c r="F11420" t="s">
        <v>27987</v>
      </c>
      <c r="G11420" s="117">
        <v>141.93</v>
      </c>
    </row>
    <row r="11421" spans="1:7" x14ac:dyDescent="0.25">
      <c r="A11421" s="116" t="s">
        <v>18144</v>
      </c>
      <c r="B11421" s="117" t="s">
        <v>18126</v>
      </c>
      <c r="C11421" t="s">
        <v>67</v>
      </c>
      <c r="D11421" t="s">
        <v>67</v>
      </c>
      <c r="E11421" t="s">
        <v>67</v>
      </c>
      <c r="F11421" t="s">
        <v>27987</v>
      </c>
      <c r="G11421" s="117">
        <v>106.33</v>
      </c>
    </row>
    <row r="11422" spans="1:7" x14ac:dyDescent="0.25">
      <c r="A11422" s="116" t="s">
        <v>18145</v>
      </c>
      <c r="B11422" s="117" t="s">
        <v>18146</v>
      </c>
      <c r="C11422" t="s">
        <v>67</v>
      </c>
      <c r="D11422" t="s">
        <v>67</v>
      </c>
      <c r="E11422" t="s">
        <v>67</v>
      </c>
      <c r="F11422" t="s">
        <v>45</v>
      </c>
      <c r="G11422" s="117">
        <v>116.48</v>
      </c>
    </row>
    <row r="11423" spans="1:7" x14ac:dyDescent="0.25">
      <c r="A11423" s="116" t="s">
        <v>18147</v>
      </c>
      <c r="B11423" s="117" t="s">
        <v>18148</v>
      </c>
      <c r="C11423" t="s">
        <v>67</v>
      </c>
      <c r="D11423" t="s">
        <v>67</v>
      </c>
      <c r="E11423" t="s">
        <v>67</v>
      </c>
      <c r="F11423" t="s">
        <v>49</v>
      </c>
      <c r="G11423" s="117">
        <v>165.42</v>
      </c>
    </row>
    <row r="11424" spans="1:7" x14ac:dyDescent="0.25">
      <c r="A11424" s="116" t="s">
        <v>18149</v>
      </c>
      <c r="B11424" s="117" t="s">
        <v>18150</v>
      </c>
      <c r="C11424" t="s">
        <v>67</v>
      </c>
      <c r="D11424" t="s">
        <v>67</v>
      </c>
      <c r="E11424" t="s">
        <v>67</v>
      </c>
      <c r="F11424" t="s">
        <v>45</v>
      </c>
      <c r="G11424" s="117">
        <v>67.540000000000006</v>
      </c>
    </row>
    <row r="11425" spans="1:7" x14ac:dyDescent="0.25">
      <c r="A11425" s="116" t="s">
        <v>18151</v>
      </c>
      <c r="B11425" s="117" t="s">
        <v>18152</v>
      </c>
      <c r="C11425" t="s">
        <v>67</v>
      </c>
      <c r="D11425" t="s">
        <v>67</v>
      </c>
      <c r="E11425" t="s">
        <v>67</v>
      </c>
      <c r="F11425" t="s">
        <v>27987</v>
      </c>
      <c r="G11425" s="117">
        <v>178.42</v>
      </c>
    </row>
    <row r="11426" spans="1:7" x14ac:dyDescent="0.25">
      <c r="A11426" s="116" t="s">
        <v>18153</v>
      </c>
      <c r="B11426" s="117" t="s">
        <v>18154</v>
      </c>
      <c r="C11426" t="s">
        <v>67</v>
      </c>
      <c r="D11426" t="s">
        <v>67</v>
      </c>
      <c r="E11426" t="s">
        <v>67</v>
      </c>
      <c r="F11426" t="s">
        <v>27987</v>
      </c>
      <c r="G11426" s="117">
        <v>385.66</v>
      </c>
    </row>
    <row r="11427" spans="1:7" x14ac:dyDescent="0.25">
      <c r="A11427" s="116" t="s">
        <v>18155</v>
      </c>
      <c r="B11427" s="117" t="s">
        <v>18156</v>
      </c>
      <c r="C11427" t="s">
        <v>67</v>
      </c>
      <c r="D11427" t="s">
        <v>67</v>
      </c>
      <c r="E11427" t="s">
        <v>67</v>
      </c>
      <c r="F11427" t="s">
        <v>27987</v>
      </c>
      <c r="G11427" s="117">
        <v>254.05</v>
      </c>
    </row>
    <row r="11428" spans="1:7" x14ac:dyDescent="0.25">
      <c r="A11428" s="116" t="s">
        <v>18157</v>
      </c>
      <c r="B11428" s="117" t="s">
        <v>17721</v>
      </c>
      <c r="C11428" t="s">
        <v>67</v>
      </c>
      <c r="D11428" t="s">
        <v>67</v>
      </c>
      <c r="E11428" t="s">
        <v>67</v>
      </c>
      <c r="F11428" t="s">
        <v>45</v>
      </c>
      <c r="G11428" s="117">
        <v>250.49</v>
      </c>
    </row>
    <row r="11429" spans="1:7" x14ac:dyDescent="0.25">
      <c r="A11429" s="116" t="s">
        <v>18158</v>
      </c>
      <c r="B11429" s="117" t="s">
        <v>18159</v>
      </c>
      <c r="C11429" t="s">
        <v>67</v>
      </c>
      <c r="D11429" t="s">
        <v>67</v>
      </c>
      <c r="E11429" t="s">
        <v>67</v>
      </c>
      <c r="F11429" t="s">
        <v>45</v>
      </c>
      <c r="G11429" s="117">
        <v>192.12</v>
      </c>
    </row>
    <row r="11430" spans="1:7" x14ac:dyDescent="0.25">
      <c r="A11430" s="116" t="s">
        <v>18160</v>
      </c>
      <c r="B11430" s="117" t="s">
        <v>18161</v>
      </c>
      <c r="C11430" t="s">
        <v>67</v>
      </c>
      <c r="D11430" t="s">
        <v>67</v>
      </c>
      <c r="E11430" t="s">
        <v>67</v>
      </c>
      <c r="F11430" t="s">
        <v>45</v>
      </c>
      <c r="G11430" s="117">
        <v>234.82</v>
      </c>
    </row>
    <row r="11431" spans="1:7" x14ac:dyDescent="0.25">
      <c r="A11431" s="116" t="s">
        <v>18162</v>
      </c>
      <c r="B11431" s="117" t="s">
        <v>18163</v>
      </c>
      <c r="C11431" t="s">
        <v>67</v>
      </c>
      <c r="D11431" t="s">
        <v>67</v>
      </c>
      <c r="E11431" t="s">
        <v>67</v>
      </c>
      <c r="F11431" t="s">
        <v>45</v>
      </c>
      <c r="G11431" s="117">
        <v>100.46</v>
      </c>
    </row>
    <row r="11432" spans="1:7" x14ac:dyDescent="0.25">
      <c r="A11432" s="116" t="s">
        <v>18164</v>
      </c>
      <c r="B11432" s="117" t="s">
        <v>17721</v>
      </c>
      <c r="C11432" t="s">
        <v>67</v>
      </c>
      <c r="D11432" t="s">
        <v>67</v>
      </c>
      <c r="E11432" t="s">
        <v>67</v>
      </c>
      <c r="F11432" t="s">
        <v>45</v>
      </c>
      <c r="G11432" s="117">
        <v>153.86000000000001</v>
      </c>
    </row>
    <row r="11433" spans="1:7" x14ac:dyDescent="0.25">
      <c r="A11433" s="116" t="s">
        <v>18165</v>
      </c>
      <c r="B11433" s="117" t="s">
        <v>18166</v>
      </c>
      <c r="C11433" t="s">
        <v>67</v>
      </c>
      <c r="D11433" t="s">
        <v>67</v>
      </c>
      <c r="E11433" t="s">
        <v>67</v>
      </c>
      <c r="F11433" t="s">
        <v>45</v>
      </c>
      <c r="G11433" s="117">
        <v>149.05000000000001</v>
      </c>
    </row>
    <row r="11434" spans="1:7" x14ac:dyDescent="0.25">
      <c r="A11434" s="116" t="s">
        <v>18167</v>
      </c>
      <c r="B11434" s="117" t="s">
        <v>18168</v>
      </c>
      <c r="C11434" t="s">
        <v>67</v>
      </c>
      <c r="D11434" t="s">
        <v>67</v>
      </c>
      <c r="E11434" t="s">
        <v>67</v>
      </c>
      <c r="F11434" t="s">
        <v>27987</v>
      </c>
      <c r="G11434" s="117">
        <v>108.48</v>
      </c>
    </row>
    <row r="11435" spans="1:7" x14ac:dyDescent="0.25">
      <c r="A11435" s="116" t="s">
        <v>18169</v>
      </c>
      <c r="B11435" s="117" t="s">
        <v>17721</v>
      </c>
      <c r="C11435" t="s">
        <v>67</v>
      </c>
      <c r="D11435" t="s">
        <v>67</v>
      </c>
      <c r="E11435" t="s">
        <v>67</v>
      </c>
      <c r="F11435" t="s">
        <v>45</v>
      </c>
      <c r="G11435" s="117">
        <v>168.62</v>
      </c>
    </row>
    <row r="11436" spans="1:7" x14ac:dyDescent="0.25">
      <c r="A11436" s="116" t="s">
        <v>18170</v>
      </c>
      <c r="B11436" s="117" t="s">
        <v>17708</v>
      </c>
      <c r="C11436" t="s">
        <v>67</v>
      </c>
      <c r="D11436" t="s">
        <v>67</v>
      </c>
      <c r="E11436" t="s">
        <v>67</v>
      </c>
      <c r="F11436" t="s">
        <v>45</v>
      </c>
      <c r="G11436" s="117">
        <v>74.66</v>
      </c>
    </row>
    <row r="11437" spans="1:7" x14ac:dyDescent="0.25">
      <c r="A11437" s="116" t="s">
        <v>18171</v>
      </c>
      <c r="B11437" s="117" t="s">
        <v>18172</v>
      </c>
      <c r="C11437" t="s">
        <v>67</v>
      </c>
      <c r="D11437" t="s">
        <v>67</v>
      </c>
      <c r="E11437" t="s">
        <v>67</v>
      </c>
      <c r="F11437" t="s">
        <v>27987</v>
      </c>
      <c r="G11437" s="117">
        <v>596.41999999999996</v>
      </c>
    </row>
    <row r="11438" spans="1:7" x14ac:dyDescent="0.25">
      <c r="A11438" s="116" t="s">
        <v>18173</v>
      </c>
      <c r="B11438" s="117" t="s">
        <v>18174</v>
      </c>
      <c r="C11438" t="s">
        <v>67</v>
      </c>
      <c r="D11438" t="s">
        <v>67</v>
      </c>
      <c r="E11438" t="s">
        <v>67</v>
      </c>
      <c r="F11438" t="s">
        <v>27987</v>
      </c>
      <c r="G11438" s="117">
        <v>153.5</v>
      </c>
    </row>
    <row r="11439" spans="1:7" x14ac:dyDescent="0.25">
      <c r="A11439" s="116" t="s">
        <v>18175</v>
      </c>
      <c r="B11439" s="117" t="s">
        <v>18176</v>
      </c>
      <c r="C11439" t="s">
        <v>67</v>
      </c>
      <c r="D11439" t="s">
        <v>67</v>
      </c>
      <c r="E11439" t="s">
        <v>67</v>
      </c>
      <c r="F11439" t="s">
        <v>27987</v>
      </c>
      <c r="G11439" s="117">
        <v>112.56</v>
      </c>
    </row>
    <row r="11440" spans="1:7" x14ac:dyDescent="0.25">
      <c r="A11440" s="116" t="s">
        <v>18177</v>
      </c>
      <c r="B11440" s="117" t="s">
        <v>18178</v>
      </c>
      <c r="C11440" t="s">
        <v>67</v>
      </c>
      <c r="D11440" t="s">
        <v>67</v>
      </c>
      <c r="E11440" t="s">
        <v>67</v>
      </c>
      <c r="F11440" t="s">
        <v>27987</v>
      </c>
      <c r="G11440" s="117">
        <v>345.17</v>
      </c>
    </row>
    <row r="11441" spans="1:7" x14ac:dyDescent="0.25">
      <c r="A11441" s="116" t="s">
        <v>18179</v>
      </c>
      <c r="B11441" s="117" t="s">
        <v>18180</v>
      </c>
      <c r="C11441" t="s">
        <v>67</v>
      </c>
      <c r="D11441" t="s">
        <v>67</v>
      </c>
      <c r="E11441" t="s">
        <v>67</v>
      </c>
      <c r="F11441" t="s">
        <v>27987</v>
      </c>
      <c r="G11441" s="117">
        <v>70.739999999999995</v>
      </c>
    </row>
    <row r="11442" spans="1:7" x14ac:dyDescent="0.25">
      <c r="A11442" s="116" t="s">
        <v>18181</v>
      </c>
      <c r="B11442" s="117" t="s">
        <v>18182</v>
      </c>
      <c r="C11442" t="s">
        <v>67</v>
      </c>
      <c r="D11442" t="s">
        <v>67</v>
      </c>
      <c r="E11442" t="s">
        <v>67</v>
      </c>
      <c r="F11442" t="s">
        <v>27987</v>
      </c>
      <c r="G11442" s="117">
        <v>153.5</v>
      </c>
    </row>
    <row r="11443" spans="1:7" x14ac:dyDescent="0.25">
      <c r="A11443" s="116" t="s">
        <v>18183</v>
      </c>
      <c r="B11443" s="117" t="s">
        <v>18184</v>
      </c>
      <c r="C11443" t="s">
        <v>67</v>
      </c>
      <c r="D11443" t="s">
        <v>67</v>
      </c>
      <c r="E11443" t="s">
        <v>67</v>
      </c>
      <c r="F11443" t="s">
        <v>27987</v>
      </c>
      <c r="G11443" s="117">
        <v>180.55</v>
      </c>
    </row>
    <row r="11444" spans="1:7" x14ac:dyDescent="0.25">
      <c r="A11444" s="116" t="s">
        <v>18185</v>
      </c>
      <c r="B11444" s="117" t="s">
        <v>18186</v>
      </c>
      <c r="C11444" t="s">
        <v>67</v>
      </c>
      <c r="D11444" t="s">
        <v>67</v>
      </c>
      <c r="E11444" t="s">
        <v>67</v>
      </c>
      <c r="F11444" t="s">
        <v>27987</v>
      </c>
      <c r="G11444" s="117">
        <v>98.32</v>
      </c>
    </row>
    <row r="11445" spans="1:7" x14ac:dyDescent="0.25">
      <c r="A11445" s="116" t="s">
        <v>18187</v>
      </c>
      <c r="B11445" s="117" t="s">
        <v>18129</v>
      </c>
      <c r="C11445" t="s">
        <v>67</v>
      </c>
      <c r="D11445" t="s">
        <v>67</v>
      </c>
      <c r="E11445" t="s">
        <v>67</v>
      </c>
      <c r="F11445" t="s">
        <v>45</v>
      </c>
      <c r="G11445" s="117">
        <v>361.87</v>
      </c>
    </row>
    <row r="11446" spans="1:7" x14ac:dyDescent="0.25">
      <c r="A11446" s="116" t="s">
        <v>18188</v>
      </c>
      <c r="B11446" s="117" t="s">
        <v>18189</v>
      </c>
      <c r="C11446" t="s">
        <v>67</v>
      </c>
      <c r="D11446" t="s">
        <v>67</v>
      </c>
      <c r="E11446" t="s">
        <v>67</v>
      </c>
      <c r="F11446" t="s">
        <v>27987</v>
      </c>
      <c r="G11446" s="117">
        <v>121.82</v>
      </c>
    </row>
    <row r="11447" spans="1:7" x14ac:dyDescent="0.25">
      <c r="A11447" s="116" t="s">
        <v>18190</v>
      </c>
      <c r="B11447" s="117" t="s">
        <v>18191</v>
      </c>
      <c r="C11447" t="s">
        <v>67</v>
      </c>
      <c r="D11447" t="s">
        <v>67</v>
      </c>
      <c r="E11447" t="s">
        <v>67</v>
      </c>
      <c r="F11447" t="s">
        <v>27987</v>
      </c>
      <c r="G11447" s="117">
        <v>70.739999999999995</v>
      </c>
    </row>
    <row r="11448" spans="1:7" x14ac:dyDescent="0.25">
      <c r="A11448" s="116" t="s">
        <v>18192</v>
      </c>
      <c r="B11448" s="117" t="s">
        <v>18193</v>
      </c>
      <c r="C11448" t="s">
        <v>67</v>
      </c>
      <c r="D11448" t="s">
        <v>67</v>
      </c>
      <c r="E11448" t="s">
        <v>67</v>
      </c>
      <c r="F11448" t="s">
        <v>27987</v>
      </c>
      <c r="G11448" s="117">
        <v>146.74</v>
      </c>
    </row>
    <row r="11449" spans="1:7" x14ac:dyDescent="0.25">
      <c r="A11449" s="116" t="s">
        <v>18194</v>
      </c>
      <c r="B11449" s="117" t="s">
        <v>18195</v>
      </c>
      <c r="C11449" t="s">
        <v>67</v>
      </c>
      <c r="D11449" t="s">
        <v>67</v>
      </c>
      <c r="E11449" t="s">
        <v>67</v>
      </c>
      <c r="F11449" t="s">
        <v>27987</v>
      </c>
      <c r="G11449" s="117">
        <v>370.14</v>
      </c>
    </row>
    <row r="11450" spans="1:7" x14ac:dyDescent="0.25">
      <c r="A11450" s="116" t="s">
        <v>18196</v>
      </c>
      <c r="B11450" s="117" t="s">
        <v>18197</v>
      </c>
      <c r="C11450" t="s">
        <v>67</v>
      </c>
      <c r="D11450" t="s">
        <v>67</v>
      </c>
      <c r="E11450" t="s">
        <v>67</v>
      </c>
      <c r="F11450" t="s">
        <v>45</v>
      </c>
      <c r="G11450" s="117">
        <v>303.88</v>
      </c>
    </row>
    <row r="11451" spans="1:7" x14ac:dyDescent="0.25">
      <c r="A11451" s="116" t="s">
        <v>18198</v>
      </c>
      <c r="B11451" s="117" t="s">
        <v>18199</v>
      </c>
      <c r="C11451" t="s">
        <v>67</v>
      </c>
      <c r="D11451" t="s">
        <v>67</v>
      </c>
      <c r="E11451" t="s">
        <v>67</v>
      </c>
      <c r="F11451" t="s">
        <v>27987</v>
      </c>
      <c r="G11451" s="117">
        <v>84.98</v>
      </c>
    </row>
    <row r="11452" spans="1:7" x14ac:dyDescent="0.25">
      <c r="A11452" s="116" t="s">
        <v>18200</v>
      </c>
      <c r="B11452" s="117" t="s">
        <v>18201</v>
      </c>
      <c r="C11452" t="s">
        <v>67</v>
      </c>
      <c r="D11452" t="s">
        <v>67</v>
      </c>
      <c r="E11452" t="s">
        <v>67</v>
      </c>
      <c r="F11452" t="s">
        <v>27987</v>
      </c>
      <c r="G11452" s="117">
        <v>122.05</v>
      </c>
    </row>
    <row r="11453" spans="1:7" x14ac:dyDescent="0.25">
      <c r="A11453" s="116" t="s">
        <v>18202</v>
      </c>
      <c r="B11453" s="117" t="s">
        <v>18203</v>
      </c>
      <c r="C11453" t="s">
        <v>67</v>
      </c>
      <c r="D11453" t="s">
        <v>67</v>
      </c>
      <c r="E11453" t="s">
        <v>67</v>
      </c>
      <c r="F11453" t="s">
        <v>27987</v>
      </c>
      <c r="G11453" s="117">
        <v>165.95</v>
      </c>
    </row>
    <row r="11454" spans="1:7" x14ac:dyDescent="0.25">
      <c r="A11454" s="116" t="s">
        <v>18204</v>
      </c>
      <c r="B11454" s="117" t="s">
        <v>18205</v>
      </c>
      <c r="C11454" t="s">
        <v>67</v>
      </c>
      <c r="D11454" t="s">
        <v>67</v>
      </c>
      <c r="E11454" t="s">
        <v>67</v>
      </c>
      <c r="F11454" t="s">
        <v>27987</v>
      </c>
      <c r="G11454" s="117">
        <v>65.400000000000006</v>
      </c>
    </row>
    <row r="11455" spans="1:7" x14ac:dyDescent="0.25">
      <c r="A11455" s="116" t="s">
        <v>18206</v>
      </c>
      <c r="B11455" s="117" t="s">
        <v>18207</v>
      </c>
      <c r="C11455" t="s">
        <v>67</v>
      </c>
      <c r="D11455" t="s">
        <v>67</v>
      </c>
      <c r="E11455" t="s">
        <v>67</v>
      </c>
      <c r="F11455" t="s">
        <v>27987</v>
      </c>
      <c r="G11455" s="117">
        <v>137.47999999999999</v>
      </c>
    </row>
    <row r="11456" spans="1:7" x14ac:dyDescent="0.25">
      <c r="A11456" s="116" t="s">
        <v>18208</v>
      </c>
      <c r="B11456" s="117" t="s">
        <v>18209</v>
      </c>
      <c r="C11456" t="s">
        <v>67</v>
      </c>
      <c r="D11456" t="s">
        <v>67</v>
      </c>
      <c r="E11456" t="s">
        <v>67</v>
      </c>
      <c r="F11456" t="s">
        <v>27987</v>
      </c>
      <c r="G11456" s="117">
        <v>359.4</v>
      </c>
    </row>
    <row r="11457" spans="1:7" x14ac:dyDescent="0.25">
      <c r="A11457" s="116" t="s">
        <v>18210</v>
      </c>
      <c r="B11457" s="117" t="s">
        <v>18211</v>
      </c>
      <c r="C11457" t="s">
        <v>67</v>
      </c>
      <c r="D11457" t="s">
        <v>67</v>
      </c>
      <c r="E11457" t="s">
        <v>67</v>
      </c>
      <c r="F11457" t="s">
        <v>27987</v>
      </c>
      <c r="G11457" s="117">
        <v>766.86</v>
      </c>
    </row>
    <row r="11458" spans="1:7" x14ac:dyDescent="0.25">
      <c r="A11458" s="116" t="s">
        <v>18212</v>
      </c>
      <c r="B11458" s="117" t="s">
        <v>18213</v>
      </c>
      <c r="C11458" t="s">
        <v>67</v>
      </c>
      <c r="D11458" t="s">
        <v>67</v>
      </c>
      <c r="E11458" t="s">
        <v>67</v>
      </c>
      <c r="F11458" t="s">
        <v>27987</v>
      </c>
      <c r="G11458" s="117">
        <v>68.069999999999993</v>
      </c>
    </row>
    <row r="11459" spans="1:7" x14ac:dyDescent="0.25">
      <c r="A11459" s="116" t="s">
        <v>18214</v>
      </c>
      <c r="B11459" s="117" t="s">
        <v>18215</v>
      </c>
      <c r="C11459" t="s">
        <v>67</v>
      </c>
      <c r="D11459" t="s">
        <v>67</v>
      </c>
      <c r="E11459" t="s">
        <v>67</v>
      </c>
      <c r="F11459" t="s">
        <v>27987</v>
      </c>
      <c r="G11459" s="117">
        <v>124.13</v>
      </c>
    </row>
    <row r="11460" spans="1:7" x14ac:dyDescent="0.25">
      <c r="A11460" s="116" t="s">
        <v>18216</v>
      </c>
      <c r="B11460" s="117" t="s">
        <v>18217</v>
      </c>
      <c r="C11460" t="s">
        <v>67</v>
      </c>
      <c r="D11460" t="s">
        <v>67</v>
      </c>
      <c r="E11460" t="s">
        <v>67</v>
      </c>
      <c r="F11460" t="s">
        <v>27987</v>
      </c>
      <c r="G11460" s="117">
        <v>74.66</v>
      </c>
    </row>
    <row r="11461" spans="1:7" x14ac:dyDescent="0.25">
      <c r="A11461" s="116" t="s">
        <v>18218</v>
      </c>
      <c r="B11461" s="117" t="s">
        <v>18219</v>
      </c>
      <c r="C11461" t="s">
        <v>67</v>
      </c>
      <c r="D11461" t="s">
        <v>67</v>
      </c>
      <c r="E11461" t="s">
        <v>67</v>
      </c>
      <c r="F11461" t="s">
        <v>27987</v>
      </c>
      <c r="G11461" s="117">
        <v>257.52999999999997</v>
      </c>
    </row>
    <row r="11462" spans="1:7" x14ac:dyDescent="0.25">
      <c r="A11462" s="116" t="s">
        <v>18220</v>
      </c>
      <c r="B11462" s="117" t="s">
        <v>18221</v>
      </c>
      <c r="C11462" t="s">
        <v>67</v>
      </c>
      <c r="D11462" t="s">
        <v>67</v>
      </c>
      <c r="E11462" t="s">
        <v>67</v>
      </c>
      <c r="F11462" t="s">
        <v>27987</v>
      </c>
      <c r="G11462" s="117">
        <v>189.3</v>
      </c>
    </row>
    <row r="11463" spans="1:7" x14ac:dyDescent="0.25">
      <c r="A11463" s="116" t="s">
        <v>18222</v>
      </c>
      <c r="B11463" s="117" t="s">
        <v>18223</v>
      </c>
      <c r="C11463" t="s">
        <v>67</v>
      </c>
      <c r="D11463" t="s">
        <v>67</v>
      </c>
      <c r="E11463" t="s">
        <v>67</v>
      </c>
      <c r="F11463" t="s">
        <v>27987</v>
      </c>
      <c r="G11463" s="117">
        <v>95.66</v>
      </c>
    </row>
    <row r="11464" spans="1:7" x14ac:dyDescent="0.25">
      <c r="A11464" s="116" t="s">
        <v>18224</v>
      </c>
      <c r="B11464" s="117" t="s">
        <v>26496</v>
      </c>
      <c r="C11464" t="s">
        <v>67</v>
      </c>
      <c r="D11464" t="s">
        <v>67</v>
      </c>
      <c r="E11464" t="s">
        <v>67</v>
      </c>
      <c r="F11464" t="s">
        <v>45</v>
      </c>
      <c r="G11464" s="117">
        <v>80</v>
      </c>
    </row>
    <row r="11465" spans="1:7" x14ac:dyDescent="0.25">
      <c r="A11465" s="116" t="s">
        <v>18225</v>
      </c>
      <c r="B11465" s="117" t="s">
        <v>18226</v>
      </c>
      <c r="C11465" t="s">
        <v>67</v>
      </c>
      <c r="D11465" t="s">
        <v>67</v>
      </c>
      <c r="E11465" t="s">
        <v>67</v>
      </c>
      <c r="F11465" t="s">
        <v>27987</v>
      </c>
      <c r="G11465" s="117">
        <v>86.76</v>
      </c>
    </row>
    <row r="11466" spans="1:7" x14ac:dyDescent="0.25">
      <c r="A11466" s="116" t="s">
        <v>18227</v>
      </c>
      <c r="B11466" s="117" t="s">
        <v>18228</v>
      </c>
      <c r="C11466" t="s">
        <v>67</v>
      </c>
      <c r="D11466" t="s">
        <v>67</v>
      </c>
      <c r="E11466" t="s">
        <v>67</v>
      </c>
      <c r="F11466" t="s">
        <v>27987</v>
      </c>
      <c r="G11466" s="117">
        <v>170.14</v>
      </c>
    </row>
    <row r="11467" spans="1:7" x14ac:dyDescent="0.25">
      <c r="A11467" s="116" t="s">
        <v>18229</v>
      </c>
      <c r="B11467" s="117" t="s">
        <v>18230</v>
      </c>
      <c r="C11467" t="s">
        <v>67</v>
      </c>
      <c r="D11467" t="s">
        <v>67</v>
      </c>
      <c r="E11467" t="s">
        <v>67</v>
      </c>
      <c r="F11467" t="s">
        <v>27987</v>
      </c>
      <c r="G11467" s="117">
        <v>72.95</v>
      </c>
    </row>
    <row r="11468" spans="1:7" x14ac:dyDescent="0.25">
      <c r="A11468" s="116" t="s">
        <v>18231</v>
      </c>
      <c r="B11468" s="117" t="s">
        <v>18221</v>
      </c>
      <c r="C11468" t="s">
        <v>67</v>
      </c>
      <c r="D11468" t="s">
        <v>67</v>
      </c>
      <c r="E11468" t="s">
        <v>67</v>
      </c>
      <c r="F11468" t="s">
        <v>27987</v>
      </c>
      <c r="G11468" s="117">
        <v>176.91</v>
      </c>
    </row>
    <row r="11469" spans="1:7" x14ac:dyDescent="0.25">
      <c r="A11469" s="116" t="s">
        <v>18232</v>
      </c>
      <c r="B11469" s="117" t="s">
        <v>18233</v>
      </c>
      <c r="C11469" t="s">
        <v>67</v>
      </c>
      <c r="D11469" t="s">
        <v>67</v>
      </c>
      <c r="E11469" t="s">
        <v>67</v>
      </c>
      <c r="F11469" t="s">
        <v>27987</v>
      </c>
      <c r="G11469" s="117">
        <v>119.16</v>
      </c>
    </row>
    <row r="11470" spans="1:7" x14ac:dyDescent="0.25">
      <c r="A11470" s="116" t="s">
        <v>18234</v>
      </c>
      <c r="B11470" s="117" t="s">
        <v>18235</v>
      </c>
      <c r="C11470" t="s">
        <v>67</v>
      </c>
      <c r="D11470" t="s">
        <v>67</v>
      </c>
      <c r="E11470" t="s">
        <v>67</v>
      </c>
      <c r="F11470" t="s">
        <v>27987</v>
      </c>
      <c r="G11470" s="117">
        <v>340.27</v>
      </c>
    </row>
    <row r="11471" spans="1:7" x14ac:dyDescent="0.25">
      <c r="A11471" s="116" t="s">
        <v>18236</v>
      </c>
      <c r="B11471" s="117" t="s">
        <v>18237</v>
      </c>
      <c r="C11471" t="s">
        <v>67</v>
      </c>
      <c r="D11471" t="s">
        <v>67</v>
      </c>
      <c r="E11471" t="s">
        <v>67</v>
      </c>
      <c r="F11471" t="s">
        <v>27987</v>
      </c>
      <c r="G11471" s="117">
        <v>136.11000000000001</v>
      </c>
    </row>
    <row r="11472" spans="1:7" x14ac:dyDescent="0.25">
      <c r="A11472" s="116" t="s">
        <v>29279</v>
      </c>
      <c r="B11472" s="117" t="s">
        <v>29280</v>
      </c>
      <c r="C11472" t="s">
        <v>67</v>
      </c>
      <c r="D11472" t="s">
        <v>67</v>
      </c>
      <c r="E11472" t="s">
        <v>67</v>
      </c>
      <c r="F11472" t="s">
        <v>27987</v>
      </c>
      <c r="G11472" s="117">
        <v>246</v>
      </c>
    </row>
    <row r="11473" spans="1:7" x14ac:dyDescent="0.25">
      <c r="A11473" s="116" t="s">
        <v>18238</v>
      </c>
      <c r="B11473" s="117" t="s">
        <v>18239</v>
      </c>
      <c r="C11473" t="s">
        <v>67</v>
      </c>
      <c r="D11473" t="s">
        <v>67</v>
      </c>
      <c r="E11473" t="s">
        <v>67</v>
      </c>
      <c r="F11473" t="s">
        <v>27987</v>
      </c>
      <c r="G11473" s="117">
        <v>252.63</v>
      </c>
    </row>
    <row r="11474" spans="1:7" x14ac:dyDescent="0.25">
      <c r="A11474" s="116" t="s">
        <v>18240</v>
      </c>
      <c r="B11474" s="117" t="s">
        <v>18241</v>
      </c>
      <c r="C11474" t="s">
        <v>67</v>
      </c>
      <c r="D11474" t="s">
        <v>67</v>
      </c>
      <c r="E11474" t="s">
        <v>67</v>
      </c>
      <c r="F11474" t="s">
        <v>27987</v>
      </c>
      <c r="G11474" s="117">
        <v>285.77999999999997</v>
      </c>
    </row>
    <row r="11475" spans="1:7" x14ac:dyDescent="0.25">
      <c r="A11475" s="116" t="s">
        <v>18242</v>
      </c>
      <c r="B11475" s="117" t="s">
        <v>18243</v>
      </c>
      <c r="C11475" t="s">
        <v>67</v>
      </c>
      <c r="D11475" t="s">
        <v>67</v>
      </c>
      <c r="E11475" t="s">
        <v>67</v>
      </c>
      <c r="F11475" t="s">
        <v>27987</v>
      </c>
      <c r="G11475" s="117">
        <v>180.18</v>
      </c>
    </row>
    <row r="11476" spans="1:7" x14ac:dyDescent="0.25">
      <c r="A11476" s="116" t="s">
        <v>31234</v>
      </c>
      <c r="B11476" s="117" t="s">
        <v>26598</v>
      </c>
      <c r="C11476" t="s">
        <v>67</v>
      </c>
      <c r="D11476" t="s">
        <v>67</v>
      </c>
      <c r="E11476" t="s">
        <v>67</v>
      </c>
      <c r="F11476" t="s">
        <v>45</v>
      </c>
      <c r="G11476" s="117">
        <v>56</v>
      </c>
    </row>
    <row r="11477" spans="1:7" x14ac:dyDescent="0.25">
      <c r="A11477" s="116" t="s">
        <v>18244</v>
      </c>
      <c r="B11477" s="117" t="s">
        <v>18245</v>
      </c>
      <c r="C11477" t="s">
        <v>67</v>
      </c>
      <c r="D11477" t="s">
        <v>67</v>
      </c>
      <c r="E11477" t="s">
        <v>67</v>
      </c>
      <c r="F11477" t="s">
        <v>27987</v>
      </c>
      <c r="G11477" s="117">
        <v>143.38999999999999</v>
      </c>
    </row>
    <row r="11478" spans="1:7" x14ac:dyDescent="0.25">
      <c r="A11478" s="116" t="s">
        <v>18246</v>
      </c>
      <c r="B11478" s="117" t="s">
        <v>18247</v>
      </c>
      <c r="C11478" t="s">
        <v>67</v>
      </c>
      <c r="D11478" t="s">
        <v>67</v>
      </c>
      <c r="E11478" t="s">
        <v>67</v>
      </c>
      <c r="F11478" t="s">
        <v>27987</v>
      </c>
      <c r="G11478" s="117">
        <v>92.79</v>
      </c>
    </row>
    <row r="11479" spans="1:7" x14ac:dyDescent="0.25">
      <c r="A11479" s="116" t="s">
        <v>18248</v>
      </c>
      <c r="B11479" s="117" t="s">
        <v>18249</v>
      </c>
      <c r="C11479" t="s">
        <v>67</v>
      </c>
      <c r="D11479" t="s">
        <v>67</v>
      </c>
      <c r="E11479" t="s">
        <v>67</v>
      </c>
      <c r="F11479" t="s">
        <v>27987</v>
      </c>
      <c r="G11479" s="117">
        <v>95.91</v>
      </c>
    </row>
    <row r="11480" spans="1:7" x14ac:dyDescent="0.25">
      <c r="A11480" s="116" t="s">
        <v>18250</v>
      </c>
      <c r="B11480" s="117" t="s">
        <v>29281</v>
      </c>
      <c r="C11480" t="s">
        <v>67</v>
      </c>
      <c r="D11480" t="s">
        <v>67</v>
      </c>
      <c r="E11480" t="s">
        <v>67</v>
      </c>
      <c r="F11480" t="s">
        <v>27987</v>
      </c>
      <c r="G11480" s="117">
        <v>239.29</v>
      </c>
    </row>
    <row r="11481" spans="1:7" x14ac:dyDescent="0.25">
      <c r="A11481" s="116" t="s">
        <v>18251</v>
      </c>
      <c r="B11481" s="117" t="s">
        <v>29282</v>
      </c>
      <c r="C11481" t="s">
        <v>67</v>
      </c>
      <c r="D11481" t="s">
        <v>67</v>
      </c>
      <c r="E11481" t="s">
        <v>67</v>
      </c>
      <c r="F11481" t="s">
        <v>27987</v>
      </c>
      <c r="G11481" s="117">
        <v>84.19</v>
      </c>
    </row>
    <row r="11482" spans="1:7" x14ac:dyDescent="0.25">
      <c r="A11482" s="116" t="s">
        <v>18252</v>
      </c>
      <c r="B11482" s="117" t="s">
        <v>29283</v>
      </c>
      <c r="C11482" t="s">
        <v>67</v>
      </c>
      <c r="D11482" t="s">
        <v>67</v>
      </c>
      <c r="E11482" t="s">
        <v>67</v>
      </c>
      <c r="F11482" t="s">
        <v>27987</v>
      </c>
      <c r="G11482" s="117">
        <v>62.18</v>
      </c>
    </row>
    <row r="11483" spans="1:7" x14ac:dyDescent="0.25">
      <c r="A11483" s="116" t="s">
        <v>29284</v>
      </c>
      <c r="B11483" s="117" t="s">
        <v>30755</v>
      </c>
      <c r="C11483" t="s">
        <v>67</v>
      </c>
      <c r="D11483" t="s">
        <v>67</v>
      </c>
      <c r="E11483" t="s">
        <v>67</v>
      </c>
      <c r="F11483" t="s">
        <v>27987</v>
      </c>
      <c r="G11483" s="117">
        <v>90</v>
      </c>
    </row>
    <row r="11484" spans="1:7" x14ac:dyDescent="0.25">
      <c r="A11484" s="116" t="s">
        <v>18253</v>
      </c>
      <c r="B11484" s="117" t="s">
        <v>26497</v>
      </c>
      <c r="C11484" t="s">
        <v>67</v>
      </c>
      <c r="D11484" t="s">
        <v>67</v>
      </c>
      <c r="E11484" t="s">
        <v>67</v>
      </c>
      <c r="F11484" t="s">
        <v>27987</v>
      </c>
      <c r="G11484" s="117">
        <v>110</v>
      </c>
    </row>
    <row r="11485" spans="1:7" x14ac:dyDescent="0.25">
      <c r="A11485" s="116" t="s">
        <v>26709</v>
      </c>
      <c r="B11485" s="117" t="s">
        <v>29285</v>
      </c>
      <c r="C11485" t="s">
        <v>67</v>
      </c>
      <c r="D11485" t="s">
        <v>67</v>
      </c>
      <c r="E11485" t="s">
        <v>67</v>
      </c>
      <c r="F11485" t="s">
        <v>27987</v>
      </c>
      <c r="G11485" s="117">
        <v>140</v>
      </c>
    </row>
    <row r="11486" spans="1:7" x14ac:dyDescent="0.25">
      <c r="A11486" s="116" t="s">
        <v>27054</v>
      </c>
      <c r="B11486" s="117" t="s">
        <v>29286</v>
      </c>
      <c r="C11486" t="s">
        <v>67</v>
      </c>
      <c r="D11486" t="s">
        <v>67</v>
      </c>
      <c r="E11486" t="s">
        <v>67</v>
      </c>
      <c r="F11486" t="s">
        <v>27987</v>
      </c>
      <c r="G11486" s="117">
        <v>130</v>
      </c>
    </row>
    <row r="11487" spans="1:7" x14ac:dyDescent="0.25">
      <c r="A11487" s="116" t="s">
        <v>29287</v>
      </c>
      <c r="B11487" s="117" t="s">
        <v>17708</v>
      </c>
      <c r="C11487" t="s">
        <v>67</v>
      </c>
      <c r="D11487" t="s">
        <v>67</v>
      </c>
      <c r="E11487" t="s">
        <v>67</v>
      </c>
      <c r="F11487" t="s">
        <v>27987</v>
      </c>
      <c r="G11487" s="117">
        <v>110</v>
      </c>
    </row>
    <row r="11488" spans="1:7" x14ac:dyDescent="0.25">
      <c r="A11488" s="116" t="s">
        <v>26955</v>
      </c>
      <c r="B11488" s="117" t="s">
        <v>29288</v>
      </c>
      <c r="C11488" t="s">
        <v>67</v>
      </c>
      <c r="D11488" t="s">
        <v>67</v>
      </c>
      <c r="E11488" t="s">
        <v>67</v>
      </c>
      <c r="F11488" t="s">
        <v>27987</v>
      </c>
      <c r="G11488" s="117">
        <v>130</v>
      </c>
    </row>
    <row r="11489" spans="1:7" x14ac:dyDescent="0.25">
      <c r="A11489" s="116" t="s">
        <v>27055</v>
      </c>
      <c r="B11489" s="117" t="s">
        <v>29289</v>
      </c>
      <c r="C11489" t="s">
        <v>67</v>
      </c>
      <c r="D11489" t="s">
        <v>67</v>
      </c>
      <c r="E11489" t="s">
        <v>67</v>
      </c>
      <c r="F11489" t="s">
        <v>27987</v>
      </c>
      <c r="G11489" s="117">
        <v>155</v>
      </c>
    </row>
    <row r="11490" spans="1:7" x14ac:dyDescent="0.25">
      <c r="A11490" s="116" t="s">
        <v>27056</v>
      </c>
      <c r="B11490" s="117" t="s">
        <v>29290</v>
      </c>
      <c r="C11490" t="s">
        <v>67</v>
      </c>
      <c r="D11490" t="s">
        <v>67</v>
      </c>
      <c r="E11490" t="s">
        <v>67</v>
      </c>
      <c r="F11490" t="s">
        <v>27987</v>
      </c>
      <c r="G11490" s="117">
        <v>90</v>
      </c>
    </row>
    <row r="11491" spans="1:7" x14ac:dyDescent="0.25">
      <c r="A11491" s="116" t="s">
        <v>29870</v>
      </c>
      <c r="B11491" s="117" t="s">
        <v>30494</v>
      </c>
      <c r="C11491" t="s">
        <v>67</v>
      </c>
      <c r="D11491" t="s">
        <v>67</v>
      </c>
      <c r="E11491" t="s">
        <v>67</v>
      </c>
      <c r="F11491" t="s">
        <v>27987</v>
      </c>
      <c r="G11491" s="117">
        <v>85</v>
      </c>
    </row>
    <row r="11492" spans="1:7" x14ac:dyDescent="0.25">
      <c r="A11492" s="116" t="s">
        <v>29825</v>
      </c>
      <c r="B11492" s="117" t="s">
        <v>30495</v>
      </c>
      <c r="C11492" t="s">
        <v>67</v>
      </c>
      <c r="D11492" t="s">
        <v>67</v>
      </c>
      <c r="E11492" t="s">
        <v>67</v>
      </c>
      <c r="F11492" t="s">
        <v>27987</v>
      </c>
      <c r="G11492" s="117">
        <v>110</v>
      </c>
    </row>
    <row r="11493" spans="1:7" x14ac:dyDescent="0.25">
      <c r="A11493" s="116" t="s">
        <v>29949</v>
      </c>
      <c r="B11493" s="117" t="s">
        <v>30496</v>
      </c>
      <c r="C11493" t="s">
        <v>67</v>
      </c>
      <c r="D11493" t="s">
        <v>67</v>
      </c>
      <c r="E11493" t="s">
        <v>67</v>
      </c>
      <c r="F11493" t="s">
        <v>27987</v>
      </c>
      <c r="G11493" s="117">
        <v>170</v>
      </c>
    </row>
    <row r="11494" spans="1:7" x14ac:dyDescent="0.25">
      <c r="A11494" s="116" t="s">
        <v>29291</v>
      </c>
      <c r="B11494" s="117" t="s">
        <v>30756</v>
      </c>
      <c r="C11494" t="s">
        <v>67</v>
      </c>
      <c r="D11494" t="s">
        <v>67</v>
      </c>
      <c r="E11494" t="s">
        <v>67</v>
      </c>
      <c r="F11494" t="s">
        <v>27987</v>
      </c>
      <c r="G11494" s="117">
        <v>280</v>
      </c>
    </row>
    <row r="11495" spans="1:7" x14ac:dyDescent="0.25">
      <c r="A11495" s="116" t="s">
        <v>29292</v>
      </c>
      <c r="B11495" s="117" t="s">
        <v>29293</v>
      </c>
      <c r="C11495" t="s">
        <v>67</v>
      </c>
      <c r="D11495" t="s">
        <v>67</v>
      </c>
      <c r="E11495" t="s">
        <v>67</v>
      </c>
      <c r="F11495" t="s">
        <v>27987</v>
      </c>
      <c r="G11495" s="117">
        <v>9999</v>
      </c>
    </row>
    <row r="11496" spans="1:7" x14ac:dyDescent="0.25">
      <c r="A11496" s="116" t="s">
        <v>29294</v>
      </c>
      <c r="B11496" s="117" t="s">
        <v>30757</v>
      </c>
      <c r="C11496" t="s">
        <v>67</v>
      </c>
      <c r="D11496" t="s">
        <v>67</v>
      </c>
      <c r="E11496" t="s">
        <v>67</v>
      </c>
      <c r="F11496" t="s">
        <v>27987</v>
      </c>
      <c r="G11496" s="117">
        <v>95</v>
      </c>
    </row>
    <row r="11497" spans="1:7" x14ac:dyDescent="0.25">
      <c r="A11497" s="116" t="s">
        <v>29295</v>
      </c>
      <c r="B11497" s="117" t="s">
        <v>30758</v>
      </c>
      <c r="C11497" t="s">
        <v>67</v>
      </c>
      <c r="D11497" t="s">
        <v>67</v>
      </c>
      <c r="E11497" t="s">
        <v>67</v>
      </c>
      <c r="F11497" t="s">
        <v>27987</v>
      </c>
      <c r="G11497" s="117">
        <v>45</v>
      </c>
    </row>
    <row r="11498" spans="1:7" x14ac:dyDescent="0.25">
      <c r="A11498" s="116" t="s">
        <v>29296</v>
      </c>
      <c r="B11498" s="117" t="s">
        <v>30759</v>
      </c>
      <c r="C11498" t="s">
        <v>67</v>
      </c>
      <c r="D11498" t="s">
        <v>67</v>
      </c>
      <c r="E11498" t="s">
        <v>67</v>
      </c>
      <c r="F11498" t="s">
        <v>27987</v>
      </c>
      <c r="G11498" s="117">
        <v>55.13</v>
      </c>
    </row>
    <row r="11499" spans="1:7" x14ac:dyDescent="0.25">
      <c r="A11499" s="116" t="s">
        <v>29950</v>
      </c>
      <c r="B11499" s="117" t="s">
        <v>29826</v>
      </c>
      <c r="C11499" t="s">
        <v>67</v>
      </c>
      <c r="D11499" t="s">
        <v>67</v>
      </c>
      <c r="E11499" t="s">
        <v>67</v>
      </c>
      <c r="F11499" t="s">
        <v>27987</v>
      </c>
      <c r="G11499" s="117">
        <v>9999</v>
      </c>
    </row>
    <row r="11500" spans="1:7" x14ac:dyDescent="0.25">
      <c r="A11500" s="116" t="s">
        <v>30983</v>
      </c>
      <c r="B11500" s="117" t="s">
        <v>30984</v>
      </c>
      <c r="C11500" t="s">
        <v>67</v>
      </c>
      <c r="D11500" t="s">
        <v>67</v>
      </c>
      <c r="E11500" t="s">
        <v>67</v>
      </c>
      <c r="F11500" t="s">
        <v>45</v>
      </c>
      <c r="G11500" s="117">
        <v>9999</v>
      </c>
    </row>
    <row r="11501" spans="1:7" x14ac:dyDescent="0.25">
      <c r="A11501" s="116" t="s">
        <v>30284</v>
      </c>
      <c r="B11501" s="117" t="s">
        <v>30285</v>
      </c>
      <c r="C11501" t="s">
        <v>67</v>
      </c>
      <c r="D11501" t="s">
        <v>67</v>
      </c>
      <c r="E11501" t="s">
        <v>67</v>
      </c>
      <c r="F11501" t="s">
        <v>27987</v>
      </c>
      <c r="G11501" s="117">
        <v>9999</v>
      </c>
    </row>
    <row r="11502" spans="1:7" x14ac:dyDescent="0.25">
      <c r="A11502" s="116" t="s">
        <v>30985</v>
      </c>
      <c r="B11502" s="117" t="s">
        <v>30986</v>
      </c>
      <c r="C11502" t="s">
        <v>67</v>
      </c>
      <c r="D11502" t="s">
        <v>67</v>
      </c>
      <c r="E11502" t="s">
        <v>67</v>
      </c>
      <c r="F11502" t="s">
        <v>45</v>
      </c>
      <c r="G11502" s="117">
        <v>9999</v>
      </c>
    </row>
    <row r="11503" spans="1:7" x14ac:dyDescent="0.25">
      <c r="A11503" s="116" t="s">
        <v>30333</v>
      </c>
      <c r="B11503" s="117" t="s">
        <v>30285</v>
      </c>
      <c r="C11503" t="s">
        <v>67</v>
      </c>
      <c r="D11503" t="s">
        <v>67</v>
      </c>
      <c r="E11503" t="s">
        <v>67</v>
      </c>
      <c r="F11503" t="s">
        <v>45</v>
      </c>
      <c r="G11503" s="117">
        <v>9999</v>
      </c>
    </row>
    <row r="11504" spans="1:7" x14ac:dyDescent="0.25">
      <c r="A11504" s="116" t="s">
        <v>29951</v>
      </c>
      <c r="B11504" s="117" t="s">
        <v>29826</v>
      </c>
      <c r="C11504" t="s">
        <v>67</v>
      </c>
      <c r="D11504" t="s">
        <v>67</v>
      </c>
      <c r="E11504" t="s">
        <v>67</v>
      </c>
      <c r="F11504" t="s">
        <v>27987</v>
      </c>
      <c r="G11504" s="117">
        <v>9999</v>
      </c>
    </row>
    <row r="11505" spans="1:7" x14ac:dyDescent="0.25">
      <c r="A11505" s="116" t="s">
        <v>29297</v>
      </c>
      <c r="B11505" s="117" t="s">
        <v>29298</v>
      </c>
      <c r="C11505" t="s">
        <v>67</v>
      </c>
      <c r="D11505" t="s">
        <v>67</v>
      </c>
      <c r="E11505" t="s">
        <v>67</v>
      </c>
      <c r="F11505" t="s">
        <v>45</v>
      </c>
      <c r="G11505" s="117">
        <v>0</v>
      </c>
    </row>
    <row r="11506" spans="1:7" x14ac:dyDescent="0.25">
      <c r="A11506" s="116" t="s">
        <v>18254</v>
      </c>
      <c r="B11506" s="117" t="s">
        <v>18255</v>
      </c>
      <c r="C11506" t="s">
        <v>67</v>
      </c>
      <c r="D11506" t="s">
        <v>67</v>
      </c>
      <c r="E11506" t="s">
        <v>67</v>
      </c>
      <c r="F11506" t="s">
        <v>27987</v>
      </c>
      <c r="G11506" s="117">
        <v>138.37</v>
      </c>
    </row>
    <row r="11507" spans="1:7" x14ac:dyDescent="0.25">
      <c r="A11507" s="116" t="s">
        <v>28172</v>
      </c>
      <c r="B11507" s="117" t="s">
        <v>29299</v>
      </c>
      <c r="C11507" t="s">
        <v>67</v>
      </c>
      <c r="D11507" t="s">
        <v>67</v>
      </c>
      <c r="E11507" t="s">
        <v>67</v>
      </c>
      <c r="F11507" t="s">
        <v>27987</v>
      </c>
      <c r="G11507" s="117">
        <v>654</v>
      </c>
    </row>
    <row r="11508" spans="1:7" x14ac:dyDescent="0.25">
      <c r="A11508" s="116" t="s">
        <v>29300</v>
      </c>
      <c r="B11508" s="117" t="s">
        <v>29301</v>
      </c>
      <c r="C11508" t="s">
        <v>67</v>
      </c>
      <c r="D11508" t="s">
        <v>67</v>
      </c>
      <c r="E11508" t="s">
        <v>67</v>
      </c>
      <c r="F11508" t="s">
        <v>27987</v>
      </c>
      <c r="G11508" s="117">
        <v>110</v>
      </c>
    </row>
    <row r="11509" spans="1:7" x14ac:dyDescent="0.25">
      <c r="A11509" s="116" t="s">
        <v>18256</v>
      </c>
      <c r="B11509" s="117" t="s">
        <v>18257</v>
      </c>
      <c r="C11509" t="s">
        <v>67</v>
      </c>
      <c r="D11509" t="s">
        <v>67</v>
      </c>
      <c r="E11509" t="s">
        <v>67</v>
      </c>
      <c r="F11509" t="s">
        <v>45</v>
      </c>
      <c r="G11509" s="117">
        <v>161.86000000000001</v>
      </c>
    </row>
    <row r="11510" spans="1:7" x14ac:dyDescent="0.25">
      <c r="A11510" s="116" t="s">
        <v>29302</v>
      </c>
      <c r="B11510" s="117" t="s">
        <v>29303</v>
      </c>
      <c r="C11510" t="s">
        <v>67</v>
      </c>
      <c r="D11510" t="s">
        <v>67</v>
      </c>
      <c r="E11510" t="s">
        <v>67</v>
      </c>
      <c r="F11510" t="s">
        <v>45</v>
      </c>
      <c r="G11510" s="117">
        <v>0</v>
      </c>
    </row>
    <row r="11511" spans="1:7" x14ac:dyDescent="0.25">
      <c r="A11511" s="116" t="s">
        <v>18258</v>
      </c>
      <c r="B11511" s="117" t="s">
        <v>18259</v>
      </c>
      <c r="C11511" t="s">
        <v>67</v>
      </c>
      <c r="D11511" t="s">
        <v>67</v>
      </c>
      <c r="E11511" t="s">
        <v>67</v>
      </c>
      <c r="F11511" t="s">
        <v>45</v>
      </c>
      <c r="G11511" s="117">
        <v>100.11</v>
      </c>
    </row>
    <row r="11512" spans="1:7" x14ac:dyDescent="0.25">
      <c r="A11512" s="116" t="s">
        <v>18260</v>
      </c>
      <c r="B11512" s="117" t="s">
        <v>18261</v>
      </c>
      <c r="C11512" t="s">
        <v>67</v>
      </c>
      <c r="D11512" t="s">
        <v>67</v>
      </c>
      <c r="E11512" t="s">
        <v>67</v>
      </c>
      <c r="F11512" t="s">
        <v>45</v>
      </c>
      <c r="G11512" s="117">
        <v>97.8</v>
      </c>
    </row>
    <row r="11513" spans="1:7" x14ac:dyDescent="0.25">
      <c r="A11513" s="116" t="s">
        <v>18262</v>
      </c>
      <c r="B11513" s="117" t="s">
        <v>18263</v>
      </c>
      <c r="C11513" t="s">
        <v>67</v>
      </c>
      <c r="D11513" t="s">
        <v>67</v>
      </c>
      <c r="E11513" t="s">
        <v>67</v>
      </c>
      <c r="F11513" t="s">
        <v>27987</v>
      </c>
      <c r="G11513" s="117">
        <v>229.49</v>
      </c>
    </row>
    <row r="11514" spans="1:7" x14ac:dyDescent="0.25">
      <c r="A11514" s="116" t="s">
        <v>18264</v>
      </c>
      <c r="B11514" s="117" t="s">
        <v>18265</v>
      </c>
      <c r="C11514" t="s">
        <v>67</v>
      </c>
      <c r="D11514" t="s">
        <v>67</v>
      </c>
      <c r="E11514" t="s">
        <v>67</v>
      </c>
      <c r="F11514" t="s">
        <v>45</v>
      </c>
      <c r="G11514" s="117">
        <v>153.5</v>
      </c>
    </row>
    <row r="11515" spans="1:7" x14ac:dyDescent="0.25">
      <c r="A11515" s="116" t="s">
        <v>29304</v>
      </c>
      <c r="B11515" s="117" t="s">
        <v>29305</v>
      </c>
      <c r="C11515" t="s">
        <v>67</v>
      </c>
      <c r="D11515" t="s">
        <v>67</v>
      </c>
      <c r="E11515" t="s">
        <v>67</v>
      </c>
      <c r="F11515" t="s">
        <v>45</v>
      </c>
      <c r="G11515" s="117">
        <v>0</v>
      </c>
    </row>
    <row r="11516" spans="1:7" x14ac:dyDescent="0.25">
      <c r="A11516" s="116" t="s">
        <v>18266</v>
      </c>
      <c r="B11516" s="117" t="s">
        <v>18267</v>
      </c>
      <c r="C11516" t="s">
        <v>67</v>
      </c>
      <c r="D11516" t="s">
        <v>67</v>
      </c>
      <c r="E11516" t="s">
        <v>67</v>
      </c>
      <c r="F11516" t="s">
        <v>45</v>
      </c>
      <c r="G11516" s="117">
        <v>186.42</v>
      </c>
    </row>
    <row r="11517" spans="1:7" x14ac:dyDescent="0.25">
      <c r="A11517" s="116" t="s">
        <v>18268</v>
      </c>
      <c r="B11517" s="117" t="s">
        <v>18269</v>
      </c>
      <c r="C11517" t="s">
        <v>67</v>
      </c>
      <c r="D11517" t="s">
        <v>67</v>
      </c>
      <c r="E11517" t="s">
        <v>67</v>
      </c>
      <c r="F11517" t="s">
        <v>27987</v>
      </c>
      <c r="G11517" s="117">
        <v>153.5</v>
      </c>
    </row>
    <row r="11518" spans="1:7" x14ac:dyDescent="0.25">
      <c r="A11518" s="116" t="s">
        <v>18270</v>
      </c>
      <c r="B11518" s="117" t="s">
        <v>18271</v>
      </c>
      <c r="C11518" t="s">
        <v>67</v>
      </c>
      <c r="D11518" t="s">
        <v>67</v>
      </c>
      <c r="E11518" t="s">
        <v>67</v>
      </c>
      <c r="F11518" t="s">
        <v>27987</v>
      </c>
      <c r="G11518" s="117">
        <v>186.42</v>
      </c>
    </row>
    <row r="11519" spans="1:7" x14ac:dyDescent="0.25">
      <c r="A11519" s="116" t="s">
        <v>18272</v>
      </c>
      <c r="B11519" s="117" t="s">
        <v>18273</v>
      </c>
      <c r="C11519" t="s">
        <v>67</v>
      </c>
      <c r="D11519" t="s">
        <v>67</v>
      </c>
      <c r="E11519" t="s">
        <v>67</v>
      </c>
      <c r="F11519" t="s">
        <v>45</v>
      </c>
      <c r="G11519" s="117">
        <v>197.45</v>
      </c>
    </row>
    <row r="11520" spans="1:7" x14ac:dyDescent="0.25">
      <c r="A11520" s="116" t="s">
        <v>18274</v>
      </c>
      <c r="B11520" s="117" t="s">
        <v>18275</v>
      </c>
      <c r="C11520" t="s">
        <v>67</v>
      </c>
      <c r="D11520" t="s">
        <v>67</v>
      </c>
      <c r="E11520" t="s">
        <v>67</v>
      </c>
      <c r="F11520" t="s">
        <v>27987</v>
      </c>
      <c r="G11520" s="117">
        <v>201.9</v>
      </c>
    </row>
    <row r="11521" spans="1:7" x14ac:dyDescent="0.25">
      <c r="A11521" s="116" t="s">
        <v>27485</v>
      </c>
      <c r="B11521" s="117" t="s">
        <v>18276</v>
      </c>
      <c r="C11521" t="s">
        <v>67</v>
      </c>
      <c r="D11521" t="s">
        <v>67</v>
      </c>
      <c r="E11521" t="s">
        <v>67</v>
      </c>
      <c r="F11521" t="s">
        <v>45</v>
      </c>
      <c r="G11521" s="117">
        <v>156.52000000000001</v>
      </c>
    </row>
    <row r="11522" spans="1:7" x14ac:dyDescent="0.25">
      <c r="A11522" s="116" t="s">
        <v>27486</v>
      </c>
      <c r="B11522" s="117" t="s">
        <v>18277</v>
      </c>
      <c r="C11522" t="s">
        <v>67</v>
      </c>
      <c r="D11522" t="s">
        <v>67</v>
      </c>
      <c r="E11522" t="s">
        <v>67</v>
      </c>
      <c r="F11522" t="s">
        <v>49</v>
      </c>
      <c r="G11522" s="117">
        <v>1.33</v>
      </c>
    </row>
    <row r="11523" spans="1:7" x14ac:dyDescent="0.25">
      <c r="A11523" s="116" t="s">
        <v>18278</v>
      </c>
      <c r="B11523" s="117" t="s">
        <v>18279</v>
      </c>
      <c r="C11523" t="s">
        <v>67</v>
      </c>
      <c r="D11523" t="s">
        <v>67</v>
      </c>
      <c r="E11523" t="s">
        <v>67</v>
      </c>
      <c r="F11523" t="s">
        <v>27987</v>
      </c>
      <c r="G11523" s="117">
        <v>167.74</v>
      </c>
    </row>
    <row r="11524" spans="1:7" x14ac:dyDescent="0.25">
      <c r="A11524" s="116" t="s">
        <v>18280</v>
      </c>
      <c r="B11524" s="117" t="s">
        <v>18281</v>
      </c>
      <c r="C11524" t="s">
        <v>67</v>
      </c>
      <c r="D11524" t="s">
        <v>67</v>
      </c>
      <c r="E11524" t="s">
        <v>67</v>
      </c>
      <c r="F11524" t="s">
        <v>27987</v>
      </c>
      <c r="G11524" s="117">
        <v>151.71</v>
      </c>
    </row>
    <row r="11525" spans="1:7" x14ac:dyDescent="0.25">
      <c r="A11525" s="116" t="s">
        <v>18282</v>
      </c>
      <c r="B11525" s="117" t="s">
        <v>18283</v>
      </c>
      <c r="C11525" t="s">
        <v>67</v>
      </c>
      <c r="D11525" t="s">
        <v>67</v>
      </c>
      <c r="E11525" t="s">
        <v>67</v>
      </c>
      <c r="F11525" t="s">
        <v>27987</v>
      </c>
      <c r="G11525" s="117">
        <v>194.43</v>
      </c>
    </row>
    <row r="11526" spans="1:7" x14ac:dyDescent="0.25">
      <c r="A11526" s="116" t="s">
        <v>18284</v>
      </c>
      <c r="B11526" s="117" t="s">
        <v>18285</v>
      </c>
      <c r="C11526" t="s">
        <v>67</v>
      </c>
      <c r="D11526" t="s">
        <v>67</v>
      </c>
      <c r="E11526" t="s">
        <v>67</v>
      </c>
      <c r="F11526" t="s">
        <v>27987</v>
      </c>
      <c r="G11526" s="117">
        <v>246.93</v>
      </c>
    </row>
    <row r="11527" spans="1:7" x14ac:dyDescent="0.25">
      <c r="A11527" s="116" t="s">
        <v>18286</v>
      </c>
      <c r="B11527" s="117" t="s">
        <v>18287</v>
      </c>
      <c r="C11527" t="s">
        <v>67</v>
      </c>
      <c r="D11527" t="s">
        <v>67</v>
      </c>
      <c r="E11527" t="s">
        <v>67</v>
      </c>
      <c r="F11527" t="s">
        <v>45</v>
      </c>
      <c r="G11527" s="117">
        <v>176.99</v>
      </c>
    </row>
    <row r="11528" spans="1:7" x14ac:dyDescent="0.25">
      <c r="A11528" s="116" t="s">
        <v>18288</v>
      </c>
      <c r="B11528" s="117" t="s">
        <v>18279</v>
      </c>
      <c r="C11528" t="s">
        <v>67</v>
      </c>
      <c r="D11528" t="s">
        <v>67</v>
      </c>
      <c r="E11528" t="s">
        <v>67</v>
      </c>
      <c r="F11528" t="s">
        <v>45</v>
      </c>
      <c r="G11528" s="117">
        <v>164.18</v>
      </c>
    </row>
    <row r="11529" spans="1:7" x14ac:dyDescent="0.25">
      <c r="A11529" s="116" t="s">
        <v>18289</v>
      </c>
      <c r="B11529" s="117" t="s">
        <v>18290</v>
      </c>
      <c r="C11529" t="s">
        <v>67</v>
      </c>
      <c r="D11529" t="s">
        <v>67</v>
      </c>
      <c r="E11529" t="s">
        <v>67</v>
      </c>
      <c r="F11529" t="s">
        <v>27987</v>
      </c>
      <c r="G11529" s="117">
        <v>100.46</v>
      </c>
    </row>
    <row r="11530" spans="1:7" x14ac:dyDescent="0.25">
      <c r="A11530" s="116" t="s">
        <v>18291</v>
      </c>
      <c r="B11530" s="117" t="s">
        <v>18292</v>
      </c>
      <c r="C11530" t="s">
        <v>67</v>
      </c>
      <c r="D11530" t="s">
        <v>67</v>
      </c>
      <c r="E11530" t="s">
        <v>67</v>
      </c>
      <c r="F11530" t="s">
        <v>45</v>
      </c>
      <c r="G11530" s="117">
        <v>101.88</v>
      </c>
    </row>
    <row r="11531" spans="1:7" x14ac:dyDescent="0.25">
      <c r="A11531" s="116" t="s">
        <v>29306</v>
      </c>
      <c r="B11531" s="117" t="s">
        <v>29307</v>
      </c>
      <c r="C11531" t="s">
        <v>67</v>
      </c>
      <c r="D11531" t="s">
        <v>67</v>
      </c>
      <c r="E11531" t="s">
        <v>67</v>
      </c>
      <c r="F11531" t="s">
        <v>45</v>
      </c>
      <c r="G11531" s="117">
        <v>0</v>
      </c>
    </row>
    <row r="11532" spans="1:7" x14ac:dyDescent="0.25">
      <c r="A11532" s="116" t="s">
        <v>29308</v>
      </c>
      <c r="B11532" s="117" t="s">
        <v>29309</v>
      </c>
      <c r="C11532" t="s">
        <v>67</v>
      </c>
      <c r="D11532" t="s">
        <v>67</v>
      </c>
      <c r="E11532" t="s">
        <v>67</v>
      </c>
      <c r="F11532" t="s">
        <v>45</v>
      </c>
      <c r="G11532" s="117">
        <v>0</v>
      </c>
    </row>
    <row r="11533" spans="1:7" x14ac:dyDescent="0.25">
      <c r="A11533" s="116" t="s">
        <v>18293</v>
      </c>
      <c r="B11533" s="117" t="s">
        <v>18294</v>
      </c>
      <c r="C11533" t="s">
        <v>67</v>
      </c>
      <c r="D11533" t="s">
        <v>67</v>
      </c>
      <c r="E11533" t="s">
        <v>67</v>
      </c>
      <c r="F11533" t="s">
        <v>45</v>
      </c>
      <c r="G11533" s="117">
        <v>120.04</v>
      </c>
    </row>
    <row r="11534" spans="1:7" x14ac:dyDescent="0.25">
      <c r="A11534" s="116" t="s">
        <v>18295</v>
      </c>
      <c r="B11534" s="117" t="s">
        <v>18296</v>
      </c>
      <c r="C11534" t="s">
        <v>67</v>
      </c>
      <c r="D11534" t="s">
        <v>67</v>
      </c>
      <c r="E11534" t="s">
        <v>67</v>
      </c>
      <c r="F11534" t="s">
        <v>27987</v>
      </c>
      <c r="G11534" s="117">
        <v>146.38</v>
      </c>
    </row>
    <row r="11535" spans="1:7" x14ac:dyDescent="0.25">
      <c r="A11535" s="116" t="s">
        <v>18297</v>
      </c>
      <c r="B11535" s="117" t="s">
        <v>18298</v>
      </c>
      <c r="C11535" t="s">
        <v>67</v>
      </c>
      <c r="D11535" t="s">
        <v>67</v>
      </c>
      <c r="E11535" t="s">
        <v>67</v>
      </c>
      <c r="F11535" t="s">
        <v>49</v>
      </c>
      <c r="G11535" s="117">
        <v>129.47999999999999</v>
      </c>
    </row>
    <row r="11536" spans="1:7" x14ac:dyDescent="0.25">
      <c r="A11536" s="116" t="s">
        <v>18299</v>
      </c>
      <c r="B11536" s="117" t="s">
        <v>18300</v>
      </c>
      <c r="C11536" t="s">
        <v>67</v>
      </c>
      <c r="D11536" t="s">
        <v>67</v>
      </c>
      <c r="E11536" t="s">
        <v>67</v>
      </c>
      <c r="F11536" t="s">
        <v>27987</v>
      </c>
      <c r="G11536" s="117">
        <v>144.94999999999999</v>
      </c>
    </row>
    <row r="11537" spans="1:7" x14ac:dyDescent="0.25">
      <c r="A11537" s="116" t="s">
        <v>18301</v>
      </c>
      <c r="B11537" s="117" t="s">
        <v>18302</v>
      </c>
      <c r="C11537" t="s">
        <v>67</v>
      </c>
      <c r="D11537" t="s">
        <v>67</v>
      </c>
      <c r="E11537" t="s">
        <v>67</v>
      </c>
      <c r="F11537" t="s">
        <v>45</v>
      </c>
      <c r="G11537" s="117">
        <v>124.49</v>
      </c>
    </row>
    <row r="11538" spans="1:7" x14ac:dyDescent="0.25">
      <c r="A11538" s="116" t="s">
        <v>18303</v>
      </c>
      <c r="B11538" s="117" t="s">
        <v>18279</v>
      </c>
      <c r="C11538" t="s">
        <v>67</v>
      </c>
      <c r="D11538" t="s">
        <v>67</v>
      </c>
      <c r="E11538" t="s">
        <v>67</v>
      </c>
      <c r="F11538" t="s">
        <v>45</v>
      </c>
      <c r="G11538" s="117">
        <v>199.24</v>
      </c>
    </row>
    <row r="11539" spans="1:7" x14ac:dyDescent="0.25">
      <c r="A11539" s="116" t="s">
        <v>18304</v>
      </c>
      <c r="B11539" s="117" t="s">
        <v>18279</v>
      </c>
      <c r="C11539" t="s">
        <v>67</v>
      </c>
      <c r="D11539" t="s">
        <v>67</v>
      </c>
      <c r="E11539" t="s">
        <v>67</v>
      </c>
      <c r="F11539" t="s">
        <v>27987</v>
      </c>
      <c r="G11539" s="117">
        <v>200.66</v>
      </c>
    </row>
    <row r="11540" spans="1:7" x14ac:dyDescent="0.25">
      <c r="A11540" s="116" t="s">
        <v>18305</v>
      </c>
      <c r="B11540" s="117" t="s">
        <v>18279</v>
      </c>
      <c r="C11540" t="s">
        <v>67</v>
      </c>
      <c r="D11540" t="s">
        <v>67</v>
      </c>
      <c r="E11540" t="s">
        <v>67</v>
      </c>
      <c r="F11540" t="s">
        <v>27987</v>
      </c>
      <c r="G11540" s="117">
        <v>143.69999999999999</v>
      </c>
    </row>
    <row r="11541" spans="1:7" x14ac:dyDescent="0.25">
      <c r="A11541" s="116" t="s">
        <v>18306</v>
      </c>
      <c r="B11541" s="117" t="s">
        <v>18307</v>
      </c>
      <c r="C11541" t="s">
        <v>67</v>
      </c>
      <c r="D11541" t="s">
        <v>67</v>
      </c>
      <c r="E11541" t="s">
        <v>67</v>
      </c>
      <c r="F11541" t="s">
        <v>27987</v>
      </c>
      <c r="G11541" s="117">
        <v>242.83</v>
      </c>
    </row>
    <row r="11542" spans="1:7" x14ac:dyDescent="0.25">
      <c r="A11542" s="116" t="s">
        <v>18308</v>
      </c>
      <c r="B11542" s="117" t="s">
        <v>18309</v>
      </c>
      <c r="C11542" t="s">
        <v>67</v>
      </c>
      <c r="D11542" t="s">
        <v>67</v>
      </c>
      <c r="E11542" t="s">
        <v>67</v>
      </c>
      <c r="F11542" t="s">
        <v>27987</v>
      </c>
      <c r="G11542" s="117">
        <v>158.30000000000001</v>
      </c>
    </row>
    <row r="11543" spans="1:7" x14ac:dyDescent="0.25">
      <c r="A11543" s="116" t="s">
        <v>18310</v>
      </c>
      <c r="B11543" s="117" t="s">
        <v>18311</v>
      </c>
      <c r="C11543" t="s">
        <v>67</v>
      </c>
      <c r="D11543" t="s">
        <v>67</v>
      </c>
      <c r="E11543" t="s">
        <v>67</v>
      </c>
      <c r="F11543" t="s">
        <v>27987</v>
      </c>
      <c r="G11543" s="117">
        <v>219.72</v>
      </c>
    </row>
    <row r="11544" spans="1:7" x14ac:dyDescent="0.25">
      <c r="A11544" s="116" t="s">
        <v>18312</v>
      </c>
      <c r="B11544" s="117" t="s">
        <v>18313</v>
      </c>
      <c r="C11544" t="s">
        <v>67</v>
      </c>
      <c r="D11544" t="s">
        <v>67</v>
      </c>
      <c r="E11544" t="s">
        <v>67</v>
      </c>
      <c r="F11544" t="s">
        <v>27987</v>
      </c>
      <c r="G11544" s="117">
        <v>230.38</v>
      </c>
    </row>
    <row r="11545" spans="1:7" x14ac:dyDescent="0.25">
      <c r="A11545" s="116" t="s">
        <v>18314</v>
      </c>
      <c r="B11545" s="117" t="s">
        <v>18315</v>
      </c>
      <c r="C11545" t="s">
        <v>67</v>
      </c>
      <c r="D11545" t="s">
        <v>67</v>
      </c>
      <c r="E11545" t="s">
        <v>67</v>
      </c>
      <c r="F11545" t="s">
        <v>27987</v>
      </c>
      <c r="G11545" s="117">
        <v>254.05</v>
      </c>
    </row>
    <row r="11546" spans="1:7" x14ac:dyDescent="0.25">
      <c r="A11546" s="116" t="s">
        <v>18316</v>
      </c>
      <c r="B11546" s="117" t="s">
        <v>18317</v>
      </c>
      <c r="C11546" t="s">
        <v>67</v>
      </c>
      <c r="D11546" t="s">
        <v>67</v>
      </c>
      <c r="E11546" t="s">
        <v>67</v>
      </c>
      <c r="F11546" t="s">
        <v>49</v>
      </c>
      <c r="G11546" s="117">
        <v>247.82</v>
      </c>
    </row>
    <row r="11547" spans="1:7" x14ac:dyDescent="0.25">
      <c r="A11547" s="116" t="s">
        <v>18318</v>
      </c>
      <c r="B11547" s="117" t="s">
        <v>18279</v>
      </c>
      <c r="C11547" t="s">
        <v>67</v>
      </c>
      <c r="D11547" t="s">
        <v>67</v>
      </c>
      <c r="E11547" t="s">
        <v>67</v>
      </c>
      <c r="F11547" t="s">
        <v>27987</v>
      </c>
      <c r="G11547" s="117">
        <v>127.69</v>
      </c>
    </row>
    <row r="11548" spans="1:7" x14ac:dyDescent="0.25">
      <c r="A11548" s="116" t="s">
        <v>18319</v>
      </c>
      <c r="B11548" s="117" t="s">
        <v>18320</v>
      </c>
      <c r="C11548" t="s">
        <v>67</v>
      </c>
      <c r="D11548" t="s">
        <v>67</v>
      </c>
      <c r="E11548" t="s">
        <v>67</v>
      </c>
      <c r="F11548" t="s">
        <v>49</v>
      </c>
      <c r="G11548" s="117">
        <v>91.2</v>
      </c>
    </row>
    <row r="11549" spans="1:7" x14ac:dyDescent="0.25">
      <c r="A11549" s="116" t="s">
        <v>18321</v>
      </c>
      <c r="B11549" s="117" t="s">
        <v>18322</v>
      </c>
      <c r="C11549" t="s">
        <v>67</v>
      </c>
      <c r="D11549" t="s">
        <v>67</v>
      </c>
      <c r="E11549" t="s">
        <v>67</v>
      </c>
      <c r="F11549" t="s">
        <v>27987</v>
      </c>
      <c r="G11549" s="117">
        <v>108.12</v>
      </c>
    </row>
    <row r="11550" spans="1:7" x14ac:dyDescent="0.25">
      <c r="A11550" s="116" t="s">
        <v>18323</v>
      </c>
      <c r="B11550" s="117" t="s">
        <v>18324</v>
      </c>
      <c r="C11550" t="s">
        <v>67</v>
      </c>
      <c r="D11550" t="s">
        <v>67</v>
      </c>
      <c r="E11550" t="s">
        <v>67</v>
      </c>
      <c r="F11550" t="s">
        <v>27987</v>
      </c>
      <c r="G11550" s="117">
        <v>118.26</v>
      </c>
    </row>
    <row r="11551" spans="1:7" x14ac:dyDescent="0.25">
      <c r="A11551" s="116" t="s">
        <v>18325</v>
      </c>
      <c r="B11551" s="117" t="s">
        <v>18326</v>
      </c>
      <c r="C11551" t="s">
        <v>67</v>
      </c>
      <c r="D11551" t="s">
        <v>67</v>
      </c>
      <c r="E11551" t="s">
        <v>67</v>
      </c>
      <c r="F11551" t="s">
        <v>27987</v>
      </c>
      <c r="G11551" s="117">
        <v>99.57</v>
      </c>
    </row>
    <row r="11552" spans="1:7" x14ac:dyDescent="0.25">
      <c r="A11552" s="116" t="s">
        <v>29310</v>
      </c>
      <c r="B11552" s="117" t="s">
        <v>29311</v>
      </c>
      <c r="C11552" t="s">
        <v>67</v>
      </c>
      <c r="D11552" t="s">
        <v>67</v>
      </c>
      <c r="E11552" t="s">
        <v>67</v>
      </c>
      <c r="F11552" t="s">
        <v>45</v>
      </c>
      <c r="G11552" s="117">
        <v>0</v>
      </c>
    </row>
    <row r="11553" spans="1:7" x14ac:dyDescent="0.25">
      <c r="A11553" s="116" t="s">
        <v>18327</v>
      </c>
      <c r="B11553" s="117" t="s">
        <v>18328</v>
      </c>
      <c r="C11553" t="s">
        <v>67</v>
      </c>
      <c r="D11553" t="s">
        <v>67</v>
      </c>
      <c r="E11553" t="s">
        <v>67</v>
      </c>
      <c r="F11553" t="s">
        <v>27987</v>
      </c>
      <c r="G11553" s="117">
        <v>90.68</v>
      </c>
    </row>
    <row r="11554" spans="1:7" x14ac:dyDescent="0.25">
      <c r="A11554" s="116" t="s">
        <v>18329</v>
      </c>
      <c r="B11554" s="117" t="s">
        <v>18330</v>
      </c>
      <c r="C11554" t="s">
        <v>67</v>
      </c>
      <c r="D11554" t="s">
        <v>67</v>
      </c>
      <c r="E11554" t="s">
        <v>67</v>
      </c>
      <c r="F11554" t="s">
        <v>27987</v>
      </c>
      <c r="G11554" s="117">
        <v>279.86</v>
      </c>
    </row>
    <row r="11555" spans="1:7" x14ac:dyDescent="0.25">
      <c r="A11555" s="116" t="s">
        <v>18331</v>
      </c>
      <c r="B11555" s="117" t="s">
        <v>18332</v>
      </c>
      <c r="C11555" t="s">
        <v>67</v>
      </c>
      <c r="D11555" t="s">
        <v>67</v>
      </c>
      <c r="E11555" t="s">
        <v>67</v>
      </c>
      <c r="F11555" t="s">
        <v>45</v>
      </c>
      <c r="G11555" s="117">
        <v>186.42</v>
      </c>
    </row>
    <row r="11556" spans="1:7" x14ac:dyDescent="0.25">
      <c r="A11556" s="116" t="s">
        <v>18333</v>
      </c>
      <c r="B11556" s="117" t="s">
        <v>18334</v>
      </c>
      <c r="C11556" t="s">
        <v>67</v>
      </c>
      <c r="D11556" t="s">
        <v>67</v>
      </c>
      <c r="E11556" t="s">
        <v>67</v>
      </c>
      <c r="F11556" t="s">
        <v>27987</v>
      </c>
      <c r="G11556" s="117">
        <v>168.98</v>
      </c>
    </row>
    <row r="11557" spans="1:7" x14ac:dyDescent="0.25">
      <c r="A11557" s="116" t="s">
        <v>29312</v>
      </c>
      <c r="B11557" s="117" t="s">
        <v>30497</v>
      </c>
      <c r="C11557" t="s">
        <v>67</v>
      </c>
      <c r="D11557" t="s">
        <v>67</v>
      </c>
      <c r="E11557" t="s">
        <v>67</v>
      </c>
      <c r="F11557" t="s">
        <v>49</v>
      </c>
      <c r="G11557" s="117">
        <v>608</v>
      </c>
    </row>
    <row r="11558" spans="1:7" x14ac:dyDescent="0.25">
      <c r="A11558" s="116" t="s">
        <v>18335</v>
      </c>
      <c r="B11558" s="117" t="s">
        <v>29313</v>
      </c>
      <c r="C11558" t="s">
        <v>67</v>
      </c>
      <c r="D11558" t="s">
        <v>67</v>
      </c>
      <c r="E11558" t="s">
        <v>67</v>
      </c>
      <c r="F11558" t="s">
        <v>45</v>
      </c>
      <c r="G11558" s="117">
        <v>0</v>
      </c>
    </row>
    <row r="11559" spans="1:7" x14ac:dyDescent="0.25">
      <c r="A11559" s="116" t="s">
        <v>27487</v>
      </c>
      <c r="B11559" s="117" t="s">
        <v>18336</v>
      </c>
      <c r="C11559" t="s">
        <v>67</v>
      </c>
      <c r="D11559" t="s">
        <v>67</v>
      </c>
      <c r="E11559" t="s">
        <v>67</v>
      </c>
      <c r="F11559" t="s">
        <v>45</v>
      </c>
      <c r="G11559" s="117">
        <v>129.82</v>
      </c>
    </row>
    <row r="11560" spans="1:7" x14ac:dyDescent="0.25">
      <c r="A11560" s="116" t="s">
        <v>27488</v>
      </c>
      <c r="B11560" s="117" t="s">
        <v>18337</v>
      </c>
      <c r="C11560" t="s">
        <v>67</v>
      </c>
      <c r="D11560" t="s">
        <v>67</v>
      </c>
      <c r="E11560" t="s">
        <v>67</v>
      </c>
      <c r="F11560" t="s">
        <v>45</v>
      </c>
      <c r="G11560" s="117">
        <v>15.57</v>
      </c>
    </row>
    <row r="11561" spans="1:7" x14ac:dyDescent="0.25">
      <c r="A11561" s="116" t="s">
        <v>18338</v>
      </c>
      <c r="B11561" s="117" t="s">
        <v>18339</v>
      </c>
      <c r="C11561" t="s">
        <v>67</v>
      </c>
      <c r="D11561" t="s">
        <v>67</v>
      </c>
      <c r="E11561" t="s">
        <v>67</v>
      </c>
      <c r="F11561" t="s">
        <v>27987</v>
      </c>
      <c r="G11561" s="117">
        <v>21.26</v>
      </c>
    </row>
    <row r="11562" spans="1:7" x14ac:dyDescent="0.25">
      <c r="A11562" s="116" t="s">
        <v>18340</v>
      </c>
      <c r="B11562" s="117" t="s">
        <v>18341</v>
      </c>
      <c r="C11562" t="s">
        <v>67</v>
      </c>
      <c r="D11562" t="s">
        <v>67</v>
      </c>
      <c r="E11562" t="s">
        <v>67</v>
      </c>
      <c r="F11562" t="s">
        <v>27987</v>
      </c>
      <c r="G11562" s="117">
        <v>15.93</v>
      </c>
    </row>
    <row r="11563" spans="1:7" x14ac:dyDescent="0.25">
      <c r="A11563" s="116" t="s">
        <v>18342</v>
      </c>
      <c r="B11563" s="117" t="s">
        <v>18341</v>
      </c>
      <c r="C11563" t="s">
        <v>67</v>
      </c>
      <c r="D11563" t="s">
        <v>67</v>
      </c>
      <c r="E11563" t="s">
        <v>67</v>
      </c>
      <c r="F11563" t="s">
        <v>45</v>
      </c>
      <c r="G11563" s="117">
        <v>16.82</v>
      </c>
    </row>
    <row r="11564" spans="1:7" x14ac:dyDescent="0.25">
      <c r="A11564" s="116" t="s">
        <v>18343</v>
      </c>
      <c r="B11564" s="117" t="s">
        <v>18344</v>
      </c>
      <c r="C11564" t="s">
        <v>67</v>
      </c>
      <c r="D11564" t="s">
        <v>67</v>
      </c>
      <c r="E11564" t="s">
        <v>67</v>
      </c>
      <c r="F11564" t="s">
        <v>27987</v>
      </c>
      <c r="G11564" s="117">
        <v>23.05</v>
      </c>
    </row>
    <row r="11565" spans="1:7" x14ac:dyDescent="0.25">
      <c r="A11565" s="116" t="s">
        <v>18345</v>
      </c>
      <c r="B11565" s="117" t="s">
        <v>2445</v>
      </c>
      <c r="C11565" t="s">
        <v>67</v>
      </c>
      <c r="D11565" t="s">
        <v>67</v>
      </c>
      <c r="E11565" t="s">
        <v>67</v>
      </c>
      <c r="F11565" t="s">
        <v>27987</v>
      </c>
      <c r="G11565" s="117">
        <v>104.92</v>
      </c>
    </row>
    <row r="11566" spans="1:7" x14ac:dyDescent="0.25">
      <c r="A11566" s="116" t="s">
        <v>18346</v>
      </c>
      <c r="B11566" s="117" t="s">
        <v>18347</v>
      </c>
      <c r="C11566" t="s">
        <v>67</v>
      </c>
      <c r="D11566" t="s">
        <v>67</v>
      </c>
      <c r="E11566" t="s">
        <v>67</v>
      </c>
      <c r="F11566" t="s">
        <v>45</v>
      </c>
      <c r="G11566" s="117">
        <v>89.79</v>
      </c>
    </row>
    <row r="11567" spans="1:7" x14ac:dyDescent="0.25">
      <c r="A11567" s="116" t="s">
        <v>27489</v>
      </c>
      <c r="B11567" s="117" t="s">
        <v>18348</v>
      </c>
      <c r="C11567" t="s">
        <v>67</v>
      </c>
      <c r="D11567" t="s">
        <v>67</v>
      </c>
      <c r="E11567" t="s">
        <v>67</v>
      </c>
      <c r="F11567" t="s">
        <v>45</v>
      </c>
      <c r="G11567" s="117">
        <v>120.04</v>
      </c>
    </row>
    <row r="11568" spans="1:7" x14ac:dyDescent="0.25">
      <c r="A11568" s="116" t="s">
        <v>27490</v>
      </c>
      <c r="B11568" s="117" t="s">
        <v>18349</v>
      </c>
      <c r="C11568" t="s">
        <v>67</v>
      </c>
      <c r="D11568" t="s">
        <v>67</v>
      </c>
      <c r="E11568" t="s">
        <v>67</v>
      </c>
      <c r="F11568" t="s">
        <v>45</v>
      </c>
      <c r="G11568" s="117">
        <v>77.849999999999994</v>
      </c>
    </row>
    <row r="11569" spans="1:7" x14ac:dyDescent="0.25">
      <c r="A11569" s="116" t="s">
        <v>27491</v>
      </c>
      <c r="B11569" s="117" t="s">
        <v>18350</v>
      </c>
      <c r="C11569" t="s">
        <v>67</v>
      </c>
      <c r="D11569" t="s">
        <v>67</v>
      </c>
      <c r="E11569" t="s">
        <v>67</v>
      </c>
      <c r="F11569" t="s">
        <v>45</v>
      </c>
      <c r="G11569" s="117">
        <v>13.26</v>
      </c>
    </row>
    <row r="11570" spans="1:7" x14ac:dyDescent="0.25">
      <c r="A11570" s="116" t="s">
        <v>27492</v>
      </c>
      <c r="B11570" s="117" t="s">
        <v>18351</v>
      </c>
      <c r="C11570" t="s">
        <v>67</v>
      </c>
      <c r="D11570" t="s">
        <v>67</v>
      </c>
      <c r="E11570" t="s">
        <v>67</v>
      </c>
      <c r="F11570" t="s">
        <v>45</v>
      </c>
      <c r="G11570" s="117">
        <v>16.46</v>
      </c>
    </row>
    <row r="11571" spans="1:7" x14ac:dyDescent="0.25">
      <c r="A11571" s="116" t="s">
        <v>27493</v>
      </c>
      <c r="B11571" s="117" t="s">
        <v>18352</v>
      </c>
      <c r="C11571" t="s">
        <v>67</v>
      </c>
      <c r="D11571" t="s">
        <v>67</v>
      </c>
      <c r="E11571" t="s">
        <v>67</v>
      </c>
      <c r="F11571" t="s">
        <v>45</v>
      </c>
      <c r="G11571" s="117">
        <v>8.01</v>
      </c>
    </row>
    <row r="11572" spans="1:7" x14ac:dyDescent="0.25">
      <c r="A11572" s="116" t="s">
        <v>27494</v>
      </c>
      <c r="B11572" s="117" t="s">
        <v>18353</v>
      </c>
      <c r="C11572" t="s">
        <v>67</v>
      </c>
      <c r="D11572" t="s">
        <v>67</v>
      </c>
      <c r="E11572" t="s">
        <v>67</v>
      </c>
      <c r="F11572" t="s">
        <v>45</v>
      </c>
      <c r="G11572" s="117">
        <v>54.19</v>
      </c>
    </row>
    <row r="11573" spans="1:7" x14ac:dyDescent="0.25">
      <c r="A11573" s="116" t="s">
        <v>27495</v>
      </c>
      <c r="B11573" s="117" t="s">
        <v>29314</v>
      </c>
      <c r="C11573" t="s">
        <v>67</v>
      </c>
      <c r="D11573" t="s">
        <v>67</v>
      </c>
      <c r="E11573" t="s">
        <v>67</v>
      </c>
      <c r="F11573" t="s">
        <v>45</v>
      </c>
      <c r="G11573" s="117">
        <v>8.01</v>
      </c>
    </row>
    <row r="11574" spans="1:7" x14ac:dyDescent="0.25">
      <c r="A11574" s="116" t="s">
        <v>27496</v>
      </c>
      <c r="B11574" s="117" t="s">
        <v>18354</v>
      </c>
      <c r="C11574" t="s">
        <v>67</v>
      </c>
      <c r="D11574" t="s">
        <v>67</v>
      </c>
      <c r="E11574" t="s">
        <v>67</v>
      </c>
      <c r="F11574" t="s">
        <v>45</v>
      </c>
      <c r="G11574" s="117">
        <v>3.56</v>
      </c>
    </row>
    <row r="11575" spans="1:7" x14ac:dyDescent="0.25">
      <c r="A11575" s="116" t="s">
        <v>27497</v>
      </c>
      <c r="B11575" s="117" t="s">
        <v>18355</v>
      </c>
      <c r="C11575" t="s">
        <v>67</v>
      </c>
      <c r="D11575" t="s">
        <v>67</v>
      </c>
      <c r="E11575" t="s">
        <v>67</v>
      </c>
      <c r="F11575" t="s">
        <v>27987</v>
      </c>
      <c r="G11575" s="117">
        <v>134.81</v>
      </c>
    </row>
    <row r="11576" spans="1:7" x14ac:dyDescent="0.25">
      <c r="A11576" s="116" t="s">
        <v>27498</v>
      </c>
      <c r="B11576" s="117" t="s">
        <v>18356</v>
      </c>
      <c r="C11576" t="s">
        <v>67</v>
      </c>
      <c r="D11576" t="s">
        <v>67</v>
      </c>
      <c r="E11576" t="s">
        <v>67</v>
      </c>
      <c r="F11576" t="s">
        <v>45</v>
      </c>
      <c r="G11576" s="117">
        <v>13.26</v>
      </c>
    </row>
    <row r="11577" spans="1:7" x14ac:dyDescent="0.25">
      <c r="A11577" s="116" t="s">
        <v>18357</v>
      </c>
      <c r="B11577" s="117" t="s">
        <v>18358</v>
      </c>
      <c r="C11577" t="s">
        <v>67</v>
      </c>
      <c r="D11577" t="s">
        <v>67</v>
      </c>
      <c r="E11577" t="s">
        <v>67</v>
      </c>
      <c r="F11577" t="s">
        <v>45</v>
      </c>
      <c r="G11577" s="117">
        <v>60.06</v>
      </c>
    </row>
    <row r="11578" spans="1:7" x14ac:dyDescent="0.25">
      <c r="A11578" s="116" t="s">
        <v>18359</v>
      </c>
      <c r="B11578" s="117" t="s">
        <v>18360</v>
      </c>
      <c r="C11578" t="s">
        <v>67</v>
      </c>
      <c r="D11578" t="s">
        <v>67</v>
      </c>
      <c r="E11578" t="s">
        <v>67</v>
      </c>
      <c r="F11578" t="s">
        <v>27987</v>
      </c>
      <c r="G11578" s="117">
        <v>150</v>
      </c>
    </row>
    <row r="11579" spans="1:7" x14ac:dyDescent="0.25">
      <c r="A11579" s="116" t="s">
        <v>18361</v>
      </c>
      <c r="B11579" s="117" t="s">
        <v>18362</v>
      </c>
      <c r="C11579" t="s">
        <v>67</v>
      </c>
      <c r="D11579" t="s">
        <v>67</v>
      </c>
      <c r="E11579" t="s">
        <v>67</v>
      </c>
      <c r="F11579" t="s">
        <v>27987</v>
      </c>
      <c r="G11579" s="117">
        <v>84.44</v>
      </c>
    </row>
    <row r="11580" spans="1:7" x14ac:dyDescent="0.25">
      <c r="A11580" s="116" t="s">
        <v>18363</v>
      </c>
      <c r="B11580" s="117" t="s">
        <v>18364</v>
      </c>
      <c r="C11580" t="s">
        <v>67</v>
      </c>
      <c r="D11580" t="s">
        <v>67</v>
      </c>
      <c r="E11580" t="s">
        <v>67</v>
      </c>
      <c r="F11580" t="s">
        <v>27987</v>
      </c>
      <c r="G11580" s="117">
        <v>60.42</v>
      </c>
    </row>
    <row r="11581" spans="1:7" x14ac:dyDescent="0.25">
      <c r="A11581" s="116" t="s">
        <v>18365</v>
      </c>
      <c r="B11581" s="117" t="s">
        <v>18366</v>
      </c>
      <c r="C11581" t="s">
        <v>67</v>
      </c>
      <c r="D11581" t="s">
        <v>67</v>
      </c>
      <c r="E11581" t="s">
        <v>67</v>
      </c>
      <c r="F11581" t="s">
        <v>27987</v>
      </c>
      <c r="G11581" s="117">
        <v>54.19</v>
      </c>
    </row>
    <row r="11582" spans="1:7" x14ac:dyDescent="0.25">
      <c r="A11582" s="116" t="s">
        <v>18367</v>
      </c>
      <c r="B11582" s="117" t="s">
        <v>18368</v>
      </c>
      <c r="C11582" t="s">
        <v>67</v>
      </c>
      <c r="D11582" t="s">
        <v>67</v>
      </c>
      <c r="E11582" t="s">
        <v>67</v>
      </c>
      <c r="F11582" t="s">
        <v>45</v>
      </c>
      <c r="G11582" s="117">
        <v>60.06</v>
      </c>
    </row>
    <row r="11583" spans="1:7" x14ac:dyDescent="0.25">
      <c r="A11583" s="116" t="s">
        <v>29315</v>
      </c>
      <c r="B11583" s="117" t="s">
        <v>29316</v>
      </c>
      <c r="C11583" t="s">
        <v>67</v>
      </c>
      <c r="D11583" t="s">
        <v>67</v>
      </c>
      <c r="E11583" t="s">
        <v>67</v>
      </c>
      <c r="F11583" t="s">
        <v>45</v>
      </c>
      <c r="G11583" s="117">
        <v>9999</v>
      </c>
    </row>
    <row r="11584" spans="1:7" x14ac:dyDescent="0.25">
      <c r="A11584" s="116" t="s">
        <v>27499</v>
      </c>
      <c r="B11584" s="117" t="s">
        <v>8163</v>
      </c>
      <c r="C11584" t="s">
        <v>67</v>
      </c>
      <c r="D11584" t="s">
        <v>67</v>
      </c>
      <c r="E11584" t="s">
        <v>67</v>
      </c>
      <c r="F11584" t="s">
        <v>45</v>
      </c>
      <c r="G11584" s="117">
        <v>5.49</v>
      </c>
    </row>
    <row r="11585" spans="1:7" x14ac:dyDescent="0.25">
      <c r="A11585" s="116" t="s">
        <v>27500</v>
      </c>
      <c r="B11585" s="117" t="s">
        <v>18369</v>
      </c>
      <c r="C11585" t="s">
        <v>67</v>
      </c>
      <c r="D11585" t="s">
        <v>67</v>
      </c>
      <c r="E11585" t="s">
        <v>67</v>
      </c>
      <c r="F11585" t="s">
        <v>45</v>
      </c>
      <c r="G11585" s="117">
        <v>11.47</v>
      </c>
    </row>
    <row r="11586" spans="1:7" x14ac:dyDescent="0.25">
      <c r="A11586" s="116" t="s">
        <v>27501</v>
      </c>
      <c r="B11586" s="117" t="s">
        <v>18370</v>
      </c>
      <c r="C11586" t="s">
        <v>67</v>
      </c>
      <c r="D11586" t="s">
        <v>67</v>
      </c>
      <c r="E11586" t="s">
        <v>67</v>
      </c>
      <c r="F11586" t="s">
        <v>45</v>
      </c>
      <c r="G11586" s="117">
        <v>39.51</v>
      </c>
    </row>
    <row r="11587" spans="1:7" x14ac:dyDescent="0.25">
      <c r="A11587" s="116" t="s">
        <v>27502</v>
      </c>
      <c r="B11587" s="117" t="s">
        <v>18371</v>
      </c>
      <c r="C11587" t="s">
        <v>67</v>
      </c>
      <c r="D11587" t="s">
        <v>67</v>
      </c>
      <c r="E11587" t="s">
        <v>67</v>
      </c>
      <c r="F11587" t="s">
        <v>45</v>
      </c>
      <c r="G11587" s="117">
        <v>64.11</v>
      </c>
    </row>
    <row r="11588" spans="1:7" x14ac:dyDescent="0.25">
      <c r="A11588" s="116" t="s">
        <v>27503</v>
      </c>
      <c r="B11588" s="117" t="s">
        <v>18372</v>
      </c>
      <c r="C11588" t="s">
        <v>67</v>
      </c>
      <c r="D11588" t="s">
        <v>67</v>
      </c>
      <c r="E11588" t="s">
        <v>67</v>
      </c>
      <c r="F11588" t="s">
        <v>45</v>
      </c>
      <c r="G11588" s="117">
        <v>11.47</v>
      </c>
    </row>
    <row r="11589" spans="1:7" x14ac:dyDescent="0.25">
      <c r="A11589" s="116" t="s">
        <v>27504</v>
      </c>
      <c r="B11589" s="117" t="s">
        <v>18373</v>
      </c>
      <c r="C11589" t="s">
        <v>67</v>
      </c>
      <c r="D11589" t="s">
        <v>67</v>
      </c>
      <c r="E11589" t="s">
        <v>67</v>
      </c>
      <c r="F11589" t="s">
        <v>45</v>
      </c>
      <c r="G11589" s="117">
        <v>8.4499999999999993</v>
      </c>
    </row>
    <row r="11590" spans="1:7" x14ac:dyDescent="0.25">
      <c r="A11590" s="116" t="s">
        <v>27505</v>
      </c>
      <c r="B11590" s="117" t="s">
        <v>18374</v>
      </c>
      <c r="C11590" t="s">
        <v>67</v>
      </c>
      <c r="D11590" t="s">
        <v>67</v>
      </c>
      <c r="E11590" t="s">
        <v>67</v>
      </c>
      <c r="F11590" t="s">
        <v>45</v>
      </c>
      <c r="G11590" s="117">
        <v>6.84</v>
      </c>
    </row>
    <row r="11591" spans="1:7" x14ac:dyDescent="0.25">
      <c r="A11591" s="116" t="s">
        <v>27506</v>
      </c>
      <c r="B11591" s="117" t="s">
        <v>604</v>
      </c>
      <c r="C11591" t="s">
        <v>67</v>
      </c>
      <c r="D11591" t="s">
        <v>67</v>
      </c>
      <c r="E11591" t="s">
        <v>67</v>
      </c>
      <c r="F11591" t="s">
        <v>45</v>
      </c>
      <c r="G11591" s="117">
        <v>47.94</v>
      </c>
    </row>
    <row r="11592" spans="1:7" x14ac:dyDescent="0.25">
      <c r="A11592" s="116" t="s">
        <v>27507</v>
      </c>
      <c r="B11592" s="117" t="s">
        <v>18375</v>
      </c>
      <c r="C11592" t="s">
        <v>67</v>
      </c>
      <c r="D11592" t="s">
        <v>67</v>
      </c>
      <c r="E11592" t="s">
        <v>67</v>
      </c>
      <c r="F11592" t="s">
        <v>45</v>
      </c>
      <c r="G11592" s="117">
        <v>40.76</v>
      </c>
    </row>
    <row r="11593" spans="1:7" x14ac:dyDescent="0.25">
      <c r="A11593" s="116" t="s">
        <v>27508</v>
      </c>
      <c r="B11593" s="117" t="s">
        <v>18376</v>
      </c>
      <c r="C11593" t="s">
        <v>67</v>
      </c>
      <c r="D11593" t="s">
        <v>67</v>
      </c>
      <c r="E11593" t="s">
        <v>67</v>
      </c>
      <c r="F11593" t="s">
        <v>45</v>
      </c>
      <c r="G11593" s="117">
        <v>0</v>
      </c>
    </row>
    <row r="11594" spans="1:7" x14ac:dyDescent="0.25">
      <c r="A11594" s="116" t="s">
        <v>27509</v>
      </c>
      <c r="B11594" s="117" t="s">
        <v>18377</v>
      </c>
      <c r="C11594" t="s">
        <v>67</v>
      </c>
      <c r="D11594" t="s">
        <v>67</v>
      </c>
      <c r="E11594" t="s">
        <v>67</v>
      </c>
      <c r="F11594" t="s">
        <v>45</v>
      </c>
      <c r="G11594" s="117">
        <v>6.33</v>
      </c>
    </row>
    <row r="11595" spans="1:7" x14ac:dyDescent="0.25">
      <c r="A11595" s="116" t="s">
        <v>27510</v>
      </c>
      <c r="B11595" s="117" t="s">
        <v>184</v>
      </c>
      <c r="C11595" t="s">
        <v>67</v>
      </c>
      <c r="D11595" t="s">
        <v>67</v>
      </c>
      <c r="E11595" t="s">
        <v>67</v>
      </c>
      <c r="F11595" t="s">
        <v>45</v>
      </c>
      <c r="G11595" s="117">
        <v>2.5299999999999998</v>
      </c>
    </row>
    <row r="11596" spans="1:7" x14ac:dyDescent="0.25">
      <c r="A11596" s="116" t="s">
        <v>27511</v>
      </c>
      <c r="B11596" s="117" t="s">
        <v>18378</v>
      </c>
      <c r="C11596" t="s">
        <v>67</v>
      </c>
      <c r="D11596" t="s">
        <v>67</v>
      </c>
      <c r="E11596" t="s">
        <v>67</v>
      </c>
      <c r="F11596" t="s">
        <v>45</v>
      </c>
      <c r="G11596" s="117">
        <v>6</v>
      </c>
    </row>
    <row r="11597" spans="1:7" x14ac:dyDescent="0.25">
      <c r="A11597" s="116" t="s">
        <v>27512</v>
      </c>
      <c r="B11597" s="117" t="s">
        <v>9543</v>
      </c>
      <c r="C11597" t="s">
        <v>67</v>
      </c>
      <c r="D11597" t="s">
        <v>67</v>
      </c>
      <c r="E11597" t="s">
        <v>67</v>
      </c>
      <c r="F11597" t="s">
        <v>45</v>
      </c>
      <c r="G11597" s="117">
        <v>16.04</v>
      </c>
    </row>
    <row r="11598" spans="1:7" x14ac:dyDescent="0.25">
      <c r="A11598" s="116" t="s">
        <v>27513</v>
      </c>
      <c r="B11598" s="117" t="s">
        <v>18379</v>
      </c>
      <c r="C11598" t="s">
        <v>67</v>
      </c>
      <c r="D11598" t="s">
        <v>67</v>
      </c>
      <c r="E11598" t="s">
        <v>67</v>
      </c>
      <c r="F11598" t="s">
        <v>45</v>
      </c>
      <c r="G11598" s="117">
        <v>23.55</v>
      </c>
    </row>
    <row r="11599" spans="1:7" x14ac:dyDescent="0.25">
      <c r="A11599" s="116" t="s">
        <v>27514</v>
      </c>
      <c r="B11599" s="117" t="s">
        <v>18380</v>
      </c>
      <c r="C11599" t="s">
        <v>67</v>
      </c>
      <c r="D11599" t="s">
        <v>67</v>
      </c>
      <c r="E11599" t="s">
        <v>67</v>
      </c>
      <c r="F11599" t="s">
        <v>45</v>
      </c>
      <c r="G11599" s="117">
        <v>6.59</v>
      </c>
    </row>
    <row r="11600" spans="1:7" x14ac:dyDescent="0.25">
      <c r="A11600" s="116" t="s">
        <v>27515</v>
      </c>
      <c r="B11600" s="117" t="s">
        <v>18381</v>
      </c>
      <c r="C11600" t="s">
        <v>67</v>
      </c>
      <c r="D11600" t="s">
        <v>67</v>
      </c>
      <c r="E11600" t="s">
        <v>67</v>
      </c>
      <c r="F11600" t="s">
        <v>45</v>
      </c>
      <c r="G11600" s="117">
        <v>5.9</v>
      </c>
    </row>
    <row r="11601" spans="1:7" x14ac:dyDescent="0.25">
      <c r="A11601" s="116" t="s">
        <v>27516</v>
      </c>
      <c r="B11601" s="117" t="s">
        <v>18382</v>
      </c>
      <c r="C11601" t="s">
        <v>67</v>
      </c>
      <c r="D11601" t="s">
        <v>67</v>
      </c>
      <c r="E11601" t="s">
        <v>67</v>
      </c>
      <c r="F11601" t="s">
        <v>45</v>
      </c>
      <c r="G11601" s="117">
        <v>0</v>
      </c>
    </row>
    <row r="11602" spans="1:7" x14ac:dyDescent="0.25">
      <c r="A11602" s="116" t="s">
        <v>27517</v>
      </c>
      <c r="B11602" s="117" t="s">
        <v>18383</v>
      </c>
      <c r="C11602" t="s">
        <v>67</v>
      </c>
      <c r="D11602" t="s">
        <v>67</v>
      </c>
      <c r="E11602" t="s">
        <v>67</v>
      </c>
      <c r="F11602" t="s">
        <v>45</v>
      </c>
      <c r="G11602" s="117">
        <v>10.55</v>
      </c>
    </row>
    <row r="11603" spans="1:7" x14ac:dyDescent="0.25">
      <c r="A11603" s="116" t="s">
        <v>27518</v>
      </c>
      <c r="B11603" s="117" t="s">
        <v>18384</v>
      </c>
      <c r="C11603" t="s">
        <v>67</v>
      </c>
      <c r="D11603" t="s">
        <v>67</v>
      </c>
      <c r="E11603" t="s">
        <v>67</v>
      </c>
      <c r="F11603" t="s">
        <v>27987</v>
      </c>
      <c r="G11603" s="117">
        <v>15.45</v>
      </c>
    </row>
    <row r="11604" spans="1:7" x14ac:dyDescent="0.25">
      <c r="A11604" s="116" t="s">
        <v>27519</v>
      </c>
      <c r="B11604" s="117" t="s">
        <v>18385</v>
      </c>
      <c r="C11604" t="s">
        <v>67</v>
      </c>
      <c r="D11604" t="s">
        <v>67</v>
      </c>
      <c r="E11604" t="s">
        <v>67</v>
      </c>
      <c r="F11604" t="s">
        <v>45</v>
      </c>
      <c r="G11604" s="117">
        <v>10.39</v>
      </c>
    </row>
    <row r="11605" spans="1:7" x14ac:dyDescent="0.25">
      <c r="A11605" s="116" t="s">
        <v>27520</v>
      </c>
      <c r="B11605" s="117" t="s">
        <v>18386</v>
      </c>
      <c r="C11605" t="s">
        <v>67</v>
      </c>
      <c r="D11605" t="s">
        <v>67</v>
      </c>
      <c r="E11605" t="s">
        <v>67</v>
      </c>
      <c r="F11605" t="s">
        <v>45</v>
      </c>
      <c r="G11605" s="117">
        <v>208.08</v>
      </c>
    </row>
    <row r="11606" spans="1:7" x14ac:dyDescent="0.25">
      <c r="A11606" s="116" t="s">
        <v>27521</v>
      </c>
      <c r="B11606" s="117" t="s">
        <v>18387</v>
      </c>
      <c r="C11606" t="s">
        <v>67</v>
      </c>
      <c r="D11606" t="s">
        <v>67</v>
      </c>
      <c r="E11606" t="s">
        <v>67</v>
      </c>
      <c r="F11606" t="s">
        <v>27987</v>
      </c>
      <c r="G11606" s="117">
        <v>86.22</v>
      </c>
    </row>
    <row r="11607" spans="1:7" x14ac:dyDescent="0.25">
      <c r="A11607" s="116" t="s">
        <v>27522</v>
      </c>
      <c r="B11607" s="117" t="s">
        <v>18388</v>
      </c>
      <c r="C11607" t="s">
        <v>67</v>
      </c>
      <c r="D11607" t="s">
        <v>67</v>
      </c>
      <c r="E11607" t="s">
        <v>67</v>
      </c>
      <c r="F11607" t="s">
        <v>27987</v>
      </c>
      <c r="G11607" s="117">
        <v>282.19</v>
      </c>
    </row>
    <row r="11608" spans="1:7" x14ac:dyDescent="0.25">
      <c r="A11608" s="116" t="s">
        <v>27523</v>
      </c>
      <c r="B11608" s="117" t="s">
        <v>18389</v>
      </c>
      <c r="C11608" t="s">
        <v>67</v>
      </c>
      <c r="D11608" t="s">
        <v>67</v>
      </c>
      <c r="E11608" t="s">
        <v>67</v>
      </c>
      <c r="F11608" t="s">
        <v>45</v>
      </c>
      <c r="G11608" s="117">
        <v>377.74</v>
      </c>
    </row>
    <row r="11609" spans="1:7" x14ac:dyDescent="0.25">
      <c r="A11609" s="116" t="s">
        <v>27524</v>
      </c>
      <c r="B11609" s="117" t="s">
        <v>18390</v>
      </c>
      <c r="C11609" t="s">
        <v>67</v>
      </c>
      <c r="D11609" t="s">
        <v>67</v>
      </c>
      <c r="E11609" t="s">
        <v>67</v>
      </c>
      <c r="F11609" t="s">
        <v>45</v>
      </c>
      <c r="G11609" s="117">
        <v>322.92</v>
      </c>
    </row>
    <row r="11610" spans="1:7" x14ac:dyDescent="0.25">
      <c r="A11610" s="116" t="s">
        <v>27525</v>
      </c>
      <c r="B11610" s="117" t="s">
        <v>18391</v>
      </c>
      <c r="C11610" t="s">
        <v>67</v>
      </c>
      <c r="D11610" t="s">
        <v>67</v>
      </c>
      <c r="E11610" t="s">
        <v>67</v>
      </c>
      <c r="F11610" t="s">
        <v>45</v>
      </c>
      <c r="G11610" s="117">
        <v>10.55</v>
      </c>
    </row>
    <row r="11611" spans="1:7" x14ac:dyDescent="0.25">
      <c r="A11611" s="116" t="s">
        <v>29317</v>
      </c>
      <c r="B11611" s="117" t="s">
        <v>29318</v>
      </c>
      <c r="C11611" t="s">
        <v>67</v>
      </c>
      <c r="D11611" t="s">
        <v>67</v>
      </c>
      <c r="E11611" t="s">
        <v>67</v>
      </c>
      <c r="F11611" t="s">
        <v>45</v>
      </c>
      <c r="G11611" s="117">
        <v>0</v>
      </c>
    </row>
    <row r="11612" spans="1:7" x14ac:dyDescent="0.25">
      <c r="A11612" s="116" t="s">
        <v>27526</v>
      </c>
      <c r="B11612" s="117" t="s">
        <v>18392</v>
      </c>
      <c r="C11612" t="s">
        <v>67</v>
      </c>
      <c r="D11612" t="s">
        <v>67</v>
      </c>
      <c r="E11612" t="s">
        <v>67</v>
      </c>
      <c r="F11612" t="s">
        <v>45</v>
      </c>
      <c r="G11612" s="117">
        <v>53.3</v>
      </c>
    </row>
    <row r="11613" spans="1:7" x14ac:dyDescent="0.25">
      <c r="A11613" s="116" t="s">
        <v>29319</v>
      </c>
      <c r="B11613" s="117" t="s">
        <v>29320</v>
      </c>
      <c r="C11613" t="s">
        <v>67</v>
      </c>
      <c r="D11613" t="s">
        <v>67</v>
      </c>
      <c r="E11613" t="s">
        <v>67</v>
      </c>
      <c r="F11613" t="s">
        <v>45</v>
      </c>
      <c r="G11613" s="117">
        <v>0</v>
      </c>
    </row>
    <row r="11614" spans="1:7" x14ac:dyDescent="0.25">
      <c r="A11614" s="116" t="s">
        <v>29321</v>
      </c>
      <c r="B11614" s="117" t="s">
        <v>29320</v>
      </c>
      <c r="C11614" t="s">
        <v>67</v>
      </c>
      <c r="D11614" t="s">
        <v>67</v>
      </c>
      <c r="E11614" t="s">
        <v>67</v>
      </c>
      <c r="F11614" t="s">
        <v>45</v>
      </c>
      <c r="G11614" s="117">
        <v>0</v>
      </c>
    </row>
    <row r="11615" spans="1:7" x14ac:dyDescent="0.25">
      <c r="A11615" s="116" t="s">
        <v>27527</v>
      </c>
      <c r="B11615" s="117" t="s">
        <v>412</v>
      </c>
      <c r="C11615" t="s">
        <v>67</v>
      </c>
      <c r="D11615" t="s">
        <v>67</v>
      </c>
      <c r="E11615" t="s">
        <v>67</v>
      </c>
      <c r="F11615" t="s">
        <v>45</v>
      </c>
      <c r="G11615" s="117">
        <v>2.58</v>
      </c>
    </row>
    <row r="11616" spans="1:7" x14ac:dyDescent="0.25">
      <c r="A11616" s="116" t="s">
        <v>27528</v>
      </c>
      <c r="B11616" s="117" t="s">
        <v>18393</v>
      </c>
      <c r="C11616" t="s">
        <v>67</v>
      </c>
      <c r="D11616" t="s">
        <v>67</v>
      </c>
      <c r="E11616" t="s">
        <v>67</v>
      </c>
      <c r="F11616" t="s">
        <v>45</v>
      </c>
      <c r="G11616" s="117">
        <v>74.66</v>
      </c>
    </row>
    <row r="11617" spans="1:7" x14ac:dyDescent="0.25">
      <c r="A11617" s="116" t="s">
        <v>27529</v>
      </c>
      <c r="B11617" s="117" t="s">
        <v>18394</v>
      </c>
      <c r="C11617" t="s">
        <v>67</v>
      </c>
      <c r="D11617" t="s">
        <v>67</v>
      </c>
      <c r="E11617" t="s">
        <v>67</v>
      </c>
      <c r="F11617" t="s">
        <v>45</v>
      </c>
      <c r="G11617" s="117">
        <v>124.13</v>
      </c>
    </row>
    <row r="11618" spans="1:7" x14ac:dyDescent="0.25">
      <c r="A11618" s="116" t="s">
        <v>27530</v>
      </c>
      <c r="B11618" s="117" t="s">
        <v>18383</v>
      </c>
      <c r="C11618" t="s">
        <v>67</v>
      </c>
      <c r="D11618" t="s">
        <v>67</v>
      </c>
      <c r="E11618" t="s">
        <v>67</v>
      </c>
      <c r="F11618" t="s">
        <v>45</v>
      </c>
      <c r="G11618" s="117">
        <v>4.8899999999999997</v>
      </c>
    </row>
    <row r="11619" spans="1:7" x14ac:dyDescent="0.25">
      <c r="A11619" s="116" t="s">
        <v>27531</v>
      </c>
      <c r="B11619" s="117" t="s">
        <v>18395</v>
      </c>
      <c r="C11619" t="s">
        <v>67</v>
      </c>
      <c r="D11619" t="s">
        <v>67</v>
      </c>
      <c r="E11619" t="s">
        <v>67</v>
      </c>
      <c r="F11619" t="s">
        <v>27987</v>
      </c>
      <c r="G11619" s="117">
        <v>41.74</v>
      </c>
    </row>
    <row r="11620" spans="1:7" x14ac:dyDescent="0.25">
      <c r="A11620" s="116" t="s">
        <v>27532</v>
      </c>
      <c r="B11620" s="117" t="s">
        <v>13630</v>
      </c>
      <c r="C11620" t="s">
        <v>67</v>
      </c>
      <c r="D11620" t="s">
        <v>67</v>
      </c>
      <c r="E11620" t="s">
        <v>67</v>
      </c>
      <c r="F11620" t="s">
        <v>45</v>
      </c>
      <c r="G11620" s="117">
        <v>28.38</v>
      </c>
    </row>
    <row r="11621" spans="1:7" x14ac:dyDescent="0.25">
      <c r="A11621" s="116" t="s">
        <v>27533</v>
      </c>
      <c r="B11621" s="117" t="s">
        <v>18396</v>
      </c>
      <c r="C11621" t="s">
        <v>67</v>
      </c>
      <c r="D11621" t="s">
        <v>67</v>
      </c>
      <c r="E11621" t="s">
        <v>67</v>
      </c>
      <c r="F11621" t="s">
        <v>45</v>
      </c>
      <c r="G11621" s="117">
        <v>402.64</v>
      </c>
    </row>
    <row r="11622" spans="1:7" x14ac:dyDescent="0.25">
      <c r="A11622" s="116" t="s">
        <v>29322</v>
      </c>
      <c r="B11622" s="117" t="s">
        <v>29323</v>
      </c>
      <c r="C11622" t="s">
        <v>67</v>
      </c>
      <c r="D11622" t="s">
        <v>67</v>
      </c>
      <c r="E11622" t="s">
        <v>67</v>
      </c>
      <c r="F11622" t="s">
        <v>45</v>
      </c>
      <c r="G11622" s="117">
        <v>0</v>
      </c>
    </row>
    <row r="11623" spans="1:7" x14ac:dyDescent="0.25">
      <c r="A11623" s="116" t="s">
        <v>29324</v>
      </c>
      <c r="B11623" s="117" t="s">
        <v>29325</v>
      </c>
      <c r="C11623" t="s">
        <v>67</v>
      </c>
      <c r="D11623" t="s">
        <v>67</v>
      </c>
      <c r="E11623" t="s">
        <v>67</v>
      </c>
      <c r="F11623" t="s">
        <v>45</v>
      </c>
      <c r="G11623" s="117">
        <v>0</v>
      </c>
    </row>
    <row r="11624" spans="1:7" x14ac:dyDescent="0.25">
      <c r="A11624" s="116" t="s">
        <v>27534</v>
      </c>
      <c r="B11624" s="117" t="s">
        <v>18397</v>
      </c>
      <c r="C11624" t="s">
        <v>67</v>
      </c>
      <c r="D11624" t="s">
        <v>67</v>
      </c>
      <c r="E11624" t="s">
        <v>67</v>
      </c>
      <c r="F11624" t="s">
        <v>45</v>
      </c>
      <c r="G11624" s="117">
        <v>85.18</v>
      </c>
    </row>
    <row r="11625" spans="1:7" x14ac:dyDescent="0.25">
      <c r="A11625" s="116" t="s">
        <v>27535</v>
      </c>
      <c r="B11625" s="117" t="s">
        <v>18398</v>
      </c>
      <c r="C11625" t="s">
        <v>67</v>
      </c>
      <c r="D11625" t="s">
        <v>67</v>
      </c>
      <c r="E11625" t="s">
        <v>67</v>
      </c>
      <c r="F11625" t="s">
        <v>27987</v>
      </c>
      <c r="G11625" s="117">
        <v>35.880000000000003</v>
      </c>
    </row>
    <row r="11626" spans="1:7" x14ac:dyDescent="0.25">
      <c r="A11626" s="116" t="s">
        <v>18399</v>
      </c>
      <c r="B11626" s="117" t="s">
        <v>18400</v>
      </c>
      <c r="C11626" t="s">
        <v>67</v>
      </c>
      <c r="D11626" t="s">
        <v>67</v>
      </c>
      <c r="E11626" t="s">
        <v>67</v>
      </c>
      <c r="F11626" t="s">
        <v>45</v>
      </c>
      <c r="G11626" s="117">
        <v>241.94</v>
      </c>
    </row>
    <row r="11627" spans="1:7" x14ac:dyDescent="0.25">
      <c r="A11627" s="116" t="s">
        <v>18401</v>
      </c>
      <c r="B11627" s="117" t="s">
        <v>18402</v>
      </c>
      <c r="C11627" t="s">
        <v>67</v>
      </c>
      <c r="D11627" t="s">
        <v>67</v>
      </c>
      <c r="E11627" t="s">
        <v>67</v>
      </c>
      <c r="F11627" t="s">
        <v>45</v>
      </c>
      <c r="G11627" s="117">
        <v>103.13</v>
      </c>
    </row>
    <row r="11628" spans="1:7" x14ac:dyDescent="0.25">
      <c r="A11628" s="116" t="s">
        <v>18403</v>
      </c>
      <c r="B11628" s="117" t="s">
        <v>18279</v>
      </c>
      <c r="C11628" t="s">
        <v>67</v>
      </c>
      <c r="D11628" t="s">
        <v>67</v>
      </c>
      <c r="E11628" t="s">
        <v>67</v>
      </c>
      <c r="F11628" t="s">
        <v>45</v>
      </c>
      <c r="G11628" s="117">
        <v>98.68</v>
      </c>
    </row>
    <row r="11629" spans="1:7" x14ac:dyDescent="0.25">
      <c r="A11629" s="116" t="s">
        <v>27536</v>
      </c>
      <c r="B11629" s="117" t="s">
        <v>18404</v>
      </c>
      <c r="C11629" t="s">
        <v>67</v>
      </c>
      <c r="D11629" t="s">
        <v>67</v>
      </c>
      <c r="E11629" t="s">
        <v>67</v>
      </c>
      <c r="F11629" t="s">
        <v>45</v>
      </c>
      <c r="G11629" s="117">
        <v>11.8</v>
      </c>
    </row>
    <row r="11630" spans="1:7" x14ac:dyDescent="0.25">
      <c r="A11630" s="116" t="s">
        <v>29326</v>
      </c>
      <c r="B11630" s="117" t="s">
        <v>29327</v>
      </c>
      <c r="C11630" t="s">
        <v>67</v>
      </c>
      <c r="D11630" t="s">
        <v>67</v>
      </c>
      <c r="E11630" t="s">
        <v>67</v>
      </c>
      <c r="F11630" t="s">
        <v>45</v>
      </c>
      <c r="G11630" s="117">
        <v>0</v>
      </c>
    </row>
    <row r="11631" spans="1:7" x14ac:dyDescent="0.25">
      <c r="A11631" s="116" t="s">
        <v>27537</v>
      </c>
      <c r="B11631" s="117" t="s">
        <v>18405</v>
      </c>
      <c r="C11631" t="s">
        <v>67</v>
      </c>
      <c r="D11631" t="s">
        <v>67</v>
      </c>
      <c r="E11631" t="s">
        <v>67</v>
      </c>
      <c r="F11631" t="s">
        <v>45</v>
      </c>
      <c r="G11631" s="117">
        <v>96.75</v>
      </c>
    </row>
    <row r="11632" spans="1:7" x14ac:dyDescent="0.25">
      <c r="A11632" s="116" t="s">
        <v>27538</v>
      </c>
      <c r="B11632" s="117" t="s">
        <v>18406</v>
      </c>
      <c r="C11632" t="s">
        <v>67</v>
      </c>
      <c r="D11632" t="s">
        <v>67</v>
      </c>
      <c r="E11632" t="s">
        <v>67</v>
      </c>
      <c r="F11632" t="s">
        <v>45</v>
      </c>
      <c r="G11632" s="117">
        <v>0</v>
      </c>
    </row>
    <row r="11633" spans="1:7" x14ac:dyDescent="0.25">
      <c r="A11633" s="116" t="s">
        <v>18407</v>
      </c>
      <c r="B11633" s="117" t="s">
        <v>18408</v>
      </c>
      <c r="C11633" t="s">
        <v>67</v>
      </c>
      <c r="D11633" t="s">
        <v>67</v>
      </c>
      <c r="E11633" t="s">
        <v>67</v>
      </c>
      <c r="F11633" t="s">
        <v>27987</v>
      </c>
      <c r="G11633" s="117">
        <v>46.18</v>
      </c>
    </row>
    <row r="11634" spans="1:7" x14ac:dyDescent="0.25">
      <c r="A11634" s="116" t="s">
        <v>27539</v>
      </c>
      <c r="B11634" s="117" t="s">
        <v>18409</v>
      </c>
      <c r="C11634" t="s">
        <v>67</v>
      </c>
      <c r="D11634" t="s">
        <v>67</v>
      </c>
      <c r="E11634" t="s">
        <v>67</v>
      </c>
      <c r="F11634" t="s">
        <v>45</v>
      </c>
      <c r="G11634" s="117">
        <v>80.52</v>
      </c>
    </row>
    <row r="11635" spans="1:7" x14ac:dyDescent="0.25">
      <c r="A11635" s="116" t="s">
        <v>18410</v>
      </c>
      <c r="B11635" s="117" t="s">
        <v>18411</v>
      </c>
      <c r="C11635" t="s">
        <v>67</v>
      </c>
      <c r="D11635" t="s">
        <v>67</v>
      </c>
      <c r="E11635" t="s">
        <v>67</v>
      </c>
      <c r="F11635" t="s">
        <v>45</v>
      </c>
      <c r="G11635" s="117">
        <v>84.98</v>
      </c>
    </row>
    <row r="11636" spans="1:7" x14ac:dyDescent="0.25">
      <c r="A11636" s="116" t="s">
        <v>18412</v>
      </c>
      <c r="B11636" s="117" t="s">
        <v>18279</v>
      </c>
      <c r="C11636" t="s">
        <v>67</v>
      </c>
      <c r="D11636" t="s">
        <v>67</v>
      </c>
      <c r="E11636" t="s">
        <v>67</v>
      </c>
      <c r="F11636" t="s">
        <v>27987</v>
      </c>
      <c r="G11636" s="117">
        <v>67.540000000000006</v>
      </c>
    </row>
    <row r="11637" spans="1:7" x14ac:dyDescent="0.25">
      <c r="A11637" s="116" t="s">
        <v>18413</v>
      </c>
      <c r="B11637" s="117" t="s">
        <v>18279</v>
      </c>
      <c r="C11637" t="s">
        <v>67</v>
      </c>
      <c r="D11637" t="s">
        <v>67</v>
      </c>
      <c r="E11637" t="s">
        <v>67</v>
      </c>
      <c r="F11637" t="s">
        <v>27987</v>
      </c>
      <c r="G11637" s="117">
        <v>68.959999999999994</v>
      </c>
    </row>
    <row r="11638" spans="1:7" x14ac:dyDescent="0.25">
      <c r="A11638" s="116" t="s">
        <v>29328</v>
      </c>
      <c r="B11638" s="117" t="s">
        <v>18279</v>
      </c>
      <c r="C11638" t="s">
        <v>67</v>
      </c>
      <c r="D11638" t="s">
        <v>67</v>
      </c>
      <c r="E11638" t="s">
        <v>67</v>
      </c>
      <c r="F11638" t="s">
        <v>45</v>
      </c>
      <c r="G11638" s="117">
        <v>0</v>
      </c>
    </row>
    <row r="11639" spans="1:7" x14ac:dyDescent="0.25">
      <c r="A11639" s="116" t="s">
        <v>18414</v>
      </c>
      <c r="B11639" s="117" t="s">
        <v>18279</v>
      </c>
      <c r="C11639" t="s">
        <v>67</v>
      </c>
      <c r="D11639" t="s">
        <v>67</v>
      </c>
      <c r="E11639" t="s">
        <v>67</v>
      </c>
      <c r="F11639" t="s">
        <v>27987</v>
      </c>
      <c r="G11639" s="117">
        <v>61.31</v>
      </c>
    </row>
    <row r="11640" spans="1:7" x14ac:dyDescent="0.25">
      <c r="A11640" s="116" t="s">
        <v>18415</v>
      </c>
      <c r="B11640" s="117" t="s">
        <v>18416</v>
      </c>
      <c r="C11640" t="s">
        <v>67</v>
      </c>
      <c r="D11640" t="s">
        <v>67</v>
      </c>
      <c r="E11640" t="s">
        <v>67</v>
      </c>
      <c r="F11640" t="s">
        <v>45</v>
      </c>
      <c r="G11640" s="117">
        <v>41.38</v>
      </c>
    </row>
    <row r="11641" spans="1:7" x14ac:dyDescent="0.25">
      <c r="A11641" s="116" t="s">
        <v>18417</v>
      </c>
      <c r="B11641" s="117" t="s">
        <v>18418</v>
      </c>
      <c r="C11641" t="s">
        <v>67</v>
      </c>
      <c r="D11641" t="s">
        <v>67</v>
      </c>
      <c r="E11641" t="s">
        <v>67</v>
      </c>
      <c r="F11641" t="s">
        <v>27987</v>
      </c>
      <c r="G11641" s="117">
        <v>57.75</v>
      </c>
    </row>
    <row r="11642" spans="1:7" x14ac:dyDescent="0.25">
      <c r="A11642" s="116" t="s">
        <v>27540</v>
      </c>
      <c r="B11642" s="117" t="s">
        <v>18419</v>
      </c>
      <c r="C11642" t="s">
        <v>67</v>
      </c>
      <c r="D11642" t="s">
        <v>67</v>
      </c>
      <c r="E11642" t="s">
        <v>67</v>
      </c>
      <c r="F11642" t="s">
        <v>45</v>
      </c>
      <c r="G11642" s="117">
        <v>20.92</v>
      </c>
    </row>
    <row r="11643" spans="1:7" x14ac:dyDescent="0.25">
      <c r="A11643" s="116" t="s">
        <v>27541</v>
      </c>
      <c r="B11643" s="117" t="s">
        <v>18420</v>
      </c>
      <c r="C11643" t="s">
        <v>67</v>
      </c>
      <c r="D11643" t="s">
        <v>67</v>
      </c>
      <c r="E11643" t="s">
        <v>67</v>
      </c>
      <c r="F11643" t="s">
        <v>45</v>
      </c>
      <c r="G11643" s="117">
        <v>8.81</v>
      </c>
    </row>
    <row r="11644" spans="1:7" x14ac:dyDescent="0.25">
      <c r="A11644" s="116" t="s">
        <v>18421</v>
      </c>
      <c r="B11644" s="117" t="s">
        <v>18279</v>
      </c>
      <c r="C11644" t="s">
        <v>67</v>
      </c>
      <c r="D11644" t="s">
        <v>67</v>
      </c>
      <c r="E11644" t="s">
        <v>67</v>
      </c>
      <c r="F11644" t="s">
        <v>27987</v>
      </c>
      <c r="G11644" s="117">
        <v>62.74</v>
      </c>
    </row>
    <row r="11645" spans="1:7" x14ac:dyDescent="0.25">
      <c r="A11645" s="116" t="s">
        <v>18422</v>
      </c>
      <c r="B11645" s="117" t="s">
        <v>18423</v>
      </c>
      <c r="C11645" t="s">
        <v>67</v>
      </c>
      <c r="D11645" t="s">
        <v>67</v>
      </c>
      <c r="E11645" t="s">
        <v>67</v>
      </c>
      <c r="F11645" t="s">
        <v>45</v>
      </c>
      <c r="G11645" s="117">
        <v>52.06</v>
      </c>
    </row>
    <row r="11646" spans="1:7" x14ac:dyDescent="0.25">
      <c r="A11646" s="116" t="s">
        <v>18424</v>
      </c>
      <c r="B11646" s="117" t="s">
        <v>18425</v>
      </c>
      <c r="C11646" t="s">
        <v>67</v>
      </c>
      <c r="D11646" t="s">
        <v>67</v>
      </c>
      <c r="E11646" t="s">
        <v>67</v>
      </c>
      <c r="F11646" t="s">
        <v>27987</v>
      </c>
      <c r="G11646" s="117">
        <v>63.98</v>
      </c>
    </row>
    <row r="11647" spans="1:7" x14ac:dyDescent="0.25">
      <c r="A11647" s="116" t="s">
        <v>18426</v>
      </c>
      <c r="B11647" s="117" t="s">
        <v>18427</v>
      </c>
      <c r="C11647" t="s">
        <v>67</v>
      </c>
      <c r="D11647" t="s">
        <v>67</v>
      </c>
      <c r="E11647" t="s">
        <v>67</v>
      </c>
      <c r="F11647" t="s">
        <v>45</v>
      </c>
      <c r="G11647" s="117">
        <v>53.3</v>
      </c>
    </row>
    <row r="11648" spans="1:7" x14ac:dyDescent="0.25">
      <c r="A11648" s="116" t="s">
        <v>18428</v>
      </c>
      <c r="B11648" s="117" t="s">
        <v>18429</v>
      </c>
      <c r="C11648" t="s">
        <v>67</v>
      </c>
      <c r="D11648" t="s">
        <v>67</v>
      </c>
      <c r="E11648" t="s">
        <v>67</v>
      </c>
      <c r="F11648" t="s">
        <v>45</v>
      </c>
      <c r="G11648" s="117">
        <v>86</v>
      </c>
    </row>
    <row r="11649" spans="1:7" x14ac:dyDescent="0.25">
      <c r="A11649" s="116" t="s">
        <v>18430</v>
      </c>
      <c r="B11649" s="117" t="s">
        <v>18431</v>
      </c>
      <c r="C11649" t="s">
        <v>67</v>
      </c>
      <c r="D11649" t="s">
        <v>67</v>
      </c>
      <c r="E11649" t="s">
        <v>67</v>
      </c>
      <c r="F11649" t="s">
        <v>49</v>
      </c>
      <c r="G11649" s="117">
        <v>95.66</v>
      </c>
    </row>
    <row r="11650" spans="1:7" x14ac:dyDescent="0.25">
      <c r="A11650" s="116" t="s">
        <v>27542</v>
      </c>
      <c r="B11650" s="117" t="s">
        <v>18432</v>
      </c>
      <c r="C11650" t="s">
        <v>67</v>
      </c>
      <c r="D11650" t="s">
        <v>67</v>
      </c>
      <c r="E11650" t="s">
        <v>67</v>
      </c>
      <c r="F11650" t="s">
        <v>27987</v>
      </c>
      <c r="G11650" s="117">
        <v>344.76</v>
      </c>
    </row>
    <row r="11651" spans="1:7" x14ac:dyDescent="0.25">
      <c r="A11651" s="116" t="s">
        <v>18433</v>
      </c>
      <c r="B11651" s="117" t="s">
        <v>18434</v>
      </c>
      <c r="C11651" t="s">
        <v>67</v>
      </c>
      <c r="D11651" t="s">
        <v>67</v>
      </c>
      <c r="E11651" t="s">
        <v>67</v>
      </c>
      <c r="F11651" t="s">
        <v>45</v>
      </c>
      <c r="G11651" s="117">
        <v>69.86</v>
      </c>
    </row>
    <row r="11652" spans="1:7" x14ac:dyDescent="0.25">
      <c r="A11652" s="116" t="s">
        <v>18435</v>
      </c>
      <c r="B11652" s="117" t="s">
        <v>18436</v>
      </c>
      <c r="C11652" t="s">
        <v>67</v>
      </c>
      <c r="D11652" t="s">
        <v>67</v>
      </c>
      <c r="E11652" t="s">
        <v>67</v>
      </c>
      <c r="F11652" t="s">
        <v>27987</v>
      </c>
      <c r="G11652" s="117">
        <v>134.81</v>
      </c>
    </row>
    <row r="11653" spans="1:7" x14ac:dyDescent="0.25">
      <c r="A11653" s="116" t="s">
        <v>18437</v>
      </c>
      <c r="B11653" s="117" t="s">
        <v>18438</v>
      </c>
      <c r="C11653" t="s">
        <v>67</v>
      </c>
      <c r="D11653" t="s">
        <v>67</v>
      </c>
      <c r="E11653" t="s">
        <v>67</v>
      </c>
      <c r="F11653" t="s">
        <v>27987</v>
      </c>
      <c r="G11653" s="117">
        <v>51.17</v>
      </c>
    </row>
    <row r="11654" spans="1:7" x14ac:dyDescent="0.25">
      <c r="A11654" s="116" t="s">
        <v>18439</v>
      </c>
      <c r="B11654" s="117" t="s">
        <v>18279</v>
      </c>
      <c r="C11654" t="s">
        <v>67</v>
      </c>
      <c r="D11654" t="s">
        <v>67</v>
      </c>
      <c r="E11654" t="s">
        <v>67</v>
      </c>
      <c r="F11654" t="s">
        <v>27987</v>
      </c>
      <c r="G11654" s="117">
        <v>99.21</v>
      </c>
    </row>
    <row r="11655" spans="1:7" x14ac:dyDescent="0.25">
      <c r="A11655" s="116" t="s">
        <v>18440</v>
      </c>
      <c r="B11655" s="117" t="s">
        <v>18441</v>
      </c>
      <c r="C11655" t="s">
        <v>67</v>
      </c>
      <c r="D11655" t="s">
        <v>67</v>
      </c>
      <c r="E11655" t="s">
        <v>67</v>
      </c>
      <c r="F11655" t="s">
        <v>27987</v>
      </c>
      <c r="G11655" s="117">
        <v>109.89</v>
      </c>
    </row>
    <row r="11656" spans="1:7" x14ac:dyDescent="0.25">
      <c r="A11656" s="116" t="s">
        <v>18442</v>
      </c>
      <c r="B11656" s="117" t="s">
        <v>18443</v>
      </c>
      <c r="C11656" t="s">
        <v>67</v>
      </c>
      <c r="D11656" t="s">
        <v>67</v>
      </c>
      <c r="E11656" t="s">
        <v>67</v>
      </c>
      <c r="F11656" t="s">
        <v>27987</v>
      </c>
      <c r="G11656" s="117">
        <v>71.099999999999994</v>
      </c>
    </row>
    <row r="11657" spans="1:7" x14ac:dyDescent="0.25">
      <c r="A11657" s="116" t="s">
        <v>27543</v>
      </c>
      <c r="B11657" s="117" t="s">
        <v>18444</v>
      </c>
      <c r="C11657" t="s">
        <v>67</v>
      </c>
      <c r="D11657" t="s">
        <v>67</v>
      </c>
      <c r="E11657" t="s">
        <v>67</v>
      </c>
      <c r="F11657" t="s">
        <v>27987</v>
      </c>
      <c r="G11657" s="117">
        <v>92.32</v>
      </c>
    </row>
    <row r="11658" spans="1:7" x14ac:dyDescent="0.25">
      <c r="A11658" s="116" t="s">
        <v>18445</v>
      </c>
      <c r="B11658" s="117" t="s">
        <v>18446</v>
      </c>
      <c r="C11658" t="s">
        <v>67</v>
      </c>
      <c r="D11658" t="s">
        <v>67</v>
      </c>
      <c r="E11658" t="s">
        <v>67</v>
      </c>
      <c r="F11658" t="s">
        <v>27987</v>
      </c>
      <c r="G11658" s="117">
        <v>54.19</v>
      </c>
    </row>
    <row r="11659" spans="1:7" x14ac:dyDescent="0.25">
      <c r="A11659" s="116" t="s">
        <v>27544</v>
      </c>
      <c r="B11659" s="117" t="s">
        <v>18447</v>
      </c>
      <c r="C11659" t="s">
        <v>67</v>
      </c>
      <c r="D11659" t="s">
        <v>67</v>
      </c>
      <c r="E11659" t="s">
        <v>67</v>
      </c>
      <c r="F11659" t="s">
        <v>45</v>
      </c>
      <c r="G11659" s="117">
        <v>828.11</v>
      </c>
    </row>
    <row r="11660" spans="1:7" x14ac:dyDescent="0.25">
      <c r="A11660" s="116" t="s">
        <v>27545</v>
      </c>
      <c r="B11660" s="117" t="s">
        <v>3751</v>
      </c>
      <c r="C11660" t="s">
        <v>67</v>
      </c>
      <c r="D11660" t="s">
        <v>67</v>
      </c>
      <c r="E11660" t="s">
        <v>67</v>
      </c>
      <c r="F11660" t="s">
        <v>27987</v>
      </c>
      <c r="G11660" s="117">
        <v>292.14</v>
      </c>
    </row>
    <row r="11661" spans="1:7" x14ac:dyDescent="0.25">
      <c r="A11661" s="116" t="s">
        <v>27546</v>
      </c>
      <c r="B11661" s="117" t="s">
        <v>18448</v>
      </c>
      <c r="C11661" t="s">
        <v>67</v>
      </c>
      <c r="D11661" t="s">
        <v>67</v>
      </c>
      <c r="E11661" t="s">
        <v>67</v>
      </c>
      <c r="F11661" t="s">
        <v>27987</v>
      </c>
      <c r="G11661" s="117">
        <v>196.48</v>
      </c>
    </row>
    <row r="11662" spans="1:7" x14ac:dyDescent="0.25">
      <c r="A11662" s="116" t="s">
        <v>27547</v>
      </c>
      <c r="B11662" s="117" t="s">
        <v>18449</v>
      </c>
      <c r="C11662" t="s">
        <v>67</v>
      </c>
      <c r="D11662" t="s">
        <v>67</v>
      </c>
      <c r="E11662" t="s">
        <v>67</v>
      </c>
      <c r="F11662" t="s">
        <v>45</v>
      </c>
      <c r="G11662" s="117">
        <v>73.5</v>
      </c>
    </row>
    <row r="11663" spans="1:7" x14ac:dyDescent="0.25">
      <c r="A11663" s="116" t="s">
        <v>27548</v>
      </c>
      <c r="B11663" s="117" t="s">
        <v>18450</v>
      </c>
      <c r="C11663" t="s">
        <v>67</v>
      </c>
      <c r="D11663" t="s">
        <v>67</v>
      </c>
      <c r="E11663" t="s">
        <v>67</v>
      </c>
      <c r="F11663" t="s">
        <v>45</v>
      </c>
      <c r="G11663" s="117">
        <v>11.81</v>
      </c>
    </row>
    <row r="11664" spans="1:7" x14ac:dyDescent="0.25">
      <c r="A11664" s="116" t="s">
        <v>27549</v>
      </c>
      <c r="B11664" s="117" t="s">
        <v>18451</v>
      </c>
      <c r="C11664" t="s">
        <v>67</v>
      </c>
      <c r="D11664" t="s">
        <v>67</v>
      </c>
      <c r="E11664" t="s">
        <v>67</v>
      </c>
      <c r="F11664" t="s">
        <v>27987</v>
      </c>
      <c r="G11664" s="117">
        <v>143.97999999999999</v>
      </c>
    </row>
    <row r="11665" spans="1:7" x14ac:dyDescent="0.25">
      <c r="A11665" s="116" t="s">
        <v>27550</v>
      </c>
      <c r="B11665" s="117" t="s">
        <v>18452</v>
      </c>
      <c r="C11665" t="s">
        <v>67</v>
      </c>
      <c r="D11665" t="s">
        <v>67</v>
      </c>
      <c r="E11665" t="s">
        <v>67</v>
      </c>
      <c r="F11665" t="s">
        <v>45</v>
      </c>
      <c r="G11665" s="117">
        <v>182.72</v>
      </c>
    </row>
    <row r="11666" spans="1:7" x14ac:dyDescent="0.25">
      <c r="A11666" s="116" t="s">
        <v>27551</v>
      </c>
      <c r="B11666" s="117" t="s">
        <v>18453</v>
      </c>
      <c r="C11666" t="s">
        <v>67</v>
      </c>
      <c r="D11666" t="s">
        <v>67</v>
      </c>
      <c r="E11666" t="s">
        <v>67</v>
      </c>
      <c r="F11666" t="s">
        <v>45</v>
      </c>
      <c r="G11666" s="117">
        <v>404.84</v>
      </c>
    </row>
    <row r="11667" spans="1:7" x14ac:dyDescent="0.25">
      <c r="A11667" s="116" t="s">
        <v>27552</v>
      </c>
      <c r="B11667" s="117" t="s">
        <v>18454</v>
      </c>
      <c r="C11667" t="s">
        <v>67</v>
      </c>
      <c r="D11667" t="s">
        <v>67</v>
      </c>
      <c r="E11667" t="s">
        <v>67</v>
      </c>
      <c r="F11667" t="s">
        <v>45</v>
      </c>
      <c r="G11667" s="117">
        <v>80</v>
      </c>
    </row>
    <row r="11668" spans="1:7" x14ac:dyDescent="0.25">
      <c r="A11668" s="116" t="s">
        <v>27553</v>
      </c>
      <c r="B11668" s="117" t="s">
        <v>18455</v>
      </c>
      <c r="C11668" t="s">
        <v>67</v>
      </c>
      <c r="D11668" t="s">
        <v>67</v>
      </c>
      <c r="E11668" t="s">
        <v>67</v>
      </c>
      <c r="F11668" t="s">
        <v>45</v>
      </c>
      <c r="G11668" s="117">
        <v>174.71</v>
      </c>
    </row>
    <row r="11669" spans="1:7" x14ac:dyDescent="0.25">
      <c r="A11669" s="116" t="s">
        <v>27554</v>
      </c>
      <c r="B11669" s="117" t="s">
        <v>18456</v>
      </c>
      <c r="C11669" t="s">
        <v>67</v>
      </c>
      <c r="D11669" t="s">
        <v>67</v>
      </c>
      <c r="E11669" t="s">
        <v>67</v>
      </c>
      <c r="F11669" t="s">
        <v>45</v>
      </c>
      <c r="G11669" s="117">
        <v>174.71</v>
      </c>
    </row>
    <row r="11670" spans="1:7" x14ac:dyDescent="0.25">
      <c r="A11670" s="116" t="s">
        <v>27555</v>
      </c>
      <c r="B11670" s="117" t="s">
        <v>18457</v>
      </c>
      <c r="C11670" t="s">
        <v>67</v>
      </c>
      <c r="D11670" t="s">
        <v>67</v>
      </c>
      <c r="E11670" t="s">
        <v>67</v>
      </c>
      <c r="F11670" t="s">
        <v>45</v>
      </c>
      <c r="G11670" s="117">
        <v>152.83000000000001</v>
      </c>
    </row>
    <row r="11671" spans="1:7" x14ac:dyDescent="0.25">
      <c r="A11671" s="116" t="s">
        <v>27556</v>
      </c>
      <c r="B11671" s="117" t="s">
        <v>18458</v>
      </c>
      <c r="C11671" t="s">
        <v>67</v>
      </c>
      <c r="D11671" t="s">
        <v>67</v>
      </c>
      <c r="E11671" t="s">
        <v>67</v>
      </c>
      <c r="F11671" t="s">
        <v>45</v>
      </c>
      <c r="G11671" s="117">
        <v>94.59</v>
      </c>
    </row>
    <row r="11672" spans="1:7" x14ac:dyDescent="0.25">
      <c r="A11672" s="116" t="s">
        <v>27557</v>
      </c>
      <c r="B11672" s="117" t="s">
        <v>18459</v>
      </c>
      <c r="C11672" t="s">
        <v>67</v>
      </c>
      <c r="D11672" t="s">
        <v>67</v>
      </c>
      <c r="E11672" t="s">
        <v>67</v>
      </c>
      <c r="F11672" t="s">
        <v>45</v>
      </c>
      <c r="G11672" s="117">
        <v>192.89</v>
      </c>
    </row>
    <row r="11673" spans="1:7" x14ac:dyDescent="0.25">
      <c r="A11673" s="116" t="s">
        <v>27558</v>
      </c>
      <c r="B11673" s="117" t="s">
        <v>18460</v>
      </c>
      <c r="C11673" t="s">
        <v>67</v>
      </c>
      <c r="D11673" t="s">
        <v>67</v>
      </c>
      <c r="E11673" t="s">
        <v>67</v>
      </c>
      <c r="F11673" t="s">
        <v>27987</v>
      </c>
      <c r="G11673" s="117">
        <v>338.78</v>
      </c>
    </row>
    <row r="11674" spans="1:7" x14ac:dyDescent="0.25">
      <c r="A11674" s="116" t="s">
        <v>27559</v>
      </c>
      <c r="B11674" s="117" t="s">
        <v>18461</v>
      </c>
      <c r="C11674" t="s">
        <v>67</v>
      </c>
      <c r="D11674" t="s">
        <v>67</v>
      </c>
      <c r="E11674" t="s">
        <v>67</v>
      </c>
      <c r="F11674" t="s">
        <v>45</v>
      </c>
      <c r="G11674" s="117">
        <v>1193.68</v>
      </c>
    </row>
    <row r="11675" spans="1:7" x14ac:dyDescent="0.25">
      <c r="A11675" s="116" t="s">
        <v>27560</v>
      </c>
      <c r="B11675" s="117" t="s">
        <v>18462</v>
      </c>
      <c r="C11675" t="s">
        <v>67</v>
      </c>
      <c r="D11675" t="s">
        <v>67</v>
      </c>
      <c r="E11675" t="s">
        <v>67</v>
      </c>
      <c r="F11675" t="s">
        <v>45</v>
      </c>
      <c r="G11675" s="117">
        <v>608.55999999999995</v>
      </c>
    </row>
    <row r="11676" spans="1:7" x14ac:dyDescent="0.25">
      <c r="A11676" s="116" t="s">
        <v>27561</v>
      </c>
      <c r="B11676" s="117" t="s">
        <v>18463</v>
      </c>
      <c r="C11676" t="s">
        <v>67</v>
      </c>
      <c r="D11676" t="s">
        <v>67</v>
      </c>
      <c r="E11676" t="s">
        <v>67</v>
      </c>
      <c r="F11676" t="s">
        <v>45</v>
      </c>
      <c r="G11676" s="117">
        <v>182.72</v>
      </c>
    </row>
    <row r="11677" spans="1:7" x14ac:dyDescent="0.25">
      <c r="A11677" s="116" t="s">
        <v>27562</v>
      </c>
      <c r="B11677" s="117" t="s">
        <v>18464</v>
      </c>
      <c r="C11677" t="s">
        <v>67</v>
      </c>
      <c r="D11677" t="s">
        <v>67</v>
      </c>
      <c r="E11677" t="s">
        <v>67</v>
      </c>
      <c r="F11677" t="s">
        <v>45</v>
      </c>
      <c r="G11677" s="117">
        <v>298.83999999999997</v>
      </c>
    </row>
    <row r="11678" spans="1:7" x14ac:dyDescent="0.25">
      <c r="A11678" s="116" t="s">
        <v>27563</v>
      </c>
      <c r="B11678" s="117" t="s">
        <v>18465</v>
      </c>
      <c r="C11678" t="s">
        <v>67</v>
      </c>
      <c r="D11678" t="s">
        <v>67</v>
      </c>
      <c r="E11678" t="s">
        <v>67</v>
      </c>
      <c r="F11678" t="s">
        <v>45</v>
      </c>
      <c r="G11678" s="117">
        <v>103.56</v>
      </c>
    </row>
    <row r="11679" spans="1:7" x14ac:dyDescent="0.25">
      <c r="A11679" s="116" t="s">
        <v>27564</v>
      </c>
      <c r="B11679" s="117" t="s">
        <v>18466</v>
      </c>
      <c r="C11679" t="s">
        <v>67</v>
      </c>
      <c r="D11679" t="s">
        <v>67</v>
      </c>
      <c r="E11679" t="s">
        <v>67</v>
      </c>
      <c r="F11679" t="s">
        <v>45</v>
      </c>
      <c r="G11679" s="117">
        <v>229.36</v>
      </c>
    </row>
    <row r="11680" spans="1:7" x14ac:dyDescent="0.25">
      <c r="A11680" s="116" t="s">
        <v>27565</v>
      </c>
      <c r="B11680" s="117" t="s">
        <v>18467</v>
      </c>
      <c r="C11680" t="s">
        <v>67</v>
      </c>
      <c r="D11680" t="s">
        <v>67</v>
      </c>
      <c r="E11680" t="s">
        <v>67</v>
      </c>
      <c r="F11680" t="s">
        <v>45</v>
      </c>
      <c r="G11680" s="117">
        <v>366.04</v>
      </c>
    </row>
    <row r="11681" spans="1:7" x14ac:dyDescent="0.25">
      <c r="A11681" s="116" t="s">
        <v>27566</v>
      </c>
      <c r="B11681" s="117" t="s">
        <v>18468</v>
      </c>
      <c r="C11681" t="s">
        <v>67</v>
      </c>
      <c r="D11681" t="s">
        <v>67</v>
      </c>
      <c r="E11681" t="s">
        <v>67</v>
      </c>
      <c r="F11681" t="s">
        <v>45</v>
      </c>
      <c r="G11681" s="117">
        <v>338.78</v>
      </c>
    </row>
    <row r="11682" spans="1:7" x14ac:dyDescent="0.25">
      <c r="A11682" s="116" t="s">
        <v>27567</v>
      </c>
      <c r="B11682" s="117" t="s">
        <v>18469</v>
      </c>
      <c r="C11682" t="s">
        <v>67</v>
      </c>
      <c r="D11682" t="s">
        <v>67</v>
      </c>
      <c r="E11682" t="s">
        <v>67</v>
      </c>
      <c r="F11682" t="s">
        <v>45</v>
      </c>
      <c r="G11682" s="117">
        <v>243.83</v>
      </c>
    </row>
    <row r="11683" spans="1:7" x14ac:dyDescent="0.25">
      <c r="A11683" s="116" t="s">
        <v>27568</v>
      </c>
      <c r="B11683" s="117" t="s">
        <v>18462</v>
      </c>
      <c r="C11683" t="s">
        <v>67</v>
      </c>
      <c r="D11683" t="s">
        <v>67</v>
      </c>
      <c r="E11683" t="s">
        <v>67</v>
      </c>
      <c r="F11683" t="s">
        <v>27987</v>
      </c>
      <c r="G11683" s="117">
        <v>22.05</v>
      </c>
    </row>
    <row r="11684" spans="1:7" x14ac:dyDescent="0.25">
      <c r="A11684" s="116" t="s">
        <v>27569</v>
      </c>
      <c r="B11684" s="117" t="s">
        <v>18470</v>
      </c>
      <c r="C11684" t="s">
        <v>67</v>
      </c>
      <c r="D11684" t="s">
        <v>67</v>
      </c>
      <c r="E11684" t="s">
        <v>67</v>
      </c>
      <c r="F11684" t="s">
        <v>45</v>
      </c>
      <c r="G11684" s="117">
        <v>48.91</v>
      </c>
    </row>
    <row r="11685" spans="1:7" x14ac:dyDescent="0.25">
      <c r="A11685" s="116" t="s">
        <v>18471</v>
      </c>
      <c r="B11685" s="117" t="s">
        <v>18472</v>
      </c>
      <c r="C11685" t="s">
        <v>67</v>
      </c>
      <c r="D11685" t="s">
        <v>67</v>
      </c>
      <c r="E11685" t="s">
        <v>67</v>
      </c>
      <c r="F11685" t="s">
        <v>45</v>
      </c>
      <c r="G11685" s="117">
        <v>60.42</v>
      </c>
    </row>
    <row r="11686" spans="1:7" x14ac:dyDescent="0.25">
      <c r="A11686" s="116" t="s">
        <v>18473</v>
      </c>
      <c r="B11686" s="117" t="s">
        <v>18279</v>
      </c>
      <c r="C11686" t="s">
        <v>67</v>
      </c>
      <c r="D11686" t="s">
        <v>67</v>
      </c>
      <c r="E11686" t="s">
        <v>67</v>
      </c>
      <c r="F11686" t="s">
        <v>27987</v>
      </c>
      <c r="G11686" s="117">
        <v>92.99</v>
      </c>
    </row>
    <row r="11687" spans="1:7" x14ac:dyDescent="0.25">
      <c r="A11687" s="116" t="s">
        <v>18474</v>
      </c>
      <c r="B11687" s="117" t="s">
        <v>18475</v>
      </c>
      <c r="C11687" t="s">
        <v>67</v>
      </c>
      <c r="D11687" t="s">
        <v>67</v>
      </c>
      <c r="E11687" t="s">
        <v>67</v>
      </c>
      <c r="F11687" t="s">
        <v>27987</v>
      </c>
      <c r="G11687" s="117">
        <v>92.1</v>
      </c>
    </row>
    <row r="11688" spans="1:7" x14ac:dyDescent="0.25">
      <c r="A11688" s="116" t="s">
        <v>27570</v>
      </c>
      <c r="B11688" s="117" t="s">
        <v>18476</v>
      </c>
      <c r="C11688" t="s">
        <v>67</v>
      </c>
      <c r="D11688" t="s">
        <v>67</v>
      </c>
      <c r="E11688" t="s">
        <v>67</v>
      </c>
      <c r="F11688" t="s">
        <v>45</v>
      </c>
      <c r="G11688" s="117">
        <v>8.4499999999999993</v>
      </c>
    </row>
    <row r="11689" spans="1:7" x14ac:dyDescent="0.25">
      <c r="A11689" s="116" t="s">
        <v>18477</v>
      </c>
      <c r="B11689" s="117" t="s">
        <v>18478</v>
      </c>
      <c r="C11689" t="s">
        <v>67</v>
      </c>
      <c r="D11689" t="s">
        <v>67</v>
      </c>
      <c r="E11689" t="s">
        <v>67</v>
      </c>
      <c r="F11689" t="s">
        <v>49</v>
      </c>
      <c r="G11689" s="117">
        <v>77.86</v>
      </c>
    </row>
    <row r="11690" spans="1:7" x14ac:dyDescent="0.25">
      <c r="A11690" s="116" t="s">
        <v>18479</v>
      </c>
      <c r="B11690" s="117" t="s">
        <v>18480</v>
      </c>
      <c r="C11690" t="s">
        <v>67</v>
      </c>
      <c r="D11690" t="s">
        <v>67</v>
      </c>
      <c r="E11690" t="s">
        <v>67</v>
      </c>
      <c r="F11690" t="s">
        <v>27987</v>
      </c>
      <c r="G11690" s="117">
        <v>84.44</v>
      </c>
    </row>
    <row r="11691" spans="1:7" x14ac:dyDescent="0.25">
      <c r="A11691" s="116" t="s">
        <v>18481</v>
      </c>
      <c r="B11691" s="117" t="s">
        <v>18482</v>
      </c>
      <c r="C11691" t="s">
        <v>67</v>
      </c>
      <c r="D11691" t="s">
        <v>67</v>
      </c>
      <c r="E11691" t="s">
        <v>67</v>
      </c>
      <c r="F11691" t="s">
        <v>27987</v>
      </c>
      <c r="G11691" s="117">
        <v>78.209999999999994</v>
      </c>
    </row>
    <row r="11692" spans="1:7" x14ac:dyDescent="0.25">
      <c r="A11692" s="116" t="s">
        <v>18483</v>
      </c>
      <c r="B11692" s="117" t="s">
        <v>18484</v>
      </c>
      <c r="C11692" t="s">
        <v>67</v>
      </c>
      <c r="D11692" t="s">
        <v>67</v>
      </c>
      <c r="E11692" t="s">
        <v>67</v>
      </c>
      <c r="F11692" t="s">
        <v>27987</v>
      </c>
      <c r="G11692" s="117">
        <v>74.66</v>
      </c>
    </row>
    <row r="11693" spans="1:7" x14ac:dyDescent="0.25">
      <c r="A11693" s="116" t="s">
        <v>18485</v>
      </c>
      <c r="B11693" s="117" t="s">
        <v>18443</v>
      </c>
      <c r="C11693" t="s">
        <v>67</v>
      </c>
      <c r="D11693" t="s">
        <v>67</v>
      </c>
      <c r="E11693" t="s">
        <v>67</v>
      </c>
      <c r="F11693" t="s">
        <v>27987</v>
      </c>
      <c r="G11693" s="117">
        <v>84.08</v>
      </c>
    </row>
    <row r="11694" spans="1:7" x14ac:dyDescent="0.25">
      <c r="A11694" s="116" t="s">
        <v>18486</v>
      </c>
      <c r="B11694" s="117" t="s">
        <v>18487</v>
      </c>
      <c r="C11694" t="s">
        <v>67</v>
      </c>
      <c r="D11694" t="s">
        <v>67</v>
      </c>
      <c r="E11694" t="s">
        <v>67</v>
      </c>
      <c r="F11694" t="s">
        <v>45</v>
      </c>
      <c r="G11694" s="117">
        <v>66.3</v>
      </c>
    </row>
    <row r="11695" spans="1:7" x14ac:dyDescent="0.25">
      <c r="A11695" s="116" t="s">
        <v>18488</v>
      </c>
      <c r="B11695" s="117" t="s">
        <v>18489</v>
      </c>
      <c r="C11695" t="s">
        <v>67</v>
      </c>
      <c r="D11695" t="s">
        <v>67</v>
      </c>
      <c r="E11695" t="s">
        <v>67</v>
      </c>
      <c r="F11695" t="s">
        <v>45</v>
      </c>
      <c r="G11695" s="117">
        <v>83.2</v>
      </c>
    </row>
    <row r="11696" spans="1:7" x14ac:dyDescent="0.25">
      <c r="A11696" s="116" t="s">
        <v>18490</v>
      </c>
      <c r="B11696" s="117" t="s">
        <v>18491</v>
      </c>
      <c r="C11696" t="s">
        <v>67</v>
      </c>
      <c r="D11696" t="s">
        <v>67</v>
      </c>
      <c r="E11696" t="s">
        <v>67</v>
      </c>
      <c r="F11696" t="s">
        <v>27987</v>
      </c>
      <c r="G11696" s="117">
        <v>75.19</v>
      </c>
    </row>
    <row r="11697" spans="1:7" x14ac:dyDescent="0.25">
      <c r="A11697" s="116" t="s">
        <v>18492</v>
      </c>
      <c r="B11697" s="117" t="s">
        <v>18493</v>
      </c>
      <c r="C11697" t="s">
        <v>67</v>
      </c>
      <c r="D11697" t="s">
        <v>67</v>
      </c>
      <c r="E11697" t="s">
        <v>67</v>
      </c>
      <c r="F11697" t="s">
        <v>27987</v>
      </c>
      <c r="G11697" s="117">
        <v>91.2</v>
      </c>
    </row>
    <row r="11698" spans="1:7" x14ac:dyDescent="0.25">
      <c r="A11698" s="116" t="s">
        <v>18494</v>
      </c>
      <c r="B11698" s="117" t="s">
        <v>18495</v>
      </c>
      <c r="C11698" t="s">
        <v>67</v>
      </c>
      <c r="D11698" t="s">
        <v>67</v>
      </c>
      <c r="E11698" t="s">
        <v>67</v>
      </c>
      <c r="F11698" t="s">
        <v>27987</v>
      </c>
      <c r="G11698" s="117">
        <v>89.43</v>
      </c>
    </row>
    <row r="11699" spans="1:7" x14ac:dyDescent="0.25">
      <c r="A11699" s="116" t="s">
        <v>18496</v>
      </c>
      <c r="B11699" s="117" t="s">
        <v>18497</v>
      </c>
      <c r="C11699" t="s">
        <v>67</v>
      </c>
      <c r="D11699" t="s">
        <v>67</v>
      </c>
      <c r="E11699" t="s">
        <v>67</v>
      </c>
      <c r="F11699" t="s">
        <v>27987</v>
      </c>
      <c r="G11699" s="117">
        <v>90.32</v>
      </c>
    </row>
    <row r="11700" spans="1:7" x14ac:dyDescent="0.25">
      <c r="A11700" s="116" t="s">
        <v>18498</v>
      </c>
      <c r="B11700" s="117" t="s">
        <v>18499</v>
      </c>
      <c r="C11700" t="s">
        <v>67</v>
      </c>
      <c r="D11700" t="s">
        <v>67</v>
      </c>
      <c r="E11700" t="s">
        <v>67</v>
      </c>
      <c r="F11700" t="s">
        <v>45</v>
      </c>
      <c r="G11700" s="117">
        <v>70.739999999999995</v>
      </c>
    </row>
    <row r="11701" spans="1:7" x14ac:dyDescent="0.25">
      <c r="A11701" s="116" t="s">
        <v>18500</v>
      </c>
      <c r="B11701" s="117" t="s">
        <v>18438</v>
      </c>
      <c r="C11701" t="s">
        <v>67</v>
      </c>
      <c r="D11701" t="s">
        <v>67</v>
      </c>
      <c r="E11701" t="s">
        <v>67</v>
      </c>
      <c r="F11701" t="s">
        <v>49</v>
      </c>
      <c r="G11701" s="117">
        <v>44.05</v>
      </c>
    </row>
    <row r="11702" spans="1:7" x14ac:dyDescent="0.25">
      <c r="A11702" s="116" t="s">
        <v>18501</v>
      </c>
      <c r="B11702" s="117" t="s">
        <v>18487</v>
      </c>
      <c r="C11702" t="s">
        <v>67</v>
      </c>
      <c r="D11702" t="s">
        <v>67</v>
      </c>
      <c r="E11702" t="s">
        <v>67</v>
      </c>
      <c r="F11702" t="s">
        <v>27987</v>
      </c>
      <c r="G11702" s="117">
        <v>76.98</v>
      </c>
    </row>
    <row r="11703" spans="1:7" x14ac:dyDescent="0.25">
      <c r="A11703" s="116" t="s">
        <v>27571</v>
      </c>
      <c r="B11703" s="117" t="s">
        <v>18502</v>
      </c>
      <c r="C11703" t="s">
        <v>67</v>
      </c>
      <c r="D11703" t="s">
        <v>67</v>
      </c>
      <c r="E11703" t="s">
        <v>67</v>
      </c>
      <c r="F11703" t="s">
        <v>45</v>
      </c>
      <c r="G11703" s="117">
        <v>23.47</v>
      </c>
    </row>
    <row r="11704" spans="1:7" x14ac:dyDescent="0.25">
      <c r="A11704" s="116" t="s">
        <v>18503</v>
      </c>
      <c r="B11704" s="117" t="s">
        <v>18504</v>
      </c>
      <c r="C11704" t="s">
        <v>67</v>
      </c>
      <c r="D11704" t="s">
        <v>67</v>
      </c>
      <c r="E11704" t="s">
        <v>67</v>
      </c>
      <c r="F11704" t="s">
        <v>27987</v>
      </c>
      <c r="G11704" s="117">
        <v>57.39</v>
      </c>
    </row>
    <row r="11705" spans="1:7" x14ac:dyDescent="0.25">
      <c r="A11705" s="116" t="s">
        <v>18505</v>
      </c>
      <c r="B11705" s="117" t="s">
        <v>18506</v>
      </c>
      <c r="C11705" t="s">
        <v>67</v>
      </c>
      <c r="D11705" t="s">
        <v>67</v>
      </c>
      <c r="E11705" t="s">
        <v>67</v>
      </c>
      <c r="F11705" t="s">
        <v>27987</v>
      </c>
      <c r="G11705" s="117">
        <v>76</v>
      </c>
    </row>
    <row r="11706" spans="1:7" x14ac:dyDescent="0.25">
      <c r="A11706" s="116" t="s">
        <v>27572</v>
      </c>
      <c r="B11706" s="117" t="s">
        <v>18507</v>
      </c>
      <c r="C11706" t="s">
        <v>67</v>
      </c>
      <c r="D11706" t="s">
        <v>67</v>
      </c>
      <c r="E11706" t="s">
        <v>67</v>
      </c>
      <c r="F11706" t="s">
        <v>45</v>
      </c>
      <c r="G11706" s="117">
        <v>597.20000000000005</v>
      </c>
    </row>
    <row r="11707" spans="1:7" x14ac:dyDescent="0.25">
      <c r="A11707" s="116" t="s">
        <v>27573</v>
      </c>
      <c r="B11707" s="117" t="s">
        <v>18508</v>
      </c>
      <c r="C11707" t="s">
        <v>67</v>
      </c>
      <c r="D11707" t="s">
        <v>67</v>
      </c>
      <c r="E11707" t="s">
        <v>67</v>
      </c>
      <c r="F11707" t="s">
        <v>45</v>
      </c>
      <c r="G11707" s="117">
        <v>47.6</v>
      </c>
    </row>
    <row r="11708" spans="1:7" x14ac:dyDescent="0.25">
      <c r="A11708" s="116" t="s">
        <v>27574</v>
      </c>
      <c r="B11708" s="117" t="s">
        <v>18509</v>
      </c>
      <c r="C11708" t="s">
        <v>67</v>
      </c>
      <c r="D11708" t="s">
        <v>67</v>
      </c>
      <c r="E11708" t="s">
        <v>67</v>
      </c>
      <c r="F11708" t="s">
        <v>45</v>
      </c>
      <c r="G11708" s="117">
        <v>83.59</v>
      </c>
    </row>
    <row r="11709" spans="1:7" x14ac:dyDescent="0.25">
      <c r="A11709" s="116" t="s">
        <v>27575</v>
      </c>
      <c r="B11709" s="117" t="s">
        <v>18510</v>
      </c>
      <c r="C11709" t="s">
        <v>67</v>
      </c>
      <c r="D11709" t="s">
        <v>67</v>
      </c>
      <c r="E11709" t="s">
        <v>67</v>
      </c>
      <c r="F11709" t="s">
        <v>27987</v>
      </c>
      <c r="G11709" s="117">
        <v>52.5</v>
      </c>
    </row>
    <row r="11710" spans="1:7" x14ac:dyDescent="0.25">
      <c r="A11710" s="116" t="s">
        <v>27576</v>
      </c>
      <c r="B11710" s="117" t="s">
        <v>18511</v>
      </c>
      <c r="C11710" t="s">
        <v>67</v>
      </c>
      <c r="D11710" t="s">
        <v>67</v>
      </c>
      <c r="E11710" t="s">
        <v>67</v>
      </c>
      <c r="F11710" t="s">
        <v>45</v>
      </c>
      <c r="G11710" s="117">
        <v>632.84</v>
      </c>
    </row>
    <row r="11711" spans="1:7" x14ac:dyDescent="0.25">
      <c r="A11711" s="116" t="s">
        <v>27577</v>
      </c>
      <c r="B11711" s="117" t="s">
        <v>18512</v>
      </c>
      <c r="C11711" t="s">
        <v>67</v>
      </c>
      <c r="D11711" t="s">
        <v>67</v>
      </c>
      <c r="E11711" t="s">
        <v>67</v>
      </c>
      <c r="F11711" t="s">
        <v>27987</v>
      </c>
      <c r="G11711" s="117">
        <v>338.78</v>
      </c>
    </row>
    <row r="11712" spans="1:7" x14ac:dyDescent="0.25">
      <c r="A11712" s="116" t="s">
        <v>18513</v>
      </c>
      <c r="B11712" s="117" t="s">
        <v>18279</v>
      </c>
      <c r="C11712" t="s">
        <v>67</v>
      </c>
      <c r="D11712" t="s">
        <v>67</v>
      </c>
      <c r="E11712" t="s">
        <v>67</v>
      </c>
      <c r="F11712" t="s">
        <v>27987</v>
      </c>
      <c r="G11712" s="117">
        <v>177.88</v>
      </c>
    </row>
    <row r="11713" spans="1:7" x14ac:dyDescent="0.25">
      <c r="A11713" s="116" t="s">
        <v>18514</v>
      </c>
      <c r="B11713" s="117" t="s">
        <v>18515</v>
      </c>
      <c r="C11713" t="s">
        <v>67</v>
      </c>
      <c r="D11713" t="s">
        <v>67</v>
      </c>
      <c r="E11713" t="s">
        <v>67</v>
      </c>
      <c r="F11713" t="s">
        <v>45</v>
      </c>
      <c r="G11713" s="117">
        <v>348.37</v>
      </c>
    </row>
    <row r="11714" spans="1:7" x14ac:dyDescent="0.25">
      <c r="A11714" s="116" t="s">
        <v>18516</v>
      </c>
      <c r="B11714" s="117" t="s">
        <v>18517</v>
      </c>
      <c r="C11714" t="s">
        <v>67</v>
      </c>
      <c r="D11714" t="s">
        <v>67</v>
      </c>
      <c r="E11714" t="s">
        <v>67</v>
      </c>
      <c r="F11714" t="s">
        <v>27987</v>
      </c>
      <c r="G11714" s="117">
        <v>171.64</v>
      </c>
    </row>
    <row r="11715" spans="1:7" x14ac:dyDescent="0.25">
      <c r="A11715" s="116" t="s">
        <v>18518</v>
      </c>
      <c r="B11715" s="117" t="s">
        <v>18519</v>
      </c>
      <c r="C11715" t="s">
        <v>67</v>
      </c>
      <c r="D11715" t="s">
        <v>67</v>
      </c>
      <c r="E11715" t="s">
        <v>67</v>
      </c>
      <c r="F11715" t="s">
        <v>27987</v>
      </c>
      <c r="G11715" s="117">
        <v>119.14</v>
      </c>
    </row>
    <row r="11716" spans="1:7" x14ac:dyDescent="0.25">
      <c r="A11716" s="116" t="s">
        <v>29329</v>
      </c>
      <c r="B11716" s="117" t="s">
        <v>29330</v>
      </c>
      <c r="C11716" t="s">
        <v>67</v>
      </c>
      <c r="D11716" t="s">
        <v>67</v>
      </c>
      <c r="E11716" t="s">
        <v>67</v>
      </c>
      <c r="F11716" t="s">
        <v>45</v>
      </c>
      <c r="G11716" s="117">
        <v>0</v>
      </c>
    </row>
    <row r="11717" spans="1:7" x14ac:dyDescent="0.25">
      <c r="A11717" s="116" t="s">
        <v>18520</v>
      </c>
      <c r="B11717" s="117" t="s">
        <v>18521</v>
      </c>
      <c r="C11717" t="s">
        <v>67</v>
      </c>
      <c r="D11717" t="s">
        <v>67</v>
      </c>
      <c r="E11717" t="s">
        <v>67</v>
      </c>
      <c r="F11717" t="s">
        <v>27987</v>
      </c>
      <c r="G11717" s="117">
        <v>307.44</v>
      </c>
    </row>
    <row r="11718" spans="1:7" x14ac:dyDescent="0.25">
      <c r="A11718" s="116" t="s">
        <v>18522</v>
      </c>
      <c r="B11718" s="117" t="s">
        <v>18279</v>
      </c>
      <c r="C11718" t="s">
        <v>67</v>
      </c>
      <c r="D11718" t="s">
        <v>67</v>
      </c>
      <c r="E11718" t="s">
        <v>67</v>
      </c>
      <c r="F11718" t="s">
        <v>45</v>
      </c>
      <c r="G11718" s="117">
        <v>114.7</v>
      </c>
    </row>
    <row r="11719" spans="1:7" x14ac:dyDescent="0.25">
      <c r="A11719" s="116" t="s">
        <v>18523</v>
      </c>
      <c r="B11719" s="117" t="s">
        <v>18279</v>
      </c>
      <c r="C11719" t="s">
        <v>67</v>
      </c>
      <c r="D11719" t="s">
        <v>67</v>
      </c>
      <c r="E11719" t="s">
        <v>67</v>
      </c>
      <c r="F11719" t="s">
        <v>27987</v>
      </c>
      <c r="G11719" s="117">
        <v>129.82</v>
      </c>
    </row>
    <row r="11720" spans="1:7" x14ac:dyDescent="0.25">
      <c r="A11720" s="116" t="s">
        <v>18524</v>
      </c>
      <c r="B11720" s="117" t="s">
        <v>18525</v>
      </c>
      <c r="C11720" t="s">
        <v>67</v>
      </c>
      <c r="D11720" t="s">
        <v>67</v>
      </c>
      <c r="E11720" t="s">
        <v>67</v>
      </c>
      <c r="F11720" t="s">
        <v>27987</v>
      </c>
      <c r="G11720" s="117">
        <v>164.18</v>
      </c>
    </row>
    <row r="11721" spans="1:7" x14ac:dyDescent="0.25">
      <c r="A11721" s="116" t="s">
        <v>18526</v>
      </c>
      <c r="B11721" s="117" t="s">
        <v>18527</v>
      </c>
      <c r="C11721" t="s">
        <v>67</v>
      </c>
      <c r="D11721" t="s">
        <v>67</v>
      </c>
      <c r="E11721" t="s">
        <v>67</v>
      </c>
      <c r="F11721" t="s">
        <v>27987</v>
      </c>
      <c r="G11721" s="117">
        <v>146.38</v>
      </c>
    </row>
    <row r="11722" spans="1:7" x14ac:dyDescent="0.25">
      <c r="A11722" s="116" t="s">
        <v>18528</v>
      </c>
      <c r="B11722" s="117" t="s">
        <v>18529</v>
      </c>
      <c r="C11722" t="s">
        <v>67</v>
      </c>
      <c r="D11722" t="s">
        <v>67</v>
      </c>
      <c r="E11722" t="s">
        <v>67</v>
      </c>
      <c r="F11722" t="s">
        <v>49</v>
      </c>
      <c r="G11722" s="117">
        <v>114.7</v>
      </c>
    </row>
    <row r="11723" spans="1:7" x14ac:dyDescent="0.25">
      <c r="A11723" s="116" t="s">
        <v>18530</v>
      </c>
      <c r="B11723" s="117" t="s">
        <v>18531</v>
      </c>
      <c r="C11723" t="s">
        <v>67</v>
      </c>
      <c r="D11723" t="s">
        <v>67</v>
      </c>
      <c r="E11723" t="s">
        <v>67</v>
      </c>
      <c r="F11723" t="s">
        <v>27987</v>
      </c>
      <c r="G11723" s="117">
        <v>104.92</v>
      </c>
    </row>
    <row r="11724" spans="1:7" x14ac:dyDescent="0.25">
      <c r="A11724" s="116" t="s">
        <v>18532</v>
      </c>
      <c r="B11724" s="117" t="s">
        <v>18533</v>
      </c>
      <c r="C11724" t="s">
        <v>67</v>
      </c>
      <c r="D11724" t="s">
        <v>67</v>
      </c>
      <c r="E11724" t="s">
        <v>67</v>
      </c>
      <c r="F11724" t="s">
        <v>45</v>
      </c>
      <c r="G11724" s="117">
        <v>192.36</v>
      </c>
    </row>
    <row r="11725" spans="1:7" x14ac:dyDescent="0.25">
      <c r="A11725" s="116" t="s">
        <v>18534</v>
      </c>
      <c r="B11725" s="117" t="s">
        <v>18535</v>
      </c>
      <c r="C11725" t="s">
        <v>67</v>
      </c>
      <c r="D11725" t="s">
        <v>67</v>
      </c>
      <c r="E11725" t="s">
        <v>67</v>
      </c>
      <c r="F11725" t="s">
        <v>49</v>
      </c>
      <c r="G11725" s="117">
        <v>149.16999999999999</v>
      </c>
    </row>
    <row r="11726" spans="1:7" x14ac:dyDescent="0.25">
      <c r="A11726" s="116" t="s">
        <v>18536</v>
      </c>
      <c r="B11726" s="117" t="s">
        <v>18537</v>
      </c>
      <c r="C11726" t="s">
        <v>67</v>
      </c>
      <c r="D11726" t="s">
        <v>67</v>
      </c>
      <c r="E11726" t="s">
        <v>67</v>
      </c>
      <c r="F11726" t="s">
        <v>27987</v>
      </c>
      <c r="G11726" s="117">
        <v>125.38</v>
      </c>
    </row>
    <row r="11727" spans="1:7" x14ac:dyDescent="0.25">
      <c r="A11727" s="116" t="s">
        <v>18538</v>
      </c>
      <c r="B11727" s="117" t="s">
        <v>18539</v>
      </c>
      <c r="C11727" t="s">
        <v>67</v>
      </c>
      <c r="D11727" t="s">
        <v>67</v>
      </c>
      <c r="E11727" t="s">
        <v>67</v>
      </c>
      <c r="F11727" t="s">
        <v>45</v>
      </c>
      <c r="G11727" s="117">
        <v>106.33</v>
      </c>
    </row>
    <row r="11728" spans="1:7" x14ac:dyDescent="0.25">
      <c r="A11728" s="116" t="s">
        <v>18540</v>
      </c>
      <c r="B11728" s="117" t="s">
        <v>18541</v>
      </c>
      <c r="C11728" t="s">
        <v>67</v>
      </c>
      <c r="D11728" t="s">
        <v>67</v>
      </c>
      <c r="E11728" t="s">
        <v>67</v>
      </c>
      <c r="F11728" t="s">
        <v>27987</v>
      </c>
      <c r="G11728" s="117">
        <v>348.37</v>
      </c>
    </row>
    <row r="11729" spans="1:7" x14ac:dyDescent="0.25">
      <c r="A11729" s="116" t="s">
        <v>27578</v>
      </c>
      <c r="B11729" s="117" t="s">
        <v>18542</v>
      </c>
      <c r="C11729" t="s">
        <v>67</v>
      </c>
      <c r="D11729" t="s">
        <v>67</v>
      </c>
      <c r="E11729" t="s">
        <v>67</v>
      </c>
      <c r="F11729" t="s">
        <v>49</v>
      </c>
      <c r="G11729" s="117">
        <v>4.8899999999999997</v>
      </c>
    </row>
    <row r="11730" spans="1:7" x14ac:dyDescent="0.25">
      <c r="A11730" s="116" t="s">
        <v>27579</v>
      </c>
      <c r="B11730" s="117" t="s">
        <v>18543</v>
      </c>
      <c r="C11730" t="s">
        <v>67</v>
      </c>
      <c r="D11730" t="s">
        <v>67</v>
      </c>
      <c r="E11730" t="s">
        <v>67</v>
      </c>
      <c r="F11730" t="s">
        <v>27987</v>
      </c>
      <c r="G11730" s="117">
        <v>102.77</v>
      </c>
    </row>
    <row r="11731" spans="1:7" x14ac:dyDescent="0.25">
      <c r="A11731" s="116" t="s">
        <v>27580</v>
      </c>
      <c r="B11731" s="117" t="s">
        <v>18544</v>
      </c>
      <c r="C11731" t="s">
        <v>67</v>
      </c>
      <c r="D11731" t="s">
        <v>67</v>
      </c>
      <c r="E11731" t="s">
        <v>67</v>
      </c>
      <c r="F11731" t="s">
        <v>27987</v>
      </c>
      <c r="G11731" s="117">
        <v>20.92</v>
      </c>
    </row>
    <row r="11732" spans="1:7" x14ac:dyDescent="0.25">
      <c r="A11732" s="116" t="s">
        <v>27581</v>
      </c>
      <c r="B11732" s="117" t="s">
        <v>18545</v>
      </c>
      <c r="C11732" t="s">
        <v>67</v>
      </c>
      <c r="D11732" t="s">
        <v>67</v>
      </c>
      <c r="E11732" t="s">
        <v>67</v>
      </c>
      <c r="F11732" t="s">
        <v>45</v>
      </c>
      <c r="G11732" s="117">
        <v>6.91</v>
      </c>
    </row>
    <row r="11733" spans="1:7" x14ac:dyDescent="0.25">
      <c r="A11733" s="116" t="s">
        <v>27582</v>
      </c>
      <c r="B11733" s="117" t="s">
        <v>18546</v>
      </c>
      <c r="C11733" t="s">
        <v>67</v>
      </c>
      <c r="D11733" t="s">
        <v>67</v>
      </c>
      <c r="E11733" t="s">
        <v>67</v>
      </c>
      <c r="F11733" t="s">
        <v>45</v>
      </c>
      <c r="G11733" s="117">
        <v>80.52</v>
      </c>
    </row>
    <row r="11734" spans="1:7" x14ac:dyDescent="0.25">
      <c r="A11734" s="116" t="s">
        <v>27583</v>
      </c>
      <c r="B11734" s="117" t="s">
        <v>18547</v>
      </c>
      <c r="C11734" t="s">
        <v>67</v>
      </c>
      <c r="D11734" t="s">
        <v>67</v>
      </c>
      <c r="E11734" t="s">
        <v>67</v>
      </c>
      <c r="F11734" t="s">
        <v>45</v>
      </c>
      <c r="G11734" s="117">
        <v>0</v>
      </c>
    </row>
    <row r="11735" spans="1:7" x14ac:dyDescent="0.25">
      <c r="A11735" s="116" t="s">
        <v>27584</v>
      </c>
      <c r="B11735" s="117" t="s">
        <v>18548</v>
      </c>
      <c r="C11735" t="s">
        <v>67</v>
      </c>
      <c r="D11735" t="s">
        <v>67</v>
      </c>
      <c r="E11735" t="s">
        <v>67</v>
      </c>
      <c r="F11735" t="s">
        <v>45</v>
      </c>
      <c r="G11735" s="117">
        <v>283.42</v>
      </c>
    </row>
    <row r="11736" spans="1:7" x14ac:dyDescent="0.25">
      <c r="A11736" s="116" t="s">
        <v>27585</v>
      </c>
      <c r="B11736" s="117" t="s">
        <v>18549</v>
      </c>
      <c r="C11736" t="s">
        <v>67</v>
      </c>
      <c r="D11736" t="s">
        <v>67</v>
      </c>
      <c r="E11736" t="s">
        <v>67</v>
      </c>
      <c r="F11736" t="s">
        <v>27987</v>
      </c>
      <c r="G11736" s="117">
        <v>12.9</v>
      </c>
    </row>
    <row r="11737" spans="1:7" x14ac:dyDescent="0.25">
      <c r="A11737" s="116" t="s">
        <v>27586</v>
      </c>
      <c r="B11737" s="117" t="s">
        <v>18550</v>
      </c>
      <c r="C11737" t="s">
        <v>67</v>
      </c>
      <c r="D11737" t="s">
        <v>67</v>
      </c>
      <c r="E11737" t="s">
        <v>67</v>
      </c>
      <c r="F11737" t="s">
        <v>49</v>
      </c>
      <c r="G11737" s="117">
        <v>115.58</v>
      </c>
    </row>
    <row r="11738" spans="1:7" x14ac:dyDescent="0.25">
      <c r="A11738" s="116" t="s">
        <v>27587</v>
      </c>
      <c r="B11738" s="117" t="s">
        <v>2195</v>
      </c>
      <c r="C11738" t="s">
        <v>67</v>
      </c>
      <c r="D11738" t="s">
        <v>67</v>
      </c>
      <c r="E11738" t="s">
        <v>67</v>
      </c>
      <c r="F11738" t="s">
        <v>45</v>
      </c>
      <c r="G11738" s="117">
        <v>76.98</v>
      </c>
    </row>
    <row r="11739" spans="1:7" x14ac:dyDescent="0.25">
      <c r="A11739" s="116" t="s">
        <v>18551</v>
      </c>
      <c r="B11739" s="117" t="s">
        <v>18552</v>
      </c>
      <c r="C11739" t="s">
        <v>67</v>
      </c>
      <c r="D11739" t="s">
        <v>67</v>
      </c>
      <c r="E11739" t="s">
        <v>67</v>
      </c>
      <c r="F11739" t="s">
        <v>27987</v>
      </c>
      <c r="G11739" s="117">
        <v>84.44</v>
      </c>
    </row>
    <row r="11740" spans="1:7" x14ac:dyDescent="0.25">
      <c r="A11740" s="116" t="s">
        <v>30300</v>
      </c>
      <c r="B11740" s="117" t="s">
        <v>30301</v>
      </c>
      <c r="C11740" t="s">
        <v>67</v>
      </c>
      <c r="D11740" t="s">
        <v>67</v>
      </c>
      <c r="E11740" t="s">
        <v>67</v>
      </c>
      <c r="F11740" t="s">
        <v>45</v>
      </c>
      <c r="G11740" s="117">
        <v>9999</v>
      </c>
    </row>
    <row r="11741" spans="1:7" x14ac:dyDescent="0.25">
      <c r="A11741" s="116" t="s">
        <v>30205</v>
      </c>
      <c r="B11741" s="117" t="s">
        <v>12794</v>
      </c>
      <c r="C11741" t="s">
        <v>67</v>
      </c>
      <c r="D11741" t="s">
        <v>67</v>
      </c>
      <c r="E11741" t="s">
        <v>67</v>
      </c>
      <c r="F11741" t="s">
        <v>27987</v>
      </c>
      <c r="G11741" s="117">
        <v>1.6</v>
      </c>
    </row>
    <row r="11742" spans="1:7" x14ac:dyDescent="0.25">
      <c r="A11742" s="116" t="s">
        <v>30206</v>
      </c>
      <c r="B11742" s="117" t="s">
        <v>2109</v>
      </c>
      <c r="C11742" t="s">
        <v>67</v>
      </c>
      <c r="D11742" t="s">
        <v>67</v>
      </c>
      <c r="E11742" t="s">
        <v>67</v>
      </c>
      <c r="F11742" t="s">
        <v>45</v>
      </c>
      <c r="G11742" s="117">
        <v>1.6</v>
      </c>
    </row>
    <row r="11743" spans="1:7" x14ac:dyDescent="0.25">
      <c r="A11743" s="116" t="s">
        <v>30302</v>
      </c>
      <c r="B11743" s="117" t="s">
        <v>30303</v>
      </c>
      <c r="C11743" t="s">
        <v>67</v>
      </c>
      <c r="D11743" t="s">
        <v>67</v>
      </c>
      <c r="E11743" t="s">
        <v>67</v>
      </c>
      <c r="F11743" t="s">
        <v>27987</v>
      </c>
      <c r="G11743" s="117">
        <v>9999</v>
      </c>
    </row>
    <row r="11744" spans="1:7" x14ac:dyDescent="0.25">
      <c r="A11744" s="116" t="s">
        <v>30184</v>
      </c>
      <c r="B11744" s="117" t="s">
        <v>30498</v>
      </c>
      <c r="C11744" t="s">
        <v>67</v>
      </c>
      <c r="D11744" t="s">
        <v>67</v>
      </c>
      <c r="E11744" t="s">
        <v>67</v>
      </c>
      <c r="F11744" t="s">
        <v>45</v>
      </c>
      <c r="G11744" s="117">
        <v>19</v>
      </c>
    </row>
    <row r="11745" spans="1:7" x14ac:dyDescent="0.25">
      <c r="A11745" s="116" t="s">
        <v>30207</v>
      </c>
      <c r="B11745" s="117" t="s">
        <v>30499</v>
      </c>
      <c r="C11745" t="s">
        <v>67</v>
      </c>
      <c r="D11745" t="s">
        <v>67</v>
      </c>
      <c r="E11745" t="s">
        <v>67</v>
      </c>
      <c r="F11745" t="s">
        <v>45</v>
      </c>
      <c r="G11745" s="117">
        <v>1.5</v>
      </c>
    </row>
    <row r="11746" spans="1:7" x14ac:dyDescent="0.25">
      <c r="A11746" s="116" t="s">
        <v>30185</v>
      </c>
      <c r="B11746" s="117" t="s">
        <v>30500</v>
      </c>
      <c r="C11746" t="s">
        <v>67</v>
      </c>
      <c r="D11746" t="s">
        <v>67</v>
      </c>
      <c r="E11746" t="s">
        <v>67</v>
      </c>
      <c r="F11746" t="s">
        <v>45</v>
      </c>
      <c r="G11746" s="117">
        <v>8</v>
      </c>
    </row>
    <row r="11747" spans="1:7" x14ac:dyDescent="0.25">
      <c r="A11747" s="116" t="s">
        <v>28014</v>
      </c>
      <c r="B11747" s="117" t="s">
        <v>28015</v>
      </c>
      <c r="C11747" t="s">
        <v>67</v>
      </c>
      <c r="D11747" t="s">
        <v>67</v>
      </c>
      <c r="E11747" t="s">
        <v>67</v>
      </c>
      <c r="F11747" t="s">
        <v>27987</v>
      </c>
      <c r="G11747" s="117">
        <v>210.23</v>
      </c>
    </row>
    <row r="11748" spans="1:7" x14ac:dyDescent="0.25">
      <c r="A11748" s="116" t="s">
        <v>30304</v>
      </c>
      <c r="B11748" s="117" t="s">
        <v>30305</v>
      </c>
      <c r="C11748" t="s">
        <v>67</v>
      </c>
      <c r="D11748" t="s">
        <v>67</v>
      </c>
      <c r="E11748" t="s">
        <v>67</v>
      </c>
      <c r="F11748" t="s">
        <v>27987</v>
      </c>
      <c r="G11748" s="117">
        <v>9999</v>
      </c>
    </row>
    <row r="11749" spans="1:7" x14ac:dyDescent="0.25">
      <c r="A11749" s="116" t="s">
        <v>30208</v>
      </c>
      <c r="B11749" s="117" t="s">
        <v>30501</v>
      </c>
      <c r="C11749" t="s">
        <v>67</v>
      </c>
      <c r="D11749" t="s">
        <v>67</v>
      </c>
      <c r="E11749" t="s">
        <v>67</v>
      </c>
      <c r="F11749" t="s">
        <v>45</v>
      </c>
      <c r="G11749" s="117">
        <v>1.4</v>
      </c>
    </row>
    <row r="11750" spans="1:7" x14ac:dyDescent="0.25">
      <c r="A11750" s="116" t="s">
        <v>30218</v>
      </c>
      <c r="B11750" s="117" t="s">
        <v>30219</v>
      </c>
      <c r="C11750" t="s">
        <v>67</v>
      </c>
      <c r="D11750" t="s">
        <v>67</v>
      </c>
      <c r="E11750" t="s">
        <v>67</v>
      </c>
      <c r="F11750" t="s">
        <v>45</v>
      </c>
      <c r="G11750" s="117">
        <v>454.93</v>
      </c>
    </row>
    <row r="11751" spans="1:7" x14ac:dyDescent="0.25">
      <c r="A11751" s="116" t="s">
        <v>29331</v>
      </c>
      <c r="B11751" s="117" t="s">
        <v>29332</v>
      </c>
      <c r="C11751" t="s">
        <v>67</v>
      </c>
      <c r="D11751" t="s">
        <v>67</v>
      </c>
      <c r="E11751" t="s">
        <v>67</v>
      </c>
      <c r="F11751" t="s">
        <v>45</v>
      </c>
      <c r="G11751" s="117">
        <v>0</v>
      </c>
    </row>
    <row r="11752" spans="1:7" x14ac:dyDescent="0.25">
      <c r="A11752" s="116" t="s">
        <v>18553</v>
      </c>
      <c r="B11752" s="117" t="s">
        <v>17669</v>
      </c>
      <c r="C11752" t="s">
        <v>67</v>
      </c>
      <c r="D11752" t="s">
        <v>67</v>
      </c>
      <c r="E11752" t="s">
        <v>67</v>
      </c>
      <c r="F11752" t="s">
        <v>27987</v>
      </c>
      <c r="G11752" s="117">
        <v>126.26</v>
      </c>
    </row>
    <row r="11753" spans="1:7" x14ac:dyDescent="0.25">
      <c r="A11753" s="116" t="s">
        <v>18554</v>
      </c>
      <c r="B11753" s="117" t="s">
        <v>17669</v>
      </c>
      <c r="C11753" t="s">
        <v>67</v>
      </c>
      <c r="D11753" t="s">
        <v>67</v>
      </c>
      <c r="E11753" t="s">
        <v>67</v>
      </c>
      <c r="F11753" t="s">
        <v>45</v>
      </c>
      <c r="G11753" s="117">
        <v>119.68</v>
      </c>
    </row>
    <row r="11754" spans="1:7" x14ac:dyDescent="0.25">
      <c r="A11754" s="116" t="s">
        <v>18555</v>
      </c>
      <c r="B11754" s="117" t="s">
        <v>18556</v>
      </c>
      <c r="C11754" t="s">
        <v>67</v>
      </c>
      <c r="D11754" t="s">
        <v>67</v>
      </c>
      <c r="E11754" t="s">
        <v>67</v>
      </c>
      <c r="F11754" t="s">
        <v>45</v>
      </c>
      <c r="G11754" s="117">
        <v>118.8</v>
      </c>
    </row>
    <row r="11755" spans="1:7" x14ac:dyDescent="0.25">
      <c r="A11755" s="116" t="s">
        <v>18557</v>
      </c>
      <c r="B11755" s="117" t="s">
        <v>18558</v>
      </c>
      <c r="C11755" t="s">
        <v>67</v>
      </c>
      <c r="D11755" t="s">
        <v>67</v>
      </c>
      <c r="E11755" t="s">
        <v>67</v>
      </c>
      <c r="F11755" t="s">
        <v>27987</v>
      </c>
      <c r="G11755" s="117">
        <v>129.82</v>
      </c>
    </row>
    <row r="11756" spans="1:7" x14ac:dyDescent="0.25">
      <c r="A11756" s="116" t="s">
        <v>18559</v>
      </c>
      <c r="B11756" s="117" t="s">
        <v>18560</v>
      </c>
      <c r="C11756" t="s">
        <v>67</v>
      </c>
      <c r="D11756" t="s">
        <v>67</v>
      </c>
      <c r="E11756" t="s">
        <v>67</v>
      </c>
      <c r="F11756" t="s">
        <v>45</v>
      </c>
      <c r="G11756" s="117">
        <v>94.24</v>
      </c>
    </row>
    <row r="11757" spans="1:7" x14ac:dyDescent="0.25">
      <c r="A11757" s="116" t="s">
        <v>18561</v>
      </c>
      <c r="B11757" s="117" t="s">
        <v>18562</v>
      </c>
      <c r="C11757" t="s">
        <v>67</v>
      </c>
      <c r="D11757" t="s">
        <v>67</v>
      </c>
      <c r="E11757" t="s">
        <v>67</v>
      </c>
      <c r="F11757" t="s">
        <v>27987</v>
      </c>
      <c r="G11757" s="117">
        <v>107.58</v>
      </c>
    </row>
    <row r="11758" spans="1:7" x14ac:dyDescent="0.25">
      <c r="A11758" s="116" t="s">
        <v>18563</v>
      </c>
      <c r="B11758" s="117" t="s">
        <v>18564</v>
      </c>
      <c r="C11758" t="s">
        <v>67</v>
      </c>
      <c r="D11758" t="s">
        <v>67</v>
      </c>
      <c r="E11758" t="s">
        <v>67</v>
      </c>
      <c r="F11758" t="s">
        <v>27987</v>
      </c>
      <c r="G11758" s="117">
        <v>68.430000000000007</v>
      </c>
    </row>
    <row r="11759" spans="1:7" x14ac:dyDescent="0.25">
      <c r="A11759" s="116" t="s">
        <v>18565</v>
      </c>
      <c r="B11759" s="117" t="s">
        <v>17708</v>
      </c>
      <c r="C11759" t="s">
        <v>67</v>
      </c>
      <c r="D11759" t="s">
        <v>67</v>
      </c>
      <c r="E11759" t="s">
        <v>67</v>
      </c>
      <c r="F11759" t="s">
        <v>49</v>
      </c>
      <c r="G11759" s="117">
        <v>61.31</v>
      </c>
    </row>
    <row r="11760" spans="1:7" x14ac:dyDescent="0.25">
      <c r="A11760" s="116" t="s">
        <v>18566</v>
      </c>
      <c r="B11760" s="117" t="s">
        <v>17708</v>
      </c>
      <c r="C11760" t="s">
        <v>67</v>
      </c>
      <c r="D11760" t="s">
        <v>67</v>
      </c>
      <c r="E11760" t="s">
        <v>67</v>
      </c>
      <c r="F11760" t="s">
        <v>27987</v>
      </c>
      <c r="G11760" s="117">
        <v>67.540000000000006</v>
      </c>
    </row>
    <row r="11761" spans="1:7" x14ac:dyDescent="0.25">
      <c r="A11761" s="116" t="s">
        <v>18567</v>
      </c>
      <c r="B11761" s="117" t="s">
        <v>17721</v>
      </c>
      <c r="C11761" t="s">
        <v>67</v>
      </c>
      <c r="D11761" t="s">
        <v>67</v>
      </c>
      <c r="E11761" t="s">
        <v>67</v>
      </c>
      <c r="F11761" t="s">
        <v>45</v>
      </c>
      <c r="G11761" s="117">
        <v>289.64</v>
      </c>
    </row>
    <row r="11762" spans="1:7" x14ac:dyDescent="0.25">
      <c r="A11762" s="116" t="s">
        <v>18568</v>
      </c>
      <c r="B11762" s="117" t="s">
        <v>18569</v>
      </c>
      <c r="C11762" t="s">
        <v>67</v>
      </c>
      <c r="D11762" t="s">
        <v>67</v>
      </c>
      <c r="E11762" t="s">
        <v>67</v>
      </c>
      <c r="F11762" t="s">
        <v>27987</v>
      </c>
      <c r="G11762" s="117">
        <v>76.98</v>
      </c>
    </row>
    <row r="11763" spans="1:7" x14ac:dyDescent="0.25">
      <c r="A11763" s="116" t="s">
        <v>18570</v>
      </c>
      <c r="B11763" s="117" t="s">
        <v>18571</v>
      </c>
      <c r="C11763" t="s">
        <v>67</v>
      </c>
      <c r="D11763" t="s">
        <v>67</v>
      </c>
      <c r="E11763" t="s">
        <v>67</v>
      </c>
      <c r="F11763" t="s">
        <v>27987</v>
      </c>
      <c r="G11763" s="117">
        <v>58.64</v>
      </c>
    </row>
    <row r="11764" spans="1:7" x14ac:dyDescent="0.25">
      <c r="A11764" s="116" t="s">
        <v>18572</v>
      </c>
      <c r="B11764" s="117" t="s">
        <v>18573</v>
      </c>
      <c r="C11764" t="s">
        <v>67</v>
      </c>
      <c r="D11764" t="s">
        <v>67</v>
      </c>
      <c r="E11764" t="s">
        <v>67</v>
      </c>
      <c r="F11764" t="s">
        <v>45</v>
      </c>
      <c r="G11764" s="117">
        <v>189</v>
      </c>
    </row>
    <row r="11765" spans="1:7" x14ac:dyDescent="0.25">
      <c r="A11765" s="116" t="s">
        <v>18574</v>
      </c>
      <c r="B11765" s="117" t="s">
        <v>18575</v>
      </c>
      <c r="C11765" t="s">
        <v>67</v>
      </c>
      <c r="D11765" t="s">
        <v>67</v>
      </c>
      <c r="E11765" t="s">
        <v>67</v>
      </c>
      <c r="F11765" t="s">
        <v>45</v>
      </c>
      <c r="G11765" s="117">
        <v>123.24</v>
      </c>
    </row>
    <row r="11766" spans="1:7" x14ac:dyDescent="0.25">
      <c r="A11766" s="116" t="s">
        <v>18576</v>
      </c>
      <c r="B11766" s="117" t="s">
        <v>18577</v>
      </c>
      <c r="C11766" t="s">
        <v>67</v>
      </c>
      <c r="D11766" t="s">
        <v>67</v>
      </c>
      <c r="E11766" t="s">
        <v>67</v>
      </c>
      <c r="F11766" t="s">
        <v>27987</v>
      </c>
      <c r="G11766" s="117">
        <v>122.36</v>
      </c>
    </row>
    <row r="11767" spans="1:7" x14ac:dyDescent="0.25">
      <c r="A11767" s="116" t="s">
        <v>18578</v>
      </c>
      <c r="B11767" s="117" t="s">
        <v>18579</v>
      </c>
      <c r="C11767" t="s">
        <v>67</v>
      </c>
      <c r="D11767" t="s">
        <v>67</v>
      </c>
      <c r="E11767" t="s">
        <v>67</v>
      </c>
      <c r="F11767" t="s">
        <v>45</v>
      </c>
      <c r="G11767" s="117">
        <v>269.18</v>
      </c>
    </row>
    <row r="11768" spans="1:7" x14ac:dyDescent="0.25">
      <c r="A11768" s="116" t="s">
        <v>18580</v>
      </c>
      <c r="B11768" s="117" t="s">
        <v>17708</v>
      </c>
      <c r="C11768" t="s">
        <v>67</v>
      </c>
      <c r="D11768" t="s">
        <v>67</v>
      </c>
      <c r="E11768" t="s">
        <v>67</v>
      </c>
      <c r="F11768" t="s">
        <v>27987</v>
      </c>
      <c r="G11768" s="117">
        <v>223.26</v>
      </c>
    </row>
    <row r="11769" spans="1:7" x14ac:dyDescent="0.25">
      <c r="A11769" s="116" t="s">
        <v>18581</v>
      </c>
      <c r="B11769" s="117" t="s">
        <v>18582</v>
      </c>
      <c r="C11769" t="s">
        <v>67</v>
      </c>
      <c r="D11769" t="s">
        <v>67</v>
      </c>
      <c r="E11769" t="s">
        <v>67</v>
      </c>
      <c r="F11769" t="s">
        <v>27987</v>
      </c>
      <c r="G11769" s="117">
        <v>200.66</v>
      </c>
    </row>
    <row r="11770" spans="1:7" x14ac:dyDescent="0.25">
      <c r="A11770" s="116" t="s">
        <v>18583</v>
      </c>
      <c r="B11770" s="117" t="s">
        <v>18584</v>
      </c>
      <c r="C11770" t="s">
        <v>67</v>
      </c>
      <c r="D11770" t="s">
        <v>67</v>
      </c>
      <c r="E11770" t="s">
        <v>67</v>
      </c>
      <c r="F11770" t="s">
        <v>45</v>
      </c>
      <c r="G11770" s="117">
        <v>121.82</v>
      </c>
    </row>
    <row r="11771" spans="1:7" x14ac:dyDescent="0.25">
      <c r="A11771" s="116" t="s">
        <v>18585</v>
      </c>
      <c r="B11771" s="117" t="s">
        <v>18586</v>
      </c>
      <c r="C11771" t="s">
        <v>67</v>
      </c>
      <c r="D11771" t="s">
        <v>67</v>
      </c>
      <c r="E11771" t="s">
        <v>67</v>
      </c>
      <c r="F11771" t="s">
        <v>45</v>
      </c>
      <c r="G11771" s="117">
        <v>180.19</v>
      </c>
    </row>
    <row r="11772" spans="1:7" x14ac:dyDescent="0.25">
      <c r="A11772" s="116" t="s">
        <v>28218</v>
      </c>
      <c r="B11772" s="117" t="s">
        <v>28219</v>
      </c>
      <c r="C11772" t="s">
        <v>67</v>
      </c>
      <c r="D11772" t="s">
        <v>67</v>
      </c>
      <c r="E11772" t="s">
        <v>67</v>
      </c>
      <c r="F11772" t="s">
        <v>27987</v>
      </c>
      <c r="G11772" s="117">
        <v>9999</v>
      </c>
    </row>
    <row r="11773" spans="1:7" x14ac:dyDescent="0.25">
      <c r="A11773" s="116" t="s">
        <v>18587</v>
      </c>
      <c r="B11773" s="117" t="s">
        <v>18588</v>
      </c>
      <c r="C11773" t="s">
        <v>67</v>
      </c>
      <c r="D11773" t="s">
        <v>67</v>
      </c>
      <c r="E11773" t="s">
        <v>67</v>
      </c>
      <c r="F11773" t="s">
        <v>45</v>
      </c>
      <c r="G11773" s="117">
        <v>331.61</v>
      </c>
    </row>
    <row r="11774" spans="1:7" x14ac:dyDescent="0.25">
      <c r="A11774" s="116" t="s">
        <v>18589</v>
      </c>
      <c r="B11774" s="117" t="s">
        <v>18590</v>
      </c>
      <c r="C11774" t="s">
        <v>67</v>
      </c>
      <c r="D11774" t="s">
        <v>67</v>
      </c>
      <c r="E11774" t="s">
        <v>67</v>
      </c>
      <c r="F11774" t="s">
        <v>45</v>
      </c>
      <c r="G11774" s="117">
        <v>432.01</v>
      </c>
    </row>
    <row r="11775" spans="1:7" x14ac:dyDescent="0.25">
      <c r="A11775" s="116" t="s">
        <v>18591</v>
      </c>
      <c r="B11775" s="117" t="s">
        <v>18592</v>
      </c>
      <c r="C11775" t="s">
        <v>67</v>
      </c>
      <c r="D11775" t="s">
        <v>67</v>
      </c>
      <c r="E11775" t="s">
        <v>67</v>
      </c>
      <c r="F11775" t="s">
        <v>27987</v>
      </c>
      <c r="G11775" s="117">
        <v>98.32</v>
      </c>
    </row>
    <row r="11776" spans="1:7" x14ac:dyDescent="0.25">
      <c r="A11776" s="116" t="s">
        <v>18593</v>
      </c>
      <c r="B11776" s="117" t="s">
        <v>18594</v>
      </c>
      <c r="C11776" t="s">
        <v>67</v>
      </c>
      <c r="D11776" t="s">
        <v>67</v>
      </c>
      <c r="E11776" t="s">
        <v>67</v>
      </c>
      <c r="F11776" t="s">
        <v>27987</v>
      </c>
      <c r="G11776" s="117">
        <v>83.56</v>
      </c>
    </row>
    <row r="11777" spans="1:7" x14ac:dyDescent="0.25">
      <c r="A11777" s="116" t="s">
        <v>18595</v>
      </c>
      <c r="B11777" s="117" t="s">
        <v>18596</v>
      </c>
      <c r="C11777" t="s">
        <v>67</v>
      </c>
      <c r="D11777" t="s">
        <v>67</v>
      </c>
      <c r="E11777" t="s">
        <v>67</v>
      </c>
      <c r="F11777" t="s">
        <v>27987</v>
      </c>
      <c r="G11777" s="117">
        <v>68.430000000000007</v>
      </c>
    </row>
    <row r="11778" spans="1:7" x14ac:dyDescent="0.25">
      <c r="A11778" s="116" t="s">
        <v>18597</v>
      </c>
      <c r="B11778" s="117" t="s">
        <v>18598</v>
      </c>
      <c r="C11778" t="s">
        <v>67</v>
      </c>
      <c r="D11778" t="s">
        <v>67</v>
      </c>
      <c r="E11778" t="s">
        <v>67</v>
      </c>
      <c r="F11778" t="s">
        <v>49</v>
      </c>
      <c r="G11778" s="117">
        <v>76.98</v>
      </c>
    </row>
    <row r="11779" spans="1:7" x14ac:dyDescent="0.25">
      <c r="A11779" s="116" t="s">
        <v>18599</v>
      </c>
      <c r="B11779" s="117" t="s">
        <v>18600</v>
      </c>
      <c r="C11779" t="s">
        <v>67</v>
      </c>
      <c r="D11779" t="s">
        <v>67</v>
      </c>
      <c r="E11779" t="s">
        <v>67</v>
      </c>
      <c r="F11779" t="s">
        <v>45</v>
      </c>
      <c r="G11779" s="117">
        <v>113.45</v>
      </c>
    </row>
    <row r="11780" spans="1:7" x14ac:dyDescent="0.25">
      <c r="A11780" s="116" t="s">
        <v>18601</v>
      </c>
      <c r="B11780" s="117" t="s">
        <v>18602</v>
      </c>
      <c r="C11780" t="s">
        <v>67</v>
      </c>
      <c r="D11780" t="s">
        <v>67</v>
      </c>
      <c r="E11780" t="s">
        <v>67</v>
      </c>
      <c r="F11780" t="s">
        <v>45</v>
      </c>
      <c r="G11780" s="117">
        <v>323.04000000000002</v>
      </c>
    </row>
    <row r="11781" spans="1:7" x14ac:dyDescent="0.25">
      <c r="A11781" s="116" t="s">
        <v>18603</v>
      </c>
      <c r="B11781" s="117" t="s">
        <v>18604</v>
      </c>
      <c r="C11781" t="s">
        <v>67</v>
      </c>
      <c r="D11781" t="s">
        <v>67</v>
      </c>
      <c r="E11781" t="s">
        <v>67</v>
      </c>
      <c r="F11781" t="s">
        <v>49</v>
      </c>
      <c r="G11781" s="117">
        <v>102.77</v>
      </c>
    </row>
    <row r="11782" spans="1:7" x14ac:dyDescent="0.25">
      <c r="A11782" s="116" t="s">
        <v>18605</v>
      </c>
      <c r="B11782" s="117" t="s">
        <v>18606</v>
      </c>
      <c r="C11782" t="s">
        <v>67</v>
      </c>
      <c r="D11782" t="s">
        <v>67</v>
      </c>
      <c r="E11782" t="s">
        <v>67</v>
      </c>
      <c r="F11782" t="s">
        <v>45</v>
      </c>
      <c r="G11782" s="117">
        <v>77.86</v>
      </c>
    </row>
    <row r="11783" spans="1:7" x14ac:dyDescent="0.25">
      <c r="A11783" s="116" t="s">
        <v>18607</v>
      </c>
      <c r="B11783" s="117" t="s">
        <v>18608</v>
      </c>
      <c r="C11783" t="s">
        <v>67</v>
      </c>
      <c r="D11783" t="s">
        <v>67</v>
      </c>
      <c r="E11783" t="s">
        <v>67</v>
      </c>
      <c r="F11783" t="s">
        <v>27987</v>
      </c>
      <c r="G11783" s="117">
        <v>84.98</v>
      </c>
    </row>
    <row r="11784" spans="1:7" x14ac:dyDescent="0.25">
      <c r="A11784" s="116" t="s">
        <v>18609</v>
      </c>
      <c r="B11784" s="117" t="s">
        <v>18245</v>
      </c>
      <c r="C11784" t="s">
        <v>67</v>
      </c>
      <c r="D11784" t="s">
        <v>67</v>
      </c>
      <c r="E11784" t="s">
        <v>67</v>
      </c>
      <c r="F11784" t="s">
        <v>27987</v>
      </c>
      <c r="G11784" s="117">
        <v>158.30000000000001</v>
      </c>
    </row>
    <row r="11785" spans="1:7" x14ac:dyDescent="0.25">
      <c r="A11785" s="116" t="s">
        <v>18610</v>
      </c>
      <c r="B11785" s="117" t="s">
        <v>18600</v>
      </c>
      <c r="C11785" t="s">
        <v>67</v>
      </c>
      <c r="D11785" t="s">
        <v>67</v>
      </c>
      <c r="E11785" t="s">
        <v>67</v>
      </c>
      <c r="F11785" t="s">
        <v>45</v>
      </c>
      <c r="G11785" s="117">
        <v>79.11</v>
      </c>
    </row>
    <row r="11786" spans="1:7" x14ac:dyDescent="0.25">
      <c r="A11786" s="116" t="s">
        <v>29333</v>
      </c>
      <c r="B11786" s="117" t="s">
        <v>29334</v>
      </c>
      <c r="C11786" t="s">
        <v>67</v>
      </c>
      <c r="D11786" t="s">
        <v>67</v>
      </c>
      <c r="E11786" t="s">
        <v>67</v>
      </c>
      <c r="F11786" t="s">
        <v>27987</v>
      </c>
      <c r="G11786" s="117">
        <v>9999</v>
      </c>
    </row>
    <row r="11787" spans="1:7" x14ac:dyDescent="0.25">
      <c r="A11787" s="116" t="s">
        <v>18611</v>
      </c>
      <c r="B11787" s="117" t="s">
        <v>18612</v>
      </c>
      <c r="C11787" t="s">
        <v>67</v>
      </c>
      <c r="D11787" t="s">
        <v>67</v>
      </c>
      <c r="E11787" t="s">
        <v>67</v>
      </c>
      <c r="F11787" t="s">
        <v>45</v>
      </c>
      <c r="G11787" s="117">
        <v>193</v>
      </c>
    </row>
    <row r="11788" spans="1:7" x14ac:dyDescent="0.25">
      <c r="A11788" s="116" t="s">
        <v>18613</v>
      </c>
      <c r="B11788" s="117" t="s">
        <v>18614</v>
      </c>
      <c r="C11788" t="s">
        <v>67</v>
      </c>
      <c r="D11788" t="s">
        <v>67</v>
      </c>
      <c r="E11788" t="s">
        <v>67</v>
      </c>
      <c r="F11788" t="s">
        <v>27987</v>
      </c>
      <c r="G11788" s="117">
        <v>118.26</v>
      </c>
    </row>
    <row r="11789" spans="1:7" x14ac:dyDescent="0.25">
      <c r="A11789" s="116" t="s">
        <v>18615</v>
      </c>
      <c r="B11789" s="117" t="s">
        <v>18616</v>
      </c>
      <c r="C11789" t="s">
        <v>67</v>
      </c>
      <c r="D11789" t="s">
        <v>67</v>
      </c>
      <c r="E11789" t="s">
        <v>67</v>
      </c>
      <c r="F11789" t="s">
        <v>45</v>
      </c>
      <c r="G11789" s="117">
        <v>56.5</v>
      </c>
    </row>
    <row r="11790" spans="1:7" x14ac:dyDescent="0.25">
      <c r="A11790" s="116" t="s">
        <v>18617</v>
      </c>
      <c r="B11790" s="117" t="s">
        <v>18618</v>
      </c>
      <c r="C11790" t="s">
        <v>67</v>
      </c>
      <c r="D11790" t="s">
        <v>67</v>
      </c>
      <c r="E11790" t="s">
        <v>67</v>
      </c>
      <c r="F11790" t="s">
        <v>27987</v>
      </c>
      <c r="G11790" s="117">
        <v>111.68</v>
      </c>
    </row>
    <row r="11791" spans="1:7" x14ac:dyDescent="0.25">
      <c r="A11791" s="116" t="s">
        <v>18619</v>
      </c>
      <c r="B11791" s="117" t="s">
        <v>18588</v>
      </c>
      <c r="C11791" t="s">
        <v>67</v>
      </c>
      <c r="D11791" t="s">
        <v>67</v>
      </c>
      <c r="E11791" t="s">
        <v>67</v>
      </c>
      <c r="F11791" t="s">
        <v>45</v>
      </c>
      <c r="G11791" s="117">
        <v>239.81</v>
      </c>
    </row>
    <row r="11792" spans="1:7" x14ac:dyDescent="0.25">
      <c r="A11792" s="116" t="s">
        <v>18620</v>
      </c>
      <c r="B11792" s="117" t="s">
        <v>18621</v>
      </c>
      <c r="C11792" t="s">
        <v>67</v>
      </c>
      <c r="D11792" t="s">
        <v>67</v>
      </c>
      <c r="E11792" t="s">
        <v>67</v>
      </c>
      <c r="F11792" t="s">
        <v>27987</v>
      </c>
      <c r="G11792" s="117">
        <v>266.5</v>
      </c>
    </row>
    <row r="11793" spans="1:7" x14ac:dyDescent="0.25">
      <c r="A11793" s="116" t="s">
        <v>18622</v>
      </c>
      <c r="B11793" s="117" t="s">
        <v>18623</v>
      </c>
      <c r="C11793" t="s">
        <v>67</v>
      </c>
      <c r="D11793" t="s">
        <v>67</v>
      </c>
      <c r="E11793" t="s">
        <v>67</v>
      </c>
      <c r="F11793" t="s">
        <v>45</v>
      </c>
      <c r="G11793" s="117">
        <v>94.76</v>
      </c>
    </row>
    <row r="11794" spans="1:7" x14ac:dyDescent="0.25">
      <c r="A11794" s="116" t="s">
        <v>18624</v>
      </c>
      <c r="B11794" s="117" t="s">
        <v>18625</v>
      </c>
      <c r="C11794" t="s">
        <v>67</v>
      </c>
      <c r="D11794" t="s">
        <v>67</v>
      </c>
      <c r="E11794" t="s">
        <v>67</v>
      </c>
      <c r="F11794" t="s">
        <v>49</v>
      </c>
      <c r="G11794" s="117">
        <v>114.7</v>
      </c>
    </row>
    <row r="11795" spans="1:7" x14ac:dyDescent="0.25">
      <c r="A11795" s="116" t="s">
        <v>18626</v>
      </c>
      <c r="B11795" s="117" t="s">
        <v>18627</v>
      </c>
      <c r="C11795" t="s">
        <v>67</v>
      </c>
      <c r="D11795" t="s">
        <v>67</v>
      </c>
      <c r="E11795" t="s">
        <v>67</v>
      </c>
      <c r="F11795" t="s">
        <v>45</v>
      </c>
      <c r="G11795" s="117">
        <v>196.56</v>
      </c>
    </row>
    <row r="11796" spans="1:7" x14ac:dyDescent="0.25">
      <c r="A11796" s="116" t="s">
        <v>18628</v>
      </c>
      <c r="B11796" s="117" t="s">
        <v>18245</v>
      </c>
      <c r="C11796" t="s">
        <v>67</v>
      </c>
      <c r="D11796" t="s">
        <v>67</v>
      </c>
      <c r="E11796" t="s">
        <v>67</v>
      </c>
      <c r="F11796" t="s">
        <v>27987</v>
      </c>
      <c r="G11796" s="117">
        <v>51.52</v>
      </c>
    </row>
    <row r="11797" spans="1:7" x14ac:dyDescent="0.25">
      <c r="A11797" s="116" t="s">
        <v>18629</v>
      </c>
      <c r="B11797" s="117" t="s">
        <v>18630</v>
      </c>
      <c r="C11797" t="s">
        <v>67</v>
      </c>
      <c r="D11797" t="s">
        <v>67</v>
      </c>
      <c r="E11797" t="s">
        <v>67</v>
      </c>
      <c r="F11797" t="s">
        <v>27987</v>
      </c>
      <c r="G11797" s="117">
        <v>241.58</v>
      </c>
    </row>
    <row r="11798" spans="1:7" x14ac:dyDescent="0.25">
      <c r="A11798" s="116" t="s">
        <v>18631</v>
      </c>
      <c r="B11798" s="117" t="s">
        <v>18632</v>
      </c>
      <c r="C11798" t="s">
        <v>67</v>
      </c>
      <c r="D11798" t="s">
        <v>67</v>
      </c>
      <c r="E11798" t="s">
        <v>67</v>
      </c>
      <c r="F11798" t="s">
        <v>27987</v>
      </c>
      <c r="G11798" s="117">
        <v>165.42</v>
      </c>
    </row>
    <row r="11799" spans="1:7" x14ac:dyDescent="0.25">
      <c r="A11799" s="116" t="s">
        <v>18633</v>
      </c>
      <c r="B11799" s="117" t="s">
        <v>18634</v>
      </c>
      <c r="C11799" t="s">
        <v>67</v>
      </c>
      <c r="D11799" t="s">
        <v>67</v>
      </c>
      <c r="E11799" t="s">
        <v>67</v>
      </c>
      <c r="F11799" t="s">
        <v>27987</v>
      </c>
      <c r="G11799" s="117">
        <v>71.319999999999993</v>
      </c>
    </row>
    <row r="11800" spans="1:7" x14ac:dyDescent="0.25">
      <c r="A11800" s="116" t="s">
        <v>18635</v>
      </c>
      <c r="B11800" s="117" t="s">
        <v>18636</v>
      </c>
      <c r="C11800" t="s">
        <v>67</v>
      </c>
      <c r="D11800" t="s">
        <v>67</v>
      </c>
      <c r="E11800" t="s">
        <v>67</v>
      </c>
      <c r="F11800" t="s">
        <v>27987</v>
      </c>
      <c r="G11800" s="117">
        <v>130.36000000000001</v>
      </c>
    </row>
    <row r="11801" spans="1:7" x14ac:dyDescent="0.25">
      <c r="A11801" s="116" t="s">
        <v>18637</v>
      </c>
      <c r="B11801" s="117" t="s">
        <v>18638</v>
      </c>
      <c r="C11801" t="s">
        <v>67</v>
      </c>
      <c r="D11801" t="s">
        <v>67</v>
      </c>
      <c r="E11801" t="s">
        <v>67</v>
      </c>
      <c r="F11801" t="s">
        <v>27987</v>
      </c>
      <c r="G11801" s="117">
        <v>55.62</v>
      </c>
    </row>
    <row r="11802" spans="1:7" x14ac:dyDescent="0.25">
      <c r="A11802" s="116" t="s">
        <v>18639</v>
      </c>
      <c r="B11802" s="117" t="s">
        <v>18640</v>
      </c>
      <c r="C11802" t="s">
        <v>67</v>
      </c>
      <c r="D11802" t="s">
        <v>67</v>
      </c>
      <c r="E11802" t="s">
        <v>67</v>
      </c>
      <c r="F11802" t="s">
        <v>27987</v>
      </c>
      <c r="G11802" s="117">
        <v>218.45</v>
      </c>
    </row>
    <row r="11803" spans="1:7" x14ac:dyDescent="0.25">
      <c r="A11803" s="116" t="s">
        <v>18641</v>
      </c>
      <c r="B11803" s="117" t="s">
        <v>18642</v>
      </c>
      <c r="C11803" t="s">
        <v>67</v>
      </c>
      <c r="D11803" t="s">
        <v>67</v>
      </c>
      <c r="E11803" t="s">
        <v>67</v>
      </c>
      <c r="F11803" t="s">
        <v>27987</v>
      </c>
      <c r="G11803" s="117">
        <v>89.79</v>
      </c>
    </row>
    <row r="11804" spans="1:7" x14ac:dyDescent="0.25">
      <c r="A11804" s="116" t="s">
        <v>18643</v>
      </c>
      <c r="B11804" s="117" t="s">
        <v>18644</v>
      </c>
      <c r="C11804" t="s">
        <v>67</v>
      </c>
      <c r="D11804" t="s">
        <v>67</v>
      </c>
      <c r="E11804" t="s">
        <v>67</v>
      </c>
      <c r="F11804" t="s">
        <v>27987</v>
      </c>
      <c r="G11804" s="117">
        <v>134.81</v>
      </c>
    </row>
    <row r="11805" spans="1:7" x14ac:dyDescent="0.25">
      <c r="A11805" s="116" t="s">
        <v>18645</v>
      </c>
      <c r="B11805" s="117" t="s">
        <v>18646</v>
      </c>
      <c r="C11805" t="s">
        <v>67</v>
      </c>
      <c r="D11805" t="s">
        <v>67</v>
      </c>
      <c r="E11805" t="s">
        <v>67</v>
      </c>
      <c r="F11805" t="s">
        <v>27987</v>
      </c>
      <c r="G11805" s="117">
        <v>350.5</v>
      </c>
    </row>
    <row r="11806" spans="1:7" x14ac:dyDescent="0.25">
      <c r="A11806" s="116" t="s">
        <v>18647</v>
      </c>
      <c r="B11806" s="117" t="s">
        <v>18648</v>
      </c>
      <c r="C11806" t="s">
        <v>67</v>
      </c>
      <c r="D11806" t="s">
        <v>67</v>
      </c>
      <c r="E11806" t="s">
        <v>67</v>
      </c>
      <c r="F11806" t="s">
        <v>27987</v>
      </c>
      <c r="G11806" s="117">
        <v>102.77</v>
      </c>
    </row>
    <row r="11807" spans="1:7" x14ac:dyDescent="0.25">
      <c r="A11807" s="116" t="s">
        <v>18649</v>
      </c>
      <c r="B11807" s="117" t="s">
        <v>18650</v>
      </c>
      <c r="C11807" t="s">
        <v>67</v>
      </c>
      <c r="D11807" t="s">
        <v>67</v>
      </c>
      <c r="E11807" t="s">
        <v>67</v>
      </c>
      <c r="F11807" t="s">
        <v>27987</v>
      </c>
      <c r="G11807" s="117">
        <v>70.739999999999995</v>
      </c>
    </row>
    <row r="11808" spans="1:7" x14ac:dyDescent="0.25">
      <c r="A11808" s="116" t="s">
        <v>18651</v>
      </c>
      <c r="B11808" s="117" t="s">
        <v>18652</v>
      </c>
      <c r="C11808" t="s">
        <v>67</v>
      </c>
      <c r="D11808" t="s">
        <v>67</v>
      </c>
      <c r="E11808" t="s">
        <v>67</v>
      </c>
      <c r="F11808" t="s">
        <v>27987</v>
      </c>
      <c r="G11808" s="117">
        <v>147.62</v>
      </c>
    </row>
    <row r="11809" spans="1:7" x14ac:dyDescent="0.25">
      <c r="A11809" s="116" t="s">
        <v>18653</v>
      </c>
      <c r="B11809" s="117" t="s">
        <v>18654</v>
      </c>
      <c r="C11809" t="s">
        <v>67</v>
      </c>
      <c r="D11809" t="s">
        <v>67</v>
      </c>
      <c r="E11809" t="s">
        <v>67</v>
      </c>
      <c r="F11809" t="s">
        <v>27987</v>
      </c>
      <c r="G11809" s="117">
        <v>96.55</v>
      </c>
    </row>
    <row r="11810" spans="1:7" x14ac:dyDescent="0.25">
      <c r="A11810" s="116" t="s">
        <v>18655</v>
      </c>
      <c r="B11810" s="117" t="s">
        <v>18656</v>
      </c>
      <c r="C11810" t="s">
        <v>67</v>
      </c>
      <c r="D11810" t="s">
        <v>67</v>
      </c>
      <c r="E11810" t="s">
        <v>67</v>
      </c>
      <c r="F11810" t="s">
        <v>27987</v>
      </c>
      <c r="G11810" s="117">
        <v>63.98</v>
      </c>
    </row>
    <row r="11811" spans="1:7" x14ac:dyDescent="0.25">
      <c r="A11811" s="116" t="s">
        <v>18657</v>
      </c>
      <c r="B11811" s="117" t="s">
        <v>18658</v>
      </c>
      <c r="C11811" t="s">
        <v>67</v>
      </c>
      <c r="D11811" t="s">
        <v>67</v>
      </c>
      <c r="E11811" t="s">
        <v>67</v>
      </c>
      <c r="F11811" t="s">
        <v>27987</v>
      </c>
      <c r="G11811" s="117">
        <v>146.74</v>
      </c>
    </row>
    <row r="11812" spans="1:7" x14ac:dyDescent="0.25">
      <c r="A11812" s="116" t="s">
        <v>18659</v>
      </c>
      <c r="B11812" s="117" t="s">
        <v>18660</v>
      </c>
      <c r="C11812" t="s">
        <v>67</v>
      </c>
      <c r="D11812" t="s">
        <v>67</v>
      </c>
      <c r="E11812" t="s">
        <v>67</v>
      </c>
      <c r="F11812" t="s">
        <v>49</v>
      </c>
      <c r="G11812" s="117">
        <v>61.31</v>
      </c>
    </row>
    <row r="11813" spans="1:7" x14ac:dyDescent="0.25">
      <c r="A11813" s="116" t="s">
        <v>18661</v>
      </c>
      <c r="B11813" s="117" t="s">
        <v>18662</v>
      </c>
      <c r="C11813" t="s">
        <v>67</v>
      </c>
      <c r="D11813" t="s">
        <v>67</v>
      </c>
      <c r="E11813" t="s">
        <v>67</v>
      </c>
      <c r="F11813" t="s">
        <v>49</v>
      </c>
      <c r="G11813" s="117">
        <v>65.400000000000006</v>
      </c>
    </row>
    <row r="11814" spans="1:7" x14ac:dyDescent="0.25">
      <c r="A11814" s="116" t="s">
        <v>18663</v>
      </c>
      <c r="B11814" s="117" t="s">
        <v>18664</v>
      </c>
      <c r="C11814" t="s">
        <v>67</v>
      </c>
      <c r="D11814" t="s">
        <v>67</v>
      </c>
      <c r="E11814" t="s">
        <v>67</v>
      </c>
      <c r="F11814" t="s">
        <v>27987</v>
      </c>
      <c r="G11814" s="117">
        <v>76.59</v>
      </c>
    </row>
    <row r="11815" spans="1:7" x14ac:dyDescent="0.25">
      <c r="A11815" s="116" t="s">
        <v>18665</v>
      </c>
      <c r="B11815" s="117" t="s">
        <v>29335</v>
      </c>
      <c r="C11815" t="s">
        <v>67</v>
      </c>
      <c r="D11815" t="s">
        <v>67</v>
      </c>
      <c r="E11815" t="s">
        <v>67</v>
      </c>
      <c r="F11815" t="s">
        <v>27987</v>
      </c>
      <c r="G11815" s="117">
        <v>123.77</v>
      </c>
    </row>
    <row r="11816" spans="1:7" x14ac:dyDescent="0.25">
      <c r="A11816" s="116" t="s">
        <v>18666</v>
      </c>
      <c r="B11816" s="117" t="s">
        <v>17730</v>
      </c>
      <c r="C11816" t="s">
        <v>67</v>
      </c>
      <c r="D11816" t="s">
        <v>67</v>
      </c>
      <c r="E11816" t="s">
        <v>67</v>
      </c>
      <c r="F11816" t="s">
        <v>27987</v>
      </c>
      <c r="G11816" s="117">
        <v>154.26</v>
      </c>
    </row>
    <row r="11817" spans="1:7" x14ac:dyDescent="0.25">
      <c r="A11817" s="116" t="s">
        <v>18667</v>
      </c>
      <c r="B11817" s="117" t="s">
        <v>17730</v>
      </c>
      <c r="C11817" t="s">
        <v>67</v>
      </c>
      <c r="D11817" t="s">
        <v>67</v>
      </c>
      <c r="E11817" t="s">
        <v>67</v>
      </c>
      <c r="F11817" t="s">
        <v>49</v>
      </c>
      <c r="G11817" s="117">
        <v>143.02000000000001</v>
      </c>
    </row>
    <row r="11818" spans="1:7" x14ac:dyDescent="0.25">
      <c r="A11818" s="116" t="s">
        <v>18668</v>
      </c>
      <c r="B11818" s="117" t="s">
        <v>18669</v>
      </c>
      <c r="C11818" t="s">
        <v>67</v>
      </c>
      <c r="D11818" t="s">
        <v>67</v>
      </c>
      <c r="E11818" t="s">
        <v>67</v>
      </c>
      <c r="F11818" t="s">
        <v>27987</v>
      </c>
      <c r="G11818" s="117">
        <v>90</v>
      </c>
    </row>
    <row r="11819" spans="1:7" x14ac:dyDescent="0.25">
      <c r="A11819" s="116" t="s">
        <v>18670</v>
      </c>
      <c r="B11819" s="117" t="s">
        <v>17730</v>
      </c>
      <c r="C11819" t="s">
        <v>67</v>
      </c>
      <c r="D11819" t="s">
        <v>67</v>
      </c>
      <c r="E11819" t="s">
        <v>67</v>
      </c>
      <c r="F11819" t="s">
        <v>27987</v>
      </c>
      <c r="G11819" s="117">
        <v>110</v>
      </c>
    </row>
    <row r="11820" spans="1:7" x14ac:dyDescent="0.25">
      <c r="A11820" s="116" t="s">
        <v>18671</v>
      </c>
      <c r="B11820" s="117" t="s">
        <v>17721</v>
      </c>
      <c r="C11820" t="s">
        <v>67</v>
      </c>
      <c r="D11820" t="s">
        <v>67</v>
      </c>
      <c r="E11820" t="s">
        <v>67</v>
      </c>
      <c r="F11820" t="s">
        <v>27987</v>
      </c>
      <c r="G11820" s="117">
        <v>250.49</v>
      </c>
    </row>
    <row r="11821" spans="1:7" x14ac:dyDescent="0.25">
      <c r="A11821" s="116" t="s">
        <v>26740</v>
      </c>
      <c r="B11821" s="117" t="s">
        <v>26741</v>
      </c>
      <c r="C11821" t="s">
        <v>67</v>
      </c>
      <c r="D11821" t="s">
        <v>67</v>
      </c>
      <c r="E11821" t="s">
        <v>67</v>
      </c>
      <c r="F11821" t="s">
        <v>27987</v>
      </c>
      <c r="G11821" s="117">
        <v>82.67</v>
      </c>
    </row>
    <row r="11822" spans="1:7" x14ac:dyDescent="0.25">
      <c r="A11822" s="116" t="s">
        <v>29952</v>
      </c>
      <c r="B11822" s="117" t="s">
        <v>30502</v>
      </c>
      <c r="C11822" t="s">
        <v>67</v>
      </c>
      <c r="D11822" t="s">
        <v>67</v>
      </c>
      <c r="E11822" t="s">
        <v>67</v>
      </c>
      <c r="F11822" t="s">
        <v>27987</v>
      </c>
      <c r="G11822" s="117">
        <v>50</v>
      </c>
    </row>
    <row r="11823" spans="1:7" x14ac:dyDescent="0.25">
      <c r="A11823" s="116" t="s">
        <v>27057</v>
      </c>
      <c r="B11823" s="117" t="s">
        <v>27058</v>
      </c>
      <c r="C11823" t="s">
        <v>67</v>
      </c>
      <c r="D11823" t="s">
        <v>67</v>
      </c>
      <c r="E11823" t="s">
        <v>67</v>
      </c>
      <c r="F11823" t="s">
        <v>27987</v>
      </c>
      <c r="G11823" s="117">
        <v>95</v>
      </c>
    </row>
    <row r="11824" spans="1:7" x14ac:dyDescent="0.25">
      <c r="A11824" s="116" t="s">
        <v>29336</v>
      </c>
      <c r="B11824" s="117" t="s">
        <v>17730</v>
      </c>
      <c r="C11824" t="s">
        <v>67</v>
      </c>
      <c r="D11824" t="s">
        <v>67</v>
      </c>
      <c r="E11824" t="s">
        <v>67</v>
      </c>
      <c r="F11824" t="s">
        <v>27987</v>
      </c>
      <c r="G11824" s="117">
        <v>0</v>
      </c>
    </row>
    <row r="11825" spans="1:7" x14ac:dyDescent="0.25">
      <c r="A11825" s="116" t="s">
        <v>29337</v>
      </c>
      <c r="B11825" s="117" t="s">
        <v>17730</v>
      </c>
      <c r="C11825" t="s">
        <v>67</v>
      </c>
      <c r="D11825" t="s">
        <v>67</v>
      </c>
      <c r="E11825" t="s">
        <v>67</v>
      </c>
      <c r="F11825" t="s">
        <v>27987</v>
      </c>
      <c r="G11825" s="117">
        <v>0</v>
      </c>
    </row>
    <row r="11826" spans="1:7" x14ac:dyDescent="0.25">
      <c r="A11826" s="116" t="s">
        <v>28158</v>
      </c>
      <c r="B11826" s="117" t="s">
        <v>29827</v>
      </c>
      <c r="C11826" t="s">
        <v>67</v>
      </c>
      <c r="D11826" t="s">
        <v>67</v>
      </c>
      <c r="E11826" t="s">
        <v>67</v>
      </c>
      <c r="F11826" t="s">
        <v>49</v>
      </c>
      <c r="G11826" s="117">
        <v>30</v>
      </c>
    </row>
    <row r="11827" spans="1:7" x14ac:dyDescent="0.25">
      <c r="A11827" s="116" t="s">
        <v>29871</v>
      </c>
      <c r="B11827" s="117" t="s">
        <v>30503</v>
      </c>
      <c r="C11827" t="s">
        <v>67</v>
      </c>
      <c r="D11827" t="s">
        <v>67</v>
      </c>
      <c r="E11827" t="s">
        <v>67</v>
      </c>
      <c r="F11827" t="s">
        <v>27987</v>
      </c>
      <c r="G11827" s="117">
        <v>65</v>
      </c>
    </row>
    <row r="11828" spans="1:7" x14ac:dyDescent="0.25">
      <c r="A11828" s="116" t="s">
        <v>29338</v>
      </c>
      <c r="B11828" s="117" t="s">
        <v>30504</v>
      </c>
      <c r="C11828" t="s">
        <v>67</v>
      </c>
      <c r="D11828" t="s">
        <v>67</v>
      </c>
      <c r="E11828" t="s">
        <v>67</v>
      </c>
      <c r="F11828" t="s">
        <v>49</v>
      </c>
      <c r="G11828" s="117">
        <v>80</v>
      </c>
    </row>
    <row r="11829" spans="1:7" x14ac:dyDescent="0.25">
      <c r="A11829" s="116" t="s">
        <v>29339</v>
      </c>
      <c r="B11829" s="117" t="s">
        <v>31143</v>
      </c>
      <c r="C11829" t="s">
        <v>67</v>
      </c>
      <c r="D11829" t="s">
        <v>67</v>
      </c>
      <c r="E11829" t="s">
        <v>67</v>
      </c>
      <c r="F11829" t="s">
        <v>49</v>
      </c>
      <c r="G11829" s="117">
        <v>120</v>
      </c>
    </row>
    <row r="11830" spans="1:7" x14ac:dyDescent="0.25">
      <c r="A11830" s="116" t="s">
        <v>29340</v>
      </c>
      <c r="B11830" s="117" t="s">
        <v>30505</v>
      </c>
      <c r="C11830" t="s">
        <v>67</v>
      </c>
      <c r="D11830" t="s">
        <v>67</v>
      </c>
      <c r="E11830" t="s">
        <v>67</v>
      </c>
      <c r="F11830" t="s">
        <v>27987</v>
      </c>
      <c r="G11830" s="117">
        <v>90</v>
      </c>
    </row>
    <row r="11831" spans="1:7" x14ac:dyDescent="0.25">
      <c r="A11831" s="116" t="s">
        <v>29341</v>
      </c>
      <c r="B11831" s="117" t="s">
        <v>30760</v>
      </c>
      <c r="C11831" t="s">
        <v>67</v>
      </c>
      <c r="D11831" t="s">
        <v>67</v>
      </c>
      <c r="E11831" t="s">
        <v>67</v>
      </c>
      <c r="F11831" t="s">
        <v>27987</v>
      </c>
      <c r="G11831" s="117">
        <v>80</v>
      </c>
    </row>
    <row r="11832" spans="1:7" x14ac:dyDescent="0.25">
      <c r="A11832" s="116" t="s">
        <v>30012</v>
      </c>
      <c r="B11832" s="117" t="s">
        <v>30506</v>
      </c>
      <c r="C11832" t="s">
        <v>67</v>
      </c>
      <c r="D11832" t="s">
        <v>67</v>
      </c>
      <c r="E11832" t="s">
        <v>67</v>
      </c>
      <c r="F11832" t="s">
        <v>27987</v>
      </c>
      <c r="G11832" s="117">
        <v>50</v>
      </c>
    </row>
    <row r="11833" spans="1:7" x14ac:dyDescent="0.25">
      <c r="A11833" s="116" t="s">
        <v>18672</v>
      </c>
      <c r="B11833" s="117" t="s">
        <v>1683</v>
      </c>
      <c r="C11833" t="s">
        <v>67</v>
      </c>
      <c r="D11833" t="s">
        <v>67</v>
      </c>
      <c r="E11833" t="s">
        <v>67</v>
      </c>
      <c r="F11833" t="s">
        <v>27987</v>
      </c>
      <c r="G11833" s="117">
        <v>179.66</v>
      </c>
    </row>
    <row r="11834" spans="1:7" x14ac:dyDescent="0.25">
      <c r="A11834" s="116" t="s">
        <v>18673</v>
      </c>
      <c r="B11834" s="117" t="s">
        <v>18674</v>
      </c>
      <c r="C11834" t="s">
        <v>67</v>
      </c>
      <c r="D11834" t="s">
        <v>67</v>
      </c>
      <c r="E11834" t="s">
        <v>67</v>
      </c>
      <c r="F11834" t="s">
        <v>27987</v>
      </c>
      <c r="G11834" s="117">
        <v>106.69</v>
      </c>
    </row>
    <row r="11835" spans="1:7" x14ac:dyDescent="0.25">
      <c r="A11835" s="116" t="s">
        <v>18675</v>
      </c>
      <c r="B11835" s="117" t="s">
        <v>18676</v>
      </c>
      <c r="C11835" t="s">
        <v>67</v>
      </c>
      <c r="D11835" t="s">
        <v>67</v>
      </c>
      <c r="E11835" t="s">
        <v>67</v>
      </c>
      <c r="F11835" t="s">
        <v>27987</v>
      </c>
      <c r="G11835" s="117">
        <v>82.67</v>
      </c>
    </row>
    <row r="11836" spans="1:7" x14ac:dyDescent="0.25">
      <c r="A11836" s="116" t="s">
        <v>18677</v>
      </c>
      <c r="B11836" s="117" t="s">
        <v>18678</v>
      </c>
      <c r="C11836" t="s">
        <v>67</v>
      </c>
      <c r="D11836" t="s">
        <v>67</v>
      </c>
      <c r="E11836" t="s">
        <v>67</v>
      </c>
      <c r="F11836" t="s">
        <v>27987</v>
      </c>
      <c r="G11836" s="117">
        <v>53.3</v>
      </c>
    </row>
    <row r="11837" spans="1:7" x14ac:dyDescent="0.25">
      <c r="A11837" s="116" t="s">
        <v>18679</v>
      </c>
      <c r="B11837" s="117" t="s">
        <v>18680</v>
      </c>
      <c r="C11837" t="s">
        <v>67</v>
      </c>
      <c r="D11837" t="s">
        <v>67</v>
      </c>
      <c r="E11837" t="s">
        <v>67</v>
      </c>
      <c r="F11837" t="s">
        <v>27987</v>
      </c>
      <c r="G11837" s="117">
        <v>212.58</v>
      </c>
    </row>
    <row r="11838" spans="1:7" x14ac:dyDescent="0.25">
      <c r="A11838" s="116" t="s">
        <v>18681</v>
      </c>
      <c r="B11838" s="117" t="s">
        <v>1683</v>
      </c>
      <c r="C11838" t="s">
        <v>67</v>
      </c>
      <c r="D11838" t="s">
        <v>67</v>
      </c>
      <c r="E11838" t="s">
        <v>67</v>
      </c>
      <c r="F11838" t="s">
        <v>45</v>
      </c>
      <c r="G11838" s="117">
        <v>153.5</v>
      </c>
    </row>
    <row r="11839" spans="1:7" x14ac:dyDescent="0.25">
      <c r="A11839" s="116" t="s">
        <v>18682</v>
      </c>
      <c r="B11839" s="117" t="s">
        <v>18683</v>
      </c>
      <c r="C11839" t="s">
        <v>67</v>
      </c>
      <c r="D11839" t="s">
        <v>67</v>
      </c>
      <c r="E11839" t="s">
        <v>67</v>
      </c>
      <c r="F11839" t="s">
        <v>27987</v>
      </c>
      <c r="G11839" s="117">
        <v>212.58</v>
      </c>
    </row>
    <row r="11840" spans="1:7" x14ac:dyDescent="0.25">
      <c r="A11840" s="116" t="s">
        <v>29953</v>
      </c>
      <c r="B11840" s="117" t="s">
        <v>2445</v>
      </c>
      <c r="C11840" t="s">
        <v>67</v>
      </c>
      <c r="D11840" t="s">
        <v>67</v>
      </c>
      <c r="E11840" t="s">
        <v>67</v>
      </c>
      <c r="F11840" t="s">
        <v>27987</v>
      </c>
      <c r="G11840" s="117">
        <v>40.950000000000003</v>
      </c>
    </row>
    <row r="11841" spans="1:7" x14ac:dyDescent="0.25">
      <c r="A11841" s="116" t="s">
        <v>18684</v>
      </c>
      <c r="B11841" s="117" t="s">
        <v>18685</v>
      </c>
      <c r="C11841" t="s">
        <v>67</v>
      </c>
      <c r="D11841" t="s">
        <v>67</v>
      </c>
      <c r="E11841" t="s">
        <v>67</v>
      </c>
      <c r="F11841" t="s">
        <v>45</v>
      </c>
      <c r="G11841" s="117">
        <v>233.3</v>
      </c>
    </row>
    <row r="11842" spans="1:7" x14ac:dyDescent="0.25">
      <c r="A11842" s="116" t="s">
        <v>18686</v>
      </c>
      <c r="B11842" s="117" t="s">
        <v>18687</v>
      </c>
      <c r="C11842" t="s">
        <v>67</v>
      </c>
      <c r="D11842" t="s">
        <v>67</v>
      </c>
      <c r="E11842" t="s">
        <v>67</v>
      </c>
      <c r="F11842" t="s">
        <v>27987</v>
      </c>
      <c r="G11842" s="117">
        <v>62.74</v>
      </c>
    </row>
    <row r="11843" spans="1:7" x14ac:dyDescent="0.25">
      <c r="A11843" s="116" t="s">
        <v>18688</v>
      </c>
      <c r="B11843" s="117" t="s">
        <v>18689</v>
      </c>
      <c r="C11843" t="s">
        <v>67</v>
      </c>
      <c r="D11843" t="s">
        <v>67</v>
      </c>
      <c r="E11843" t="s">
        <v>67</v>
      </c>
      <c r="F11843" t="s">
        <v>45</v>
      </c>
      <c r="G11843" s="117">
        <v>306.89999999999998</v>
      </c>
    </row>
    <row r="11844" spans="1:7" x14ac:dyDescent="0.25">
      <c r="A11844" s="116" t="s">
        <v>18690</v>
      </c>
      <c r="B11844" s="117" t="s">
        <v>18691</v>
      </c>
      <c r="C11844" t="s">
        <v>67</v>
      </c>
      <c r="D11844" t="s">
        <v>67</v>
      </c>
      <c r="E11844" t="s">
        <v>67</v>
      </c>
      <c r="F11844" t="s">
        <v>27987</v>
      </c>
      <c r="G11844" s="117">
        <v>77.86</v>
      </c>
    </row>
    <row r="11845" spans="1:7" x14ac:dyDescent="0.25">
      <c r="A11845" s="116" t="s">
        <v>18692</v>
      </c>
      <c r="B11845" s="117" t="s">
        <v>18693</v>
      </c>
      <c r="C11845" t="s">
        <v>67</v>
      </c>
      <c r="D11845" t="s">
        <v>67</v>
      </c>
      <c r="E11845" t="s">
        <v>67</v>
      </c>
      <c r="F11845" t="s">
        <v>27987</v>
      </c>
      <c r="G11845" s="117">
        <v>46.71</v>
      </c>
    </row>
    <row r="11846" spans="1:7" x14ac:dyDescent="0.25">
      <c r="A11846" s="116" t="s">
        <v>18694</v>
      </c>
      <c r="B11846" s="117" t="s">
        <v>18695</v>
      </c>
      <c r="C11846" t="s">
        <v>67</v>
      </c>
      <c r="D11846" t="s">
        <v>67</v>
      </c>
      <c r="E11846" t="s">
        <v>67</v>
      </c>
      <c r="F11846" t="s">
        <v>27987</v>
      </c>
      <c r="G11846" s="117">
        <v>30.37</v>
      </c>
    </row>
    <row r="11847" spans="1:7" x14ac:dyDescent="0.25">
      <c r="A11847" s="116" t="s">
        <v>18696</v>
      </c>
      <c r="B11847" s="117" t="s">
        <v>18697</v>
      </c>
      <c r="C11847" t="s">
        <v>67</v>
      </c>
      <c r="D11847" t="s">
        <v>67</v>
      </c>
      <c r="E11847" t="s">
        <v>67</v>
      </c>
      <c r="F11847" t="s">
        <v>27987</v>
      </c>
      <c r="G11847" s="117">
        <v>28.38</v>
      </c>
    </row>
    <row r="11848" spans="1:7" x14ac:dyDescent="0.25">
      <c r="A11848" s="116" t="s">
        <v>18698</v>
      </c>
      <c r="B11848" s="117" t="s">
        <v>18699</v>
      </c>
      <c r="C11848" t="s">
        <v>67</v>
      </c>
      <c r="D11848" t="s">
        <v>67</v>
      </c>
      <c r="E11848" t="s">
        <v>67</v>
      </c>
      <c r="F11848" t="s">
        <v>27987</v>
      </c>
      <c r="G11848" s="117">
        <v>407.1</v>
      </c>
    </row>
    <row r="11849" spans="1:7" x14ac:dyDescent="0.25">
      <c r="A11849" s="116" t="s">
        <v>18700</v>
      </c>
      <c r="B11849" s="117" t="s">
        <v>18701</v>
      </c>
      <c r="C11849" t="s">
        <v>67</v>
      </c>
      <c r="D11849" t="s">
        <v>67</v>
      </c>
      <c r="E11849" t="s">
        <v>67</v>
      </c>
      <c r="F11849" t="s">
        <v>27987</v>
      </c>
      <c r="G11849" s="117">
        <v>354.06</v>
      </c>
    </row>
    <row r="11850" spans="1:7" x14ac:dyDescent="0.25">
      <c r="A11850" s="116" t="s">
        <v>18702</v>
      </c>
      <c r="B11850" s="117" t="s">
        <v>18703</v>
      </c>
      <c r="C11850" t="s">
        <v>67</v>
      </c>
      <c r="D11850" t="s">
        <v>67</v>
      </c>
      <c r="E11850" t="s">
        <v>67</v>
      </c>
      <c r="F11850" t="s">
        <v>27987</v>
      </c>
      <c r="G11850" s="117">
        <v>278.95999999999998</v>
      </c>
    </row>
    <row r="11851" spans="1:7" x14ac:dyDescent="0.25">
      <c r="A11851" s="116" t="s">
        <v>18704</v>
      </c>
      <c r="B11851" s="117" t="s">
        <v>18705</v>
      </c>
      <c r="C11851" t="s">
        <v>67</v>
      </c>
      <c r="D11851" t="s">
        <v>67</v>
      </c>
      <c r="E11851" t="s">
        <v>67</v>
      </c>
      <c r="F11851" t="s">
        <v>27987</v>
      </c>
      <c r="G11851" s="117">
        <v>283.42</v>
      </c>
    </row>
    <row r="11852" spans="1:7" x14ac:dyDescent="0.25">
      <c r="A11852" s="116" t="s">
        <v>18706</v>
      </c>
      <c r="B11852" s="117" t="s">
        <v>18707</v>
      </c>
      <c r="C11852" t="s">
        <v>67</v>
      </c>
      <c r="D11852" t="s">
        <v>67</v>
      </c>
      <c r="E11852" t="s">
        <v>67</v>
      </c>
      <c r="F11852" t="s">
        <v>27987</v>
      </c>
      <c r="G11852" s="117">
        <v>318.48</v>
      </c>
    </row>
    <row r="11853" spans="1:7" x14ac:dyDescent="0.25">
      <c r="A11853" s="116" t="s">
        <v>18708</v>
      </c>
      <c r="B11853" s="117" t="s">
        <v>18709</v>
      </c>
      <c r="C11853" t="s">
        <v>67</v>
      </c>
      <c r="D11853" t="s">
        <v>67</v>
      </c>
      <c r="E11853" t="s">
        <v>67</v>
      </c>
      <c r="F11853" t="s">
        <v>49</v>
      </c>
      <c r="G11853" s="117">
        <v>264.73</v>
      </c>
    </row>
    <row r="11854" spans="1:7" x14ac:dyDescent="0.25">
      <c r="A11854" s="116" t="s">
        <v>30253</v>
      </c>
      <c r="B11854" s="117" t="s">
        <v>30254</v>
      </c>
      <c r="C11854" t="s">
        <v>67</v>
      </c>
      <c r="D11854" t="s">
        <v>67</v>
      </c>
      <c r="E11854" t="s">
        <v>67</v>
      </c>
      <c r="F11854" t="s">
        <v>45</v>
      </c>
      <c r="G11854" s="117">
        <v>146</v>
      </c>
    </row>
    <row r="11855" spans="1:7" x14ac:dyDescent="0.25">
      <c r="A11855" s="116" t="s">
        <v>18710</v>
      </c>
      <c r="B11855" s="117" t="s">
        <v>18711</v>
      </c>
      <c r="C11855" t="s">
        <v>67</v>
      </c>
      <c r="D11855" t="s">
        <v>67</v>
      </c>
      <c r="E11855" t="s">
        <v>67</v>
      </c>
      <c r="F11855" t="s">
        <v>27987</v>
      </c>
      <c r="G11855" s="117">
        <v>431.48</v>
      </c>
    </row>
    <row r="11856" spans="1:7" x14ac:dyDescent="0.25">
      <c r="A11856" s="116" t="s">
        <v>18712</v>
      </c>
      <c r="B11856" s="117" t="s">
        <v>1683</v>
      </c>
      <c r="C11856" t="s">
        <v>67</v>
      </c>
      <c r="D11856" t="s">
        <v>67</v>
      </c>
      <c r="E11856" t="s">
        <v>67</v>
      </c>
      <c r="F11856" t="s">
        <v>27987</v>
      </c>
      <c r="G11856" s="117">
        <v>162.75</v>
      </c>
    </row>
    <row r="11857" spans="1:7" x14ac:dyDescent="0.25">
      <c r="A11857" s="116" t="s">
        <v>18713</v>
      </c>
      <c r="B11857" s="117" t="s">
        <v>18714</v>
      </c>
      <c r="C11857" t="s">
        <v>67</v>
      </c>
      <c r="D11857" t="s">
        <v>67</v>
      </c>
      <c r="E11857" t="s">
        <v>67</v>
      </c>
      <c r="F11857" t="s">
        <v>51</v>
      </c>
      <c r="G11857" s="117">
        <v>326.69</v>
      </c>
    </row>
    <row r="11858" spans="1:7" x14ac:dyDescent="0.25">
      <c r="A11858" s="116" t="s">
        <v>18715</v>
      </c>
      <c r="B11858" s="117" t="s">
        <v>18716</v>
      </c>
      <c r="C11858" t="s">
        <v>67</v>
      </c>
      <c r="D11858" t="s">
        <v>67</v>
      </c>
      <c r="E11858" t="s">
        <v>67</v>
      </c>
      <c r="F11858" t="s">
        <v>51</v>
      </c>
      <c r="G11858" s="117">
        <v>267.70999999999998</v>
      </c>
    </row>
    <row r="11859" spans="1:7" x14ac:dyDescent="0.25">
      <c r="A11859" s="116" t="s">
        <v>18717</v>
      </c>
      <c r="B11859" s="117" t="s">
        <v>18718</v>
      </c>
      <c r="C11859" t="s">
        <v>67</v>
      </c>
      <c r="D11859" t="s">
        <v>67</v>
      </c>
      <c r="E11859" t="s">
        <v>67</v>
      </c>
      <c r="F11859" t="s">
        <v>27987</v>
      </c>
      <c r="G11859" s="117">
        <v>259.74</v>
      </c>
    </row>
    <row r="11860" spans="1:7" x14ac:dyDescent="0.25">
      <c r="A11860" s="116" t="s">
        <v>18719</v>
      </c>
      <c r="B11860" s="117" t="s">
        <v>18720</v>
      </c>
      <c r="C11860" t="s">
        <v>67</v>
      </c>
      <c r="D11860" t="s">
        <v>67</v>
      </c>
      <c r="E11860" t="s">
        <v>67</v>
      </c>
      <c r="F11860" t="s">
        <v>45</v>
      </c>
      <c r="G11860" s="117">
        <v>496.08</v>
      </c>
    </row>
    <row r="11861" spans="1:7" x14ac:dyDescent="0.25">
      <c r="A11861" s="116" t="s">
        <v>18721</v>
      </c>
      <c r="B11861" s="117" t="s">
        <v>18722</v>
      </c>
      <c r="C11861" t="s">
        <v>67</v>
      </c>
      <c r="D11861" t="s">
        <v>67</v>
      </c>
      <c r="E11861" t="s">
        <v>67</v>
      </c>
      <c r="F11861" t="s">
        <v>45</v>
      </c>
      <c r="G11861" s="117">
        <v>294.98</v>
      </c>
    </row>
    <row r="11862" spans="1:7" x14ac:dyDescent="0.25">
      <c r="A11862" s="116" t="s">
        <v>18723</v>
      </c>
      <c r="B11862" s="117" t="s">
        <v>18724</v>
      </c>
      <c r="C11862" t="s">
        <v>67</v>
      </c>
      <c r="D11862" t="s">
        <v>67</v>
      </c>
      <c r="E11862" t="s">
        <v>67</v>
      </c>
      <c r="F11862" t="s">
        <v>27987</v>
      </c>
      <c r="G11862" s="117">
        <v>299.79000000000002</v>
      </c>
    </row>
    <row r="11863" spans="1:7" x14ac:dyDescent="0.25">
      <c r="A11863" s="116" t="s">
        <v>18725</v>
      </c>
      <c r="B11863" s="117" t="s">
        <v>18726</v>
      </c>
      <c r="C11863" t="s">
        <v>67</v>
      </c>
      <c r="D11863" t="s">
        <v>67</v>
      </c>
      <c r="E11863" t="s">
        <v>67</v>
      </c>
      <c r="F11863" t="s">
        <v>27987</v>
      </c>
      <c r="G11863" s="117">
        <v>35.5</v>
      </c>
    </row>
    <row r="11864" spans="1:7" x14ac:dyDescent="0.25">
      <c r="A11864" s="116" t="s">
        <v>18727</v>
      </c>
      <c r="B11864" s="117" t="s">
        <v>18728</v>
      </c>
      <c r="C11864" t="s">
        <v>67</v>
      </c>
      <c r="D11864" t="s">
        <v>67</v>
      </c>
      <c r="E11864" t="s">
        <v>67</v>
      </c>
      <c r="F11864" t="s">
        <v>27987</v>
      </c>
      <c r="G11864" s="117">
        <v>480.42</v>
      </c>
    </row>
    <row r="11865" spans="1:7" x14ac:dyDescent="0.25">
      <c r="A11865" s="116" t="s">
        <v>18729</v>
      </c>
      <c r="B11865" s="117" t="s">
        <v>18730</v>
      </c>
      <c r="C11865" t="s">
        <v>67</v>
      </c>
      <c r="D11865" t="s">
        <v>67</v>
      </c>
      <c r="E11865" t="s">
        <v>67</v>
      </c>
      <c r="F11865" t="s">
        <v>27987</v>
      </c>
      <c r="G11865" s="117">
        <v>29.81</v>
      </c>
    </row>
    <row r="11866" spans="1:7" x14ac:dyDescent="0.25">
      <c r="A11866" s="116" t="s">
        <v>18731</v>
      </c>
      <c r="B11866" s="117" t="s">
        <v>18732</v>
      </c>
      <c r="C11866" t="s">
        <v>67</v>
      </c>
      <c r="D11866" t="s">
        <v>67</v>
      </c>
      <c r="E11866" t="s">
        <v>67</v>
      </c>
      <c r="F11866" t="s">
        <v>45</v>
      </c>
      <c r="G11866" s="117">
        <v>121.17</v>
      </c>
    </row>
    <row r="11867" spans="1:7" x14ac:dyDescent="0.25">
      <c r="A11867" s="116" t="s">
        <v>18733</v>
      </c>
      <c r="B11867" s="117" t="s">
        <v>18734</v>
      </c>
      <c r="C11867" t="s">
        <v>67</v>
      </c>
      <c r="D11867" t="s">
        <v>67</v>
      </c>
      <c r="E11867" t="s">
        <v>67</v>
      </c>
      <c r="F11867" t="s">
        <v>27987</v>
      </c>
      <c r="G11867" s="117">
        <v>216.14</v>
      </c>
    </row>
    <row r="11868" spans="1:7" x14ac:dyDescent="0.25">
      <c r="A11868" s="116" t="s">
        <v>18735</v>
      </c>
      <c r="B11868" s="117" t="s">
        <v>18736</v>
      </c>
      <c r="C11868" t="s">
        <v>67</v>
      </c>
      <c r="D11868" t="s">
        <v>67</v>
      </c>
      <c r="E11868" t="s">
        <v>67</v>
      </c>
      <c r="F11868" t="s">
        <v>27987</v>
      </c>
      <c r="G11868" s="117">
        <v>162.75</v>
      </c>
    </row>
    <row r="11869" spans="1:7" x14ac:dyDescent="0.25">
      <c r="A11869" s="116" t="s">
        <v>18737</v>
      </c>
      <c r="B11869" s="117" t="s">
        <v>18738</v>
      </c>
      <c r="C11869" t="s">
        <v>67</v>
      </c>
      <c r="D11869" t="s">
        <v>67</v>
      </c>
      <c r="E11869" t="s">
        <v>67</v>
      </c>
      <c r="F11869" t="s">
        <v>49</v>
      </c>
      <c r="G11869" s="117">
        <v>53.3</v>
      </c>
    </row>
    <row r="11870" spans="1:7" x14ac:dyDescent="0.25">
      <c r="A11870" s="116" t="s">
        <v>18739</v>
      </c>
      <c r="B11870" s="117" t="s">
        <v>18740</v>
      </c>
      <c r="C11870" t="s">
        <v>67</v>
      </c>
      <c r="D11870" t="s">
        <v>67</v>
      </c>
      <c r="E11870" t="s">
        <v>67</v>
      </c>
      <c r="F11870" t="s">
        <v>45</v>
      </c>
      <c r="G11870" s="117">
        <v>350.5</v>
      </c>
    </row>
    <row r="11871" spans="1:7" x14ac:dyDescent="0.25">
      <c r="A11871" s="116" t="s">
        <v>18741</v>
      </c>
      <c r="B11871" s="117" t="s">
        <v>18742</v>
      </c>
      <c r="C11871" t="s">
        <v>67</v>
      </c>
      <c r="D11871" t="s">
        <v>67</v>
      </c>
      <c r="E11871" t="s">
        <v>67</v>
      </c>
      <c r="F11871" t="s">
        <v>27987</v>
      </c>
      <c r="G11871" s="117">
        <v>384.32</v>
      </c>
    </row>
    <row r="11872" spans="1:7" x14ac:dyDescent="0.25">
      <c r="A11872" s="116" t="s">
        <v>18743</v>
      </c>
      <c r="B11872" s="117" t="s">
        <v>18744</v>
      </c>
      <c r="C11872" t="s">
        <v>67</v>
      </c>
      <c r="D11872" t="s">
        <v>67</v>
      </c>
      <c r="E11872" t="s">
        <v>67</v>
      </c>
      <c r="F11872" t="s">
        <v>27987</v>
      </c>
      <c r="G11872" s="117">
        <v>222.01</v>
      </c>
    </row>
    <row r="11873" spans="1:7" x14ac:dyDescent="0.25">
      <c r="A11873" s="116" t="s">
        <v>18745</v>
      </c>
      <c r="B11873" s="117" t="s">
        <v>18746</v>
      </c>
      <c r="C11873" t="s">
        <v>67</v>
      </c>
      <c r="D11873" t="s">
        <v>67</v>
      </c>
      <c r="E11873" t="s">
        <v>67</v>
      </c>
      <c r="F11873" t="s">
        <v>27987</v>
      </c>
      <c r="G11873" s="117">
        <v>741.14</v>
      </c>
    </row>
    <row r="11874" spans="1:7" x14ac:dyDescent="0.25">
      <c r="A11874" s="116" t="s">
        <v>18747</v>
      </c>
      <c r="B11874" s="117" t="s">
        <v>18748</v>
      </c>
      <c r="C11874" t="s">
        <v>67</v>
      </c>
      <c r="D11874" t="s">
        <v>67</v>
      </c>
      <c r="E11874" t="s">
        <v>67</v>
      </c>
      <c r="F11874" t="s">
        <v>45</v>
      </c>
      <c r="G11874" s="117">
        <v>51.17</v>
      </c>
    </row>
    <row r="11875" spans="1:7" x14ac:dyDescent="0.25">
      <c r="A11875" s="116" t="s">
        <v>18749</v>
      </c>
      <c r="B11875" s="117" t="s">
        <v>18750</v>
      </c>
      <c r="C11875" t="s">
        <v>67</v>
      </c>
      <c r="D11875" t="s">
        <v>67</v>
      </c>
      <c r="E11875" t="s">
        <v>67</v>
      </c>
      <c r="F11875" t="s">
        <v>45</v>
      </c>
      <c r="G11875" s="117">
        <v>13.19</v>
      </c>
    </row>
    <row r="11876" spans="1:7" x14ac:dyDescent="0.25">
      <c r="A11876" s="116" t="s">
        <v>18751</v>
      </c>
      <c r="B11876" s="117" t="s">
        <v>18752</v>
      </c>
      <c r="C11876" t="s">
        <v>67</v>
      </c>
      <c r="D11876" t="s">
        <v>67</v>
      </c>
      <c r="E11876" t="s">
        <v>67</v>
      </c>
      <c r="F11876" t="s">
        <v>45</v>
      </c>
      <c r="G11876" s="117">
        <v>28.38</v>
      </c>
    </row>
    <row r="11877" spans="1:7" x14ac:dyDescent="0.25">
      <c r="A11877" s="116" t="s">
        <v>18753</v>
      </c>
      <c r="B11877" s="117" t="s">
        <v>18754</v>
      </c>
      <c r="C11877" t="s">
        <v>67</v>
      </c>
      <c r="D11877" t="s">
        <v>67</v>
      </c>
      <c r="E11877" t="s">
        <v>67</v>
      </c>
      <c r="F11877" t="s">
        <v>45</v>
      </c>
      <c r="G11877" s="117">
        <v>122.7</v>
      </c>
    </row>
    <row r="11878" spans="1:7" x14ac:dyDescent="0.25">
      <c r="A11878" s="116" t="s">
        <v>18755</v>
      </c>
      <c r="B11878" s="117" t="s">
        <v>18756</v>
      </c>
      <c r="C11878" t="s">
        <v>67</v>
      </c>
      <c r="D11878" t="s">
        <v>67</v>
      </c>
      <c r="E11878" t="s">
        <v>67</v>
      </c>
      <c r="F11878" t="s">
        <v>45</v>
      </c>
      <c r="G11878" s="117">
        <v>67.540000000000006</v>
      </c>
    </row>
    <row r="11879" spans="1:7" x14ac:dyDescent="0.25">
      <c r="A11879" s="116" t="s">
        <v>18757</v>
      </c>
      <c r="B11879" s="117" t="s">
        <v>18758</v>
      </c>
      <c r="C11879" t="s">
        <v>67</v>
      </c>
      <c r="D11879" t="s">
        <v>67</v>
      </c>
      <c r="E11879" t="s">
        <v>67</v>
      </c>
      <c r="F11879" t="s">
        <v>45</v>
      </c>
      <c r="G11879" s="117">
        <v>663.37</v>
      </c>
    </row>
    <row r="11880" spans="1:7" x14ac:dyDescent="0.25">
      <c r="A11880" s="116" t="s">
        <v>18759</v>
      </c>
      <c r="B11880" s="117" t="s">
        <v>18760</v>
      </c>
      <c r="C11880" t="s">
        <v>67</v>
      </c>
      <c r="D11880" t="s">
        <v>67</v>
      </c>
      <c r="E11880" t="s">
        <v>67</v>
      </c>
      <c r="F11880" t="s">
        <v>27987</v>
      </c>
      <c r="G11880" s="117">
        <v>48.5</v>
      </c>
    </row>
    <row r="11881" spans="1:7" x14ac:dyDescent="0.25">
      <c r="A11881" s="116" t="s">
        <v>18761</v>
      </c>
      <c r="B11881" s="117" t="s">
        <v>18762</v>
      </c>
      <c r="C11881" t="s">
        <v>67</v>
      </c>
      <c r="D11881" t="s">
        <v>67</v>
      </c>
      <c r="E11881" t="s">
        <v>67</v>
      </c>
      <c r="F11881" t="s">
        <v>49</v>
      </c>
      <c r="G11881" s="117">
        <v>271.31</v>
      </c>
    </row>
    <row r="11882" spans="1:7" x14ac:dyDescent="0.25">
      <c r="A11882" s="116" t="s">
        <v>18763</v>
      </c>
      <c r="B11882" s="117" t="s">
        <v>18764</v>
      </c>
      <c r="C11882" t="s">
        <v>67</v>
      </c>
      <c r="D11882" t="s">
        <v>67</v>
      </c>
      <c r="E11882" t="s">
        <v>67</v>
      </c>
      <c r="F11882" t="s">
        <v>45</v>
      </c>
      <c r="G11882" s="117">
        <v>214.89</v>
      </c>
    </row>
    <row r="11883" spans="1:7" x14ac:dyDescent="0.25">
      <c r="A11883" s="116" t="s">
        <v>18765</v>
      </c>
      <c r="B11883" s="117" t="s">
        <v>18766</v>
      </c>
      <c r="C11883" t="s">
        <v>67</v>
      </c>
      <c r="D11883" t="s">
        <v>67</v>
      </c>
      <c r="E11883" t="s">
        <v>67</v>
      </c>
      <c r="F11883" t="s">
        <v>45</v>
      </c>
      <c r="G11883" s="117">
        <v>281.10000000000002</v>
      </c>
    </row>
    <row r="11884" spans="1:7" x14ac:dyDescent="0.25">
      <c r="A11884" s="116" t="s">
        <v>18767</v>
      </c>
      <c r="B11884" s="117" t="s">
        <v>18768</v>
      </c>
      <c r="C11884" t="s">
        <v>67</v>
      </c>
      <c r="D11884" t="s">
        <v>67</v>
      </c>
      <c r="E11884" t="s">
        <v>67</v>
      </c>
      <c r="F11884" t="s">
        <v>45</v>
      </c>
      <c r="G11884" s="117">
        <v>348.37</v>
      </c>
    </row>
    <row r="11885" spans="1:7" x14ac:dyDescent="0.25">
      <c r="A11885" s="116" t="s">
        <v>18769</v>
      </c>
      <c r="B11885" s="117" t="s">
        <v>18770</v>
      </c>
      <c r="C11885" t="s">
        <v>67</v>
      </c>
      <c r="D11885" t="s">
        <v>67</v>
      </c>
      <c r="E11885" t="s">
        <v>67</v>
      </c>
      <c r="F11885" t="s">
        <v>27987</v>
      </c>
      <c r="G11885" s="117">
        <v>22.69</v>
      </c>
    </row>
    <row r="11886" spans="1:7" x14ac:dyDescent="0.25">
      <c r="A11886" s="116" t="s">
        <v>18771</v>
      </c>
      <c r="B11886" s="117" t="s">
        <v>18772</v>
      </c>
      <c r="C11886" t="s">
        <v>67</v>
      </c>
      <c r="D11886" t="s">
        <v>67</v>
      </c>
      <c r="E11886" t="s">
        <v>67</v>
      </c>
      <c r="F11886" t="s">
        <v>45</v>
      </c>
      <c r="G11886" s="117">
        <v>401.23</v>
      </c>
    </row>
    <row r="11887" spans="1:7" x14ac:dyDescent="0.25">
      <c r="A11887" s="116" t="s">
        <v>18773</v>
      </c>
      <c r="B11887" s="117" t="s">
        <v>1683</v>
      </c>
      <c r="C11887" t="s">
        <v>67</v>
      </c>
      <c r="D11887" t="s">
        <v>67</v>
      </c>
      <c r="E11887" t="s">
        <v>67</v>
      </c>
      <c r="F11887" t="s">
        <v>27987</v>
      </c>
      <c r="G11887" s="117">
        <v>613.54</v>
      </c>
    </row>
    <row r="11888" spans="1:7" x14ac:dyDescent="0.25">
      <c r="A11888" s="116" t="s">
        <v>18774</v>
      </c>
      <c r="B11888" s="117" t="s">
        <v>1694</v>
      </c>
      <c r="C11888" t="s">
        <v>67</v>
      </c>
      <c r="D11888" t="s">
        <v>67</v>
      </c>
      <c r="E11888" t="s">
        <v>67</v>
      </c>
      <c r="F11888" t="s">
        <v>27987</v>
      </c>
      <c r="G11888" s="117">
        <v>454.26</v>
      </c>
    </row>
    <row r="11889" spans="1:7" x14ac:dyDescent="0.25">
      <c r="A11889" s="116" t="s">
        <v>18775</v>
      </c>
      <c r="B11889" s="117" t="s">
        <v>18726</v>
      </c>
      <c r="C11889" t="s">
        <v>67</v>
      </c>
      <c r="D11889" t="s">
        <v>67</v>
      </c>
      <c r="E11889" t="s">
        <v>67</v>
      </c>
      <c r="F11889" t="s">
        <v>45</v>
      </c>
      <c r="G11889" s="117">
        <v>37.82</v>
      </c>
    </row>
    <row r="11890" spans="1:7" x14ac:dyDescent="0.25">
      <c r="A11890" s="116" t="s">
        <v>18776</v>
      </c>
      <c r="B11890" s="117" t="s">
        <v>18777</v>
      </c>
      <c r="C11890" t="s">
        <v>67</v>
      </c>
      <c r="D11890" t="s">
        <v>67</v>
      </c>
      <c r="E11890" t="s">
        <v>67</v>
      </c>
      <c r="F11890" t="s">
        <v>45</v>
      </c>
      <c r="G11890" s="117">
        <v>141.93</v>
      </c>
    </row>
    <row r="11891" spans="1:7" x14ac:dyDescent="0.25">
      <c r="A11891" s="116" t="s">
        <v>18778</v>
      </c>
      <c r="B11891" s="117" t="s">
        <v>18779</v>
      </c>
      <c r="C11891" t="s">
        <v>67</v>
      </c>
      <c r="D11891" t="s">
        <v>67</v>
      </c>
      <c r="E11891" t="s">
        <v>67</v>
      </c>
      <c r="F11891" t="s">
        <v>45</v>
      </c>
      <c r="G11891" s="117">
        <v>146.38</v>
      </c>
    </row>
    <row r="11892" spans="1:7" x14ac:dyDescent="0.25">
      <c r="A11892" s="116" t="s">
        <v>18780</v>
      </c>
      <c r="B11892" s="117" t="s">
        <v>18781</v>
      </c>
      <c r="C11892" t="s">
        <v>67</v>
      </c>
      <c r="D11892" t="s">
        <v>67</v>
      </c>
      <c r="E11892" t="s">
        <v>67</v>
      </c>
      <c r="F11892" t="s">
        <v>27987</v>
      </c>
      <c r="G11892" s="117">
        <v>1011.3</v>
      </c>
    </row>
    <row r="11893" spans="1:7" x14ac:dyDescent="0.25">
      <c r="A11893" s="116" t="s">
        <v>18782</v>
      </c>
      <c r="B11893" s="117" t="s">
        <v>1683</v>
      </c>
      <c r="C11893" t="s">
        <v>67</v>
      </c>
      <c r="D11893" t="s">
        <v>67</v>
      </c>
      <c r="E11893" t="s">
        <v>67</v>
      </c>
      <c r="F11893" t="s">
        <v>27987</v>
      </c>
      <c r="G11893" s="117">
        <v>100.46</v>
      </c>
    </row>
    <row r="11894" spans="1:7" x14ac:dyDescent="0.25">
      <c r="A11894" s="116" t="s">
        <v>18783</v>
      </c>
      <c r="B11894" s="117" t="s">
        <v>18784</v>
      </c>
      <c r="C11894" t="s">
        <v>67</v>
      </c>
      <c r="D11894" t="s">
        <v>67</v>
      </c>
      <c r="E11894" t="s">
        <v>67</v>
      </c>
      <c r="F11894" t="s">
        <v>27987</v>
      </c>
      <c r="G11894" s="117">
        <v>359.94</v>
      </c>
    </row>
    <row r="11895" spans="1:7" x14ac:dyDescent="0.25">
      <c r="A11895" s="116" t="s">
        <v>18785</v>
      </c>
      <c r="B11895" s="117" t="s">
        <v>18786</v>
      </c>
      <c r="C11895" t="s">
        <v>67</v>
      </c>
      <c r="D11895" t="s">
        <v>67</v>
      </c>
      <c r="E11895" t="s">
        <v>67</v>
      </c>
      <c r="F11895" t="s">
        <v>27987</v>
      </c>
      <c r="G11895" s="117">
        <v>279.88</v>
      </c>
    </row>
    <row r="11896" spans="1:7" x14ac:dyDescent="0.25">
      <c r="A11896" s="116" t="s">
        <v>18787</v>
      </c>
      <c r="B11896" s="117" t="s">
        <v>18788</v>
      </c>
      <c r="C11896" t="s">
        <v>67</v>
      </c>
      <c r="D11896" t="s">
        <v>67</v>
      </c>
      <c r="E11896" t="s">
        <v>67</v>
      </c>
      <c r="F11896" t="s">
        <v>45</v>
      </c>
      <c r="G11896" s="117">
        <v>276.3</v>
      </c>
    </row>
    <row r="11897" spans="1:7" x14ac:dyDescent="0.25">
      <c r="A11897" s="116" t="s">
        <v>18789</v>
      </c>
      <c r="B11897" s="117" t="s">
        <v>18790</v>
      </c>
      <c r="C11897" t="s">
        <v>67</v>
      </c>
      <c r="D11897" t="s">
        <v>67</v>
      </c>
      <c r="E11897" t="s">
        <v>67</v>
      </c>
      <c r="F11897" t="s">
        <v>45</v>
      </c>
      <c r="G11897" s="117">
        <v>79.11</v>
      </c>
    </row>
    <row r="11898" spans="1:7" x14ac:dyDescent="0.25">
      <c r="A11898" s="116" t="s">
        <v>18791</v>
      </c>
      <c r="B11898" s="117" t="s">
        <v>18792</v>
      </c>
      <c r="C11898" t="s">
        <v>67</v>
      </c>
      <c r="D11898" t="s">
        <v>67</v>
      </c>
      <c r="E11898" t="s">
        <v>67</v>
      </c>
      <c r="F11898" t="s">
        <v>45</v>
      </c>
      <c r="G11898" s="117">
        <v>82.67</v>
      </c>
    </row>
    <row r="11899" spans="1:7" x14ac:dyDescent="0.25">
      <c r="A11899" s="116" t="s">
        <v>18793</v>
      </c>
      <c r="B11899" s="117" t="s">
        <v>18794</v>
      </c>
      <c r="C11899" t="s">
        <v>67</v>
      </c>
      <c r="D11899" t="s">
        <v>67</v>
      </c>
      <c r="E11899" t="s">
        <v>67</v>
      </c>
      <c r="F11899" t="s">
        <v>45</v>
      </c>
      <c r="G11899" s="117">
        <v>82.67</v>
      </c>
    </row>
    <row r="11900" spans="1:7" x14ac:dyDescent="0.25">
      <c r="A11900" s="116" t="s">
        <v>18795</v>
      </c>
      <c r="B11900" s="117" t="s">
        <v>18796</v>
      </c>
      <c r="C11900" t="s">
        <v>67</v>
      </c>
      <c r="D11900" t="s">
        <v>67</v>
      </c>
      <c r="E11900" t="s">
        <v>67</v>
      </c>
      <c r="F11900" t="s">
        <v>45</v>
      </c>
      <c r="G11900" s="117">
        <v>72.83</v>
      </c>
    </row>
    <row r="11901" spans="1:7" x14ac:dyDescent="0.25">
      <c r="A11901" s="116" t="s">
        <v>18797</v>
      </c>
      <c r="B11901" s="117" t="s">
        <v>18798</v>
      </c>
      <c r="C11901" t="s">
        <v>67</v>
      </c>
      <c r="D11901" t="s">
        <v>67</v>
      </c>
      <c r="E11901" t="s">
        <v>67</v>
      </c>
      <c r="F11901" t="s">
        <v>45</v>
      </c>
      <c r="G11901" s="117">
        <v>500</v>
      </c>
    </row>
    <row r="11902" spans="1:7" x14ac:dyDescent="0.25">
      <c r="A11902" s="116" t="s">
        <v>18799</v>
      </c>
      <c r="B11902" s="117" t="s">
        <v>1683</v>
      </c>
      <c r="C11902" t="s">
        <v>67</v>
      </c>
      <c r="D11902" t="s">
        <v>67</v>
      </c>
      <c r="E11902" t="s">
        <v>67</v>
      </c>
      <c r="F11902" t="s">
        <v>45</v>
      </c>
      <c r="G11902" s="117">
        <v>589.87</v>
      </c>
    </row>
    <row r="11903" spans="1:7" x14ac:dyDescent="0.25">
      <c r="A11903" s="116" t="s">
        <v>18800</v>
      </c>
      <c r="B11903" s="117" t="s">
        <v>18801</v>
      </c>
      <c r="C11903" t="s">
        <v>67</v>
      </c>
      <c r="D11903" t="s">
        <v>67</v>
      </c>
      <c r="E11903" t="s">
        <v>67</v>
      </c>
      <c r="F11903" t="s">
        <v>45</v>
      </c>
      <c r="G11903" s="117">
        <v>449.81</v>
      </c>
    </row>
    <row r="11904" spans="1:7" x14ac:dyDescent="0.25">
      <c r="A11904" s="116" t="s">
        <v>29342</v>
      </c>
      <c r="B11904" s="117" t="s">
        <v>18726</v>
      </c>
      <c r="C11904" t="s">
        <v>67</v>
      </c>
      <c r="D11904" t="s">
        <v>67</v>
      </c>
      <c r="E11904" t="s">
        <v>67</v>
      </c>
      <c r="F11904" t="s">
        <v>27987</v>
      </c>
      <c r="G11904" s="117">
        <v>25</v>
      </c>
    </row>
    <row r="11905" spans="1:7" x14ac:dyDescent="0.25">
      <c r="A11905" s="116" t="s">
        <v>18802</v>
      </c>
      <c r="B11905" s="117" t="s">
        <v>18803</v>
      </c>
      <c r="C11905" t="s">
        <v>67</v>
      </c>
      <c r="D11905" t="s">
        <v>67</v>
      </c>
      <c r="E11905" t="s">
        <v>67</v>
      </c>
      <c r="F11905" t="s">
        <v>45</v>
      </c>
      <c r="G11905" s="117">
        <v>79.11</v>
      </c>
    </row>
    <row r="11906" spans="1:7" x14ac:dyDescent="0.25">
      <c r="A11906" s="116" t="s">
        <v>18804</v>
      </c>
      <c r="B11906" s="117" t="s">
        <v>18805</v>
      </c>
      <c r="C11906" t="s">
        <v>67</v>
      </c>
      <c r="D11906" t="s">
        <v>67</v>
      </c>
      <c r="E11906" t="s">
        <v>67</v>
      </c>
      <c r="F11906" t="s">
        <v>27987</v>
      </c>
      <c r="G11906" s="117">
        <v>172.54</v>
      </c>
    </row>
    <row r="11907" spans="1:7" x14ac:dyDescent="0.25">
      <c r="A11907" s="116" t="s">
        <v>18806</v>
      </c>
      <c r="B11907" s="117" t="s">
        <v>18807</v>
      </c>
      <c r="C11907" t="s">
        <v>67</v>
      </c>
      <c r="D11907" t="s">
        <v>67</v>
      </c>
      <c r="E11907" t="s">
        <v>67</v>
      </c>
      <c r="F11907" t="s">
        <v>45</v>
      </c>
      <c r="G11907" s="117">
        <v>306.89999999999998</v>
      </c>
    </row>
    <row r="11908" spans="1:7" x14ac:dyDescent="0.25">
      <c r="A11908" s="116" t="s">
        <v>18808</v>
      </c>
      <c r="B11908" s="117" t="s">
        <v>18809</v>
      </c>
      <c r="C11908" t="s">
        <v>67</v>
      </c>
      <c r="D11908" t="s">
        <v>67</v>
      </c>
      <c r="E11908" t="s">
        <v>67</v>
      </c>
      <c r="F11908" t="s">
        <v>49</v>
      </c>
      <c r="G11908" s="117">
        <v>26.25</v>
      </c>
    </row>
    <row r="11909" spans="1:7" x14ac:dyDescent="0.25">
      <c r="A11909" s="116" t="s">
        <v>18810</v>
      </c>
      <c r="B11909" s="117" t="s">
        <v>18811</v>
      </c>
      <c r="C11909" t="s">
        <v>67</v>
      </c>
      <c r="D11909" t="s">
        <v>67</v>
      </c>
      <c r="E11909" t="s">
        <v>67</v>
      </c>
      <c r="F11909" t="s">
        <v>27987</v>
      </c>
      <c r="G11909" s="117">
        <v>178.76</v>
      </c>
    </row>
    <row r="11910" spans="1:7" x14ac:dyDescent="0.25">
      <c r="A11910" s="116" t="s">
        <v>18812</v>
      </c>
      <c r="B11910" s="117" t="s">
        <v>18813</v>
      </c>
      <c r="C11910" t="s">
        <v>67</v>
      </c>
      <c r="D11910" t="s">
        <v>67</v>
      </c>
      <c r="E11910" t="s">
        <v>67</v>
      </c>
      <c r="F11910" t="s">
        <v>45</v>
      </c>
      <c r="G11910" s="117">
        <v>450.17</v>
      </c>
    </row>
    <row r="11911" spans="1:7" x14ac:dyDescent="0.25">
      <c r="A11911" s="116" t="s">
        <v>18814</v>
      </c>
      <c r="B11911" s="117" t="s">
        <v>1694</v>
      </c>
      <c r="C11911" t="s">
        <v>67</v>
      </c>
      <c r="D11911" t="s">
        <v>67</v>
      </c>
      <c r="E11911" t="s">
        <v>67</v>
      </c>
      <c r="F11911" t="s">
        <v>27987</v>
      </c>
      <c r="G11911" s="117">
        <v>29.81</v>
      </c>
    </row>
    <row r="11912" spans="1:7" x14ac:dyDescent="0.25">
      <c r="A11912" s="116" t="s">
        <v>18815</v>
      </c>
      <c r="B11912" s="117" t="s">
        <v>18756</v>
      </c>
      <c r="C11912" t="s">
        <v>67</v>
      </c>
      <c r="D11912" t="s">
        <v>67</v>
      </c>
      <c r="E11912" t="s">
        <v>67</v>
      </c>
      <c r="F11912" t="s">
        <v>27987</v>
      </c>
      <c r="G11912" s="117">
        <v>55.62</v>
      </c>
    </row>
    <row r="11913" spans="1:7" x14ac:dyDescent="0.25">
      <c r="A11913" s="116" t="s">
        <v>18816</v>
      </c>
      <c r="B11913" s="117" t="s">
        <v>18817</v>
      </c>
      <c r="C11913" t="s">
        <v>67</v>
      </c>
      <c r="D11913" t="s">
        <v>67</v>
      </c>
      <c r="E11913" t="s">
        <v>67</v>
      </c>
      <c r="F11913" t="s">
        <v>27987</v>
      </c>
      <c r="G11913" s="117">
        <v>318.48</v>
      </c>
    </row>
    <row r="11914" spans="1:7" x14ac:dyDescent="0.25">
      <c r="A11914" s="116" t="s">
        <v>18818</v>
      </c>
      <c r="B11914" s="117" t="s">
        <v>18819</v>
      </c>
      <c r="C11914" t="s">
        <v>67</v>
      </c>
      <c r="D11914" t="s">
        <v>67</v>
      </c>
      <c r="E11914" t="s">
        <v>67</v>
      </c>
      <c r="F11914" t="s">
        <v>49</v>
      </c>
      <c r="G11914" s="117">
        <v>14.14</v>
      </c>
    </row>
    <row r="11915" spans="1:7" x14ac:dyDescent="0.25">
      <c r="A11915" s="116" t="s">
        <v>18820</v>
      </c>
      <c r="B11915" s="117" t="s">
        <v>18821</v>
      </c>
      <c r="C11915" t="s">
        <v>67</v>
      </c>
      <c r="D11915" t="s">
        <v>67</v>
      </c>
      <c r="E11915" t="s">
        <v>67</v>
      </c>
      <c r="F11915" t="s">
        <v>45</v>
      </c>
      <c r="G11915" s="117">
        <v>73.42</v>
      </c>
    </row>
    <row r="11916" spans="1:7" x14ac:dyDescent="0.25">
      <c r="A11916" s="116" t="s">
        <v>18822</v>
      </c>
      <c r="B11916" s="117" t="s">
        <v>18823</v>
      </c>
      <c r="C11916" t="s">
        <v>67</v>
      </c>
      <c r="D11916" t="s">
        <v>67</v>
      </c>
      <c r="E11916" t="s">
        <v>67</v>
      </c>
      <c r="F11916" t="s">
        <v>27987</v>
      </c>
      <c r="G11916" s="117">
        <v>287.86</v>
      </c>
    </row>
    <row r="11917" spans="1:7" x14ac:dyDescent="0.25">
      <c r="A11917" s="116" t="s">
        <v>18824</v>
      </c>
      <c r="B11917" s="117" t="s">
        <v>1683</v>
      </c>
      <c r="C11917" t="s">
        <v>67</v>
      </c>
      <c r="D11917" t="s">
        <v>67</v>
      </c>
      <c r="E11917" t="s">
        <v>67</v>
      </c>
      <c r="F11917" t="s">
        <v>27987</v>
      </c>
      <c r="G11917" s="117">
        <v>237.14</v>
      </c>
    </row>
    <row r="11918" spans="1:7" x14ac:dyDescent="0.25">
      <c r="A11918" s="116" t="s">
        <v>18825</v>
      </c>
      <c r="B11918" s="117" t="s">
        <v>18826</v>
      </c>
      <c r="C11918" t="s">
        <v>67</v>
      </c>
      <c r="D11918" t="s">
        <v>67</v>
      </c>
      <c r="E11918" t="s">
        <v>67</v>
      </c>
      <c r="F11918" t="s">
        <v>27987</v>
      </c>
      <c r="G11918" s="117">
        <v>150.30000000000001</v>
      </c>
    </row>
    <row r="11919" spans="1:7" x14ac:dyDescent="0.25">
      <c r="A11919" s="116" t="s">
        <v>18827</v>
      </c>
      <c r="B11919" s="117" t="s">
        <v>18828</v>
      </c>
      <c r="C11919" t="s">
        <v>67</v>
      </c>
      <c r="D11919" t="s">
        <v>67</v>
      </c>
      <c r="E11919" t="s">
        <v>67</v>
      </c>
      <c r="F11919" t="s">
        <v>45</v>
      </c>
      <c r="G11919" s="117">
        <v>302.10000000000002</v>
      </c>
    </row>
    <row r="11920" spans="1:7" x14ac:dyDescent="0.25">
      <c r="A11920" s="116" t="s">
        <v>18829</v>
      </c>
      <c r="B11920" s="117" t="s">
        <v>18830</v>
      </c>
      <c r="C11920" t="s">
        <v>67</v>
      </c>
      <c r="D11920" t="s">
        <v>67</v>
      </c>
      <c r="E11920" t="s">
        <v>67</v>
      </c>
      <c r="F11920" t="s">
        <v>27987</v>
      </c>
      <c r="G11920" s="117">
        <v>311.36</v>
      </c>
    </row>
    <row r="11921" spans="1:7" x14ac:dyDescent="0.25">
      <c r="A11921" s="116" t="s">
        <v>18831</v>
      </c>
      <c r="B11921" s="117" t="s">
        <v>18832</v>
      </c>
      <c r="C11921" t="s">
        <v>67</v>
      </c>
      <c r="D11921" t="s">
        <v>67</v>
      </c>
      <c r="E11921" t="s">
        <v>67</v>
      </c>
      <c r="F11921" t="s">
        <v>27987</v>
      </c>
      <c r="G11921" s="117">
        <v>322.92</v>
      </c>
    </row>
    <row r="11922" spans="1:7" x14ac:dyDescent="0.25">
      <c r="A11922" s="116" t="s">
        <v>18833</v>
      </c>
      <c r="B11922" s="117" t="s">
        <v>18834</v>
      </c>
      <c r="C11922" t="s">
        <v>67</v>
      </c>
      <c r="D11922" t="s">
        <v>67</v>
      </c>
      <c r="E11922" t="s">
        <v>67</v>
      </c>
      <c r="F11922" t="s">
        <v>27987</v>
      </c>
      <c r="G11922" s="117">
        <v>451.06</v>
      </c>
    </row>
    <row r="11923" spans="1:7" x14ac:dyDescent="0.25">
      <c r="A11923" s="116" t="s">
        <v>18835</v>
      </c>
      <c r="B11923" s="117" t="s">
        <v>18836</v>
      </c>
      <c r="C11923" t="s">
        <v>67</v>
      </c>
      <c r="D11923" t="s">
        <v>67</v>
      </c>
      <c r="E11923" t="s">
        <v>67</v>
      </c>
      <c r="F11923" t="s">
        <v>27987</v>
      </c>
      <c r="G11923" s="117">
        <v>24.48</v>
      </c>
    </row>
    <row r="11924" spans="1:7" x14ac:dyDescent="0.25">
      <c r="A11924" s="116" t="s">
        <v>18837</v>
      </c>
      <c r="B11924" s="117" t="s">
        <v>18838</v>
      </c>
      <c r="C11924" t="s">
        <v>67</v>
      </c>
      <c r="D11924" t="s">
        <v>67</v>
      </c>
      <c r="E11924" t="s">
        <v>67</v>
      </c>
      <c r="F11924" t="s">
        <v>27987</v>
      </c>
      <c r="G11924" s="117">
        <v>234.3</v>
      </c>
    </row>
    <row r="11925" spans="1:7" x14ac:dyDescent="0.25">
      <c r="A11925" s="116" t="s">
        <v>18839</v>
      </c>
      <c r="B11925" s="117" t="s">
        <v>1683</v>
      </c>
      <c r="C11925" t="s">
        <v>67</v>
      </c>
      <c r="D11925" t="s">
        <v>67</v>
      </c>
      <c r="E11925" t="s">
        <v>67</v>
      </c>
      <c r="F11925" t="s">
        <v>27987</v>
      </c>
      <c r="G11925" s="117">
        <v>294.98</v>
      </c>
    </row>
    <row r="11926" spans="1:7" x14ac:dyDescent="0.25">
      <c r="A11926" s="116" t="s">
        <v>18840</v>
      </c>
      <c r="B11926" s="117" t="s">
        <v>18841</v>
      </c>
      <c r="C11926" t="s">
        <v>67</v>
      </c>
      <c r="D11926" t="s">
        <v>67</v>
      </c>
      <c r="E11926" t="s">
        <v>67</v>
      </c>
      <c r="F11926" t="s">
        <v>45</v>
      </c>
      <c r="G11926" s="117">
        <v>622.44000000000005</v>
      </c>
    </row>
    <row r="11927" spans="1:7" x14ac:dyDescent="0.25">
      <c r="A11927" s="116" t="s">
        <v>18842</v>
      </c>
      <c r="B11927" s="117" t="s">
        <v>18843</v>
      </c>
      <c r="C11927" t="s">
        <v>67</v>
      </c>
      <c r="D11927" t="s">
        <v>67</v>
      </c>
      <c r="E11927" t="s">
        <v>67</v>
      </c>
      <c r="F11927" t="s">
        <v>45</v>
      </c>
      <c r="G11927" s="117">
        <v>231.26</v>
      </c>
    </row>
    <row r="11928" spans="1:7" x14ac:dyDescent="0.25">
      <c r="A11928" s="116" t="s">
        <v>18844</v>
      </c>
      <c r="B11928" s="117" t="s">
        <v>18726</v>
      </c>
      <c r="C11928" t="s">
        <v>67</v>
      </c>
      <c r="D11928" t="s">
        <v>67</v>
      </c>
      <c r="E11928" t="s">
        <v>67</v>
      </c>
      <c r="F11928" t="s">
        <v>27987</v>
      </c>
      <c r="G11928" s="117">
        <v>24.82</v>
      </c>
    </row>
    <row r="11929" spans="1:7" x14ac:dyDescent="0.25">
      <c r="A11929" s="116" t="s">
        <v>18845</v>
      </c>
      <c r="B11929" s="117" t="s">
        <v>1683</v>
      </c>
      <c r="C11929" t="s">
        <v>67</v>
      </c>
      <c r="D11929" t="s">
        <v>67</v>
      </c>
      <c r="E11929" t="s">
        <v>67</v>
      </c>
      <c r="F11929" t="s">
        <v>27987</v>
      </c>
      <c r="G11929" s="117">
        <v>536.48</v>
      </c>
    </row>
    <row r="11930" spans="1:7" x14ac:dyDescent="0.25">
      <c r="A11930" s="116" t="s">
        <v>18846</v>
      </c>
      <c r="B11930" s="117" t="s">
        <v>18847</v>
      </c>
      <c r="C11930" t="s">
        <v>67</v>
      </c>
      <c r="D11930" t="s">
        <v>67</v>
      </c>
      <c r="E11930" t="s">
        <v>67</v>
      </c>
      <c r="F11930" t="s">
        <v>45</v>
      </c>
      <c r="G11930" s="117">
        <v>422.23</v>
      </c>
    </row>
    <row r="11931" spans="1:7" x14ac:dyDescent="0.25">
      <c r="A11931" s="116" t="s">
        <v>18848</v>
      </c>
      <c r="B11931" s="117" t="s">
        <v>18849</v>
      </c>
      <c r="C11931" t="s">
        <v>67</v>
      </c>
      <c r="D11931" t="s">
        <v>67</v>
      </c>
      <c r="E11931" t="s">
        <v>67</v>
      </c>
      <c r="F11931" t="s">
        <v>45</v>
      </c>
      <c r="G11931" s="117">
        <v>62.74</v>
      </c>
    </row>
    <row r="11932" spans="1:7" x14ac:dyDescent="0.25">
      <c r="A11932" s="116" t="s">
        <v>18850</v>
      </c>
      <c r="B11932" s="117" t="s">
        <v>18851</v>
      </c>
      <c r="C11932" t="s">
        <v>67</v>
      </c>
      <c r="D11932" t="s">
        <v>67</v>
      </c>
      <c r="E11932" t="s">
        <v>67</v>
      </c>
      <c r="F11932" t="s">
        <v>45</v>
      </c>
      <c r="G11932" s="117">
        <v>51.17</v>
      </c>
    </row>
    <row r="11933" spans="1:7" x14ac:dyDescent="0.25">
      <c r="A11933" s="116" t="s">
        <v>18852</v>
      </c>
      <c r="B11933" s="117" t="s">
        <v>18853</v>
      </c>
      <c r="C11933" t="s">
        <v>67</v>
      </c>
      <c r="D11933" t="s">
        <v>67</v>
      </c>
      <c r="E11933" t="s">
        <v>67</v>
      </c>
      <c r="F11933" t="s">
        <v>27987</v>
      </c>
      <c r="G11933" s="117">
        <v>1049.02</v>
      </c>
    </row>
    <row r="11934" spans="1:7" x14ac:dyDescent="0.25">
      <c r="A11934" s="116" t="s">
        <v>18854</v>
      </c>
      <c r="B11934" s="117" t="s">
        <v>18855</v>
      </c>
      <c r="C11934" t="s">
        <v>67</v>
      </c>
      <c r="D11934" t="s">
        <v>67</v>
      </c>
      <c r="E11934" t="s">
        <v>67</v>
      </c>
      <c r="F11934" t="s">
        <v>27987</v>
      </c>
      <c r="G11934" s="117">
        <v>404.79</v>
      </c>
    </row>
    <row r="11935" spans="1:7" x14ac:dyDescent="0.25">
      <c r="A11935" s="116" t="s">
        <v>18856</v>
      </c>
      <c r="B11935" s="117" t="s">
        <v>18857</v>
      </c>
      <c r="C11935" t="s">
        <v>67</v>
      </c>
      <c r="D11935" t="s">
        <v>67</v>
      </c>
      <c r="E11935" t="s">
        <v>67</v>
      </c>
      <c r="F11935" t="s">
        <v>27987</v>
      </c>
      <c r="G11935" s="117">
        <v>59.18</v>
      </c>
    </row>
    <row r="11936" spans="1:7" x14ac:dyDescent="0.25">
      <c r="A11936" s="116" t="s">
        <v>18858</v>
      </c>
      <c r="B11936" s="117" t="s">
        <v>18859</v>
      </c>
      <c r="C11936" t="s">
        <v>67</v>
      </c>
      <c r="D11936" t="s">
        <v>67</v>
      </c>
      <c r="E11936" t="s">
        <v>67</v>
      </c>
      <c r="F11936" t="s">
        <v>27987</v>
      </c>
      <c r="G11936" s="117">
        <v>24.82</v>
      </c>
    </row>
    <row r="11937" spans="1:7" x14ac:dyDescent="0.25">
      <c r="A11937" s="116" t="s">
        <v>18860</v>
      </c>
      <c r="B11937" s="117" t="s">
        <v>18861</v>
      </c>
      <c r="C11937" t="s">
        <v>67</v>
      </c>
      <c r="D11937" t="s">
        <v>67</v>
      </c>
      <c r="E11937" t="s">
        <v>67</v>
      </c>
      <c r="F11937" t="s">
        <v>45</v>
      </c>
      <c r="G11937" s="117">
        <v>133.38</v>
      </c>
    </row>
    <row r="11938" spans="1:7" x14ac:dyDescent="0.25">
      <c r="A11938" s="116" t="s">
        <v>18862</v>
      </c>
      <c r="B11938" s="117" t="s">
        <v>18863</v>
      </c>
      <c r="C11938" t="s">
        <v>67</v>
      </c>
      <c r="D11938" t="s">
        <v>67</v>
      </c>
      <c r="E11938" t="s">
        <v>67</v>
      </c>
      <c r="F11938" t="s">
        <v>27987</v>
      </c>
      <c r="G11938" s="117">
        <v>163.29</v>
      </c>
    </row>
    <row r="11939" spans="1:7" x14ac:dyDescent="0.25">
      <c r="A11939" s="116" t="s">
        <v>18864</v>
      </c>
      <c r="B11939" s="117" t="s">
        <v>18865</v>
      </c>
      <c r="C11939" t="s">
        <v>67</v>
      </c>
      <c r="D11939" t="s">
        <v>67</v>
      </c>
      <c r="E11939" t="s">
        <v>67</v>
      </c>
      <c r="F11939" t="s">
        <v>27987</v>
      </c>
      <c r="G11939" s="117">
        <v>430.58</v>
      </c>
    </row>
    <row r="11940" spans="1:7" x14ac:dyDescent="0.25">
      <c r="A11940" s="116" t="s">
        <v>18866</v>
      </c>
      <c r="B11940" s="117" t="s">
        <v>18867</v>
      </c>
      <c r="C11940" t="s">
        <v>67</v>
      </c>
      <c r="D11940" t="s">
        <v>67</v>
      </c>
      <c r="E11940" t="s">
        <v>67</v>
      </c>
      <c r="F11940" t="s">
        <v>27987</v>
      </c>
      <c r="G11940" s="117">
        <v>414.21</v>
      </c>
    </row>
    <row r="11941" spans="1:7" x14ac:dyDescent="0.25">
      <c r="A11941" s="116" t="s">
        <v>18868</v>
      </c>
      <c r="B11941" s="117" t="s">
        <v>18869</v>
      </c>
      <c r="C11941" t="s">
        <v>67</v>
      </c>
      <c r="D11941" t="s">
        <v>67</v>
      </c>
      <c r="E11941" t="s">
        <v>67</v>
      </c>
      <c r="F11941" t="s">
        <v>45</v>
      </c>
      <c r="G11941" s="117">
        <v>19.13</v>
      </c>
    </row>
    <row r="11942" spans="1:7" x14ac:dyDescent="0.25">
      <c r="A11942" s="116" t="s">
        <v>18870</v>
      </c>
      <c r="B11942" s="117" t="s">
        <v>18726</v>
      </c>
      <c r="C11942" t="s">
        <v>67</v>
      </c>
      <c r="D11942" t="s">
        <v>67</v>
      </c>
      <c r="E11942" t="s">
        <v>67</v>
      </c>
      <c r="F11942" t="s">
        <v>27987</v>
      </c>
      <c r="G11942" s="117">
        <v>20.38</v>
      </c>
    </row>
    <row r="11943" spans="1:7" x14ac:dyDescent="0.25">
      <c r="A11943" s="116" t="s">
        <v>18871</v>
      </c>
      <c r="B11943" s="117" t="s">
        <v>18872</v>
      </c>
      <c r="C11943" t="s">
        <v>67</v>
      </c>
      <c r="D11943" t="s">
        <v>67</v>
      </c>
      <c r="E11943" t="s">
        <v>67</v>
      </c>
      <c r="F11943" t="s">
        <v>45</v>
      </c>
      <c r="G11943" s="117">
        <v>22.69</v>
      </c>
    </row>
    <row r="11944" spans="1:7" x14ac:dyDescent="0.25">
      <c r="A11944" s="116" t="s">
        <v>18873</v>
      </c>
      <c r="B11944" s="117" t="s">
        <v>18874</v>
      </c>
      <c r="C11944" t="s">
        <v>67</v>
      </c>
      <c r="D11944" t="s">
        <v>67</v>
      </c>
      <c r="E11944" t="s">
        <v>67</v>
      </c>
      <c r="F11944" t="s">
        <v>45</v>
      </c>
      <c r="G11944" s="117">
        <v>14.14</v>
      </c>
    </row>
    <row r="11945" spans="1:7" x14ac:dyDescent="0.25">
      <c r="A11945" s="116" t="s">
        <v>18875</v>
      </c>
      <c r="B11945" s="117" t="s">
        <v>18876</v>
      </c>
      <c r="C11945" t="s">
        <v>67</v>
      </c>
      <c r="D11945" t="s">
        <v>67</v>
      </c>
      <c r="E11945" t="s">
        <v>67</v>
      </c>
      <c r="F11945" t="s">
        <v>45</v>
      </c>
      <c r="G11945" s="117">
        <v>401.23</v>
      </c>
    </row>
    <row r="11946" spans="1:7" x14ac:dyDescent="0.25">
      <c r="A11946" s="116" t="s">
        <v>18877</v>
      </c>
      <c r="B11946" s="117" t="s">
        <v>18878</v>
      </c>
      <c r="C11946" t="s">
        <v>67</v>
      </c>
      <c r="D11946" t="s">
        <v>67</v>
      </c>
      <c r="E11946" t="s">
        <v>67</v>
      </c>
      <c r="F11946" t="s">
        <v>27987</v>
      </c>
      <c r="G11946" s="117">
        <v>30.17</v>
      </c>
    </row>
    <row r="11947" spans="1:7" x14ac:dyDescent="0.25">
      <c r="A11947" s="116" t="s">
        <v>18879</v>
      </c>
      <c r="B11947" s="117" t="s">
        <v>18880</v>
      </c>
      <c r="C11947" t="s">
        <v>67</v>
      </c>
      <c r="D11947" t="s">
        <v>67</v>
      </c>
      <c r="E11947" t="s">
        <v>67</v>
      </c>
      <c r="F11947" t="s">
        <v>27987</v>
      </c>
      <c r="G11947" s="117">
        <v>557.83000000000004</v>
      </c>
    </row>
    <row r="11948" spans="1:7" x14ac:dyDescent="0.25">
      <c r="A11948" s="116" t="s">
        <v>18881</v>
      </c>
      <c r="B11948" s="117" t="s">
        <v>18882</v>
      </c>
      <c r="C11948" t="s">
        <v>67</v>
      </c>
      <c r="D11948" t="s">
        <v>67</v>
      </c>
      <c r="E11948" t="s">
        <v>67</v>
      </c>
      <c r="F11948" t="s">
        <v>45</v>
      </c>
      <c r="G11948" s="117">
        <v>204.21</v>
      </c>
    </row>
    <row r="11949" spans="1:7" x14ac:dyDescent="0.25">
      <c r="A11949" s="116" t="s">
        <v>18883</v>
      </c>
      <c r="B11949" s="117" t="s">
        <v>18884</v>
      </c>
      <c r="C11949" t="s">
        <v>67</v>
      </c>
      <c r="D11949" t="s">
        <v>67</v>
      </c>
      <c r="E11949" t="s">
        <v>67</v>
      </c>
      <c r="F11949" t="s">
        <v>27987</v>
      </c>
      <c r="G11949" s="117">
        <v>61.31</v>
      </c>
    </row>
    <row r="11950" spans="1:7" x14ac:dyDescent="0.25">
      <c r="A11950" s="116" t="s">
        <v>18885</v>
      </c>
      <c r="B11950" s="117" t="s">
        <v>18886</v>
      </c>
      <c r="C11950" t="s">
        <v>67</v>
      </c>
      <c r="D11950" t="s">
        <v>67</v>
      </c>
      <c r="E11950" t="s">
        <v>67</v>
      </c>
      <c r="F11950" t="s">
        <v>45</v>
      </c>
      <c r="G11950" s="117">
        <v>262.06</v>
      </c>
    </row>
    <row r="11951" spans="1:7" x14ac:dyDescent="0.25">
      <c r="A11951" s="116" t="s">
        <v>18887</v>
      </c>
      <c r="B11951" s="117" t="s">
        <v>18888</v>
      </c>
      <c r="C11951" t="s">
        <v>67</v>
      </c>
      <c r="D11951" t="s">
        <v>67</v>
      </c>
      <c r="E11951" t="s">
        <v>67</v>
      </c>
      <c r="F11951" t="s">
        <v>27987</v>
      </c>
      <c r="G11951" s="117">
        <v>218.45</v>
      </c>
    </row>
    <row r="11952" spans="1:7" x14ac:dyDescent="0.25">
      <c r="A11952" s="116" t="s">
        <v>18889</v>
      </c>
      <c r="B11952" s="117" t="s">
        <v>18890</v>
      </c>
      <c r="C11952" t="s">
        <v>67</v>
      </c>
      <c r="D11952" t="s">
        <v>67</v>
      </c>
      <c r="E11952" t="s">
        <v>67</v>
      </c>
      <c r="F11952" t="s">
        <v>27987</v>
      </c>
      <c r="G11952" s="117">
        <v>14.14</v>
      </c>
    </row>
    <row r="11953" spans="1:7" x14ac:dyDescent="0.25">
      <c r="A11953" s="116" t="s">
        <v>18891</v>
      </c>
      <c r="B11953" s="117" t="s">
        <v>18892</v>
      </c>
      <c r="C11953" t="s">
        <v>67</v>
      </c>
      <c r="D11953" t="s">
        <v>67</v>
      </c>
      <c r="E11953" t="s">
        <v>67</v>
      </c>
      <c r="F11953" t="s">
        <v>45</v>
      </c>
      <c r="G11953" s="117">
        <v>118.26</v>
      </c>
    </row>
    <row r="11954" spans="1:7" x14ac:dyDescent="0.25">
      <c r="A11954" s="116" t="s">
        <v>18893</v>
      </c>
      <c r="B11954" s="117" t="s">
        <v>18894</v>
      </c>
      <c r="C11954" t="s">
        <v>67</v>
      </c>
      <c r="D11954" t="s">
        <v>67</v>
      </c>
      <c r="E11954" t="s">
        <v>67</v>
      </c>
      <c r="F11954" t="s">
        <v>45</v>
      </c>
      <c r="G11954" s="117">
        <v>118.26</v>
      </c>
    </row>
    <row r="11955" spans="1:7" x14ac:dyDescent="0.25">
      <c r="A11955" s="116" t="s">
        <v>18895</v>
      </c>
      <c r="B11955" s="117" t="s">
        <v>18896</v>
      </c>
      <c r="C11955" t="s">
        <v>67</v>
      </c>
      <c r="D11955" t="s">
        <v>67</v>
      </c>
      <c r="E11955" t="s">
        <v>67</v>
      </c>
      <c r="F11955" t="s">
        <v>27987</v>
      </c>
      <c r="G11955" s="117">
        <v>118.26</v>
      </c>
    </row>
    <row r="11956" spans="1:7" x14ac:dyDescent="0.25">
      <c r="A11956" s="116" t="s">
        <v>18897</v>
      </c>
      <c r="B11956" s="117" t="s">
        <v>18898</v>
      </c>
      <c r="C11956" t="s">
        <v>67</v>
      </c>
      <c r="D11956" t="s">
        <v>67</v>
      </c>
      <c r="E11956" t="s">
        <v>67</v>
      </c>
      <c r="F11956" t="s">
        <v>45</v>
      </c>
      <c r="G11956" s="117">
        <v>118.26</v>
      </c>
    </row>
    <row r="11957" spans="1:7" x14ac:dyDescent="0.25">
      <c r="A11957" s="116" t="s">
        <v>18899</v>
      </c>
      <c r="B11957" s="117" t="s">
        <v>18900</v>
      </c>
      <c r="C11957" t="s">
        <v>67</v>
      </c>
      <c r="D11957" t="s">
        <v>67</v>
      </c>
      <c r="E11957" t="s">
        <v>67</v>
      </c>
      <c r="F11957" t="s">
        <v>27987</v>
      </c>
      <c r="G11957" s="117">
        <v>402.64</v>
      </c>
    </row>
    <row r="11958" spans="1:7" x14ac:dyDescent="0.25">
      <c r="A11958" s="116" t="s">
        <v>18901</v>
      </c>
      <c r="B11958" s="117" t="s">
        <v>18902</v>
      </c>
      <c r="C11958" t="s">
        <v>67</v>
      </c>
      <c r="D11958" t="s">
        <v>67</v>
      </c>
      <c r="E11958" t="s">
        <v>67</v>
      </c>
      <c r="F11958" t="s">
        <v>27987</v>
      </c>
      <c r="G11958" s="117">
        <v>450.7</v>
      </c>
    </row>
    <row r="11959" spans="1:7" x14ac:dyDescent="0.25">
      <c r="A11959" s="116" t="s">
        <v>18903</v>
      </c>
      <c r="B11959" s="117" t="s">
        <v>18904</v>
      </c>
      <c r="C11959" t="s">
        <v>67</v>
      </c>
      <c r="D11959" t="s">
        <v>67</v>
      </c>
      <c r="E11959" t="s">
        <v>67</v>
      </c>
      <c r="F11959" t="s">
        <v>45</v>
      </c>
      <c r="G11959" s="117">
        <v>122.7</v>
      </c>
    </row>
    <row r="11960" spans="1:7" x14ac:dyDescent="0.25">
      <c r="A11960" s="116" t="s">
        <v>18905</v>
      </c>
      <c r="B11960" s="117" t="s">
        <v>1683</v>
      </c>
      <c r="C11960" t="s">
        <v>67</v>
      </c>
      <c r="D11960" t="s">
        <v>67</v>
      </c>
      <c r="E11960" t="s">
        <v>67</v>
      </c>
      <c r="F11960" t="s">
        <v>27987</v>
      </c>
      <c r="G11960" s="117">
        <v>101.88</v>
      </c>
    </row>
    <row r="11961" spans="1:7" x14ac:dyDescent="0.25">
      <c r="A11961" s="116" t="s">
        <v>18906</v>
      </c>
      <c r="B11961" s="117" t="s">
        <v>18907</v>
      </c>
      <c r="C11961" t="s">
        <v>67</v>
      </c>
      <c r="D11961" t="s">
        <v>67</v>
      </c>
      <c r="E11961" t="s">
        <v>67</v>
      </c>
      <c r="F11961" t="s">
        <v>45</v>
      </c>
      <c r="G11961" s="117">
        <v>618.22</v>
      </c>
    </row>
    <row r="11962" spans="1:7" x14ac:dyDescent="0.25">
      <c r="A11962" s="116" t="s">
        <v>18908</v>
      </c>
      <c r="B11962" s="117" t="s">
        <v>18909</v>
      </c>
      <c r="C11962" t="s">
        <v>67</v>
      </c>
      <c r="D11962" t="s">
        <v>67</v>
      </c>
      <c r="E11962" t="s">
        <v>67</v>
      </c>
      <c r="F11962" t="s">
        <v>27987</v>
      </c>
      <c r="G11962" s="117">
        <v>86.86</v>
      </c>
    </row>
    <row r="11963" spans="1:7" x14ac:dyDescent="0.25">
      <c r="A11963" s="116" t="s">
        <v>18910</v>
      </c>
      <c r="B11963" s="117" t="s">
        <v>18911</v>
      </c>
      <c r="C11963" t="s">
        <v>67</v>
      </c>
      <c r="D11963" t="s">
        <v>67</v>
      </c>
      <c r="E11963" t="s">
        <v>67</v>
      </c>
      <c r="F11963" t="s">
        <v>27987</v>
      </c>
      <c r="G11963" s="117">
        <v>65.760000000000005</v>
      </c>
    </row>
    <row r="11964" spans="1:7" x14ac:dyDescent="0.25">
      <c r="A11964" s="116" t="s">
        <v>18912</v>
      </c>
      <c r="B11964" s="117" t="s">
        <v>18913</v>
      </c>
      <c r="C11964" t="s">
        <v>67</v>
      </c>
      <c r="D11964" t="s">
        <v>67</v>
      </c>
      <c r="E11964" t="s">
        <v>67</v>
      </c>
      <c r="F11964" t="s">
        <v>27987</v>
      </c>
      <c r="G11964" s="117">
        <v>149.58000000000001</v>
      </c>
    </row>
    <row r="11965" spans="1:7" x14ac:dyDescent="0.25">
      <c r="A11965" s="116" t="s">
        <v>18914</v>
      </c>
      <c r="B11965" s="117" t="s">
        <v>18915</v>
      </c>
      <c r="C11965" t="s">
        <v>67</v>
      </c>
      <c r="D11965" t="s">
        <v>67</v>
      </c>
      <c r="E11965" t="s">
        <v>67</v>
      </c>
      <c r="F11965" t="s">
        <v>27987</v>
      </c>
      <c r="G11965" s="117">
        <v>33.369999999999997</v>
      </c>
    </row>
    <row r="11966" spans="1:7" x14ac:dyDescent="0.25">
      <c r="A11966" s="116" t="s">
        <v>18916</v>
      </c>
      <c r="B11966" s="117" t="s">
        <v>18917</v>
      </c>
      <c r="C11966" t="s">
        <v>67</v>
      </c>
      <c r="D11966" t="s">
        <v>67</v>
      </c>
      <c r="E11966" t="s">
        <v>67</v>
      </c>
      <c r="F11966" t="s">
        <v>27987</v>
      </c>
      <c r="G11966" s="117">
        <v>631.33000000000004</v>
      </c>
    </row>
    <row r="11967" spans="1:7" x14ac:dyDescent="0.25">
      <c r="A11967" s="116" t="s">
        <v>18918</v>
      </c>
      <c r="B11967" s="117" t="s">
        <v>1683</v>
      </c>
      <c r="C11967" t="s">
        <v>67</v>
      </c>
      <c r="D11967" t="s">
        <v>67</v>
      </c>
      <c r="E11967" t="s">
        <v>67</v>
      </c>
      <c r="F11967" t="s">
        <v>45</v>
      </c>
      <c r="G11967" s="117">
        <v>73.42</v>
      </c>
    </row>
    <row r="11968" spans="1:7" x14ac:dyDescent="0.25">
      <c r="A11968" s="116" t="s">
        <v>18919</v>
      </c>
      <c r="B11968" s="117" t="s">
        <v>1683</v>
      </c>
      <c r="C11968" t="s">
        <v>67</v>
      </c>
      <c r="D11968" t="s">
        <v>67</v>
      </c>
      <c r="E11968" t="s">
        <v>67</v>
      </c>
      <c r="F11968" t="s">
        <v>45</v>
      </c>
      <c r="G11968" s="117">
        <v>649.13</v>
      </c>
    </row>
    <row r="11969" spans="1:7" x14ac:dyDescent="0.25">
      <c r="A11969" s="116" t="s">
        <v>18920</v>
      </c>
      <c r="B11969" s="117" t="s">
        <v>18921</v>
      </c>
      <c r="C11969" t="s">
        <v>67</v>
      </c>
      <c r="D11969" t="s">
        <v>67</v>
      </c>
      <c r="E11969" t="s">
        <v>67</v>
      </c>
      <c r="F11969" t="s">
        <v>45</v>
      </c>
      <c r="G11969" s="117">
        <v>283.42</v>
      </c>
    </row>
    <row r="11970" spans="1:7" x14ac:dyDescent="0.25">
      <c r="A11970" s="116" t="s">
        <v>18922</v>
      </c>
      <c r="B11970" s="117" t="s">
        <v>18923</v>
      </c>
      <c r="C11970" t="s">
        <v>67</v>
      </c>
      <c r="D11970" t="s">
        <v>67</v>
      </c>
      <c r="E11970" t="s">
        <v>67</v>
      </c>
      <c r="F11970" t="s">
        <v>45</v>
      </c>
      <c r="G11970" s="117">
        <v>20.38</v>
      </c>
    </row>
    <row r="11971" spans="1:7" x14ac:dyDescent="0.25">
      <c r="A11971" s="116" t="s">
        <v>18924</v>
      </c>
      <c r="B11971" s="117" t="s">
        <v>18925</v>
      </c>
      <c r="C11971" t="s">
        <v>67</v>
      </c>
      <c r="D11971" t="s">
        <v>67</v>
      </c>
      <c r="E11971" t="s">
        <v>67</v>
      </c>
      <c r="F11971" t="s">
        <v>27987</v>
      </c>
      <c r="G11971" s="117">
        <v>343</v>
      </c>
    </row>
    <row r="11972" spans="1:7" x14ac:dyDescent="0.25">
      <c r="A11972" s="116" t="s">
        <v>18926</v>
      </c>
      <c r="B11972" s="117" t="s">
        <v>18927</v>
      </c>
      <c r="C11972" t="s">
        <v>67</v>
      </c>
      <c r="D11972" t="s">
        <v>67</v>
      </c>
      <c r="E11972" t="s">
        <v>67</v>
      </c>
      <c r="F11972" t="s">
        <v>45</v>
      </c>
      <c r="G11972" s="117">
        <v>578.29999999999995</v>
      </c>
    </row>
    <row r="11973" spans="1:7" x14ac:dyDescent="0.25">
      <c r="A11973" s="116" t="s">
        <v>18928</v>
      </c>
      <c r="B11973" s="117" t="s">
        <v>18929</v>
      </c>
      <c r="C11973" t="s">
        <v>67</v>
      </c>
      <c r="D11973" t="s">
        <v>67</v>
      </c>
      <c r="E11973" t="s">
        <v>67</v>
      </c>
      <c r="F11973" t="s">
        <v>27987</v>
      </c>
      <c r="G11973" s="117">
        <v>16.46</v>
      </c>
    </row>
    <row r="11974" spans="1:7" x14ac:dyDescent="0.25">
      <c r="A11974" s="116" t="s">
        <v>18930</v>
      </c>
      <c r="B11974" s="117" t="s">
        <v>18807</v>
      </c>
      <c r="C11974" t="s">
        <v>67</v>
      </c>
      <c r="D11974" t="s">
        <v>67</v>
      </c>
      <c r="E11974" t="s">
        <v>67</v>
      </c>
      <c r="F11974" t="s">
        <v>27987</v>
      </c>
      <c r="G11974" s="117">
        <v>244.62</v>
      </c>
    </row>
    <row r="11975" spans="1:7" x14ac:dyDescent="0.25">
      <c r="A11975" s="116" t="s">
        <v>18931</v>
      </c>
      <c r="B11975" s="117" t="s">
        <v>18932</v>
      </c>
      <c r="C11975" t="s">
        <v>67</v>
      </c>
      <c r="D11975" t="s">
        <v>67</v>
      </c>
      <c r="E11975" t="s">
        <v>67</v>
      </c>
      <c r="F11975" t="s">
        <v>45</v>
      </c>
      <c r="G11975" s="117">
        <v>454.26</v>
      </c>
    </row>
    <row r="11976" spans="1:7" x14ac:dyDescent="0.25">
      <c r="A11976" s="116" t="s">
        <v>18933</v>
      </c>
      <c r="B11976" s="117" t="s">
        <v>18934</v>
      </c>
      <c r="C11976" t="s">
        <v>67</v>
      </c>
      <c r="D11976" t="s">
        <v>67</v>
      </c>
      <c r="E11976" t="s">
        <v>67</v>
      </c>
      <c r="F11976" t="s">
        <v>27987</v>
      </c>
      <c r="G11976" s="117">
        <v>60.95</v>
      </c>
    </row>
    <row r="11977" spans="1:7" x14ac:dyDescent="0.25">
      <c r="A11977" s="116" t="s">
        <v>18935</v>
      </c>
      <c r="B11977" s="117" t="s">
        <v>18936</v>
      </c>
      <c r="C11977" t="s">
        <v>67</v>
      </c>
      <c r="D11977" t="s">
        <v>67</v>
      </c>
      <c r="E11977" t="s">
        <v>67</v>
      </c>
      <c r="F11977" t="s">
        <v>27987</v>
      </c>
      <c r="G11977" s="117">
        <v>172.18</v>
      </c>
    </row>
    <row r="11978" spans="1:7" x14ac:dyDescent="0.25">
      <c r="A11978" s="116" t="s">
        <v>18937</v>
      </c>
      <c r="B11978" s="117" t="s">
        <v>18726</v>
      </c>
      <c r="C11978" t="s">
        <v>67</v>
      </c>
      <c r="D11978" t="s">
        <v>67</v>
      </c>
      <c r="E11978" t="s">
        <v>67</v>
      </c>
      <c r="F11978" t="s">
        <v>45</v>
      </c>
      <c r="G11978" s="117">
        <v>30.7</v>
      </c>
    </row>
    <row r="11979" spans="1:7" x14ac:dyDescent="0.25">
      <c r="A11979" s="116" t="s">
        <v>18938</v>
      </c>
      <c r="B11979" s="117" t="s">
        <v>18939</v>
      </c>
      <c r="C11979" t="s">
        <v>67</v>
      </c>
      <c r="D11979" t="s">
        <v>67</v>
      </c>
      <c r="E11979" t="s">
        <v>67</v>
      </c>
      <c r="F11979" t="s">
        <v>45</v>
      </c>
      <c r="G11979" s="117">
        <v>306.89999999999998</v>
      </c>
    </row>
    <row r="11980" spans="1:7" x14ac:dyDescent="0.25">
      <c r="A11980" s="116" t="s">
        <v>18940</v>
      </c>
      <c r="B11980" s="117" t="s">
        <v>18941</v>
      </c>
      <c r="C11980" t="s">
        <v>67</v>
      </c>
      <c r="D11980" t="s">
        <v>67</v>
      </c>
      <c r="E11980" t="s">
        <v>67</v>
      </c>
      <c r="F11980" t="s">
        <v>45</v>
      </c>
      <c r="G11980" s="117">
        <v>511.56</v>
      </c>
    </row>
    <row r="11981" spans="1:7" x14ac:dyDescent="0.25">
      <c r="A11981" s="116" t="s">
        <v>18942</v>
      </c>
      <c r="B11981" s="117" t="s">
        <v>18943</v>
      </c>
      <c r="C11981" t="s">
        <v>67</v>
      </c>
      <c r="D11981" t="s">
        <v>67</v>
      </c>
      <c r="E11981" t="s">
        <v>67</v>
      </c>
      <c r="F11981" t="s">
        <v>27987</v>
      </c>
      <c r="G11981" s="117">
        <v>461.38</v>
      </c>
    </row>
    <row r="11982" spans="1:7" x14ac:dyDescent="0.25">
      <c r="A11982" s="116" t="s">
        <v>18944</v>
      </c>
      <c r="B11982" s="117" t="s">
        <v>18945</v>
      </c>
      <c r="C11982" t="s">
        <v>67</v>
      </c>
      <c r="D11982" t="s">
        <v>67</v>
      </c>
      <c r="E11982" t="s">
        <v>67</v>
      </c>
      <c r="F11982" t="s">
        <v>27987</v>
      </c>
      <c r="G11982" s="117">
        <v>117.37</v>
      </c>
    </row>
    <row r="11983" spans="1:7" x14ac:dyDescent="0.25">
      <c r="A11983" s="116" t="s">
        <v>18946</v>
      </c>
      <c r="B11983" s="117" t="s">
        <v>18947</v>
      </c>
      <c r="C11983" t="s">
        <v>67</v>
      </c>
      <c r="D11983" t="s">
        <v>67</v>
      </c>
      <c r="E11983" t="s">
        <v>67</v>
      </c>
      <c r="F11983" t="s">
        <v>27987</v>
      </c>
      <c r="G11983" s="117">
        <v>18.600000000000001</v>
      </c>
    </row>
    <row r="11984" spans="1:7" x14ac:dyDescent="0.25">
      <c r="A11984" s="116" t="s">
        <v>28063</v>
      </c>
      <c r="B11984" s="117" t="s">
        <v>28064</v>
      </c>
      <c r="C11984" t="s">
        <v>67</v>
      </c>
      <c r="D11984" t="s">
        <v>67</v>
      </c>
      <c r="E11984" t="s">
        <v>67</v>
      </c>
      <c r="F11984" t="s">
        <v>27987</v>
      </c>
      <c r="G11984" s="117">
        <v>110</v>
      </c>
    </row>
    <row r="11985" spans="1:7" x14ac:dyDescent="0.25">
      <c r="A11985" s="116" t="s">
        <v>18948</v>
      </c>
      <c r="B11985" s="117" t="s">
        <v>18949</v>
      </c>
      <c r="C11985" t="s">
        <v>67</v>
      </c>
      <c r="D11985" t="s">
        <v>67</v>
      </c>
      <c r="E11985" t="s">
        <v>67</v>
      </c>
      <c r="F11985" t="s">
        <v>27987</v>
      </c>
      <c r="G11985" s="117">
        <v>112.56</v>
      </c>
    </row>
    <row r="11986" spans="1:7" x14ac:dyDescent="0.25">
      <c r="A11986" s="116" t="s">
        <v>18950</v>
      </c>
      <c r="B11986" s="117" t="s">
        <v>18951</v>
      </c>
      <c r="C11986" t="s">
        <v>67</v>
      </c>
      <c r="D11986" t="s">
        <v>67</v>
      </c>
      <c r="E11986" t="s">
        <v>67</v>
      </c>
      <c r="F11986" t="s">
        <v>27987</v>
      </c>
      <c r="G11986" s="117">
        <v>47.61</v>
      </c>
    </row>
    <row r="11987" spans="1:7" x14ac:dyDescent="0.25">
      <c r="A11987" s="116" t="s">
        <v>27101</v>
      </c>
      <c r="B11987" s="117" t="s">
        <v>27102</v>
      </c>
      <c r="C11987" t="s">
        <v>67</v>
      </c>
      <c r="D11987" t="s">
        <v>67</v>
      </c>
      <c r="E11987" t="s">
        <v>67</v>
      </c>
      <c r="F11987" t="s">
        <v>27987</v>
      </c>
      <c r="G11987" s="117">
        <v>239.88</v>
      </c>
    </row>
    <row r="11988" spans="1:7" x14ac:dyDescent="0.25">
      <c r="A11988" s="116" t="s">
        <v>18952</v>
      </c>
      <c r="B11988" s="117" t="s">
        <v>18953</v>
      </c>
      <c r="C11988" t="s">
        <v>67</v>
      </c>
      <c r="D11988" t="s">
        <v>67</v>
      </c>
      <c r="E11988" t="s">
        <v>67</v>
      </c>
      <c r="F11988" t="s">
        <v>27987</v>
      </c>
      <c r="G11988" s="117">
        <v>38.18</v>
      </c>
    </row>
    <row r="11989" spans="1:7" x14ac:dyDescent="0.25">
      <c r="A11989" s="116" t="s">
        <v>18954</v>
      </c>
      <c r="B11989" s="117" t="s">
        <v>18955</v>
      </c>
      <c r="C11989" t="s">
        <v>67</v>
      </c>
      <c r="D11989" t="s">
        <v>67</v>
      </c>
      <c r="E11989" t="s">
        <v>67</v>
      </c>
      <c r="F11989" t="s">
        <v>27987</v>
      </c>
      <c r="G11989" s="117">
        <v>28.92</v>
      </c>
    </row>
    <row r="11990" spans="1:7" x14ac:dyDescent="0.25">
      <c r="A11990" s="116" t="s">
        <v>18956</v>
      </c>
      <c r="B11990" s="117" t="s">
        <v>18957</v>
      </c>
      <c r="C11990" t="s">
        <v>67</v>
      </c>
      <c r="D11990" t="s">
        <v>67</v>
      </c>
      <c r="E11990" t="s">
        <v>67</v>
      </c>
      <c r="F11990" t="s">
        <v>27987</v>
      </c>
      <c r="G11990" s="117">
        <v>490.2</v>
      </c>
    </row>
    <row r="11991" spans="1:7" x14ac:dyDescent="0.25">
      <c r="A11991" s="116" t="s">
        <v>18958</v>
      </c>
      <c r="B11991" s="117" t="s">
        <v>18959</v>
      </c>
      <c r="C11991" t="s">
        <v>67</v>
      </c>
      <c r="D11991" t="s">
        <v>67</v>
      </c>
      <c r="E11991" t="s">
        <v>67</v>
      </c>
      <c r="F11991" t="s">
        <v>27987</v>
      </c>
      <c r="G11991" s="117">
        <v>665.5</v>
      </c>
    </row>
    <row r="11992" spans="1:7" x14ac:dyDescent="0.25">
      <c r="A11992" s="116" t="s">
        <v>18960</v>
      </c>
      <c r="B11992" s="117" t="s">
        <v>18961</v>
      </c>
      <c r="C11992" t="s">
        <v>67</v>
      </c>
      <c r="D11992" t="s">
        <v>67</v>
      </c>
      <c r="E11992" t="s">
        <v>67</v>
      </c>
      <c r="F11992" t="s">
        <v>27987</v>
      </c>
      <c r="G11992" s="117">
        <v>459.06</v>
      </c>
    </row>
    <row r="11993" spans="1:7" x14ac:dyDescent="0.25">
      <c r="A11993" s="116" t="s">
        <v>18962</v>
      </c>
      <c r="B11993" s="117" t="s">
        <v>18963</v>
      </c>
      <c r="C11993" t="s">
        <v>67</v>
      </c>
      <c r="D11993" t="s">
        <v>67</v>
      </c>
      <c r="E11993" t="s">
        <v>67</v>
      </c>
      <c r="F11993" t="s">
        <v>27987</v>
      </c>
      <c r="G11993" s="117">
        <v>350</v>
      </c>
    </row>
    <row r="11994" spans="1:7" x14ac:dyDescent="0.25">
      <c r="A11994" s="116" t="s">
        <v>18964</v>
      </c>
      <c r="B11994" s="117" t="s">
        <v>18965</v>
      </c>
      <c r="C11994" t="s">
        <v>67</v>
      </c>
      <c r="D11994" t="s">
        <v>67</v>
      </c>
      <c r="E11994" t="s">
        <v>67</v>
      </c>
      <c r="F11994" t="s">
        <v>27987</v>
      </c>
      <c r="G11994" s="117">
        <v>299.79000000000002</v>
      </c>
    </row>
    <row r="11995" spans="1:7" x14ac:dyDescent="0.25">
      <c r="A11995" s="116" t="s">
        <v>18966</v>
      </c>
      <c r="B11995" s="117" t="s">
        <v>18967</v>
      </c>
      <c r="C11995" t="s">
        <v>67</v>
      </c>
      <c r="D11995" t="s">
        <v>67</v>
      </c>
      <c r="E11995" t="s">
        <v>67</v>
      </c>
      <c r="F11995" t="s">
        <v>27987</v>
      </c>
      <c r="G11995" s="117">
        <v>37.29</v>
      </c>
    </row>
    <row r="11996" spans="1:7" x14ac:dyDescent="0.25">
      <c r="A11996" s="116" t="s">
        <v>18968</v>
      </c>
      <c r="B11996" s="117" t="s">
        <v>18969</v>
      </c>
      <c r="C11996" t="s">
        <v>67</v>
      </c>
      <c r="D11996" t="s">
        <v>67</v>
      </c>
      <c r="E11996" t="s">
        <v>67</v>
      </c>
      <c r="F11996" t="s">
        <v>45</v>
      </c>
      <c r="G11996" s="117">
        <v>92.1</v>
      </c>
    </row>
    <row r="11997" spans="1:7" x14ac:dyDescent="0.25">
      <c r="A11997" s="116" t="s">
        <v>18970</v>
      </c>
      <c r="B11997" s="117" t="s">
        <v>1683</v>
      </c>
      <c r="C11997" t="s">
        <v>67</v>
      </c>
      <c r="D11997" t="s">
        <v>67</v>
      </c>
      <c r="E11997" t="s">
        <v>67</v>
      </c>
      <c r="F11997" t="s">
        <v>27987</v>
      </c>
      <c r="G11997" s="117">
        <v>465.82</v>
      </c>
    </row>
    <row r="11998" spans="1:7" x14ac:dyDescent="0.25">
      <c r="A11998" s="116" t="s">
        <v>18971</v>
      </c>
      <c r="B11998" s="117" t="s">
        <v>18972</v>
      </c>
      <c r="C11998" t="s">
        <v>67</v>
      </c>
      <c r="D11998" t="s">
        <v>67</v>
      </c>
      <c r="E11998" t="s">
        <v>67</v>
      </c>
      <c r="F11998" t="s">
        <v>27987</v>
      </c>
      <c r="G11998" s="117">
        <v>47.61</v>
      </c>
    </row>
    <row r="11999" spans="1:7" x14ac:dyDescent="0.25">
      <c r="A11999" s="116" t="s">
        <v>18973</v>
      </c>
      <c r="B11999" s="117" t="s">
        <v>18974</v>
      </c>
      <c r="C11999" t="s">
        <v>67</v>
      </c>
      <c r="D11999" t="s">
        <v>67</v>
      </c>
      <c r="E11999" t="s">
        <v>67</v>
      </c>
      <c r="F11999" t="s">
        <v>27987</v>
      </c>
      <c r="G11999" s="117">
        <v>66.3</v>
      </c>
    </row>
    <row r="12000" spans="1:7" x14ac:dyDescent="0.25">
      <c r="A12000" s="116" t="s">
        <v>18975</v>
      </c>
      <c r="B12000" s="117" t="s">
        <v>18976</v>
      </c>
      <c r="C12000" t="s">
        <v>67</v>
      </c>
      <c r="D12000" t="s">
        <v>67</v>
      </c>
      <c r="E12000" t="s">
        <v>67</v>
      </c>
      <c r="F12000" t="s">
        <v>27987</v>
      </c>
      <c r="G12000" s="117">
        <v>176.99</v>
      </c>
    </row>
    <row r="12001" spans="1:7" x14ac:dyDescent="0.25">
      <c r="A12001" s="116" t="s">
        <v>18977</v>
      </c>
      <c r="B12001" s="117" t="s">
        <v>18978</v>
      </c>
      <c r="C12001" t="s">
        <v>67</v>
      </c>
      <c r="D12001" t="s">
        <v>67</v>
      </c>
      <c r="E12001" t="s">
        <v>67</v>
      </c>
      <c r="F12001" t="s">
        <v>27987</v>
      </c>
      <c r="G12001" s="117">
        <v>15.04</v>
      </c>
    </row>
    <row r="12002" spans="1:7" x14ac:dyDescent="0.25">
      <c r="A12002" s="116" t="s">
        <v>18979</v>
      </c>
      <c r="B12002" s="117" t="s">
        <v>18980</v>
      </c>
      <c r="C12002" t="s">
        <v>67</v>
      </c>
      <c r="D12002" t="s">
        <v>67</v>
      </c>
      <c r="E12002" t="s">
        <v>67</v>
      </c>
      <c r="F12002" t="s">
        <v>27987</v>
      </c>
      <c r="G12002" s="117">
        <v>21.8</v>
      </c>
    </row>
    <row r="12003" spans="1:7" x14ac:dyDescent="0.25">
      <c r="A12003" s="116" t="s">
        <v>18981</v>
      </c>
      <c r="B12003" s="117" t="s">
        <v>18711</v>
      </c>
      <c r="C12003" t="s">
        <v>67</v>
      </c>
      <c r="D12003" t="s">
        <v>67</v>
      </c>
      <c r="E12003" t="s">
        <v>67</v>
      </c>
      <c r="F12003" t="s">
        <v>27987</v>
      </c>
      <c r="G12003" s="117">
        <v>71.63</v>
      </c>
    </row>
    <row r="12004" spans="1:7" x14ac:dyDescent="0.25">
      <c r="A12004" s="116" t="s">
        <v>18982</v>
      </c>
      <c r="B12004" s="117" t="s">
        <v>18983</v>
      </c>
      <c r="C12004" t="s">
        <v>67</v>
      </c>
      <c r="D12004" t="s">
        <v>67</v>
      </c>
      <c r="E12004" t="s">
        <v>67</v>
      </c>
      <c r="F12004" t="s">
        <v>27987</v>
      </c>
      <c r="G12004" s="117">
        <v>81.42</v>
      </c>
    </row>
    <row r="12005" spans="1:7" x14ac:dyDescent="0.25">
      <c r="A12005" s="116" t="s">
        <v>18984</v>
      </c>
      <c r="B12005" s="117" t="s">
        <v>18985</v>
      </c>
      <c r="C12005" t="s">
        <v>67</v>
      </c>
      <c r="D12005" t="s">
        <v>67</v>
      </c>
      <c r="E12005" t="s">
        <v>67</v>
      </c>
      <c r="F12005" t="s">
        <v>27987</v>
      </c>
      <c r="G12005" s="117">
        <v>82.67</v>
      </c>
    </row>
    <row r="12006" spans="1:7" x14ac:dyDescent="0.25">
      <c r="A12006" s="116" t="s">
        <v>18986</v>
      </c>
      <c r="B12006" s="117" t="s">
        <v>18987</v>
      </c>
      <c r="C12006" t="s">
        <v>67</v>
      </c>
      <c r="D12006" t="s">
        <v>67</v>
      </c>
      <c r="E12006" t="s">
        <v>67</v>
      </c>
      <c r="F12006" t="s">
        <v>27987</v>
      </c>
      <c r="G12006" s="117">
        <v>193.54</v>
      </c>
    </row>
    <row r="12007" spans="1:7" x14ac:dyDescent="0.25">
      <c r="A12007" s="116" t="s">
        <v>18988</v>
      </c>
      <c r="B12007" s="117" t="s">
        <v>18989</v>
      </c>
      <c r="C12007" t="s">
        <v>67</v>
      </c>
      <c r="D12007" t="s">
        <v>67</v>
      </c>
      <c r="E12007" t="s">
        <v>67</v>
      </c>
      <c r="F12007" t="s">
        <v>27987</v>
      </c>
      <c r="G12007" s="117">
        <v>186.77</v>
      </c>
    </row>
    <row r="12008" spans="1:7" x14ac:dyDescent="0.25">
      <c r="A12008" s="116" t="s">
        <v>18990</v>
      </c>
      <c r="B12008" s="117" t="s">
        <v>18991</v>
      </c>
      <c r="C12008" t="s">
        <v>67</v>
      </c>
      <c r="D12008" t="s">
        <v>67</v>
      </c>
      <c r="E12008" t="s">
        <v>67</v>
      </c>
      <c r="F12008" t="s">
        <v>27987</v>
      </c>
      <c r="G12008" s="117">
        <v>408.88</v>
      </c>
    </row>
    <row r="12009" spans="1:7" x14ac:dyDescent="0.25">
      <c r="A12009" s="116" t="s">
        <v>18992</v>
      </c>
      <c r="B12009" s="117" t="s">
        <v>18993</v>
      </c>
      <c r="C12009" t="s">
        <v>67</v>
      </c>
      <c r="D12009" t="s">
        <v>67</v>
      </c>
      <c r="E12009" t="s">
        <v>67</v>
      </c>
      <c r="F12009" t="s">
        <v>27987</v>
      </c>
      <c r="G12009" s="117">
        <v>54.19</v>
      </c>
    </row>
    <row r="12010" spans="1:7" x14ac:dyDescent="0.25">
      <c r="A12010" s="116" t="s">
        <v>18994</v>
      </c>
      <c r="B12010" s="117" t="s">
        <v>18995</v>
      </c>
      <c r="C12010" t="s">
        <v>67</v>
      </c>
      <c r="D12010" t="s">
        <v>67</v>
      </c>
      <c r="E12010" t="s">
        <v>67</v>
      </c>
      <c r="F12010" t="s">
        <v>45</v>
      </c>
      <c r="G12010" s="117">
        <v>185.88</v>
      </c>
    </row>
    <row r="12011" spans="1:7" x14ac:dyDescent="0.25">
      <c r="A12011" s="116" t="s">
        <v>18996</v>
      </c>
      <c r="B12011" s="117" t="s">
        <v>18997</v>
      </c>
      <c r="C12011" t="s">
        <v>67</v>
      </c>
      <c r="D12011" t="s">
        <v>67</v>
      </c>
      <c r="E12011" t="s">
        <v>67</v>
      </c>
      <c r="F12011" t="s">
        <v>27987</v>
      </c>
      <c r="G12011" s="117">
        <v>51.17</v>
      </c>
    </row>
    <row r="12012" spans="1:7" x14ac:dyDescent="0.25">
      <c r="A12012" s="116" t="s">
        <v>18998</v>
      </c>
      <c r="B12012" s="117" t="s">
        <v>18999</v>
      </c>
      <c r="C12012" t="s">
        <v>67</v>
      </c>
      <c r="D12012" t="s">
        <v>67</v>
      </c>
      <c r="E12012" t="s">
        <v>67</v>
      </c>
      <c r="F12012" t="s">
        <v>45</v>
      </c>
      <c r="G12012" s="117">
        <v>649.13</v>
      </c>
    </row>
    <row r="12013" spans="1:7" x14ac:dyDescent="0.25">
      <c r="A12013" s="116" t="s">
        <v>19000</v>
      </c>
      <c r="B12013" s="117" t="s">
        <v>19001</v>
      </c>
      <c r="C12013" t="s">
        <v>67</v>
      </c>
      <c r="D12013" t="s">
        <v>67</v>
      </c>
      <c r="E12013" t="s">
        <v>67</v>
      </c>
      <c r="F12013" t="s">
        <v>45</v>
      </c>
      <c r="G12013" s="117">
        <v>649.13</v>
      </c>
    </row>
    <row r="12014" spans="1:7" x14ac:dyDescent="0.25">
      <c r="A12014" s="116" t="s">
        <v>19002</v>
      </c>
      <c r="B12014" s="117" t="s">
        <v>19003</v>
      </c>
      <c r="C12014" t="s">
        <v>67</v>
      </c>
      <c r="D12014" t="s">
        <v>67</v>
      </c>
      <c r="E12014" t="s">
        <v>67</v>
      </c>
      <c r="F12014" t="s">
        <v>45</v>
      </c>
      <c r="G12014" s="117">
        <v>41.38</v>
      </c>
    </row>
    <row r="12015" spans="1:7" x14ac:dyDescent="0.25">
      <c r="A12015" s="116" t="s">
        <v>19004</v>
      </c>
      <c r="B12015" s="117" t="s">
        <v>19005</v>
      </c>
      <c r="C12015" t="s">
        <v>67</v>
      </c>
      <c r="D12015" t="s">
        <v>67</v>
      </c>
      <c r="E12015" t="s">
        <v>67</v>
      </c>
      <c r="F12015" t="s">
        <v>45</v>
      </c>
      <c r="G12015" s="117">
        <v>106.33</v>
      </c>
    </row>
    <row r="12016" spans="1:7" x14ac:dyDescent="0.25">
      <c r="A12016" s="116" t="s">
        <v>19006</v>
      </c>
      <c r="B12016" s="117" t="s">
        <v>19007</v>
      </c>
      <c r="C12016" t="s">
        <v>67</v>
      </c>
      <c r="D12016" t="s">
        <v>67</v>
      </c>
      <c r="E12016" t="s">
        <v>67</v>
      </c>
      <c r="F12016" t="s">
        <v>27987</v>
      </c>
      <c r="G12016" s="117">
        <v>94.76</v>
      </c>
    </row>
    <row r="12017" spans="1:7" x14ac:dyDescent="0.25">
      <c r="A12017" s="116" t="s">
        <v>19008</v>
      </c>
      <c r="B12017" s="117" t="s">
        <v>19009</v>
      </c>
      <c r="C12017" t="s">
        <v>67</v>
      </c>
      <c r="D12017" t="s">
        <v>67</v>
      </c>
      <c r="E12017" t="s">
        <v>67</v>
      </c>
      <c r="F12017" t="s">
        <v>45</v>
      </c>
      <c r="G12017" s="117">
        <v>117.01</v>
      </c>
    </row>
    <row r="12018" spans="1:7" x14ac:dyDescent="0.25">
      <c r="A12018" s="116" t="s">
        <v>19010</v>
      </c>
      <c r="B12018" s="117" t="s">
        <v>19011</v>
      </c>
      <c r="C12018" t="s">
        <v>67</v>
      </c>
      <c r="D12018" t="s">
        <v>67</v>
      </c>
      <c r="E12018" t="s">
        <v>67</v>
      </c>
      <c r="F12018" t="s">
        <v>27987</v>
      </c>
      <c r="G12018" s="117">
        <v>472.06</v>
      </c>
    </row>
    <row r="12019" spans="1:7" x14ac:dyDescent="0.25">
      <c r="A12019" s="116" t="s">
        <v>19012</v>
      </c>
      <c r="B12019" s="117" t="s">
        <v>19013</v>
      </c>
      <c r="C12019" t="s">
        <v>67</v>
      </c>
      <c r="D12019" t="s">
        <v>67</v>
      </c>
      <c r="E12019" t="s">
        <v>67</v>
      </c>
      <c r="F12019" t="s">
        <v>27987</v>
      </c>
      <c r="G12019" s="117">
        <v>540.57000000000005</v>
      </c>
    </row>
    <row r="12020" spans="1:7" x14ac:dyDescent="0.25">
      <c r="A12020" s="116" t="s">
        <v>19014</v>
      </c>
      <c r="B12020" s="117" t="s">
        <v>19015</v>
      </c>
      <c r="C12020" t="s">
        <v>67</v>
      </c>
      <c r="D12020" t="s">
        <v>67</v>
      </c>
      <c r="E12020" t="s">
        <v>67</v>
      </c>
      <c r="F12020" t="s">
        <v>27987</v>
      </c>
      <c r="G12020" s="117">
        <v>2477.7399999999998</v>
      </c>
    </row>
    <row r="12021" spans="1:7" x14ac:dyDescent="0.25">
      <c r="A12021" s="116" t="s">
        <v>19016</v>
      </c>
      <c r="B12021" s="117" t="s">
        <v>19017</v>
      </c>
      <c r="C12021" t="s">
        <v>67</v>
      </c>
      <c r="D12021" t="s">
        <v>67</v>
      </c>
      <c r="E12021" t="s">
        <v>67</v>
      </c>
      <c r="F12021" t="s">
        <v>27987</v>
      </c>
      <c r="G12021" s="117">
        <v>13.8</v>
      </c>
    </row>
    <row r="12022" spans="1:7" x14ac:dyDescent="0.25">
      <c r="A12022" s="116" t="s">
        <v>19018</v>
      </c>
      <c r="B12022" s="117" t="s">
        <v>19019</v>
      </c>
      <c r="C12022" t="s">
        <v>67</v>
      </c>
      <c r="D12022" t="s">
        <v>67</v>
      </c>
      <c r="E12022" t="s">
        <v>67</v>
      </c>
      <c r="F12022" t="s">
        <v>27987</v>
      </c>
      <c r="G12022" s="117">
        <v>13.8</v>
      </c>
    </row>
    <row r="12023" spans="1:7" x14ac:dyDescent="0.25">
      <c r="A12023" s="116" t="s">
        <v>19020</v>
      </c>
      <c r="B12023" s="117" t="s">
        <v>19021</v>
      </c>
      <c r="C12023" t="s">
        <v>67</v>
      </c>
      <c r="D12023" t="s">
        <v>67</v>
      </c>
      <c r="E12023" t="s">
        <v>67</v>
      </c>
      <c r="F12023" t="s">
        <v>27987</v>
      </c>
      <c r="G12023" s="117">
        <v>363.86</v>
      </c>
    </row>
    <row r="12024" spans="1:7" x14ac:dyDescent="0.25">
      <c r="A12024" s="116" t="s">
        <v>19022</v>
      </c>
      <c r="B12024" s="117" t="s">
        <v>19023</v>
      </c>
      <c r="C12024" t="s">
        <v>67</v>
      </c>
      <c r="D12024" t="s">
        <v>67</v>
      </c>
      <c r="E12024" t="s">
        <v>67</v>
      </c>
      <c r="F12024" t="s">
        <v>27987</v>
      </c>
      <c r="G12024" s="117">
        <v>366.17</v>
      </c>
    </row>
    <row r="12025" spans="1:7" x14ac:dyDescent="0.25">
      <c r="A12025" s="116" t="s">
        <v>19024</v>
      </c>
      <c r="B12025" s="117" t="s">
        <v>19025</v>
      </c>
      <c r="C12025" t="s">
        <v>67</v>
      </c>
      <c r="D12025" t="s">
        <v>67</v>
      </c>
      <c r="E12025" t="s">
        <v>67</v>
      </c>
      <c r="F12025" t="s">
        <v>27987</v>
      </c>
      <c r="G12025" s="117">
        <v>196.2</v>
      </c>
    </row>
    <row r="12026" spans="1:7" x14ac:dyDescent="0.25">
      <c r="A12026" s="116" t="s">
        <v>19026</v>
      </c>
      <c r="B12026" s="117" t="s">
        <v>19027</v>
      </c>
      <c r="C12026" t="s">
        <v>67</v>
      </c>
      <c r="D12026" t="s">
        <v>67</v>
      </c>
      <c r="E12026" t="s">
        <v>67</v>
      </c>
      <c r="F12026" t="s">
        <v>45</v>
      </c>
      <c r="G12026" s="117">
        <v>554.80999999999995</v>
      </c>
    </row>
    <row r="12027" spans="1:7" x14ac:dyDescent="0.25">
      <c r="A12027" s="116" t="s">
        <v>19028</v>
      </c>
      <c r="B12027" s="117" t="s">
        <v>19029</v>
      </c>
      <c r="C12027" t="s">
        <v>67</v>
      </c>
      <c r="D12027" t="s">
        <v>67</v>
      </c>
      <c r="E12027" t="s">
        <v>67</v>
      </c>
      <c r="F12027" t="s">
        <v>27987</v>
      </c>
      <c r="G12027" s="117">
        <v>566.38</v>
      </c>
    </row>
    <row r="12028" spans="1:7" x14ac:dyDescent="0.25">
      <c r="A12028" s="116" t="s">
        <v>19030</v>
      </c>
      <c r="B12028" s="117" t="s">
        <v>19031</v>
      </c>
      <c r="C12028" t="s">
        <v>67</v>
      </c>
      <c r="D12028" t="s">
        <v>67</v>
      </c>
      <c r="E12028" t="s">
        <v>67</v>
      </c>
      <c r="F12028" t="s">
        <v>27987</v>
      </c>
      <c r="G12028" s="117">
        <v>602.86</v>
      </c>
    </row>
    <row r="12029" spans="1:7" x14ac:dyDescent="0.25">
      <c r="A12029" s="116" t="s">
        <v>19032</v>
      </c>
      <c r="B12029" s="117" t="s">
        <v>19033</v>
      </c>
      <c r="C12029" t="s">
        <v>67</v>
      </c>
      <c r="D12029" t="s">
        <v>67</v>
      </c>
      <c r="E12029" t="s">
        <v>67</v>
      </c>
      <c r="F12029" t="s">
        <v>27987</v>
      </c>
      <c r="G12029" s="117">
        <v>380.76</v>
      </c>
    </row>
    <row r="12030" spans="1:7" x14ac:dyDescent="0.25">
      <c r="A12030" s="116" t="s">
        <v>19034</v>
      </c>
      <c r="B12030" s="117" t="s">
        <v>19035</v>
      </c>
      <c r="C12030" t="s">
        <v>67</v>
      </c>
      <c r="D12030" t="s">
        <v>67</v>
      </c>
      <c r="E12030" t="s">
        <v>67</v>
      </c>
      <c r="F12030" t="s">
        <v>27987</v>
      </c>
      <c r="G12030" s="117">
        <v>29.81</v>
      </c>
    </row>
    <row r="12031" spans="1:7" x14ac:dyDescent="0.25">
      <c r="A12031" s="116" t="s">
        <v>19036</v>
      </c>
      <c r="B12031" s="117" t="s">
        <v>19037</v>
      </c>
      <c r="C12031" t="s">
        <v>67</v>
      </c>
      <c r="D12031" t="s">
        <v>67</v>
      </c>
      <c r="E12031" t="s">
        <v>67</v>
      </c>
      <c r="F12031" t="s">
        <v>27987</v>
      </c>
      <c r="G12031" s="117">
        <v>581.86</v>
      </c>
    </row>
    <row r="12032" spans="1:7" x14ac:dyDescent="0.25">
      <c r="A12032" s="116" t="s">
        <v>19038</v>
      </c>
      <c r="B12032" s="117" t="s">
        <v>19039</v>
      </c>
      <c r="C12032" t="s">
        <v>67</v>
      </c>
      <c r="D12032" t="s">
        <v>67</v>
      </c>
      <c r="E12032" t="s">
        <v>67</v>
      </c>
      <c r="F12032" t="s">
        <v>27987</v>
      </c>
      <c r="G12032" s="117">
        <v>524.02</v>
      </c>
    </row>
    <row r="12033" spans="1:7" x14ac:dyDescent="0.25">
      <c r="A12033" s="116" t="s">
        <v>19040</v>
      </c>
      <c r="B12033" s="117" t="s">
        <v>19041</v>
      </c>
      <c r="C12033" t="s">
        <v>67</v>
      </c>
      <c r="D12033" t="s">
        <v>67</v>
      </c>
      <c r="E12033" t="s">
        <v>67</v>
      </c>
      <c r="F12033" t="s">
        <v>27987</v>
      </c>
      <c r="G12033" s="117">
        <v>524.02</v>
      </c>
    </row>
    <row r="12034" spans="1:7" x14ac:dyDescent="0.25">
      <c r="A12034" s="116" t="s">
        <v>19042</v>
      </c>
      <c r="B12034" s="117" t="s">
        <v>19043</v>
      </c>
      <c r="C12034" t="s">
        <v>67</v>
      </c>
      <c r="D12034" t="s">
        <v>67</v>
      </c>
      <c r="E12034" t="s">
        <v>67</v>
      </c>
      <c r="F12034" t="s">
        <v>27987</v>
      </c>
      <c r="G12034" s="117">
        <v>41.38</v>
      </c>
    </row>
    <row r="12035" spans="1:7" x14ac:dyDescent="0.25">
      <c r="A12035" s="116" t="s">
        <v>19044</v>
      </c>
      <c r="B12035" s="117" t="s">
        <v>19045</v>
      </c>
      <c r="C12035" t="s">
        <v>67</v>
      </c>
      <c r="D12035" t="s">
        <v>67</v>
      </c>
      <c r="E12035" t="s">
        <v>67</v>
      </c>
      <c r="F12035" t="s">
        <v>45</v>
      </c>
      <c r="G12035" s="117">
        <v>560.5</v>
      </c>
    </row>
    <row r="12036" spans="1:7" x14ac:dyDescent="0.25">
      <c r="A12036" s="116" t="s">
        <v>19046</v>
      </c>
      <c r="B12036" s="117" t="s">
        <v>19047</v>
      </c>
      <c r="C12036" t="s">
        <v>67</v>
      </c>
      <c r="D12036" t="s">
        <v>67</v>
      </c>
      <c r="E12036" t="s">
        <v>67</v>
      </c>
      <c r="F12036" t="s">
        <v>45</v>
      </c>
      <c r="G12036" s="117">
        <v>391.98</v>
      </c>
    </row>
    <row r="12037" spans="1:7" x14ac:dyDescent="0.25">
      <c r="A12037" s="116" t="s">
        <v>19048</v>
      </c>
      <c r="B12037" s="117" t="s">
        <v>19049</v>
      </c>
      <c r="C12037" t="s">
        <v>67</v>
      </c>
      <c r="D12037" t="s">
        <v>67</v>
      </c>
      <c r="E12037" t="s">
        <v>67</v>
      </c>
      <c r="F12037" t="s">
        <v>45</v>
      </c>
      <c r="G12037" s="117">
        <v>41.38</v>
      </c>
    </row>
    <row r="12038" spans="1:7" x14ac:dyDescent="0.25">
      <c r="A12038" s="116" t="s">
        <v>19050</v>
      </c>
      <c r="B12038" s="117" t="s">
        <v>19051</v>
      </c>
      <c r="C12038" t="s">
        <v>67</v>
      </c>
      <c r="D12038" t="s">
        <v>67</v>
      </c>
      <c r="E12038" t="s">
        <v>67</v>
      </c>
      <c r="F12038" t="s">
        <v>27987</v>
      </c>
      <c r="G12038" s="117">
        <v>371.86</v>
      </c>
    </row>
    <row r="12039" spans="1:7" x14ac:dyDescent="0.25">
      <c r="A12039" s="116" t="s">
        <v>19052</v>
      </c>
      <c r="B12039" s="117" t="s">
        <v>19053</v>
      </c>
      <c r="C12039" t="s">
        <v>67</v>
      </c>
      <c r="D12039" t="s">
        <v>67</v>
      </c>
      <c r="E12039" t="s">
        <v>67</v>
      </c>
      <c r="F12039" t="s">
        <v>27987</v>
      </c>
      <c r="G12039" s="117">
        <v>152.61000000000001</v>
      </c>
    </row>
    <row r="12040" spans="1:7" x14ac:dyDescent="0.25">
      <c r="A12040" s="116" t="s">
        <v>19054</v>
      </c>
      <c r="B12040" s="117" t="s">
        <v>19055</v>
      </c>
      <c r="C12040" t="s">
        <v>67</v>
      </c>
      <c r="D12040" t="s">
        <v>67</v>
      </c>
      <c r="E12040" t="s">
        <v>67</v>
      </c>
      <c r="F12040" t="s">
        <v>27987</v>
      </c>
      <c r="G12040" s="117">
        <v>16.46</v>
      </c>
    </row>
    <row r="12041" spans="1:7" x14ac:dyDescent="0.25">
      <c r="A12041" s="116" t="s">
        <v>19056</v>
      </c>
      <c r="B12041" s="117" t="s">
        <v>19057</v>
      </c>
      <c r="C12041" t="s">
        <v>67</v>
      </c>
      <c r="D12041" t="s">
        <v>67</v>
      </c>
      <c r="E12041" t="s">
        <v>67</v>
      </c>
      <c r="F12041" t="s">
        <v>27987</v>
      </c>
      <c r="G12041" s="117">
        <v>1062.01</v>
      </c>
    </row>
    <row r="12042" spans="1:7" x14ac:dyDescent="0.25">
      <c r="A12042" s="116" t="s">
        <v>19058</v>
      </c>
      <c r="B12042" s="117" t="s">
        <v>1683</v>
      </c>
      <c r="C12042" t="s">
        <v>67</v>
      </c>
      <c r="D12042" t="s">
        <v>67</v>
      </c>
      <c r="E12042" t="s">
        <v>67</v>
      </c>
      <c r="F12042" t="s">
        <v>27987</v>
      </c>
      <c r="G12042" s="117">
        <v>1062.01</v>
      </c>
    </row>
    <row r="12043" spans="1:7" x14ac:dyDescent="0.25">
      <c r="A12043" s="116" t="s">
        <v>19059</v>
      </c>
      <c r="B12043" s="117" t="s">
        <v>1683</v>
      </c>
      <c r="C12043" t="s">
        <v>67</v>
      </c>
      <c r="D12043" t="s">
        <v>67</v>
      </c>
      <c r="E12043" t="s">
        <v>67</v>
      </c>
      <c r="F12043" t="s">
        <v>27987</v>
      </c>
      <c r="G12043" s="117">
        <v>1156.33</v>
      </c>
    </row>
    <row r="12044" spans="1:7" x14ac:dyDescent="0.25">
      <c r="A12044" s="116" t="s">
        <v>19060</v>
      </c>
      <c r="B12044" s="117" t="s">
        <v>1683</v>
      </c>
      <c r="C12044" t="s">
        <v>67</v>
      </c>
      <c r="D12044" t="s">
        <v>67</v>
      </c>
      <c r="E12044" t="s">
        <v>67</v>
      </c>
      <c r="F12044" t="s">
        <v>27987</v>
      </c>
      <c r="G12044" s="117">
        <v>402.64</v>
      </c>
    </row>
    <row r="12045" spans="1:7" x14ac:dyDescent="0.25">
      <c r="A12045" s="116" t="s">
        <v>19061</v>
      </c>
      <c r="B12045" s="117" t="s">
        <v>19062</v>
      </c>
      <c r="C12045" t="s">
        <v>67</v>
      </c>
      <c r="D12045" t="s">
        <v>67</v>
      </c>
      <c r="E12045" t="s">
        <v>67</v>
      </c>
      <c r="F12045" t="s">
        <v>27987</v>
      </c>
      <c r="G12045" s="117">
        <v>58.29</v>
      </c>
    </row>
    <row r="12046" spans="1:7" x14ac:dyDescent="0.25">
      <c r="A12046" s="116" t="s">
        <v>19063</v>
      </c>
      <c r="B12046" s="117" t="s">
        <v>19064</v>
      </c>
      <c r="C12046" t="s">
        <v>67</v>
      </c>
      <c r="D12046" t="s">
        <v>67</v>
      </c>
      <c r="E12046" t="s">
        <v>67</v>
      </c>
      <c r="F12046" t="s">
        <v>27987</v>
      </c>
      <c r="G12046" s="117">
        <v>446.25</v>
      </c>
    </row>
    <row r="12047" spans="1:7" x14ac:dyDescent="0.25">
      <c r="A12047" s="116" t="s">
        <v>19065</v>
      </c>
      <c r="B12047" s="117" t="s">
        <v>19066</v>
      </c>
      <c r="C12047" t="s">
        <v>67</v>
      </c>
      <c r="D12047" t="s">
        <v>67</v>
      </c>
      <c r="E12047" t="s">
        <v>67</v>
      </c>
      <c r="F12047" t="s">
        <v>27987</v>
      </c>
      <c r="G12047" s="117">
        <v>448.38</v>
      </c>
    </row>
    <row r="12048" spans="1:7" x14ac:dyDescent="0.25">
      <c r="A12048" s="116" t="s">
        <v>19067</v>
      </c>
      <c r="B12048" s="117" t="s">
        <v>1683</v>
      </c>
      <c r="C12048" t="s">
        <v>67</v>
      </c>
      <c r="D12048" t="s">
        <v>67</v>
      </c>
      <c r="E12048" t="s">
        <v>67</v>
      </c>
      <c r="F12048" t="s">
        <v>27987</v>
      </c>
      <c r="G12048" s="117">
        <v>408.35</v>
      </c>
    </row>
    <row r="12049" spans="1:7" x14ac:dyDescent="0.25">
      <c r="A12049" s="116" t="s">
        <v>19068</v>
      </c>
      <c r="B12049" s="117" t="s">
        <v>19069</v>
      </c>
      <c r="C12049" t="s">
        <v>67</v>
      </c>
      <c r="D12049" t="s">
        <v>67</v>
      </c>
      <c r="E12049" t="s">
        <v>67</v>
      </c>
      <c r="F12049" t="s">
        <v>27987</v>
      </c>
      <c r="G12049" s="117">
        <v>531.14</v>
      </c>
    </row>
    <row r="12050" spans="1:7" x14ac:dyDescent="0.25">
      <c r="A12050" s="116" t="s">
        <v>19070</v>
      </c>
      <c r="B12050" s="117" t="s">
        <v>19071</v>
      </c>
      <c r="C12050" t="s">
        <v>67</v>
      </c>
      <c r="D12050" t="s">
        <v>67</v>
      </c>
      <c r="E12050" t="s">
        <v>67</v>
      </c>
      <c r="F12050" t="s">
        <v>27987</v>
      </c>
      <c r="G12050" s="117">
        <v>367.42</v>
      </c>
    </row>
    <row r="12051" spans="1:7" x14ac:dyDescent="0.25">
      <c r="A12051" s="116" t="s">
        <v>19072</v>
      </c>
      <c r="B12051" s="117" t="s">
        <v>19073</v>
      </c>
      <c r="C12051" t="s">
        <v>67</v>
      </c>
      <c r="D12051" t="s">
        <v>67</v>
      </c>
      <c r="E12051" t="s">
        <v>67</v>
      </c>
      <c r="F12051" t="s">
        <v>27987</v>
      </c>
      <c r="G12051" s="117">
        <v>483.98</v>
      </c>
    </row>
    <row r="12052" spans="1:7" x14ac:dyDescent="0.25">
      <c r="A12052" s="116" t="s">
        <v>19074</v>
      </c>
      <c r="B12052" s="117" t="s">
        <v>19075</v>
      </c>
      <c r="C12052" t="s">
        <v>67</v>
      </c>
      <c r="D12052" t="s">
        <v>67</v>
      </c>
      <c r="E12052" t="s">
        <v>67</v>
      </c>
      <c r="F12052" t="s">
        <v>27987</v>
      </c>
      <c r="G12052" s="117">
        <v>419.56</v>
      </c>
    </row>
    <row r="12053" spans="1:7" x14ac:dyDescent="0.25">
      <c r="A12053" s="116" t="s">
        <v>19076</v>
      </c>
      <c r="B12053" s="117" t="s">
        <v>19077</v>
      </c>
      <c r="C12053" t="s">
        <v>67</v>
      </c>
      <c r="D12053" t="s">
        <v>67</v>
      </c>
      <c r="E12053" t="s">
        <v>67</v>
      </c>
      <c r="F12053" t="s">
        <v>27987</v>
      </c>
      <c r="G12053" s="117">
        <v>102.77</v>
      </c>
    </row>
    <row r="12054" spans="1:7" x14ac:dyDescent="0.25">
      <c r="A12054" s="116" t="s">
        <v>19078</v>
      </c>
      <c r="B12054" s="117" t="s">
        <v>19079</v>
      </c>
      <c r="C12054" t="s">
        <v>67</v>
      </c>
      <c r="D12054" t="s">
        <v>67</v>
      </c>
      <c r="E12054" t="s">
        <v>67</v>
      </c>
      <c r="F12054" t="s">
        <v>27987</v>
      </c>
      <c r="G12054" s="117">
        <v>632.58000000000004</v>
      </c>
    </row>
    <row r="12055" spans="1:7" x14ac:dyDescent="0.25">
      <c r="A12055" s="116" t="s">
        <v>19080</v>
      </c>
      <c r="B12055" s="117" t="s">
        <v>19081</v>
      </c>
      <c r="C12055" t="s">
        <v>67</v>
      </c>
      <c r="D12055" t="s">
        <v>67</v>
      </c>
      <c r="E12055" t="s">
        <v>67</v>
      </c>
      <c r="F12055" t="s">
        <v>27987</v>
      </c>
      <c r="G12055" s="117">
        <v>495.55</v>
      </c>
    </row>
    <row r="12056" spans="1:7" x14ac:dyDescent="0.25">
      <c r="A12056" s="116" t="s">
        <v>19082</v>
      </c>
      <c r="B12056" s="117" t="s">
        <v>19083</v>
      </c>
      <c r="C12056" t="s">
        <v>67</v>
      </c>
      <c r="D12056" t="s">
        <v>67</v>
      </c>
      <c r="E12056" t="s">
        <v>67</v>
      </c>
      <c r="F12056" t="s">
        <v>27987</v>
      </c>
      <c r="G12056" s="117">
        <v>26.61</v>
      </c>
    </row>
    <row r="12057" spans="1:7" x14ac:dyDescent="0.25">
      <c r="A12057" s="116" t="s">
        <v>19084</v>
      </c>
      <c r="B12057" s="117" t="s">
        <v>19085</v>
      </c>
      <c r="C12057" t="s">
        <v>67</v>
      </c>
      <c r="D12057" t="s">
        <v>67</v>
      </c>
      <c r="E12057" t="s">
        <v>67</v>
      </c>
      <c r="F12057" t="s">
        <v>27987</v>
      </c>
      <c r="G12057" s="117">
        <v>19.489999999999998</v>
      </c>
    </row>
    <row r="12058" spans="1:7" x14ac:dyDescent="0.25">
      <c r="A12058" s="116" t="s">
        <v>19086</v>
      </c>
      <c r="B12058" s="117" t="s">
        <v>19087</v>
      </c>
      <c r="C12058" t="s">
        <v>67</v>
      </c>
      <c r="D12058" t="s">
        <v>67</v>
      </c>
      <c r="E12058" t="s">
        <v>67</v>
      </c>
      <c r="F12058" t="s">
        <v>27987</v>
      </c>
      <c r="G12058" s="117">
        <v>327.01</v>
      </c>
    </row>
    <row r="12059" spans="1:7" x14ac:dyDescent="0.25">
      <c r="A12059" s="116" t="s">
        <v>19088</v>
      </c>
      <c r="B12059" s="117" t="s">
        <v>19089</v>
      </c>
      <c r="C12059" t="s">
        <v>67</v>
      </c>
      <c r="D12059" t="s">
        <v>67</v>
      </c>
      <c r="E12059" t="s">
        <v>67</v>
      </c>
      <c r="F12059" t="s">
        <v>27987</v>
      </c>
      <c r="G12059" s="117">
        <v>46.71</v>
      </c>
    </row>
    <row r="12060" spans="1:7" x14ac:dyDescent="0.25">
      <c r="A12060" s="116" t="s">
        <v>19090</v>
      </c>
      <c r="B12060" s="117" t="s">
        <v>19091</v>
      </c>
      <c r="C12060" t="s">
        <v>67</v>
      </c>
      <c r="D12060" t="s">
        <v>67</v>
      </c>
      <c r="E12060" t="s">
        <v>67</v>
      </c>
      <c r="F12060" t="s">
        <v>27987</v>
      </c>
      <c r="G12060" s="117">
        <v>28.92</v>
      </c>
    </row>
    <row r="12061" spans="1:7" x14ac:dyDescent="0.25">
      <c r="A12061" s="116" t="s">
        <v>19092</v>
      </c>
      <c r="B12061" s="117" t="s">
        <v>19093</v>
      </c>
      <c r="C12061" t="s">
        <v>67</v>
      </c>
      <c r="D12061" t="s">
        <v>67</v>
      </c>
      <c r="E12061" t="s">
        <v>67</v>
      </c>
      <c r="F12061" t="s">
        <v>27987</v>
      </c>
      <c r="G12061" s="117">
        <v>109.89</v>
      </c>
    </row>
    <row r="12062" spans="1:7" x14ac:dyDescent="0.25">
      <c r="A12062" s="116" t="s">
        <v>19094</v>
      </c>
      <c r="B12062" s="117" t="s">
        <v>19095</v>
      </c>
      <c r="C12062" t="s">
        <v>67</v>
      </c>
      <c r="D12062" t="s">
        <v>67</v>
      </c>
      <c r="E12062" t="s">
        <v>67</v>
      </c>
      <c r="F12062" t="s">
        <v>27987</v>
      </c>
      <c r="G12062" s="117">
        <v>166.88</v>
      </c>
    </row>
    <row r="12063" spans="1:7" x14ac:dyDescent="0.25">
      <c r="A12063" s="116" t="s">
        <v>19096</v>
      </c>
      <c r="B12063" s="117" t="s">
        <v>19097</v>
      </c>
      <c r="C12063" t="s">
        <v>67</v>
      </c>
      <c r="D12063" t="s">
        <v>67</v>
      </c>
      <c r="E12063" t="s">
        <v>67</v>
      </c>
      <c r="F12063" t="s">
        <v>27987</v>
      </c>
      <c r="G12063" s="117">
        <v>307.44</v>
      </c>
    </row>
    <row r="12064" spans="1:7" x14ac:dyDescent="0.25">
      <c r="A12064" s="116" t="s">
        <v>19098</v>
      </c>
      <c r="B12064" s="117" t="s">
        <v>19099</v>
      </c>
      <c r="C12064" t="s">
        <v>67</v>
      </c>
      <c r="D12064" t="s">
        <v>67</v>
      </c>
      <c r="E12064" t="s">
        <v>67</v>
      </c>
      <c r="F12064" t="s">
        <v>27987</v>
      </c>
      <c r="G12064" s="117">
        <v>411.55</v>
      </c>
    </row>
    <row r="12065" spans="1:7" x14ac:dyDescent="0.25">
      <c r="A12065" s="116" t="s">
        <v>19100</v>
      </c>
      <c r="B12065" s="117" t="s">
        <v>19101</v>
      </c>
      <c r="C12065" t="s">
        <v>67</v>
      </c>
      <c r="D12065" t="s">
        <v>67</v>
      </c>
      <c r="E12065" t="s">
        <v>67</v>
      </c>
      <c r="F12065" t="s">
        <v>49</v>
      </c>
      <c r="G12065" s="117">
        <v>754.66</v>
      </c>
    </row>
    <row r="12066" spans="1:7" x14ac:dyDescent="0.25">
      <c r="A12066" s="116" t="s">
        <v>19102</v>
      </c>
      <c r="B12066" s="117" t="s">
        <v>19103</v>
      </c>
      <c r="C12066" t="s">
        <v>67</v>
      </c>
      <c r="D12066" t="s">
        <v>67</v>
      </c>
      <c r="E12066" t="s">
        <v>67</v>
      </c>
      <c r="F12066" t="s">
        <v>27987</v>
      </c>
      <c r="G12066" s="117">
        <v>188.9</v>
      </c>
    </row>
    <row r="12067" spans="1:7" x14ac:dyDescent="0.25">
      <c r="A12067" s="116" t="s">
        <v>19104</v>
      </c>
      <c r="B12067" s="117" t="s">
        <v>19105</v>
      </c>
      <c r="C12067" t="s">
        <v>67</v>
      </c>
      <c r="D12067" t="s">
        <v>67</v>
      </c>
      <c r="E12067" t="s">
        <v>67</v>
      </c>
      <c r="F12067" t="s">
        <v>27987</v>
      </c>
      <c r="G12067" s="117">
        <v>28.92</v>
      </c>
    </row>
    <row r="12068" spans="1:7" x14ac:dyDescent="0.25">
      <c r="A12068" s="116" t="s">
        <v>19106</v>
      </c>
      <c r="B12068" s="117" t="s">
        <v>19107</v>
      </c>
      <c r="C12068" t="s">
        <v>67</v>
      </c>
      <c r="D12068" t="s">
        <v>67</v>
      </c>
      <c r="E12068" t="s">
        <v>67</v>
      </c>
      <c r="F12068" t="s">
        <v>27987</v>
      </c>
      <c r="G12068" s="117">
        <v>55.08</v>
      </c>
    </row>
    <row r="12069" spans="1:7" x14ac:dyDescent="0.25">
      <c r="A12069" s="116" t="s">
        <v>19108</v>
      </c>
      <c r="B12069" s="117" t="s">
        <v>19109</v>
      </c>
      <c r="C12069" t="s">
        <v>67</v>
      </c>
      <c r="D12069" t="s">
        <v>67</v>
      </c>
      <c r="E12069" t="s">
        <v>67</v>
      </c>
      <c r="F12069" t="s">
        <v>27987</v>
      </c>
      <c r="G12069" s="117">
        <v>298.89</v>
      </c>
    </row>
    <row r="12070" spans="1:7" x14ac:dyDescent="0.25">
      <c r="A12070" s="116" t="s">
        <v>19110</v>
      </c>
      <c r="B12070" s="117" t="s">
        <v>19111</v>
      </c>
      <c r="C12070" t="s">
        <v>67</v>
      </c>
      <c r="D12070" t="s">
        <v>67</v>
      </c>
      <c r="E12070" t="s">
        <v>67</v>
      </c>
      <c r="F12070" t="s">
        <v>27987</v>
      </c>
      <c r="G12070" s="117">
        <v>423.48</v>
      </c>
    </row>
    <row r="12071" spans="1:7" x14ac:dyDescent="0.25">
      <c r="A12071" s="116" t="s">
        <v>19112</v>
      </c>
      <c r="B12071" s="117" t="s">
        <v>19113</v>
      </c>
      <c r="C12071" t="s">
        <v>67</v>
      </c>
      <c r="D12071" t="s">
        <v>67</v>
      </c>
      <c r="E12071" t="s">
        <v>67</v>
      </c>
      <c r="F12071" t="s">
        <v>27987</v>
      </c>
      <c r="G12071" s="117">
        <v>511.56</v>
      </c>
    </row>
    <row r="12072" spans="1:7" x14ac:dyDescent="0.25">
      <c r="A12072" s="116" t="s">
        <v>19114</v>
      </c>
      <c r="B12072" s="117" t="s">
        <v>19115</v>
      </c>
      <c r="C12072" t="s">
        <v>67</v>
      </c>
      <c r="D12072" t="s">
        <v>67</v>
      </c>
      <c r="E12072" t="s">
        <v>67</v>
      </c>
      <c r="F12072" t="s">
        <v>27987</v>
      </c>
      <c r="G12072" s="117">
        <v>288.20999999999998</v>
      </c>
    </row>
    <row r="12073" spans="1:7" x14ac:dyDescent="0.25">
      <c r="A12073" s="116" t="s">
        <v>19116</v>
      </c>
      <c r="B12073" s="117" t="s">
        <v>19117</v>
      </c>
      <c r="C12073" t="s">
        <v>67</v>
      </c>
      <c r="D12073" t="s">
        <v>67</v>
      </c>
      <c r="E12073" t="s">
        <v>67</v>
      </c>
      <c r="F12073" t="s">
        <v>27987</v>
      </c>
      <c r="G12073" s="117">
        <v>61.31</v>
      </c>
    </row>
    <row r="12074" spans="1:7" x14ac:dyDescent="0.25">
      <c r="A12074" s="116" t="s">
        <v>19118</v>
      </c>
      <c r="B12074" s="117" t="s">
        <v>19119</v>
      </c>
      <c r="C12074" t="s">
        <v>67</v>
      </c>
      <c r="D12074" t="s">
        <v>67</v>
      </c>
      <c r="E12074" t="s">
        <v>67</v>
      </c>
      <c r="F12074" t="s">
        <v>27987</v>
      </c>
      <c r="G12074" s="117">
        <v>538.79999999999995</v>
      </c>
    </row>
    <row r="12075" spans="1:7" x14ac:dyDescent="0.25">
      <c r="A12075" s="116" t="s">
        <v>19120</v>
      </c>
      <c r="B12075" s="117" t="s">
        <v>19121</v>
      </c>
      <c r="C12075" t="s">
        <v>67</v>
      </c>
      <c r="D12075" t="s">
        <v>67</v>
      </c>
      <c r="E12075" t="s">
        <v>67</v>
      </c>
      <c r="F12075" t="s">
        <v>45</v>
      </c>
      <c r="G12075" s="117">
        <v>463</v>
      </c>
    </row>
    <row r="12076" spans="1:7" x14ac:dyDescent="0.25">
      <c r="A12076" s="116" t="s">
        <v>19122</v>
      </c>
      <c r="B12076" s="117" t="s">
        <v>19123</v>
      </c>
      <c r="C12076" t="s">
        <v>67</v>
      </c>
      <c r="D12076" t="s">
        <v>67</v>
      </c>
      <c r="E12076" t="s">
        <v>67</v>
      </c>
      <c r="F12076" t="s">
        <v>27987</v>
      </c>
      <c r="G12076" s="117">
        <v>174.86</v>
      </c>
    </row>
    <row r="12077" spans="1:7" x14ac:dyDescent="0.25">
      <c r="A12077" s="116" t="s">
        <v>19124</v>
      </c>
      <c r="B12077" s="117" t="s">
        <v>19125</v>
      </c>
      <c r="C12077" t="s">
        <v>67</v>
      </c>
      <c r="D12077" t="s">
        <v>67</v>
      </c>
      <c r="E12077" t="s">
        <v>67</v>
      </c>
      <c r="F12077" t="s">
        <v>27987</v>
      </c>
      <c r="G12077" s="117">
        <v>479.52</v>
      </c>
    </row>
    <row r="12078" spans="1:7" x14ac:dyDescent="0.25">
      <c r="A12078" s="116" t="s">
        <v>19126</v>
      </c>
      <c r="B12078" s="117" t="s">
        <v>19127</v>
      </c>
      <c r="C12078" t="s">
        <v>67</v>
      </c>
      <c r="D12078" t="s">
        <v>67</v>
      </c>
      <c r="E12078" t="s">
        <v>67</v>
      </c>
      <c r="F12078" t="s">
        <v>27987</v>
      </c>
      <c r="G12078" s="117">
        <v>474.73</v>
      </c>
    </row>
    <row r="12079" spans="1:7" x14ac:dyDescent="0.25">
      <c r="A12079" s="116" t="s">
        <v>19128</v>
      </c>
      <c r="B12079" s="117" t="s">
        <v>19129</v>
      </c>
      <c r="C12079" t="s">
        <v>67</v>
      </c>
      <c r="D12079" t="s">
        <v>67</v>
      </c>
      <c r="E12079" t="s">
        <v>67</v>
      </c>
      <c r="F12079" t="s">
        <v>27987</v>
      </c>
      <c r="G12079" s="117">
        <v>1378.73</v>
      </c>
    </row>
    <row r="12080" spans="1:7" x14ac:dyDescent="0.25">
      <c r="A12080" s="116" t="s">
        <v>19130</v>
      </c>
      <c r="B12080" s="117" t="s">
        <v>19131</v>
      </c>
      <c r="C12080" t="s">
        <v>67</v>
      </c>
      <c r="D12080" t="s">
        <v>67</v>
      </c>
      <c r="E12080" t="s">
        <v>67</v>
      </c>
      <c r="F12080" t="s">
        <v>27987</v>
      </c>
      <c r="G12080" s="117">
        <v>59.18</v>
      </c>
    </row>
    <row r="12081" spans="1:7" x14ac:dyDescent="0.25">
      <c r="A12081" s="116" t="s">
        <v>19132</v>
      </c>
      <c r="B12081" s="117" t="s">
        <v>19133</v>
      </c>
      <c r="C12081" t="s">
        <v>67</v>
      </c>
      <c r="D12081" t="s">
        <v>67</v>
      </c>
      <c r="E12081" t="s">
        <v>67</v>
      </c>
      <c r="F12081" t="s">
        <v>27987</v>
      </c>
      <c r="G12081" s="117">
        <v>13.98</v>
      </c>
    </row>
    <row r="12082" spans="1:7" x14ac:dyDescent="0.25">
      <c r="A12082" s="116" t="s">
        <v>19134</v>
      </c>
      <c r="B12082" s="117" t="s">
        <v>19135</v>
      </c>
      <c r="C12082" t="s">
        <v>67</v>
      </c>
      <c r="D12082" t="s">
        <v>67</v>
      </c>
      <c r="E12082" t="s">
        <v>67</v>
      </c>
      <c r="F12082" t="s">
        <v>45</v>
      </c>
      <c r="G12082" s="117">
        <v>30.17</v>
      </c>
    </row>
    <row r="12083" spans="1:7" x14ac:dyDescent="0.25">
      <c r="A12083" s="116" t="s">
        <v>19136</v>
      </c>
      <c r="B12083" s="117" t="s">
        <v>19137</v>
      </c>
      <c r="C12083" t="s">
        <v>67</v>
      </c>
      <c r="D12083" t="s">
        <v>67</v>
      </c>
      <c r="E12083" t="s">
        <v>67</v>
      </c>
      <c r="F12083" t="s">
        <v>27987</v>
      </c>
      <c r="G12083" s="117">
        <v>61.85</v>
      </c>
    </row>
    <row r="12084" spans="1:7" x14ac:dyDescent="0.25">
      <c r="A12084" s="116" t="s">
        <v>19138</v>
      </c>
      <c r="B12084" s="117" t="s">
        <v>19139</v>
      </c>
      <c r="C12084" t="s">
        <v>67</v>
      </c>
      <c r="D12084" t="s">
        <v>67</v>
      </c>
      <c r="E12084" t="s">
        <v>67</v>
      </c>
      <c r="F12084" t="s">
        <v>27987</v>
      </c>
      <c r="G12084" s="117">
        <v>197.03</v>
      </c>
    </row>
    <row r="12085" spans="1:7" x14ac:dyDescent="0.25">
      <c r="A12085" s="116" t="s">
        <v>19140</v>
      </c>
      <c r="B12085" s="117" t="s">
        <v>19141</v>
      </c>
      <c r="C12085" t="s">
        <v>67</v>
      </c>
      <c r="D12085" t="s">
        <v>67</v>
      </c>
      <c r="E12085" t="s">
        <v>67</v>
      </c>
      <c r="F12085" t="s">
        <v>27987</v>
      </c>
      <c r="G12085" s="117">
        <v>987.26</v>
      </c>
    </row>
    <row r="12086" spans="1:7" x14ac:dyDescent="0.25">
      <c r="A12086" s="116" t="s">
        <v>19142</v>
      </c>
      <c r="B12086" s="117" t="s">
        <v>19143</v>
      </c>
      <c r="C12086" t="s">
        <v>67</v>
      </c>
      <c r="D12086" t="s">
        <v>67</v>
      </c>
      <c r="E12086" t="s">
        <v>67</v>
      </c>
      <c r="F12086" t="s">
        <v>27987</v>
      </c>
      <c r="G12086" s="117">
        <v>434.14</v>
      </c>
    </row>
    <row r="12087" spans="1:7" x14ac:dyDescent="0.25">
      <c r="A12087" s="116" t="s">
        <v>19144</v>
      </c>
      <c r="B12087" s="117" t="s">
        <v>19145</v>
      </c>
      <c r="C12087" t="s">
        <v>67</v>
      </c>
      <c r="D12087" t="s">
        <v>67</v>
      </c>
      <c r="E12087" t="s">
        <v>67</v>
      </c>
      <c r="F12087" t="s">
        <v>27987</v>
      </c>
      <c r="G12087" s="117">
        <v>241.94</v>
      </c>
    </row>
    <row r="12088" spans="1:7" x14ac:dyDescent="0.25">
      <c r="A12088" s="116" t="s">
        <v>19146</v>
      </c>
      <c r="B12088" s="117" t="s">
        <v>19147</v>
      </c>
      <c r="C12088" t="s">
        <v>67</v>
      </c>
      <c r="D12088" t="s">
        <v>67</v>
      </c>
      <c r="E12088" t="s">
        <v>67</v>
      </c>
      <c r="F12088" t="s">
        <v>27987</v>
      </c>
      <c r="G12088" s="117">
        <v>276.2</v>
      </c>
    </row>
    <row r="12089" spans="1:7" x14ac:dyDescent="0.25">
      <c r="A12089" s="116" t="s">
        <v>19148</v>
      </c>
      <c r="B12089" s="117" t="s">
        <v>19149</v>
      </c>
      <c r="C12089" t="s">
        <v>67</v>
      </c>
      <c r="D12089" t="s">
        <v>67</v>
      </c>
      <c r="E12089" t="s">
        <v>67</v>
      </c>
      <c r="F12089" t="s">
        <v>49</v>
      </c>
      <c r="G12089" s="117">
        <v>220.58</v>
      </c>
    </row>
    <row r="12090" spans="1:7" x14ac:dyDescent="0.25">
      <c r="A12090" s="116" t="s">
        <v>19150</v>
      </c>
      <c r="B12090" s="117" t="s">
        <v>19151</v>
      </c>
      <c r="C12090" t="s">
        <v>67</v>
      </c>
      <c r="D12090" t="s">
        <v>67</v>
      </c>
      <c r="E12090" t="s">
        <v>67</v>
      </c>
      <c r="F12090" t="s">
        <v>27987</v>
      </c>
      <c r="G12090" s="117">
        <v>502.31</v>
      </c>
    </row>
    <row r="12091" spans="1:7" x14ac:dyDescent="0.25">
      <c r="A12091" s="116" t="s">
        <v>19152</v>
      </c>
      <c r="B12091" s="117" t="s">
        <v>19153</v>
      </c>
      <c r="C12091" t="s">
        <v>67</v>
      </c>
      <c r="D12091" t="s">
        <v>67</v>
      </c>
      <c r="E12091" t="s">
        <v>67</v>
      </c>
      <c r="F12091" t="s">
        <v>27987</v>
      </c>
      <c r="G12091" s="117">
        <v>67.540000000000006</v>
      </c>
    </row>
    <row r="12092" spans="1:7" x14ac:dyDescent="0.25">
      <c r="A12092" s="116" t="s">
        <v>19154</v>
      </c>
      <c r="B12092" s="117" t="s">
        <v>19155</v>
      </c>
      <c r="C12092" t="s">
        <v>67</v>
      </c>
      <c r="D12092" t="s">
        <v>67</v>
      </c>
      <c r="E12092" t="s">
        <v>67</v>
      </c>
      <c r="F12092" t="s">
        <v>27987</v>
      </c>
      <c r="G12092" s="117">
        <v>545.02</v>
      </c>
    </row>
    <row r="12093" spans="1:7" x14ac:dyDescent="0.25">
      <c r="A12093" s="116" t="s">
        <v>19156</v>
      </c>
      <c r="B12093" s="117" t="s">
        <v>18711</v>
      </c>
      <c r="C12093" t="s">
        <v>67</v>
      </c>
      <c r="D12093" t="s">
        <v>67</v>
      </c>
      <c r="E12093" t="s">
        <v>67</v>
      </c>
      <c r="F12093" t="s">
        <v>27987</v>
      </c>
      <c r="G12093" s="117">
        <v>219.35</v>
      </c>
    </row>
    <row r="12094" spans="1:7" x14ac:dyDescent="0.25">
      <c r="A12094" s="116" t="s">
        <v>19157</v>
      </c>
      <c r="B12094" s="117" t="s">
        <v>19158</v>
      </c>
      <c r="C12094" t="s">
        <v>67</v>
      </c>
      <c r="D12094" t="s">
        <v>67</v>
      </c>
      <c r="E12094" t="s">
        <v>67</v>
      </c>
      <c r="F12094" t="s">
        <v>27987</v>
      </c>
      <c r="G12094" s="117">
        <v>11.12</v>
      </c>
    </row>
    <row r="12095" spans="1:7" x14ac:dyDescent="0.25">
      <c r="A12095" s="116" t="s">
        <v>19159</v>
      </c>
      <c r="B12095" s="117" t="s">
        <v>19160</v>
      </c>
      <c r="C12095" t="s">
        <v>67</v>
      </c>
      <c r="D12095" t="s">
        <v>67</v>
      </c>
      <c r="E12095" t="s">
        <v>67</v>
      </c>
      <c r="F12095" t="s">
        <v>27987</v>
      </c>
      <c r="G12095" s="117">
        <v>270.06</v>
      </c>
    </row>
    <row r="12096" spans="1:7" x14ac:dyDescent="0.25">
      <c r="A12096" s="116" t="s">
        <v>19161</v>
      </c>
      <c r="B12096" s="117" t="s">
        <v>19162</v>
      </c>
      <c r="C12096" t="s">
        <v>67</v>
      </c>
      <c r="D12096" t="s">
        <v>67</v>
      </c>
      <c r="E12096" t="s">
        <v>67</v>
      </c>
      <c r="F12096" t="s">
        <v>27987</v>
      </c>
      <c r="G12096" s="117">
        <v>21.26</v>
      </c>
    </row>
    <row r="12097" spans="1:7" x14ac:dyDescent="0.25">
      <c r="A12097" s="116" t="s">
        <v>28095</v>
      </c>
      <c r="B12097" s="117" t="s">
        <v>28096</v>
      </c>
      <c r="C12097" t="s">
        <v>67</v>
      </c>
      <c r="D12097" t="s">
        <v>67</v>
      </c>
      <c r="E12097" t="s">
        <v>67</v>
      </c>
      <c r="F12097" t="s">
        <v>45</v>
      </c>
      <c r="G12097" s="117">
        <v>267.87</v>
      </c>
    </row>
    <row r="12098" spans="1:7" x14ac:dyDescent="0.25">
      <c r="A12098" s="116" t="s">
        <v>19163</v>
      </c>
      <c r="B12098" s="117" t="s">
        <v>19164</v>
      </c>
      <c r="C12098" t="s">
        <v>67</v>
      </c>
      <c r="D12098" t="s">
        <v>67</v>
      </c>
      <c r="E12098" t="s">
        <v>67</v>
      </c>
      <c r="F12098" t="s">
        <v>27987</v>
      </c>
      <c r="G12098" s="117">
        <v>14.68</v>
      </c>
    </row>
    <row r="12099" spans="1:7" x14ac:dyDescent="0.25">
      <c r="A12099" s="116" t="s">
        <v>19165</v>
      </c>
      <c r="B12099" s="117" t="s">
        <v>19166</v>
      </c>
      <c r="C12099" t="s">
        <v>67</v>
      </c>
      <c r="D12099" t="s">
        <v>67</v>
      </c>
      <c r="E12099" t="s">
        <v>67</v>
      </c>
      <c r="F12099" t="s">
        <v>27987</v>
      </c>
      <c r="G12099" s="117">
        <v>82</v>
      </c>
    </row>
    <row r="12100" spans="1:7" x14ac:dyDescent="0.25">
      <c r="A12100" s="116" t="s">
        <v>19167</v>
      </c>
      <c r="B12100" s="117" t="s">
        <v>1683</v>
      </c>
      <c r="C12100" t="s">
        <v>67</v>
      </c>
      <c r="D12100" t="s">
        <v>67</v>
      </c>
      <c r="E12100" t="s">
        <v>67</v>
      </c>
      <c r="F12100" t="s">
        <v>45</v>
      </c>
      <c r="G12100" s="117">
        <v>600</v>
      </c>
    </row>
    <row r="12101" spans="1:7" x14ac:dyDescent="0.25">
      <c r="A12101" s="116" t="s">
        <v>19168</v>
      </c>
      <c r="B12101" s="117" t="s">
        <v>19169</v>
      </c>
      <c r="C12101" t="s">
        <v>67</v>
      </c>
      <c r="D12101" t="s">
        <v>67</v>
      </c>
      <c r="E12101" t="s">
        <v>67</v>
      </c>
      <c r="F12101" t="s">
        <v>27987</v>
      </c>
      <c r="G12101" s="117">
        <v>464.05</v>
      </c>
    </row>
    <row r="12102" spans="1:7" x14ac:dyDescent="0.25">
      <c r="A12102" s="116" t="s">
        <v>19170</v>
      </c>
      <c r="B12102" s="117" t="s">
        <v>19171</v>
      </c>
      <c r="C12102" t="s">
        <v>67</v>
      </c>
      <c r="D12102" t="s">
        <v>67</v>
      </c>
      <c r="E12102" t="s">
        <v>67</v>
      </c>
      <c r="F12102" t="s">
        <v>27987</v>
      </c>
      <c r="G12102" s="117">
        <v>478.01</v>
      </c>
    </row>
    <row r="12103" spans="1:7" x14ac:dyDescent="0.25">
      <c r="A12103" s="116" t="s">
        <v>19172</v>
      </c>
      <c r="B12103" s="117" t="s">
        <v>19173</v>
      </c>
      <c r="C12103" t="s">
        <v>67</v>
      </c>
      <c r="D12103" t="s">
        <v>67</v>
      </c>
      <c r="E12103" t="s">
        <v>67</v>
      </c>
      <c r="F12103" t="s">
        <v>27987</v>
      </c>
      <c r="G12103" s="117">
        <v>22.23</v>
      </c>
    </row>
    <row r="12104" spans="1:7" x14ac:dyDescent="0.25">
      <c r="A12104" s="116" t="s">
        <v>19174</v>
      </c>
      <c r="B12104" s="117" t="s">
        <v>19175</v>
      </c>
      <c r="C12104" t="s">
        <v>67</v>
      </c>
      <c r="D12104" t="s">
        <v>67</v>
      </c>
      <c r="E12104" t="s">
        <v>67</v>
      </c>
      <c r="F12104" t="s">
        <v>27987</v>
      </c>
      <c r="G12104" s="117">
        <v>477.39</v>
      </c>
    </row>
    <row r="12105" spans="1:7" x14ac:dyDescent="0.25">
      <c r="A12105" s="116" t="s">
        <v>19176</v>
      </c>
      <c r="B12105" s="117" t="s">
        <v>19177</v>
      </c>
      <c r="C12105" t="s">
        <v>67</v>
      </c>
      <c r="D12105" t="s">
        <v>67</v>
      </c>
      <c r="E12105" t="s">
        <v>67</v>
      </c>
      <c r="F12105" t="s">
        <v>27987</v>
      </c>
      <c r="G12105" s="117">
        <v>496.08</v>
      </c>
    </row>
    <row r="12106" spans="1:7" x14ac:dyDescent="0.25">
      <c r="A12106" s="116" t="s">
        <v>19178</v>
      </c>
      <c r="B12106" s="117" t="s">
        <v>19179</v>
      </c>
      <c r="C12106" t="s">
        <v>67</v>
      </c>
      <c r="D12106" t="s">
        <v>67</v>
      </c>
      <c r="E12106" t="s">
        <v>67</v>
      </c>
      <c r="F12106" t="s">
        <v>27987</v>
      </c>
      <c r="G12106" s="117">
        <v>1321.79</v>
      </c>
    </row>
    <row r="12107" spans="1:7" x14ac:dyDescent="0.25">
      <c r="A12107" s="116" t="s">
        <v>19180</v>
      </c>
      <c r="B12107" s="117" t="s">
        <v>19181</v>
      </c>
      <c r="C12107" t="s">
        <v>67</v>
      </c>
      <c r="D12107" t="s">
        <v>67</v>
      </c>
      <c r="E12107" t="s">
        <v>67</v>
      </c>
      <c r="F12107" t="s">
        <v>27987</v>
      </c>
      <c r="G12107" s="117">
        <v>59.77</v>
      </c>
    </row>
    <row r="12108" spans="1:7" x14ac:dyDescent="0.25">
      <c r="A12108" s="116" t="s">
        <v>19182</v>
      </c>
      <c r="B12108" s="117" t="s">
        <v>19183</v>
      </c>
      <c r="C12108" t="s">
        <v>67</v>
      </c>
      <c r="D12108" t="s">
        <v>67</v>
      </c>
      <c r="E12108" t="s">
        <v>67</v>
      </c>
      <c r="F12108" t="s">
        <v>27987</v>
      </c>
      <c r="G12108" s="117">
        <v>806.11</v>
      </c>
    </row>
    <row r="12109" spans="1:7" x14ac:dyDescent="0.25">
      <c r="A12109" s="116" t="s">
        <v>19184</v>
      </c>
      <c r="B12109" s="117" t="s">
        <v>19183</v>
      </c>
      <c r="C12109" t="s">
        <v>67</v>
      </c>
      <c r="D12109" t="s">
        <v>67</v>
      </c>
      <c r="E12109" t="s">
        <v>67</v>
      </c>
      <c r="F12109" t="s">
        <v>27987</v>
      </c>
      <c r="G12109" s="117">
        <v>809.63</v>
      </c>
    </row>
    <row r="12110" spans="1:7" x14ac:dyDescent="0.25">
      <c r="A12110" s="116" t="s">
        <v>19185</v>
      </c>
      <c r="B12110" s="117" t="s">
        <v>19186</v>
      </c>
      <c r="C12110" t="s">
        <v>67</v>
      </c>
      <c r="D12110" t="s">
        <v>67</v>
      </c>
      <c r="E12110" t="s">
        <v>67</v>
      </c>
      <c r="F12110" t="s">
        <v>27987</v>
      </c>
      <c r="G12110" s="117">
        <v>43.82</v>
      </c>
    </row>
    <row r="12111" spans="1:7" x14ac:dyDescent="0.25">
      <c r="A12111" s="116" t="s">
        <v>19187</v>
      </c>
      <c r="B12111" s="117" t="s">
        <v>19188</v>
      </c>
      <c r="C12111" t="s">
        <v>67</v>
      </c>
      <c r="D12111" t="s">
        <v>67</v>
      </c>
      <c r="E12111" t="s">
        <v>67</v>
      </c>
      <c r="F12111" t="s">
        <v>27987</v>
      </c>
      <c r="G12111" s="117">
        <v>109.89</v>
      </c>
    </row>
    <row r="12112" spans="1:7" x14ac:dyDescent="0.25">
      <c r="A12112" s="116" t="s">
        <v>19189</v>
      </c>
      <c r="B12112" s="117" t="s">
        <v>19190</v>
      </c>
      <c r="C12112" t="s">
        <v>67</v>
      </c>
      <c r="D12112" t="s">
        <v>67</v>
      </c>
      <c r="E12112" t="s">
        <v>67</v>
      </c>
      <c r="F12112" t="s">
        <v>27987</v>
      </c>
      <c r="G12112" s="117">
        <v>11.57</v>
      </c>
    </row>
    <row r="12113" spans="1:7" x14ac:dyDescent="0.25">
      <c r="A12113" s="116" t="s">
        <v>19191</v>
      </c>
      <c r="B12113" s="117" t="s">
        <v>18876</v>
      </c>
      <c r="C12113" t="s">
        <v>67</v>
      </c>
      <c r="D12113" t="s">
        <v>67</v>
      </c>
      <c r="E12113" t="s">
        <v>67</v>
      </c>
      <c r="F12113" t="s">
        <v>45</v>
      </c>
      <c r="G12113" s="117">
        <v>400</v>
      </c>
    </row>
    <row r="12114" spans="1:7" x14ac:dyDescent="0.25">
      <c r="A12114" s="116" t="s">
        <v>19192</v>
      </c>
      <c r="B12114" s="117" t="s">
        <v>19193</v>
      </c>
      <c r="C12114" t="s">
        <v>67</v>
      </c>
      <c r="D12114" t="s">
        <v>67</v>
      </c>
      <c r="E12114" t="s">
        <v>67</v>
      </c>
      <c r="F12114" t="s">
        <v>27987</v>
      </c>
      <c r="G12114" s="117">
        <v>468.72</v>
      </c>
    </row>
    <row r="12115" spans="1:7" x14ac:dyDescent="0.25">
      <c r="A12115" s="116" t="s">
        <v>19194</v>
      </c>
      <c r="B12115" s="117" t="s">
        <v>19195</v>
      </c>
      <c r="C12115" t="s">
        <v>67</v>
      </c>
      <c r="D12115" t="s">
        <v>67</v>
      </c>
      <c r="E12115" t="s">
        <v>67</v>
      </c>
      <c r="F12115" t="s">
        <v>27987</v>
      </c>
      <c r="G12115" s="117">
        <v>52.49</v>
      </c>
    </row>
    <row r="12116" spans="1:7" x14ac:dyDescent="0.25">
      <c r="A12116" s="116" t="s">
        <v>26599</v>
      </c>
      <c r="B12116" s="117" t="s">
        <v>26600</v>
      </c>
      <c r="C12116" t="s">
        <v>67</v>
      </c>
      <c r="D12116" t="s">
        <v>67</v>
      </c>
      <c r="E12116" t="s">
        <v>67</v>
      </c>
      <c r="F12116" t="s">
        <v>45</v>
      </c>
      <c r="G12116" s="117">
        <v>511.22</v>
      </c>
    </row>
    <row r="12117" spans="1:7" x14ac:dyDescent="0.25">
      <c r="A12117" s="116" t="s">
        <v>19196</v>
      </c>
      <c r="B12117" s="117" t="s">
        <v>19197</v>
      </c>
      <c r="C12117" t="s">
        <v>67</v>
      </c>
      <c r="D12117" t="s">
        <v>67</v>
      </c>
      <c r="E12117" t="s">
        <v>67</v>
      </c>
      <c r="F12117" t="s">
        <v>27987</v>
      </c>
      <c r="G12117" s="117">
        <v>488.94</v>
      </c>
    </row>
    <row r="12118" spans="1:7" x14ac:dyDescent="0.25">
      <c r="A12118" s="116" t="s">
        <v>30074</v>
      </c>
      <c r="B12118" s="117" t="s">
        <v>1683</v>
      </c>
      <c r="C12118" t="s">
        <v>67</v>
      </c>
      <c r="D12118" t="s">
        <v>67</v>
      </c>
      <c r="E12118" t="s">
        <v>67</v>
      </c>
      <c r="F12118" t="s">
        <v>49</v>
      </c>
      <c r="G12118" s="117">
        <v>204.21</v>
      </c>
    </row>
    <row r="12119" spans="1:7" x14ac:dyDescent="0.25">
      <c r="A12119" s="116" t="s">
        <v>30075</v>
      </c>
      <c r="B12119" s="117" t="s">
        <v>1683</v>
      </c>
      <c r="C12119" t="s">
        <v>67</v>
      </c>
      <c r="D12119" t="s">
        <v>67</v>
      </c>
      <c r="E12119" t="s">
        <v>67</v>
      </c>
      <c r="F12119" t="s">
        <v>27987</v>
      </c>
      <c r="G12119" s="117">
        <v>131.57</v>
      </c>
    </row>
    <row r="12120" spans="1:7" x14ac:dyDescent="0.25">
      <c r="A12120" s="116" t="s">
        <v>19198</v>
      </c>
      <c r="B12120" s="117" t="s">
        <v>19199</v>
      </c>
      <c r="C12120" t="s">
        <v>67</v>
      </c>
      <c r="D12120" t="s">
        <v>67</v>
      </c>
      <c r="E12120" t="s">
        <v>67</v>
      </c>
      <c r="F12120" t="s">
        <v>27987</v>
      </c>
      <c r="G12120" s="117">
        <v>238.57</v>
      </c>
    </row>
    <row r="12121" spans="1:7" x14ac:dyDescent="0.25">
      <c r="A12121" s="116" t="s">
        <v>19200</v>
      </c>
      <c r="B12121" s="117" t="s">
        <v>18726</v>
      </c>
      <c r="C12121" t="s">
        <v>67</v>
      </c>
      <c r="D12121" t="s">
        <v>67</v>
      </c>
      <c r="E12121" t="s">
        <v>67</v>
      </c>
      <c r="F12121" t="s">
        <v>27987</v>
      </c>
      <c r="G12121" s="117">
        <v>19.34</v>
      </c>
    </row>
    <row r="12122" spans="1:7" x14ac:dyDescent="0.25">
      <c r="A12122" s="116" t="s">
        <v>19201</v>
      </c>
      <c r="B12122" s="117" t="s">
        <v>19202</v>
      </c>
      <c r="C12122" t="s">
        <v>67</v>
      </c>
      <c r="D12122" t="s">
        <v>67</v>
      </c>
      <c r="E12122" t="s">
        <v>67</v>
      </c>
      <c r="F12122" t="s">
        <v>27987</v>
      </c>
      <c r="G12122" s="117">
        <v>146.53</v>
      </c>
    </row>
    <row r="12123" spans="1:7" x14ac:dyDescent="0.25">
      <c r="A12123" s="116" t="s">
        <v>19203</v>
      </c>
      <c r="B12123" s="117" t="s">
        <v>19204</v>
      </c>
      <c r="C12123" t="s">
        <v>67</v>
      </c>
      <c r="D12123" t="s">
        <v>67</v>
      </c>
      <c r="E12123" t="s">
        <v>67</v>
      </c>
      <c r="F12123" t="s">
        <v>27987</v>
      </c>
      <c r="G12123" s="117">
        <v>549.59</v>
      </c>
    </row>
    <row r="12124" spans="1:7" x14ac:dyDescent="0.25">
      <c r="A12124" s="116" t="s">
        <v>19205</v>
      </c>
      <c r="B12124" s="117" t="s">
        <v>1683</v>
      </c>
      <c r="C12124" t="s">
        <v>67</v>
      </c>
      <c r="D12124" t="s">
        <v>67</v>
      </c>
      <c r="E12124" t="s">
        <v>67</v>
      </c>
      <c r="F12124" t="s">
        <v>27987</v>
      </c>
      <c r="G12124" s="117">
        <v>192</v>
      </c>
    </row>
    <row r="12125" spans="1:7" x14ac:dyDescent="0.25">
      <c r="A12125" s="116" t="s">
        <v>19206</v>
      </c>
      <c r="B12125" s="117" t="s">
        <v>19207</v>
      </c>
      <c r="C12125" t="s">
        <v>67</v>
      </c>
      <c r="D12125" t="s">
        <v>67</v>
      </c>
      <c r="E12125" t="s">
        <v>67</v>
      </c>
      <c r="F12125" t="s">
        <v>27987</v>
      </c>
      <c r="G12125" s="117">
        <v>479.52</v>
      </c>
    </row>
    <row r="12126" spans="1:7" x14ac:dyDescent="0.25">
      <c r="A12126" s="116" t="s">
        <v>30003</v>
      </c>
      <c r="B12126" s="117" t="s">
        <v>30004</v>
      </c>
      <c r="C12126" t="s">
        <v>67</v>
      </c>
      <c r="D12126" t="s">
        <v>67</v>
      </c>
      <c r="E12126" t="s">
        <v>67</v>
      </c>
      <c r="F12126" t="s">
        <v>45</v>
      </c>
      <c r="G12126" s="117">
        <v>333.34</v>
      </c>
    </row>
    <row r="12127" spans="1:7" x14ac:dyDescent="0.25">
      <c r="A12127" s="116" t="s">
        <v>29343</v>
      </c>
      <c r="B12127" s="117" t="s">
        <v>29344</v>
      </c>
      <c r="C12127" t="s">
        <v>67</v>
      </c>
      <c r="D12127" t="s">
        <v>67</v>
      </c>
      <c r="E12127" t="s">
        <v>67</v>
      </c>
      <c r="F12127" t="s">
        <v>45</v>
      </c>
      <c r="G12127" s="117">
        <v>90</v>
      </c>
    </row>
    <row r="12128" spans="1:7" x14ac:dyDescent="0.25">
      <c r="A12128" s="116" t="s">
        <v>19208</v>
      </c>
      <c r="B12128" s="117" t="s">
        <v>19209</v>
      </c>
      <c r="C12128" t="s">
        <v>67</v>
      </c>
      <c r="D12128" t="s">
        <v>67</v>
      </c>
      <c r="E12128" t="s">
        <v>67</v>
      </c>
      <c r="F12128" t="s">
        <v>27987</v>
      </c>
      <c r="G12128" s="117">
        <v>377.94</v>
      </c>
    </row>
    <row r="12129" spans="1:7" x14ac:dyDescent="0.25">
      <c r="A12129" s="116" t="s">
        <v>19210</v>
      </c>
      <c r="B12129" s="117" t="s">
        <v>19211</v>
      </c>
      <c r="C12129" t="s">
        <v>67</v>
      </c>
      <c r="D12129" t="s">
        <v>67</v>
      </c>
      <c r="E12129" t="s">
        <v>67</v>
      </c>
      <c r="F12129" t="s">
        <v>27987</v>
      </c>
      <c r="G12129" s="117">
        <v>225.89</v>
      </c>
    </row>
    <row r="12130" spans="1:7" x14ac:dyDescent="0.25">
      <c r="A12130" s="116" t="s">
        <v>19212</v>
      </c>
      <c r="B12130" s="117" t="s">
        <v>19213</v>
      </c>
      <c r="C12130" t="s">
        <v>67</v>
      </c>
      <c r="D12130" t="s">
        <v>67</v>
      </c>
      <c r="E12130" t="s">
        <v>67</v>
      </c>
      <c r="F12130" t="s">
        <v>27987</v>
      </c>
      <c r="G12130" s="117">
        <v>195.63</v>
      </c>
    </row>
    <row r="12131" spans="1:7" x14ac:dyDescent="0.25">
      <c r="A12131" s="116" t="s">
        <v>19214</v>
      </c>
      <c r="B12131" s="117" t="s">
        <v>19215</v>
      </c>
      <c r="C12131" t="s">
        <v>67</v>
      </c>
      <c r="D12131" t="s">
        <v>67</v>
      </c>
      <c r="E12131" t="s">
        <v>67</v>
      </c>
      <c r="F12131" t="s">
        <v>27987</v>
      </c>
      <c r="G12131" s="117">
        <v>529.37</v>
      </c>
    </row>
    <row r="12132" spans="1:7" x14ac:dyDescent="0.25">
      <c r="A12132" s="116" t="s">
        <v>19216</v>
      </c>
      <c r="B12132" s="117" t="s">
        <v>1683</v>
      </c>
      <c r="C12132" t="s">
        <v>67</v>
      </c>
      <c r="D12132" t="s">
        <v>67</v>
      </c>
      <c r="E12132" t="s">
        <v>67</v>
      </c>
      <c r="F12132" t="s">
        <v>27987</v>
      </c>
      <c r="G12132" s="117">
        <v>223.25</v>
      </c>
    </row>
    <row r="12133" spans="1:7" x14ac:dyDescent="0.25">
      <c r="A12133" s="116" t="s">
        <v>27952</v>
      </c>
      <c r="B12133" s="117" t="s">
        <v>1683</v>
      </c>
      <c r="C12133" t="s">
        <v>67</v>
      </c>
      <c r="D12133" t="s">
        <v>67</v>
      </c>
      <c r="E12133" t="s">
        <v>67</v>
      </c>
      <c r="F12133" t="s">
        <v>27987</v>
      </c>
      <c r="G12133" s="117">
        <v>211.54</v>
      </c>
    </row>
    <row r="12134" spans="1:7" x14ac:dyDescent="0.25">
      <c r="A12134" s="116" t="s">
        <v>19217</v>
      </c>
      <c r="B12134" s="117" t="s">
        <v>1683</v>
      </c>
      <c r="C12134" t="s">
        <v>67</v>
      </c>
      <c r="D12134" t="s">
        <v>67</v>
      </c>
      <c r="E12134" t="s">
        <v>67</v>
      </c>
      <c r="F12134" t="s">
        <v>27987</v>
      </c>
      <c r="G12134" s="117">
        <v>248.11</v>
      </c>
    </row>
    <row r="12135" spans="1:7" x14ac:dyDescent="0.25">
      <c r="A12135" s="116" t="s">
        <v>26624</v>
      </c>
      <c r="B12135" s="117" t="s">
        <v>26625</v>
      </c>
      <c r="C12135" t="s">
        <v>67</v>
      </c>
      <c r="D12135" t="s">
        <v>67</v>
      </c>
      <c r="E12135" t="s">
        <v>67</v>
      </c>
      <c r="F12135" t="s">
        <v>49</v>
      </c>
      <c r="G12135" s="117">
        <v>227.45</v>
      </c>
    </row>
    <row r="12136" spans="1:7" x14ac:dyDescent="0.25">
      <c r="A12136" s="116" t="s">
        <v>27954</v>
      </c>
      <c r="B12136" s="117" t="s">
        <v>27955</v>
      </c>
      <c r="C12136" t="s">
        <v>67</v>
      </c>
      <c r="D12136" t="s">
        <v>67</v>
      </c>
      <c r="E12136" t="s">
        <v>67</v>
      </c>
      <c r="F12136" t="s">
        <v>27987</v>
      </c>
      <c r="G12136" s="117">
        <v>426.79</v>
      </c>
    </row>
    <row r="12137" spans="1:7" x14ac:dyDescent="0.25">
      <c r="A12137" s="116" t="s">
        <v>19218</v>
      </c>
      <c r="B12137" s="117" t="s">
        <v>18756</v>
      </c>
      <c r="C12137" t="s">
        <v>67</v>
      </c>
      <c r="D12137" t="s">
        <v>67</v>
      </c>
      <c r="E12137" t="s">
        <v>67</v>
      </c>
      <c r="F12137" t="s">
        <v>27987</v>
      </c>
      <c r="G12137" s="117">
        <v>80</v>
      </c>
    </row>
    <row r="12138" spans="1:7" x14ac:dyDescent="0.25">
      <c r="A12138" s="116" t="s">
        <v>28097</v>
      </c>
      <c r="B12138" s="117" t="s">
        <v>28098</v>
      </c>
      <c r="C12138" t="s">
        <v>67</v>
      </c>
      <c r="D12138" t="s">
        <v>67</v>
      </c>
      <c r="E12138" t="s">
        <v>67</v>
      </c>
      <c r="F12138" t="s">
        <v>45</v>
      </c>
      <c r="G12138" s="117">
        <v>79</v>
      </c>
    </row>
    <row r="12139" spans="1:7" x14ac:dyDescent="0.25">
      <c r="A12139" s="116" t="s">
        <v>29345</v>
      </c>
      <c r="B12139" s="117" t="s">
        <v>29346</v>
      </c>
      <c r="C12139" t="s">
        <v>67</v>
      </c>
      <c r="D12139" t="s">
        <v>67</v>
      </c>
      <c r="E12139" t="s">
        <v>67</v>
      </c>
      <c r="F12139" t="s">
        <v>27987</v>
      </c>
      <c r="G12139" s="117">
        <v>571</v>
      </c>
    </row>
    <row r="12140" spans="1:7" x14ac:dyDescent="0.25">
      <c r="A12140" s="116" t="s">
        <v>31176</v>
      </c>
      <c r="B12140" s="117" t="s">
        <v>31177</v>
      </c>
      <c r="C12140" t="s">
        <v>67</v>
      </c>
      <c r="D12140" t="s">
        <v>67</v>
      </c>
      <c r="E12140" t="s">
        <v>67</v>
      </c>
      <c r="F12140" t="s">
        <v>45</v>
      </c>
      <c r="G12140" s="117">
        <v>950</v>
      </c>
    </row>
    <row r="12141" spans="1:7" x14ac:dyDescent="0.25">
      <c r="A12141" s="116" t="s">
        <v>27059</v>
      </c>
      <c r="B12141" s="117" t="s">
        <v>29347</v>
      </c>
      <c r="C12141" t="s">
        <v>67</v>
      </c>
      <c r="D12141" t="s">
        <v>67</v>
      </c>
      <c r="E12141" t="s">
        <v>67</v>
      </c>
      <c r="F12141" t="s">
        <v>27987</v>
      </c>
      <c r="G12141" s="117">
        <v>81</v>
      </c>
    </row>
    <row r="12142" spans="1:7" x14ac:dyDescent="0.25">
      <c r="A12142" s="116" t="s">
        <v>29348</v>
      </c>
      <c r="B12142" s="117" t="s">
        <v>18756</v>
      </c>
      <c r="C12142" t="s">
        <v>67</v>
      </c>
      <c r="D12142" t="s">
        <v>67</v>
      </c>
      <c r="E12142" t="s">
        <v>67</v>
      </c>
      <c r="F12142" t="s">
        <v>49</v>
      </c>
      <c r="G12142" s="117">
        <v>45.89</v>
      </c>
    </row>
    <row r="12143" spans="1:7" x14ac:dyDescent="0.25">
      <c r="A12143" s="116" t="s">
        <v>19219</v>
      </c>
      <c r="B12143" s="117" t="s">
        <v>19220</v>
      </c>
      <c r="C12143" t="s">
        <v>67</v>
      </c>
      <c r="D12143" t="s">
        <v>67</v>
      </c>
      <c r="E12143" t="s">
        <v>67</v>
      </c>
      <c r="F12143" t="s">
        <v>27987</v>
      </c>
      <c r="G12143" s="117">
        <v>482.66</v>
      </c>
    </row>
    <row r="12144" spans="1:7" x14ac:dyDescent="0.25">
      <c r="A12144" s="116" t="s">
        <v>19221</v>
      </c>
      <c r="B12144" s="117" t="s">
        <v>19222</v>
      </c>
      <c r="C12144" t="s">
        <v>67</v>
      </c>
      <c r="D12144" t="s">
        <v>67</v>
      </c>
      <c r="E12144" t="s">
        <v>67</v>
      </c>
      <c r="F12144" t="s">
        <v>27987</v>
      </c>
      <c r="G12144" s="117">
        <v>52.98</v>
      </c>
    </row>
    <row r="12145" spans="1:7" x14ac:dyDescent="0.25">
      <c r="A12145" s="116" t="s">
        <v>19223</v>
      </c>
      <c r="B12145" s="117" t="s">
        <v>29349</v>
      </c>
      <c r="C12145" t="s">
        <v>67</v>
      </c>
      <c r="D12145" t="s">
        <v>67</v>
      </c>
      <c r="E12145" t="s">
        <v>67</v>
      </c>
      <c r="F12145" t="s">
        <v>27987</v>
      </c>
      <c r="G12145" s="117">
        <v>557.62</v>
      </c>
    </row>
    <row r="12146" spans="1:7" x14ac:dyDescent="0.25">
      <c r="A12146" s="116" t="s">
        <v>19224</v>
      </c>
      <c r="B12146" s="117" t="s">
        <v>19225</v>
      </c>
      <c r="C12146" t="s">
        <v>67</v>
      </c>
      <c r="D12146" t="s">
        <v>67</v>
      </c>
      <c r="E12146" t="s">
        <v>67</v>
      </c>
      <c r="F12146" t="s">
        <v>27987</v>
      </c>
      <c r="G12146" s="117">
        <v>269.66000000000003</v>
      </c>
    </row>
    <row r="12147" spans="1:7" x14ac:dyDescent="0.25">
      <c r="A12147" s="116" t="s">
        <v>19226</v>
      </c>
      <c r="B12147" s="117" t="s">
        <v>19227</v>
      </c>
      <c r="C12147" t="s">
        <v>67</v>
      </c>
      <c r="D12147" t="s">
        <v>67</v>
      </c>
      <c r="E12147" t="s">
        <v>67</v>
      </c>
      <c r="F12147" t="s">
        <v>45</v>
      </c>
      <c r="G12147" s="117">
        <v>256.27</v>
      </c>
    </row>
    <row r="12148" spans="1:7" x14ac:dyDescent="0.25">
      <c r="A12148" s="116" t="s">
        <v>28007</v>
      </c>
      <c r="B12148" s="117" t="s">
        <v>28008</v>
      </c>
      <c r="C12148" t="s">
        <v>67</v>
      </c>
      <c r="D12148" t="s">
        <v>67</v>
      </c>
      <c r="E12148" t="s">
        <v>67</v>
      </c>
      <c r="F12148" t="s">
        <v>49</v>
      </c>
      <c r="G12148" s="117">
        <v>43.77</v>
      </c>
    </row>
    <row r="12149" spans="1:7" x14ac:dyDescent="0.25">
      <c r="A12149" s="116" t="s">
        <v>19228</v>
      </c>
      <c r="B12149" s="117" t="s">
        <v>19229</v>
      </c>
      <c r="C12149" t="s">
        <v>67</v>
      </c>
      <c r="D12149" t="s">
        <v>67</v>
      </c>
      <c r="E12149" t="s">
        <v>67</v>
      </c>
      <c r="F12149" t="s">
        <v>27987</v>
      </c>
      <c r="G12149" s="117">
        <v>593.16</v>
      </c>
    </row>
    <row r="12150" spans="1:7" x14ac:dyDescent="0.25">
      <c r="A12150" s="116" t="s">
        <v>19230</v>
      </c>
      <c r="B12150" s="117" t="s">
        <v>18742</v>
      </c>
      <c r="C12150" t="s">
        <v>67</v>
      </c>
      <c r="D12150" t="s">
        <v>67</v>
      </c>
      <c r="E12150" t="s">
        <v>67</v>
      </c>
      <c r="F12150" t="s">
        <v>45</v>
      </c>
      <c r="G12150" s="117">
        <v>384.32</v>
      </c>
    </row>
    <row r="12151" spans="1:7" x14ac:dyDescent="0.25">
      <c r="A12151" s="116" t="s">
        <v>19231</v>
      </c>
      <c r="B12151" s="117" t="s">
        <v>19232</v>
      </c>
      <c r="C12151" t="s">
        <v>67</v>
      </c>
      <c r="D12151" t="s">
        <v>67</v>
      </c>
      <c r="E12151" t="s">
        <v>67</v>
      </c>
      <c r="F12151" t="s">
        <v>45</v>
      </c>
      <c r="G12151" s="117">
        <v>60.02</v>
      </c>
    </row>
    <row r="12152" spans="1:7" x14ac:dyDescent="0.25">
      <c r="A12152" s="116" t="s">
        <v>29350</v>
      </c>
      <c r="B12152" s="117" t="s">
        <v>29351</v>
      </c>
      <c r="C12152" t="s">
        <v>67</v>
      </c>
      <c r="D12152" t="s">
        <v>67</v>
      </c>
      <c r="E12152" t="s">
        <v>67</v>
      </c>
      <c r="F12152" t="s">
        <v>45</v>
      </c>
      <c r="G12152" s="117">
        <v>275</v>
      </c>
    </row>
    <row r="12153" spans="1:7" x14ac:dyDescent="0.25">
      <c r="A12153" s="116" t="s">
        <v>27002</v>
      </c>
      <c r="B12153" s="117" t="s">
        <v>29352</v>
      </c>
      <c r="C12153" t="s">
        <v>67</v>
      </c>
      <c r="D12153" t="s">
        <v>67</v>
      </c>
      <c r="E12153" t="s">
        <v>67</v>
      </c>
      <c r="F12153" t="s">
        <v>27987</v>
      </c>
      <c r="G12153" s="117">
        <v>138</v>
      </c>
    </row>
    <row r="12154" spans="1:7" x14ac:dyDescent="0.25">
      <c r="A12154" s="116" t="s">
        <v>29353</v>
      </c>
      <c r="B12154" s="117" t="s">
        <v>18828</v>
      </c>
      <c r="C12154" t="s">
        <v>67</v>
      </c>
      <c r="D12154" t="s">
        <v>67</v>
      </c>
      <c r="E12154" t="s">
        <v>67</v>
      </c>
      <c r="F12154" t="s">
        <v>27987</v>
      </c>
      <c r="G12154" s="117">
        <v>238.04</v>
      </c>
    </row>
    <row r="12155" spans="1:7" x14ac:dyDescent="0.25">
      <c r="A12155" s="116" t="s">
        <v>19233</v>
      </c>
      <c r="B12155" s="117" t="s">
        <v>19234</v>
      </c>
      <c r="C12155" t="s">
        <v>67</v>
      </c>
      <c r="D12155" t="s">
        <v>67</v>
      </c>
      <c r="E12155" t="s">
        <v>67</v>
      </c>
      <c r="F12155" t="s">
        <v>45</v>
      </c>
      <c r="G12155" s="117">
        <v>428.92</v>
      </c>
    </row>
    <row r="12156" spans="1:7" x14ac:dyDescent="0.25">
      <c r="A12156" s="116" t="s">
        <v>19235</v>
      </c>
      <c r="B12156" s="117" t="s">
        <v>19236</v>
      </c>
      <c r="C12156" t="s">
        <v>67</v>
      </c>
      <c r="D12156" t="s">
        <v>67</v>
      </c>
      <c r="E12156" t="s">
        <v>67</v>
      </c>
      <c r="F12156" t="s">
        <v>27987</v>
      </c>
      <c r="G12156" s="117">
        <v>360.99</v>
      </c>
    </row>
    <row r="12157" spans="1:7" x14ac:dyDescent="0.25">
      <c r="A12157" s="116" t="s">
        <v>29354</v>
      </c>
      <c r="B12157" s="117" t="s">
        <v>29355</v>
      </c>
      <c r="C12157" t="s">
        <v>67</v>
      </c>
      <c r="D12157" t="s">
        <v>67</v>
      </c>
      <c r="E12157" t="s">
        <v>67</v>
      </c>
      <c r="F12157" t="s">
        <v>27987</v>
      </c>
      <c r="G12157" s="117">
        <v>300</v>
      </c>
    </row>
    <row r="12158" spans="1:7" x14ac:dyDescent="0.25">
      <c r="A12158" s="116" t="s">
        <v>19237</v>
      </c>
      <c r="B12158" s="117" t="s">
        <v>19238</v>
      </c>
      <c r="C12158" t="s">
        <v>67</v>
      </c>
      <c r="D12158" t="s">
        <v>67</v>
      </c>
      <c r="E12158" t="s">
        <v>67</v>
      </c>
      <c r="F12158" t="s">
        <v>49</v>
      </c>
      <c r="G12158" s="117">
        <v>430.14</v>
      </c>
    </row>
    <row r="12159" spans="1:7" x14ac:dyDescent="0.25">
      <c r="A12159" s="116" t="s">
        <v>19239</v>
      </c>
      <c r="B12159" s="117" t="s">
        <v>1683</v>
      </c>
      <c r="C12159" t="s">
        <v>67</v>
      </c>
      <c r="D12159" t="s">
        <v>67</v>
      </c>
      <c r="E12159" t="s">
        <v>67</v>
      </c>
      <c r="F12159" t="s">
        <v>27987</v>
      </c>
      <c r="G12159" s="117">
        <v>594.45000000000005</v>
      </c>
    </row>
    <row r="12160" spans="1:7" x14ac:dyDescent="0.25">
      <c r="A12160" s="116" t="s">
        <v>19240</v>
      </c>
      <c r="B12160" s="117" t="s">
        <v>1683</v>
      </c>
      <c r="C12160" t="s">
        <v>67</v>
      </c>
      <c r="D12160" t="s">
        <v>67</v>
      </c>
      <c r="E12160" t="s">
        <v>67</v>
      </c>
      <c r="F12160" t="s">
        <v>27987</v>
      </c>
      <c r="G12160" s="117">
        <v>305.06</v>
      </c>
    </row>
    <row r="12161" spans="1:7" x14ac:dyDescent="0.25">
      <c r="A12161" s="116" t="s">
        <v>29356</v>
      </c>
      <c r="B12161" s="117" t="s">
        <v>1683</v>
      </c>
      <c r="C12161" t="s">
        <v>67</v>
      </c>
      <c r="D12161" t="s">
        <v>67</v>
      </c>
      <c r="E12161" t="s">
        <v>67</v>
      </c>
      <c r="F12161" t="s">
        <v>27987</v>
      </c>
      <c r="G12161" s="117">
        <v>550</v>
      </c>
    </row>
    <row r="12162" spans="1:7" x14ac:dyDescent="0.25">
      <c r="A12162" s="116" t="s">
        <v>19241</v>
      </c>
      <c r="B12162" s="117" t="s">
        <v>30153</v>
      </c>
      <c r="C12162" t="s">
        <v>67</v>
      </c>
      <c r="D12162" t="s">
        <v>67</v>
      </c>
      <c r="E12162" t="s">
        <v>67</v>
      </c>
      <c r="F12162" t="s">
        <v>45</v>
      </c>
      <c r="G12162" s="117">
        <v>500</v>
      </c>
    </row>
    <row r="12163" spans="1:7" x14ac:dyDescent="0.25">
      <c r="A12163" s="116" t="s">
        <v>29357</v>
      </c>
      <c r="B12163" s="117" t="s">
        <v>29828</v>
      </c>
      <c r="C12163" t="s">
        <v>67</v>
      </c>
      <c r="D12163" t="s">
        <v>67</v>
      </c>
      <c r="E12163" t="s">
        <v>67</v>
      </c>
      <c r="F12163" t="s">
        <v>27987</v>
      </c>
      <c r="G12163" s="117">
        <v>584.96</v>
      </c>
    </row>
    <row r="12164" spans="1:7" x14ac:dyDescent="0.25">
      <c r="A12164" s="116" t="s">
        <v>19242</v>
      </c>
      <c r="B12164" s="117" t="s">
        <v>1694</v>
      </c>
      <c r="C12164" t="s">
        <v>67</v>
      </c>
      <c r="D12164" t="s">
        <v>67</v>
      </c>
      <c r="E12164" t="s">
        <v>67</v>
      </c>
      <c r="F12164" t="s">
        <v>27987</v>
      </c>
      <c r="G12164" s="117">
        <v>60</v>
      </c>
    </row>
    <row r="12165" spans="1:7" x14ac:dyDescent="0.25">
      <c r="A12165" s="116" t="s">
        <v>28129</v>
      </c>
      <c r="B12165" s="117" t="s">
        <v>19037</v>
      </c>
      <c r="C12165" t="s">
        <v>67</v>
      </c>
      <c r="D12165" t="s">
        <v>67</v>
      </c>
      <c r="E12165" t="s">
        <v>67</v>
      </c>
      <c r="F12165" t="s">
        <v>45</v>
      </c>
      <c r="G12165" s="117">
        <v>581.86</v>
      </c>
    </row>
    <row r="12166" spans="1:7" x14ac:dyDescent="0.25">
      <c r="A12166" s="116" t="s">
        <v>27980</v>
      </c>
      <c r="B12166" s="117" t="s">
        <v>18876</v>
      </c>
      <c r="C12166" t="s">
        <v>67</v>
      </c>
      <c r="D12166" t="s">
        <v>67</v>
      </c>
      <c r="E12166" t="s">
        <v>67</v>
      </c>
      <c r="F12166" t="s">
        <v>45</v>
      </c>
      <c r="G12166" s="117">
        <v>400</v>
      </c>
    </row>
    <row r="12167" spans="1:7" x14ac:dyDescent="0.25">
      <c r="A12167" s="116" t="s">
        <v>29358</v>
      </c>
      <c r="B12167" s="117" t="s">
        <v>29359</v>
      </c>
      <c r="C12167" t="s">
        <v>67</v>
      </c>
      <c r="D12167" t="s">
        <v>67</v>
      </c>
      <c r="E12167" t="s">
        <v>67</v>
      </c>
      <c r="F12167" t="s">
        <v>45</v>
      </c>
      <c r="G12167" s="117">
        <v>63</v>
      </c>
    </row>
    <row r="12168" spans="1:7" x14ac:dyDescent="0.25">
      <c r="A12168" s="116" t="s">
        <v>19243</v>
      </c>
      <c r="B12168" s="117" t="s">
        <v>1683</v>
      </c>
      <c r="C12168" t="s">
        <v>67</v>
      </c>
      <c r="D12168" t="s">
        <v>67</v>
      </c>
      <c r="E12168" t="s">
        <v>67</v>
      </c>
      <c r="F12168" t="s">
        <v>27987</v>
      </c>
      <c r="G12168" s="117">
        <v>170.88</v>
      </c>
    </row>
    <row r="12169" spans="1:7" x14ac:dyDescent="0.25">
      <c r="A12169" s="116" t="s">
        <v>19244</v>
      </c>
      <c r="B12169" s="117" t="s">
        <v>29360</v>
      </c>
      <c r="C12169" t="s">
        <v>67</v>
      </c>
      <c r="D12169" t="s">
        <v>67</v>
      </c>
      <c r="E12169" t="s">
        <v>67</v>
      </c>
      <c r="F12169" t="s">
        <v>27987</v>
      </c>
      <c r="G12169" s="117">
        <v>150</v>
      </c>
    </row>
    <row r="12170" spans="1:7" x14ac:dyDescent="0.25">
      <c r="A12170" s="116" t="s">
        <v>19245</v>
      </c>
      <c r="B12170" s="117" t="s">
        <v>29361</v>
      </c>
      <c r="C12170" t="s">
        <v>67</v>
      </c>
      <c r="D12170" t="s">
        <v>67</v>
      </c>
      <c r="E12170" t="s">
        <v>67</v>
      </c>
      <c r="F12170" t="s">
        <v>27987</v>
      </c>
      <c r="G12170" s="117">
        <v>368.44</v>
      </c>
    </row>
    <row r="12171" spans="1:7" x14ac:dyDescent="0.25">
      <c r="A12171" s="116" t="s">
        <v>19246</v>
      </c>
      <c r="B12171" s="117" t="s">
        <v>29362</v>
      </c>
      <c r="C12171" t="s">
        <v>67</v>
      </c>
      <c r="D12171" t="s">
        <v>67</v>
      </c>
      <c r="E12171" t="s">
        <v>67</v>
      </c>
      <c r="F12171" t="s">
        <v>27987</v>
      </c>
      <c r="G12171" s="117">
        <v>19.850000000000001</v>
      </c>
    </row>
    <row r="12172" spans="1:7" x14ac:dyDescent="0.25">
      <c r="A12172" s="116" t="s">
        <v>19247</v>
      </c>
      <c r="B12172" s="117" t="s">
        <v>29363</v>
      </c>
      <c r="C12172" t="s">
        <v>67</v>
      </c>
      <c r="D12172" t="s">
        <v>67</v>
      </c>
      <c r="E12172" t="s">
        <v>67</v>
      </c>
      <c r="F12172" t="s">
        <v>27987</v>
      </c>
      <c r="G12172" s="117">
        <v>337.94</v>
      </c>
    </row>
    <row r="12173" spans="1:7" x14ac:dyDescent="0.25">
      <c r="A12173" s="116" t="s">
        <v>19248</v>
      </c>
      <c r="B12173" s="117" t="s">
        <v>29364</v>
      </c>
      <c r="C12173" t="s">
        <v>67</v>
      </c>
      <c r="D12173" t="s">
        <v>67</v>
      </c>
      <c r="E12173" t="s">
        <v>67</v>
      </c>
      <c r="F12173" t="s">
        <v>49</v>
      </c>
      <c r="G12173" s="117">
        <v>442</v>
      </c>
    </row>
    <row r="12174" spans="1:7" x14ac:dyDescent="0.25">
      <c r="A12174" s="116" t="s">
        <v>19249</v>
      </c>
      <c r="B12174" s="117" t="s">
        <v>29365</v>
      </c>
      <c r="C12174" t="s">
        <v>67</v>
      </c>
      <c r="D12174" t="s">
        <v>67</v>
      </c>
      <c r="E12174" t="s">
        <v>67</v>
      </c>
      <c r="F12174" t="s">
        <v>49</v>
      </c>
      <c r="G12174" s="117">
        <v>274.2</v>
      </c>
    </row>
    <row r="12175" spans="1:7" x14ac:dyDescent="0.25">
      <c r="A12175" s="116" t="s">
        <v>26577</v>
      </c>
      <c r="B12175" s="117" t="s">
        <v>26915</v>
      </c>
      <c r="C12175" t="s">
        <v>67</v>
      </c>
      <c r="D12175" t="s">
        <v>67</v>
      </c>
      <c r="E12175" t="s">
        <v>67</v>
      </c>
      <c r="F12175" t="s">
        <v>27987</v>
      </c>
      <c r="G12175" s="117">
        <v>179.61</v>
      </c>
    </row>
    <row r="12176" spans="1:7" x14ac:dyDescent="0.25">
      <c r="A12176" s="116" t="s">
        <v>19250</v>
      </c>
      <c r="B12176" s="117" t="s">
        <v>26498</v>
      </c>
      <c r="C12176" t="s">
        <v>67</v>
      </c>
      <c r="D12176" t="s">
        <v>67</v>
      </c>
      <c r="E12176" t="s">
        <v>67</v>
      </c>
      <c r="F12176" t="s">
        <v>27987</v>
      </c>
      <c r="G12176" s="117">
        <v>160</v>
      </c>
    </row>
    <row r="12177" spans="1:7" x14ac:dyDescent="0.25">
      <c r="A12177" s="116" t="s">
        <v>19251</v>
      </c>
      <c r="B12177" s="117" t="s">
        <v>26499</v>
      </c>
      <c r="C12177" t="s">
        <v>67</v>
      </c>
      <c r="D12177" t="s">
        <v>67</v>
      </c>
      <c r="E12177" t="s">
        <v>67</v>
      </c>
      <c r="F12177" t="s">
        <v>27987</v>
      </c>
      <c r="G12177" s="117">
        <v>172.56</v>
      </c>
    </row>
    <row r="12178" spans="1:7" x14ac:dyDescent="0.25">
      <c r="A12178" s="116" t="s">
        <v>19252</v>
      </c>
      <c r="B12178" s="117" t="s">
        <v>26500</v>
      </c>
      <c r="C12178" t="s">
        <v>67</v>
      </c>
      <c r="D12178" t="s">
        <v>67</v>
      </c>
      <c r="E12178" t="s">
        <v>67</v>
      </c>
      <c r="F12178" t="s">
        <v>27987</v>
      </c>
      <c r="G12178" s="117">
        <v>30</v>
      </c>
    </row>
    <row r="12179" spans="1:7" x14ac:dyDescent="0.25">
      <c r="A12179" s="116" t="s">
        <v>19253</v>
      </c>
      <c r="B12179" s="117" t="s">
        <v>26501</v>
      </c>
      <c r="C12179" t="s">
        <v>67</v>
      </c>
      <c r="D12179" t="s">
        <v>67</v>
      </c>
      <c r="E12179" t="s">
        <v>67</v>
      </c>
      <c r="F12179" t="s">
        <v>27987</v>
      </c>
      <c r="G12179" s="117">
        <v>456.64</v>
      </c>
    </row>
    <row r="12180" spans="1:7" x14ac:dyDescent="0.25">
      <c r="A12180" s="116" t="s">
        <v>19254</v>
      </c>
      <c r="B12180" s="117" t="s">
        <v>1683</v>
      </c>
      <c r="C12180" t="s">
        <v>67</v>
      </c>
      <c r="D12180" t="s">
        <v>67</v>
      </c>
      <c r="E12180" t="s">
        <v>67</v>
      </c>
      <c r="F12180" t="s">
        <v>27987</v>
      </c>
      <c r="G12180" s="117">
        <v>649.13</v>
      </c>
    </row>
    <row r="12181" spans="1:7" x14ac:dyDescent="0.25">
      <c r="A12181" s="116" t="s">
        <v>19255</v>
      </c>
      <c r="B12181" s="117" t="s">
        <v>26502</v>
      </c>
      <c r="C12181" t="s">
        <v>67</v>
      </c>
      <c r="D12181" t="s">
        <v>67</v>
      </c>
      <c r="E12181" t="s">
        <v>67</v>
      </c>
      <c r="F12181" t="s">
        <v>27987</v>
      </c>
      <c r="G12181" s="117">
        <v>465.35</v>
      </c>
    </row>
    <row r="12182" spans="1:7" x14ac:dyDescent="0.25">
      <c r="A12182" s="116" t="s">
        <v>26975</v>
      </c>
      <c r="B12182" s="117" t="s">
        <v>29366</v>
      </c>
      <c r="C12182" t="s">
        <v>67</v>
      </c>
      <c r="D12182" t="s">
        <v>67</v>
      </c>
      <c r="E12182" t="s">
        <v>67</v>
      </c>
      <c r="F12182" t="s">
        <v>27987</v>
      </c>
      <c r="G12182" s="117">
        <v>600</v>
      </c>
    </row>
    <row r="12183" spans="1:7" x14ac:dyDescent="0.25">
      <c r="A12183" s="116" t="s">
        <v>26956</v>
      </c>
      <c r="B12183" s="117" t="s">
        <v>29367</v>
      </c>
      <c r="C12183" t="s">
        <v>67</v>
      </c>
      <c r="D12183" t="s">
        <v>67</v>
      </c>
      <c r="E12183" t="s">
        <v>67</v>
      </c>
      <c r="F12183" t="s">
        <v>27987</v>
      </c>
      <c r="G12183" s="117">
        <v>75</v>
      </c>
    </row>
    <row r="12184" spans="1:7" x14ac:dyDescent="0.25">
      <c r="A12184" s="116" t="s">
        <v>29368</v>
      </c>
      <c r="B12184" s="117" t="s">
        <v>28429</v>
      </c>
      <c r="C12184" t="s">
        <v>67</v>
      </c>
      <c r="D12184" t="s">
        <v>67</v>
      </c>
      <c r="E12184" t="s">
        <v>67</v>
      </c>
      <c r="F12184" t="s">
        <v>27987</v>
      </c>
      <c r="G12184" s="117">
        <v>0</v>
      </c>
    </row>
    <row r="12185" spans="1:7" x14ac:dyDescent="0.25">
      <c r="A12185" s="116" t="s">
        <v>29369</v>
      </c>
      <c r="B12185" s="117" t="s">
        <v>28429</v>
      </c>
      <c r="C12185" t="s">
        <v>67</v>
      </c>
      <c r="D12185" t="s">
        <v>67</v>
      </c>
      <c r="E12185" t="s">
        <v>67</v>
      </c>
      <c r="F12185" t="s">
        <v>27987</v>
      </c>
      <c r="G12185" s="117">
        <v>0</v>
      </c>
    </row>
    <row r="12186" spans="1:7" x14ac:dyDescent="0.25">
      <c r="A12186" s="116" t="s">
        <v>29370</v>
      </c>
      <c r="B12186" s="117" t="s">
        <v>29371</v>
      </c>
      <c r="C12186" t="s">
        <v>67</v>
      </c>
      <c r="D12186" t="s">
        <v>67</v>
      </c>
      <c r="E12186" t="s">
        <v>67</v>
      </c>
      <c r="F12186" t="s">
        <v>27987</v>
      </c>
      <c r="G12186" s="117">
        <v>40</v>
      </c>
    </row>
    <row r="12187" spans="1:7" x14ac:dyDescent="0.25">
      <c r="A12187" s="116" t="s">
        <v>29372</v>
      </c>
      <c r="B12187" s="117" t="s">
        <v>30761</v>
      </c>
      <c r="C12187" t="s">
        <v>67</v>
      </c>
      <c r="D12187" t="s">
        <v>67</v>
      </c>
      <c r="E12187" t="s">
        <v>67</v>
      </c>
      <c r="F12187" t="s">
        <v>27987</v>
      </c>
      <c r="G12187" s="117">
        <v>600</v>
      </c>
    </row>
    <row r="12188" spans="1:7" x14ac:dyDescent="0.25">
      <c r="A12188" s="116" t="s">
        <v>31144</v>
      </c>
      <c r="B12188" s="117" t="s">
        <v>31145</v>
      </c>
      <c r="C12188" t="s">
        <v>67</v>
      </c>
      <c r="D12188" t="s">
        <v>67</v>
      </c>
      <c r="E12188" t="s">
        <v>67</v>
      </c>
      <c r="F12188" t="s">
        <v>45</v>
      </c>
      <c r="G12188" s="117">
        <v>1350</v>
      </c>
    </row>
    <row r="12189" spans="1:7" x14ac:dyDescent="0.25">
      <c r="A12189" s="116" t="s">
        <v>26621</v>
      </c>
      <c r="B12189" s="117" t="s">
        <v>26916</v>
      </c>
      <c r="C12189" t="s">
        <v>67</v>
      </c>
      <c r="D12189" t="s">
        <v>67</v>
      </c>
      <c r="E12189" t="s">
        <v>67</v>
      </c>
      <c r="F12189" t="s">
        <v>27987</v>
      </c>
      <c r="G12189" s="117">
        <v>49.27</v>
      </c>
    </row>
    <row r="12190" spans="1:7" x14ac:dyDescent="0.25">
      <c r="A12190" s="116" t="s">
        <v>29373</v>
      </c>
      <c r="B12190" s="117" t="s">
        <v>29374</v>
      </c>
      <c r="C12190" t="s">
        <v>67</v>
      </c>
      <c r="D12190" t="s">
        <v>67</v>
      </c>
      <c r="E12190" t="s">
        <v>67</v>
      </c>
      <c r="F12190" t="s">
        <v>27987</v>
      </c>
      <c r="G12190" s="117">
        <v>23.14</v>
      </c>
    </row>
    <row r="12191" spans="1:7" x14ac:dyDescent="0.25">
      <c r="A12191" s="116" t="s">
        <v>26622</v>
      </c>
      <c r="B12191" s="117" t="s">
        <v>26917</v>
      </c>
      <c r="C12191" t="s">
        <v>67</v>
      </c>
      <c r="D12191" t="s">
        <v>67</v>
      </c>
      <c r="E12191" t="s">
        <v>67</v>
      </c>
      <c r="F12191" t="s">
        <v>27987</v>
      </c>
      <c r="G12191" s="117">
        <v>498.42</v>
      </c>
    </row>
    <row r="12192" spans="1:7" x14ac:dyDescent="0.25">
      <c r="A12192" s="116" t="s">
        <v>29375</v>
      </c>
      <c r="B12192" s="117" t="s">
        <v>31146</v>
      </c>
      <c r="C12192" t="s">
        <v>67</v>
      </c>
      <c r="D12192" t="s">
        <v>67</v>
      </c>
      <c r="E12192" t="s">
        <v>67</v>
      </c>
      <c r="F12192" t="s">
        <v>27987</v>
      </c>
      <c r="G12192" s="117">
        <v>25</v>
      </c>
    </row>
    <row r="12193" spans="1:7" x14ac:dyDescent="0.25">
      <c r="A12193" s="116" t="s">
        <v>29376</v>
      </c>
      <c r="B12193" s="117" t="s">
        <v>30762</v>
      </c>
      <c r="C12193" t="s">
        <v>67</v>
      </c>
      <c r="D12193" t="s">
        <v>67</v>
      </c>
      <c r="E12193" t="s">
        <v>67</v>
      </c>
      <c r="F12193" t="s">
        <v>27987</v>
      </c>
      <c r="G12193" s="117">
        <v>550</v>
      </c>
    </row>
    <row r="12194" spans="1:7" x14ac:dyDescent="0.25">
      <c r="A12194" s="116" t="s">
        <v>29377</v>
      </c>
      <c r="B12194" s="117" t="s">
        <v>19037</v>
      </c>
      <c r="C12194" t="s">
        <v>67</v>
      </c>
      <c r="D12194" t="s">
        <v>67</v>
      </c>
      <c r="E12194" t="s">
        <v>67</v>
      </c>
      <c r="F12194" t="s">
        <v>27987</v>
      </c>
      <c r="G12194" s="117">
        <v>520</v>
      </c>
    </row>
    <row r="12195" spans="1:7" x14ac:dyDescent="0.25">
      <c r="A12195" s="116" t="s">
        <v>29848</v>
      </c>
      <c r="B12195" s="117" t="s">
        <v>29849</v>
      </c>
      <c r="C12195" t="s">
        <v>67</v>
      </c>
      <c r="D12195" t="s">
        <v>67</v>
      </c>
      <c r="E12195" t="s">
        <v>67</v>
      </c>
      <c r="F12195" t="s">
        <v>45</v>
      </c>
      <c r="G12195" s="117">
        <v>631.16</v>
      </c>
    </row>
    <row r="12196" spans="1:7" x14ac:dyDescent="0.25">
      <c r="A12196" s="116" t="s">
        <v>29378</v>
      </c>
      <c r="B12196" s="117" t="s">
        <v>29379</v>
      </c>
      <c r="C12196" t="s">
        <v>67</v>
      </c>
      <c r="D12196" t="s">
        <v>67</v>
      </c>
      <c r="E12196" t="s">
        <v>67</v>
      </c>
      <c r="F12196" t="s">
        <v>27987</v>
      </c>
      <c r="G12196" s="117">
        <v>555</v>
      </c>
    </row>
    <row r="12197" spans="1:7" x14ac:dyDescent="0.25">
      <c r="A12197" s="116" t="s">
        <v>26710</v>
      </c>
      <c r="B12197" s="117" t="s">
        <v>29380</v>
      </c>
      <c r="C12197" t="s">
        <v>67</v>
      </c>
      <c r="D12197" t="s">
        <v>67</v>
      </c>
      <c r="E12197" t="s">
        <v>67</v>
      </c>
      <c r="F12197" t="s">
        <v>27987</v>
      </c>
      <c r="G12197" s="117">
        <v>84</v>
      </c>
    </row>
    <row r="12198" spans="1:7" x14ac:dyDescent="0.25">
      <c r="A12198" s="116" t="s">
        <v>19256</v>
      </c>
      <c r="B12198" s="117" t="s">
        <v>30153</v>
      </c>
      <c r="C12198" t="s">
        <v>67</v>
      </c>
      <c r="D12198" t="s">
        <v>67</v>
      </c>
      <c r="E12198" t="s">
        <v>67</v>
      </c>
      <c r="F12198" t="s">
        <v>27987</v>
      </c>
      <c r="G12198" s="117">
        <v>623.39</v>
      </c>
    </row>
    <row r="12199" spans="1:7" x14ac:dyDescent="0.25">
      <c r="A12199" s="116" t="s">
        <v>19257</v>
      </c>
      <c r="B12199" s="117" t="s">
        <v>26503</v>
      </c>
      <c r="C12199" t="s">
        <v>67</v>
      </c>
      <c r="D12199" t="s">
        <v>67</v>
      </c>
      <c r="E12199" t="s">
        <v>67</v>
      </c>
      <c r="F12199" t="s">
        <v>27987</v>
      </c>
      <c r="G12199" s="117">
        <v>309.95999999999998</v>
      </c>
    </row>
    <row r="12200" spans="1:7" x14ac:dyDescent="0.25">
      <c r="A12200" s="116" t="s">
        <v>19258</v>
      </c>
      <c r="B12200" s="117" t="s">
        <v>26504</v>
      </c>
      <c r="C12200" t="s">
        <v>67</v>
      </c>
      <c r="D12200" t="s">
        <v>67</v>
      </c>
      <c r="E12200" t="s">
        <v>67</v>
      </c>
      <c r="F12200" t="s">
        <v>27987</v>
      </c>
      <c r="G12200" s="117">
        <v>31</v>
      </c>
    </row>
    <row r="12201" spans="1:7" x14ac:dyDescent="0.25">
      <c r="A12201" s="116" t="s">
        <v>29954</v>
      </c>
      <c r="B12201" s="117" t="s">
        <v>30507</v>
      </c>
      <c r="C12201" t="s">
        <v>67</v>
      </c>
      <c r="D12201" t="s">
        <v>67</v>
      </c>
      <c r="E12201" t="s">
        <v>67</v>
      </c>
      <c r="F12201" t="s">
        <v>27987</v>
      </c>
      <c r="G12201" s="117">
        <v>105.63</v>
      </c>
    </row>
    <row r="12202" spans="1:7" x14ac:dyDescent="0.25">
      <c r="A12202" s="116" t="s">
        <v>29381</v>
      </c>
      <c r="B12202" s="117" t="s">
        <v>30763</v>
      </c>
      <c r="C12202" t="s">
        <v>67</v>
      </c>
      <c r="D12202" t="s">
        <v>67</v>
      </c>
      <c r="E12202" t="s">
        <v>67</v>
      </c>
      <c r="F12202" t="s">
        <v>27987</v>
      </c>
      <c r="G12202" s="117">
        <v>90</v>
      </c>
    </row>
    <row r="12203" spans="1:7" x14ac:dyDescent="0.25">
      <c r="A12203" s="116" t="s">
        <v>26742</v>
      </c>
      <c r="B12203" s="117" t="s">
        <v>30154</v>
      </c>
      <c r="C12203" t="s">
        <v>67</v>
      </c>
      <c r="D12203" t="s">
        <v>67</v>
      </c>
      <c r="E12203" t="s">
        <v>67</v>
      </c>
      <c r="F12203" t="s">
        <v>27987</v>
      </c>
      <c r="G12203" s="117">
        <v>230</v>
      </c>
    </row>
    <row r="12204" spans="1:7" x14ac:dyDescent="0.25">
      <c r="A12204" s="116" t="s">
        <v>27003</v>
      </c>
      <c r="B12204" s="117" t="s">
        <v>29382</v>
      </c>
      <c r="C12204" t="s">
        <v>67</v>
      </c>
      <c r="D12204" t="s">
        <v>67</v>
      </c>
      <c r="E12204" t="s">
        <v>67</v>
      </c>
      <c r="F12204" t="s">
        <v>27987</v>
      </c>
      <c r="G12204" s="117">
        <v>480</v>
      </c>
    </row>
    <row r="12205" spans="1:7" x14ac:dyDescent="0.25">
      <c r="A12205" s="116" t="s">
        <v>31235</v>
      </c>
      <c r="B12205" s="117" t="s">
        <v>31236</v>
      </c>
      <c r="C12205" t="s">
        <v>67</v>
      </c>
      <c r="D12205" t="s">
        <v>67</v>
      </c>
      <c r="E12205" t="s">
        <v>67</v>
      </c>
      <c r="F12205" t="s">
        <v>45</v>
      </c>
      <c r="G12205" s="117">
        <v>585.59</v>
      </c>
    </row>
    <row r="12206" spans="1:7" x14ac:dyDescent="0.25">
      <c r="A12206" s="116" t="s">
        <v>29383</v>
      </c>
      <c r="B12206" s="117" t="s">
        <v>30764</v>
      </c>
      <c r="C12206" t="s">
        <v>67</v>
      </c>
      <c r="D12206" t="s">
        <v>67</v>
      </c>
      <c r="E12206" t="s">
        <v>67</v>
      </c>
      <c r="F12206" t="s">
        <v>27987</v>
      </c>
      <c r="G12206" s="117">
        <v>50</v>
      </c>
    </row>
    <row r="12207" spans="1:7" x14ac:dyDescent="0.25">
      <c r="A12207" s="116" t="s">
        <v>27981</v>
      </c>
      <c r="B12207" s="117" t="s">
        <v>27982</v>
      </c>
      <c r="C12207" t="s">
        <v>67</v>
      </c>
      <c r="D12207" t="s">
        <v>67</v>
      </c>
      <c r="E12207" t="s">
        <v>67</v>
      </c>
      <c r="F12207" t="s">
        <v>49</v>
      </c>
      <c r="G12207" s="117">
        <v>582.01</v>
      </c>
    </row>
    <row r="12208" spans="1:7" x14ac:dyDescent="0.25">
      <c r="A12208" s="116" t="s">
        <v>30334</v>
      </c>
      <c r="B12208" s="117" t="s">
        <v>30287</v>
      </c>
      <c r="C12208" t="s">
        <v>67</v>
      </c>
      <c r="D12208" t="s">
        <v>67</v>
      </c>
      <c r="E12208" t="s">
        <v>67</v>
      </c>
      <c r="F12208" t="s">
        <v>27987</v>
      </c>
      <c r="G12208" s="117">
        <v>9999</v>
      </c>
    </row>
    <row r="12209" spans="1:7" x14ac:dyDescent="0.25">
      <c r="A12209" s="116" t="s">
        <v>26877</v>
      </c>
      <c r="B12209" s="117" t="s">
        <v>1683</v>
      </c>
      <c r="C12209" t="s">
        <v>67</v>
      </c>
      <c r="D12209" t="s">
        <v>67</v>
      </c>
      <c r="E12209" t="s">
        <v>67</v>
      </c>
      <c r="F12209" t="s">
        <v>27987</v>
      </c>
      <c r="G12209" s="117">
        <v>640</v>
      </c>
    </row>
    <row r="12210" spans="1:7" x14ac:dyDescent="0.25">
      <c r="A12210" s="116" t="s">
        <v>26743</v>
      </c>
      <c r="B12210" s="117" t="s">
        <v>29384</v>
      </c>
      <c r="C12210" t="s">
        <v>67</v>
      </c>
      <c r="D12210" t="s">
        <v>67</v>
      </c>
      <c r="E12210" t="s">
        <v>67</v>
      </c>
      <c r="F12210" t="s">
        <v>27987</v>
      </c>
      <c r="G12210" s="117">
        <v>310</v>
      </c>
    </row>
    <row r="12211" spans="1:7" x14ac:dyDescent="0.25">
      <c r="A12211" s="116" t="s">
        <v>29385</v>
      </c>
      <c r="B12211" s="117" t="s">
        <v>30765</v>
      </c>
      <c r="C12211" t="s">
        <v>67</v>
      </c>
      <c r="D12211" t="s">
        <v>67</v>
      </c>
      <c r="E12211" t="s">
        <v>67</v>
      </c>
      <c r="F12211" t="s">
        <v>27987</v>
      </c>
      <c r="G12211" s="117">
        <v>600</v>
      </c>
    </row>
    <row r="12212" spans="1:7" x14ac:dyDescent="0.25">
      <c r="A12212" s="116" t="s">
        <v>29386</v>
      </c>
      <c r="B12212" s="117" t="s">
        <v>20024</v>
      </c>
      <c r="C12212" t="s">
        <v>67</v>
      </c>
      <c r="D12212" t="s">
        <v>67</v>
      </c>
      <c r="E12212" t="s">
        <v>67</v>
      </c>
      <c r="F12212" t="s">
        <v>27987</v>
      </c>
      <c r="G12212" s="117">
        <v>45</v>
      </c>
    </row>
    <row r="12213" spans="1:7" x14ac:dyDescent="0.25">
      <c r="A12213" s="116" t="s">
        <v>29387</v>
      </c>
      <c r="B12213" s="117" t="s">
        <v>2445</v>
      </c>
      <c r="C12213" t="s">
        <v>67</v>
      </c>
      <c r="D12213" t="s">
        <v>67</v>
      </c>
      <c r="E12213" t="s">
        <v>67</v>
      </c>
      <c r="F12213" t="s">
        <v>27987</v>
      </c>
      <c r="G12213" s="117">
        <v>55</v>
      </c>
    </row>
    <row r="12214" spans="1:7" x14ac:dyDescent="0.25">
      <c r="A12214" s="116" t="s">
        <v>29955</v>
      </c>
      <c r="B12214" s="117" t="s">
        <v>18726</v>
      </c>
      <c r="C12214" t="s">
        <v>67</v>
      </c>
      <c r="D12214" t="s">
        <v>67</v>
      </c>
      <c r="E12214" t="s">
        <v>67</v>
      </c>
      <c r="F12214" t="s">
        <v>27987</v>
      </c>
      <c r="G12214" s="117">
        <v>18.48</v>
      </c>
    </row>
    <row r="12215" spans="1:7" x14ac:dyDescent="0.25">
      <c r="A12215" s="116" t="s">
        <v>27060</v>
      </c>
      <c r="B12215" s="117" t="s">
        <v>29388</v>
      </c>
      <c r="C12215" t="s">
        <v>67</v>
      </c>
      <c r="D12215" t="s">
        <v>67</v>
      </c>
      <c r="E12215" t="s">
        <v>67</v>
      </c>
      <c r="F12215" t="s">
        <v>27987</v>
      </c>
      <c r="G12215" s="117">
        <v>400</v>
      </c>
    </row>
    <row r="12216" spans="1:7" x14ac:dyDescent="0.25">
      <c r="A12216" s="116" t="s">
        <v>29389</v>
      </c>
      <c r="B12216" s="117" t="s">
        <v>18726</v>
      </c>
      <c r="C12216" t="s">
        <v>67</v>
      </c>
      <c r="D12216" t="s">
        <v>67</v>
      </c>
      <c r="E12216" t="s">
        <v>67</v>
      </c>
      <c r="F12216" t="s">
        <v>49</v>
      </c>
      <c r="G12216" s="117">
        <v>17.96</v>
      </c>
    </row>
    <row r="12217" spans="1:7" x14ac:dyDescent="0.25">
      <c r="A12217" s="116" t="s">
        <v>27061</v>
      </c>
      <c r="B12217" s="117" t="s">
        <v>29390</v>
      </c>
      <c r="C12217" t="s">
        <v>67</v>
      </c>
      <c r="D12217" t="s">
        <v>67</v>
      </c>
      <c r="E12217" t="s">
        <v>67</v>
      </c>
      <c r="F12217" t="s">
        <v>27987</v>
      </c>
      <c r="G12217" s="117">
        <v>260</v>
      </c>
    </row>
    <row r="12218" spans="1:7" x14ac:dyDescent="0.25">
      <c r="A12218" s="116" t="s">
        <v>29872</v>
      </c>
      <c r="B12218" s="117" t="s">
        <v>29873</v>
      </c>
      <c r="C12218" t="s">
        <v>67</v>
      </c>
      <c r="D12218" t="s">
        <v>67</v>
      </c>
      <c r="E12218" t="s">
        <v>67</v>
      </c>
      <c r="F12218" t="s">
        <v>27987</v>
      </c>
      <c r="G12218" s="117">
        <v>543.48</v>
      </c>
    </row>
    <row r="12219" spans="1:7" x14ac:dyDescent="0.25">
      <c r="A12219" s="116" t="s">
        <v>28159</v>
      </c>
      <c r="B12219" s="117" t="s">
        <v>29391</v>
      </c>
      <c r="C12219" t="s">
        <v>67</v>
      </c>
      <c r="D12219" t="s">
        <v>67</v>
      </c>
      <c r="E12219" t="s">
        <v>67</v>
      </c>
      <c r="F12219" t="s">
        <v>27987</v>
      </c>
      <c r="G12219" s="117">
        <v>333.27</v>
      </c>
    </row>
    <row r="12220" spans="1:7" x14ac:dyDescent="0.25">
      <c r="A12220" s="116" t="s">
        <v>27062</v>
      </c>
      <c r="B12220" s="117" t="s">
        <v>29392</v>
      </c>
      <c r="C12220" t="s">
        <v>67</v>
      </c>
      <c r="D12220" t="s">
        <v>67</v>
      </c>
      <c r="E12220" t="s">
        <v>67</v>
      </c>
      <c r="F12220" t="s">
        <v>27987</v>
      </c>
      <c r="G12220" s="117">
        <v>480</v>
      </c>
    </row>
    <row r="12221" spans="1:7" x14ac:dyDescent="0.25">
      <c r="A12221" s="116" t="s">
        <v>29393</v>
      </c>
      <c r="B12221" s="117" t="s">
        <v>1694</v>
      </c>
      <c r="C12221" t="s">
        <v>67</v>
      </c>
      <c r="D12221" t="s">
        <v>67</v>
      </c>
      <c r="E12221" t="s">
        <v>67</v>
      </c>
      <c r="F12221" t="s">
        <v>49</v>
      </c>
      <c r="G12221" s="117">
        <v>60</v>
      </c>
    </row>
    <row r="12222" spans="1:7" x14ac:dyDescent="0.25">
      <c r="A12222" s="116" t="s">
        <v>26731</v>
      </c>
      <c r="B12222" s="117" t="s">
        <v>1683</v>
      </c>
      <c r="C12222" t="s">
        <v>67</v>
      </c>
      <c r="D12222" t="s">
        <v>67</v>
      </c>
      <c r="E12222" t="s">
        <v>67</v>
      </c>
      <c r="F12222" t="s">
        <v>27987</v>
      </c>
      <c r="G12222" s="117">
        <v>643.12</v>
      </c>
    </row>
    <row r="12223" spans="1:7" x14ac:dyDescent="0.25">
      <c r="A12223" s="116" t="s">
        <v>29394</v>
      </c>
      <c r="B12223" s="117" t="s">
        <v>30032</v>
      </c>
      <c r="C12223" t="s">
        <v>67</v>
      </c>
      <c r="D12223" t="s">
        <v>67</v>
      </c>
      <c r="E12223" t="s">
        <v>67</v>
      </c>
      <c r="F12223" t="s">
        <v>49</v>
      </c>
      <c r="G12223" s="117">
        <v>130</v>
      </c>
    </row>
    <row r="12224" spans="1:7" x14ac:dyDescent="0.25">
      <c r="A12224" s="116" t="s">
        <v>30083</v>
      </c>
      <c r="B12224" s="117" t="s">
        <v>29962</v>
      </c>
      <c r="C12224" t="s">
        <v>67</v>
      </c>
      <c r="D12224" t="s">
        <v>67</v>
      </c>
      <c r="E12224" t="s">
        <v>67</v>
      </c>
      <c r="F12224" t="s">
        <v>45</v>
      </c>
      <c r="G12224" s="117">
        <v>9999</v>
      </c>
    </row>
    <row r="12225" spans="1:7" x14ac:dyDescent="0.25">
      <c r="A12225" s="116" t="s">
        <v>28173</v>
      </c>
      <c r="B12225" s="117" t="s">
        <v>29395</v>
      </c>
      <c r="C12225" t="s">
        <v>67</v>
      </c>
      <c r="D12225" t="s">
        <v>67</v>
      </c>
      <c r="E12225" t="s">
        <v>67</v>
      </c>
      <c r="F12225" t="s">
        <v>27987</v>
      </c>
      <c r="G12225" s="117">
        <v>450</v>
      </c>
    </row>
    <row r="12226" spans="1:7" x14ac:dyDescent="0.25">
      <c r="A12226" s="116" t="s">
        <v>29396</v>
      </c>
      <c r="B12226" s="117" t="s">
        <v>29829</v>
      </c>
      <c r="C12226" t="s">
        <v>67</v>
      </c>
      <c r="D12226" t="s">
        <v>67</v>
      </c>
      <c r="E12226" t="s">
        <v>67</v>
      </c>
      <c r="F12226" t="s">
        <v>27987</v>
      </c>
      <c r="G12226" s="117">
        <v>400</v>
      </c>
    </row>
    <row r="12227" spans="1:7" x14ac:dyDescent="0.25">
      <c r="A12227" s="116" t="s">
        <v>29956</v>
      </c>
      <c r="B12227" s="117" t="s">
        <v>30508</v>
      </c>
      <c r="C12227" t="s">
        <v>67</v>
      </c>
      <c r="D12227" t="s">
        <v>67</v>
      </c>
      <c r="E12227" t="s">
        <v>67</v>
      </c>
      <c r="F12227" t="s">
        <v>45</v>
      </c>
      <c r="G12227" s="117">
        <v>766.5</v>
      </c>
    </row>
    <row r="12228" spans="1:7" x14ac:dyDescent="0.25">
      <c r="A12228" s="116" t="s">
        <v>29397</v>
      </c>
      <c r="B12228" s="117" t="s">
        <v>29398</v>
      </c>
      <c r="C12228" t="s">
        <v>67</v>
      </c>
      <c r="D12228" t="s">
        <v>67</v>
      </c>
      <c r="E12228" t="s">
        <v>67</v>
      </c>
      <c r="F12228" t="s">
        <v>27987</v>
      </c>
      <c r="G12228" s="117">
        <v>200</v>
      </c>
    </row>
    <row r="12229" spans="1:7" x14ac:dyDescent="0.25">
      <c r="A12229" s="116" t="s">
        <v>29399</v>
      </c>
      <c r="B12229" s="117" t="s">
        <v>30033</v>
      </c>
      <c r="C12229" t="s">
        <v>67</v>
      </c>
      <c r="D12229" t="s">
        <v>67</v>
      </c>
      <c r="E12229" t="s">
        <v>67</v>
      </c>
      <c r="F12229" t="s">
        <v>27987</v>
      </c>
      <c r="G12229" s="117">
        <v>26.15</v>
      </c>
    </row>
    <row r="12230" spans="1:7" x14ac:dyDescent="0.25">
      <c r="A12230" s="116" t="s">
        <v>29830</v>
      </c>
      <c r="B12230" s="117" t="s">
        <v>30509</v>
      </c>
      <c r="C12230" t="s">
        <v>67</v>
      </c>
      <c r="D12230" t="s">
        <v>67</v>
      </c>
      <c r="E12230" t="s">
        <v>67</v>
      </c>
      <c r="F12230" t="s">
        <v>27987</v>
      </c>
      <c r="G12230" s="117">
        <v>338.52</v>
      </c>
    </row>
    <row r="12231" spans="1:7" x14ac:dyDescent="0.25">
      <c r="A12231" s="116" t="s">
        <v>29400</v>
      </c>
      <c r="B12231" s="117" t="s">
        <v>29401</v>
      </c>
      <c r="C12231" t="s">
        <v>67</v>
      </c>
      <c r="D12231" t="s">
        <v>67</v>
      </c>
      <c r="E12231" t="s">
        <v>67</v>
      </c>
      <c r="F12231" t="s">
        <v>27987</v>
      </c>
      <c r="G12231" s="117">
        <v>9999</v>
      </c>
    </row>
    <row r="12232" spans="1:7" x14ac:dyDescent="0.25">
      <c r="A12232" s="116" t="s">
        <v>29402</v>
      </c>
      <c r="B12232" s="117" t="s">
        <v>29403</v>
      </c>
      <c r="C12232" t="s">
        <v>67</v>
      </c>
      <c r="D12232" t="s">
        <v>67</v>
      </c>
      <c r="E12232" t="s">
        <v>67</v>
      </c>
      <c r="F12232" t="s">
        <v>27987</v>
      </c>
      <c r="G12232" s="117">
        <v>9999</v>
      </c>
    </row>
    <row r="12233" spans="1:7" x14ac:dyDescent="0.25">
      <c r="A12233" s="116" t="s">
        <v>29404</v>
      </c>
      <c r="B12233" s="117" t="s">
        <v>29405</v>
      </c>
      <c r="C12233" t="s">
        <v>67</v>
      </c>
      <c r="D12233" t="s">
        <v>67</v>
      </c>
      <c r="E12233" t="s">
        <v>67</v>
      </c>
      <c r="F12233" t="s">
        <v>27987</v>
      </c>
      <c r="G12233" s="117">
        <v>9999</v>
      </c>
    </row>
    <row r="12234" spans="1:7" x14ac:dyDescent="0.25">
      <c r="A12234" s="116" t="s">
        <v>29406</v>
      </c>
      <c r="B12234" s="117" t="s">
        <v>29407</v>
      </c>
      <c r="C12234" t="s">
        <v>67</v>
      </c>
      <c r="D12234" t="s">
        <v>67</v>
      </c>
      <c r="E12234" t="s">
        <v>67</v>
      </c>
      <c r="F12234" t="s">
        <v>27987</v>
      </c>
      <c r="G12234" s="117">
        <v>15</v>
      </c>
    </row>
    <row r="12235" spans="1:7" x14ac:dyDescent="0.25">
      <c r="A12235" s="116" t="s">
        <v>29408</v>
      </c>
      <c r="B12235" s="117" t="s">
        <v>29409</v>
      </c>
      <c r="C12235" t="s">
        <v>67</v>
      </c>
      <c r="D12235" t="s">
        <v>67</v>
      </c>
      <c r="E12235" t="s">
        <v>67</v>
      </c>
      <c r="F12235" t="s">
        <v>27987</v>
      </c>
      <c r="G12235" s="117">
        <v>0</v>
      </c>
    </row>
    <row r="12236" spans="1:7" x14ac:dyDescent="0.25">
      <c r="A12236" s="116" t="s">
        <v>29410</v>
      </c>
      <c r="B12236" s="117" t="s">
        <v>30510</v>
      </c>
      <c r="C12236" t="s">
        <v>67</v>
      </c>
      <c r="D12236" t="s">
        <v>67</v>
      </c>
      <c r="E12236" t="s">
        <v>67</v>
      </c>
      <c r="F12236" t="s">
        <v>27987</v>
      </c>
      <c r="G12236" s="117">
        <v>403.62</v>
      </c>
    </row>
    <row r="12237" spans="1:7" x14ac:dyDescent="0.25">
      <c r="A12237" s="116" t="s">
        <v>29411</v>
      </c>
      <c r="B12237" s="117" t="s">
        <v>30766</v>
      </c>
      <c r="C12237" t="s">
        <v>67</v>
      </c>
      <c r="D12237" t="s">
        <v>67</v>
      </c>
      <c r="E12237" t="s">
        <v>67</v>
      </c>
      <c r="F12237" t="s">
        <v>49</v>
      </c>
      <c r="G12237" s="117">
        <v>36.229999999999997</v>
      </c>
    </row>
    <row r="12238" spans="1:7" x14ac:dyDescent="0.25">
      <c r="A12238" s="116" t="s">
        <v>29412</v>
      </c>
      <c r="B12238" s="117" t="s">
        <v>30767</v>
      </c>
      <c r="C12238" t="s">
        <v>67</v>
      </c>
      <c r="D12238" t="s">
        <v>67</v>
      </c>
      <c r="E12238" t="s">
        <v>67</v>
      </c>
      <c r="F12238" t="s">
        <v>49</v>
      </c>
      <c r="G12238" s="117">
        <v>33.71</v>
      </c>
    </row>
    <row r="12239" spans="1:7" x14ac:dyDescent="0.25">
      <c r="A12239" s="116" t="s">
        <v>29413</v>
      </c>
      <c r="B12239" s="117" t="s">
        <v>29414</v>
      </c>
      <c r="C12239" t="s">
        <v>67</v>
      </c>
      <c r="D12239" t="s">
        <v>67</v>
      </c>
      <c r="E12239" t="s">
        <v>67</v>
      </c>
      <c r="F12239" t="s">
        <v>27987</v>
      </c>
      <c r="G12239" s="117">
        <v>145.21</v>
      </c>
    </row>
    <row r="12240" spans="1:7" x14ac:dyDescent="0.25">
      <c r="A12240" s="116" t="s">
        <v>29874</v>
      </c>
      <c r="B12240" s="117" t="s">
        <v>30511</v>
      </c>
      <c r="C12240" t="s">
        <v>67</v>
      </c>
      <c r="D12240" t="s">
        <v>67</v>
      </c>
      <c r="E12240" t="s">
        <v>67</v>
      </c>
      <c r="F12240" t="s">
        <v>27987</v>
      </c>
      <c r="G12240" s="117">
        <v>13</v>
      </c>
    </row>
    <row r="12241" spans="1:7" x14ac:dyDescent="0.25">
      <c r="A12241" s="116" t="s">
        <v>29415</v>
      </c>
      <c r="B12241" s="117" t="s">
        <v>29416</v>
      </c>
      <c r="C12241" t="s">
        <v>67</v>
      </c>
      <c r="D12241" t="s">
        <v>67</v>
      </c>
      <c r="E12241" t="s">
        <v>67</v>
      </c>
      <c r="F12241" t="s">
        <v>27987</v>
      </c>
      <c r="G12241" s="117">
        <v>423.78</v>
      </c>
    </row>
    <row r="12242" spans="1:7" x14ac:dyDescent="0.25">
      <c r="A12242" s="116" t="s">
        <v>29875</v>
      </c>
      <c r="B12242" s="117" t="s">
        <v>30512</v>
      </c>
      <c r="C12242" t="s">
        <v>67</v>
      </c>
      <c r="D12242" t="s">
        <v>67</v>
      </c>
      <c r="E12242" t="s">
        <v>67</v>
      </c>
      <c r="F12242" t="s">
        <v>27987</v>
      </c>
      <c r="G12242" s="117">
        <v>219.77</v>
      </c>
    </row>
    <row r="12243" spans="1:7" x14ac:dyDescent="0.25">
      <c r="A12243" s="116" t="s">
        <v>29417</v>
      </c>
      <c r="B12243" s="117" t="s">
        <v>29418</v>
      </c>
      <c r="C12243" t="s">
        <v>67</v>
      </c>
      <c r="D12243" t="s">
        <v>67</v>
      </c>
      <c r="E12243" t="s">
        <v>67</v>
      </c>
      <c r="F12243" t="s">
        <v>27987</v>
      </c>
      <c r="G12243" s="117">
        <v>342.51</v>
      </c>
    </row>
    <row r="12244" spans="1:7" x14ac:dyDescent="0.25">
      <c r="A12244" s="116" t="s">
        <v>29957</v>
      </c>
      <c r="B12244" s="117" t="s">
        <v>2445</v>
      </c>
      <c r="C12244" t="s">
        <v>67</v>
      </c>
      <c r="D12244" t="s">
        <v>67</v>
      </c>
      <c r="E12244" t="s">
        <v>67</v>
      </c>
      <c r="F12244" t="s">
        <v>27987</v>
      </c>
      <c r="G12244" s="117">
        <v>65.099999999999994</v>
      </c>
    </row>
    <row r="12245" spans="1:7" x14ac:dyDescent="0.25">
      <c r="A12245" s="116" t="s">
        <v>30084</v>
      </c>
      <c r="B12245" s="117" t="s">
        <v>30513</v>
      </c>
      <c r="C12245" t="s">
        <v>67</v>
      </c>
      <c r="D12245" t="s">
        <v>67</v>
      </c>
      <c r="E12245" t="s">
        <v>67</v>
      </c>
      <c r="F12245" t="s">
        <v>27987</v>
      </c>
      <c r="G12245" s="117">
        <v>64.16</v>
      </c>
    </row>
    <row r="12246" spans="1:7" x14ac:dyDescent="0.25">
      <c r="A12246" s="116" t="s">
        <v>29958</v>
      </c>
      <c r="B12246" s="117" t="s">
        <v>30514</v>
      </c>
      <c r="C12246" t="s">
        <v>67</v>
      </c>
      <c r="D12246" t="s">
        <v>67</v>
      </c>
      <c r="E12246" t="s">
        <v>67</v>
      </c>
      <c r="F12246" t="s">
        <v>27987</v>
      </c>
      <c r="G12246" s="117">
        <v>228.27</v>
      </c>
    </row>
    <row r="12247" spans="1:7" x14ac:dyDescent="0.25">
      <c r="A12247" s="116" t="s">
        <v>29419</v>
      </c>
      <c r="B12247" s="117" t="s">
        <v>30515</v>
      </c>
      <c r="C12247" t="s">
        <v>67</v>
      </c>
      <c r="D12247" t="s">
        <v>67</v>
      </c>
      <c r="E12247" t="s">
        <v>67</v>
      </c>
      <c r="F12247" t="s">
        <v>27987</v>
      </c>
      <c r="G12247" s="117">
        <v>274.89</v>
      </c>
    </row>
    <row r="12248" spans="1:7" x14ac:dyDescent="0.25">
      <c r="A12248" s="116" t="s">
        <v>29959</v>
      </c>
      <c r="B12248" s="117" t="s">
        <v>30516</v>
      </c>
      <c r="C12248" t="s">
        <v>67</v>
      </c>
      <c r="D12248" t="s">
        <v>67</v>
      </c>
      <c r="E12248" t="s">
        <v>67</v>
      </c>
      <c r="F12248" t="s">
        <v>27987</v>
      </c>
      <c r="G12248" s="117">
        <v>87.05</v>
      </c>
    </row>
    <row r="12249" spans="1:7" x14ac:dyDescent="0.25">
      <c r="A12249" s="116" t="s">
        <v>29960</v>
      </c>
      <c r="B12249" s="117" t="s">
        <v>30517</v>
      </c>
      <c r="C12249" t="s">
        <v>67</v>
      </c>
      <c r="D12249" t="s">
        <v>67</v>
      </c>
      <c r="E12249" t="s">
        <v>67</v>
      </c>
      <c r="F12249" t="s">
        <v>27987</v>
      </c>
      <c r="G12249" s="117">
        <v>40</v>
      </c>
    </row>
    <row r="12250" spans="1:7" x14ac:dyDescent="0.25">
      <c r="A12250" s="116" t="s">
        <v>29961</v>
      </c>
      <c r="B12250" s="117" t="s">
        <v>29962</v>
      </c>
      <c r="C12250" t="s">
        <v>67</v>
      </c>
      <c r="D12250" t="s">
        <v>67</v>
      </c>
      <c r="E12250" t="s">
        <v>67</v>
      </c>
      <c r="F12250" t="s">
        <v>27987</v>
      </c>
      <c r="G12250" s="117">
        <v>9999</v>
      </c>
    </row>
    <row r="12251" spans="1:7" x14ac:dyDescent="0.25">
      <c r="A12251" s="116" t="s">
        <v>29963</v>
      </c>
      <c r="B12251" s="117" t="s">
        <v>29964</v>
      </c>
      <c r="C12251" t="s">
        <v>67</v>
      </c>
      <c r="D12251" t="s">
        <v>67</v>
      </c>
      <c r="E12251" t="s">
        <v>67</v>
      </c>
      <c r="F12251" t="s">
        <v>27987</v>
      </c>
      <c r="G12251" s="117">
        <v>9999</v>
      </c>
    </row>
    <row r="12252" spans="1:7" x14ac:dyDescent="0.25">
      <c r="A12252" s="116" t="s">
        <v>29420</v>
      </c>
      <c r="B12252" s="117" t="s">
        <v>29421</v>
      </c>
      <c r="C12252" t="s">
        <v>67</v>
      </c>
      <c r="D12252" t="s">
        <v>67</v>
      </c>
      <c r="E12252" t="s">
        <v>67</v>
      </c>
      <c r="F12252" t="s">
        <v>27987</v>
      </c>
      <c r="G12252" s="117">
        <v>230</v>
      </c>
    </row>
    <row r="12253" spans="1:7" x14ac:dyDescent="0.25">
      <c r="A12253" s="116" t="s">
        <v>30987</v>
      </c>
      <c r="B12253" s="117" t="s">
        <v>30242</v>
      </c>
      <c r="C12253" t="s">
        <v>67</v>
      </c>
      <c r="D12253" t="s">
        <v>67</v>
      </c>
      <c r="E12253" t="s">
        <v>67</v>
      </c>
      <c r="F12253" t="s">
        <v>45</v>
      </c>
      <c r="G12253" s="117">
        <v>9999</v>
      </c>
    </row>
    <row r="12254" spans="1:7" x14ac:dyDescent="0.25">
      <c r="A12254" s="116" t="s">
        <v>30988</v>
      </c>
      <c r="B12254" s="117" t="s">
        <v>30989</v>
      </c>
      <c r="C12254" t="s">
        <v>67</v>
      </c>
      <c r="D12254" t="s">
        <v>67</v>
      </c>
      <c r="E12254" t="s">
        <v>67</v>
      </c>
      <c r="F12254" t="s">
        <v>27987</v>
      </c>
      <c r="G12254" s="117">
        <v>9999</v>
      </c>
    </row>
    <row r="12255" spans="1:7" x14ac:dyDescent="0.25">
      <c r="A12255" s="116" t="s">
        <v>30990</v>
      </c>
      <c r="B12255" s="117" t="s">
        <v>30991</v>
      </c>
      <c r="C12255" t="s">
        <v>67</v>
      </c>
      <c r="D12255" t="s">
        <v>67</v>
      </c>
      <c r="E12255" t="s">
        <v>67</v>
      </c>
      <c r="F12255" t="s">
        <v>27987</v>
      </c>
      <c r="G12255" s="117">
        <v>9999</v>
      </c>
    </row>
    <row r="12256" spans="1:7" x14ac:dyDescent="0.25">
      <c r="A12256" s="116" t="s">
        <v>30992</v>
      </c>
      <c r="B12256" s="117" t="s">
        <v>30993</v>
      </c>
      <c r="C12256" t="s">
        <v>67</v>
      </c>
      <c r="D12256" t="s">
        <v>67</v>
      </c>
      <c r="E12256" t="s">
        <v>67</v>
      </c>
      <c r="F12256" t="s">
        <v>27987</v>
      </c>
      <c r="G12256" s="117">
        <v>9999</v>
      </c>
    </row>
    <row r="12257" spans="1:7" x14ac:dyDescent="0.25">
      <c r="A12257" s="116" t="s">
        <v>30241</v>
      </c>
      <c r="B12257" s="117" t="s">
        <v>30242</v>
      </c>
      <c r="C12257" t="s">
        <v>67</v>
      </c>
      <c r="D12257" t="s">
        <v>67</v>
      </c>
      <c r="E12257" t="s">
        <v>67</v>
      </c>
      <c r="F12257" t="s">
        <v>27987</v>
      </c>
      <c r="G12257" s="117">
        <v>9999</v>
      </c>
    </row>
    <row r="12258" spans="1:7" x14ac:dyDescent="0.25">
      <c r="A12258" s="116" t="s">
        <v>30243</v>
      </c>
      <c r="B12258" s="117" t="s">
        <v>30244</v>
      </c>
      <c r="C12258" t="s">
        <v>67</v>
      </c>
      <c r="D12258" t="s">
        <v>67</v>
      </c>
      <c r="E12258" t="s">
        <v>67</v>
      </c>
      <c r="F12258" t="s">
        <v>27987</v>
      </c>
      <c r="G12258" s="117">
        <v>9999</v>
      </c>
    </row>
    <row r="12259" spans="1:7" x14ac:dyDescent="0.25">
      <c r="A12259" s="116" t="s">
        <v>29965</v>
      </c>
      <c r="B12259" s="117" t="s">
        <v>30518</v>
      </c>
      <c r="C12259" t="s">
        <v>67</v>
      </c>
      <c r="D12259" t="s">
        <v>67</v>
      </c>
      <c r="E12259" t="s">
        <v>67</v>
      </c>
      <c r="F12259" t="s">
        <v>27987</v>
      </c>
      <c r="G12259" s="117">
        <v>33.08</v>
      </c>
    </row>
    <row r="12260" spans="1:7" x14ac:dyDescent="0.25">
      <c r="A12260" s="116" t="s">
        <v>30335</v>
      </c>
      <c r="B12260" s="117" t="s">
        <v>30336</v>
      </c>
      <c r="C12260" t="s">
        <v>67</v>
      </c>
      <c r="D12260" t="s">
        <v>67</v>
      </c>
      <c r="E12260" t="s">
        <v>67</v>
      </c>
      <c r="F12260" t="s">
        <v>45</v>
      </c>
      <c r="G12260" s="117">
        <v>9999</v>
      </c>
    </row>
    <row r="12261" spans="1:7" x14ac:dyDescent="0.25">
      <c r="A12261" s="116" t="s">
        <v>30337</v>
      </c>
      <c r="B12261" s="117" t="s">
        <v>30338</v>
      </c>
      <c r="C12261" t="s">
        <v>67</v>
      </c>
      <c r="D12261" t="s">
        <v>67</v>
      </c>
      <c r="E12261" t="s">
        <v>67</v>
      </c>
      <c r="F12261" t="s">
        <v>45</v>
      </c>
      <c r="G12261" s="117">
        <v>9999</v>
      </c>
    </row>
    <row r="12262" spans="1:7" x14ac:dyDescent="0.25">
      <c r="A12262" s="116" t="s">
        <v>31110</v>
      </c>
      <c r="B12262" s="117" t="s">
        <v>31111</v>
      </c>
      <c r="C12262" t="s">
        <v>67</v>
      </c>
      <c r="D12262" t="s">
        <v>67</v>
      </c>
      <c r="E12262" t="s">
        <v>67</v>
      </c>
      <c r="F12262" t="s">
        <v>45</v>
      </c>
      <c r="G12262" s="117">
        <v>9999</v>
      </c>
    </row>
    <row r="12263" spans="1:7" x14ac:dyDescent="0.25">
      <c r="A12263" s="116" t="s">
        <v>30994</v>
      </c>
      <c r="B12263" s="117" t="s">
        <v>30995</v>
      </c>
      <c r="C12263" t="s">
        <v>67</v>
      </c>
      <c r="D12263" t="s">
        <v>67</v>
      </c>
      <c r="E12263" t="s">
        <v>67</v>
      </c>
      <c r="F12263" t="s">
        <v>45</v>
      </c>
      <c r="G12263" s="117">
        <v>9999</v>
      </c>
    </row>
    <row r="12264" spans="1:7" x14ac:dyDescent="0.25">
      <c r="A12264" s="116" t="s">
        <v>30996</v>
      </c>
      <c r="B12264" s="117" t="s">
        <v>30997</v>
      </c>
      <c r="C12264" t="s">
        <v>67</v>
      </c>
      <c r="D12264" t="s">
        <v>67</v>
      </c>
      <c r="E12264" t="s">
        <v>67</v>
      </c>
      <c r="F12264" t="s">
        <v>45</v>
      </c>
      <c r="G12264" s="117">
        <v>9999</v>
      </c>
    </row>
    <row r="12265" spans="1:7" x14ac:dyDescent="0.25">
      <c r="A12265" s="116" t="s">
        <v>30286</v>
      </c>
      <c r="B12265" s="117" t="s">
        <v>30287</v>
      </c>
      <c r="C12265" t="s">
        <v>67</v>
      </c>
      <c r="D12265" t="s">
        <v>67</v>
      </c>
      <c r="E12265" t="s">
        <v>67</v>
      </c>
      <c r="F12265" t="s">
        <v>27987</v>
      </c>
      <c r="G12265" s="117">
        <v>9999</v>
      </c>
    </row>
    <row r="12266" spans="1:7" x14ac:dyDescent="0.25">
      <c r="A12266" s="116" t="s">
        <v>31112</v>
      </c>
      <c r="B12266" s="117" t="s">
        <v>31113</v>
      </c>
      <c r="C12266" t="s">
        <v>67</v>
      </c>
      <c r="D12266" t="s">
        <v>67</v>
      </c>
      <c r="E12266" t="s">
        <v>67</v>
      </c>
      <c r="F12266" t="s">
        <v>45</v>
      </c>
      <c r="G12266" s="117">
        <v>9999</v>
      </c>
    </row>
    <row r="12267" spans="1:7" x14ac:dyDescent="0.25">
      <c r="A12267" s="116" t="s">
        <v>30013</v>
      </c>
      <c r="B12267" s="117" t="s">
        <v>30519</v>
      </c>
      <c r="C12267" t="s">
        <v>67</v>
      </c>
      <c r="D12267" t="s">
        <v>67</v>
      </c>
      <c r="E12267" t="s">
        <v>67</v>
      </c>
      <c r="F12267" t="s">
        <v>27987</v>
      </c>
      <c r="G12267" s="117">
        <v>180.6</v>
      </c>
    </row>
    <row r="12268" spans="1:7" x14ac:dyDescent="0.25">
      <c r="A12268" s="116" t="s">
        <v>30998</v>
      </c>
      <c r="B12268" s="117" t="s">
        <v>30999</v>
      </c>
      <c r="C12268" t="s">
        <v>67</v>
      </c>
      <c r="D12268" t="s">
        <v>67</v>
      </c>
      <c r="E12268" t="s">
        <v>67</v>
      </c>
      <c r="F12268" t="s">
        <v>45</v>
      </c>
      <c r="G12268" s="117">
        <v>9999</v>
      </c>
    </row>
    <row r="12269" spans="1:7" x14ac:dyDescent="0.25">
      <c r="A12269" s="116" t="s">
        <v>31000</v>
      </c>
      <c r="B12269" s="117" t="s">
        <v>30991</v>
      </c>
      <c r="C12269" t="s">
        <v>67</v>
      </c>
      <c r="D12269" t="s">
        <v>67</v>
      </c>
      <c r="E12269" t="s">
        <v>67</v>
      </c>
      <c r="F12269" t="s">
        <v>45</v>
      </c>
      <c r="G12269" s="117">
        <v>9999</v>
      </c>
    </row>
    <row r="12270" spans="1:7" x14ac:dyDescent="0.25">
      <c r="A12270" s="116" t="s">
        <v>31001</v>
      </c>
      <c r="B12270" s="117" t="s">
        <v>30242</v>
      </c>
      <c r="C12270" t="s">
        <v>67</v>
      </c>
      <c r="D12270" t="s">
        <v>67</v>
      </c>
      <c r="E12270" t="s">
        <v>67</v>
      </c>
      <c r="F12270" t="s">
        <v>45</v>
      </c>
      <c r="G12270" s="117">
        <v>9999</v>
      </c>
    </row>
    <row r="12271" spans="1:7" x14ac:dyDescent="0.25">
      <c r="A12271" s="116" t="s">
        <v>19259</v>
      </c>
      <c r="B12271" s="117" t="s">
        <v>19260</v>
      </c>
      <c r="C12271" t="s">
        <v>67</v>
      </c>
      <c r="D12271" t="s">
        <v>67</v>
      </c>
      <c r="E12271" t="s">
        <v>67</v>
      </c>
      <c r="F12271" t="s">
        <v>51</v>
      </c>
      <c r="G12271" s="117">
        <v>74.3</v>
      </c>
    </row>
    <row r="12272" spans="1:7" x14ac:dyDescent="0.25">
      <c r="A12272" s="116" t="s">
        <v>19261</v>
      </c>
      <c r="B12272" s="117" t="s">
        <v>19262</v>
      </c>
      <c r="C12272" t="s">
        <v>67</v>
      </c>
      <c r="D12272" t="s">
        <v>67</v>
      </c>
      <c r="E12272" t="s">
        <v>67</v>
      </c>
      <c r="F12272" t="s">
        <v>27987</v>
      </c>
      <c r="G12272" s="117">
        <v>76.08</v>
      </c>
    </row>
    <row r="12273" spans="1:7" x14ac:dyDescent="0.25">
      <c r="A12273" s="116" t="s">
        <v>19263</v>
      </c>
      <c r="B12273" s="117" t="s">
        <v>19264</v>
      </c>
      <c r="C12273" t="s">
        <v>67</v>
      </c>
      <c r="D12273" t="s">
        <v>67</v>
      </c>
      <c r="E12273" t="s">
        <v>67</v>
      </c>
      <c r="F12273" t="s">
        <v>49</v>
      </c>
      <c r="G12273" s="117">
        <v>73.42</v>
      </c>
    </row>
    <row r="12274" spans="1:7" x14ac:dyDescent="0.25">
      <c r="A12274" s="116" t="s">
        <v>19265</v>
      </c>
      <c r="B12274" s="117" t="s">
        <v>19266</v>
      </c>
      <c r="C12274" t="s">
        <v>67</v>
      </c>
      <c r="D12274" t="s">
        <v>67</v>
      </c>
      <c r="E12274" t="s">
        <v>67</v>
      </c>
      <c r="F12274" t="s">
        <v>45</v>
      </c>
      <c r="G12274" s="117">
        <v>100.46</v>
      </c>
    </row>
    <row r="12275" spans="1:7" x14ac:dyDescent="0.25">
      <c r="A12275" s="116" t="s">
        <v>19267</v>
      </c>
      <c r="B12275" s="117" t="s">
        <v>19268</v>
      </c>
      <c r="C12275" t="s">
        <v>67</v>
      </c>
      <c r="D12275" t="s">
        <v>67</v>
      </c>
      <c r="E12275" t="s">
        <v>67</v>
      </c>
      <c r="F12275" t="s">
        <v>45</v>
      </c>
      <c r="G12275" s="117">
        <v>74.66</v>
      </c>
    </row>
    <row r="12276" spans="1:7" x14ac:dyDescent="0.25">
      <c r="A12276" s="116" t="s">
        <v>19269</v>
      </c>
      <c r="B12276" s="117" t="s">
        <v>18279</v>
      </c>
      <c r="C12276" t="s">
        <v>67</v>
      </c>
      <c r="D12276" t="s">
        <v>67</v>
      </c>
      <c r="E12276" t="s">
        <v>67</v>
      </c>
      <c r="F12276" t="s">
        <v>49</v>
      </c>
      <c r="G12276" s="117">
        <v>162.75</v>
      </c>
    </row>
    <row r="12277" spans="1:7" x14ac:dyDescent="0.25">
      <c r="A12277" s="116" t="s">
        <v>19270</v>
      </c>
      <c r="B12277" s="117" t="s">
        <v>19271</v>
      </c>
      <c r="C12277" t="s">
        <v>67</v>
      </c>
      <c r="D12277" t="s">
        <v>67</v>
      </c>
      <c r="E12277" t="s">
        <v>67</v>
      </c>
      <c r="F12277" t="s">
        <v>27987</v>
      </c>
      <c r="G12277" s="117">
        <v>104</v>
      </c>
    </row>
    <row r="12278" spans="1:7" x14ac:dyDescent="0.25">
      <c r="A12278" s="116" t="s">
        <v>19272</v>
      </c>
      <c r="B12278" s="117" t="s">
        <v>19273</v>
      </c>
      <c r="C12278" t="s">
        <v>67</v>
      </c>
      <c r="D12278" t="s">
        <v>67</v>
      </c>
      <c r="E12278" t="s">
        <v>67</v>
      </c>
      <c r="F12278" t="s">
        <v>49</v>
      </c>
      <c r="G12278" s="117">
        <v>72.52</v>
      </c>
    </row>
    <row r="12279" spans="1:7" x14ac:dyDescent="0.25">
      <c r="A12279" s="116" t="s">
        <v>19274</v>
      </c>
      <c r="B12279" s="117" t="s">
        <v>19275</v>
      </c>
      <c r="C12279" t="s">
        <v>67</v>
      </c>
      <c r="D12279" t="s">
        <v>67</v>
      </c>
      <c r="E12279" t="s">
        <v>67</v>
      </c>
      <c r="F12279" t="s">
        <v>49</v>
      </c>
      <c r="G12279" s="117">
        <v>70.2</v>
      </c>
    </row>
    <row r="12280" spans="1:7" x14ac:dyDescent="0.25">
      <c r="A12280" s="116" t="s">
        <v>19276</v>
      </c>
      <c r="B12280" s="117" t="s">
        <v>18261</v>
      </c>
      <c r="C12280" t="s">
        <v>67</v>
      </c>
      <c r="D12280" t="s">
        <v>67</v>
      </c>
      <c r="E12280" t="s">
        <v>67</v>
      </c>
      <c r="F12280" t="s">
        <v>27987</v>
      </c>
      <c r="G12280" s="117">
        <v>98.18</v>
      </c>
    </row>
    <row r="12281" spans="1:7" x14ac:dyDescent="0.25">
      <c r="A12281" s="116" t="s">
        <v>19277</v>
      </c>
      <c r="B12281" s="117" t="s">
        <v>18279</v>
      </c>
      <c r="C12281" t="s">
        <v>67</v>
      </c>
      <c r="D12281" t="s">
        <v>67</v>
      </c>
      <c r="E12281" t="s">
        <v>67</v>
      </c>
      <c r="F12281" t="s">
        <v>27987</v>
      </c>
      <c r="G12281" s="117">
        <v>100.11</v>
      </c>
    </row>
    <row r="12282" spans="1:7" x14ac:dyDescent="0.25">
      <c r="A12282" s="116" t="s">
        <v>19278</v>
      </c>
      <c r="B12282" s="117" t="s">
        <v>19279</v>
      </c>
      <c r="C12282" t="s">
        <v>67</v>
      </c>
      <c r="D12282" t="s">
        <v>67</v>
      </c>
      <c r="E12282" t="s">
        <v>67</v>
      </c>
      <c r="F12282" t="s">
        <v>49</v>
      </c>
      <c r="G12282" s="117">
        <v>214.84</v>
      </c>
    </row>
    <row r="12283" spans="1:7" x14ac:dyDescent="0.25">
      <c r="A12283" s="116" t="s">
        <v>26601</v>
      </c>
      <c r="B12283" s="117" t="s">
        <v>26602</v>
      </c>
      <c r="C12283" t="s">
        <v>67</v>
      </c>
      <c r="D12283" t="s">
        <v>67</v>
      </c>
      <c r="E12283" t="s">
        <v>67</v>
      </c>
      <c r="F12283" t="s">
        <v>27987</v>
      </c>
      <c r="G12283" s="117">
        <v>185.59</v>
      </c>
    </row>
    <row r="12284" spans="1:7" x14ac:dyDescent="0.25">
      <c r="A12284" s="116" t="s">
        <v>19280</v>
      </c>
      <c r="B12284" s="117" t="s">
        <v>18279</v>
      </c>
      <c r="C12284" t="s">
        <v>67</v>
      </c>
      <c r="D12284" t="s">
        <v>67</v>
      </c>
      <c r="E12284" t="s">
        <v>67</v>
      </c>
      <c r="F12284" t="s">
        <v>49</v>
      </c>
      <c r="G12284" s="117">
        <v>116.65</v>
      </c>
    </row>
    <row r="12285" spans="1:7" x14ac:dyDescent="0.25">
      <c r="A12285" s="116" t="s">
        <v>19281</v>
      </c>
      <c r="B12285" s="117" t="s">
        <v>18279</v>
      </c>
      <c r="C12285" t="s">
        <v>67</v>
      </c>
      <c r="D12285" t="s">
        <v>67</v>
      </c>
      <c r="E12285" t="s">
        <v>67</v>
      </c>
      <c r="F12285" t="s">
        <v>27990</v>
      </c>
      <c r="G12285" s="117">
        <v>111.45</v>
      </c>
    </row>
    <row r="12286" spans="1:7" x14ac:dyDescent="0.25">
      <c r="A12286" s="116" t="s">
        <v>30520</v>
      </c>
      <c r="B12286" s="117" t="s">
        <v>30521</v>
      </c>
      <c r="C12286" t="s">
        <v>67</v>
      </c>
      <c r="D12286" t="s">
        <v>67</v>
      </c>
      <c r="E12286" t="s">
        <v>67</v>
      </c>
      <c r="F12286" t="s">
        <v>27987</v>
      </c>
      <c r="G12286" s="117">
        <v>9999</v>
      </c>
    </row>
    <row r="12287" spans="1:7" x14ac:dyDescent="0.25">
      <c r="A12287" s="116" t="s">
        <v>19282</v>
      </c>
      <c r="B12287" s="117" t="s">
        <v>19266</v>
      </c>
      <c r="C12287" t="s">
        <v>67</v>
      </c>
      <c r="D12287" t="s">
        <v>67</v>
      </c>
      <c r="E12287" t="s">
        <v>67</v>
      </c>
      <c r="F12287" t="s">
        <v>27987</v>
      </c>
      <c r="G12287" s="117">
        <v>243.71</v>
      </c>
    </row>
    <row r="12288" spans="1:7" x14ac:dyDescent="0.25">
      <c r="A12288" s="116" t="s">
        <v>19283</v>
      </c>
      <c r="B12288" s="117" t="s">
        <v>19284</v>
      </c>
      <c r="C12288" t="s">
        <v>67</v>
      </c>
      <c r="D12288" t="s">
        <v>67</v>
      </c>
      <c r="E12288" t="s">
        <v>67</v>
      </c>
      <c r="F12288" t="s">
        <v>27987</v>
      </c>
      <c r="G12288" s="117">
        <v>104.4</v>
      </c>
    </row>
    <row r="12289" spans="1:7" x14ac:dyDescent="0.25">
      <c r="A12289" s="116" t="s">
        <v>27983</v>
      </c>
      <c r="B12289" s="117" t="s">
        <v>19338</v>
      </c>
      <c r="C12289" t="s">
        <v>67</v>
      </c>
      <c r="D12289" t="s">
        <v>67</v>
      </c>
      <c r="E12289" t="s">
        <v>67</v>
      </c>
      <c r="F12289" t="s">
        <v>27987</v>
      </c>
      <c r="G12289" s="117">
        <v>121</v>
      </c>
    </row>
    <row r="12290" spans="1:7" x14ac:dyDescent="0.25">
      <c r="A12290" s="116" t="s">
        <v>28130</v>
      </c>
      <c r="B12290" s="117" t="s">
        <v>19328</v>
      </c>
      <c r="C12290" t="s">
        <v>67</v>
      </c>
      <c r="D12290" t="s">
        <v>67</v>
      </c>
      <c r="E12290" t="s">
        <v>67</v>
      </c>
      <c r="F12290" t="s">
        <v>27987</v>
      </c>
      <c r="G12290" s="117">
        <v>104.56</v>
      </c>
    </row>
    <row r="12291" spans="1:7" x14ac:dyDescent="0.25">
      <c r="A12291" s="116" t="s">
        <v>27004</v>
      </c>
      <c r="B12291" s="117" t="s">
        <v>18279</v>
      </c>
      <c r="C12291" t="s">
        <v>67</v>
      </c>
      <c r="D12291" t="s">
        <v>67</v>
      </c>
      <c r="E12291" t="s">
        <v>67</v>
      </c>
      <c r="F12291" t="s">
        <v>27987</v>
      </c>
      <c r="G12291" s="117">
        <v>89</v>
      </c>
    </row>
    <row r="12292" spans="1:7" x14ac:dyDescent="0.25">
      <c r="A12292" s="116" t="s">
        <v>19285</v>
      </c>
      <c r="B12292" s="117" t="s">
        <v>19286</v>
      </c>
      <c r="C12292" t="s">
        <v>67</v>
      </c>
      <c r="D12292" t="s">
        <v>67</v>
      </c>
      <c r="E12292" t="s">
        <v>67</v>
      </c>
      <c r="F12292" t="s">
        <v>27987</v>
      </c>
      <c r="G12292" s="117">
        <v>205.11</v>
      </c>
    </row>
    <row r="12293" spans="1:7" x14ac:dyDescent="0.25">
      <c r="A12293" s="116" t="s">
        <v>19287</v>
      </c>
      <c r="B12293" s="117" t="s">
        <v>19288</v>
      </c>
      <c r="C12293" t="s">
        <v>67</v>
      </c>
      <c r="D12293" t="s">
        <v>67</v>
      </c>
      <c r="E12293" t="s">
        <v>67</v>
      </c>
      <c r="F12293" t="s">
        <v>27987</v>
      </c>
      <c r="G12293" s="117">
        <v>129.47999999999999</v>
      </c>
    </row>
    <row r="12294" spans="1:7" x14ac:dyDescent="0.25">
      <c r="A12294" s="116" t="s">
        <v>19289</v>
      </c>
      <c r="B12294" s="117" t="s">
        <v>19290</v>
      </c>
      <c r="C12294" t="s">
        <v>67</v>
      </c>
      <c r="D12294" t="s">
        <v>67</v>
      </c>
      <c r="E12294" t="s">
        <v>67</v>
      </c>
      <c r="F12294" t="s">
        <v>27987</v>
      </c>
      <c r="G12294" s="117">
        <v>82.67</v>
      </c>
    </row>
    <row r="12295" spans="1:7" x14ac:dyDescent="0.25">
      <c r="A12295" s="116" t="s">
        <v>19291</v>
      </c>
      <c r="B12295" s="117" t="s">
        <v>19292</v>
      </c>
      <c r="C12295" t="s">
        <v>67</v>
      </c>
      <c r="D12295" t="s">
        <v>67</v>
      </c>
      <c r="E12295" t="s">
        <v>67</v>
      </c>
      <c r="F12295" t="s">
        <v>27987</v>
      </c>
      <c r="G12295" s="117">
        <v>86.23</v>
      </c>
    </row>
    <row r="12296" spans="1:7" x14ac:dyDescent="0.25">
      <c r="A12296" s="116" t="s">
        <v>19293</v>
      </c>
      <c r="B12296" s="117" t="s">
        <v>19294</v>
      </c>
      <c r="C12296" t="s">
        <v>67</v>
      </c>
      <c r="D12296" t="s">
        <v>67</v>
      </c>
      <c r="E12296" t="s">
        <v>67</v>
      </c>
      <c r="F12296" t="s">
        <v>45</v>
      </c>
      <c r="G12296" s="117">
        <v>285.19</v>
      </c>
    </row>
    <row r="12297" spans="1:7" x14ac:dyDescent="0.25">
      <c r="A12297" s="116" t="s">
        <v>19295</v>
      </c>
      <c r="B12297" s="117" t="s">
        <v>19296</v>
      </c>
      <c r="C12297" t="s">
        <v>67</v>
      </c>
      <c r="D12297" t="s">
        <v>67</v>
      </c>
      <c r="E12297" t="s">
        <v>67</v>
      </c>
      <c r="F12297" t="s">
        <v>27987</v>
      </c>
      <c r="G12297" s="117">
        <v>149.05000000000001</v>
      </c>
    </row>
    <row r="12298" spans="1:7" x14ac:dyDescent="0.25">
      <c r="A12298" s="116" t="s">
        <v>27588</v>
      </c>
      <c r="B12298" s="117" t="s">
        <v>19297</v>
      </c>
      <c r="C12298" t="s">
        <v>67</v>
      </c>
      <c r="D12298" t="s">
        <v>67</v>
      </c>
      <c r="E12298" t="s">
        <v>67</v>
      </c>
      <c r="F12298" t="s">
        <v>45</v>
      </c>
      <c r="G12298" s="117">
        <v>77.47</v>
      </c>
    </row>
    <row r="12299" spans="1:7" x14ac:dyDescent="0.25">
      <c r="A12299" s="116" t="s">
        <v>27589</v>
      </c>
      <c r="B12299" s="117" t="s">
        <v>19298</v>
      </c>
      <c r="C12299" t="s">
        <v>67</v>
      </c>
      <c r="D12299" t="s">
        <v>67</v>
      </c>
      <c r="E12299" t="s">
        <v>67</v>
      </c>
      <c r="F12299" t="s">
        <v>45</v>
      </c>
      <c r="G12299" s="117">
        <v>224.01</v>
      </c>
    </row>
    <row r="12300" spans="1:7" x14ac:dyDescent="0.25">
      <c r="A12300" s="116" t="s">
        <v>19299</v>
      </c>
      <c r="B12300" s="117" t="s">
        <v>19300</v>
      </c>
      <c r="C12300" t="s">
        <v>67</v>
      </c>
      <c r="D12300" t="s">
        <v>67</v>
      </c>
      <c r="E12300" t="s">
        <v>67</v>
      </c>
      <c r="F12300" t="s">
        <v>45</v>
      </c>
      <c r="G12300" s="117">
        <v>134.27000000000001</v>
      </c>
    </row>
    <row r="12301" spans="1:7" x14ac:dyDescent="0.25">
      <c r="A12301" s="116" t="s">
        <v>19301</v>
      </c>
      <c r="B12301" s="117" t="s">
        <v>19302</v>
      </c>
      <c r="C12301" t="s">
        <v>67</v>
      </c>
      <c r="D12301" t="s">
        <v>67</v>
      </c>
      <c r="E12301" t="s">
        <v>67</v>
      </c>
      <c r="F12301" t="s">
        <v>27987</v>
      </c>
      <c r="G12301" s="117">
        <v>120.57</v>
      </c>
    </row>
    <row r="12302" spans="1:7" x14ac:dyDescent="0.25">
      <c r="A12302" s="116" t="s">
        <v>19303</v>
      </c>
      <c r="B12302" s="117" t="s">
        <v>19304</v>
      </c>
      <c r="C12302" t="s">
        <v>67</v>
      </c>
      <c r="D12302" t="s">
        <v>67</v>
      </c>
      <c r="E12302" t="s">
        <v>67</v>
      </c>
      <c r="F12302" t="s">
        <v>49</v>
      </c>
      <c r="G12302" s="117">
        <v>107.58</v>
      </c>
    </row>
    <row r="12303" spans="1:7" x14ac:dyDescent="0.25">
      <c r="A12303" s="116" t="s">
        <v>19305</v>
      </c>
      <c r="B12303" s="117" t="s">
        <v>19306</v>
      </c>
      <c r="C12303" t="s">
        <v>67</v>
      </c>
      <c r="D12303" t="s">
        <v>67</v>
      </c>
      <c r="E12303" t="s">
        <v>67</v>
      </c>
      <c r="F12303" t="s">
        <v>27987</v>
      </c>
      <c r="G12303" s="117">
        <v>104.92</v>
      </c>
    </row>
    <row r="12304" spans="1:7" x14ac:dyDescent="0.25">
      <c r="A12304" s="116" t="s">
        <v>27590</v>
      </c>
      <c r="B12304" s="117" t="s">
        <v>26505</v>
      </c>
      <c r="C12304" t="s">
        <v>67</v>
      </c>
      <c r="D12304" t="s">
        <v>67</v>
      </c>
      <c r="E12304" t="s">
        <v>67</v>
      </c>
      <c r="F12304" t="s">
        <v>27987</v>
      </c>
      <c r="G12304" s="117">
        <v>104.44</v>
      </c>
    </row>
    <row r="12305" spans="1:7" x14ac:dyDescent="0.25">
      <c r="A12305" s="116" t="s">
        <v>19307</v>
      </c>
      <c r="B12305" s="117" t="s">
        <v>18279</v>
      </c>
      <c r="C12305" t="s">
        <v>67</v>
      </c>
      <c r="D12305" t="s">
        <v>67</v>
      </c>
      <c r="E12305" t="s">
        <v>67</v>
      </c>
      <c r="F12305" t="s">
        <v>27987</v>
      </c>
      <c r="G12305" s="117">
        <v>95.12</v>
      </c>
    </row>
    <row r="12306" spans="1:7" x14ac:dyDescent="0.25">
      <c r="A12306" s="116" t="s">
        <v>29422</v>
      </c>
      <c r="B12306" s="117" t="s">
        <v>29423</v>
      </c>
      <c r="C12306" t="s">
        <v>67</v>
      </c>
      <c r="D12306" t="s">
        <v>67</v>
      </c>
      <c r="E12306" t="s">
        <v>67</v>
      </c>
      <c r="F12306" t="s">
        <v>45</v>
      </c>
      <c r="G12306" s="117">
        <v>0</v>
      </c>
    </row>
    <row r="12307" spans="1:7" x14ac:dyDescent="0.25">
      <c r="A12307" s="116" t="s">
        <v>19308</v>
      </c>
      <c r="B12307" s="117" t="s">
        <v>19309</v>
      </c>
      <c r="C12307" t="s">
        <v>67</v>
      </c>
      <c r="D12307" t="s">
        <v>67</v>
      </c>
      <c r="E12307" t="s">
        <v>67</v>
      </c>
      <c r="F12307" t="s">
        <v>45</v>
      </c>
      <c r="G12307" s="117">
        <v>221.12</v>
      </c>
    </row>
    <row r="12308" spans="1:7" x14ac:dyDescent="0.25">
      <c r="A12308" s="116" t="s">
        <v>19310</v>
      </c>
      <c r="B12308" s="117" t="s">
        <v>19311</v>
      </c>
      <c r="C12308" t="s">
        <v>67</v>
      </c>
      <c r="D12308" t="s">
        <v>67</v>
      </c>
      <c r="E12308" t="s">
        <v>67</v>
      </c>
      <c r="F12308" t="s">
        <v>45</v>
      </c>
      <c r="G12308" s="117">
        <v>200.66</v>
      </c>
    </row>
    <row r="12309" spans="1:7" x14ac:dyDescent="0.25">
      <c r="A12309" s="116" t="s">
        <v>29424</v>
      </c>
      <c r="B12309" s="117" t="s">
        <v>29425</v>
      </c>
      <c r="C12309" t="s">
        <v>67</v>
      </c>
      <c r="D12309" t="s">
        <v>67</v>
      </c>
      <c r="E12309" t="s">
        <v>67</v>
      </c>
      <c r="F12309" t="s">
        <v>45</v>
      </c>
      <c r="G12309" s="117">
        <v>305</v>
      </c>
    </row>
    <row r="12310" spans="1:7" x14ac:dyDescent="0.25">
      <c r="A12310" s="116" t="s">
        <v>19312</v>
      </c>
      <c r="B12310" s="117" t="s">
        <v>19313</v>
      </c>
      <c r="C12310" t="s">
        <v>67</v>
      </c>
      <c r="D12310" t="s">
        <v>67</v>
      </c>
      <c r="E12310" t="s">
        <v>67</v>
      </c>
      <c r="F12310" t="s">
        <v>49</v>
      </c>
      <c r="G12310" s="117">
        <v>236.25</v>
      </c>
    </row>
    <row r="12311" spans="1:7" x14ac:dyDescent="0.25">
      <c r="A12311" s="116" t="s">
        <v>19314</v>
      </c>
      <c r="B12311" s="117" t="s">
        <v>19315</v>
      </c>
      <c r="C12311" t="s">
        <v>67</v>
      </c>
      <c r="D12311" t="s">
        <v>67</v>
      </c>
      <c r="E12311" t="s">
        <v>67</v>
      </c>
      <c r="F12311" t="s">
        <v>27987</v>
      </c>
      <c r="G12311" s="117">
        <v>99.21</v>
      </c>
    </row>
    <row r="12312" spans="1:7" x14ac:dyDescent="0.25">
      <c r="A12312" s="116" t="s">
        <v>19316</v>
      </c>
      <c r="B12312" s="117" t="s">
        <v>19317</v>
      </c>
      <c r="C12312" t="s">
        <v>67</v>
      </c>
      <c r="D12312" t="s">
        <v>67</v>
      </c>
      <c r="E12312" t="s">
        <v>67</v>
      </c>
      <c r="F12312" t="s">
        <v>27987</v>
      </c>
      <c r="G12312" s="117">
        <v>96.9</v>
      </c>
    </row>
    <row r="12313" spans="1:7" x14ac:dyDescent="0.25">
      <c r="A12313" s="116" t="s">
        <v>19318</v>
      </c>
      <c r="B12313" s="117" t="s">
        <v>19319</v>
      </c>
      <c r="C12313" t="s">
        <v>67</v>
      </c>
      <c r="D12313" t="s">
        <v>67</v>
      </c>
      <c r="E12313" t="s">
        <v>67</v>
      </c>
      <c r="F12313" t="s">
        <v>45</v>
      </c>
      <c r="G12313" s="117">
        <v>179.66</v>
      </c>
    </row>
    <row r="12314" spans="1:7" x14ac:dyDescent="0.25">
      <c r="A12314" s="116" t="s">
        <v>19320</v>
      </c>
      <c r="B12314" s="117" t="s">
        <v>19321</v>
      </c>
      <c r="C12314" t="s">
        <v>67</v>
      </c>
      <c r="D12314" t="s">
        <v>67</v>
      </c>
      <c r="E12314" t="s">
        <v>67</v>
      </c>
      <c r="F12314" t="s">
        <v>45</v>
      </c>
      <c r="G12314" s="117">
        <v>92.45</v>
      </c>
    </row>
    <row r="12315" spans="1:7" x14ac:dyDescent="0.25">
      <c r="A12315" s="116" t="s">
        <v>19322</v>
      </c>
      <c r="B12315" s="117" t="s">
        <v>19323</v>
      </c>
      <c r="C12315" t="s">
        <v>67</v>
      </c>
      <c r="D12315" t="s">
        <v>67</v>
      </c>
      <c r="E12315" t="s">
        <v>67</v>
      </c>
      <c r="F12315" t="s">
        <v>27987</v>
      </c>
      <c r="G12315" s="117">
        <v>109</v>
      </c>
    </row>
    <row r="12316" spans="1:7" x14ac:dyDescent="0.25">
      <c r="A12316" s="116" t="s">
        <v>19324</v>
      </c>
      <c r="B12316" s="117" t="s">
        <v>18279</v>
      </c>
      <c r="C12316" t="s">
        <v>67</v>
      </c>
      <c r="D12316" t="s">
        <v>67</v>
      </c>
      <c r="E12316" t="s">
        <v>67</v>
      </c>
      <c r="F12316" t="s">
        <v>27987</v>
      </c>
      <c r="G12316" s="117">
        <v>86.23</v>
      </c>
    </row>
    <row r="12317" spans="1:7" x14ac:dyDescent="0.25">
      <c r="A12317" s="116" t="s">
        <v>19325</v>
      </c>
      <c r="B12317" s="117" t="s">
        <v>19326</v>
      </c>
      <c r="C12317" t="s">
        <v>67</v>
      </c>
      <c r="D12317" t="s">
        <v>67</v>
      </c>
      <c r="E12317" t="s">
        <v>67</v>
      </c>
      <c r="F12317" t="s">
        <v>45</v>
      </c>
      <c r="G12317" s="117">
        <v>85.33</v>
      </c>
    </row>
    <row r="12318" spans="1:7" x14ac:dyDescent="0.25">
      <c r="A12318" s="116" t="s">
        <v>19327</v>
      </c>
      <c r="B12318" s="117" t="s">
        <v>19328</v>
      </c>
      <c r="C12318" t="s">
        <v>67</v>
      </c>
      <c r="D12318" t="s">
        <v>67</v>
      </c>
      <c r="E12318" t="s">
        <v>67</v>
      </c>
      <c r="F12318" t="s">
        <v>45</v>
      </c>
      <c r="G12318" s="117">
        <v>104.56</v>
      </c>
    </row>
    <row r="12319" spans="1:7" x14ac:dyDescent="0.25">
      <c r="A12319" s="116" t="s">
        <v>19329</v>
      </c>
      <c r="B12319" s="117" t="s">
        <v>19330</v>
      </c>
      <c r="C12319" t="s">
        <v>67</v>
      </c>
      <c r="D12319" t="s">
        <v>67</v>
      </c>
      <c r="E12319" t="s">
        <v>67</v>
      </c>
      <c r="F12319" t="s">
        <v>49</v>
      </c>
      <c r="G12319" s="117">
        <v>79.64</v>
      </c>
    </row>
    <row r="12320" spans="1:7" x14ac:dyDescent="0.25">
      <c r="A12320" s="116" t="s">
        <v>19331</v>
      </c>
      <c r="B12320" s="117" t="s">
        <v>18279</v>
      </c>
      <c r="C12320" t="s">
        <v>67</v>
      </c>
      <c r="D12320" t="s">
        <v>67</v>
      </c>
      <c r="E12320" t="s">
        <v>67</v>
      </c>
      <c r="F12320" t="s">
        <v>27987</v>
      </c>
      <c r="G12320" s="117">
        <v>83.2</v>
      </c>
    </row>
    <row r="12321" spans="1:7" x14ac:dyDescent="0.25">
      <c r="A12321" s="116" t="s">
        <v>19332</v>
      </c>
      <c r="B12321" s="117" t="s">
        <v>18279</v>
      </c>
      <c r="C12321" t="s">
        <v>67</v>
      </c>
      <c r="D12321" t="s">
        <v>67</v>
      </c>
      <c r="E12321" t="s">
        <v>67</v>
      </c>
      <c r="F12321" t="s">
        <v>45</v>
      </c>
      <c r="G12321" s="117">
        <v>77.319999999999993</v>
      </c>
    </row>
    <row r="12322" spans="1:7" x14ac:dyDescent="0.25">
      <c r="A12322" s="116" t="s">
        <v>19333</v>
      </c>
      <c r="B12322" s="117" t="s">
        <v>19334</v>
      </c>
      <c r="C12322" t="s">
        <v>67</v>
      </c>
      <c r="D12322" t="s">
        <v>67</v>
      </c>
      <c r="E12322" t="s">
        <v>67</v>
      </c>
      <c r="F12322" t="s">
        <v>27987</v>
      </c>
      <c r="G12322" s="117">
        <v>80</v>
      </c>
    </row>
    <row r="12323" spans="1:7" x14ac:dyDescent="0.25">
      <c r="A12323" s="116" t="s">
        <v>19335</v>
      </c>
      <c r="B12323" s="117" t="s">
        <v>18279</v>
      </c>
      <c r="C12323" t="s">
        <v>67</v>
      </c>
      <c r="D12323" t="s">
        <v>67</v>
      </c>
      <c r="E12323" t="s">
        <v>67</v>
      </c>
      <c r="F12323" t="s">
        <v>27987</v>
      </c>
      <c r="G12323" s="117">
        <v>111.68</v>
      </c>
    </row>
    <row r="12324" spans="1:7" x14ac:dyDescent="0.25">
      <c r="A12324" s="116" t="s">
        <v>19336</v>
      </c>
      <c r="B12324" s="117" t="s">
        <v>18279</v>
      </c>
      <c r="C12324" t="s">
        <v>67</v>
      </c>
      <c r="D12324" t="s">
        <v>67</v>
      </c>
      <c r="E12324" t="s">
        <v>67</v>
      </c>
      <c r="F12324" t="s">
        <v>49</v>
      </c>
      <c r="G12324" s="117">
        <v>111.14</v>
      </c>
    </row>
    <row r="12325" spans="1:7" x14ac:dyDescent="0.25">
      <c r="A12325" s="116" t="s">
        <v>19337</v>
      </c>
      <c r="B12325" s="117" t="s">
        <v>19338</v>
      </c>
      <c r="C12325" t="s">
        <v>67</v>
      </c>
      <c r="D12325" t="s">
        <v>67</v>
      </c>
      <c r="E12325" t="s">
        <v>67</v>
      </c>
      <c r="F12325" t="s">
        <v>45</v>
      </c>
      <c r="G12325" s="117">
        <v>120.75</v>
      </c>
    </row>
    <row r="12326" spans="1:7" x14ac:dyDescent="0.25">
      <c r="A12326" s="116" t="s">
        <v>19339</v>
      </c>
      <c r="B12326" s="117" t="s">
        <v>19340</v>
      </c>
      <c r="C12326" t="s">
        <v>67</v>
      </c>
      <c r="D12326" t="s">
        <v>67</v>
      </c>
      <c r="E12326" t="s">
        <v>67</v>
      </c>
      <c r="F12326" t="s">
        <v>27987</v>
      </c>
      <c r="G12326" s="117">
        <v>102.24</v>
      </c>
    </row>
    <row r="12327" spans="1:7" x14ac:dyDescent="0.25">
      <c r="A12327" s="116" t="s">
        <v>27591</v>
      </c>
      <c r="B12327" s="117" t="s">
        <v>19341</v>
      </c>
      <c r="C12327" t="s">
        <v>67</v>
      </c>
      <c r="D12327" t="s">
        <v>67</v>
      </c>
      <c r="E12327" t="s">
        <v>67</v>
      </c>
      <c r="F12327" t="s">
        <v>45</v>
      </c>
      <c r="G12327" s="117">
        <v>298</v>
      </c>
    </row>
    <row r="12328" spans="1:7" x14ac:dyDescent="0.25">
      <c r="A12328" s="116" t="s">
        <v>27592</v>
      </c>
      <c r="B12328" s="117" t="s">
        <v>19342</v>
      </c>
      <c r="C12328" t="s">
        <v>67</v>
      </c>
      <c r="D12328" t="s">
        <v>67</v>
      </c>
      <c r="E12328" t="s">
        <v>67</v>
      </c>
      <c r="F12328" t="s">
        <v>45</v>
      </c>
      <c r="G12328" s="117">
        <v>263.3</v>
      </c>
    </row>
    <row r="12329" spans="1:7" x14ac:dyDescent="0.25">
      <c r="A12329" s="116" t="s">
        <v>27593</v>
      </c>
      <c r="B12329" s="117" t="s">
        <v>19343</v>
      </c>
      <c r="C12329" t="s">
        <v>67</v>
      </c>
      <c r="D12329" t="s">
        <v>67</v>
      </c>
      <c r="E12329" t="s">
        <v>67</v>
      </c>
      <c r="F12329" t="s">
        <v>45</v>
      </c>
      <c r="G12329" s="117">
        <v>21.26</v>
      </c>
    </row>
    <row r="12330" spans="1:7" x14ac:dyDescent="0.25">
      <c r="A12330" s="116" t="s">
        <v>19344</v>
      </c>
      <c r="B12330" s="117" t="s">
        <v>19345</v>
      </c>
      <c r="C12330" t="s">
        <v>67</v>
      </c>
      <c r="D12330" t="s">
        <v>67</v>
      </c>
      <c r="E12330" t="s">
        <v>67</v>
      </c>
      <c r="F12330" t="s">
        <v>49</v>
      </c>
      <c r="G12330" s="117">
        <v>106.48</v>
      </c>
    </row>
    <row r="12331" spans="1:7" x14ac:dyDescent="0.25">
      <c r="A12331" s="116" t="s">
        <v>19346</v>
      </c>
      <c r="B12331" s="117" t="s">
        <v>18279</v>
      </c>
      <c r="C12331" t="s">
        <v>67</v>
      </c>
      <c r="D12331" t="s">
        <v>67</v>
      </c>
      <c r="E12331" t="s">
        <v>67</v>
      </c>
      <c r="F12331" t="s">
        <v>49</v>
      </c>
      <c r="G12331" s="117">
        <v>83.81</v>
      </c>
    </row>
    <row r="12332" spans="1:7" x14ac:dyDescent="0.25">
      <c r="A12332" s="116" t="s">
        <v>19347</v>
      </c>
      <c r="B12332" s="117" t="s">
        <v>18279</v>
      </c>
      <c r="C12332" t="s">
        <v>67</v>
      </c>
      <c r="D12332" t="s">
        <v>67</v>
      </c>
      <c r="E12332" t="s">
        <v>67</v>
      </c>
      <c r="F12332" t="s">
        <v>27987</v>
      </c>
      <c r="G12332" s="117">
        <v>48.5</v>
      </c>
    </row>
    <row r="12333" spans="1:7" x14ac:dyDescent="0.25">
      <c r="A12333" s="116" t="s">
        <v>19348</v>
      </c>
      <c r="B12333" s="117" t="s">
        <v>19349</v>
      </c>
      <c r="C12333" t="s">
        <v>67</v>
      </c>
      <c r="D12333" t="s">
        <v>67</v>
      </c>
      <c r="E12333" t="s">
        <v>67</v>
      </c>
      <c r="F12333" t="s">
        <v>27987</v>
      </c>
      <c r="G12333" s="117">
        <v>64.87</v>
      </c>
    </row>
    <row r="12334" spans="1:7" x14ac:dyDescent="0.25">
      <c r="A12334" s="116" t="s">
        <v>19350</v>
      </c>
      <c r="B12334" s="117" t="s">
        <v>16798</v>
      </c>
      <c r="C12334" t="s">
        <v>67</v>
      </c>
      <c r="D12334" t="s">
        <v>67</v>
      </c>
      <c r="E12334" t="s">
        <v>67</v>
      </c>
      <c r="F12334" t="s">
        <v>27987</v>
      </c>
      <c r="G12334" s="117">
        <v>93.35</v>
      </c>
    </row>
    <row r="12335" spans="1:7" x14ac:dyDescent="0.25">
      <c r="A12335" s="116" t="s">
        <v>19351</v>
      </c>
      <c r="B12335" s="117" t="s">
        <v>19352</v>
      </c>
      <c r="C12335" t="s">
        <v>67</v>
      </c>
      <c r="D12335" t="s">
        <v>67</v>
      </c>
      <c r="E12335" t="s">
        <v>67</v>
      </c>
      <c r="F12335" t="s">
        <v>49</v>
      </c>
      <c r="G12335" s="117">
        <v>418.67</v>
      </c>
    </row>
    <row r="12336" spans="1:7" x14ac:dyDescent="0.25">
      <c r="A12336" s="116" t="s">
        <v>19353</v>
      </c>
      <c r="B12336" s="117" t="s">
        <v>19354</v>
      </c>
      <c r="C12336" t="s">
        <v>67</v>
      </c>
      <c r="D12336" t="s">
        <v>67</v>
      </c>
      <c r="E12336" t="s">
        <v>67</v>
      </c>
      <c r="F12336" t="s">
        <v>27987</v>
      </c>
      <c r="G12336" s="117">
        <v>283.42</v>
      </c>
    </row>
    <row r="12337" spans="1:7" x14ac:dyDescent="0.25">
      <c r="A12337" s="116" t="s">
        <v>19355</v>
      </c>
      <c r="B12337" s="117" t="s">
        <v>19356</v>
      </c>
      <c r="C12337" t="s">
        <v>67</v>
      </c>
      <c r="D12337" t="s">
        <v>67</v>
      </c>
      <c r="E12337" t="s">
        <v>67</v>
      </c>
      <c r="F12337" t="s">
        <v>27987</v>
      </c>
      <c r="G12337" s="117">
        <v>45.3</v>
      </c>
    </row>
    <row r="12338" spans="1:7" x14ac:dyDescent="0.25">
      <c r="A12338" s="116" t="s">
        <v>19357</v>
      </c>
      <c r="B12338" s="117" t="s">
        <v>19358</v>
      </c>
      <c r="C12338" t="s">
        <v>67</v>
      </c>
      <c r="D12338" t="s">
        <v>67</v>
      </c>
      <c r="E12338" t="s">
        <v>67</v>
      </c>
      <c r="F12338" t="s">
        <v>45</v>
      </c>
      <c r="G12338" s="117">
        <v>124.13</v>
      </c>
    </row>
    <row r="12339" spans="1:7" x14ac:dyDescent="0.25">
      <c r="A12339" s="116" t="s">
        <v>19359</v>
      </c>
      <c r="B12339" s="117" t="s">
        <v>19360</v>
      </c>
      <c r="C12339" t="s">
        <v>67</v>
      </c>
      <c r="D12339" t="s">
        <v>67</v>
      </c>
      <c r="E12339" t="s">
        <v>67</v>
      </c>
      <c r="F12339" t="s">
        <v>45</v>
      </c>
      <c r="G12339" s="117">
        <v>135.69999999999999</v>
      </c>
    </row>
    <row r="12340" spans="1:7" x14ac:dyDescent="0.25">
      <c r="A12340" s="116" t="s">
        <v>19361</v>
      </c>
      <c r="B12340" s="117" t="s">
        <v>19362</v>
      </c>
      <c r="C12340" t="s">
        <v>67</v>
      </c>
      <c r="D12340" t="s">
        <v>67</v>
      </c>
      <c r="E12340" t="s">
        <v>67</v>
      </c>
      <c r="F12340" t="s">
        <v>27987</v>
      </c>
      <c r="G12340" s="117">
        <v>179.66</v>
      </c>
    </row>
    <row r="12341" spans="1:7" x14ac:dyDescent="0.25">
      <c r="A12341" s="116" t="s">
        <v>19363</v>
      </c>
      <c r="B12341" s="117" t="s">
        <v>19364</v>
      </c>
      <c r="C12341" t="s">
        <v>67</v>
      </c>
      <c r="D12341" t="s">
        <v>67</v>
      </c>
      <c r="E12341" t="s">
        <v>67</v>
      </c>
      <c r="F12341" t="s">
        <v>45</v>
      </c>
      <c r="G12341" s="117">
        <v>413.32</v>
      </c>
    </row>
    <row r="12342" spans="1:7" x14ac:dyDescent="0.25">
      <c r="A12342" s="116" t="s">
        <v>19365</v>
      </c>
      <c r="B12342" s="117" t="s">
        <v>19366</v>
      </c>
      <c r="C12342" t="s">
        <v>67</v>
      </c>
      <c r="D12342" t="s">
        <v>67</v>
      </c>
      <c r="E12342" t="s">
        <v>67</v>
      </c>
      <c r="F12342" t="s">
        <v>27987</v>
      </c>
      <c r="G12342" s="117">
        <v>2359.38</v>
      </c>
    </row>
    <row r="12343" spans="1:7" x14ac:dyDescent="0.25">
      <c r="A12343" s="116" t="s">
        <v>19367</v>
      </c>
      <c r="B12343" s="117" t="s">
        <v>19368</v>
      </c>
      <c r="C12343" t="s">
        <v>67</v>
      </c>
      <c r="D12343" t="s">
        <v>67</v>
      </c>
      <c r="E12343" t="s">
        <v>67</v>
      </c>
      <c r="F12343" t="s">
        <v>27987</v>
      </c>
      <c r="G12343" s="117">
        <v>40.49</v>
      </c>
    </row>
    <row r="12344" spans="1:7" x14ac:dyDescent="0.25">
      <c r="A12344" s="116" t="s">
        <v>19369</v>
      </c>
      <c r="B12344" s="117" t="s">
        <v>19370</v>
      </c>
      <c r="C12344" t="s">
        <v>67</v>
      </c>
      <c r="D12344" t="s">
        <v>67</v>
      </c>
      <c r="E12344" t="s">
        <v>67</v>
      </c>
      <c r="F12344" t="s">
        <v>45</v>
      </c>
      <c r="G12344" s="117">
        <v>63.98</v>
      </c>
    </row>
    <row r="12345" spans="1:7" x14ac:dyDescent="0.25">
      <c r="A12345" s="116" t="s">
        <v>19371</v>
      </c>
      <c r="B12345" s="117" t="s">
        <v>19372</v>
      </c>
      <c r="C12345" t="s">
        <v>67</v>
      </c>
      <c r="D12345" t="s">
        <v>67</v>
      </c>
      <c r="E12345" t="s">
        <v>67</v>
      </c>
      <c r="F12345" t="s">
        <v>45</v>
      </c>
      <c r="G12345" s="117">
        <v>42.62</v>
      </c>
    </row>
    <row r="12346" spans="1:7" x14ac:dyDescent="0.25">
      <c r="A12346" s="116" t="s">
        <v>19373</v>
      </c>
      <c r="B12346" s="117" t="s">
        <v>19374</v>
      </c>
      <c r="C12346" t="s">
        <v>67</v>
      </c>
      <c r="D12346" t="s">
        <v>67</v>
      </c>
      <c r="E12346" t="s">
        <v>67</v>
      </c>
      <c r="F12346" t="s">
        <v>45</v>
      </c>
      <c r="G12346" s="117">
        <v>442.69</v>
      </c>
    </row>
    <row r="12347" spans="1:7" x14ac:dyDescent="0.25">
      <c r="A12347" s="116" t="s">
        <v>19375</v>
      </c>
      <c r="B12347" s="117" t="s">
        <v>19376</v>
      </c>
      <c r="C12347" t="s">
        <v>67</v>
      </c>
      <c r="D12347" t="s">
        <v>67</v>
      </c>
      <c r="E12347" t="s">
        <v>67</v>
      </c>
      <c r="F12347" t="s">
        <v>45</v>
      </c>
      <c r="G12347" s="117">
        <v>434.68</v>
      </c>
    </row>
    <row r="12348" spans="1:7" x14ac:dyDescent="0.25">
      <c r="A12348" s="116" t="s">
        <v>19377</v>
      </c>
      <c r="B12348" s="117" t="s">
        <v>19378</v>
      </c>
      <c r="C12348" t="s">
        <v>67</v>
      </c>
      <c r="D12348" t="s">
        <v>67</v>
      </c>
      <c r="E12348" t="s">
        <v>67</v>
      </c>
      <c r="F12348" t="s">
        <v>45</v>
      </c>
      <c r="G12348" s="117">
        <v>82.67</v>
      </c>
    </row>
    <row r="12349" spans="1:7" x14ac:dyDescent="0.25">
      <c r="A12349" s="116" t="s">
        <v>19379</v>
      </c>
      <c r="B12349" s="117" t="s">
        <v>19380</v>
      </c>
      <c r="C12349" t="s">
        <v>67</v>
      </c>
      <c r="D12349" t="s">
        <v>67</v>
      </c>
      <c r="E12349" t="s">
        <v>67</v>
      </c>
      <c r="F12349" t="s">
        <v>45</v>
      </c>
      <c r="G12349" s="117">
        <v>151.18</v>
      </c>
    </row>
    <row r="12350" spans="1:7" x14ac:dyDescent="0.25">
      <c r="A12350" s="116" t="s">
        <v>19381</v>
      </c>
      <c r="B12350" s="117" t="s">
        <v>19382</v>
      </c>
      <c r="C12350" t="s">
        <v>67</v>
      </c>
      <c r="D12350" t="s">
        <v>67</v>
      </c>
      <c r="E12350" t="s">
        <v>67</v>
      </c>
      <c r="F12350" t="s">
        <v>27987</v>
      </c>
      <c r="G12350" s="117">
        <v>151.18</v>
      </c>
    </row>
    <row r="12351" spans="1:7" x14ac:dyDescent="0.25">
      <c r="A12351" s="116" t="s">
        <v>19383</v>
      </c>
      <c r="B12351" s="117" t="s">
        <v>19384</v>
      </c>
      <c r="C12351" t="s">
        <v>67</v>
      </c>
      <c r="D12351" t="s">
        <v>67</v>
      </c>
      <c r="E12351" t="s">
        <v>67</v>
      </c>
      <c r="F12351" t="s">
        <v>45</v>
      </c>
      <c r="G12351" s="117">
        <v>44.05</v>
      </c>
    </row>
    <row r="12352" spans="1:7" x14ac:dyDescent="0.25">
      <c r="A12352" s="116" t="s">
        <v>19385</v>
      </c>
      <c r="B12352" s="117" t="s">
        <v>19386</v>
      </c>
      <c r="C12352" t="s">
        <v>67</v>
      </c>
      <c r="D12352" t="s">
        <v>67</v>
      </c>
      <c r="E12352" t="s">
        <v>67</v>
      </c>
      <c r="F12352" t="s">
        <v>45</v>
      </c>
      <c r="G12352" s="117">
        <v>181.98</v>
      </c>
    </row>
    <row r="12353" spans="1:7" x14ac:dyDescent="0.25">
      <c r="A12353" s="116" t="s">
        <v>19387</v>
      </c>
      <c r="B12353" s="117" t="s">
        <v>19388</v>
      </c>
      <c r="C12353" t="s">
        <v>67</v>
      </c>
      <c r="D12353" t="s">
        <v>67</v>
      </c>
      <c r="E12353" t="s">
        <v>67</v>
      </c>
      <c r="F12353" t="s">
        <v>45</v>
      </c>
      <c r="G12353" s="117">
        <v>86.23</v>
      </c>
    </row>
    <row r="12354" spans="1:7" x14ac:dyDescent="0.25">
      <c r="A12354" s="116" t="s">
        <v>19389</v>
      </c>
      <c r="B12354" s="117" t="s">
        <v>19390</v>
      </c>
      <c r="C12354" t="s">
        <v>67</v>
      </c>
      <c r="D12354" t="s">
        <v>67</v>
      </c>
      <c r="E12354" t="s">
        <v>67</v>
      </c>
      <c r="F12354" t="s">
        <v>45</v>
      </c>
      <c r="G12354" s="117">
        <v>444.48</v>
      </c>
    </row>
    <row r="12355" spans="1:7" x14ac:dyDescent="0.25">
      <c r="A12355" s="116" t="s">
        <v>19391</v>
      </c>
      <c r="B12355" s="117" t="s">
        <v>19392</v>
      </c>
      <c r="C12355" t="s">
        <v>67</v>
      </c>
      <c r="D12355" t="s">
        <v>67</v>
      </c>
      <c r="E12355" t="s">
        <v>67</v>
      </c>
      <c r="F12355" t="s">
        <v>45</v>
      </c>
      <c r="G12355" s="117">
        <v>92.1</v>
      </c>
    </row>
    <row r="12356" spans="1:7" x14ac:dyDescent="0.25">
      <c r="A12356" s="116" t="s">
        <v>19393</v>
      </c>
      <c r="B12356" s="117" t="s">
        <v>19394</v>
      </c>
      <c r="C12356" t="s">
        <v>67</v>
      </c>
      <c r="D12356" t="s">
        <v>67</v>
      </c>
      <c r="E12356" t="s">
        <v>67</v>
      </c>
      <c r="F12356" t="s">
        <v>45</v>
      </c>
      <c r="G12356" s="117">
        <v>206</v>
      </c>
    </row>
    <row r="12357" spans="1:7" x14ac:dyDescent="0.25">
      <c r="A12357" s="116" t="s">
        <v>19395</v>
      </c>
      <c r="B12357" s="117" t="s">
        <v>19376</v>
      </c>
      <c r="C12357" t="s">
        <v>67</v>
      </c>
      <c r="D12357" t="s">
        <v>67</v>
      </c>
      <c r="E12357" t="s">
        <v>67</v>
      </c>
      <c r="F12357" t="s">
        <v>27987</v>
      </c>
      <c r="G12357" s="117">
        <v>35.5</v>
      </c>
    </row>
    <row r="12358" spans="1:7" x14ac:dyDescent="0.25">
      <c r="A12358" s="116" t="s">
        <v>19396</v>
      </c>
      <c r="B12358" s="117" t="s">
        <v>19397</v>
      </c>
      <c r="C12358" t="s">
        <v>67</v>
      </c>
      <c r="D12358" t="s">
        <v>67</v>
      </c>
      <c r="E12358" t="s">
        <v>67</v>
      </c>
      <c r="F12358" t="s">
        <v>27987</v>
      </c>
      <c r="G12358" s="117">
        <v>44.94</v>
      </c>
    </row>
    <row r="12359" spans="1:7" x14ac:dyDescent="0.25">
      <c r="A12359" s="116" t="s">
        <v>19398</v>
      </c>
      <c r="B12359" s="117" t="s">
        <v>19399</v>
      </c>
      <c r="C12359" t="s">
        <v>67</v>
      </c>
      <c r="D12359" t="s">
        <v>67</v>
      </c>
      <c r="E12359" t="s">
        <v>67</v>
      </c>
      <c r="F12359" t="s">
        <v>45</v>
      </c>
      <c r="G12359" s="117">
        <v>37.82</v>
      </c>
    </row>
    <row r="12360" spans="1:7" x14ac:dyDescent="0.25">
      <c r="A12360" s="116" t="s">
        <v>19400</v>
      </c>
      <c r="B12360" s="117" t="s">
        <v>19401</v>
      </c>
      <c r="C12360" t="s">
        <v>67</v>
      </c>
      <c r="D12360" t="s">
        <v>67</v>
      </c>
      <c r="E12360" t="s">
        <v>67</v>
      </c>
      <c r="F12360" t="s">
        <v>27987</v>
      </c>
      <c r="G12360" s="117">
        <v>40.49</v>
      </c>
    </row>
    <row r="12361" spans="1:7" x14ac:dyDescent="0.25">
      <c r="A12361" s="116" t="s">
        <v>19402</v>
      </c>
      <c r="B12361" s="117" t="s">
        <v>19376</v>
      </c>
      <c r="C12361" t="s">
        <v>67</v>
      </c>
      <c r="D12361" t="s">
        <v>67</v>
      </c>
      <c r="E12361" t="s">
        <v>67</v>
      </c>
      <c r="F12361" t="s">
        <v>45</v>
      </c>
      <c r="G12361" s="117">
        <v>88.54</v>
      </c>
    </row>
    <row r="12362" spans="1:7" x14ac:dyDescent="0.25">
      <c r="A12362" s="116" t="s">
        <v>19403</v>
      </c>
      <c r="B12362" s="117" t="s">
        <v>19404</v>
      </c>
      <c r="C12362" t="s">
        <v>67</v>
      </c>
      <c r="D12362" t="s">
        <v>67</v>
      </c>
      <c r="E12362" t="s">
        <v>67</v>
      </c>
      <c r="F12362" t="s">
        <v>45</v>
      </c>
      <c r="G12362" s="117">
        <v>169.87</v>
      </c>
    </row>
    <row r="12363" spans="1:7" x14ac:dyDescent="0.25">
      <c r="A12363" s="116" t="s">
        <v>19405</v>
      </c>
      <c r="B12363" s="117" t="s">
        <v>19406</v>
      </c>
      <c r="C12363" t="s">
        <v>67</v>
      </c>
      <c r="D12363" t="s">
        <v>67</v>
      </c>
      <c r="E12363" t="s">
        <v>67</v>
      </c>
      <c r="F12363" t="s">
        <v>27987</v>
      </c>
      <c r="G12363" s="117">
        <v>48.5</v>
      </c>
    </row>
    <row r="12364" spans="1:7" x14ac:dyDescent="0.25">
      <c r="A12364" s="116" t="s">
        <v>28207</v>
      </c>
      <c r="B12364" s="117" t="s">
        <v>28208</v>
      </c>
      <c r="C12364" t="s">
        <v>67</v>
      </c>
      <c r="D12364" t="s">
        <v>67</v>
      </c>
      <c r="E12364" t="s">
        <v>67</v>
      </c>
      <c r="F12364" t="s">
        <v>45</v>
      </c>
      <c r="G12364" s="117">
        <v>48</v>
      </c>
    </row>
    <row r="12365" spans="1:7" x14ac:dyDescent="0.25">
      <c r="A12365" s="116" t="s">
        <v>19407</v>
      </c>
      <c r="B12365" s="117" t="s">
        <v>19408</v>
      </c>
      <c r="C12365" t="s">
        <v>67</v>
      </c>
      <c r="D12365" t="s">
        <v>67</v>
      </c>
      <c r="E12365" t="s">
        <v>67</v>
      </c>
      <c r="F12365" t="s">
        <v>45</v>
      </c>
      <c r="G12365" s="117">
        <v>28.02</v>
      </c>
    </row>
    <row r="12366" spans="1:7" x14ac:dyDescent="0.25">
      <c r="A12366" s="116" t="s">
        <v>19409</v>
      </c>
      <c r="B12366" s="117" t="s">
        <v>19410</v>
      </c>
      <c r="C12366" t="s">
        <v>67</v>
      </c>
      <c r="D12366" t="s">
        <v>67</v>
      </c>
      <c r="E12366" t="s">
        <v>67</v>
      </c>
      <c r="F12366" t="s">
        <v>45</v>
      </c>
      <c r="G12366" s="117">
        <v>62.74</v>
      </c>
    </row>
    <row r="12367" spans="1:7" x14ac:dyDescent="0.25">
      <c r="A12367" s="116" t="s">
        <v>19411</v>
      </c>
      <c r="B12367" s="117" t="s">
        <v>19412</v>
      </c>
      <c r="C12367" t="s">
        <v>67</v>
      </c>
      <c r="D12367" t="s">
        <v>67</v>
      </c>
      <c r="E12367" t="s">
        <v>67</v>
      </c>
      <c r="F12367" t="s">
        <v>27987</v>
      </c>
      <c r="G12367" s="117">
        <v>44.05</v>
      </c>
    </row>
    <row r="12368" spans="1:7" x14ac:dyDescent="0.25">
      <c r="A12368" s="116" t="s">
        <v>28023</v>
      </c>
      <c r="B12368" s="117" t="s">
        <v>28024</v>
      </c>
      <c r="C12368" t="s">
        <v>67</v>
      </c>
      <c r="D12368" t="s">
        <v>67</v>
      </c>
      <c r="E12368" t="s">
        <v>67</v>
      </c>
      <c r="F12368" t="s">
        <v>27987</v>
      </c>
      <c r="G12368" s="117">
        <v>30</v>
      </c>
    </row>
    <row r="12369" spans="1:7" x14ac:dyDescent="0.25">
      <c r="A12369" s="116" t="s">
        <v>19413</v>
      </c>
      <c r="B12369" s="117" t="s">
        <v>19414</v>
      </c>
      <c r="C12369" t="s">
        <v>67</v>
      </c>
      <c r="D12369" t="s">
        <v>67</v>
      </c>
      <c r="E12369" t="s">
        <v>67</v>
      </c>
      <c r="F12369" t="s">
        <v>45</v>
      </c>
      <c r="G12369" s="117">
        <v>44.4</v>
      </c>
    </row>
    <row r="12370" spans="1:7" x14ac:dyDescent="0.25">
      <c r="A12370" s="116" t="s">
        <v>19415</v>
      </c>
      <c r="B12370" s="117" t="s">
        <v>19416</v>
      </c>
      <c r="C12370" t="s">
        <v>67</v>
      </c>
      <c r="D12370" t="s">
        <v>67</v>
      </c>
      <c r="E12370" t="s">
        <v>67</v>
      </c>
      <c r="F12370" t="s">
        <v>45</v>
      </c>
      <c r="G12370" s="117">
        <v>54.73</v>
      </c>
    </row>
    <row r="12371" spans="1:7" x14ac:dyDescent="0.25">
      <c r="A12371" s="116" t="s">
        <v>19417</v>
      </c>
      <c r="B12371" s="117" t="s">
        <v>19418</v>
      </c>
      <c r="C12371" t="s">
        <v>67</v>
      </c>
      <c r="D12371" t="s">
        <v>67</v>
      </c>
      <c r="E12371" t="s">
        <v>67</v>
      </c>
      <c r="F12371" t="s">
        <v>45</v>
      </c>
      <c r="G12371" s="117">
        <v>50.63</v>
      </c>
    </row>
    <row r="12372" spans="1:7" x14ac:dyDescent="0.25">
      <c r="A12372" s="116" t="s">
        <v>19419</v>
      </c>
      <c r="B12372" s="117" t="s">
        <v>19420</v>
      </c>
      <c r="C12372" t="s">
        <v>67</v>
      </c>
      <c r="D12372" t="s">
        <v>67</v>
      </c>
      <c r="E12372" t="s">
        <v>67</v>
      </c>
      <c r="F12372" t="s">
        <v>45</v>
      </c>
      <c r="G12372" s="117">
        <v>34.26</v>
      </c>
    </row>
    <row r="12373" spans="1:7" x14ac:dyDescent="0.25">
      <c r="A12373" s="116" t="s">
        <v>19421</v>
      </c>
      <c r="B12373" s="117" t="s">
        <v>19422</v>
      </c>
      <c r="C12373" t="s">
        <v>67</v>
      </c>
      <c r="D12373" t="s">
        <v>67</v>
      </c>
      <c r="E12373" t="s">
        <v>67</v>
      </c>
      <c r="F12373" t="s">
        <v>45</v>
      </c>
      <c r="G12373" s="117">
        <v>281.99</v>
      </c>
    </row>
    <row r="12374" spans="1:7" x14ac:dyDescent="0.25">
      <c r="A12374" s="116" t="s">
        <v>19423</v>
      </c>
      <c r="B12374" s="117" t="s">
        <v>19424</v>
      </c>
      <c r="C12374" t="s">
        <v>67</v>
      </c>
      <c r="D12374" t="s">
        <v>67</v>
      </c>
      <c r="E12374" t="s">
        <v>67</v>
      </c>
      <c r="F12374" t="s">
        <v>27987</v>
      </c>
      <c r="G12374" s="117">
        <v>167.74</v>
      </c>
    </row>
    <row r="12375" spans="1:7" x14ac:dyDescent="0.25">
      <c r="A12375" s="116" t="s">
        <v>19425</v>
      </c>
      <c r="B12375" s="117" t="s">
        <v>19426</v>
      </c>
      <c r="C12375" t="s">
        <v>67</v>
      </c>
      <c r="D12375" t="s">
        <v>67</v>
      </c>
      <c r="E12375" t="s">
        <v>67</v>
      </c>
      <c r="F12375" t="s">
        <v>27987</v>
      </c>
      <c r="G12375" s="117">
        <v>51.17</v>
      </c>
    </row>
    <row r="12376" spans="1:7" x14ac:dyDescent="0.25">
      <c r="A12376" s="116" t="s">
        <v>19427</v>
      </c>
      <c r="B12376" s="117" t="s">
        <v>19428</v>
      </c>
      <c r="C12376" t="s">
        <v>67</v>
      </c>
      <c r="D12376" t="s">
        <v>67</v>
      </c>
      <c r="E12376" t="s">
        <v>67</v>
      </c>
      <c r="F12376" t="s">
        <v>45</v>
      </c>
      <c r="G12376" s="117">
        <v>54.73</v>
      </c>
    </row>
    <row r="12377" spans="1:7" x14ac:dyDescent="0.25">
      <c r="A12377" s="116" t="s">
        <v>19429</v>
      </c>
      <c r="B12377" s="117" t="s">
        <v>19430</v>
      </c>
      <c r="C12377" t="s">
        <v>67</v>
      </c>
      <c r="D12377" t="s">
        <v>67</v>
      </c>
      <c r="E12377" t="s">
        <v>67</v>
      </c>
      <c r="F12377" t="s">
        <v>45</v>
      </c>
      <c r="G12377" s="117">
        <v>92.1</v>
      </c>
    </row>
    <row r="12378" spans="1:7" x14ac:dyDescent="0.25">
      <c r="A12378" s="116" t="s">
        <v>19431</v>
      </c>
      <c r="B12378" s="117" t="s">
        <v>19432</v>
      </c>
      <c r="C12378" t="s">
        <v>67</v>
      </c>
      <c r="D12378" t="s">
        <v>67</v>
      </c>
      <c r="E12378" t="s">
        <v>67</v>
      </c>
      <c r="F12378" t="s">
        <v>45</v>
      </c>
      <c r="G12378" s="117">
        <v>158.30000000000001</v>
      </c>
    </row>
    <row r="12379" spans="1:7" x14ac:dyDescent="0.25">
      <c r="A12379" s="116" t="s">
        <v>19433</v>
      </c>
      <c r="B12379" s="117" t="s">
        <v>19434</v>
      </c>
      <c r="C12379" t="s">
        <v>67</v>
      </c>
      <c r="D12379" t="s">
        <v>67</v>
      </c>
      <c r="E12379" t="s">
        <v>67</v>
      </c>
      <c r="F12379" t="s">
        <v>27987</v>
      </c>
      <c r="G12379" s="117">
        <v>132.5</v>
      </c>
    </row>
    <row r="12380" spans="1:7" x14ac:dyDescent="0.25">
      <c r="A12380" s="116" t="s">
        <v>19435</v>
      </c>
      <c r="B12380" s="117" t="s">
        <v>19436</v>
      </c>
      <c r="C12380" t="s">
        <v>67</v>
      </c>
      <c r="D12380" t="s">
        <v>67</v>
      </c>
      <c r="E12380" t="s">
        <v>67</v>
      </c>
      <c r="F12380" t="s">
        <v>45</v>
      </c>
      <c r="G12380" s="117">
        <v>31.94</v>
      </c>
    </row>
    <row r="12381" spans="1:7" x14ac:dyDescent="0.25">
      <c r="A12381" s="116" t="s">
        <v>19437</v>
      </c>
      <c r="B12381" s="117" t="s">
        <v>19438</v>
      </c>
      <c r="C12381" t="s">
        <v>67</v>
      </c>
      <c r="D12381" t="s">
        <v>67</v>
      </c>
      <c r="E12381" t="s">
        <v>67</v>
      </c>
      <c r="F12381" t="s">
        <v>27987</v>
      </c>
      <c r="G12381" s="117">
        <v>168.98</v>
      </c>
    </row>
    <row r="12382" spans="1:7" x14ac:dyDescent="0.25">
      <c r="A12382" s="116" t="s">
        <v>19439</v>
      </c>
      <c r="B12382" s="117" t="s">
        <v>19440</v>
      </c>
      <c r="C12382" t="s">
        <v>67</v>
      </c>
      <c r="D12382" t="s">
        <v>67</v>
      </c>
      <c r="E12382" t="s">
        <v>67</v>
      </c>
      <c r="F12382" t="s">
        <v>27987</v>
      </c>
      <c r="G12382" s="117">
        <v>47.61</v>
      </c>
    </row>
    <row r="12383" spans="1:7" x14ac:dyDescent="0.25">
      <c r="A12383" s="116" t="s">
        <v>19441</v>
      </c>
      <c r="B12383" s="117" t="s">
        <v>19442</v>
      </c>
      <c r="C12383" t="s">
        <v>67</v>
      </c>
      <c r="D12383" t="s">
        <v>67</v>
      </c>
      <c r="E12383" t="s">
        <v>67</v>
      </c>
      <c r="F12383" t="s">
        <v>45</v>
      </c>
      <c r="G12383" s="117">
        <v>120.57</v>
      </c>
    </row>
    <row r="12384" spans="1:7" x14ac:dyDescent="0.25">
      <c r="A12384" s="116" t="s">
        <v>19443</v>
      </c>
      <c r="B12384" s="117" t="s">
        <v>19444</v>
      </c>
      <c r="C12384" t="s">
        <v>67</v>
      </c>
      <c r="D12384" t="s">
        <v>67</v>
      </c>
      <c r="E12384" t="s">
        <v>67</v>
      </c>
      <c r="F12384" t="s">
        <v>45</v>
      </c>
      <c r="G12384" s="117">
        <v>41.74</v>
      </c>
    </row>
    <row r="12385" spans="1:7" x14ac:dyDescent="0.25">
      <c r="A12385" s="116" t="s">
        <v>30067</v>
      </c>
      <c r="B12385" s="117" t="s">
        <v>30522</v>
      </c>
      <c r="C12385" t="s">
        <v>67</v>
      </c>
      <c r="D12385" t="s">
        <v>67</v>
      </c>
      <c r="E12385" t="s">
        <v>67</v>
      </c>
      <c r="F12385" t="s">
        <v>27987</v>
      </c>
      <c r="G12385" s="117">
        <v>40</v>
      </c>
    </row>
    <row r="12386" spans="1:7" x14ac:dyDescent="0.25">
      <c r="A12386" s="116" t="s">
        <v>19445</v>
      </c>
      <c r="B12386" s="117" t="s">
        <v>19352</v>
      </c>
      <c r="C12386" t="s">
        <v>67</v>
      </c>
      <c r="D12386" t="s">
        <v>67</v>
      </c>
      <c r="E12386" t="s">
        <v>67</v>
      </c>
      <c r="F12386" t="s">
        <v>45</v>
      </c>
      <c r="G12386" s="117">
        <v>380</v>
      </c>
    </row>
    <row r="12387" spans="1:7" x14ac:dyDescent="0.25">
      <c r="A12387" s="116" t="s">
        <v>19446</v>
      </c>
      <c r="B12387" s="117" t="s">
        <v>19447</v>
      </c>
      <c r="C12387" t="s">
        <v>67</v>
      </c>
      <c r="D12387" t="s">
        <v>67</v>
      </c>
      <c r="E12387" t="s">
        <v>67</v>
      </c>
      <c r="F12387" t="s">
        <v>45</v>
      </c>
      <c r="G12387" s="117">
        <v>532.91999999999996</v>
      </c>
    </row>
    <row r="12388" spans="1:7" x14ac:dyDescent="0.25">
      <c r="A12388" s="116" t="s">
        <v>19448</v>
      </c>
      <c r="B12388" s="117" t="s">
        <v>19449</v>
      </c>
      <c r="C12388" t="s">
        <v>67</v>
      </c>
      <c r="D12388" t="s">
        <v>67</v>
      </c>
      <c r="E12388" t="s">
        <v>67</v>
      </c>
      <c r="F12388" t="s">
        <v>27987</v>
      </c>
      <c r="G12388" s="117">
        <v>76.98</v>
      </c>
    </row>
    <row r="12389" spans="1:7" x14ac:dyDescent="0.25">
      <c r="A12389" s="116" t="s">
        <v>19450</v>
      </c>
      <c r="B12389" s="117" t="s">
        <v>19451</v>
      </c>
      <c r="C12389" t="s">
        <v>67</v>
      </c>
      <c r="D12389" t="s">
        <v>67</v>
      </c>
      <c r="E12389" t="s">
        <v>67</v>
      </c>
      <c r="F12389" t="s">
        <v>45</v>
      </c>
      <c r="G12389" s="117">
        <v>519.21</v>
      </c>
    </row>
    <row r="12390" spans="1:7" x14ac:dyDescent="0.25">
      <c r="A12390" s="116" t="s">
        <v>19452</v>
      </c>
      <c r="B12390" s="117" t="s">
        <v>19453</v>
      </c>
      <c r="C12390" t="s">
        <v>67</v>
      </c>
      <c r="D12390" t="s">
        <v>67</v>
      </c>
      <c r="E12390" t="s">
        <v>67</v>
      </c>
      <c r="F12390" t="s">
        <v>27987</v>
      </c>
      <c r="G12390" s="117">
        <v>41.38</v>
      </c>
    </row>
    <row r="12391" spans="1:7" x14ac:dyDescent="0.25">
      <c r="A12391" s="116" t="s">
        <v>19454</v>
      </c>
      <c r="B12391" s="117" t="s">
        <v>19455</v>
      </c>
      <c r="C12391" t="s">
        <v>67</v>
      </c>
      <c r="D12391" t="s">
        <v>67</v>
      </c>
      <c r="E12391" t="s">
        <v>67</v>
      </c>
      <c r="F12391" t="s">
        <v>27987</v>
      </c>
      <c r="G12391" s="117">
        <v>214.89</v>
      </c>
    </row>
    <row r="12392" spans="1:7" x14ac:dyDescent="0.25">
      <c r="A12392" s="116" t="s">
        <v>19456</v>
      </c>
      <c r="B12392" s="117" t="s">
        <v>19457</v>
      </c>
      <c r="C12392" t="s">
        <v>67</v>
      </c>
      <c r="D12392" t="s">
        <v>67</v>
      </c>
      <c r="E12392" t="s">
        <v>67</v>
      </c>
      <c r="F12392" t="s">
        <v>27987</v>
      </c>
      <c r="G12392" s="117">
        <v>230.92</v>
      </c>
    </row>
    <row r="12393" spans="1:7" x14ac:dyDescent="0.25">
      <c r="A12393" s="116" t="s">
        <v>19458</v>
      </c>
      <c r="B12393" s="117" t="s">
        <v>19459</v>
      </c>
      <c r="C12393" t="s">
        <v>67</v>
      </c>
      <c r="D12393" t="s">
        <v>67</v>
      </c>
      <c r="E12393" t="s">
        <v>67</v>
      </c>
      <c r="F12393" t="s">
        <v>45</v>
      </c>
      <c r="G12393" s="117">
        <v>77.86</v>
      </c>
    </row>
    <row r="12394" spans="1:7" x14ac:dyDescent="0.25">
      <c r="A12394" s="116" t="s">
        <v>19460</v>
      </c>
      <c r="B12394" s="117" t="s">
        <v>19461</v>
      </c>
      <c r="C12394" t="s">
        <v>67</v>
      </c>
      <c r="D12394" t="s">
        <v>67</v>
      </c>
      <c r="E12394" t="s">
        <v>67</v>
      </c>
      <c r="F12394" t="s">
        <v>27987</v>
      </c>
      <c r="G12394" s="117">
        <v>44.05</v>
      </c>
    </row>
    <row r="12395" spans="1:7" x14ac:dyDescent="0.25">
      <c r="A12395" s="116" t="s">
        <v>19462</v>
      </c>
      <c r="B12395" s="117" t="s">
        <v>19463</v>
      </c>
      <c r="C12395" t="s">
        <v>67</v>
      </c>
      <c r="D12395" t="s">
        <v>67</v>
      </c>
      <c r="E12395" t="s">
        <v>67</v>
      </c>
      <c r="F12395" t="s">
        <v>45</v>
      </c>
      <c r="G12395" s="117">
        <v>69.319999999999993</v>
      </c>
    </row>
    <row r="12396" spans="1:7" x14ac:dyDescent="0.25">
      <c r="A12396" s="116" t="s">
        <v>19464</v>
      </c>
      <c r="B12396" s="117" t="s">
        <v>19465</v>
      </c>
      <c r="C12396" t="s">
        <v>67</v>
      </c>
      <c r="D12396" t="s">
        <v>67</v>
      </c>
      <c r="E12396" t="s">
        <v>67</v>
      </c>
      <c r="F12396" t="s">
        <v>27987</v>
      </c>
      <c r="G12396" s="117">
        <v>48.5</v>
      </c>
    </row>
    <row r="12397" spans="1:7" x14ac:dyDescent="0.25">
      <c r="A12397" s="116" t="s">
        <v>28099</v>
      </c>
      <c r="B12397" s="117" t="s">
        <v>28100</v>
      </c>
      <c r="C12397" t="s">
        <v>67</v>
      </c>
      <c r="D12397" t="s">
        <v>67</v>
      </c>
      <c r="E12397" t="s">
        <v>67</v>
      </c>
      <c r="F12397" t="s">
        <v>45</v>
      </c>
      <c r="G12397" s="117">
        <v>120</v>
      </c>
    </row>
    <row r="12398" spans="1:7" x14ac:dyDescent="0.25">
      <c r="A12398" s="116" t="s">
        <v>19466</v>
      </c>
      <c r="B12398" s="117" t="s">
        <v>19467</v>
      </c>
      <c r="C12398" t="s">
        <v>67</v>
      </c>
      <c r="D12398" t="s">
        <v>67</v>
      </c>
      <c r="E12398" t="s">
        <v>67</v>
      </c>
      <c r="F12398" t="s">
        <v>27987</v>
      </c>
      <c r="G12398" s="117">
        <v>461.74</v>
      </c>
    </row>
    <row r="12399" spans="1:7" x14ac:dyDescent="0.25">
      <c r="A12399" s="116" t="s">
        <v>19468</v>
      </c>
      <c r="B12399" s="117" t="s">
        <v>19376</v>
      </c>
      <c r="C12399" t="s">
        <v>67</v>
      </c>
      <c r="D12399" t="s">
        <v>67</v>
      </c>
      <c r="E12399" t="s">
        <v>67</v>
      </c>
      <c r="F12399" t="s">
        <v>27987</v>
      </c>
      <c r="G12399" s="117">
        <v>37.82</v>
      </c>
    </row>
    <row r="12400" spans="1:7" x14ac:dyDescent="0.25">
      <c r="A12400" s="116" t="s">
        <v>19469</v>
      </c>
      <c r="B12400" s="117" t="s">
        <v>19470</v>
      </c>
      <c r="C12400" t="s">
        <v>67</v>
      </c>
      <c r="D12400" t="s">
        <v>67</v>
      </c>
      <c r="E12400" t="s">
        <v>67</v>
      </c>
      <c r="F12400" t="s">
        <v>45</v>
      </c>
      <c r="G12400" s="117">
        <v>215.25</v>
      </c>
    </row>
    <row r="12401" spans="1:7" x14ac:dyDescent="0.25">
      <c r="A12401" s="116" t="s">
        <v>19471</v>
      </c>
      <c r="B12401" s="117" t="s">
        <v>19472</v>
      </c>
      <c r="C12401" t="s">
        <v>67</v>
      </c>
      <c r="D12401" t="s">
        <v>67</v>
      </c>
      <c r="E12401" t="s">
        <v>67</v>
      </c>
      <c r="F12401" t="s">
        <v>45</v>
      </c>
      <c r="G12401" s="117">
        <v>120.93</v>
      </c>
    </row>
    <row r="12402" spans="1:7" x14ac:dyDescent="0.25">
      <c r="A12402" s="116" t="s">
        <v>19473</v>
      </c>
      <c r="B12402" s="117" t="s">
        <v>19474</v>
      </c>
      <c r="C12402" t="s">
        <v>67</v>
      </c>
      <c r="D12402" t="s">
        <v>67</v>
      </c>
      <c r="E12402" t="s">
        <v>67</v>
      </c>
      <c r="F12402" t="s">
        <v>45</v>
      </c>
      <c r="G12402" s="117">
        <v>119.14</v>
      </c>
    </row>
    <row r="12403" spans="1:7" x14ac:dyDescent="0.25">
      <c r="A12403" s="116" t="s">
        <v>26571</v>
      </c>
      <c r="B12403" s="117" t="s">
        <v>19813</v>
      </c>
      <c r="C12403" t="s">
        <v>67</v>
      </c>
      <c r="D12403" t="s">
        <v>67</v>
      </c>
      <c r="E12403" t="s">
        <v>67</v>
      </c>
      <c r="F12403" t="s">
        <v>27987</v>
      </c>
      <c r="G12403" s="117">
        <v>400</v>
      </c>
    </row>
    <row r="12404" spans="1:7" x14ac:dyDescent="0.25">
      <c r="A12404" s="116" t="s">
        <v>27995</v>
      </c>
      <c r="B12404" s="117" t="s">
        <v>27996</v>
      </c>
      <c r="C12404" t="s">
        <v>67</v>
      </c>
      <c r="D12404" t="s">
        <v>67</v>
      </c>
      <c r="E12404" t="s">
        <v>67</v>
      </c>
      <c r="F12404" t="s">
        <v>27990</v>
      </c>
      <c r="G12404" s="117">
        <v>25</v>
      </c>
    </row>
    <row r="12405" spans="1:7" x14ac:dyDescent="0.25">
      <c r="A12405" s="116" t="s">
        <v>19475</v>
      </c>
      <c r="B12405" s="117" t="s">
        <v>19476</v>
      </c>
      <c r="C12405" t="s">
        <v>67</v>
      </c>
      <c r="D12405" t="s">
        <v>67</v>
      </c>
      <c r="E12405" t="s">
        <v>67</v>
      </c>
      <c r="F12405" t="s">
        <v>27987</v>
      </c>
      <c r="G12405" s="117">
        <v>41.74</v>
      </c>
    </row>
    <row r="12406" spans="1:7" x14ac:dyDescent="0.25">
      <c r="A12406" s="116" t="s">
        <v>19477</v>
      </c>
      <c r="B12406" s="117" t="s">
        <v>19478</v>
      </c>
      <c r="C12406" t="s">
        <v>67</v>
      </c>
      <c r="D12406" t="s">
        <v>67</v>
      </c>
      <c r="E12406" t="s">
        <v>67</v>
      </c>
      <c r="F12406" t="s">
        <v>45</v>
      </c>
      <c r="G12406" s="117">
        <v>578.29999999999995</v>
      </c>
    </row>
    <row r="12407" spans="1:7" x14ac:dyDescent="0.25">
      <c r="A12407" s="116" t="s">
        <v>19479</v>
      </c>
      <c r="B12407" s="117" t="s">
        <v>19480</v>
      </c>
      <c r="C12407" t="s">
        <v>67</v>
      </c>
      <c r="D12407" t="s">
        <v>67</v>
      </c>
      <c r="E12407" t="s">
        <v>67</v>
      </c>
      <c r="F12407" t="s">
        <v>45</v>
      </c>
      <c r="G12407" s="117">
        <v>173.96</v>
      </c>
    </row>
    <row r="12408" spans="1:7" x14ac:dyDescent="0.25">
      <c r="A12408" s="116" t="s">
        <v>19481</v>
      </c>
      <c r="B12408" s="117" t="s">
        <v>19482</v>
      </c>
      <c r="C12408" t="s">
        <v>67</v>
      </c>
      <c r="D12408" t="s">
        <v>67</v>
      </c>
      <c r="E12408" t="s">
        <v>67</v>
      </c>
      <c r="F12408" t="s">
        <v>45</v>
      </c>
      <c r="G12408" s="117">
        <v>97.8</v>
      </c>
    </row>
    <row r="12409" spans="1:7" x14ac:dyDescent="0.25">
      <c r="A12409" s="116" t="s">
        <v>19483</v>
      </c>
      <c r="B12409" s="117" t="s">
        <v>19484</v>
      </c>
      <c r="C12409" t="s">
        <v>67</v>
      </c>
      <c r="D12409" t="s">
        <v>67</v>
      </c>
      <c r="E12409" t="s">
        <v>67</v>
      </c>
      <c r="F12409" t="s">
        <v>45</v>
      </c>
      <c r="G12409" s="117">
        <v>44.94</v>
      </c>
    </row>
    <row r="12410" spans="1:7" x14ac:dyDescent="0.25">
      <c r="A12410" s="116" t="s">
        <v>19485</v>
      </c>
      <c r="B12410" s="117" t="s">
        <v>19486</v>
      </c>
      <c r="C12410" t="s">
        <v>67</v>
      </c>
      <c r="D12410" t="s">
        <v>67</v>
      </c>
      <c r="E12410" t="s">
        <v>67</v>
      </c>
      <c r="F12410" t="s">
        <v>49</v>
      </c>
      <c r="G12410" s="117">
        <v>36.39</v>
      </c>
    </row>
    <row r="12411" spans="1:7" x14ac:dyDescent="0.25">
      <c r="A12411" s="116" t="s">
        <v>19487</v>
      </c>
      <c r="B12411" s="117" t="s">
        <v>19488</v>
      </c>
      <c r="C12411" t="s">
        <v>67</v>
      </c>
      <c r="D12411" t="s">
        <v>67</v>
      </c>
      <c r="E12411" t="s">
        <v>67</v>
      </c>
      <c r="F12411" t="s">
        <v>27987</v>
      </c>
      <c r="G12411" s="117">
        <v>28.92</v>
      </c>
    </row>
    <row r="12412" spans="1:7" x14ac:dyDescent="0.25">
      <c r="A12412" s="116" t="s">
        <v>19489</v>
      </c>
      <c r="B12412" s="117" t="s">
        <v>19490</v>
      </c>
      <c r="C12412" t="s">
        <v>67</v>
      </c>
      <c r="D12412" t="s">
        <v>67</v>
      </c>
      <c r="E12412" t="s">
        <v>67</v>
      </c>
      <c r="F12412" t="s">
        <v>27987</v>
      </c>
      <c r="G12412" s="117">
        <v>84.44</v>
      </c>
    </row>
    <row r="12413" spans="1:7" x14ac:dyDescent="0.25">
      <c r="A12413" s="116" t="s">
        <v>19491</v>
      </c>
      <c r="B12413" s="117" t="s">
        <v>19492</v>
      </c>
      <c r="C12413" t="s">
        <v>67</v>
      </c>
      <c r="D12413" t="s">
        <v>67</v>
      </c>
      <c r="E12413" t="s">
        <v>67</v>
      </c>
      <c r="F12413" t="s">
        <v>27987</v>
      </c>
      <c r="G12413" s="117">
        <v>37.82</v>
      </c>
    </row>
    <row r="12414" spans="1:7" x14ac:dyDescent="0.25">
      <c r="A12414" s="116" t="s">
        <v>19493</v>
      </c>
      <c r="B12414" s="117" t="s">
        <v>19494</v>
      </c>
      <c r="C12414" t="s">
        <v>67</v>
      </c>
      <c r="D12414" t="s">
        <v>67</v>
      </c>
      <c r="E12414" t="s">
        <v>67</v>
      </c>
      <c r="F12414" t="s">
        <v>27987</v>
      </c>
      <c r="G12414" s="117">
        <v>47.61</v>
      </c>
    </row>
    <row r="12415" spans="1:7" x14ac:dyDescent="0.25">
      <c r="A12415" s="116" t="s">
        <v>19495</v>
      </c>
      <c r="B12415" s="117" t="s">
        <v>19496</v>
      </c>
      <c r="C12415" t="s">
        <v>67</v>
      </c>
      <c r="D12415" t="s">
        <v>67</v>
      </c>
      <c r="E12415" t="s">
        <v>67</v>
      </c>
      <c r="F12415" t="s">
        <v>27987</v>
      </c>
      <c r="G12415" s="117">
        <v>201.9</v>
      </c>
    </row>
    <row r="12416" spans="1:7" x14ac:dyDescent="0.25">
      <c r="A12416" s="116" t="s">
        <v>19497</v>
      </c>
      <c r="B12416" s="117" t="s">
        <v>19498</v>
      </c>
      <c r="C12416" t="s">
        <v>67</v>
      </c>
      <c r="D12416" t="s">
        <v>67</v>
      </c>
      <c r="E12416" t="s">
        <v>67</v>
      </c>
      <c r="F12416" t="s">
        <v>27987</v>
      </c>
      <c r="G12416" s="117">
        <v>2359.38</v>
      </c>
    </row>
    <row r="12417" spans="1:7" x14ac:dyDescent="0.25">
      <c r="A12417" s="116" t="s">
        <v>19499</v>
      </c>
      <c r="B12417" s="117" t="s">
        <v>19500</v>
      </c>
      <c r="C12417" t="s">
        <v>67</v>
      </c>
      <c r="D12417" t="s">
        <v>67</v>
      </c>
      <c r="E12417" t="s">
        <v>67</v>
      </c>
      <c r="F12417" t="s">
        <v>27987</v>
      </c>
      <c r="G12417" s="117">
        <v>183.75</v>
      </c>
    </row>
    <row r="12418" spans="1:7" x14ac:dyDescent="0.25">
      <c r="A12418" s="116" t="s">
        <v>19501</v>
      </c>
      <c r="B12418" s="117" t="s">
        <v>19502</v>
      </c>
      <c r="C12418" t="s">
        <v>67</v>
      </c>
      <c r="D12418" t="s">
        <v>67</v>
      </c>
      <c r="E12418" t="s">
        <v>67</v>
      </c>
      <c r="F12418" t="s">
        <v>27987</v>
      </c>
      <c r="G12418" s="117">
        <v>60.06</v>
      </c>
    </row>
    <row r="12419" spans="1:7" x14ac:dyDescent="0.25">
      <c r="A12419" s="116" t="s">
        <v>19503</v>
      </c>
      <c r="B12419" s="117" t="s">
        <v>19504</v>
      </c>
      <c r="C12419" t="s">
        <v>67</v>
      </c>
      <c r="D12419" t="s">
        <v>67</v>
      </c>
      <c r="E12419" t="s">
        <v>67</v>
      </c>
      <c r="F12419" t="s">
        <v>27987</v>
      </c>
      <c r="G12419" s="117">
        <v>41.74</v>
      </c>
    </row>
    <row r="12420" spans="1:7" x14ac:dyDescent="0.25">
      <c r="A12420" s="116" t="s">
        <v>19505</v>
      </c>
      <c r="B12420" s="117" t="s">
        <v>19506</v>
      </c>
      <c r="C12420" t="s">
        <v>67</v>
      </c>
      <c r="D12420" t="s">
        <v>67</v>
      </c>
      <c r="E12420" t="s">
        <v>67</v>
      </c>
      <c r="F12420" t="s">
        <v>27987</v>
      </c>
      <c r="G12420" s="117">
        <v>37.29</v>
      </c>
    </row>
    <row r="12421" spans="1:7" x14ac:dyDescent="0.25">
      <c r="A12421" s="116" t="s">
        <v>19507</v>
      </c>
      <c r="B12421" s="117" t="s">
        <v>19508</v>
      </c>
      <c r="C12421" t="s">
        <v>67</v>
      </c>
      <c r="D12421" t="s">
        <v>67</v>
      </c>
      <c r="E12421" t="s">
        <v>67</v>
      </c>
      <c r="F12421" t="s">
        <v>27987</v>
      </c>
      <c r="G12421" s="117">
        <v>148.16</v>
      </c>
    </row>
    <row r="12422" spans="1:7" x14ac:dyDescent="0.25">
      <c r="A12422" s="116" t="s">
        <v>19509</v>
      </c>
      <c r="B12422" s="117" t="s">
        <v>19354</v>
      </c>
      <c r="C12422" t="s">
        <v>67</v>
      </c>
      <c r="D12422" t="s">
        <v>67</v>
      </c>
      <c r="E12422" t="s">
        <v>67</v>
      </c>
      <c r="F12422" t="s">
        <v>45</v>
      </c>
      <c r="G12422" s="117">
        <v>177.88</v>
      </c>
    </row>
    <row r="12423" spans="1:7" x14ac:dyDescent="0.25">
      <c r="A12423" s="116" t="s">
        <v>19510</v>
      </c>
      <c r="B12423" s="117" t="s">
        <v>19511</v>
      </c>
      <c r="C12423" t="s">
        <v>67</v>
      </c>
      <c r="D12423" t="s">
        <v>67</v>
      </c>
      <c r="E12423" t="s">
        <v>67</v>
      </c>
      <c r="F12423" t="s">
        <v>45</v>
      </c>
      <c r="G12423" s="117">
        <v>38.700000000000003</v>
      </c>
    </row>
    <row r="12424" spans="1:7" x14ac:dyDescent="0.25">
      <c r="A12424" s="116" t="s">
        <v>19512</v>
      </c>
      <c r="B12424" s="117" t="s">
        <v>19513</v>
      </c>
      <c r="C12424" t="s">
        <v>67</v>
      </c>
      <c r="D12424" t="s">
        <v>67</v>
      </c>
      <c r="E12424" t="s">
        <v>67</v>
      </c>
      <c r="F12424" t="s">
        <v>27987</v>
      </c>
      <c r="G12424" s="117">
        <v>192.12</v>
      </c>
    </row>
    <row r="12425" spans="1:7" x14ac:dyDescent="0.25">
      <c r="A12425" s="116" t="s">
        <v>19514</v>
      </c>
      <c r="B12425" s="117" t="s">
        <v>19515</v>
      </c>
      <c r="C12425" t="s">
        <v>67</v>
      </c>
      <c r="D12425" t="s">
        <v>67</v>
      </c>
      <c r="E12425" t="s">
        <v>67</v>
      </c>
      <c r="F12425" t="s">
        <v>27987</v>
      </c>
      <c r="G12425" s="117">
        <v>133.91999999999999</v>
      </c>
    </row>
    <row r="12426" spans="1:7" x14ac:dyDescent="0.25">
      <c r="A12426" s="116" t="s">
        <v>19516</v>
      </c>
      <c r="B12426" s="117" t="s">
        <v>19517</v>
      </c>
      <c r="C12426" t="s">
        <v>67</v>
      </c>
      <c r="D12426" t="s">
        <v>67</v>
      </c>
      <c r="E12426" t="s">
        <v>67</v>
      </c>
      <c r="F12426" t="s">
        <v>49</v>
      </c>
      <c r="G12426" s="117">
        <v>102.77</v>
      </c>
    </row>
    <row r="12427" spans="1:7" x14ac:dyDescent="0.25">
      <c r="A12427" s="116" t="s">
        <v>19518</v>
      </c>
      <c r="B12427" s="117" t="s">
        <v>19519</v>
      </c>
      <c r="C12427" t="s">
        <v>67</v>
      </c>
      <c r="D12427" t="s">
        <v>67</v>
      </c>
      <c r="E12427" t="s">
        <v>67</v>
      </c>
      <c r="F12427" t="s">
        <v>27987</v>
      </c>
      <c r="G12427" s="117">
        <v>162.38999999999999</v>
      </c>
    </row>
    <row r="12428" spans="1:7" x14ac:dyDescent="0.25">
      <c r="A12428" s="116" t="s">
        <v>19520</v>
      </c>
      <c r="B12428" s="117" t="s">
        <v>19521</v>
      </c>
      <c r="C12428" t="s">
        <v>67</v>
      </c>
      <c r="D12428" t="s">
        <v>67</v>
      </c>
      <c r="E12428" t="s">
        <v>67</v>
      </c>
      <c r="F12428" t="s">
        <v>27987</v>
      </c>
      <c r="G12428" s="117">
        <v>34.619999999999997</v>
      </c>
    </row>
    <row r="12429" spans="1:7" x14ac:dyDescent="0.25">
      <c r="A12429" s="116" t="s">
        <v>19522</v>
      </c>
      <c r="B12429" s="117" t="s">
        <v>19523</v>
      </c>
      <c r="C12429" t="s">
        <v>67</v>
      </c>
      <c r="D12429" t="s">
        <v>67</v>
      </c>
      <c r="E12429" t="s">
        <v>67</v>
      </c>
      <c r="F12429" t="s">
        <v>45</v>
      </c>
      <c r="G12429" s="117">
        <v>211.96</v>
      </c>
    </row>
    <row r="12430" spans="1:7" x14ac:dyDescent="0.25">
      <c r="A12430" s="116" t="s">
        <v>19524</v>
      </c>
      <c r="B12430" s="117" t="s">
        <v>19525</v>
      </c>
      <c r="C12430" t="s">
        <v>67</v>
      </c>
      <c r="D12430" t="s">
        <v>67</v>
      </c>
      <c r="E12430" t="s">
        <v>67</v>
      </c>
      <c r="F12430" t="s">
        <v>27987</v>
      </c>
      <c r="G12430" s="117">
        <v>159.72999999999999</v>
      </c>
    </row>
    <row r="12431" spans="1:7" x14ac:dyDescent="0.25">
      <c r="A12431" s="116" t="s">
        <v>19526</v>
      </c>
      <c r="B12431" s="117" t="s">
        <v>19527</v>
      </c>
      <c r="C12431" t="s">
        <v>67</v>
      </c>
      <c r="D12431" t="s">
        <v>67</v>
      </c>
      <c r="E12431" t="s">
        <v>67</v>
      </c>
      <c r="F12431" t="s">
        <v>27987</v>
      </c>
      <c r="G12431" s="117">
        <v>185.88</v>
      </c>
    </row>
    <row r="12432" spans="1:7" x14ac:dyDescent="0.25">
      <c r="A12432" s="116" t="s">
        <v>19528</v>
      </c>
      <c r="B12432" s="117" t="s">
        <v>19529</v>
      </c>
      <c r="C12432" t="s">
        <v>67</v>
      </c>
      <c r="D12432" t="s">
        <v>67</v>
      </c>
      <c r="E12432" t="s">
        <v>67</v>
      </c>
      <c r="F12432" t="s">
        <v>27987</v>
      </c>
      <c r="G12432" s="117">
        <v>793.64</v>
      </c>
    </row>
    <row r="12433" spans="1:7" x14ac:dyDescent="0.25">
      <c r="A12433" s="116" t="s">
        <v>19530</v>
      </c>
      <c r="B12433" s="117" t="s">
        <v>19531</v>
      </c>
      <c r="C12433" t="s">
        <v>67</v>
      </c>
      <c r="D12433" t="s">
        <v>67</v>
      </c>
      <c r="E12433" t="s">
        <v>67</v>
      </c>
      <c r="F12433" t="s">
        <v>45</v>
      </c>
      <c r="G12433" s="117">
        <v>30.17</v>
      </c>
    </row>
    <row r="12434" spans="1:7" x14ac:dyDescent="0.25">
      <c r="A12434" s="116" t="s">
        <v>19532</v>
      </c>
      <c r="B12434" s="117" t="s">
        <v>19533</v>
      </c>
      <c r="C12434" t="s">
        <v>67</v>
      </c>
      <c r="D12434" t="s">
        <v>67</v>
      </c>
      <c r="E12434" t="s">
        <v>67</v>
      </c>
      <c r="F12434" t="s">
        <v>27987</v>
      </c>
      <c r="G12434" s="117">
        <v>165.42</v>
      </c>
    </row>
    <row r="12435" spans="1:7" x14ac:dyDescent="0.25">
      <c r="A12435" s="116" t="s">
        <v>19534</v>
      </c>
      <c r="B12435" s="117" t="s">
        <v>19535</v>
      </c>
      <c r="C12435" t="s">
        <v>67</v>
      </c>
      <c r="D12435" t="s">
        <v>67</v>
      </c>
      <c r="E12435" t="s">
        <v>67</v>
      </c>
      <c r="F12435" t="s">
        <v>27987</v>
      </c>
      <c r="G12435" s="117">
        <v>689.46</v>
      </c>
    </row>
    <row r="12436" spans="1:7" x14ac:dyDescent="0.25">
      <c r="A12436" s="116" t="s">
        <v>19536</v>
      </c>
      <c r="B12436" s="117" t="s">
        <v>19537</v>
      </c>
      <c r="C12436" t="s">
        <v>67</v>
      </c>
      <c r="D12436" t="s">
        <v>67</v>
      </c>
      <c r="E12436" t="s">
        <v>67</v>
      </c>
      <c r="F12436" t="s">
        <v>27987</v>
      </c>
      <c r="G12436" s="117">
        <v>735.44</v>
      </c>
    </row>
    <row r="12437" spans="1:7" x14ac:dyDescent="0.25">
      <c r="A12437" s="116" t="s">
        <v>19538</v>
      </c>
      <c r="B12437" s="117" t="s">
        <v>19539</v>
      </c>
      <c r="C12437" t="s">
        <v>67</v>
      </c>
      <c r="D12437" t="s">
        <v>67</v>
      </c>
      <c r="E12437" t="s">
        <v>67</v>
      </c>
      <c r="F12437" t="s">
        <v>27987</v>
      </c>
      <c r="G12437" s="117">
        <v>39.950000000000003</v>
      </c>
    </row>
    <row r="12438" spans="1:7" x14ac:dyDescent="0.25">
      <c r="A12438" s="116" t="s">
        <v>19540</v>
      </c>
      <c r="B12438" s="117" t="s">
        <v>19541</v>
      </c>
      <c r="C12438" t="s">
        <v>67</v>
      </c>
      <c r="D12438" t="s">
        <v>67</v>
      </c>
      <c r="E12438" t="s">
        <v>67</v>
      </c>
      <c r="F12438" t="s">
        <v>27987</v>
      </c>
      <c r="G12438" s="117">
        <v>84.44</v>
      </c>
    </row>
    <row r="12439" spans="1:7" x14ac:dyDescent="0.25">
      <c r="A12439" s="116" t="s">
        <v>19542</v>
      </c>
      <c r="B12439" s="117" t="s">
        <v>19543</v>
      </c>
      <c r="C12439" t="s">
        <v>67</v>
      </c>
      <c r="D12439" t="s">
        <v>67</v>
      </c>
      <c r="E12439" t="s">
        <v>67</v>
      </c>
      <c r="F12439" t="s">
        <v>27987</v>
      </c>
      <c r="G12439" s="117">
        <v>31.06</v>
      </c>
    </row>
    <row r="12440" spans="1:7" x14ac:dyDescent="0.25">
      <c r="A12440" s="116" t="s">
        <v>19544</v>
      </c>
      <c r="B12440" s="117" t="s">
        <v>19545</v>
      </c>
      <c r="C12440" t="s">
        <v>67</v>
      </c>
      <c r="D12440" t="s">
        <v>67</v>
      </c>
      <c r="E12440" t="s">
        <v>67</v>
      </c>
      <c r="F12440" t="s">
        <v>45</v>
      </c>
      <c r="G12440" s="117">
        <v>48.5</v>
      </c>
    </row>
    <row r="12441" spans="1:7" x14ac:dyDescent="0.25">
      <c r="A12441" s="116" t="s">
        <v>19546</v>
      </c>
      <c r="B12441" s="117" t="s">
        <v>19547</v>
      </c>
      <c r="C12441" t="s">
        <v>67</v>
      </c>
      <c r="D12441" t="s">
        <v>67</v>
      </c>
      <c r="E12441" t="s">
        <v>67</v>
      </c>
      <c r="F12441" t="s">
        <v>45</v>
      </c>
      <c r="G12441" s="117">
        <v>34.26</v>
      </c>
    </row>
    <row r="12442" spans="1:7" x14ac:dyDescent="0.25">
      <c r="A12442" s="116" t="s">
        <v>19548</v>
      </c>
      <c r="B12442" s="117" t="s">
        <v>19549</v>
      </c>
      <c r="C12442" t="s">
        <v>67</v>
      </c>
      <c r="D12442" t="s">
        <v>67</v>
      </c>
      <c r="E12442" t="s">
        <v>67</v>
      </c>
      <c r="F12442" t="s">
        <v>27987</v>
      </c>
      <c r="G12442" s="117">
        <v>47.61</v>
      </c>
    </row>
    <row r="12443" spans="1:7" x14ac:dyDescent="0.25">
      <c r="A12443" s="116" t="s">
        <v>19550</v>
      </c>
      <c r="B12443" s="117" t="s">
        <v>19551</v>
      </c>
      <c r="C12443" t="s">
        <v>67</v>
      </c>
      <c r="D12443" t="s">
        <v>67</v>
      </c>
      <c r="E12443" t="s">
        <v>67</v>
      </c>
      <c r="F12443" t="s">
        <v>45</v>
      </c>
      <c r="G12443" s="117">
        <v>63.98</v>
      </c>
    </row>
    <row r="12444" spans="1:7" x14ac:dyDescent="0.25">
      <c r="A12444" s="116" t="s">
        <v>19552</v>
      </c>
      <c r="B12444" s="117" t="s">
        <v>29426</v>
      </c>
      <c r="C12444" t="s">
        <v>67</v>
      </c>
      <c r="D12444" t="s">
        <v>67</v>
      </c>
      <c r="E12444" t="s">
        <v>67</v>
      </c>
      <c r="F12444" t="s">
        <v>45</v>
      </c>
      <c r="G12444" s="117">
        <v>73.78</v>
      </c>
    </row>
    <row r="12445" spans="1:7" x14ac:dyDescent="0.25">
      <c r="A12445" s="116" t="s">
        <v>19553</v>
      </c>
      <c r="B12445" s="117" t="s">
        <v>19554</v>
      </c>
      <c r="C12445" t="s">
        <v>67</v>
      </c>
      <c r="D12445" t="s">
        <v>67</v>
      </c>
      <c r="E12445" t="s">
        <v>67</v>
      </c>
      <c r="F12445" t="s">
        <v>27987</v>
      </c>
      <c r="G12445" s="117">
        <v>53.3</v>
      </c>
    </row>
    <row r="12446" spans="1:7" x14ac:dyDescent="0.25">
      <c r="A12446" s="116" t="s">
        <v>19555</v>
      </c>
      <c r="B12446" s="117" t="s">
        <v>19556</v>
      </c>
      <c r="C12446" t="s">
        <v>67</v>
      </c>
      <c r="D12446" t="s">
        <v>67</v>
      </c>
      <c r="E12446" t="s">
        <v>67</v>
      </c>
      <c r="F12446" t="s">
        <v>27987</v>
      </c>
      <c r="G12446" s="117">
        <v>37.82</v>
      </c>
    </row>
    <row r="12447" spans="1:7" x14ac:dyDescent="0.25">
      <c r="A12447" s="116" t="s">
        <v>19557</v>
      </c>
      <c r="B12447" s="117" t="s">
        <v>19558</v>
      </c>
      <c r="C12447" t="s">
        <v>67</v>
      </c>
      <c r="D12447" t="s">
        <v>67</v>
      </c>
      <c r="E12447" t="s">
        <v>67</v>
      </c>
      <c r="F12447" t="s">
        <v>27987</v>
      </c>
      <c r="G12447" s="117">
        <v>43.29</v>
      </c>
    </row>
    <row r="12448" spans="1:7" x14ac:dyDescent="0.25">
      <c r="A12448" s="116" t="s">
        <v>19559</v>
      </c>
      <c r="B12448" s="117" t="s">
        <v>19560</v>
      </c>
      <c r="C12448" t="s">
        <v>67</v>
      </c>
      <c r="D12448" t="s">
        <v>67</v>
      </c>
      <c r="E12448" t="s">
        <v>67</v>
      </c>
      <c r="F12448" t="s">
        <v>45</v>
      </c>
      <c r="G12448" s="117">
        <v>128.94</v>
      </c>
    </row>
    <row r="12449" spans="1:7" x14ac:dyDescent="0.25">
      <c r="A12449" s="116" t="s">
        <v>19561</v>
      </c>
      <c r="B12449" s="117" t="s">
        <v>19562</v>
      </c>
      <c r="C12449" t="s">
        <v>67</v>
      </c>
      <c r="D12449" t="s">
        <v>67</v>
      </c>
      <c r="E12449" t="s">
        <v>67</v>
      </c>
      <c r="F12449" t="s">
        <v>45</v>
      </c>
      <c r="G12449" s="117">
        <v>40.49</v>
      </c>
    </row>
    <row r="12450" spans="1:7" x14ac:dyDescent="0.25">
      <c r="A12450" s="116" t="s">
        <v>19563</v>
      </c>
      <c r="B12450" s="117" t="s">
        <v>19564</v>
      </c>
      <c r="C12450" t="s">
        <v>67</v>
      </c>
      <c r="D12450" t="s">
        <v>67</v>
      </c>
      <c r="E12450" t="s">
        <v>67</v>
      </c>
      <c r="F12450" t="s">
        <v>27987</v>
      </c>
      <c r="G12450" s="117">
        <v>60.42</v>
      </c>
    </row>
    <row r="12451" spans="1:7" x14ac:dyDescent="0.25">
      <c r="A12451" s="116" t="s">
        <v>19565</v>
      </c>
      <c r="B12451" s="117" t="s">
        <v>19566</v>
      </c>
      <c r="C12451" t="s">
        <v>67</v>
      </c>
      <c r="D12451" t="s">
        <v>67</v>
      </c>
      <c r="E12451" t="s">
        <v>67</v>
      </c>
      <c r="F12451" t="s">
        <v>49</v>
      </c>
      <c r="G12451" s="117">
        <v>68.430000000000007</v>
      </c>
    </row>
    <row r="12452" spans="1:7" x14ac:dyDescent="0.25">
      <c r="A12452" s="116" t="s">
        <v>29966</v>
      </c>
      <c r="B12452" s="117" t="s">
        <v>30523</v>
      </c>
      <c r="C12452" t="s">
        <v>67</v>
      </c>
      <c r="D12452" t="s">
        <v>67</v>
      </c>
      <c r="E12452" t="s">
        <v>67</v>
      </c>
      <c r="F12452" t="s">
        <v>27987</v>
      </c>
      <c r="G12452" s="117">
        <v>80</v>
      </c>
    </row>
    <row r="12453" spans="1:7" x14ac:dyDescent="0.25">
      <c r="A12453" s="116" t="s">
        <v>19567</v>
      </c>
      <c r="B12453" s="117" t="s">
        <v>19568</v>
      </c>
      <c r="C12453" t="s">
        <v>67</v>
      </c>
      <c r="D12453" t="s">
        <v>67</v>
      </c>
      <c r="E12453" t="s">
        <v>67</v>
      </c>
      <c r="F12453" t="s">
        <v>45</v>
      </c>
      <c r="G12453" s="117">
        <v>100.46</v>
      </c>
    </row>
    <row r="12454" spans="1:7" x14ac:dyDescent="0.25">
      <c r="A12454" s="116" t="s">
        <v>19569</v>
      </c>
      <c r="B12454" s="117" t="s">
        <v>19570</v>
      </c>
      <c r="C12454" t="s">
        <v>67</v>
      </c>
      <c r="D12454" t="s">
        <v>67</v>
      </c>
      <c r="E12454" t="s">
        <v>67</v>
      </c>
      <c r="F12454" t="s">
        <v>27987</v>
      </c>
      <c r="G12454" s="117">
        <v>95.66</v>
      </c>
    </row>
    <row r="12455" spans="1:7" x14ac:dyDescent="0.25">
      <c r="A12455" s="116" t="s">
        <v>19571</v>
      </c>
      <c r="B12455" s="117" t="s">
        <v>19572</v>
      </c>
      <c r="C12455" t="s">
        <v>67</v>
      </c>
      <c r="D12455" t="s">
        <v>67</v>
      </c>
      <c r="E12455" t="s">
        <v>67</v>
      </c>
      <c r="F12455" t="s">
        <v>27987</v>
      </c>
      <c r="G12455" s="117">
        <v>41.38</v>
      </c>
    </row>
    <row r="12456" spans="1:7" x14ac:dyDescent="0.25">
      <c r="A12456" s="116" t="s">
        <v>19573</v>
      </c>
      <c r="B12456" s="117" t="s">
        <v>19574</v>
      </c>
      <c r="C12456" t="s">
        <v>67</v>
      </c>
      <c r="D12456" t="s">
        <v>67</v>
      </c>
      <c r="E12456" t="s">
        <v>67</v>
      </c>
      <c r="F12456" t="s">
        <v>49</v>
      </c>
      <c r="G12456" s="117">
        <v>99.21</v>
      </c>
    </row>
    <row r="12457" spans="1:7" x14ac:dyDescent="0.25">
      <c r="A12457" s="116" t="s">
        <v>19575</v>
      </c>
      <c r="B12457" s="117" t="s">
        <v>19576</v>
      </c>
      <c r="C12457" t="s">
        <v>67</v>
      </c>
      <c r="D12457" t="s">
        <v>67</v>
      </c>
      <c r="E12457" t="s">
        <v>67</v>
      </c>
      <c r="F12457" t="s">
        <v>45</v>
      </c>
      <c r="G12457" s="117">
        <v>29.06</v>
      </c>
    </row>
    <row r="12458" spans="1:7" x14ac:dyDescent="0.25">
      <c r="A12458" s="116" t="s">
        <v>19577</v>
      </c>
      <c r="B12458" s="117" t="s">
        <v>19578</v>
      </c>
      <c r="C12458" t="s">
        <v>67</v>
      </c>
      <c r="D12458" t="s">
        <v>67</v>
      </c>
      <c r="E12458" t="s">
        <v>67</v>
      </c>
      <c r="F12458" t="s">
        <v>45</v>
      </c>
      <c r="G12458" s="117">
        <v>176.99</v>
      </c>
    </row>
    <row r="12459" spans="1:7" x14ac:dyDescent="0.25">
      <c r="A12459" s="116" t="s">
        <v>19579</v>
      </c>
      <c r="B12459" s="117" t="s">
        <v>19580</v>
      </c>
      <c r="C12459" t="s">
        <v>67</v>
      </c>
      <c r="D12459" t="s">
        <v>67</v>
      </c>
      <c r="E12459" t="s">
        <v>67</v>
      </c>
      <c r="F12459" t="s">
        <v>27987</v>
      </c>
      <c r="G12459" s="117">
        <v>49.74</v>
      </c>
    </row>
    <row r="12460" spans="1:7" x14ac:dyDescent="0.25">
      <c r="A12460" s="116" t="s">
        <v>19581</v>
      </c>
      <c r="B12460" s="117" t="s">
        <v>19582</v>
      </c>
      <c r="C12460" t="s">
        <v>67</v>
      </c>
      <c r="D12460" t="s">
        <v>67</v>
      </c>
      <c r="E12460" t="s">
        <v>67</v>
      </c>
      <c r="F12460" t="s">
        <v>27987</v>
      </c>
      <c r="G12460" s="117">
        <v>789.73</v>
      </c>
    </row>
    <row r="12461" spans="1:7" x14ac:dyDescent="0.25">
      <c r="A12461" s="116" t="s">
        <v>19583</v>
      </c>
      <c r="B12461" s="117" t="s">
        <v>19584</v>
      </c>
      <c r="C12461" t="s">
        <v>67</v>
      </c>
      <c r="D12461" t="s">
        <v>67</v>
      </c>
      <c r="E12461" t="s">
        <v>67</v>
      </c>
      <c r="F12461" t="s">
        <v>27987</v>
      </c>
      <c r="G12461" s="117">
        <v>471.52</v>
      </c>
    </row>
    <row r="12462" spans="1:7" x14ac:dyDescent="0.25">
      <c r="A12462" s="116" t="s">
        <v>19585</v>
      </c>
      <c r="B12462" s="117" t="s">
        <v>19586</v>
      </c>
      <c r="C12462" t="s">
        <v>67</v>
      </c>
      <c r="D12462" t="s">
        <v>67</v>
      </c>
      <c r="E12462" t="s">
        <v>67</v>
      </c>
      <c r="F12462" t="s">
        <v>27987</v>
      </c>
      <c r="G12462" s="117">
        <v>36.39</v>
      </c>
    </row>
    <row r="12463" spans="1:7" x14ac:dyDescent="0.25">
      <c r="A12463" s="116" t="s">
        <v>19587</v>
      </c>
      <c r="B12463" s="117" t="s">
        <v>19588</v>
      </c>
      <c r="C12463" t="s">
        <v>67</v>
      </c>
      <c r="D12463" t="s">
        <v>67</v>
      </c>
      <c r="E12463" t="s">
        <v>67</v>
      </c>
      <c r="F12463" t="s">
        <v>27987</v>
      </c>
      <c r="G12463" s="117">
        <v>391.44</v>
      </c>
    </row>
    <row r="12464" spans="1:7" x14ac:dyDescent="0.25">
      <c r="A12464" s="116" t="s">
        <v>19589</v>
      </c>
      <c r="B12464" s="117" t="s">
        <v>19590</v>
      </c>
      <c r="C12464" t="s">
        <v>67</v>
      </c>
      <c r="D12464" t="s">
        <v>67</v>
      </c>
      <c r="E12464" t="s">
        <v>67</v>
      </c>
      <c r="F12464" t="s">
        <v>27987</v>
      </c>
      <c r="G12464" s="117">
        <v>28.38</v>
      </c>
    </row>
    <row r="12465" spans="1:7" x14ac:dyDescent="0.25">
      <c r="A12465" s="116" t="s">
        <v>19591</v>
      </c>
      <c r="B12465" s="117" t="s">
        <v>19592</v>
      </c>
      <c r="C12465" t="s">
        <v>67</v>
      </c>
      <c r="D12465" t="s">
        <v>67</v>
      </c>
      <c r="E12465" t="s">
        <v>67</v>
      </c>
      <c r="F12465" t="s">
        <v>45</v>
      </c>
      <c r="G12465" s="117">
        <v>884.94</v>
      </c>
    </row>
    <row r="12466" spans="1:7" x14ac:dyDescent="0.25">
      <c r="A12466" s="116" t="s">
        <v>19593</v>
      </c>
      <c r="B12466" s="117" t="s">
        <v>19594</v>
      </c>
      <c r="C12466" t="s">
        <v>67</v>
      </c>
      <c r="D12466" t="s">
        <v>67</v>
      </c>
      <c r="E12466" t="s">
        <v>67</v>
      </c>
      <c r="F12466" t="s">
        <v>45</v>
      </c>
      <c r="G12466" s="117">
        <v>371.86</v>
      </c>
    </row>
    <row r="12467" spans="1:7" x14ac:dyDescent="0.25">
      <c r="A12467" s="116" t="s">
        <v>19595</v>
      </c>
      <c r="B12467" s="117" t="s">
        <v>19596</v>
      </c>
      <c r="C12467" t="s">
        <v>67</v>
      </c>
      <c r="D12467" t="s">
        <v>67</v>
      </c>
      <c r="E12467" t="s">
        <v>67</v>
      </c>
      <c r="F12467" t="s">
        <v>27987</v>
      </c>
      <c r="G12467" s="117">
        <v>372.75</v>
      </c>
    </row>
    <row r="12468" spans="1:7" x14ac:dyDescent="0.25">
      <c r="A12468" s="116" t="s">
        <v>19597</v>
      </c>
      <c r="B12468" s="117" t="s">
        <v>19598</v>
      </c>
      <c r="C12468" t="s">
        <v>67</v>
      </c>
      <c r="D12468" t="s">
        <v>67</v>
      </c>
      <c r="E12468" t="s">
        <v>67</v>
      </c>
      <c r="F12468" t="s">
        <v>27987</v>
      </c>
      <c r="G12468" s="117">
        <v>33.369999999999997</v>
      </c>
    </row>
    <row r="12469" spans="1:7" x14ac:dyDescent="0.25">
      <c r="A12469" s="116" t="s">
        <v>19599</v>
      </c>
      <c r="B12469" s="117" t="s">
        <v>19600</v>
      </c>
      <c r="C12469" t="s">
        <v>67</v>
      </c>
      <c r="D12469" t="s">
        <v>67</v>
      </c>
      <c r="E12469" t="s">
        <v>67</v>
      </c>
      <c r="F12469" t="s">
        <v>27987</v>
      </c>
      <c r="G12469" s="117">
        <v>137.83000000000001</v>
      </c>
    </row>
    <row r="12470" spans="1:7" x14ac:dyDescent="0.25">
      <c r="A12470" s="116" t="s">
        <v>19601</v>
      </c>
      <c r="B12470" s="117" t="s">
        <v>19602</v>
      </c>
      <c r="C12470" t="s">
        <v>67</v>
      </c>
      <c r="D12470" t="s">
        <v>67</v>
      </c>
      <c r="E12470" t="s">
        <v>67</v>
      </c>
      <c r="F12470" t="s">
        <v>27987</v>
      </c>
      <c r="G12470" s="117">
        <v>215.25</v>
      </c>
    </row>
    <row r="12471" spans="1:7" x14ac:dyDescent="0.25">
      <c r="A12471" s="116" t="s">
        <v>19603</v>
      </c>
      <c r="B12471" s="117" t="s">
        <v>19604</v>
      </c>
      <c r="C12471" t="s">
        <v>67</v>
      </c>
      <c r="D12471" t="s">
        <v>67</v>
      </c>
      <c r="E12471" t="s">
        <v>67</v>
      </c>
      <c r="F12471" t="s">
        <v>27987</v>
      </c>
      <c r="G12471" s="117">
        <v>36.39</v>
      </c>
    </row>
    <row r="12472" spans="1:7" x14ac:dyDescent="0.25">
      <c r="A12472" s="116" t="s">
        <v>19605</v>
      </c>
      <c r="B12472" s="117" t="s">
        <v>19606</v>
      </c>
      <c r="C12472" t="s">
        <v>67</v>
      </c>
      <c r="D12472" t="s">
        <v>67</v>
      </c>
      <c r="E12472" t="s">
        <v>67</v>
      </c>
      <c r="F12472" t="s">
        <v>27987</v>
      </c>
      <c r="G12472" s="117">
        <v>39.6</v>
      </c>
    </row>
    <row r="12473" spans="1:7" x14ac:dyDescent="0.25">
      <c r="A12473" s="116" t="s">
        <v>19607</v>
      </c>
      <c r="B12473" s="117" t="s">
        <v>19608</v>
      </c>
      <c r="C12473" t="s">
        <v>67</v>
      </c>
      <c r="D12473" t="s">
        <v>67</v>
      </c>
      <c r="E12473" t="s">
        <v>67</v>
      </c>
      <c r="F12473" t="s">
        <v>45</v>
      </c>
      <c r="G12473" s="117">
        <v>402.12</v>
      </c>
    </row>
    <row r="12474" spans="1:7" x14ac:dyDescent="0.25">
      <c r="A12474" s="116" t="s">
        <v>19609</v>
      </c>
      <c r="B12474" s="117" t="s">
        <v>19610</v>
      </c>
      <c r="C12474" t="s">
        <v>67</v>
      </c>
      <c r="D12474" t="s">
        <v>67</v>
      </c>
      <c r="E12474" t="s">
        <v>67</v>
      </c>
      <c r="F12474" t="s">
        <v>27987</v>
      </c>
      <c r="G12474" s="117">
        <v>29.81</v>
      </c>
    </row>
    <row r="12475" spans="1:7" x14ac:dyDescent="0.25">
      <c r="A12475" s="116" t="s">
        <v>19611</v>
      </c>
      <c r="B12475" s="117" t="s">
        <v>19612</v>
      </c>
      <c r="C12475" t="s">
        <v>67</v>
      </c>
      <c r="D12475" t="s">
        <v>67</v>
      </c>
      <c r="E12475" t="s">
        <v>67</v>
      </c>
      <c r="F12475" t="s">
        <v>27987</v>
      </c>
      <c r="G12475" s="117">
        <v>39.06</v>
      </c>
    </row>
    <row r="12476" spans="1:7" x14ac:dyDescent="0.25">
      <c r="A12476" s="116" t="s">
        <v>19613</v>
      </c>
      <c r="B12476" s="117" t="s">
        <v>19614</v>
      </c>
      <c r="C12476" t="s">
        <v>67</v>
      </c>
      <c r="D12476" t="s">
        <v>67</v>
      </c>
      <c r="E12476" t="s">
        <v>67</v>
      </c>
      <c r="F12476" t="s">
        <v>27987</v>
      </c>
      <c r="G12476" s="117">
        <v>154.74</v>
      </c>
    </row>
    <row r="12477" spans="1:7" x14ac:dyDescent="0.25">
      <c r="A12477" s="116" t="s">
        <v>19615</v>
      </c>
      <c r="B12477" s="117" t="s">
        <v>19616</v>
      </c>
      <c r="C12477" t="s">
        <v>67</v>
      </c>
      <c r="D12477" t="s">
        <v>67</v>
      </c>
      <c r="E12477" t="s">
        <v>67</v>
      </c>
      <c r="F12477" t="s">
        <v>27987</v>
      </c>
      <c r="G12477" s="117">
        <v>118.26</v>
      </c>
    </row>
    <row r="12478" spans="1:7" x14ac:dyDescent="0.25">
      <c r="A12478" s="116" t="s">
        <v>19617</v>
      </c>
      <c r="B12478" s="117" t="s">
        <v>19521</v>
      </c>
      <c r="C12478" t="s">
        <v>67</v>
      </c>
      <c r="D12478" t="s">
        <v>67</v>
      </c>
      <c r="E12478" t="s">
        <v>67</v>
      </c>
      <c r="F12478" t="s">
        <v>27987</v>
      </c>
      <c r="G12478" s="117">
        <v>91.56</v>
      </c>
    </row>
    <row r="12479" spans="1:7" x14ac:dyDescent="0.25">
      <c r="A12479" s="116" t="s">
        <v>19618</v>
      </c>
      <c r="B12479" s="117" t="s">
        <v>19619</v>
      </c>
      <c r="C12479" t="s">
        <v>67</v>
      </c>
      <c r="D12479" t="s">
        <v>67</v>
      </c>
      <c r="E12479" t="s">
        <v>67</v>
      </c>
      <c r="F12479" t="s">
        <v>49</v>
      </c>
      <c r="G12479" s="117">
        <v>28.92</v>
      </c>
    </row>
    <row r="12480" spans="1:7" x14ac:dyDescent="0.25">
      <c r="A12480" s="116" t="s">
        <v>19620</v>
      </c>
      <c r="B12480" s="117" t="s">
        <v>19621</v>
      </c>
      <c r="C12480" t="s">
        <v>67</v>
      </c>
      <c r="D12480" t="s">
        <v>67</v>
      </c>
      <c r="E12480" t="s">
        <v>67</v>
      </c>
      <c r="F12480" t="s">
        <v>27987</v>
      </c>
      <c r="G12480" s="117">
        <v>28.92</v>
      </c>
    </row>
    <row r="12481" spans="1:7" x14ac:dyDescent="0.25">
      <c r="A12481" s="116" t="s">
        <v>19622</v>
      </c>
      <c r="B12481" s="117" t="s">
        <v>19623</v>
      </c>
      <c r="C12481" t="s">
        <v>67</v>
      </c>
      <c r="D12481" t="s">
        <v>67</v>
      </c>
      <c r="E12481" t="s">
        <v>67</v>
      </c>
      <c r="F12481" t="s">
        <v>27987</v>
      </c>
      <c r="G12481" s="117">
        <v>163.63999999999999</v>
      </c>
    </row>
    <row r="12482" spans="1:7" x14ac:dyDescent="0.25">
      <c r="A12482" s="116" t="s">
        <v>19624</v>
      </c>
      <c r="B12482" s="117" t="s">
        <v>19625</v>
      </c>
      <c r="C12482" t="s">
        <v>67</v>
      </c>
      <c r="D12482" t="s">
        <v>67</v>
      </c>
      <c r="E12482" t="s">
        <v>67</v>
      </c>
      <c r="F12482" t="s">
        <v>27987</v>
      </c>
      <c r="G12482" s="117">
        <v>289.11</v>
      </c>
    </row>
    <row r="12483" spans="1:7" x14ac:dyDescent="0.25">
      <c r="A12483" s="116" t="s">
        <v>19626</v>
      </c>
      <c r="B12483" s="117" t="s">
        <v>19627</v>
      </c>
      <c r="C12483" t="s">
        <v>67</v>
      </c>
      <c r="D12483" t="s">
        <v>67</v>
      </c>
      <c r="E12483" t="s">
        <v>67</v>
      </c>
      <c r="F12483" t="s">
        <v>27987</v>
      </c>
      <c r="G12483" s="117">
        <v>26.25</v>
      </c>
    </row>
    <row r="12484" spans="1:7" x14ac:dyDescent="0.25">
      <c r="A12484" s="116" t="s">
        <v>19628</v>
      </c>
      <c r="B12484" s="117" t="s">
        <v>19629</v>
      </c>
      <c r="C12484" t="s">
        <v>67</v>
      </c>
      <c r="D12484" t="s">
        <v>67</v>
      </c>
      <c r="E12484" t="s">
        <v>67</v>
      </c>
      <c r="F12484" t="s">
        <v>45</v>
      </c>
      <c r="G12484" s="117">
        <v>54.12</v>
      </c>
    </row>
    <row r="12485" spans="1:7" x14ac:dyDescent="0.25">
      <c r="A12485" s="116" t="s">
        <v>19630</v>
      </c>
      <c r="B12485" s="117" t="s">
        <v>19631</v>
      </c>
      <c r="C12485" t="s">
        <v>67</v>
      </c>
      <c r="D12485" t="s">
        <v>67</v>
      </c>
      <c r="E12485" t="s">
        <v>67</v>
      </c>
      <c r="F12485" t="s">
        <v>27987</v>
      </c>
      <c r="G12485" s="117">
        <v>47.96</v>
      </c>
    </row>
    <row r="12486" spans="1:7" x14ac:dyDescent="0.25">
      <c r="A12486" s="116" t="s">
        <v>19632</v>
      </c>
      <c r="B12486" s="117" t="s">
        <v>19633</v>
      </c>
      <c r="C12486" t="s">
        <v>67</v>
      </c>
      <c r="D12486" t="s">
        <v>67</v>
      </c>
      <c r="E12486" t="s">
        <v>67</v>
      </c>
      <c r="F12486" t="s">
        <v>27987</v>
      </c>
      <c r="G12486" s="117">
        <v>640.58000000000004</v>
      </c>
    </row>
    <row r="12487" spans="1:7" x14ac:dyDescent="0.25">
      <c r="A12487" s="116" t="s">
        <v>19634</v>
      </c>
      <c r="B12487" s="117" t="s">
        <v>19521</v>
      </c>
      <c r="C12487" t="s">
        <v>67</v>
      </c>
      <c r="D12487" t="s">
        <v>67</v>
      </c>
      <c r="E12487" t="s">
        <v>67</v>
      </c>
      <c r="F12487" t="s">
        <v>27987</v>
      </c>
      <c r="G12487" s="117">
        <v>37.29</v>
      </c>
    </row>
    <row r="12488" spans="1:7" x14ac:dyDescent="0.25">
      <c r="A12488" s="116" t="s">
        <v>19635</v>
      </c>
      <c r="B12488" s="117" t="s">
        <v>19636</v>
      </c>
      <c r="C12488" t="s">
        <v>67</v>
      </c>
      <c r="D12488" t="s">
        <v>67</v>
      </c>
      <c r="E12488" t="s">
        <v>67</v>
      </c>
      <c r="F12488" t="s">
        <v>27987</v>
      </c>
      <c r="G12488" s="117">
        <v>158.33000000000001</v>
      </c>
    </row>
    <row r="12489" spans="1:7" x14ac:dyDescent="0.25">
      <c r="A12489" s="116" t="s">
        <v>19637</v>
      </c>
      <c r="B12489" s="117" t="s">
        <v>19638</v>
      </c>
      <c r="C12489" t="s">
        <v>67</v>
      </c>
      <c r="D12489" t="s">
        <v>67</v>
      </c>
      <c r="E12489" t="s">
        <v>67</v>
      </c>
      <c r="F12489" t="s">
        <v>27987</v>
      </c>
      <c r="G12489" s="117">
        <v>153.06</v>
      </c>
    </row>
    <row r="12490" spans="1:7" x14ac:dyDescent="0.25">
      <c r="A12490" s="116" t="s">
        <v>19639</v>
      </c>
      <c r="B12490" s="117" t="s">
        <v>19640</v>
      </c>
      <c r="C12490" t="s">
        <v>67</v>
      </c>
      <c r="D12490" t="s">
        <v>67</v>
      </c>
      <c r="E12490" t="s">
        <v>67</v>
      </c>
      <c r="F12490" t="s">
        <v>27987</v>
      </c>
      <c r="G12490" s="117">
        <v>299.60000000000002</v>
      </c>
    </row>
    <row r="12491" spans="1:7" x14ac:dyDescent="0.25">
      <c r="A12491" s="116" t="s">
        <v>19641</v>
      </c>
      <c r="B12491" s="117" t="s">
        <v>19521</v>
      </c>
      <c r="C12491" t="s">
        <v>67</v>
      </c>
      <c r="D12491" t="s">
        <v>67</v>
      </c>
      <c r="E12491" t="s">
        <v>67</v>
      </c>
      <c r="F12491" t="s">
        <v>27987</v>
      </c>
      <c r="G12491" s="117">
        <v>38.92</v>
      </c>
    </row>
    <row r="12492" spans="1:7" x14ac:dyDescent="0.25">
      <c r="A12492" s="116" t="s">
        <v>19642</v>
      </c>
      <c r="B12492" s="117" t="s">
        <v>19521</v>
      </c>
      <c r="C12492" t="s">
        <v>67</v>
      </c>
      <c r="D12492" t="s">
        <v>67</v>
      </c>
      <c r="E12492" t="s">
        <v>67</v>
      </c>
      <c r="F12492" t="s">
        <v>27987</v>
      </c>
      <c r="G12492" s="117">
        <v>83.5</v>
      </c>
    </row>
    <row r="12493" spans="1:7" x14ac:dyDescent="0.25">
      <c r="A12493" s="116" t="s">
        <v>19643</v>
      </c>
      <c r="B12493" s="117" t="s">
        <v>19644</v>
      </c>
      <c r="C12493" t="s">
        <v>67</v>
      </c>
      <c r="D12493" t="s">
        <v>67</v>
      </c>
      <c r="E12493" t="s">
        <v>67</v>
      </c>
      <c r="F12493" t="s">
        <v>27987</v>
      </c>
      <c r="G12493" s="117">
        <v>772.46</v>
      </c>
    </row>
    <row r="12494" spans="1:7" x14ac:dyDescent="0.25">
      <c r="A12494" s="116" t="s">
        <v>19645</v>
      </c>
      <c r="B12494" s="117" t="s">
        <v>19521</v>
      </c>
      <c r="C12494" t="s">
        <v>67</v>
      </c>
      <c r="D12494" t="s">
        <v>67</v>
      </c>
      <c r="E12494" t="s">
        <v>67</v>
      </c>
      <c r="F12494" t="s">
        <v>27987</v>
      </c>
      <c r="G12494" s="117">
        <v>41.18</v>
      </c>
    </row>
    <row r="12495" spans="1:7" x14ac:dyDescent="0.25">
      <c r="A12495" s="116" t="s">
        <v>19646</v>
      </c>
      <c r="B12495" s="117" t="s">
        <v>19647</v>
      </c>
      <c r="C12495" t="s">
        <v>67</v>
      </c>
      <c r="D12495" t="s">
        <v>67</v>
      </c>
      <c r="E12495" t="s">
        <v>67</v>
      </c>
      <c r="F12495" t="s">
        <v>27987</v>
      </c>
      <c r="G12495" s="117">
        <v>309.76</v>
      </c>
    </row>
    <row r="12496" spans="1:7" x14ac:dyDescent="0.25">
      <c r="A12496" s="116" t="s">
        <v>19648</v>
      </c>
      <c r="B12496" s="117" t="s">
        <v>19649</v>
      </c>
      <c r="C12496" t="s">
        <v>67</v>
      </c>
      <c r="D12496" t="s">
        <v>67</v>
      </c>
      <c r="E12496" t="s">
        <v>67</v>
      </c>
      <c r="F12496" t="s">
        <v>27987</v>
      </c>
      <c r="G12496" s="117">
        <v>236.69</v>
      </c>
    </row>
    <row r="12497" spans="1:7" x14ac:dyDescent="0.25">
      <c r="A12497" s="116" t="s">
        <v>26686</v>
      </c>
      <c r="B12497" s="117" t="s">
        <v>19531</v>
      </c>
      <c r="C12497" t="s">
        <v>67</v>
      </c>
      <c r="D12497" t="s">
        <v>67</v>
      </c>
      <c r="E12497" t="s">
        <v>67</v>
      </c>
      <c r="F12497" t="s">
        <v>27987</v>
      </c>
      <c r="G12497" s="117">
        <v>55</v>
      </c>
    </row>
    <row r="12498" spans="1:7" x14ac:dyDescent="0.25">
      <c r="A12498" s="116" t="s">
        <v>29427</v>
      </c>
      <c r="B12498" s="117" t="s">
        <v>18279</v>
      </c>
      <c r="C12498" t="s">
        <v>67</v>
      </c>
      <c r="D12498" t="s">
        <v>67</v>
      </c>
      <c r="E12498" t="s">
        <v>67</v>
      </c>
      <c r="F12498" t="s">
        <v>27987</v>
      </c>
      <c r="G12498" s="117">
        <v>9999</v>
      </c>
    </row>
    <row r="12499" spans="1:7" x14ac:dyDescent="0.25">
      <c r="A12499" s="116" t="s">
        <v>19650</v>
      </c>
      <c r="B12499" s="117" t="s">
        <v>19651</v>
      </c>
      <c r="C12499" t="s">
        <v>67</v>
      </c>
      <c r="D12499" t="s">
        <v>67</v>
      </c>
      <c r="E12499" t="s">
        <v>67</v>
      </c>
      <c r="F12499" t="s">
        <v>27987</v>
      </c>
      <c r="G12499" s="117">
        <v>213.58</v>
      </c>
    </row>
    <row r="12500" spans="1:7" x14ac:dyDescent="0.25">
      <c r="A12500" s="116" t="s">
        <v>19652</v>
      </c>
      <c r="B12500" s="117" t="s">
        <v>19653</v>
      </c>
      <c r="C12500" t="s">
        <v>67</v>
      </c>
      <c r="D12500" t="s">
        <v>67</v>
      </c>
      <c r="E12500" t="s">
        <v>67</v>
      </c>
      <c r="F12500" t="s">
        <v>27987</v>
      </c>
      <c r="G12500" s="117">
        <v>48.34</v>
      </c>
    </row>
    <row r="12501" spans="1:7" x14ac:dyDescent="0.25">
      <c r="A12501" s="116" t="s">
        <v>19654</v>
      </c>
      <c r="B12501" s="117" t="s">
        <v>19655</v>
      </c>
      <c r="C12501" t="s">
        <v>67</v>
      </c>
      <c r="D12501" t="s">
        <v>67</v>
      </c>
      <c r="E12501" t="s">
        <v>67</v>
      </c>
      <c r="F12501" t="s">
        <v>27987</v>
      </c>
      <c r="G12501" s="117">
        <v>838.13</v>
      </c>
    </row>
    <row r="12502" spans="1:7" x14ac:dyDescent="0.25">
      <c r="A12502" s="116" t="s">
        <v>19656</v>
      </c>
      <c r="B12502" s="117" t="s">
        <v>29428</v>
      </c>
      <c r="C12502" t="s">
        <v>67</v>
      </c>
      <c r="D12502" t="s">
        <v>67</v>
      </c>
      <c r="E12502" t="s">
        <v>67</v>
      </c>
      <c r="F12502" t="s">
        <v>27987</v>
      </c>
      <c r="G12502" s="117">
        <v>50</v>
      </c>
    </row>
    <row r="12503" spans="1:7" x14ac:dyDescent="0.25">
      <c r="A12503" s="116" t="s">
        <v>28016</v>
      </c>
      <c r="B12503" s="117" t="s">
        <v>26602</v>
      </c>
      <c r="C12503" t="s">
        <v>67</v>
      </c>
      <c r="D12503" t="s">
        <v>67</v>
      </c>
      <c r="E12503" t="s">
        <v>67</v>
      </c>
      <c r="F12503" t="s">
        <v>27987</v>
      </c>
      <c r="G12503" s="117">
        <v>33.36</v>
      </c>
    </row>
    <row r="12504" spans="1:7" x14ac:dyDescent="0.25">
      <c r="A12504" s="116" t="s">
        <v>19657</v>
      </c>
      <c r="B12504" s="117" t="s">
        <v>19376</v>
      </c>
      <c r="C12504" t="s">
        <v>67</v>
      </c>
      <c r="D12504" t="s">
        <v>67</v>
      </c>
      <c r="E12504" t="s">
        <v>67</v>
      </c>
      <c r="F12504" t="s">
        <v>27987</v>
      </c>
      <c r="G12504" s="117">
        <v>180</v>
      </c>
    </row>
    <row r="12505" spans="1:7" x14ac:dyDescent="0.25">
      <c r="A12505" s="116" t="s">
        <v>19658</v>
      </c>
      <c r="B12505" s="117" t="s">
        <v>19659</v>
      </c>
      <c r="C12505" t="s">
        <v>67</v>
      </c>
      <c r="D12505" t="s">
        <v>67</v>
      </c>
      <c r="E12505" t="s">
        <v>67</v>
      </c>
      <c r="F12505" t="s">
        <v>49</v>
      </c>
      <c r="G12505" s="117">
        <v>85</v>
      </c>
    </row>
    <row r="12506" spans="1:7" x14ac:dyDescent="0.25">
      <c r="A12506" s="116" t="s">
        <v>19660</v>
      </c>
      <c r="B12506" s="117" t="s">
        <v>19661</v>
      </c>
      <c r="C12506" t="s">
        <v>67</v>
      </c>
      <c r="D12506" t="s">
        <v>67</v>
      </c>
      <c r="E12506" t="s">
        <v>67</v>
      </c>
      <c r="F12506" t="s">
        <v>27987</v>
      </c>
      <c r="G12506" s="117">
        <v>52.74</v>
      </c>
    </row>
    <row r="12507" spans="1:7" x14ac:dyDescent="0.25">
      <c r="A12507" s="116" t="s">
        <v>19662</v>
      </c>
      <c r="B12507" s="117" t="s">
        <v>19663</v>
      </c>
      <c r="C12507" t="s">
        <v>67</v>
      </c>
      <c r="D12507" t="s">
        <v>67</v>
      </c>
      <c r="E12507" t="s">
        <v>67</v>
      </c>
      <c r="F12507" t="s">
        <v>27987</v>
      </c>
      <c r="G12507" s="117">
        <v>33.9</v>
      </c>
    </row>
    <row r="12508" spans="1:7" x14ac:dyDescent="0.25">
      <c r="A12508" s="116" t="s">
        <v>19664</v>
      </c>
      <c r="B12508" s="117" t="s">
        <v>19521</v>
      </c>
      <c r="C12508" t="s">
        <v>67</v>
      </c>
      <c r="D12508" t="s">
        <v>67</v>
      </c>
      <c r="E12508" t="s">
        <v>67</v>
      </c>
      <c r="F12508" t="s">
        <v>27987</v>
      </c>
      <c r="G12508" s="117">
        <v>100</v>
      </c>
    </row>
    <row r="12509" spans="1:7" x14ac:dyDescent="0.25">
      <c r="A12509" s="116" t="s">
        <v>29429</v>
      </c>
      <c r="B12509" s="117" t="s">
        <v>29430</v>
      </c>
      <c r="C12509" t="s">
        <v>67</v>
      </c>
      <c r="D12509" t="s">
        <v>67</v>
      </c>
      <c r="E12509" t="s">
        <v>67</v>
      </c>
      <c r="F12509" t="s">
        <v>45</v>
      </c>
      <c r="G12509" s="117">
        <v>61</v>
      </c>
    </row>
    <row r="12510" spans="1:7" x14ac:dyDescent="0.25">
      <c r="A12510" s="116" t="s">
        <v>19665</v>
      </c>
      <c r="B12510" s="117" t="s">
        <v>19666</v>
      </c>
      <c r="C12510" t="s">
        <v>67</v>
      </c>
      <c r="D12510" t="s">
        <v>67</v>
      </c>
      <c r="E12510" t="s">
        <v>67</v>
      </c>
      <c r="F12510" t="s">
        <v>27987</v>
      </c>
      <c r="G12510" s="117">
        <v>566.47</v>
      </c>
    </row>
    <row r="12511" spans="1:7" x14ac:dyDescent="0.25">
      <c r="A12511" s="116" t="s">
        <v>19667</v>
      </c>
      <c r="B12511" s="117" t="s">
        <v>29431</v>
      </c>
      <c r="C12511" t="s">
        <v>67</v>
      </c>
      <c r="D12511" t="s">
        <v>67</v>
      </c>
      <c r="E12511" t="s">
        <v>67</v>
      </c>
      <c r="F12511" t="s">
        <v>27987</v>
      </c>
      <c r="G12511" s="117">
        <v>274.08999999999997</v>
      </c>
    </row>
    <row r="12512" spans="1:7" x14ac:dyDescent="0.25">
      <c r="A12512" s="116" t="s">
        <v>19668</v>
      </c>
      <c r="B12512" s="117" t="s">
        <v>19669</v>
      </c>
      <c r="C12512" t="s">
        <v>67</v>
      </c>
      <c r="D12512" t="s">
        <v>67</v>
      </c>
      <c r="E12512" t="s">
        <v>67</v>
      </c>
      <c r="F12512" t="s">
        <v>45</v>
      </c>
      <c r="G12512" s="117">
        <v>54.65</v>
      </c>
    </row>
    <row r="12513" spans="1:7" x14ac:dyDescent="0.25">
      <c r="A12513" s="116" t="s">
        <v>19670</v>
      </c>
      <c r="B12513" s="117" t="s">
        <v>19671</v>
      </c>
      <c r="C12513" t="s">
        <v>67</v>
      </c>
      <c r="D12513" t="s">
        <v>67</v>
      </c>
      <c r="E12513" t="s">
        <v>67</v>
      </c>
      <c r="F12513" t="s">
        <v>45</v>
      </c>
      <c r="G12513" s="117">
        <v>137.37</v>
      </c>
    </row>
    <row r="12514" spans="1:7" x14ac:dyDescent="0.25">
      <c r="A12514" s="116" t="s">
        <v>19672</v>
      </c>
      <c r="B12514" s="117" t="s">
        <v>19376</v>
      </c>
      <c r="C12514" t="s">
        <v>67</v>
      </c>
      <c r="D12514" t="s">
        <v>67</v>
      </c>
      <c r="E12514" t="s">
        <v>67</v>
      </c>
      <c r="F12514" t="s">
        <v>49</v>
      </c>
      <c r="G12514" s="117">
        <v>50</v>
      </c>
    </row>
    <row r="12515" spans="1:7" x14ac:dyDescent="0.25">
      <c r="A12515" s="116" t="s">
        <v>19673</v>
      </c>
      <c r="B12515" s="117" t="s">
        <v>29432</v>
      </c>
      <c r="C12515" t="s">
        <v>67</v>
      </c>
      <c r="D12515" t="s">
        <v>67</v>
      </c>
      <c r="E12515" t="s">
        <v>67</v>
      </c>
      <c r="F12515" t="s">
        <v>27987</v>
      </c>
      <c r="G12515" s="117">
        <v>130.47</v>
      </c>
    </row>
    <row r="12516" spans="1:7" x14ac:dyDescent="0.25">
      <c r="A12516" s="116" t="s">
        <v>19674</v>
      </c>
      <c r="B12516" s="117" t="s">
        <v>19675</v>
      </c>
      <c r="C12516" t="s">
        <v>67</v>
      </c>
      <c r="D12516" t="s">
        <v>67</v>
      </c>
      <c r="E12516" t="s">
        <v>67</v>
      </c>
      <c r="F12516" t="s">
        <v>27987</v>
      </c>
      <c r="G12516" s="117">
        <v>394.15</v>
      </c>
    </row>
    <row r="12517" spans="1:7" x14ac:dyDescent="0.25">
      <c r="A12517" s="116" t="s">
        <v>19676</v>
      </c>
      <c r="B12517" s="117" t="s">
        <v>26506</v>
      </c>
      <c r="C12517" t="s">
        <v>67</v>
      </c>
      <c r="D12517" t="s">
        <v>67</v>
      </c>
      <c r="E12517" t="s">
        <v>67</v>
      </c>
      <c r="F12517" t="s">
        <v>45</v>
      </c>
      <c r="G12517" s="117">
        <v>400</v>
      </c>
    </row>
    <row r="12518" spans="1:7" x14ac:dyDescent="0.25">
      <c r="A12518" s="116" t="s">
        <v>30097</v>
      </c>
      <c r="B12518" s="117" t="s">
        <v>30524</v>
      </c>
      <c r="C12518" t="s">
        <v>67</v>
      </c>
      <c r="D12518" t="s">
        <v>67</v>
      </c>
      <c r="E12518" t="s">
        <v>67</v>
      </c>
      <c r="F12518" t="s">
        <v>27987</v>
      </c>
      <c r="G12518" s="117">
        <v>140</v>
      </c>
    </row>
    <row r="12519" spans="1:7" x14ac:dyDescent="0.25">
      <c r="A12519" s="116" t="s">
        <v>26603</v>
      </c>
      <c r="B12519" s="117" t="s">
        <v>26604</v>
      </c>
      <c r="C12519" t="s">
        <v>67</v>
      </c>
      <c r="D12519" t="s">
        <v>67</v>
      </c>
      <c r="E12519" t="s">
        <v>67</v>
      </c>
      <c r="F12519" t="s">
        <v>27987</v>
      </c>
      <c r="G12519" s="117">
        <v>71.150000000000006</v>
      </c>
    </row>
    <row r="12520" spans="1:7" x14ac:dyDescent="0.25">
      <c r="A12520" s="116" t="s">
        <v>19677</v>
      </c>
      <c r="B12520" s="117" t="s">
        <v>29433</v>
      </c>
      <c r="C12520" t="s">
        <v>67</v>
      </c>
      <c r="D12520" t="s">
        <v>67</v>
      </c>
      <c r="E12520" t="s">
        <v>67</v>
      </c>
      <c r="F12520" t="s">
        <v>27987</v>
      </c>
      <c r="G12520" s="117">
        <v>50</v>
      </c>
    </row>
    <row r="12521" spans="1:7" x14ac:dyDescent="0.25">
      <c r="A12521" s="116" t="s">
        <v>19678</v>
      </c>
      <c r="B12521" s="117" t="s">
        <v>26507</v>
      </c>
      <c r="C12521" t="s">
        <v>67</v>
      </c>
      <c r="D12521" t="s">
        <v>67</v>
      </c>
      <c r="E12521" t="s">
        <v>67</v>
      </c>
      <c r="F12521" t="s">
        <v>27987</v>
      </c>
      <c r="G12521" s="117">
        <v>356.12</v>
      </c>
    </row>
    <row r="12522" spans="1:7" x14ac:dyDescent="0.25">
      <c r="A12522" s="116" t="s">
        <v>19679</v>
      </c>
      <c r="B12522" s="117" t="s">
        <v>26507</v>
      </c>
      <c r="C12522" t="s">
        <v>67</v>
      </c>
      <c r="D12522" t="s">
        <v>67</v>
      </c>
      <c r="E12522" t="s">
        <v>67</v>
      </c>
      <c r="F12522" t="s">
        <v>27987</v>
      </c>
      <c r="G12522" s="117">
        <v>90</v>
      </c>
    </row>
    <row r="12523" spans="1:7" x14ac:dyDescent="0.25">
      <c r="A12523" s="116" t="s">
        <v>19680</v>
      </c>
      <c r="B12523" s="117" t="s">
        <v>26508</v>
      </c>
      <c r="C12523" t="s">
        <v>67</v>
      </c>
      <c r="D12523" t="s">
        <v>67</v>
      </c>
      <c r="E12523" t="s">
        <v>67</v>
      </c>
      <c r="F12523" t="s">
        <v>27987</v>
      </c>
      <c r="G12523" s="117">
        <v>60</v>
      </c>
    </row>
    <row r="12524" spans="1:7" x14ac:dyDescent="0.25">
      <c r="A12524" s="116" t="s">
        <v>29434</v>
      </c>
      <c r="B12524" s="117" t="s">
        <v>29831</v>
      </c>
      <c r="C12524" t="s">
        <v>67</v>
      </c>
      <c r="D12524" t="s">
        <v>67</v>
      </c>
      <c r="E12524" t="s">
        <v>67</v>
      </c>
      <c r="F12524" t="s">
        <v>27987</v>
      </c>
      <c r="G12524" s="117">
        <v>1720</v>
      </c>
    </row>
    <row r="12525" spans="1:7" x14ac:dyDescent="0.25">
      <c r="A12525" s="116" t="s">
        <v>27063</v>
      </c>
      <c r="B12525" s="117" t="s">
        <v>29435</v>
      </c>
      <c r="C12525" t="s">
        <v>67</v>
      </c>
      <c r="D12525" t="s">
        <v>67</v>
      </c>
      <c r="E12525" t="s">
        <v>67</v>
      </c>
      <c r="F12525" t="s">
        <v>27987</v>
      </c>
      <c r="G12525" s="117">
        <v>61</v>
      </c>
    </row>
    <row r="12526" spans="1:7" x14ac:dyDescent="0.25">
      <c r="A12526" s="116" t="s">
        <v>29436</v>
      </c>
      <c r="B12526" s="117" t="s">
        <v>30768</v>
      </c>
      <c r="C12526" t="s">
        <v>67</v>
      </c>
      <c r="D12526" t="s">
        <v>67</v>
      </c>
      <c r="E12526" t="s">
        <v>67</v>
      </c>
      <c r="F12526" t="s">
        <v>27987</v>
      </c>
      <c r="G12526" s="117">
        <v>118.76</v>
      </c>
    </row>
    <row r="12527" spans="1:7" x14ac:dyDescent="0.25">
      <c r="A12527" s="116" t="s">
        <v>29437</v>
      </c>
      <c r="B12527" s="117" t="s">
        <v>30769</v>
      </c>
      <c r="C12527" t="s">
        <v>67</v>
      </c>
      <c r="D12527" t="s">
        <v>67</v>
      </c>
      <c r="E12527" t="s">
        <v>67</v>
      </c>
      <c r="F12527" t="s">
        <v>27987</v>
      </c>
      <c r="G12527" s="117">
        <v>110</v>
      </c>
    </row>
    <row r="12528" spans="1:7" x14ac:dyDescent="0.25">
      <c r="A12528" s="116" t="s">
        <v>19681</v>
      </c>
      <c r="B12528" s="117" t="s">
        <v>26509</v>
      </c>
      <c r="C12528" t="s">
        <v>67</v>
      </c>
      <c r="D12528" t="s">
        <v>67</v>
      </c>
      <c r="E12528" t="s">
        <v>67</v>
      </c>
      <c r="F12528" t="s">
        <v>27987</v>
      </c>
      <c r="G12528" s="117">
        <v>80</v>
      </c>
    </row>
    <row r="12529" spans="1:7" x14ac:dyDescent="0.25">
      <c r="A12529" s="116" t="s">
        <v>26957</v>
      </c>
      <c r="B12529" s="117" t="s">
        <v>29438</v>
      </c>
      <c r="C12529" t="s">
        <v>67</v>
      </c>
      <c r="D12529" t="s">
        <v>67</v>
      </c>
      <c r="E12529" t="s">
        <v>67</v>
      </c>
      <c r="F12529" t="s">
        <v>27987</v>
      </c>
      <c r="G12529" s="117">
        <v>800</v>
      </c>
    </row>
    <row r="12530" spans="1:7" x14ac:dyDescent="0.25">
      <c r="A12530" s="116" t="s">
        <v>26864</v>
      </c>
      <c r="B12530" s="117" t="s">
        <v>29439</v>
      </c>
      <c r="C12530" t="s">
        <v>67</v>
      </c>
      <c r="D12530" t="s">
        <v>67</v>
      </c>
      <c r="E12530" t="s">
        <v>67</v>
      </c>
      <c r="F12530" t="s">
        <v>27987</v>
      </c>
      <c r="G12530" s="117">
        <v>55</v>
      </c>
    </row>
    <row r="12531" spans="1:7" x14ac:dyDescent="0.25">
      <c r="A12531" s="116" t="s">
        <v>26958</v>
      </c>
      <c r="B12531" s="117" t="s">
        <v>29440</v>
      </c>
      <c r="C12531" t="s">
        <v>67</v>
      </c>
      <c r="D12531" t="s">
        <v>67</v>
      </c>
      <c r="E12531" t="s">
        <v>67</v>
      </c>
      <c r="F12531" t="s">
        <v>27987</v>
      </c>
      <c r="G12531" s="117">
        <v>70</v>
      </c>
    </row>
    <row r="12532" spans="1:7" x14ac:dyDescent="0.25">
      <c r="A12532" s="116" t="s">
        <v>26920</v>
      </c>
      <c r="B12532" s="117" t="s">
        <v>19647</v>
      </c>
      <c r="C12532" t="s">
        <v>67</v>
      </c>
      <c r="D12532" t="s">
        <v>67</v>
      </c>
      <c r="E12532" t="s">
        <v>67</v>
      </c>
      <c r="F12532" t="s">
        <v>27987</v>
      </c>
      <c r="G12532" s="117">
        <v>309.76</v>
      </c>
    </row>
    <row r="12533" spans="1:7" x14ac:dyDescent="0.25">
      <c r="A12533" s="116" t="s">
        <v>27064</v>
      </c>
      <c r="B12533" s="117" t="s">
        <v>29441</v>
      </c>
      <c r="C12533" t="s">
        <v>67</v>
      </c>
      <c r="D12533" t="s">
        <v>67</v>
      </c>
      <c r="E12533" t="s">
        <v>67</v>
      </c>
      <c r="F12533" t="s">
        <v>27987</v>
      </c>
      <c r="G12533" s="117">
        <v>120</v>
      </c>
    </row>
    <row r="12534" spans="1:7" x14ac:dyDescent="0.25">
      <c r="A12534" s="116" t="s">
        <v>28160</v>
      </c>
      <c r="B12534" s="117" t="s">
        <v>29442</v>
      </c>
      <c r="C12534" t="s">
        <v>67</v>
      </c>
      <c r="D12534" t="s">
        <v>67</v>
      </c>
      <c r="E12534" t="s">
        <v>67</v>
      </c>
      <c r="F12534" t="s">
        <v>27987</v>
      </c>
      <c r="G12534" s="117">
        <v>45</v>
      </c>
    </row>
    <row r="12535" spans="1:7" x14ac:dyDescent="0.25">
      <c r="A12535" s="116" t="s">
        <v>27065</v>
      </c>
      <c r="B12535" s="117" t="s">
        <v>29443</v>
      </c>
      <c r="C12535" t="s">
        <v>67</v>
      </c>
      <c r="D12535" t="s">
        <v>67</v>
      </c>
      <c r="E12535" t="s">
        <v>67</v>
      </c>
      <c r="F12535" t="s">
        <v>27987</v>
      </c>
      <c r="G12535" s="117">
        <v>47</v>
      </c>
    </row>
    <row r="12536" spans="1:7" x14ac:dyDescent="0.25">
      <c r="A12536" s="116" t="s">
        <v>26641</v>
      </c>
      <c r="B12536" s="117" t="s">
        <v>26506</v>
      </c>
      <c r="C12536" t="s">
        <v>67</v>
      </c>
      <c r="D12536" t="s">
        <v>67</v>
      </c>
      <c r="E12536" t="s">
        <v>67</v>
      </c>
      <c r="F12536" t="s">
        <v>45</v>
      </c>
      <c r="G12536" s="117">
        <v>343.2</v>
      </c>
    </row>
    <row r="12537" spans="1:7" x14ac:dyDescent="0.25">
      <c r="A12537" s="116" t="s">
        <v>29444</v>
      </c>
      <c r="B12537" s="117" t="s">
        <v>26602</v>
      </c>
      <c r="C12537" t="s">
        <v>67</v>
      </c>
      <c r="D12537" t="s">
        <v>67</v>
      </c>
      <c r="E12537" t="s">
        <v>67</v>
      </c>
      <c r="F12537" t="s">
        <v>27987</v>
      </c>
      <c r="G12537" s="117">
        <v>9999</v>
      </c>
    </row>
    <row r="12538" spans="1:7" x14ac:dyDescent="0.25">
      <c r="A12538" s="116" t="s">
        <v>29967</v>
      </c>
      <c r="B12538" s="117" t="s">
        <v>30525</v>
      </c>
      <c r="C12538" t="s">
        <v>67</v>
      </c>
      <c r="D12538" t="s">
        <v>67</v>
      </c>
      <c r="E12538" t="s">
        <v>67</v>
      </c>
      <c r="F12538" t="s">
        <v>45</v>
      </c>
      <c r="G12538" s="117">
        <v>380</v>
      </c>
    </row>
    <row r="12539" spans="1:7" x14ac:dyDescent="0.25">
      <c r="A12539" s="116" t="s">
        <v>29832</v>
      </c>
      <c r="B12539" s="117" t="s">
        <v>30526</v>
      </c>
      <c r="C12539" t="s">
        <v>67</v>
      </c>
      <c r="D12539" t="s">
        <v>67</v>
      </c>
      <c r="E12539" t="s">
        <v>67</v>
      </c>
      <c r="F12539" t="s">
        <v>27987</v>
      </c>
      <c r="G12539" s="117">
        <v>400</v>
      </c>
    </row>
    <row r="12540" spans="1:7" x14ac:dyDescent="0.25">
      <c r="A12540" s="116" t="s">
        <v>29968</v>
      </c>
      <c r="B12540" s="117" t="s">
        <v>30527</v>
      </c>
      <c r="C12540" t="s">
        <v>67</v>
      </c>
      <c r="D12540" t="s">
        <v>67</v>
      </c>
      <c r="E12540" t="s">
        <v>67</v>
      </c>
      <c r="F12540" t="s">
        <v>27987</v>
      </c>
      <c r="G12540" s="117">
        <v>100</v>
      </c>
    </row>
    <row r="12541" spans="1:7" x14ac:dyDescent="0.25">
      <c r="A12541" s="116" t="s">
        <v>29445</v>
      </c>
      <c r="B12541" s="117" t="s">
        <v>30528</v>
      </c>
      <c r="C12541" t="s">
        <v>67</v>
      </c>
      <c r="D12541" t="s">
        <v>67</v>
      </c>
      <c r="E12541" t="s">
        <v>67</v>
      </c>
      <c r="F12541" t="s">
        <v>27987</v>
      </c>
      <c r="G12541" s="117">
        <v>80</v>
      </c>
    </row>
    <row r="12542" spans="1:7" x14ac:dyDescent="0.25">
      <c r="A12542" s="116" t="s">
        <v>29446</v>
      </c>
      <c r="B12542" s="117" t="s">
        <v>22711</v>
      </c>
      <c r="C12542" t="s">
        <v>67</v>
      </c>
      <c r="D12542" t="s">
        <v>67</v>
      </c>
      <c r="E12542" t="s">
        <v>67</v>
      </c>
      <c r="F12542" t="s">
        <v>27987</v>
      </c>
      <c r="G12542" s="117">
        <v>0</v>
      </c>
    </row>
    <row r="12543" spans="1:7" x14ac:dyDescent="0.25">
      <c r="A12543" s="116" t="s">
        <v>29447</v>
      </c>
      <c r="B12543" s="117" t="s">
        <v>22711</v>
      </c>
      <c r="C12543" t="s">
        <v>67</v>
      </c>
      <c r="D12543" t="s">
        <v>67</v>
      </c>
      <c r="E12543" t="s">
        <v>67</v>
      </c>
      <c r="F12543" t="s">
        <v>27987</v>
      </c>
      <c r="G12543" s="117">
        <v>0</v>
      </c>
    </row>
    <row r="12544" spans="1:7" x14ac:dyDescent="0.25">
      <c r="A12544" s="116" t="s">
        <v>29448</v>
      </c>
      <c r="B12544" s="117" t="s">
        <v>29833</v>
      </c>
      <c r="C12544" t="s">
        <v>67</v>
      </c>
      <c r="D12544" t="s">
        <v>67</v>
      </c>
      <c r="E12544" t="s">
        <v>67</v>
      </c>
      <c r="F12544" t="s">
        <v>27987</v>
      </c>
      <c r="G12544" s="117">
        <v>250</v>
      </c>
    </row>
    <row r="12545" spans="1:7" x14ac:dyDescent="0.25">
      <c r="A12545" s="116" t="s">
        <v>29449</v>
      </c>
      <c r="B12545" s="117" t="s">
        <v>22711</v>
      </c>
      <c r="C12545" t="s">
        <v>67</v>
      </c>
      <c r="D12545" t="s">
        <v>67</v>
      </c>
      <c r="E12545" t="s">
        <v>67</v>
      </c>
      <c r="F12545" t="s">
        <v>27987</v>
      </c>
      <c r="G12545" s="117">
        <v>0</v>
      </c>
    </row>
    <row r="12546" spans="1:7" x14ac:dyDescent="0.25">
      <c r="A12546" s="116" t="s">
        <v>28131</v>
      </c>
      <c r="B12546" s="117" t="s">
        <v>26506</v>
      </c>
      <c r="C12546" t="s">
        <v>67</v>
      </c>
      <c r="D12546" t="s">
        <v>67</v>
      </c>
      <c r="E12546" t="s">
        <v>67</v>
      </c>
      <c r="F12546" t="s">
        <v>45</v>
      </c>
      <c r="G12546" s="117">
        <v>343.2</v>
      </c>
    </row>
    <row r="12547" spans="1:7" x14ac:dyDescent="0.25">
      <c r="A12547" s="116" t="s">
        <v>29450</v>
      </c>
      <c r="B12547" s="117" t="s">
        <v>30529</v>
      </c>
      <c r="C12547" t="s">
        <v>67</v>
      </c>
      <c r="D12547" t="s">
        <v>67</v>
      </c>
      <c r="E12547" t="s">
        <v>67</v>
      </c>
      <c r="F12547" t="s">
        <v>49</v>
      </c>
      <c r="G12547" s="117">
        <v>170</v>
      </c>
    </row>
    <row r="12548" spans="1:7" x14ac:dyDescent="0.25">
      <c r="A12548" s="116" t="s">
        <v>29451</v>
      </c>
      <c r="B12548" s="117" t="s">
        <v>30770</v>
      </c>
      <c r="C12548" t="s">
        <v>67</v>
      </c>
      <c r="D12548" t="s">
        <v>67</v>
      </c>
      <c r="E12548" t="s">
        <v>67</v>
      </c>
      <c r="F12548" t="s">
        <v>49</v>
      </c>
      <c r="G12548" s="117">
        <v>35</v>
      </c>
    </row>
    <row r="12549" spans="1:7" x14ac:dyDescent="0.25">
      <c r="A12549" s="116" t="s">
        <v>30070</v>
      </c>
      <c r="B12549" s="117" t="s">
        <v>30071</v>
      </c>
      <c r="C12549" t="s">
        <v>67</v>
      </c>
      <c r="D12549" t="s">
        <v>67</v>
      </c>
      <c r="E12549" t="s">
        <v>67</v>
      </c>
      <c r="F12549" t="s">
        <v>27987</v>
      </c>
      <c r="G12549" s="117">
        <v>264.89999999999998</v>
      </c>
    </row>
    <row r="12550" spans="1:7" x14ac:dyDescent="0.25">
      <c r="A12550" s="116" t="s">
        <v>29452</v>
      </c>
      <c r="B12550" s="117" t="s">
        <v>29453</v>
      </c>
      <c r="C12550" t="s">
        <v>67</v>
      </c>
      <c r="D12550" t="s">
        <v>67</v>
      </c>
      <c r="E12550" t="s">
        <v>67</v>
      </c>
      <c r="F12550" t="s">
        <v>27987</v>
      </c>
      <c r="G12550" s="117">
        <v>67</v>
      </c>
    </row>
    <row r="12551" spans="1:7" x14ac:dyDescent="0.25">
      <c r="A12551" s="116" t="s">
        <v>29454</v>
      </c>
      <c r="B12551" s="117" t="s">
        <v>29455</v>
      </c>
      <c r="C12551" t="s">
        <v>67</v>
      </c>
      <c r="D12551" t="s">
        <v>67</v>
      </c>
      <c r="E12551" t="s">
        <v>67</v>
      </c>
      <c r="F12551" t="s">
        <v>27987</v>
      </c>
      <c r="G12551" s="117">
        <v>35</v>
      </c>
    </row>
    <row r="12552" spans="1:7" x14ac:dyDescent="0.25">
      <c r="A12552" s="116" t="s">
        <v>29456</v>
      </c>
      <c r="B12552" s="117" t="s">
        <v>29457</v>
      </c>
      <c r="C12552" t="s">
        <v>67</v>
      </c>
      <c r="D12552" t="s">
        <v>67</v>
      </c>
      <c r="E12552" t="s">
        <v>67</v>
      </c>
      <c r="F12552" t="s">
        <v>27987</v>
      </c>
      <c r="G12552" s="117">
        <v>35</v>
      </c>
    </row>
    <row r="12553" spans="1:7" x14ac:dyDescent="0.25">
      <c r="A12553" s="116" t="s">
        <v>29969</v>
      </c>
      <c r="B12553" s="117" t="s">
        <v>30530</v>
      </c>
      <c r="C12553" t="s">
        <v>67</v>
      </c>
      <c r="D12553" t="s">
        <v>67</v>
      </c>
      <c r="E12553" t="s">
        <v>67</v>
      </c>
      <c r="F12553" t="s">
        <v>45</v>
      </c>
      <c r="G12553" s="117">
        <v>40</v>
      </c>
    </row>
    <row r="12554" spans="1:7" x14ac:dyDescent="0.25">
      <c r="A12554" s="116" t="s">
        <v>29876</v>
      </c>
      <c r="B12554" s="117" t="s">
        <v>30531</v>
      </c>
      <c r="C12554" t="s">
        <v>67</v>
      </c>
      <c r="D12554" t="s">
        <v>67</v>
      </c>
      <c r="E12554" t="s">
        <v>67</v>
      </c>
      <c r="F12554" t="s">
        <v>27987</v>
      </c>
      <c r="G12554" s="117">
        <v>55</v>
      </c>
    </row>
    <row r="12555" spans="1:7" x14ac:dyDescent="0.25">
      <c r="A12555" s="116" t="s">
        <v>29970</v>
      </c>
      <c r="B12555" s="117" t="s">
        <v>30532</v>
      </c>
      <c r="C12555" t="s">
        <v>67</v>
      </c>
      <c r="D12555" t="s">
        <v>67</v>
      </c>
      <c r="E12555" t="s">
        <v>67</v>
      </c>
      <c r="F12555" t="s">
        <v>45</v>
      </c>
      <c r="G12555" s="117">
        <v>130</v>
      </c>
    </row>
    <row r="12556" spans="1:7" x14ac:dyDescent="0.25">
      <c r="A12556" s="116" t="s">
        <v>30339</v>
      </c>
      <c r="B12556" s="117" t="s">
        <v>30340</v>
      </c>
      <c r="C12556" t="s">
        <v>67</v>
      </c>
      <c r="D12556" t="s">
        <v>67</v>
      </c>
      <c r="E12556" t="s">
        <v>67</v>
      </c>
      <c r="F12556" t="s">
        <v>45</v>
      </c>
      <c r="G12556" s="117">
        <v>9999</v>
      </c>
    </row>
    <row r="12557" spans="1:7" x14ac:dyDescent="0.25">
      <c r="A12557" s="116" t="s">
        <v>30245</v>
      </c>
      <c r="B12557" s="117" t="s">
        <v>30246</v>
      </c>
      <c r="C12557" t="s">
        <v>67</v>
      </c>
      <c r="D12557" t="s">
        <v>67</v>
      </c>
      <c r="E12557" t="s">
        <v>67</v>
      </c>
      <c r="F12557" t="s">
        <v>27987</v>
      </c>
      <c r="G12557" s="117">
        <v>9999</v>
      </c>
    </row>
    <row r="12558" spans="1:7" x14ac:dyDescent="0.25">
      <c r="A12558" s="116" t="s">
        <v>29971</v>
      </c>
      <c r="B12558" s="117" t="s">
        <v>30533</v>
      </c>
      <c r="C12558" t="s">
        <v>67</v>
      </c>
      <c r="D12558" t="s">
        <v>67</v>
      </c>
      <c r="E12558" t="s">
        <v>67</v>
      </c>
      <c r="F12558" t="s">
        <v>27987</v>
      </c>
      <c r="G12558" s="117">
        <v>512.09</v>
      </c>
    </row>
    <row r="12559" spans="1:7" x14ac:dyDescent="0.25">
      <c r="A12559" s="116" t="s">
        <v>31002</v>
      </c>
      <c r="B12559" s="117" t="s">
        <v>31003</v>
      </c>
      <c r="C12559" t="s">
        <v>67</v>
      </c>
      <c r="D12559" t="s">
        <v>67</v>
      </c>
      <c r="E12559" t="s">
        <v>67</v>
      </c>
      <c r="F12559" t="s">
        <v>45</v>
      </c>
      <c r="G12559" s="117">
        <v>9999</v>
      </c>
    </row>
    <row r="12560" spans="1:7" x14ac:dyDescent="0.25">
      <c r="A12560" s="116" t="s">
        <v>31004</v>
      </c>
      <c r="B12560" s="117" t="s">
        <v>31003</v>
      </c>
      <c r="C12560" t="s">
        <v>67</v>
      </c>
      <c r="D12560" t="s">
        <v>67</v>
      </c>
      <c r="E12560" t="s">
        <v>67</v>
      </c>
      <c r="F12560" t="s">
        <v>45</v>
      </c>
      <c r="G12560" s="117">
        <v>9999</v>
      </c>
    </row>
    <row r="12561" spans="1:7" x14ac:dyDescent="0.25">
      <c r="A12561" s="116" t="s">
        <v>27594</v>
      </c>
      <c r="B12561" s="117" t="s">
        <v>19682</v>
      </c>
      <c r="C12561" t="s">
        <v>67</v>
      </c>
      <c r="D12561" t="s">
        <v>67</v>
      </c>
      <c r="E12561" t="s">
        <v>67</v>
      </c>
      <c r="F12561" t="s">
        <v>45</v>
      </c>
      <c r="G12561" s="117">
        <v>19.59</v>
      </c>
    </row>
    <row r="12562" spans="1:7" x14ac:dyDescent="0.25">
      <c r="A12562" s="116" t="s">
        <v>29458</v>
      </c>
      <c r="B12562" s="117" t="s">
        <v>29459</v>
      </c>
      <c r="C12562" t="s">
        <v>67</v>
      </c>
      <c r="D12562" t="s">
        <v>67</v>
      </c>
      <c r="E12562" t="s">
        <v>67</v>
      </c>
      <c r="F12562" t="s">
        <v>27987</v>
      </c>
      <c r="G12562" s="117">
        <v>175</v>
      </c>
    </row>
    <row r="12563" spans="1:7" x14ac:dyDescent="0.25">
      <c r="A12563" s="116" t="s">
        <v>19683</v>
      </c>
      <c r="B12563" s="117" t="s">
        <v>19684</v>
      </c>
      <c r="C12563" t="s">
        <v>67</v>
      </c>
      <c r="D12563" t="s">
        <v>67</v>
      </c>
      <c r="E12563" t="s">
        <v>67</v>
      </c>
      <c r="F12563" t="s">
        <v>45</v>
      </c>
      <c r="G12563" s="117">
        <v>403.54</v>
      </c>
    </row>
    <row r="12564" spans="1:7" x14ac:dyDescent="0.25">
      <c r="A12564" s="116" t="s">
        <v>19685</v>
      </c>
      <c r="B12564" s="117" t="s">
        <v>19686</v>
      </c>
      <c r="C12564" t="s">
        <v>67</v>
      </c>
      <c r="D12564" t="s">
        <v>67</v>
      </c>
      <c r="E12564" t="s">
        <v>67</v>
      </c>
      <c r="F12564" t="s">
        <v>27987</v>
      </c>
      <c r="G12564" s="117">
        <v>222.01</v>
      </c>
    </row>
    <row r="12565" spans="1:7" x14ac:dyDescent="0.25">
      <c r="A12565" s="116" t="s">
        <v>29460</v>
      </c>
      <c r="B12565" s="117" t="s">
        <v>29461</v>
      </c>
      <c r="C12565" t="s">
        <v>67</v>
      </c>
      <c r="D12565" t="s">
        <v>67</v>
      </c>
      <c r="E12565" t="s">
        <v>67</v>
      </c>
      <c r="F12565" t="s">
        <v>45</v>
      </c>
      <c r="G12565" s="117">
        <v>0</v>
      </c>
    </row>
    <row r="12566" spans="1:7" x14ac:dyDescent="0.25">
      <c r="A12566" s="116" t="s">
        <v>19687</v>
      </c>
      <c r="B12566" s="117" t="s">
        <v>19688</v>
      </c>
      <c r="C12566" t="s">
        <v>67</v>
      </c>
      <c r="D12566" t="s">
        <v>67</v>
      </c>
      <c r="E12566" t="s">
        <v>67</v>
      </c>
      <c r="F12566" t="s">
        <v>27987</v>
      </c>
      <c r="G12566" s="117">
        <v>279.32</v>
      </c>
    </row>
    <row r="12567" spans="1:7" x14ac:dyDescent="0.25">
      <c r="A12567" s="116" t="s">
        <v>19689</v>
      </c>
      <c r="B12567" s="117" t="s">
        <v>19690</v>
      </c>
      <c r="C12567" t="s">
        <v>67</v>
      </c>
      <c r="D12567" t="s">
        <v>67</v>
      </c>
      <c r="E12567" t="s">
        <v>67</v>
      </c>
      <c r="F12567" t="s">
        <v>27987</v>
      </c>
      <c r="G12567" s="117">
        <v>267.75</v>
      </c>
    </row>
    <row r="12568" spans="1:7" x14ac:dyDescent="0.25">
      <c r="A12568" s="116" t="s">
        <v>19691</v>
      </c>
      <c r="B12568" s="117" t="s">
        <v>1683</v>
      </c>
      <c r="C12568" t="s">
        <v>67</v>
      </c>
      <c r="D12568" t="s">
        <v>67</v>
      </c>
      <c r="E12568" t="s">
        <v>67</v>
      </c>
      <c r="F12568" t="s">
        <v>27987</v>
      </c>
      <c r="G12568" s="117">
        <v>199.76</v>
      </c>
    </row>
    <row r="12569" spans="1:7" x14ac:dyDescent="0.25">
      <c r="A12569" s="116" t="s">
        <v>19692</v>
      </c>
      <c r="B12569" s="117" t="s">
        <v>19693</v>
      </c>
      <c r="C12569" t="s">
        <v>67</v>
      </c>
      <c r="D12569" t="s">
        <v>67</v>
      </c>
      <c r="E12569" t="s">
        <v>67</v>
      </c>
      <c r="F12569" t="s">
        <v>27987</v>
      </c>
      <c r="G12569" s="117">
        <v>255.82</v>
      </c>
    </row>
    <row r="12570" spans="1:7" x14ac:dyDescent="0.25">
      <c r="A12570" s="116" t="s">
        <v>19694</v>
      </c>
      <c r="B12570" s="117" t="s">
        <v>19695</v>
      </c>
      <c r="C12570" t="s">
        <v>67</v>
      </c>
      <c r="D12570" t="s">
        <v>67</v>
      </c>
      <c r="E12570" t="s">
        <v>67</v>
      </c>
      <c r="F12570" t="s">
        <v>27987</v>
      </c>
      <c r="G12570" s="117">
        <v>230.38</v>
      </c>
    </row>
    <row r="12571" spans="1:7" x14ac:dyDescent="0.25">
      <c r="A12571" s="116" t="s">
        <v>19696</v>
      </c>
      <c r="B12571" s="117" t="s">
        <v>19697</v>
      </c>
      <c r="C12571" t="s">
        <v>67</v>
      </c>
      <c r="D12571" t="s">
        <v>67</v>
      </c>
      <c r="E12571" t="s">
        <v>67</v>
      </c>
      <c r="F12571" t="s">
        <v>27987</v>
      </c>
      <c r="G12571" s="117">
        <v>68.430000000000007</v>
      </c>
    </row>
    <row r="12572" spans="1:7" x14ac:dyDescent="0.25">
      <c r="A12572" s="116" t="s">
        <v>19698</v>
      </c>
      <c r="B12572" s="117" t="s">
        <v>19699</v>
      </c>
      <c r="C12572" t="s">
        <v>67</v>
      </c>
      <c r="D12572" t="s">
        <v>67</v>
      </c>
      <c r="E12572" t="s">
        <v>67</v>
      </c>
      <c r="F12572" t="s">
        <v>27987</v>
      </c>
      <c r="G12572" s="117">
        <v>95.66</v>
      </c>
    </row>
    <row r="12573" spans="1:7" x14ac:dyDescent="0.25">
      <c r="A12573" s="116" t="s">
        <v>19700</v>
      </c>
      <c r="B12573" s="117" t="s">
        <v>1247</v>
      </c>
      <c r="C12573" t="s">
        <v>67</v>
      </c>
      <c r="D12573" t="s">
        <v>67</v>
      </c>
      <c r="E12573" t="s">
        <v>67</v>
      </c>
      <c r="F12573" t="s">
        <v>45</v>
      </c>
      <c r="G12573" s="117">
        <v>40.49</v>
      </c>
    </row>
    <row r="12574" spans="1:7" x14ac:dyDescent="0.25">
      <c r="A12574" s="116" t="s">
        <v>19701</v>
      </c>
      <c r="B12574" s="117" t="s">
        <v>19702</v>
      </c>
      <c r="C12574" t="s">
        <v>67</v>
      </c>
      <c r="D12574" t="s">
        <v>67</v>
      </c>
      <c r="E12574" t="s">
        <v>67</v>
      </c>
      <c r="F12574" t="s">
        <v>49</v>
      </c>
      <c r="G12574" s="117">
        <v>271.31</v>
      </c>
    </row>
    <row r="12575" spans="1:7" x14ac:dyDescent="0.25">
      <c r="A12575" s="116" t="s">
        <v>19703</v>
      </c>
      <c r="B12575" s="117" t="s">
        <v>19704</v>
      </c>
      <c r="C12575" t="s">
        <v>67</v>
      </c>
      <c r="D12575" t="s">
        <v>67</v>
      </c>
      <c r="E12575" t="s">
        <v>67</v>
      </c>
      <c r="F12575" t="s">
        <v>27987</v>
      </c>
      <c r="G12575" s="117">
        <v>202.8</v>
      </c>
    </row>
    <row r="12576" spans="1:7" x14ac:dyDescent="0.25">
      <c r="A12576" s="116" t="s">
        <v>29462</v>
      </c>
      <c r="B12576" s="117" t="s">
        <v>29463</v>
      </c>
      <c r="C12576" t="s">
        <v>67</v>
      </c>
      <c r="D12576" t="s">
        <v>67</v>
      </c>
      <c r="E12576" t="s">
        <v>67</v>
      </c>
      <c r="F12576" t="s">
        <v>45</v>
      </c>
      <c r="G12576" s="117">
        <v>0</v>
      </c>
    </row>
    <row r="12577" spans="1:7" x14ac:dyDescent="0.25">
      <c r="A12577" s="116" t="s">
        <v>19705</v>
      </c>
      <c r="B12577" s="117" t="s">
        <v>19706</v>
      </c>
      <c r="C12577" t="s">
        <v>67</v>
      </c>
      <c r="D12577" t="s">
        <v>67</v>
      </c>
      <c r="E12577" t="s">
        <v>67</v>
      </c>
      <c r="F12577" t="s">
        <v>45</v>
      </c>
      <c r="G12577" s="117">
        <v>181.98</v>
      </c>
    </row>
    <row r="12578" spans="1:7" x14ac:dyDescent="0.25">
      <c r="A12578" s="116" t="s">
        <v>19707</v>
      </c>
      <c r="B12578" s="117" t="s">
        <v>19708</v>
      </c>
      <c r="C12578" t="s">
        <v>67</v>
      </c>
      <c r="D12578" t="s">
        <v>67</v>
      </c>
      <c r="E12578" t="s">
        <v>67</v>
      </c>
      <c r="F12578" t="s">
        <v>45</v>
      </c>
      <c r="G12578" s="117">
        <v>200.66</v>
      </c>
    </row>
    <row r="12579" spans="1:7" x14ac:dyDescent="0.25">
      <c r="A12579" s="116" t="s">
        <v>19709</v>
      </c>
      <c r="B12579" s="117" t="s">
        <v>19710</v>
      </c>
      <c r="C12579" t="s">
        <v>67</v>
      </c>
      <c r="D12579" t="s">
        <v>67</v>
      </c>
      <c r="E12579" t="s">
        <v>67</v>
      </c>
      <c r="F12579" t="s">
        <v>27987</v>
      </c>
      <c r="G12579" s="117">
        <v>74.66</v>
      </c>
    </row>
    <row r="12580" spans="1:7" x14ac:dyDescent="0.25">
      <c r="A12580" s="116" t="s">
        <v>19711</v>
      </c>
      <c r="B12580" s="117" t="s">
        <v>19712</v>
      </c>
      <c r="C12580" t="s">
        <v>67</v>
      </c>
      <c r="D12580" t="s">
        <v>67</v>
      </c>
      <c r="E12580" t="s">
        <v>67</v>
      </c>
      <c r="F12580" t="s">
        <v>45</v>
      </c>
      <c r="G12580" s="117">
        <v>211.33</v>
      </c>
    </row>
    <row r="12581" spans="1:7" x14ac:dyDescent="0.25">
      <c r="A12581" s="116" t="s">
        <v>19713</v>
      </c>
      <c r="B12581" s="117" t="s">
        <v>19714</v>
      </c>
      <c r="C12581" t="s">
        <v>67</v>
      </c>
      <c r="D12581" t="s">
        <v>67</v>
      </c>
      <c r="E12581" t="s">
        <v>67</v>
      </c>
      <c r="F12581" t="s">
        <v>27987</v>
      </c>
      <c r="G12581" s="117">
        <v>157.06</v>
      </c>
    </row>
    <row r="12582" spans="1:7" x14ac:dyDescent="0.25">
      <c r="A12582" s="116" t="s">
        <v>19715</v>
      </c>
      <c r="B12582" s="117" t="s">
        <v>1683</v>
      </c>
      <c r="C12582" t="s">
        <v>67</v>
      </c>
      <c r="D12582" t="s">
        <v>67</v>
      </c>
      <c r="E12582" t="s">
        <v>67</v>
      </c>
      <c r="F12582" t="s">
        <v>27987</v>
      </c>
      <c r="G12582" s="117">
        <v>206.88</v>
      </c>
    </row>
    <row r="12583" spans="1:7" x14ac:dyDescent="0.25">
      <c r="A12583" s="116" t="s">
        <v>19716</v>
      </c>
      <c r="B12583" s="117" t="s">
        <v>19717</v>
      </c>
      <c r="C12583" t="s">
        <v>67</v>
      </c>
      <c r="D12583" t="s">
        <v>67</v>
      </c>
      <c r="E12583" t="s">
        <v>67</v>
      </c>
      <c r="F12583" t="s">
        <v>49</v>
      </c>
      <c r="G12583" s="117">
        <v>32.479999999999997</v>
      </c>
    </row>
    <row r="12584" spans="1:7" x14ac:dyDescent="0.25">
      <c r="A12584" s="116" t="s">
        <v>19718</v>
      </c>
      <c r="B12584" s="117" t="s">
        <v>19719</v>
      </c>
      <c r="C12584" t="s">
        <v>67</v>
      </c>
      <c r="D12584" t="s">
        <v>67</v>
      </c>
      <c r="E12584" t="s">
        <v>67</v>
      </c>
      <c r="F12584" t="s">
        <v>45</v>
      </c>
      <c r="G12584" s="117">
        <v>29.27</v>
      </c>
    </row>
    <row r="12585" spans="1:7" x14ac:dyDescent="0.25">
      <c r="A12585" s="116" t="s">
        <v>19720</v>
      </c>
      <c r="B12585" s="117" t="s">
        <v>19721</v>
      </c>
      <c r="C12585" t="s">
        <v>67</v>
      </c>
      <c r="D12585" t="s">
        <v>67</v>
      </c>
      <c r="E12585" t="s">
        <v>67</v>
      </c>
      <c r="F12585" t="s">
        <v>27987</v>
      </c>
      <c r="G12585" s="117">
        <v>69.86</v>
      </c>
    </row>
    <row r="12586" spans="1:7" x14ac:dyDescent="0.25">
      <c r="A12586" s="116" t="s">
        <v>19722</v>
      </c>
      <c r="B12586" s="117" t="s">
        <v>1683</v>
      </c>
      <c r="C12586" t="s">
        <v>67</v>
      </c>
      <c r="D12586" t="s">
        <v>67</v>
      </c>
      <c r="E12586" t="s">
        <v>67</v>
      </c>
      <c r="F12586" t="s">
        <v>27987</v>
      </c>
      <c r="G12586" s="117">
        <v>74.66</v>
      </c>
    </row>
    <row r="12587" spans="1:7" x14ac:dyDescent="0.25">
      <c r="A12587" s="116" t="s">
        <v>19723</v>
      </c>
      <c r="B12587" s="117" t="s">
        <v>19724</v>
      </c>
      <c r="C12587" t="s">
        <v>67</v>
      </c>
      <c r="D12587" t="s">
        <v>67</v>
      </c>
      <c r="E12587" t="s">
        <v>67</v>
      </c>
      <c r="F12587" t="s">
        <v>45</v>
      </c>
      <c r="G12587" s="117">
        <v>57.75</v>
      </c>
    </row>
    <row r="12588" spans="1:7" x14ac:dyDescent="0.25">
      <c r="A12588" s="116" t="s">
        <v>19725</v>
      </c>
      <c r="B12588" s="117" t="s">
        <v>19726</v>
      </c>
      <c r="C12588" t="s">
        <v>67</v>
      </c>
      <c r="D12588" t="s">
        <v>67</v>
      </c>
      <c r="E12588" t="s">
        <v>67</v>
      </c>
      <c r="F12588" t="s">
        <v>27987</v>
      </c>
      <c r="G12588" s="117">
        <v>35.5</v>
      </c>
    </row>
    <row r="12589" spans="1:7" x14ac:dyDescent="0.25">
      <c r="A12589" s="116" t="s">
        <v>19727</v>
      </c>
      <c r="B12589" s="117" t="s">
        <v>18726</v>
      </c>
      <c r="C12589" t="s">
        <v>67</v>
      </c>
      <c r="D12589" t="s">
        <v>67</v>
      </c>
      <c r="E12589" t="s">
        <v>67</v>
      </c>
      <c r="F12589" t="s">
        <v>27987</v>
      </c>
      <c r="G12589" s="117">
        <v>24.82</v>
      </c>
    </row>
    <row r="12590" spans="1:7" x14ac:dyDescent="0.25">
      <c r="A12590" s="116" t="s">
        <v>19728</v>
      </c>
      <c r="B12590" s="117" t="s">
        <v>19729</v>
      </c>
      <c r="C12590" t="s">
        <v>67</v>
      </c>
      <c r="D12590" t="s">
        <v>67</v>
      </c>
      <c r="E12590" t="s">
        <v>67</v>
      </c>
      <c r="F12590" t="s">
        <v>27987</v>
      </c>
      <c r="G12590" s="117">
        <v>118.26</v>
      </c>
    </row>
    <row r="12591" spans="1:7" x14ac:dyDescent="0.25">
      <c r="A12591" s="116" t="s">
        <v>19730</v>
      </c>
      <c r="B12591" s="117" t="s">
        <v>19731</v>
      </c>
      <c r="C12591" t="s">
        <v>67</v>
      </c>
      <c r="D12591" t="s">
        <v>67</v>
      </c>
      <c r="E12591" t="s">
        <v>67</v>
      </c>
      <c r="F12591" t="s">
        <v>49</v>
      </c>
      <c r="G12591" s="117">
        <v>250.42</v>
      </c>
    </row>
    <row r="12592" spans="1:7" x14ac:dyDescent="0.25">
      <c r="A12592" s="116" t="s">
        <v>19732</v>
      </c>
      <c r="B12592" s="117" t="s">
        <v>19733</v>
      </c>
      <c r="C12592" t="s">
        <v>67</v>
      </c>
      <c r="D12592" t="s">
        <v>67</v>
      </c>
      <c r="E12592" t="s">
        <v>67</v>
      </c>
      <c r="F12592" t="s">
        <v>27987</v>
      </c>
      <c r="G12592" s="117">
        <v>273.62</v>
      </c>
    </row>
    <row r="12593" spans="1:7" x14ac:dyDescent="0.25">
      <c r="A12593" s="116" t="s">
        <v>29464</v>
      </c>
      <c r="B12593" s="117" t="s">
        <v>29465</v>
      </c>
      <c r="C12593" t="s">
        <v>67</v>
      </c>
      <c r="D12593" t="s">
        <v>67</v>
      </c>
      <c r="E12593" t="s">
        <v>67</v>
      </c>
      <c r="F12593" t="s">
        <v>45</v>
      </c>
      <c r="G12593" s="117">
        <v>0</v>
      </c>
    </row>
    <row r="12594" spans="1:7" x14ac:dyDescent="0.25">
      <c r="A12594" s="116" t="s">
        <v>19734</v>
      </c>
      <c r="B12594" s="117" t="s">
        <v>19735</v>
      </c>
      <c r="C12594" t="s">
        <v>67</v>
      </c>
      <c r="D12594" t="s">
        <v>67</v>
      </c>
      <c r="E12594" t="s">
        <v>67</v>
      </c>
      <c r="F12594" t="s">
        <v>45</v>
      </c>
      <c r="G12594" s="117">
        <v>69.86</v>
      </c>
    </row>
    <row r="12595" spans="1:7" x14ac:dyDescent="0.25">
      <c r="A12595" s="116" t="s">
        <v>19736</v>
      </c>
      <c r="B12595" s="117" t="s">
        <v>19737</v>
      </c>
      <c r="C12595" t="s">
        <v>67</v>
      </c>
      <c r="D12595" t="s">
        <v>67</v>
      </c>
      <c r="E12595" t="s">
        <v>67</v>
      </c>
      <c r="F12595" t="s">
        <v>27987</v>
      </c>
      <c r="G12595" s="117">
        <v>181.98</v>
      </c>
    </row>
    <row r="12596" spans="1:7" x14ac:dyDescent="0.25">
      <c r="A12596" s="116" t="s">
        <v>19738</v>
      </c>
      <c r="B12596" s="117" t="s">
        <v>19739</v>
      </c>
      <c r="C12596" t="s">
        <v>67</v>
      </c>
      <c r="D12596" t="s">
        <v>67</v>
      </c>
      <c r="E12596" t="s">
        <v>67</v>
      </c>
      <c r="F12596" t="s">
        <v>27987</v>
      </c>
      <c r="G12596" s="117">
        <v>128.05000000000001</v>
      </c>
    </row>
    <row r="12597" spans="1:7" x14ac:dyDescent="0.25">
      <c r="A12597" s="116" t="s">
        <v>29466</v>
      </c>
      <c r="B12597" s="117" t="s">
        <v>29467</v>
      </c>
      <c r="C12597" t="s">
        <v>67</v>
      </c>
      <c r="D12597" t="s">
        <v>67</v>
      </c>
      <c r="E12597" t="s">
        <v>67</v>
      </c>
      <c r="F12597" t="s">
        <v>45</v>
      </c>
      <c r="G12597" s="117">
        <v>0</v>
      </c>
    </row>
    <row r="12598" spans="1:7" x14ac:dyDescent="0.25">
      <c r="A12598" s="116" t="s">
        <v>19740</v>
      </c>
      <c r="B12598" s="117" t="s">
        <v>19741</v>
      </c>
      <c r="C12598" t="s">
        <v>67</v>
      </c>
      <c r="D12598" t="s">
        <v>67</v>
      </c>
      <c r="E12598" t="s">
        <v>67</v>
      </c>
      <c r="F12598" t="s">
        <v>27987</v>
      </c>
      <c r="G12598" s="117">
        <v>280.74</v>
      </c>
    </row>
    <row r="12599" spans="1:7" x14ac:dyDescent="0.25">
      <c r="A12599" s="116" t="s">
        <v>19742</v>
      </c>
      <c r="B12599" s="117" t="s">
        <v>19743</v>
      </c>
      <c r="C12599" t="s">
        <v>67</v>
      </c>
      <c r="D12599" t="s">
        <v>67</v>
      </c>
      <c r="E12599" t="s">
        <v>67</v>
      </c>
      <c r="F12599" t="s">
        <v>27987</v>
      </c>
      <c r="G12599" s="117">
        <v>197.1</v>
      </c>
    </row>
    <row r="12600" spans="1:7" x14ac:dyDescent="0.25">
      <c r="A12600" s="116" t="s">
        <v>19744</v>
      </c>
      <c r="B12600" s="117" t="s">
        <v>19745</v>
      </c>
      <c r="C12600" t="s">
        <v>67</v>
      </c>
      <c r="D12600" t="s">
        <v>67</v>
      </c>
      <c r="E12600" t="s">
        <v>67</v>
      </c>
      <c r="F12600" t="s">
        <v>27987</v>
      </c>
      <c r="G12600" s="117">
        <v>256.70999999999998</v>
      </c>
    </row>
    <row r="12601" spans="1:7" x14ac:dyDescent="0.25">
      <c r="A12601" s="116" t="s">
        <v>19746</v>
      </c>
      <c r="B12601" s="117" t="s">
        <v>19747</v>
      </c>
      <c r="C12601" t="s">
        <v>67</v>
      </c>
      <c r="D12601" t="s">
        <v>67</v>
      </c>
      <c r="E12601" t="s">
        <v>67</v>
      </c>
      <c r="F12601" t="s">
        <v>27987</v>
      </c>
      <c r="G12601" s="117">
        <v>196.2</v>
      </c>
    </row>
    <row r="12602" spans="1:7" x14ac:dyDescent="0.25">
      <c r="A12602" s="116" t="s">
        <v>19748</v>
      </c>
      <c r="B12602" s="117" t="s">
        <v>26510</v>
      </c>
      <c r="C12602" t="s">
        <v>67</v>
      </c>
      <c r="D12602" t="s">
        <v>67</v>
      </c>
      <c r="E12602" t="s">
        <v>67</v>
      </c>
      <c r="F12602" t="s">
        <v>27987</v>
      </c>
      <c r="G12602" s="117">
        <v>114.2</v>
      </c>
    </row>
    <row r="12603" spans="1:7" x14ac:dyDescent="0.25">
      <c r="A12603" s="116" t="s">
        <v>19749</v>
      </c>
      <c r="B12603" s="117" t="s">
        <v>19750</v>
      </c>
      <c r="C12603" t="s">
        <v>67</v>
      </c>
      <c r="D12603" t="s">
        <v>67</v>
      </c>
      <c r="E12603" t="s">
        <v>67</v>
      </c>
      <c r="F12603" t="s">
        <v>27987</v>
      </c>
      <c r="G12603" s="117">
        <v>142.82</v>
      </c>
    </row>
    <row r="12604" spans="1:7" x14ac:dyDescent="0.25">
      <c r="A12604" s="116" t="s">
        <v>19751</v>
      </c>
      <c r="B12604" s="117" t="s">
        <v>19724</v>
      </c>
      <c r="C12604" t="s">
        <v>67</v>
      </c>
      <c r="D12604" t="s">
        <v>67</v>
      </c>
      <c r="E12604" t="s">
        <v>67</v>
      </c>
      <c r="F12604" t="s">
        <v>45</v>
      </c>
      <c r="G12604" s="117">
        <v>23.58</v>
      </c>
    </row>
    <row r="12605" spans="1:7" x14ac:dyDescent="0.25">
      <c r="A12605" s="116" t="s">
        <v>19752</v>
      </c>
      <c r="B12605" s="117" t="s">
        <v>18726</v>
      </c>
      <c r="C12605" t="s">
        <v>67</v>
      </c>
      <c r="D12605" t="s">
        <v>67</v>
      </c>
      <c r="E12605" t="s">
        <v>67</v>
      </c>
      <c r="F12605" t="s">
        <v>49</v>
      </c>
      <c r="G12605" s="117">
        <v>46.71</v>
      </c>
    </row>
    <row r="12606" spans="1:7" x14ac:dyDescent="0.25">
      <c r="A12606" s="116" t="s">
        <v>19753</v>
      </c>
      <c r="B12606" s="117" t="s">
        <v>1683</v>
      </c>
      <c r="C12606" t="s">
        <v>67</v>
      </c>
      <c r="D12606" t="s">
        <v>67</v>
      </c>
      <c r="E12606" t="s">
        <v>67</v>
      </c>
      <c r="F12606" t="s">
        <v>27987</v>
      </c>
      <c r="G12606" s="117">
        <v>97.19</v>
      </c>
    </row>
    <row r="12607" spans="1:7" x14ac:dyDescent="0.25">
      <c r="A12607" s="116" t="s">
        <v>19754</v>
      </c>
      <c r="B12607" s="117" t="s">
        <v>19755</v>
      </c>
      <c r="C12607" t="s">
        <v>67</v>
      </c>
      <c r="D12607" t="s">
        <v>67</v>
      </c>
      <c r="E12607" t="s">
        <v>67</v>
      </c>
      <c r="F12607" t="s">
        <v>49</v>
      </c>
      <c r="G12607" s="117">
        <v>252.62</v>
      </c>
    </row>
    <row r="12608" spans="1:7" x14ac:dyDescent="0.25">
      <c r="A12608" s="116" t="s">
        <v>19756</v>
      </c>
      <c r="B12608" s="117" t="s">
        <v>19757</v>
      </c>
      <c r="C12608" t="s">
        <v>67</v>
      </c>
      <c r="D12608" t="s">
        <v>67</v>
      </c>
      <c r="E12608" t="s">
        <v>67</v>
      </c>
      <c r="F12608" t="s">
        <v>49</v>
      </c>
      <c r="G12608" s="117">
        <v>189.08</v>
      </c>
    </row>
    <row r="12609" spans="1:7" x14ac:dyDescent="0.25">
      <c r="A12609" s="116" t="s">
        <v>19758</v>
      </c>
      <c r="B12609" s="117" t="s">
        <v>19759</v>
      </c>
      <c r="C12609" t="s">
        <v>67</v>
      </c>
      <c r="D12609" t="s">
        <v>67</v>
      </c>
      <c r="E12609" t="s">
        <v>67</v>
      </c>
      <c r="F12609" t="s">
        <v>27987</v>
      </c>
      <c r="G12609" s="117">
        <v>68.930000000000007</v>
      </c>
    </row>
    <row r="12610" spans="1:7" x14ac:dyDescent="0.25">
      <c r="A12610" s="116" t="s">
        <v>19760</v>
      </c>
      <c r="B12610" s="117" t="s">
        <v>1694</v>
      </c>
      <c r="C12610" t="s">
        <v>67</v>
      </c>
      <c r="D12610" t="s">
        <v>67</v>
      </c>
      <c r="E12610" t="s">
        <v>67</v>
      </c>
      <c r="F12610" t="s">
        <v>45</v>
      </c>
      <c r="G12610" s="117">
        <v>28.38</v>
      </c>
    </row>
    <row r="12611" spans="1:7" x14ac:dyDescent="0.25">
      <c r="A12611" s="116" t="s">
        <v>19761</v>
      </c>
      <c r="B12611" s="117" t="s">
        <v>19762</v>
      </c>
      <c r="C12611" t="s">
        <v>67</v>
      </c>
      <c r="D12611" t="s">
        <v>67</v>
      </c>
      <c r="E12611" t="s">
        <v>67</v>
      </c>
      <c r="F12611" t="s">
        <v>27987</v>
      </c>
      <c r="G12611" s="117">
        <v>236.25</v>
      </c>
    </row>
    <row r="12612" spans="1:7" x14ac:dyDescent="0.25">
      <c r="A12612" s="116" t="s">
        <v>19763</v>
      </c>
      <c r="B12612" s="117" t="s">
        <v>19764</v>
      </c>
      <c r="C12612" t="s">
        <v>67</v>
      </c>
      <c r="D12612" t="s">
        <v>67</v>
      </c>
      <c r="E12612" t="s">
        <v>67</v>
      </c>
      <c r="F12612" t="s">
        <v>45</v>
      </c>
      <c r="G12612" s="117">
        <v>247.82</v>
      </c>
    </row>
    <row r="12613" spans="1:7" x14ac:dyDescent="0.25">
      <c r="A12613" s="116" t="s">
        <v>19765</v>
      </c>
      <c r="B12613" s="117" t="s">
        <v>19766</v>
      </c>
      <c r="C12613" t="s">
        <v>67</v>
      </c>
      <c r="D12613" t="s">
        <v>67</v>
      </c>
      <c r="E12613" t="s">
        <v>67</v>
      </c>
      <c r="F12613" t="s">
        <v>27987</v>
      </c>
      <c r="G12613" s="117">
        <v>24.82</v>
      </c>
    </row>
    <row r="12614" spans="1:7" x14ac:dyDescent="0.25">
      <c r="A12614" s="116" t="s">
        <v>19767</v>
      </c>
      <c r="B12614" s="117" t="s">
        <v>19768</v>
      </c>
      <c r="C12614" t="s">
        <v>67</v>
      </c>
      <c r="D12614" t="s">
        <v>67</v>
      </c>
      <c r="E12614" t="s">
        <v>67</v>
      </c>
      <c r="F12614" t="s">
        <v>45</v>
      </c>
      <c r="G12614" s="117">
        <v>167.74</v>
      </c>
    </row>
    <row r="12615" spans="1:7" x14ac:dyDescent="0.25">
      <c r="A12615" s="116" t="s">
        <v>19769</v>
      </c>
      <c r="B12615" s="117" t="s">
        <v>19770</v>
      </c>
      <c r="C12615" t="s">
        <v>67</v>
      </c>
      <c r="D12615" t="s">
        <v>67</v>
      </c>
      <c r="E12615" t="s">
        <v>67</v>
      </c>
      <c r="F12615" t="s">
        <v>45</v>
      </c>
      <c r="G12615" s="117">
        <v>76.98</v>
      </c>
    </row>
    <row r="12616" spans="1:7" x14ac:dyDescent="0.25">
      <c r="A12616" s="116" t="s">
        <v>19771</v>
      </c>
      <c r="B12616" s="117" t="s">
        <v>19772</v>
      </c>
      <c r="C12616" t="s">
        <v>67</v>
      </c>
      <c r="D12616" t="s">
        <v>67</v>
      </c>
      <c r="E12616" t="s">
        <v>67</v>
      </c>
      <c r="F12616" t="s">
        <v>27987</v>
      </c>
      <c r="G12616" s="117">
        <v>200.66</v>
      </c>
    </row>
    <row r="12617" spans="1:7" x14ac:dyDescent="0.25">
      <c r="A12617" s="116" t="s">
        <v>19773</v>
      </c>
      <c r="B12617" s="117" t="s">
        <v>19774</v>
      </c>
      <c r="C12617" t="s">
        <v>67</v>
      </c>
      <c r="D12617" t="s">
        <v>67</v>
      </c>
      <c r="E12617" t="s">
        <v>67</v>
      </c>
      <c r="F12617" t="s">
        <v>27987</v>
      </c>
      <c r="G12617" s="117">
        <v>218.45</v>
      </c>
    </row>
    <row r="12618" spans="1:7" x14ac:dyDescent="0.25">
      <c r="A12618" s="116" t="s">
        <v>19775</v>
      </c>
      <c r="B12618" s="117" t="s">
        <v>2445</v>
      </c>
      <c r="C12618" t="s">
        <v>67</v>
      </c>
      <c r="D12618" t="s">
        <v>67</v>
      </c>
      <c r="E12618" t="s">
        <v>67</v>
      </c>
      <c r="F12618" t="s">
        <v>27987</v>
      </c>
      <c r="G12618" s="117">
        <v>24.82</v>
      </c>
    </row>
    <row r="12619" spans="1:7" x14ac:dyDescent="0.25">
      <c r="A12619" s="116" t="s">
        <v>28068</v>
      </c>
      <c r="B12619" s="117" t="s">
        <v>29468</v>
      </c>
      <c r="C12619" t="s">
        <v>67</v>
      </c>
      <c r="D12619" t="s">
        <v>67</v>
      </c>
      <c r="E12619" t="s">
        <v>67</v>
      </c>
      <c r="F12619" t="s">
        <v>27987</v>
      </c>
      <c r="G12619" s="117">
        <v>20</v>
      </c>
    </row>
    <row r="12620" spans="1:7" x14ac:dyDescent="0.25">
      <c r="A12620" s="116" t="s">
        <v>19776</v>
      </c>
      <c r="B12620" s="117" t="s">
        <v>19777</v>
      </c>
      <c r="C12620" t="s">
        <v>67</v>
      </c>
      <c r="D12620" t="s">
        <v>67</v>
      </c>
      <c r="E12620" t="s">
        <v>67</v>
      </c>
      <c r="F12620" t="s">
        <v>27987</v>
      </c>
      <c r="G12620" s="117">
        <v>4</v>
      </c>
    </row>
    <row r="12621" spans="1:7" x14ac:dyDescent="0.25">
      <c r="A12621" s="116" t="s">
        <v>19778</v>
      </c>
      <c r="B12621" s="117" t="s">
        <v>19779</v>
      </c>
      <c r="C12621" t="s">
        <v>67</v>
      </c>
      <c r="D12621" t="s">
        <v>67</v>
      </c>
      <c r="E12621" t="s">
        <v>67</v>
      </c>
      <c r="F12621" t="s">
        <v>27987</v>
      </c>
      <c r="G12621" s="117">
        <v>4</v>
      </c>
    </row>
    <row r="12622" spans="1:7" x14ac:dyDescent="0.25">
      <c r="A12622" s="116" t="s">
        <v>19780</v>
      </c>
      <c r="B12622" s="117" t="s">
        <v>19781</v>
      </c>
      <c r="C12622" t="s">
        <v>67</v>
      </c>
      <c r="D12622" t="s">
        <v>67</v>
      </c>
      <c r="E12622" t="s">
        <v>67</v>
      </c>
      <c r="F12622" t="s">
        <v>27987</v>
      </c>
      <c r="G12622" s="117">
        <v>17.7</v>
      </c>
    </row>
    <row r="12623" spans="1:7" x14ac:dyDescent="0.25">
      <c r="A12623" s="116" t="s">
        <v>19782</v>
      </c>
      <c r="B12623" s="117" t="s">
        <v>19783</v>
      </c>
      <c r="C12623" t="s">
        <v>67</v>
      </c>
      <c r="D12623" t="s">
        <v>67</v>
      </c>
      <c r="E12623" t="s">
        <v>67</v>
      </c>
      <c r="F12623" t="s">
        <v>27987</v>
      </c>
      <c r="G12623" s="117">
        <v>5</v>
      </c>
    </row>
    <row r="12624" spans="1:7" x14ac:dyDescent="0.25">
      <c r="A12624" s="116" t="s">
        <v>19784</v>
      </c>
      <c r="B12624" s="117" t="s">
        <v>19785</v>
      </c>
      <c r="C12624" t="s">
        <v>67</v>
      </c>
      <c r="D12624" t="s">
        <v>67</v>
      </c>
      <c r="E12624" t="s">
        <v>67</v>
      </c>
      <c r="F12624" t="s">
        <v>27987</v>
      </c>
      <c r="G12624" s="117">
        <v>86.23</v>
      </c>
    </row>
    <row r="12625" spans="1:7" x14ac:dyDescent="0.25">
      <c r="A12625" s="116" t="s">
        <v>19786</v>
      </c>
      <c r="B12625" s="117" t="s">
        <v>19787</v>
      </c>
      <c r="C12625" t="s">
        <v>67</v>
      </c>
      <c r="D12625" t="s">
        <v>67</v>
      </c>
      <c r="E12625" t="s">
        <v>67</v>
      </c>
      <c r="F12625" t="s">
        <v>45</v>
      </c>
      <c r="G12625" s="117">
        <v>27.5</v>
      </c>
    </row>
    <row r="12626" spans="1:7" x14ac:dyDescent="0.25">
      <c r="A12626" s="116" t="s">
        <v>19788</v>
      </c>
      <c r="B12626" s="117" t="s">
        <v>19789</v>
      </c>
      <c r="C12626" t="s">
        <v>67</v>
      </c>
      <c r="D12626" t="s">
        <v>67</v>
      </c>
      <c r="E12626" t="s">
        <v>67</v>
      </c>
      <c r="F12626" t="s">
        <v>27987</v>
      </c>
      <c r="G12626" s="117">
        <v>100.46</v>
      </c>
    </row>
    <row r="12627" spans="1:7" x14ac:dyDescent="0.25">
      <c r="A12627" s="116" t="s">
        <v>19790</v>
      </c>
      <c r="B12627" s="117" t="s">
        <v>19791</v>
      </c>
      <c r="C12627" t="s">
        <v>67</v>
      </c>
      <c r="D12627" t="s">
        <v>67</v>
      </c>
      <c r="E12627" t="s">
        <v>67</v>
      </c>
      <c r="F12627" t="s">
        <v>27987</v>
      </c>
      <c r="G12627" s="117">
        <v>377.2</v>
      </c>
    </row>
    <row r="12628" spans="1:7" x14ac:dyDescent="0.25">
      <c r="A12628" s="116" t="s">
        <v>19792</v>
      </c>
      <c r="B12628" s="117" t="s">
        <v>2445</v>
      </c>
      <c r="C12628" t="s">
        <v>67</v>
      </c>
      <c r="D12628" t="s">
        <v>67</v>
      </c>
      <c r="E12628" t="s">
        <v>67</v>
      </c>
      <c r="F12628" t="s">
        <v>51</v>
      </c>
      <c r="G12628" s="117">
        <v>81.27</v>
      </c>
    </row>
    <row r="12629" spans="1:7" x14ac:dyDescent="0.25">
      <c r="A12629" s="116" t="s">
        <v>19793</v>
      </c>
      <c r="B12629" s="117" t="s">
        <v>19794</v>
      </c>
      <c r="C12629" t="s">
        <v>67</v>
      </c>
      <c r="D12629" t="s">
        <v>67</v>
      </c>
      <c r="E12629" t="s">
        <v>67</v>
      </c>
      <c r="F12629" t="s">
        <v>51</v>
      </c>
      <c r="G12629" s="117">
        <v>30.08</v>
      </c>
    </row>
    <row r="12630" spans="1:7" x14ac:dyDescent="0.25">
      <c r="A12630" s="116" t="s">
        <v>19795</v>
      </c>
      <c r="B12630" s="117" t="s">
        <v>19796</v>
      </c>
      <c r="C12630" t="s">
        <v>67</v>
      </c>
      <c r="D12630" t="s">
        <v>67</v>
      </c>
      <c r="E12630" t="s">
        <v>67</v>
      </c>
      <c r="F12630" t="s">
        <v>45</v>
      </c>
      <c r="G12630" s="117">
        <v>9.5</v>
      </c>
    </row>
    <row r="12631" spans="1:7" x14ac:dyDescent="0.25">
      <c r="A12631" s="116" t="s">
        <v>19797</v>
      </c>
      <c r="B12631" s="117" t="s">
        <v>19798</v>
      </c>
      <c r="C12631" t="s">
        <v>67</v>
      </c>
      <c r="D12631" t="s">
        <v>67</v>
      </c>
      <c r="E12631" t="s">
        <v>67</v>
      </c>
      <c r="F12631" t="s">
        <v>45</v>
      </c>
      <c r="G12631" s="117">
        <v>11.48</v>
      </c>
    </row>
    <row r="12632" spans="1:7" x14ac:dyDescent="0.25">
      <c r="A12632" s="116" t="s">
        <v>19799</v>
      </c>
      <c r="B12632" s="117" t="s">
        <v>19800</v>
      </c>
      <c r="C12632" t="s">
        <v>67</v>
      </c>
      <c r="D12632" t="s">
        <v>67</v>
      </c>
      <c r="E12632" t="s">
        <v>67</v>
      </c>
      <c r="F12632" t="s">
        <v>45</v>
      </c>
      <c r="G12632" s="117">
        <v>11.12</v>
      </c>
    </row>
    <row r="12633" spans="1:7" x14ac:dyDescent="0.25">
      <c r="A12633" s="116" t="s">
        <v>19801</v>
      </c>
      <c r="B12633" s="117" t="s">
        <v>19802</v>
      </c>
      <c r="C12633" t="s">
        <v>67</v>
      </c>
      <c r="D12633" t="s">
        <v>67</v>
      </c>
      <c r="E12633" t="s">
        <v>67</v>
      </c>
      <c r="F12633" t="s">
        <v>27987</v>
      </c>
      <c r="G12633" s="117">
        <v>9.6999999999999993</v>
      </c>
    </row>
    <row r="12634" spans="1:7" x14ac:dyDescent="0.25">
      <c r="A12634" s="116" t="s">
        <v>19803</v>
      </c>
      <c r="B12634" s="117" t="s">
        <v>19804</v>
      </c>
      <c r="C12634" t="s">
        <v>67</v>
      </c>
      <c r="D12634" t="s">
        <v>67</v>
      </c>
      <c r="E12634" t="s">
        <v>67</v>
      </c>
      <c r="F12634" t="s">
        <v>45</v>
      </c>
      <c r="G12634" s="117">
        <v>13.26</v>
      </c>
    </row>
    <row r="12635" spans="1:7" x14ac:dyDescent="0.25">
      <c r="A12635" s="116" t="s">
        <v>19805</v>
      </c>
      <c r="B12635" s="117" t="s">
        <v>19806</v>
      </c>
      <c r="C12635" t="s">
        <v>67</v>
      </c>
      <c r="D12635" t="s">
        <v>67</v>
      </c>
      <c r="E12635" t="s">
        <v>67</v>
      </c>
      <c r="F12635" t="s">
        <v>45</v>
      </c>
      <c r="G12635" s="117">
        <v>275.98</v>
      </c>
    </row>
    <row r="12636" spans="1:7" x14ac:dyDescent="0.25">
      <c r="A12636" s="116" t="s">
        <v>19807</v>
      </c>
      <c r="B12636" s="117" t="s">
        <v>19806</v>
      </c>
      <c r="C12636" t="s">
        <v>67</v>
      </c>
      <c r="D12636" t="s">
        <v>67</v>
      </c>
      <c r="E12636" t="s">
        <v>67</v>
      </c>
      <c r="F12636" t="s">
        <v>45</v>
      </c>
      <c r="G12636" s="117">
        <v>22.48</v>
      </c>
    </row>
    <row r="12637" spans="1:7" x14ac:dyDescent="0.25">
      <c r="A12637" s="116" t="s">
        <v>19808</v>
      </c>
      <c r="B12637" s="117" t="s">
        <v>19809</v>
      </c>
      <c r="C12637" t="s">
        <v>67</v>
      </c>
      <c r="D12637" t="s">
        <v>67</v>
      </c>
      <c r="E12637" t="s">
        <v>67</v>
      </c>
      <c r="F12637" t="s">
        <v>49</v>
      </c>
      <c r="G12637" s="117">
        <v>8.9</v>
      </c>
    </row>
    <row r="12638" spans="1:7" x14ac:dyDescent="0.25">
      <c r="A12638" s="116" t="s">
        <v>19810</v>
      </c>
      <c r="B12638" s="117" t="s">
        <v>19811</v>
      </c>
      <c r="C12638" t="s">
        <v>67</v>
      </c>
      <c r="D12638" t="s">
        <v>67</v>
      </c>
      <c r="E12638" t="s">
        <v>67</v>
      </c>
      <c r="F12638" t="s">
        <v>27990</v>
      </c>
      <c r="G12638" s="117">
        <v>31.58</v>
      </c>
    </row>
    <row r="12639" spans="1:7" x14ac:dyDescent="0.25">
      <c r="A12639" s="116" t="s">
        <v>19812</v>
      </c>
      <c r="B12639" s="117" t="s">
        <v>19813</v>
      </c>
      <c r="C12639" t="s">
        <v>67</v>
      </c>
      <c r="D12639" t="s">
        <v>67</v>
      </c>
      <c r="E12639" t="s">
        <v>67</v>
      </c>
      <c r="F12639" t="s">
        <v>45</v>
      </c>
      <c r="G12639" s="117">
        <v>0</v>
      </c>
    </row>
    <row r="12640" spans="1:7" x14ac:dyDescent="0.25">
      <c r="A12640" s="116" t="s">
        <v>19814</v>
      </c>
      <c r="B12640" s="117" t="s">
        <v>19815</v>
      </c>
      <c r="C12640" t="s">
        <v>67</v>
      </c>
      <c r="D12640" t="s">
        <v>67</v>
      </c>
      <c r="E12640" t="s">
        <v>67</v>
      </c>
      <c r="F12640" t="s">
        <v>27987</v>
      </c>
      <c r="G12640" s="117">
        <v>542.36</v>
      </c>
    </row>
    <row r="12641" spans="1:7" x14ac:dyDescent="0.25">
      <c r="A12641" s="116" t="s">
        <v>19816</v>
      </c>
      <c r="B12641" s="117" t="s">
        <v>19817</v>
      </c>
      <c r="C12641" t="s">
        <v>67</v>
      </c>
      <c r="D12641" t="s">
        <v>67</v>
      </c>
      <c r="E12641" t="s">
        <v>67</v>
      </c>
      <c r="F12641" t="s">
        <v>45</v>
      </c>
      <c r="G12641" s="117">
        <v>5.25</v>
      </c>
    </row>
    <row r="12642" spans="1:7" x14ac:dyDescent="0.25">
      <c r="A12642" s="116" t="s">
        <v>19818</v>
      </c>
      <c r="B12642" s="117" t="s">
        <v>19817</v>
      </c>
      <c r="C12642" t="s">
        <v>67</v>
      </c>
      <c r="D12642" t="s">
        <v>67</v>
      </c>
      <c r="E12642" t="s">
        <v>67</v>
      </c>
      <c r="F12642" t="s">
        <v>45</v>
      </c>
      <c r="G12642" s="117">
        <v>6.14</v>
      </c>
    </row>
    <row r="12643" spans="1:7" x14ac:dyDescent="0.25">
      <c r="A12643" s="116" t="s">
        <v>19819</v>
      </c>
      <c r="B12643" s="117" t="s">
        <v>19820</v>
      </c>
      <c r="C12643" t="s">
        <v>67</v>
      </c>
      <c r="D12643" t="s">
        <v>67</v>
      </c>
      <c r="E12643" t="s">
        <v>67</v>
      </c>
      <c r="F12643" t="s">
        <v>27987</v>
      </c>
      <c r="G12643" s="117">
        <v>4.8899999999999997</v>
      </c>
    </row>
    <row r="12644" spans="1:7" x14ac:dyDescent="0.25">
      <c r="A12644" s="116" t="s">
        <v>19821</v>
      </c>
      <c r="B12644" s="117" t="s">
        <v>19822</v>
      </c>
      <c r="C12644" t="s">
        <v>67</v>
      </c>
      <c r="D12644" t="s">
        <v>67</v>
      </c>
      <c r="E12644" t="s">
        <v>67</v>
      </c>
      <c r="F12644" t="s">
        <v>45</v>
      </c>
      <c r="G12644" s="117">
        <v>158.30000000000001</v>
      </c>
    </row>
    <row r="12645" spans="1:7" x14ac:dyDescent="0.25">
      <c r="A12645" s="116" t="s">
        <v>19823</v>
      </c>
      <c r="B12645" s="117" t="s">
        <v>19824</v>
      </c>
      <c r="C12645" t="s">
        <v>67</v>
      </c>
      <c r="D12645" t="s">
        <v>67</v>
      </c>
      <c r="E12645" t="s">
        <v>67</v>
      </c>
      <c r="F12645" t="s">
        <v>45</v>
      </c>
      <c r="G12645" s="117">
        <v>118.16</v>
      </c>
    </row>
    <row r="12646" spans="1:7" x14ac:dyDescent="0.25">
      <c r="A12646" s="116" t="s">
        <v>19825</v>
      </c>
      <c r="B12646" s="117" t="s">
        <v>19826</v>
      </c>
      <c r="C12646" t="s">
        <v>67</v>
      </c>
      <c r="D12646" t="s">
        <v>67</v>
      </c>
      <c r="E12646" t="s">
        <v>67</v>
      </c>
      <c r="F12646" t="s">
        <v>27987</v>
      </c>
      <c r="G12646" s="117">
        <v>19.13</v>
      </c>
    </row>
    <row r="12647" spans="1:7" x14ac:dyDescent="0.25">
      <c r="A12647" s="116" t="s">
        <v>19827</v>
      </c>
      <c r="B12647" s="117" t="s">
        <v>19817</v>
      </c>
      <c r="C12647" t="s">
        <v>67</v>
      </c>
      <c r="D12647" t="s">
        <v>67</v>
      </c>
      <c r="E12647" t="s">
        <v>67</v>
      </c>
      <c r="F12647" t="s">
        <v>49</v>
      </c>
      <c r="G12647" s="117">
        <v>14.14</v>
      </c>
    </row>
    <row r="12648" spans="1:7" x14ac:dyDescent="0.25">
      <c r="A12648" s="116" t="s">
        <v>19828</v>
      </c>
      <c r="B12648" s="117" t="s">
        <v>2445</v>
      </c>
      <c r="C12648" t="s">
        <v>67</v>
      </c>
      <c r="D12648" t="s">
        <v>67</v>
      </c>
      <c r="E12648" t="s">
        <v>67</v>
      </c>
      <c r="F12648" t="s">
        <v>45</v>
      </c>
      <c r="G12648" s="117">
        <v>44.94</v>
      </c>
    </row>
    <row r="12649" spans="1:7" x14ac:dyDescent="0.25">
      <c r="A12649" s="116" t="s">
        <v>19829</v>
      </c>
      <c r="B12649" s="117" t="s">
        <v>19830</v>
      </c>
      <c r="C12649" t="s">
        <v>67</v>
      </c>
      <c r="D12649" t="s">
        <v>67</v>
      </c>
      <c r="E12649" t="s">
        <v>67</v>
      </c>
      <c r="F12649" t="s">
        <v>45</v>
      </c>
      <c r="G12649" s="117">
        <v>37.82</v>
      </c>
    </row>
    <row r="12650" spans="1:7" x14ac:dyDescent="0.25">
      <c r="A12650" s="116" t="s">
        <v>19831</v>
      </c>
      <c r="B12650" s="117" t="s">
        <v>19832</v>
      </c>
      <c r="C12650" t="s">
        <v>67</v>
      </c>
      <c r="D12650" t="s">
        <v>67</v>
      </c>
      <c r="E12650" t="s">
        <v>67</v>
      </c>
      <c r="F12650" t="s">
        <v>27987</v>
      </c>
      <c r="G12650" s="117">
        <v>49.74</v>
      </c>
    </row>
    <row r="12651" spans="1:7" x14ac:dyDescent="0.25">
      <c r="A12651" s="116" t="s">
        <v>19833</v>
      </c>
      <c r="B12651" s="117" t="s">
        <v>19834</v>
      </c>
      <c r="C12651" t="s">
        <v>67</v>
      </c>
      <c r="D12651" t="s">
        <v>67</v>
      </c>
      <c r="E12651" t="s">
        <v>67</v>
      </c>
      <c r="F12651" t="s">
        <v>27987</v>
      </c>
      <c r="G12651" s="117">
        <v>40</v>
      </c>
    </row>
    <row r="12652" spans="1:7" x14ac:dyDescent="0.25">
      <c r="A12652" s="116" t="s">
        <v>19835</v>
      </c>
      <c r="B12652" s="117" t="s">
        <v>19836</v>
      </c>
      <c r="C12652" t="s">
        <v>67</v>
      </c>
      <c r="D12652" t="s">
        <v>67</v>
      </c>
      <c r="E12652" t="s">
        <v>67</v>
      </c>
      <c r="F12652" t="s">
        <v>49</v>
      </c>
      <c r="G12652" s="117">
        <v>4</v>
      </c>
    </row>
    <row r="12653" spans="1:7" x14ac:dyDescent="0.25">
      <c r="A12653" s="116" t="s">
        <v>19837</v>
      </c>
      <c r="B12653" s="117" t="s">
        <v>19836</v>
      </c>
      <c r="C12653" t="s">
        <v>67</v>
      </c>
      <c r="D12653" t="s">
        <v>67</v>
      </c>
      <c r="E12653" t="s">
        <v>67</v>
      </c>
      <c r="F12653" t="s">
        <v>49</v>
      </c>
      <c r="G12653" s="117">
        <v>4</v>
      </c>
    </row>
    <row r="12654" spans="1:7" x14ac:dyDescent="0.25">
      <c r="A12654" s="116" t="s">
        <v>19838</v>
      </c>
      <c r="B12654" s="117" t="s">
        <v>19839</v>
      </c>
      <c r="C12654" t="s">
        <v>67</v>
      </c>
      <c r="D12654" t="s">
        <v>67</v>
      </c>
      <c r="E12654" t="s">
        <v>67</v>
      </c>
      <c r="F12654" t="s">
        <v>45</v>
      </c>
      <c r="G12654" s="117">
        <v>52.94</v>
      </c>
    </row>
    <row r="12655" spans="1:7" x14ac:dyDescent="0.25">
      <c r="A12655" s="116" t="s">
        <v>19840</v>
      </c>
      <c r="B12655" s="117" t="s">
        <v>19841</v>
      </c>
      <c r="C12655" t="s">
        <v>67</v>
      </c>
      <c r="D12655" t="s">
        <v>67</v>
      </c>
      <c r="E12655" t="s">
        <v>67</v>
      </c>
      <c r="F12655" t="s">
        <v>27987</v>
      </c>
      <c r="G12655" s="117">
        <v>30.7</v>
      </c>
    </row>
    <row r="12656" spans="1:7" x14ac:dyDescent="0.25">
      <c r="A12656" s="116" t="s">
        <v>19842</v>
      </c>
      <c r="B12656" s="117" t="s">
        <v>19843</v>
      </c>
      <c r="C12656" t="s">
        <v>67</v>
      </c>
      <c r="D12656" t="s">
        <v>67</v>
      </c>
      <c r="E12656" t="s">
        <v>67</v>
      </c>
      <c r="F12656" t="s">
        <v>27987</v>
      </c>
      <c r="G12656" s="117">
        <v>23.94</v>
      </c>
    </row>
    <row r="12657" spans="1:7" x14ac:dyDescent="0.25">
      <c r="A12657" s="116" t="s">
        <v>19844</v>
      </c>
      <c r="B12657" s="117" t="s">
        <v>19845</v>
      </c>
      <c r="C12657" t="s">
        <v>67</v>
      </c>
      <c r="D12657" t="s">
        <v>67</v>
      </c>
      <c r="E12657" t="s">
        <v>67</v>
      </c>
      <c r="F12657" t="s">
        <v>27987</v>
      </c>
      <c r="G12657" s="117">
        <v>39.06</v>
      </c>
    </row>
    <row r="12658" spans="1:7" x14ac:dyDescent="0.25">
      <c r="A12658" s="116" t="s">
        <v>19846</v>
      </c>
      <c r="B12658" s="117" t="s">
        <v>19845</v>
      </c>
      <c r="C12658" t="s">
        <v>67</v>
      </c>
      <c r="D12658" t="s">
        <v>67</v>
      </c>
      <c r="E12658" t="s">
        <v>67</v>
      </c>
      <c r="F12658" t="s">
        <v>45</v>
      </c>
      <c r="G12658" s="117">
        <v>41.38</v>
      </c>
    </row>
    <row r="12659" spans="1:7" x14ac:dyDescent="0.25">
      <c r="A12659" s="116" t="s">
        <v>19847</v>
      </c>
      <c r="B12659" s="117" t="s">
        <v>26511</v>
      </c>
      <c r="C12659" t="s">
        <v>67</v>
      </c>
      <c r="D12659" t="s">
        <v>67</v>
      </c>
      <c r="E12659" t="s">
        <v>67</v>
      </c>
      <c r="F12659" t="s">
        <v>27987</v>
      </c>
      <c r="G12659" s="117">
        <v>28</v>
      </c>
    </row>
    <row r="12660" spans="1:7" x14ac:dyDescent="0.25">
      <c r="A12660" s="116" t="s">
        <v>19848</v>
      </c>
      <c r="B12660" s="117" t="s">
        <v>19849</v>
      </c>
      <c r="C12660" t="s">
        <v>67</v>
      </c>
      <c r="D12660" t="s">
        <v>67</v>
      </c>
      <c r="E12660" t="s">
        <v>67</v>
      </c>
      <c r="F12660" t="s">
        <v>45</v>
      </c>
      <c r="G12660" s="117">
        <v>3.56</v>
      </c>
    </row>
    <row r="12661" spans="1:7" x14ac:dyDescent="0.25">
      <c r="A12661" s="116" t="s">
        <v>19850</v>
      </c>
      <c r="B12661" s="117" t="s">
        <v>19849</v>
      </c>
      <c r="C12661" t="s">
        <v>67</v>
      </c>
      <c r="D12661" t="s">
        <v>67</v>
      </c>
      <c r="E12661" t="s">
        <v>67</v>
      </c>
      <c r="F12661" t="s">
        <v>45</v>
      </c>
      <c r="G12661" s="117">
        <v>3.56</v>
      </c>
    </row>
    <row r="12662" spans="1:7" x14ac:dyDescent="0.25">
      <c r="A12662" s="116" t="s">
        <v>19851</v>
      </c>
      <c r="B12662" s="117" t="s">
        <v>19852</v>
      </c>
      <c r="C12662" t="s">
        <v>67</v>
      </c>
      <c r="D12662" t="s">
        <v>67</v>
      </c>
      <c r="E12662" t="s">
        <v>67</v>
      </c>
      <c r="F12662" t="s">
        <v>45</v>
      </c>
      <c r="G12662" s="117">
        <v>119.14</v>
      </c>
    </row>
    <row r="12663" spans="1:7" x14ac:dyDescent="0.25">
      <c r="A12663" s="116" t="s">
        <v>26623</v>
      </c>
      <c r="B12663" s="117" t="s">
        <v>26918</v>
      </c>
      <c r="C12663" t="s">
        <v>67</v>
      </c>
      <c r="D12663" t="s">
        <v>67</v>
      </c>
      <c r="E12663" t="s">
        <v>67</v>
      </c>
      <c r="F12663" t="s">
        <v>49</v>
      </c>
      <c r="G12663" s="117">
        <v>43.29</v>
      </c>
    </row>
    <row r="12664" spans="1:7" x14ac:dyDescent="0.25">
      <c r="A12664" s="116" t="s">
        <v>19853</v>
      </c>
      <c r="B12664" s="117" t="s">
        <v>2445</v>
      </c>
      <c r="C12664" t="s">
        <v>67</v>
      </c>
      <c r="D12664" t="s">
        <v>67</v>
      </c>
      <c r="E12664" t="s">
        <v>67</v>
      </c>
      <c r="F12664" t="s">
        <v>49</v>
      </c>
      <c r="G12664" s="117">
        <v>52.06</v>
      </c>
    </row>
    <row r="12665" spans="1:7" x14ac:dyDescent="0.25">
      <c r="A12665" s="116" t="s">
        <v>19854</v>
      </c>
      <c r="B12665" s="117" t="s">
        <v>2445</v>
      </c>
      <c r="C12665" t="s">
        <v>67</v>
      </c>
      <c r="D12665" t="s">
        <v>67</v>
      </c>
      <c r="E12665" t="s">
        <v>67</v>
      </c>
      <c r="F12665" t="s">
        <v>49</v>
      </c>
      <c r="G12665" s="117">
        <v>52.06</v>
      </c>
    </row>
    <row r="12666" spans="1:7" x14ac:dyDescent="0.25">
      <c r="A12666" s="116" t="s">
        <v>19855</v>
      </c>
      <c r="B12666" s="117" t="s">
        <v>2445</v>
      </c>
      <c r="C12666" t="s">
        <v>67</v>
      </c>
      <c r="D12666" t="s">
        <v>67</v>
      </c>
      <c r="E12666" t="s">
        <v>67</v>
      </c>
      <c r="F12666" t="s">
        <v>27987</v>
      </c>
      <c r="G12666" s="117">
        <v>56.86</v>
      </c>
    </row>
    <row r="12667" spans="1:7" x14ac:dyDescent="0.25">
      <c r="A12667" s="116" t="s">
        <v>19856</v>
      </c>
      <c r="B12667" s="117" t="s">
        <v>2445</v>
      </c>
      <c r="C12667" t="s">
        <v>67</v>
      </c>
      <c r="D12667" t="s">
        <v>67</v>
      </c>
      <c r="E12667" t="s">
        <v>67</v>
      </c>
      <c r="F12667" t="s">
        <v>27987</v>
      </c>
      <c r="G12667" s="117">
        <v>56.86</v>
      </c>
    </row>
    <row r="12668" spans="1:7" x14ac:dyDescent="0.25">
      <c r="A12668" s="116" t="s">
        <v>19857</v>
      </c>
      <c r="B12668" s="117" t="s">
        <v>30155</v>
      </c>
      <c r="C12668" t="s">
        <v>67</v>
      </c>
      <c r="D12668" t="s">
        <v>67</v>
      </c>
      <c r="E12668" t="s">
        <v>67</v>
      </c>
      <c r="F12668" t="s">
        <v>27987</v>
      </c>
      <c r="G12668" s="117">
        <v>15</v>
      </c>
    </row>
    <row r="12669" spans="1:7" x14ac:dyDescent="0.25">
      <c r="A12669" s="116" t="s">
        <v>19858</v>
      </c>
      <c r="B12669" s="117" t="s">
        <v>19859</v>
      </c>
      <c r="C12669" t="s">
        <v>67</v>
      </c>
      <c r="D12669" t="s">
        <v>67</v>
      </c>
      <c r="E12669" t="s">
        <v>67</v>
      </c>
      <c r="F12669" t="s">
        <v>45</v>
      </c>
      <c r="G12669" s="117">
        <v>120.57</v>
      </c>
    </row>
    <row r="12670" spans="1:7" x14ac:dyDescent="0.25">
      <c r="A12670" s="116" t="s">
        <v>19860</v>
      </c>
      <c r="B12670" s="117" t="s">
        <v>19861</v>
      </c>
      <c r="C12670" t="s">
        <v>67</v>
      </c>
      <c r="D12670" t="s">
        <v>67</v>
      </c>
      <c r="E12670" t="s">
        <v>67</v>
      </c>
      <c r="F12670" t="s">
        <v>27987</v>
      </c>
      <c r="G12670" s="117">
        <v>44.05</v>
      </c>
    </row>
    <row r="12671" spans="1:7" x14ac:dyDescent="0.25">
      <c r="A12671" s="116" t="s">
        <v>19862</v>
      </c>
      <c r="B12671" s="117" t="s">
        <v>19863</v>
      </c>
      <c r="C12671" t="s">
        <v>67</v>
      </c>
      <c r="D12671" t="s">
        <v>67</v>
      </c>
      <c r="E12671" t="s">
        <v>67</v>
      </c>
      <c r="F12671" t="s">
        <v>45</v>
      </c>
      <c r="G12671" s="117">
        <v>100.46</v>
      </c>
    </row>
    <row r="12672" spans="1:7" x14ac:dyDescent="0.25">
      <c r="A12672" s="116" t="s">
        <v>19864</v>
      </c>
      <c r="B12672" s="117" t="s">
        <v>19817</v>
      </c>
      <c r="C12672" t="s">
        <v>67</v>
      </c>
      <c r="D12672" t="s">
        <v>67</v>
      </c>
      <c r="E12672" t="s">
        <v>67</v>
      </c>
      <c r="F12672" t="s">
        <v>45</v>
      </c>
      <c r="G12672" s="117">
        <v>3.56</v>
      </c>
    </row>
    <row r="12673" spans="1:7" x14ac:dyDescent="0.25">
      <c r="A12673" s="116" t="s">
        <v>19865</v>
      </c>
      <c r="B12673" s="117" t="s">
        <v>19866</v>
      </c>
      <c r="C12673" t="s">
        <v>67</v>
      </c>
      <c r="D12673" t="s">
        <v>67</v>
      </c>
      <c r="E12673" t="s">
        <v>67</v>
      </c>
      <c r="F12673" t="s">
        <v>27987</v>
      </c>
      <c r="G12673" s="117">
        <v>48.86</v>
      </c>
    </row>
    <row r="12674" spans="1:7" x14ac:dyDescent="0.25">
      <c r="A12674" s="116" t="s">
        <v>19867</v>
      </c>
      <c r="B12674" s="117" t="s">
        <v>19868</v>
      </c>
      <c r="C12674" t="s">
        <v>67</v>
      </c>
      <c r="D12674" t="s">
        <v>67</v>
      </c>
      <c r="E12674" t="s">
        <v>67</v>
      </c>
      <c r="F12674" t="s">
        <v>27987</v>
      </c>
      <c r="G12674" s="117">
        <v>102.77</v>
      </c>
    </row>
    <row r="12675" spans="1:7" x14ac:dyDescent="0.25">
      <c r="A12675" s="116" t="s">
        <v>19869</v>
      </c>
      <c r="B12675" s="117" t="s">
        <v>19870</v>
      </c>
      <c r="C12675" t="s">
        <v>67</v>
      </c>
      <c r="D12675" t="s">
        <v>67</v>
      </c>
      <c r="E12675" t="s">
        <v>67</v>
      </c>
      <c r="F12675" t="s">
        <v>45</v>
      </c>
      <c r="G12675" s="117">
        <v>53.3</v>
      </c>
    </row>
    <row r="12676" spans="1:7" x14ac:dyDescent="0.25">
      <c r="A12676" s="116" t="s">
        <v>19871</v>
      </c>
      <c r="B12676" s="117" t="s">
        <v>2445</v>
      </c>
      <c r="C12676" t="s">
        <v>67</v>
      </c>
      <c r="D12676" t="s">
        <v>67</v>
      </c>
      <c r="E12676" t="s">
        <v>67</v>
      </c>
      <c r="F12676" t="s">
        <v>27987</v>
      </c>
      <c r="G12676" s="117">
        <v>31.06</v>
      </c>
    </row>
    <row r="12677" spans="1:7" x14ac:dyDescent="0.25">
      <c r="A12677" s="116" t="s">
        <v>19872</v>
      </c>
      <c r="B12677" s="117" t="s">
        <v>19873</v>
      </c>
      <c r="C12677" t="s">
        <v>67</v>
      </c>
      <c r="D12677" t="s">
        <v>67</v>
      </c>
      <c r="E12677" t="s">
        <v>67</v>
      </c>
      <c r="F12677" t="s">
        <v>27987</v>
      </c>
      <c r="G12677" s="117">
        <v>12.01</v>
      </c>
    </row>
    <row r="12678" spans="1:7" x14ac:dyDescent="0.25">
      <c r="A12678" s="116" t="s">
        <v>19874</v>
      </c>
      <c r="B12678" s="117" t="s">
        <v>19875</v>
      </c>
      <c r="C12678" t="s">
        <v>67</v>
      </c>
      <c r="D12678" t="s">
        <v>67</v>
      </c>
      <c r="E12678" t="s">
        <v>67</v>
      </c>
      <c r="F12678" t="s">
        <v>45</v>
      </c>
      <c r="G12678" s="117">
        <v>13.26</v>
      </c>
    </row>
    <row r="12679" spans="1:7" x14ac:dyDescent="0.25">
      <c r="A12679" s="116" t="s">
        <v>19876</v>
      </c>
      <c r="B12679" s="117" t="s">
        <v>19877</v>
      </c>
      <c r="C12679" t="s">
        <v>67</v>
      </c>
      <c r="D12679" t="s">
        <v>67</v>
      </c>
      <c r="E12679" t="s">
        <v>67</v>
      </c>
      <c r="F12679" t="s">
        <v>27987</v>
      </c>
      <c r="G12679" s="117">
        <v>57.75</v>
      </c>
    </row>
    <row r="12680" spans="1:7" x14ac:dyDescent="0.25">
      <c r="A12680" s="116" t="s">
        <v>19878</v>
      </c>
      <c r="B12680" s="117" t="s">
        <v>19879</v>
      </c>
      <c r="C12680" t="s">
        <v>67</v>
      </c>
      <c r="D12680" t="s">
        <v>67</v>
      </c>
      <c r="E12680" t="s">
        <v>67</v>
      </c>
      <c r="F12680" t="s">
        <v>27987</v>
      </c>
      <c r="G12680" s="117">
        <v>106.33</v>
      </c>
    </row>
    <row r="12681" spans="1:7" x14ac:dyDescent="0.25">
      <c r="A12681" s="116" t="s">
        <v>19880</v>
      </c>
      <c r="B12681" s="117" t="s">
        <v>19881</v>
      </c>
      <c r="C12681" t="s">
        <v>67</v>
      </c>
      <c r="D12681" t="s">
        <v>67</v>
      </c>
      <c r="E12681" t="s">
        <v>67</v>
      </c>
      <c r="F12681" t="s">
        <v>45</v>
      </c>
      <c r="G12681" s="117">
        <v>212.58</v>
      </c>
    </row>
    <row r="12682" spans="1:7" x14ac:dyDescent="0.25">
      <c r="A12682" s="116" t="s">
        <v>19882</v>
      </c>
      <c r="B12682" s="117" t="s">
        <v>19883</v>
      </c>
      <c r="C12682" t="s">
        <v>67</v>
      </c>
      <c r="D12682" t="s">
        <v>67</v>
      </c>
      <c r="E12682" t="s">
        <v>67</v>
      </c>
      <c r="F12682" t="s">
        <v>27987</v>
      </c>
      <c r="G12682" s="117">
        <v>8.89</v>
      </c>
    </row>
    <row r="12683" spans="1:7" x14ac:dyDescent="0.25">
      <c r="A12683" s="116" t="s">
        <v>19884</v>
      </c>
      <c r="B12683" s="117" t="s">
        <v>19885</v>
      </c>
      <c r="C12683" t="s">
        <v>67</v>
      </c>
      <c r="D12683" t="s">
        <v>67</v>
      </c>
      <c r="E12683" t="s">
        <v>67</v>
      </c>
      <c r="F12683" t="s">
        <v>27987</v>
      </c>
      <c r="G12683" s="117">
        <v>101.88</v>
      </c>
    </row>
    <row r="12684" spans="1:7" x14ac:dyDescent="0.25">
      <c r="A12684" s="116" t="s">
        <v>19886</v>
      </c>
      <c r="B12684" s="117" t="s">
        <v>19887</v>
      </c>
      <c r="C12684" t="s">
        <v>67</v>
      </c>
      <c r="D12684" t="s">
        <v>67</v>
      </c>
      <c r="E12684" t="s">
        <v>67</v>
      </c>
      <c r="F12684" t="s">
        <v>45</v>
      </c>
      <c r="G12684" s="117">
        <v>144.06</v>
      </c>
    </row>
    <row r="12685" spans="1:7" x14ac:dyDescent="0.25">
      <c r="A12685" s="116" t="s">
        <v>19888</v>
      </c>
      <c r="B12685" s="117" t="s">
        <v>19889</v>
      </c>
      <c r="C12685" t="s">
        <v>67</v>
      </c>
      <c r="D12685" t="s">
        <v>67</v>
      </c>
      <c r="E12685" t="s">
        <v>67</v>
      </c>
      <c r="F12685" t="s">
        <v>45</v>
      </c>
      <c r="G12685" s="117">
        <v>424.89</v>
      </c>
    </row>
    <row r="12686" spans="1:7" x14ac:dyDescent="0.25">
      <c r="A12686" s="116" t="s">
        <v>19890</v>
      </c>
      <c r="B12686" s="117" t="s">
        <v>19889</v>
      </c>
      <c r="C12686" t="s">
        <v>67</v>
      </c>
      <c r="D12686" t="s">
        <v>67</v>
      </c>
      <c r="E12686" t="s">
        <v>67</v>
      </c>
      <c r="F12686" t="s">
        <v>27987</v>
      </c>
      <c r="G12686" s="117">
        <v>408.35</v>
      </c>
    </row>
    <row r="12687" spans="1:7" x14ac:dyDescent="0.25">
      <c r="A12687" s="116" t="s">
        <v>19891</v>
      </c>
      <c r="B12687" s="117" t="s">
        <v>19892</v>
      </c>
      <c r="C12687" t="s">
        <v>67</v>
      </c>
      <c r="D12687" t="s">
        <v>67</v>
      </c>
      <c r="E12687" t="s">
        <v>67</v>
      </c>
      <c r="F12687" t="s">
        <v>45</v>
      </c>
      <c r="G12687" s="117">
        <v>3.12</v>
      </c>
    </row>
    <row r="12688" spans="1:7" x14ac:dyDescent="0.25">
      <c r="A12688" s="116" t="s">
        <v>19893</v>
      </c>
      <c r="B12688" s="117" t="s">
        <v>19892</v>
      </c>
      <c r="C12688" t="s">
        <v>67</v>
      </c>
      <c r="D12688" t="s">
        <v>67</v>
      </c>
      <c r="E12688" t="s">
        <v>67</v>
      </c>
      <c r="F12688" t="s">
        <v>45</v>
      </c>
      <c r="G12688" s="117">
        <v>6.14</v>
      </c>
    </row>
    <row r="12689" spans="1:7" x14ac:dyDescent="0.25">
      <c r="A12689" s="116" t="s">
        <v>19894</v>
      </c>
      <c r="B12689" s="117" t="s">
        <v>19895</v>
      </c>
      <c r="C12689" t="s">
        <v>67</v>
      </c>
      <c r="D12689" t="s">
        <v>67</v>
      </c>
      <c r="E12689" t="s">
        <v>67</v>
      </c>
      <c r="F12689" t="s">
        <v>45</v>
      </c>
      <c r="G12689" s="117">
        <v>3.12</v>
      </c>
    </row>
    <row r="12690" spans="1:7" x14ac:dyDescent="0.25">
      <c r="A12690" s="116" t="s">
        <v>19896</v>
      </c>
      <c r="B12690" s="117" t="s">
        <v>19895</v>
      </c>
      <c r="C12690" t="s">
        <v>67</v>
      </c>
      <c r="D12690" t="s">
        <v>67</v>
      </c>
      <c r="E12690" t="s">
        <v>67</v>
      </c>
      <c r="F12690" t="s">
        <v>45</v>
      </c>
      <c r="G12690" s="117">
        <v>6.14</v>
      </c>
    </row>
    <row r="12691" spans="1:7" x14ac:dyDescent="0.25">
      <c r="A12691" s="116" t="s">
        <v>19897</v>
      </c>
      <c r="B12691" s="117" t="s">
        <v>19898</v>
      </c>
      <c r="C12691" t="s">
        <v>67</v>
      </c>
      <c r="D12691" t="s">
        <v>67</v>
      </c>
      <c r="E12691" t="s">
        <v>67</v>
      </c>
      <c r="F12691" t="s">
        <v>49</v>
      </c>
      <c r="G12691" s="117">
        <v>47.61</v>
      </c>
    </row>
    <row r="12692" spans="1:7" x14ac:dyDescent="0.25">
      <c r="A12692" s="116" t="s">
        <v>19899</v>
      </c>
      <c r="B12692" s="117" t="s">
        <v>19900</v>
      </c>
      <c r="C12692" t="s">
        <v>67</v>
      </c>
      <c r="D12692" t="s">
        <v>67</v>
      </c>
      <c r="E12692" t="s">
        <v>67</v>
      </c>
      <c r="F12692" t="s">
        <v>45</v>
      </c>
      <c r="G12692" s="117">
        <v>53.3</v>
      </c>
    </row>
    <row r="12693" spans="1:7" x14ac:dyDescent="0.25">
      <c r="A12693" s="116" t="s">
        <v>19901</v>
      </c>
      <c r="B12693" s="117" t="s">
        <v>2445</v>
      </c>
      <c r="C12693" t="s">
        <v>67</v>
      </c>
      <c r="D12693" t="s">
        <v>67</v>
      </c>
      <c r="E12693" t="s">
        <v>67</v>
      </c>
      <c r="F12693" t="s">
        <v>49</v>
      </c>
      <c r="G12693" s="117">
        <v>104.02</v>
      </c>
    </row>
    <row r="12694" spans="1:7" x14ac:dyDescent="0.25">
      <c r="A12694" s="116" t="s">
        <v>19902</v>
      </c>
      <c r="B12694" s="117" t="s">
        <v>19903</v>
      </c>
      <c r="C12694" t="s">
        <v>67</v>
      </c>
      <c r="D12694" t="s">
        <v>67</v>
      </c>
      <c r="E12694" t="s">
        <v>67</v>
      </c>
      <c r="F12694" t="s">
        <v>49</v>
      </c>
      <c r="G12694" s="117">
        <v>73.760000000000005</v>
      </c>
    </row>
    <row r="12695" spans="1:7" x14ac:dyDescent="0.25">
      <c r="A12695" s="116" t="s">
        <v>19904</v>
      </c>
      <c r="B12695" s="117" t="s">
        <v>19863</v>
      </c>
      <c r="C12695" t="s">
        <v>67</v>
      </c>
      <c r="D12695" t="s">
        <v>67</v>
      </c>
      <c r="E12695" t="s">
        <v>67</v>
      </c>
      <c r="F12695" t="s">
        <v>27987</v>
      </c>
      <c r="G12695" s="117">
        <v>85.33</v>
      </c>
    </row>
    <row r="12696" spans="1:7" x14ac:dyDescent="0.25">
      <c r="A12696" s="116" t="s">
        <v>19905</v>
      </c>
      <c r="B12696" s="117" t="s">
        <v>19906</v>
      </c>
      <c r="C12696" t="s">
        <v>67</v>
      </c>
      <c r="D12696" t="s">
        <v>67</v>
      </c>
      <c r="E12696" t="s">
        <v>67</v>
      </c>
      <c r="F12696" t="s">
        <v>45</v>
      </c>
      <c r="G12696" s="117">
        <v>26.25</v>
      </c>
    </row>
    <row r="12697" spans="1:7" x14ac:dyDescent="0.25">
      <c r="A12697" s="116" t="s">
        <v>19907</v>
      </c>
      <c r="B12697" s="117" t="s">
        <v>19908</v>
      </c>
      <c r="C12697" t="s">
        <v>67</v>
      </c>
      <c r="D12697" t="s">
        <v>67</v>
      </c>
      <c r="E12697" t="s">
        <v>67</v>
      </c>
      <c r="F12697" t="s">
        <v>27987</v>
      </c>
      <c r="G12697" s="117">
        <v>212.58</v>
      </c>
    </row>
    <row r="12698" spans="1:7" x14ac:dyDescent="0.25">
      <c r="A12698" s="116" t="s">
        <v>19909</v>
      </c>
      <c r="B12698" s="117" t="s">
        <v>19910</v>
      </c>
      <c r="C12698" t="s">
        <v>67</v>
      </c>
      <c r="D12698" t="s">
        <v>67</v>
      </c>
      <c r="E12698" t="s">
        <v>67</v>
      </c>
      <c r="F12698" t="s">
        <v>27987</v>
      </c>
      <c r="G12698" s="117">
        <v>217.02</v>
      </c>
    </row>
    <row r="12699" spans="1:7" x14ac:dyDescent="0.25">
      <c r="A12699" s="116" t="s">
        <v>19911</v>
      </c>
      <c r="B12699" s="117" t="s">
        <v>19870</v>
      </c>
      <c r="C12699" t="s">
        <v>67</v>
      </c>
      <c r="D12699" t="s">
        <v>67</v>
      </c>
      <c r="E12699" t="s">
        <v>67</v>
      </c>
      <c r="F12699" t="s">
        <v>45</v>
      </c>
      <c r="G12699" s="117">
        <v>49.74</v>
      </c>
    </row>
    <row r="12700" spans="1:7" x14ac:dyDescent="0.25">
      <c r="A12700" s="116" t="s">
        <v>19912</v>
      </c>
      <c r="B12700" s="117" t="s">
        <v>19913</v>
      </c>
      <c r="C12700" t="s">
        <v>67</v>
      </c>
      <c r="D12700" t="s">
        <v>67</v>
      </c>
      <c r="E12700" t="s">
        <v>67</v>
      </c>
      <c r="F12700" t="s">
        <v>45</v>
      </c>
      <c r="G12700" s="117">
        <v>121.82</v>
      </c>
    </row>
    <row r="12701" spans="1:7" x14ac:dyDescent="0.25">
      <c r="A12701" s="116" t="s">
        <v>19914</v>
      </c>
      <c r="B12701" s="117" t="s">
        <v>19915</v>
      </c>
      <c r="C12701" t="s">
        <v>67</v>
      </c>
      <c r="D12701" t="s">
        <v>67</v>
      </c>
      <c r="E12701" t="s">
        <v>67</v>
      </c>
      <c r="F12701" t="s">
        <v>45</v>
      </c>
      <c r="G12701" s="117">
        <v>144.6</v>
      </c>
    </row>
    <row r="12702" spans="1:7" x14ac:dyDescent="0.25">
      <c r="A12702" s="116" t="s">
        <v>19916</v>
      </c>
      <c r="B12702" s="117" t="s">
        <v>19917</v>
      </c>
      <c r="C12702" t="s">
        <v>67</v>
      </c>
      <c r="D12702" t="s">
        <v>67</v>
      </c>
      <c r="E12702" t="s">
        <v>67</v>
      </c>
      <c r="F12702" t="s">
        <v>27987</v>
      </c>
      <c r="G12702" s="117">
        <v>48.5</v>
      </c>
    </row>
    <row r="12703" spans="1:7" x14ac:dyDescent="0.25">
      <c r="A12703" s="116" t="s">
        <v>19918</v>
      </c>
      <c r="B12703" s="117" t="s">
        <v>19919</v>
      </c>
      <c r="C12703" t="s">
        <v>67</v>
      </c>
      <c r="D12703" t="s">
        <v>67</v>
      </c>
      <c r="E12703" t="s">
        <v>67</v>
      </c>
      <c r="F12703" t="s">
        <v>27987</v>
      </c>
      <c r="G12703" s="117">
        <v>14.14</v>
      </c>
    </row>
    <row r="12704" spans="1:7" x14ac:dyDescent="0.25">
      <c r="A12704" s="116" t="s">
        <v>19920</v>
      </c>
      <c r="B12704" s="117" t="s">
        <v>19921</v>
      </c>
      <c r="C12704" t="s">
        <v>67</v>
      </c>
      <c r="D12704" t="s">
        <v>67</v>
      </c>
      <c r="E12704" t="s">
        <v>67</v>
      </c>
      <c r="F12704" t="s">
        <v>27987</v>
      </c>
      <c r="G12704" s="117">
        <v>189.08</v>
      </c>
    </row>
    <row r="12705" spans="1:7" x14ac:dyDescent="0.25">
      <c r="A12705" s="116" t="s">
        <v>19922</v>
      </c>
      <c r="B12705" s="117" t="s">
        <v>15414</v>
      </c>
      <c r="C12705" t="s">
        <v>67</v>
      </c>
      <c r="D12705" t="s">
        <v>67</v>
      </c>
      <c r="E12705" t="s">
        <v>67</v>
      </c>
      <c r="F12705" t="s">
        <v>49</v>
      </c>
      <c r="G12705" s="117">
        <v>13.26</v>
      </c>
    </row>
    <row r="12706" spans="1:7" x14ac:dyDescent="0.25">
      <c r="A12706" s="116" t="s">
        <v>19923</v>
      </c>
      <c r="B12706" s="117" t="s">
        <v>19924</v>
      </c>
      <c r="C12706" t="s">
        <v>67</v>
      </c>
      <c r="D12706" t="s">
        <v>67</v>
      </c>
      <c r="E12706" t="s">
        <v>67</v>
      </c>
      <c r="F12706" t="s">
        <v>27987</v>
      </c>
      <c r="G12706" s="117">
        <v>26.25</v>
      </c>
    </row>
    <row r="12707" spans="1:7" x14ac:dyDescent="0.25">
      <c r="A12707" s="116" t="s">
        <v>19925</v>
      </c>
      <c r="B12707" s="117" t="s">
        <v>19926</v>
      </c>
      <c r="C12707" t="s">
        <v>67</v>
      </c>
      <c r="D12707" t="s">
        <v>67</v>
      </c>
      <c r="E12707" t="s">
        <v>67</v>
      </c>
      <c r="F12707" t="s">
        <v>45</v>
      </c>
      <c r="G12707" s="117">
        <v>276.3</v>
      </c>
    </row>
    <row r="12708" spans="1:7" x14ac:dyDescent="0.25">
      <c r="A12708" s="116" t="s">
        <v>19927</v>
      </c>
      <c r="B12708" s="117" t="s">
        <v>16798</v>
      </c>
      <c r="C12708" t="s">
        <v>67</v>
      </c>
      <c r="D12708" t="s">
        <v>67</v>
      </c>
      <c r="E12708" t="s">
        <v>67</v>
      </c>
      <c r="F12708" t="s">
        <v>27990</v>
      </c>
      <c r="G12708" s="117">
        <v>34.26</v>
      </c>
    </row>
    <row r="12709" spans="1:7" x14ac:dyDescent="0.25">
      <c r="A12709" s="116" t="s">
        <v>19928</v>
      </c>
      <c r="B12709" s="117" t="s">
        <v>19929</v>
      </c>
      <c r="C12709" t="s">
        <v>67</v>
      </c>
      <c r="D12709" t="s">
        <v>67</v>
      </c>
      <c r="E12709" t="s">
        <v>67</v>
      </c>
      <c r="F12709" t="s">
        <v>27987</v>
      </c>
      <c r="G12709" s="117">
        <v>41.38</v>
      </c>
    </row>
    <row r="12710" spans="1:7" x14ac:dyDescent="0.25">
      <c r="A12710" s="116" t="s">
        <v>19930</v>
      </c>
      <c r="B12710" s="117" t="s">
        <v>19931</v>
      </c>
      <c r="C12710" t="s">
        <v>67</v>
      </c>
      <c r="D12710" t="s">
        <v>67</v>
      </c>
      <c r="E12710" t="s">
        <v>67</v>
      </c>
      <c r="F12710" t="s">
        <v>27987</v>
      </c>
      <c r="G12710" s="117">
        <v>30.17</v>
      </c>
    </row>
    <row r="12711" spans="1:7" x14ac:dyDescent="0.25">
      <c r="A12711" s="116" t="s">
        <v>19932</v>
      </c>
      <c r="B12711" s="117" t="s">
        <v>19931</v>
      </c>
      <c r="C12711" t="s">
        <v>67</v>
      </c>
      <c r="D12711" t="s">
        <v>67</v>
      </c>
      <c r="E12711" t="s">
        <v>67</v>
      </c>
      <c r="F12711" t="s">
        <v>27987</v>
      </c>
      <c r="G12711" s="117">
        <v>30.7</v>
      </c>
    </row>
    <row r="12712" spans="1:7" x14ac:dyDescent="0.25">
      <c r="A12712" s="116" t="s">
        <v>19933</v>
      </c>
      <c r="B12712" s="117" t="s">
        <v>19934</v>
      </c>
      <c r="C12712" t="s">
        <v>67</v>
      </c>
      <c r="D12712" t="s">
        <v>67</v>
      </c>
      <c r="E12712" t="s">
        <v>67</v>
      </c>
      <c r="F12712" t="s">
        <v>27987</v>
      </c>
      <c r="G12712" s="117">
        <v>31.06</v>
      </c>
    </row>
    <row r="12713" spans="1:7" x14ac:dyDescent="0.25">
      <c r="A12713" s="116" t="s">
        <v>19935</v>
      </c>
      <c r="B12713" s="117" t="s">
        <v>19936</v>
      </c>
      <c r="C12713" t="s">
        <v>67</v>
      </c>
      <c r="D12713" t="s">
        <v>67</v>
      </c>
      <c r="E12713" t="s">
        <v>67</v>
      </c>
      <c r="F12713" t="s">
        <v>27987</v>
      </c>
      <c r="G12713" s="117">
        <v>99.21</v>
      </c>
    </row>
    <row r="12714" spans="1:7" x14ac:dyDescent="0.25">
      <c r="A12714" s="116" t="s">
        <v>19937</v>
      </c>
      <c r="B12714" s="117" t="s">
        <v>19811</v>
      </c>
      <c r="C12714" t="s">
        <v>67</v>
      </c>
      <c r="D12714" t="s">
        <v>67</v>
      </c>
      <c r="E12714" t="s">
        <v>67</v>
      </c>
      <c r="F12714" t="s">
        <v>27987</v>
      </c>
      <c r="G12714" s="117">
        <v>96.9</v>
      </c>
    </row>
    <row r="12715" spans="1:7" x14ac:dyDescent="0.25">
      <c r="A12715" s="116" t="s">
        <v>19938</v>
      </c>
      <c r="B12715" s="117" t="s">
        <v>19939</v>
      </c>
      <c r="C12715" t="s">
        <v>67</v>
      </c>
      <c r="D12715" t="s">
        <v>67</v>
      </c>
      <c r="E12715" t="s">
        <v>67</v>
      </c>
      <c r="F12715" t="s">
        <v>45</v>
      </c>
      <c r="G12715" s="117">
        <v>2.58</v>
      </c>
    </row>
    <row r="12716" spans="1:7" x14ac:dyDescent="0.25">
      <c r="A12716" s="116" t="s">
        <v>19940</v>
      </c>
      <c r="B12716" s="117" t="s">
        <v>19941</v>
      </c>
      <c r="C12716" t="s">
        <v>67</v>
      </c>
      <c r="D12716" t="s">
        <v>67</v>
      </c>
      <c r="E12716" t="s">
        <v>67</v>
      </c>
      <c r="F12716" t="s">
        <v>27987</v>
      </c>
      <c r="G12716" s="117">
        <v>24.99</v>
      </c>
    </row>
    <row r="12717" spans="1:7" x14ac:dyDescent="0.25">
      <c r="A12717" s="116" t="s">
        <v>19942</v>
      </c>
      <c r="B12717" s="117" t="s">
        <v>19943</v>
      </c>
      <c r="C12717" t="s">
        <v>67</v>
      </c>
      <c r="D12717" t="s">
        <v>67</v>
      </c>
      <c r="E12717" t="s">
        <v>67</v>
      </c>
      <c r="F12717" t="s">
        <v>27987</v>
      </c>
      <c r="G12717" s="117">
        <v>378.08</v>
      </c>
    </row>
    <row r="12718" spans="1:7" x14ac:dyDescent="0.25">
      <c r="A12718" s="116" t="s">
        <v>19944</v>
      </c>
      <c r="B12718" s="117" t="s">
        <v>19945</v>
      </c>
      <c r="C12718" t="s">
        <v>67</v>
      </c>
      <c r="D12718" t="s">
        <v>67</v>
      </c>
      <c r="E12718" t="s">
        <v>67</v>
      </c>
      <c r="F12718" t="s">
        <v>27987</v>
      </c>
      <c r="G12718" s="117">
        <v>14.83</v>
      </c>
    </row>
    <row r="12719" spans="1:7" x14ac:dyDescent="0.25">
      <c r="A12719" s="116" t="s">
        <v>19946</v>
      </c>
      <c r="B12719" s="117" t="s">
        <v>19947</v>
      </c>
      <c r="C12719" t="s">
        <v>67</v>
      </c>
      <c r="D12719" t="s">
        <v>67</v>
      </c>
      <c r="E12719" t="s">
        <v>67</v>
      </c>
      <c r="F12719" t="s">
        <v>45</v>
      </c>
      <c r="G12719" s="117">
        <v>784.74</v>
      </c>
    </row>
    <row r="12720" spans="1:7" x14ac:dyDescent="0.25">
      <c r="A12720" s="116" t="s">
        <v>19948</v>
      </c>
      <c r="B12720" s="117" t="s">
        <v>12248</v>
      </c>
      <c r="C12720" t="s">
        <v>67</v>
      </c>
      <c r="D12720" t="s">
        <v>67</v>
      </c>
      <c r="E12720" t="s">
        <v>67</v>
      </c>
      <c r="F12720" t="s">
        <v>27987</v>
      </c>
      <c r="G12720" s="117">
        <v>10.58</v>
      </c>
    </row>
    <row r="12721" spans="1:7" x14ac:dyDescent="0.25">
      <c r="A12721" s="116" t="s">
        <v>19949</v>
      </c>
      <c r="B12721" s="117" t="s">
        <v>19950</v>
      </c>
      <c r="C12721" t="s">
        <v>67</v>
      </c>
      <c r="D12721" t="s">
        <v>67</v>
      </c>
      <c r="E12721" t="s">
        <v>67</v>
      </c>
      <c r="F12721" t="s">
        <v>27987</v>
      </c>
      <c r="G12721" s="117">
        <v>61.85</v>
      </c>
    </row>
    <row r="12722" spans="1:7" x14ac:dyDescent="0.25">
      <c r="A12722" s="116" t="s">
        <v>19951</v>
      </c>
      <c r="B12722" s="117" t="s">
        <v>19952</v>
      </c>
      <c r="C12722" t="s">
        <v>67</v>
      </c>
      <c r="D12722" t="s">
        <v>67</v>
      </c>
      <c r="E12722" t="s">
        <v>67</v>
      </c>
      <c r="F12722" t="s">
        <v>27987</v>
      </c>
      <c r="G12722" s="117">
        <v>41.74</v>
      </c>
    </row>
    <row r="12723" spans="1:7" x14ac:dyDescent="0.25">
      <c r="A12723" s="116" t="s">
        <v>19953</v>
      </c>
      <c r="B12723" s="117" t="s">
        <v>19952</v>
      </c>
      <c r="C12723" t="s">
        <v>67</v>
      </c>
      <c r="D12723" t="s">
        <v>67</v>
      </c>
      <c r="E12723" t="s">
        <v>67</v>
      </c>
      <c r="F12723" t="s">
        <v>45</v>
      </c>
      <c r="G12723" s="117">
        <v>26.61</v>
      </c>
    </row>
    <row r="12724" spans="1:7" x14ac:dyDescent="0.25">
      <c r="A12724" s="116" t="s">
        <v>19954</v>
      </c>
      <c r="B12724" s="117" t="s">
        <v>13389</v>
      </c>
      <c r="C12724" t="s">
        <v>67</v>
      </c>
      <c r="D12724" t="s">
        <v>67</v>
      </c>
      <c r="E12724" t="s">
        <v>67</v>
      </c>
      <c r="F12724" t="s">
        <v>49</v>
      </c>
      <c r="G12724" s="117">
        <v>44.05</v>
      </c>
    </row>
    <row r="12725" spans="1:7" x14ac:dyDescent="0.25">
      <c r="A12725" s="116" t="s">
        <v>19955</v>
      </c>
      <c r="B12725" s="117" t="s">
        <v>19956</v>
      </c>
      <c r="C12725" t="s">
        <v>67</v>
      </c>
      <c r="D12725" t="s">
        <v>67</v>
      </c>
      <c r="E12725" t="s">
        <v>67</v>
      </c>
      <c r="F12725" t="s">
        <v>45</v>
      </c>
      <c r="G12725" s="117">
        <v>31.06</v>
      </c>
    </row>
    <row r="12726" spans="1:7" x14ac:dyDescent="0.25">
      <c r="A12726" s="116" t="s">
        <v>19957</v>
      </c>
      <c r="B12726" s="117" t="s">
        <v>19958</v>
      </c>
      <c r="C12726" t="s">
        <v>67</v>
      </c>
      <c r="D12726" t="s">
        <v>67</v>
      </c>
      <c r="E12726" t="s">
        <v>67</v>
      </c>
      <c r="F12726" t="s">
        <v>27987</v>
      </c>
      <c r="G12726" s="117">
        <v>102.77</v>
      </c>
    </row>
    <row r="12727" spans="1:7" x14ac:dyDescent="0.25">
      <c r="A12727" s="116" t="s">
        <v>19959</v>
      </c>
      <c r="B12727" s="117" t="s">
        <v>19859</v>
      </c>
      <c r="C12727" t="s">
        <v>67</v>
      </c>
      <c r="D12727" t="s">
        <v>67</v>
      </c>
      <c r="E12727" t="s">
        <v>67</v>
      </c>
      <c r="F12727" t="s">
        <v>45</v>
      </c>
      <c r="G12727" s="117">
        <v>102.77</v>
      </c>
    </row>
    <row r="12728" spans="1:7" x14ac:dyDescent="0.25">
      <c r="A12728" s="116" t="s">
        <v>19960</v>
      </c>
      <c r="B12728" s="117" t="s">
        <v>19961</v>
      </c>
      <c r="C12728" t="s">
        <v>67</v>
      </c>
      <c r="D12728" t="s">
        <v>67</v>
      </c>
      <c r="E12728" t="s">
        <v>67</v>
      </c>
      <c r="F12728" t="s">
        <v>49</v>
      </c>
      <c r="G12728" s="117">
        <v>41.38</v>
      </c>
    </row>
    <row r="12729" spans="1:7" x14ac:dyDescent="0.25">
      <c r="A12729" s="116" t="s">
        <v>19962</v>
      </c>
      <c r="B12729" s="117" t="s">
        <v>19963</v>
      </c>
      <c r="C12729" t="s">
        <v>67</v>
      </c>
      <c r="D12729" t="s">
        <v>67</v>
      </c>
      <c r="E12729" t="s">
        <v>67</v>
      </c>
      <c r="F12729" t="s">
        <v>27987</v>
      </c>
      <c r="G12729" s="117">
        <v>9.6999999999999993</v>
      </c>
    </row>
    <row r="12730" spans="1:7" x14ac:dyDescent="0.25">
      <c r="A12730" s="116" t="s">
        <v>19964</v>
      </c>
      <c r="B12730" s="117" t="s">
        <v>19965</v>
      </c>
      <c r="C12730" t="s">
        <v>67</v>
      </c>
      <c r="D12730" t="s">
        <v>67</v>
      </c>
      <c r="E12730" t="s">
        <v>67</v>
      </c>
      <c r="F12730" t="s">
        <v>45</v>
      </c>
      <c r="G12730" s="117">
        <v>50.27</v>
      </c>
    </row>
    <row r="12731" spans="1:7" x14ac:dyDescent="0.25">
      <c r="A12731" s="116" t="s">
        <v>19966</v>
      </c>
      <c r="B12731" s="117" t="s">
        <v>2445</v>
      </c>
      <c r="C12731" t="s">
        <v>67</v>
      </c>
      <c r="D12731" t="s">
        <v>67</v>
      </c>
      <c r="E12731" t="s">
        <v>67</v>
      </c>
      <c r="F12731" t="s">
        <v>27987</v>
      </c>
      <c r="G12731" s="117">
        <v>82.67</v>
      </c>
    </row>
    <row r="12732" spans="1:7" x14ac:dyDescent="0.25">
      <c r="A12732" s="116" t="s">
        <v>19967</v>
      </c>
      <c r="B12732" s="117" t="s">
        <v>19968</v>
      </c>
      <c r="C12732" t="s">
        <v>67</v>
      </c>
      <c r="D12732" t="s">
        <v>67</v>
      </c>
      <c r="E12732" t="s">
        <v>67</v>
      </c>
      <c r="F12732" t="s">
        <v>27987</v>
      </c>
      <c r="G12732" s="117">
        <v>613.54</v>
      </c>
    </row>
    <row r="12733" spans="1:7" x14ac:dyDescent="0.25">
      <c r="A12733" s="116" t="s">
        <v>19969</v>
      </c>
      <c r="B12733" s="117" t="s">
        <v>19970</v>
      </c>
      <c r="C12733" t="s">
        <v>67</v>
      </c>
      <c r="D12733" t="s">
        <v>67</v>
      </c>
      <c r="E12733" t="s">
        <v>67</v>
      </c>
      <c r="F12733" t="s">
        <v>27987</v>
      </c>
      <c r="G12733" s="117">
        <v>31.06</v>
      </c>
    </row>
    <row r="12734" spans="1:7" x14ac:dyDescent="0.25">
      <c r="A12734" s="116" t="s">
        <v>19971</v>
      </c>
      <c r="B12734" s="117" t="s">
        <v>19972</v>
      </c>
      <c r="C12734" t="s">
        <v>67</v>
      </c>
      <c r="D12734" t="s">
        <v>67</v>
      </c>
      <c r="E12734" t="s">
        <v>67</v>
      </c>
      <c r="F12734" t="s">
        <v>45</v>
      </c>
      <c r="G12734" s="117">
        <v>19.13</v>
      </c>
    </row>
    <row r="12735" spans="1:7" x14ac:dyDescent="0.25">
      <c r="A12735" s="116" t="s">
        <v>19973</v>
      </c>
      <c r="B12735" s="117" t="s">
        <v>19974</v>
      </c>
      <c r="C12735" t="s">
        <v>67</v>
      </c>
      <c r="D12735" t="s">
        <v>67</v>
      </c>
      <c r="E12735" t="s">
        <v>67</v>
      </c>
      <c r="F12735" t="s">
        <v>45</v>
      </c>
      <c r="G12735" s="117">
        <v>33.369999999999997</v>
      </c>
    </row>
    <row r="12736" spans="1:7" x14ac:dyDescent="0.25">
      <c r="A12736" s="116" t="s">
        <v>19975</v>
      </c>
      <c r="B12736" s="117" t="s">
        <v>19976</v>
      </c>
      <c r="C12736" t="s">
        <v>67</v>
      </c>
      <c r="D12736" t="s">
        <v>67</v>
      </c>
      <c r="E12736" t="s">
        <v>67</v>
      </c>
      <c r="F12736" t="s">
        <v>27987</v>
      </c>
      <c r="G12736" s="117">
        <v>34.619999999999997</v>
      </c>
    </row>
    <row r="12737" spans="1:7" x14ac:dyDescent="0.25">
      <c r="A12737" s="116" t="s">
        <v>19977</v>
      </c>
      <c r="B12737" s="117" t="s">
        <v>2445</v>
      </c>
      <c r="C12737" t="s">
        <v>67</v>
      </c>
      <c r="D12737" t="s">
        <v>67</v>
      </c>
      <c r="E12737" t="s">
        <v>67</v>
      </c>
      <c r="F12737" t="s">
        <v>27987</v>
      </c>
      <c r="G12737" s="117">
        <v>33.369999999999997</v>
      </c>
    </row>
    <row r="12738" spans="1:7" x14ac:dyDescent="0.25">
      <c r="A12738" s="116" t="s">
        <v>19978</v>
      </c>
      <c r="B12738" s="117" t="s">
        <v>19979</v>
      </c>
      <c r="C12738" t="s">
        <v>67</v>
      </c>
      <c r="D12738" t="s">
        <v>67</v>
      </c>
      <c r="E12738" t="s">
        <v>67</v>
      </c>
      <c r="F12738" t="s">
        <v>27987</v>
      </c>
      <c r="G12738" s="117">
        <v>105.8</v>
      </c>
    </row>
    <row r="12739" spans="1:7" x14ac:dyDescent="0.25">
      <c r="A12739" s="116" t="s">
        <v>19980</v>
      </c>
      <c r="B12739" s="117" t="s">
        <v>19981</v>
      </c>
      <c r="C12739" t="s">
        <v>67</v>
      </c>
      <c r="D12739" t="s">
        <v>67</v>
      </c>
      <c r="E12739" t="s">
        <v>67</v>
      </c>
      <c r="F12739" t="s">
        <v>27987</v>
      </c>
      <c r="G12739" s="117">
        <v>672.62</v>
      </c>
    </row>
    <row r="12740" spans="1:7" x14ac:dyDescent="0.25">
      <c r="A12740" s="116" t="s">
        <v>19982</v>
      </c>
      <c r="B12740" s="117" t="s">
        <v>19983</v>
      </c>
      <c r="C12740" t="s">
        <v>67</v>
      </c>
      <c r="D12740" t="s">
        <v>67</v>
      </c>
      <c r="E12740" t="s">
        <v>67</v>
      </c>
      <c r="F12740" t="s">
        <v>27987</v>
      </c>
      <c r="G12740" s="117">
        <v>236.61</v>
      </c>
    </row>
    <row r="12741" spans="1:7" x14ac:dyDescent="0.25">
      <c r="A12741" s="116" t="s">
        <v>19984</v>
      </c>
      <c r="B12741" s="117" t="s">
        <v>2445</v>
      </c>
      <c r="C12741" t="s">
        <v>67</v>
      </c>
      <c r="D12741" t="s">
        <v>67</v>
      </c>
      <c r="E12741" t="s">
        <v>67</v>
      </c>
      <c r="F12741" t="s">
        <v>27987</v>
      </c>
      <c r="G12741" s="117">
        <v>57.52</v>
      </c>
    </row>
    <row r="12742" spans="1:7" x14ac:dyDescent="0.25">
      <c r="A12742" s="116" t="s">
        <v>19985</v>
      </c>
      <c r="B12742" s="117" t="s">
        <v>19811</v>
      </c>
      <c r="C12742" t="s">
        <v>67</v>
      </c>
      <c r="D12742" t="s">
        <v>67</v>
      </c>
      <c r="E12742" t="s">
        <v>67</v>
      </c>
      <c r="F12742" t="s">
        <v>27987</v>
      </c>
      <c r="G12742" s="117">
        <v>52.06</v>
      </c>
    </row>
    <row r="12743" spans="1:7" x14ac:dyDescent="0.25">
      <c r="A12743" s="116" t="s">
        <v>19986</v>
      </c>
      <c r="B12743" s="117" t="s">
        <v>19987</v>
      </c>
      <c r="C12743" t="s">
        <v>67</v>
      </c>
      <c r="D12743" t="s">
        <v>67</v>
      </c>
      <c r="E12743" t="s">
        <v>67</v>
      </c>
      <c r="F12743" t="s">
        <v>27987</v>
      </c>
      <c r="G12743" s="117">
        <v>36.93</v>
      </c>
    </row>
    <row r="12744" spans="1:7" x14ac:dyDescent="0.25">
      <c r="A12744" s="116" t="s">
        <v>19988</v>
      </c>
      <c r="B12744" s="117" t="s">
        <v>19989</v>
      </c>
      <c r="C12744" t="s">
        <v>67</v>
      </c>
      <c r="D12744" t="s">
        <v>67</v>
      </c>
      <c r="E12744" t="s">
        <v>67</v>
      </c>
      <c r="F12744" t="s">
        <v>27987</v>
      </c>
      <c r="G12744" s="117">
        <v>91.2</v>
      </c>
    </row>
    <row r="12745" spans="1:7" x14ac:dyDescent="0.25">
      <c r="A12745" s="116" t="s">
        <v>19990</v>
      </c>
      <c r="B12745" s="117" t="s">
        <v>19991</v>
      </c>
      <c r="C12745" t="s">
        <v>67</v>
      </c>
      <c r="D12745" t="s">
        <v>67</v>
      </c>
      <c r="E12745" t="s">
        <v>67</v>
      </c>
      <c r="F12745" t="s">
        <v>27987</v>
      </c>
      <c r="G12745" s="117">
        <v>306.89999999999998</v>
      </c>
    </row>
    <row r="12746" spans="1:7" x14ac:dyDescent="0.25">
      <c r="A12746" s="116" t="s">
        <v>19992</v>
      </c>
      <c r="B12746" s="117" t="s">
        <v>19993</v>
      </c>
      <c r="C12746" t="s">
        <v>67</v>
      </c>
      <c r="D12746" t="s">
        <v>67</v>
      </c>
      <c r="E12746" t="s">
        <v>67</v>
      </c>
      <c r="F12746" t="s">
        <v>27987</v>
      </c>
      <c r="G12746" s="117">
        <v>306.89999999999998</v>
      </c>
    </row>
    <row r="12747" spans="1:7" x14ac:dyDescent="0.25">
      <c r="A12747" s="116" t="s">
        <v>19994</v>
      </c>
      <c r="B12747" s="117" t="s">
        <v>19995</v>
      </c>
      <c r="C12747" t="s">
        <v>67</v>
      </c>
      <c r="D12747" t="s">
        <v>67</v>
      </c>
      <c r="E12747" t="s">
        <v>67</v>
      </c>
      <c r="F12747" t="s">
        <v>45</v>
      </c>
      <c r="G12747" s="117">
        <v>102.77</v>
      </c>
    </row>
    <row r="12748" spans="1:7" x14ac:dyDescent="0.25">
      <c r="A12748" s="116" t="s">
        <v>19996</v>
      </c>
      <c r="B12748" s="117" t="s">
        <v>19997</v>
      </c>
      <c r="C12748" t="s">
        <v>67</v>
      </c>
      <c r="D12748" t="s">
        <v>67</v>
      </c>
      <c r="E12748" t="s">
        <v>67</v>
      </c>
      <c r="F12748" t="s">
        <v>45</v>
      </c>
      <c r="G12748" s="117">
        <v>37.82</v>
      </c>
    </row>
    <row r="12749" spans="1:7" x14ac:dyDescent="0.25">
      <c r="A12749" s="116" t="s">
        <v>19998</v>
      </c>
      <c r="B12749" s="117" t="s">
        <v>19999</v>
      </c>
      <c r="C12749" t="s">
        <v>67</v>
      </c>
      <c r="D12749" t="s">
        <v>67</v>
      </c>
      <c r="E12749" t="s">
        <v>67</v>
      </c>
      <c r="F12749" t="s">
        <v>45</v>
      </c>
      <c r="G12749" s="117">
        <v>89.79</v>
      </c>
    </row>
    <row r="12750" spans="1:7" x14ac:dyDescent="0.25">
      <c r="A12750" s="116" t="s">
        <v>20000</v>
      </c>
      <c r="B12750" s="117" t="s">
        <v>20001</v>
      </c>
      <c r="C12750" t="s">
        <v>67</v>
      </c>
      <c r="D12750" t="s">
        <v>67</v>
      </c>
      <c r="E12750" t="s">
        <v>67</v>
      </c>
      <c r="F12750" t="s">
        <v>27987</v>
      </c>
      <c r="G12750" s="117">
        <v>12.01</v>
      </c>
    </row>
    <row r="12751" spans="1:7" x14ac:dyDescent="0.25">
      <c r="A12751" s="116" t="s">
        <v>20002</v>
      </c>
      <c r="B12751" s="117" t="s">
        <v>20003</v>
      </c>
      <c r="C12751" t="s">
        <v>67</v>
      </c>
      <c r="D12751" t="s">
        <v>67</v>
      </c>
      <c r="E12751" t="s">
        <v>67</v>
      </c>
      <c r="F12751" t="s">
        <v>49</v>
      </c>
      <c r="G12751" s="117">
        <v>37.82</v>
      </c>
    </row>
    <row r="12752" spans="1:7" x14ac:dyDescent="0.25">
      <c r="A12752" s="116" t="s">
        <v>20004</v>
      </c>
      <c r="B12752" s="117" t="s">
        <v>13042</v>
      </c>
      <c r="C12752" t="s">
        <v>67</v>
      </c>
      <c r="D12752" t="s">
        <v>67</v>
      </c>
      <c r="E12752" t="s">
        <v>67</v>
      </c>
      <c r="F12752" t="s">
        <v>27987</v>
      </c>
      <c r="G12752" s="117">
        <v>29.27</v>
      </c>
    </row>
    <row r="12753" spans="1:7" x14ac:dyDescent="0.25">
      <c r="A12753" s="116" t="s">
        <v>20005</v>
      </c>
      <c r="B12753" s="117" t="s">
        <v>2445</v>
      </c>
      <c r="C12753" t="s">
        <v>67</v>
      </c>
      <c r="D12753" t="s">
        <v>67</v>
      </c>
      <c r="E12753" t="s">
        <v>67</v>
      </c>
      <c r="F12753" t="s">
        <v>27987</v>
      </c>
      <c r="G12753" s="117">
        <v>30.7</v>
      </c>
    </row>
    <row r="12754" spans="1:7" x14ac:dyDescent="0.25">
      <c r="A12754" s="116" t="s">
        <v>20006</v>
      </c>
      <c r="B12754" s="117" t="s">
        <v>20007</v>
      </c>
      <c r="C12754" t="s">
        <v>67</v>
      </c>
      <c r="D12754" t="s">
        <v>67</v>
      </c>
      <c r="E12754" t="s">
        <v>67</v>
      </c>
      <c r="F12754" t="s">
        <v>27987</v>
      </c>
      <c r="G12754" s="117">
        <v>89.79</v>
      </c>
    </row>
    <row r="12755" spans="1:7" x14ac:dyDescent="0.25">
      <c r="A12755" s="116" t="s">
        <v>29469</v>
      </c>
      <c r="B12755" s="117" t="s">
        <v>29470</v>
      </c>
      <c r="C12755" t="s">
        <v>67</v>
      </c>
      <c r="D12755" t="s">
        <v>67</v>
      </c>
      <c r="E12755" t="s">
        <v>67</v>
      </c>
      <c r="F12755" t="s">
        <v>45</v>
      </c>
      <c r="G12755" s="117">
        <v>31</v>
      </c>
    </row>
    <row r="12756" spans="1:7" x14ac:dyDescent="0.25">
      <c r="A12756" s="116" t="s">
        <v>20008</v>
      </c>
      <c r="B12756" s="117" t="s">
        <v>20009</v>
      </c>
      <c r="C12756" t="s">
        <v>67</v>
      </c>
      <c r="D12756" t="s">
        <v>67</v>
      </c>
      <c r="E12756" t="s">
        <v>67</v>
      </c>
      <c r="F12756" t="s">
        <v>27987</v>
      </c>
      <c r="G12756" s="117">
        <v>3.48</v>
      </c>
    </row>
    <row r="12757" spans="1:7" x14ac:dyDescent="0.25">
      <c r="A12757" s="116" t="s">
        <v>20010</v>
      </c>
      <c r="B12757" s="117" t="s">
        <v>20011</v>
      </c>
      <c r="C12757" t="s">
        <v>67</v>
      </c>
      <c r="D12757" t="s">
        <v>67</v>
      </c>
      <c r="E12757" t="s">
        <v>67</v>
      </c>
      <c r="F12757" t="s">
        <v>27987</v>
      </c>
      <c r="G12757" s="117">
        <v>613.54</v>
      </c>
    </row>
    <row r="12758" spans="1:7" x14ac:dyDescent="0.25">
      <c r="A12758" s="116" t="s">
        <v>20012</v>
      </c>
      <c r="B12758" s="117" t="s">
        <v>19817</v>
      </c>
      <c r="C12758" t="s">
        <v>67</v>
      </c>
      <c r="D12758" t="s">
        <v>67</v>
      </c>
      <c r="E12758" t="s">
        <v>67</v>
      </c>
      <c r="F12758" t="s">
        <v>45</v>
      </c>
      <c r="G12758" s="117">
        <v>2.58</v>
      </c>
    </row>
    <row r="12759" spans="1:7" x14ac:dyDescent="0.25">
      <c r="A12759" s="116" t="s">
        <v>20013</v>
      </c>
      <c r="B12759" s="117" t="s">
        <v>19817</v>
      </c>
      <c r="C12759" t="s">
        <v>67</v>
      </c>
      <c r="D12759" t="s">
        <v>67</v>
      </c>
      <c r="E12759" t="s">
        <v>67</v>
      </c>
      <c r="F12759" t="s">
        <v>27987</v>
      </c>
      <c r="G12759" s="117">
        <v>7.02</v>
      </c>
    </row>
    <row r="12760" spans="1:7" x14ac:dyDescent="0.25">
      <c r="A12760" s="116" t="s">
        <v>20014</v>
      </c>
      <c r="B12760" s="117" t="s">
        <v>30156</v>
      </c>
      <c r="C12760" t="s">
        <v>67</v>
      </c>
      <c r="D12760" t="s">
        <v>67</v>
      </c>
      <c r="E12760" t="s">
        <v>67</v>
      </c>
      <c r="F12760" t="s">
        <v>45</v>
      </c>
      <c r="G12760" s="117">
        <v>196.15</v>
      </c>
    </row>
    <row r="12761" spans="1:7" x14ac:dyDescent="0.25">
      <c r="A12761" s="116" t="s">
        <v>26820</v>
      </c>
      <c r="B12761" s="117" t="s">
        <v>26821</v>
      </c>
      <c r="C12761" t="s">
        <v>67</v>
      </c>
      <c r="D12761" t="s">
        <v>67</v>
      </c>
      <c r="E12761" t="s">
        <v>67</v>
      </c>
      <c r="F12761" t="s">
        <v>45</v>
      </c>
      <c r="G12761" s="117">
        <v>29</v>
      </c>
    </row>
    <row r="12762" spans="1:7" x14ac:dyDescent="0.25">
      <c r="A12762" s="116" t="s">
        <v>26822</v>
      </c>
      <c r="B12762" s="117" t="s">
        <v>26821</v>
      </c>
      <c r="C12762" t="s">
        <v>67</v>
      </c>
      <c r="D12762" t="s">
        <v>67</v>
      </c>
      <c r="E12762" t="s">
        <v>67</v>
      </c>
      <c r="F12762" t="s">
        <v>45</v>
      </c>
      <c r="G12762" s="117">
        <v>28</v>
      </c>
    </row>
    <row r="12763" spans="1:7" x14ac:dyDescent="0.25">
      <c r="A12763" s="116" t="s">
        <v>26823</v>
      </c>
      <c r="B12763" s="117" t="s">
        <v>26821</v>
      </c>
      <c r="C12763" t="s">
        <v>67</v>
      </c>
      <c r="D12763" t="s">
        <v>67</v>
      </c>
      <c r="E12763" t="s">
        <v>67</v>
      </c>
      <c r="F12763" t="s">
        <v>45</v>
      </c>
      <c r="G12763" s="117">
        <v>22.5</v>
      </c>
    </row>
    <row r="12764" spans="1:7" x14ac:dyDescent="0.25">
      <c r="A12764" s="116" t="s">
        <v>26824</v>
      </c>
      <c r="B12764" s="117" t="s">
        <v>26825</v>
      </c>
      <c r="C12764" t="s">
        <v>67</v>
      </c>
      <c r="D12764" t="s">
        <v>67</v>
      </c>
      <c r="E12764" t="s">
        <v>67</v>
      </c>
      <c r="F12764" t="s">
        <v>45</v>
      </c>
      <c r="G12764" s="117">
        <v>45</v>
      </c>
    </row>
    <row r="12765" spans="1:7" x14ac:dyDescent="0.25">
      <c r="A12765" s="116" t="s">
        <v>20015</v>
      </c>
      <c r="B12765" s="117" t="s">
        <v>20016</v>
      </c>
      <c r="C12765" t="s">
        <v>67</v>
      </c>
      <c r="D12765" t="s">
        <v>67</v>
      </c>
      <c r="E12765" t="s">
        <v>67</v>
      </c>
      <c r="F12765" t="s">
        <v>27987</v>
      </c>
      <c r="G12765" s="117">
        <v>21.26</v>
      </c>
    </row>
    <row r="12766" spans="1:7" x14ac:dyDescent="0.25">
      <c r="A12766" s="116" t="s">
        <v>20017</v>
      </c>
      <c r="B12766" s="117" t="s">
        <v>20018</v>
      </c>
      <c r="C12766" t="s">
        <v>67</v>
      </c>
      <c r="D12766" t="s">
        <v>67</v>
      </c>
      <c r="E12766" t="s">
        <v>67</v>
      </c>
      <c r="F12766" t="s">
        <v>27987</v>
      </c>
      <c r="G12766" s="117">
        <v>44.94</v>
      </c>
    </row>
    <row r="12767" spans="1:7" x14ac:dyDescent="0.25">
      <c r="A12767" s="116" t="s">
        <v>20019</v>
      </c>
      <c r="B12767" s="117" t="s">
        <v>20020</v>
      </c>
      <c r="C12767" t="s">
        <v>67</v>
      </c>
      <c r="D12767" t="s">
        <v>67</v>
      </c>
      <c r="E12767" t="s">
        <v>67</v>
      </c>
      <c r="F12767" t="s">
        <v>27987</v>
      </c>
      <c r="G12767" s="117">
        <v>60.06</v>
      </c>
    </row>
    <row r="12768" spans="1:7" x14ac:dyDescent="0.25">
      <c r="A12768" s="116" t="s">
        <v>20021</v>
      </c>
      <c r="B12768" s="117" t="s">
        <v>20022</v>
      </c>
      <c r="C12768" t="s">
        <v>67</v>
      </c>
      <c r="D12768" t="s">
        <v>67</v>
      </c>
      <c r="E12768" t="s">
        <v>67</v>
      </c>
      <c r="F12768" t="s">
        <v>27987</v>
      </c>
      <c r="G12768" s="117">
        <v>27.14</v>
      </c>
    </row>
    <row r="12769" spans="1:7" x14ac:dyDescent="0.25">
      <c r="A12769" s="116" t="s">
        <v>27956</v>
      </c>
      <c r="B12769" s="117" t="s">
        <v>27957</v>
      </c>
      <c r="C12769" t="s">
        <v>67</v>
      </c>
      <c r="D12769" t="s">
        <v>67</v>
      </c>
      <c r="E12769" t="s">
        <v>67</v>
      </c>
      <c r="F12769" t="s">
        <v>27987</v>
      </c>
      <c r="G12769" s="117">
        <v>90</v>
      </c>
    </row>
    <row r="12770" spans="1:7" x14ac:dyDescent="0.25">
      <c r="A12770" s="116" t="s">
        <v>20023</v>
      </c>
      <c r="B12770" s="117" t="s">
        <v>20024</v>
      </c>
      <c r="C12770" t="s">
        <v>67</v>
      </c>
      <c r="D12770" t="s">
        <v>67</v>
      </c>
      <c r="E12770" t="s">
        <v>67</v>
      </c>
      <c r="F12770" t="s">
        <v>27987</v>
      </c>
      <c r="G12770" s="117">
        <v>102.77</v>
      </c>
    </row>
    <row r="12771" spans="1:7" x14ac:dyDescent="0.25">
      <c r="A12771" s="116" t="s">
        <v>20025</v>
      </c>
      <c r="B12771" s="117" t="s">
        <v>20026</v>
      </c>
      <c r="C12771" t="s">
        <v>67</v>
      </c>
      <c r="D12771" t="s">
        <v>67</v>
      </c>
      <c r="E12771" t="s">
        <v>67</v>
      </c>
      <c r="F12771" t="s">
        <v>49</v>
      </c>
      <c r="G12771" s="117">
        <v>30.93</v>
      </c>
    </row>
    <row r="12772" spans="1:7" x14ac:dyDescent="0.25">
      <c r="A12772" s="116" t="s">
        <v>20027</v>
      </c>
      <c r="B12772" s="117" t="s">
        <v>20028</v>
      </c>
      <c r="C12772" t="s">
        <v>67</v>
      </c>
      <c r="D12772" t="s">
        <v>67</v>
      </c>
      <c r="E12772" t="s">
        <v>67</v>
      </c>
      <c r="F12772" t="s">
        <v>27987</v>
      </c>
      <c r="G12772" s="117">
        <v>26.61</v>
      </c>
    </row>
    <row r="12773" spans="1:7" x14ac:dyDescent="0.25">
      <c r="A12773" s="116" t="s">
        <v>20029</v>
      </c>
      <c r="B12773" s="117" t="s">
        <v>20030</v>
      </c>
      <c r="C12773" t="s">
        <v>67</v>
      </c>
      <c r="D12773" t="s">
        <v>67</v>
      </c>
      <c r="E12773" t="s">
        <v>67</v>
      </c>
      <c r="F12773" t="s">
        <v>27987</v>
      </c>
      <c r="G12773" s="117">
        <v>4.45</v>
      </c>
    </row>
    <row r="12774" spans="1:7" x14ac:dyDescent="0.25">
      <c r="A12774" s="116" t="s">
        <v>20031</v>
      </c>
      <c r="B12774" s="117" t="s">
        <v>20032</v>
      </c>
      <c r="C12774" t="s">
        <v>67</v>
      </c>
      <c r="D12774" t="s">
        <v>67</v>
      </c>
      <c r="E12774" t="s">
        <v>67</v>
      </c>
      <c r="F12774" t="s">
        <v>27987</v>
      </c>
      <c r="G12774" s="117">
        <v>27.14</v>
      </c>
    </row>
    <row r="12775" spans="1:7" x14ac:dyDescent="0.25">
      <c r="A12775" s="116" t="s">
        <v>20033</v>
      </c>
      <c r="B12775" s="117" t="s">
        <v>20034</v>
      </c>
      <c r="C12775" t="s">
        <v>67</v>
      </c>
      <c r="D12775" t="s">
        <v>67</v>
      </c>
      <c r="E12775" t="s">
        <v>67</v>
      </c>
      <c r="F12775" t="s">
        <v>27987</v>
      </c>
      <c r="G12775" s="117">
        <v>53.87</v>
      </c>
    </row>
    <row r="12776" spans="1:7" x14ac:dyDescent="0.25">
      <c r="A12776" s="116" t="s">
        <v>30173</v>
      </c>
      <c r="B12776" s="117" t="s">
        <v>29497</v>
      </c>
      <c r="C12776" t="s">
        <v>67</v>
      </c>
      <c r="D12776" t="s">
        <v>67</v>
      </c>
      <c r="E12776" t="s">
        <v>67</v>
      </c>
      <c r="F12776" t="s">
        <v>49</v>
      </c>
      <c r="G12776" s="117">
        <v>59.48</v>
      </c>
    </row>
    <row r="12777" spans="1:7" x14ac:dyDescent="0.25">
      <c r="A12777" s="116" t="s">
        <v>20035</v>
      </c>
      <c r="B12777" s="117" t="s">
        <v>20036</v>
      </c>
      <c r="C12777" t="s">
        <v>67</v>
      </c>
      <c r="D12777" t="s">
        <v>67</v>
      </c>
      <c r="E12777" t="s">
        <v>67</v>
      </c>
      <c r="F12777" t="s">
        <v>27987</v>
      </c>
      <c r="G12777" s="117">
        <v>164.61</v>
      </c>
    </row>
    <row r="12778" spans="1:7" x14ac:dyDescent="0.25">
      <c r="A12778" s="116" t="s">
        <v>29471</v>
      </c>
      <c r="B12778" s="117" t="s">
        <v>13042</v>
      </c>
      <c r="C12778" t="s">
        <v>67</v>
      </c>
      <c r="D12778" t="s">
        <v>67</v>
      </c>
      <c r="E12778" t="s">
        <v>67</v>
      </c>
      <c r="F12778" t="s">
        <v>27987</v>
      </c>
      <c r="G12778" s="117">
        <v>24.05</v>
      </c>
    </row>
    <row r="12779" spans="1:7" x14ac:dyDescent="0.25">
      <c r="A12779" s="116" t="s">
        <v>27066</v>
      </c>
      <c r="B12779" s="117" t="s">
        <v>27067</v>
      </c>
      <c r="C12779" t="s">
        <v>67</v>
      </c>
      <c r="D12779" t="s">
        <v>67</v>
      </c>
      <c r="E12779" t="s">
        <v>67</v>
      </c>
      <c r="F12779" t="s">
        <v>27987</v>
      </c>
      <c r="G12779" s="117">
        <v>27</v>
      </c>
    </row>
    <row r="12780" spans="1:7" x14ac:dyDescent="0.25">
      <c r="A12780" s="116" t="s">
        <v>30683</v>
      </c>
      <c r="B12780" s="117" t="s">
        <v>2445</v>
      </c>
      <c r="C12780" t="s">
        <v>67</v>
      </c>
      <c r="D12780" t="s">
        <v>67</v>
      </c>
      <c r="E12780" t="s">
        <v>67</v>
      </c>
      <c r="F12780" t="s">
        <v>45</v>
      </c>
      <c r="G12780" s="117">
        <v>75</v>
      </c>
    </row>
    <row r="12781" spans="1:7" x14ac:dyDescent="0.25">
      <c r="A12781" s="116" t="s">
        <v>30697</v>
      </c>
      <c r="B12781" s="117" t="s">
        <v>30698</v>
      </c>
      <c r="C12781" t="s">
        <v>67</v>
      </c>
      <c r="D12781" t="s">
        <v>67</v>
      </c>
      <c r="E12781" t="s">
        <v>67</v>
      </c>
      <c r="F12781" t="s">
        <v>27987</v>
      </c>
      <c r="G12781" s="117">
        <v>9999</v>
      </c>
    </row>
    <row r="12782" spans="1:7" x14ac:dyDescent="0.25">
      <c r="A12782" s="116" t="s">
        <v>29472</v>
      </c>
      <c r="B12782" s="117" t="s">
        <v>30113</v>
      </c>
      <c r="C12782" t="s">
        <v>67</v>
      </c>
      <c r="D12782" t="s">
        <v>67</v>
      </c>
      <c r="E12782" t="s">
        <v>67</v>
      </c>
      <c r="F12782" t="s">
        <v>45</v>
      </c>
      <c r="G12782" s="117">
        <v>42.53</v>
      </c>
    </row>
    <row r="12783" spans="1:7" x14ac:dyDescent="0.25">
      <c r="A12783" s="116" t="s">
        <v>20037</v>
      </c>
      <c r="B12783" s="117" t="s">
        <v>20038</v>
      </c>
      <c r="C12783" t="s">
        <v>67</v>
      </c>
      <c r="D12783" t="s">
        <v>67</v>
      </c>
      <c r="E12783" t="s">
        <v>67</v>
      </c>
      <c r="F12783" t="s">
        <v>27987</v>
      </c>
      <c r="G12783" s="117">
        <v>42.69</v>
      </c>
    </row>
    <row r="12784" spans="1:7" x14ac:dyDescent="0.25">
      <c r="A12784" s="116" t="s">
        <v>20039</v>
      </c>
      <c r="B12784" s="117" t="s">
        <v>20040</v>
      </c>
      <c r="C12784" t="s">
        <v>67</v>
      </c>
      <c r="D12784" t="s">
        <v>67</v>
      </c>
      <c r="E12784" t="s">
        <v>67</v>
      </c>
      <c r="F12784" t="s">
        <v>27987</v>
      </c>
      <c r="G12784" s="117">
        <v>41.56</v>
      </c>
    </row>
    <row r="12785" spans="1:7" x14ac:dyDescent="0.25">
      <c r="A12785" s="116" t="s">
        <v>20041</v>
      </c>
      <c r="B12785" s="117" t="s">
        <v>20042</v>
      </c>
      <c r="C12785" t="s">
        <v>67</v>
      </c>
      <c r="D12785" t="s">
        <v>67</v>
      </c>
      <c r="E12785" t="s">
        <v>67</v>
      </c>
      <c r="F12785" t="s">
        <v>27987</v>
      </c>
      <c r="G12785" s="117">
        <v>40.9</v>
      </c>
    </row>
    <row r="12786" spans="1:7" x14ac:dyDescent="0.25">
      <c r="A12786" s="116" t="s">
        <v>20043</v>
      </c>
      <c r="B12786" s="117" t="s">
        <v>29473</v>
      </c>
      <c r="C12786" t="s">
        <v>67</v>
      </c>
      <c r="D12786" t="s">
        <v>67</v>
      </c>
      <c r="E12786" t="s">
        <v>67</v>
      </c>
      <c r="F12786" t="s">
        <v>27987</v>
      </c>
      <c r="G12786" s="117">
        <v>41.85</v>
      </c>
    </row>
    <row r="12787" spans="1:7" x14ac:dyDescent="0.25">
      <c r="A12787" s="116" t="s">
        <v>20044</v>
      </c>
      <c r="B12787" s="117" t="s">
        <v>29473</v>
      </c>
      <c r="C12787" t="s">
        <v>67</v>
      </c>
      <c r="D12787" t="s">
        <v>67</v>
      </c>
      <c r="E12787" t="s">
        <v>67</v>
      </c>
      <c r="F12787" t="s">
        <v>27987</v>
      </c>
      <c r="G12787" s="117">
        <v>32.409999999999997</v>
      </c>
    </row>
    <row r="12788" spans="1:7" x14ac:dyDescent="0.25">
      <c r="A12788" s="116" t="s">
        <v>20045</v>
      </c>
      <c r="B12788" s="117" t="s">
        <v>26512</v>
      </c>
      <c r="C12788" t="s">
        <v>67</v>
      </c>
      <c r="D12788" t="s">
        <v>67</v>
      </c>
      <c r="E12788" t="s">
        <v>67</v>
      </c>
      <c r="F12788" t="s">
        <v>27987</v>
      </c>
      <c r="G12788" s="117">
        <v>103.08</v>
      </c>
    </row>
    <row r="12789" spans="1:7" x14ac:dyDescent="0.25">
      <c r="A12789" s="116" t="s">
        <v>29474</v>
      </c>
      <c r="B12789" s="117" t="s">
        <v>29475</v>
      </c>
      <c r="C12789" t="s">
        <v>67</v>
      </c>
      <c r="D12789" t="s">
        <v>67</v>
      </c>
      <c r="E12789" t="s">
        <v>67</v>
      </c>
      <c r="F12789" t="s">
        <v>45</v>
      </c>
      <c r="G12789" s="117">
        <v>40</v>
      </c>
    </row>
    <row r="12790" spans="1:7" x14ac:dyDescent="0.25">
      <c r="A12790" s="116" t="s">
        <v>29476</v>
      </c>
      <c r="B12790" s="117" t="s">
        <v>13042</v>
      </c>
      <c r="C12790" t="s">
        <v>67</v>
      </c>
      <c r="D12790" t="s">
        <v>67</v>
      </c>
      <c r="E12790" t="s">
        <v>67</v>
      </c>
      <c r="F12790" t="s">
        <v>27987</v>
      </c>
      <c r="G12790" s="117">
        <v>28</v>
      </c>
    </row>
    <row r="12791" spans="1:7" x14ac:dyDescent="0.25">
      <c r="A12791" s="116" t="s">
        <v>29477</v>
      </c>
      <c r="B12791" s="117" t="s">
        <v>29478</v>
      </c>
      <c r="C12791" t="s">
        <v>67</v>
      </c>
      <c r="D12791" t="s">
        <v>67</v>
      </c>
      <c r="E12791" t="s">
        <v>67</v>
      </c>
      <c r="F12791" t="s">
        <v>27987</v>
      </c>
      <c r="G12791" s="117">
        <v>0</v>
      </c>
    </row>
    <row r="12792" spans="1:7" x14ac:dyDescent="0.25">
      <c r="A12792" s="116" t="s">
        <v>29479</v>
      </c>
      <c r="B12792" s="117" t="s">
        <v>31147</v>
      </c>
      <c r="C12792" t="s">
        <v>67</v>
      </c>
      <c r="D12792" t="s">
        <v>67</v>
      </c>
      <c r="E12792" t="s">
        <v>67</v>
      </c>
      <c r="F12792" t="s">
        <v>27987</v>
      </c>
      <c r="G12792" s="117">
        <v>91.35</v>
      </c>
    </row>
    <row r="12793" spans="1:7" x14ac:dyDescent="0.25">
      <c r="A12793" s="116" t="s">
        <v>26668</v>
      </c>
      <c r="B12793" s="117" t="s">
        <v>29480</v>
      </c>
      <c r="C12793" t="s">
        <v>67</v>
      </c>
      <c r="D12793" t="s">
        <v>67</v>
      </c>
      <c r="E12793" t="s">
        <v>67</v>
      </c>
      <c r="F12793" t="s">
        <v>27987</v>
      </c>
      <c r="G12793" s="117">
        <v>54</v>
      </c>
    </row>
    <row r="12794" spans="1:7" x14ac:dyDescent="0.25">
      <c r="A12794" s="116" t="s">
        <v>26669</v>
      </c>
      <c r="B12794" s="117" t="s">
        <v>29480</v>
      </c>
      <c r="C12794" t="s">
        <v>67</v>
      </c>
      <c r="D12794" t="s">
        <v>67</v>
      </c>
      <c r="E12794" t="s">
        <v>67</v>
      </c>
      <c r="F12794" t="s">
        <v>27987</v>
      </c>
      <c r="G12794" s="117">
        <v>36</v>
      </c>
    </row>
    <row r="12795" spans="1:7" x14ac:dyDescent="0.25">
      <c r="A12795" s="116" t="s">
        <v>29481</v>
      </c>
      <c r="B12795" s="117" t="s">
        <v>2445</v>
      </c>
      <c r="C12795" t="s">
        <v>67</v>
      </c>
      <c r="D12795" t="s">
        <v>67</v>
      </c>
      <c r="E12795" t="s">
        <v>67</v>
      </c>
      <c r="F12795" t="s">
        <v>27987</v>
      </c>
      <c r="G12795" s="117">
        <v>35</v>
      </c>
    </row>
    <row r="12796" spans="1:7" x14ac:dyDescent="0.25">
      <c r="A12796" s="116" t="s">
        <v>28161</v>
      </c>
      <c r="B12796" s="117" t="s">
        <v>30034</v>
      </c>
      <c r="C12796" t="s">
        <v>67</v>
      </c>
      <c r="D12796" t="s">
        <v>67</v>
      </c>
      <c r="E12796" t="s">
        <v>67</v>
      </c>
      <c r="F12796" t="s">
        <v>27987</v>
      </c>
      <c r="G12796" s="117">
        <v>25</v>
      </c>
    </row>
    <row r="12797" spans="1:7" x14ac:dyDescent="0.25">
      <c r="A12797" s="116" t="s">
        <v>26924</v>
      </c>
      <c r="B12797" s="117" t="s">
        <v>29482</v>
      </c>
      <c r="C12797" t="s">
        <v>67</v>
      </c>
      <c r="D12797" t="s">
        <v>67</v>
      </c>
      <c r="E12797" t="s">
        <v>67</v>
      </c>
      <c r="F12797" t="s">
        <v>27987</v>
      </c>
      <c r="G12797" s="117">
        <v>34</v>
      </c>
    </row>
    <row r="12798" spans="1:7" x14ac:dyDescent="0.25">
      <c r="A12798" s="116" t="s">
        <v>29972</v>
      </c>
      <c r="B12798" s="117" t="s">
        <v>30534</v>
      </c>
      <c r="C12798" t="s">
        <v>67</v>
      </c>
      <c r="D12798" t="s">
        <v>67</v>
      </c>
      <c r="E12798" t="s">
        <v>67</v>
      </c>
      <c r="F12798" t="s">
        <v>27987</v>
      </c>
      <c r="G12798" s="117">
        <v>150</v>
      </c>
    </row>
    <row r="12799" spans="1:7" x14ac:dyDescent="0.25">
      <c r="A12799" s="116" t="s">
        <v>26976</v>
      </c>
      <c r="B12799" s="117" t="s">
        <v>29483</v>
      </c>
      <c r="C12799" t="s">
        <v>67</v>
      </c>
      <c r="D12799" t="s">
        <v>67</v>
      </c>
      <c r="E12799" t="s">
        <v>67</v>
      </c>
      <c r="F12799" t="s">
        <v>27987</v>
      </c>
      <c r="G12799" s="117">
        <v>68</v>
      </c>
    </row>
    <row r="12800" spans="1:7" x14ac:dyDescent="0.25">
      <c r="A12800" s="116" t="s">
        <v>27068</v>
      </c>
      <c r="B12800" s="117" t="s">
        <v>29484</v>
      </c>
      <c r="C12800" t="s">
        <v>67</v>
      </c>
      <c r="D12800" t="s">
        <v>67</v>
      </c>
      <c r="E12800" t="s">
        <v>67</v>
      </c>
      <c r="F12800" t="s">
        <v>27987</v>
      </c>
      <c r="G12800" s="117">
        <v>90</v>
      </c>
    </row>
    <row r="12801" spans="1:7" x14ac:dyDescent="0.25">
      <c r="A12801" s="116" t="s">
        <v>29485</v>
      </c>
      <c r="B12801" s="117" t="s">
        <v>30535</v>
      </c>
      <c r="C12801" t="s">
        <v>67</v>
      </c>
      <c r="D12801" t="s">
        <v>67</v>
      </c>
      <c r="E12801" t="s">
        <v>67</v>
      </c>
      <c r="F12801" t="s">
        <v>27987</v>
      </c>
      <c r="G12801" s="117">
        <v>192.89</v>
      </c>
    </row>
    <row r="12802" spans="1:7" x14ac:dyDescent="0.25">
      <c r="A12802" s="116" t="s">
        <v>29486</v>
      </c>
      <c r="B12802" s="117" t="s">
        <v>29487</v>
      </c>
      <c r="C12802" t="s">
        <v>67</v>
      </c>
      <c r="D12802" t="s">
        <v>67</v>
      </c>
      <c r="E12802" t="s">
        <v>67</v>
      </c>
      <c r="F12802" t="s">
        <v>27987</v>
      </c>
      <c r="G12802" s="117">
        <v>60</v>
      </c>
    </row>
    <row r="12803" spans="1:7" x14ac:dyDescent="0.25">
      <c r="A12803" s="116" t="s">
        <v>29488</v>
      </c>
      <c r="B12803" s="117" t="s">
        <v>29834</v>
      </c>
      <c r="C12803" t="s">
        <v>67</v>
      </c>
      <c r="D12803" t="s">
        <v>67</v>
      </c>
      <c r="E12803" t="s">
        <v>67</v>
      </c>
      <c r="F12803" t="s">
        <v>27987</v>
      </c>
      <c r="G12803" s="117">
        <v>15</v>
      </c>
    </row>
    <row r="12804" spans="1:7" x14ac:dyDescent="0.25">
      <c r="A12804" s="116" t="s">
        <v>29489</v>
      </c>
      <c r="B12804" s="117" t="s">
        <v>29478</v>
      </c>
      <c r="C12804" t="s">
        <v>67</v>
      </c>
      <c r="D12804" t="s">
        <v>67</v>
      </c>
      <c r="E12804" t="s">
        <v>67</v>
      </c>
      <c r="F12804" t="s">
        <v>27987</v>
      </c>
      <c r="G12804" s="117">
        <v>0</v>
      </c>
    </row>
    <row r="12805" spans="1:7" x14ac:dyDescent="0.25">
      <c r="A12805" s="116" t="s">
        <v>29490</v>
      </c>
      <c r="B12805" s="117" t="s">
        <v>30771</v>
      </c>
      <c r="C12805" t="s">
        <v>67</v>
      </c>
      <c r="D12805" t="s">
        <v>67</v>
      </c>
      <c r="E12805" t="s">
        <v>67</v>
      </c>
      <c r="F12805" t="s">
        <v>27987</v>
      </c>
      <c r="G12805" s="117">
        <v>30</v>
      </c>
    </row>
    <row r="12806" spans="1:7" x14ac:dyDescent="0.25">
      <c r="A12806" s="116" t="s">
        <v>29491</v>
      </c>
      <c r="B12806" s="117" t="s">
        <v>13042</v>
      </c>
      <c r="C12806" t="s">
        <v>67</v>
      </c>
      <c r="D12806" t="s">
        <v>67</v>
      </c>
      <c r="E12806" t="s">
        <v>67</v>
      </c>
      <c r="F12806" t="s">
        <v>49</v>
      </c>
      <c r="G12806" s="117">
        <v>22.79</v>
      </c>
    </row>
    <row r="12807" spans="1:7" x14ac:dyDescent="0.25">
      <c r="A12807" s="116" t="s">
        <v>29492</v>
      </c>
      <c r="B12807" s="117" t="s">
        <v>13042</v>
      </c>
      <c r="C12807" t="s">
        <v>67</v>
      </c>
      <c r="D12807" t="s">
        <v>67</v>
      </c>
      <c r="E12807" t="s">
        <v>67</v>
      </c>
      <c r="F12807" t="s">
        <v>27987</v>
      </c>
      <c r="G12807" s="117">
        <v>23.31</v>
      </c>
    </row>
    <row r="12808" spans="1:7" x14ac:dyDescent="0.25">
      <c r="A12808" s="116" t="s">
        <v>30288</v>
      </c>
      <c r="B12808" s="117" t="s">
        <v>30289</v>
      </c>
      <c r="C12808" t="s">
        <v>67</v>
      </c>
      <c r="D12808" t="s">
        <v>67</v>
      </c>
      <c r="E12808" t="s">
        <v>67</v>
      </c>
      <c r="F12808" t="s">
        <v>45</v>
      </c>
      <c r="G12808" s="117">
        <v>9999</v>
      </c>
    </row>
    <row r="12809" spans="1:7" x14ac:dyDescent="0.25">
      <c r="A12809" s="116" t="s">
        <v>29493</v>
      </c>
      <c r="B12809" s="117" t="s">
        <v>30772</v>
      </c>
      <c r="C12809" t="s">
        <v>67</v>
      </c>
      <c r="D12809" t="s">
        <v>67</v>
      </c>
      <c r="E12809" t="s">
        <v>67</v>
      </c>
      <c r="F12809" t="s">
        <v>27987</v>
      </c>
      <c r="G12809" s="117">
        <v>30</v>
      </c>
    </row>
    <row r="12810" spans="1:7" x14ac:dyDescent="0.25">
      <c r="A12810" s="116" t="s">
        <v>29494</v>
      </c>
      <c r="B12810" s="117" t="s">
        <v>2445</v>
      </c>
      <c r="C12810" t="s">
        <v>67</v>
      </c>
      <c r="D12810" t="s">
        <v>67</v>
      </c>
      <c r="E12810" t="s">
        <v>67</v>
      </c>
      <c r="F12810" t="s">
        <v>27987</v>
      </c>
      <c r="G12810" s="117">
        <v>40</v>
      </c>
    </row>
    <row r="12811" spans="1:7" x14ac:dyDescent="0.25">
      <c r="A12811" s="116" t="s">
        <v>29495</v>
      </c>
      <c r="B12811" s="117" t="s">
        <v>29496</v>
      </c>
      <c r="C12811" t="s">
        <v>67</v>
      </c>
      <c r="D12811" t="s">
        <v>67</v>
      </c>
      <c r="E12811" t="s">
        <v>67</v>
      </c>
      <c r="F12811" t="s">
        <v>27987</v>
      </c>
      <c r="G12811" s="117">
        <v>10</v>
      </c>
    </row>
    <row r="12812" spans="1:7" x14ac:dyDescent="0.25">
      <c r="A12812" s="116" t="s">
        <v>20046</v>
      </c>
      <c r="B12812" s="117" t="s">
        <v>29497</v>
      </c>
      <c r="C12812" t="s">
        <v>67</v>
      </c>
      <c r="D12812" t="s">
        <v>67</v>
      </c>
      <c r="E12812" t="s">
        <v>67</v>
      </c>
      <c r="F12812" t="s">
        <v>27987</v>
      </c>
      <c r="G12812" s="117">
        <v>21.76</v>
      </c>
    </row>
    <row r="12813" spans="1:7" x14ac:dyDescent="0.25">
      <c r="A12813" s="116" t="s">
        <v>20047</v>
      </c>
      <c r="B12813" s="117" t="s">
        <v>20048</v>
      </c>
      <c r="C12813" t="s">
        <v>67</v>
      </c>
      <c r="D12813" t="s">
        <v>67</v>
      </c>
      <c r="E12813" t="s">
        <v>67</v>
      </c>
      <c r="F12813" t="s">
        <v>45</v>
      </c>
      <c r="G12813" s="117">
        <v>75.55</v>
      </c>
    </row>
    <row r="12814" spans="1:7" x14ac:dyDescent="0.25">
      <c r="A12814" s="116" t="s">
        <v>20049</v>
      </c>
      <c r="B12814" s="117" t="s">
        <v>20050</v>
      </c>
      <c r="C12814" t="s">
        <v>67</v>
      </c>
      <c r="D12814" t="s">
        <v>67</v>
      </c>
      <c r="E12814" t="s">
        <v>67</v>
      </c>
      <c r="F12814" t="s">
        <v>45</v>
      </c>
      <c r="G12814" s="117">
        <v>71.989999999999995</v>
      </c>
    </row>
    <row r="12815" spans="1:7" x14ac:dyDescent="0.25">
      <c r="A12815" s="116" t="s">
        <v>29498</v>
      </c>
      <c r="B12815" s="117" t="s">
        <v>29499</v>
      </c>
      <c r="C12815" t="s">
        <v>67</v>
      </c>
      <c r="D12815" t="s">
        <v>67</v>
      </c>
      <c r="E12815" t="s">
        <v>67</v>
      </c>
      <c r="F12815" t="s">
        <v>45</v>
      </c>
      <c r="G12815" s="117">
        <v>0</v>
      </c>
    </row>
    <row r="12816" spans="1:7" x14ac:dyDescent="0.25">
      <c r="A12816" s="116" t="s">
        <v>20051</v>
      </c>
      <c r="B12816" s="117" t="s">
        <v>18279</v>
      </c>
      <c r="C12816" t="s">
        <v>67</v>
      </c>
      <c r="D12816" t="s">
        <v>67</v>
      </c>
      <c r="E12816" t="s">
        <v>67</v>
      </c>
      <c r="F12816" t="s">
        <v>27987</v>
      </c>
      <c r="G12816" s="117">
        <v>39.06</v>
      </c>
    </row>
    <row r="12817" spans="1:7" x14ac:dyDescent="0.25">
      <c r="A12817" s="116" t="s">
        <v>20052</v>
      </c>
      <c r="B12817" s="117" t="s">
        <v>20053</v>
      </c>
      <c r="C12817" t="s">
        <v>67</v>
      </c>
      <c r="D12817" t="s">
        <v>67</v>
      </c>
      <c r="E12817" t="s">
        <v>67</v>
      </c>
      <c r="F12817" t="s">
        <v>27987</v>
      </c>
      <c r="G12817" s="117">
        <v>56.5</v>
      </c>
    </row>
    <row r="12818" spans="1:7" x14ac:dyDescent="0.25">
      <c r="A12818" s="116" t="s">
        <v>20054</v>
      </c>
      <c r="B12818" s="117" t="s">
        <v>18279</v>
      </c>
      <c r="C12818" t="s">
        <v>67</v>
      </c>
      <c r="D12818" t="s">
        <v>67</v>
      </c>
      <c r="E12818" t="s">
        <v>67</v>
      </c>
      <c r="F12818" t="s">
        <v>27987</v>
      </c>
      <c r="G12818" s="117">
        <v>39.06</v>
      </c>
    </row>
    <row r="12819" spans="1:7" x14ac:dyDescent="0.25">
      <c r="A12819" s="116" t="s">
        <v>20055</v>
      </c>
      <c r="B12819" s="117" t="s">
        <v>18279</v>
      </c>
      <c r="C12819" t="s">
        <v>67</v>
      </c>
      <c r="D12819" t="s">
        <v>67</v>
      </c>
      <c r="E12819" t="s">
        <v>67</v>
      </c>
      <c r="F12819" t="s">
        <v>27987</v>
      </c>
      <c r="G12819" s="117">
        <v>48.5</v>
      </c>
    </row>
    <row r="12820" spans="1:7" x14ac:dyDescent="0.25">
      <c r="A12820" s="116" t="s">
        <v>20056</v>
      </c>
      <c r="B12820" s="117" t="s">
        <v>20057</v>
      </c>
      <c r="C12820" t="s">
        <v>67</v>
      </c>
      <c r="D12820" t="s">
        <v>67</v>
      </c>
      <c r="E12820" t="s">
        <v>67</v>
      </c>
      <c r="F12820" t="s">
        <v>27987</v>
      </c>
      <c r="G12820" s="117">
        <v>35.14</v>
      </c>
    </row>
    <row r="12821" spans="1:7" x14ac:dyDescent="0.25">
      <c r="A12821" s="116" t="s">
        <v>20058</v>
      </c>
      <c r="B12821" s="117" t="s">
        <v>20059</v>
      </c>
      <c r="C12821" t="s">
        <v>67</v>
      </c>
      <c r="D12821" t="s">
        <v>67</v>
      </c>
      <c r="E12821" t="s">
        <v>67</v>
      </c>
      <c r="F12821" t="s">
        <v>27987</v>
      </c>
      <c r="G12821" s="117">
        <v>76.98</v>
      </c>
    </row>
    <row r="12822" spans="1:7" x14ac:dyDescent="0.25">
      <c r="A12822" s="116" t="s">
        <v>20060</v>
      </c>
      <c r="B12822" s="117" t="s">
        <v>20061</v>
      </c>
      <c r="C12822" t="s">
        <v>67</v>
      </c>
      <c r="D12822" t="s">
        <v>67</v>
      </c>
      <c r="E12822" t="s">
        <v>67</v>
      </c>
      <c r="F12822" t="s">
        <v>49</v>
      </c>
      <c r="G12822" s="117">
        <v>60.95</v>
      </c>
    </row>
    <row r="12823" spans="1:7" x14ac:dyDescent="0.25">
      <c r="A12823" s="116" t="s">
        <v>29500</v>
      </c>
      <c r="B12823" s="117" t="s">
        <v>29501</v>
      </c>
      <c r="C12823" t="s">
        <v>67</v>
      </c>
      <c r="D12823" t="s">
        <v>67</v>
      </c>
      <c r="E12823" t="s">
        <v>67</v>
      </c>
      <c r="F12823" t="s">
        <v>45</v>
      </c>
      <c r="G12823" s="117">
        <v>0</v>
      </c>
    </row>
    <row r="12824" spans="1:7" x14ac:dyDescent="0.25">
      <c r="A12824" s="116" t="s">
        <v>20062</v>
      </c>
      <c r="B12824" s="117" t="s">
        <v>20063</v>
      </c>
      <c r="C12824" t="s">
        <v>67</v>
      </c>
      <c r="D12824" t="s">
        <v>67</v>
      </c>
      <c r="E12824" t="s">
        <v>67</v>
      </c>
      <c r="F12824" t="s">
        <v>27987</v>
      </c>
      <c r="G12824" s="117">
        <v>29.27</v>
      </c>
    </row>
    <row r="12825" spans="1:7" x14ac:dyDescent="0.25">
      <c r="A12825" s="116" t="s">
        <v>29502</v>
      </c>
      <c r="B12825" s="117" t="s">
        <v>29503</v>
      </c>
      <c r="C12825" t="s">
        <v>67</v>
      </c>
      <c r="D12825" t="s">
        <v>67</v>
      </c>
      <c r="E12825" t="s">
        <v>67</v>
      </c>
      <c r="F12825" t="s">
        <v>45</v>
      </c>
      <c r="G12825" s="117">
        <v>0</v>
      </c>
    </row>
    <row r="12826" spans="1:7" x14ac:dyDescent="0.25">
      <c r="A12826" s="116" t="s">
        <v>20064</v>
      </c>
      <c r="B12826" s="117" t="s">
        <v>20065</v>
      </c>
      <c r="C12826" t="s">
        <v>67</v>
      </c>
      <c r="D12826" t="s">
        <v>67</v>
      </c>
      <c r="E12826" t="s">
        <v>67</v>
      </c>
      <c r="F12826" t="s">
        <v>27987</v>
      </c>
      <c r="G12826" s="117">
        <v>51.17</v>
      </c>
    </row>
    <row r="12827" spans="1:7" x14ac:dyDescent="0.25">
      <c r="A12827" s="116" t="s">
        <v>20066</v>
      </c>
      <c r="B12827" s="117" t="s">
        <v>20067</v>
      </c>
      <c r="C12827" t="s">
        <v>67</v>
      </c>
      <c r="D12827" t="s">
        <v>67</v>
      </c>
      <c r="E12827" t="s">
        <v>67</v>
      </c>
      <c r="F12827" t="s">
        <v>27987</v>
      </c>
      <c r="G12827" s="117">
        <v>52.94</v>
      </c>
    </row>
    <row r="12828" spans="1:7" x14ac:dyDescent="0.25">
      <c r="A12828" s="116" t="s">
        <v>20068</v>
      </c>
      <c r="B12828" s="117" t="s">
        <v>20069</v>
      </c>
      <c r="C12828" t="s">
        <v>67</v>
      </c>
      <c r="D12828" t="s">
        <v>67</v>
      </c>
      <c r="E12828" t="s">
        <v>67</v>
      </c>
      <c r="F12828" t="s">
        <v>27987</v>
      </c>
      <c r="G12828" s="117">
        <v>31.94</v>
      </c>
    </row>
    <row r="12829" spans="1:7" x14ac:dyDescent="0.25">
      <c r="A12829" s="116" t="s">
        <v>20070</v>
      </c>
      <c r="B12829" s="117" t="s">
        <v>20071</v>
      </c>
      <c r="C12829" t="s">
        <v>67</v>
      </c>
      <c r="D12829" t="s">
        <v>67</v>
      </c>
      <c r="E12829" t="s">
        <v>67</v>
      </c>
      <c r="F12829" t="s">
        <v>27987</v>
      </c>
      <c r="G12829" s="117">
        <v>52.94</v>
      </c>
    </row>
    <row r="12830" spans="1:7" x14ac:dyDescent="0.25">
      <c r="A12830" s="116" t="s">
        <v>20072</v>
      </c>
      <c r="B12830" s="117" t="s">
        <v>20073</v>
      </c>
      <c r="C12830" t="s">
        <v>67</v>
      </c>
      <c r="D12830" t="s">
        <v>67</v>
      </c>
      <c r="E12830" t="s">
        <v>67</v>
      </c>
      <c r="F12830" t="s">
        <v>27987</v>
      </c>
      <c r="G12830" s="117">
        <v>71.099999999999994</v>
      </c>
    </row>
    <row r="12831" spans="1:7" x14ac:dyDescent="0.25">
      <c r="A12831" s="116" t="s">
        <v>20074</v>
      </c>
      <c r="B12831" s="117" t="s">
        <v>20075</v>
      </c>
      <c r="C12831" t="s">
        <v>67</v>
      </c>
      <c r="D12831" t="s">
        <v>67</v>
      </c>
      <c r="E12831" t="s">
        <v>67</v>
      </c>
      <c r="F12831" t="s">
        <v>27987</v>
      </c>
      <c r="G12831" s="117">
        <v>40.49</v>
      </c>
    </row>
    <row r="12832" spans="1:7" x14ac:dyDescent="0.25">
      <c r="A12832" s="116" t="s">
        <v>20076</v>
      </c>
      <c r="B12832" s="117" t="s">
        <v>20077</v>
      </c>
      <c r="C12832" t="s">
        <v>67</v>
      </c>
      <c r="D12832" t="s">
        <v>67</v>
      </c>
      <c r="E12832" t="s">
        <v>67</v>
      </c>
      <c r="F12832" t="s">
        <v>49</v>
      </c>
      <c r="G12832" s="117">
        <v>62.74</v>
      </c>
    </row>
    <row r="12833" spans="1:7" x14ac:dyDescent="0.25">
      <c r="A12833" s="116" t="s">
        <v>20078</v>
      </c>
      <c r="B12833" s="117" t="s">
        <v>20079</v>
      </c>
      <c r="C12833" t="s">
        <v>67</v>
      </c>
      <c r="D12833" t="s">
        <v>67</v>
      </c>
      <c r="E12833" t="s">
        <v>67</v>
      </c>
      <c r="F12833" t="s">
        <v>27987</v>
      </c>
      <c r="G12833" s="117">
        <v>62.74</v>
      </c>
    </row>
    <row r="12834" spans="1:7" x14ac:dyDescent="0.25">
      <c r="A12834" s="116" t="s">
        <v>20080</v>
      </c>
      <c r="B12834" s="117" t="s">
        <v>20081</v>
      </c>
      <c r="C12834" t="s">
        <v>67</v>
      </c>
      <c r="D12834" t="s">
        <v>67</v>
      </c>
      <c r="E12834" t="s">
        <v>67</v>
      </c>
      <c r="F12834" t="s">
        <v>27987</v>
      </c>
      <c r="G12834" s="117">
        <v>49.38</v>
      </c>
    </row>
    <row r="12835" spans="1:7" x14ac:dyDescent="0.25">
      <c r="A12835" s="116" t="s">
        <v>20082</v>
      </c>
      <c r="B12835" s="117" t="s">
        <v>20083</v>
      </c>
      <c r="C12835" t="s">
        <v>67</v>
      </c>
      <c r="D12835" t="s">
        <v>67</v>
      </c>
      <c r="E12835" t="s">
        <v>67</v>
      </c>
      <c r="F12835" t="s">
        <v>27987</v>
      </c>
      <c r="G12835" s="117">
        <v>54.19</v>
      </c>
    </row>
    <row r="12836" spans="1:7" x14ac:dyDescent="0.25">
      <c r="A12836" s="116" t="s">
        <v>20084</v>
      </c>
      <c r="B12836" s="117" t="s">
        <v>20085</v>
      </c>
      <c r="C12836" t="s">
        <v>67</v>
      </c>
      <c r="D12836" t="s">
        <v>67</v>
      </c>
      <c r="E12836" t="s">
        <v>67</v>
      </c>
      <c r="F12836" t="s">
        <v>27987</v>
      </c>
      <c r="G12836" s="117">
        <v>51.17</v>
      </c>
    </row>
    <row r="12837" spans="1:7" x14ac:dyDescent="0.25">
      <c r="A12837" s="116" t="s">
        <v>20086</v>
      </c>
      <c r="B12837" s="117" t="s">
        <v>20087</v>
      </c>
      <c r="C12837" t="s">
        <v>67</v>
      </c>
      <c r="D12837" t="s">
        <v>67</v>
      </c>
      <c r="E12837" t="s">
        <v>67</v>
      </c>
      <c r="F12837" t="s">
        <v>45</v>
      </c>
      <c r="G12837" s="117">
        <v>47.61</v>
      </c>
    </row>
    <row r="12838" spans="1:7" x14ac:dyDescent="0.25">
      <c r="A12838" s="116" t="s">
        <v>20088</v>
      </c>
      <c r="B12838" s="117" t="s">
        <v>20089</v>
      </c>
      <c r="C12838" t="s">
        <v>67</v>
      </c>
      <c r="D12838" t="s">
        <v>67</v>
      </c>
      <c r="E12838" t="s">
        <v>67</v>
      </c>
      <c r="F12838" t="s">
        <v>27987</v>
      </c>
      <c r="G12838" s="117">
        <v>64.87</v>
      </c>
    </row>
    <row r="12839" spans="1:7" x14ac:dyDescent="0.25">
      <c r="A12839" s="116" t="s">
        <v>20090</v>
      </c>
      <c r="B12839" s="117" t="s">
        <v>20091</v>
      </c>
      <c r="C12839" t="s">
        <v>67</v>
      </c>
      <c r="D12839" t="s">
        <v>67</v>
      </c>
      <c r="E12839" t="s">
        <v>67</v>
      </c>
      <c r="F12839" t="s">
        <v>27987</v>
      </c>
      <c r="G12839" s="117">
        <v>89.79</v>
      </c>
    </row>
    <row r="12840" spans="1:7" x14ac:dyDescent="0.25">
      <c r="A12840" s="116" t="s">
        <v>20092</v>
      </c>
      <c r="B12840" s="117" t="s">
        <v>20093</v>
      </c>
      <c r="C12840" t="s">
        <v>67</v>
      </c>
      <c r="D12840" t="s">
        <v>67</v>
      </c>
      <c r="E12840" t="s">
        <v>67</v>
      </c>
      <c r="F12840" t="s">
        <v>27987</v>
      </c>
      <c r="G12840" s="117">
        <v>46.71</v>
      </c>
    </row>
    <row r="12841" spans="1:7" x14ac:dyDescent="0.25">
      <c r="A12841" s="116" t="s">
        <v>27997</v>
      </c>
      <c r="B12841" s="117" t="s">
        <v>27998</v>
      </c>
      <c r="C12841" t="s">
        <v>67</v>
      </c>
      <c r="D12841" t="s">
        <v>67</v>
      </c>
      <c r="E12841" t="s">
        <v>67</v>
      </c>
      <c r="F12841" t="s">
        <v>45</v>
      </c>
      <c r="G12841" s="117">
        <v>55</v>
      </c>
    </row>
    <row r="12842" spans="1:7" x14ac:dyDescent="0.25">
      <c r="A12842" s="116" t="s">
        <v>20094</v>
      </c>
      <c r="B12842" s="117" t="s">
        <v>20095</v>
      </c>
      <c r="C12842" t="s">
        <v>67</v>
      </c>
      <c r="D12842" t="s">
        <v>67</v>
      </c>
      <c r="E12842" t="s">
        <v>67</v>
      </c>
      <c r="F12842" t="s">
        <v>27987</v>
      </c>
      <c r="G12842" s="117">
        <v>118.26</v>
      </c>
    </row>
    <row r="12843" spans="1:7" x14ac:dyDescent="0.25">
      <c r="A12843" s="116" t="s">
        <v>20096</v>
      </c>
      <c r="B12843" s="117" t="s">
        <v>20097</v>
      </c>
      <c r="C12843" t="s">
        <v>67</v>
      </c>
      <c r="D12843" t="s">
        <v>67</v>
      </c>
      <c r="E12843" t="s">
        <v>67</v>
      </c>
      <c r="F12843" t="s">
        <v>27987</v>
      </c>
      <c r="G12843" s="117">
        <v>71</v>
      </c>
    </row>
    <row r="12844" spans="1:7" x14ac:dyDescent="0.25">
      <c r="A12844" s="116" t="s">
        <v>20098</v>
      </c>
      <c r="B12844" s="117" t="s">
        <v>20099</v>
      </c>
      <c r="C12844" t="s">
        <v>67</v>
      </c>
      <c r="D12844" t="s">
        <v>67</v>
      </c>
      <c r="E12844" t="s">
        <v>67</v>
      </c>
      <c r="F12844" t="s">
        <v>27987</v>
      </c>
      <c r="G12844" s="117">
        <v>93.88</v>
      </c>
    </row>
    <row r="12845" spans="1:7" x14ac:dyDescent="0.25">
      <c r="A12845" s="116" t="s">
        <v>29504</v>
      </c>
      <c r="B12845" s="117" t="s">
        <v>29505</v>
      </c>
      <c r="C12845" t="s">
        <v>67</v>
      </c>
      <c r="D12845" t="s">
        <v>67</v>
      </c>
      <c r="E12845" t="s">
        <v>67</v>
      </c>
      <c r="F12845" t="s">
        <v>45</v>
      </c>
      <c r="G12845" s="117">
        <v>0</v>
      </c>
    </row>
    <row r="12846" spans="1:7" x14ac:dyDescent="0.25">
      <c r="A12846" s="116" t="s">
        <v>27595</v>
      </c>
      <c r="B12846" s="117" t="s">
        <v>20100</v>
      </c>
      <c r="C12846" t="s">
        <v>67</v>
      </c>
      <c r="D12846" t="s">
        <v>67</v>
      </c>
      <c r="E12846" t="s">
        <v>67</v>
      </c>
      <c r="F12846" t="s">
        <v>45</v>
      </c>
      <c r="G12846" s="117">
        <v>58.64</v>
      </c>
    </row>
    <row r="12847" spans="1:7" x14ac:dyDescent="0.25">
      <c r="A12847" s="116" t="s">
        <v>27596</v>
      </c>
      <c r="B12847" s="117" t="s">
        <v>20101</v>
      </c>
      <c r="C12847" t="s">
        <v>67</v>
      </c>
      <c r="D12847" t="s">
        <v>67</v>
      </c>
      <c r="E12847" t="s">
        <v>67</v>
      </c>
      <c r="F12847" t="s">
        <v>45</v>
      </c>
      <c r="G12847" s="117">
        <v>137.61000000000001</v>
      </c>
    </row>
    <row r="12848" spans="1:7" x14ac:dyDescent="0.25">
      <c r="A12848" s="116" t="s">
        <v>27597</v>
      </c>
      <c r="B12848" s="117" t="s">
        <v>20102</v>
      </c>
      <c r="C12848" t="s">
        <v>67</v>
      </c>
      <c r="D12848" t="s">
        <v>67</v>
      </c>
      <c r="E12848" t="s">
        <v>67</v>
      </c>
      <c r="F12848" t="s">
        <v>45</v>
      </c>
      <c r="G12848" s="117">
        <v>413.32</v>
      </c>
    </row>
    <row r="12849" spans="1:7" x14ac:dyDescent="0.25">
      <c r="A12849" s="116" t="s">
        <v>20103</v>
      </c>
      <c r="B12849" s="117" t="s">
        <v>20104</v>
      </c>
      <c r="C12849" t="s">
        <v>67</v>
      </c>
      <c r="D12849" t="s">
        <v>67</v>
      </c>
      <c r="E12849" t="s">
        <v>67</v>
      </c>
      <c r="F12849" t="s">
        <v>45</v>
      </c>
      <c r="G12849" s="117">
        <v>99.21</v>
      </c>
    </row>
    <row r="12850" spans="1:7" x14ac:dyDescent="0.25">
      <c r="A12850" s="116" t="s">
        <v>27598</v>
      </c>
      <c r="B12850" s="117" t="s">
        <v>15967</v>
      </c>
      <c r="C12850" t="s">
        <v>67</v>
      </c>
      <c r="D12850" t="s">
        <v>67</v>
      </c>
      <c r="E12850" t="s">
        <v>67</v>
      </c>
      <c r="F12850" t="s">
        <v>45</v>
      </c>
      <c r="G12850" s="117">
        <v>223.8</v>
      </c>
    </row>
    <row r="12851" spans="1:7" x14ac:dyDescent="0.25">
      <c r="A12851" s="116" t="s">
        <v>20105</v>
      </c>
      <c r="B12851" s="117" t="s">
        <v>20106</v>
      </c>
      <c r="C12851" t="s">
        <v>67</v>
      </c>
      <c r="D12851" t="s">
        <v>67</v>
      </c>
      <c r="E12851" t="s">
        <v>67</v>
      </c>
      <c r="F12851" t="s">
        <v>27987</v>
      </c>
      <c r="G12851" s="117">
        <v>77.86</v>
      </c>
    </row>
    <row r="12852" spans="1:7" x14ac:dyDescent="0.25">
      <c r="A12852" s="116" t="s">
        <v>29506</v>
      </c>
      <c r="B12852" s="117" t="s">
        <v>29507</v>
      </c>
      <c r="C12852" t="s">
        <v>67</v>
      </c>
      <c r="D12852" t="s">
        <v>67</v>
      </c>
      <c r="E12852" t="s">
        <v>67</v>
      </c>
      <c r="F12852" t="s">
        <v>45</v>
      </c>
      <c r="G12852" s="117">
        <v>0</v>
      </c>
    </row>
    <row r="12853" spans="1:7" x14ac:dyDescent="0.25">
      <c r="A12853" s="116" t="s">
        <v>20107</v>
      </c>
      <c r="B12853" s="117" t="s">
        <v>20108</v>
      </c>
      <c r="C12853" t="s">
        <v>67</v>
      </c>
      <c r="D12853" t="s">
        <v>67</v>
      </c>
      <c r="E12853" t="s">
        <v>67</v>
      </c>
      <c r="F12853" t="s">
        <v>27987</v>
      </c>
      <c r="G12853" s="117">
        <v>109.89</v>
      </c>
    </row>
    <row r="12854" spans="1:7" x14ac:dyDescent="0.25">
      <c r="A12854" s="116" t="s">
        <v>20109</v>
      </c>
      <c r="B12854" s="117" t="s">
        <v>20110</v>
      </c>
      <c r="C12854" t="s">
        <v>67</v>
      </c>
      <c r="D12854" t="s">
        <v>67</v>
      </c>
      <c r="E12854" t="s">
        <v>67</v>
      </c>
      <c r="F12854" t="s">
        <v>27987</v>
      </c>
      <c r="G12854" s="117">
        <v>91.56</v>
      </c>
    </row>
    <row r="12855" spans="1:7" x14ac:dyDescent="0.25">
      <c r="A12855" s="116" t="s">
        <v>20111</v>
      </c>
      <c r="B12855" s="117" t="s">
        <v>20112</v>
      </c>
      <c r="C12855" t="s">
        <v>67</v>
      </c>
      <c r="D12855" t="s">
        <v>67</v>
      </c>
      <c r="E12855" t="s">
        <v>67</v>
      </c>
      <c r="F12855" t="s">
        <v>27987</v>
      </c>
      <c r="G12855" s="117">
        <v>58.29</v>
      </c>
    </row>
    <row r="12856" spans="1:7" x14ac:dyDescent="0.25">
      <c r="A12856" s="116" t="s">
        <v>20113</v>
      </c>
      <c r="B12856" s="117" t="s">
        <v>18279</v>
      </c>
      <c r="C12856" t="s">
        <v>67</v>
      </c>
      <c r="D12856" t="s">
        <v>67</v>
      </c>
      <c r="E12856" t="s">
        <v>67</v>
      </c>
      <c r="F12856" t="s">
        <v>27987</v>
      </c>
      <c r="G12856" s="117">
        <v>116.65</v>
      </c>
    </row>
    <row r="12857" spans="1:7" x14ac:dyDescent="0.25">
      <c r="A12857" s="116" t="s">
        <v>20114</v>
      </c>
      <c r="B12857" s="117" t="s">
        <v>20115</v>
      </c>
      <c r="C12857" t="s">
        <v>67</v>
      </c>
      <c r="D12857" t="s">
        <v>67</v>
      </c>
      <c r="E12857" t="s">
        <v>67</v>
      </c>
      <c r="F12857" t="s">
        <v>27987</v>
      </c>
      <c r="G12857" s="117">
        <v>38.18</v>
      </c>
    </row>
    <row r="12858" spans="1:7" x14ac:dyDescent="0.25">
      <c r="A12858" s="116" t="s">
        <v>20116</v>
      </c>
      <c r="B12858" s="117" t="s">
        <v>20117</v>
      </c>
      <c r="C12858" t="s">
        <v>67</v>
      </c>
      <c r="D12858" t="s">
        <v>67</v>
      </c>
      <c r="E12858" t="s">
        <v>67</v>
      </c>
      <c r="F12858" t="s">
        <v>27987</v>
      </c>
      <c r="G12858" s="117">
        <v>248.18</v>
      </c>
    </row>
    <row r="12859" spans="1:7" x14ac:dyDescent="0.25">
      <c r="A12859" s="116" t="s">
        <v>26670</v>
      </c>
      <c r="B12859" s="117" t="s">
        <v>29508</v>
      </c>
      <c r="C12859" t="s">
        <v>67</v>
      </c>
      <c r="D12859" t="s">
        <v>67</v>
      </c>
      <c r="E12859" t="s">
        <v>67</v>
      </c>
      <c r="F12859" t="s">
        <v>49</v>
      </c>
      <c r="G12859" s="117">
        <v>132</v>
      </c>
    </row>
    <row r="12860" spans="1:7" x14ac:dyDescent="0.25">
      <c r="A12860" s="116" t="s">
        <v>28162</v>
      </c>
      <c r="B12860" s="117" t="s">
        <v>29835</v>
      </c>
      <c r="C12860" t="s">
        <v>67</v>
      </c>
      <c r="D12860" t="s">
        <v>67</v>
      </c>
      <c r="E12860" t="s">
        <v>67</v>
      </c>
      <c r="F12860" t="s">
        <v>27987</v>
      </c>
      <c r="G12860" s="117">
        <v>45</v>
      </c>
    </row>
    <row r="12861" spans="1:7" x14ac:dyDescent="0.25">
      <c r="A12861" s="116" t="s">
        <v>29509</v>
      </c>
      <c r="B12861" s="117" t="s">
        <v>29510</v>
      </c>
      <c r="C12861" t="s">
        <v>67</v>
      </c>
      <c r="D12861" t="s">
        <v>67</v>
      </c>
      <c r="E12861" t="s">
        <v>67</v>
      </c>
      <c r="F12861" t="s">
        <v>45</v>
      </c>
      <c r="G12861" s="117">
        <v>0</v>
      </c>
    </row>
    <row r="12862" spans="1:7" x14ac:dyDescent="0.25">
      <c r="A12862" s="116" t="s">
        <v>20118</v>
      </c>
      <c r="B12862" s="117" t="s">
        <v>13397</v>
      </c>
      <c r="C12862" t="s">
        <v>67</v>
      </c>
      <c r="D12862" t="s">
        <v>67</v>
      </c>
      <c r="E12862" t="s">
        <v>67</v>
      </c>
      <c r="F12862" t="s">
        <v>27987</v>
      </c>
      <c r="G12862" s="117">
        <v>64.87</v>
      </c>
    </row>
    <row r="12863" spans="1:7" x14ac:dyDescent="0.25">
      <c r="A12863" s="116" t="s">
        <v>20119</v>
      </c>
      <c r="B12863" s="117" t="s">
        <v>20120</v>
      </c>
      <c r="C12863" t="s">
        <v>67</v>
      </c>
      <c r="D12863" t="s">
        <v>67</v>
      </c>
      <c r="E12863" t="s">
        <v>67</v>
      </c>
      <c r="F12863" t="s">
        <v>27987</v>
      </c>
      <c r="G12863" s="117">
        <v>53.83</v>
      </c>
    </row>
    <row r="12864" spans="1:7" x14ac:dyDescent="0.25">
      <c r="A12864" s="116" t="s">
        <v>20121</v>
      </c>
      <c r="B12864" s="117" t="s">
        <v>20122</v>
      </c>
      <c r="C12864" t="s">
        <v>67</v>
      </c>
      <c r="D12864" t="s">
        <v>67</v>
      </c>
      <c r="E12864" t="s">
        <v>67</v>
      </c>
      <c r="F12864" t="s">
        <v>27987</v>
      </c>
      <c r="G12864" s="117">
        <v>64.87</v>
      </c>
    </row>
    <row r="12865" spans="1:7" x14ac:dyDescent="0.25">
      <c r="A12865" s="116" t="s">
        <v>20123</v>
      </c>
      <c r="B12865" s="117" t="s">
        <v>20124</v>
      </c>
      <c r="C12865" t="s">
        <v>67</v>
      </c>
      <c r="D12865" t="s">
        <v>67</v>
      </c>
      <c r="E12865" t="s">
        <v>67</v>
      </c>
      <c r="F12865" t="s">
        <v>27987</v>
      </c>
      <c r="G12865" s="117">
        <v>149.05000000000001</v>
      </c>
    </row>
    <row r="12866" spans="1:7" x14ac:dyDescent="0.25">
      <c r="A12866" s="116" t="s">
        <v>20125</v>
      </c>
      <c r="B12866" s="117" t="s">
        <v>20126</v>
      </c>
      <c r="C12866" t="s">
        <v>67</v>
      </c>
      <c r="D12866" t="s">
        <v>67</v>
      </c>
      <c r="E12866" t="s">
        <v>67</v>
      </c>
      <c r="F12866" t="s">
        <v>49</v>
      </c>
      <c r="G12866" s="117">
        <v>185.52</v>
      </c>
    </row>
    <row r="12867" spans="1:7" x14ac:dyDescent="0.25">
      <c r="A12867" s="116" t="s">
        <v>29511</v>
      </c>
      <c r="B12867" s="117" t="s">
        <v>29512</v>
      </c>
      <c r="C12867" t="s">
        <v>67</v>
      </c>
      <c r="D12867" t="s">
        <v>67</v>
      </c>
      <c r="E12867" t="s">
        <v>67</v>
      </c>
      <c r="F12867" t="s">
        <v>45</v>
      </c>
      <c r="G12867" s="117">
        <v>0</v>
      </c>
    </row>
    <row r="12868" spans="1:7" x14ac:dyDescent="0.25">
      <c r="A12868" s="116" t="s">
        <v>29513</v>
      </c>
      <c r="B12868" s="117" t="s">
        <v>29514</v>
      </c>
      <c r="C12868" t="s">
        <v>67</v>
      </c>
      <c r="D12868" t="s">
        <v>67</v>
      </c>
      <c r="E12868" t="s">
        <v>67</v>
      </c>
      <c r="F12868" t="s">
        <v>45</v>
      </c>
      <c r="G12868" s="117">
        <v>0</v>
      </c>
    </row>
    <row r="12869" spans="1:7" x14ac:dyDescent="0.25">
      <c r="A12869" s="116" t="s">
        <v>20127</v>
      </c>
      <c r="B12869" s="117" t="s">
        <v>20128</v>
      </c>
      <c r="C12869" t="s">
        <v>67</v>
      </c>
      <c r="D12869" t="s">
        <v>67</v>
      </c>
      <c r="E12869" t="s">
        <v>67</v>
      </c>
      <c r="F12869" t="s">
        <v>27987</v>
      </c>
      <c r="G12869" s="117">
        <v>104.92</v>
      </c>
    </row>
    <row r="12870" spans="1:7" x14ac:dyDescent="0.25">
      <c r="A12870" s="116" t="s">
        <v>20129</v>
      </c>
      <c r="B12870" s="117" t="s">
        <v>18279</v>
      </c>
      <c r="C12870" t="s">
        <v>67</v>
      </c>
      <c r="D12870" t="s">
        <v>67</v>
      </c>
      <c r="E12870" t="s">
        <v>67</v>
      </c>
      <c r="F12870" t="s">
        <v>51</v>
      </c>
      <c r="G12870" s="117">
        <v>147.88</v>
      </c>
    </row>
    <row r="12871" spans="1:7" x14ac:dyDescent="0.25">
      <c r="A12871" s="116" t="s">
        <v>20130</v>
      </c>
      <c r="B12871" s="117" t="s">
        <v>20131</v>
      </c>
      <c r="C12871" t="s">
        <v>67</v>
      </c>
      <c r="D12871" t="s">
        <v>67</v>
      </c>
      <c r="E12871" t="s">
        <v>67</v>
      </c>
      <c r="F12871" t="s">
        <v>27987</v>
      </c>
      <c r="G12871" s="117">
        <v>173.43</v>
      </c>
    </row>
    <row r="12872" spans="1:7" x14ac:dyDescent="0.25">
      <c r="A12872" s="116" t="s">
        <v>20132</v>
      </c>
      <c r="B12872" s="117" t="s">
        <v>20133</v>
      </c>
      <c r="C12872" t="s">
        <v>67</v>
      </c>
      <c r="D12872" t="s">
        <v>67</v>
      </c>
      <c r="E12872" t="s">
        <v>67</v>
      </c>
      <c r="F12872" t="s">
        <v>27987</v>
      </c>
      <c r="G12872" s="117">
        <v>118.26</v>
      </c>
    </row>
    <row r="12873" spans="1:7" x14ac:dyDescent="0.25">
      <c r="A12873" s="116" t="s">
        <v>20134</v>
      </c>
      <c r="B12873" s="117" t="s">
        <v>20135</v>
      </c>
      <c r="C12873" t="s">
        <v>67</v>
      </c>
      <c r="D12873" t="s">
        <v>67</v>
      </c>
      <c r="E12873" t="s">
        <v>67</v>
      </c>
      <c r="F12873" t="s">
        <v>49</v>
      </c>
      <c r="G12873" s="117">
        <v>108.48</v>
      </c>
    </row>
    <row r="12874" spans="1:7" x14ac:dyDescent="0.25">
      <c r="A12874" s="116" t="s">
        <v>20136</v>
      </c>
      <c r="B12874" s="117" t="s">
        <v>20137</v>
      </c>
      <c r="C12874" t="s">
        <v>67</v>
      </c>
      <c r="D12874" t="s">
        <v>67</v>
      </c>
      <c r="E12874" t="s">
        <v>67</v>
      </c>
      <c r="F12874" t="s">
        <v>45</v>
      </c>
      <c r="G12874" s="117">
        <v>291.42</v>
      </c>
    </row>
    <row r="12875" spans="1:7" x14ac:dyDescent="0.25">
      <c r="A12875" s="116" t="s">
        <v>20138</v>
      </c>
      <c r="B12875" s="117" t="s">
        <v>20139</v>
      </c>
      <c r="C12875" t="s">
        <v>67</v>
      </c>
      <c r="D12875" t="s">
        <v>67</v>
      </c>
      <c r="E12875" t="s">
        <v>67</v>
      </c>
      <c r="F12875" t="s">
        <v>49</v>
      </c>
      <c r="G12875" s="117">
        <v>285.55</v>
      </c>
    </row>
    <row r="12876" spans="1:7" x14ac:dyDescent="0.25">
      <c r="A12876" s="116" t="s">
        <v>20140</v>
      </c>
      <c r="B12876" s="117" t="s">
        <v>20141</v>
      </c>
      <c r="C12876" t="s">
        <v>67</v>
      </c>
      <c r="D12876" t="s">
        <v>67</v>
      </c>
      <c r="E12876" t="s">
        <v>67</v>
      </c>
      <c r="F12876" t="s">
        <v>27987</v>
      </c>
      <c r="G12876" s="117">
        <v>54.19</v>
      </c>
    </row>
    <row r="12877" spans="1:7" x14ac:dyDescent="0.25">
      <c r="A12877" s="116" t="s">
        <v>20142</v>
      </c>
      <c r="B12877" s="117" t="s">
        <v>20143</v>
      </c>
      <c r="C12877" t="s">
        <v>67</v>
      </c>
      <c r="D12877" t="s">
        <v>67</v>
      </c>
      <c r="E12877" t="s">
        <v>67</v>
      </c>
      <c r="F12877" t="s">
        <v>45</v>
      </c>
      <c r="G12877" s="117">
        <v>21.26</v>
      </c>
    </row>
    <row r="12878" spans="1:7" x14ac:dyDescent="0.25">
      <c r="A12878" s="116" t="s">
        <v>20144</v>
      </c>
      <c r="B12878" s="117" t="s">
        <v>20145</v>
      </c>
      <c r="C12878" t="s">
        <v>67</v>
      </c>
      <c r="D12878" t="s">
        <v>67</v>
      </c>
      <c r="E12878" t="s">
        <v>67</v>
      </c>
      <c r="F12878" t="s">
        <v>27987</v>
      </c>
      <c r="G12878" s="117">
        <v>71.099999999999994</v>
      </c>
    </row>
    <row r="12879" spans="1:7" x14ac:dyDescent="0.25">
      <c r="A12879" s="116" t="s">
        <v>29515</v>
      </c>
      <c r="B12879" s="117" t="s">
        <v>29516</v>
      </c>
      <c r="C12879" t="s">
        <v>67</v>
      </c>
      <c r="D12879" t="s">
        <v>67</v>
      </c>
      <c r="E12879" t="s">
        <v>67</v>
      </c>
      <c r="F12879" t="s">
        <v>45</v>
      </c>
      <c r="G12879" s="117">
        <v>0</v>
      </c>
    </row>
    <row r="12880" spans="1:7" x14ac:dyDescent="0.25">
      <c r="A12880" s="116" t="s">
        <v>20146</v>
      </c>
      <c r="B12880" s="117" t="s">
        <v>20147</v>
      </c>
      <c r="C12880" t="s">
        <v>67</v>
      </c>
      <c r="D12880" t="s">
        <v>67</v>
      </c>
      <c r="E12880" t="s">
        <v>67</v>
      </c>
      <c r="F12880" t="s">
        <v>45</v>
      </c>
      <c r="G12880" s="117">
        <v>47.61</v>
      </c>
    </row>
    <row r="12881" spans="1:7" x14ac:dyDescent="0.25">
      <c r="A12881" s="116" t="s">
        <v>20148</v>
      </c>
      <c r="B12881" s="117" t="s">
        <v>20149</v>
      </c>
      <c r="C12881" t="s">
        <v>67</v>
      </c>
      <c r="D12881" t="s">
        <v>67</v>
      </c>
      <c r="E12881" t="s">
        <v>67</v>
      </c>
      <c r="F12881" t="s">
        <v>27987</v>
      </c>
      <c r="G12881" s="117">
        <v>43.51</v>
      </c>
    </row>
    <row r="12882" spans="1:7" x14ac:dyDescent="0.25">
      <c r="A12882" s="116" t="s">
        <v>20150</v>
      </c>
      <c r="B12882" s="117" t="s">
        <v>20151</v>
      </c>
      <c r="C12882" t="s">
        <v>67</v>
      </c>
      <c r="D12882" t="s">
        <v>67</v>
      </c>
      <c r="E12882" t="s">
        <v>67</v>
      </c>
      <c r="F12882" t="s">
        <v>27987</v>
      </c>
      <c r="G12882" s="117">
        <v>19.13</v>
      </c>
    </row>
    <row r="12883" spans="1:7" x14ac:dyDescent="0.25">
      <c r="A12883" s="116" t="s">
        <v>20152</v>
      </c>
      <c r="B12883" s="117" t="s">
        <v>20153</v>
      </c>
      <c r="C12883" t="s">
        <v>67</v>
      </c>
      <c r="D12883" t="s">
        <v>67</v>
      </c>
      <c r="E12883" t="s">
        <v>67</v>
      </c>
      <c r="F12883" t="s">
        <v>27987</v>
      </c>
      <c r="G12883" s="117">
        <v>21.8</v>
      </c>
    </row>
    <row r="12884" spans="1:7" x14ac:dyDescent="0.25">
      <c r="A12884" s="116" t="s">
        <v>20154</v>
      </c>
      <c r="B12884" s="117" t="s">
        <v>19811</v>
      </c>
      <c r="C12884" t="s">
        <v>67</v>
      </c>
      <c r="D12884" t="s">
        <v>67</v>
      </c>
      <c r="E12884" t="s">
        <v>67</v>
      </c>
      <c r="F12884" t="s">
        <v>27987</v>
      </c>
      <c r="G12884" s="117">
        <v>15.57</v>
      </c>
    </row>
    <row r="12885" spans="1:7" x14ac:dyDescent="0.25">
      <c r="A12885" s="116" t="s">
        <v>20155</v>
      </c>
      <c r="B12885" s="117" t="s">
        <v>20156</v>
      </c>
      <c r="C12885" t="s">
        <v>67</v>
      </c>
      <c r="D12885" t="s">
        <v>67</v>
      </c>
      <c r="E12885" t="s">
        <v>67</v>
      </c>
      <c r="F12885" t="s">
        <v>27987</v>
      </c>
      <c r="G12885" s="117">
        <v>13.26</v>
      </c>
    </row>
    <row r="12886" spans="1:7" x14ac:dyDescent="0.25">
      <c r="A12886" s="116" t="s">
        <v>20157</v>
      </c>
      <c r="B12886" s="117" t="s">
        <v>20158</v>
      </c>
      <c r="C12886" t="s">
        <v>67</v>
      </c>
      <c r="D12886" t="s">
        <v>67</v>
      </c>
      <c r="E12886" t="s">
        <v>67</v>
      </c>
      <c r="F12886" t="s">
        <v>49</v>
      </c>
      <c r="G12886" s="117">
        <v>16.46</v>
      </c>
    </row>
    <row r="12887" spans="1:7" x14ac:dyDescent="0.25">
      <c r="A12887" s="116" t="s">
        <v>20159</v>
      </c>
      <c r="B12887" s="117" t="s">
        <v>19811</v>
      </c>
      <c r="C12887" t="s">
        <v>67</v>
      </c>
      <c r="D12887" t="s">
        <v>67</v>
      </c>
      <c r="E12887" t="s">
        <v>67</v>
      </c>
      <c r="F12887" t="s">
        <v>45</v>
      </c>
      <c r="G12887" s="117">
        <v>31.94</v>
      </c>
    </row>
    <row r="12888" spans="1:7" x14ac:dyDescent="0.25">
      <c r="A12888" s="116" t="s">
        <v>20160</v>
      </c>
      <c r="B12888" s="117" t="s">
        <v>20161</v>
      </c>
      <c r="C12888" t="s">
        <v>67</v>
      </c>
      <c r="D12888" t="s">
        <v>67</v>
      </c>
      <c r="E12888" t="s">
        <v>67</v>
      </c>
      <c r="F12888" t="s">
        <v>45</v>
      </c>
      <c r="G12888" s="117">
        <v>34.26</v>
      </c>
    </row>
    <row r="12889" spans="1:7" x14ac:dyDescent="0.25">
      <c r="A12889" s="116" t="s">
        <v>20162</v>
      </c>
      <c r="B12889" s="117" t="s">
        <v>20163</v>
      </c>
      <c r="C12889" t="s">
        <v>67</v>
      </c>
      <c r="D12889" t="s">
        <v>67</v>
      </c>
      <c r="E12889" t="s">
        <v>67</v>
      </c>
      <c r="F12889" t="s">
        <v>27987</v>
      </c>
      <c r="G12889" s="117">
        <v>5.26</v>
      </c>
    </row>
    <row r="12890" spans="1:7" x14ac:dyDescent="0.25">
      <c r="A12890" s="116" t="s">
        <v>20164</v>
      </c>
      <c r="B12890" s="117" t="s">
        <v>20165</v>
      </c>
      <c r="C12890" t="s">
        <v>67</v>
      </c>
      <c r="D12890" t="s">
        <v>67</v>
      </c>
      <c r="E12890" t="s">
        <v>67</v>
      </c>
      <c r="F12890" t="s">
        <v>27987</v>
      </c>
      <c r="G12890" s="117">
        <v>6.68</v>
      </c>
    </row>
    <row r="12891" spans="1:7" x14ac:dyDescent="0.25">
      <c r="A12891" s="116" t="s">
        <v>20166</v>
      </c>
      <c r="B12891" s="117" t="s">
        <v>20167</v>
      </c>
      <c r="C12891" t="s">
        <v>67</v>
      </c>
      <c r="D12891" t="s">
        <v>67</v>
      </c>
      <c r="E12891" t="s">
        <v>67</v>
      </c>
      <c r="F12891" t="s">
        <v>27987</v>
      </c>
      <c r="G12891" s="117">
        <v>59.18</v>
      </c>
    </row>
    <row r="12892" spans="1:7" x14ac:dyDescent="0.25">
      <c r="A12892" s="116" t="s">
        <v>20168</v>
      </c>
      <c r="B12892" s="117" t="s">
        <v>20169</v>
      </c>
      <c r="C12892" t="s">
        <v>67</v>
      </c>
      <c r="D12892" t="s">
        <v>67</v>
      </c>
      <c r="E12892" t="s">
        <v>67</v>
      </c>
      <c r="F12892" t="s">
        <v>27987</v>
      </c>
      <c r="G12892" s="117">
        <v>44.94</v>
      </c>
    </row>
    <row r="12893" spans="1:7" x14ac:dyDescent="0.25">
      <c r="A12893" s="116" t="s">
        <v>20170</v>
      </c>
      <c r="B12893" s="117" t="s">
        <v>20161</v>
      </c>
      <c r="C12893" t="s">
        <v>67</v>
      </c>
      <c r="D12893" t="s">
        <v>67</v>
      </c>
      <c r="E12893" t="s">
        <v>67</v>
      </c>
      <c r="F12893" t="s">
        <v>45</v>
      </c>
      <c r="G12893" s="117">
        <v>59.18</v>
      </c>
    </row>
    <row r="12894" spans="1:7" x14ac:dyDescent="0.25">
      <c r="A12894" s="116" t="s">
        <v>20171</v>
      </c>
      <c r="B12894" s="117" t="s">
        <v>19811</v>
      </c>
      <c r="C12894" t="s">
        <v>67</v>
      </c>
      <c r="D12894" t="s">
        <v>67</v>
      </c>
      <c r="E12894" t="s">
        <v>67</v>
      </c>
      <c r="F12894" t="s">
        <v>45</v>
      </c>
      <c r="G12894" s="117">
        <v>19.13</v>
      </c>
    </row>
    <row r="12895" spans="1:7" x14ac:dyDescent="0.25">
      <c r="A12895" s="116" t="s">
        <v>20172</v>
      </c>
      <c r="B12895" s="117" t="s">
        <v>20173</v>
      </c>
      <c r="C12895" t="s">
        <v>67</v>
      </c>
      <c r="D12895" t="s">
        <v>67</v>
      </c>
      <c r="E12895" t="s">
        <v>67</v>
      </c>
      <c r="F12895" t="s">
        <v>27987</v>
      </c>
      <c r="G12895" s="117">
        <v>42</v>
      </c>
    </row>
    <row r="12896" spans="1:7" x14ac:dyDescent="0.25">
      <c r="A12896" s="116" t="s">
        <v>20174</v>
      </c>
      <c r="B12896" s="117" t="s">
        <v>19811</v>
      </c>
      <c r="C12896" t="s">
        <v>67</v>
      </c>
      <c r="D12896" t="s">
        <v>67</v>
      </c>
      <c r="E12896" t="s">
        <v>67</v>
      </c>
      <c r="F12896" t="s">
        <v>45</v>
      </c>
      <c r="G12896" s="117">
        <v>35.5</v>
      </c>
    </row>
    <row r="12897" spans="1:7" x14ac:dyDescent="0.25">
      <c r="A12897" s="116" t="s">
        <v>20175</v>
      </c>
      <c r="B12897" s="117" t="s">
        <v>19811</v>
      </c>
      <c r="C12897" t="s">
        <v>67</v>
      </c>
      <c r="D12897" t="s">
        <v>67</v>
      </c>
      <c r="E12897" t="s">
        <v>67</v>
      </c>
      <c r="F12897" t="s">
        <v>49</v>
      </c>
      <c r="G12897" s="117">
        <v>10.58</v>
      </c>
    </row>
    <row r="12898" spans="1:7" x14ac:dyDescent="0.25">
      <c r="A12898" s="116" t="s">
        <v>20176</v>
      </c>
      <c r="B12898" s="117" t="s">
        <v>20177</v>
      </c>
      <c r="C12898" t="s">
        <v>67</v>
      </c>
      <c r="D12898" t="s">
        <v>67</v>
      </c>
      <c r="E12898" t="s">
        <v>67</v>
      </c>
      <c r="F12898" t="s">
        <v>45</v>
      </c>
      <c r="G12898" s="117">
        <v>37.82</v>
      </c>
    </row>
    <row r="12899" spans="1:7" x14ac:dyDescent="0.25">
      <c r="A12899" s="116" t="s">
        <v>20178</v>
      </c>
      <c r="B12899" s="117" t="s">
        <v>20179</v>
      </c>
      <c r="C12899" t="s">
        <v>67</v>
      </c>
      <c r="D12899" t="s">
        <v>67</v>
      </c>
      <c r="E12899" t="s">
        <v>67</v>
      </c>
      <c r="F12899" t="s">
        <v>45</v>
      </c>
      <c r="G12899" s="117">
        <v>8.4499999999999993</v>
      </c>
    </row>
    <row r="12900" spans="1:7" x14ac:dyDescent="0.25">
      <c r="A12900" s="116" t="s">
        <v>20180</v>
      </c>
      <c r="B12900" s="117" t="s">
        <v>20181</v>
      </c>
      <c r="C12900" t="s">
        <v>67</v>
      </c>
      <c r="D12900" t="s">
        <v>67</v>
      </c>
      <c r="E12900" t="s">
        <v>67</v>
      </c>
      <c r="F12900" t="s">
        <v>49</v>
      </c>
      <c r="G12900" s="117">
        <v>89.79</v>
      </c>
    </row>
    <row r="12901" spans="1:7" x14ac:dyDescent="0.25">
      <c r="A12901" s="116" t="s">
        <v>20182</v>
      </c>
      <c r="B12901" s="117" t="s">
        <v>20183</v>
      </c>
      <c r="C12901" t="s">
        <v>67</v>
      </c>
      <c r="D12901" t="s">
        <v>67</v>
      </c>
      <c r="E12901" t="s">
        <v>67</v>
      </c>
      <c r="F12901" t="s">
        <v>27987</v>
      </c>
      <c r="G12901" s="117">
        <v>10.58</v>
      </c>
    </row>
    <row r="12902" spans="1:7" x14ac:dyDescent="0.25">
      <c r="A12902" s="116" t="s">
        <v>20184</v>
      </c>
      <c r="B12902" s="117" t="s">
        <v>20185</v>
      </c>
      <c r="C12902" t="s">
        <v>67</v>
      </c>
      <c r="D12902" t="s">
        <v>67</v>
      </c>
      <c r="E12902" t="s">
        <v>67</v>
      </c>
      <c r="F12902" t="s">
        <v>27987</v>
      </c>
      <c r="G12902" s="117">
        <v>91.56</v>
      </c>
    </row>
    <row r="12903" spans="1:7" x14ac:dyDescent="0.25">
      <c r="A12903" s="116" t="s">
        <v>20186</v>
      </c>
      <c r="B12903" s="117" t="s">
        <v>20187</v>
      </c>
      <c r="C12903" t="s">
        <v>67</v>
      </c>
      <c r="D12903" t="s">
        <v>67</v>
      </c>
      <c r="E12903" t="s">
        <v>67</v>
      </c>
      <c r="F12903" t="s">
        <v>27990</v>
      </c>
      <c r="G12903" s="117">
        <v>26.25</v>
      </c>
    </row>
    <row r="12904" spans="1:7" x14ac:dyDescent="0.25">
      <c r="A12904" s="116" t="s">
        <v>20188</v>
      </c>
      <c r="B12904" s="117" t="s">
        <v>20189</v>
      </c>
      <c r="C12904" t="s">
        <v>67</v>
      </c>
      <c r="D12904" t="s">
        <v>67</v>
      </c>
      <c r="E12904" t="s">
        <v>67</v>
      </c>
      <c r="F12904" t="s">
        <v>27987</v>
      </c>
      <c r="G12904" s="117">
        <v>51.52</v>
      </c>
    </row>
    <row r="12905" spans="1:7" x14ac:dyDescent="0.25">
      <c r="A12905" s="116" t="s">
        <v>20190</v>
      </c>
      <c r="B12905" s="117" t="s">
        <v>19806</v>
      </c>
      <c r="C12905" t="s">
        <v>67</v>
      </c>
      <c r="D12905" t="s">
        <v>67</v>
      </c>
      <c r="E12905" t="s">
        <v>67</v>
      </c>
      <c r="F12905" t="s">
        <v>27987</v>
      </c>
      <c r="G12905" s="117">
        <v>9.6999999999999993</v>
      </c>
    </row>
    <row r="12906" spans="1:7" x14ac:dyDescent="0.25">
      <c r="A12906" s="116" t="s">
        <v>20191</v>
      </c>
      <c r="B12906" s="117" t="s">
        <v>19811</v>
      </c>
      <c r="C12906" t="s">
        <v>67</v>
      </c>
      <c r="D12906" t="s">
        <v>67</v>
      </c>
      <c r="E12906" t="s">
        <v>67</v>
      </c>
      <c r="F12906" t="s">
        <v>27987</v>
      </c>
      <c r="G12906" s="117">
        <v>29.81</v>
      </c>
    </row>
    <row r="12907" spans="1:7" x14ac:dyDescent="0.25">
      <c r="A12907" s="116" t="s">
        <v>20192</v>
      </c>
      <c r="B12907" s="117" t="s">
        <v>20193</v>
      </c>
      <c r="C12907" t="s">
        <v>67</v>
      </c>
      <c r="D12907" t="s">
        <v>67</v>
      </c>
      <c r="E12907" t="s">
        <v>67</v>
      </c>
      <c r="F12907" t="s">
        <v>27987</v>
      </c>
      <c r="G12907" s="117">
        <v>6.14</v>
      </c>
    </row>
    <row r="12908" spans="1:7" x14ac:dyDescent="0.25">
      <c r="A12908" s="116" t="s">
        <v>20194</v>
      </c>
      <c r="B12908" s="117" t="s">
        <v>19817</v>
      </c>
      <c r="C12908" t="s">
        <v>67</v>
      </c>
      <c r="D12908" t="s">
        <v>67</v>
      </c>
      <c r="E12908" t="s">
        <v>67</v>
      </c>
      <c r="F12908" t="s">
        <v>27987</v>
      </c>
      <c r="G12908" s="117">
        <v>9.35</v>
      </c>
    </row>
    <row r="12909" spans="1:7" x14ac:dyDescent="0.25">
      <c r="A12909" s="116" t="s">
        <v>20195</v>
      </c>
      <c r="B12909" s="117" t="s">
        <v>19817</v>
      </c>
      <c r="C12909" t="s">
        <v>67</v>
      </c>
      <c r="D12909" t="s">
        <v>67</v>
      </c>
      <c r="E12909" t="s">
        <v>67</v>
      </c>
      <c r="F12909" t="s">
        <v>27987</v>
      </c>
      <c r="G12909" s="117">
        <v>8.89</v>
      </c>
    </row>
    <row r="12910" spans="1:7" x14ac:dyDescent="0.25">
      <c r="A12910" s="116" t="s">
        <v>20196</v>
      </c>
      <c r="B12910" s="117" t="s">
        <v>20141</v>
      </c>
      <c r="C12910" t="s">
        <v>67</v>
      </c>
      <c r="D12910" t="s">
        <v>67</v>
      </c>
      <c r="E12910" t="s">
        <v>67</v>
      </c>
      <c r="F12910" t="s">
        <v>27987</v>
      </c>
      <c r="G12910" s="117">
        <v>41.74</v>
      </c>
    </row>
    <row r="12911" spans="1:7" x14ac:dyDescent="0.25">
      <c r="A12911" s="116" t="s">
        <v>20197</v>
      </c>
      <c r="B12911" s="117" t="s">
        <v>29517</v>
      </c>
      <c r="C12911" t="s">
        <v>67</v>
      </c>
      <c r="D12911" t="s">
        <v>67</v>
      </c>
      <c r="E12911" t="s">
        <v>67</v>
      </c>
      <c r="F12911" t="s">
        <v>27987</v>
      </c>
      <c r="G12911" s="117">
        <v>53.49</v>
      </c>
    </row>
    <row r="12912" spans="1:7" x14ac:dyDescent="0.25">
      <c r="A12912" s="116" t="s">
        <v>20198</v>
      </c>
      <c r="B12912" s="117" t="s">
        <v>20169</v>
      </c>
      <c r="C12912" t="s">
        <v>67</v>
      </c>
      <c r="D12912" t="s">
        <v>67</v>
      </c>
      <c r="E12912" t="s">
        <v>67</v>
      </c>
      <c r="F12912" t="s">
        <v>27987</v>
      </c>
      <c r="G12912" s="117">
        <v>55.62</v>
      </c>
    </row>
    <row r="12913" spans="1:7" x14ac:dyDescent="0.25">
      <c r="A12913" s="116" t="s">
        <v>20199</v>
      </c>
      <c r="B12913" s="117" t="s">
        <v>20200</v>
      </c>
      <c r="C12913" t="s">
        <v>67</v>
      </c>
      <c r="D12913" t="s">
        <v>67</v>
      </c>
      <c r="E12913" t="s">
        <v>67</v>
      </c>
      <c r="F12913" t="s">
        <v>45</v>
      </c>
      <c r="G12913" s="117">
        <v>9.6999999999999993</v>
      </c>
    </row>
    <row r="12914" spans="1:7" x14ac:dyDescent="0.25">
      <c r="A12914" s="116" t="s">
        <v>20201</v>
      </c>
      <c r="B12914" s="117" t="s">
        <v>20169</v>
      </c>
      <c r="C12914" t="s">
        <v>67</v>
      </c>
      <c r="D12914" t="s">
        <v>67</v>
      </c>
      <c r="E12914" t="s">
        <v>67</v>
      </c>
      <c r="F12914" t="s">
        <v>27987</v>
      </c>
      <c r="G12914" s="117">
        <v>99.21</v>
      </c>
    </row>
    <row r="12915" spans="1:7" x14ac:dyDescent="0.25">
      <c r="A12915" s="116" t="s">
        <v>20202</v>
      </c>
      <c r="B12915" s="117" t="s">
        <v>20203</v>
      </c>
      <c r="C12915" t="s">
        <v>67</v>
      </c>
      <c r="D12915" t="s">
        <v>67</v>
      </c>
      <c r="E12915" t="s">
        <v>67</v>
      </c>
      <c r="F12915" t="s">
        <v>49</v>
      </c>
      <c r="G12915" s="117">
        <v>29.81</v>
      </c>
    </row>
    <row r="12916" spans="1:7" x14ac:dyDescent="0.25">
      <c r="A12916" s="116" t="s">
        <v>20204</v>
      </c>
      <c r="B12916" s="117" t="s">
        <v>20205</v>
      </c>
      <c r="C12916" t="s">
        <v>67</v>
      </c>
      <c r="D12916" t="s">
        <v>67</v>
      </c>
      <c r="E12916" t="s">
        <v>67</v>
      </c>
      <c r="F12916" t="s">
        <v>49</v>
      </c>
      <c r="G12916" s="117">
        <v>44.94</v>
      </c>
    </row>
    <row r="12917" spans="1:7" x14ac:dyDescent="0.25">
      <c r="A12917" s="116" t="s">
        <v>20206</v>
      </c>
      <c r="B12917" s="117" t="s">
        <v>20207</v>
      </c>
      <c r="C12917" t="s">
        <v>67</v>
      </c>
      <c r="D12917" t="s">
        <v>67</v>
      </c>
      <c r="E12917" t="s">
        <v>67</v>
      </c>
      <c r="F12917" t="s">
        <v>45</v>
      </c>
      <c r="G12917" s="117">
        <v>21.26</v>
      </c>
    </row>
    <row r="12918" spans="1:7" x14ac:dyDescent="0.25">
      <c r="A12918" s="116" t="s">
        <v>20208</v>
      </c>
      <c r="B12918" s="117" t="s">
        <v>20209</v>
      </c>
      <c r="C12918" t="s">
        <v>67</v>
      </c>
      <c r="D12918" t="s">
        <v>67</v>
      </c>
      <c r="E12918" t="s">
        <v>67</v>
      </c>
      <c r="F12918" t="s">
        <v>27987</v>
      </c>
      <c r="G12918" s="117">
        <v>77.599999999999994</v>
      </c>
    </row>
    <row r="12919" spans="1:7" x14ac:dyDescent="0.25">
      <c r="A12919" s="116" t="s">
        <v>20210</v>
      </c>
      <c r="B12919" s="117" t="s">
        <v>20211</v>
      </c>
      <c r="C12919" t="s">
        <v>67</v>
      </c>
      <c r="D12919" t="s">
        <v>67</v>
      </c>
      <c r="E12919" t="s">
        <v>67</v>
      </c>
      <c r="F12919" t="s">
        <v>27987</v>
      </c>
      <c r="G12919" s="117">
        <v>41.31</v>
      </c>
    </row>
    <row r="12920" spans="1:7" x14ac:dyDescent="0.25">
      <c r="A12920" s="116" t="s">
        <v>20212</v>
      </c>
      <c r="B12920" s="117" t="s">
        <v>20213</v>
      </c>
      <c r="C12920" t="s">
        <v>67</v>
      </c>
      <c r="D12920" t="s">
        <v>67</v>
      </c>
      <c r="E12920" t="s">
        <v>67</v>
      </c>
      <c r="F12920" t="s">
        <v>51</v>
      </c>
      <c r="G12920" s="117">
        <v>27.14</v>
      </c>
    </row>
    <row r="12921" spans="1:7" x14ac:dyDescent="0.25">
      <c r="A12921" s="116" t="s">
        <v>20214</v>
      </c>
      <c r="B12921" s="117" t="s">
        <v>20215</v>
      </c>
      <c r="C12921" t="s">
        <v>67</v>
      </c>
      <c r="D12921" t="s">
        <v>67</v>
      </c>
      <c r="E12921" t="s">
        <v>67</v>
      </c>
      <c r="F12921" t="s">
        <v>45</v>
      </c>
      <c r="G12921" s="117">
        <v>413.32</v>
      </c>
    </row>
    <row r="12922" spans="1:7" x14ac:dyDescent="0.25">
      <c r="A12922" s="116" t="s">
        <v>20216</v>
      </c>
      <c r="B12922" s="117" t="s">
        <v>19811</v>
      </c>
      <c r="C12922" t="s">
        <v>67</v>
      </c>
      <c r="D12922" t="s">
        <v>67</v>
      </c>
      <c r="E12922" t="s">
        <v>67</v>
      </c>
      <c r="F12922" t="s">
        <v>27987</v>
      </c>
      <c r="G12922" s="117">
        <v>14.14</v>
      </c>
    </row>
    <row r="12923" spans="1:7" x14ac:dyDescent="0.25">
      <c r="A12923" s="116" t="s">
        <v>20217</v>
      </c>
      <c r="B12923" s="117" t="s">
        <v>19811</v>
      </c>
      <c r="C12923" t="s">
        <v>67</v>
      </c>
      <c r="D12923" t="s">
        <v>67</v>
      </c>
      <c r="E12923" t="s">
        <v>67</v>
      </c>
      <c r="F12923" t="s">
        <v>49</v>
      </c>
      <c r="G12923" s="117">
        <v>14.14</v>
      </c>
    </row>
    <row r="12924" spans="1:7" x14ac:dyDescent="0.25">
      <c r="A12924" s="116" t="s">
        <v>20218</v>
      </c>
      <c r="B12924" s="117" t="s">
        <v>20219</v>
      </c>
      <c r="C12924" t="s">
        <v>67</v>
      </c>
      <c r="D12924" t="s">
        <v>67</v>
      </c>
      <c r="E12924" t="s">
        <v>67</v>
      </c>
      <c r="F12924" t="s">
        <v>49</v>
      </c>
      <c r="G12924" s="117">
        <v>39.06</v>
      </c>
    </row>
    <row r="12925" spans="1:7" x14ac:dyDescent="0.25">
      <c r="A12925" s="116" t="s">
        <v>20220</v>
      </c>
      <c r="B12925" s="117" t="s">
        <v>20221</v>
      </c>
      <c r="C12925" t="s">
        <v>67</v>
      </c>
      <c r="D12925" t="s">
        <v>67</v>
      </c>
      <c r="E12925" t="s">
        <v>67</v>
      </c>
      <c r="F12925" t="s">
        <v>27987</v>
      </c>
      <c r="G12925" s="117">
        <v>18.239999999999998</v>
      </c>
    </row>
    <row r="12926" spans="1:7" x14ac:dyDescent="0.25">
      <c r="A12926" s="116" t="s">
        <v>20222</v>
      </c>
      <c r="B12926" s="117" t="s">
        <v>20223</v>
      </c>
      <c r="C12926" t="s">
        <v>67</v>
      </c>
      <c r="D12926" t="s">
        <v>67</v>
      </c>
      <c r="E12926" t="s">
        <v>67</v>
      </c>
      <c r="F12926" t="s">
        <v>27987</v>
      </c>
      <c r="G12926" s="117">
        <v>40.49</v>
      </c>
    </row>
    <row r="12927" spans="1:7" x14ac:dyDescent="0.25">
      <c r="A12927" s="116" t="s">
        <v>20224</v>
      </c>
      <c r="B12927" s="117" t="s">
        <v>20225</v>
      </c>
      <c r="C12927" t="s">
        <v>67</v>
      </c>
      <c r="D12927" t="s">
        <v>67</v>
      </c>
      <c r="E12927" t="s">
        <v>67</v>
      </c>
      <c r="F12927" t="s">
        <v>27987</v>
      </c>
      <c r="G12927" s="117">
        <v>5.79</v>
      </c>
    </row>
    <row r="12928" spans="1:7" x14ac:dyDescent="0.25">
      <c r="A12928" s="116" t="s">
        <v>20226</v>
      </c>
      <c r="B12928" s="117" t="s">
        <v>19811</v>
      </c>
      <c r="C12928" t="s">
        <v>67</v>
      </c>
      <c r="D12928" t="s">
        <v>67</v>
      </c>
      <c r="E12928" t="s">
        <v>67</v>
      </c>
      <c r="F12928" t="s">
        <v>27987</v>
      </c>
      <c r="G12928" s="117">
        <v>29.81</v>
      </c>
    </row>
    <row r="12929" spans="1:7" x14ac:dyDescent="0.25">
      <c r="A12929" s="116" t="s">
        <v>20227</v>
      </c>
      <c r="B12929" s="117" t="s">
        <v>19811</v>
      </c>
      <c r="C12929" t="s">
        <v>67</v>
      </c>
      <c r="D12929" t="s">
        <v>67</v>
      </c>
      <c r="E12929" t="s">
        <v>67</v>
      </c>
      <c r="F12929" t="s">
        <v>27987</v>
      </c>
      <c r="G12929" s="117">
        <v>28.38</v>
      </c>
    </row>
    <row r="12930" spans="1:7" x14ac:dyDescent="0.25">
      <c r="A12930" s="116" t="s">
        <v>20228</v>
      </c>
      <c r="B12930" s="117" t="s">
        <v>20229</v>
      </c>
      <c r="C12930" t="s">
        <v>67</v>
      </c>
      <c r="D12930" t="s">
        <v>67</v>
      </c>
      <c r="E12930" t="s">
        <v>67</v>
      </c>
      <c r="F12930" t="s">
        <v>27987</v>
      </c>
      <c r="G12930" s="117">
        <v>12.01</v>
      </c>
    </row>
    <row r="12931" spans="1:7" x14ac:dyDescent="0.25">
      <c r="A12931" s="116" t="s">
        <v>20230</v>
      </c>
      <c r="B12931" s="117" t="s">
        <v>20229</v>
      </c>
      <c r="C12931" t="s">
        <v>67</v>
      </c>
      <c r="D12931" t="s">
        <v>67</v>
      </c>
      <c r="E12931" t="s">
        <v>67</v>
      </c>
      <c r="F12931" t="s">
        <v>27987</v>
      </c>
      <c r="G12931" s="117">
        <v>12.01</v>
      </c>
    </row>
    <row r="12932" spans="1:7" x14ac:dyDescent="0.25">
      <c r="A12932" s="116" t="s">
        <v>20231</v>
      </c>
      <c r="B12932" s="117" t="s">
        <v>20232</v>
      </c>
      <c r="C12932" t="s">
        <v>67</v>
      </c>
      <c r="D12932" t="s">
        <v>67</v>
      </c>
      <c r="E12932" t="s">
        <v>67</v>
      </c>
      <c r="F12932" t="s">
        <v>49</v>
      </c>
      <c r="G12932" s="117">
        <v>4.3600000000000003</v>
      </c>
    </row>
    <row r="12933" spans="1:7" x14ac:dyDescent="0.25">
      <c r="A12933" s="116" t="s">
        <v>20233</v>
      </c>
      <c r="B12933" s="117" t="s">
        <v>20234</v>
      </c>
      <c r="C12933" t="s">
        <v>67</v>
      </c>
      <c r="D12933" t="s">
        <v>67</v>
      </c>
      <c r="E12933" t="s">
        <v>67</v>
      </c>
      <c r="F12933" t="s">
        <v>27987</v>
      </c>
      <c r="G12933" s="117">
        <v>118.26</v>
      </c>
    </row>
    <row r="12934" spans="1:7" x14ac:dyDescent="0.25">
      <c r="A12934" s="116" t="s">
        <v>20235</v>
      </c>
      <c r="B12934" s="117" t="s">
        <v>2445</v>
      </c>
      <c r="C12934" t="s">
        <v>67</v>
      </c>
      <c r="D12934" t="s">
        <v>67</v>
      </c>
      <c r="E12934" t="s">
        <v>67</v>
      </c>
      <c r="F12934" t="s">
        <v>49</v>
      </c>
      <c r="G12934" s="117">
        <v>77.86</v>
      </c>
    </row>
    <row r="12935" spans="1:7" x14ac:dyDescent="0.25">
      <c r="A12935" s="116" t="s">
        <v>20236</v>
      </c>
      <c r="B12935" s="117" t="s">
        <v>20237</v>
      </c>
      <c r="C12935" t="s">
        <v>67</v>
      </c>
      <c r="D12935" t="s">
        <v>67</v>
      </c>
      <c r="E12935" t="s">
        <v>67</v>
      </c>
      <c r="F12935" t="s">
        <v>45</v>
      </c>
      <c r="G12935" s="117">
        <v>108.48</v>
      </c>
    </row>
    <row r="12936" spans="1:7" x14ac:dyDescent="0.25">
      <c r="A12936" s="116" t="s">
        <v>20238</v>
      </c>
      <c r="B12936" s="117" t="s">
        <v>19941</v>
      </c>
      <c r="C12936" t="s">
        <v>67</v>
      </c>
      <c r="D12936" t="s">
        <v>67</v>
      </c>
      <c r="E12936" t="s">
        <v>67</v>
      </c>
      <c r="F12936" t="s">
        <v>45</v>
      </c>
      <c r="G12936" s="117">
        <v>31.58</v>
      </c>
    </row>
    <row r="12937" spans="1:7" x14ac:dyDescent="0.25">
      <c r="A12937" s="116" t="s">
        <v>20239</v>
      </c>
      <c r="B12937" s="117" t="s">
        <v>20240</v>
      </c>
      <c r="C12937" t="s">
        <v>67</v>
      </c>
      <c r="D12937" t="s">
        <v>67</v>
      </c>
      <c r="E12937" t="s">
        <v>67</v>
      </c>
      <c r="F12937" t="s">
        <v>45</v>
      </c>
      <c r="G12937" s="117">
        <v>4.8899999999999997</v>
      </c>
    </row>
    <row r="12938" spans="1:7" x14ac:dyDescent="0.25">
      <c r="A12938" s="116" t="s">
        <v>20241</v>
      </c>
      <c r="B12938" s="117" t="s">
        <v>20240</v>
      </c>
      <c r="C12938" t="s">
        <v>67</v>
      </c>
      <c r="D12938" t="s">
        <v>67</v>
      </c>
      <c r="E12938" t="s">
        <v>67</v>
      </c>
      <c r="F12938" t="s">
        <v>45</v>
      </c>
      <c r="G12938" s="117">
        <v>4.8899999999999997</v>
      </c>
    </row>
    <row r="12939" spans="1:7" x14ac:dyDescent="0.25">
      <c r="A12939" s="116" t="s">
        <v>20242</v>
      </c>
      <c r="B12939" s="117" t="s">
        <v>20243</v>
      </c>
      <c r="C12939" t="s">
        <v>67</v>
      </c>
      <c r="D12939" t="s">
        <v>67</v>
      </c>
      <c r="E12939" t="s">
        <v>67</v>
      </c>
      <c r="F12939" t="s">
        <v>45</v>
      </c>
      <c r="G12939" s="117">
        <v>23.94</v>
      </c>
    </row>
    <row r="12940" spans="1:7" x14ac:dyDescent="0.25">
      <c r="A12940" s="116" t="s">
        <v>20244</v>
      </c>
      <c r="B12940" s="117" t="s">
        <v>19817</v>
      </c>
      <c r="C12940" t="s">
        <v>67</v>
      </c>
      <c r="D12940" t="s">
        <v>67</v>
      </c>
      <c r="E12940" t="s">
        <v>67</v>
      </c>
      <c r="F12940" t="s">
        <v>45</v>
      </c>
      <c r="G12940" s="117">
        <v>6.68</v>
      </c>
    </row>
    <row r="12941" spans="1:7" x14ac:dyDescent="0.25">
      <c r="A12941" s="116" t="s">
        <v>20245</v>
      </c>
      <c r="B12941" s="117" t="s">
        <v>19817</v>
      </c>
      <c r="C12941" t="s">
        <v>67</v>
      </c>
      <c r="D12941" t="s">
        <v>67</v>
      </c>
      <c r="E12941" t="s">
        <v>67</v>
      </c>
      <c r="F12941" t="s">
        <v>45</v>
      </c>
      <c r="G12941" s="117">
        <v>6.68</v>
      </c>
    </row>
    <row r="12942" spans="1:7" x14ac:dyDescent="0.25">
      <c r="A12942" s="116" t="s">
        <v>20246</v>
      </c>
      <c r="B12942" s="117" t="s">
        <v>20169</v>
      </c>
      <c r="C12942" t="s">
        <v>67</v>
      </c>
      <c r="D12942" t="s">
        <v>67</v>
      </c>
      <c r="E12942" t="s">
        <v>67</v>
      </c>
      <c r="F12942" t="s">
        <v>27987</v>
      </c>
      <c r="G12942" s="117">
        <v>65.760000000000005</v>
      </c>
    </row>
    <row r="12943" spans="1:7" x14ac:dyDescent="0.25">
      <c r="A12943" s="116" t="s">
        <v>20247</v>
      </c>
      <c r="B12943" s="117" t="s">
        <v>20248</v>
      </c>
      <c r="C12943" t="s">
        <v>67</v>
      </c>
      <c r="D12943" t="s">
        <v>67</v>
      </c>
      <c r="E12943" t="s">
        <v>67</v>
      </c>
      <c r="F12943" t="s">
        <v>27987</v>
      </c>
      <c r="G12943" s="117">
        <v>11.8</v>
      </c>
    </row>
    <row r="12944" spans="1:7" x14ac:dyDescent="0.25">
      <c r="A12944" s="116" t="s">
        <v>20249</v>
      </c>
      <c r="B12944" s="117" t="s">
        <v>20248</v>
      </c>
      <c r="C12944" t="s">
        <v>67</v>
      </c>
      <c r="D12944" t="s">
        <v>67</v>
      </c>
      <c r="E12944" t="s">
        <v>67</v>
      </c>
      <c r="F12944" t="s">
        <v>27987</v>
      </c>
      <c r="G12944" s="117">
        <v>7.66</v>
      </c>
    </row>
    <row r="12945" spans="1:7" x14ac:dyDescent="0.25">
      <c r="A12945" s="116" t="s">
        <v>20250</v>
      </c>
      <c r="B12945" s="117" t="s">
        <v>20251</v>
      </c>
      <c r="C12945" t="s">
        <v>67</v>
      </c>
      <c r="D12945" t="s">
        <v>67</v>
      </c>
      <c r="E12945" t="s">
        <v>67</v>
      </c>
      <c r="F12945" t="s">
        <v>27987</v>
      </c>
      <c r="G12945" s="117">
        <v>4.3899999999999997</v>
      </c>
    </row>
    <row r="12946" spans="1:7" x14ac:dyDescent="0.25">
      <c r="A12946" s="116" t="s">
        <v>20252</v>
      </c>
      <c r="B12946" s="117" t="s">
        <v>29518</v>
      </c>
      <c r="C12946" t="s">
        <v>67</v>
      </c>
      <c r="D12946" t="s">
        <v>67</v>
      </c>
      <c r="E12946" t="s">
        <v>67</v>
      </c>
      <c r="F12946" t="s">
        <v>49</v>
      </c>
      <c r="G12946" s="117">
        <v>18.420000000000002</v>
      </c>
    </row>
    <row r="12947" spans="1:7" x14ac:dyDescent="0.25">
      <c r="A12947" s="116" t="s">
        <v>26656</v>
      </c>
      <c r="B12947" s="117" t="s">
        <v>26919</v>
      </c>
      <c r="C12947" t="s">
        <v>67</v>
      </c>
      <c r="D12947" t="s">
        <v>67</v>
      </c>
      <c r="E12947" t="s">
        <v>67</v>
      </c>
      <c r="F12947" t="s">
        <v>27987</v>
      </c>
      <c r="G12947" s="117">
        <v>54.17</v>
      </c>
    </row>
    <row r="12948" spans="1:7" x14ac:dyDescent="0.25">
      <c r="A12948" s="116" t="s">
        <v>26657</v>
      </c>
      <c r="B12948" s="117" t="s">
        <v>29519</v>
      </c>
      <c r="C12948" t="s">
        <v>67</v>
      </c>
      <c r="D12948" t="s">
        <v>67</v>
      </c>
      <c r="E12948" t="s">
        <v>67</v>
      </c>
      <c r="F12948" t="s">
        <v>27987</v>
      </c>
      <c r="G12948" s="117">
        <v>54.41</v>
      </c>
    </row>
    <row r="12949" spans="1:7" x14ac:dyDescent="0.25">
      <c r="A12949" s="116" t="s">
        <v>26658</v>
      </c>
      <c r="B12949" s="117" t="s">
        <v>29520</v>
      </c>
      <c r="C12949" t="s">
        <v>67</v>
      </c>
      <c r="D12949" t="s">
        <v>67</v>
      </c>
      <c r="E12949" t="s">
        <v>67</v>
      </c>
      <c r="F12949" t="s">
        <v>27987</v>
      </c>
      <c r="G12949" s="117">
        <v>80.12</v>
      </c>
    </row>
    <row r="12950" spans="1:7" x14ac:dyDescent="0.25">
      <c r="A12950" s="116" t="s">
        <v>20253</v>
      </c>
      <c r="B12950" s="117" t="s">
        <v>20254</v>
      </c>
      <c r="C12950" t="s">
        <v>67</v>
      </c>
      <c r="D12950" t="s">
        <v>67</v>
      </c>
      <c r="E12950" t="s">
        <v>67</v>
      </c>
      <c r="F12950" t="s">
        <v>27987</v>
      </c>
      <c r="G12950" s="117">
        <v>203.32</v>
      </c>
    </row>
    <row r="12951" spans="1:7" x14ac:dyDescent="0.25">
      <c r="A12951" s="116" t="s">
        <v>20255</v>
      </c>
      <c r="B12951" s="117" t="s">
        <v>20256</v>
      </c>
      <c r="C12951" t="s">
        <v>67</v>
      </c>
      <c r="D12951" t="s">
        <v>67</v>
      </c>
      <c r="E12951" t="s">
        <v>67</v>
      </c>
      <c r="F12951" t="s">
        <v>45</v>
      </c>
      <c r="G12951" s="117">
        <v>161.86000000000001</v>
      </c>
    </row>
    <row r="12952" spans="1:7" x14ac:dyDescent="0.25">
      <c r="A12952" s="116" t="s">
        <v>29521</v>
      </c>
      <c r="B12952" s="117" t="s">
        <v>29522</v>
      </c>
      <c r="C12952" t="s">
        <v>67</v>
      </c>
      <c r="D12952" t="s">
        <v>67</v>
      </c>
      <c r="E12952" t="s">
        <v>67</v>
      </c>
      <c r="F12952" t="s">
        <v>45</v>
      </c>
      <c r="G12952" s="117">
        <v>0</v>
      </c>
    </row>
    <row r="12953" spans="1:7" x14ac:dyDescent="0.25">
      <c r="A12953" s="116" t="s">
        <v>20257</v>
      </c>
      <c r="B12953" s="117" t="s">
        <v>20258</v>
      </c>
      <c r="C12953" t="s">
        <v>67</v>
      </c>
      <c r="D12953" t="s">
        <v>67</v>
      </c>
      <c r="E12953" t="s">
        <v>67</v>
      </c>
      <c r="F12953" t="s">
        <v>49</v>
      </c>
      <c r="G12953" s="117">
        <v>52.06</v>
      </c>
    </row>
    <row r="12954" spans="1:7" x14ac:dyDescent="0.25">
      <c r="A12954" s="116" t="s">
        <v>20259</v>
      </c>
      <c r="B12954" s="117" t="s">
        <v>18279</v>
      </c>
      <c r="C12954" t="s">
        <v>67</v>
      </c>
      <c r="D12954" t="s">
        <v>67</v>
      </c>
      <c r="E12954" t="s">
        <v>67</v>
      </c>
      <c r="F12954" t="s">
        <v>27987</v>
      </c>
      <c r="G12954" s="117">
        <v>104.92</v>
      </c>
    </row>
    <row r="12955" spans="1:7" x14ac:dyDescent="0.25">
      <c r="A12955" s="116" t="s">
        <v>27599</v>
      </c>
      <c r="B12955" s="117" t="s">
        <v>20260</v>
      </c>
      <c r="C12955" t="s">
        <v>67</v>
      </c>
      <c r="D12955" t="s">
        <v>67</v>
      </c>
      <c r="E12955" t="s">
        <v>67</v>
      </c>
      <c r="F12955" t="s">
        <v>45</v>
      </c>
      <c r="G12955" s="117">
        <v>126.26</v>
      </c>
    </row>
    <row r="12956" spans="1:7" x14ac:dyDescent="0.25">
      <c r="A12956" s="116" t="s">
        <v>27600</v>
      </c>
      <c r="B12956" s="117" t="s">
        <v>20261</v>
      </c>
      <c r="C12956" t="s">
        <v>67</v>
      </c>
      <c r="D12956" t="s">
        <v>67</v>
      </c>
      <c r="E12956" t="s">
        <v>67</v>
      </c>
      <c r="F12956" t="s">
        <v>45</v>
      </c>
      <c r="G12956" s="117">
        <v>53.3</v>
      </c>
    </row>
    <row r="12957" spans="1:7" x14ac:dyDescent="0.25">
      <c r="A12957" s="116" t="s">
        <v>20262</v>
      </c>
      <c r="B12957" s="117" t="s">
        <v>20263</v>
      </c>
      <c r="C12957" t="s">
        <v>67</v>
      </c>
      <c r="D12957" t="s">
        <v>67</v>
      </c>
      <c r="E12957" t="s">
        <v>67</v>
      </c>
      <c r="F12957" t="s">
        <v>45</v>
      </c>
      <c r="G12957" s="117">
        <v>7.92</v>
      </c>
    </row>
    <row r="12958" spans="1:7" x14ac:dyDescent="0.25">
      <c r="A12958" s="116" t="s">
        <v>20264</v>
      </c>
      <c r="B12958" s="117" t="s">
        <v>20265</v>
      </c>
      <c r="C12958" t="s">
        <v>67</v>
      </c>
      <c r="D12958" t="s">
        <v>67</v>
      </c>
      <c r="E12958" t="s">
        <v>67</v>
      </c>
      <c r="F12958" t="s">
        <v>45</v>
      </c>
      <c r="G12958" s="117">
        <v>7.56</v>
      </c>
    </row>
    <row r="12959" spans="1:7" x14ac:dyDescent="0.25">
      <c r="A12959" s="116" t="s">
        <v>20266</v>
      </c>
      <c r="B12959" s="117" t="s">
        <v>20267</v>
      </c>
      <c r="C12959" t="s">
        <v>67</v>
      </c>
      <c r="D12959" t="s">
        <v>67</v>
      </c>
      <c r="E12959" t="s">
        <v>67</v>
      </c>
      <c r="F12959" t="s">
        <v>27987</v>
      </c>
      <c r="G12959" s="117">
        <v>7.56</v>
      </c>
    </row>
    <row r="12960" spans="1:7" x14ac:dyDescent="0.25">
      <c r="A12960" s="116" t="s">
        <v>20268</v>
      </c>
      <c r="B12960" s="117" t="s">
        <v>20269</v>
      </c>
      <c r="C12960" t="s">
        <v>67</v>
      </c>
      <c r="D12960" t="s">
        <v>67</v>
      </c>
      <c r="E12960" t="s">
        <v>67</v>
      </c>
      <c r="F12960" t="s">
        <v>27987</v>
      </c>
      <c r="G12960" s="117">
        <v>30.7</v>
      </c>
    </row>
    <row r="12961" spans="1:7" x14ac:dyDescent="0.25">
      <c r="A12961" s="116" t="s">
        <v>20270</v>
      </c>
      <c r="B12961" s="117" t="s">
        <v>20271</v>
      </c>
      <c r="C12961" t="s">
        <v>67</v>
      </c>
      <c r="D12961" t="s">
        <v>67</v>
      </c>
      <c r="E12961" t="s">
        <v>67</v>
      </c>
      <c r="F12961" t="s">
        <v>27987</v>
      </c>
      <c r="G12961" s="117">
        <v>30.7</v>
      </c>
    </row>
    <row r="12962" spans="1:7" x14ac:dyDescent="0.25">
      <c r="A12962" s="116" t="s">
        <v>20272</v>
      </c>
      <c r="B12962" s="117" t="s">
        <v>20273</v>
      </c>
      <c r="C12962" t="s">
        <v>67</v>
      </c>
      <c r="D12962" t="s">
        <v>67</v>
      </c>
      <c r="E12962" t="s">
        <v>67</v>
      </c>
      <c r="F12962" t="s">
        <v>45</v>
      </c>
      <c r="G12962" s="117">
        <v>14.14</v>
      </c>
    </row>
    <row r="12963" spans="1:7" x14ac:dyDescent="0.25">
      <c r="A12963" s="116" t="s">
        <v>20274</v>
      </c>
      <c r="B12963" s="117" t="s">
        <v>20275</v>
      </c>
      <c r="C12963" t="s">
        <v>67</v>
      </c>
      <c r="D12963" t="s">
        <v>67</v>
      </c>
      <c r="E12963" t="s">
        <v>67</v>
      </c>
      <c r="F12963" t="s">
        <v>27987</v>
      </c>
      <c r="G12963" s="117">
        <v>15.57</v>
      </c>
    </row>
    <row r="12964" spans="1:7" x14ac:dyDescent="0.25">
      <c r="A12964" s="116" t="s">
        <v>20276</v>
      </c>
      <c r="B12964" s="117" t="s">
        <v>19811</v>
      </c>
      <c r="C12964" t="s">
        <v>67</v>
      </c>
      <c r="D12964" t="s">
        <v>67</v>
      </c>
      <c r="E12964" t="s">
        <v>67</v>
      </c>
      <c r="F12964" t="s">
        <v>27987</v>
      </c>
      <c r="G12964" s="117">
        <v>8</v>
      </c>
    </row>
    <row r="12965" spans="1:7" x14ac:dyDescent="0.25">
      <c r="A12965" s="116" t="s">
        <v>20277</v>
      </c>
      <c r="B12965" s="117" t="s">
        <v>20278</v>
      </c>
      <c r="C12965" t="s">
        <v>67</v>
      </c>
      <c r="D12965" t="s">
        <v>67</v>
      </c>
      <c r="E12965" t="s">
        <v>67</v>
      </c>
      <c r="F12965" t="s">
        <v>27990</v>
      </c>
      <c r="G12965" s="117">
        <v>1.77</v>
      </c>
    </row>
    <row r="12966" spans="1:7" x14ac:dyDescent="0.25">
      <c r="A12966" s="116" t="s">
        <v>20279</v>
      </c>
      <c r="B12966" s="117" t="s">
        <v>20280</v>
      </c>
      <c r="C12966" t="s">
        <v>67</v>
      </c>
      <c r="D12966" t="s">
        <v>67</v>
      </c>
      <c r="E12966" t="s">
        <v>67</v>
      </c>
      <c r="F12966" t="s">
        <v>27987</v>
      </c>
      <c r="G12966" s="117">
        <v>2.58</v>
      </c>
    </row>
    <row r="12967" spans="1:7" x14ac:dyDescent="0.25">
      <c r="A12967" s="116" t="s">
        <v>20281</v>
      </c>
      <c r="B12967" s="117" t="s">
        <v>20282</v>
      </c>
      <c r="C12967" t="s">
        <v>67</v>
      </c>
      <c r="D12967" t="s">
        <v>67</v>
      </c>
      <c r="E12967" t="s">
        <v>67</v>
      </c>
      <c r="F12967" t="s">
        <v>45</v>
      </c>
      <c r="G12967" s="117">
        <v>8.4499999999999993</v>
      </c>
    </row>
    <row r="12968" spans="1:7" x14ac:dyDescent="0.25">
      <c r="A12968" s="116" t="s">
        <v>20283</v>
      </c>
      <c r="B12968" s="117" t="s">
        <v>20284</v>
      </c>
      <c r="C12968" t="s">
        <v>67</v>
      </c>
      <c r="D12968" t="s">
        <v>67</v>
      </c>
      <c r="E12968" t="s">
        <v>67</v>
      </c>
      <c r="F12968" t="s">
        <v>27987</v>
      </c>
      <c r="G12968" s="117">
        <v>1.33</v>
      </c>
    </row>
    <row r="12969" spans="1:7" x14ac:dyDescent="0.25">
      <c r="A12969" s="116" t="s">
        <v>20285</v>
      </c>
      <c r="B12969" s="117" t="s">
        <v>19811</v>
      </c>
      <c r="C12969" t="s">
        <v>67</v>
      </c>
      <c r="D12969" t="s">
        <v>67</v>
      </c>
      <c r="E12969" t="s">
        <v>67</v>
      </c>
      <c r="F12969" t="s">
        <v>45</v>
      </c>
      <c r="G12969" s="117">
        <v>7.92</v>
      </c>
    </row>
    <row r="12970" spans="1:7" x14ac:dyDescent="0.25">
      <c r="A12970" s="116" t="s">
        <v>20286</v>
      </c>
      <c r="B12970" s="117" t="s">
        <v>20287</v>
      </c>
      <c r="C12970" t="s">
        <v>67</v>
      </c>
      <c r="D12970" t="s">
        <v>67</v>
      </c>
      <c r="E12970" t="s">
        <v>67</v>
      </c>
      <c r="F12970" t="s">
        <v>27987</v>
      </c>
      <c r="G12970" s="117">
        <v>1.39</v>
      </c>
    </row>
    <row r="12971" spans="1:7" x14ac:dyDescent="0.25">
      <c r="A12971" s="116" t="s">
        <v>20288</v>
      </c>
      <c r="B12971" s="117" t="s">
        <v>20289</v>
      </c>
      <c r="C12971" t="s">
        <v>67</v>
      </c>
      <c r="D12971" t="s">
        <v>67</v>
      </c>
      <c r="E12971" t="s">
        <v>67</v>
      </c>
      <c r="F12971" t="s">
        <v>27990</v>
      </c>
      <c r="G12971" s="117">
        <v>0.89</v>
      </c>
    </row>
    <row r="12972" spans="1:7" x14ac:dyDescent="0.25">
      <c r="A12972" s="116" t="s">
        <v>20290</v>
      </c>
      <c r="B12972" s="117" t="s">
        <v>20291</v>
      </c>
      <c r="C12972" t="s">
        <v>67</v>
      </c>
      <c r="D12972" t="s">
        <v>67</v>
      </c>
      <c r="E12972" t="s">
        <v>67</v>
      </c>
      <c r="F12972" t="s">
        <v>49</v>
      </c>
      <c r="G12972" s="117">
        <v>3.12</v>
      </c>
    </row>
    <row r="12973" spans="1:7" x14ac:dyDescent="0.25">
      <c r="A12973" s="116" t="s">
        <v>20292</v>
      </c>
      <c r="B12973" s="117" t="s">
        <v>19811</v>
      </c>
      <c r="C12973" t="s">
        <v>67</v>
      </c>
      <c r="D12973" t="s">
        <v>67</v>
      </c>
      <c r="E12973" t="s">
        <v>67</v>
      </c>
      <c r="F12973" t="s">
        <v>27987</v>
      </c>
      <c r="G12973" s="117">
        <v>1.69</v>
      </c>
    </row>
    <row r="12974" spans="1:7" x14ac:dyDescent="0.25">
      <c r="A12974" s="116" t="s">
        <v>20293</v>
      </c>
      <c r="B12974" s="117" t="s">
        <v>19811</v>
      </c>
      <c r="C12974" t="s">
        <v>67</v>
      </c>
      <c r="D12974" t="s">
        <v>67</v>
      </c>
      <c r="E12974" t="s">
        <v>67</v>
      </c>
      <c r="F12974" t="s">
        <v>27987</v>
      </c>
      <c r="G12974" s="117">
        <v>9.35</v>
      </c>
    </row>
    <row r="12975" spans="1:7" x14ac:dyDescent="0.25">
      <c r="A12975" s="116" t="s">
        <v>20294</v>
      </c>
      <c r="B12975" s="117" t="s">
        <v>20295</v>
      </c>
      <c r="C12975" t="s">
        <v>67</v>
      </c>
      <c r="D12975" t="s">
        <v>67</v>
      </c>
      <c r="E12975" t="s">
        <v>67</v>
      </c>
      <c r="F12975" t="s">
        <v>27987</v>
      </c>
      <c r="G12975" s="117">
        <v>9.35</v>
      </c>
    </row>
    <row r="12976" spans="1:7" x14ac:dyDescent="0.25">
      <c r="A12976" s="116" t="s">
        <v>20296</v>
      </c>
      <c r="B12976" s="117" t="s">
        <v>20297</v>
      </c>
      <c r="C12976" t="s">
        <v>67</v>
      </c>
      <c r="D12976" t="s">
        <v>67</v>
      </c>
      <c r="E12976" t="s">
        <v>67</v>
      </c>
      <c r="F12976" t="s">
        <v>49</v>
      </c>
      <c r="G12976" s="117">
        <v>1.69</v>
      </c>
    </row>
    <row r="12977" spans="1:7" x14ac:dyDescent="0.25">
      <c r="A12977" s="116" t="s">
        <v>20298</v>
      </c>
      <c r="B12977" s="117" t="s">
        <v>19811</v>
      </c>
      <c r="C12977" t="s">
        <v>67</v>
      </c>
      <c r="D12977" t="s">
        <v>67</v>
      </c>
      <c r="E12977" t="s">
        <v>67</v>
      </c>
      <c r="F12977" t="s">
        <v>27987</v>
      </c>
      <c r="G12977" s="117">
        <v>10.24</v>
      </c>
    </row>
    <row r="12978" spans="1:7" x14ac:dyDescent="0.25">
      <c r="A12978" s="116" t="s">
        <v>20299</v>
      </c>
      <c r="B12978" s="117" t="s">
        <v>20300</v>
      </c>
      <c r="C12978" t="s">
        <v>67</v>
      </c>
      <c r="D12978" t="s">
        <v>67</v>
      </c>
      <c r="E12978" t="s">
        <v>67</v>
      </c>
      <c r="F12978" t="s">
        <v>27987</v>
      </c>
      <c r="G12978" s="117">
        <v>67.540000000000006</v>
      </c>
    </row>
    <row r="12979" spans="1:7" x14ac:dyDescent="0.25">
      <c r="A12979" s="116" t="s">
        <v>20301</v>
      </c>
      <c r="B12979" s="117" t="s">
        <v>20302</v>
      </c>
      <c r="C12979" t="s">
        <v>67</v>
      </c>
      <c r="D12979" t="s">
        <v>67</v>
      </c>
      <c r="E12979" t="s">
        <v>67</v>
      </c>
      <c r="F12979" t="s">
        <v>51</v>
      </c>
      <c r="G12979" s="117">
        <v>3.12</v>
      </c>
    </row>
    <row r="12980" spans="1:7" x14ac:dyDescent="0.25">
      <c r="A12980" s="116" t="s">
        <v>20303</v>
      </c>
      <c r="B12980" s="117" t="s">
        <v>19811</v>
      </c>
      <c r="C12980" t="s">
        <v>67</v>
      </c>
      <c r="D12980" t="s">
        <v>67</v>
      </c>
      <c r="E12980" t="s">
        <v>67</v>
      </c>
      <c r="F12980" t="s">
        <v>45</v>
      </c>
      <c r="G12980" s="117">
        <v>13.8</v>
      </c>
    </row>
    <row r="12981" spans="1:7" x14ac:dyDescent="0.25">
      <c r="A12981" s="116" t="s">
        <v>20304</v>
      </c>
      <c r="B12981" s="117" t="s">
        <v>20305</v>
      </c>
      <c r="C12981" t="s">
        <v>67</v>
      </c>
      <c r="D12981" t="s">
        <v>67</v>
      </c>
      <c r="E12981" t="s">
        <v>67</v>
      </c>
      <c r="F12981" t="s">
        <v>45</v>
      </c>
      <c r="G12981" s="117">
        <v>9.35</v>
      </c>
    </row>
    <row r="12982" spans="1:7" x14ac:dyDescent="0.25">
      <c r="A12982" s="116" t="s">
        <v>20306</v>
      </c>
      <c r="B12982" s="117" t="s">
        <v>20307</v>
      </c>
      <c r="C12982" t="s">
        <v>67</v>
      </c>
      <c r="D12982" t="s">
        <v>67</v>
      </c>
      <c r="E12982" t="s">
        <v>67</v>
      </c>
      <c r="F12982" t="s">
        <v>49</v>
      </c>
      <c r="G12982" s="117">
        <v>4.3600000000000003</v>
      </c>
    </row>
    <row r="12983" spans="1:7" x14ac:dyDescent="0.25">
      <c r="A12983" s="116" t="s">
        <v>20308</v>
      </c>
      <c r="B12983" s="117" t="s">
        <v>20309</v>
      </c>
      <c r="C12983" t="s">
        <v>67</v>
      </c>
      <c r="D12983" t="s">
        <v>67</v>
      </c>
      <c r="E12983" t="s">
        <v>67</v>
      </c>
      <c r="F12983" t="s">
        <v>27990</v>
      </c>
      <c r="G12983" s="117">
        <v>40.49</v>
      </c>
    </row>
    <row r="12984" spans="1:7" x14ac:dyDescent="0.25">
      <c r="A12984" s="116" t="s">
        <v>20310</v>
      </c>
      <c r="B12984" s="117" t="s">
        <v>19811</v>
      </c>
      <c r="C12984" t="s">
        <v>67</v>
      </c>
      <c r="D12984" t="s">
        <v>67</v>
      </c>
      <c r="E12984" t="s">
        <v>67</v>
      </c>
      <c r="F12984" t="s">
        <v>27987</v>
      </c>
      <c r="G12984" s="117">
        <v>10.58</v>
      </c>
    </row>
    <row r="12985" spans="1:7" x14ac:dyDescent="0.25">
      <c r="A12985" s="116" t="s">
        <v>20311</v>
      </c>
      <c r="B12985" s="117" t="s">
        <v>19811</v>
      </c>
      <c r="C12985" t="s">
        <v>67</v>
      </c>
      <c r="D12985" t="s">
        <v>67</v>
      </c>
      <c r="E12985" t="s">
        <v>67</v>
      </c>
      <c r="F12985" t="s">
        <v>45</v>
      </c>
      <c r="G12985" s="117">
        <v>4.1500000000000004</v>
      </c>
    </row>
    <row r="12986" spans="1:7" x14ac:dyDescent="0.25">
      <c r="A12986" s="116" t="s">
        <v>31237</v>
      </c>
      <c r="B12986" s="117" t="s">
        <v>29497</v>
      </c>
      <c r="C12986" t="s">
        <v>67</v>
      </c>
      <c r="D12986" t="s">
        <v>67</v>
      </c>
      <c r="E12986" t="s">
        <v>67</v>
      </c>
      <c r="F12986" t="s">
        <v>45</v>
      </c>
      <c r="G12986" s="117">
        <v>7.5</v>
      </c>
    </row>
    <row r="12987" spans="1:7" x14ac:dyDescent="0.25">
      <c r="A12987" s="116" t="s">
        <v>20312</v>
      </c>
      <c r="B12987" s="117" t="s">
        <v>20313</v>
      </c>
      <c r="C12987" t="s">
        <v>67</v>
      </c>
      <c r="D12987" t="s">
        <v>67</v>
      </c>
      <c r="E12987" t="s">
        <v>67</v>
      </c>
      <c r="F12987" t="s">
        <v>27987</v>
      </c>
      <c r="G12987" s="117">
        <v>2.58</v>
      </c>
    </row>
    <row r="12988" spans="1:7" x14ac:dyDescent="0.25">
      <c r="A12988" s="116" t="s">
        <v>20314</v>
      </c>
      <c r="B12988" s="117" t="s">
        <v>20315</v>
      </c>
      <c r="C12988" t="s">
        <v>67</v>
      </c>
      <c r="D12988" t="s">
        <v>67</v>
      </c>
      <c r="E12988" t="s">
        <v>67</v>
      </c>
      <c r="F12988" t="s">
        <v>27990</v>
      </c>
      <c r="G12988" s="117">
        <v>13.26</v>
      </c>
    </row>
    <row r="12989" spans="1:7" x14ac:dyDescent="0.25">
      <c r="A12989" s="116" t="s">
        <v>20316</v>
      </c>
      <c r="B12989" s="117" t="s">
        <v>29523</v>
      </c>
      <c r="C12989" t="s">
        <v>67</v>
      </c>
      <c r="D12989" t="s">
        <v>67</v>
      </c>
      <c r="E12989" t="s">
        <v>67</v>
      </c>
      <c r="F12989" t="s">
        <v>27987</v>
      </c>
      <c r="G12989" s="117">
        <v>3.12</v>
      </c>
    </row>
    <row r="12990" spans="1:7" x14ac:dyDescent="0.25">
      <c r="A12990" s="116" t="s">
        <v>20317</v>
      </c>
      <c r="B12990" s="117" t="s">
        <v>19811</v>
      </c>
      <c r="C12990" t="s">
        <v>67</v>
      </c>
      <c r="D12990" t="s">
        <v>67</v>
      </c>
      <c r="E12990" t="s">
        <v>67</v>
      </c>
      <c r="F12990" t="s">
        <v>49</v>
      </c>
      <c r="G12990" s="117">
        <v>11.12</v>
      </c>
    </row>
    <row r="12991" spans="1:7" x14ac:dyDescent="0.25">
      <c r="A12991" s="116" t="s">
        <v>20318</v>
      </c>
      <c r="B12991" s="117" t="s">
        <v>20319</v>
      </c>
      <c r="C12991" t="s">
        <v>67</v>
      </c>
      <c r="D12991" t="s">
        <v>67</v>
      </c>
      <c r="E12991" t="s">
        <v>67</v>
      </c>
      <c r="F12991" t="s">
        <v>27987</v>
      </c>
      <c r="G12991" s="117">
        <v>18.600000000000001</v>
      </c>
    </row>
    <row r="12992" spans="1:7" x14ac:dyDescent="0.25">
      <c r="A12992" s="116" t="s">
        <v>20320</v>
      </c>
      <c r="B12992" s="117" t="s">
        <v>19811</v>
      </c>
      <c r="C12992" t="s">
        <v>67</v>
      </c>
      <c r="D12992" t="s">
        <v>67</v>
      </c>
      <c r="E12992" t="s">
        <v>67</v>
      </c>
      <c r="F12992" t="s">
        <v>49</v>
      </c>
      <c r="G12992" s="117">
        <v>4.3600000000000003</v>
      </c>
    </row>
    <row r="12993" spans="1:7" x14ac:dyDescent="0.25">
      <c r="A12993" s="116" t="s">
        <v>20321</v>
      </c>
      <c r="B12993" s="117" t="s">
        <v>19811</v>
      </c>
      <c r="C12993" t="s">
        <v>67</v>
      </c>
      <c r="D12993" t="s">
        <v>67</v>
      </c>
      <c r="E12993" t="s">
        <v>67</v>
      </c>
      <c r="F12993" t="s">
        <v>45</v>
      </c>
      <c r="G12993" s="117">
        <v>5.25</v>
      </c>
    </row>
    <row r="12994" spans="1:7" x14ac:dyDescent="0.25">
      <c r="A12994" s="116" t="s">
        <v>20322</v>
      </c>
      <c r="B12994" s="117" t="s">
        <v>13241</v>
      </c>
      <c r="C12994" t="s">
        <v>67</v>
      </c>
      <c r="D12994" t="s">
        <v>67</v>
      </c>
      <c r="E12994" t="s">
        <v>67</v>
      </c>
      <c r="F12994" t="s">
        <v>45</v>
      </c>
      <c r="G12994" s="117">
        <v>9.6999999999999993</v>
      </c>
    </row>
    <row r="12995" spans="1:7" x14ac:dyDescent="0.25">
      <c r="A12995" s="116" t="s">
        <v>20323</v>
      </c>
      <c r="B12995" s="117" t="s">
        <v>13042</v>
      </c>
      <c r="C12995" t="s">
        <v>67</v>
      </c>
      <c r="D12995" t="s">
        <v>67</v>
      </c>
      <c r="E12995" t="s">
        <v>67</v>
      </c>
      <c r="F12995" t="s">
        <v>45</v>
      </c>
      <c r="G12995" s="117">
        <v>15.57</v>
      </c>
    </row>
    <row r="12996" spans="1:7" x14ac:dyDescent="0.25">
      <c r="A12996" s="116" t="s">
        <v>20324</v>
      </c>
      <c r="B12996" s="117" t="s">
        <v>20325</v>
      </c>
      <c r="C12996" t="s">
        <v>67</v>
      </c>
      <c r="D12996" t="s">
        <v>67</v>
      </c>
      <c r="E12996" t="s">
        <v>67</v>
      </c>
      <c r="F12996" t="s">
        <v>45</v>
      </c>
      <c r="G12996" s="117">
        <v>4</v>
      </c>
    </row>
    <row r="12997" spans="1:7" x14ac:dyDescent="0.25">
      <c r="A12997" s="116" t="s">
        <v>20326</v>
      </c>
      <c r="B12997" s="117" t="s">
        <v>19811</v>
      </c>
      <c r="C12997" t="s">
        <v>67</v>
      </c>
      <c r="D12997" t="s">
        <v>67</v>
      </c>
      <c r="E12997" t="s">
        <v>67</v>
      </c>
      <c r="F12997" t="s">
        <v>27987</v>
      </c>
      <c r="G12997" s="117">
        <v>38.18</v>
      </c>
    </row>
    <row r="12998" spans="1:7" x14ac:dyDescent="0.25">
      <c r="A12998" s="116" t="s">
        <v>20327</v>
      </c>
      <c r="B12998" s="117" t="s">
        <v>19811</v>
      </c>
      <c r="C12998" t="s">
        <v>67</v>
      </c>
      <c r="D12998" t="s">
        <v>67</v>
      </c>
      <c r="E12998" t="s">
        <v>67</v>
      </c>
      <c r="F12998" t="s">
        <v>27987</v>
      </c>
      <c r="G12998" s="117">
        <v>27.5</v>
      </c>
    </row>
    <row r="12999" spans="1:7" x14ac:dyDescent="0.25">
      <c r="A12999" s="116" t="s">
        <v>20328</v>
      </c>
      <c r="B12999" s="117" t="s">
        <v>20329</v>
      </c>
      <c r="C12999" t="s">
        <v>67</v>
      </c>
      <c r="D12999" t="s">
        <v>67</v>
      </c>
      <c r="E12999" t="s">
        <v>67</v>
      </c>
      <c r="F12999" t="s">
        <v>27987</v>
      </c>
      <c r="G12999" s="117">
        <v>26.25</v>
      </c>
    </row>
    <row r="13000" spans="1:7" x14ac:dyDescent="0.25">
      <c r="A13000" s="116" t="s">
        <v>20330</v>
      </c>
      <c r="B13000" s="117" t="s">
        <v>20329</v>
      </c>
      <c r="C13000" t="s">
        <v>67</v>
      </c>
      <c r="D13000" t="s">
        <v>67</v>
      </c>
      <c r="E13000" t="s">
        <v>67</v>
      </c>
      <c r="F13000" t="s">
        <v>27987</v>
      </c>
      <c r="G13000" s="117">
        <v>26.25</v>
      </c>
    </row>
    <row r="13001" spans="1:7" x14ac:dyDescent="0.25">
      <c r="A13001" s="116" t="s">
        <v>20331</v>
      </c>
      <c r="B13001" s="117" t="s">
        <v>20297</v>
      </c>
      <c r="C13001" t="s">
        <v>67</v>
      </c>
      <c r="D13001" t="s">
        <v>67</v>
      </c>
      <c r="E13001" t="s">
        <v>67</v>
      </c>
      <c r="F13001" t="s">
        <v>49</v>
      </c>
      <c r="G13001" s="117">
        <v>1.33</v>
      </c>
    </row>
    <row r="13002" spans="1:7" x14ac:dyDescent="0.25">
      <c r="A13002" s="116" t="s">
        <v>20332</v>
      </c>
      <c r="B13002" s="117" t="s">
        <v>20333</v>
      </c>
      <c r="C13002" t="s">
        <v>67</v>
      </c>
      <c r="D13002" t="s">
        <v>67</v>
      </c>
      <c r="E13002" t="s">
        <v>67</v>
      </c>
      <c r="F13002" t="s">
        <v>27987</v>
      </c>
      <c r="G13002" s="117">
        <v>3.48</v>
      </c>
    </row>
    <row r="13003" spans="1:7" x14ac:dyDescent="0.25">
      <c r="A13003" s="116" t="s">
        <v>20334</v>
      </c>
      <c r="B13003" s="117" t="s">
        <v>20335</v>
      </c>
      <c r="C13003" t="s">
        <v>67</v>
      </c>
      <c r="D13003" t="s">
        <v>67</v>
      </c>
      <c r="E13003" t="s">
        <v>67</v>
      </c>
      <c r="F13003" t="s">
        <v>27987</v>
      </c>
      <c r="G13003" s="117">
        <v>15.57</v>
      </c>
    </row>
    <row r="13004" spans="1:7" x14ac:dyDescent="0.25">
      <c r="A13004" s="116" t="s">
        <v>20336</v>
      </c>
      <c r="B13004" s="117" t="s">
        <v>20337</v>
      </c>
      <c r="C13004" t="s">
        <v>67</v>
      </c>
      <c r="D13004" t="s">
        <v>67</v>
      </c>
      <c r="E13004" t="s">
        <v>67</v>
      </c>
      <c r="F13004" t="s">
        <v>27987</v>
      </c>
      <c r="G13004" s="117">
        <v>13.26</v>
      </c>
    </row>
    <row r="13005" spans="1:7" x14ac:dyDescent="0.25">
      <c r="A13005" s="116" t="s">
        <v>20338</v>
      </c>
      <c r="B13005" s="117" t="s">
        <v>20339</v>
      </c>
      <c r="C13005" t="s">
        <v>67</v>
      </c>
      <c r="D13005" t="s">
        <v>67</v>
      </c>
      <c r="E13005" t="s">
        <v>67</v>
      </c>
      <c r="F13005" t="s">
        <v>27987</v>
      </c>
      <c r="G13005" s="117">
        <v>15.57</v>
      </c>
    </row>
    <row r="13006" spans="1:7" x14ac:dyDescent="0.25">
      <c r="A13006" s="116" t="s">
        <v>20340</v>
      </c>
      <c r="B13006" s="117" t="s">
        <v>20341</v>
      </c>
      <c r="C13006" t="s">
        <v>67</v>
      </c>
      <c r="D13006" t="s">
        <v>67</v>
      </c>
      <c r="E13006" t="s">
        <v>67</v>
      </c>
      <c r="F13006" t="s">
        <v>27987</v>
      </c>
      <c r="G13006" s="117">
        <v>15.57</v>
      </c>
    </row>
    <row r="13007" spans="1:7" x14ac:dyDescent="0.25">
      <c r="A13007" s="116" t="s">
        <v>20342</v>
      </c>
      <c r="B13007" s="117" t="s">
        <v>20343</v>
      </c>
      <c r="C13007" t="s">
        <v>67</v>
      </c>
      <c r="D13007" t="s">
        <v>67</v>
      </c>
      <c r="E13007" t="s">
        <v>67</v>
      </c>
      <c r="F13007" t="s">
        <v>49</v>
      </c>
      <c r="G13007" s="117">
        <v>4.3600000000000003</v>
      </c>
    </row>
    <row r="13008" spans="1:7" x14ac:dyDescent="0.25">
      <c r="A13008" s="116" t="s">
        <v>20344</v>
      </c>
      <c r="B13008" s="117" t="s">
        <v>20345</v>
      </c>
      <c r="C13008" t="s">
        <v>67</v>
      </c>
      <c r="D13008" t="s">
        <v>67</v>
      </c>
      <c r="E13008" t="s">
        <v>67</v>
      </c>
      <c r="F13008" t="s">
        <v>45</v>
      </c>
      <c r="G13008" s="117">
        <v>8.86</v>
      </c>
    </row>
    <row r="13009" spans="1:7" x14ac:dyDescent="0.25">
      <c r="A13009" s="116" t="s">
        <v>20346</v>
      </c>
      <c r="B13009" s="117" t="s">
        <v>13042</v>
      </c>
      <c r="C13009" t="s">
        <v>67</v>
      </c>
      <c r="D13009" t="s">
        <v>67</v>
      </c>
      <c r="E13009" t="s">
        <v>67</v>
      </c>
      <c r="F13009" t="s">
        <v>45</v>
      </c>
      <c r="G13009" s="117">
        <v>10.58</v>
      </c>
    </row>
    <row r="13010" spans="1:7" x14ac:dyDescent="0.25">
      <c r="A13010" s="116" t="s">
        <v>20347</v>
      </c>
      <c r="B13010" s="117" t="s">
        <v>13042</v>
      </c>
      <c r="C13010" t="s">
        <v>67</v>
      </c>
      <c r="D13010" t="s">
        <v>67</v>
      </c>
      <c r="E13010" t="s">
        <v>67</v>
      </c>
      <c r="F13010" t="s">
        <v>49</v>
      </c>
      <c r="G13010" s="117">
        <v>17.7</v>
      </c>
    </row>
    <row r="13011" spans="1:7" x14ac:dyDescent="0.25">
      <c r="A13011" s="116" t="s">
        <v>20348</v>
      </c>
      <c r="B13011" s="117" t="s">
        <v>13042</v>
      </c>
      <c r="C13011" t="s">
        <v>67</v>
      </c>
      <c r="D13011" t="s">
        <v>67</v>
      </c>
      <c r="E13011" t="s">
        <v>67</v>
      </c>
      <c r="F13011" t="s">
        <v>27987</v>
      </c>
      <c r="G13011" s="117">
        <v>8.4499999999999993</v>
      </c>
    </row>
    <row r="13012" spans="1:7" x14ac:dyDescent="0.25">
      <c r="A13012" s="116" t="s">
        <v>20349</v>
      </c>
      <c r="B13012" s="117" t="s">
        <v>20350</v>
      </c>
      <c r="C13012" t="s">
        <v>67</v>
      </c>
      <c r="D13012" t="s">
        <v>67</v>
      </c>
      <c r="E13012" t="s">
        <v>67</v>
      </c>
      <c r="F13012" t="s">
        <v>27987</v>
      </c>
      <c r="G13012" s="117">
        <v>2.62</v>
      </c>
    </row>
    <row r="13013" spans="1:7" x14ac:dyDescent="0.25">
      <c r="A13013" s="116" t="s">
        <v>20351</v>
      </c>
      <c r="B13013" s="117" t="s">
        <v>13042</v>
      </c>
      <c r="C13013" t="s">
        <v>67</v>
      </c>
      <c r="D13013" t="s">
        <v>67</v>
      </c>
      <c r="E13013" t="s">
        <v>67</v>
      </c>
      <c r="F13013" t="s">
        <v>27990</v>
      </c>
      <c r="G13013" s="117">
        <v>14.14</v>
      </c>
    </row>
    <row r="13014" spans="1:7" x14ac:dyDescent="0.25">
      <c r="A13014" s="116" t="s">
        <v>20352</v>
      </c>
      <c r="B13014" s="117" t="s">
        <v>20353</v>
      </c>
      <c r="C13014" t="s">
        <v>67</v>
      </c>
      <c r="D13014" t="s">
        <v>67</v>
      </c>
      <c r="E13014" t="s">
        <v>67</v>
      </c>
      <c r="F13014" t="s">
        <v>27987</v>
      </c>
      <c r="G13014" s="117">
        <v>14.14</v>
      </c>
    </row>
    <row r="13015" spans="1:7" x14ac:dyDescent="0.25">
      <c r="A13015" s="116" t="s">
        <v>20354</v>
      </c>
      <c r="B13015" s="117" t="s">
        <v>13042</v>
      </c>
      <c r="C13015" t="s">
        <v>67</v>
      </c>
      <c r="D13015" t="s">
        <v>67</v>
      </c>
      <c r="E13015" t="s">
        <v>67</v>
      </c>
      <c r="F13015" t="s">
        <v>27987</v>
      </c>
      <c r="G13015" s="117">
        <v>13.8</v>
      </c>
    </row>
    <row r="13016" spans="1:7" x14ac:dyDescent="0.25">
      <c r="A13016" s="116" t="s">
        <v>20355</v>
      </c>
      <c r="B13016" s="117" t="s">
        <v>20356</v>
      </c>
      <c r="C13016" t="s">
        <v>67</v>
      </c>
      <c r="D13016" t="s">
        <v>67</v>
      </c>
      <c r="E13016" t="s">
        <v>67</v>
      </c>
      <c r="F13016" t="s">
        <v>27987</v>
      </c>
      <c r="G13016" s="117">
        <v>2.0299999999999998</v>
      </c>
    </row>
    <row r="13017" spans="1:7" x14ac:dyDescent="0.25">
      <c r="A13017" s="116" t="s">
        <v>20357</v>
      </c>
      <c r="B13017" s="117" t="s">
        <v>20358</v>
      </c>
      <c r="C13017" t="s">
        <v>67</v>
      </c>
      <c r="D13017" t="s">
        <v>67</v>
      </c>
      <c r="E13017" t="s">
        <v>67</v>
      </c>
      <c r="F13017" t="s">
        <v>45</v>
      </c>
      <c r="G13017" s="117">
        <v>8.4499999999999993</v>
      </c>
    </row>
    <row r="13018" spans="1:7" x14ac:dyDescent="0.25">
      <c r="A13018" s="116" t="s">
        <v>20359</v>
      </c>
      <c r="B13018" s="117" t="s">
        <v>20360</v>
      </c>
      <c r="C13018" t="s">
        <v>67</v>
      </c>
      <c r="D13018" t="s">
        <v>67</v>
      </c>
      <c r="E13018" t="s">
        <v>67</v>
      </c>
      <c r="F13018" t="s">
        <v>27987</v>
      </c>
      <c r="G13018" s="117">
        <v>3.12</v>
      </c>
    </row>
    <row r="13019" spans="1:7" x14ac:dyDescent="0.25">
      <c r="A13019" s="116" t="s">
        <v>20361</v>
      </c>
      <c r="B13019" s="117" t="s">
        <v>20297</v>
      </c>
      <c r="C13019" t="s">
        <v>67</v>
      </c>
      <c r="D13019" t="s">
        <v>67</v>
      </c>
      <c r="E13019" t="s">
        <v>67</v>
      </c>
      <c r="F13019" t="s">
        <v>49</v>
      </c>
      <c r="G13019" s="117">
        <v>3.12</v>
      </c>
    </row>
    <row r="13020" spans="1:7" x14ac:dyDescent="0.25">
      <c r="A13020" s="116" t="s">
        <v>20362</v>
      </c>
      <c r="B13020" s="117" t="s">
        <v>20297</v>
      </c>
      <c r="C13020" t="s">
        <v>67</v>
      </c>
      <c r="D13020" t="s">
        <v>67</v>
      </c>
      <c r="E13020" t="s">
        <v>67</v>
      </c>
      <c r="F13020" t="s">
        <v>49</v>
      </c>
      <c r="G13020" s="117">
        <v>2.23</v>
      </c>
    </row>
    <row r="13021" spans="1:7" x14ac:dyDescent="0.25">
      <c r="A13021" s="116" t="s">
        <v>20363</v>
      </c>
      <c r="B13021" s="117" t="s">
        <v>19811</v>
      </c>
      <c r="C13021" t="s">
        <v>67</v>
      </c>
      <c r="D13021" t="s">
        <v>67</v>
      </c>
      <c r="E13021" t="s">
        <v>67</v>
      </c>
      <c r="F13021" t="s">
        <v>49</v>
      </c>
      <c r="G13021" s="117">
        <v>7.92</v>
      </c>
    </row>
    <row r="13022" spans="1:7" x14ac:dyDescent="0.25">
      <c r="A13022" s="116" t="s">
        <v>20364</v>
      </c>
      <c r="B13022" s="117" t="s">
        <v>20365</v>
      </c>
      <c r="C13022" t="s">
        <v>67</v>
      </c>
      <c r="D13022" t="s">
        <v>67</v>
      </c>
      <c r="E13022" t="s">
        <v>67</v>
      </c>
      <c r="F13022" t="s">
        <v>45</v>
      </c>
      <c r="G13022" s="117">
        <v>2.58</v>
      </c>
    </row>
    <row r="13023" spans="1:7" x14ac:dyDescent="0.25">
      <c r="A13023" s="116" t="s">
        <v>20366</v>
      </c>
      <c r="B13023" s="117" t="s">
        <v>19811</v>
      </c>
      <c r="C13023" t="s">
        <v>67</v>
      </c>
      <c r="D13023" t="s">
        <v>67</v>
      </c>
      <c r="E13023" t="s">
        <v>67</v>
      </c>
      <c r="F13023" t="s">
        <v>27987</v>
      </c>
      <c r="G13023" s="117">
        <v>6.14</v>
      </c>
    </row>
    <row r="13024" spans="1:7" x14ac:dyDescent="0.25">
      <c r="A13024" s="116" t="s">
        <v>20367</v>
      </c>
      <c r="B13024" s="117" t="s">
        <v>19811</v>
      </c>
      <c r="C13024" t="s">
        <v>67</v>
      </c>
      <c r="D13024" t="s">
        <v>67</v>
      </c>
      <c r="E13024" t="s">
        <v>67</v>
      </c>
      <c r="F13024" t="s">
        <v>27987</v>
      </c>
      <c r="G13024" s="117">
        <v>6.68</v>
      </c>
    </row>
    <row r="13025" spans="1:7" x14ac:dyDescent="0.25">
      <c r="A13025" s="116" t="s">
        <v>20368</v>
      </c>
      <c r="B13025" s="117" t="s">
        <v>19811</v>
      </c>
      <c r="C13025" t="s">
        <v>67</v>
      </c>
      <c r="D13025" t="s">
        <v>67</v>
      </c>
      <c r="E13025" t="s">
        <v>67</v>
      </c>
      <c r="F13025" t="s">
        <v>49</v>
      </c>
      <c r="G13025" s="117">
        <v>6.68</v>
      </c>
    </row>
    <row r="13026" spans="1:7" x14ac:dyDescent="0.25">
      <c r="A13026" s="116" t="s">
        <v>20369</v>
      </c>
      <c r="B13026" s="117" t="s">
        <v>20370</v>
      </c>
      <c r="C13026" t="s">
        <v>67</v>
      </c>
      <c r="D13026" t="s">
        <v>67</v>
      </c>
      <c r="E13026" t="s">
        <v>67</v>
      </c>
      <c r="F13026" t="s">
        <v>49</v>
      </c>
      <c r="G13026" s="117">
        <v>4</v>
      </c>
    </row>
    <row r="13027" spans="1:7" x14ac:dyDescent="0.25">
      <c r="A13027" s="116" t="s">
        <v>20371</v>
      </c>
      <c r="B13027" s="117" t="s">
        <v>20278</v>
      </c>
      <c r="C13027" t="s">
        <v>67</v>
      </c>
      <c r="D13027" t="s">
        <v>67</v>
      </c>
      <c r="E13027" t="s">
        <v>67</v>
      </c>
      <c r="F13027" t="s">
        <v>27990</v>
      </c>
      <c r="G13027" s="117">
        <v>1.33</v>
      </c>
    </row>
    <row r="13028" spans="1:7" x14ac:dyDescent="0.25">
      <c r="A13028" s="116" t="s">
        <v>20372</v>
      </c>
      <c r="B13028" s="117" t="s">
        <v>19811</v>
      </c>
      <c r="C13028" t="s">
        <v>67</v>
      </c>
      <c r="D13028" t="s">
        <v>67</v>
      </c>
      <c r="E13028" t="s">
        <v>67</v>
      </c>
      <c r="F13028" t="s">
        <v>27987</v>
      </c>
      <c r="G13028" s="117">
        <v>9.6999999999999993</v>
      </c>
    </row>
    <row r="13029" spans="1:7" x14ac:dyDescent="0.25">
      <c r="A13029" s="116" t="s">
        <v>20373</v>
      </c>
      <c r="B13029" s="117" t="s">
        <v>19811</v>
      </c>
      <c r="C13029" t="s">
        <v>67</v>
      </c>
      <c r="D13029" t="s">
        <v>67</v>
      </c>
      <c r="E13029" t="s">
        <v>67</v>
      </c>
      <c r="F13029" t="s">
        <v>45</v>
      </c>
      <c r="G13029" s="117">
        <v>9.6999999999999993</v>
      </c>
    </row>
    <row r="13030" spans="1:7" x14ac:dyDescent="0.25">
      <c r="A13030" s="116" t="s">
        <v>20374</v>
      </c>
      <c r="B13030" s="117" t="s">
        <v>19811</v>
      </c>
      <c r="C13030" t="s">
        <v>67</v>
      </c>
      <c r="D13030" t="s">
        <v>67</v>
      </c>
      <c r="E13030" t="s">
        <v>67</v>
      </c>
      <c r="F13030" t="s">
        <v>27987</v>
      </c>
      <c r="G13030" s="117">
        <v>4.3600000000000003</v>
      </c>
    </row>
    <row r="13031" spans="1:7" x14ac:dyDescent="0.25">
      <c r="A13031" s="116" t="s">
        <v>20375</v>
      </c>
      <c r="B13031" s="117" t="s">
        <v>20376</v>
      </c>
      <c r="C13031" t="s">
        <v>67</v>
      </c>
      <c r="D13031" t="s">
        <v>67</v>
      </c>
      <c r="E13031" t="s">
        <v>67</v>
      </c>
      <c r="F13031" t="s">
        <v>49</v>
      </c>
      <c r="G13031" s="117">
        <v>6.28</v>
      </c>
    </row>
    <row r="13032" spans="1:7" x14ac:dyDescent="0.25">
      <c r="A13032" s="116" t="s">
        <v>20377</v>
      </c>
      <c r="B13032" s="117" t="s">
        <v>19811</v>
      </c>
      <c r="C13032" t="s">
        <v>67</v>
      </c>
      <c r="D13032" t="s">
        <v>67</v>
      </c>
      <c r="E13032" t="s">
        <v>67</v>
      </c>
      <c r="F13032" t="s">
        <v>27990</v>
      </c>
      <c r="G13032" s="117">
        <v>5.78</v>
      </c>
    </row>
    <row r="13033" spans="1:7" x14ac:dyDescent="0.25">
      <c r="A13033" s="116" t="s">
        <v>20378</v>
      </c>
      <c r="B13033" s="117" t="s">
        <v>29524</v>
      </c>
      <c r="C13033" t="s">
        <v>67</v>
      </c>
      <c r="D13033" t="s">
        <v>67</v>
      </c>
      <c r="E13033" t="s">
        <v>67</v>
      </c>
      <c r="F13033" t="s">
        <v>45</v>
      </c>
      <c r="G13033" s="117">
        <v>2.58</v>
      </c>
    </row>
    <row r="13034" spans="1:7" x14ac:dyDescent="0.25">
      <c r="A13034" s="116" t="s">
        <v>20379</v>
      </c>
      <c r="B13034" s="117" t="s">
        <v>20380</v>
      </c>
      <c r="C13034" t="s">
        <v>67</v>
      </c>
      <c r="D13034" t="s">
        <v>67</v>
      </c>
      <c r="E13034" t="s">
        <v>67</v>
      </c>
      <c r="F13034" t="s">
        <v>45</v>
      </c>
      <c r="G13034" s="117">
        <v>6.68</v>
      </c>
    </row>
    <row r="13035" spans="1:7" x14ac:dyDescent="0.25">
      <c r="A13035" s="116" t="s">
        <v>20381</v>
      </c>
      <c r="B13035" s="117" t="s">
        <v>20382</v>
      </c>
      <c r="C13035" t="s">
        <v>67</v>
      </c>
      <c r="D13035" t="s">
        <v>67</v>
      </c>
      <c r="E13035" t="s">
        <v>67</v>
      </c>
      <c r="F13035" t="s">
        <v>27987</v>
      </c>
      <c r="G13035" s="117">
        <v>15.57</v>
      </c>
    </row>
    <row r="13036" spans="1:7" x14ac:dyDescent="0.25">
      <c r="A13036" s="116" t="s">
        <v>20383</v>
      </c>
      <c r="B13036" s="117" t="s">
        <v>20384</v>
      </c>
      <c r="C13036" t="s">
        <v>67</v>
      </c>
      <c r="D13036" t="s">
        <v>67</v>
      </c>
      <c r="E13036" t="s">
        <v>67</v>
      </c>
      <c r="F13036" t="s">
        <v>27987</v>
      </c>
      <c r="G13036" s="117">
        <v>15.57</v>
      </c>
    </row>
    <row r="13037" spans="1:7" x14ac:dyDescent="0.25">
      <c r="A13037" s="116" t="s">
        <v>20385</v>
      </c>
      <c r="B13037" s="117" t="s">
        <v>20386</v>
      </c>
      <c r="C13037" t="s">
        <v>67</v>
      </c>
      <c r="D13037" t="s">
        <v>67</v>
      </c>
      <c r="E13037" t="s">
        <v>67</v>
      </c>
      <c r="F13037" t="s">
        <v>51</v>
      </c>
      <c r="G13037" s="117">
        <v>1.33</v>
      </c>
    </row>
    <row r="13038" spans="1:7" x14ac:dyDescent="0.25">
      <c r="A13038" s="116" t="s">
        <v>20387</v>
      </c>
      <c r="B13038" s="117" t="s">
        <v>13042</v>
      </c>
      <c r="C13038" t="s">
        <v>67</v>
      </c>
      <c r="D13038" t="s">
        <v>67</v>
      </c>
      <c r="E13038" t="s">
        <v>67</v>
      </c>
      <c r="F13038" t="s">
        <v>45</v>
      </c>
      <c r="G13038" s="117">
        <v>18.600000000000001</v>
      </c>
    </row>
    <row r="13039" spans="1:7" x14ac:dyDescent="0.25">
      <c r="A13039" s="116" t="s">
        <v>20388</v>
      </c>
      <c r="B13039" s="117" t="s">
        <v>13042</v>
      </c>
      <c r="C13039" t="s">
        <v>67</v>
      </c>
      <c r="D13039" t="s">
        <v>67</v>
      </c>
      <c r="E13039" t="s">
        <v>67</v>
      </c>
      <c r="F13039" t="s">
        <v>27987</v>
      </c>
      <c r="G13039" s="117">
        <v>12.63</v>
      </c>
    </row>
    <row r="13040" spans="1:7" x14ac:dyDescent="0.25">
      <c r="A13040" s="116" t="s">
        <v>20389</v>
      </c>
      <c r="B13040" s="117" t="s">
        <v>13042</v>
      </c>
      <c r="C13040" t="s">
        <v>67</v>
      </c>
      <c r="D13040" t="s">
        <v>67</v>
      </c>
      <c r="E13040" t="s">
        <v>67</v>
      </c>
      <c r="F13040" t="s">
        <v>49</v>
      </c>
      <c r="G13040" s="117">
        <v>9.35</v>
      </c>
    </row>
    <row r="13041" spans="1:7" x14ac:dyDescent="0.25">
      <c r="A13041" s="116" t="s">
        <v>20390</v>
      </c>
      <c r="B13041" s="117" t="s">
        <v>20391</v>
      </c>
      <c r="C13041" t="s">
        <v>67</v>
      </c>
      <c r="D13041" t="s">
        <v>67</v>
      </c>
      <c r="E13041" t="s">
        <v>67</v>
      </c>
      <c r="F13041" t="s">
        <v>49</v>
      </c>
      <c r="G13041" s="117">
        <v>2.58</v>
      </c>
    </row>
    <row r="13042" spans="1:7" x14ac:dyDescent="0.25">
      <c r="A13042" s="116" t="s">
        <v>20392</v>
      </c>
      <c r="B13042" s="117" t="s">
        <v>20393</v>
      </c>
      <c r="C13042" t="s">
        <v>67</v>
      </c>
      <c r="D13042" t="s">
        <v>67</v>
      </c>
      <c r="E13042" t="s">
        <v>67</v>
      </c>
      <c r="F13042" t="s">
        <v>49</v>
      </c>
      <c r="G13042" s="117">
        <v>19.489999999999998</v>
      </c>
    </row>
    <row r="13043" spans="1:7" x14ac:dyDescent="0.25">
      <c r="A13043" s="116" t="s">
        <v>20394</v>
      </c>
      <c r="B13043" s="117" t="s">
        <v>20395</v>
      </c>
      <c r="C13043" t="s">
        <v>67</v>
      </c>
      <c r="D13043" t="s">
        <v>67</v>
      </c>
      <c r="E13043" t="s">
        <v>67</v>
      </c>
      <c r="F13043" t="s">
        <v>45</v>
      </c>
      <c r="G13043" s="117">
        <v>12.01</v>
      </c>
    </row>
    <row r="13044" spans="1:7" x14ac:dyDescent="0.25">
      <c r="A13044" s="116" t="s">
        <v>20396</v>
      </c>
      <c r="B13044" s="117" t="s">
        <v>20397</v>
      </c>
      <c r="C13044" t="s">
        <v>67</v>
      </c>
      <c r="D13044" t="s">
        <v>67</v>
      </c>
      <c r="E13044" t="s">
        <v>67</v>
      </c>
      <c r="F13044" t="s">
        <v>27987</v>
      </c>
      <c r="G13044" s="117">
        <v>14.68</v>
      </c>
    </row>
    <row r="13045" spans="1:7" x14ac:dyDescent="0.25">
      <c r="A13045" s="116" t="s">
        <v>27999</v>
      </c>
      <c r="B13045" s="117" t="s">
        <v>28000</v>
      </c>
      <c r="C13045" t="s">
        <v>67</v>
      </c>
      <c r="D13045" t="s">
        <v>67</v>
      </c>
      <c r="E13045" t="s">
        <v>67</v>
      </c>
      <c r="F13045" t="s">
        <v>49</v>
      </c>
      <c r="G13045" s="117">
        <v>50</v>
      </c>
    </row>
    <row r="13046" spans="1:7" x14ac:dyDescent="0.25">
      <c r="A13046" s="116" t="s">
        <v>28001</v>
      </c>
      <c r="B13046" s="117" t="s">
        <v>28002</v>
      </c>
      <c r="C13046" t="s">
        <v>67</v>
      </c>
      <c r="D13046" t="s">
        <v>67</v>
      </c>
      <c r="E13046" t="s">
        <v>67</v>
      </c>
      <c r="F13046" t="s">
        <v>49</v>
      </c>
      <c r="G13046" s="117">
        <v>50</v>
      </c>
    </row>
    <row r="13047" spans="1:7" x14ac:dyDescent="0.25">
      <c r="A13047" s="116" t="s">
        <v>20398</v>
      </c>
      <c r="B13047" s="117" t="s">
        <v>20399</v>
      </c>
      <c r="C13047" t="s">
        <v>67</v>
      </c>
      <c r="D13047" t="s">
        <v>67</v>
      </c>
      <c r="E13047" t="s">
        <v>67</v>
      </c>
      <c r="F13047" t="s">
        <v>27987</v>
      </c>
      <c r="G13047" s="117">
        <v>84.88</v>
      </c>
    </row>
    <row r="13048" spans="1:7" x14ac:dyDescent="0.25">
      <c r="A13048" s="116" t="s">
        <v>27601</v>
      </c>
      <c r="B13048" s="117" t="s">
        <v>20400</v>
      </c>
      <c r="C13048" t="s">
        <v>67</v>
      </c>
      <c r="D13048" t="s">
        <v>67</v>
      </c>
      <c r="E13048" t="s">
        <v>67</v>
      </c>
      <c r="F13048" t="s">
        <v>27987</v>
      </c>
      <c r="G13048" s="117">
        <v>31.75</v>
      </c>
    </row>
    <row r="13049" spans="1:7" x14ac:dyDescent="0.25">
      <c r="A13049" s="116" t="s">
        <v>20401</v>
      </c>
      <c r="B13049" s="117" t="s">
        <v>2445</v>
      </c>
      <c r="C13049" t="s">
        <v>67</v>
      </c>
      <c r="D13049" t="s">
        <v>67</v>
      </c>
      <c r="E13049" t="s">
        <v>67</v>
      </c>
      <c r="F13049" t="s">
        <v>49</v>
      </c>
      <c r="G13049" s="117">
        <v>73.209999999999994</v>
      </c>
    </row>
    <row r="13050" spans="1:7" x14ac:dyDescent="0.25">
      <c r="A13050" s="116" t="s">
        <v>20402</v>
      </c>
      <c r="B13050" s="117" t="s">
        <v>20403</v>
      </c>
      <c r="C13050" t="s">
        <v>67</v>
      </c>
      <c r="D13050" t="s">
        <v>67</v>
      </c>
      <c r="E13050" t="s">
        <v>67</v>
      </c>
      <c r="F13050" t="s">
        <v>27987</v>
      </c>
      <c r="G13050" s="117">
        <v>67.05</v>
      </c>
    </row>
    <row r="13051" spans="1:7" x14ac:dyDescent="0.25">
      <c r="A13051" s="116" t="s">
        <v>20404</v>
      </c>
      <c r="B13051" s="117" t="s">
        <v>20405</v>
      </c>
      <c r="C13051" t="s">
        <v>67</v>
      </c>
      <c r="D13051" t="s">
        <v>67</v>
      </c>
      <c r="E13051" t="s">
        <v>67</v>
      </c>
      <c r="F13051" t="s">
        <v>27987</v>
      </c>
      <c r="G13051" s="117">
        <v>65.17</v>
      </c>
    </row>
    <row r="13052" spans="1:7" x14ac:dyDescent="0.25">
      <c r="A13052" s="116" t="s">
        <v>20406</v>
      </c>
      <c r="B13052" s="117" t="s">
        <v>20407</v>
      </c>
      <c r="C13052" t="s">
        <v>67</v>
      </c>
      <c r="D13052" t="s">
        <v>67</v>
      </c>
      <c r="E13052" t="s">
        <v>67</v>
      </c>
      <c r="F13052" t="s">
        <v>27987</v>
      </c>
      <c r="G13052" s="117">
        <v>73.45</v>
      </c>
    </row>
    <row r="13053" spans="1:7" x14ac:dyDescent="0.25">
      <c r="A13053" s="116" t="s">
        <v>20408</v>
      </c>
      <c r="B13053" s="117" t="s">
        <v>20409</v>
      </c>
      <c r="C13053" t="s">
        <v>67</v>
      </c>
      <c r="D13053" t="s">
        <v>67</v>
      </c>
      <c r="E13053" t="s">
        <v>67</v>
      </c>
      <c r="F13053" t="s">
        <v>27987</v>
      </c>
      <c r="G13053" s="117">
        <v>78.48</v>
      </c>
    </row>
    <row r="13054" spans="1:7" x14ac:dyDescent="0.25">
      <c r="A13054" s="116" t="s">
        <v>20410</v>
      </c>
      <c r="B13054" s="117" t="s">
        <v>20411</v>
      </c>
      <c r="C13054" t="s">
        <v>67</v>
      </c>
      <c r="D13054" t="s">
        <v>67</v>
      </c>
      <c r="E13054" t="s">
        <v>67</v>
      </c>
      <c r="F13054" t="s">
        <v>27987</v>
      </c>
      <c r="G13054" s="117">
        <v>114.64</v>
      </c>
    </row>
    <row r="13055" spans="1:7" x14ac:dyDescent="0.25">
      <c r="A13055" s="116" t="s">
        <v>28009</v>
      </c>
      <c r="B13055" s="117" t="s">
        <v>28010</v>
      </c>
      <c r="C13055" t="s">
        <v>67</v>
      </c>
      <c r="D13055" t="s">
        <v>67</v>
      </c>
      <c r="E13055" t="s">
        <v>67</v>
      </c>
      <c r="F13055" t="s">
        <v>27987</v>
      </c>
      <c r="G13055" s="117">
        <v>84.19</v>
      </c>
    </row>
    <row r="13056" spans="1:7" x14ac:dyDescent="0.25">
      <c r="A13056" s="116" t="s">
        <v>20412</v>
      </c>
      <c r="B13056" s="117" t="s">
        <v>20413</v>
      </c>
      <c r="C13056" t="s">
        <v>67</v>
      </c>
      <c r="D13056" t="s">
        <v>67</v>
      </c>
      <c r="E13056" t="s">
        <v>67</v>
      </c>
      <c r="F13056" t="s">
        <v>45</v>
      </c>
      <c r="G13056" s="117">
        <v>61.11</v>
      </c>
    </row>
    <row r="13057" spans="1:7" x14ac:dyDescent="0.25">
      <c r="A13057" s="116" t="s">
        <v>20414</v>
      </c>
      <c r="B13057" s="117" t="s">
        <v>20415</v>
      </c>
      <c r="C13057" t="s">
        <v>67</v>
      </c>
      <c r="D13057" t="s">
        <v>67</v>
      </c>
      <c r="E13057" t="s">
        <v>67</v>
      </c>
      <c r="F13057" t="s">
        <v>49</v>
      </c>
      <c r="G13057" s="117">
        <v>33.15</v>
      </c>
    </row>
    <row r="13058" spans="1:7" x14ac:dyDescent="0.25">
      <c r="A13058" s="116" t="s">
        <v>20416</v>
      </c>
      <c r="B13058" s="117" t="s">
        <v>2445</v>
      </c>
      <c r="C13058" t="s">
        <v>67</v>
      </c>
      <c r="D13058" t="s">
        <v>67</v>
      </c>
      <c r="E13058" t="s">
        <v>67</v>
      </c>
      <c r="F13058" t="s">
        <v>49</v>
      </c>
      <c r="G13058" s="117">
        <v>57.28</v>
      </c>
    </row>
    <row r="13059" spans="1:7" x14ac:dyDescent="0.25">
      <c r="A13059" s="116" t="s">
        <v>26865</v>
      </c>
      <c r="B13059" s="117" t="s">
        <v>29525</v>
      </c>
      <c r="C13059" t="s">
        <v>67</v>
      </c>
      <c r="D13059" t="s">
        <v>67</v>
      </c>
      <c r="E13059" t="s">
        <v>67</v>
      </c>
      <c r="F13059" t="s">
        <v>27987</v>
      </c>
      <c r="G13059" s="117">
        <v>16</v>
      </c>
    </row>
    <row r="13060" spans="1:7" x14ac:dyDescent="0.25">
      <c r="A13060" s="116" t="s">
        <v>20417</v>
      </c>
      <c r="B13060" s="117" t="s">
        <v>26513</v>
      </c>
      <c r="C13060" t="s">
        <v>67</v>
      </c>
      <c r="D13060" t="s">
        <v>67</v>
      </c>
      <c r="E13060" t="s">
        <v>67</v>
      </c>
      <c r="F13060" t="s">
        <v>27987</v>
      </c>
      <c r="G13060" s="117">
        <v>30</v>
      </c>
    </row>
    <row r="13061" spans="1:7" x14ac:dyDescent="0.25">
      <c r="A13061" s="116" t="s">
        <v>29526</v>
      </c>
      <c r="B13061" s="117" t="s">
        <v>2445</v>
      </c>
      <c r="C13061" t="s">
        <v>67</v>
      </c>
      <c r="D13061" t="s">
        <v>67</v>
      </c>
      <c r="E13061" t="s">
        <v>67</v>
      </c>
      <c r="F13061" t="s">
        <v>27987</v>
      </c>
      <c r="G13061" s="117">
        <v>61.01</v>
      </c>
    </row>
    <row r="13062" spans="1:7" x14ac:dyDescent="0.25">
      <c r="A13062" s="116" t="s">
        <v>29527</v>
      </c>
      <c r="B13062" s="117" t="s">
        <v>30773</v>
      </c>
      <c r="C13062" t="s">
        <v>67</v>
      </c>
      <c r="D13062" t="s">
        <v>67</v>
      </c>
      <c r="E13062" t="s">
        <v>67</v>
      </c>
      <c r="F13062" t="s">
        <v>27987</v>
      </c>
      <c r="G13062" s="117">
        <v>65.94</v>
      </c>
    </row>
    <row r="13063" spans="1:7" x14ac:dyDescent="0.25">
      <c r="A13063" s="116" t="s">
        <v>29528</v>
      </c>
      <c r="B13063" s="117" t="s">
        <v>2445</v>
      </c>
      <c r="C13063" t="s">
        <v>67</v>
      </c>
      <c r="D13063" t="s">
        <v>67</v>
      </c>
      <c r="E13063" t="s">
        <v>67</v>
      </c>
      <c r="F13063" t="s">
        <v>27987</v>
      </c>
      <c r="G13063" s="117">
        <v>40</v>
      </c>
    </row>
    <row r="13064" spans="1:7" x14ac:dyDescent="0.25">
      <c r="A13064" s="116" t="s">
        <v>26711</v>
      </c>
      <c r="B13064" s="117" t="s">
        <v>29529</v>
      </c>
      <c r="C13064" t="s">
        <v>67</v>
      </c>
      <c r="D13064" t="s">
        <v>67</v>
      </c>
      <c r="E13064" t="s">
        <v>67</v>
      </c>
      <c r="F13064" t="s">
        <v>49</v>
      </c>
      <c r="G13064" s="117">
        <v>80</v>
      </c>
    </row>
    <row r="13065" spans="1:7" x14ac:dyDescent="0.25">
      <c r="A13065" s="116" t="s">
        <v>29530</v>
      </c>
      <c r="B13065" s="117" t="s">
        <v>30536</v>
      </c>
      <c r="C13065" t="s">
        <v>67</v>
      </c>
      <c r="D13065" t="s">
        <v>67</v>
      </c>
      <c r="E13065" t="s">
        <v>67</v>
      </c>
      <c r="F13065" t="s">
        <v>27987</v>
      </c>
      <c r="G13065" s="117">
        <v>27.62</v>
      </c>
    </row>
    <row r="13066" spans="1:7" x14ac:dyDescent="0.25">
      <c r="A13066" s="116" t="s">
        <v>29531</v>
      </c>
      <c r="B13066" s="117" t="s">
        <v>30035</v>
      </c>
      <c r="C13066" t="s">
        <v>67</v>
      </c>
      <c r="D13066" t="s">
        <v>67</v>
      </c>
      <c r="E13066" t="s">
        <v>67</v>
      </c>
      <c r="F13066" t="s">
        <v>27987</v>
      </c>
      <c r="G13066" s="117">
        <v>35</v>
      </c>
    </row>
    <row r="13067" spans="1:7" x14ac:dyDescent="0.25">
      <c r="A13067" s="116" t="s">
        <v>29877</v>
      </c>
      <c r="B13067" s="117" t="s">
        <v>30537</v>
      </c>
      <c r="C13067" t="s">
        <v>67</v>
      </c>
      <c r="D13067" t="s">
        <v>67</v>
      </c>
      <c r="E13067" t="s">
        <v>67</v>
      </c>
      <c r="F13067" t="s">
        <v>27987</v>
      </c>
      <c r="G13067" s="117">
        <v>53</v>
      </c>
    </row>
    <row r="13068" spans="1:7" x14ac:dyDescent="0.25">
      <c r="A13068" s="116" t="s">
        <v>29532</v>
      </c>
      <c r="B13068" s="117" t="s">
        <v>30772</v>
      </c>
      <c r="C13068" t="s">
        <v>67</v>
      </c>
      <c r="D13068" t="s">
        <v>67</v>
      </c>
      <c r="E13068" t="s">
        <v>67</v>
      </c>
      <c r="F13068" t="s">
        <v>27987</v>
      </c>
      <c r="G13068" s="117">
        <v>60.69</v>
      </c>
    </row>
    <row r="13069" spans="1:7" x14ac:dyDescent="0.25">
      <c r="A13069" s="116" t="s">
        <v>29973</v>
      </c>
      <c r="B13069" s="117" t="s">
        <v>29974</v>
      </c>
      <c r="C13069" t="s">
        <v>67</v>
      </c>
      <c r="D13069" t="s">
        <v>67</v>
      </c>
      <c r="E13069" t="s">
        <v>67</v>
      </c>
      <c r="F13069" t="s">
        <v>27987</v>
      </c>
      <c r="G13069" s="117">
        <v>9999</v>
      </c>
    </row>
    <row r="13070" spans="1:7" x14ac:dyDescent="0.25">
      <c r="A13070" s="116" t="s">
        <v>30341</v>
      </c>
      <c r="B13070" s="117" t="s">
        <v>30342</v>
      </c>
      <c r="C13070" t="s">
        <v>67</v>
      </c>
      <c r="D13070" t="s">
        <v>67</v>
      </c>
      <c r="E13070" t="s">
        <v>67</v>
      </c>
      <c r="F13070" t="s">
        <v>45</v>
      </c>
      <c r="G13070" s="117">
        <v>9999</v>
      </c>
    </row>
    <row r="13071" spans="1:7" x14ac:dyDescent="0.25">
      <c r="A13071" s="116" t="s">
        <v>30114</v>
      </c>
      <c r="B13071" s="117" t="s">
        <v>29525</v>
      </c>
      <c r="C13071" t="s">
        <v>67</v>
      </c>
      <c r="D13071" t="s">
        <v>67</v>
      </c>
      <c r="E13071" t="s">
        <v>67</v>
      </c>
      <c r="F13071" t="s">
        <v>27987</v>
      </c>
      <c r="G13071" s="117">
        <v>9999</v>
      </c>
    </row>
    <row r="13072" spans="1:7" x14ac:dyDescent="0.25">
      <c r="A13072" s="116" t="s">
        <v>20418</v>
      </c>
      <c r="B13072" s="117" t="s">
        <v>2445</v>
      </c>
      <c r="C13072" t="s">
        <v>67</v>
      </c>
      <c r="D13072" t="s">
        <v>67</v>
      </c>
      <c r="E13072" t="s">
        <v>67</v>
      </c>
      <c r="F13072" t="s">
        <v>27990</v>
      </c>
      <c r="G13072" s="117">
        <v>74.66</v>
      </c>
    </row>
    <row r="13073" spans="1:7" x14ac:dyDescent="0.25">
      <c r="A13073" s="116" t="s">
        <v>20419</v>
      </c>
      <c r="B13073" s="117" t="s">
        <v>2445</v>
      </c>
      <c r="C13073" t="s">
        <v>67</v>
      </c>
      <c r="D13073" t="s">
        <v>67</v>
      </c>
      <c r="E13073" t="s">
        <v>67</v>
      </c>
      <c r="F13073" t="s">
        <v>49</v>
      </c>
      <c r="G13073" s="117">
        <v>52.06</v>
      </c>
    </row>
    <row r="13074" spans="1:7" x14ac:dyDescent="0.25">
      <c r="A13074" s="116" t="s">
        <v>20420</v>
      </c>
      <c r="B13074" s="117" t="s">
        <v>2445</v>
      </c>
      <c r="C13074" t="s">
        <v>67</v>
      </c>
      <c r="D13074" t="s">
        <v>67</v>
      </c>
      <c r="E13074" t="s">
        <v>67</v>
      </c>
      <c r="F13074" t="s">
        <v>49</v>
      </c>
      <c r="G13074" s="117">
        <v>59.18</v>
      </c>
    </row>
    <row r="13075" spans="1:7" x14ac:dyDescent="0.25">
      <c r="A13075" s="116" t="s">
        <v>20421</v>
      </c>
      <c r="B13075" s="117" t="s">
        <v>20422</v>
      </c>
      <c r="C13075" t="s">
        <v>67</v>
      </c>
      <c r="D13075" t="s">
        <v>67</v>
      </c>
      <c r="E13075" t="s">
        <v>67</v>
      </c>
      <c r="F13075" t="s">
        <v>27987</v>
      </c>
      <c r="G13075" s="117">
        <v>53.83</v>
      </c>
    </row>
    <row r="13076" spans="1:7" x14ac:dyDescent="0.25">
      <c r="A13076" s="116" t="s">
        <v>20423</v>
      </c>
      <c r="B13076" s="117" t="s">
        <v>20424</v>
      </c>
      <c r="C13076" t="s">
        <v>67</v>
      </c>
      <c r="D13076" t="s">
        <v>67</v>
      </c>
      <c r="E13076" t="s">
        <v>67</v>
      </c>
      <c r="F13076" t="s">
        <v>27987</v>
      </c>
      <c r="G13076" s="117">
        <v>28.38</v>
      </c>
    </row>
    <row r="13077" spans="1:7" x14ac:dyDescent="0.25">
      <c r="A13077" s="116" t="s">
        <v>20425</v>
      </c>
      <c r="B13077" s="117" t="s">
        <v>20426</v>
      </c>
      <c r="C13077" t="s">
        <v>67</v>
      </c>
      <c r="D13077" t="s">
        <v>67</v>
      </c>
      <c r="E13077" t="s">
        <v>67</v>
      </c>
      <c r="F13077" t="s">
        <v>45</v>
      </c>
      <c r="G13077" s="117">
        <v>22.69</v>
      </c>
    </row>
    <row r="13078" spans="1:7" x14ac:dyDescent="0.25">
      <c r="A13078" s="116" t="s">
        <v>20427</v>
      </c>
      <c r="B13078" s="117" t="s">
        <v>2445</v>
      </c>
      <c r="C13078" t="s">
        <v>67</v>
      </c>
      <c r="D13078" t="s">
        <v>67</v>
      </c>
      <c r="E13078" t="s">
        <v>67</v>
      </c>
      <c r="F13078" t="s">
        <v>27990</v>
      </c>
      <c r="G13078" s="117">
        <v>19.13</v>
      </c>
    </row>
    <row r="13079" spans="1:7" x14ac:dyDescent="0.25">
      <c r="A13079" s="116" t="s">
        <v>20428</v>
      </c>
      <c r="B13079" s="117" t="s">
        <v>20429</v>
      </c>
      <c r="C13079" t="s">
        <v>67</v>
      </c>
      <c r="D13079" t="s">
        <v>67</v>
      </c>
      <c r="E13079" t="s">
        <v>67</v>
      </c>
      <c r="F13079" t="s">
        <v>27987</v>
      </c>
      <c r="G13079" s="117">
        <v>22.69</v>
      </c>
    </row>
    <row r="13080" spans="1:7" x14ac:dyDescent="0.25">
      <c r="A13080" s="116" t="s">
        <v>20430</v>
      </c>
      <c r="B13080" s="117" t="s">
        <v>2445</v>
      </c>
      <c r="C13080" t="s">
        <v>67</v>
      </c>
      <c r="D13080" t="s">
        <v>67</v>
      </c>
      <c r="E13080" t="s">
        <v>67</v>
      </c>
      <c r="F13080" t="s">
        <v>49</v>
      </c>
      <c r="G13080" s="117">
        <v>7.12</v>
      </c>
    </row>
    <row r="13081" spans="1:7" x14ac:dyDescent="0.25">
      <c r="A13081" s="116" t="s">
        <v>20431</v>
      </c>
      <c r="B13081" s="117" t="s">
        <v>20432</v>
      </c>
      <c r="C13081" t="s">
        <v>67</v>
      </c>
      <c r="D13081" t="s">
        <v>67</v>
      </c>
      <c r="E13081" t="s">
        <v>67</v>
      </c>
      <c r="F13081" t="s">
        <v>49</v>
      </c>
      <c r="G13081" s="117">
        <v>71.099999999999994</v>
      </c>
    </row>
    <row r="13082" spans="1:7" x14ac:dyDescent="0.25">
      <c r="A13082" s="116" t="s">
        <v>20433</v>
      </c>
      <c r="B13082" s="117" t="s">
        <v>20434</v>
      </c>
      <c r="C13082" t="s">
        <v>67</v>
      </c>
      <c r="D13082" t="s">
        <v>67</v>
      </c>
      <c r="E13082" t="s">
        <v>67</v>
      </c>
      <c r="F13082" t="s">
        <v>27987</v>
      </c>
      <c r="G13082" s="117">
        <v>76.98</v>
      </c>
    </row>
    <row r="13083" spans="1:7" x14ac:dyDescent="0.25">
      <c r="A13083" s="116" t="s">
        <v>20435</v>
      </c>
      <c r="B13083" s="117" t="s">
        <v>20436</v>
      </c>
      <c r="C13083" t="s">
        <v>67</v>
      </c>
      <c r="D13083" t="s">
        <v>67</v>
      </c>
      <c r="E13083" t="s">
        <v>67</v>
      </c>
      <c r="F13083" t="s">
        <v>45</v>
      </c>
      <c r="G13083" s="117">
        <v>13.26</v>
      </c>
    </row>
    <row r="13084" spans="1:7" x14ac:dyDescent="0.25">
      <c r="A13084" s="116" t="s">
        <v>20437</v>
      </c>
      <c r="B13084" s="117" t="s">
        <v>2445</v>
      </c>
      <c r="C13084" t="s">
        <v>67</v>
      </c>
      <c r="D13084" t="s">
        <v>67</v>
      </c>
      <c r="E13084" t="s">
        <v>67</v>
      </c>
      <c r="F13084" t="s">
        <v>27987</v>
      </c>
      <c r="G13084" s="117">
        <v>15.57</v>
      </c>
    </row>
    <row r="13085" spans="1:7" x14ac:dyDescent="0.25">
      <c r="A13085" s="116" t="s">
        <v>20438</v>
      </c>
      <c r="B13085" s="117" t="s">
        <v>20439</v>
      </c>
      <c r="C13085" t="s">
        <v>67</v>
      </c>
      <c r="D13085" t="s">
        <v>67</v>
      </c>
      <c r="E13085" t="s">
        <v>67</v>
      </c>
      <c r="F13085" t="s">
        <v>45</v>
      </c>
      <c r="G13085" s="117">
        <v>9.6999999999999993</v>
      </c>
    </row>
    <row r="13086" spans="1:7" x14ac:dyDescent="0.25">
      <c r="A13086" s="116" t="s">
        <v>20440</v>
      </c>
      <c r="B13086" s="117" t="s">
        <v>2445</v>
      </c>
      <c r="C13086" t="s">
        <v>67</v>
      </c>
      <c r="D13086" t="s">
        <v>67</v>
      </c>
      <c r="E13086" t="s">
        <v>67</v>
      </c>
      <c r="F13086" t="s">
        <v>27987</v>
      </c>
      <c r="G13086" s="117">
        <v>52.06</v>
      </c>
    </row>
    <row r="13087" spans="1:7" x14ac:dyDescent="0.25">
      <c r="A13087" s="116" t="s">
        <v>20441</v>
      </c>
      <c r="B13087" s="117" t="s">
        <v>20442</v>
      </c>
      <c r="C13087" t="s">
        <v>67</v>
      </c>
      <c r="D13087" t="s">
        <v>67</v>
      </c>
      <c r="E13087" t="s">
        <v>67</v>
      </c>
      <c r="F13087" t="s">
        <v>27987</v>
      </c>
      <c r="G13087" s="117">
        <v>114.7</v>
      </c>
    </row>
    <row r="13088" spans="1:7" x14ac:dyDescent="0.25">
      <c r="A13088" s="116" t="s">
        <v>20443</v>
      </c>
      <c r="B13088" s="117" t="s">
        <v>20444</v>
      </c>
      <c r="C13088" t="s">
        <v>67</v>
      </c>
      <c r="D13088" t="s">
        <v>67</v>
      </c>
      <c r="E13088" t="s">
        <v>67</v>
      </c>
      <c r="F13088" t="s">
        <v>27987</v>
      </c>
      <c r="G13088" s="117">
        <v>26.25</v>
      </c>
    </row>
    <row r="13089" spans="1:7" x14ac:dyDescent="0.25">
      <c r="A13089" s="116" t="s">
        <v>29533</v>
      </c>
      <c r="B13089" s="117" t="s">
        <v>20719</v>
      </c>
      <c r="C13089" t="s">
        <v>67</v>
      </c>
      <c r="D13089" t="s">
        <v>67</v>
      </c>
      <c r="E13089" t="s">
        <v>67</v>
      </c>
      <c r="F13089" t="s">
        <v>45</v>
      </c>
      <c r="G13089" s="117">
        <v>0</v>
      </c>
    </row>
    <row r="13090" spans="1:7" x14ac:dyDescent="0.25">
      <c r="A13090" s="116" t="s">
        <v>20445</v>
      </c>
      <c r="B13090" s="117" t="s">
        <v>20446</v>
      </c>
      <c r="C13090" t="s">
        <v>67</v>
      </c>
      <c r="D13090" t="s">
        <v>67</v>
      </c>
      <c r="E13090" t="s">
        <v>67</v>
      </c>
      <c r="F13090" t="s">
        <v>45</v>
      </c>
      <c r="G13090" s="117">
        <v>19.13</v>
      </c>
    </row>
    <row r="13091" spans="1:7" x14ac:dyDescent="0.25">
      <c r="A13091" s="116" t="s">
        <v>20447</v>
      </c>
      <c r="B13091" s="117" t="s">
        <v>20448</v>
      </c>
      <c r="C13091" t="s">
        <v>67</v>
      </c>
      <c r="D13091" t="s">
        <v>67</v>
      </c>
      <c r="E13091" t="s">
        <v>67</v>
      </c>
      <c r="F13091" t="s">
        <v>49</v>
      </c>
      <c r="G13091" s="117">
        <v>24.48</v>
      </c>
    </row>
    <row r="13092" spans="1:7" x14ac:dyDescent="0.25">
      <c r="A13092" s="116" t="s">
        <v>20449</v>
      </c>
      <c r="B13092" s="117" t="s">
        <v>20450</v>
      </c>
      <c r="C13092" t="s">
        <v>67</v>
      </c>
      <c r="D13092" t="s">
        <v>67</v>
      </c>
      <c r="E13092" t="s">
        <v>67</v>
      </c>
      <c r="F13092" t="s">
        <v>27987</v>
      </c>
      <c r="G13092" s="117">
        <v>36.93</v>
      </c>
    </row>
    <row r="13093" spans="1:7" x14ac:dyDescent="0.25">
      <c r="A13093" s="116" t="s">
        <v>20451</v>
      </c>
      <c r="B13093" s="117" t="s">
        <v>20452</v>
      </c>
      <c r="C13093" t="s">
        <v>67</v>
      </c>
      <c r="D13093" t="s">
        <v>67</v>
      </c>
      <c r="E13093" t="s">
        <v>67</v>
      </c>
      <c r="F13093" t="s">
        <v>27987</v>
      </c>
      <c r="G13093" s="117">
        <v>6.14</v>
      </c>
    </row>
    <row r="13094" spans="1:7" x14ac:dyDescent="0.25">
      <c r="A13094" s="116" t="s">
        <v>20453</v>
      </c>
      <c r="B13094" s="117" t="s">
        <v>20454</v>
      </c>
      <c r="C13094" t="s">
        <v>67</v>
      </c>
      <c r="D13094" t="s">
        <v>67</v>
      </c>
      <c r="E13094" t="s">
        <v>67</v>
      </c>
      <c r="F13094" t="s">
        <v>49</v>
      </c>
      <c r="G13094" s="117">
        <v>31.06</v>
      </c>
    </row>
    <row r="13095" spans="1:7" x14ac:dyDescent="0.25">
      <c r="A13095" s="116" t="s">
        <v>20455</v>
      </c>
      <c r="B13095" s="117" t="s">
        <v>20456</v>
      </c>
      <c r="C13095" t="s">
        <v>67</v>
      </c>
      <c r="D13095" t="s">
        <v>67</v>
      </c>
      <c r="E13095" t="s">
        <v>67</v>
      </c>
      <c r="F13095" t="s">
        <v>49</v>
      </c>
      <c r="G13095" s="117">
        <v>7.56</v>
      </c>
    </row>
    <row r="13096" spans="1:7" x14ac:dyDescent="0.25">
      <c r="A13096" s="116" t="s">
        <v>20457</v>
      </c>
      <c r="B13096" s="117" t="s">
        <v>20458</v>
      </c>
      <c r="C13096" t="s">
        <v>67</v>
      </c>
      <c r="D13096" t="s">
        <v>67</v>
      </c>
      <c r="E13096" t="s">
        <v>67</v>
      </c>
      <c r="F13096" t="s">
        <v>27987</v>
      </c>
      <c r="G13096" s="117">
        <v>26.25</v>
      </c>
    </row>
    <row r="13097" spans="1:7" x14ac:dyDescent="0.25">
      <c r="A13097" s="116" t="s">
        <v>20459</v>
      </c>
      <c r="B13097" s="117" t="s">
        <v>20460</v>
      </c>
      <c r="C13097" t="s">
        <v>67</v>
      </c>
      <c r="D13097" t="s">
        <v>67</v>
      </c>
      <c r="E13097" t="s">
        <v>67</v>
      </c>
      <c r="F13097" t="s">
        <v>27987</v>
      </c>
      <c r="G13097" s="117">
        <v>14.14</v>
      </c>
    </row>
    <row r="13098" spans="1:7" x14ac:dyDescent="0.25">
      <c r="A13098" s="116" t="s">
        <v>20461</v>
      </c>
      <c r="B13098" s="117" t="s">
        <v>20462</v>
      </c>
      <c r="C13098" t="s">
        <v>67</v>
      </c>
      <c r="D13098" t="s">
        <v>67</v>
      </c>
      <c r="E13098" t="s">
        <v>67</v>
      </c>
      <c r="F13098" t="s">
        <v>27987</v>
      </c>
      <c r="G13098" s="117">
        <v>21.26</v>
      </c>
    </row>
    <row r="13099" spans="1:7" x14ac:dyDescent="0.25">
      <c r="A13099" s="116" t="s">
        <v>20463</v>
      </c>
      <c r="B13099" s="117" t="s">
        <v>20464</v>
      </c>
      <c r="C13099" t="s">
        <v>67</v>
      </c>
      <c r="D13099" t="s">
        <v>67</v>
      </c>
      <c r="E13099" t="s">
        <v>67</v>
      </c>
      <c r="F13099" t="s">
        <v>45</v>
      </c>
      <c r="G13099" s="117">
        <v>130.71</v>
      </c>
    </row>
    <row r="13100" spans="1:7" x14ac:dyDescent="0.25">
      <c r="A13100" s="116" t="s">
        <v>20465</v>
      </c>
      <c r="B13100" s="117" t="s">
        <v>20466</v>
      </c>
      <c r="C13100" t="s">
        <v>67</v>
      </c>
      <c r="D13100" t="s">
        <v>67</v>
      </c>
      <c r="E13100" t="s">
        <v>67</v>
      </c>
      <c r="F13100" t="s">
        <v>49</v>
      </c>
      <c r="G13100" s="117">
        <v>95.66</v>
      </c>
    </row>
    <row r="13101" spans="1:7" x14ac:dyDescent="0.25">
      <c r="A13101" s="116" t="s">
        <v>20467</v>
      </c>
      <c r="B13101" s="117" t="s">
        <v>20468</v>
      </c>
      <c r="C13101" t="s">
        <v>67</v>
      </c>
      <c r="D13101" t="s">
        <v>67</v>
      </c>
      <c r="E13101" t="s">
        <v>67</v>
      </c>
      <c r="F13101" t="s">
        <v>27987</v>
      </c>
      <c r="G13101" s="117">
        <v>102.24</v>
      </c>
    </row>
    <row r="13102" spans="1:7" x14ac:dyDescent="0.25">
      <c r="A13102" s="116" t="s">
        <v>20469</v>
      </c>
      <c r="B13102" s="117" t="s">
        <v>20470</v>
      </c>
      <c r="C13102" t="s">
        <v>67</v>
      </c>
      <c r="D13102" t="s">
        <v>67</v>
      </c>
      <c r="E13102" t="s">
        <v>67</v>
      </c>
      <c r="F13102" t="s">
        <v>45</v>
      </c>
      <c r="G13102" s="117">
        <v>99.21</v>
      </c>
    </row>
    <row r="13103" spans="1:7" x14ac:dyDescent="0.25">
      <c r="A13103" s="116" t="s">
        <v>20471</v>
      </c>
      <c r="B13103" s="117" t="s">
        <v>2445</v>
      </c>
      <c r="C13103" t="s">
        <v>67</v>
      </c>
      <c r="D13103" t="s">
        <v>67</v>
      </c>
      <c r="E13103" t="s">
        <v>67</v>
      </c>
      <c r="F13103" t="s">
        <v>27987</v>
      </c>
      <c r="G13103" s="117">
        <v>42.62</v>
      </c>
    </row>
    <row r="13104" spans="1:7" x14ac:dyDescent="0.25">
      <c r="A13104" s="116" t="s">
        <v>20472</v>
      </c>
      <c r="B13104" s="117" t="s">
        <v>20473</v>
      </c>
      <c r="C13104" t="s">
        <v>67</v>
      </c>
      <c r="D13104" t="s">
        <v>67</v>
      </c>
      <c r="E13104" t="s">
        <v>67</v>
      </c>
      <c r="F13104" t="s">
        <v>27987</v>
      </c>
      <c r="G13104" s="117">
        <v>99.21</v>
      </c>
    </row>
    <row r="13105" spans="1:7" x14ac:dyDescent="0.25">
      <c r="A13105" s="116" t="s">
        <v>29534</v>
      </c>
      <c r="B13105" s="117" t="s">
        <v>2445</v>
      </c>
      <c r="C13105" t="s">
        <v>67</v>
      </c>
      <c r="D13105" t="s">
        <v>67</v>
      </c>
      <c r="E13105" t="s">
        <v>67</v>
      </c>
      <c r="F13105" t="s">
        <v>45</v>
      </c>
      <c r="G13105" s="117">
        <v>0</v>
      </c>
    </row>
    <row r="13106" spans="1:7" x14ac:dyDescent="0.25">
      <c r="A13106" s="116" t="s">
        <v>20474</v>
      </c>
      <c r="B13106" s="117" t="s">
        <v>20475</v>
      </c>
      <c r="C13106" t="s">
        <v>67</v>
      </c>
      <c r="D13106" t="s">
        <v>67</v>
      </c>
      <c r="E13106" t="s">
        <v>67</v>
      </c>
      <c r="F13106" t="s">
        <v>27987</v>
      </c>
      <c r="G13106" s="117">
        <v>77.86</v>
      </c>
    </row>
    <row r="13107" spans="1:7" x14ac:dyDescent="0.25">
      <c r="A13107" s="116" t="s">
        <v>20476</v>
      </c>
      <c r="B13107" s="117" t="s">
        <v>20477</v>
      </c>
      <c r="C13107" t="s">
        <v>67</v>
      </c>
      <c r="D13107" t="s">
        <v>67</v>
      </c>
      <c r="E13107" t="s">
        <v>67</v>
      </c>
      <c r="F13107" t="s">
        <v>45</v>
      </c>
      <c r="G13107" s="117">
        <v>55.62</v>
      </c>
    </row>
    <row r="13108" spans="1:7" x14ac:dyDescent="0.25">
      <c r="A13108" s="116" t="s">
        <v>20478</v>
      </c>
      <c r="B13108" s="117" t="s">
        <v>20479</v>
      </c>
      <c r="C13108" t="s">
        <v>67</v>
      </c>
      <c r="D13108" t="s">
        <v>67</v>
      </c>
      <c r="E13108" t="s">
        <v>67</v>
      </c>
      <c r="F13108" t="s">
        <v>49</v>
      </c>
      <c r="G13108" s="117">
        <v>11.48</v>
      </c>
    </row>
    <row r="13109" spans="1:7" x14ac:dyDescent="0.25">
      <c r="A13109" s="116" t="s">
        <v>20480</v>
      </c>
      <c r="B13109" s="117" t="s">
        <v>20481</v>
      </c>
      <c r="C13109" t="s">
        <v>67</v>
      </c>
      <c r="D13109" t="s">
        <v>67</v>
      </c>
      <c r="E13109" t="s">
        <v>67</v>
      </c>
      <c r="F13109" t="s">
        <v>27987</v>
      </c>
      <c r="G13109" s="117">
        <v>30.17</v>
      </c>
    </row>
    <row r="13110" spans="1:7" x14ac:dyDescent="0.25">
      <c r="A13110" s="116" t="s">
        <v>20482</v>
      </c>
      <c r="B13110" s="117" t="s">
        <v>2445</v>
      </c>
      <c r="C13110" t="s">
        <v>67</v>
      </c>
      <c r="D13110" t="s">
        <v>67</v>
      </c>
      <c r="E13110" t="s">
        <v>67</v>
      </c>
      <c r="F13110" t="s">
        <v>27987</v>
      </c>
      <c r="G13110" s="117">
        <v>37.82</v>
      </c>
    </row>
    <row r="13111" spans="1:7" x14ac:dyDescent="0.25">
      <c r="A13111" s="116" t="s">
        <v>20483</v>
      </c>
      <c r="B13111" s="117" t="s">
        <v>2445</v>
      </c>
      <c r="C13111" t="s">
        <v>67</v>
      </c>
      <c r="D13111" t="s">
        <v>67</v>
      </c>
      <c r="E13111" t="s">
        <v>67</v>
      </c>
      <c r="F13111" t="s">
        <v>45</v>
      </c>
      <c r="G13111" s="117">
        <v>79.11</v>
      </c>
    </row>
    <row r="13112" spans="1:7" x14ac:dyDescent="0.25">
      <c r="A13112" s="116" t="s">
        <v>20484</v>
      </c>
      <c r="B13112" s="117" t="s">
        <v>20485</v>
      </c>
      <c r="C13112" t="s">
        <v>67</v>
      </c>
      <c r="D13112" t="s">
        <v>67</v>
      </c>
      <c r="E13112" t="s">
        <v>67</v>
      </c>
      <c r="F13112" t="s">
        <v>45</v>
      </c>
      <c r="G13112" s="117">
        <v>12.45</v>
      </c>
    </row>
    <row r="13113" spans="1:7" x14ac:dyDescent="0.25">
      <c r="A13113" s="116" t="s">
        <v>20486</v>
      </c>
      <c r="B13113" s="117" t="s">
        <v>2445</v>
      </c>
      <c r="C13113" t="s">
        <v>67</v>
      </c>
      <c r="D13113" t="s">
        <v>67</v>
      </c>
      <c r="E13113" t="s">
        <v>67</v>
      </c>
      <c r="F13113" t="s">
        <v>45</v>
      </c>
      <c r="G13113" s="117">
        <v>55.62</v>
      </c>
    </row>
    <row r="13114" spans="1:7" x14ac:dyDescent="0.25">
      <c r="A13114" s="116" t="s">
        <v>20487</v>
      </c>
      <c r="B13114" s="117" t="s">
        <v>20488</v>
      </c>
      <c r="C13114" t="s">
        <v>67</v>
      </c>
      <c r="D13114" t="s">
        <v>67</v>
      </c>
      <c r="E13114" t="s">
        <v>67</v>
      </c>
      <c r="F13114" t="s">
        <v>27987</v>
      </c>
      <c r="G13114" s="117">
        <v>97.44</v>
      </c>
    </row>
    <row r="13115" spans="1:7" x14ac:dyDescent="0.25">
      <c r="A13115" s="116" t="s">
        <v>20489</v>
      </c>
      <c r="B13115" s="117" t="s">
        <v>2445</v>
      </c>
      <c r="C13115" t="s">
        <v>67</v>
      </c>
      <c r="D13115" t="s">
        <v>67</v>
      </c>
      <c r="E13115" t="s">
        <v>67</v>
      </c>
      <c r="F13115" t="s">
        <v>27987</v>
      </c>
      <c r="G13115" s="117">
        <v>141.93</v>
      </c>
    </row>
    <row r="13116" spans="1:7" x14ac:dyDescent="0.25">
      <c r="A13116" s="116" t="s">
        <v>20490</v>
      </c>
      <c r="B13116" s="117" t="s">
        <v>20491</v>
      </c>
      <c r="C13116" t="s">
        <v>67</v>
      </c>
      <c r="D13116" t="s">
        <v>67</v>
      </c>
      <c r="E13116" t="s">
        <v>67</v>
      </c>
      <c r="F13116" t="s">
        <v>27987</v>
      </c>
      <c r="G13116" s="117">
        <v>80.52</v>
      </c>
    </row>
    <row r="13117" spans="1:7" x14ac:dyDescent="0.25">
      <c r="A13117" s="116" t="s">
        <v>20492</v>
      </c>
      <c r="B13117" s="117" t="s">
        <v>2445</v>
      </c>
      <c r="C13117" t="s">
        <v>67</v>
      </c>
      <c r="D13117" t="s">
        <v>67</v>
      </c>
      <c r="E13117" t="s">
        <v>67</v>
      </c>
      <c r="F13117" t="s">
        <v>27987</v>
      </c>
      <c r="G13117" s="117">
        <v>109.89</v>
      </c>
    </row>
    <row r="13118" spans="1:7" x14ac:dyDescent="0.25">
      <c r="A13118" s="116" t="s">
        <v>20493</v>
      </c>
      <c r="B13118" s="117" t="s">
        <v>20494</v>
      </c>
      <c r="C13118" t="s">
        <v>67</v>
      </c>
      <c r="D13118" t="s">
        <v>67</v>
      </c>
      <c r="E13118" t="s">
        <v>67</v>
      </c>
      <c r="F13118" t="s">
        <v>45</v>
      </c>
      <c r="G13118" s="117">
        <v>5.25</v>
      </c>
    </row>
    <row r="13119" spans="1:7" x14ac:dyDescent="0.25">
      <c r="A13119" s="116" t="s">
        <v>20495</v>
      </c>
      <c r="B13119" s="117" t="s">
        <v>20496</v>
      </c>
      <c r="C13119" t="s">
        <v>67</v>
      </c>
      <c r="D13119" t="s">
        <v>67</v>
      </c>
      <c r="E13119" t="s">
        <v>67</v>
      </c>
      <c r="F13119" t="s">
        <v>49</v>
      </c>
      <c r="G13119" s="117">
        <v>16.82</v>
      </c>
    </row>
    <row r="13120" spans="1:7" x14ac:dyDescent="0.25">
      <c r="A13120" s="116" t="s">
        <v>20497</v>
      </c>
      <c r="B13120" s="117" t="s">
        <v>2445</v>
      </c>
      <c r="C13120" t="s">
        <v>67</v>
      </c>
      <c r="D13120" t="s">
        <v>67</v>
      </c>
      <c r="E13120" t="s">
        <v>67</v>
      </c>
      <c r="F13120" t="s">
        <v>45</v>
      </c>
      <c r="G13120" s="117">
        <v>95.66</v>
      </c>
    </row>
    <row r="13121" spans="1:7" x14ac:dyDescent="0.25">
      <c r="A13121" s="116" t="s">
        <v>20498</v>
      </c>
      <c r="B13121" s="117" t="s">
        <v>20499</v>
      </c>
      <c r="C13121" t="s">
        <v>67</v>
      </c>
      <c r="D13121" t="s">
        <v>67</v>
      </c>
      <c r="E13121" t="s">
        <v>67</v>
      </c>
      <c r="F13121" t="s">
        <v>49</v>
      </c>
      <c r="G13121" s="117">
        <v>53.3</v>
      </c>
    </row>
    <row r="13122" spans="1:7" x14ac:dyDescent="0.25">
      <c r="A13122" s="116" t="s">
        <v>20500</v>
      </c>
      <c r="B13122" s="117" t="s">
        <v>20501</v>
      </c>
      <c r="C13122" t="s">
        <v>67</v>
      </c>
      <c r="D13122" t="s">
        <v>67</v>
      </c>
      <c r="E13122" t="s">
        <v>67</v>
      </c>
      <c r="F13122" t="s">
        <v>49</v>
      </c>
      <c r="G13122" s="117">
        <v>56.86</v>
      </c>
    </row>
    <row r="13123" spans="1:7" x14ac:dyDescent="0.25">
      <c r="A13123" s="116" t="s">
        <v>20502</v>
      </c>
      <c r="B13123" s="117" t="s">
        <v>20503</v>
      </c>
      <c r="C13123" t="s">
        <v>67</v>
      </c>
      <c r="D13123" t="s">
        <v>67</v>
      </c>
      <c r="E13123" t="s">
        <v>67</v>
      </c>
      <c r="F13123" t="s">
        <v>27987</v>
      </c>
      <c r="G13123" s="117">
        <v>95.66</v>
      </c>
    </row>
    <row r="13124" spans="1:7" x14ac:dyDescent="0.25">
      <c r="A13124" s="116" t="s">
        <v>20504</v>
      </c>
      <c r="B13124" s="117" t="s">
        <v>2445</v>
      </c>
      <c r="C13124" t="s">
        <v>67</v>
      </c>
      <c r="D13124" t="s">
        <v>67</v>
      </c>
      <c r="E13124" t="s">
        <v>67</v>
      </c>
      <c r="F13124" t="s">
        <v>45</v>
      </c>
      <c r="G13124" s="117">
        <v>69.86</v>
      </c>
    </row>
    <row r="13125" spans="1:7" x14ac:dyDescent="0.25">
      <c r="A13125" s="116" t="s">
        <v>20505</v>
      </c>
      <c r="B13125" s="117" t="s">
        <v>20506</v>
      </c>
      <c r="C13125" t="s">
        <v>67</v>
      </c>
      <c r="D13125" t="s">
        <v>67</v>
      </c>
      <c r="E13125" t="s">
        <v>67</v>
      </c>
      <c r="F13125" t="s">
        <v>45</v>
      </c>
      <c r="G13125" s="117">
        <v>53.3</v>
      </c>
    </row>
    <row r="13126" spans="1:7" x14ac:dyDescent="0.25">
      <c r="A13126" s="116" t="s">
        <v>20507</v>
      </c>
      <c r="B13126" s="117" t="s">
        <v>20508</v>
      </c>
      <c r="C13126" t="s">
        <v>67</v>
      </c>
      <c r="D13126" t="s">
        <v>67</v>
      </c>
      <c r="E13126" t="s">
        <v>67</v>
      </c>
      <c r="F13126" t="s">
        <v>27987</v>
      </c>
      <c r="G13126" s="117">
        <v>63.66</v>
      </c>
    </row>
    <row r="13127" spans="1:7" x14ac:dyDescent="0.25">
      <c r="A13127" s="116" t="s">
        <v>20509</v>
      </c>
      <c r="B13127" s="117" t="s">
        <v>20510</v>
      </c>
      <c r="C13127" t="s">
        <v>67</v>
      </c>
      <c r="D13127" t="s">
        <v>67</v>
      </c>
      <c r="E13127" t="s">
        <v>67</v>
      </c>
      <c r="F13127" t="s">
        <v>27990</v>
      </c>
      <c r="G13127" s="117">
        <v>112.02</v>
      </c>
    </row>
    <row r="13128" spans="1:7" x14ac:dyDescent="0.25">
      <c r="A13128" s="116" t="s">
        <v>20511</v>
      </c>
      <c r="B13128" s="117" t="s">
        <v>20512</v>
      </c>
      <c r="C13128" t="s">
        <v>67</v>
      </c>
      <c r="D13128" t="s">
        <v>67</v>
      </c>
      <c r="E13128" t="s">
        <v>67</v>
      </c>
      <c r="F13128" t="s">
        <v>27987</v>
      </c>
      <c r="G13128" s="117">
        <v>38.700000000000003</v>
      </c>
    </row>
    <row r="13129" spans="1:7" x14ac:dyDescent="0.25">
      <c r="A13129" s="116" t="s">
        <v>20513</v>
      </c>
      <c r="B13129" s="117" t="s">
        <v>26514</v>
      </c>
      <c r="C13129" t="s">
        <v>67</v>
      </c>
      <c r="D13129" t="s">
        <v>67</v>
      </c>
      <c r="E13129" t="s">
        <v>67</v>
      </c>
      <c r="F13129" t="s">
        <v>27987</v>
      </c>
      <c r="G13129" s="117">
        <v>40</v>
      </c>
    </row>
    <row r="13130" spans="1:7" x14ac:dyDescent="0.25">
      <c r="A13130" s="116" t="s">
        <v>20514</v>
      </c>
      <c r="B13130" s="117" t="s">
        <v>2445</v>
      </c>
      <c r="C13130" t="s">
        <v>67</v>
      </c>
      <c r="D13130" t="s">
        <v>67</v>
      </c>
      <c r="E13130" t="s">
        <v>67</v>
      </c>
      <c r="F13130" t="s">
        <v>27987</v>
      </c>
      <c r="G13130" s="117">
        <v>147.62</v>
      </c>
    </row>
    <row r="13131" spans="1:7" x14ac:dyDescent="0.25">
      <c r="A13131" s="116" t="s">
        <v>20515</v>
      </c>
      <c r="B13131" s="117" t="s">
        <v>20516</v>
      </c>
      <c r="C13131" t="s">
        <v>67</v>
      </c>
      <c r="D13131" t="s">
        <v>67</v>
      </c>
      <c r="E13131" t="s">
        <v>67</v>
      </c>
      <c r="F13131" t="s">
        <v>51</v>
      </c>
      <c r="G13131" s="117">
        <v>10.58</v>
      </c>
    </row>
    <row r="13132" spans="1:7" x14ac:dyDescent="0.25">
      <c r="A13132" s="116" t="s">
        <v>20517</v>
      </c>
      <c r="B13132" s="117" t="s">
        <v>2445</v>
      </c>
      <c r="C13132" t="s">
        <v>67</v>
      </c>
      <c r="D13132" t="s">
        <v>67</v>
      </c>
      <c r="E13132" t="s">
        <v>67</v>
      </c>
      <c r="F13132" t="s">
        <v>45</v>
      </c>
      <c r="G13132" s="117">
        <v>49.74</v>
      </c>
    </row>
    <row r="13133" spans="1:7" x14ac:dyDescent="0.25">
      <c r="A13133" s="116" t="s">
        <v>20518</v>
      </c>
      <c r="B13133" s="117" t="s">
        <v>2445</v>
      </c>
      <c r="C13133" t="s">
        <v>67</v>
      </c>
      <c r="D13133" t="s">
        <v>67</v>
      </c>
      <c r="E13133" t="s">
        <v>67</v>
      </c>
      <c r="F13133" t="s">
        <v>27987</v>
      </c>
      <c r="G13133" s="117">
        <v>53.3</v>
      </c>
    </row>
    <row r="13134" spans="1:7" x14ac:dyDescent="0.25">
      <c r="A13134" s="116" t="s">
        <v>20519</v>
      </c>
      <c r="B13134" s="117" t="s">
        <v>2445</v>
      </c>
      <c r="C13134" t="s">
        <v>67</v>
      </c>
      <c r="D13134" t="s">
        <v>67</v>
      </c>
      <c r="E13134" t="s">
        <v>67</v>
      </c>
      <c r="F13134" t="s">
        <v>49</v>
      </c>
      <c r="G13134" s="117">
        <v>41.38</v>
      </c>
    </row>
    <row r="13135" spans="1:7" x14ac:dyDescent="0.25">
      <c r="A13135" s="116" t="s">
        <v>20520</v>
      </c>
      <c r="B13135" s="117" t="s">
        <v>20521</v>
      </c>
      <c r="C13135" t="s">
        <v>67</v>
      </c>
      <c r="D13135" t="s">
        <v>67</v>
      </c>
      <c r="E13135" t="s">
        <v>67</v>
      </c>
      <c r="F13135" t="s">
        <v>27987</v>
      </c>
      <c r="G13135" s="117">
        <v>48.5</v>
      </c>
    </row>
    <row r="13136" spans="1:7" x14ac:dyDescent="0.25">
      <c r="A13136" s="116" t="s">
        <v>20522</v>
      </c>
      <c r="B13136" s="117" t="s">
        <v>20523</v>
      </c>
      <c r="C13136" t="s">
        <v>67</v>
      </c>
      <c r="D13136" t="s">
        <v>67</v>
      </c>
      <c r="E13136" t="s">
        <v>67</v>
      </c>
      <c r="F13136" t="s">
        <v>27987</v>
      </c>
      <c r="G13136" s="117">
        <v>38.700000000000003</v>
      </c>
    </row>
    <row r="13137" spans="1:7" x14ac:dyDescent="0.25">
      <c r="A13137" s="116" t="s">
        <v>20524</v>
      </c>
      <c r="B13137" s="117" t="s">
        <v>2445</v>
      </c>
      <c r="C13137" t="s">
        <v>67</v>
      </c>
      <c r="D13137" t="s">
        <v>67</v>
      </c>
      <c r="E13137" t="s">
        <v>67</v>
      </c>
      <c r="F13137" t="s">
        <v>27987</v>
      </c>
      <c r="G13137" s="117">
        <v>115.58</v>
      </c>
    </row>
    <row r="13138" spans="1:7" x14ac:dyDescent="0.25">
      <c r="A13138" s="116" t="s">
        <v>20525</v>
      </c>
      <c r="B13138" s="117" t="s">
        <v>13399</v>
      </c>
      <c r="C13138" t="s">
        <v>67</v>
      </c>
      <c r="D13138" t="s">
        <v>67</v>
      </c>
      <c r="E13138" t="s">
        <v>67</v>
      </c>
      <c r="F13138" t="s">
        <v>27987</v>
      </c>
      <c r="G13138" s="117">
        <v>128.94</v>
      </c>
    </row>
    <row r="13139" spans="1:7" x14ac:dyDescent="0.25">
      <c r="A13139" s="116" t="s">
        <v>20526</v>
      </c>
      <c r="B13139" s="117" t="s">
        <v>20527</v>
      </c>
      <c r="C13139" t="s">
        <v>67</v>
      </c>
      <c r="D13139" t="s">
        <v>67</v>
      </c>
      <c r="E13139" t="s">
        <v>67</v>
      </c>
      <c r="F13139" t="s">
        <v>27987</v>
      </c>
      <c r="G13139" s="117">
        <v>113.45</v>
      </c>
    </row>
    <row r="13140" spans="1:7" x14ac:dyDescent="0.25">
      <c r="A13140" s="116" t="s">
        <v>20528</v>
      </c>
      <c r="B13140" s="117" t="s">
        <v>20529</v>
      </c>
      <c r="C13140" t="s">
        <v>67</v>
      </c>
      <c r="D13140" t="s">
        <v>67</v>
      </c>
      <c r="E13140" t="s">
        <v>67</v>
      </c>
      <c r="F13140" t="s">
        <v>49</v>
      </c>
      <c r="G13140" s="117">
        <v>63.98</v>
      </c>
    </row>
    <row r="13141" spans="1:7" x14ac:dyDescent="0.25">
      <c r="A13141" s="116" t="s">
        <v>20530</v>
      </c>
      <c r="B13141" s="117" t="s">
        <v>2445</v>
      </c>
      <c r="C13141" t="s">
        <v>67</v>
      </c>
      <c r="D13141" t="s">
        <v>67</v>
      </c>
      <c r="E13141" t="s">
        <v>67</v>
      </c>
      <c r="F13141" t="s">
        <v>45</v>
      </c>
      <c r="G13141" s="117">
        <v>94.76</v>
      </c>
    </row>
    <row r="13142" spans="1:7" x14ac:dyDescent="0.25">
      <c r="A13142" s="116" t="s">
        <v>20531</v>
      </c>
      <c r="B13142" s="117" t="s">
        <v>2445</v>
      </c>
      <c r="C13142" t="s">
        <v>67</v>
      </c>
      <c r="D13142" t="s">
        <v>67</v>
      </c>
      <c r="E13142" t="s">
        <v>67</v>
      </c>
      <c r="F13142" t="s">
        <v>27987</v>
      </c>
      <c r="G13142" s="117">
        <v>40.49</v>
      </c>
    </row>
    <row r="13143" spans="1:7" x14ac:dyDescent="0.25">
      <c r="A13143" s="116" t="s">
        <v>20532</v>
      </c>
      <c r="B13143" s="117" t="s">
        <v>2445</v>
      </c>
      <c r="C13143" t="s">
        <v>67</v>
      </c>
      <c r="D13143" t="s">
        <v>67</v>
      </c>
      <c r="E13143" t="s">
        <v>67</v>
      </c>
      <c r="F13143" t="s">
        <v>27987</v>
      </c>
      <c r="G13143" s="117">
        <v>59.18</v>
      </c>
    </row>
    <row r="13144" spans="1:7" x14ac:dyDescent="0.25">
      <c r="A13144" s="116" t="s">
        <v>20533</v>
      </c>
      <c r="B13144" s="117" t="s">
        <v>20534</v>
      </c>
      <c r="C13144" t="s">
        <v>67</v>
      </c>
      <c r="D13144" t="s">
        <v>67</v>
      </c>
      <c r="E13144" t="s">
        <v>67</v>
      </c>
      <c r="F13144" t="s">
        <v>45</v>
      </c>
      <c r="G13144" s="117">
        <v>48.86</v>
      </c>
    </row>
    <row r="13145" spans="1:7" x14ac:dyDescent="0.25">
      <c r="A13145" s="116" t="s">
        <v>20535</v>
      </c>
      <c r="B13145" s="117" t="s">
        <v>20536</v>
      </c>
      <c r="C13145" t="s">
        <v>67</v>
      </c>
      <c r="D13145" t="s">
        <v>67</v>
      </c>
      <c r="E13145" t="s">
        <v>67</v>
      </c>
      <c r="F13145" t="s">
        <v>49</v>
      </c>
      <c r="G13145" s="117">
        <v>41.38</v>
      </c>
    </row>
    <row r="13146" spans="1:7" x14ac:dyDescent="0.25">
      <c r="A13146" s="116" t="s">
        <v>20537</v>
      </c>
      <c r="B13146" s="117" t="s">
        <v>20538</v>
      </c>
      <c r="C13146" t="s">
        <v>67</v>
      </c>
      <c r="D13146" t="s">
        <v>67</v>
      </c>
      <c r="E13146" t="s">
        <v>67</v>
      </c>
      <c r="F13146" t="s">
        <v>51</v>
      </c>
      <c r="G13146" s="117">
        <v>34.32</v>
      </c>
    </row>
    <row r="13147" spans="1:7" x14ac:dyDescent="0.25">
      <c r="A13147" s="116" t="s">
        <v>20539</v>
      </c>
      <c r="B13147" s="117" t="s">
        <v>20540</v>
      </c>
      <c r="C13147" t="s">
        <v>67</v>
      </c>
      <c r="D13147" t="s">
        <v>67</v>
      </c>
      <c r="E13147" t="s">
        <v>67</v>
      </c>
      <c r="F13147" t="s">
        <v>27987</v>
      </c>
      <c r="G13147" s="117">
        <v>114.35</v>
      </c>
    </row>
    <row r="13148" spans="1:7" x14ac:dyDescent="0.25">
      <c r="A13148" s="116" t="s">
        <v>20541</v>
      </c>
      <c r="B13148" s="117" t="s">
        <v>2445</v>
      </c>
      <c r="C13148" t="s">
        <v>67</v>
      </c>
      <c r="D13148" t="s">
        <v>67</v>
      </c>
      <c r="E13148" t="s">
        <v>67</v>
      </c>
      <c r="F13148" t="s">
        <v>27987</v>
      </c>
      <c r="G13148" s="117">
        <v>69.86</v>
      </c>
    </row>
    <row r="13149" spans="1:7" x14ac:dyDescent="0.25">
      <c r="A13149" s="116" t="s">
        <v>20542</v>
      </c>
      <c r="B13149" s="117" t="s">
        <v>20543</v>
      </c>
      <c r="C13149" t="s">
        <v>67</v>
      </c>
      <c r="D13149" t="s">
        <v>67</v>
      </c>
      <c r="E13149" t="s">
        <v>67</v>
      </c>
      <c r="F13149" t="s">
        <v>27987</v>
      </c>
      <c r="G13149" s="117">
        <v>28.38</v>
      </c>
    </row>
    <row r="13150" spans="1:7" x14ac:dyDescent="0.25">
      <c r="A13150" s="116" t="s">
        <v>20544</v>
      </c>
      <c r="B13150" s="117" t="s">
        <v>20545</v>
      </c>
      <c r="C13150" t="s">
        <v>67</v>
      </c>
      <c r="D13150" t="s">
        <v>67</v>
      </c>
      <c r="E13150" t="s">
        <v>67</v>
      </c>
      <c r="F13150" t="s">
        <v>27987</v>
      </c>
      <c r="G13150" s="117">
        <v>59.18</v>
      </c>
    </row>
    <row r="13151" spans="1:7" x14ac:dyDescent="0.25">
      <c r="A13151" s="116" t="s">
        <v>20546</v>
      </c>
      <c r="B13151" s="117" t="s">
        <v>20547</v>
      </c>
      <c r="C13151" t="s">
        <v>67</v>
      </c>
      <c r="D13151" t="s">
        <v>67</v>
      </c>
      <c r="E13151" t="s">
        <v>67</v>
      </c>
      <c r="F13151" t="s">
        <v>27987</v>
      </c>
      <c r="G13151" s="117">
        <v>115.58</v>
      </c>
    </row>
    <row r="13152" spans="1:7" x14ac:dyDescent="0.25">
      <c r="A13152" s="116" t="s">
        <v>20548</v>
      </c>
      <c r="B13152" s="117" t="s">
        <v>2445</v>
      </c>
      <c r="C13152" t="s">
        <v>67</v>
      </c>
      <c r="D13152" t="s">
        <v>67</v>
      </c>
      <c r="E13152" t="s">
        <v>67</v>
      </c>
      <c r="F13152" t="s">
        <v>45</v>
      </c>
      <c r="G13152" s="117">
        <v>134.81</v>
      </c>
    </row>
    <row r="13153" spans="1:7" x14ac:dyDescent="0.25">
      <c r="A13153" s="116" t="s">
        <v>20549</v>
      </c>
      <c r="B13153" s="117" t="s">
        <v>20550</v>
      </c>
      <c r="C13153" t="s">
        <v>67</v>
      </c>
      <c r="D13153" t="s">
        <v>67</v>
      </c>
      <c r="E13153" t="s">
        <v>67</v>
      </c>
      <c r="F13153" t="s">
        <v>49</v>
      </c>
      <c r="G13153" s="117">
        <v>44.94</v>
      </c>
    </row>
    <row r="13154" spans="1:7" x14ac:dyDescent="0.25">
      <c r="A13154" s="116" t="s">
        <v>20551</v>
      </c>
      <c r="B13154" s="117" t="s">
        <v>20552</v>
      </c>
      <c r="C13154" t="s">
        <v>67</v>
      </c>
      <c r="D13154" t="s">
        <v>67</v>
      </c>
      <c r="E13154" t="s">
        <v>67</v>
      </c>
      <c r="F13154" t="s">
        <v>27987</v>
      </c>
      <c r="G13154" s="117">
        <v>121.82</v>
      </c>
    </row>
    <row r="13155" spans="1:7" x14ac:dyDescent="0.25">
      <c r="A13155" s="116" t="s">
        <v>20553</v>
      </c>
      <c r="B13155" s="117" t="s">
        <v>20554</v>
      </c>
      <c r="C13155" t="s">
        <v>67</v>
      </c>
      <c r="D13155" t="s">
        <v>67</v>
      </c>
      <c r="E13155" t="s">
        <v>67</v>
      </c>
      <c r="F13155" t="s">
        <v>27987</v>
      </c>
      <c r="G13155" s="117">
        <v>27.14</v>
      </c>
    </row>
    <row r="13156" spans="1:7" x14ac:dyDescent="0.25">
      <c r="A13156" s="116" t="s">
        <v>20555</v>
      </c>
      <c r="B13156" s="117" t="s">
        <v>20556</v>
      </c>
      <c r="C13156" t="s">
        <v>67</v>
      </c>
      <c r="D13156" t="s">
        <v>67</v>
      </c>
      <c r="E13156" t="s">
        <v>67</v>
      </c>
      <c r="F13156" t="s">
        <v>45</v>
      </c>
      <c r="G13156" s="117">
        <v>76.98</v>
      </c>
    </row>
    <row r="13157" spans="1:7" x14ac:dyDescent="0.25">
      <c r="A13157" s="116" t="s">
        <v>20557</v>
      </c>
      <c r="B13157" s="117" t="s">
        <v>20558</v>
      </c>
      <c r="C13157" t="s">
        <v>67</v>
      </c>
      <c r="D13157" t="s">
        <v>67</v>
      </c>
      <c r="E13157" t="s">
        <v>67</v>
      </c>
      <c r="F13157" t="s">
        <v>27987</v>
      </c>
      <c r="G13157" s="117">
        <v>46.71</v>
      </c>
    </row>
    <row r="13158" spans="1:7" x14ac:dyDescent="0.25">
      <c r="A13158" s="116" t="s">
        <v>20559</v>
      </c>
      <c r="B13158" s="117" t="s">
        <v>20560</v>
      </c>
      <c r="C13158" t="s">
        <v>67</v>
      </c>
      <c r="D13158" t="s">
        <v>67</v>
      </c>
      <c r="E13158" t="s">
        <v>67</v>
      </c>
      <c r="F13158" t="s">
        <v>27990</v>
      </c>
      <c r="G13158" s="117">
        <v>62.74</v>
      </c>
    </row>
    <row r="13159" spans="1:7" x14ac:dyDescent="0.25">
      <c r="A13159" s="116" t="s">
        <v>20561</v>
      </c>
      <c r="B13159" s="117" t="s">
        <v>20562</v>
      </c>
      <c r="C13159" t="s">
        <v>67</v>
      </c>
      <c r="D13159" t="s">
        <v>67</v>
      </c>
      <c r="E13159" t="s">
        <v>67</v>
      </c>
      <c r="F13159" t="s">
        <v>27987</v>
      </c>
      <c r="G13159" s="117">
        <v>118.26</v>
      </c>
    </row>
    <row r="13160" spans="1:7" x14ac:dyDescent="0.25">
      <c r="A13160" s="116" t="s">
        <v>20563</v>
      </c>
      <c r="B13160" s="117" t="s">
        <v>2445</v>
      </c>
      <c r="C13160" t="s">
        <v>67</v>
      </c>
      <c r="D13160" t="s">
        <v>67</v>
      </c>
      <c r="E13160" t="s">
        <v>67</v>
      </c>
      <c r="F13160" t="s">
        <v>27987</v>
      </c>
      <c r="G13160" s="117">
        <v>29.81</v>
      </c>
    </row>
    <row r="13161" spans="1:7" x14ac:dyDescent="0.25">
      <c r="A13161" s="116" t="s">
        <v>20564</v>
      </c>
      <c r="B13161" s="117" t="s">
        <v>2445</v>
      </c>
      <c r="C13161" t="s">
        <v>67</v>
      </c>
      <c r="D13161" t="s">
        <v>67</v>
      </c>
      <c r="E13161" t="s">
        <v>67</v>
      </c>
      <c r="F13161" t="s">
        <v>51</v>
      </c>
      <c r="G13161" s="117">
        <v>29.81</v>
      </c>
    </row>
    <row r="13162" spans="1:7" x14ac:dyDescent="0.25">
      <c r="A13162" s="116" t="s">
        <v>20565</v>
      </c>
      <c r="B13162" s="117" t="s">
        <v>20566</v>
      </c>
      <c r="C13162" t="s">
        <v>67</v>
      </c>
      <c r="D13162" t="s">
        <v>67</v>
      </c>
      <c r="E13162" t="s">
        <v>67</v>
      </c>
      <c r="F13162" t="s">
        <v>49</v>
      </c>
      <c r="G13162" s="117">
        <v>30.7</v>
      </c>
    </row>
    <row r="13163" spans="1:7" x14ac:dyDescent="0.25">
      <c r="A13163" s="116" t="s">
        <v>20567</v>
      </c>
      <c r="B13163" s="117" t="s">
        <v>20568</v>
      </c>
      <c r="C13163" t="s">
        <v>67</v>
      </c>
      <c r="D13163" t="s">
        <v>67</v>
      </c>
      <c r="E13163" t="s">
        <v>67</v>
      </c>
      <c r="F13163" t="s">
        <v>27987</v>
      </c>
      <c r="G13163" s="117">
        <v>33.369999999999997</v>
      </c>
    </row>
    <row r="13164" spans="1:7" x14ac:dyDescent="0.25">
      <c r="A13164" s="116" t="s">
        <v>20569</v>
      </c>
      <c r="B13164" s="117" t="s">
        <v>20570</v>
      </c>
      <c r="C13164" t="s">
        <v>67</v>
      </c>
      <c r="D13164" t="s">
        <v>67</v>
      </c>
      <c r="E13164" t="s">
        <v>67</v>
      </c>
      <c r="F13164" t="s">
        <v>27987</v>
      </c>
      <c r="G13164" s="117">
        <v>115.58</v>
      </c>
    </row>
    <row r="13165" spans="1:7" x14ac:dyDescent="0.25">
      <c r="A13165" s="116" t="s">
        <v>20571</v>
      </c>
      <c r="B13165" s="117" t="s">
        <v>20572</v>
      </c>
      <c r="C13165" t="s">
        <v>67</v>
      </c>
      <c r="D13165" t="s">
        <v>67</v>
      </c>
      <c r="E13165" t="s">
        <v>67</v>
      </c>
      <c r="F13165" t="s">
        <v>49</v>
      </c>
      <c r="G13165" s="117">
        <v>122.7</v>
      </c>
    </row>
    <row r="13166" spans="1:7" x14ac:dyDescent="0.25">
      <c r="A13166" s="116" t="s">
        <v>20573</v>
      </c>
      <c r="B13166" s="117" t="s">
        <v>20574</v>
      </c>
      <c r="C13166" t="s">
        <v>67</v>
      </c>
      <c r="D13166" t="s">
        <v>67</v>
      </c>
      <c r="E13166" t="s">
        <v>67</v>
      </c>
      <c r="F13166" t="s">
        <v>45</v>
      </c>
      <c r="G13166" s="117">
        <v>112.89</v>
      </c>
    </row>
    <row r="13167" spans="1:7" x14ac:dyDescent="0.25">
      <c r="A13167" s="116" t="s">
        <v>20575</v>
      </c>
      <c r="B13167" s="117" t="s">
        <v>2445</v>
      </c>
      <c r="C13167" t="s">
        <v>67</v>
      </c>
      <c r="D13167" t="s">
        <v>67</v>
      </c>
      <c r="E13167" t="s">
        <v>67</v>
      </c>
      <c r="F13167" t="s">
        <v>49</v>
      </c>
      <c r="G13167" s="117">
        <v>128.94</v>
      </c>
    </row>
    <row r="13168" spans="1:7" x14ac:dyDescent="0.25">
      <c r="A13168" s="116" t="s">
        <v>20576</v>
      </c>
      <c r="B13168" s="117" t="s">
        <v>20577</v>
      </c>
      <c r="C13168" t="s">
        <v>67</v>
      </c>
      <c r="D13168" t="s">
        <v>67</v>
      </c>
      <c r="E13168" t="s">
        <v>67</v>
      </c>
      <c r="F13168" t="s">
        <v>45</v>
      </c>
      <c r="G13168" s="117">
        <v>53.3</v>
      </c>
    </row>
    <row r="13169" spans="1:7" x14ac:dyDescent="0.25">
      <c r="A13169" s="116" t="s">
        <v>20578</v>
      </c>
      <c r="B13169" s="117" t="s">
        <v>20579</v>
      </c>
      <c r="C13169" t="s">
        <v>67</v>
      </c>
      <c r="D13169" t="s">
        <v>67</v>
      </c>
      <c r="E13169" t="s">
        <v>67</v>
      </c>
      <c r="F13169" t="s">
        <v>27987</v>
      </c>
      <c r="G13169" s="117">
        <v>19.13</v>
      </c>
    </row>
    <row r="13170" spans="1:7" x14ac:dyDescent="0.25">
      <c r="A13170" s="116" t="s">
        <v>20580</v>
      </c>
      <c r="B13170" s="117" t="s">
        <v>20581</v>
      </c>
      <c r="C13170" t="s">
        <v>67</v>
      </c>
      <c r="D13170" t="s">
        <v>67</v>
      </c>
      <c r="E13170" t="s">
        <v>67</v>
      </c>
      <c r="F13170" t="s">
        <v>27987</v>
      </c>
      <c r="G13170" s="117">
        <v>144.06</v>
      </c>
    </row>
    <row r="13171" spans="1:7" x14ac:dyDescent="0.25">
      <c r="A13171" s="116" t="s">
        <v>20582</v>
      </c>
      <c r="B13171" s="117" t="s">
        <v>20583</v>
      </c>
      <c r="C13171" t="s">
        <v>67</v>
      </c>
      <c r="D13171" t="s">
        <v>67</v>
      </c>
      <c r="E13171" t="s">
        <v>67</v>
      </c>
      <c r="F13171" t="s">
        <v>27987</v>
      </c>
      <c r="G13171" s="117">
        <v>71.099999999999994</v>
      </c>
    </row>
    <row r="13172" spans="1:7" x14ac:dyDescent="0.25">
      <c r="A13172" s="116" t="s">
        <v>20584</v>
      </c>
      <c r="B13172" s="117" t="s">
        <v>20585</v>
      </c>
      <c r="C13172" t="s">
        <v>67</v>
      </c>
      <c r="D13172" t="s">
        <v>67</v>
      </c>
      <c r="E13172" t="s">
        <v>67</v>
      </c>
      <c r="F13172" t="s">
        <v>49</v>
      </c>
      <c r="G13172" s="117">
        <v>51.17</v>
      </c>
    </row>
    <row r="13173" spans="1:7" x14ac:dyDescent="0.25">
      <c r="A13173" s="116" t="s">
        <v>20586</v>
      </c>
      <c r="B13173" s="117" t="s">
        <v>29535</v>
      </c>
      <c r="C13173" t="s">
        <v>67</v>
      </c>
      <c r="D13173" t="s">
        <v>67</v>
      </c>
      <c r="E13173" t="s">
        <v>67</v>
      </c>
      <c r="F13173" t="s">
        <v>27987</v>
      </c>
      <c r="G13173" s="117">
        <v>110.07</v>
      </c>
    </row>
    <row r="13174" spans="1:7" x14ac:dyDescent="0.25">
      <c r="A13174" s="116" t="s">
        <v>20587</v>
      </c>
      <c r="B13174" s="117" t="s">
        <v>2445</v>
      </c>
      <c r="C13174" t="s">
        <v>67</v>
      </c>
      <c r="D13174" t="s">
        <v>67</v>
      </c>
      <c r="E13174" t="s">
        <v>67</v>
      </c>
      <c r="F13174" t="s">
        <v>27987</v>
      </c>
      <c r="G13174" s="117">
        <v>7.12</v>
      </c>
    </row>
    <row r="13175" spans="1:7" x14ac:dyDescent="0.25">
      <c r="A13175" s="116" t="s">
        <v>20588</v>
      </c>
      <c r="B13175" s="117" t="s">
        <v>20589</v>
      </c>
      <c r="C13175" t="s">
        <v>67</v>
      </c>
      <c r="D13175" t="s">
        <v>67</v>
      </c>
      <c r="E13175" t="s">
        <v>67</v>
      </c>
      <c r="F13175" t="s">
        <v>45</v>
      </c>
      <c r="G13175" s="117">
        <v>59.18</v>
      </c>
    </row>
    <row r="13176" spans="1:7" x14ac:dyDescent="0.25">
      <c r="A13176" s="116" t="s">
        <v>20590</v>
      </c>
      <c r="B13176" s="117" t="s">
        <v>20591</v>
      </c>
      <c r="C13176" t="s">
        <v>67</v>
      </c>
      <c r="D13176" t="s">
        <v>67</v>
      </c>
      <c r="E13176" t="s">
        <v>67</v>
      </c>
      <c r="F13176" t="s">
        <v>49</v>
      </c>
      <c r="G13176" s="117">
        <v>117.01</v>
      </c>
    </row>
    <row r="13177" spans="1:7" x14ac:dyDescent="0.25">
      <c r="A13177" s="116" t="s">
        <v>20592</v>
      </c>
      <c r="B13177" s="117" t="s">
        <v>20593</v>
      </c>
      <c r="C13177" t="s">
        <v>67</v>
      </c>
      <c r="D13177" t="s">
        <v>67</v>
      </c>
      <c r="E13177" t="s">
        <v>67</v>
      </c>
      <c r="F13177" t="s">
        <v>45</v>
      </c>
      <c r="G13177" s="117">
        <v>115.24</v>
      </c>
    </row>
    <row r="13178" spans="1:7" x14ac:dyDescent="0.25">
      <c r="A13178" s="116" t="s">
        <v>20594</v>
      </c>
      <c r="B13178" s="117" t="s">
        <v>20595</v>
      </c>
      <c r="C13178" t="s">
        <v>67</v>
      </c>
      <c r="D13178" t="s">
        <v>67</v>
      </c>
      <c r="E13178" t="s">
        <v>67</v>
      </c>
      <c r="F13178" t="s">
        <v>27987</v>
      </c>
      <c r="G13178" s="117">
        <v>141.93</v>
      </c>
    </row>
    <row r="13179" spans="1:7" x14ac:dyDescent="0.25">
      <c r="A13179" s="116" t="s">
        <v>20596</v>
      </c>
      <c r="B13179" s="117" t="s">
        <v>20597</v>
      </c>
      <c r="C13179" t="s">
        <v>67</v>
      </c>
      <c r="D13179" t="s">
        <v>67</v>
      </c>
      <c r="E13179" t="s">
        <v>67</v>
      </c>
      <c r="F13179" t="s">
        <v>49</v>
      </c>
      <c r="G13179" s="117">
        <v>129.82</v>
      </c>
    </row>
    <row r="13180" spans="1:7" x14ac:dyDescent="0.25">
      <c r="A13180" s="116" t="s">
        <v>20598</v>
      </c>
      <c r="B13180" s="117" t="s">
        <v>20599</v>
      </c>
      <c r="C13180" t="s">
        <v>67</v>
      </c>
      <c r="D13180" t="s">
        <v>67</v>
      </c>
      <c r="E13180" t="s">
        <v>67</v>
      </c>
      <c r="F13180" t="s">
        <v>45</v>
      </c>
      <c r="G13180" s="117">
        <v>71.989999999999995</v>
      </c>
    </row>
    <row r="13181" spans="1:7" x14ac:dyDescent="0.25">
      <c r="A13181" s="116" t="s">
        <v>20600</v>
      </c>
      <c r="B13181" s="117" t="s">
        <v>20601</v>
      </c>
      <c r="C13181" t="s">
        <v>67</v>
      </c>
      <c r="D13181" t="s">
        <v>67</v>
      </c>
      <c r="E13181" t="s">
        <v>67</v>
      </c>
      <c r="F13181" t="s">
        <v>27987</v>
      </c>
      <c r="G13181" s="117">
        <v>129.82</v>
      </c>
    </row>
    <row r="13182" spans="1:7" x14ac:dyDescent="0.25">
      <c r="A13182" s="116" t="s">
        <v>20602</v>
      </c>
      <c r="B13182" s="117" t="s">
        <v>20603</v>
      </c>
      <c r="C13182" t="s">
        <v>67</v>
      </c>
      <c r="D13182" t="s">
        <v>67</v>
      </c>
      <c r="E13182" t="s">
        <v>67</v>
      </c>
      <c r="F13182" t="s">
        <v>45</v>
      </c>
      <c r="G13182" s="117">
        <v>166.31</v>
      </c>
    </row>
    <row r="13183" spans="1:7" x14ac:dyDescent="0.25">
      <c r="A13183" s="116" t="s">
        <v>20604</v>
      </c>
      <c r="B13183" s="117" t="s">
        <v>20605</v>
      </c>
      <c r="C13183" t="s">
        <v>67</v>
      </c>
      <c r="D13183" t="s">
        <v>67</v>
      </c>
      <c r="E13183" t="s">
        <v>67</v>
      </c>
      <c r="F13183" t="s">
        <v>27987</v>
      </c>
      <c r="G13183" s="117">
        <v>51.17</v>
      </c>
    </row>
    <row r="13184" spans="1:7" x14ac:dyDescent="0.25">
      <c r="A13184" s="116" t="s">
        <v>20606</v>
      </c>
      <c r="B13184" s="117" t="s">
        <v>20607</v>
      </c>
      <c r="C13184" t="s">
        <v>67</v>
      </c>
      <c r="D13184" t="s">
        <v>67</v>
      </c>
      <c r="E13184" t="s">
        <v>67</v>
      </c>
      <c r="F13184" t="s">
        <v>27987</v>
      </c>
      <c r="G13184" s="117">
        <v>84.08</v>
      </c>
    </row>
    <row r="13185" spans="1:7" x14ac:dyDescent="0.25">
      <c r="A13185" s="116" t="s">
        <v>20608</v>
      </c>
      <c r="B13185" s="117" t="s">
        <v>20609</v>
      </c>
      <c r="C13185" t="s">
        <v>67</v>
      </c>
      <c r="D13185" t="s">
        <v>67</v>
      </c>
      <c r="E13185" t="s">
        <v>67</v>
      </c>
      <c r="F13185" t="s">
        <v>27987</v>
      </c>
      <c r="G13185" s="117">
        <v>61.31</v>
      </c>
    </row>
    <row r="13186" spans="1:7" x14ac:dyDescent="0.25">
      <c r="A13186" s="116" t="s">
        <v>20610</v>
      </c>
      <c r="B13186" s="117" t="s">
        <v>20611</v>
      </c>
      <c r="C13186" t="s">
        <v>67</v>
      </c>
      <c r="D13186" t="s">
        <v>67</v>
      </c>
      <c r="E13186" t="s">
        <v>67</v>
      </c>
      <c r="F13186" t="s">
        <v>27987</v>
      </c>
      <c r="G13186" s="117">
        <v>48.5</v>
      </c>
    </row>
    <row r="13187" spans="1:7" x14ac:dyDescent="0.25">
      <c r="A13187" s="116" t="s">
        <v>20612</v>
      </c>
      <c r="B13187" s="117" t="s">
        <v>20613</v>
      </c>
      <c r="C13187" t="s">
        <v>67</v>
      </c>
      <c r="D13187" t="s">
        <v>67</v>
      </c>
      <c r="E13187" t="s">
        <v>67</v>
      </c>
      <c r="F13187" t="s">
        <v>27987</v>
      </c>
      <c r="G13187" s="117">
        <v>55.62</v>
      </c>
    </row>
    <row r="13188" spans="1:7" x14ac:dyDescent="0.25">
      <c r="A13188" s="116" t="s">
        <v>20614</v>
      </c>
      <c r="B13188" s="117" t="s">
        <v>20615</v>
      </c>
      <c r="C13188" t="s">
        <v>67</v>
      </c>
      <c r="D13188" t="s">
        <v>67</v>
      </c>
      <c r="E13188" t="s">
        <v>67</v>
      </c>
      <c r="F13188" t="s">
        <v>27987</v>
      </c>
      <c r="G13188" s="117">
        <v>70.739999999999995</v>
      </c>
    </row>
    <row r="13189" spans="1:7" x14ac:dyDescent="0.25">
      <c r="A13189" s="116" t="s">
        <v>20616</v>
      </c>
      <c r="B13189" s="117" t="s">
        <v>20617</v>
      </c>
      <c r="C13189" t="s">
        <v>67</v>
      </c>
      <c r="D13189" t="s">
        <v>67</v>
      </c>
      <c r="E13189" t="s">
        <v>67</v>
      </c>
      <c r="F13189" t="s">
        <v>27987</v>
      </c>
      <c r="G13189" s="117">
        <v>212.58</v>
      </c>
    </row>
    <row r="13190" spans="1:7" x14ac:dyDescent="0.25">
      <c r="A13190" s="116" t="s">
        <v>20618</v>
      </c>
      <c r="B13190" s="117" t="s">
        <v>20619</v>
      </c>
      <c r="C13190" t="s">
        <v>67</v>
      </c>
      <c r="D13190" t="s">
        <v>67</v>
      </c>
      <c r="E13190" t="s">
        <v>67</v>
      </c>
      <c r="F13190" t="s">
        <v>45</v>
      </c>
      <c r="G13190" s="117">
        <v>55.98</v>
      </c>
    </row>
    <row r="13191" spans="1:7" x14ac:dyDescent="0.25">
      <c r="A13191" s="116" t="s">
        <v>20620</v>
      </c>
      <c r="B13191" s="117" t="s">
        <v>20621</v>
      </c>
      <c r="C13191" t="s">
        <v>67</v>
      </c>
      <c r="D13191" t="s">
        <v>67</v>
      </c>
      <c r="E13191" t="s">
        <v>67</v>
      </c>
      <c r="F13191" t="s">
        <v>27987</v>
      </c>
      <c r="G13191" s="117">
        <v>58.29</v>
      </c>
    </row>
    <row r="13192" spans="1:7" x14ac:dyDescent="0.25">
      <c r="A13192" s="116" t="s">
        <v>20622</v>
      </c>
      <c r="B13192" s="117" t="s">
        <v>2445</v>
      </c>
      <c r="C13192" t="s">
        <v>67</v>
      </c>
      <c r="D13192" t="s">
        <v>67</v>
      </c>
      <c r="E13192" t="s">
        <v>67</v>
      </c>
      <c r="F13192" t="s">
        <v>27987</v>
      </c>
      <c r="G13192" s="117">
        <v>112.02</v>
      </c>
    </row>
    <row r="13193" spans="1:7" x14ac:dyDescent="0.25">
      <c r="A13193" s="116" t="s">
        <v>20623</v>
      </c>
      <c r="B13193" s="117" t="s">
        <v>20624</v>
      </c>
      <c r="C13193" t="s">
        <v>67</v>
      </c>
      <c r="D13193" t="s">
        <v>67</v>
      </c>
      <c r="E13193" t="s">
        <v>67</v>
      </c>
      <c r="F13193" t="s">
        <v>27987</v>
      </c>
      <c r="G13193" s="117">
        <v>88.54</v>
      </c>
    </row>
    <row r="13194" spans="1:7" x14ac:dyDescent="0.25">
      <c r="A13194" s="116" t="s">
        <v>20625</v>
      </c>
      <c r="B13194" s="117" t="s">
        <v>20626</v>
      </c>
      <c r="C13194" t="s">
        <v>67</v>
      </c>
      <c r="D13194" t="s">
        <v>67</v>
      </c>
      <c r="E13194" t="s">
        <v>67</v>
      </c>
      <c r="F13194" t="s">
        <v>45</v>
      </c>
      <c r="G13194" s="117">
        <v>127.16</v>
      </c>
    </row>
    <row r="13195" spans="1:7" x14ac:dyDescent="0.25">
      <c r="A13195" s="116" t="s">
        <v>20627</v>
      </c>
      <c r="B13195" s="117" t="s">
        <v>20628</v>
      </c>
      <c r="C13195" t="s">
        <v>67</v>
      </c>
      <c r="D13195" t="s">
        <v>67</v>
      </c>
      <c r="E13195" t="s">
        <v>67</v>
      </c>
      <c r="F13195" t="s">
        <v>49</v>
      </c>
      <c r="G13195" s="117">
        <v>42.62</v>
      </c>
    </row>
    <row r="13196" spans="1:7" x14ac:dyDescent="0.25">
      <c r="A13196" s="116" t="s">
        <v>20629</v>
      </c>
      <c r="B13196" s="117" t="s">
        <v>20630</v>
      </c>
      <c r="C13196" t="s">
        <v>67</v>
      </c>
      <c r="D13196" t="s">
        <v>67</v>
      </c>
      <c r="E13196" t="s">
        <v>67</v>
      </c>
      <c r="F13196" t="s">
        <v>49</v>
      </c>
      <c r="G13196" s="117">
        <v>37.82</v>
      </c>
    </row>
    <row r="13197" spans="1:7" x14ac:dyDescent="0.25">
      <c r="A13197" s="116" t="s">
        <v>28101</v>
      </c>
      <c r="B13197" s="117" t="s">
        <v>28102</v>
      </c>
      <c r="C13197" t="s">
        <v>67</v>
      </c>
      <c r="D13197" t="s">
        <v>67</v>
      </c>
      <c r="E13197" t="s">
        <v>67</v>
      </c>
      <c r="F13197" t="s">
        <v>27987</v>
      </c>
      <c r="G13197" s="117">
        <v>20</v>
      </c>
    </row>
    <row r="13198" spans="1:7" x14ac:dyDescent="0.25">
      <c r="A13198" s="116" t="s">
        <v>20631</v>
      </c>
      <c r="B13198" s="117" t="s">
        <v>20632</v>
      </c>
      <c r="C13198" t="s">
        <v>67</v>
      </c>
      <c r="D13198" t="s">
        <v>67</v>
      </c>
      <c r="E13198" t="s">
        <v>67</v>
      </c>
      <c r="F13198" t="s">
        <v>27987</v>
      </c>
      <c r="G13198" s="117">
        <v>67.180000000000007</v>
      </c>
    </row>
    <row r="13199" spans="1:7" x14ac:dyDescent="0.25">
      <c r="A13199" s="116" t="s">
        <v>28163</v>
      </c>
      <c r="B13199" s="117" t="s">
        <v>2445</v>
      </c>
      <c r="C13199" t="s">
        <v>67</v>
      </c>
      <c r="D13199" t="s">
        <v>67</v>
      </c>
      <c r="E13199" t="s">
        <v>67</v>
      </c>
      <c r="F13199" t="s">
        <v>27987</v>
      </c>
      <c r="G13199" s="117">
        <v>45</v>
      </c>
    </row>
    <row r="13200" spans="1:7" x14ac:dyDescent="0.25">
      <c r="A13200" s="116" t="s">
        <v>20633</v>
      </c>
      <c r="B13200" s="117" t="s">
        <v>20634</v>
      </c>
      <c r="C13200" t="s">
        <v>67</v>
      </c>
      <c r="D13200" t="s">
        <v>67</v>
      </c>
      <c r="E13200" t="s">
        <v>67</v>
      </c>
      <c r="F13200" t="s">
        <v>27987</v>
      </c>
      <c r="G13200" s="117">
        <v>107.23</v>
      </c>
    </row>
    <row r="13201" spans="1:7" x14ac:dyDescent="0.25">
      <c r="A13201" s="116" t="s">
        <v>20635</v>
      </c>
      <c r="B13201" s="117" t="s">
        <v>20636</v>
      </c>
      <c r="C13201" t="s">
        <v>67</v>
      </c>
      <c r="D13201" t="s">
        <v>67</v>
      </c>
      <c r="E13201" t="s">
        <v>67</v>
      </c>
      <c r="F13201" t="s">
        <v>45</v>
      </c>
      <c r="G13201" s="117">
        <v>141.04</v>
      </c>
    </row>
    <row r="13202" spans="1:7" x14ac:dyDescent="0.25">
      <c r="A13202" s="116" t="s">
        <v>20637</v>
      </c>
      <c r="B13202" s="117" t="s">
        <v>20638</v>
      </c>
      <c r="C13202" t="s">
        <v>67</v>
      </c>
      <c r="D13202" t="s">
        <v>67</v>
      </c>
      <c r="E13202" t="s">
        <v>67</v>
      </c>
      <c r="F13202" t="s">
        <v>45</v>
      </c>
      <c r="G13202" s="117">
        <v>82.67</v>
      </c>
    </row>
    <row r="13203" spans="1:7" x14ac:dyDescent="0.25">
      <c r="A13203" s="116" t="s">
        <v>20639</v>
      </c>
      <c r="B13203" s="117" t="s">
        <v>20640</v>
      </c>
      <c r="C13203" t="s">
        <v>67</v>
      </c>
      <c r="D13203" t="s">
        <v>67</v>
      </c>
      <c r="E13203" t="s">
        <v>67</v>
      </c>
      <c r="F13203" t="s">
        <v>49</v>
      </c>
      <c r="G13203" s="117">
        <v>82.67</v>
      </c>
    </row>
    <row r="13204" spans="1:7" x14ac:dyDescent="0.25">
      <c r="A13204" s="116" t="s">
        <v>20641</v>
      </c>
      <c r="B13204" s="117" t="s">
        <v>20642</v>
      </c>
      <c r="C13204" t="s">
        <v>67</v>
      </c>
      <c r="D13204" t="s">
        <v>67</v>
      </c>
      <c r="E13204" t="s">
        <v>67</v>
      </c>
      <c r="F13204" t="s">
        <v>27987</v>
      </c>
      <c r="G13204" s="117">
        <v>99.21</v>
      </c>
    </row>
    <row r="13205" spans="1:7" x14ac:dyDescent="0.25">
      <c r="A13205" s="116" t="s">
        <v>29536</v>
      </c>
      <c r="B13205" s="117" t="s">
        <v>29537</v>
      </c>
      <c r="C13205" t="s">
        <v>67</v>
      </c>
      <c r="D13205" t="s">
        <v>67</v>
      </c>
      <c r="E13205" t="s">
        <v>67</v>
      </c>
      <c r="F13205" t="s">
        <v>45</v>
      </c>
      <c r="G13205" s="117">
        <v>0</v>
      </c>
    </row>
    <row r="13206" spans="1:7" x14ac:dyDescent="0.25">
      <c r="A13206" s="116" t="s">
        <v>20643</v>
      </c>
      <c r="B13206" s="117" t="s">
        <v>20644</v>
      </c>
      <c r="C13206" t="s">
        <v>67</v>
      </c>
      <c r="D13206" t="s">
        <v>67</v>
      </c>
      <c r="E13206" t="s">
        <v>67</v>
      </c>
      <c r="F13206" t="s">
        <v>51</v>
      </c>
      <c r="G13206" s="117">
        <v>54.19</v>
      </c>
    </row>
    <row r="13207" spans="1:7" x14ac:dyDescent="0.25">
      <c r="A13207" s="116" t="s">
        <v>20645</v>
      </c>
      <c r="B13207" s="117" t="s">
        <v>20646</v>
      </c>
      <c r="C13207" t="s">
        <v>67</v>
      </c>
      <c r="D13207" t="s">
        <v>67</v>
      </c>
      <c r="E13207" t="s">
        <v>67</v>
      </c>
      <c r="F13207" t="s">
        <v>45</v>
      </c>
      <c r="G13207" s="117">
        <v>124.13</v>
      </c>
    </row>
    <row r="13208" spans="1:7" x14ac:dyDescent="0.25">
      <c r="A13208" s="116" t="s">
        <v>20647</v>
      </c>
      <c r="B13208" s="117" t="s">
        <v>20648</v>
      </c>
      <c r="C13208" t="s">
        <v>67</v>
      </c>
      <c r="D13208" t="s">
        <v>67</v>
      </c>
      <c r="E13208" t="s">
        <v>67</v>
      </c>
      <c r="F13208" t="s">
        <v>49</v>
      </c>
      <c r="G13208" s="117">
        <v>129.82</v>
      </c>
    </row>
    <row r="13209" spans="1:7" x14ac:dyDescent="0.25">
      <c r="A13209" s="116" t="s">
        <v>20649</v>
      </c>
      <c r="B13209" s="117" t="s">
        <v>2445</v>
      </c>
      <c r="C13209" t="s">
        <v>67</v>
      </c>
      <c r="D13209" t="s">
        <v>67</v>
      </c>
      <c r="E13209" t="s">
        <v>67</v>
      </c>
      <c r="F13209" t="s">
        <v>27987</v>
      </c>
      <c r="G13209" s="117">
        <v>46.71</v>
      </c>
    </row>
    <row r="13210" spans="1:7" x14ac:dyDescent="0.25">
      <c r="A13210" s="116" t="s">
        <v>20650</v>
      </c>
      <c r="B13210" s="117" t="s">
        <v>20651</v>
      </c>
      <c r="C13210" t="s">
        <v>67</v>
      </c>
      <c r="D13210" t="s">
        <v>67</v>
      </c>
      <c r="E13210" t="s">
        <v>67</v>
      </c>
      <c r="F13210" t="s">
        <v>49</v>
      </c>
      <c r="G13210" s="117">
        <v>39.6</v>
      </c>
    </row>
    <row r="13211" spans="1:7" x14ac:dyDescent="0.25">
      <c r="A13211" s="116" t="s">
        <v>20652</v>
      </c>
      <c r="B13211" s="117" t="s">
        <v>20653</v>
      </c>
      <c r="C13211" t="s">
        <v>67</v>
      </c>
      <c r="D13211" t="s">
        <v>67</v>
      </c>
      <c r="E13211" t="s">
        <v>67</v>
      </c>
      <c r="F13211" t="s">
        <v>51</v>
      </c>
      <c r="G13211" s="117">
        <v>34.619999999999997</v>
      </c>
    </row>
    <row r="13212" spans="1:7" x14ac:dyDescent="0.25">
      <c r="A13212" s="116" t="s">
        <v>20654</v>
      </c>
      <c r="B13212" s="117" t="s">
        <v>20655</v>
      </c>
      <c r="C13212" t="s">
        <v>67</v>
      </c>
      <c r="D13212" t="s">
        <v>67</v>
      </c>
      <c r="E13212" t="s">
        <v>67</v>
      </c>
      <c r="F13212" t="s">
        <v>27990</v>
      </c>
      <c r="G13212" s="117">
        <v>42.26</v>
      </c>
    </row>
    <row r="13213" spans="1:7" x14ac:dyDescent="0.25">
      <c r="A13213" s="116" t="s">
        <v>20656</v>
      </c>
      <c r="B13213" s="117" t="s">
        <v>20657</v>
      </c>
      <c r="C13213" t="s">
        <v>67</v>
      </c>
      <c r="D13213" t="s">
        <v>67</v>
      </c>
      <c r="E13213" t="s">
        <v>67</v>
      </c>
      <c r="F13213" t="s">
        <v>27987</v>
      </c>
      <c r="G13213" s="117">
        <v>22.69</v>
      </c>
    </row>
    <row r="13214" spans="1:7" x14ac:dyDescent="0.25">
      <c r="A13214" s="116" t="s">
        <v>20658</v>
      </c>
      <c r="B13214" s="117" t="s">
        <v>20659</v>
      </c>
      <c r="C13214" t="s">
        <v>67</v>
      </c>
      <c r="D13214" t="s">
        <v>67</v>
      </c>
      <c r="E13214" t="s">
        <v>67</v>
      </c>
      <c r="F13214" t="s">
        <v>49</v>
      </c>
      <c r="G13214" s="117">
        <v>25.71</v>
      </c>
    </row>
    <row r="13215" spans="1:7" x14ac:dyDescent="0.25">
      <c r="A13215" s="116" t="s">
        <v>20660</v>
      </c>
      <c r="B13215" s="117" t="s">
        <v>20661</v>
      </c>
      <c r="C13215" t="s">
        <v>67</v>
      </c>
      <c r="D13215" t="s">
        <v>67</v>
      </c>
      <c r="E13215" t="s">
        <v>67</v>
      </c>
      <c r="F13215" t="s">
        <v>27987</v>
      </c>
      <c r="G13215" s="117">
        <v>22.69</v>
      </c>
    </row>
    <row r="13216" spans="1:7" x14ac:dyDescent="0.25">
      <c r="A13216" s="116" t="s">
        <v>20662</v>
      </c>
      <c r="B13216" s="117" t="s">
        <v>20663</v>
      </c>
      <c r="C13216" t="s">
        <v>67</v>
      </c>
      <c r="D13216" t="s">
        <v>67</v>
      </c>
      <c r="E13216" t="s">
        <v>67</v>
      </c>
      <c r="F13216" t="s">
        <v>27987</v>
      </c>
      <c r="G13216" s="117">
        <v>20.38</v>
      </c>
    </row>
    <row r="13217" spans="1:7" x14ac:dyDescent="0.25">
      <c r="A13217" s="116" t="s">
        <v>20664</v>
      </c>
      <c r="B13217" s="117" t="s">
        <v>20665</v>
      </c>
      <c r="C13217" t="s">
        <v>67</v>
      </c>
      <c r="D13217" t="s">
        <v>67</v>
      </c>
      <c r="E13217" t="s">
        <v>67</v>
      </c>
      <c r="F13217" t="s">
        <v>45</v>
      </c>
      <c r="G13217" s="117">
        <v>102.77</v>
      </c>
    </row>
    <row r="13218" spans="1:7" x14ac:dyDescent="0.25">
      <c r="A13218" s="116" t="s">
        <v>20666</v>
      </c>
      <c r="B13218" s="117" t="s">
        <v>20667</v>
      </c>
      <c r="C13218" t="s">
        <v>67</v>
      </c>
      <c r="D13218" t="s">
        <v>67</v>
      </c>
      <c r="E13218" t="s">
        <v>67</v>
      </c>
      <c r="F13218" t="s">
        <v>27987</v>
      </c>
      <c r="G13218" s="117">
        <v>21.26</v>
      </c>
    </row>
    <row r="13219" spans="1:7" x14ac:dyDescent="0.25">
      <c r="A13219" s="116" t="s">
        <v>20668</v>
      </c>
      <c r="B13219" s="117" t="s">
        <v>20669</v>
      </c>
      <c r="C13219" t="s">
        <v>67</v>
      </c>
      <c r="D13219" t="s">
        <v>67</v>
      </c>
      <c r="E13219" t="s">
        <v>67</v>
      </c>
      <c r="F13219" t="s">
        <v>49</v>
      </c>
      <c r="G13219" s="117">
        <v>29.27</v>
      </c>
    </row>
    <row r="13220" spans="1:7" x14ac:dyDescent="0.25">
      <c r="A13220" s="116" t="s">
        <v>20670</v>
      </c>
      <c r="B13220" s="117" t="s">
        <v>20671</v>
      </c>
      <c r="C13220" t="s">
        <v>67</v>
      </c>
      <c r="D13220" t="s">
        <v>67</v>
      </c>
      <c r="E13220" t="s">
        <v>67</v>
      </c>
      <c r="F13220" t="s">
        <v>27987</v>
      </c>
      <c r="G13220" s="117">
        <v>28.38</v>
      </c>
    </row>
    <row r="13221" spans="1:7" x14ac:dyDescent="0.25">
      <c r="A13221" s="116" t="s">
        <v>20672</v>
      </c>
      <c r="B13221" s="117" t="s">
        <v>20673</v>
      </c>
      <c r="C13221" t="s">
        <v>67</v>
      </c>
      <c r="D13221" t="s">
        <v>67</v>
      </c>
      <c r="E13221" t="s">
        <v>67</v>
      </c>
      <c r="F13221" t="s">
        <v>49</v>
      </c>
      <c r="G13221" s="117">
        <v>79.11</v>
      </c>
    </row>
    <row r="13222" spans="1:7" x14ac:dyDescent="0.25">
      <c r="A13222" s="116" t="s">
        <v>20674</v>
      </c>
      <c r="B13222" s="117" t="s">
        <v>20675</v>
      </c>
      <c r="C13222" t="s">
        <v>67</v>
      </c>
      <c r="D13222" t="s">
        <v>67</v>
      </c>
      <c r="E13222" t="s">
        <v>67</v>
      </c>
      <c r="F13222" t="s">
        <v>49</v>
      </c>
      <c r="G13222" s="117">
        <v>28.92</v>
      </c>
    </row>
    <row r="13223" spans="1:7" x14ac:dyDescent="0.25">
      <c r="A13223" s="116" t="s">
        <v>20676</v>
      </c>
      <c r="B13223" s="117" t="s">
        <v>20677</v>
      </c>
      <c r="C13223" t="s">
        <v>67</v>
      </c>
      <c r="D13223" t="s">
        <v>67</v>
      </c>
      <c r="E13223" t="s">
        <v>67</v>
      </c>
      <c r="F13223" t="s">
        <v>27987</v>
      </c>
      <c r="G13223" s="117">
        <v>20.92</v>
      </c>
    </row>
    <row r="13224" spans="1:7" x14ac:dyDescent="0.25">
      <c r="A13224" s="116" t="s">
        <v>20678</v>
      </c>
      <c r="B13224" s="117" t="s">
        <v>20679</v>
      </c>
      <c r="C13224" t="s">
        <v>67</v>
      </c>
      <c r="D13224" t="s">
        <v>67</v>
      </c>
      <c r="E13224" t="s">
        <v>67</v>
      </c>
      <c r="F13224" t="s">
        <v>51</v>
      </c>
      <c r="G13224" s="117">
        <v>21.26</v>
      </c>
    </row>
    <row r="13225" spans="1:7" x14ac:dyDescent="0.25">
      <c r="A13225" s="116" t="s">
        <v>20680</v>
      </c>
      <c r="B13225" s="117" t="s">
        <v>20681</v>
      </c>
      <c r="C13225" t="s">
        <v>67</v>
      </c>
      <c r="D13225" t="s">
        <v>67</v>
      </c>
      <c r="E13225" t="s">
        <v>67</v>
      </c>
      <c r="F13225" t="s">
        <v>27987</v>
      </c>
      <c r="G13225" s="117">
        <v>44.94</v>
      </c>
    </row>
    <row r="13226" spans="1:7" x14ac:dyDescent="0.25">
      <c r="A13226" s="116" t="s">
        <v>20682</v>
      </c>
      <c r="B13226" s="117" t="s">
        <v>20683</v>
      </c>
      <c r="C13226" t="s">
        <v>67</v>
      </c>
      <c r="D13226" t="s">
        <v>67</v>
      </c>
      <c r="E13226" t="s">
        <v>67</v>
      </c>
      <c r="F13226" t="s">
        <v>49</v>
      </c>
      <c r="G13226" s="117">
        <v>89.79</v>
      </c>
    </row>
    <row r="13227" spans="1:7" x14ac:dyDescent="0.25">
      <c r="A13227" s="116" t="s">
        <v>20684</v>
      </c>
      <c r="B13227" s="117" t="s">
        <v>2445</v>
      </c>
      <c r="C13227" t="s">
        <v>67</v>
      </c>
      <c r="D13227" t="s">
        <v>67</v>
      </c>
      <c r="E13227" t="s">
        <v>67</v>
      </c>
      <c r="F13227" t="s">
        <v>27987</v>
      </c>
      <c r="G13227" s="117">
        <v>61.85</v>
      </c>
    </row>
    <row r="13228" spans="1:7" x14ac:dyDescent="0.25">
      <c r="A13228" s="116" t="s">
        <v>20685</v>
      </c>
      <c r="B13228" s="117" t="s">
        <v>20686</v>
      </c>
      <c r="C13228" t="s">
        <v>67</v>
      </c>
      <c r="D13228" t="s">
        <v>67</v>
      </c>
      <c r="E13228" t="s">
        <v>67</v>
      </c>
      <c r="F13228" t="s">
        <v>27987</v>
      </c>
      <c r="G13228" s="117">
        <v>66.3</v>
      </c>
    </row>
    <row r="13229" spans="1:7" x14ac:dyDescent="0.25">
      <c r="A13229" s="116" t="s">
        <v>20687</v>
      </c>
      <c r="B13229" s="117" t="s">
        <v>20688</v>
      </c>
      <c r="C13229" t="s">
        <v>67</v>
      </c>
      <c r="D13229" t="s">
        <v>67</v>
      </c>
      <c r="E13229" t="s">
        <v>67</v>
      </c>
      <c r="F13229" t="s">
        <v>45</v>
      </c>
      <c r="G13229" s="117">
        <v>106.33</v>
      </c>
    </row>
    <row r="13230" spans="1:7" x14ac:dyDescent="0.25">
      <c r="A13230" s="116" t="s">
        <v>20689</v>
      </c>
      <c r="B13230" s="117" t="s">
        <v>20690</v>
      </c>
      <c r="C13230" t="s">
        <v>67</v>
      </c>
      <c r="D13230" t="s">
        <v>67</v>
      </c>
      <c r="E13230" t="s">
        <v>67</v>
      </c>
      <c r="F13230" t="s">
        <v>51</v>
      </c>
      <c r="G13230" s="117">
        <v>51.17</v>
      </c>
    </row>
    <row r="13231" spans="1:7" x14ac:dyDescent="0.25">
      <c r="A13231" s="116" t="s">
        <v>20691</v>
      </c>
      <c r="B13231" s="117" t="s">
        <v>20692</v>
      </c>
      <c r="C13231" t="s">
        <v>67</v>
      </c>
      <c r="D13231" t="s">
        <v>67</v>
      </c>
      <c r="E13231" t="s">
        <v>67</v>
      </c>
      <c r="F13231" t="s">
        <v>27987</v>
      </c>
      <c r="G13231" s="117">
        <v>91.2</v>
      </c>
    </row>
    <row r="13232" spans="1:7" x14ac:dyDescent="0.25">
      <c r="A13232" s="116" t="s">
        <v>20693</v>
      </c>
      <c r="B13232" s="117" t="s">
        <v>20694</v>
      </c>
      <c r="C13232" t="s">
        <v>67</v>
      </c>
      <c r="D13232" t="s">
        <v>67</v>
      </c>
      <c r="E13232" t="s">
        <v>67</v>
      </c>
      <c r="F13232" t="s">
        <v>27987</v>
      </c>
      <c r="G13232" s="117">
        <v>77.86</v>
      </c>
    </row>
    <row r="13233" spans="1:7" x14ac:dyDescent="0.25">
      <c r="A13233" s="116" t="s">
        <v>20695</v>
      </c>
      <c r="B13233" s="117" t="s">
        <v>20696</v>
      </c>
      <c r="C13233" t="s">
        <v>67</v>
      </c>
      <c r="D13233" t="s">
        <v>67</v>
      </c>
      <c r="E13233" t="s">
        <v>67</v>
      </c>
      <c r="F13233" t="s">
        <v>45</v>
      </c>
      <c r="G13233" s="117">
        <v>39.06</v>
      </c>
    </row>
    <row r="13234" spans="1:7" x14ac:dyDescent="0.25">
      <c r="A13234" s="116" t="s">
        <v>20697</v>
      </c>
      <c r="B13234" s="117" t="s">
        <v>20698</v>
      </c>
      <c r="C13234" t="s">
        <v>67</v>
      </c>
      <c r="D13234" t="s">
        <v>67</v>
      </c>
      <c r="E13234" t="s">
        <v>67</v>
      </c>
      <c r="F13234" t="s">
        <v>27987</v>
      </c>
      <c r="G13234" s="117">
        <v>84.98</v>
      </c>
    </row>
    <row r="13235" spans="1:7" x14ac:dyDescent="0.25">
      <c r="A13235" s="116" t="s">
        <v>20699</v>
      </c>
      <c r="B13235" s="117" t="s">
        <v>20700</v>
      </c>
      <c r="C13235" t="s">
        <v>67</v>
      </c>
      <c r="D13235" t="s">
        <v>67</v>
      </c>
      <c r="E13235" t="s">
        <v>67</v>
      </c>
      <c r="F13235" t="s">
        <v>27987</v>
      </c>
      <c r="G13235" s="117">
        <v>12.37</v>
      </c>
    </row>
    <row r="13236" spans="1:7" x14ac:dyDescent="0.25">
      <c r="A13236" s="116" t="s">
        <v>20701</v>
      </c>
      <c r="B13236" s="117" t="s">
        <v>20702</v>
      </c>
      <c r="C13236" t="s">
        <v>67</v>
      </c>
      <c r="D13236" t="s">
        <v>67</v>
      </c>
      <c r="E13236" t="s">
        <v>67</v>
      </c>
      <c r="F13236" t="s">
        <v>27987</v>
      </c>
      <c r="G13236" s="117">
        <v>73.760000000000005</v>
      </c>
    </row>
    <row r="13237" spans="1:7" x14ac:dyDescent="0.25">
      <c r="A13237" s="116" t="s">
        <v>20703</v>
      </c>
      <c r="B13237" s="117" t="s">
        <v>20704</v>
      </c>
      <c r="C13237" t="s">
        <v>67</v>
      </c>
      <c r="D13237" t="s">
        <v>67</v>
      </c>
      <c r="E13237" t="s">
        <v>67</v>
      </c>
      <c r="F13237" t="s">
        <v>27987</v>
      </c>
      <c r="G13237" s="117">
        <v>41.74</v>
      </c>
    </row>
    <row r="13238" spans="1:7" x14ac:dyDescent="0.25">
      <c r="A13238" s="116" t="s">
        <v>20705</v>
      </c>
      <c r="B13238" s="117" t="s">
        <v>20706</v>
      </c>
      <c r="C13238" t="s">
        <v>67</v>
      </c>
      <c r="D13238" t="s">
        <v>67</v>
      </c>
      <c r="E13238" t="s">
        <v>67</v>
      </c>
      <c r="F13238" t="s">
        <v>27987</v>
      </c>
      <c r="G13238" s="117">
        <v>81</v>
      </c>
    </row>
    <row r="13239" spans="1:7" x14ac:dyDescent="0.25">
      <c r="A13239" s="116" t="s">
        <v>20707</v>
      </c>
      <c r="B13239" s="117" t="s">
        <v>20708</v>
      </c>
      <c r="C13239" t="s">
        <v>67</v>
      </c>
      <c r="D13239" t="s">
        <v>67</v>
      </c>
      <c r="E13239" t="s">
        <v>67</v>
      </c>
      <c r="F13239" t="s">
        <v>27987</v>
      </c>
      <c r="G13239" s="117">
        <v>22.84</v>
      </c>
    </row>
    <row r="13240" spans="1:7" x14ac:dyDescent="0.25">
      <c r="A13240" s="116" t="s">
        <v>20709</v>
      </c>
      <c r="B13240" s="117" t="s">
        <v>20710</v>
      </c>
      <c r="C13240" t="s">
        <v>67</v>
      </c>
      <c r="D13240" t="s">
        <v>67</v>
      </c>
      <c r="E13240" t="s">
        <v>67</v>
      </c>
      <c r="F13240" t="s">
        <v>27987</v>
      </c>
      <c r="G13240" s="117">
        <v>12.81</v>
      </c>
    </row>
    <row r="13241" spans="1:7" x14ac:dyDescent="0.25">
      <c r="A13241" s="116" t="s">
        <v>20711</v>
      </c>
      <c r="B13241" s="117" t="s">
        <v>20712</v>
      </c>
      <c r="C13241" t="s">
        <v>67</v>
      </c>
      <c r="D13241" t="s">
        <v>67</v>
      </c>
      <c r="E13241" t="s">
        <v>67</v>
      </c>
      <c r="F13241" t="s">
        <v>27987</v>
      </c>
      <c r="G13241" s="117">
        <v>84.44</v>
      </c>
    </row>
    <row r="13242" spans="1:7" x14ac:dyDescent="0.25">
      <c r="A13242" s="116" t="s">
        <v>29538</v>
      </c>
      <c r="B13242" s="117" t="s">
        <v>29539</v>
      </c>
      <c r="C13242" t="s">
        <v>67</v>
      </c>
      <c r="D13242" t="s">
        <v>67</v>
      </c>
      <c r="E13242" t="s">
        <v>67</v>
      </c>
      <c r="F13242" t="s">
        <v>45</v>
      </c>
      <c r="G13242" s="117">
        <v>0</v>
      </c>
    </row>
    <row r="13243" spans="1:7" x14ac:dyDescent="0.25">
      <c r="A13243" s="116" t="s">
        <v>20713</v>
      </c>
      <c r="B13243" s="117" t="s">
        <v>20714</v>
      </c>
      <c r="C13243" t="s">
        <v>67</v>
      </c>
      <c r="D13243" t="s">
        <v>67</v>
      </c>
      <c r="E13243" t="s">
        <v>67</v>
      </c>
      <c r="F13243" t="s">
        <v>27987</v>
      </c>
      <c r="G13243" s="117">
        <v>23.94</v>
      </c>
    </row>
    <row r="13244" spans="1:7" x14ac:dyDescent="0.25">
      <c r="A13244" s="116" t="s">
        <v>20715</v>
      </c>
      <c r="B13244" s="117" t="s">
        <v>20716</v>
      </c>
      <c r="C13244" t="s">
        <v>67</v>
      </c>
      <c r="D13244" t="s">
        <v>67</v>
      </c>
      <c r="E13244" t="s">
        <v>67</v>
      </c>
      <c r="F13244" t="s">
        <v>27987</v>
      </c>
      <c r="G13244" s="117">
        <v>31.94</v>
      </c>
    </row>
    <row r="13245" spans="1:7" x14ac:dyDescent="0.25">
      <c r="A13245" s="116" t="s">
        <v>20717</v>
      </c>
      <c r="B13245" s="117" t="s">
        <v>2445</v>
      </c>
      <c r="C13245" t="s">
        <v>67</v>
      </c>
      <c r="D13245" t="s">
        <v>67</v>
      </c>
      <c r="E13245" t="s">
        <v>67</v>
      </c>
      <c r="F13245" t="s">
        <v>49</v>
      </c>
      <c r="G13245" s="117">
        <v>8.89</v>
      </c>
    </row>
    <row r="13246" spans="1:7" x14ac:dyDescent="0.25">
      <c r="A13246" s="116" t="s">
        <v>20718</v>
      </c>
      <c r="B13246" s="117" t="s">
        <v>20719</v>
      </c>
      <c r="C13246" t="s">
        <v>67</v>
      </c>
      <c r="D13246" t="s">
        <v>67</v>
      </c>
      <c r="E13246" t="s">
        <v>67</v>
      </c>
      <c r="F13246" t="s">
        <v>45</v>
      </c>
      <c r="G13246" s="117">
        <v>11.96</v>
      </c>
    </row>
    <row r="13247" spans="1:7" x14ac:dyDescent="0.25">
      <c r="A13247" s="116" t="s">
        <v>20720</v>
      </c>
      <c r="B13247" s="117" t="s">
        <v>20721</v>
      </c>
      <c r="C13247" t="s">
        <v>67</v>
      </c>
      <c r="D13247" t="s">
        <v>67</v>
      </c>
      <c r="E13247" t="s">
        <v>67</v>
      </c>
      <c r="F13247" t="s">
        <v>27987</v>
      </c>
      <c r="G13247" s="117">
        <v>36.93</v>
      </c>
    </row>
    <row r="13248" spans="1:7" x14ac:dyDescent="0.25">
      <c r="A13248" s="116" t="s">
        <v>20722</v>
      </c>
      <c r="B13248" s="117" t="s">
        <v>20723</v>
      </c>
      <c r="C13248" t="s">
        <v>67</v>
      </c>
      <c r="D13248" t="s">
        <v>67</v>
      </c>
      <c r="E13248" t="s">
        <v>67</v>
      </c>
      <c r="F13248" t="s">
        <v>49</v>
      </c>
      <c r="G13248" s="117">
        <v>48.5</v>
      </c>
    </row>
    <row r="13249" spans="1:7" x14ac:dyDescent="0.25">
      <c r="A13249" s="116" t="s">
        <v>20724</v>
      </c>
      <c r="B13249" s="117" t="s">
        <v>20725</v>
      </c>
      <c r="C13249" t="s">
        <v>67</v>
      </c>
      <c r="D13249" t="s">
        <v>67</v>
      </c>
      <c r="E13249" t="s">
        <v>67</v>
      </c>
      <c r="F13249" t="s">
        <v>45</v>
      </c>
      <c r="G13249" s="117">
        <v>4.55</v>
      </c>
    </row>
    <row r="13250" spans="1:7" x14ac:dyDescent="0.25">
      <c r="A13250" s="116" t="s">
        <v>20726</v>
      </c>
      <c r="B13250" s="117" t="s">
        <v>20727</v>
      </c>
      <c r="C13250" t="s">
        <v>67</v>
      </c>
      <c r="D13250" t="s">
        <v>67</v>
      </c>
      <c r="E13250" t="s">
        <v>67</v>
      </c>
      <c r="F13250" t="s">
        <v>45</v>
      </c>
      <c r="G13250" s="117">
        <v>102.77</v>
      </c>
    </row>
    <row r="13251" spans="1:7" x14ac:dyDescent="0.25">
      <c r="A13251" s="116" t="s">
        <v>20728</v>
      </c>
      <c r="B13251" s="117" t="s">
        <v>2445</v>
      </c>
      <c r="C13251" t="s">
        <v>67</v>
      </c>
      <c r="D13251" t="s">
        <v>67</v>
      </c>
      <c r="E13251" t="s">
        <v>67</v>
      </c>
      <c r="F13251" t="s">
        <v>27987</v>
      </c>
      <c r="G13251" s="117">
        <v>69.319999999999993</v>
      </c>
    </row>
    <row r="13252" spans="1:7" x14ac:dyDescent="0.25">
      <c r="A13252" s="116" t="s">
        <v>20729</v>
      </c>
      <c r="B13252" s="117" t="s">
        <v>20730</v>
      </c>
      <c r="C13252" t="s">
        <v>67</v>
      </c>
      <c r="D13252" t="s">
        <v>67</v>
      </c>
      <c r="E13252" t="s">
        <v>67</v>
      </c>
      <c r="F13252" t="s">
        <v>49</v>
      </c>
      <c r="G13252" s="117">
        <v>102.77</v>
      </c>
    </row>
    <row r="13253" spans="1:7" x14ac:dyDescent="0.25">
      <c r="A13253" s="116" t="s">
        <v>20731</v>
      </c>
      <c r="B13253" s="117" t="s">
        <v>2445</v>
      </c>
      <c r="C13253" t="s">
        <v>67</v>
      </c>
      <c r="D13253" t="s">
        <v>67</v>
      </c>
      <c r="E13253" t="s">
        <v>67</v>
      </c>
      <c r="F13253" t="s">
        <v>45</v>
      </c>
      <c r="G13253" s="117">
        <v>63.98</v>
      </c>
    </row>
    <row r="13254" spans="1:7" x14ac:dyDescent="0.25">
      <c r="A13254" s="116" t="s">
        <v>20732</v>
      </c>
      <c r="B13254" s="117" t="s">
        <v>20733</v>
      </c>
      <c r="C13254" t="s">
        <v>67</v>
      </c>
      <c r="D13254" t="s">
        <v>67</v>
      </c>
      <c r="E13254" t="s">
        <v>67</v>
      </c>
      <c r="F13254" t="s">
        <v>27987</v>
      </c>
      <c r="G13254" s="117">
        <v>70.739999999999995</v>
      </c>
    </row>
    <row r="13255" spans="1:7" x14ac:dyDescent="0.25">
      <c r="A13255" s="116" t="s">
        <v>20734</v>
      </c>
      <c r="B13255" s="117" t="s">
        <v>20735</v>
      </c>
      <c r="C13255" t="s">
        <v>67</v>
      </c>
      <c r="D13255" t="s">
        <v>67</v>
      </c>
      <c r="E13255" t="s">
        <v>67</v>
      </c>
      <c r="F13255" t="s">
        <v>45</v>
      </c>
      <c r="G13255" s="117">
        <v>39.6</v>
      </c>
    </row>
    <row r="13256" spans="1:7" x14ac:dyDescent="0.25">
      <c r="A13256" s="116" t="s">
        <v>20736</v>
      </c>
      <c r="B13256" s="117" t="s">
        <v>20737</v>
      </c>
      <c r="C13256" t="s">
        <v>67</v>
      </c>
      <c r="D13256" t="s">
        <v>67</v>
      </c>
      <c r="E13256" t="s">
        <v>67</v>
      </c>
      <c r="F13256" t="s">
        <v>49</v>
      </c>
      <c r="G13256" s="117">
        <v>53.3</v>
      </c>
    </row>
    <row r="13257" spans="1:7" x14ac:dyDescent="0.25">
      <c r="A13257" s="116" t="s">
        <v>20738</v>
      </c>
      <c r="B13257" s="117" t="s">
        <v>20739</v>
      </c>
      <c r="C13257" t="s">
        <v>67</v>
      </c>
      <c r="D13257" t="s">
        <v>67</v>
      </c>
      <c r="E13257" t="s">
        <v>67</v>
      </c>
      <c r="F13257" t="s">
        <v>27987</v>
      </c>
      <c r="G13257" s="117">
        <v>37.82</v>
      </c>
    </row>
    <row r="13258" spans="1:7" x14ac:dyDescent="0.25">
      <c r="A13258" s="116" t="s">
        <v>20740</v>
      </c>
      <c r="B13258" s="117" t="s">
        <v>20741</v>
      </c>
      <c r="C13258" t="s">
        <v>67</v>
      </c>
      <c r="D13258" t="s">
        <v>67</v>
      </c>
      <c r="E13258" t="s">
        <v>67</v>
      </c>
      <c r="F13258" t="s">
        <v>27987</v>
      </c>
      <c r="G13258" s="117">
        <v>92.45</v>
      </c>
    </row>
    <row r="13259" spans="1:7" x14ac:dyDescent="0.25">
      <c r="A13259" s="116" t="s">
        <v>20742</v>
      </c>
      <c r="B13259" s="117" t="s">
        <v>2445</v>
      </c>
      <c r="C13259" t="s">
        <v>67</v>
      </c>
      <c r="D13259" t="s">
        <v>67</v>
      </c>
      <c r="E13259" t="s">
        <v>67</v>
      </c>
      <c r="F13259" t="s">
        <v>27987</v>
      </c>
      <c r="G13259" s="117">
        <v>75.19</v>
      </c>
    </row>
    <row r="13260" spans="1:7" x14ac:dyDescent="0.25">
      <c r="A13260" s="116" t="s">
        <v>20743</v>
      </c>
      <c r="B13260" s="117" t="s">
        <v>2445</v>
      </c>
      <c r="C13260" t="s">
        <v>67</v>
      </c>
      <c r="D13260" t="s">
        <v>67</v>
      </c>
      <c r="E13260" t="s">
        <v>67</v>
      </c>
      <c r="F13260" t="s">
        <v>27987</v>
      </c>
      <c r="G13260" s="117">
        <v>112.92</v>
      </c>
    </row>
    <row r="13261" spans="1:7" x14ac:dyDescent="0.25">
      <c r="A13261" s="116" t="s">
        <v>20744</v>
      </c>
      <c r="B13261" s="117" t="s">
        <v>20745</v>
      </c>
      <c r="C13261" t="s">
        <v>67</v>
      </c>
      <c r="D13261" t="s">
        <v>67</v>
      </c>
      <c r="E13261" t="s">
        <v>67</v>
      </c>
      <c r="F13261" t="s">
        <v>27987</v>
      </c>
      <c r="G13261" s="117">
        <v>71.63</v>
      </c>
    </row>
    <row r="13262" spans="1:7" x14ac:dyDescent="0.25">
      <c r="A13262" s="116" t="s">
        <v>30637</v>
      </c>
      <c r="B13262" s="117" t="s">
        <v>30638</v>
      </c>
      <c r="C13262" t="s">
        <v>67</v>
      </c>
      <c r="D13262" t="s">
        <v>67</v>
      </c>
      <c r="E13262" t="s">
        <v>67</v>
      </c>
      <c r="F13262" t="s">
        <v>27987</v>
      </c>
      <c r="G13262" s="117">
        <v>9999</v>
      </c>
    </row>
    <row r="13263" spans="1:7" x14ac:dyDescent="0.25">
      <c r="A13263" s="116" t="s">
        <v>20746</v>
      </c>
      <c r="B13263" s="117" t="s">
        <v>20747</v>
      </c>
      <c r="C13263" t="s">
        <v>67</v>
      </c>
      <c r="D13263" t="s">
        <v>67</v>
      </c>
      <c r="E13263" t="s">
        <v>67</v>
      </c>
      <c r="F13263" t="s">
        <v>27987</v>
      </c>
      <c r="G13263" s="117">
        <v>56.86</v>
      </c>
    </row>
    <row r="13264" spans="1:7" x14ac:dyDescent="0.25">
      <c r="A13264" s="116" t="s">
        <v>20748</v>
      </c>
      <c r="B13264" s="117" t="s">
        <v>20749</v>
      </c>
      <c r="C13264" t="s">
        <v>67</v>
      </c>
      <c r="D13264" t="s">
        <v>67</v>
      </c>
      <c r="E13264" t="s">
        <v>67</v>
      </c>
      <c r="F13264" t="s">
        <v>27987</v>
      </c>
      <c r="G13264" s="117">
        <v>63</v>
      </c>
    </row>
    <row r="13265" spans="1:7" x14ac:dyDescent="0.25">
      <c r="A13265" s="116" t="s">
        <v>20750</v>
      </c>
      <c r="B13265" s="117" t="s">
        <v>20751</v>
      </c>
      <c r="C13265" t="s">
        <v>67</v>
      </c>
      <c r="D13265" t="s">
        <v>67</v>
      </c>
      <c r="E13265" t="s">
        <v>67</v>
      </c>
      <c r="F13265" t="s">
        <v>45</v>
      </c>
      <c r="G13265" s="117">
        <v>0.76</v>
      </c>
    </row>
    <row r="13266" spans="1:7" x14ac:dyDescent="0.25">
      <c r="A13266" s="116" t="s">
        <v>20752</v>
      </c>
      <c r="B13266" s="117" t="s">
        <v>20753</v>
      </c>
      <c r="C13266" t="s">
        <v>67</v>
      </c>
      <c r="D13266" t="s">
        <v>67</v>
      </c>
      <c r="E13266" t="s">
        <v>67</v>
      </c>
      <c r="F13266" t="s">
        <v>27987</v>
      </c>
      <c r="G13266" s="117">
        <v>8.81</v>
      </c>
    </row>
    <row r="13267" spans="1:7" x14ac:dyDescent="0.25">
      <c r="A13267" s="116" t="s">
        <v>20754</v>
      </c>
      <c r="B13267" s="117" t="s">
        <v>2445</v>
      </c>
      <c r="C13267" t="s">
        <v>67</v>
      </c>
      <c r="D13267" t="s">
        <v>67</v>
      </c>
      <c r="E13267" t="s">
        <v>67</v>
      </c>
      <c r="F13267" t="s">
        <v>45</v>
      </c>
      <c r="G13267" s="117">
        <v>20.38</v>
      </c>
    </row>
    <row r="13268" spans="1:7" x14ac:dyDescent="0.25">
      <c r="A13268" s="116" t="s">
        <v>20755</v>
      </c>
      <c r="B13268" s="117" t="s">
        <v>20756</v>
      </c>
      <c r="C13268" t="s">
        <v>67</v>
      </c>
      <c r="D13268" t="s">
        <v>67</v>
      </c>
      <c r="E13268" t="s">
        <v>67</v>
      </c>
      <c r="F13268" t="s">
        <v>27987</v>
      </c>
      <c r="G13268" s="117">
        <v>37.82</v>
      </c>
    </row>
    <row r="13269" spans="1:7" x14ac:dyDescent="0.25">
      <c r="A13269" s="116" t="s">
        <v>20757</v>
      </c>
      <c r="B13269" s="117" t="s">
        <v>2445</v>
      </c>
      <c r="C13269" t="s">
        <v>67</v>
      </c>
      <c r="D13269" t="s">
        <v>67</v>
      </c>
      <c r="E13269" t="s">
        <v>67</v>
      </c>
      <c r="F13269" t="s">
        <v>45</v>
      </c>
      <c r="G13269" s="117">
        <v>31.94</v>
      </c>
    </row>
    <row r="13270" spans="1:7" x14ac:dyDescent="0.25">
      <c r="A13270" s="116" t="s">
        <v>20758</v>
      </c>
      <c r="B13270" s="117" t="s">
        <v>20759</v>
      </c>
      <c r="C13270" t="s">
        <v>67</v>
      </c>
      <c r="D13270" t="s">
        <v>67</v>
      </c>
      <c r="E13270" t="s">
        <v>67</v>
      </c>
      <c r="F13270" t="s">
        <v>27987</v>
      </c>
      <c r="G13270" s="117">
        <v>38.18</v>
      </c>
    </row>
    <row r="13271" spans="1:7" x14ac:dyDescent="0.25">
      <c r="A13271" s="116" t="s">
        <v>20760</v>
      </c>
      <c r="B13271" s="117" t="s">
        <v>20761</v>
      </c>
      <c r="C13271" t="s">
        <v>67</v>
      </c>
      <c r="D13271" t="s">
        <v>67</v>
      </c>
      <c r="E13271" t="s">
        <v>67</v>
      </c>
      <c r="F13271" t="s">
        <v>27987</v>
      </c>
      <c r="G13271" s="117">
        <v>89.79</v>
      </c>
    </row>
    <row r="13272" spans="1:7" x14ac:dyDescent="0.25">
      <c r="A13272" s="116" t="s">
        <v>29540</v>
      </c>
      <c r="B13272" s="117" t="s">
        <v>29541</v>
      </c>
      <c r="C13272" t="s">
        <v>67</v>
      </c>
      <c r="D13272" t="s">
        <v>67</v>
      </c>
      <c r="E13272" t="s">
        <v>67</v>
      </c>
      <c r="F13272" t="s">
        <v>45</v>
      </c>
      <c r="G13272" s="117">
        <v>0</v>
      </c>
    </row>
    <row r="13273" spans="1:7" x14ac:dyDescent="0.25">
      <c r="A13273" s="116" t="s">
        <v>20762</v>
      </c>
      <c r="B13273" s="117" t="s">
        <v>20763</v>
      </c>
      <c r="C13273" t="s">
        <v>67</v>
      </c>
      <c r="D13273" t="s">
        <v>67</v>
      </c>
      <c r="E13273" t="s">
        <v>67</v>
      </c>
      <c r="F13273" t="s">
        <v>49</v>
      </c>
      <c r="G13273" s="117">
        <v>90.32</v>
      </c>
    </row>
    <row r="13274" spans="1:7" x14ac:dyDescent="0.25">
      <c r="A13274" s="116" t="s">
        <v>20764</v>
      </c>
      <c r="B13274" s="117" t="s">
        <v>20765</v>
      </c>
      <c r="C13274" t="s">
        <v>67</v>
      </c>
      <c r="D13274" t="s">
        <v>67</v>
      </c>
      <c r="E13274" t="s">
        <v>67</v>
      </c>
      <c r="F13274" t="s">
        <v>27987</v>
      </c>
      <c r="G13274" s="117">
        <v>24.8</v>
      </c>
    </row>
    <row r="13275" spans="1:7" x14ac:dyDescent="0.25">
      <c r="A13275" s="116" t="s">
        <v>20766</v>
      </c>
      <c r="B13275" s="117" t="s">
        <v>20767</v>
      </c>
      <c r="C13275" t="s">
        <v>67</v>
      </c>
      <c r="D13275" t="s">
        <v>67</v>
      </c>
      <c r="E13275" t="s">
        <v>67</v>
      </c>
      <c r="F13275" t="s">
        <v>27987</v>
      </c>
      <c r="G13275" s="117">
        <v>35.5</v>
      </c>
    </row>
    <row r="13276" spans="1:7" x14ac:dyDescent="0.25">
      <c r="A13276" s="116" t="s">
        <v>20768</v>
      </c>
      <c r="B13276" s="117" t="s">
        <v>20769</v>
      </c>
      <c r="C13276" t="s">
        <v>67</v>
      </c>
      <c r="D13276" t="s">
        <v>67</v>
      </c>
      <c r="E13276" t="s">
        <v>67</v>
      </c>
      <c r="F13276" t="s">
        <v>49</v>
      </c>
      <c r="G13276" s="117">
        <v>10.58</v>
      </c>
    </row>
    <row r="13277" spans="1:7" x14ac:dyDescent="0.25">
      <c r="A13277" s="116" t="s">
        <v>20770</v>
      </c>
      <c r="B13277" s="117" t="s">
        <v>20771</v>
      </c>
      <c r="C13277" t="s">
        <v>67</v>
      </c>
      <c r="D13277" t="s">
        <v>67</v>
      </c>
      <c r="E13277" t="s">
        <v>67</v>
      </c>
      <c r="F13277" t="s">
        <v>27987</v>
      </c>
      <c r="G13277" s="117">
        <v>24.48</v>
      </c>
    </row>
    <row r="13278" spans="1:7" x14ac:dyDescent="0.25">
      <c r="A13278" s="116" t="s">
        <v>20772</v>
      </c>
      <c r="B13278" s="117" t="s">
        <v>20773</v>
      </c>
      <c r="C13278" t="s">
        <v>67</v>
      </c>
      <c r="D13278" t="s">
        <v>67</v>
      </c>
      <c r="E13278" t="s">
        <v>67</v>
      </c>
      <c r="F13278" t="s">
        <v>27987</v>
      </c>
      <c r="G13278" s="117">
        <v>38.700000000000003</v>
      </c>
    </row>
    <row r="13279" spans="1:7" x14ac:dyDescent="0.25">
      <c r="A13279" s="116" t="s">
        <v>20774</v>
      </c>
      <c r="B13279" s="117" t="s">
        <v>20775</v>
      </c>
      <c r="C13279" t="s">
        <v>67</v>
      </c>
      <c r="D13279" t="s">
        <v>67</v>
      </c>
      <c r="E13279" t="s">
        <v>67</v>
      </c>
      <c r="F13279" t="s">
        <v>27987</v>
      </c>
      <c r="G13279" s="117">
        <v>33.369999999999997</v>
      </c>
    </row>
    <row r="13280" spans="1:7" x14ac:dyDescent="0.25">
      <c r="A13280" s="116" t="s">
        <v>20776</v>
      </c>
      <c r="B13280" s="117" t="s">
        <v>20777</v>
      </c>
      <c r="C13280" t="s">
        <v>67</v>
      </c>
      <c r="D13280" t="s">
        <v>67</v>
      </c>
      <c r="E13280" t="s">
        <v>67</v>
      </c>
      <c r="F13280" t="s">
        <v>27987</v>
      </c>
      <c r="G13280" s="117">
        <v>12.9</v>
      </c>
    </row>
    <row r="13281" spans="1:7" x14ac:dyDescent="0.25">
      <c r="A13281" s="116" t="s">
        <v>20778</v>
      </c>
      <c r="B13281" s="117" t="s">
        <v>20779</v>
      </c>
      <c r="C13281" t="s">
        <v>67</v>
      </c>
      <c r="D13281" t="s">
        <v>67</v>
      </c>
      <c r="E13281" t="s">
        <v>67</v>
      </c>
      <c r="F13281" t="s">
        <v>27987</v>
      </c>
      <c r="G13281" s="117">
        <v>30.7</v>
      </c>
    </row>
    <row r="13282" spans="1:7" x14ac:dyDescent="0.25">
      <c r="A13282" s="116" t="s">
        <v>20780</v>
      </c>
      <c r="B13282" s="117" t="s">
        <v>2445</v>
      </c>
      <c r="C13282" t="s">
        <v>67</v>
      </c>
      <c r="D13282" t="s">
        <v>67</v>
      </c>
      <c r="E13282" t="s">
        <v>67</v>
      </c>
      <c r="F13282" t="s">
        <v>27987</v>
      </c>
      <c r="G13282" s="117">
        <v>13.26</v>
      </c>
    </row>
    <row r="13283" spans="1:7" x14ac:dyDescent="0.25">
      <c r="A13283" s="116" t="s">
        <v>20781</v>
      </c>
      <c r="B13283" s="117" t="s">
        <v>20782</v>
      </c>
      <c r="C13283" t="s">
        <v>67</v>
      </c>
      <c r="D13283" t="s">
        <v>67</v>
      </c>
      <c r="E13283" t="s">
        <v>67</v>
      </c>
      <c r="F13283" t="s">
        <v>27987</v>
      </c>
      <c r="G13283" s="117">
        <v>23.05</v>
      </c>
    </row>
    <row r="13284" spans="1:7" x14ac:dyDescent="0.25">
      <c r="A13284" s="116" t="s">
        <v>20783</v>
      </c>
      <c r="B13284" s="117" t="s">
        <v>2445</v>
      </c>
      <c r="C13284" t="s">
        <v>67</v>
      </c>
      <c r="D13284" t="s">
        <v>67</v>
      </c>
      <c r="E13284" t="s">
        <v>67</v>
      </c>
      <c r="F13284" t="s">
        <v>49</v>
      </c>
      <c r="G13284" s="117">
        <v>37.82</v>
      </c>
    </row>
    <row r="13285" spans="1:7" x14ac:dyDescent="0.25">
      <c r="A13285" s="116" t="s">
        <v>20784</v>
      </c>
      <c r="B13285" s="117" t="s">
        <v>20785</v>
      </c>
      <c r="C13285" t="s">
        <v>67</v>
      </c>
      <c r="D13285" t="s">
        <v>67</v>
      </c>
      <c r="E13285" t="s">
        <v>67</v>
      </c>
      <c r="F13285" t="s">
        <v>49</v>
      </c>
      <c r="G13285" s="117">
        <v>41.38</v>
      </c>
    </row>
    <row r="13286" spans="1:7" x14ac:dyDescent="0.25">
      <c r="A13286" s="116" t="s">
        <v>20786</v>
      </c>
      <c r="B13286" s="117" t="s">
        <v>20787</v>
      </c>
      <c r="C13286" t="s">
        <v>67</v>
      </c>
      <c r="D13286" t="s">
        <v>67</v>
      </c>
      <c r="E13286" t="s">
        <v>67</v>
      </c>
      <c r="F13286" t="s">
        <v>27987</v>
      </c>
      <c r="G13286" s="117">
        <v>12.37</v>
      </c>
    </row>
    <row r="13287" spans="1:7" x14ac:dyDescent="0.25">
      <c r="A13287" s="116" t="s">
        <v>20788</v>
      </c>
      <c r="B13287" s="117" t="s">
        <v>2445</v>
      </c>
      <c r="C13287" t="s">
        <v>67</v>
      </c>
      <c r="D13287" t="s">
        <v>67</v>
      </c>
      <c r="E13287" t="s">
        <v>67</v>
      </c>
      <c r="F13287" t="s">
        <v>51</v>
      </c>
      <c r="G13287" s="117">
        <v>16.46</v>
      </c>
    </row>
    <row r="13288" spans="1:7" x14ac:dyDescent="0.25">
      <c r="A13288" s="116" t="s">
        <v>20789</v>
      </c>
      <c r="B13288" s="117" t="s">
        <v>20790</v>
      </c>
      <c r="C13288" t="s">
        <v>67</v>
      </c>
      <c r="D13288" t="s">
        <v>67</v>
      </c>
      <c r="E13288" t="s">
        <v>67</v>
      </c>
      <c r="F13288" t="s">
        <v>27987</v>
      </c>
      <c r="G13288" s="117">
        <v>37.82</v>
      </c>
    </row>
    <row r="13289" spans="1:7" x14ac:dyDescent="0.25">
      <c r="A13289" s="116" t="s">
        <v>20791</v>
      </c>
      <c r="B13289" s="117" t="s">
        <v>2445</v>
      </c>
      <c r="C13289" t="s">
        <v>67</v>
      </c>
      <c r="D13289" t="s">
        <v>67</v>
      </c>
      <c r="E13289" t="s">
        <v>67</v>
      </c>
      <c r="F13289" t="s">
        <v>27987</v>
      </c>
      <c r="G13289" s="117">
        <v>95.66</v>
      </c>
    </row>
    <row r="13290" spans="1:7" x14ac:dyDescent="0.25">
      <c r="A13290" s="116" t="s">
        <v>20792</v>
      </c>
      <c r="B13290" s="117" t="s">
        <v>20793</v>
      </c>
      <c r="C13290" t="s">
        <v>67</v>
      </c>
      <c r="D13290" t="s">
        <v>67</v>
      </c>
      <c r="E13290" t="s">
        <v>67</v>
      </c>
      <c r="F13290" t="s">
        <v>27987</v>
      </c>
      <c r="G13290" s="117">
        <v>49.74</v>
      </c>
    </row>
    <row r="13291" spans="1:7" x14ac:dyDescent="0.25">
      <c r="A13291" s="116" t="s">
        <v>20794</v>
      </c>
      <c r="B13291" s="117" t="s">
        <v>20795</v>
      </c>
      <c r="C13291" t="s">
        <v>67</v>
      </c>
      <c r="D13291" t="s">
        <v>67</v>
      </c>
      <c r="E13291" t="s">
        <v>67</v>
      </c>
      <c r="F13291" t="s">
        <v>27987</v>
      </c>
      <c r="G13291" s="117">
        <v>99.21</v>
      </c>
    </row>
    <row r="13292" spans="1:7" x14ac:dyDescent="0.25">
      <c r="A13292" s="116" t="s">
        <v>29542</v>
      </c>
      <c r="B13292" s="117" t="s">
        <v>29543</v>
      </c>
      <c r="C13292" t="s">
        <v>67</v>
      </c>
      <c r="D13292" t="s">
        <v>67</v>
      </c>
      <c r="E13292" t="s">
        <v>67</v>
      </c>
      <c r="F13292" t="s">
        <v>45</v>
      </c>
      <c r="G13292" s="117">
        <v>0</v>
      </c>
    </row>
    <row r="13293" spans="1:7" x14ac:dyDescent="0.25">
      <c r="A13293" s="116" t="s">
        <v>20796</v>
      </c>
      <c r="B13293" s="117" t="s">
        <v>20797</v>
      </c>
      <c r="C13293" t="s">
        <v>67</v>
      </c>
      <c r="D13293" t="s">
        <v>67</v>
      </c>
      <c r="E13293" t="s">
        <v>67</v>
      </c>
      <c r="F13293" t="s">
        <v>27987</v>
      </c>
      <c r="G13293" s="117">
        <v>119.14</v>
      </c>
    </row>
    <row r="13294" spans="1:7" x14ac:dyDescent="0.25">
      <c r="A13294" s="116" t="s">
        <v>20798</v>
      </c>
      <c r="B13294" s="117" t="s">
        <v>20799</v>
      </c>
      <c r="C13294" t="s">
        <v>67</v>
      </c>
      <c r="D13294" t="s">
        <v>67</v>
      </c>
      <c r="E13294" t="s">
        <v>67</v>
      </c>
      <c r="F13294" t="s">
        <v>49</v>
      </c>
      <c r="G13294" s="117">
        <v>0.44</v>
      </c>
    </row>
    <row r="13295" spans="1:7" x14ac:dyDescent="0.25">
      <c r="A13295" s="116" t="s">
        <v>20800</v>
      </c>
      <c r="B13295" s="117" t="s">
        <v>20801</v>
      </c>
      <c r="C13295" t="s">
        <v>67</v>
      </c>
      <c r="D13295" t="s">
        <v>67</v>
      </c>
      <c r="E13295" t="s">
        <v>67</v>
      </c>
      <c r="F13295" t="s">
        <v>49</v>
      </c>
      <c r="G13295" s="117">
        <v>0.44</v>
      </c>
    </row>
    <row r="13296" spans="1:7" x14ac:dyDescent="0.25">
      <c r="A13296" s="116" t="s">
        <v>20802</v>
      </c>
      <c r="B13296" s="117" t="s">
        <v>20803</v>
      </c>
      <c r="C13296" t="s">
        <v>67</v>
      </c>
      <c r="D13296" t="s">
        <v>67</v>
      </c>
      <c r="E13296" t="s">
        <v>67</v>
      </c>
      <c r="F13296" t="s">
        <v>27987</v>
      </c>
      <c r="G13296" s="117">
        <v>0.8</v>
      </c>
    </row>
    <row r="13297" spans="1:7" x14ac:dyDescent="0.25">
      <c r="A13297" s="116" t="s">
        <v>20804</v>
      </c>
      <c r="B13297" s="117" t="s">
        <v>20805</v>
      </c>
      <c r="C13297" t="s">
        <v>67</v>
      </c>
      <c r="D13297" t="s">
        <v>67</v>
      </c>
      <c r="E13297" t="s">
        <v>67</v>
      </c>
      <c r="F13297" t="s">
        <v>27987</v>
      </c>
      <c r="G13297" s="117">
        <v>0.44</v>
      </c>
    </row>
    <row r="13298" spans="1:7" x14ac:dyDescent="0.25">
      <c r="A13298" s="116" t="s">
        <v>20806</v>
      </c>
      <c r="B13298" s="117" t="s">
        <v>20801</v>
      </c>
      <c r="C13298" t="s">
        <v>67</v>
      </c>
      <c r="D13298" t="s">
        <v>67</v>
      </c>
      <c r="E13298" t="s">
        <v>67</v>
      </c>
      <c r="F13298" t="s">
        <v>51</v>
      </c>
      <c r="G13298" s="117">
        <v>0.44</v>
      </c>
    </row>
    <row r="13299" spans="1:7" x14ac:dyDescent="0.25">
      <c r="A13299" s="116" t="s">
        <v>20807</v>
      </c>
      <c r="B13299" s="117" t="s">
        <v>8163</v>
      </c>
      <c r="C13299" t="s">
        <v>67</v>
      </c>
      <c r="D13299" t="s">
        <v>67</v>
      </c>
      <c r="E13299" t="s">
        <v>67</v>
      </c>
      <c r="F13299" t="s">
        <v>45</v>
      </c>
      <c r="G13299" s="117">
        <v>1.33</v>
      </c>
    </row>
    <row r="13300" spans="1:7" x14ac:dyDescent="0.25">
      <c r="A13300" s="116" t="s">
        <v>20808</v>
      </c>
      <c r="B13300" s="117" t="s">
        <v>20809</v>
      </c>
      <c r="C13300" t="s">
        <v>67</v>
      </c>
      <c r="D13300" t="s">
        <v>67</v>
      </c>
      <c r="E13300" t="s">
        <v>67</v>
      </c>
      <c r="F13300" t="s">
        <v>27987</v>
      </c>
      <c r="G13300" s="117">
        <v>1.33</v>
      </c>
    </row>
    <row r="13301" spans="1:7" x14ac:dyDescent="0.25">
      <c r="A13301" s="116" t="s">
        <v>20810</v>
      </c>
      <c r="B13301" s="117" t="s">
        <v>29544</v>
      </c>
      <c r="C13301" t="s">
        <v>67</v>
      </c>
      <c r="D13301" t="s">
        <v>67</v>
      </c>
      <c r="E13301" t="s">
        <v>67</v>
      </c>
      <c r="F13301" t="s">
        <v>27990</v>
      </c>
      <c r="G13301" s="117">
        <v>0.12</v>
      </c>
    </row>
    <row r="13302" spans="1:7" x14ac:dyDescent="0.25">
      <c r="A13302" s="116" t="s">
        <v>20811</v>
      </c>
      <c r="B13302" s="117" t="s">
        <v>20812</v>
      </c>
      <c r="C13302" t="s">
        <v>67</v>
      </c>
      <c r="D13302" t="s">
        <v>67</v>
      </c>
      <c r="E13302" t="s">
        <v>67</v>
      </c>
      <c r="F13302" t="s">
        <v>45</v>
      </c>
      <c r="G13302" s="117">
        <v>17.36</v>
      </c>
    </row>
    <row r="13303" spans="1:7" x14ac:dyDescent="0.25">
      <c r="A13303" s="116" t="s">
        <v>20813</v>
      </c>
      <c r="B13303" s="117" t="s">
        <v>20814</v>
      </c>
      <c r="C13303" t="s">
        <v>67</v>
      </c>
      <c r="D13303" t="s">
        <v>67</v>
      </c>
      <c r="E13303" t="s">
        <v>67</v>
      </c>
      <c r="F13303" t="s">
        <v>45</v>
      </c>
      <c r="G13303" s="117">
        <v>165.06</v>
      </c>
    </row>
    <row r="13304" spans="1:7" x14ac:dyDescent="0.25">
      <c r="A13304" s="116" t="s">
        <v>20815</v>
      </c>
      <c r="B13304" s="117" t="s">
        <v>20816</v>
      </c>
      <c r="C13304" t="s">
        <v>67</v>
      </c>
      <c r="D13304" t="s">
        <v>67</v>
      </c>
      <c r="E13304" t="s">
        <v>67</v>
      </c>
      <c r="F13304" t="s">
        <v>27987</v>
      </c>
      <c r="G13304" s="117">
        <v>0.8</v>
      </c>
    </row>
    <row r="13305" spans="1:7" x14ac:dyDescent="0.25">
      <c r="A13305" s="116" t="s">
        <v>20817</v>
      </c>
      <c r="B13305" s="117" t="s">
        <v>20818</v>
      </c>
      <c r="C13305" t="s">
        <v>67</v>
      </c>
      <c r="D13305" t="s">
        <v>67</v>
      </c>
      <c r="E13305" t="s">
        <v>67</v>
      </c>
      <c r="F13305" t="s">
        <v>49</v>
      </c>
      <c r="G13305" s="117">
        <v>0.89</v>
      </c>
    </row>
    <row r="13306" spans="1:7" x14ac:dyDescent="0.25">
      <c r="A13306" s="116" t="s">
        <v>20819</v>
      </c>
      <c r="B13306" s="117" t="s">
        <v>20820</v>
      </c>
      <c r="C13306" t="s">
        <v>67</v>
      </c>
      <c r="D13306" t="s">
        <v>67</v>
      </c>
      <c r="E13306" t="s">
        <v>67</v>
      </c>
      <c r="F13306" t="s">
        <v>27990</v>
      </c>
      <c r="G13306" s="117">
        <v>1.33</v>
      </c>
    </row>
    <row r="13307" spans="1:7" x14ac:dyDescent="0.25">
      <c r="A13307" s="116" t="s">
        <v>20821</v>
      </c>
      <c r="B13307" s="117" t="s">
        <v>20822</v>
      </c>
      <c r="C13307" t="s">
        <v>67</v>
      </c>
      <c r="D13307" t="s">
        <v>67</v>
      </c>
      <c r="E13307" t="s">
        <v>67</v>
      </c>
      <c r="F13307" t="s">
        <v>27987</v>
      </c>
      <c r="G13307" s="117">
        <v>2.23</v>
      </c>
    </row>
    <row r="13308" spans="1:7" x14ac:dyDescent="0.25">
      <c r="A13308" s="116" t="s">
        <v>20823</v>
      </c>
      <c r="B13308" s="117" t="s">
        <v>20824</v>
      </c>
      <c r="C13308" t="s">
        <v>67</v>
      </c>
      <c r="D13308" t="s">
        <v>67</v>
      </c>
      <c r="E13308" t="s">
        <v>67</v>
      </c>
      <c r="F13308" t="s">
        <v>27987</v>
      </c>
      <c r="G13308" s="117">
        <v>0.8</v>
      </c>
    </row>
    <row r="13309" spans="1:7" x14ac:dyDescent="0.25">
      <c r="A13309" s="116" t="s">
        <v>20825</v>
      </c>
      <c r="B13309" s="117" t="s">
        <v>20826</v>
      </c>
      <c r="C13309" t="s">
        <v>67</v>
      </c>
      <c r="D13309" t="s">
        <v>67</v>
      </c>
      <c r="E13309" t="s">
        <v>67</v>
      </c>
      <c r="F13309" t="s">
        <v>49</v>
      </c>
      <c r="G13309" s="117">
        <v>0.89</v>
      </c>
    </row>
    <row r="13310" spans="1:7" x14ac:dyDescent="0.25">
      <c r="A13310" s="116" t="s">
        <v>20827</v>
      </c>
      <c r="B13310" s="117" t="s">
        <v>20828</v>
      </c>
      <c r="C13310" t="s">
        <v>67</v>
      </c>
      <c r="D13310" t="s">
        <v>67</v>
      </c>
      <c r="E13310" t="s">
        <v>67</v>
      </c>
      <c r="F13310" t="s">
        <v>51</v>
      </c>
      <c r="G13310" s="117">
        <v>3.48</v>
      </c>
    </row>
    <row r="13311" spans="1:7" x14ac:dyDescent="0.25">
      <c r="A13311" s="116" t="s">
        <v>20829</v>
      </c>
      <c r="B13311" s="117" t="s">
        <v>20830</v>
      </c>
      <c r="C13311" t="s">
        <v>67</v>
      </c>
      <c r="D13311" t="s">
        <v>67</v>
      </c>
      <c r="E13311" t="s">
        <v>67</v>
      </c>
      <c r="F13311" t="s">
        <v>45</v>
      </c>
      <c r="G13311" s="117">
        <v>0.8</v>
      </c>
    </row>
    <row r="13312" spans="1:7" x14ac:dyDescent="0.25">
      <c r="A13312" s="116" t="s">
        <v>20831</v>
      </c>
      <c r="B13312" s="117" t="s">
        <v>20832</v>
      </c>
      <c r="C13312" t="s">
        <v>67</v>
      </c>
      <c r="D13312" t="s">
        <v>67</v>
      </c>
      <c r="E13312" t="s">
        <v>67</v>
      </c>
      <c r="F13312" t="s">
        <v>49</v>
      </c>
      <c r="G13312" s="117">
        <v>1.33</v>
      </c>
    </row>
    <row r="13313" spans="1:7" x14ac:dyDescent="0.25">
      <c r="A13313" s="116" t="s">
        <v>20833</v>
      </c>
      <c r="B13313" s="117" t="s">
        <v>20834</v>
      </c>
      <c r="C13313" t="s">
        <v>67</v>
      </c>
      <c r="D13313" t="s">
        <v>67</v>
      </c>
      <c r="E13313" t="s">
        <v>67</v>
      </c>
      <c r="F13313" t="s">
        <v>27987</v>
      </c>
      <c r="G13313" s="117">
        <v>5.33</v>
      </c>
    </row>
    <row r="13314" spans="1:7" x14ac:dyDescent="0.25">
      <c r="A13314" s="116" t="s">
        <v>20835</v>
      </c>
      <c r="B13314" s="117" t="s">
        <v>20836</v>
      </c>
      <c r="C13314" t="s">
        <v>67</v>
      </c>
      <c r="D13314" t="s">
        <v>67</v>
      </c>
      <c r="E13314" t="s">
        <v>67</v>
      </c>
      <c r="F13314" t="s">
        <v>27987</v>
      </c>
      <c r="G13314" s="117">
        <v>3.56</v>
      </c>
    </row>
    <row r="13315" spans="1:7" x14ac:dyDescent="0.25">
      <c r="A13315" s="116" t="s">
        <v>20837</v>
      </c>
      <c r="B13315" s="117" t="s">
        <v>20838</v>
      </c>
      <c r="C13315" t="s">
        <v>67</v>
      </c>
      <c r="D13315" t="s">
        <v>67</v>
      </c>
      <c r="E13315" t="s">
        <v>67</v>
      </c>
      <c r="F13315" t="s">
        <v>27987</v>
      </c>
      <c r="G13315" s="117">
        <v>3.56</v>
      </c>
    </row>
    <row r="13316" spans="1:7" x14ac:dyDescent="0.25">
      <c r="A13316" s="116" t="s">
        <v>20839</v>
      </c>
      <c r="B13316" s="117" t="s">
        <v>20840</v>
      </c>
      <c r="C13316" t="s">
        <v>67</v>
      </c>
      <c r="D13316" t="s">
        <v>67</v>
      </c>
      <c r="E13316" t="s">
        <v>67</v>
      </c>
      <c r="F13316" t="s">
        <v>49</v>
      </c>
      <c r="G13316" s="117">
        <v>1.69</v>
      </c>
    </row>
    <row r="13317" spans="1:7" x14ac:dyDescent="0.25">
      <c r="A13317" s="116" t="s">
        <v>20841</v>
      </c>
      <c r="B13317" s="117" t="s">
        <v>20842</v>
      </c>
      <c r="C13317" t="s">
        <v>67</v>
      </c>
      <c r="D13317" t="s">
        <v>67</v>
      </c>
      <c r="E13317" t="s">
        <v>67</v>
      </c>
      <c r="F13317" t="s">
        <v>51</v>
      </c>
      <c r="G13317" s="117">
        <v>8.4499999999999993</v>
      </c>
    </row>
    <row r="13318" spans="1:7" x14ac:dyDescent="0.25">
      <c r="A13318" s="116" t="s">
        <v>20843</v>
      </c>
      <c r="B13318" s="117" t="s">
        <v>13042</v>
      </c>
      <c r="C13318" t="s">
        <v>67</v>
      </c>
      <c r="D13318" t="s">
        <v>67</v>
      </c>
      <c r="E13318" t="s">
        <v>67</v>
      </c>
      <c r="F13318" t="s">
        <v>45</v>
      </c>
      <c r="G13318" s="117">
        <v>0.8</v>
      </c>
    </row>
    <row r="13319" spans="1:7" x14ac:dyDescent="0.25">
      <c r="A13319" s="116" t="s">
        <v>20844</v>
      </c>
      <c r="B13319" s="117" t="s">
        <v>13042</v>
      </c>
      <c r="C13319" t="s">
        <v>67</v>
      </c>
      <c r="D13319" t="s">
        <v>67</v>
      </c>
      <c r="E13319" t="s">
        <v>67</v>
      </c>
      <c r="F13319" t="s">
        <v>45</v>
      </c>
      <c r="G13319" s="117">
        <v>0.8</v>
      </c>
    </row>
    <row r="13320" spans="1:7" x14ac:dyDescent="0.25">
      <c r="A13320" s="116" t="s">
        <v>20845</v>
      </c>
      <c r="B13320" s="117" t="s">
        <v>20846</v>
      </c>
      <c r="C13320" t="s">
        <v>67</v>
      </c>
      <c r="D13320" t="s">
        <v>67</v>
      </c>
      <c r="E13320" t="s">
        <v>67</v>
      </c>
      <c r="F13320" t="s">
        <v>27987</v>
      </c>
      <c r="G13320" s="117">
        <v>0.8</v>
      </c>
    </row>
    <row r="13321" spans="1:7" x14ac:dyDescent="0.25">
      <c r="A13321" s="116" t="s">
        <v>20847</v>
      </c>
      <c r="B13321" s="117" t="s">
        <v>20848</v>
      </c>
      <c r="C13321" t="s">
        <v>67</v>
      </c>
      <c r="D13321" t="s">
        <v>67</v>
      </c>
      <c r="E13321" t="s">
        <v>67</v>
      </c>
      <c r="F13321" t="s">
        <v>27987</v>
      </c>
      <c r="G13321" s="117">
        <v>4.3600000000000003</v>
      </c>
    </row>
    <row r="13322" spans="1:7" x14ac:dyDescent="0.25">
      <c r="A13322" s="116" t="s">
        <v>20849</v>
      </c>
      <c r="B13322" s="117" t="s">
        <v>20850</v>
      </c>
      <c r="C13322" t="s">
        <v>67</v>
      </c>
      <c r="D13322" t="s">
        <v>67</v>
      </c>
      <c r="E13322" t="s">
        <v>67</v>
      </c>
      <c r="F13322" t="s">
        <v>49</v>
      </c>
      <c r="G13322" s="117">
        <v>5.33</v>
      </c>
    </row>
    <row r="13323" spans="1:7" x14ac:dyDescent="0.25">
      <c r="A13323" s="116" t="s">
        <v>20851</v>
      </c>
      <c r="B13323" s="117" t="s">
        <v>20852</v>
      </c>
      <c r="C13323" t="s">
        <v>67</v>
      </c>
      <c r="D13323" t="s">
        <v>67</v>
      </c>
      <c r="E13323" t="s">
        <v>67</v>
      </c>
      <c r="F13323" t="s">
        <v>51</v>
      </c>
      <c r="G13323" s="117">
        <v>1.33</v>
      </c>
    </row>
    <row r="13324" spans="1:7" x14ac:dyDescent="0.25">
      <c r="A13324" s="116" t="s">
        <v>20853</v>
      </c>
      <c r="B13324" s="117" t="s">
        <v>20854</v>
      </c>
      <c r="C13324" t="s">
        <v>67</v>
      </c>
      <c r="D13324" t="s">
        <v>67</v>
      </c>
      <c r="E13324" t="s">
        <v>67</v>
      </c>
      <c r="F13324" t="s">
        <v>27987</v>
      </c>
      <c r="G13324" s="117">
        <v>14.14</v>
      </c>
    </row>
    <row r="13325" spans="1:7" x14ac:dyDescent="0.25">
      <c r="A13325" s="116" t="s">
        <v>20855</v>
      </c>
      <c r="B13325" s="117" t="s">
        <v>20848</v>
      </c>
      <c r="C13325" t="s">
        <v>67</v>
      </c>
      <c r="D13325" t="s">
        <v>67</v>
      </c>
      <c r="E13325" t="s">
        <v>67</v>
      </c>
      <c r="F13325" t="s">
        <v>27987</v>
      </c>
      <c r="G13325" s="117">
        <v>8.81</v>
      </c>
    </row>
    <row r="13326" spans="1:7" x14ac:dyDescent="0.25">
      <c r="A13326" s="116" t="s">
        <v>29545</v>
      </c>
      <c r="B13326" s="117" t="s">
        <v>13042</v>
      </c>
      <c r="C13326" t="s">
        <v>67</v>
      </c>
      <c r="D13326" t="s">
        <v>67</v>
      </c>
      <c r="E13326" t="s">
        <v>67</v>
      </c>
      <c r="F13326" t="s">
        <v>45</v>
      </c>
      <c r="G13326" s="117">
        <v>0</v>
      </c>
    </row>
    <row r="13327" spans="1:7" x14ac:dyDescent="0.25">
      <c r="A13327" s="116" t="s">
        <v>20856</v>
      </c>
      <c r="B13327" s="117" t="s">
        <v>20857</v>
      </c>
      <c r="C13327" t="s">
        <v>67</v>
      </c>
      <c r="D13327" t="s">
        <v>67</v>
      </c>
      <c r="E13327" t="s">
        <v>67</v>
      </c>
      <c r="F13327" t="s">
        <v>27987</v>
      </c>
      <c r="G13327" s="117">
        <v>4.8899999999999997</v>
      </c>
    </row>
    <row r="13328" spans="1:7" x14ac:dyDescent="0.25">
      <c r="A13328" s="116" t="s">
        <v>29975</v>
      </c>
      <c r="B13328" s="117" t="s">
        <v>13042</v>
      </c>
      <c r="C13328" t="s">
        <v>67</v>
      </c>
      <c r="D13328" t="s">
        <v>67</v>
      </c>
      <c r="E13328" t="s">
        <v>67</v>
      </c>
      <c r="F13328" t="s">
        <v>27987</v>
      </c>
      <c r="G13328" s="117">
        <v>12</v>
      </c>
    </row>
    <row r="13329" spans="1:7" x14ac:dyDescent="0.25">
      <c r="A13329" s="116" t="s">
        <v>28164</v>
      </c>
      <c r="B13329" s="117" t="s">
        <v>30036</v>
      </c>
      <c r="C13329" t="s">
        <v>67</v>
      </c>
      <c r="D13329" t="s">
        <v>67</v>
      </c>
      <c r="E13329" t="s">
        <v>67</v>
      </c>
      <c r="F13329" t="s">
        <v>49</v>
      </c>
      <c r="G13329" s="117">
        <v>6</v>
      </c>
    </row>
    <row r="13330" spans="1:7" x14ac:dyDescent="0.25">
      <c r="A13330" s="116" t="s">
        <v>20858</v>
      </c>
      <c r="B13330" s="117" t="s">
        <v>20859</v>
      </c>
      <c r="C13330" t="s">
        <v>67</v>
      </c>
      <c r="D13330" t="s">
        <v>67</v>
      </c>
      <c r="E13330" t="s">
        <v>67</v>
      </c>
      <c r="F13330" t="s">
        <v>45</v>
      </c>
      <c r="G13330" s="117">
        <v>159.19</v>
      </c>
    </row>
    <row r="13331" spans="1:7" x14ac:dyDescent="0.25">
      <c r="A13331" s="116" t="s">
        <v>20860</v>
      </c>
      <c r="B13331" s="117" t="s">
        <v>20859</v>
      </c>
      <c r="C13331" t="s">
        <v>67</v>
      </c>
      <c r="D13331" t="s">
        <v>67</v>
      </c>
      <c r="E13331" t="s">
        <v>67</v>
      </c>
      <c r="F13331" t="s">
        <v>45</v>
      </c>
      <c r="G13331" s="117">
        <v>35.5</v>
      </c>
    </row>
    <row r="13332" spans="1:7" x14ac:dyDescent="0.25">
      <c r="A13332" s="116" t="s">
        <v>20861</v>
      </c>
      <c r="B13332" s="117" t="s">
        <v>20862</v>
      </c>
      <c r="C13332" t="s">
        <v>67</v>
      </c>
      <c r="D13332" t="s">
        <v>67</v>
      </c>
      <c r="E13332" t="s">
        <v>67</v>
      </c>
      <c r="F13332" t="s">
        <v>27987</v>
      </c>
      <c r="G13332" s="117">
        <v>23.94</v>
      </c>
    </row>
    <row r="13333" spans="1:7" x14ac:dyDescent="0.25">
      <c r="A13333" s="116" t="s">
        <v>20863</v>
      </c>
      <c r="B13333" s="117" t="s">
        <v>20864</v>
      </c>
      <c r="C13333" t="s">
        <v>67</v>
      </c>
      <c r="D13333" t="s">
        <v>67</v>
      </c>
      <c r="E13333" t="s">
        <v>67</v>
      </c>
      <c r="F13333" t="s">
        <v>45</v>
      </c>
      <c r="G13333" s="117">
        <v>371.42</v>
      </c>
    </row>
    <row r="13334" spans="1:7" x14ac:dyDescent="0.25">
      <c r="A13334" s="116" t="s">
        <v>20865</v>
      </c>
      <c r="B13334" s="117" t="s">
        <v>20866</v>
      </c>
      <c r="C13334" t="s">
        <v>67</v>
      </c>
      <c r="D13334" t="s">
        <v>67</v>
      </c>
      <c r="E13334" t="s">
        <v>67</v>
      </c>
      <c r="F13334" t="s">
        <v>27987</v>
      </c>
      <c r="G13334" s="117">
        <v>451.94</v>
      </c>
    </row>
    <row r="13335" spans="1:7" x14ac:dyDescent="0.25">
      <c r="A13335" s="116" t="s">
        <v>20867</v>
      </c>
      <c r="B13335" s="117" t="s">
        <v>20868</v>
      </c>
      <c r="C13335" t="s">
        <v>67</v>
      </c>
      <c r="D13335" t="s">
        <v>67</v>
      </c>
      <c r="E13335" t="s">
        <v>67</v>
      </c>
      <c r="F13335" t="s">
        <v>27987</v>
      </c>
      <c r="G13335" s="117">
        <v>14.14</v>
      </c>
    </row>
    <row r="13336" spans="1:7" x14ac:dyDescent="0.25">
      <c r="A13336" s="116" t="s">
        <v>27602</v>
      </c>
      <c r="B13336" s="117" t="s">
        <v>20869</v>
      </c>
      <c r="C13336" t="s">
        <v>67</v>
      </c>
      <c r="D13336" t="s">
        <v>67</v>
      </c>
      <c r="E13336" t="s">
        <v>67</v>
      </c>
      <c r="F13336" t="s">
        <v>45</v>
      </c>
      <c r="G13336" s="117">
        <v>87.64</v>
      </c>
    </row>
    <row r="13337" spans="1:7" x14ac:dyDescent="0.25">
      <c r="A13337" s="116" t="s">
        <v>27603</v>
      </c>
      <c r="B13337" s="117" t="s">
        <v>20870</v>
      </c>
      <c r="C13337" t="s">
        <v>67</v>
      </c>
      <c r="D13337" t="s">
        <v>67</v>
      </c>
      <c r="E13337" t="s">
        <v>67</v>
      </c>
      <c r="F13337" t="s">
        <v>45</v>
      </c>
      <c r="G13337" s="117">
        <v>79.11</v>
      </c>
    </row>
    <row r="13338" spans="1:7" x14ac:dyDescent="0.25">
      <c r="A13338" s="116" t="s">
        <v>27604</v>
      </c>
      <c r="B13338" s="117" t="s">
        <v>20871</v>
      </c>
      <c r="C13338" t="s">
        <v>67</v>
      </c>
      <c r="D13338" t="s">
        <v>67</v>
      </c>
      <c r="E13338" t="s">
        <v>67</v>
      </c>
      <c r="F13338" t="s">
        <v>45</v>
      </c>
      <c r="G13338" s="117">
        <v>191.23</v>
      </c>
    </row>
    <row r="13339" spans="1:7" x14ac:dyDescent="0.25">
      <c r="A13339" s="116" t="s">
        <v>27605</v>
      </c>
      <c r="B13339" s="117" t="s">
        <v>20872</v>
      </c>
      <c r="C13339" t="s">
        <v>67</v>
      </c>
      <c r="D13339" t="s">
        <v>67</v>
      </c>
      <c r="E13339" t="s">
        <v>67</v>
      </c>
      <c r="F13339" t="s">
        <v>45</v>
      </c>
      <c r="G13339" s="117">
        <v>292.06</v>
      </c>
    </row>
    <row r="13340" spans="1:7" x14ac:dyDescent="0.25">
      <c r="A13340" s="116" t="s">
        <v>20873</v>
      </c>
      <c r="B13340" s="117" t="s">
        <v>20874</v>
      </c>
      <c r="C13340" t="s">
        <v>67</v>
      </c>
      <c r="D13340" t="s">
        <v>67</v>
      </c>
      <c r="E13340" t="s">
        <v>67</v>
      </c>
      <c r="F13340" t="s">
        <v>45</v>
      </c>
      <c r="G13340" s="117">
        <v>23.94</v>
      </c>
    </row>
    <row r="13341" spans="1:7" x14ac:dyDescent="0.25">
      <c r="A13341" s="116" t="s">
        <v>27606</v>
      </c>
      <c r="B13341" s="117" t="s">
        <v>26551</v>
      </c>
      <c r="C13341" t="s">
        <v>67</v>
      </c>
      <c r="D13341" t="s">
        <v>67</v>
      </c>
      <c r="E13341" t="s">
        <v>67</v>
      </c>
      <c r="F13341" t="s">
        <v>45</v>
      </c>
      <c r="G13341" s="117">
        <v>0</v>
      </c>
    </row>
    <row r="13342" spans="1:7" x14ac:dyDescent="0.25">
      <c r="A13342" s="116" t="s">
        <v>20875</v>
      </c>
      <c r="B13342" s="117" t="s">
        <v>20876</v>
      </c>
      <c r="C13342" t="s">
        <v>67</v>
      </c>
      <c r="D13342" t="s">
        <v>67</v>
      </c>
      <c r="E13342" t="s">
        <v>67</v>
      </c>
      <c r="F13342" t="s">
        <v>49</v>
      </c>
      <c r="G13342" s="117">
        <v>35.5</v>
      </c>
    </row>
    <row r="13343" spans="1:7" x14ac:dyDescent="0.25">
      <c r="A13343" s="116" t="s">
        <v>20877</v>
      </c>
      <c r="B13343" s="117" t="s">
        <v>20878</v>
      </c>
      <c r="C13343" t="s">
        <v>67</v>
      </c>
      <c r="D13343" t="s">
        <v>67</v>
      </c>
      <c r="E13343" t="s">
        <v>67</v>
      </c>
      <c r="F13343" t="s">
        <v>27987</v>
      </c>
      <c r="G13343" s="117">
        <v>55.62</v>
      </c>
    </row>
    <row r="13344" spans="1:7" x14ac:dyDescent="0.25">
      <c r="A13344" s="116" t="s">
        <v>20879</v>
      </c>
      <c r="B13344" s="117" t="s">
        <v>20880</v>
      </c>
      <c r="C13344" t="s">
        <v>67</v>
      </c>
      <c r="D13344" t="s">
        <v>67</v>
      </c>
      <c r="E13344" t="s">
        <v>67</v>
      </c>
      <c r="F13344" t="s">
        <v>27990</v>
      </c>
      <c r="G13344" s="117">
        <v>51.61</v>
      </c>
    </row>
    <row r="13345" spans="1:7" x14ac:dyDescent="0.25">
      <c r="A13345" s="116" t="s">
        <v>20881</v>
      </c>
      <c r="B13345" s="117" t="s">
        <v>20882</v>
      </c>
      <c r="C13345" t="s">
        <v>67</v>
      </c>
      <c r="D13345" t="s">
        <v>67</v>
      </c>
      <c r="E13345" t="s">
        <v>67</v>
      </c>
      <c r="F13345" t="s">
        <v>49</v>
      </c>
      <c r="G13345" s="117">
        <v>84.08</v>
      </c>
    </row>
    <row r="13346" spans="1:7" x14ac:dyDescent="0.25">
      <c r="A13346" s="116" t="s">
        <v>20883</v>
      </c>
      <c r="B13346" s="117" t="s">
        <v>20876</v>
      </c>
      <c r="C13346" t="s">
        <v>67</v>
      </c>
      <c r="D13346" t="s">
        <v>67</v>
      </c>
      <c r="E13346" t="s">
        <v>67</v>
      </c>
      <c r="F13346" t="s">
        <v>49</v>
      </c>
      <c r="G13346" s="117">
        <v>26.25</v>
      </c>
    </row>
    <row r="13347" spans="1:7" x14ac:dyDescent="0.25">
      <c r="A13347" s="116" t="s">
        <v>20884</v>
      </c>
      <c r="B13347" s="117" t="s">
        <v>20880</v>
      </c>
      <c r="C13347" t="s">
        <v>67</v>
      </c>
      <c r="D13347" t="s">
        <v>67</v>
      </c>
      <c r="E13347" t="s">
        <v>67</v>
      </c>
      <c r="F13347" t="s">
        <v>49</v>
      </c>
      <c r="G13347" s="117">
        <v>24.48</v>
      </c>
    </row>
    <row r="13348" spans="1:7" x14ac:dyDescent="0.25">
      <c r="A13348" s="116" t="s">
        <v>20885</v>
      </c>
      <c r="B13348" s="117" t="s">
        <v>20886</v>
      </c>
      <c r="C13348" t="s">
        <v>67</v>
      </c>
      <c r="D13348" t="s">
        <v>67</v>
      </c>
      <c r="E13348" t="s">
        <v>67</v>
      </c>
      <c r="F13348" t="s">
        <v>45</v>
      </c>
      <c r="G13348" s="117">
        <v>72.88</v>
      </c>
    </row>
    <row r="13349" spans="1:7" x14ac:dyDescent="0.25">
      <c r="A13349" s="116" t="s">
        <v>20887</v>
      </c>
      <c r="B13349" s="117" t="s">
        <v>20888</v>
      </c>
      <c r="C13349" t="s">
        <v>67</v>
      </c>
      <c r="D13349" t="s">
        <v>67</v>
      </c>
      <c r="E13349" t="s">
        <v>67</v>
      </c>
      <c r="F13349" t="s">
        <v>27987</v>
      </c>
      <c r="G13349" s="117">
        <v>73.760000000000005</v>
      </c>
    </row>
    <row r="13350" spans="1:7" x14ac:dyDescent="0.25">
      <c r="A13350" s="116" t="s">
        <v>20889</v>
      </c>
      <c r="B13350" s="117" t="s">
        <v>20890</v>
      </c>
      <c r="C13350" t="s">
        <v>67</v>
      </c>
      <c r="D13350" t="s">
        <v>67</v>
      </c>
      <c r="E13350" t="s">
        <v>67</v>
      </c>
      <c r="F13350" t="s">
        <v>27987</v>
      </c>
      <c r="G13350" s="117">
        <v>107.58</v>
      </c>
    </row>
    <row r="13351" spans="1:7" x14ac:dyDescent="0.25">
      <c r="A13351" s="116" t="s">
        <v>27607</v>
      </c>
      <c r="B13351" s="117" t="s">
        <v>20891</v>
      </c>
      <c r="C13351" t="s">
        <v>67</v>
      </c>
      <c r="D13351" t="s">
        <v>67</v>
      </c>
      <c r="E13351" t="s">
        <v>67</v>
      </c>
      <c r="F13351" t="s">
        <v>45</v>
      </c>
      <c r="G13351" s="117">
        <v>3.77</v>
      </c>
    </row>
    <row r="13352" spans="1:7" x14ac:dyDescent="0.25">
      <c r="A13352" s="116" t="s">
        <v>27608</v>
      </c>
      <c r="B13352" s="117" t="s">
        <v>20892</v>
      </c>
      <c r="C13352" t="s">
        <v>67</v>
      </c>
      <c r="D13352" t="s">
        <v>67</v>
      </c>
      <c r="E13352" t="s">
        <v>67</v>
      </c>
      <c r="F13352" t="s">
        <v>49</v>
      </c>
      <c r="G13352" s="117">
        <v>14.14</v>
      </c>
    </row>
    <row r="13353" spans="1:7" x14ac:dyDescent="0.25">
      <c r="A13353" s="116" t="s">
        <v>27609</v>
      </c>
      <c r="B13353" s="117" t="s">
        <v>20893</v>
      </c>
      <c r="C13353" t="s">
        <v>67</v>
      </c>
      <c r="D13353" t="s">
        <v>67</v>
      </c>
      <c r="E13353" t="s">
        <v>67</v>
      </c>
      <c r="F13353" t="s">
        <v>45</v>
      </c>
      <c r="G13353" s="117">
        <v>55.62</v>
      </c>
    </row>
    <row r="13354" spans="1:7" x14ac:dyDescent="0.25">
      <c r="A13354" s="116" t="s">
        <v>27610</v>
      </c>
      <c r="B13354" s="117" t="s">
        <v>20894</v>
      </c>
      <c r="C13354" t="s">
        <v>67</v>
      </c>
      <c r="D13354" t="s">
        <v>67</v>
      </c>
      <c r="E13354" t="s">
        <v>67</v>
      </c>
      <c r="F13354" t="s">
        <v>45</v>
      </c>
      <c r="G13354" s="117">
        <v>76.98</v>
      </c>
    </row>
    <row r="13355" spans="1:7" x14ac:dyDescent="0.25">
      <c r="A13355" s="116" t="s">
        <v>27611</v>
      </c>
      <c r="B13355" s="117" t="s">
        <v>20895</v>
      </c>
      <c r="C13355" t="s">
        <v>67</v>
      </c>
      <c r="D13355" t="s">
        <v>67</v>
      </c>
      <c r="E13355" t="s">
        <v>67</v>
      </c>
      <c r="F13355" t="s">
        <v>45</v>
      </c>
      <c r="G13355" s="117">
        <v>8.4499999999999993</v>
      </c>
    </row>
    <row r="13356" spans="1:7" x14ac:dyDescent="0.25">
      <c r="A13356" s="116" t="s">
        <v>27612</v>
      </c>
      <c r="B13356" s="117" t="s">
        <v>20896</v>
      </c>
      <c r="C13356" t="s">
        <v>67</v>
      </c>
      <c r="D13356" t="s">
        <v>67</v>
      </c>
      <c r="E13356" t="s">
        <v>67</v>
      </c>
      <c r="F13356" t="s">
        <v>45</v>
      </c>
      <c r="G13356" s="117">
        <v>4.3600000000000003</v>
      </c>
    </row>
    <row r="13357" spans="1:7" x14ac:dyDescent="0.25">
      <c r="A13357" s="116" t="s">
        <v>27613</v>
      </c>
      <c r="B13357" s="117" t="s">
        <v>20897</v>
      </c>
      <c r="C13357" t="s">
        <v>67</v>
      </c>
      <c r="D13357" t="s">
        <v>67</v>
      </c>
      <c r="E13357" t="s">
        <v>67</v>
      </c>
      <c r="F13357" t="s">
        <v>49</v>
      </c>
      <c r="G13357" s="117">
        <v>2.58</v>
      </c>
    </row>
    <row r="13358" spans="1:7" x14ac:dyDescent="0.25">
      <c r="A13358" s="116" t="s">
        <v>27614</v>
      </c>
      <c r="B13358" s="117" t="s">
        <v>20898</v>
      </c>
      <c r="C13358" t="s">
        <v>67</v>
      </c>
      <c r="D13358" t="s">
        <v>67</v>
      </c>
      <c r="E13358" t="s">
        <v>67</v>
      </c>
      <c r="F13358" t="s">
        <v>49</v>
      </c>
      <c r="G13358" s="117">
        <v>2.58</v>
      </c>
    </row>
    <row r="13359" spans="1:7" x14ac:dyDescent="0.25">
      <c r="A13359" s="116" t="s">
        <v>27615</v>
      </c>
      <c r="B13359" s="117" t="s">
        <v>3551</v>
      </c>
      <c r="C13359" t="s">
        <v>67</v>
      </c>
      <c r="D13359" t="s">
        <v>67</v>
      </c>
      <c r="E13359" t="s">
        <v>67</v>
      </c>
      <c r="F13359" t="s">
        <v>49</v>
      </c>
      <c r="G13359" s="117">
        <v>21.26</v>
      </c>
    </row>
    <row r="13360" spans="1:7" x14ac:dyDescent="0.25">
      <c r="A13360" s="116" t="s">
        <v>27616</v>
      </c>
      <c r="B13360" s="117" t="s">
        <v>12183</v>
      </c>
      <c r="C13360" t="s">
        <v>67</v>
      </c>
      <c r="D13360" t="s">
        <v>67</v>
      </c>
      <c r="E13360" t="s">
        <v>67</v>
      </c>
      <c r="F13360" t="s">
        <v>27987</v>
      </c>
      <c r="G13360" s="117">
        <v>54.19</v>
      </c>
    </row>
    <row r="13361" spans="1:7" x14ac:dyDescent="0.25">
      <c r="A13361" s="116" t="s">
        <v>27617</v>
      </c>
      <c r="B13361" s="117" t="s">
        <v>20899</v>
      </c>
      <c r="C13361" t="s">
        <v>67</v>
      </c>
      <c r="D13361" t="s">
        <v>67</v>
      </c>
      <c r="E13361" t="s">
        <v>67</v>
      </c>
      <c r="F13361" t="s">
        <v>27987</v>
      </c>
      <c r="G13361" s="117">
        <v>27.14</v>
      </c>
    </row>
    <row r="13362" spans="1:7" x14ac:dyDescent="0.25">
      <c r="A13362" s="116" t="s">
        <v>27618</v>
      </c>
      <c r="B13362" s="117" t="s">
        <v>20900</v>
      </c>
      <c r="C13362" t="s">
        <v>67</v>
      </c>
      <c r="D13362" t="s">
        <v>67</v>
      </c>
      <c r="E13362" t="s">
        <v>67</v>
      </c>
      <c r="F13362" t="s">
        <v>27987</v>
      </c>
      <c r="G13362" s="117">
        <v>26.25</v>
      </c>
    </row>
    <row r="13363" spans="1:7" x14ac:dyDescent="0.25">
      <c r="A13363" s="116" t="s">
        <v>27619</v>
      </c>
      <c r="B13363" s="117" t="s">
        <v>20901</v>
      </c>
      <c r="C13363" t="s">
        <v>67</v>
      </c>
      <c r="D13363" t="s">
        <v>67</v>
      </c>
      <c r="E13363" t="s">
        <v>67</v>
      </c>
      <c r="F13363" t="s">
        <v>49</v>
      </c>
      <c r="G13363" s="117">
        <v>29.81</v>
      </c>
    </row>
    <row r="13364" spans="1:7" x14ac:dyDescent="0.25">
      <c r="A13364" s="116" t="s">
        <v>27620</v>
      </c>
      <c r="B13364" s="117" t="s">
        <v>20902</v>
      </c>
      <c r="C13364" t="s">
        <v>67</v>
      </c>
      <c r="D13364" t="s">
        <v>67</v>
      </c>
      <c r="E13364" t="s">
        <v>67</v>
      </c>
      <c r="F13364" t="s">
        <v>27987</v>
      </c>
      <c r="G13364" s="117">
        <v>24.82</v>
      </c>
    </row>
    <row r="13365" spans="1:7" x14ac:dyDescent="0.25">
      <c r="A13365" s="116" t="s">
        <v>27621</v>
      </c>
      <c r="B13365" s="117" t="s">
        <v>20903</v>
      </c>
      <c r="C13365" t="s">
        <v>67</v>
      </c>
      <c r="D13365" t="s">
        <v>67</v>
      </c>
      <c r="E13365" t="s">
        <v>67</v>
      </c>
      <c r="F13365" t="s">
        <v>27987</v>
      </c>
      <c r="G13365" s="117">
        <v>21.26</v>
      </c>
    </row>
    <row r="13366" spans="1:7" x14ac:dyDescent="0.25">
      <c r="A13366" s="116" t="s">
        <v>27622</v>
      </c>
      <c r="B13366" s="117" t="s">
        <v>20903</v>
      </c>
      <c r="C13366" t="s">
        <v>67</v>
      </c>
      <c r="D13366" t="s">
        <v>67</v>
      </c>
      <c r="E13366" t="s">
        <v>67</v>
      </c>
      <c r="F13366" t="s">
        <v>27987</v>
      </c>
      <c r="G13366" s="117">
        <v>22.69</v>
      </c>
    </row>
    <row r="13367" spans="1:7" x14ac:dyDescent="0.25">
      <c r="A13367" s="116" t="s">
        <v>27623</v>
      </c>
      <c r="B13367" s="117" t="s">
        <v>20904</v>
      </c>
      <c r="C13367" t="s">
        <v>67</v>
      </c>
      <c r="D13367" t="s">
        <v>67</v>
      </c>
      <c r="E13367" t="s">
        <v>67</v>
      </c>
      <c r="F13367" t="s">
        <v>45</v>
      </c>
      <c r="G13367" s="117">
        <v>53.3</v>
      </c>
    </row>
    <row r="13368" spans="1:7" x14ac:dyDescent="0.25">
      <c r="A13368" s="116" t="s">
        <v>27624</v>
      </c>
      <c r="B13368" s="117" t="s">
        <v>20905</v>
      </c>
      <c r="C13368" t="s">
        <v>67</v>
      </c>
      <c r="D13368" t="s">
        <v>67</v>
      </c>
      <c r="E13368" t="s">
        <v>67</v>
      </c>
      <c r="F13368" t="s">
        <v>45</v>
      </c>
      <c r="G13368" s="117">
        <v>48.5</v>
      </c>
    </row>
    <row r="13369" spans="1:7" x14ac:dyDescent="0.25">
      <c r="A13369" s="116" t="s">
        <v>27625</v>
      </c>
      <c r="B13369" s="117" t="s">
        <v>20906</v>
      </c>
      <c r="C13369" t="s">
        <v>67</v>
      </c>
      <c r="D13369" t="s">
        <v>67</v>
      </c>
      <c r="E13369" t="s">
        <v>67</v>
      </c>
      <c r="F13369" t="s">
        <v>45</v>
      </c>
      <c r="G13369" s="117">
        <v>49.74</v>
      </c>
    </row>
    <row r="13370" spans="1:7" x14ac:dyDescent="0.25">
      <c r="A13370" s="116" t="s">
        <v>27626</v>
      </c>
      <c r="B13370" s="117" t="s">
        <v>30157</v>
      </c>
      <c r="C13370" t="s">
        <v>67</v>
      </c>
      <c r="D13370" t="s">
        <v>67</v>
      </c>
      <c r="E13370" t="s">
        <v>67</v>
      </c>
      <c r="F13370" t="s">
        <v>45</v>
      </c>
      <c r="G13370" s="117">
        <v>80.52</v>
      </c>
    </row>
    <row r="13371" spans="1:7" x14ac:dyDescent="0.25">
      <c r="A13371" s="116" t="s">
        <v>27627</v>
      </c>
      <c r="B13371" s="117" t="s">
        <v>20907</v>
      </c>
      <c r="C13371" t="s">
        <v>67</v>
      </c>
      <c r="D13371" t="s">
        <v>67</v>
      </c>
      <c r="E13371" t="s">
        <v>67</v>
      </c>
      <c r="F13371" t="s">
        <v>27987</v>
      </c>
      <c r="G13371" s="117">
        <v>24.82</v>
      </c>
    </row>
    <row r="13372" spans="1:7" x14ac:dyDescent="0.25">
      <c r="A13372" s="116" t="s">
        <v>27628</v>
      </c>
      <c r="B13372" s="117" t="s">
        <v>20908</v>
      </c>
      <c r="C13372" t="s">
        <v>67</v>
      </c>
      <c r="D13372" t="s">
        <v>67</v>
      </c>
      <c r="E13372" t="s">
        <v>67</v>
      </c>
      <c r="F13372" t="s">
        <v>49</v>
      </c>
      <c r="G13372" s="117">
        <v>2.23</v>
      </c>
    </row>
    <row r="13373" spans="1:7" x14ac:dyDescent="0.25">
      <c r="A13373" s="116" t="s">
        <v>27629</v>
      </c>
      <c r="B13373" s="117" t="s">
        <v>20909</v>
      </c>
      <c r="C13373" t="s">
        <v>67</v>
      </c>
      <c r="D13373" t="s">
        <v>67</v>
      </c>
      <c r="E13373" t="s">
        <v>67</v>
      </c>
      <c r="F13373" t="s">
        <v>49</v>
      </c>
      <c r="G13373" s="117">
        <v>2.58</v>
      </c>
    </row>
    <row r="13374" spans="1:7" x14ac:dyDescent="0.25">
      <c r="A13374" s="116" t="s">
        <v>27630</v>
      </c>
      <c r="B13374" s="117" t="s">
        <v>20910</v>
      </c>
      <c r="C13374" t="s">
        <v>67</v>
      </c>
      <c r="D13374" t="s">
        <v>67</v>
      </c>
      <c r="E13374" t="s">
        <v>67</v>
      </c>
      <c r="F13374" t="s">
        <v>49</v>
      </c>
      <c r="G13374" s="117">
        <v>7.12</v>
      </c>
    </row>
    <row r="13375" spans="1:7" x14ac:dyDescent="0.25">
      <c r="A13375" s="116" t="s">
        <v>27631</v>
      </c>
      <c r="B13375" s="117" t="s">
        <v>20911</v>
      </c>
      <c r="C13375" t="s">
        <v>67</v>
      </c>
      <c r="D13375" t="s">
        <v>67</v>
      </c>
      <c r="E13375" t="s">
        <v>67</v>
      </c>
      <c r="F13375" t="s">
        <v>27987</v>
      </c>
      <c r="G13375" s="117">
        <v>8.4499999999999993</v>
      </c>
    </row>
    <row r="13376" spans="1:7" x14ac:dyDescent="0.25">
      <c r="A13376" s="116" t="s">
        <v>27632</v>
      </c>
      <c r="B13376" s="117" t="s">
        <v>20912</v>
      </c>
      <c r="C13376" t="s">
        <v>67</v>
      </c>
      <c r="D13376" t="s">
        <v>67</v>
      </c>
      <c r="E13376" t="s">
        <v>67</v>
      </c>
      <c r="F13376" t="s">
        <v>27987</v>
      </c>
      <c r="G13376" s="117">
        <v>8.4499999999999993</v>
      </c>
    </row>
    <row r="13377" spans="1:7" x14ac:dyDescent="0.25">
      <c r="A13377" s="116" t="s">
        <v>27633</v>
      </c>
      <c r="B13377" s="117" t="s">
        <v>20913</v>
      </c>
      <c r="C13377" t="s">
        <v>67</v>
      </c>
      <c r="D13377" t="s">
        <v>67</v>
      </c>
      <c r="E13377" t="s">
        <v>67</v>
      </c>
      <c r="F13377" t="s">
        <v>27987</v>
      </c>
      <c r="G13377" s="117">
        <v>8.4499999999999993</v>
      </c>
    </row>
    <row r="13378" spans="1:7" x14ac:dyDescent="0.25">
      <c r="A13378" s="116" t="s">
        <v>27634</v>
      </c>
      <c r="B13378" s="117" t="s">
        <v>20907</v>
      </c>
      <c r="C13378" t="s">
        <v>67</v>
      </c>
      <c r="D13378" t="s">
        <v>67</v>
      </c>
      <c r="E13378" t="s">
        <v>67</v>
      </c>
      <c r="F13378" t="s">
        <v>27987</v>
      </c>
      <c r="G13378" s="117">
        <v>14.68</v>
      </c>
    </row>
    <row r="13379" spans="1:7" x14ac:dyDescent="0.25">
      <c r="A13379" s="116" t="s">
        <v>27635</v>
      </c>
      <c r="B13379" s="117" t="s">
        <v>20914</v>
      </c>
      <c r="C13379" t="s">
        <v>67</v>
      </c>
      <c r="D13379" t="s">
        <v>67</v>
      </c>
      <c r="E13379" t="s">
        <v>67</v>
      </c>
      <c r="F13379" t="s">
        <v>49</v>
      </c>
      <c r="G13379" s="117">
        <v>17.7</v>
      </c>
    </row>
    <row r="13380" spans="1:7" x14ac:dyDescent="0.25">
      <c r="A13380" s="116" t="s">
        <v>27636</v>
      </c>
      <c r="B13380" s="117" t="s">
        <v>20915</v>
      </c>
      <c r="C13380" t="s">
        <v>67</v>
      </c>
      <c r="D13380" t="s">
        <v>67</v>
      </c>
      <c r="E13380" t="s">
        <v>67</v>
      </c>
      <c r="F13380" t="s">
        <v>45</v>
      </c>
      <c r="G13380" s="117">
        <v>8.4499999999999993</v>
      </c>
    </row>
    <row r="13381" spans="1:7" x14ac:dyDescent="0.25">
      <c r="A13381" s="116" t="s">
        <v>27637</v>
      </c>
      <c r="B13381" s="117" t="s">
        <v>20916</v>
      </c>
      <c r="C13381" t="s">
        <v>67</v>
      </c>
      <c r="D13381" t="s">
        <v>67</v>
      </c>
      <c r="E13381" t="s">
        <v>67</v>
      </c>
      <c r="F13381" t="s">
        <v>27987</v>
      </c>
      <c r="G13381" s="117">
        <v>15.04</v>
      </c>
    </row>
    <row r="13382" spans="1:7" x14ac:dyDescent="0.25">
      <c r="A13382" s="116" t="s">
        <v>27638</v>
      </c>
      <c r="B13382" s="117" t="s">
        <v>20917</v>
      </c>
      <c r="C13382" t="s">
        <v>67</v>
      </c>
      <c r="D13382" t="s">
        <v>67</v>
      </c>
      <c r="E13382" t="s">
        <v>67</v>
      </c>
      <c r="F13382" t="s">
        <v>49</v>
      </c>
      <c r="G13382" s="117">
        <v>1.33</v>
      </c>
    </row>
    <row r="13383" spans="1:7" x14ac:dyDescent="0.25">
      <c r="A13383" s="116" t="s">
        <v>27639</v>
      </c>
      <c r="B13383" s="117" t="s">
        <v>20918</v>
      </c>
      <c r="C13383" t="s">
        <v>67</v>
      </c>
      <c r="D13383" t="s">
        <v>67</v>
      </c>
      <c r="E13383" t="s">
        <v>67</v>
      </c>
      <c r="F13383" t="s">
        <v>49</v>
      </c>
      <c r="G13383" s="117">
        <v>133.38</v>
      </c>
    </row>
    <row r="13384" spans="1:7" x14ac:dyDescent="0.25">
      <c r="A13384" s="116" t="s">
        <v>27640</v>
      </c>
      <c r="B13384" s="117" t="s">
        <v>20919</v>
      </c>
      <c r="C13384" t="s">
        <v>67</v>
      </c>
      <c r="D13384" t="s">
        <v>67</v>
      </c>
      <c r="E13384" t="s">
        <v>67</v>
      </c>
      <c r="F13384" t="s">
        <v>45</v>
      </c>
      <c r="G13384" s="117">
        <v>16.82</v>
      </c>
    </row>
    <row r="13385" spans="1:7" x14ac:dyDescent="0.25">
      <c r="A13385" s="116" t="s">
        <v>27641</v>
      </c>
      <c r="B13385" s="117" t="s">
        <v>20920</v>
      </c>
      <c r="C13385" t="s">
        <v>67</v>
      </c>
      <c r="D13385" t="s">
        <v>67</v>
      </c>
      <c r="E13385" t="s">
        <v>67</v>
      </c>
      <c r="F13385" t="s">
        <v>49</v>
      </c>
      <c r="G13385" s="117">
        <v>1.69</v>
      </c>
    </row>
    <row r="13386" spans="1:7" x14ac:dyDescent="0.25">
      <c r="A13386" s="116" t="s">
        <v>27642</v>
      </c>
      <c r="B13386" s="117" t="s">
        <v>20921</v>
      </c>
      <c r="C13386" t="s">
        <v>67</v>
      </c>
      <c r="D13386" t="s">
        <v>67</v>
      </c>
      <c r="E13386" t="s">
        <v>67</v>
      </c>
      <c r="F13386" t="s">
        <v>27987</v>
      </c>
      <c r="G13386" s="117">
        <v>56.86</v>
      </c>
    </row>
    <row r="13387" spans="1:7" x14ac:dyDescent="0.25">
      <c r="A13387" s="116" t="s">
        <v>27643</v>
      </c>
      <c r="B13387" s="117" t="s">
        <v>20922</v>
      </c>
      <c r="C13387" t="s">
        <v>67</v>
      </c>
      <c r="D13387" t="s">
        <v>67</v>
      </c>
      <c r="E13387" t="s">
        <v>67</v>
      </c>
      <c r="F13387" t="s">
        <v>45</v>
      </c>
      <c r="G13387" s="117">
        <v>36.93</v>
      </c>
    </row>
    <row r="13388" spans="1:7" x14ac:dyDescent="0.25">
      <c r="A13388" s="116" t="s">
        <v>27644</v>
      </c>
      <c r="B13388" s="117" t="s">
        <v>20923</v>
      </c>
      <c r="C13388" t="s">
        <v>67</v>
      </c>
      <c r="D13388" t="s">
        <v>67</v>
      </c>
      <c r="E13388" t="s">
        <v>67</v>
      </c>
      <c r="F13388" t="s">
        <v>49</v>
      </c>
      <c r="G13388" s="117">
        <v>2.58</v>
      </c>
    </row>
    <row r="13389" spans="1:7" x14ac:dyDescent="0.25">
      <c r="A13389" s="116" t="s">
        <v>27645</v>
      </c>
      <c r="B13389" s="117" t="s">
        <v>20924</v>
      </c>
      <c r="C13389" t="s">
        <v>67</v>
      </c>
      <c r="D13389" t="s">
        <v>67</v>
      </c>
      <c r="E13389" t="s">
        <v>67</v>
      </c>
      <c r="F13389" t="s">
        <v>49</v>
      </c>
      <c r="G13389" s="117">
        <v>4.8899999999999997</v>
      </c>
    </row>
    <row r="13390" spans="1:7" x14ac:dyDescent="0.25">
      <c r="A13390" s="116" t="s">
        <v>27646</v>
      </c>
      <c r="B13390" s="117" t="s">
        <v>20923</v>
      </c>
      <c r="C13390" t="s">
        <v>67</v>
      </c>
      <c r="D13390" t="s">
        <v>67</v>
      </c>
      <c r="E13390" t="s">
        <v>67</v>
      </c>
      <c r="F13390" t="s">
        <v>45</v>
      </c>
      <c r="G13390" s="117">
        <v>7.02</v>
      </c>
    </row>
    <row r="13391" spans="1:7" x14ac:dyDescent="0.25">
      <c r="A13391" s="116" t="s">
        <v>27647</v>
      </c>
      <c r="B13391" s="117" t="s">
        <v>20925</v>
      </c>
      <c r="C13391" t="s">
        <v>67</v>
      </c>
      <c r="D13391" t="s">
        <v>67</v>
      </c>
      <c r="E13391" t="s">
        <v>67</v>
      </c>
      <c r="F13391" t="s">
        <v>27987</v>
      </c>
      <c r="G13391" s="117">
        <v>37.82</v>
      </c>
    </row>
    <row r="13392" spans="1:7" x14ac:dyDescent="0.25">
      <c r="A13392" s="116" t="s">
        <v>27648</v>
      </c>
      <c r="B13392" s="117" t="s">
        <v>20926</v>
      </c>
      <c r="C13392" t="s">
        <v>67</v>
      </c>
      <c r="D13392" t="s">
        <v>67</v>
      </c>
      <c r="E13392" t="s">
        <v>67</v>
      </c>
      <c r="F13392" t="s">
        <v>49</v>
      </c>
      <c r="G13392" s="117">
        <v>6.14</v>
      </c>
    </row>
    <row r="13393" spans="1:7" x14ac:dyDescent="0.25">
      <c r="A13393" s="116" t="s">
        <v>27649</v>
      </c>
      <c r="B13393" s="117" t="s">
        <v>3551</v>
      </c>
      <c r="C13393" t="s">
        <v>67</v>
      </c>
      <c r="D13393" t="s">
        <v>67</v>
      </c>
      <c r="E13393" t="s">
        <v>67</v>
      </c>
      <c r="F13393" t="s">
        <v>27987</v>
      </c>
      <c r="G13393" s="117">
        <v>24.82</v>
      </c>
    </row>
    <row r="13394" spans="1:7" x14ac:dyDescent="0.25">
      <c r="A13394" s="116" t="s">
        <v>27650</v>
      </c>
      <c r="B13394" s="117" t="s">
        <v>20927</v>
      </c>
      <c r="C13394" t="s">
        <v>67</v>
      </c>
      <c r="D13394" t="s">
        <v>67</v>
      </c>
      <c r="E13394" t="s">
        <v>67</v>
      </c>
      <c r="F13394" t="s">
        <v>49</v>
      </c>
      <c r="G13394" s="117">
        <v>13.26</v>
      </c>
    </row>
    <row r="13395" spans="1:7" x14ac:dyDescent="0.25">
      <c r="A13395" s="116" t="s">
        <v>27651</v>
      </c>
      <c r="B13395" s="117" t="s">
        <v>20928</v>
      </c>
      <c r="C13395" t="s">
        <v>67</v>
      </c>
      <c r="D13395" t="s">
        <v>67</v>
      </c>
      <c r="E13395" t="s">
        <v>67</v>
      </c>
      <c r="F13395" t="s">
        <v>27987</v>
      </c>
      <c r="G13395" s="117">
        <v>186.42</v>
      </c>
    </row>
    <row r="13396" spans="1:7" x14ac:dyDescent="0.25">
      <c r="A13396" s="116" t="s">
        <v>27652</v>
      </c>
      <c r="B13396" s="117" t="s">
        <v>20929</v>
      </c>
      <c r="C13396" t="s">
        <v>67</v>
      </c>
      <c r="D13396" t="s">
        <v>67</v>
      </c>
      <c r="E13396" t="s">
        <v>67</v>
      </c>
      <c r="F13396" t="s">
        <v>45</v>
      </c>
      <c r="G13396" s="117">
        <v>44.4</v>
      </c>
    </row>
    <row r="13397" spans="1:7" x14ac:dyDescent="0.25">
      <c r="A13397" s="116" t="s">
        <v>27653</v>
      </c>
      <c r="B13397" s="117" t="s">
        <v>20930</v>
      </c>
      <c r="C13397" t="s">
        <v>67</v>
      </c>
      <c r="D13397" t="s">
        <v>67</v>
      </c>
      <c r="E13397" t="s">
        <v>67</v>
      </c>
      <c r="F13397" t="s">
        <v>49</v>
      </c>
      <c r="G13397" s="117">
        <v>1.69</v>
      </c>
    </row>
    <row r="13398" spans="1:7" x14ac:dyDescent="0.25">
      <c r="A13398" s="116" t="s">
        <v>27654</v>
      </c>
      <c r="B13398" s="117" t="s">
        <v>20931</v>
      </c>
      <c r="C13398" t="s">
        <v>67</v>
      </c>
      <c r="D13398" t="s">
        <v>67</v>
      </c>
      <c r="E13398" t="s">
        <v>67</v>
      </c>
      <c r="F13398" t="s">
        <v>49</v>
      </c>
      <c r="G13398" s="117">
        <v>1.69</v>
      </c>
    </row>
    <row r="13399" spans="1:7" x14ac:dyDescent="0.25">
      <c r="A13399" s="116" t="s">
        <v>27655</v>
      </c>
      <c r="B13399" s="117" t="s">
        <v>20932</v>
      </c>
      <c r="C13399" t="s">
        <v>67</v>
      </c>
      <c r="D13399" t="s">
        <v>67</v>
      </c>
      <c r="E13399" t="s">
        <v>67</v>
      </c>
      <c r="F13399" t="s">
        <v>45</v>
      </c>
      <c r="G13399" s="117">
        <v>174.86</v>
      </c>
    </row>
    <row r="13400" spans="1:7" x14ac:dyDescent="0.25">
      <c r="A13400" s="116" t="s">
        <v>27656</v>
      </c>
      <c r="B13400" s="117" t="s">
        <v>20933</v>
      </c>
      <c r="C13400" t="s">
        <v>67</v>
      </c>
      <c r="D13400" t="s">
        <v>67</v>
      </c>
      <c r="E13400" t="s">
        <v>67</v>
      </c>
      <c r="F13400" t="s">
        <v>49</v>
      </c>
      <c r="G13400" s="117">
        <v>2.58</v>
      </c>
    </row>
    <row r="13401" spans="1:7" x14ac:dyDescent="0.25">
      <c r="A13401" s="116" t="s">
        <v>27657</v>
      </c>
      <c r="B13401" s="117" t="s">
        <v>20934</v>
      </c>
      <c r="C13401" t="s">
        <v>67</v>
      </c>
      <c r="D13401" t="s">
        <v>67</v>
      </c>
      <c r="E13401" t="s">
        <v>67</v>
      </c>
      <c r="F13401" t="s">
        <v>27987</v>
      </c>
      <c r="G13401" s="117">
        <v>15.57</v>
      </c>
    </row>
    <row r="13402" spans="1:7" x14ac:dyDescent="0.25">
      <c r="A13402" s="116" t="s">
        <v>27658</v>
      </c>
      <c r="B13402" s="117" t="s">
        <v>20935</v>
      </c>
      <c r="C13402" t="s">
        <v>67</v>
      </c>
      <c r="D13402" t="s">
        <v>67</v>
      </c>
      <c r="E13402" t="s">
        <v>67</v>
      </c>
      <c r="F13402" t="s">
        <v>49</v>
      </c>
      <c r="G13402" s="117">
        <v>5.25</v>
      </c>
    </row>
    <row r="13403" spans="1:7" x14ac:dyDescent="0.25">
      <c r="A13403" s="116" t="s">
        <v>27659</v>
      </c>
      <c r="B13403" s="117" t="s">
        <v>20936</v>
      </c>
      <c r="C13403" t="s">
        <v>67</v>
      </c>
      <c r="D13403" t="s">
        <v>67</v>
      </c>
      <c r="E13403" t="s">
        <v>67</v>
      </c>
      <c r="F13403" t="s">
        <v>49</v>
      </c>
      <c r="G13403" s="117">
        <v>3.12</v>
      </c>
    </row>
    <row r="13404" spans="1:7" x14ac:dyDescent="0.25">
      <c r="A13404" s="116" t="s">
        <v>27660</v>
      </c>
      <c r="B13404" s="117" t="s">
        <v>8262</v>
      </c>
      <c r="C13404" t="s">
        <v>67</v>
      </c>
      <c r="D13404" t="s">
        <v>67</v>
      </c>
      <c r="E13404" t="s">
        <v>67</v>
      </c>
      <c r="F13404" t="s">
        <v>27987</v>
      </c>
      <c r="G13404" s="117">
        <v>1.69</v>
      </c>
    </row>
    <row r="13405" spans="1:7" x14ac:dyDescent="0.25">
      <c r="A13405" s="116" t="s">
        <v>27661</v>
      </c>
      <c r="B13405" s="117" t="s">
        <v>20937</v>
      </c>
      <c r="C13405" t="s">
        <v>67</v>
      </c>
      <c r="D13405" t="s">
        <v>67</v>
      </c>
      <c r="E13405" t="s">
        <v>67</v>
      </c>
      <c r="F13405" t="s">
        <v>49</v>
      </c>
      <c r="G13405" s="117">
        <v>1.33</v>
      </c>
    </row>
    <row r="13406" spans="1:7" x14ac:dyDescent="0.25">
      <c r="A13406" s="116" t="s">
        <v>27662</v>
      </c>
      <c r="B13406" s="117" t="s">
        <v>20938</v>
      </c>
      <c r="C13406" t="s">
        <v>67</v>
      </c>
      <c r="D13406" t="s">
        <v>67</v>
      </c>
      <c r="E13406" t="s">
        <v>67</v>
      </c>
      <c r="F13406" t="s">
        <v>49</v>
      </c>
      <c r="G13406" s="117">
        <v>1.33</v>
      </c>
    </row>
    <row r="13407" spans="1:7" x14ac:dyDescent="0.25">
      <c r="A13407" s="116" t="s">
        <v>27663</v>
      </c>
      <c r="B13407" s="117" t="s">
        <v>20939</v>
      </c>
      <c r="C13407" t="s">
        <v>67</v>
      </c>
      <c r="D13407" t="s">
        <v>67</v>
      </c>
      <c r="E13407" t="s">
        <v>67</v>
      </c>
      <c r="F13407" t="s">
        <v>49</v>
      </c>
      <c r="G13407" s="117">
        <v>1.33</v>
      </c>
    </row>
    <row r="13408" spans="1:7" x14ac:dyDescent="0.25">
      <c r="A13408" s="116" t="s">
        <v>27664</v>
      </c>
      <c r="B13408" s="117" t="s">
        <v>20940</v>
      </c>
      <c r="C13408" t="s">
        <v>67</v>
      </c>
      <c r="D13408" t="s">
        <v>67</v>
      </c>
      <c r="E13408" t="s">
        <v>67</v>
      </c>
      <c r="F13408" t="s">
        <v>27987</v>
      </c>
      <c r="G13408" s="117">
        <v>28.02</v>
      </c>
    </row>
    <row r="13409" spans="1:7" x14ac:dyDescent="0.25">
      <c r="A13409" s="116" t="s">
        <v>27665</v>
      </c>
      <c r="B13409" s="117" t="s">
        <v>20941</v>
      </c>
      <c r="C13409" t="s">
        <v>67</v>
      </c>
      <c r="D13409" t="s">
        <v>67</v>
      </c>
      <c r="E13409" t="s">
        <v>67</v>
      </c>
      <c r="F13409" t="s">
        <v>49</v>
      </c>
      <c r="G13409" s="117">
        <v>1.33</v>
      </c>
    </row>
    <row r="13410" spans="1:7" x14ac:dyDescent="0.25">
      <c r="A13410" s="116" t="s">
        <v>27666</v>
      </c>
      <c r="B13410" s="117" t="s">
        <v>20942</v>
      </c>
      <c r="C13410" t="s">
        <v>67</v>
      </c>
      <c r="D13410" t="s">
        <v>67</v>
      </c>
      <c r="E13410" t="s">
        <v>67</v>
      </c>
      <c r="F13410" t="s">
        <v>45</v>
      </c>
      <c r="G13410" s="117">
        <v>1.33</v>
      </c>
    </row>
    <row r="13411" spans="1:7" x14ac:dyDescent="0.25">
      <c r="A13411" s="116" t="s">
        <v>27667</v>
      </c>
      <c r="B13411" s="117" t="s">
        <v>20943</v>
      </c>
      <c r="C13411" t="s">
        <v>67</v>
      </c>
      <c r="D13411" t="s">
        <v>67</v>
      </c>
      <c r="E13411" t="s">
        <v>67</v>
      </c>
      <c r="F13411" t="s">
        <v>27987</v>
      </c>
      <c r="G13411" s="117">
        <v>5.79</v>
      </c>
    </row>
    <row r="13412" spans="1:7" x14ac:dyDescent="0.25">
      <c r="A13412" s="116" t="s">
        <v>27668</v>
      </c>
      <c r="B13412" s="117" t="s">
        <v>20943</v>
      </c>
      <c r="C13412" t="s">
        <v>67</v>
      </c>
      <c r="D13412" t="s">
        <v>67</v>
      </c>
      <c r="E13412" t="s">
        <v>67</v>
      </c>
      <c r="F13412" t="s">
        <v>49</v>
      </c>
      <c r="G13412" s="117">
        <v>2.58</v>
      </c>
    </row>
    <row r="13413" spans="1:7" x14ac:dyDescent="0.25">
      <c r="A13413" s="116" t="s">
        <v>27669</v>
      </c>
      <c r="B13413" s="117" t="s">
        <v>20944</v>
      </c>
      <c r="C13413" t="s">
        <v>67</v>
      </c>
      <c r="D13413" t="s">
        <v>67</v>
      </c>
      <c r="E13413" t="s">
        <v>67</v>
      </c>
      <c r="F13413" t="s">
        <v>27987</v>
      </c>
      <c r="G13413" s="117">
        <v>3.48</v>
      </c>
    </row>
    <row r="13414" spans="1:7" x14ac:dyDescent="0.25">
      <c r="A13414" s="116" t="s">
        <v>27670</v>
      </c>
      <c r="B13414" s="117" t="s">
        <v>20943</v>
      </c>
      <c r="C13414" t="s">
        <v>67</v>
      </c>
      <c r="D13414" t="s">
        <v>67</v>
      </c>
      <c r="E13414" t="s">
        <v>67</v>
      </c>
      <c r="F13414" t="s">
        <v>27987</v>
      </c>
      <c r="G13414" s="117">
        <v>5.25</v>
      </c>
    </row>
    <row r="13415" spans="1:7" x14ac:dyDescent="0.25">
      <c r="A13415" s="116" t="s">
        <v>27671</v>
      </c>
      <c r="B13415" s="117" t="s">
        <v>20945</v>
      </c>
      <c r="C13415" t="s">
        <v>67</v>
      </c>
      <c r="D13415" t="s">
        <v>67</v>
      </c>
      <c r="E13415" t="s">
        <v>67</v>
      </c>
      <c r="F13415" t="s">
        <v>49</v>
      </c>
      <c r="G13415" s="117">
        <v>2.58</v>
      </c>
    </row>
    <row r="13416" spans="1:7" x14ac:dyDescent="0.25">
      <c r="A13416" s="116" t="s">
        <v>27672</v>
      </c>
      <c r="B13416" s="117" t="s">
        <v>5084</v>
      </c>
      <c r="C13416" t="s">
        <v>67</v>
      </c>
      <c r="D13416" t="s">
        <v>67</v>
      </c>
      <c r="E13416" t="s">
        <v>67</v>
      </c>
      <c r="F13416" t="s">
        <v>49</v>
      </c>
      <c r="G13416" s="117">
        <v>5.33</v>
      </c>
    </row>
    <row r="13417" spans="1:7" x14ac:dyDescent="0.25">
      <c r="A13417" s="116" t="s">
        <v>27673</v>
      </c>
      <c r="B13417" s="117" t="s">
        <v>20946</v>
      </c>
      <c r="C13417" t="s">
        <v>67</v>
      </c>
      <c r="D13417" t="s">
        <v>67</v>
      </c>
      <c r="E13417" t="s">
        <v>67</v>
      </c>
      <c r="F13417" t="s">
        <v>49</v>
      </c>
      <c r="G13417" s="117">
        <v>4.3600000000000003</v>
      </c>
    </row>
    <row r="13418" spans="1:7" x14ac:dyDescent="0.25">
      <c r="A13418" s="116" t="s">
        <v>27674</v>
      </c>
      <c r="B13418" s="117" t="s">
        <v>20943</v>
      </c>
      <c r="C13418" t="s">
        <v>67</v>
      </c>
      <c r="D13418" t="s">
        <v>67</v>
      </c>
      <c r="E13418" t="s">
        <v>67</v>
      </c>
      <c r="F13418" t="s">
        <v>45</v>
      </c>
      <c r="G13418" s="117">
        <v>12.01</v>
      </c>
    </row>
    <row r="13419" spans="1:7" x14ac:dyDescent="0.25">
      <c r="A13419" s="116" t="s">
        <v>27675</v>
      </c>
      <c r="B13419" s="117" t="s">
        <v>29546</v>
      </c>
      <c r="C13419" t="s">
        <v>67</v>
      </c>
      <c r="D13419" t="s">
        <v>67</v>
      </c>
      <c r="E13419" t="s">
        <v>67</v>
      </c>
      <c r="F13419" t="s">
        <v>27987</v>
      </c>
      <c r="G13419" s="117">
        <v>21.26</v>
      </c>
    </row>
    <row r="13420" spans="1:7" x14ac:dyDescent="0.25">
      <c r="A13420" s="116" t="s">
        <v>27676</v>
      </c>
      <c r="B13420" s="117" t="s">
        <v>20947</v>
      </c>
      <c r="C13420" t="s">
        <v>67</v>
      </c>
      <c r="D13420" t="s">
        <v>67</v>
      </c>
      <c r="E13420" t="s">
        <v>67</v>
      </c>
      <c r="F13420" t="s">
        <v>27987</v>
      </c>
      <c r="G13420" s="117">
        <v>26.25</v>
      </c>
    </row>
    <row r="13421" spans="1:7" x14ac:dyDescent="0.25">
      <c r="A13421" s="116" t="s">
        <v>27677</v>
      </c>
      <c r="B13421" s="117" t="s">
        <v>20948</v>
      </c>
      <c r="C13421" t="s">
        <v>67</v>
      </c>
      <c r="D13421" t="s">
        <v>67</v>
      </c>
      <c r="E13421" t="s">
        <v>67</v>
      </c>
      <c r="F13421" t="s">
        <v>45</v>
      </c>
      <c r="G13421" s="117">
        <v>104.02</v>
      </c>
    </row>
    <row r="13422" spans="1:7" x14ac:dyDescent="0.25">
      <c r="A13422" s="116" t="s">
        <v>27678</v>
      </c>
      <c r="B13422" s="117" t="s">
        <v>20949</v>
      </c>
      <c r="C13422" t="s">
        <v>67</v>
      </c>
      <c r="D13422" t="s">
        <v>67</v>
      </c>
      <c r="E13422" t="s">
        <v>67</v>
      </c>
      <c r="F13422" t="s">
        <v>45</v>
      </c>
      <c r="G13422" s="117">
        <v>37.82</v>
      </c>
    </row>
    <row r="13423" spans="1:7" x14ac:dyDescent="0.25">
      <c r="A13423" s="116" t="s">
        <v>27679</v>
      </c>
      <c r="B13423" s="117" t="s">
        <v>20950</v>
      </c>
      <c r="C13423" t="s">
        <v>67</v>
      </c>
      <c r="D13423" t="s">
        <v>67</v>
      </c>
      <c r="E13423" t="s">
        <v>67</v>
      </c>
      <c r="F13423" t="s">
        <v>45</v>
      </c>
      <c r="G13423" s="117">
        <v>29.81</v>
      </c>
    </row>
    <row r="13424" spans="1:7" x14ac:dyDescent="0.25">
      <c r="A13424" s="116" t="s">
        <v>27680</v>
      </c>
      <c r="B13424" s="117" t="s">
        <v>20951</v>
      </c>
      <c r="C13424" t="s">
        <v>67</v>
      </c>
      <c r="D13424" t="s">
        <v>67</v>
      </c>
      <c r="E13424" t="s">
        <v>67</v>
      </c>
      <c r="F13424" t="s">
        <v>27987</v>
      </c>
      <c r="G13424" s="117">
        <v>29.81</v>
      </c>
    </row>
    <row r="13425" spans="1:7" x14ac:dyDescent="0.25">
      <c r="A13425" s="116" t="s">
        <v>27681</v>
      </c>
      <c r="B13425" s="117" t="s">
        <v>20952</v>
      </c>
      <c r="C13425" t="s">
        <v>67</v>
      </c>
      <c r="D13425" t="s">
        <v>67</v>
      </c>
      <c r="E13425" t="s">
        <v>67</v>
      </c>
      <c r="F13425" t="s">
        <v>45</v>
      </c>
      <c r="G13425" s="117">
        <v>1.33</v>
      </c>
    </row>
    <row r="13426" spans="1:7" x14ac:dyDescent="0.25">
      <c r="A13426" s="116" t="s">
        <v>27682</v>
      </c>
      <c r="B13426" s="117" t="s">
        <v>8256</v>
      </c>
      <c r="C13426" t="s">
        <v>67</v>
      </c>
      <c r="D13426" t="s">
        <v>67</v>
      </c>
      <c r="E13426" t="s">
        <v>67</v>
      </c>
      <c r="F13426" t="s">
        <v>27987</v>
      </c>
      <c r="G13426" s="117">
        <v>0.8</v>
      </c>
    </row>
    <row r="13427" spans="1:7" x14ac:dyDescent="0.25">
      <c r="A13427" s="116" t="s">
        <v>27683</v>
      </c>
      <c r="B13427" s="117" t="s">
        <v>20953</v>
      </c>
      <c r="C13427" t="s">
        <v>67</v>
      </c>
      <c r="D13427" t="s">
        <v>67</v>
      </c>
      <c r="E13427" t="s">
        <v>67</v>
      </c>
      <c r="F13427" t="s">
        <v>45</v>
      </c>
      <c r="G13427" s="117">
        <v>1.69</v>
      </c>
    </row>
    <row r="13428" spans="1:7" x14ac:dyDescent="0.25">
      <c r="A13428" s="116" t="s">
        <v>27684</v>
      </c>
      <c r="B13428" s="117" t="s">
        <v>12460</v>
      </c>
      <c r="C13428" t="s">
        <v>67</v>
      </c>
      <c r="D13428" t="s">
        <v>67</v>
      </c>
      <c r="E13428" t="s">
        <v>67</v>
      </c>
      <c r="F13428" t="s">
        <v>45</v>
      </c>
      <c r="G13428" s="117">
        <v>4.8899999999999997</v>
      </c>
    </row>
    <row r="13429" spans="1:7" x14ac:dyDescent="0.25">
      <c r="A13429" s="116" t="s">
        <v>27685</v>
      </c>
      <c r="B13429" s="117" t="s">
        <v>20954</v>
      </c>
      <c r="C13429" t="s">
        <v>67</v>
      </c>
      <c r="D13429" t="s">
        <v>67</v>
      </c>
      <c r="E13429" t="s">
        <v>67</v>
      </c>
      <c r="F13429" t="s">
        <v>27987</v>
      </c>
      <c r="G13429" s="117">
        <v>1.69</v>
      </c>
    </row>
    <row r="13430" spans="1:7" x14ac:dyDescent="0.25">
      <c r="A13430" s="116" t="s">
        <v>27686</v>
      </c>
      <c r="B13430" s="117" t="s">
        <v>20955</v>
      </c>
      <c r="C13430" t="s">
        <v>67</v>
      </c>
      <c r="D13430" t="s">
        <v>67</v>
      </c>
      <c r="E13430" t="s">
        <v>67</v>
      </c>
      <c r="F13430" t="s">
        <v>45</v>
      </c>
      <c r="G13430" s="117">
        <v>10.58</v>
      </c>
    </row>
    <row r="13431" spans="1:7" x14ac:dyDescent="0.25">
      <c r="A13431" s="116" t="s">
        <v>27687</v>
      </c>
      <c r="B13431" s="117" t="s">
        <v>20956</v>
      </c>
      <c r="C13431" t="s">
        <v>67</v>
      </c>
      <c r="D13431" t="s">
        <v>67</v>
      </c>
      <c r="E13431" t="s">
        <v>67</v>
      </c>
      <c r="F13431" t="s">
        <v>45</v>
      </c>
      <c r="G13431" s="117">
        <v>5.79</v>
      </c>
    </row>
    <row r="13432" spans="1:7" x14ac:dyDescent="0.25">
      <c r="A13432" s="116" t="s">
        <v>27688</v>
      </c>
      <c r="B13432" s="117" t="s">
        <v>20957</v>
      </c>
      <c r="C13432" t="s">
        <v>67</v>
      </c>
      <c r="D13432" t="s">
        <v>67</v>
      </c>
      <c r="E13432" t="s">
        <v>67</v>
      </c>
      <c r="F13432" t="s">
        <v>27987</v>
      </c>
      <c r="G13432" s="117">
        <v>118.26</v>
      </c>
    </row>
    <row r="13433" spans="1:7" x14ac:dyDescent="0.25">
      <c r="A13433" s="116" t="s">
        <v>27689</v>
      </c>
      <c r="B13433" s="117" t="s">
        <v>20958</v>
      </c>
      <c r="C13433" t="s">
        <v>67</v>
      </c>
      <c r="D13433" t="s">
        <v>67</v>
      </c>
      <c r="E13433" t="s">
        <v>67</v>
      </c>
      <c r="F13433" t="s">
        <v>27987</v>
      </c>
      <c r="G13433" s="117">
        <v>14.14</v>
      </c>
    </row>
    <row r="13434" spans="1:7" x14ac:dyDescent="0.25">
      <c r="A13434" s="116" t="s">
        <v>27690</v>
      </c>
      <c r="B13434" s="117" t="s">
        <v>20959</v>
      </c>
      <c r="C13434" t="s">
        <v>67</v>
      </c>
      <c r="D13434" t="s">
        <v>67</v>
      </c>
      <c r="E13434" t="s">
        <v>67</v>
      </c>
      <c r="F13434" t="s">
        <v>27987</v>
      </c>
      <c r="G13434" s="117">
        <v>42.62</v>
      </c>
    </row>
    <row r="13435" spans="1:7" x14ac:dyDescent="0.25">
      <c r="A13435" s="116" t="s">
        <v>27691</v>
      </c>
      <c r="B13435" s="117" t="s">
        <v>20960</v>
      </c>
      <c r="C13435" t="s">
        <v>67</v>
      </c>
      <c r="D13435" t="s">
        <v>67</v>
      </c>
      <c r="E13435" t="s">
        <v>67</v>
      </c>
      <c r="F13435" t="s">
        <v>45</v>
      </c>
      <c r="G13435" s="117">
        <v>2.23</v>
      </c>
    </row>
    <row r="13436" spans="1:7" x14ac:dyDescent="0.25">
      <c r="A13436" s="116" t="s">
        <v>27692</v>
      </c>
      <c r="B13436" s="117" t="s">
        <v>20961</v>
      </c>
      <c r="C13436" t="s">
        <v>67</v>
      </c>
      <c r="D13436" t="s">
        <v>67</v>
      </c>
      <c r="E13436" t="s">
        <v>67</v>
      </c>
      <c r="F13436" t="s">
        <v>27987</v>
      </c>
      <c r="G13436" s="117">
        <v>26.25</v>
      </c>
    </row>
    <row r="13437" spans="1:7" x14ac:dyDescent="0.25">
      <c r="A13437" s="116" t="s">
        <v>27693</v>
      </c>
      <c r="B13437" s="117" t="s">
        <v>20962</v>
      </c>
      <c r="C13437" t="s">
        <v>67</v>
      </c>
      <c r="D13437" t="s">
        <v>67</v>
      </c>
      <c r="E13437" t="s">
        <v>67</v>
      </c>
      <c r="F13437" t="s">
        <v>45</v>
      </c>
      <c r="G13437" s="117">
        <v>50.63</v>
      </c>
    </row>
    <row r="13438" spans="1:7" x14ac:dyDescent="0.25">
      <c r="A13438" s="116" t="s">
        <v>27694</v>
      </c>
      <c r="B13438" s="117" t="s">
        <v>20963</v>
      </c>
      <c r="C13438" t="s">
        <v>67</v>
      </c>
      <c r="D13438" t="s">
        <v>67</v>
      </c>
      <c r="E13438" t="s">
        <v>67</v>
      </c>
      <c r="F13438" t="s">
        <v>45</v>
      </c>
      <c r="G13438" s="117">
        <v>17.7</v>
      </c>
    </row>
    <row r="13439" spans="1:7" x14ac:dyDescent="0.25">
      <c r="A13439" s="116" t="s">
        <v>27695</v>
      </c>
      <c r="B13439" s="117" t="s">
        <v>20964</v>
      </c>
      <c r="C13439" t="s">
        <v>67</v>
      </c>
      <c r="D13439" t="s">
        <v>67</v>
      </c>
      <c r="E13439" t="s">
        <v>67</v>
      </c>
      <c r="F13439" t="s">
        <v>45</v>
      </c>
      <c r="G13439" s="117">
        <v>2.58</v>
      </c>
    </row>
    <row r="13440" spans="1:7" x14ac:dyDescent="0.25">
      <c r="A13440" s="116" t="s">
        <v>27696</v>
      </c>
      <c r="B13440" s="117" t="s">
        <v>20965</v>
      </c>
      <c r="C13440" t="s">
        <v>67</v>
      </c>
      <c r="D13440" t="s">
        <v>67</v>
      </c>
      <c r="E13440" t="s">
        <v>67</v>
      </c>
      <c r="F13440" t="s">
        <v>45</v>
      </c>
      <c r="G13440" s="117">
        <v>41.38</v>
      </c>
    </row>
    <row r="13441" spans="1:7" x14ac:dyDescent="0.25">
      <c r="A13441" s="116" t="s">
        <v>27697</v>
      </c>
      <c r="B13441" s="117" t="s">
        <v>20966</v>
      </c>
      <c r="C13441" t="s">
        <v>67</v>
      </c>
      <c r="D13441" t="s">
        <v>67</v>
      </c>
      <c r="E13441" t="s">
        <v>67</v>
      </c>
      <c r="F13441" t="s">
        <v>45</v>
      </c>
      <c r="G13441" s="117">
        <v>111.14</v>
      </c>
    </row>
    <row r="13442" spans="1:7" x14ac:dyDescent="0.25">
      <c r="A13442" s="116" t="s">
        <v>27698</v>
      </c>
      <c r="B13442" s="117" t="s">
        <v>20967</v>
      </c>
      <c r="C13442" t="s">
        <v>67</v>
      </c>
      <c r="D13442" t="s">
        <v>67</v>
      </c>
      <c r="E13442" t="s">
        <v>67</v>
      </c>
      <c r="F13442" t="s">
        <v>45</v>
      </c>
      <c r="G13442" s="117">
        <v>13.26</v>
      </c>
    </row>
    <row r="13443" spans="1:7" x14ac:dyDescent="0.25">
      <c r="A13443" s="116" t="s">
        <v>27699</v>
      </c>
      <c r="B13443" s="117" t="s">
        <v>20968</v>
      </c>
      <c r="C13443" t="s">
        <v>67</v>
      </c>
      <c r="D13443" t="s">
        <v>67</v>
      </c>
      <c r="E13443" t="s">
        <v>67</v>
      </c>
      <c r="F13443" t="s">
        <v>45</v>
      </c>
      <c r="G13443" s="117">
        <v>26.25</v>
      </c>
    </row>
    <row r="13444" spans="1:7" x14ac:dyDescent="0.25">
      <c r="A13444" s="116" t="s">
        <v>27700</v>
      </c>
      <c r="B13444" s="117" t="s">
        <v>20969</v>
      </c>
      <c r="C13444" t="s">
        <v>67</v>
      </c>
      <c r="D13444" t="s">
        <v>67</v>
      </c>
      <c r="E13444" t="s">
        <v>67</v>
      </c>
      <c r="F13444" t="s">
        <v>45</v>
      </c>
      <c r="G13444" s="117">
        <v>93.88</v>
      </c>
    </row>
    <row r="13445" spans="1:7" x14ac:dyDescent="0.25">
      <c r="A13445" s="116" t="s">
        <v>27701</v>
      </c>
      <c r="B13445" s="117" t="s">
        <v>20970</v>
      </c>
      <c r="C13445" t="s">
        <v>67</v>
      </c>
      <c r="D13445" t="s">
        <v>67</v>
      </c>
      <c r="E13445" t="s">
        <v>67</v>
      </c>
      <c r="F13445" t="s">
        <v>45</v>
      </c>
      <c r="G13445" s="117">
        <v>54.19</v>
      </c>
    </row>
    <row r="13446" spans="1:7" x14ac:dyDescent="0.25">
      <c r="A13446" s="116" t="s">
        <v>27702</v>
      </c>
      <c r="B13446" s="117" t="s">
        <v>20971</v>
      </c>
      <c r="C13446" t="s">
        <v>67</v>
      </c>
      <c r="D13446" t="s">
        <v>67</v>
      </c>
      <c r="E13446" t="s">
        <v>67</v>
      </c>
      <c r="F13446" t="s">
        <v>45</v>
      </c>
      <c r="G13446" s="117">
        <v>52.06</v>
      </c>
    </row>
    <row r="13447" spans="1:7" x14ac:dyDescent="0.25">
      <c r="A13447" s="116" t="s">
        <v>27703</v>
      </c>
      <c r="B13447" s="117" t="s">
        <v>20972</v>
      </c>
      <c r="C13447" t="s">
        <v>67</v>
      </c>
      <c r="D13447" t="s">
        <v>67</v>
      </c>
      <c r="E13447" t="s">
        <v>67</v>
      </c>
      <c r="F13447" t="s">
        <v>45</v>
      </c>
      <c r="G13447" s="117">
        <v>10.58</v>
      </c>
    </row>
    <row r="13448" spans="1:7" x14ac:dyDescent="0.25">
      <c r="A13448" s="116" t="s">
        <v>27704</v>
      </c>
      <c r="B13448" s="117" t="s">
        <v>20973</v>
      </c>
      <c r="C13448" t="s">
        <v>67</v>
      </c>
      <c r="D13448" t="s">
        <v>67</v>
      </c>
      <c r="E13448" t="s">
        <v>67</v>
      </c>
      <c r="F13448" t="s">
        <v>27987</v>
      </c>
      <c r="G13448" s="117">
        <v>293.19</v>
      </c>
    </row>
    <row r="13449" spans="1:7" x14ac:dyDescent="0.25">
      <c r="A13449" s="116" t="s">
        <v>27705</v>
      </c>
      <c r="B13449" s="117" t="s">
        <v>20974</v>
      </c>
      <c r="C13449" t="s">
        <v>67</v>
      </c>
      <c r="D13449" t="s">
        <v>67</v>
      </c>
      <c r="E13449" t="s">
        <v>67</v>
      </c>
      <c r="F13449" t="s">
        <v>45</v>
      </c>
      <c r="G13449" s="117">
        <v>236.78</v>
      </c>
    </row>
    <row r="13450" spans="1:7" x14ac:dyDescent="0.25">
      <c r="A13450" s="116" t="s">
        <v>27706</v>
      </c>
      <c r="B13450" s="117" t="s">
        <v>20975</v>
      </c>
      <c r="C13450" t="s">
        <v>67</v>
      </c>
      <c r="D13450" t="s">
        <v>67</v>
      </c>
      <c r="E13450" t="s">
        <v>67</v>
      </c>
      <c r="F13450" t="s">
        <v>27987</v>
      </c>
      <c r="G13450" s="117">
        <v>450.17</v>
      </c>
    </row>
    <row r="13451" spans="1:7" x14ac:dyDescent="0.25">
      <c r="A13451" s="116" t="s">
        <v>27707</v>
      </c>
      <c r="B13451" s="117" t="s">
        <v>20976</v>
      </c>
      <c r="C13451" t="s">
        <v>67</v>
      </c>
      <c r="D13451" t="s">
        <v>67</v>
      </c>
      <c r="E13451" t="s">
        <v>67</v>
      </c>
      <c r="F13451" t="s">
        <v>27987</v>
      </c>
      <c r="G13451" s="117">
        <v>27.14</v>
      </c>
    </row>
    <row r="13452" spans="1:7" x14ac:dyDescent="0.25">
      <c r="A13452" s="116" t="s">
        <v>27708</v>
      </c>
      <c r="B13452" s="117" t="s">
        <v>20977</v>
      </c>
      <c r="C13452" t="s">
        <v>67</v>
      </c>
      <c r="D13452" t="s">
        <v>67</v>
      </c>
      <c r="E13452" t="s">
        <v>67</v>
      </c>
      <c r="F13452" t="s">
        <v>27987</v>
      </c>
      <c r="G13452" s="117">
        <v>40.49</v>
      </c>
    </row>
    <row r="13453" spans="1:7" x14ac:dyDescent="0.25">
      <c r="A13453" s="116" t="s">
        <v>27709</v>
      </c>
      <c r="B13453" s="117" t="s">
        <v>20978</v>
      </c>
      <c r="C13453" t="s">
        <v>67</v>
      </c>
      <c r="D13453" t="s">
        <v>67</v>
      </c>
      <c r="E13453" t="s">
        <v>67</v>
      </c>
      <c r="F13453" t="s">
        <v>27987</v>
      </c>
      <c r="G13453" s="117">
        <v>31.94</v>
      </c>
    </row>
    <row r="13454" spans="1:7" x14ac:dyDescent="0.25">
      <c r="A13454" s="116" t="s">
        <v>20979</v>
      </c>
      <c r="B13454" s="117" t="s">
        <v>20980</v>
      </c>
      <c r="C13454" t="s">
        <v>67</v>
      </c>
      <c r="D13454" t="s">
        <v>67</v>
      </c>
      <c r="E13454" t="s">
        <v>67</v>
      </c>
      <c r="F13454" t="s">
        <v>27987</v>
      </c>
      <c r="G13454" s="117">
        <v>117.37</v>
      </c>
    </row>
    <row r="13455" spans="1:7" x14ac:dyDescent="0.25">
      <c r="A13455" s="116" t="s">
        <v>20981</v>
      </c>
      <c r="B13455" s="117" t="s">
        <v>20982</v>
      </c>
      <c r="C13455" t="s">
        <v>67</v>
      </c>
      <c r="D13455" t="s">
        <v>67</v>
      </c>
      <c r="E13455" t="s">
        <v>67</v>
      </c>
      <c r="F13455" t="s">
        <v>27987</v>
      </c>
      <c r="G13455" s="117">
        <v>24.82</v>
      </c>
    </row>
    <row r="13456" spans="1:7" x14ac:dyDescent="0.25">
      <c r="A13456" s="116" t="s">
        <v>20983</v>
      </c>
      <c r="B13456" s="117" t="s">
        <v>20984</v>
      </c>
      <c r="C13456" t="s">
        <v>67</v>
      </c>
      <c r="D13456" t="s">
        <v>67</v>
      </c>
      <c r="E13456" t="s">
        <v>67</v>
      </c>
      <c r="F13456" t="s">
        <v>27987</v>
      </c>
      <c r="G13456" s="117">
        <v>0.8</v>
      </c>
    </row>
    <row r="13457" spans="1:7" x14ac:dyDescent="0.25">
      <c r="A13457" s="116" t="s">
        <v>20985</v>
      </c>
      <c r="B13457" s="117" t="s">
        <v>4745</v>
      </c>
      <c r="C13457" t="s">
        <v>67</v>
      </c>
      <c r="D13457" t="s">
        <v>67</v>
      </c>
      <c r="E13457" t="s">
        <v>67</v>
      </c>
      <c r="F13457" t="s">
        <v>27987</v>
      </c>
      <c r="G13457" s="117">
        <v>11.42</v>
      </c>
    </row>
    <row r="13458" spans="1:7" x14ac:dyDescent="0.25">
      <c r="A13458" s="116" t="s">
        <v>20986</v>
      </c>
      <c r="B13458" s="117" t="s">
        <v>20987</v>
      </c>
      <c r="C13458" t="s">
        <v>67</v>
      </c>
      <c r="D13458" t="s">
        <v>67</v>
      </c>
      <c r="E13458" t="s">
        <v>67</v>
      </c>
      <c r="F13458" t="s">
        <v>27987</v>
      </c>
      <c r="G13458" s="117">
        <v>2.58</v>
      </c>
    </row>
    <row r="13459" spans="1:7" x14ac:dyDescent="0.25">
      <c r="A13459" s="116" t="s">
        <v>20988</v>
      </c>
      <c r="B13459" s="117" t="s">
        <v>4745</v>
      </c>
      <c r="C13459" t="s">
        <v>67</v>
      </c>
      <c r="D13459" t="s">
        <v>67</v>
      </c>
      <c r="E13459" t="s">
        <v>67</v>
      </c>
      <c r="F13459" t="s">
        <v>49</v>
      </c>
      <c r="G13459" s="117">
        <v>1.69</v>
      </c>
    </row>
    <row r="13460" spans="1:7" x14ac:dyDescent="0.25">
      <c r="A13460" s="116" t="s">
        <v>20989</v>
      </c>
      <c r="B13460" s="117" t="s">
        <v>4745</v>
      </c>
      <c r="C13460" t="s">
        <v>67</v>
      </c>
      <c r="D13460" t="s">
        <v>67</v>
      </c>
      <c r="E13460" t="s">
        <v>67</v>
      </c>
      <c r="F13460" t="s">
        <v>27990</v>
      </c>
      <c r="G13460" s="117">
        <v>1.77</v>
      </c>
    </row>
    <row r="13461" spans="1:7" x14ac:dyDescent="0.25">
      <c r="A13461" s="116" t="s">
        <v>20990</v>
      </c>
      <c r="B13461" s="117" t="s">
        <v>20991</v>
      </c>
      <c r="C13461" t="s">
        <v>67</v>
      </c>
      <c r="D13461" t="s">
        <v>67</v>
      </c>
      <c r="E13461" t="s">
        <v>67</v>
      </c>
      <c r="F13461" t="s">
        <v>45</v>
      </c>
      <c r="G13461" s="117">
        <v>21.26</v>
      </c>
    </row>
    <row r="13462" spans="1:7" x14ac:dyDescent="0.25">
      <c r="A13462" s="116" t="s">
        <v>20992</v>
      </c>
      <c r="B13462" s="117" t="s">
        <v>20993</v>
      </c>
      <c r="C13462" t="s">
        <v>67</v>
      </c>
      <c r="D13462" t="s">
        <v>67</v>
      </c>
      <c r="E13462" t="s">
        <v>67</v>
      </c>
      <c r="F13462" t="s">
        <v>27987</v>
      </c>
      <c r="G13462" s="117">
        <v>2.23</v>
      </c>
    </row>
    <row r="13463" spans="1:7" x14ac:dyDescent="0.25">
      <c r="A13463" s="116" t="s">
        <v>20994</v>
      </c>
      <c r="B13463" s="117" t="s">
        <v>4745</v>
      </c>
      <c r="C13463" t="s">
        <v>67</v>
      </c>
      <c r="D13463" t="s">
        <v>67</v>
      </c>
      <c r="E13463" t="s">
        <v>67</v>
      </c>
      <c r="F13463" t="s">
        <v>49</v>
      </c>
      <c r="G13463" s="117">
        <v>2.23</v>
      </c>
    </row>
    <row r="13464" spans="1:7" x14ac:dyDescent="0.25">
      <c r="A13464" s="116" t="s">
        <v>20995</v>
      </c>
      <c r="B13464" s="117" t="s">
        <v>4745</v>
      </c>
      <c r="C13464" t="s">
        <v>67</v>
      </c>
      <c r="D13464" t="s">
        <v>67</v>
      </c>
      <c r="E13464" t="s">
        <v>67</v>
      </c>
      <c r="F13464" t="s">
        <v>27987</v>
      </c>
      <c r="G13464" s="117">
        <v>1.77</v>
      </c>
    </row>
    <row r="13465" spans="1:7" x14ac:dyDescent="0.25">
      <c r="A13465" s="116" t="s">
        <v>20996</v>
      </c>
      <c r="B13465" s="117" t="s">
        <v>4745</v>
      </c>
      <c r="C13465" t="s">
        <v>67</v>
      </c>
      <c r="D13465" t="s">
        <v>67</v>
      </c>
      <c r="E13465" t="s">
        <v>67</v>
      </c>
      <c r="F13465" t="s">
        <v>51</v>
      </c>
      <c r="G13465" s="117">
        <v>33.81</v>
      </c>
    </row>
    <row r="13466" spans="1:7" x14ac:dyDescent="0.25">
      <c r="A13466" s="116" t="s">
        <v>20997</v>
      </c>
      <c r="B13466" s="117" t="s">
        <v>4745</v>
      </c>
      <c r="C13466" t="s">
        <v>67</v>
      </c>
      <c r="D13466" t="s">
        <v>67</v>
      </c>
      <c r="E13466" t="s">
        <v>67</v>
      </c>
      <c r="F13466" t="s">
        <v>51</v>
      </c>
      <c r="G13466" s="117">
        <v>1.69</v>
      </c>
    </row>
    <row r="13467" spans="1:7" x14ac:dyDescent="0.25">
      <c r="A13467" s="116" t="s">
        <v>20998</v>
      </c>
      <c r="B13467" s="117" t="s">
        <v>20999</v>
      </c>
      <c r="C13467" t="s">
        <v>67</v>
      </c>
      <c r="D13467" t="s">
        <v>67</v>
      </c>
      <c r="E13467" t="s">
        <v>67</v>
      </c>
      <c r="F13467" t="s">
        <v>27987</v>
      </c>
      <c r="G13467" s="117">
        <v>20.02</v>
      </c>
    </row>
    <row r="13468" spans="1:7" x14ac:dyDescent="0.25">
      <c r="A13468" s="116" t="s">
        <v>21000</v>
      </c>
      <c r="B13468" s="117" t="s">
        <v>21001</v>
      </c>
      <c r="C13468" t="s">
        <v>67</v>
      </c>
      <c r="D13468" t="s">
        <v>67</v>
      </c>
      <c r="E13468" t="s">
        <v>67</v>
      </c>
      <c r="F13468" t="s">
        <v>49</v>
      </c>
      <c r="G13468" s="117">
        <v>1.69</v>
      </c>
    </row>
    <row r="13469" spans="1:7" x14ac:dyDescent="0.25">
      <c r="A13469" s="116" t="s">
        <v>21002</v>
      </c>
      <c r="B13469" s="117" t="s">
        <v>4745</v>
      </c>
      <c r="C13469" t="s">
        <v>67</v>
      </c>
      <c r="D13469" t="s">
        <v>67</v>
      </c>
      <c r="E13469" t="s">
        <v>67</v>
      </c>
      <c r="F13469" t="s">
        <v>27987</v>
      </c>
      <c r="G13469" s="117">
        <v>20.38</v>
      </c>
    </row>
    <row r="13470" spans="1:7" x14ac:dyDescent="0.25">
      <c r="A13470" s="116" t="s">
        <v>21003</v>
      </c>
      <c r="B13470" s="117" t="s">
        <v>4745</v>
      </c>
      <c r="C13470" t="s">
        <v>67</v>
      </c>
      <c r="D13470" t="s">
        <v>67</v>
      </c>
      <c r="E13470" t="s">
        <v>67</v>
      </c>
      <c r="F13470" t="s">
        <v>27987</v>
      </c>
      <c r="G13470" s="117">
        <v>0.89</v>
      </c>
    </row>
    <row r="13471" spans="1:7" x14ac:dyDescent="0.25">
      <c r="A13471" s="116" t="s">
        <v>21004</v>
      </c>
      <c r="B13471" s="117" t="s">
        <v>21005</v>
      </c>
      <c r="C13471" t="s">
        <v>67</v>
      </c>
      <c r="D13471" t="s">
        <v>67</v>
      </c>
      <c r="E13471" t="s">
        <v>67</v>
      </c>
      <c r="F13471" t="s">
        <v>45</v>
      </c>
      <c r="G13471" s="117">
        <v>0.8</v>
      </c>
    </row>
    <row r="13472" spans="1:7" x14ac:dyDescent="0.25">
      <c r="A13472" s="116" t="s">
        <v>21006</v>
      </c>
      <c r="B13472" s="117" t="s">
        <v>4745</v>
      </c>
      <c r="C13472" t="s">
        <v>67</v>
      </c>
      <c r="D13472" t="s">
        <v>67</v>
      </c>
      <c r="E13472" t="s">
        <v>67</v>
      </c>
      <c r="F13472" t="s">
        <v>27990</v>
      </c>
      <c r="G13472" s="117">
        <v>1.77</v>
      </c>
    </row>
    <row r="13473" spans="1:7" x14ac:dyDescent="0.25">
      <c r="A13473" s="116" t="s">
        <v>21007</v>
      </c>
      <c r="B13473" s="117" t="s">
        <v>21008</v>
      </c>
      <c r="C13473" t="s">
        <v>67</v>
      </c>
      <c r="D13473" t="s">
        <v>67</v>
      </c>
      <c r="E13473" t="s">
        <v>67</v>
      </c>
      <c r="F13473" t="s">
        <v>45</v>
      </c>
      <c r="G13473" s="117">
        <v>6.14</v>
      </c>
    </row>
    <row r="13474" spans="1:7" x14ac:dyDescent="0.25">
      <c r="A13474" s="116" t="s">
        <v>21009</v>
      </c>
      <c r="B13474" s="117" t="s">
        <v>4745</v>
      </c>
      <c r="C13474" t="s">
        <v>67</v>
      </c>
      <c r="D13474" t="s">
        <v>67</v>
      </c>
      <c r="E13474" t="s">
        <v>67</v>
      </c>
      <c r="F13474" t="s">
        <v>27987</v>
      </c>
      <c r="G13474" s="117">
        <v>4</v>
      </c>
    </row>
    <row r="13475" spans="1:7" x14ac:dyDescent="0.25">
      <c r="A13475" s="116" t="s">
        <v>21010</v>
      </c>
      <c r="B13475" s="117" t="s">
        <v>4745</v>
      </c>
      <c r="C13475" t="s">
        <v>67</v>
      </c>
      <c r="D13475" t="s">
        <v>67</v>
      </c>
      <c r="E13475" t="s">
        <v>67</v>
      </c>
      <c r="F13475" t="s">
        <v>27987</v>
      </c>
      <c r="G13475" s="117">
        <v>20.92</v>
      </c>
    </row>
    <row r="13476" spans="1:7" x14ac:dyDescent="0.25">
      <c r="A13476" s="116" t="s">
        <v>21011</v>
      </c>
      <c r="B13476" s="117" t="s">
        <v>4745</v>
      </c>
      <c r="C13476" t="s">
        <v>67</v>
      </c>
      <c r="D13476" t="s">
        <v>67</v>
      </c>
      <c r="E13476" t="s">
        <v>67</v>
      </c>
      <c r="F13476" t="s">
        <v>45</v>
      </c>
      <c r="G13476" s="117">
        <v>0.8</v>
      </c>
    </row>
    <row r="13477" spans="1:7" x14ac:dyDescent="0.25">
      <c r="A13477" s="116" t="s">
        <v>21012</v>
      </c>
      <c r="B13477" s="117" t="s">
        <v>21013</v>
      </c>
      <c r="C13477" t="s">
        <v>67</v>
      </c>
      <c r="D13477" t="s">
        <v>67</v>
      </c>
      <c r="E13477" t="s">
        <v>67</v>
      </c>
      <c r="F13477" t="s">
        <v>27987</v>
      </c>
      <c r="G13477" s="117">
        <v>1.33</v>
      </c>
    </row>
    <row r="13478" spans="1:7" x14ac:dyDescent="0.25">
      <c r="A13478" s="116" t="s">
        <v>21014</v>
      </c>
      <c r="B13478" s="117" t="s">
        <v>4745</v>
      </c>
      <c r="C13478" t="s">
        <v>67</v>
      </c>
      <c r="D13478" t="s">
        <v>67</v>
      </c>
      <c r="E13478" t="s">
        <v>67</v>
      </c>
      <c r="F13478" t="s">
        <v>27987</v>
      </c>
      <c r="G13478" s="117">
        <v>1.61</v>
      </c>
    </row>
    <row r="13479" spans="1:7" x14ac:dyDescent="0.25">
      <c r="A13479" s="116" t="s">
        <v>21015</v>
      </c>
      <c r="B13479" s="117" t="s">
        <v>21016</v>
      </c>
      <c r="C13479" t="s">
        <v>67</v>
      </c>
      <c r="D13479" t="s">
        <v>67</v>
      </c>
      <c r="E13479" t="s">
        <v>67</v>
      </c>
      <c r="F13479" t="s">
        <v>27987</v>
      </c>
      <c r="G13479" s="117">
        <v>1.33</v>
      </c>
    </row>
    <row r="13480" spans="1:7" x14ac:dyDescent="0.25">
      <c r="A13480" s="116" t="s">
        <v>21017</v>
      </c>
      <c r="B13480" s="117" t="s">
        <v>4745</v>
      </c>
      <c r="C13480" t="s">
        <v>67</v>
      </c>
      <c r="D13480" t="s">
        <v>67</v>
      </c>
      <c r="E13480" t="s">
        <v>67</v>
      </c>
      <c r="F13480" t="s">
        <v>27987</v>
      </c>
      <c r="G13480" s="117">
        <v>0.8</v>
      </c>
    </row>
    <row r="13481" spans="1:7" x14ac:dyDescent="0.25">
      <c r="A13481" s="116" t="s">
        <v>21018</v>
      </c>
      <c r="B13481" s="117" t="s">
        <v>21019</v>
      </c>
      <c r="C13481" t="s">
        <v>67</v>
      </c>
      <c r="D13481" t="s">
        <v>67</v>
      </c>
      <c r="E13481" t="s">
        <v>67</v>
      </c>
      <c r="F13481" t="s">
        <v>45</v>
      </c>
      <c r="G13481" s="117">
        <v>2.58</v>
      </c>
    </row>
    <row r="13482" spans="1:7" x14ac:dyDescent="0.25">
      <c r="A13482" s="116" t="s">
        <v>21020</v>
      </c>
      <c r="B13482" s="117" t="s">
        <v>21021</v>
      </c>
      <c r="C13482" t="s">
        <v>67</v>
      </c>
      <c r="D13482" t="s">
        <v>67</v>
      </c>
      <c r="E13482" t="s">
        <v>67</v>
      </c>
      <c r="F13482" t="s">
        <v>27987</v>
      </c>
      <c r="G13482" s="117">
        <v>3.48</v>
      </c>
    </row>
    <row r="13483" spans="1:7" x14ac:dyDescent="0.25">
      <c r="A13483" s="116" t="s">
        <v>21022</v>
      </c>
      <c r="B13483" s="117" t="s">
        <v>14835</v>
      </c>
      <c r="C13483" t="s">
        <v>67</v>
      </c>
      <c r="D13483" t="s">
        <v>67</v>
      </c>
      <c r="E13483" t="s">
        <v>67</v>
      </c>
      <c r="F13483" t="s">
        <v>45</v>
      </c>
      <c r="G13483" s="117">
        <v>1.77</v>
      </c>
    </row>
    <row r="13484" spans="1:7" x14ac:dyDescent="0.25">
      <c r="A13484" s="116" t="s">
        <v>21023</v>
      </c>
      <c r="B13484" s="117" t="s">
        <v>14835</v>
      </c>
      <c r="C13484" t="s">
        <v>67</v>
      </c>
      <c r="D13484" t="s">
        <v>67</v>
      </c>
      <c r="E13484" t="s">
        <v>67</v>
      </c>
      <c r="F13484" t="s">
        <v>27987</v>
      </c>
      <c r="G13484" s="117">
        <v>1.69</v>
      </c>
    </row>
    <row r="13485" spans="1:7" x14ac:dyDescent="0.25">
      <c r="A13485" s="116" t="s">
        <v>21024</v>
      </c>
      <c r="B13485" s="117" t="s">
        <v>14835</v>
      </c>
      <c r="C13485" t="s">
        <v>67</v>
      </c>
      <c r="D13485" t="s">
        <v>67</v>
      </c>
      <c r="E13485" t="s">
        <v>67</v>
      </c>
      <c r="F13485" t="s">
        <v>27987</v>
      </c>
      <c r="G13485" s="117">
        <v>1.33</v>
      </c>
    </row>
    <row r="13486" spans="1:7" x14ac:dyDescent="0.25">
      <c r="A13486" s="116" t="s">
        <v>21025</v>
      </c>
      <c r="B13486" s="117" t="s">
        <v>21026</v>
      </c>
      <c r="C13486" t="s">
        <v>67</v>
      </c>
      <c r="D13486" t="s">
        <v>67</v>
      </c>
      <c r="E13486" t="s">
        <v>67</v>
      </c>
      <c r="F13486" t="s">
        <v>49</v>
      </c>
      <c r="G13486" s="117">
        <v>1.77</v>
      </c>
    </row>
    <row r="13487" spans="1:7" x14ac:dyDescent="0.25">
      <c r="A13487" s="116" t="s">
        <v>21027</v>
      </c>
      <c r="B13487" s="117" t="s">
        <v>21028</v>
      </c>
      <c r="C13487" t="s">
        <v>67</v>
      </c>
      <c r="D13487" t="s">
        <v>67</v>
      </c>
      <c r="E13487" t="s">
        <v>67</v>
      </c>
      <c r="F13487" t="s">
        <v>27990</v>
      </c>
      <c r="G13487" s="117">
        <v>2.58</v>
      </c>
    </row>
    <row r="13488" spans="1:7" x14ac:dyDescent="0.25">
      <c r="A13488" s="116" t="s">
        <v>27710</v>
      </c>
      <c r="B13488" s="117" t="s">
        <v>21029</v>
      </c>
      <c r="C13488" t="s">
        <v>67</v>
      </c>
      <c r="D13488" t="s">
        <v>67</v>
      </c>
      <c r="E13488" t="s">
        <v>67</v>
      </c>
      <c r="F13488" t="s">
        <v>45</v>
      </c>
      <c r="G13488" s="117">
        <v>4.8899999999999997</v>
      </c>
    </row>
    <row r="13489" spans="1:7" x14ac:dyDescent="0.25">
      <c r="A13489" s="116" t="s">
        <v>21030</v>
      </c>
      <c r="B13489" s="117" t="s">
        <v>21031</v>
      </c>
      <c r="C13489" t="s">
        <v>67</v>
      </c>
      <c r="D13489" t="s">
        <v>67</v>
      </c>
      <c r="E13489" t="s">
        <v>67</v>
      </c>
      <c r="F13489" t="s">
        <v>49</v>
      </c>
      <c r="G13489" s="117">
        <v>3.12</v>
      </c>
    </row>
    <row r="13490" spans="1:7" x14ac:dyDescent="0.25">
      <c r="A13490" s="116" t="s">
        <v>21032</v>
      </c>
      <c r="B13490" s="117" t="s">
        <v>21033</v>
      </c>
      <c r="C13490" t="s">
        <v>67</v>
      </c>
      <c r="D13490" t="s">
        <v>67</v>
      </c>
      <c r="E13490" t="s">
        <v>67</v>
      </c>
      <c r="F13490" t="s">
        <v>27990</v>
      </c>
      <c r="G13490" s="117">
        <v>2.58</v>
      </c>
    </row>
    <row r="13491" spans="1:7" x14ac:dyDescent="0.25">
      <c r="A13491" s="116" t="s">
        <v>21034</v>
      </c>
      <c r="B13491" s="117" t="s">
        <v>13626</v>
      </c>
      <c r="C13491" t="s">
        <v>67</v>
      </c>
      <c r="D13491" t="s">
        <v>67</v>
      </c>
      <c r="E13491" t="s">
        <v>67</v>
      </c>
      <c r="F13491" t="s">
        <v>45</v>
      </c>
      <c r="G13491" s="117">
        <v>3.12</v>
      </c>
    </row>
    <row r="13492" spans="1:7" x14ac:dyDescent="0.25">
      <c r="A13492" s="116" t="s">
        <v>21035</v>
      </c>
      <c r="B13492" s="117" t="s">
        <v>21036</v>
      </c>
      <c r="C13492" t="s">
        <v>67</v>
      </c>
      <c r="D13492" t="s">
        <v>67</v>
      </c>
      <c r="E13492" t="s">
        <v>67</v>
      </c>
      <c r="F13492" t="s">
        <v>27987</v>
      </c>
      <c r="G13492" s="117">
        <v>2.58</v>
      </c>
    </row>
    <row r="13493" spans="1:7" x14ac:dyDescent="0.25">
      <c r="A13493" s="116" t="s">
        <v>21037</v>
      </c>
      <c r="B13493" s="117" t="s">
        <v>13626</v>
      </c>
      <c r="C13493" t="s">
        <v>67</v>
      </c>
      <c r="D13493" t="s">
        <v>67</v>
      </c>
      <c r="E13493" t="s">
        <v>67</v>
      </c>
      <c r="F13493" t="s">
        <v>27987</v>
      </c>
      <c r="G13493" s="117">
        <v>2.58</v>
      </c>
    </row>
    <row r="13494" spans="1:7" x14ac:dyDescent="0.25">
      <c r="A13494" s="116" t="s">
        <v>21038</v>
      </c>
      <c r="B13494" s="117" t="s">
        <v>21039</v>
      </c>
      <c r="C13494" t="s">
        <v>67</v>
      </c>
      <c r="D13494" t="s">
        <v>67</v>
      </c>
      <c r="E13494" t="s">
        <v>67</v>
      </c>
      <c r="F13494" t="s">
        <v>45</v>
      </c>
      <c r="G13494" s="117">
        <v>4.8899999999999997</v>
      </c>
    </row>
    <row r="13495" spans="1:7" x14ac:dyDescent="0.25">
      <c r="A13495" s="116" t="s">
        <v>21040</v>
      </c>
      <c r="B13495" s="117" t="s">
        <v>21041</v>
      </c>
      <c r="C13495" t="s">
        <v>67</v>
      </c>
      <c r="D13495" t="s">
        <v>67</v>
      </c>
      <c r="E13495" t="s">
        <v>67</v>
      </c>
      <c r="F13495" t="s">
        <v>27987</v>
      </c>
      <c r="G13495" s="117">
        <v>9.35</v>
      </c>
    </row>
    <row r="13496" spans="1:7" x14ac:dyDescent="0.25">
      <c r="A13496" s="116" t="s">
        <v>21042</v>
      </c>
      <c r="B13496" s="117" t="s">
        <v>21043</v>
      </c>
      <c r="C13496" t="s">
        <v>67</v>
      </c>
      <c r="D13496" t="s">
        <v>67</v>
      </c>
      <c r="E13496" t="s">
        <v>67</v>
      </c>
      <c r="F13496" t="s">
        <v>27987</v>
      </c>
      <c r="G13496" s="117">
        <v>4.3600000000000003</v>
      </c>
    </row>
    <row r="13497" spans="1:7" x14ac:dyDescent="0.25">
      <c r="A13497" s="116" t="s">
        <v>21044</v>
      </c>
      <c r="B13497" s="117" t="s">
        <v>21045</v>
      </c>
      <c r="C13497" t="s">
        <v>67</v>
      </c>
      <c r="D13497" t="s">
        <v>67</v>
      </c>
      <c r="E13497" t="s">
        <v>67</v>
      </c>
      <c r="F13497" t="s">
        <v>27990</v>
      </c>
      <c r="G13497" s="117">
        <v>2.67</v>
      </c>
    </row>
    <row r="13498" spans="1:7" x14ac:dyDescent="0.25">
      <c r="A13498" s="116" t="s">
        <v>21046</v>
      </c>
      <c r="B13498" s="117" t="s">
        <v>21047</v>
      </c>
      <c r="C13498" t="s">
        <v>67</v>
      </c>
      <c r="D13498" t="s">
        <v>67</v>
      </c>
      <c r="E13498" t="s">
        <v>67</v>
      </c>
      <c r="F13498" t="s">
        <v>51</v>
      </c>
      <c r="G13498" s="117">
        <v>5.51</v>
      </c>
    </row>
    <row r="13499" spans="1:7" x14ac:dyDescent="0.25">
      <c r="A13499" s="116" t="s">
        <v>21048</v>
      </c>
      <c r="B13499" s="117" t="s">
        <v>21049</v>
      </c>
      <c r="C13499" t="s">
        <v>67</v>
      </c>
      <c r="D13499" t="s">
        <v>67</v>
      </c>
      <c r="E13499" t="s">
        <v>67</v>
      </c>
      <c r="F13499" t="s">
        <v>49</v>
      </c>
      <c r="G13499" s="117">
        <v>4</v>
      </c>
    </row>
    <row r="13500" spans="1:7" x14ac:dyDescent="0.25">
      <c r="A13500" s="116" t="s">
        <v>21050</v>
      </c>
      <c r="B13500" s="117" t="s">
        <v>21047</v>
      </c>
      <c r="C13500" t="s">
        <v>67</v>
      </c>
      <c r="D13500" t="s">
        <v>67</v>
      </c>
      <c r="E13500" t="s">
        <v>67</v>
      </c>
      <c r="F13500" t="s">
        <v>45</v>
      </c>
      <c r="G13500" s="117">
        <v>3.48</v>
      </c>
    </row>
    <row r="13501" spans="1:7" x14ac:dyDescent="0.25">
      <c r="A13501" s="116" t="s">
        <v>21051</v>
      </c>
      <c r="B13501" s="117" t="s">
        <v>21031</v>
      </c>
      <c r="C13501" t="s">
        <v>67</v>
      </c>
      <c r="D13501" t="s">
        <v>67</v>
      </c>
      <c r="E13501" t="s">
        <v>67</v>
      </c>
      <c r="F13501" t="s">
        <v>49</v>
      </c>
      <c r="G13501" s="117">
        <v>1.77</v>
      </c>
    </row>
    <row r="13502" spans="1:7" x14ac:dyDescent="0.25">
      <c r="A13502" s="116" t="s">
        <v>21052</v>
      </c>
      <c r="B13502" s="117" t="s">
        <v>21053</v>
      </c>
      <c r="C13502" t="s">
        <v>67</v>
      </c>
      <c r="D13502" t="s">
        <v>67</v>
      </c>
      <c r="E13502" t="s">
        <v>67</v>
      </c>
      <c r="F13502" t="s">
        <v>45</v>
      </c>
      <c r="G13502" s="117">
        <v>6.14</v>
      </c>
    </row>
    <row r="13503" spans="1:7" x14ac:dyDescent="0.25">
      <c r="A13503" s="116" t="s">
        <v>21054</v>
      </c>
      <c r="B13503" s="117" t="s">
        <v>13626</v>
      </c>
      <c r="C13503" t="s">
        <v>67</v>
      </c>
      <c r="D13503" t="s">
        <v>67</v>
      </c>
      <c r="E13503" t="s">
        <v>67</v>
      </c>
      <c r="F13503" t="s">
        <v>49</v>
      </c>
      <c r="G13503" s="117">
        <v>3.12</v>
      </c>
    </row>
    <row r="13504" spans="1:7" x14ac:dyDescent="0.25">
      <c r="A13504" s="116" t="s">
        <v>21055</v>
      </c>
      <c r="B13504" s="117" t="s">
        <v>21047</v>
      </c>
      <c r="C13504" t="s">
        <v>67</v>
      </c>
      <c r="D13504" t="s">
        <v>67</v>
      </c>
      <c r="E13504" t="s">
        <v>67</v>
      </c>
      <c r="F13504" t="s">
        <v>49</v>
      </c>
      <c r="G13504" s="117">
        <v>2.58</v>
      </c>
    </row>
    <row r="13505" spans="1:7" x14ac:dyDescent="0.25">
      <c r="A13505" s="116" t="s">
        <v>21056</v>
      </c>
      <c r="B13505" s="117" t="s">
        <v>21049</v>
      </c>
      <c r="C13505" t="s">
        <v>67</v>
      </c>
      <c r="D13505" t="s">
        <v>67</v>
      </c>
      <c r="E13505" t="s">
        <v>67</v>
      </c>
      <c r="F13505" t="s">
        <v>27987</v>
      </c>
      <c r="G13505" s="117">
        <v>2</v>
      </c>
    </row>
    <row r="13506" spans="1:7" x14ac:dyDescent="0.25">
      <c r="A13506" s="116" t="s">
        <v>21057</v>
      </c>
      <c r="B13506" s="117" t="s">
        <v>13626</v>
      </c>
      <c r="C13506" t="s">
        <v>67</v>
      </c>
      <c r="D13506" t="s">
        <v>67</v>
      </c>
      <c r="E13506" t="s">
        <v>67</v>
      </c>
      <c r="F13506" t="s">
        <v>49</v>
      </c>
      <c r="G13506" s="117">
        <v>1.77</v>
      </c>
    </row>
    <row r="13507" spans="1:7" x14ac:dyDescent="0.25">
      <c r="A13507" s="116" t="s">
        <v>21058</v>
      </c>
      <c r="B13507" s="117" t="s">
        <v>21059</v>
      </c>
      <c r="C13507" t="s">
        <v>67</v>
      </c>
      <c r="D13507" t="s">
        <v>67</v>
      </c>
      <c r="E13507" t="s">
        <v>67</v>
      </c>
      <c r="F13507" t="s">
        <v>49</v>
      </c>
      <c r="G13507" s="117">
        <v>9.6999999999999993</v>
      </c>
    </row>
    <row r="13508" spans="1:7" x14ac:dyDescent="0.25">
      <c r="A13508" s="116" t="s">
        <v>21060</v>
      </c>
      <c r="B13508" s="117" t="s">
        <v>21061</v>
      </c>
      <c r="C13508" t="s">
        <v>67</v>
      </c>
      <c r="D13508" t="s">
        <v>67</v>
      </c>
      <c r="E13508" t="s">
        <v>67</v>
      </c>
      <c r="F13508" t="s">
        <v>45</v>
      </c>
      <c r="G13508" s="117">
        <v>8.4499999999999993</v>
      </c>
    </row>
    <row r="13509" spans="1:7" x14ac:dyDescent="0.25">
      <c r="A13509" s="116" t="s">
        <v>26671</v>
      </c>
      <c r="B13509" s="117" t="s">
        <v>26672</v>
      </c>
      <c r="C13509" t="s">
        <v>67</v>
      </c>
      <c r="D13509" t="s">
        <v>67</v>
      </c>
      <c r="E13509" t="s">
        <v>67</v>
      </c>
      <c r="F13509" t="s">
        <v>49</v>
      </c>
      <c r="G13509" s="117">
        <v>5.51</v>
      </c>
    </row>
    <row r="13510" spans="1:7" x14ac:dyDescent="0.25">
      <c r="A13510" s="116" t="s">
        <v>21062</v>
      </c>
      <c r="B13510" s="117" t="s">
        <v>21063</v>
      </c>
      <c r="C13510" t="s">
        <v>67</v>
      </c>
      <c r="D13510" t="s">
        <v>67</v>
      </c>
      <c r="E13510" t="s">
        <v>67</v>
      </c>
      <c r="F13510" t="s">
        <v>27987</v>
      </c>
      <c r="G13510" s="117">
        <v>1.33</v>
      </c>
    </row>
    <row r="13511" spans="1:7" x14ac:dyDescent="0.25">
      <c r="A13511" s="116" t="s">
        <v>21064</v>
      </c>
      <c r="B13511" s="117" t="s">
        <v>21065</v>
      </c>
      <c r="C13511" t="s">
        <v>67</v>
      </c>
      <c r="D13511" t="s">
        <v>67</v>
      </c>
      <c r="E13511" t="s">
        <v>67</v>
      </c>
      <c r="F13511" t="s">
        <v>27987</v>
      </c>
      <c r="G13511" s="117">
        <v>3.48</v>
      </c>
    </row>
    <row r="13512" spans="1:7" x14ac:dyDescent="0.25">
      <c r="A13512" s="116" t="s">
        <v>21066</v>
      </c>
      <c r="B13512" s="117" t="s">
        <v>21067</v>
      </c>
      <c r="C13512" t="s">
        <v>67</v>
      </c>
      <c r="D13512" t="s">
        <v>67</v>
      </c>
      <c r="E13512" t="s">
        <v>67</v>
      </c>
      <c r="F13512" t="s">
        <v>27987</v>
      </c>
      <c r="G13512" s="117">
        <v>4.8899999999999997</v>
      </c>
    </row>
    <row r="13513" spans="1:7" x14ac:dyDescent="0.25">
      <c r="A13513" s="116" t="s">
        <v>21068</v>
      </c>
      <c r="B13513" s="117" t="s">
        <v>3110</v>
      </c>
      <c r="C13513" t="s">
        <v>67</v>
      </c>
      <c r="D13513" t="s">
        <v>67</v>
      </c>
      <c r="E13513" t="s">
        <v>67</v>
      </c>
      <c r="F13513" t="s">
        <v>45</v>
      </c>
      <c r="G13513" s="117">
        <v>2.58</v>
      </c>
    </row>
    <row r="13514" spans="1:7" x14ac:dyDescent="0.25">
      <c r="A13514" s="116" t="s">
        <v>21069</v>
      </c>
      <c r="B13514" s="117" t="s">
        <v>21070</v>
      </c>
      <c r="C13514" t="s">
        <v>67</v>
      </c>
      <c r="D13514" t="s">
        <v>67</v>
      </c>
      <c r="E13514" t="s">
        <v>67</v>
      </c>
      <c r="F13514" t="s">
        <v>45</v>
      </c>
      <c r="G13514" s="117">
        <v>0.8</v>
      </c>
    </row>
    <row r="13515" spans="1:7" x14ac:dyDescent="0.25">
      <c r="A13515" s="116" t="s">
        <v>21071</v>
      </c>
      <c r="B13515" s="117" t="s">
        <v>21070</v>
      </c>
      <c r="C13515" t="s">
        <v>67</v>
      </c>
      <c r="D13515" t="s">
        <v>67</v>
      </c>
      <c r="E13515" t="s">
        <v>67</v>
      </c>
      <c r="F13515" t="s">
        <v>45</v>
      </c>
      <c r="G13515" s="117">
        <v>1.33</v>
      </c>
    </row>
    <row r="13516" spans="1:7" x14ac:dyDescent="0.25">
      <c r="A13516" s="116" t="s">
        <v>21072</v>
      </c>
      <c r="B13516" s="117" t="s">
        <v>12248</v>
      </c>
      <c r="C13516" t="s">
        <v>67</v>
      </c>
      <c r="D13516" t="s">
        <v>67</v>
      </c>
      <c r="E13516" t="s">
        <v>67</v>
      </c>
      <c r="F13516" t="s">
        <v>27987</v>
      </c>
      <c r="G13516" s="117">
        <v>0.44</v>
      </c>
    </row>
    <row r="13517" spans="1:7" x14ac:dyDescent="0.25">
      <c r="A13517" s="116" t="s">
        <v>21073</v>
      </c>
      <c r="B13517" s="117" t="s">
        <v>21074</v>
      </c>
      <c r="C13517" t="s">
        <v>67</v>
      </c>
      <c r="D13517" t="s">
        <v>67</v>
      </c>
      <c r="E13517" t="s">
        <v>67</v>
      </c>
      <c r="F13517" t="s">
        <v>27987</v>
      </c>
      <c r="G13517" s="117">
        <v>0.76</v>
      </c>
    </row>
    <row r="13518" spans="1:7" x14ac:dyDescent="0.25">
      <c r="A13518" s="116" t="s">
        <v>21075</v>
      </c>
      <c r="B13518" s="117" t="s">
        <v>16189</v>
      </c>
      <c r="C13518" t="s">
        <v>67</v>
      </c>
      <c r="D13518" t="s">
        <v>67</v>
      </c>
      <c r="E13518" t="s">
        <v>67</v>
      </c>
      <c r="F13518" t="s">
        <v>27987</v>
      </c>
      <c r="G13518" s="117">
        <v>0.44</v>
      </c>
    </row>
    <row r="13519" spans="1:7" x14ac:dyDescent="0.25">
      <c r="A13519" s="116" t="s">
        <v>21076</v>
      </c>
      <c r="B13519" s="117" t="s">
        <v>21077</v>
      </c>
      <c r="C13519" t="s">
        <v>67</v>
      </c>
      <c r="D13519" t="s">
        <v>67</v>
      </c>
      <c r="E13519" t="s">
        <v>67</v>
      </c>
      <c r="F13519" t="s">
        <v>49</v>
      </c>
      <c r="G13519" s="117">
        <v>1.33</v>
      </c>
    </row>
    <row r="13520" spans="1:7" x14ac:dyDescent="0.25">
      <c r="A13520" s="116" t="s">
        <v>21078</v>
      </c>
      <c r="B13520" s="117" t="s">
        <v>12541</v>
      </c>
      <c r="C13520" t="s">
        <v>67</v>
      </c>
      <c r="D13520" t="s">
        <v>67</v>
      </c>
      <c r="E13520" t="s">
        <v>67</v>
      </c>
      <c r="F13520" t="s">
        <v>27987</v>
      </c>
      <c r="G13520" s="117">
        <v>1.33</v>
      </c>
    </row>
    <row r="13521" spans="1:7" x14ac:dyDescent="0.25">
      <c r="A13521" s="116" t="s">
        <v>21079</v>
      </c>
      <c r="B13521" s="117" t="s">
        <v>16677</v>
      </c>
      <c r="C13521" t="s">
        <v>67</v>
      </c>
      <c r="D13521" t="s">
        <v>67</v>
      </c>
      <c r="E13521" t="s">
        <v>67</v>
      </c>
      <c r="F13521" t="s">
        <v>27987</v>
      </c>
      <c r="G13521" s="117">
        <v>1.33</v>
      </c>
    </row>
    <row r="13522" spans="1:7" x14ac:dyDescent="0.25">
      <c r="A13522" s="116" t="s">
        <v>21080</v>
      </c>
      <c r="B13522" s="117" t="s">
        <v>16677</v>
      </c>
      <c r="C13522" t="s">
        <v>67</v>
      </c>
      <c r="D13522" t="s">
        <v>67</v>
      </c>
      <c r="E13522" t="s">
        <v>67</v>
      </c>
      <c r="F13522" t="s">
        <v>27987</v>
      </c>
      <c r="G13522" s="117">
        <v>0.8</v>
      </c>
    </row>
    <row r="13523" spans="1:7" x14ac:dyDescent="0.25">
      <c r="A13523" s="116" t="s">
        <v>21081</v>
      </c>
      <c r="B13523" s="117" t="s">
        <v>16677</v>
      </c>
      <c r="C13523" t="s">
        <v>67</v>
      </c>
      <c r="D13523" t="s">
        <v>67</v>
      </c>
      <c r="E13523" t="s">
        <v>67</v>
      </c>
      <c r="F13523" t="s">
        <v>27987</v>
      </c>
      <c r="G13523" s="117">
        <v>1.33</v>
      </c>
    </row>
    <row r="13524" spans="1:7" x14ac:dyDescent="0.25">
      <c r="A13524" s="116" t="s">
        <v>29547</v>
      </c>
      <c r="B13524" s="117" t="s">
        <v>29548</v>
      </c>
      <c r="C13524" t="s">
        <v>67</v>
      </c>
      <c r="D13524" t="s">
        <v>67</v>
      </c>
      <c r="E13524" t="s">
        <v>67</v>
      </c>
      <c r="F13524" t="s">
        <v>45</v>
      </c>
      <c r="G13524" s="117">
        <v>0</v>
      </c>
    </row>
    <row r="13525" spans="1:7" x14ac:dyDescent="0.25">
      <c r="A13525" s="116" t="s">
        <v>21082</v>
      </c>
      <c r="B13525" s="117" t="s">
        <v>21083</v>
      </c>
      <c r="C13525" t="s">
        <v>67</v>
      </c>
      <c r="D13525" t="s">
        <v>67</v>
      </c>
      <c r="E13525" t="s">
        <v>67</v>
      </c>
      <c r="F13525" t="s">
        <v>27990</v>
      </c>
      <c r="G13525" s="117">
        <v>0.8</v>
      </c>
    </row>
    <row r="13526" spans="1:7" x14ac:dyDescent="0.25">
      <c r="A13526" s="116" t="s">
        <v>21084</v>
      </c>
      <c r="B13526" s="117" t="s">
        <v>16677</v>
      </c>
      <c r="C13526" t="s">
        <v>67</v>
      </c>
      <c r="D13526" t="s">
        <v>67</v>
      </c>
      <c r="E13526" t="s">
        <v>67</v>
      </c>
      <c r="F13526" t="s">
        <v>45</v>
      </c>
      <c r="G13526" s="117">
        <v>1.33</v>
      </c>
    </row>
    <row r="13527" spans="1:7" x14ac:dyDescent="0.25">
      <c r="A13527" s="116" t="s">
        <v>21085</v>
      </c>
      <c r="B13527" s="117" t="s">
        <v>21086</v>
      </c>
      <c r="C13527" t="s">
        <v>67</v>
      </c>
      <c r="D13527" t="s">
        <v>67</v>
      </c>
      <c r="E13527" t="s">
        <v>67</v>
      </c>
      <c r="F13527" t="s">
        <v>27987</v>
      </c>
      <c r="G13527" s="117">
        <v>33.369999999999997</v>
      </c>
    </row>
    <row r="13528" spans="1:7" x14ac:dyDescent="0.25">
      <c r="A13528" s="116" t="s">
        <v>21087</v>
      </c>
      <c r="B13528" s="117" t="s">
        <v>21088</v>
      </c>
      <c r="C13528" t="s">
        <v>67</v>
      </c>
      <c r="D13528" t="s">
        <v>67</v>
      </c>
      <c r="E13528" t="s">
        <v>67</v>
      </c>
      <c r="F13528" t="s">
        <v>45</v>
      </c>
      <c r="G13528" s="117">
        <v>0.8</v>
      </c>
    </row>
    <row r="13529" spans="1:7" x14ac:dyDescent="0.25">
      <c r="A13529" s="116" t="s">
        <v>21089</v>
      </c>
      <c r="B13529" s="117" t="s">
        <v>16677</v>
      </c>
      <c r="C13529" t="s">
        <v>67</v>
      </c>
      <c r="D13529" t="s">
        <v>67</v>
      </c>
      <c r="E13529" t="s">
        <v>67</v>
      </c>
      <c r="F13529" t="s">
        <v>51</v>
      </c>
      <c r="G13529" s="117">
        <v>0.76</v>
      </c>
    </row>
    <row r="13530" spans="1:7" x14ac:dyDescent="0.25">
      <c r="A13530" s="116" t="s">
        <v>21090</v>
      </c>
      <c r="B13530" s="117" t="s">
        <v>16677</v>
      </c>
      <c r="C13530" t="s">
        <v>67</v>
      </c>
      <c r="D13530" t="s">
        <v>67</v>
      </c>
      <c r="E13530" t="s">
        <v>67</v>
      </c>
      <c r="F13530" t="s">
        <v>49</v>
      </c>
      <c r="G13530" s="117">
        <v>0.89</v>
      </c>
    </row>
    <row r="13531" spans="1:7" x14ac:dyDescent="0.25">
      <c r="A13531" s="116" t="s">
        <v>21091</v>
      </c>
      <c r="B13531" s="117" t="s">
        <v>29549</v>
      </c>
      <c r="C13531" t="s">
        <v>67</v>
      </c>
      <c r="D13531" t="s">
        <v>67</v>
      </c>
      <c r="E13531" t="s">
        <v>67</v>
      </c>
      <c r="F13531" t="s">
        <v>27987</v>
      </c>
      <c r="G13531" s="117">
        <v>1.77</v>
      </c>
    </row>
    <row r="13532" spans="1:7" x14ac:dyDescent="0.25">
      <c r="A13532" s="116" t="s">
        <v>21092</v>
      </c>
      <c r="B13532" s="117" t="s">
        <v>21088</v>
      </c>
      <c r="C13532" t="s">
        <v>67</v>
      </c>
      <c r="D13532" t="s">
        <v>67</v>
      </c>
      <c r="E13532" t="s">
        <v>67</v>
      </c>
      <c r="F13532" t="s">
        <v>49</v>
      </c>
      <c r="G13532" s="117">
        <v>0.8</v>
      </c>
    </row>
    <row r="13533" spans="1:7" x14ac:dyDescent="0.25">
      <c r="A13533" s="116" t="s">
        <v>21093</v>
      </c>
      <c r="B13533" s="117" t="s">
        <v>21088</v>
      </c>
      <c r="C13533" t="s">
        <v>67</v>
      </c>
      <c r="D13533" t="s">
        <v>67</v>
      </c>
      <c r="E13533" t="s">
        <v>67</v>
      </c>
      <c r="F13533" t="s">
        <v>49</v>
      </c>
      <c r="G13533" s="117">
        <v>1.33</v>
      </c>
    </row>
    <row r="13534" spans="1:7" x14ac:dyDescent="0.25">
      <c r="A13534" s="116" t="s">
        <v>21094</v>
      </c>
      <c r="B13534" s="117" t="s">
        <v>21095</v>
      </c>
      <c r="C13534" t="s">
        <v>67</v>
      </c>
      <c r="D13534" t="s">
        <v>67</v>
      </c>
      <c r="E13534" t="s">
        <v>67</v>
      </c>
      <c r="F13534" t="s">
        <v>49</v>
      </c>
      <c r="G13534" s="117">
        <v>3.12</v>
      </c>
    </row>
    <row r="13535" spans="1:7" x14ac:dyDescent="0.25">
      <c r="A13535" s="116" t="s">
        <v>21096</v>
      </c>
      <c r="B13535" s="117" t="s">
        <v>21097</v>
      </c>
      <c r="C13535" t="s">
        <v>67</v>
      </c>
      <c r="D13535" t="s">
        <v>67</v>
      </c>
      <c r="E13535" t="s">
        <v>67</v>
      </c>
      <c r="F13535" t="s">
        <v>27987</v>
      </c>
      <c r="G13535" s="117">
        <v>8.9</v>
      </c>
    </row>
    <row r="13536" spans="1:7" x14ac:dyDescent="0.25">
      <c r="A13536" s="116" t="s">
        <v>21098</v>
      </c>
      <c r="B13536" s="117" t="s">
        <v>21099</v>
      </c>
      <c r="C13536" t="s">
        <v>67</v>
      </c>
      <c r="D13536" t="s">
        <v>67</v>
      </c>
      <c r="E13536" t="s">
        <v>67</v>
      </c>
      <c r="F13536" t="s">
        <v>49</v>
      </c>
      <c r="G13536" s="117">
        <v>6.68</v>
      </c>
    </row>
    <row r="13537" spans="1:7" x14ac:dyDescent="0.25">
      <c r="A13537" s="116" t="s">
        <v>26673</v>
      </c>
      <c r="B13537" s="117" t="s">
        <v>29550</v>
      </c>
      <c r="C13537" t="s">
        <v>67</v>
      </c>
      <c r="D13537" t="s">
        <v>67</v>
      </c>
      <c r="E13537" t="s">
        <v>67</v>
      </c>
      <c r="F13537" t="s">
        <v>27987</v>
      </c>
      <c r="G13537" s="117">
        <v>4.03</v>
      </c>
    </row>
    <row r="13538" spans="1:7" x14ac:dyDescent="0.25">
      <c r="A13538" s="116" t="s">
        <v>21100</v>
      </c>
      <c r="B13538" s="117" t="s">
        <v>21101</v>
      </c>
      <c r="C13538" t="s">
        <v>67</v>
      </c>
      <c r="D13538" t="s">
        <v>67</v>
      </c>
      <c r="E13538" t="s">
        <v>67</v>
      </c>
      <c r="F13538" t="s">
        <v>49</v>
      </c>
      <c r="G13538" s="117">
        <v>12.01</v>
      </c>
    </row>
    <row r="13539" spans="1:7" x14ac:dyDescent="0.25">
      <c r="A13539" s="116" t="s">
        <v>21102</v>
      </c>
      <c r="B13539" s="117" t="s">
        <v>21103</v>
      </c>
      <c r="C13539" t="s">
        <v>67</v>
      </c>
      <c r="D13539" t="s">
        <v>67</v>
      </c>
      <c r="E13539" t="s">
        <v>67</v>
      </c>
      <c r="F13539" t="s">
        <v>49</v>
      </c>
      <c r="G13539" s="117">
        <v>9.6999999999999993</v>
      </c>
    </row>
    <row r="13540" spans="1:7" x14ac:dyDescent="0.25">
      <c r="A13540" s="116" t="s">
        <v>21104</v>
      </c>
      <c r="B13540" s="117" t="s">
        <v>21105</v>
      </c>
      <c r="C13540" t="s">
        <v>67</v>
      </c>
      <c r="D13540" t="s">
        <v>67</v>
      </c>
      <c r="E13540" t="s">
        <v>67</v>
      </c>
      <c r="F13540" t="s">
        <v>27987</v>
      </c>
      <c r="G13540" s="117">
        <v>28.92</v>
      </c>
    </row>
    <row r="13541" spans="1:7" x14ac:dyDescent="0.25">
      <c r="A13541" s="116" t="s">
        <v>21106</v>
      </c>
      <c r="B13541" s="117" t="s">
        <v>21107</v>
      </c>
      <c r="C13541" t="s">
        <v>67</v>
      </c>
      <c r="D13541" t="s">
        <v>67</v>
      </c>
      <c r="E13541" t="s">
        <v>67</v>
      </c>
      <c r="F13541" t="s">
        <v>27987</v>
      </c>
      <c r="G13541" s="117">
        <v>42.62</v>
      </c>
    </row>
    <row r="13542" spans="1:7" x14ac:dyDescent="0.25">
      <c r="A13542" s="116" t="s">
        <v>21108</v>
      </c>
      <c r="B13542" s="117" t="s">
        <v>21109</v>
      </c>
      <c r="C13542" t="s">
        <v>67</v>
      </c>
      <c r="D13542" t="s">
        <v>67</v>
      </c>
      <c r="E13542" t="s">
        <v>67</v>
      </c>
      <c r="F13542" t="s">
        <v>27987</v>
      </c>
      <c r="G13542" s="117">
        <v>26.61</v>
      </c>
    </row>
    <row r="13543" spans="1:7" x14ac:dyDescent="0.25">
      <c r="A13543" s="116" t="s">
        <v>21110</v>
      </c>
      <c r="B13543" s="117" t="s">
        <v>11787</v>
      </c>
      <c r="C13543" t="s">
        <v>67</v>
      </c>
      <c r="D13543" t="s">
        <v>67</v>
      </c>
      <c r="E13543" t="s">
        <v>67</v>
      </c>
      <c r="F13543" t="s">
        <v>27987</v>
      </c>
      <c r="G13543" s="117">
        <v>1.33</v>
      </c>
    </row>
    <row r="13544" spans="1:7" x14ac:dyDescent="0.25">
      <c r="A13544" s="116" t="s">
        <v>21111</v>
      </c>
      <c r="B13544" s="117" t="s">
        <v>21109</v>
      </c>
      <c r="C13544" t="s">
        <v>67</v>
      </c>
      <c r="D13544" t="s">
        <v>67</v>
      </c>
      <c r="E13544" t="s">
        <v>67</v>
      </c>
      <c r="F13544" t="s">
        <v>27987</v>
      </c>
      <c r="G13544" s="117">
        <v>1.69</v>
      </c>
    </row>
    <row r="13545" spans="1:7" x14ac:dyDescent="0.25">
      <c r="A13545" s="116" t="s">
        <v>21112</v>
      </c>
      <c r="B13545" s="117" t="s">
        <v>21109</v>
      </c>
      <c r="C13545" t="s">
        <v>67</v>
      </c>
      <c r="D13545" t="s">
        <v>67</v>
      </c>
      <c r="E13545" t="s">
        <v>67</v>
      </c>
      <c r="F13545" t="s">
        <v>27987</v>
      </c>
      <c r="G13545" s="117">
        <v>2.23</v>
      </c>
    </row>
    <row r="13546" spans="1:7" x14ac:dyDescent="0.25">
      <c r="A13546" s="116" t="s">
        <v>21113</v>
      </c>
      <c r="B13546" s="117" t="s">
        <v>21114</v>
      </c>
      <c r="C13546" t="s">
        <v>67</v>
      </c>
      <c r="D13546" t="s">
        <v>67</v>
      </c>
      <c r="E13546" t="s">
        <v>67</v>
      </c>
      <c r="F13546" t="s">
        <v>27987</v>
      </c>
      <c r="G13546" s="117">
        <v>12.37</v>
      </c>
    </row>
    <row r="13547" spans="1:7" x14ac:dyDescent="0.25">
      <c r="A13547" s="116" t="s">
        <v>21115</v>
      </c>
      <c r="B13547" s="117" t="s">
        <v>21116</v>
      </c>
      <c r="C13547" t="s">
        <v>67</v>
      </c>
      <c r="D13547" t="s">
        <v>67</v>
      </c>
      <c r="E13547" t="s">
        <v>67</v>
      </c>
      <c r="F13547" t="s">
        <v>45</v>
      </c>
      <c r="G13547" s="117">
        <v>2.58</v>
      </c>
    </row>
    <row r="13548" spans="1:7" x14ac:dyDescent="0.25">
      <c r="A13548" s="116" t="s">
        <v>27711</v>
      </c>
      <c r="B13548" s="117" t="s">
        <v>21117</v>
      </c>
      <c r="C13548" t="s">
        <v>67</v>
      </c>
      <c r="D13548" t="s">
        <v>67</v>
      </c>
      <c r="E13548" t="s">
        <v>67</v>
      </c>
      <c r="F13548" t="s">
        <v>45</v>
      </c>
      <c r="G13548" s="117">
        <v>166.31</v>
      </c>
    </row>
    <row r="13549" spans="1:7" x14ac:dyDescent="0.25">
      <c r="A13549" s="116" t="s">
        <v>27712</v>
      </c>
      <c r="B13549" s="117" t="s">
        <v>21118</v>
      </c>
      <c r="C13549" t="s">
        <v>67</v>
      </c>
      <c r="D13549" t="s">
        <v>67</v>
      </c>
      <c r="E13549" t="s">
        <v>67</v>
      </c>
      <c r="F13549" t="s">
        <v>27987</v>
      </c>
      <c r="G13549" s="117">
        <v>420.54</v>
      </c>
    </row>
    <row r="13550" spans="1:7" x14ac:dyDescent="0.25">
      <c r="A13550" s="116" t="s">
        <v>27713</v>
      </c>
      <c r="B13550" s="117" t="s">
        <v>21119</v>
      </c>
      <c r="C13550" t="s">
        <v>67</v>
      </c>
      <c r="D13550" t="s">
        <v>67</v>
      </c>
      <c r="E13550" t="s">
        <v>67</v>
      </c>
      <c r="F13550" t="s">
        <v>45</v>
      </c>
      <c r="G13550" s="117">
        <v>2.58</v>
      </c>
    </row>
    <row r="13551" spans="1:7" x14ac:dyDescent="0.25">
      <c r="A13551" s="116" t="s">
        <v>27714</v>
      </c>
      <c r="B13551" s="117" t="s">
        <v>21120</v>
      </c>
      <c r="C13551" t="s">
        <v>67</v>
      </c>
      <c r="D13551" t="s">
        <v>67</v>
      </c>
      <c r="E13551" t="s">
        <v>67</v>
      </c>
      <c r="F13551" t="s">
        <v>27987</v>
      </c>
      <c r="G13551" s="117">
        <v>19.13</v>
      </c>
    </row>
    <row r="13552" spans="1:7" x14ac:dyDescent="0.25">
      <c r="A13552" s="116" t="s">
        <v>27715</v>
      </c>
      <c r="B13552" s="117" t="s">
        <v>21121</v>
      </c>
      <c r="C13552" t="s">
        <v>67</v>
      </c>
      <c r="D13552" t="s">
        <v>67</v>
      </c>
      <c r="E13552" t="s">
        <v>67</v>
      </c>
      <c r="F13552" t="s">
        <v>45</v>
      </c>
      <c r="G13552" s="117">
        <v>36.93</v>
      </c>
    </row>
    <row r="13553" spans="1:7" x14ac:dyDescent="0.25">
      <c r="A13553" s="116" t="s">
        <v>27716</v>
      </c>
      <c r="B13553" s="117" t="s">
        <v>21122</v>
      </c>
      <c r="C13553" t="s">
        <v>67</v>
      </c>
      <c r="D13553" t="s">
        <v>67</v>
      </c>
      <c r="E13553" t="s">
        <v>67</v>
      </c>
      <c r="F13553" t="s">
        <v>45</v>
      </c>
      <c r="G13553" s="117">
        <v>3.55</v>
      </c>
    </row>
    <row r="13554" spans="1:7" x14ac:dyDescent="0.25">
      <c r="A13554" s="116" t="s">
        <v>27717</v>
      </c>
      <c r="B13554" s="117" t="s">
        <v>21123</v>
      </c>
      <c r="C13554" t="s">
        <v>67</v>
      </c>
      <c r="D13554" t="s">
        <v>67</v>
      </c>
      <c r="E13554" t="s">
        <v>67</v>
      </c>
      <c r="F13554" t="s">
        <v>45</v>
      </c>
      <c r="G13554" s="117">
        <v>75.55</v>
      </c>
    </row>
    <row r="13555" spans="1:7" x14ac:dyDescent="0.25">
      <c r="A13555" s="116" t="s">
        <v>27718</v>
      </c>
      <c r="B13555" s="117" t="s">
        <v>21124</v>
      </c>
      <c r="C13555" t="s">
        <v>67</v>
      </c>
      <c r="D13555" t="s">
        <v>67</v>
      </c>
      <c r="E13555" t="s">
        <v>67</v>
      </c>
      <c r="F13555" t="s">
        <v>45</v>
      </c>
      <c r="G13555" s="117">
        <v>6.14</v>
      </c>
    </row>
    <row r="13556" spans="1:7" x14ac:dyDescent="0.25">
      <c r="A13556" s="116" t="s">
        <v>27719</v>
      </c>
      <c r="B13556" s="117" t="s">
        <v>21125</v>
      </c>
      <c r="C13556" t="s">
        <v>67</v>
      </c>
      <c r="D13556" t="s">
        <v>67</v>
      </c>
      <c r="E13556" t="s">
        <v>67</v>
      </c>
      <c r="F13556" t="s">
        <v>45</v>
      </c>
      <c r="G13556" s="117">
        <v>50.63</v>
      </c>
    </row>
    <row r="13557" spans="1:7" x14ac:dyDescent="0.25">
      <c r="A13557" s="116" t="s">
        <v>27720</v>
      </c>
      <c r="B13557" s="117" t="s">
        <v>21126</v>
      </c>
      <c r="C13557" t="s">
        <v>67</v>
      </c>
      <c r="D13557" t="s">
        <v>67</v>
      </c>
      <c r="E13557" t="s">
        <v>67</v>
      </c>
      <c r="F13557" t="s">
        <v>45</v>
      </c>
      <c r="G13557" s="117">
        <v>8.4499999999999993</v>
      </c>
    </row>
    <row r="13558" spans="1:7" x14ac:dyDescent="0.25">
      <c r="A13558" s="116" t="s">
        <v>27721</v>
      </c>
      <c r="B13558" s="117" t="s">
        <v>21127</v>
      </c>
      <c r="C13558" t="s">
        <v>67</v>
      </c>
      <c r="D13558" t="s">
        <v>67</v>
      </c>
      <c r="E13558" t="s">
        <v>67</v>
      </c>
      <c r="F13558" t="s">
        <v>45</v>
      </c>
      <c r="G13558" s="117">
        <v>33.51</v>
      </c>
    </row>
    <row r="13559" spans="1:7" x14ac:dyDescent="0.25">
      <c r="A13559" s="116" t="s">
        <v>27722</v>
      </c>
      <c r="B13559" s="117" t="s">
        <v>21128</v>
      </c>
      <c r="C13559" t="s">
        <v>67</v>
      </c>
      <c r="D13559" t="s">
        <v>67</v>
      </c>
      <c r="E13559" t="s">
        <v>67</v>
      </c>
      <c r="F13559" t="s">
        <v>45</v>
      </c>
      <c r="G13559" s="117">
        <v>19.670000000000002</v>
      </c>
    </row>
    <row r="13560" spans="1:7" x14ac:dyDescent="0.25">
      <c r="A13560" s="116" t="s">
        <v>27723</v>
      </c>
      <c r="B13560" s="117" t="s">
        <v>8163</v>
      </c>
      <c r="C13560" t="s">
        <v>67</v>
      </c>
      <c r="D13560" t="s">
        <v>67</v>
      </c>
      <c r="E13560" t="s">
        <v>67</v>
      </c>
      <c r="F13560" t="s">
        <v>45</v>
      </c>
      <c r="G13560" s="117">
        <v>16.29</v>
      </c>
    </row>
    <row r="13561" spans="1:7" x14ac:dyDescent="0.25">
      <c r="A13561" s="116" t="s">
        <v>27724</v>
      </c>
      <c r="B13561" s="117" t="s">
        <v>5575</v>
      </c>
      <c r="C13561" t="s">
        <v>67</v>
      </c>
      <c r="D13561" t="s">
        <v>67</v>
      </c>
      <c r="E13561" t="s">
        <v>67</v>
      </c>
      <c r="F13561" t="s">
        <v>45</v>
      </c>
      <c r="G13561" s="117">
        <v>2.86</v>
      </c>
    </row>
    <row r="13562" spans="1:7" x14ac:dyDescent="0.25">
      <c r="A13562" s="116" t="s">
        <v>27725</v>
      </c>
      <c r="B13562" s="117" t="s">
        <v>21129</v>
      </c>
      <c r="C13562" t="s">
        <v>67</v>
      </c>
      <c r="D13562" t="s">
        <v>67</v>
      </c>
      <c r="E13562" t="s">
        <v>67</v>
      </c>
      <c r="F13562" t="s">
        <v>27987</v>
      </c>
      <c r="G13562" s="117">
        <v>10.220000000000001</v>
      </c>
    </row>
    <row r="13563" spans="1:7" x14ac:dyDescent="0.25">
      <c r="A13563" s="116" t="s">
        <v>27726</v>
      </c>
      <c r="B13563" s="117" t="s">
        <v>21130</v>
      </c>
      <c r="C13563" t="s">
        <v>67</v>
      </c>
      <c r="D13563" t="s">
        <v>67</v>
      </c>
      <c r="E13563" t="s">
        <v>67</v>
      </c>
      <c r="F13563" t="s">
        <v>45</v>
      </c>
      <c r="G13563" s="117">
        <v>3.47</v>
      </c>
    </row>
    <row r="13564" spans="1:7" x14ac:dyDescent="0.25">
      <c r="A13564" s="116" t="s">
        <v>27727</v>
      </c>
      <c r="B13564" s="117" t="s">
        <v>5575</v>
      </c>
      <c r="C13564" t="s">
        <v>67</v>
      </c>
      <c r="D13564" t="s">
        <v>67</v>
      </c>
      <c r="E13564" t="s">
        <v>67</v>
      </c>
      <c r="F13564" t="s">
        <v>45</v>
      </c>
      <c r="G13564" s="117">
        <v>2.4500000000000002</v>
      </c>
    </row>
    <row r="13565" spans="1:7" x14ac:dyDescent="0.25">
      <c r="A13565" s="116" t="s">
        <v>27728</v>
      </c>
      <c r="B13565" s="117" t="s">
        <v>10195</v>
      </c>
      <c r="C13565" t="s">
        <v>67</v>
      </c>
      <c r="D13565" t="s">
        <v>67</v>
      </c>
      <c r="E13565" t="s">
        <v>67</v>
      </c>
      <c r="F13565" t="s">
        <v>45</v>
      </c>
      <c r="G13565" s="117">
        <v>2.58</v>
      </c>
    </row>
    <row r="13566" spans="1:7" x14ac:dyDescent="0.25">
      <c r="A13566" s="116" t="s">
        <v>27729</v>
      </c>
      <c r="B13566" s="117" t="s">
        <v>21131</v>
      </c>
      <c r="C13566" t="s">
        <v>67</v>
      </c>
      <c r="D13566" t="s">
        <v>67</v>
      </c>
      <c r="E13566" t="s">
        <v>67</v>
      </c>
      <c r="F13566" t="s">
        <v>27987</v>
      </c>
      <c r="G13566" s="117">
        <v>7.67</v>
      </c>
    </row>
    <row r="13567" spans="1:7" x14ac:dyDescent="0.25">
      <c r="A13567" s="116" t="s">
        <v>27730</v>
      </c>
      <c r="B13567" s="117" t="s">
        <v>21132</v>
      </c>
      <c r="C13567" t="s">
        <v>67</v>
      </c>
      <c r="D13567" t="s">
        <v>67</v>
      </c>
      <c r="E13567" t="s">
        <v>67</v>
      </c>
      <c r="F13567" t="s">
        <v>45</v>
      </c>
      <c r="G13567" s="117">
        <v>5.24</v>
      </c>
    </row>
    <row r="13568" spans="1:7" x14ac:dyDescent="0.25">
      <c r="A13568" s="116" t="s">
        <v>27731</v>
      </c>
      <c r="B13568" s="117" t="s">
        <v>21130</v>
      </c>
      <c r="C13568" t="s">
        <v>67</v>
      </c>
      <c r="D13568" t="s">
        <v>67</v>
      </c>
      <c r="E13568" t="s">
        <v>67</v>
      </c>
      <c r="F13568" t="s">
        <v>45</v>
      </c>
      <c r="G13568" s="117">
        <v>3.47</v>
      </c>
    </row>
    <row r="13569" spans="1:7" x14ac:dyDescent="0.25">
      <c r="A13569" s="116" t="s">
        <v>21133</v>
      </c>
      <c r="B13569" s="117" t="s">
        <v>21134</v>
      </c>
      <c r="C13569" t="s">
        <v>67</v>
      </c>
      <c r="D13569" t="s">
        <v>67</v>
      </c>
      <c r="E13569" t="s">
        <v>67</v>
      </c>
      <c r="F13569" t="s">
        <v>27987</v>
      </c>
      <c r="G13569" s="117">
        <v>17.829999999999998</v>
      </c>
    </row>
    <row r="13570" spans="1:7" x14ac:dyDescent="0.25">
      <c r="A13570" s="116" t="s">
        <v>29551</v>
      </c>
      <c r="B13570" s="117" t="s">
        <v>29552</v>
      </c>
      <c r="C13570" t="s">
        <v>67</v>
      </c>
      <c r="D13570" t="s">
        <v>67</v>
      </c>
      <c r="E13570" t="s">
        <v>67</v>
      </c>
      <c r="F13570" t="s">
        <v>45</v>
      </c>
      <c r="G13570" s="117">
        <v>0</v>
      </c>
    </row>
    <row r="13571" spans="1:7" x14ac:dyDescent="0.25">
      <c r="A13571" s="116" t="s">
        <v>27732</v>
      </c>
      <c r="B13571" s="117" t="s">
        <v>21135</v>
      </c>
      <c r="C13571" t="s">
        <v>67</v>
      </c>
      <c r="D13571" t="s">
        <v>67</v>
      </c>
      <c r="E13571" t="s">
        <v>67</v>
      </c>
      <c r="F13571" t="s">
        <v>45</v>
      </c>
      <c r="G13571" s="117">
        <v>47.07</v>
      </c>
    </row>
    <row r="13572" spans="1:7" x14ac:dyDescent="0.25">
      <c r="A13572" s="116" t="s">
        <v>21136</v>
      </c>
      <c r="B13572" s="117" t="s">
        <v>21137</v>
      </c>
      <c r="C13572" t="s">
        <v>67</v>
      </c>
      <c r="D13572" t="s">
        <v>67</v>
      </c>
      <c r="E13572" t="s">
        <v>67</v>
      </c>
      <c r="F13572" t="s">
        <v>27987</v>
      </c>
      <c r="G13572" s="117">
        <v>10.58</v>
      </c>
    </row>
    <row r="13573" spans="1:7" x14ac:dyDescent="0.25">
      <c r="A13573" s="116" t="s">
        <v>27733</v>
      </c>
      <c r="B13573" s="117" t="s">
        <v>21138</v>
      </c>
      <c r="C13573" t="s">
        <v>67</v>
      </c>
      <c r="D13573" t="s">
        <v>67</v>
      </c>
      <c r="E13573" t="s">
        <v>67</v>
      </c>
      <c r="F13573" t="s">
        <v>45</v>
      </c>
      <c r="G13573" s="117">
        <v>52.06</v>
      </c>
    </row>
    <row r="13574" spans="1:7" x14ac:dyDescent="0.25">
      <c r="A13574" s="116" t="s">
        <v>27734</v>
      </c>
      <c r="B13574" s="117" t="s">
        <v>21135</v>
      </c>
      <c r="C13574" t="s">
        <v>67</v>
      </c>
      <c r="D13574" t="s">
        <v>67</v>
      </c>
      <c r="E13574" t="s">
        <v>67</v>
      </c>
      <c r="F13574" t="s">
        <v>45</v>
      </c>
      <c r="G13574" s="117">
        <v>10.58</v>
      </c>
    </row>
    <row r="13575" spans="1:7" x14ac:dyDescent="0.25">
      <c r="A13575" s="116" t="s">
        <v>27735</v>
      </c>
      <c r="B13575" s="117" t="s">
        <v>21119</v>
      </c>
      <c r="C13575" t="s">
        <v>67</v>
      </c>
      <c r="D13575" t="s">
        <v>67</v>
      </c>
      <c r="E13575" t="s">
        <v>67</v>
      </c>
      <c r="F13575" t="s">
        <v>45</v>
      </c>
      <c r="G13575" s="117">
        <v>7.12</v>
      </c>
    </row>
    <row r="13576" spans="1:7" x14ac:dyDescent="0.25">
      <c r="A13576" s="116" t="s">
        <v>27736</v>
      </c>
      <c r="B13576" s="117" t="s">
        <v>21139</v>
      </c>
      <c r="C13576" t="s">
        <v>67</v>
      </c>
      <c r="D13576" t="s">
        <v>67</v>
      </c>
      <c r="E13576" t="s">
        <v>67</v>
      </c>
      <c r="F13576" t="s">
        <v>27987</v>
      </c>
      <c r="G13576" s="117">
        <v>22.69</v>
      </c>
    </row>
    <row r="13577" spans="1:7" x14ac:dyDescent="0.25">
      <c r="A13577" s="116" t="s">
        <v>27737</v>
      </c>
      <c r="B13577" s="117" t="s">
        <v>21140</v>
      </c>
      <c r="C13577" t="s">
        <v>67</v>
      </c>
      <c r="D13577" t="s">
        <v>67</v>
      </c>
      <c r="E13577" t="s">
        <v>67</v>
      </c>
      <c r="F13577" t="s">
        <v>45</v>
      </c>
      <c r="G13577" s="117">
        <v>16.82</v>
      </c>
    </row>
    <row r="13578" spans="1:7" x14ac:dyDescent="0.25">
      <c r="A13578" s="116" t="s">
        <v>27738</v>
      </c>
      <c r="B13578" s="117" t="s">
        <v>21141</v>
      </c>
      <c r="C13578" t="s">
        <v>67</v>
      </c>
      <c r="D13578" t="s">
        <v>67</v>
      </c>
      <c r="E13578" t="s">
        <v>67</v>
      </c>
      <c r="F13578" t="s">
        <v>27987</v>
      </c>
      <c r="G13578" s="117">
        <v>49.74</v>
      </c>
    </row>
    <row r="13579" spans="1:7" x14ac:dyDescent="0.25">
      <c r="A13579" s="116" t="s">
        <v>27739</v>
      </c>
      <c r="B13579" s="117" t="s">
        <v>21142</v>
      </c>
      <c r="C13579" t="s">
        <v>67</v>
      </c>
      <c r="D13579" t="s">
        <v>67</v>
      </c>
      <c r="E13579" t="s">
        <v>67</v>
      </c>
      <c r="F13579" t="s">
        <v>27987</v>
      </c>
      <c r="G13579" s="117">
        <v>110.25</v>
      </c>
    </row>
    <row r="13580" spans="1:7" x14ac:dyDescent="0.25">
      <c r="A13580" s="116" t="s">
        <v>27740</v>
      </c>
      <c r="B13580" s="117" t="s">
        <v>21143</v>
      </c>
      <c r="C13580" t="s">
        <v>67</v>
      </c>
      <c r="D13580" t="s">
        <v>67</v>
      </c>
      <c r="E13580" t="s">
        <v>67</v>
      </c>
      <c r="F13580" t="s">
        <v>27987</v>
      </c>
      <c r="G13580" s="117">
        <v>106.33</v>
      </c>
    </row>
    <row r="13581" spans="1:7" x14ac:dyDescent="0.25">
      <c r="A13581" s="116" t="s">
        <v>27741</v>
      </c>
      <c r="B13581" s="117" t="s">
        <v>21144</v>
      </c>
      <c r="C13581" t="s">
        <v>67</v>
      </c>
      <c r="D13581" t="s">
        <v>67</v>
      </c>
      <c r="E13581" t="s">
        <v>67</v>
      </c>
      <c r="F13581" t="s">
        <v>27987</v>
      </c>
      <c r="G13581" s="117">
        <v>9.6999999999999993</v>
      </c>
    </row>
    <row r="13582" spans="1:7" x14ac:dyDescent="0.25">
      <c r="A13582" s="116" t="s">
        <v>27742</v>
      </c>
      <c r="B13582" s="117" t="s">
        <v>21145</v>
      </c>
      <c r="C13582" t="s">
        <v>67</v>
      </c>
      <c r="D13582" t="s">
        <v>67</v>
      </c>
      <c r="E13582" t="s">
        <v>67</v>
      </c>
      <c r="F13582" t="s">
        <v>27987</v>
      </c>
      <c r="G13582" s="117">
        <v>10.24</v>
      </c>
    </row>
    <row r="13583" spans="1:7" x14ac:dyDescent="0.25">
      <c r="A13583" s="116" t="s">
        <v>21146</v>
      </c>
      <c r="B13583" s="117" t="s">
        <v>21147</v>
      </c>
      <c r="C13583" t="s">
        <v>67</v>
      </c>
      <c r="D13583" t="s">
        <v>67</v>
      </c>
      <c r="E13583" t="s">
        <v>67</v>
      </c>
      <c r="F13583" t="s">
        <v>49</v>
      </c>
      <c r="G13583" s="117">
        <v>51.52</v>
      </c>
    </row>
    <row r="13584" spans="1:7" x14ac:dyDescent="0.25">
      <c r="A13584" s="116" t="s">
        <v>21148</v>
      </c>
      <c r="B13584" s="117" t="s">
        <v>21149</v>
      </c>
      <c r="C13584" t="s">
        <v>67</v>
      </c>
      <c r="D13584" t="s">
        <v>67</v>
      </c>
      <c r="E13584" t="s">
        <v>67</v>
      </c>
      <c r="F13584" t="s">
        <v>27987</v>
      </c>
      <c r="G13584" s="117">
        <v>54.73</v>
      </c>
    </row>
    <row r="13585" spans="1:7" x14ac:dyDescent="0.25">
      <c r="A13585" s="116" t="s">
        <v>21150</v>
      </c>
      <c r="B13585" s="117" t="s">
        <v>21151</v>
      </c>
      <c r="C13585" t="s">
        <v>67</v>
      </c>
      <c r="D13585" t="s">
        <v>67</v>
      </c>
      <c r="E13585" t="s">
        <v>67</v>
      </c>
      <c r="F13585" t="s">
        <v>27987</v>
      </c>
      <c r="G13585" s="117">
        <v>80.52</v>
      </c>
    </row>
    <row r="13586" spans="1:7" x14ac:dyDescent="0.25">
      <c r="A13586" s="116" t="s">
        <v>21152</v>
      </c>
      <c r="B13586" s="117" t="s">
        <v>21153</v>
      </c>
      <c r="C13586" t="s">
        <v>67</v>
      </c>
      <c r="D13586" t="s">
        <v>67</v>
      </c>
      <c r="E13586" t="s">
        <v>67</v>
      </c>
      <c r="F13586" t="s">
        <v>27987</v>
      </c>
      <c r="G13586" s="117">
        <v>98.32</v>
      </c>
    </row>
    <row r="13587" spans="1:7" x14ac:dyDescent="0.25">
      <c r="A13587" s="116" t="s">
        <v>21154</v>
      </c>
      <c r="B13587" s="117" t="s">
        <v>21155</v>
      </c>
      <c r="C13587" t="s">
        <v>67</v>
      </c>
      <c r="D13587" t="s">
        <v>67</v>
      </c>
      <c r="E13587" t="s">
        <v>67</v>
      </c>
      <c r="F13587" t="s">
        <v>49</v>
      </c>
      <c r="G13587" s="117">
        <v>43.58</v>
      </c>
    </row>
    <row r="13588" spans="1:7" x14ac:dyDescent="0.25">
      <c r="A13588" s="116" t="s">
        <v>21156</v>
      </c>
      <c r="B13588" s="117" t="s">
        <v>21157</v>
      </c>
      <c r="C13588" t="s">
        <v>67</v>
      </c>
      <c r="D13588" t="s">
        <v>67</v>
      </c>
      <c r="E13588" t="s">
        <v>67</v>
      </c>
      <c r="F13588" t="s">
        <v>27987</v>
      </c>
      <c r="G13588" s="117">
        <v>47.96</v>
      </c>
    </row>
    <row r="13589" spans="1:7" x14ac:dyDescent="0.25">
      <c r="A13589" s="116" t="s">
        <v>21158</v>
      </c>
      <c r="B13589" s="117" t="s">
        <v>21159</v>
      </c>
      <c r="C13589" t="s">
        <v>67</v>
      </c>
      <c r="D13589" t="s">
        <v>67</v>
      </c>
      <c r="E13589" t="s">
        <v>67</v>
      </c>
      <c r="F13589" t="s">
        <v>27987</v>
      </c>
      <c r="G13589" s="117">
        <v>11.42</v>
      </c>
    </row>
    <row r="13590" spans="1:7" x14ac:dyDescent="0.25">
      <c r="A13590" s="116" t="s">
        <v>21160</v>
      </c>
      <c r="B13590" s="117" t="s">
        <v>21161</v>
      </c>
      <c r="C13590" t="s">
        <v>67</v>
      </c>
      <c r="D13590" t="s">
        <v>67</v>
      </c>
      <c r="E13590" t="s">
        <v>67</v>
      </c>
      <c r="F13590" t="s">
        <v>27987</v>
      </c>
      <c r="G13590" s="117">
        <v>78.75</v>
      </c>
    </row>
    <row r="13591" spans="1:7" x14ac:dyDescent="0.25">
      <c r="A13591" s="116" t="s">
        <v>21162</v>
      </c>
      <c r="B13591" s="117" t="s">
        <v>21163</v>
      </c>
      <c r="C13591" t="s">
        <v>67</v>
      </c>
      <c r="D13591" t="s">
        <v>67</v>
      </c>
      <c r="E13591" t="s">
        <v>67</v>
      </c>
      <c r="F13591" t="s">
        <v>27987</v>
      </c>
      <c r="G13591" s="117">
        <v>106.33</v>
      </c>
    </row>
    <row r="13592" spans="1:7" x14ac:dyDescent="0.25">
      <c r="A13592" s="116" t="s">
        <v>27743</v>
      </c>
      <c r="B13592" s="117" t="s">
        <v>21164</v>
      </c>
      <c r="C13592" t="s">
        <v>67</v>
      </c>
      <c r="D13592" t="s">
        <v>67</v>
      </c>
      <c r="E13592" t="s">
        <v>67</v>
      </c>
      <c r="F13592" t="s">
        <v>27987</v>
      </c>
      <c r="G13592" s="117">
        <v>106.33</v>
      </c>
    </row>
    <row r="13593" spans="1:7" x14ac:dyDescent="0.25">
      <c r="A13593" s="116" t="s">
        <v>27744</v>
      </c>
      <c r="B13593" s="117" t="s">
        <v>21165</v>
      </c>
      <c r="C13593" t="s">
        <v>67</v>
      </c>
      <c r="D13593" t="s">
        <v>67</v>
      </c>
      <c r="E13593" t="s">
        <v>67</v>
      </c>
      <c r="F13593" t="s">
        <v>49</v>
      </c>
      <c r="G13593" s="117">
        <v>3.48</v>
      </c>
    </row>
    <row r="13594" spans="1:7" x14ac:dyDescent="0.25">
      <c r="A13594" s="116" t="s">
        <v>27745</v>
      </c>
      <c r="B13594" s="117" t="s">
        <v>21166</v>
      </c>
      <c r="C13594" t="s">
        <v>67</v>
      </c>
      <c r="D13594" t="s">
        <v>67</v>
      </c>
      <c r="E13594" t="s">
        <v>67</v>
      </c>
      <c r="F13594" t="s">
        <v>27987</v>
      </c>
      <c r="G13594" s="117">
        <v>17.7</v>
      </c>
    </row>
    <row r="13595" spans="1:7" x14ac:dyDescent="0.25">
      <c r="A13595" s="116" t="s">
        <v>27746</v>
      </c>
      <c r="B13595" s="117" t="s">
        <v>21167</v>
      </c>
      <c r="C13595" t="s">
        <v>67</v>
      </c>
      <c r="D13595" t="s">
        <v>67</v>
      </c>
      <c r="E13595" t="s">
        <v>67</v>
      </c>
      <c r="F13595" t="s">
        <v>27987</v>
      </c>
      <c r="G13595" s="117">
        <v>6.14</v>
      </c>
    </row>
    <row r="13596" spans="1:7" x14ac:dyDescent="0.25">
      <c r="A13596" s="116" t="s">
        <v>27747</v>
      </c>
      <c r="B13596" s="117" t="s">
        <v>21168</v>
      </c>
      <c r="C13596" t="s">
        <v>67</v>
      </c>
      <c r="D13596" t="s">
        <v>67</v>
      </c>
      <c r="E13596" t="s">
        <v>67</v>
      </c>
      <c r="F13596" t="s">
        <v>27987</v>
      </c>
      <c r="G13596" s="117">
        <v>17.7</v>
      </c>
    </row>
    <row r="13597" spans="1:7" x14ac:dyDescent="0.25">
      <c r="A13597" s="116" t="s">
        <v>27748</v>
      </c>
      <c r="B13597" s="117" t="s">
        <v>21169</v>
      </c>
      <c r="C13597" t="s">
        <v>67</v>
      </c>
      <c r="D13597" t="s">
        <v>67</v>
      </c>
      <c r="E13597" t="s">
        <v>67</v>
      </c>
      <c r="F13597" t="s">
        <v>27987</v>
      </c>
      <c r="G13597" s="117">
        <v>71.099999999999994</v>
      </c>
    </row>
    <row r="13598" spans="1:7" x14ac:dyDescent="0.25">
      <c r="A13598" s="116" t="s">
        <v>27749</v>
      </c>
      <c r="B13598" s="117" t="s">
        <v>21170</v>
      </c>
      <c r="C13598" t="s">
        <v>67</v>
      </c>
      <c r="D13598" t="s">
        <v>67</v>
      </c>
      <c r="E13598" t="s">
        <v>67</v>
      </c>
      <c r="F13598" t="s">
        <v>45</v>
      </c>
      <c r="G13598" s="117">
        <v>47.96</v>
      </c>
    </row>
    <row r="13599" spans="1:7" x14ac:dyDescent="0.25">
      <c r="A13599" s="116" t="s">
        <v>27750</v>
      </c>
      <c r="B13599" s="117" t="s">
        <v>21171</v>
      </c>
      <c r="C13599" t="s">
        <v>67</v>
      </c>
      <c r="D13599" t="s">
        <v>67</v>
      </c>
      <c r="E13599" t="s">
        <v>67</v>
      </c>
      <c r="F13599" t="s">
        <v>27987</v>
      </c>
      <c r="G13599" s="117">
        <v>64.87</v>
      </c>
    </row>
    <row r="13600" spans="1:7" x14ac:dyDescent="0.25">
      <c r="A13600" s="116" t="s">
        <v>29553</v>
      </c>
      <c r="B13600" s="117" t="s">
        <v>20876</v>
      </c>
      <c r="C13600" t="s">
        <v>67</v>
      </c>
      <c r="D13600" t="s">
        <v>67</v>
      </c>
      <c r="E13600" t="s">
        <v>67</v>
      </c>
      <c r="F13600" t="s">
        <v>49</v>
      </c>
      <c r="G13600" s="117">
        <v>20</v>
      </c>
    </row>
    <row r="13601" spans="1:7" x14ac:dyDescent="0.25">
      <c r="A13601" s="116" t="s">
        <v>21172</v>
      </c>
      <c r="B13601" s="117" t="s">
        <v>20880</v>
      </c>
      <c r="C13601" t="s">
        <v>67</v>
      </c>
      <c r="D13601" t="s">
        <v>67</v>
      </c>
      <c r="E13601" t="s">
        <v>67</v>
      </c>
      <c r="F13601" t="s">
        <v>27987</v>
      </c>
      <c r="G13601" s="117">
        <v>48.5</v>
      </c>
    </row>
    <row r="13602" spans="1:7" x14ac:dyDescent="0.25">
      <c r="A13602" s="116" t="s">
        <v>27751</v>
      </c>
      <c r="B13602" s="117" t="s">
        <v>21173</v>
      </c>
      <c r="C13602" t="s">
        <v>67</v>
      </c>
      <c r="D13602" t="s">
        <v>67</v>
      </c>
      <c r="E13602" t="s">
        <v>67</v>
      </c>
      <c r="F13602" t="s">
        <v>45</v>
      </c>
      <c r="G13602" s="117">
        <v>4.1399999999999997</v>
      </c>
    </row>
    <row r="13603" spans="1:7" x14ac:dyDescent="0.25">
      <c r="A13603" s="116" t="s">
        <v>27752</v>
      </c>
      <c r="B13603" s="117" t="s">
        <v>21174</v>
      </c>
      <c r="C13603" t="s">
        <v>67</v>
      </c>
      <c r="D13603" t="s">
        <v>67</v>
      </c>
      <c r="E13603" t="s">
        <v>67</v>
      </c>
      <c r="F13603" t="s">
        <v>45</v>
      </c>
      <c r="G13603" s="117">
        <v>17.22</v>
      </c>
    </row>
    <row r="13604" spans="1:7" x14ac:dyDescent="0.25">
      <c r="A13604" s="116" t="s">
        <v>27753</v>
      </c>
      <c r="B13604" s="117" t="s">
        <v>21175</v>
      </c>
      <c r="C13604" t="s">
        <v>67</v>
      </c>
      <c r="D13604" t="s">
        <v>67</v>
      </c>
      <c r="E13604" t="s">
        <v>67</v>
      </c>
      <c r="F13604" t="s">
        <v>27987</v>
      </c>
      <c r="G13604" s="117">
        <v>66.3</v>
      </c>
    </row>
    <row r="13605" spans="1:7" x14ac:dyDescent="0.25">
      <c r="A13605" s="116" t="s">
        <v>21176</v>
      </c>
      <c r="B13605" s="117" t="s">
        <v>21177</v>
      </c>
      <c r="C13605" t="s">
        <v>67</v>
      </c>
      <c r="D13605" t="s">
        <v>67</v>
      </c>
      <c r="E13605" t="s">
        <v>67</v>
      </c>
      <c r="F13605" t="s">
        <v>27987</v>
      </c>
      <c r="G13605" s="117">
        <v>478.64</v>
      </c>
    </row>
    <row r="13606" spans="1:7" x14ac:dyDescent="0.25">
      <c r="A13606" s="116" t="s">
        <v>21178</v>
      </c>
      <c r="B13606" s="117" t="s">
        <v>21179</v>
      </c>
      <c r="C13606" t="s">
        <v>67</v>
      </c>
      <c r="D13606" t="s">
        <v>67</v>
      </c>
      <c r="E13606" t="s">
        <v>67</v>
      </c>
      <c r="F13606" t="s">
        <v>27987</v>
      </c>
      <c r="G13606" s="117">
        <v>0.5</v>
      </c>
    </row>
    <row r="13607" spans="1:7" x14ac:dyDescent="0.25">
      <c r="A13607" s="116" t="s">
        <v>21180</v>
      </c>
      <c r="B13607" s="117" t="s">
        <v>21181</v>
      </c>
      <c r="C13607" t="s">
        <v>67</v>
      </c>
      <c r="D13607" t="s">
        <v>67</v>
      </c>
      <c r="E13607" t="s">
        <v>67</v>
      </c>
      <c r="F13607" t="s">
        <v>45</v>
      </c>
      <c r="G13607" s="117">
        <v>129.82</v>
      </c>
    </row>
    <row r="13608" spans="1:7" x14ac:dyDescent="0.25">
      <c r="A13608" s="116" t="s">
        <v>21182</v>
      </c>
      <c r="B13608" s="117" t="s">
        <v>21183</v>
      </c>
      <c r="C13608" t="s">
        <v>67</v>
      </c>
      <c r="D13608" t="s">
        <v>67</v>
      </c>
      <c r="E13608" t="s">
        <v>67</v>
      </c>
      <c r="F13608" t="s">
        <v>45</v>
      </c>
      <c r="G13608" s="117">
        <v>96.9</v>
      </c>
    </row>
    <row r="13609" spans="1:7" x14ac:dyDescent="0.25">
      <c r="A13609" s="116" t="s">
        <v>21184</v>
      </c>
      <c r="B13609" s="117" t="s">
        <v>21185</v>
      </c>
      <c r="C13609" t="s">
        <v>67</v>
      </c>
      <c r="D13609" t="s">
        <v>67</v>
      </c>
      <c r="E13609" t="s">
        <v>67</v>
      </c>
      <c r="F13609" t="s">
        <v>45</v>
      </c>
      <c r="G13609" s="117">
        <v>96.55</v>
      </c>
    </row>
    <row r="13610" spans="1:7" x14ac:dyDescent="0.25">
      <c r="A13610" s="116" t="s">
        <v>21186</v>
      </c>
      <c r="B13610" s="117" t="s">
        <v>20862</v>
      </c>
      <c r="C13610" t="s">
        <v>67</v>
      </c>
      <c r="D13610" t="s">
        <v>67</v>
      </c>
      <c r="E13610" t="s">
        <v>67</v>
      </c>
      <c r="F13610" t="s">
        <v>27987</v>
      </c>
      <c r="G13610" s="117">
        <v>324.7</v>
      </c>
    </row>
    <row r="13611" spans="1:7" x14ac:dyDescent="0.25">
      <c r="A13611" s="116" t="s">
        <v>21187</v>
      </c>
      <c r="B13611" s="117" t="s">
        <v>21185</v>
      </c>
      <c r="C13611" t="s">
        <v>67</v>
      </c>
      <c r="D13611" t="s">
        <v>67</v>
      </c>
      <c r="E13611" t="s">
        <v>67</v>
      </c>
      <c r="F13611" t="s">
        <v>45</v>
      </c>
      <c r="G13611" s="117">
        <v>35.5</v>
      </c>
    </row>
    <row r="13612" spans="1:7" x14ac:dyDescent="0.25">
      <c r="A13612" s="116" t="s">
        <v>21188</v>
      </c>
      <c r="B13612" s="117" t="s">
        <v>21189</v>
      </c>
      <c r="C13612" t="s">
        <v>67</v>
      </c>
      <c r="D13612" t="s">
        <v>67</v>
      </c>
      <c r="E13612" t="s">
        <v>67</v>
      </c>
      <c r="F13612" t="s">
        <v>27987</v>
      </c>
      <c r="G13612" s="117">
        <v>17.7</v>
      </c>
    </row>
    <row r="13613" spans="1:7" x14ac:dyDescent="0.25">
      <c r="A13613" s="116" t="s">
        <v>21190</v>
      </c>
      <c r="B13613" s="117" t="s">
        <v>21189</v>
      </c>
      <c r="C13613" t="s">
        <v>67</v>
      </c>
      <c r="D13613" t="s">
        <v>67</v>
      </c>
      <c r="E13613" t="s">
        <v>67</v>
      </c>
      <c r="F13613" t="s">
        <v>27987</v>
      </c>
      <c r="G13613" s="117">
        <v>54.19</v>
      </c>
    </row>
    <row r="13614" spans="1:7" x14ac:dyDescent="0.25">
      <c r="A13614" s="116" t="s">
        <v>21191</v>
      </c>
      <c r="B13614" s="117" t="s">
        <v>21192</v>
      </c>
      <c r="C13614" t="s">
        <v>67</v>
      </c>
      <c r="D13614" t="s">
        <v>67</v>
      </c>
      <c r="E13614" t="s">
        <v>67</v>
      </c>
      <c r="F13614" t="s">
        <v>49</v>
      </c>
      <c r="G13614" s="117">
        <v>436.82</v>
      </c>
    </row>
    <row r="13615" spans="1:7" x14ac:dyDescent="0.25">
      <c r="A13615" s="116" t="s">
        <v>21193</v>
      </c>
      <c r="B13615" s="117" t="s">
        <v>21194</v>
      </c>
      <c r="C13615" t="s">
        <v>67</v>
      </c>
      <c r="D13615" t="s">
        <v>67</v>
      </c>
      <c r="E13615" t="s">
        <v>67</v>
      </c>
      <c r="F13615" t="s">
        <v>45</v>
      </c>
      <c r="G13615" s="117">
        <v>28.38</v>
      </c>
    </row>
    <row r="13616" spans="1:7" x14ac:dyDescent="0.25">
      <c r="A13616" s="116" t="s">
        <v>21195</v>
      </c>
      <c r="B13616" s="117" t="s">
        <v>21196</v>
      </c>
      <c r="C13616" t="s">
        <v>67</v>
      </c>
      <c r="D13616" t="s">
        <v>67</v>
      </c>
      <c r="E13616" t="s">
        <v>67</v>
      </c>
      <c r="F13616" t="s">
        <v>45</v>
      </c>
      <c r="G13616" s="117">
        <v>64.87</v>
      </c>
    </row>
    <row r="13617" spans="1:7" x14ac:dyDescent="0.25">
      <c r="A13617" s="116" t="s">
        <v>21197</v>
      </c>
      <c r="B13617" s="117" t="s">
        <v>21198</v>
      </c>
      <c r="C13617" t="s">
        <v>67</v>
      </c>
      <c r="D13617" t="s">
        <v>67</v>
      </c>
      <c r="E13617" t="s">
        <v>67</v>
      </c>
      <c r="F13617" t="s">
        <v>45</v>
      </c>
      <c r="G13617" s="117">
        <v>45.3</v>
      </c>
    </row>
    <row r="13618" spans="1:7" x14ac:dyDescent="0.25">
      <c r="A13618" s="116" t="s">
        <v>21199</v>
      </c>
      <c r="B13618" s="117" t="s">
        <v>21200</v>
      </c>
      <c r="C13618" t="s">
        <v>67</v>
      </c>
      <c r="D13618" t="s">
        <v>67</v>
      </c>
      <c r="E13618" t="s">
        <v>67</v>
      </c>
      <c r="F13618" t="s">
        <v>45</v>
      </c>
      <c r="G13618" s="117">
        <v>141.93</v>
      </c>
    </row>
    <row r="13619" spans="1:7" x14ac:dyDescent="0.25">
      <c r="A13619" s="116" t="s">
        <v>21201</v>
      </c>
      <c r="B13619" s="117" t="s">
        <v>20862</v>
      </c>
      <c r="C13619" t="s">
        <v>67</v>
      </c>
      <c r="D13619" t="s">
        <v>67</v>
      </c>
      <c r="E13619" t="s">
        <v>67</v>
      </c>
      <c r="F13619" t="s">
        <v>27987</v>
      </c>
      <c r="G13619" s="117">
        <v>32.83</v>
      </c>
    </row>
    <row r="13620" spans="1:7" x14ac:dyDescent="0.25">
      <c r="A13620" s="116" t="s">
        <v>21202</v>
      </c>
      <c r="B13620" s="117" t="s">
        <v>21203</v>
      </c>
      <c r="C13620" t="s">
        <v>67</v>
      </c>
      <c r="D13620" t="s">
        <v>67</v>
      </c>
      <c r="E13620" t="s">
        <v>67</v>
      </c>
      <c r="F13620" t="s">
        <v>27987</v>
      </c>
      <c r="G13620" s="117">
        <v>157.06</v>
      </c>
    </row>
    <row r="13621" spans="1:7" x14ac:dyDescent="0.25">
      <c r="A13621" s="116" t="s">
        <v>21204</v>
      </c>
      <c r="B13621" s="117" t="s">
        <v>21205</v>
      </c>
      <c r="C13621" t="s">
        <v>67</v>
      </c>
      <c r="D13621" t="s">
        <v>67</v>
      </c>
      <c r="E13621" t="s">
        <v>67</v>
      </c>
      <c r="F13621" t="s">
        <v>27987</v>
      </c>
      <c r="G13621" s="117">
        <v>102.77</v>
      </c>
    </row>
    <row r="13622" spans="1:7" x14ac:dyDescent="0.25">
      <c r="A13622" s="116" t="s">
        <v>21206</v>
      </c>
      <c r="B13622" s="117" t="s">
        <v>20862</v>
      </c>
      <c r="C13622" t="s">
        <v>67</v>
      </c>
      <c r="D13622" t="s">
        <v>67</v>
      </c>
      <c r="E13622" t="s">
        <v>67</v>
      </c>
      <c r="F13622" t="s">
        <v>27987</v>
      </c>
      <c r="G13622" s="117">
        <v>766.94</v>
      </c>
    </row>
    <row r="13623" spans="1:7" x14ac:dyDescent="0.25">
      <c r="A13623" s="116" t="s">
        <v>21207</v>
      </c>
      <c r="B13623" s="117" t="s">
        <v>20862</v>
      </c>
      <c r="C13623" t="s">
        <v>67</v>
      </c>
      <c r="D13623" t="s">
        <v>67</v>
      </c>
      <c r="E13623" t="s">
        <v>67</v>
      </c>
      <c r="F13623" t="s">
        <v>45</v>
      </c>
      <c r="G13623" s="117">
        <v>120.57</v>
      </c>
    </row>
    <row r="13624" spans="1:7" x14ac:dyDescent="0.25">
      <c r="A13624" s="116" t="s">
        <v>21208</v>
      </c>
      <c r="B13624" s="117" t="s">
        <v>20862</v>
      </c>
      <c r="C13624" t="s">
        <v>67</v>
      </c>
      <c r="D13624" t="s">
        <v>67</v>
      </c>
      <c r="E13624" t="s">
        <v>67</v>
      </c>
      <c r="F13624" t="s">
        <v>27987</v>
      </c>
      <c r="G13624" s="117">
        <v>141.93</v>
      </c>
    </row>
    <row r="13625" spans="1:7" x14ac:dyDescent="0.25">
      <c r="A13625" s="116" t="s">
        <v>21209</v>
      </c>
      <c r="B13625" s="117" t="s">
        <v>21210</v>
      </c>
      <c r="C13625" t="s">
        <v>67</v>
      </c>
      <c r="D13625" t="s">
        <v>67</v>
      </c>
      <c r="E13625" t="s">
        <v>67</v>
      </c>
      <c r="F13625" t="s">
        <v>27987</v>
      </c>
      <c r="G13625" s="117">
        <v>15.04</v>
      </c>
    </row>
    <row r="13626" spans="1:7" x14ac:dyDescent="0.25">
      <c r="A13626" s="116" t="s">
        <v>21211</v>
      </c>
      <c r="B13626" s="117" t="s">
        <v>21210</v>
      </c>
      <c r="C13626" t="s">
        <v>67</v>
      </c>
      <c r="D13626" t="s">
        <v>67</v>
      </c>
      <c r="E13626" t="s">
        <v>67</v>
      </c>
      <c r="F13626" t="s">
        <v>27987</v>
      </c>
      <c r="G13626" s="117">
        <v>96.55</v>
      </c>
    </row>
    <row r="13627" spans="1:7" x14ac:dyDescent="0.25">
      <c r="A13627" s="116" t="s">
        <v>21212</v>
      </c>
      <c r="B13627" s="117" t="s">
        <v>20862</v>
      </c>
      <c r="C13627" t="s">
        <v>67</v>
      </c>
      <c r="D13627" t="s">
        <v>67</v>
      </c>
      <c r="E13627" t="s">
        <v>67</v>
      </c>
      <c r="F13627" t="s">
        <v>27987</v>
      </c>
      <c r="G13627" s="117">
        <v>56.86</v>
      </c>
    </row>
    <row r="13628" spans="1:7" x14ac:dyDescent="0.25">
      <c r="A13628" s="116" t="s">
        <v>21213</v>
      </c>
      <c r="B13628" s="117" t="s">
        <v>21205</v>
      </c>
      <c r="C13628" t="s">
        <v>67</v>
      </c>
      <c r="D13628" t="s">
        <v>67</v>
      </c>
      <c r="E13628" t="s">
        <v>67</v>
      </c>
      <c r="F13628" t="s">
        <v>27987</v>
      </c>
      <c r="G13628" s="117">
        <v>353.7</v>
      </c>
    </row>
    <row r="13629" spans="1:7" x14ac:dyDescent="0.25">
      <c r="A13629" s="116" t="s">
        <v>21214</v>
      </c>
      <c r="B13629" s="117" t="s">
        <v>21215</v>
      </c>
      <c r="C13629" t="s">
        <v>67</v>
      </c>
      <c r="D13629" t="s">
        <v>67</v>
      </c>
      <c r="E13629" t="s">
        <v>67</v>
      </c>
      <c r="F13629" t="s">
        <v>27987</v>
      </c>
      <c r="G13629" s="117">
        <v>37.82</v>
      </c>
    </row>
    <row r="13630" spans="1:7" x14ac:dyDescent="0.25">
      <c r="A13630" s="116" t="s">
        <v>21216</v>
      </c>
      <c r="B13630" s="117" t="s">
        <v>21217</v>
      </c>
      <c r="C13630" t="s">
        <v>67</v>
      </c>
      <c r="D13630" t="s">
        <v>67</v>
      </c>
      <c r="E13630" t="s">
        <v>67</v>
      </c>
      <c r="F13630" t="s">
        <v>27987</v>
      </c>
      <c r="G13630" s="117">
        <v>45.82</v>
      </c>
    </row>
    <row r="13631" spans="1:7" x14ac:dyDescent="0.25">
      <c r="A13631" s="116" t="s">
        <v>21218</v>
      </c>
      <c r="B13631" s="117" t="s">
        <v>21219</v>
      </c>
      <c r="C13631" t="s">
        <v>67</v>
      </c>
      <c r="D13631" t="s">
        <v>67</v>
      </c>
      <c r="E13631" t="s">
        <v>67</v>
      </c>
      <c r="F13631" t="s">
        <v>27987</v>
      </c>
      <c r="G13631" s="117">
        <v>77.099999999999994</v>
      </c>
    </row>
    <row r="13632" spans="1:7" x14ac:dyDescent="0.25">
      <c r="A13632" s="116" t="s">
        <v>21220</v>
      </c>
      <c r="B13632" s="117" t="s">
        <v>21221</v>
      </c>
      <c r="C13632" t="s">
        <v>67</v>
      </c>
      <c r="D13632" t="s">
        <v>67</v>
      </c>
      <c r="E13632" t="s">
        <v>67</v>
      </c>
      <c r="F13632" t="s">
        <v>27987</v>
      </c>
      <c r="G13632" s="117">
        <v>54.19</v>
      </c>
    </row>
    <row r="13633" spans="1:7" x14ac:dyDescent="0.25">
      <c r="A13633" s="116" t="s">
        <v>21222</v>
      </c>
      <c r="B13633" s="117" t="s">
        <v>21223</v>
      </c>
      <c r="C13633" t="s">
        <v>67</v>
      </c>
      <c r="D13633" t="s">
        <v>67</v>
      </c>
      <c r="E13633" t="s">
        <v>67</v>
      </c>
      <c r="F13633" t="s">
        <v>27987</v>
      </c>
      <c r="G13633" s="117">
        <v>49.35</v>
      </c>
    </row>
    <row r="13634" spans="1:7" x14ac:dyDescent="0.25">
      <c r="A13634" s="116" t="s">
        <v>21224</v>
      </c>
      <c r="B13634" s="117" t="s">
        <v>21225</v>
      </c>
      <c r="C13634" t="s">
        <v>67</v>
      </c>
      <c r="D13634" t="s">
        <v>67</v>
      </c>
      <c r="E13634" t="s">
        <v>67</v>
      </c>
      <c r="F13634" t="s">
        <v>27987</v>
      </c>
      <c r="G13634" s="117">
        <v>55.38</v>
      </c>
    </row>
    <row r="13635" spans="1:7" x14ac:dyDescent="0.25">
      <c r="A13635" s="116" t="s">
        <v>21226</v>
      </c>
      <c r="B13635" s="117" t="s">
        <v>21227</v>
      </c>
      <c r="C13635" t="s">
        <v>67</v>
      </c>
      <c r="D13635" t="s">
        <v>67</v>
      </c>
      <c r="E13635" t="s">
        <v>67</v>
      </c>
      <c r="F13635" t="s">
        <v>27987</v>
      </c>
      <c r="G13635" s="117">
        <v>53.49</v>
      </c>
    </row>
    <row r="13636" spans="1:7" x14ac:dyDescent="0.25">
      <c r="A13636" s="116" t="s">
        <v>26734</v>
      </c>
      <c r="B13636" s="117" t="s">
        <v>26735</v>
      </c>
      <c r="C13636" t="s">
        <v>67</v>
      </c>
      <c r="D13636" t="s">
        <v>67</v>
      </c>
      <c r="E13636" t="s">
        <v>67</v>
      </c>
      <c r="F13636" t="s">
        <v>45</v>
      </c>
      <c r="G13636" s="117">
        <v>39.700000000000003</v>
      </c>
    </row>
    <row r="13637" spans="1:7" x14ac:dyDescent="0.25">
      <c r="A13637" s="116" t="s">
        <v>21228</v>
      </c>
      <c r="B13637" s="117" t="s">
        <v>21229</v>
      </c>
      <c r="C13637" t="s">
        <v>67</v>
      </c>
      <c r="D13637" t="s">
        <v>67</v>
      </c>
      <c r="E13637" t="s">
        <v>67</v>
      </c>
      <c r="F13637" t="s">
        <v>45</v>
      </c>
      <c r="G13637" s="117">
        <v>415.99</v>
      </c>
    </row>
    <row r="13638" spans="1:7" x14ac:dyDescent="0.25">
      <c r="A13638" s="116" t="s">
        <v>26587</v>
      </c>
      <c r="B13638" s="117" t="s">
        <v>21217</v>
      </c>
      <c r="C13638" t="s">
        <v>67</v>
      </c>
      <c r="D13638" t="s">
        <v>67</v>
      </c>
      <c r="E13638" t="s">
        <v>67</v>
      </c>
      <c r="F13638" t="s">
        <v>27987</v>
      </c>
      <c r="G13638" s="117">
        <v>36.71</v>
      </c>
    </row>
    <row r="13639" spans="1:7" x14ac:dyDescent="0.25">
      <c r="A13639" s="116" t="s">
        <v>21230</v>
      </c>
      <c r="B13639" s="117" t="s">
        <v>29554</v>
      </c>
      <c r="C13639" t="s">
        <v>67</v>
      </c>
      <c r="D13639" t="s">
        <v>67</v>
      </c>
      <c r="E13639" t="s">
        <v>67</v>
      </c>
      <c r="F13639" t="s">
        <v>27987</v>
      </c>
      <c r="G13639" s="117">
        <v>43.89</v>
      </c>
    </row>
    <row r="13640" spans="1:7" x14ac:dyDescent="0.25">
      <c r="A13640" s="116" t="s">
        <v>26977</v>
      </c>
      <c r="B13640" s="117" t="s">
        <v>29555</v>
      </c>
      <c r="C13640" t="s">
        <v>67</v>
      </c>
      <c r="D13640" t="s">
        <v>67</v>
      </c>
      <c r="E13640" t="s">
        <v>67</v>
      </c>
      <c r="F13640" t="s">
        <v>27987</v>
      </c>
      <c r="G13640" s="117">
        <v>40</v>
      </c>
    </row>
    <row r="13641" spans="1:7" x14ac:dyDescent="0.25">
      <c r="A13641" s="116" t="s">
        <v>29556</v>
      </c>
      <c r="B13641" s="117" t="s">
        <v>30774</v>
      </c>
      <c r="C13641" t="s">
        <v>67</v>
      </c>
      <c r="D13641" t="s">
        <v>67</v>
      </c>
      <c r="E13641" t="s">
        <v>67</v>
      </c>
      <c r="F13641" t="s">
        <v>27987</v>
      </c>
      <c r="G13641" s="117">
        <v>221.87</v>
      </c>
    </row>
    <row r="13642" spans="1:7" x14ac:dyDescent="0.25">
      <c r="A13642" s="116" t="s">
        <v>30290</v>
      </c>
      <c r="B13642" s="117" t="s">
        <v>30291</v>
      </c>
      <c r="C13642" t="s">
        <v>67</v>
      </c>
      <c r="D13642" t="s">
        <v>67</v>
      </c>
      <c r="E13642" t="s">
        <v>67</v>
      </c>
      <c r="F13642" t="s">
        <v>27987</v>
      </c>
      <c r="G13642" s="117">
        <v>9999</v>
      </c>
    </row>
    <row r="13643" spans="1:7" x14ac:dyDescent="0.25">
      <c r="A13643" s="116" t="s">
        <v>31005</v>
      </c>
      <c r="B13643" s="117" t="s">
        <v>31006</v>
      </c>
      <c r="C13643" t="s">
        <v>67</v>
      </c>
      <c r="D13643" t="s">
        <v>67</v>
      </c>
      <c r="E13643" t="s">
        <v>67</v>
      </c>
      <c r="F13643" t="s">
        <v>27987</v>
      </c>
      <c r="G13643" s="117">
        <v>9999</v>
      </c>
    </row>
    <row r="13644" spans="1:7" x14ac:dyDescent="0.25">
      <c r="A13644" s="116" t="s">
        <v>21231</v>
      </c>
      <c r="B13644" s="117" t="s">
        <v>21232</v>
      </c>
      <c r="C13644" t="s">
        <v>67</v>
      </c>
      <c r="D13644" t="s">
        <v>67</v>
      </c>
      <c r="E13644" t="s">
        <v>67</v>
      </c>
      <c r="F13644" t="s">
        <v>45</v>
      </c>
      <c r="G13644" s="117">
        <v>126.26</v>
      </c>
    </row>
    <row r="13645" spans="1:7" x14ac:dyDescent="0.25">
      <c r="A13645" s="116" t="s">
        <v>21233</v>
      </c>
      <c r="B13645" s="117" t="s">
        <v>21234</v>
      </c>
      <c r="C13645" t="s">
        <v>67</v>
      </c>
      <c r="D13645" t="s">
        <v>67</v>
      </c>
      <c r="E13645" t="s">
        <v>67</v>
      </c>
      <c r="F13645" t="s">
        <v>27987</v>
      </c>
      <c r="G13645" s="117">
        <v>46.18</v>
      </c>
    </row>
    <row r="13646" spans="1:7" x14ac:dyDescent="0.25">
      <c r="A13646" s="116" t="s">
        <v>21235</v>
      </c>
      <c r="B13646" s="117" t="s">
        <v>21236</v>
      </c>
      <c r="C13646" t="s">
        <v>67</v>
      </c>
      <c r="D13646" t="s">
        <v>67</v>
      </c>
      <c r="E13646" t="s">
        <v>67</v>
      </c>
      <c r="F13646" t="s">
        <v>27987</v>
      </c>
      <c r="G13646" s="117">
        <v>87.64</v>
      </c>
    </row>
    <row r="13647" spans="1:7" x14ac:dyDescent="0.25">
      <c r="A13647" s="116" t="s">
        <v>27967</v>
      </c>
      <c r="B13647" s="117" t="s">
        <v>30158</v>
      </c>
      <c r="C13647" t="s">
        <v>67</v>
      </c>
      <c r="D13647" t="s">
        <v>67</v>
      </c>
      <c r="E13647" t="s">
        <v>67</v>
      </c>
      <c r="F13647" t="s">
        <v>51</v>
      </c>
      <c r="G13647" s="117">
        <v>52.28</v>
      </c>
    </row>
    <row r="13648" spans="1:7" x14ac:dyDescent="0.25">
      <c r="A13648" s="116" t="s">
        <v>27968</v>
      </c>
      <c r="B13648" s="117" t="s">
        <v>30159</v>
      </c>
      <c r="C13648" t="s">
        <v>67</v>
      </c>
      <c r="D13648" t="s">
        <v>67</v>
      </c>
      <c r="E13648" t="s">
        <v>67</v>
      </c>
      <c r="F13648" t="s">
        <v>51</v>
      </c>
      <c r="G13648" s="117">
        <v>49.41</v>
      </c>
    </row>
    <row r="13649" spans="1:7" x14ac:dyDescent="0.25">
      <c r="A13649" s="116" t="s">
        <v>21237</v>
      </c>
      <c r="B13649" s="117" t="s">
        <v>21238</v>
      </c>
      <c r="C13649" t="s">
        <v>67</v>
      </c>
      <c r="D13649" t="s">
        <v>67</v>
      </c>
      <c r="E13649" t="s">
        <v>67</v>
      </c>
      <c r="F13649" t="s">
        <v>27987</v>
      </c>
      <c r="G13649" s="117">
        <v>80.52</v>
      </c>
    </row>
    <row r="13650" spans="1:7" x14ac:dyDescent="0.25">
      <c r="A13650" s="116" t="s">
        <v>21239</v>
      </c>
      <c r="B13650" s="117" t="s">
        <v>21240</v>
      </c>
      <c r="C13650" t="s">
        <v>67</v>
      </c>
      <c r="D13650" t="s">
        <v>67</v>
      </c>
      <c r="E13650" t="s">
        <v>67</v>
      </c>
      <c r="F13650" t="s">
        <v>27987</v>
      </c>
      <c r="G13650" s="117">
        <v>39.06</v>
      </c>
    </row>
    <row r="13651" spans="1:7" x14ac:dyDescent="0.25">
      <c r="A13651" s="116" t="s">
        <v>21241</v>
      </c>
      <c r="B13651" s="117" t="s">
        <v>21242</v>
      </c>
      <c r="C13651" t="s">
        <v>67</v>
      </c>
      <c r="D13651" t="s">
        <v>67</v>
      </c>
      <c r="E13651" t="s">
        <v>67</v>
      </c>
      <c r="F13651" t="s">
        <v>49</v>
      </c>
      <c r="G13651" s="117">
        <v>269.64</v>
      </c>
    </row>
    <row r="13652" spans="1:7" x14ac:dyDescent="0.25">
      <c r="A13652" s="116" t="s">
        <v>21243</v>
      </c>
      <c r="B13652" s="117" t="s">
        <v>21244</v>
      </c>
      <c r="C13652" t="s">
        <v>67</v>
      </c>
      <c r="D13652" t="s">
        <v>67</v>
      </c>
      <c r="E13652" t="s">
        <v>67</v>
      </c>
      <c r="F13652" t="s">
        <v>49</v>
      </c>
      <c r="G13652" s="117">
        <v>238.04</v>
      </c>
    </row>
    <row r="13653" spans="1:7" x14ac:dyDescent="0.25">
      <c r="A13653" s="116" t="s">
        <v>21245</v>
      </c>
      <c r="B13653" s="117" t="s">
        <v>21246</v>
      </c>
      <c r="C13653" t="s">
        <v>67</v>
      </c>
      <c r="D13653" t="s">
        <v>67</v>
      </c>
      <c r="E13653" t="s">
        <v>67</v>
      </c>
      <c r="F13653" t="s">
        <v>27987</v>
      </c>
      <c r="G13653" s="117">
        <v>94.4</v>
      </c>
    </row>
    <row r="13654" spans="1:7" x14ac:dyDescent="0.25">
      <c r="A13654" s="116" t="s">
        <v>21247</v>
      </c>
      <c r="B13654" s="117" t="s">
        <v>21248</v>
      </c>
      <c r="C13654" t="s">
        <v>67</v>
      </c>
      <c r="D13654" t="s">
        <v>67</v>
      </c>
      <c r="E13654" t="s">
        <v>67</v>
      </c>
      <c r="F13654" t="s">
        <v>27987</v>
      </c>
      <c r="G13654" s="117">
        <v>31.92</v>
      </c>
    </row>
    <row r="13655" spans="1:7" x14ac:dyDescent="0.25">
      <c r="A13655" s="116" t="s">
        <v>21249</v>
      </c>
      <c r="B13655" s="117" t="s">
        <v>21250</v>
      </c>
      <c r="C13655" t="s">
        <v>67</v>
      </c>
      <c r="D13655" t="s">
        <v>67</v>
      </c>
      <c r="E13655" t="s">
        <v>67</v>
      </c>
      <c r="F13655" t="s">
        <v>27987</v>
      </c>
      <c r="G13655" s="117">
        <v>59.22</v>
      </c>
    </row>
    <row r="13656" spans="1:7" x14ac:dyDescent="0.25">
      <c r="A13656" s="116" t="s">
        <v>21251</v>
      </c>
      <c r="B13656" s="117" t="s">
        <v>21252</v>
      </c>
      <c r="C13656" t="s">
        <v>67</v>
      </c>
      <c r="D13656" t="s">
        <v>67</v>
      </c>
      <c r="E13656" t="s">
        <v>67</v>
      </c>
      <c r="F13656" t="s">
        <v>27990</v>
      </c>
      <c r="G13656" s="117">
        <v>41.48</v>
      </c>
    </row>
    <row r="13657" spans="1:7" x14ac:dyDescent="0.25">
      <c r="A13657" s="116" t="s">
        <v>21253</v>
      </c>
      <c r="B13657" s="117" t="s">
        <v>21254</v>
      </c>
      <c r="C13657" t="s">
        <v>67</v>
      </c>
      <c r="D13657" t="s">
        <v>67</v>
      </c>
      <c r="E13657" t="s">
        <v>67</v>
      </c>
      <c r="F13657" t="s">
        <v>27987</v>
      </c>
      <c r="G13657" s="117">
        <v>31.29</v>
      </c>
    </row>
    <row r="13658" spans="1:7" x14ac:dyDescent="0.25">
      <c r="A13658" s="116" t="s">
        <v>21255</v>
      </c>
      <c r="B13658" s="117" t="s">
        <v>21256</v>
      </c>
      <c r="C13658" t="s">
        <v>67</v>
      </c>
      <c r="D13658" t="s">
        <v>67</v>
      </c>
      <c r="E13658" t="s">
        <v>67</v>
      </c>
      <c r="F13658" t="s">
        <v>27987</v>
      </c>
      <c r="G13658" s="117">
        <v>157.5</v>
      </c>
    </row>
    <row r="13659" spans="1:7" x14ac:dyDescent="0.25">
      <c r="A13659" s="116" t="s">
        <v>21257</v>
      </c>
      <c r="B13659" s="117" t="s">
        <v>21258</v>
      </c>
      <c r="C13659" t="s">
        <v>67</v>
      </c>
      <c r="D13659" t="s">
        <v>67</v>
      </c>
      <c r="E13659" t="s">
        <v>67</v>
      </c>
      <c r="F13659" t="s">
        <v>27987</v>
      </c>
      <c r="G13659" s="117">
        <v>179.76</v>
      </c>
    </row>
    <row r="13660" spans="1:7" x14ac:dyDescent="0.25">
      <c r="A13660" s="116" t="s">
        <v>21259</v>
      </c>
      <c r="B13660" s="117" t="s">
        <v>21260</v>
      </c>
      <c r="C13660" t="s">
        <v>67</v>
      </c>
      <c r="D13660" t="s">
        <v>67</v>
      </c>
      <c r="E13660" t="s">
        <v>67</v>
      </c>
      <c r="F13660" t="s">
        <v>49</v>
      </c>
      <c r="G13660" s="117">
        <v>34.44</v>
      </c>
    </row>
    <row r="13661" spans="1:7" x14ac:dyDescent="0.25">
      <c r="A13661" s="116" t="s">
        <v>21261</v>
      </c>
      <c r="B13661" s="117" t="s">
        <v>21262</v>
      </c>
      <c r="C13661" t="s">
        <v>67</v>
      </c>
      <c r="D13661" t="s">
        <v>67</v>
      </c>
      <c r="E13661" t="s">
        <v>67</v>
      </c>
      <c r="F13661" t="s">
        <v>27987</v>
      </c>
      <c r="G13661" s="117">
        <v>68.88</v>
      </c>
    </row>
    <row r="13662" spans="1:7" x14ac:dyDescent="0.25">
      <c r="A13662" s="116" t="s">
        <v>21263</v>
      </c>
      <c r="B13662" s="117" t="s">
        <v>4808</v>
      </c>
      <c r="C13662" t="s">
        <v>67</v>
      </c>
      <c r="D13662" t="s">
        <v>67</v>
      </c>
      <c r="E13662" t="s">
        <v>67</v>
      </c>
      <c r="F13662" t="s">
        <v>45</v>
      </c>
      <c r="G13662" s="117">
        <v>107.86</v>
      </c>
    </row>
    <row r="13663" spans="1:7" x14ac:dyDescent="0.25">
      <c r="A13663" s="116" t="s">
        <v>21264</v>
      </c>
      <c r="B13663" s="117" t="s">
        <v>21265</v>
      </c>
      <c r="C13663" t="s">
        <v>67</v>
      </c>
      <c r="D13663" t="s">
        <v>67</v>
      </c>
      <c r="E13663" t="s">
        <v>67</v>
      </c>
      <c r="F13663" t="s">
        <v>27987</v>
      </c>
      <c r="G13663" s="117">
        <v>40.299999999999997</v>
      </c>
    </row>
    <row r="13664" spans="1:7" x14ac:dyDescent="0.25">
      <c r="A13664" s="116" t="s">
        <v>21266</v>
      </c>
      <c r="B13664" s="117" t="s">
        <v>21267</v>
      </c>
      <c r="C13664" t="s">
        <v>67</v>
      </c>
      <c r="D13664" t="s">
        <v>67</v>
      </c>
      <c r="E13664" t="s">
        <v>67</v>
      </c>
      <c r="F13664" t="s">
        <v>49</v>
      </c>
      <c r="G13664" s="117">
        <v>29.8</v>
      </c>
    </row>
    <row r="13665" spans="1:7" x14ac:dyDescent="0.25">
      <c r="A13665" s="116" t="s">
        <v>21268</v>
      </c>
      <c r="B13665" s="117" t="s">
        <v>21269</v>
      </c>
      <c r="C13665" t="s">
        <v>67</v>
      </c>
      <c r="D13665" t="s">
        <v>67</v>
      </c>
      <c r="E13665" t="s">
        <v>67</v>
      </c>
      <c r="F13665" t="s">
        <v>27987</v>
      </c>
      <c r="G13665" s="117">
        <v>9.6999999999999993</v>
      </c>
    </row>
    <row r="13666" spans="1:7" x14ac:dyDescent="0.25">
      <c r="A13666" s="116" t="s">
        <v>21270</v>
      </c>
      <c r="B13666" s="117" t="s">
        <v>21271</v>
      </c>
      <c r="C13666" t="s">
        <v>67</v>
      </c>
      <c r="D13666" t="s">
        <v>67</v>
      </c>
      <c r="E13666" t="s">
        <v>67</v>
      </c>
      <c r="F13666" t="s">
        <v>49</v>
      </c>
      <c r="G13666" s="117">
        <v>41.85</v>
      </c>
    </row>
    <row r="13667" spans="1:7" x14ac:dyDescent="0.25">
      <c r="A13667" s="116" t="s">
        <v>21272</v>
      </c>
      <c r="B13667" s="117" t="s">
        <v>21273</v>
      </c>
      <c r="C13667" t="s">
        <v>67</v>
      </c>
      <c r="D13667" t="s">
        <v>67</v>
      </c>
      <c r="E13667" t="s">
        <v>67</v>
      </c>
      <c r="F13667" t="s">
        <v>27987</v>
      </c>
      <c r="G13667" s="117">
        <v>71.099999999999994</v>
      </c>
    </row>
    <row r="13668" spans="1:7" x14ac:dyDescent="0.25">
      <c r="A13668" s="116" t="s">
        <v>21274</v>
      </c>
      <c r="B13668" s="117" t="s">
        <v>4808</v>
      </c>
      <c r="C13668" t="s">
        <v>67</v>
      </c>
      <c r="D13668" t="s">
        <v>67</v>
      </c>
      <c r="E13668" t="s">
        <v>67</v>
      </c>
      <c r="F13668" t="s">
        <v>27987</v>
      </c>
      <c r="G13668" s="117">
        <v>95.91</v>
      </c>
    </row>
    <row r="13669" spans="1:7" x14ac:dyDescent="0.25">
      <c r="A13669" s="116" t="s">
        <v>21275</v>
      </c>
      <c r="B13669" s="117" t="s">
        <v>21276</v>
      </c>
      <c r="C13669" t="s">
        <v>67</v>
      </c>
      <c r="D13669" t="s">
        <v>67</v>
      </c>
      <c r="E13669" t="s">
        <v>67</v>
      </c>
      <c r="F13669" t="s">
        <v>49</v>
      </c>
      <c r="G13669" s="117">
        <v>132.13999999999999</v>
      </c>
    </row>
    <row r="13670" spans="1:7" x14ac:dyDescent="0.25">
      <c r="A13670" s="116" t="s">
        <v>26704</v>
      </c>
      <c r="B13670" s="117" t="s">
        <v>26705</v>
      </c>
      <c r="C13670" t="s">
        <v>67</v>
      </c>
      <c r="D13670" t="s">
        <v>67</v>
      </c>
      <c r="E13670" t="s">
        <v>67</v>
      </c>
      <c r="F13670" t="s">
        <v>49</v>
      </c>
      <c r="G13670" s="117">
        <v>20</v>
      </c>
    </row>
    <row r="13671" spans="1:7" x14ac:dyDescent="0.25">
      <c r="A13671" s="116" t="s">
        <v>21277</v>
      </c>
      <c r="B13671" s="117" t="s">
        <v>4808</v>
      </c>
      <c r="C13671" t="s">
        <v>67</v>
      </c>
      <c r="D13671" t="s">
        <v>67</v>
      </c>
      <c r="E13671" t="s">
        <v>67</v>
      </c>
      <c r="F13671" t="s">
        <v>45</v>
      </c>
      <c r="G13671" s="117">
        <v>98.66</v>
      </c>
    </row>
    <row r="13672" spans="1:7" x14ac:dyDescent="0.25">
      <c r="A13672" s="116" t="s">
        <v>30643</v>
      </c>
      <c r="B13672" s="117" t="s">
        <v>30644</v>
      </c>
      <c r="C13672" t="s">
        <v>67</v>
      </c>
      <c r="D13672" t="s">
        <v>67</v>
      </c>
      <c r="E13672" t="s">
        <v>67</v>
      </c>
      <c r="F13672" t="s">
        <v>27987</v>
      </c>
      <c r="G13672" s="117">
        <v>9999</v>
      </c>
    </row>
    <row r="13673" spans="1:7" x14ac:dyDescent="0.25">
      <c r="A13673" s="116" t="s">
        <v>21278</v>
      </c>
      <c r="B13673" s="117" t="s">
        <v>21279</v>
      </c>
      <c r="C13673" t="s">
        <v>67</v>
      </c>
      <c r="D13673" t="s">
        <v>67</v>
      </c>
      <c r="E13673" t="s">
        <v>67</v>
      </c>
      <c r="F13673" t="s">
        <v>27987</v>
      </c>
      <c r="G13673" s="117">
        <v>71.099999999999994</v>
      </c>
    </row>
    <row r="13674" spans="1:7" x14ac:dyDescent="0.25">
      <c r="A13674" s="116" t="s">
        <v>28165</v>
      </c>
      <c r="B13674" s="117" t="s">
        <v>29836</v>
      </c>
      <c r="C13674" t="s">
        <v>67</v>
      </c>
      <c r="D13674" t="s">
        <v>67</v>
      </c>
      <c r="E13674" t="s">
        <v>67</v>
      </c>
      <c r="F13674" t="s">
        <v>49</v>
      </c>
      <c r="G13674" s="117">
        <v>35</v>
      </c>
    </row>
    <row r="13675" spans="1:7" x14ac:dyDescent="0.25">
      <c r="A13675" s="116" t="s">
        <v>21280</v>
      </c>
      <c r="B13675" s="117" t="s">
        <v>21281</v>
      </c>
      <c r="C13675" t="s">
        <v>67</v>
      </c>
      <c r="D13675" t="s">
        <v>67</v>
      </c>
      <c r="E13675" t="s">
        <v>67</v>
      </c>
      <c r="F13675" t="s">
        <v>49</v>
      </c>
      <c r="G13675" s="117">
        <v>90.88</v>
      </c>
    </row>
    <row r="13676" spans="1:7" x14ac:dyDescent="0.25">
      <c r="A13676" s="116" t="s">
        <v>30174</v>
      </c>
      <c r="B13676" s="117" t="s">
        <v>21250</v>
      </c>
      <c r="C13676" t="s">
        <v>67</v>
      </c>
      <c r="D13676" t="s">
        <v>67</v>
      </c>
      <c r="E13676" t="s">
        <v>67</v>
      </c>
      <c r="F13676" t="s">
        <v>49</v>
      </c>
      <c r="G13676" s="117">
        <v>60.06</v>
      </c>
    </row>
    <row r="13677" spans="1:7" x14ac:dyDescent="0.25">
      <c r="A13677" s="116" t="s">
        <v>29557</v>
      </c>
      <c r="B13677" s="117" t="s">
        <v>21250</v>
      </c>
      <c r="C13677" t="s">
        <v>67</v>
      </c>
      <c r="D13677" t="s">
        <v>67</v>
      </c>
      <c r="E13677" t="s">
        <v>67</v>
      </c>
      <c r="F13677" t="s">
        <v>27987</v>
      </c>
      <c r="G13677" s="117">
        <v>27.2</v>
      </c>
    </row>
    <row r="13678" spans="1:7" x14ac:dyDescent="0.25">
      <c r="A13678" s="116" t="s">
        <v>29558</v>
      </c>
      <c r="B13678" s="117" t="s">
        <v>30538</v>
      </c>
      <c r="C13678" t="s">
        <v>67</v>
      </c>
      <c r="D13678" t="s">
        <v>67</v>
      </c>
      <c r="E13678" t="s">
        <v>67</v>
      </c>
      <c r="F13678" t="s">
        <v>49</v>
      </c>
      <c r="G13678" s="117">
        <v>95.13</v>
      </c>
    </row>
    <row r="13679" spans="1:7" x14ac:dyDescent="0.25">
      <c r="A13679" s="116" t="s">
        <v>21282</v>
      </c>
      <c r="B13679" s="117" t="s">
        <v>21283</v>
      </c>
      <c r="C13679" t="s">
        <v>67</v>
      </c>
      <c r="D13679" t="s">
        <v>67</v>
      </c>
      <c r="E13679" t="s">
        <v>67</v>
      </c>
      <c r="F13679" t="s">
        <v>49</v>
      </c>
      <c r="G13679" s="117">
        <v>9.35</v>
      </c>
    </row>
    <row r="13680" spans="1:7" x14ac:dyDescent="0.25">
      <c r="A13680" s="116" t="s">
        <v>21284</v>
      </c>
      <c r="B13680" s="117" t="s">
        <v>21285</v>
      </c>
      <c r="C13680" t="s">
        <v>67</v>
      </c>
      <c r="D13680" t="s">
        <v>67</v>
      </c>
      <c r="E13680" t="s">
        <v>67</v>
      </c>
      <c r="F13680" t="s">
        <v>49</v>
      </c>
      <c r="G13680" s="117">
        <v>21.26</v>
      </c>
    </row>
    <row r="13681" spans="1:7" x14ac:dyDescent="0.25">
      <c r="A13681" s="116" t="s">
        <v>21286</v>
      </c>
      <c r="B13681" s="117" t="s">
        <v>21287</v>
      </c>
      <c r="C13681" t="s">
        <v>67</v>
      </c>
      <c r="D13681" t="s">
        <v>67</v>
      </c>
      <c r="E13681" t="s">
        <v>67</v>
      </c>
      <c r="F13681" t="s">
        <v>49</v>
      </c>
      <c r="G13681" s="117">
        <v>53.3</v>
      </c>
    </row>
    <row r="13682" spans="1:7" x14ac:dyDescent="0.25">
      <c r="A13682" s="116" t="s">
        <v>21288</v>
      </c>
      <c r="B13682" s="117" t="s">
        <v>21289</v>
      </c>
      <c r="C13682" t="s">
        <v>67</v>
      </c>
      <c r="D13682" t="s">
        <v>67</v>
      </c>
      <c r="E13682" t="s">
        <v>67</v>
      </c>
      <c r="F13682" t="s">
        <v>45</v>
      </c>
      <c r="G13682" s="117">
        <v>63.08</v>
      </c>
    </row>
    <row r="13683" spans="1:7" x14ac:dyDescent="0.25">
      <c r="A13683" s="116" t="s">
        <v>21290</v>
      </c>
      <c r="B13683" s="117" t="s">
        <v>21291</v>
      </c>
      <c r="C13683" t="s">
        <v>67</v>
      </c>
      <c r="D13683" t="s">
        <v>67</v>
      </c>
      <c r="E13683" t="s">
        <v>67</v>
      </c>
      <c r="F13683" t="s">
        <v>49</v>
      </c>
      <c r="G13683" s="117">
        <v>15.57</v>
      </c>
    </row>
    <row r="13684" spans="1:7" x14ac:dyDescent="0.25">
      <c r="A13684" s="116" t="s">
        <v>21292</v>
      </c>
      <c r="B13684" s="117" t="s">
        <v>21293</v>
      </c>
      <c r="C13684" t="s">
        <v>67</v>
      </c>
      <c r="D13684" t="s">
        <v>67</v>
      </c>
      <c r="E13684" t="s">
        <v>67</v>
      </c>
      <c r="F13684" t="s">
        <v>51</v>
      </c>
      <c r="G13684" s="117">
        <v>5.25</v>
      </c>
    </row>
    <row r="13685" spans="1:7" x14ac:dyDescent="0.25">
      <c r="A13685" s="116" t="s">
        <v>26578</v>
      </c>
      <c r="B13685" s="117" t="s">
        <v>26579</v>
      </c>
      <c r="C13685" t="s">
        <v>67</v>
      </c>
      <c r="D13685" t="s">
        <v>67</v>
      </c>
      <c r="E13685" t="s">
        <v>67</v>
      </c>
      <c r="F13685" t="s">
        <v>27987</v>
      </c>
      <c r="G13685" s="117">
        <v>9.35</v>
      </c>
    </row>
    <row r="13686" spans="1:7" x14ac:dyDescent="0.25">
      <c r="A13686" s="116" t="s">
        <v>26580</v>
      </c>
      <c r="B13686" s="117" t="s">
        <v>26581</v>
      </c>
      <c r="C13686" t="s">
        <v>67</v>
      </c>
      <c r="D13686" t="s">
        <v>67</v>
      </c>
      <c r="E13686" t="s">
        <v>67</v>
      </c>
      <c r="F13686" t="s">
        <v>27987</v>
      </c>
      <c r="G13686" s="117">
        <v>41.62</v>
      </c>
    </row>
    <row r="13687" spans="1:7" x14ac:dyDescent="0.25">
      <c r="A13687" s="116" t="s">
        <v>21294</v>
      </c>
      <c r="B13687" s="117" t="s">
        <v>21295</v>
      </c>
      <c r="C13687" t="s">
        <v>67</v>
      </c>
      <c r="D13687" t="s">
        <v>67</v>
      </c>
      <c r="E13687" t="s">
        <v>67</v>
      </c>
      <c r="F13687" t="s">
        <v>49</v>
      </c>
      <c r="G13687" s="117">
        <v>29.81</v>
      </c>
    </row>
    <row r="13688" spans="1:7" x14ac:dyDescent="0.25">
      <c r="A13688" s="116" t="s">
        <v>21296</v>
      </c>
      <c r="B13688" s="117" t="s">
        <v>21297</v>
      </c>
      <c r="C13688" t="s">
        <v>67</v>
      </c>
      <c r="D13688" t="s">
        <v>67</v>
      </c>
      <c r="E13688" t="s">
        <v>67</v>
      </c>
      <c r="F13688" t="s">
        <v>45</v>
      </c>
      <c r="G13688" s="117">
        <v>117.01</v>
      </c>
    </row>
    <row r="13689" spans="1:7" x14ac:dyDescent="0.25">
      <c r="A13689" s="116" t="s">
        <v>30123</v>
      </c>
      <c r="B13689" s="117" t="s">
        <v>30539</v>
      </c>
      <c r="C13689" t="s">
        <v>67</v>
      </c>
      <c r="D13689" t="s">
        <v>67</v>
      </c>
      <c r="E13689" t="s">
        <v>67</v>
      </c>
      <c r="F13689" t="s">
        <v>45</v>
      </c>
      <c r="G13689" s="117">
        <v>7.14</v>
      </c>
    </row>
    <row r="13690" spans="1:7" x14ac:dyDescent="0.25">
      <c r="A13690" s="116" t="s">
        <v>21298</v>
      </c>
      <c r="B13690" s="117" t="s">
        <v>21299</v>
      </c>
      <c r="C13690" t="s">
        <v>67</v>
      </c>
      <c r="D13690" t="s">
        <v>67</v>
      </c>
      <c r="E13690" t="s">
        <v>67</v>
      </c>
      <c r="F13690" t="s">
        <v>45</v>
      </c>
      <c r="G13690" s="117">
        <v>59.55</v>
      </c>
    </row>
    <row r="13691" spans="1:7" x14ac:dyDescent="0.25">
      <c r="A13691" s="116" t="s">
        <v>21300</v>
      </c>
      <c r="B13691" s="117" t="s">
        <v>21260</v>
      </c>
      <c r="C13691" t="s">
        <v>67</v>
      </c>
      <c r="D13691" t="s">
        <v>67</v>
      </c>
      <c r="E13691" t="s">
        <v>67</v>
      </c>
      <c r="F13691" t="s">
        <v>27987</v>
      </c>
      <c r="G13691" s="117">
        <v>49.03</v>
      </c>
    </row>
    <row r="13692" spans="1:7" x14ac:dyDescent="0.25">
      <c r="A13692" s="116" t="s">
        <v>21301</v>
      </c>
      <c r="B13692" s="117" t="s">
        <v>21302</v>
      </c>
      <c r="C13692" t="s">
        <v>67</v>
      </c>
      <c r="D13692" t="s">
        <v>67</v>
      </c>
      <c r="E13692" t="s">
        <v>67</v>
      </c>
      <c r="F13692" t="s">
        <v>27987</v>
      </c>
      <c r="G13692" s="117">
        <v>52.62</v>
      </c>
    </row>
    <row r="13693" spans="1:7" x14ac:dyDescent="0.25">
      <c r="A13693" s="116" t="s">
        <v>21303</v>
      </c>
      <c r="B13693" s="117" t="s">
        <v>21304</v>
      </c>
      <c r="C13693" t="s">
        <v>67</v>
      </c>
      <c r="D13693" t="s">
        <v>67</v>
      </c>
      <c r="E13693" t="s">
        <v>67</v>
      </c>
      <c r="F13693" t="s">
        <v>27987</v>
      </c>
      <c r="G13693" s="117">
        <v>49.03</v>
      </c>
    </row>
    <row r="13694" spans="1:7" x14ac:dyDescent="0.25">
      <c r="A13694" s="116" t="s">
        <v>21305</v>
      </c>
      <c r="B13694" s="117" t="s">
        <v>4808</v>
      </c>
      <c r="C13694" t="s">
        <v>67</v>
      </c>
      <c r="D13694" t="s">
        <v>67</v>
      </c>
      <c r="E13694" t="s">
        <v>67</v>
      </c>
      <c r="F13694" t="s">
        <v>45</v>
      </c>
      <c r="G13694" s="117">
        <v>75.819999999999993</v>
      </c>
    </row>
    <row r="13695" spans="1:7" x14ac:dyDescent="0.25">
      <c r="A13695" s="116" t="s">
        <v>21306</v>
      </c>
      <c r="B13695" s="117" t="s">
        <v>30160</v>
      </c>
      <c r="C13695" t="s">
        <v>67</v>
      </c>
      <c r="D13695" t="s">
        <v>67</v>
      </c>
      <c r="E13695" t="s">
        <v>67</v>
      </c>
      <c r="F13695" t="s">
        <v>51</v>
      </c>
      <c r="G13695" s="117">
        <v>64.81</v>
      </c>
    </row>
    <row r="13696" spans="1:7" x14ac:dyDescent="0.25">
      <c r="A13696" s="116" t="s">
        <v>21307</v>
      </c>
      <c r="B13696" s="117" t="s">
        <v>21308</v>
      </c>
      <c r="C13696" t="s">
        <v>67</v>
      </c>
      <c r="D13696" t="s">
        <v>67</v>
      </c>
      <c r="E13696" t="s">
        <v>67</v>
      </c>
      <c r="F13696" t="s">
        <v>49</v>
      </c>
      <c r="G13696" s="117">
        <v>33.729999999999997</v>
      </c>
    </row>
    <row r="13697" spans="1:7" x14ac:dyDescent="0.25">
      <c r="A13697" s="116" t="s">
        <v>21309</v>
      </c>
      <c r="B13697" s="117" t="s">
        <v>21310</v>
      </c>
      <c r="C13697" t="s">
        <v>67</v>
      </c>
      <c r="D13697" t="s">
        <v>67</v>
      </c>
      <c r="E13697" t="s">
        <v>67</v>
      </c>
      <c r="F13697" t="s">
        <v>27987</v>
      </c>
      <c r="G13697" s="117">
        <v>80.959999999999994</v>
      </c>
    </row>
    <row r="13698" spans="1:7" x14ac:dyDescent="0.25">
      <c r="A13698" s="116" t="s">
        <v>21311</v>
      </c>
      <c r="B13698" s="117" t="s">
        <v>21312</v>
      </c>
      <c r="C13698" t="s">
        <v>67</v>
      </c>
      <c r="D13698" t="s">
        <v>67</v>
      </c>
      <c r="E13698" t="s">
        <v>67</v>
      </c>
      <c r="F13698" t="s">
        <v>27987</v>
      </c>
      <c r="G13698" s="117">
        <v>16.14</v>
      </c>
    </row>
    <row r="13699" spans="1:7" x14ac:dyDescent="0.25">
      <c r="A13699" s="116" t="s">
        <v>21313</v>
      </c>
      <c r="B13699" s="117" t="s">
        <v>21250</v>
      </c>
      <c r="C13699" t="s">
        <v>67</v>
      </c>
      <c r="D13699" t="s">
        <v>67</v>
      </c>
      <c r="E13699" t="s">
        <v>67</v>
      </c>
      <c r="F13699" t="s">
        <v>45</v>
      </c>
      <c r="G13699" s="117">
        <v>19.25</v>
      </c>
    </row>
    <row r="13700" spans="1:7" x14ac:dyDescent="0.25">
      <c r="A13700" s="116" t="s">
        <v>21314</v>
      </c>
      <c r="B13700" s="117" t="s">
        <v>4808</v>
      </c>
      <c r="C13700" t="s">
        <v>67</v>
      </c>
      <c r="D13700" t="s">
        <v>67</v>
      </c>
      <c r="E13700" t="s">
        <v>67</v>
      </c>
      <c r="F13700" t="s">
        <v>49</v>
      </c>
      <c r="G13700" s="117">
        <v>78.23</v>
      </c>
    </row>
    <row r="13701" spans="1:7" x14ac:dyDescent="0.25">
      <c r="A13701" s="116" t="s">
        <v>21315</v>
      </c>
      <c r="B13701" s="117" t="s">
        <v>21316</v>
      </c>
      <c r="C13701" t="s">
        <v>67</v>
      </c>
      <c r="D13701" t="s">
        <v>67</v>
      </c>
      <c r="E13701" t="s">
        <v>67</v>
      </c>
      <c r="F13701" t="s">
        <v>27987</v>
      </c>
      <c r="G13701" s="117">
        <v>5.16</v>
      </c>
    </row>
    <row r="13702" spans="1:7" x14ac:dyDescent="0.25">
      <c r="A13702" s="116" t="s">
        <v>21317</v>
      </c>
      <c r="B13702" s="117" t="s">
        <v>21318</v>
      </c>
      <c r="C13702" t="s">
        <v>67</v>
      </c>
      <c r="D13702" t="s">
        <v>67</v>
      </c>
      <c r="E13702" t="s">
        <v>67</v>
      </c>
      <c r="F13702" t="s">
        <v>27987</v>
      </c>
      <c r="G13702" s="117">
        <v>3.52</v>
      </c>
    </row>
    <row r="13703" spans="1:7" x14ac:dyDescent="0.25">
      <c r="A13703" s="116" t="s">
        <v>21319</v>
      </c>
      <c r="B13703" s="117" t="s">
        <v>21320</v>
      </c>
      <c r="C13703" t="s">
        <v>67</v>
      </c>
      <c r="D13703" t="s">
        <v>67</v>
      </c>
      <c r="E13703" t="s">
        <v>67</v>
      </c>
      <c r="F13703" t="s">
        <v>27987</v>
      </c>
      <c r="G13703" s="117">
        <v>11.57</v>
      </c>
    </row>
    <row r="13704" spans="1:7" x14ac:dyDescent="0.25">
      <c r="A13704" s="116" t="s">
        <v>21321</v>
      </c>
      <c r="B13704" s="117" t="s">
        <v>21322</v>
      </c>
      <c r="C13704" t="s">
        <v>67</v>
      </c>
      <c r="D13704" t="s">
        <v>67</v>
      </c>
      <c r="E13704" t="s">
        <v>67</v>
      </c>
      <c r="F13704" t="s">
        <v>27987</v>
      </c>
      <c r="G13704" s="117">
        <v>5.75</v>
      </c>
    </row>
    <row r="13705" spans="1:7" x14ac:dyDescent="0.25">
      <c r="A13705" s="116" t="s">
        <v>21323</v>
      </c>
      <c r="B13705" s="117" t="s">
        <v>21324</v>
      </c>
      <c r="C13705" t="s">
        <v>67</v>
      </c>
      <c r="D13705" t="s">
        <v>67</v>
      </c>
      <c r="E13705" t="s">
        <v>67</v>
      </c>
      <c r="F13705" t="s">
        <v>49</v>
      </c>
      <c r="G13705" s="117">
        <v>2.58</v>
      </c>
    </row>
    <row r="13706" spans="1:7" x14ac:dyDescent="0.25">
      <c r="A13706" s="116" t="s">
        <v>27984</v>
      </c>
      <c r="B13706" s="117" t="s">
        <v>27985</v>
      </c>
      <c r="C13706" t="s">
        <v>67</v>
      </c>
      <c r="D13706" t="s">
        <v>67</v>
      </c>
      <c r="E13706" t="s">
        <v>67</v>
      </c>
      <c r="F13706" t="s">
        <v>45</v>
      </c>
      <c r="G13706" s="117">
        <v>10</v>
      </c>
    </row>
    <row r="13707" spans="1:7" x14ac:dyDescent="0.25">
      <c r="A13707" s="116" t="s">
        <v>21325</v>
      </c>
      <c r="B13707" s="117" t="s">
        <v>21326</v>
      </c>
      <c r="C13707" t="s">
        <v>67</v>
      </c>
      <c r="D13707" t="s">
        <v>67</v>
      </c>
      <c r="E13707" t="s">
        <v>67</v>
      </c>
      <c r="F13707" t="s">
        <v>27987</v>
      </c>
      <c r="G13707" s="117">
        <v>11.57</v>
      </c>
    </row>
    <row r="13708" spans="1:7" x14ac:dyDescent="0.25">
      <c r="A13708" s="116" t="s">
        <v>29559</v>
      </c>
      <c r="B13708" s="117" t="s">
        <v>30115</v>
      </c>
      <c r="C13708" t="s">
        <v>67</v>
      </c>
      <c r="D13708" t="s">
        <v>67</v>
      </c>
      <c r="E13708" t="s">
        <v>67</v>
      </c>
      <c r="F13708" t="s">
        <v>27990</v>
      </c>
      <c r="G13708" s="117">
        <v>10</v>
      </c>
    </row>
    <row r="13709" spans="1:7" x14ac:dyDescent="0.25">
      <c r="A13709" s="116" t="s">
        <v>21327</v>
      </c>
      <c r="B13709" s="117" t="s">
        <v>21328</v>
      </c>
      <c r="C13709" t="s">
        <v>67</v>
      </c>
      <c r="D13709" t="s">
        <v>67</v>
      </c>
      <c r="E13709" t="s">
        <v>67</v>
      </c>
      <c r="F13709" t="s">
        <v>27987</v>
      </c>
      <c r="G13709" s="117">
        <v>12.9</v>
      </c>
    </row>
    <row r="13710" spans="1:7" x14ac:dyDescent="0.25">
      <c r="A13710" s="116" t="s">
        <v>21329</v>
      </c>
      <c r="B13710" s="117" t="s">
        <v>21330</v>
      </c>
      <c r="C13710" t="s">
        <v>67</v>
      </c>
      <c r="D13710" t="s">
        <v>67</v>
      </c>
      <c r="E13710" t="s">
        <v>67</v>
      </c>
      <c r="F13710" t="s">
        <v>45</v>
      </c>
      <c r="G13710" s="117">
        <v>14.68</v>
      </c>
    </row>
    <row r="13711" spans="1:7" x14ac:dyDescent="0.25">
      <c r="A13711" s="116" t="s">
        <v>21331</v>
      </c>
      <c r="B13711" s="117" t="s">
        <v>21332</v>
      </c>
      <c r="C13711" t="s">
        <v>67</v>
      </c>
      <c r="D13711" t="s">
        <v>67</v>
      </c>
      <c r="E13711" t="s">
        <v>67</v>
      </c>
      <c r="F13711" t="s">
        <v>45</v>
      </c>
      <c r="G13711" s="117">
        <v>64.87</v>
      </c>
    </row>
    <row r="13712" spans="1:7" x14ac:dyDescent="0.25">
      <c r="A13712" s="116" t="s">
        <v>21333</v>
      </c>
      <c r="B13712" s="117" t="s">
        <v>21334</v>
      </c>
      <c r="C13712" t="s">
        <v>67</v>
      </c>
      <c r="D13712" t="s">
        <v>67</v>
      </c>
      <c r="E13712" t="s">
        <v>67</v>
      </c>
      <c r="F13712" t="s">
        <v>27987</v>
      </c>
      <c r="G13712" s="117">
        <v>9.6999999999999993</v>
      </c>
    </row>
    <row r="13713" spans="1:7" x14ac:dyDescent="0.25">
      <c r="A13713" s="116" t="s">
        <v>21335</v>
      </c>
      <c r="B13713" s="117" t="s">
        <v>21336</v>
      </c>
      <c r="C13713" t="s">
        <v>67</v>
      </c>
      <c r="D13713" t="s">
        <v>67</v>
      </c>
      <c r="E13713" t="s">
        <v>67</v>
      </c>
      <c r="F13713" t="s">
        <v>27987</v>
      </c>
      <c r="G13713" s="117">
        <v>6.68</v>
      </c>
    </row>
    <row r="13714" spans="1:7" x14ac:dyDescent="0.25">
      <c r="A13714" s="116" t="s">
        <v>21337</v>
      </c>
      <c r="B13714" s="117" t="s">
        <v>21338</v>
      </c>
      <c r="C13714" t="s">
        <v>67</v>
      </c>
      <c r="D13714" t="s">
        <v>67</v>
      </c>
      <c r="E13714" t="s">
        <v>67</v>
      </c>
      <c r="F13714" t="s">
        <v>27987</v>
      </c>
      <c r="G13714" s="117">
        <v>9.6999999999999993</v>
      </c>
    </row>
    <row r="13715" spans="1:7" x14ac:dyDescent="0.25">
      <c r="A13715" s="116" t="s">
        <v>21339</v>
      </c>
      <c r="B13715" s="117" t="s">
        <v>21340</v>
      </c>
      <c r="C13715" t="s">
        <v>67</v>
      </c>
      <c r="D13715" t="s">
        <v>67</v>
      </c>
      <c r="E13715" t="s">
        <v>67</v>
      </c>
      <c r="F13715" t="s">
        <v>49</v>
      </c>
      <c r="G13715" s="117">
        <v>5.79</v>
      </c>
    </row>
    <row r="13716" spans="1:7" x14ac:dyDescent="0.25">
      <c r="A13716" s="116" t="s">
        <v>21341</v>
      </c>
      <c r="B13716" s="117" t="s">
        <v>21342</v>
      </c>
      <c r="C13716" t="s">
        <v>67</v>
      </c>
      <c r="D13716" t="s">
        <v>67</v>
      </c>
      <c r="E13716" t="s">
        <v>67</v>
      </c>
      <c r="F13716" t="s">
        <v>45</v>
      </c>
      <c r="G13716" s="117">
        <v>3.48</v>
      </c>
    </row>
    <row r="13717" spans="1:7" x14ac:dyDescent="0.25">
      <c r="A13717" s="116" t="s">
        <v>21343</v>
      </c>
      <c r="B13717" s="117" t="s">
        <v>21344</v>
      </c>
      <c r="C13717" t="s">
        <v>67</v>
      </c>
      <c r="D13717" t="s">
        <v>67</v>
      </c>
      <c r="E13717" t="s">
        <v>67</v>
      </c>
      <c r="F13717" t="s">
        <v>45</v>
      </c>
      <c r="G13717" s="117">
        <v>1.33</v>
      </c>
    </row>
    <row r="13718" spans="1:7" x14ac:dyDescent="0.25">
      <c r="A13718" s="116" t="s">
        <v>21345</v>
      </c>
      <c r="B13718" s="117" t="s">
        <v>21346</v>
      </c>
      <c r="C13718" t="s">
        <v>67</v>
      </c>
      <c r="D13718" t="s">
        <v>67</v>
      </c>
      <c r="E13718" t="s">
        <v>67</v>
      </c>
      <c r="F13718" t="s">
        <v>45</v>
      </c>
      <c r="G13718" s="117">
        <v>3.56</v>
      </c>
    </row>
    <row r="13719" spans="1:7" x14ac:dyDescent="0.25">
      <c r="A13719" s="116" t="s">
        <v>21347</v>
      </c>
      <c r="B13719" s="117" t="s">
        <v>21348</v>
      </c>
      <c r="C13719" t="s">
        <v>67</v>
      </c>
      <c r="D13719" t="s">
        <v>67</v>
      </c>
      <c r="E13719" t="s">
        <v>67</v>
      </c>
      <c r="F13719" t="s">
        <v>27987</v>
      </c>
      <c r="G13719" s="117">
        <v>44.94</v>
      </c>
    </row>
    <row r="13720" spans="1:7" x14ac:dyDescent="0.25">
      <c r="A13720" s="116" t="s">
        <v>27754</v>
      </c>
      <c r="B13720" s="117" t="s">
        <v>21349</v>
      </c>
      <c r="C13720" t="s">
        <v>67</v>
      </c>
      <c r="D13720" t="s">
        <v>67</v>
      </c>
      <c r="E13720" t="s">
        <v>67</v>
      </c>
      <c r="F13720" t="s">
        <v>27987</v>
      </c>
      <c r="G13720" s="117">
        <v>13.86</v>
      </c>
    </row>
    <row r="13721" spans="1:7" x14ac:dyDescent="0.25">
      <c r="A13721" s="116" t="s">
        <v>21350</v>
      </c>
      <c r="B13721" s="117" t="s">
        <v>21351</v>
      </c>
      <c r="C13721" t="s">
        <v>67</v>
      </c>
      <c r="D13721" t="s">
        <v>67</v>
      </c>
      <c r="E13721" t="s">
        <v>67</v>
      </c>
      <c r="F13721" t="s">
        <v>27987</v>
      </c>
      <c r="G13721" s="117">
        <v>96.98</v>
      </c>
    </row>
    <row r="13722" spans="1:7" x14ac:dyDescent="0.25">
      <c r="A13722" s="116" t="s">
        <v>27755</v>
      </c>
      <c r="B13722" s="117" t="s">
        <v>21352</v>
      </c>
      <c r="C13722" t="s">
        <v>67</v>
      </c>
      <c r="D13722" t="s">
        <v>67</v>
      </c>
      <c r="E13722" t="s">
        <v>67</v>
      </c>
      <c r="F13722" t="s">
        <v>45</v>
      </c>
      <c r="G13722" s="117">
        <v>62.22</v>
      </c>
    </row>
    <row r="13723" spans="1:7" x14ac:dyDescent="0.25">
      <c r="A13723" s="116" t="s">
        <v>27756</v>
      </c>
      <c r="B13723" s="117" t="s">
        <v>21353</v>
      </c>
      <c r="C13723" t="s">
        <v>67</v>
      </c>
      <c r="D13723" t="s">
        <v>67</v>
      </c>
      <c r="E13723" t="s">
        <v>67</v>
      </c>
      <c r="F13723" t="s">
        <v>45</v>
      </c>
      <c r="G13723" s="117">
        <v>7.43</v>
      </c>
    </row>
    <row r="13724" spans="1:7" x14ac:dyDescent="0.25">
      <c r="A13724" s="116" t="s">
        <v>29560</v>
      </c>
      <c r="B13724" s="117" t="s">
        <v>29561</v>
      </c>
      <c r="C13724" t="s">
        <v>67</v>
      </c>
      <c r="D13724" t="s">
        <v>67</v>
      </c>
      <c r="E13724" t="s">
        <v>67</v>
      </c>
      <c r="F13724" t="s">
        <v>45</v>
      </c>
      <c r="G13724" s="117">
        <v>0</v>
      </c>
    </row>
    <row r="13725" spans="1:7" x14ac:dyDescent="0.25">
      <c r="A13725" s="116" t="s">
        <v>27757</v>
      </c>
      <c r="B13725" s="117" t="s">
        <v>21354</v>
      </c>
      <c r="C13725" t="s">
        <v>67</v>
      </c>
      <c r="D13725" t="s">
        <v>67</v>
      </c>
      <c r="E13725" t="s">
        <v>67</v>
      </c>
      <c r="F13725" t="s">
        <v>27987</v>
      </c>
      <c r="G13725" s="117">
        <v>10.24</v>
      </c>
    </row>
    <row r="13726" spans="1:7" x14ac:dyDescent="0.25">
      <c r="A13726" s="116" t="s">
        <v>27758</v>
      </c>
      <c r="B13726" s="117" t="s">
        <v>21355</v>
      </c>
      <c r="C13726" t="s">
        <v>67</v>
      </c>
      <c r="D13726" t="s">
        <v>67</v>
      </c>
      <c r="E13726" t="s">
        <v>67</v>
      </c>
      <c r="F13726" t="s">
        <v>27987</v>
      </c>
      <c r="G13726" s="117">
        <v>52.76</v>
      </c>
    </row>
    <row r="13727" spans="1:7" x14ac:dyDescent="0.25">
      <c r="A13727" s="116" t="s">
        <v>27759</v>
      </c>
      <c r="B13727" s="117" t="s">
        <v>21356</v>
      </c>
      <c r="C13727" t="s">
        <v>67</v>
      </c>
      <c r="D13727" t="s">
        <v>67</v>
      </c>
      <c r="E13727" t="s">
        <v>67</v>
      </c>
      <c r="F13727" t="s">
        <v>45</v>
      </c>
      <c r="G13727" s="117">
        <v>10.55</v>
      </c>
    </row>
    <row r="13728" spans="1:7" x14ac:dyDescent="0.25">
      <c r="A13728" s="116" t="s">
        <v>27760</v>
      </c>
      <c r="B13728" s="117" t="s">
        <v>21357</v>
      </c>
      <c r="C13728" t="s">
        <v>67</v>
      </c>
      <c r="D13728" t="s">
        <v>67</v>
      </c>
      <c r="E13728" t="s">
        <v>67</v>
      </c>
      <c r="F13728" t="s">
        <v>45</v>
      </c>
      <c r="G13728" s="117">
        <v>10.39</v>
      </c>
    </row>
    <row r="13729" spans="1:7" x14ac:dyDescent="0.25">
      <c r="A13729" s="116" t="s">
        <v>27761</v>
      </c>
      <c r="B13729" s="117" t="s">
        <v>21358</v>
      </c>
      <c r="C13729" t="s">
        <v>67</v>
      </c>
      <c r="D13729" t="s">
        <v>67</v>
      </c>
      <c r="E13729" t="s">
        <v>67</v>
      </c>
      <c r="F13729" t="s">
        <v>45</v>
      </c>
      <c r="G13729" s="117">
        <v>101.33</v>
      </c>
    </row>
    <row r="13730" spans="1:7" x14ac:dyDescent="0.25">
      <c r="A13730" s="116" t="s">
        <v>21359</v>
      </c>
      <c r="B13730" s="117" t="s">
        <v>21360</v>
      </c>
      <c r="C13730" t="s">
        <v>67</v>
      </c>
      <c r="D13730" t="s">
        <v>67</v>
      </c>
      <c r="E13730" t="s">
        <v>67</v>
      </c>
      <c r="F13730" t="s">
        <v>27987</v>
      </c>
      <c r="G13730" s="117">
        <v>16.82</v>
      </c>
    </row>
    <row r="13731" spans="1:7" x14ac:dyDescent="0.25">
      <c r="A13731" s="116" t="s">
        <v>21361</v>
      </c>
      <c r="B13731" s="117" t="s">
        <v>21362</v>
      </c>
      <c r="C13731" t="s">
        <v>67</v>
      </c>
      <c r="D13731" t="s">
        <v>67</v>
      </c>
      <c r="E13731" t="s">
        <v>67</v>
      </c>
      <c r="F13731" t="s">
        <v>45</v>
      </c>
      <c r="G13731" s="117">
        <v>16.82</v>
      </c>
    </row>
    <row r="13732" spans="1:7" x14ac:dyDescent="0.25">
      <c r="A13732" s="116" t="s">
        <v>21363</v>
      </c>
      <c r="B13732" s="117" t="s">
        <v>21364</v>
      </c>
      <c r="C13732" t="s">
        <v>67</v>
      </c>
      <c r="D13732" t="s">
        <v>67</v>
      </c>
      <c r="E13732" t="s">
        <v>67</v>
      </c>
      <c r="F13732" t="s">
        <v>45</v>
      </c>
      <c r="G13732" s="117">
        <v>1.05</v>
      </c>
    </row>
    <row r="13733" spans="1:7" x14ac:dyDescent="0.25">
      <c r="A13733" s="116" t="s">
        <v>21365</v>
      </c>
      <c r="B13733" s="117" t="s">
        <v>21366</v>
      </c>
      <c r="C13733" t="s">
        <v>67</v>
      </c>
      <c r="D13733" t="s">
        <v>67</v>
      </c>
      <c r="E13733" t="s">
        <v>67</v>
      </c>
      <c r="F13733" t="s">
        <v>45</v>
      </c>
      <c r="G13733" s="117">
        <v>0.44</v>
      </c>
    </row>
    <row r="13734" spans="1:7" x14ac:dyDescent="0.25">
      <c r="A13734" s="116" t="s">
        <v>21367</v>
      </c>
      <c r="B13734" s="117" t="s">
        <v>21368</v>
      </c>
      <c r="C13734" t="s">
        <v>67</v>
      </c>
      <c r="D13734" t="s">
        <v>67</v>
      </c>
      <c r="E13734" t="s">
        <v>67</v>
      </c>
      <c r="F13734" t="s">
        <v>45</v>
      </c>
      <c r="G13734" s="117">
        <v>1.05</v>
      </c>
    </row>
    <row r="13735" spans="1:7" x14ac:dyDescent="0.25">
      <c r="A13735" s="116" t="s">
        <v>21369</v>
      </c>
      <c r="B13735" s="117" t="s">
        <v>21370</v>
      </c>
      <c r="C13735" t="s">
        <v>67</v>
      </c>
      <c r="D13735" t="s">
        <v>67</v>
      </c>
      <c r="E13735" t="s">
        <v>67</v>
      </c>
      <c r="F13735" t="s">
        <v>45</v>
      </c>
      <c r="G13735" s="117">
        <v>1.33</v>
      </c>
    </row>
    <row r="13736" spans="1:7" x14ac:dyDescent="0.25">
      <c r="A13736" s="116" t="s">
        <v>21371</v>
      </c>
      <c r="B13736" s="117" t="s">
        <v>21372</v>
      </c>
      <c r="C13736" t="s">
        <v>67</v>
      </c>
      <c r="D13736" t="s">
        <v>67</v>
      </c>
      <c r="E13736" t="s">
        <v>67</v>
      </c>
      <c r="F13736" t="s">
        <v>45</v>
      </c>
      <c r="G13736" s="117">
        <v>1.33</v>
      </c>
    </row>
    <row r="13737" spans="1:7" x14ac:dyDescent="0.25">
      <c r="A13737" s="116" t="s">
        <v>21373</v>
      </c>
      <c r="B13737" s="117" t="s">
        <v>21374</v>
      </c>
      <c r="C13737" t="s">
        <v>67</v>
      </c>
      <c r="D13737" t="s">
        <v>67</v>
      </c>
      <c r="E13737" t="s">
        <v>67</v>
      </c>
      <c r="F13737" t="s">
        <v>49</v>
      </c>
      <c r="G13737" s="117">
        <v>14.68</v>
      </c>
    </row>
    <row r="13738" spans="1:7" x14ac:dyDescent="0.25">
      <c r="A13738" s="116" t="s">
        <v>21375</v>
      </c>
      <c r="B13738" s="117" t="s">
        <v>21376</v>
      </c>
      <c r="C13738" t="s">
        <v>67</v>
      </c>
      <c r="D13738" t="s">
        <v>67</v>
      </c>
      <c r="E13738" t="s">
        <v>67</v>
      </c>
      <c r="F13738" t="s">
        <v>27987</v>
      </c>
      <c r="G13738" s="117">
        <v>0.8</v>
      </c>
    </row>
    <row r="13739" spans="1:7" x14ac:dyDescent="0.25">
      <c r="A13739" s="116" t="s">
        <v>27762</v>
      </c>
      <c r="B13739" s="117" t="s">
        <v>21377</v>
      </c>
      <c r="C13739" t="s">
        <v>67</v>
      </c>
      <c r="D13739" t="s">
        <v>67</v>
      </c>
      <c r="E13739" t="s">
        <v>67</v>
      </c>
      <c r="F13739" t="s">
        <v>45</v>
      </c>
      <c r="G13739" s="117">
        <v>43.16</v>
      </c>
    </row>
    <row r="13740" spans="1:7" x14ac:dyDescent="0.25">
      <c r="A13740" s="116" t="s">
        <v>21378</v>
      </c>
      <c r="B13740" s="117" t="s">
        <v>21379</v>
      </c>
      <c r="C13740" t="s">
        <v>67</v>
      </c>
      <c r="D13740" t="s">
        <v>67</v>
      </c>
      <c r="E13740" t="s">
        <v>67</v>
      </c>
      <c r="F13740" t="s">
        <v>45</v>
      </c>
      <c r="G13740" s="117">
        <v>3.12</v>
      </c>
    </row>
    <row r="13741" spans="1:7" x14ac:dyDescent="0.25">
      <c r="A13741" s="116" t="s">
        <v>21380</v>
      </c>
      <c r="B13741" s="117" t="s">
        <v>21381</v>
      </c>
      <c r="C13741" t="s">
        <v>67</v>
      </c>
      <c r="D13741" t="s">
        <v>67</v>
      </c>
      <c r="E13741" t="s">
        <v>67</v>
      </c>
      <c r="F13741" t="s">
        <v>45</v>
      </c>
      <c r="G13741" s="117">
        <v>1.05</v>
      </c>
    </row>
    <row r="13742" spans="1:7" x14ac:dyDescent="0.25">
      <c r="A13742" s="116" t="s">
        <v>21382</v>
      </c>
      <c r="B13742" s="117" t="s">
        <v>21383</v>
      </c>
      <c r="C13742" t="s">
        <v>67</v>
      </c>
      <c r="D13742" t="s">
        <v>67</v>
      </c>
      <c r="E13742" t="s">
        <v>67</v>
      </c>
      <c r="F13742" t="s">
        <v>45</v>
      </c>
      <c r="G13742" s="117">
        <v>4.8899999999999997</v>
      </c>
    </row>
    <row r="13743" spans="1:7" x14ac:dyDescent="0.25">
      <c r="A13743" s="116" t="s">
        <v>21384</v>
      </c>
      <c r="B13743" s="117" t="s">
        <v>21385</v>
      </c>
      <c r="C13743" t="s">
        <v>67</v>
      </c>
      <c r="D13743" t="s">
        <v>67</v>
      </c>
      <c r="E13743" t="s">
        <v>67</v>
      </c>
      <c r="F13743" t="s">
        <v>45</v>
      </c>
      <c r="G13743" s="117">
        <v>0.8</v>
      </c>
    </row>
    <row r="13744" spans="1:7" x14ac:dyDescent="0.25">
      <c r="A13744" s="116" t="s">
        <v>21386</v>
      </c>
      <c r="B13744" s="117" t="s">
        <v>22129</v>
      </c>
      <c r="C13744" t="s">
        <v>67</v>
      </c>
      <c r="D13744" t="s">
        <v>67</v>
      </c>
      <c r="E13744" t="s">
        <v>67</v>
      </c>
      <c r="F13744" t="s">
        <v>45</v>
      </c>
      <c r="G13744" s="117">
        <v>3.35</v>
      </c>
    </row>
    <row r="13745" spans="1:7" x14ac:dyDescent="0.25">
      <c r="A13745" s="116" t="s">
        <v>21387</v>
      </c>
      <c r="B13745" s="117" t="s">
        <v>21388</v>
      </c>
      <c r="C13745" t="s">
        <v>67</v>
      </c>
      <c r="D13745" t="s">
        <v>67</v>
      </c>
      <c r="E13745" t="s">
        <v>67</v>
      </c>
      <c r="F13745" t="s">
        <v>45</v>
      </c>
      <c r="G13745" s="117">
        <v>16.82</v>
      </c>
    </row>
    <row r="13746" spans="1:7" x14ac:dyDescent="0.25">
      <c r="A13746" s="116" t="s">
        <v>21389</v>
      </c>
      <c r="B13746" s="117" t="s">
        <v>21390</v>
      </c>
      <c r="C13746" t="s">
        <v>67</v>
      </c>
      <c r="D13746" t="s">
        <v>67</v>
      </c>
      <c r="E13746" t="s">
        <v>67</v>
      </c>
      <c r="F13746" t="s">
        <v>45</v>
      </c>
      <c r="G13746" s="117">
        <v>15.57</v>
      </c>
    </row>
    <row r="13747" spans="1:7" x14ac:dyDescent="0.25">
      <c r="A13747" s="116" t="s">
        <v>21391</v>
      </c>
      <c r="B13747" s="117" t="s">
        <v>21392</v>
      </c>
      <c r="C13747" t="s">
        <v>67</v>
      </c>
      <c r="D13747" t="s">
        <v>67</v>
      </c>
      <c r="E13747" t="s">
        <v>67</v>
      </c>
      <c r="F13747" t="s">
        <v>27987</v>
      </c>
      <c r="G13747" s="117">
        <v>0.44</v>
      </c>
    </row>
    <row r="13748" spans="1:7" x14ac:dyDescent="0.25">
      <c r="A13748" s="116" t="s">
        <v>29562</v>
      </c>
      <c r="B13748" s="117" t="s">
        <v>30540</v>
      </c>
      <c r="C13748" t="s">
        <v>67</v>
      </c>
      <c r="D13748" t="s">
        <v>67</v>
      </c>
      <c r="E13748" t="s">
        <v>67</v>
      </c>
      <c r="F13748" t="s">
        <v>27987</v>
      </c>
      <c r="G13748" s="117">
        <v>10</v>
      </c>
    </row>
    <row r="13749" spans="1:7" x14ac:dyDescent="0.25">
      <c r="A13749" s="116" t="s">
        <v>21393</v>
      </c>
      <c r="B13749" s="117" t="s">
        <v>21394</v>
      </c>
      <c r="C13749" t="s">
        <v>67</v>
      </c>
      <c r="D13749" t="s">
        <v>67</v>
      </c>
      <c r="E13749" t="s">
        <v>67</v>
      </c>
      <c r="F13749" t="s">
        <v>45</v>
      </c>
      <c r="G13749" s="117">
        <v>1.33</v>
      </c>
    </row>
    <row r="13750" spans="1:7" x14ac:dyDescent="0.25">
      <c r="A13750" s="116" t="s">
        <v>21395</v>
      </c>
      <c r="B13750" s="117" t="s">
        <v>21396</v>
      </c>
      <c r="C13750" t="s">
        <v>67</v>
      </c>
      <c r="D13750" t="s">
        <v>67</v>
      </c>
      <c r="E13750" t="s">
        <v>67</v>
      </c>
      <c r="F13750" t="s">
        <v>27987</v>
      </c>
      <c r="G13750" s="117">
        <v>0.44</v>
      </c>
    </row>
    <row r="13751" spans="1:7" x14ac:dyDescent="0.25">
      <c r="A13751" s="116" t="s">
        <v>21397</v>
      </c>
      <c r="B13751" s="117" t="s">
        <v>21399</v>
      </c>
      <c r="C13751" t="s">
        <v>67</v>
      </c>
      <c r="D13751" t="s">
        <v>67</v>
      </c>
      <c r="E13751" t="s">
        <v>67</v>
      </c>
      <c r="F13751" t="s">
        <v>45</v>
      </c>
      <c r="G13751" s="117">
        <v>1.33</v>
      </c>
    </row>
    <row r="13752" spans="1:7" x14ac:dyDescent="0.25">
      <c r="A13752" s="116" t="s">
        <v>21398</v>
      </c>
      <c r="B13752" s="117" t="s">
        <v>21399</v>
      </c>
      <c r="C13752" t="s">
        <v>67</v>
      </c>
      <c r="D13752" t="s">
        <v>67</v>
      </c>
      <c r="E13752" t="s">
        <v>67</v>
      </c>
      <c r="F13752" t="s">
        <v>45</v>
      </c>
      <c r="G13752" s="117">
        <v>1.27</v>
      </c>
    </row>
    <row r="13753" spans="1:7" x14ac:dyDescent="0.25">
      <c r="A13753" s="116" t="s">
        <v>21400</v>
      </c>
      <c r="B13753" s="117" t="s">
        <v>21401</v>
      </c>
      <c r="C13753" t="s">
        <v>67</v>
      </c>
      <c r="D13753" t="s">
        <v>67</v>
      </c>
      <c r="E13753" t="s">
        <v>67</v>
      </c>
      <c r="F13753" t="s">
        <v>45</v>
      </c>
      <c r="G13753" s="117">
        <v>0.8</v>
      </c>
    </row>
    <row r="13754" spans="1:7" x14ac:dyDescent="0.25">
      <c r="A13754" s="116" t="s">
        <v>21402</v>
      </c>
      <c r="B13754" s="117" t="s">
        <v>21401</v>
      </c>
      <c r="C13754" t="s">
        <v>67</v>
      </c>
      <c r="D13754" t="s">
        <v>67</v>
      </c>
      <c r="E13754" t="s">
        <v>67</v>
      </c>
      <c r="F13754" t="s">
        <v>45</v>
      </c>
      <c r="G13754" s="117">
        <v>0.8</v>
      </c>
    </row>
    <row r="13755" spans="1:7" x14ac:dyDescent="0.25">
      <c r="A13755" s="116" t="s">
        <v>21403</v>
      </c>
      <c r="B13755" s="117" t="s">
        <v>21404</v>
      </c>
      <c r="C13755" t="s">
        <v>67</v>
      </c>
      <c r="D13755" t="s">
        <v>67</v>
      </c>
      <c r="E13755" t="s">
        <v>67</v>
      </c>
      <c r="F13755" t="s">
        <v>45</v>
      </c>
      <c r="G13755" s="117">
        <v>3.56</v>
      </c>
    </row>
    <row r="13756" spans="1:7" x14ac:dyDescent="0.25">
      <c r="A13756" s="116" t="s">
        <v>21405</v>
      </c>
      <c r="B13756" s="117" t="s">
        <v>21406</v>
      </c>
      <c r="C13756" t="s">
        <v>67</v>
      </c>
      <c r="D13756" t="s">
        <v>67</v>
      </c>
      <c r="E13756" t="s">
        <v>67</v>
      </c>
      <c r="F13756" t="s">
        <v>49</v>
      </c>
      <c r="G13756" s="117">
        <v>1.33</v>
      </c>
    </row>
    <row r="13757" spans="1:7" x14ac:dyDescent="0.25">
      <c r="A13757" s="116" t="s">
        <v>21407</v>
      </c>
      <c r="B13757" s="117" t="s">
        <v>29563</v>
      </c>
      <c r="C13757" t="s">
        <v>67</v>
      </c>
      <c r="D13757" t="s">
        <v>67</v>
      </c>
      <c r="E13757" t="s">
        <v>67</v>
      </c>
      <c r="F13757" t="s">
        <v>45</v>
      </c>
      <c r="G13757" s="117">
        <v>1.33</v>
      </c>
    </row>
    <row r="13758" spans="1:7" x14ac:dyDescent="0.25">
      <c r="A13758" s="116" t="s">
        <v>21408</v>
      </c>
      <c r="B13758" s="117" t="s">
        <v>21409</v>
      </c>
      <c r="C13758" t="s">
        <v>67</v>
      </c>
      <c r="D13758" t="s">
        <v>67</v>
      </c>
      <c r="E13758" t="s">
        <v>67</v>
      </c>
      <c r="F13758" t="s">
        <v>27987</v>
      </c>
      <c r="G13758" s="117">
        <v>12.01</v>
      </c>
    </row>
    <row r="13759" spans="1:7" x14ac:dyDescent="0.25">
      <c r="A13759" s="116" t="s">
        <v>29976</v>
      </c>
      <c r="B13759" s="117" t="s">
        <v>30541</v>
      </c>
      <c r="C13759" t="s">
        <v>67</v>
      </c>
      <c r="D13759" t="s">
        <v>67</v>
      </c>
      <c r="E13759" t="s">
        <v>67</v>
      </c>
      <c r="F13759" t="s">
        <v>27987</v>
      </c>
      <c r="G13759" s="117">
        <v>10</v>
      </c>
    </row>
    <row r="13760" spans="1:7" x14ac:dyDescent="0.25">
      <c r="A13760" s="116" t="s">
        <v>21410</v>
      </c>
      <c r="B13760" s="117" t="s">
        <v>21411</v>
      </c>
      <c r="C13760" t="s">
        <v>67</v>
      </c>
      <c r="D13760" t="s">
        <v>67</v>
      </c>
      <c r="E13760" t="s">
        <v>67</v>
      </c>
      <c r="F13760" t="s">
        <v>45</v>
      </c>
      <c r="G13760" s="117">
        <v>1.69</v>
      </c>
    </row>
    <row r="13761" spans="1:7" x14ac:dyDescent="0.25">
      <c r="A13761" s="116" t="s">
        <v>21412</v>
      </c>
      <c r="B13761" s="117" t="s">
        <v>21413</v>
      </c>
      <c r="C13761" t="s">
        <v>67</v>
      </c>
      <c r="D13761" t="s">
        <v>67</v>
      </c>
      <c r="E13761" t="s">
        <v>67</v>
      </c>
      <c r="F13761" t="s">
        <v>45</v>
      </c>
      <c r="G13761" s="117">
        <v>1.33</v>
      </c>
    </row>
    <row r="13762" spans="1:7" x14ac:dyDescent="0.25">
      <c r="A13762" s="116" t="s">
        <v>21414</v>
      </c>
      <c r="B13762" s="117" t="s">
        <v>21415</v>
      </c>
      <c r="C13762" t="s">
        <v>67</v>
      </c>
      <c r="D13762" t="s">
        <v>67</v>
      </c>
      <c r="E13762" t="s">
        <v>67</v>
      </c>
      <c r="F13762" t="s">
        <v>27987</v>
      </c>
      <c r="G13762" s="117">
        <v>0.8</v>
      </c>
    </row>
    <row r="13763" spans="1:7" x14ac:dyDescent="0.25">
      <c r="A13763" s="116" t="s">
        <v>29564</v>
      </c>
      <c r="B13763" s="117" t="s">
        <v>29565</v>
      </c>
      <c r="C13763" t="s">
        <v>67</v>
      </c>
      <c r="D13763" t="s">
        <v>67</v>
      </c>
      <c r="E13763" t="s">
        <v>67</v>
      </c>
      <c r="F13763" t="s">
        <v>45</v>
      </c>
      <c r="G13763" s="117">
        <v>0</v>
      </c>
    </row>
    <row r="13764" spans="1:7" x14ac:dyDescent="0.25">
      <c r="A13764" s="116" t="s">
        <v>21416</v>
      </c>
      <c r="B13764" s="117" t="s">
        <v>21417</v>
      </c>
      <c r="C13764" t="s">
        <v>67</v>
      </c>
      <c r="D13764" t="s">
        <v>67</v>
      </c>
      <c r="E13764" t="s">
        <v>67</v>
      </c>
      <c r="F13764" t="s">
        <v>27987</v>
      </c>
      <c r="G13764" s="117">
        <v>3.31</v>
      </c>
    </row>
    <row r="13765" spans="1:7" x14ac:dyDescent="0.25">
      <c r="A13765" s="116" t="s">
        <v>21418</v>
      </c>
      <c r="B13765" s="117" t="s">
        <v>21419</v>
      </c>
      <c r="C13765" t="s">
        <v>67</v>
      </c>
      <c r="D13765" t="s">
        <v>67</v>
      </c>
      <c r="E13765" t="s">
        <v>67</v>
      </c>
      <c r="F13765" t="s">
        <v>27987</v>
      </c>
      <c r="G13765" s="117">
        <v>2.97</v>
      </c>
    </row>
    <row r="13766" spans="1:7" x14ac:dyDescent="0.25">
      <c r="A13766" s="116" t="s">
        <v>21420</v>
      </c>
      <c r="B13766" s="117" t="s">
        <v>16968</v>
      </c>
      <c r="C13766" t="s">
        <v>67</v>
      </c>
      <c r="D13766" t="s">
        <v>67</v>
      </c>
      <c r="E13766" t="s">
        <v>67</v>
      </c>
      <c r="F13766" t="s">
        <v>27987</v>
      </c>
      <c r="G13766" s="117">
        <v>1.33</v>
      </c>
    </row>
    <row r="13767" spans="1:7" x14ac:dyDescent="0.25">
      <c r="A13767" s="116" t="s">
        <v>21421</v>
      </c>
      <c r="B13767" s="117" t="s">
        <v>21422</v>
      </c>
      <c r="C13767" t="s">
        <v>67</v>
      </c>
      <c r="D13767" t="s">
        <v>67</v>
      </c>
      <c r="E13767" t="s">
        <v>67</v>
      </c>
      <c r="F13767" t="s">
        <v>27987</v>
      </c>
      <c r="G13767" s="117">
        <v>5.79</v>
      </c>
    </row>
    <row r="13768" spans="1:7" x14ac:dyDescent="0.25">
      <c r="A13768" s="116" t="s">
        <v>21423</v>
      </c>
      <c r="B13768" s="117" t="s">
        <v>21424</v>
      </c>
      <c r="C13768" t="s">
        <v>67</v>
      </c>
      <c r="D13768" t="s">
        <v>67</v>
      </c>
      <c r="E13768" t="s">
        <v>67</v>
      </c>
      <c r="F13768" t="s">
        <v>27987</v>
      </c>
      <c r="G13768" s="117">
        <v>7.56</v>
      </c>
    </row>
    <row r="13769" spans="1:7" x14ac:dyDescent="0.25">
      <c r="A13769" s="116" t="s">
        <v>21425</v>
      </c>
      <c r="B13769" s="117" t="s">
        <v>21426</v>
      </c>
      <c r="C13769" t="s">
        <v>67</v>
      </c>
      <c r="D13769" t="s">
        <v>67</v>
      </c>
      <c r="E13769" t="s">
        <v>67</v>
      </c>
      <c r="F13769" t="s">
        <v>49</v>
      </c>
      <c r="G13769" s="117">
        <v>1.33</v>
      </c>
    </row>
    <row r="13770" spans="1:7" x14ac:dyDescent="0.25">
      <c r="A13770" s="116" t="s">
        <v>21427</v>
      </c>
      <c r="B13770" s="117" t="s">
        <v>21428</v>
      </c>
      <c r="C13770" t="s">
        <v>67</v>
      </c>
      <c r="D13770" t="s">
        <v>67</v>
      </c>
      <c r="E13770" t="s">
        <v>67</v>
      </c>
      <c r="F13770" t="s">
        <v>45</v>
      </c>
      <c r="G13770" s="117">
        <v>14.14</v>
      </c>
    </row>
    <row r="13771" spans="1:7" x14ac:dyDescent="0.25">
      <c r="A13771" s="116" t="s">
        <v>21429</v>
      </c>
      <c r="B13771" s="117" t="s">
        <v>26515</v>
      </c>
      <c r="C13771" t="s">
        <v>67</v>
      </c>
      <c r="D13771" t="s">
        <v>67</v>
      </c>
      <c r="E13771" t="s">
        <v>67</v>
      </c>
      <c r="F13771" t="s">
        <v>27987</v>
      </c>
      <c r="G13771" s="117">
        <v>2</v>
      </c>
    </row>
    <row r="13772" spans="1:7" x14ac:dyDescent="0.25">
      <c r="A13772" s="116" t="s">
        <v>21430</v>
      </c>
      <c r="B13772" s="117" t="s">
        <v>13288</v>
      </c>
      <c r="C13772" t="s">
        <v>67</v>
      </c>
      <c r="D13772" t="s">
        <v>67</v>
      </c>
      <c r="E13772" t="s">
        <v>67</v>
      </c>
      <c r="F13772" t="s">
        <v>27987</v>
      </c>
      <c r="G13772" s="117">
        <v>8.4499999999999993</v>
      </c>
    </row>
    <row r="13773" spans="1:7" x14ac:dyDescent="0.25">
      <c r="A13773" s="116" t="s">
        <v>21431</v>
      </c>
      <c r="B13773" s="117" t="s">
        <v>21432</v>
      </c>
      <c r="C13773" t="s">
        <v>67</v>
      </c>
      <c r="D13773" t="s">
        <v>67</v>
      </c>
      <c r="E13773" t="s">
        <v>67</v>
      </c>
      <c r="F13773" t="s">
        <v>27987</v>
      </c>
      <c r="G13773" s="117">
        <v>9.24</v>
      </c>
    </row>
    <row r="13774" spans="1:7" x14ac:dyDescent="0.25">
      <c r="A13774" s="116" t="s">
        <v>21433</v>
      </c>
      <c r="B13774" s="117" t="s">
        <v>21399</v>
      </c>
      <c r="C13774" t="s">
        <v>67</v>
      </c>
      <c r="D13774" t="s">
        <v>67</v>
      </c>
      <c r="E13774" t="s">
        <v>67</v>
      </c>
      <c r="F13774" t="s">
        <v>45</v>
      </c>
      <c r="G13774" s="117">
        <v>1.33</v>
      </c>
    </row>
    <row r="13775" spans="1:7" x14ac:dyDescent="0.25">
      <c r="A13775" s="116" t="s">
        <v>21434</v>
      </c>
      <c r="B13775" s="117" t="s">
        <v>21435</v>
      </c>
      <c r="C13775" t="s">
        <v>67</v>
      </c>
      <c r="D13775" t="s">
        <v>67</v>
      </c>
      <c r="E13775" t="s">
        <v>67</v>
      </c>
      <c r="F13775" t="s">
        <v>45</v>
      </c>
      <c r="G13775" s="117">
        <v>1.05</v>
      </c>
    </row>
    <row r="13776" spans="1:7" x14ac:dyDescent="0.25">
      <c r="A13776" s="116" t="s">
        <v>21436</v>
      </c>
      <c r="B13776" s="117" t="s">
        <v>21437</v>
      </c>
      <c r="C13776" t="s">
        <v>67</v>
      </c>
      <c r="D13776" t="s">
        <v>67</v>
      </c>
      <c r="E13776" t="s">
        <v>67</v>
      </c>
      <c r="F13776" t="s">
        <v>45</v>
      </c>
      <c r="G13776" s="117">
        <v>16.079999999999998</v>
      </c>
    </row>
    <row r="13777" spans="1:7" x14ac:dyDescent="0.25">
      <c r="A13777" s="116" t="s">
        <v>21438</v>
      </c>
      <c r="B13777" s="117" t="s">
        <v>21439</v>
      </c>
      <c r="C13777" t="s">
        <v>67</v>
      </c>
      <c r="D13777" t="s">
        <v>67</v>
      </c>
      <c r="E13777" t="s">
        <v>67</v>
      </c>
      <c r="F13777" t="s">
        <v>27987</v>
      </c>
      <c r="G13777" s="117">
        <v>1.33</v>
      </c>
    </row>
    <row r="13778" spans="1:7" x14ac:dyDescent="0.25">
      <c r="A13778" s="116" t="s">
        <v>21440</v>
      </c>
      <c r="B13778" s="117" t="s">
        <v>21441</v>
      </c>
      <c r="C13778" t="s">
        <v>67</v>
      </c>
      <c r="D13778" t="s">
        <v>67</v>
      </c>
      <c r="E13778" t="s">
        <v>67</v>
      </c>
      <c r="F13778" t="s">
        <v>45</v>
      </c>
      <c r="G13778" s="117">
        <v>2.23</v>
      </c>
    </row>
    <row r="13779" spans="1:7" x14ac:dyDescent="0.25">
      <c r="A13779" s="116" t="s">
        <v>21442</v>
      </c>
      <c r="B13779" s="117" t="s">
        <v>21443</v>
      </c>
      <c r="C13779" t="s">
        <v>67</v>
      </c>
      <c r="D13779" t="s">
        <v>67</v>
      </c>
      <c r="E13779" t="s">
        <v>67</v>
      </c>
      <c r="F13779" t="s">
        <v>45</v>
      </c>
      <c r="G13779" s="117">
        <v>1.33</v>
      </c>
    </row>
    <row r="13780" spans="1:7" x14ac:dyDescent="0.25">
      <c r="A13780" s="116" t="s">
        <v>21444</v>
      </c>
      <c r="B13780" s="117" t="s">
        <v>21445</v>
      </c>
      <c r="C13780" t="s">
        <v>67</v>
      </c>
      <c r="D13780" t="s">
        <v>67</v>
      </c>
      <c r="E13780" t="s">
        <v>67</v>
      </c>
      <c r="F13780" t="s">
        <v>45</v>
      </c>
      <c r="G13780" s="117">
        <v>32.53</v>
      </c>
    </row>
    <row r="13781" spans="1:7" x14ac:dyDescent="0.25">
      <c r="A13781" s="116" t="s">
        <v>21446</v>
      </c>
      <c r="B13781" s="117" t="s">
        <v>21447</v>
      </c>
      <c r="C13781" t="s">
        <v>67</v>
      </c>
      <c r="D13781" t="s">
        <v>67</v>
      </c>
      <c r="E13781" t="s">
        <v>67</v>
      </c>
      <c r="F13781" t="s">
        <v>27987</v>
      </c>
      <c r="G13781" s="117">
        <v>62.2</v>
      </c>
    </row>
    <row r="13782" spans="1:7" x14ac:dyDescent="0.25">
      <c r="A13782" s="116" t="s">
        <v>21448</v>
      </c>
      <c r="B13782" s="117" t="s">
        <v>21449</v>
      </c>
      <c r="C13782" t="s">
        <v>67</v>
      </c>
      <c r="D13782" t="s">
        <v>67</v>
      </c>
      <c r="E13782" t="s">
        <v>67</v>
      </c>
      <c r="F13782" t="s">
        <v>51</v>
      </c>
      <c r="G13782" s="117">
        <v>97.58</v>
      </c>
    </row>
    <row r="13783" spans="1:7" x14ac:dyDescent="0.25">
      <c r="A13783" s="116" t="s">
        <v>26921</v>
      </c>
      <c r="B13783" s="117" t="s">
        <v>29566</v>
      </c>
      <c r="C13783" t="s">
        <v>67</v>
      </c>
      <c r="D13783" t="s">
        <v>67</v>
      </c>
      <c r="E13783" t="s">
        <v>67</v>
      </c>
      <c r="F13783" t="s">
        <v>45</v>
      </c>
      <c r="G13783" s="117">
        <v>100</v>
      </c>
    </row>
    <row r="13784" spans="1:7" x14ac:dyDescent="0.25">
      <c r="A13784" s="116" t="s">
        <v>21450</v>
      </c>
      <c r="B13784" s="117" t="s">
        <v>21451</v>
      </c>
      <c r="C13784" t="s">
        <v>67</v>
      </c>
      <c r="D13784" t="s">
        <v>67</v>
      </c>
      <c r="E13784" t="s">
        <v>67</v>
      </c>
      <c r="F13784" t="s">
        <v>45</v>
      </c>
      <c r="G13784" s="117">
        <v>200.66</v>
      </c>
    </row>
    <row r="13785" spans="1:7" x14ac:dyDescent="0.25">
      <c r="A13785" s="116" t="s">
        <v>21452</v>
      </c>
      <c r="B13785" s="117" t="s">
        <v>21453</v>
      </c>
      <c r="C13785" t="s">
        <v>67</v>
      </c>
      <c r="D13785" t="s">
        <v>67</v>
      </c>
      <c r="E13785" t="s">
        <v>67</v>
      </c>
      <c r="F13785" t="s">
        <v>27987</v>
      </c>
      <c r="G13785" s="117">
        <v>68.040000000000006</v>
      </c>
    </row>
    <row r="13786" spans="1:7" x14ac:dyDescent="0.25">
      <c r="A13786" s="116" t="s">
        <v>30214</v>
      </c>
      <c r="B13786" s="117" t="s">
        <v>30607</v>
      </c>
      <c r="C13786" t="s">
        <v>67</v>
      </c>
      <c r="D13786" t="s">
        <v>67</v>
      </c>
      <c r="E13786" t="s">
        <v>67</v>
      </c>
      <c r="F13786" t="s">
        <v>45</v>
      </c>
      <c r="G13786" s="117">
        <v>9999</v>
      </c>
    </row>
    <row r="13787" spans="1:7" x14ac:dyDescent="0.25">
      <c r="A13787" s="116" t="s">
        <v>21454</v>
      </c>
      <c r="B13787" s="117" t="s">
        <v>21455</v>
      </c>
      <c r="C13787" t="s">
        <v>67</v>
      </c>
      <c r="D13787" t="s">
        <v>67</v>
      </c>
      <c r="E13787" t="s">
        <v>67</v>
      </c>
      <c r="F13787" t="s">
        <v>45</v>
      </c>
      <c r="G13787" s="117">
        <v>4.54</v>
      </c>
    </row>
    <row r="13788" spans="1:7" x14ac:dyDescent="0.25">
      <c r="A13788" s="116" t="s">
        <v>21456</v>
      </c>
      <c r="B13788" s="117" t="s">
        <v>21457</v>
      </c>
      <c r="C13788" t="s">
        <v>67</v>
      </c>
      <c r="D13788" t="s">
        <v>67</v>
      </c>
      <c r="E13788" t="s">
        <v>67</v>
      </c>
      <c r="F13788" t="s">
        <v>27987</v>
      </c>
      <c r="G13788" s="117">
        <v>25.71</v>
      </c>
    </row>
    <row r="13789" spans="1:7" x14ac:dyDescent="0.25">
      <c r="A13789" s="116" t="s">
        <v>21458</v>
      </c>
      <c r="B13789" s="117" t="s">
        <v>21459</v>
      </c>
      <c r="C13789" t="s">
        <v>67</v>
      </c>
      <c r="D13789" t="s">
        <v>67</v>
      </c>
      <c r="E13789" t="s">
        <v>67</v>
      </c>
      <c r="F13789" t="s">
        <v>27987</v>
      </c>
      <c r="G13789" s="117">
        <v>790.62</v>
      </c>
    </row>
    <row r="13790" spans="1:7" x14ac:dyDescent="0.25">
      <c r="A13790" s="116" t="s">
        <v>21460</v>
      </c>
      <c r="B13790" s="117" t="s">
        <v>21461</v>
      </c>
      <c r="C13790" t="s">
        <v>67</v>
      </c>
      <c r="D13790" t="s">
        <v>67</v>
      </c>
      <c r="E13790" t="s">
        <v>67</v>
      </c>
      <c r="F13790" t="s">
        <v>27987</v>
      </c>
      <c r="G13790" s="117">
        <v>7.65</v>
      </c>
    </row>
    <row r="13791" spans="1:7" x14ac:dyDescent="0.25">
      <c r="A13791" s="116" t="s">
        <v>30215</v>
      </c>
      <c r="B13791" s="117" t="s">
        <v>30608</v>
      </c>
      <c r="C13791" t="s">
        <v>67</v>
      </c>
      <c r="D13791" t="s">
        <v>67</v>
      </c>
      <c r="E13791" t="s">
        <v>67</v>
      </c>
      <c r="F13791" t="s">
        <v>45</v>
      </c>
      <c r="G13791" s="117">
        <v>9999</v>
      </c>
    </row>
    <row r="13792" spans="1:7" x14ac:dyDescent="0.25">
      <c r="A13792" s="116" t="s">
        <v>21462</v>
      </c>
      <c r="B13792" s="117" t="s">
        <v>21463</v>
      </c>
      <c r="C13792" t="s">
        <v>67</v>
      </c>
      <c r="D13792" t="s">
        <v>67</v>
      </c>
      <c r="E13792" t="s">
        <v>67</v>
      </c>
      <c r="F13792" t="s">
        <v>45</v>
      </c>
      <c r="G13792" s="117">
        <v>66.3</v>
      </c>
    </row>
    <row r="13793" spans="1:7" x14ac:dyDescent="0.25">
      <c r="A13793" s="116" t="s">
        <v>21464</v>
      </c>
      <c r="B13793" s="117" t="s">
        <v>21465</v>
      </c>
      <c r="C13793" t="s">
        <v>67</v>
      </c>
      <c r="D13793" t="s">
        <v>67</v>
      </c>
      <c r="E13793" t="s">
        <v>67</v>
      </c>
      <c r="F13793" t="s">
        <v>45</v>
      </c>
      <c r="G13793" s="117">
        <v>5.79</v>
      </c>
    </row>
    <row r="13794" spans="1:7" x14ac:dyDescent="0.25">
      <c r="A13794" s="116" t="s">
        <v>21466</v>
      </c>
      <c r="B13794" s="117" t="s">
        <v>21467</v>
      </c>
      <c r="C13794" t="s">
        <v>67</v>
      </c>
      <c r="D13794" t="s">
        <v>67</v>
      </c>
      <c r="E13794" t="s">
        <v>67</v>
      </c>
      <c r="F13794" t="s">
        <v>45</v>
      </c>
      <c r="G13794" s="117">
        <v>15.57</v>
      </c>
    </row>
    <row r="13795" spans="1:7" x14ac:dyDescent="0.25">
      <c r="A13795" s="116" t="s">
        <v>27763</v>
      </c>
      <c r="B13795" s="117" t="s">
        <v>21468</v>
      </c>
      <c r="C13795" t="s">
        <v>67</v>
      </c>
      <c r="D13795" t="s">
        <v>67</v>
      </c>
      <c r="E13795" t="s">
        <v>67</v>
      </c>
      <c r="F13795" t="s">
        <v>45</v>
      </c>
      <c r="G13795" s="117">
        <v>0.53</v>
      </c>
    </row>
    <row r="13796" spans="1:7" x14ac:dyDescent="0.25">
      <c r="A13796" s="116" t="s">
        <v>21469</v>
      </c>
      <c r="B13796" s="117" t="s">
        <v>21470</v>
      </c>
      <c r="C13796" t="s">
        <v>67</v>
      </c>
      <c r="D13796" t="s">
        <v>67</v>
      </c>
      <c r="E13796" t="s">
        <v>67</v>
      </c>
      <c r="F13796" t="s">
        <v>27987</v>
      </c>
      <c r="G13796" s="117">
        <v>134.1</v>
      </c>
    </row>
    <row r="13797" spans="1:7" x14ac:dyDescent="0.25">
      <c r="A13797" s="116" t="s">
        <v>21471</v>
      </c>
      <c r="B13797" s="117" t="s">
        <v>21385</v>
      </c>
      <c r="C13797" t="s">
        <v>67</v>
      </c>
      <c r="D13797" t="s">
        <v>67</v>
      </c>
      <c r="E13797" t="s">
        <v>67</v>
      </c>
      <c r="F13797" t="s">
        <v>45</v>
      </c>
      <c r="G13797" s="117">
        <v>6.36</v>
      </c>
    </row>
    <row r="13798" spans="1:7" x14ac:dyDescent="0.25">
      <c r="A13798" s="116" t="s">
        <v>21472</v>
      </c>
      <c r="B13798" s="117" t="s">
        <v>21473</v>
      </c>
      <c r="C13798" t="s">
        <v>67</v>
      </c>
      <c r="D13798" t="s">
        <v>67</v>
      </c>
      <c r="E13798" t="s">
        <v>67</v>
      </c>
      <c r="F13798" t="s">
        <v>45</v>
      </c>
      <c r="G13798" s="117">
        <v>6.36</v>
      </c>
    </row>
    <row r="13799" spans="1:7" x14ac:dyDescent="0.25">
      <c r="A13799" s="116" t="s">
        <v>21474</v>
      </c>
      <c r="B13799" s="117" t="s">
        <v>21475</v>
      </c>
      <c r="C13799" t="s">
        <v>67</v>
      </c>
      <c r="D13799" t="s">
        <v>67</v>
      </c>
      <c r="E13799" t="s">
        <v>67</v>
      </c>
      <c r="F13799" t="s">
        <v>45</v>
      </c>
      <c r="G13799" s="117">
        <v>3.56</v>
      </c>
    </row>
    <row r="13800" spans="1:7" x14ac:dyDescent="0.25">
      <c r="A13800" s="116" t="s">
        <v>21476</v>
      </c>
      <c r="B13800" s="117" t="s">
        <v>21477</v>
      </c>
      <c r="C13800" t="s">
        <v>67</v>
      </c>
      <c r="D13800" t="s">
        <v>67</v>
      </c>
      <c r="E13800" t="s">
        <v>67</v>
      </c>
      <c r="F13800" t="s">
        <v>27987</v>
      </c>
      <c r="G13800" s="117">
        <v>0.8</v>
      </c>
    </row>
    <row r="13801" spans="1:7" x14ac:dyDescent="0.25">
      <c r="A13801" s="116" t="s">
        <v>21478</v>
      </c>
      <c r="B13801" s="117" t="s">
        <v>21479</v>
      </c>
      <c r="C13801" t="s">
        <v>67</v>
      </c>
      <c r="D13801" t="s">
        <v>67</v>
      </c>
      <c r="E13801" t="s">
        <v>67</v>
      </c>
      <c r="F13801" t="s">
        <v>27987</v>
      </c>
      <c r="G13801" s="117">
        <v>0.44</v>
      </c>
    </row>
    <row r="13802" spans="1:7" x14ac:dyDescent="0.25">
      <c r="A13802" s="116" t="s">
        <v>21480</v>
      </c>
      <c r="B13802" s="117" t="s">
        <v>21481</v>
      </c>
      <c r="C13802" t="s">
        <v>67</v>
      </c>
      <c r="D13802" t="s">
        <v>67</v>
      </c>
      <c r="E13802" t="s">
        <v>67</v>
      </c>
      <c r="F13802" t="s">
        <v>45</v>
      </c>
      <c r="G13802" s="117">
        <v>0.38</v>
      </c>
    </row>
    <row r="13803" spans="1:7" x14ac:dyDescent="0.25">
      <c r="A13803" s="116" t="s">
        <v>21482</v>
      </c>
      <c r="B13803" s="117" t="s">
        <v>21483</v>
      </c>
      <c r="C13803" t="s">
        <v>67</v>
      </c>
      <c r="D13803" t="s">
        <v>67</v>
      </c>
      <c r="E13803" t="s">
        <v>67</v>
      </c>
      <c r="F13803" t="s">
        <v>45</v>
      </c>
      <c r="G13803" s="117">
        <v>0.8</v>
      </c>
    </row>
    <row r="13804" spans="1:7" x14ac:dyDescent="0.25">
      <c r="A13804" s="116" t="s">
        <v>21484</v>
      </c>
      <c r="B13804" s="117" t="s">
        <v>21485</v>
      </c>
      <c r="C13804" t="s">
        <v>67</v>
      </c>
      <c r="D13804" t="s">
        <v>67</v>
      </c>
      <c r="E13804" t="s">
        <v>67</v>
      </c>
      <c r="F13804" t="s">
        <v>45</v>
      </c>
      <c r="G13804" s="117">
        <v>0.8</v>
      </c>
    </row>
    <row r="13805" spans="1:7" x14ac:dyDescent="0.25">
      <c r="A13805" s="116" t="s">
        <v>21486</v>
      </c>
      <c r="B13805" s="117" t="s">
        <v>21487</v>
      </c>
      <c r="C13805" t="s">
        <v>67</v>
      </c>
      <c r="D13805" t="s">
        <v>67</v>
      </c>
      <c r="E13805" t="s">
        <v>67</v>
      </c>
      <c r="F13805" t="s">
        <v>45</v>
      </c>
      <c r="G13805" s="117">
        <v>1.33</v>
      </c>
    </row>
    <row r="13806" spans="1:7" x14ac:dyDescent="0.25">
      <c r="A13806" s="116" t="s">
        <v>21488</v>
      </c>
      <c r="B13806" s="117" t="s">
        <v>21489</v>
      </c>
      <c r="C13806" t="s">
        <v>67</v>
      </c>
      <c r="D13806" t="s">
        <v>67</v>
      </c>
      <c r="E13806" t="s">
        <v>67</v>
      </c>
      <c r="F13806" t="s">
        <v>45</v>
      </c>
      <c r="G13806" s="117">
        <v>0.8</v>
      </c>
    </row>
    <row r="13807" spans="1:7" x14ac:dyDescent="0.25">
      <c r="A13807" s="116" t="s">
        <v>21490</v>
      </c>
      <c r="B13807" s="117" t="s">
        <v>21491</v>
      </c>
      <c r="C13807" t="s">
        <v>67</v>
      </c>
      <c r="D13807" t="s">
        <v>67</v>
      </c>
      <c r="E13807" t="s">
        <v>67</v>
      </c>
      <c r="F13807" t="s">
        <v>45</v>
      </c>
      <c r="G13807" s="117">
        <v>1.33</v>
      </c>
    </row>
    <row r="13808" spans="1:7" x14ac:dyDescent="0.25">
      <c r="A13808" s="116" t="s">
        <v>21492</v>
      </c>
      <c r="B13808" s="117" t="s">
        <v>21493</v>
      </c>
      <c r="C13808" t="s">
        <v>67</v>
      </c>
      <c r="D13808" t="s">
        <v>67</v>
      </c>
      <c r="E13808" t="s">
        <v>67</v>
      </c>
      <c r="F13808" t="s">
        <v>45</v>
      </c>
      <c r="G13808" s="117">
        <v>1.33</v>
      </c>
    </row>
    <row r="13809" spans="1:7" x14ac:dyDescent="0.25">
      <c r="A13809" s="116" t="s">
        <v>29567</v>
      </c>
      <c r="B13809" s="117" t="s">
        <v>29568</v>
      </c>
      <c r="C13809" t="s">
        <v>67</v>
      </c>
      <c r="D13809" t="s">
        <v>67</v>
      </c>
      <c r="E13809" t="s">
        <v>67</v>
      </c>
      <c r="F13809" t="s">
        <v>45</v>
      </c>
      <c r="G13809" s="117">
        <v>0</v>
      </c>
    </row>
    <row r="13810" spans="1:7" x14ac:dyDescent="0.25">
      <c r="A13810" s="116" t="s">
        <v>21494</v>
      </c>
      <c r="B13810" s="117" t="s">
        <v>30161</v>
      </c>
      <c r="C13810" t="s">
        <v>67</v>
      </c>
      <c r="D13810" t="s">
        <v>67</v>
      </c>
      <c r="E13810" t="s">
        <v>67</v>
      </c>
      <c r="F13810" t="s">
        <v>45</v>
      </c>
      <c r="G13810" s="117">
        <v>0.5</v>
      </c>
    </row>
    <row r="13811" spans="1:7" x14ac:dyDescent="0.25">
      <c r="A13811" s="116" t="s">
        <v>21495</v>
      </c>
      <c r="B13811" s="117" t="s">
        <v>21496</v>
      </c>
      <c r="C13811" t="s">
        <v>67</v>
      </c>
      <c r="D13811" t="s">
        <v>67</v>
      </c>
      <c r="E13811" t="s">
        <v>67</v>
      </c>
      <c r="F13811" t="s">
        <v>27987</v>
      </c>
      <c r="G13811" s="117">
        <v>0.44</v>
      </c>
    </row>
    <row r="13812" spans="1:7" x14ac:dyDescent="0.25">
      <c r="A13812" s="116" t="s">
        <v>21497</v>
      </c>
      <c r="B13812" s="117" t="s">
        <v>21498</v>
      </c>
      <c r="C13812" t="s">
        <v>67</v>
      </c>
      <c r="D13812" t="s">
        <v>67</v>
      </c>
      <c r="E13812" t="s">
        <v>67</v>
      </c>
      <c r="F13812" t="s">
        <v>45</v>
      </c>
      <c r="G13812" s="117">
        <v>0.44</v>
      </c>
    </row>
    <row r="13813" spans="1:7" x14ac:dyDescent="0.25">
      <c r="A13813" s="116" t="s">
        <v>21499</v>
      </c>
      <c r="B13813" s="117" t="s">
        <v>21500</v>
      </c>
      <c r="C13813" t="s">
        <v>67</v>
      </c>
      <c r="D13813" t="s">
        <v>67</v>
      </c>
      <c r="E13813" t="s">
        <v>67</v>
      </c>
      <c r="F13813" t="s">
        <v>27987</v>
      </c>
      <c r="G13813" s="117">
        <v>2.58</v>
      </c>
    </row>
    <row r="13814" spans="1:7" x14ac:dyDescent="0.25">
      <c r="A13814" s="116" t="s">
        <v>21501</v>
      </c>
      <c r="B13814" s="117" t="s">
        <v>21502</v>
      </c>
      <c r="C13814" t="s">
        <v>67</v>
      </c>
      <c r="D13814" t="s">
        <v>67</v>
      </c>
      <c r="E13814" t="s">
        <v>67</v>
      </c>
      <c r="F13814" t="s">
        <v>45</v>
      </c>
      <c r="G13814" s="117">
        <v>2.58</v>
      </c>
    </row>
    <row r="13815" spans="1:7" x14ac:dyDescent="0.25">
      <c r="A13815" s="116" t="s">
        <v>21503</v>
      </c>
      <c r="B13815" s="117" t="s">
        <v>21504</v>
      </c>
      <c r="C13815" t="s">
        <v>67</v>
      </c>
      <c r="D13815" t="s">
        <v>67</v>
      </c>
      <c r="E13815" t="s">
        <v>67</v>
      </c>
      <c r="F13815" t="s">
        <v>27987</v>
      </c>
      <c r="G13815" s="117">
        <v>2.58</v>
      </c>
    </row>
    <row r="13816" spans="1:7" x14ac:dyDescent="0.25">
      <c r="A13816" s="116" t="s">
        <v>21505</v>
      </c>
      <c r="B13816" s="117" t="s">
        <v>21506</v>
      </c>
      <c r="C13816" t="s">
        <v>67</v>
      </c>
      <c r="D13816" t="s">
        <v>67</v>
      </c>
      <c r="E13816" t="s">
        <v>67</v>
      </c>
      <c r="F13816" t="s">
        <v>45</v>
      </c>
      <c r="G13816" s="117">
        <v>2.58</v>
      </c>
    </row>
    <row r="13817" spans="1:7" x14ac:dyDescent="0.25">
      <c r="A13817" s="116" t="s">
        <v>21507</v>
      </c>
      <c r="B13817" s="117" t="s">
        <v>21508</v>
      </c>
      <c r="C13817" t="s">
        <v>67</v>
      </c>
      <c r="D13817" t="s">
        <v>67</v>
      </c>
      <c r="E13817" t="s">
        <v>67</v>
      </c>
      <c r="F13817" t="s">
        <v>27987</v>
      </c>
      <c r="G13817" s="117">
        <v>0.44</v>
      </c>
    </row>
    <row r="13818" spans="1:7" x14ac:dyDescent="0.25">
      <c r="A13818" s="116" t="s">
        <v>21509</v>
      </c>
      <c r="B13818" s="117" t="s">
        <v>21510</v>
      </c>
      <c r="C13818" t="s">
        <v>67</v>
      </c>
      <c r="D13818" t="s">
        <v>67</v>
      </c>
      <c r="E13818" t="s">
        <v>67</v>
      </c>
      <c r="F13818" t="s">
        <v>27987</v>
      </c>
      <c r="G13818" s="117">
        <v>2.23</v>
      </c>
    </row>
    <row r="13819" spans="1:7" x14ac:dyDescent="0.25">
      <c r="A13819" s="116" t="s">
        <v>21511</v>
      </c>
      <c r="B13819" s="117" t="s">
        <v>21512</v>
      </c>
      <c r="C13819" t="s">
        <v>67</v>
      </c>
      <c r="D13819" t="s">
        <v>67</v>
      </c>
      <c r="E13819" t="s">
        <v>67</v>
      </c>
      <c r="F13819" t="s">
        <v>27987</v>
      </c>
      <c r="G13819" s="117">
        <v>2.58</v>
      </c>
    </row>
    <row r="13820" spans="1:7" x14ac:dyDescent="0.25">
      <c r="A13820" s="116" t="s">
        <v>21513</v>
      </c>
      <c r="B13820" s="117" t="s">
        <v>21514</v>
      </c>
      <c r="C13820" t="s">
        <v>67</v>
      </c>
      <c r="D13820" t="s">
        <v>67</v>
      </c>
      <c r="E13820" t="s">
        <v>67</v>
      </c>
      <c r="F13820" t="s">
        <v>27987</v>
      </c>
      <c r="G13820" s="117">
        <v>0.8</v>
      </c>
    </row>
    <row r="13821" spans="1:7" x14ac:dyDescent="0.25">
      <c r="A13821" s="116" t="s">
        <v>26826</v>
      </c>
      <c r="B13821" s="117" t="s">
        <v>26827</v>
      </c>
      <c r="C13821" t="s">
        <v>67</v>
      </c>
      <c r="D13821" t="s">
        <v>67</v>
      </c>
      <c r="E13821" t="s">
        <v>67</v>
      </c>
      <c r="F13821" t="s">
        <v>45</v>
      </c>
      <c r="G13821" s="117">
        <v>2</v>
      </c>
    </row>
    <row r="13822" spans="1:7" x14ac:dyDescent="0.25">
      <c r="A13822" s="116" t="s">
        <v>26828</v>
      </c>
      <c r="B13822" s="117" t="s">
        <v>26829</v>
      </c>
      <c r="C13822" t="s">
        <v>67</v>
      </c>
      <c r="D13822" t="s">
        <v>67</v>
      </c>
      <c r="E13822" t="s">
        <v>67</v>
      </c>
      <c r="F13822" t="s">
        <v>45</v>
      </c>
      <c r="G13822" s="117">
        <v>1</v>
      </c>
    </row>
    <row r="13823" spans="1:7" x14ac:dyDescent="0.25">
      <c r="A13823" s="116" t="s">
        <v>21515</v>
      </c>
      <c r="B13823" s="117" t="s">
        <v>21516</v>
      </c>
      <c r="C13823" t="s">
        <v>67</v>
      </c>
      <c r="D13823" t="s">
        <v>67</v>
      </c>
      <c r="E13823" t="s">
        <v>67</v>
      </c>
      <c r="F13823" t="s">
        <v>27987</v>
      </c>
      <c r="G13823" s="117">
        <v>0.8</v>
      </c>
    </row>
    <row r="13824" spans="1:7" x14ac:dyDescent="0.25">
      <c r="A13824" s="116" t="s">
        <v>21517</v>
      </c>
      <c r="B13824" s="117" t="s">
        <v>21518</v>
      </c>
      <c r="C13824" t="s">
        <v>67</v>
      </c>
      <c r="D13824" t="s">
        <v>67</v>
      </c>
      <c r="E13824" t="s">
        <v>67</v>
      </c>
      <c r="F13824" t="s">
        <v>27987</v>
      </c>
      <c r="G13824" s="117">
        <v>0.44</v>
      </c>
    </row>
    <row r="13825" spans="1:7" x14ac:dyDescent="0.25">
      <c r="A13825" s="116" t="s">
        <v>21519</v>
      </c>
      <c r="B13825" s="117" t="s">
        <v>21520</v>
      </c>
      <c r="C13825" t="s">
        <v>67</v>
      </c>
      <c r="D13825" t="s">
        <v>67</v>
      </c>
      <c r="E13825" t="s">
        <v>67</v>
      </c>
      <c r="F13825" t="s">
        <v>27987</v>
      </c>
      <c r="G13825" s="117">
        <v>0.44</v>
      </c>
    </row>
    <row r="13826" spans="1:7" x14ac:dyDescent="0.25">
      <c r="A13826" s="116" t="s">
        <v>21521</v>
      </c>
      <c r="B13826" s="117" t="s">
        <v>21522</v>
      </c>
      <c r="C13826" t="s">
        <v>67</v>
      </c>
      <c r="D13826" t="s">
        <v>67</v>
      </c>
      <c r="E13826" t="s">
        <v>67</v>
      </c>
      <c r="F13826" t="s">
        <v>45</v>
      </c>
      <c r="G13826" s="117">
        <v>0.44</v>
      </c>
    </row>
    <row r="13827" spans="1:7" x14ac:dyDescent="0.25">
      <c r="A13827" s="116" t="s">
        <v>21523</v>
      </c>
      <c r="B13827" s="117" t="s">
        <v>21524</v>
      </c>
      <c r="C13827" t="s">
        <v>67</v>
      </c>
      <c r="D13827" t="s">
        <v>67</v>
      </c>
      <c r="E13827" t="s">
        <v>67</v>
      </c>
      <c r="F13827" t="s">
        <v>45</v>
      </c>
      <c r="G13827" s="117">
        <v>9.6999999999999993</v>
      </c>
    </row>
    <row r="13828" spans="1:7" x14ac:dyDescent="0.25">
      <c r="A13828" s="116" t="s">
        <v>21525</v>
      </c>
      <c r="B13828" s="117" t="s">
        <v>21526</v>
      </c>
      <c r="C13828" t="s">
        <v>67</v>
      </c>
      <c r="D13828" t="s">
        <v>67</v>
      </c>
      <c r="E13828" t="s">
        <v>67</v>
      </c>
      <c r="F13828" t="s">
        <v>45</v>
      </c>
      <c r="G13828" s="117">
        <v>0.44</v>
      </c>
    </row>
    <row r="13829" spans="1:7" x14ac:dyDescent="0.25">
      <c r="A13829" s="116" t="s">
        <v>21527</v>
      </c>
      <c r="B13829" s="117" t="s">
        <v>12606</v>
      </c>
      <c r="C13829" t="s">
        <v>67</v>
      </c>
      <c r="D13829" t="s">
        <v>67</v>
      </c>
      <c r="E13829" t="s">
        <v>67</v>
      </c>
      <c r="F13829" t="s">
        <v>27987</v>
      </c>
      <c r="G13829" s="117">
        <v>2.58</v>
      </c>
    </row>
    <row r="13830" spans="1:7" x14ac:dyDescent="0.25">
      <c r="A13830" s="116" t="s">
        <v>21528</v>
      </c>
      <c r="B13830" s="117" t="s">
        <v>21529</v>
      </c>
      <c r="C13830" t="s">
        <v>67</v>
      </c>
      <c r="D13830" t="s">
        <v>67</v>
      </c>
      <c r="E13830" t="s">
        <v>67</v>
      </c>
      <c r="F13830" t="s">
        <v>45</v>
      </c>
      <c r="G13830" s="117">
        <v>6.14</v>
      </c>
    </row>
    <row r="13831" spans="1:7" x14ac:dyDescent="0.25">
      <c r="A13831" s="116" t="s">
        <v>21530</v>
      </c>
      <c r="B13831" s="117" t="s">
        <v>21531</v>
      </c>
      <c r="C13831" t="s">
        <v>67</v>
      </c>
      <c r="D13831" t="s">
        <v>67</v>
      </c>
      <c r="E13831" t="s">
        <v>67</v>
      </c>
      <c r="F13831" t="s">
        <v>27987</v>
      </c>
      <c r="G13831" s="117">
        <v>2.97</v>
      </c>
    </row>
    <row r="13832" spans="1:7" x14ac:dyDescent="0.25">
      <c r="A13832" s="116" t="s">
        <v>21532</v>
      </c>
      <c r="B13832" s="117" t="s">
        <v>21533</v>
      </c>
      <c r="C13832" t="s">
        <v>67</v>
      </c>
      <c r="D13832" t="s">
        <v>67</v>
      </c>
      <c r="E13832" t="s">
        <v>67</v>
      </c>
      <c r="F13832" t="s">
        <v>27987</v>
      </c>
      <c r="G13832" s="117">
        <v>2.46</v>
      </c>
    </row>
    <row r="13833" spans="1:7" x14ac:dyDescent="0.25">
      <c r="A13833" s="116" t="s">
        <v>21534</v>
      </c>
      <c r="B13833" s="117" t="s">
        <v>21535</v>
      </c>
      <c r="C13833" t="s">
        <v>67</v>
      </c>
      <c r="D13833" t="s">
        <v>67</v>
      </c>
      <c r="E13833" t="s">
        <v>67</v>
      </c>
      <c r="F13833" t="s">
        <v>45</v>
      </c>
      <c r="G13833" s="117">
        <v>7.54</v>
      </c>
    </row>
    <row r="13834" spans="1:7" x14ac:dyDescent="0.25">
      <c r="A13834" s="116" t="s">
        <v>21536</v>
      </c>
      <c r="B13834" s="117" t="s">
        <v>21453</v>
      </c>
      <c r="C13834" t="s">
        <v>67</v>
      </c>
      <c r="D13834" t="s">
        <v>67</v>
      </c>
      <c r="E13834" t="s">
        <v>67</v>
      </c>
      <c r="F13834" t="s">
        <v>27987</v>
      </c>
      <c r="G13834" s="117">
        <v>15.44</v>
      </c>
    </row>
    <row r="13835" spans="1:7" x14ac:dyDescent="0.25">
      <c r="A13835" s="116" t="s">
        <v>21537</v>
      </c>
      <c r="B13835" s="117" t="s">
        <v>21538</v>
      </c>
      <c r="C13835" t="s">
        <v>67</v>
      </c>
      <c r="D13835" t="s">
        <v>67</v>
      </c>
      <c r="E13835" t="s">
        <v>67</v>
      </c>
      <c r="F13835" t="s">
        <v>27987</v>
      </c>
      <c r="G13835" s="117">
        <v>55.49</v>
      </c>
    </row>
    <row r="13836" spans="1:7" x14ac:dyDescent="0.25">
      <c r="A13836" s="116" t="s">
        <v>21539</v>
      </c>
      <c r="B13836" s="117" t="s">
        <v>21540</v>
      </c>
      <c r="C13836" t="s">
        <v>67</v>
      </c>
      <c r="D13836" t="s">
        <v>67</v>
      </c>
      <c r="E13836" t="s">
        <v>67</v>
      </c>
      <c r="F13836" t="s">
        <v>27987</v>
      </c>
      <c r="G13836" s="117">
        <v>343.38</v>
      </c>
    </row>
    <row r="13837" spans="1:7" x14ac:dyDescent="0.25">
      <c r="A13837" s="116" t="s">
        <v>21541</v>
      </c>
      <c r="B13837" s="117" t="s">
        <v>21542</v>
      </c>
      <c r="C13837" t="s">
        <v>67</v>
      </c>
      <c r="D13837" t="s">
        <v>67</v>
      </c>
      <c r="E13837" t="s">
        <v>67</v>
      </c>
      <c r="F13837" t="s">
        <v>45</v>
      </c>
      <c r="G13837" s="117">
        <v>3.77</v>
      </c>
    </row>
    <row r="13838" spans="1:7" x14ac:dyDescent="0.25">
      <c r="A13838" s="116" t="s">
        <v>21543</v>
      </c>
      <c r="B13838" s="117" t="s">
        <v>21544</v>
      </c>
      <c r="C13838" t="s">
        <v>67</v>
      </c>
      <c r="D13838" t="s">
        <v>67</v>
      </c>
      <c r="E13838" t="s">
        <v>67</v>
      </c>
      <c r="F13838" t="s">
        <v>45</v>
      </c>
      <c r="G13838" s="117">
        <v>1.1599999999999999</v>
      </c>
    </row>
    <row r="13839" spans="1:7" x14ac:dyDescent="0.25">
      <c r="A13839" s="116" t="s">
        <v>21545</v>
      </c>
      <c r="B13839" s="117" t="s">
        <v>21542</v>
      </c>
      <c r="C13839" t="s">
        <v>67</v>
      </c>
      <c r="D13839" t="s">
        <v>67</v>
      </c>
      <c r="E13839" t="s">
        <v>67</v>
      </c>
      <c r="F13839" t="s">
        <v>45</v>
      </c>
      <c r="G13839" s="117">
        <v>3.77</v>
      </c>
    </row>
    <row r="13840" spans="1:7" x14ac:dyDescent="0.25">
      <c r="A13840" s="116" t="s">
        <v>21546</v>
      </c>
      <c r="B13840" s="117" t="s">
        <v>21547</v>
      </c>
      <c r="C13840" t="s">
        <v>67</v>
      </c>
      <c r="D13840" t="s">
        <v>67</v>
      </c>
      <c r="E13840" t="s">
        <v>67</v>
      </c>
      <c r="F13840" t="s">
        <v>27987</v>
      </c>
      <c r="G13840" s="117">
        <v>0.44</v>
      </c>
    </row>
    <row r="13841" spans="1:7" x14ac:dyDescent="0.25">
      <c r="A13841" s="116" t="s">
        <v>21548</v>
      </c>
      <c r="B13841" s="117" t="s">
        <v>21549</v>
      </c>
      <c r="C13841" t="s">
        <v>67</v>
      </c>
      <c r="D13841" t="s">
        <v>67</v>
      </c>
      <c r="E13841" t="s">
        <v>67</v>
      </c>
      <c r="F13841" t="s">
        <v>45</v>
      </c>
      <c r="G13841" s="117">
        <v>3.05</v>
      </c>
    </row>
    <row r="13842" spans="1:7" x14ac:dyDescent="0.25">
      <c r="A13842" s="116" t="s">
        <v>21550</v>
      </c>
      <c r="B13842" s="117" t="s">
        <v>21413</v>
      </c>
      <c r="C13842" t="s">
        <v>67</v>
      </c>
      <c r="D13842" t="s">
        <v>67</v>
      </c>
      <c r="E13842" t="s">
        <v>67</v>
      </c>
      <c r="F13842" t="s">
        <v>45</v>
      </c>
      <c r="G13842" s="117">
        <v>1.77</v>
      </c>
    </row>
    <row r="13843" spans="1:7" x14ac:dyDescent="0.25">
      <c r="A13843" s="116" t="s">
        <v>21551</v>
      </c>
      <c r="B13843" s="117" t="s">
        <v>21552</v>
      </c>
      <c r="C13843" t="s">
        <v>67</v>
      </c>
      <c r="D13843" t="s">
        <v>67</v>
      </c>
      <c r="E13843" t="s">
        <v>67</v>
      </c>
      <c r="F13843" t="s">
        <v>45</v>
      </c>
      <c r="G13843" s="117">
        <v>0.44</v>
      </c>
    </row>
    <row r="13844" spans="1:7" x14ac:dyDescent="0.25">
      <c r="A13844" s="116" t="s">
        <v>21553</v>
      </c>
      <c r="B13844" s="117" t="s">
        <v>21554</v>
      </c>
      <c r="C13844" t="s">
        <v>67</v>
      </c>
      <c r="D13844" t="s">
        <v>67</v>
      </c>
      <c r="E13844" t="s">
        <v>67</v>
      </c>
      <c r="F13844" t="s">
        <v>45</v>
      </c>
      <c r="G13844" s="117">
        <v>0.25</v>
      </c>
    </row>
    <row r="13845" spans="1:7" x14ac:dyDescent="0.25">
      <c r="A13845" s="116" t="s">
        <v>27764</v>
      </c>
      <c r="B13845" s="117" t="s">
        <v>21555</v>
      </c>
      <c r="C13845" t="s">
        <v>67</v>
      </c>
      <c r="D13845" t="s">
        <v>67</v>
      </c>
      <c r="E13845" t="s">
        <v>67</v>
      </c>
      <c r="F13845" t="s">
        <v>45</v>
      </c>
      <c r="G13845" s="117">
        <v>2.58</v>
      </c>
    </row>
    <row r="13846" spans="1:7" x14ac:dyDescent="0.25">
      <c r="A13846" s="116" t="s">
        <v>27765</v>
      </c>
      <c r="B13846" s="117" t="s">
        <v>21555</v>
      </c>
      <c r="C13846" t="s">
        <v>67</v>
      </c>
      <c r="D13846" t="s">
        <v>67</v>
      </c>
      <c r="E13846" t="s">
        <v>67</v>
      </c>
      <c r="F13846" t="s">
        <v>45</v>
      </c>
      <c r="G13846" s="117">
        <v>2.58</v>
      </c>
    </row>
    <row r="13847" spans="1:7" x14ac:dyDescent="0.25">
      <c r="A13847" s="116" t="s">
        <v>27766</v>
      </c>
      <c r="B13847" s="117" t="s">
        <v>21556</v>
      </c>
      <c r="C13847" t="s">
        <v>67</v>
      </c>
      <c r="D13847" t="s">
        <v>67</v>
      </c>
      <c r="E13847" t="s">
        <v>67</v>
      </c>
      <c r="F13847" t="s">
        <v>45</v>
      </c>
      <c r="G13847" s="117">
        <v>4</v>
      </c>
    </row>
    <row r="13848" spans="1:7" x14ac:dyDescent="0.25">
      <c r="A13848" s="116" t="s">
        <v>27767</v>
      </c>
      <c r="B13848" s="117" t="s">
        <v>21557</v>
      </c>
      <c r="C13848" t="s">
        <v>67</v>
      </c>
      <c r="D13848" t="s">
        <v>67</v>
      </c>
      <c r="E13848" t="s">
        <v>67</v>
      </c>
      <c r="F13848" t="s">
        <v>45</v>
      </c>
      <c r="G13848" s="117">
        <v>0.33</v>
      </c>
    </row>
    <row r="13849" spans="1:7" x14ac:dyDescent="0.25">
      <c r="A13849" s="116" t="s">
        <v>21558</v>
      </c>
      <c r="B13849" s="117" t="s">
        <v>18711</v>
      </c>
      <c r="C13849" t="s">
        <v>67</v>
      </c>
      <c r="D13849" t="s">
        <v>67</v>
      </c>
      <c r="E13849" t="s">
        <v>67</v>
      </c>
      <c r="F13849" t="s">
        <v>45</v>
      </c>
      <c r="G13849" s="117">
        <v>790.92</v>
      </c>
    </row>
    <row r="13850" spans="1:7" x14ac:dyDescent="0.25">
      <c r="A13850" s="116" t="s">
        <v>21559</v>
      </c>
      <c r="B13850" s="117" t="s">
        <v>21560</v>
      </c>
      <c r="C13850" t="s">
        <v>67</v>
      </c>
      <c r="D13850" t="s">
        <v>67</v>
      </c>
      <c r="E13850" t="s">
        <v>67</v>
      </c>
      <c r="F13850" t="s">
        <v>27987</v>
      </c>
      <c r="G13850" s="117">
        <v>29.81</v>
      </c>
    </row>
    <row r="13851" spans="1:7" x14ac:dyDescent="0.25">
      <c r="A13851" s="116" t="s">
        <v>21561</v>
      </c>
      <c r="B13851" s="117" t="s">
        <v>21562</v>
      </c>
      <c r="C13851" t="s">
        <v>67</v>
      </c>
      <c r="D13851" t="s">
        <v>67</v>
      </c>
      <c r="E13851" t="s">
        <v>67</v>
      </c>
      <c r="F13851" t="s">
        <v>45</v>
      </c>
      <c r="G13851" s="117">
        <v>0.5</v>
      </c>
    </row>
    <row r="13852" spans="1:7" x14ac:dyDescent="0.25">
      <c r="A13852" s="116" t="s">
        <v>21563</v>
      </c>
      <c r="B13852" s="117" t="s">
        <v>21564</v>
      </c>
      <c r="C13852" t="s">
        <v>67</v>
      </c>
      <c r="D13852" t="s">
        <v>67</v>
      </c>
      <c r="E13852" t="s">
        <v>67</v>
      </c>
      <c r="F13852" t="s">
        <v>45</v>
      </c>
      <c r="G13852" s="117">
        <v>172.18</v>
      </c>
    </row>
    <row r="13853" spans="1:7" x14ac:dyDescent="0.25">
      <c r="A13853" s="116" t="s">
        <v>21565</v>
      </c>
      <c r="B13853" s="117" t="s">
        <v>21566</v>
      </c>
      <c r="C13853" t="s">
        <v>67</v>
      </c>
      <c r="D13853" t="s">
        <v>67</v>
      </c>
      <c r="E13853" t="s">
        <v>67</v>
      </c>
      <c r="F13853" t="s">
        <v>27987</v>
      </c>
      <c r="G13853" s="117">
        <v>226.46</v>
      </c>
    </row>
    <row r="13854" spans="1:7" x14ac:dyDescent="0.25">
      <c r="A13854" s="116" t="s">
        <v>27768</v>
      </c>
      <c r="B13854" s="117" t="s">
        <v>21567</v>
      </c>
      <c r="C13854" t="s">
        <v>67</v>
      </c>
      <c r="D13854" t="s">
        <v>67</v>
      </c>
      <c r="E13854" t="s">
        <v>67</v>
      </c>
      <c r="F13854" t="s">
        <v>45</v>
      </c>
      <c r="G13854" s="117">
        <v>4.3600000000000003</v>
      </c>
    </row>
    <row r="13855" spans="1:7" x14ac:dyDescent="0.25">
      <c r="A13855" s="116" t="s">
        <v>27769</v>
      </c>
      <c r="B13855" s="117" t="s">
        <v>21568</v>
      </c>
      <c r="C13855" t="s">
        <v>67</v>
      </c>
      <c r="D13855" t="s">
        <v>67</v>
      </c>
      <c r="E13855" t="s">
        <v>67</v>
      </c>
      <c r="F13855" t="s">
        <v>45</v>
      </c>
      <c r="G13855" s="117">
        <v>4</v>
      </c>
    </row>
    <row r="13856" spans="1:7" x14ac:dyDescent="0.25">
      <c r="A13856" s="116" t="s">
        <v>27770</v>
      </c>
      <c r="B13856" s="117" t="s">
        <v>29569</v>
      </c>
      <c r="C13856" t="s">
        <v>67</v>
      </c>
      <c r="D13856" t="s">
        <v>67</v>
      </c>
      <c r="E13856" t="s">
        <v>67</v>
      </c>
      <c r="F13856" t="s">
        <v>27987</v>
      </c>
      <c r="G13856" s="117">
        <v>4.66</v>
      </c>
    </row>
    <row r="13857" spans="1:7" x14ac:dyDescent="0.25">
      <c r="A13857" s="116" t="s">
        <v>27771</v>
      </c>
      <c r="B13857" s="117" t="s">
        <v>21569</v>
      </c>
      <c r="C13857" t="s">
        <v>67</v>
      </c>
      <c r="D13857" t="s">
        <v>67</v>
      </c>
      <c r="E13857" t="s">
        <v>67</v>
      </c>
      <c r="F13857" t="s">
        <v>49</v>
      </c>
      <c r="G13857" s="117">
        <v>6.14</v>
      </c>
    </row>
    <row r="13858" spans="1:7" x14ac:dyDescent="0.25">
      <c r="A13858" s="116" t="s">
        <v>27772</v>
      </c>
      <c r="B13858" s="117" t="s">
        <v>21570</v>
      </c>
      <c r="C13858" t="s">
        <v>67</v>
      </c>
      <c r="D13858" t="s">
        <v>67</v>
      </c>
      <c r="E13858" t="s">
        <v>67</v>
      </c>
      <c r="F13858" t="s">
        <v>45</v>
      </c>
      <c r="G13858" s="117">
        <v>4.8899999999999997</v>
      </c>
    </row>
    <row r="13859" spans="1:7" x14ac:dyDescent="0.25">
      <c r="A13859" s="116" t="s">
        <v>27773</v>
      </c>
      <c r="B13859" s="117" t="s">
        <v>21571</v>
      </c>
      <c r="C13859" t="s">
        <v>67</v>
      </c>
      <c r="D13859" t="s">
        <v>67</v>
      </c>
      <c r="E13859" t="s">
        <v>67</v>
      </c>
      <c r="F13859" t="s">
        <v>49</v>
      </c>
      <c r="G13859" s="117">
        <v>4.8899999999999997</v>
      </c>
    </row>
    <row r="13860" spans="1:7" x14ac:dyDescent="0.25">
      <c r="A13860" s="116" t="s">
        <v>27774</v>
      </c>
      <c r="B13860" s="117" t="s">
        <v>21572</v>
      </c>
      <c r="C13860" t="s">
        <v>67</v>
      </c>
      <c r="D13860" t="s">
        <v>67</v>
      </c>
      <c r="E13860" t="s">
        <v>67</v>
      </c>
      <c r="F13860" t="s">
        <v>45</v>
      </c>
      <c r="G13860" s="117">
        <v>1.1299999999999999</v>
      </c>
    </row>
    <row r="13861" spans="1:7" x14ac:dyDescent="0.25">
      <c r="A13861" s="116" t="s">
        <v>27775</v>
      </c>
      <c r="B13861" s="117" t="s">
        <v>21573</v>
      </c>
      <c r="C13861" t="s">
        <v>67</v>
      </c>
      <c r="D13861" t="s">
        <v>67</v>
      </c>
      <c r="E13861" t="s">
        <v>67</v>
      </c>
      <c r="F13861" t="s">
        <v>27987</v>
      </c>
      <c r="G13861" s="117">
        <v>5.25</v>
      </c>
    </row>
    <row r="13862" spans="1:7" x14ac:dyDescent="0.25">
      <c r="A13862" s="116" t="s">
        <v>27776</v>
      </c>
      <c r="B13862" s="117" t="s">
        <v>21574</v>
      </c>
      <c r="C13862" t="s">
        <v>67</v>
      </c>
      <c r="D13862" t="s">
        <v>67</v>
      </c>
      <c r="E13862" t="s">
        <v>67</v>
      </c>
      <c r="F13862" t="s">
        <v>45</v>
      </c>
      <c r="G13862" s="117">
        <v>8.4499999999999993</v>
      </c>
    </row>
    <row r="13863" spans="1:7" x14ac:dyDescent="0.25">
      <c r="A13863" s="116" t="s">
        <v>27777</v>
      </c>
      <c r="B13863" s="117" t="s">
        <v>21575</v>
      </c>
      <c r="C13863" t="s">
        <v>67</v>
      </c>
      <c r="D13863" t="s">
        <v>67</v>
      </c>
      <c r="E13863" t="s">
        <v>67</v>
      </c>
      <c r="F13863" t="s">
        <v>45</v>
      </c>
      <c r="G13863" s="117">
        <v>5.25</v>
      </c>
    </row>
    <row r="13864" spans="1:7" x14ac:dyDescent="0.25">
      <c r="A13864" s="116" t="s">
        <v>27778</v>
      </c>
      <c r="B13864" s="117" t="s">
        <v>21576</v>
      </c>
      <c r="C13864" t="s">
        <v>67</v>
      </c>
      <c r="D13864" t="s">
        <v>67</v>
      </c>
      <c r="E13864" t="s">
        <v>67</v>
      </c>
      <c r="F13864" t="s">
        <v>45</v>
      </c>
      <c r="G13864" s="117">
        <v>6.23</v>
      </c>
    </row>
    <row r="13865" spans="1:7" x14ac:dyDescent="0.25">
      <c r="A13865" s="116" t="s">
        <v>27779</v>
      </c>
      <c r="B13865" s="117" t="s">
        <v>21577</v>
      </c>
      <c r="C13865" t="s">
        <v>67</v>
      </c>
      <c r="D13865" t="s">
        <v>67</v>
      </c>
      <c r="E13865" t="s">
        <v>67</v>
      </c>
      <c r="F13865" t="s">
        <v>51</v>
      </c>
      <c r="G13865" s="117">
        <v>6.68</v>
      </c>
    </row>
    <row r="13866" spans="1:7" x14ac:dyDescent="0.25">
      <c r="A13866" s="116" t="s">
        <v>27780</v>
      </c>
      <c r="B13866" s="117" t="s">
        <v>21578</v>
      </c>
      <c r="C13866" t="s">
        <v>67</v>
      </c>
      <c r="D13866" t="s">
        <v>67</v>
      </c>
      <c r="E13866" t="s">
        <v>67</v>
      </c>
      <c r="F13866" t="s">
        <v>27987</v>
      </c>
      <c r="G13866" s="117">
        <v>6.14</v>
      </c>
    </row>
    <row r="13867" spans="1:7" x14ac:dyDescent="0.25">
      <c r="A13867" s="116" t="s">
        <v>27781</v>
      </c>
      <c r="B13867" s="117" t="s">
        <v>21573</v>
      </c>
      <c r="C13867" t="s">
        <v>67</v>
      </c>
      <c r="D13867" t="s">
        <v>67</v>
      </c>
      <c r="E13867" t="s">
        <v>67</v>
      </c>
      <c r="F13867" t="s">
        <v>27987</v>
      </c>
      <c r="G13867" s="117">
        <v>7.12</v>
      </c>
    </row>
    <row r="13868" spans="1:7" x14ac:dyDescent="0.25">
      <c r="A13868" s="116" t="s">
        <v>27782</v>
      </c>
      <c r="B13868" s="117" t="s">
        <v>21579</v>
      </c>
      <c r="C13868" t="s">
        <v>67</v>
      </c>
      <c r="D13868" t="s">
        <v>67</v>
      </c>
      <c r="E13868" t="s">
        <v>67</v>
      </c>
      <c r="F13868" t="s">
        <v>45</v>
      </c>
      <c r="G13868" s="117">
        <v>4.8899999999999997</v>
      </c>
    </row>
    <row r="13869" spans="1:7" x14ac:dyDescent="0.25">
      <c r="A13869" s="116" t="s">
        <v>27783</v>
      </c>
      <c r="B13869" s="117" t="s">
        <v>21580</v>
      </c>
      <c r="C13869" t="s">
        <v>67</v>
      </c>
      <c r="D13869" t="s">
        <v>67</v>
      </c>
      <c r="E13869" t="s">
        <v>67</v>
      </c>
      <c r="F13869" t="s">
        <v>49</v>
      </c>
      <c r="G13869" s="117">
        <v>1.69</v>
      </c>
    </row>
    <row r="13870" spans="1:7" x14ac:dyDescent="0.25">
      <c r="A13870" s="116" t="s">
        <v>27784</v>
      </c>
      <c r="B13870" s="117" t="s">
        <v>21571</v>
      </c>
      <c r="C13870" t="s">
        <v>67</v>
      </c>
      <c r="D13870" t="s">
        <v>67</v>
      </c>
      <c r="E13870" t="s">
        <v>67</v>
      </c>
      <c r="F13870" t="s">
        <v>27987</v>
      </c>
      <c r="G13870" s="117">
        <v>4</v>
      </c>
    </row>
    <row r="13871" spans="1:7" x14ac:dyDescent="0.25">
      <c r="A13871" s="116" t="s">
        <v>27785</v>
      </c>
      <c r="B13871" s="117" t="s">
        <v>21581</v>
      </c>
      <c r="C13871" t="s">
        <v>67</v>
      </c>
      <c r="D13871" t="s">
        <v>67</v>
      </c>
      <c r="E13871" t="s">
        <v>67</v>
      </c>
      <c r="F13871" t="s">
        <v>45</v>
      </c>
      <c r="G13871" s="117">
        <v>4.8899999999999997</v>
      </c>
    </row>
    <row r="13872" spans="1:7" x14ac:dyDescent="0.25">
      <c r="A13872" s="116" t="s">
        <v>27786</v>
      </c>
      <c r="B13872" s="117" t="s">
        <v>21582</v>
      </c>
      <c r="C13872" t="s">
        <v>67</v>
      </c>
      <c r="D13872" t="s">
        <v>67</v>
      </c>
      <c r="E13872" t="s">
        <v>67</v>
      </c>
      <c r="F13872" t="s">
        <v>45</v>
      </c>
      <c r="G13872" s="117">
        <v>4.8899999999999997</v>
      </c>
    </row>
    <row r="13873" spans="1:7" x14ac:dyDescent="0.25">
      <c r="A13873" s="116" t="s">
        <v>27787</v>
      </c>
      <c r="B13873" s="117" t="s">
        <v>21583</v>
      </c>
      <c r="C13873" t="s">
        <v>67</v>
      </c>
      <c r="D13873" t="s">
        <v>67</v>
      </c>
      <c r="E13873" t="s">
        <v>67</v>
      </c>
      <c r="F13873" t="s">
        <v>49</v>
      </c>
      <c r="G13873" s="117">
        <v>2.58</v>
      </c>
    </row>
    <row r="13874" spans="1:7" x14ac:dyDescent="0.25">
      <c r="A13874" s="116" t="s">
        <v>21584</v>
      </c>
      <c r="B13874" s="117" t="s">
        <v>21585</v>
      </c>
      <c r="C13874" t="s">
        <v>67</v>
      </c>
      <c r="D13874" t="s">
        <v>67</v>
      </c>
      <c r="E13874" t="s">
        <v>67</v>
      </c>
      <c r="F13874" t="s">
        <v>49</v>
      </c>
      <c r="G13874" s="117">
        <v>0.8</v>
      </c>
    </row>
    <row r="13875" spans="1:7" x14ac:dyDescent="0.25">
      <c r="A13875" s="116" t="s">
        <v>21586</v>
      </c>
      <c r="B13875" s="117" t="s">
        <v>21587</v>
      </c>
      <c r="C13875" t="s">
        <v>67</v>
      </c>
      <c r="D13875" t="s">
        <v>67</v>
      </c>
      <c r="E13875" t="s">
        <v>67</v>
      </c>
      <c r="F13875" t="s">
        <v>49</v>
      </c>
      <c r="G13875" s="117">
        <v>0.44</v>
      </c>
    </row>
    <row r="13876" spans="1:7" x14ac:dyDescent="0.25">
      <c r="A13876" s="116" t="s">
        <v>21588</v>
      </c>
      <c r="B13876" s="117" t="s">
        <v>21589</v>
      </c>
      <c r="C13876" t="s">
        <v>67</v>
      </c>
      <c r="D13876" t="s">
        <v>67</v>
      </c>
      <c r="E13876" t="s">
        <v>67</v>
      </c>
      <c r="F13876" t="s">
        <v>27987</v>
      </c>
      <c r="G13876" s="117">
        <v>0.8</v>
      </c>
    </row>
    <row r="13877" spans="1:7" x14ac:dyDescent="0.25">
      <c r="A13877" s="116" t="s">
        <v>21590</v>
      </c>
      <c r="B13877" s="117" t="s">
        <v>21591</v>
      </c>
      <c r="C13877" t="s">
        <v>67</v>
      </c>
      <c r="D13877" t="s">
        <v>67</v>
      </c>
      <c r="E13877" t="s">
        <v>67</v>
      </c>
      <c r="F13877" t="s">
        <v>49</v>
      </c>
      <c r="G13877" s="117">
        <v>0.8</v>
      </c>
    </row>
    <row r="13878" spans="1:7" x14ac:dyDescent="0.25">
      <c r="A13878" s="116" t="s">
        <v>21592</v>
      </c>
      <c r="B13878" s="117" t="s">
        <v>21593</v>
      </c>
      <c r="C13878" t="s">
        <v>67</v>
      </c>
      <c r="D13878" t="s">
        <v>67</v>
      </c>
      <c r="E13878" t="s">
        <v>67</v>
      </c>
      <c r="F13878" t="s">
        <v>45</v>
      </c>
      <c r="G13878" s="117">
        <v>0.8</v>
      </c>
    </row>
    <row r="13879" spans="1:7" x14ac:dyDescent="0.25">
      <c r="A13879" s="116" t="s">
        <v>21594</v>
      </c>
      <c r="B13879" s="117" t="s">
        <v>21595</v>
      </c>
      <c r="C13879" t="s">
        <v>67</v>
      </c>
      <c r="D13879" t="s">
        <v>67</v>
      </c>
      <c r="E13879" t="s">
        <v>67</v>
      </c>
      <c r="F13879" t="s">
        <v>49</v>
      </c>
      <c r="G13879" s="117">
        <v>0.44</v>
      </c>
    </row>
    <row r="13880" spans="1:7" x14ac:dyDescent="0.25">
      <c r="A13880" s="116" t="s">
        <v>21596</v>
      </c>
      <c r="B13880" s="117" t="s">
        <v>21597</v>
      </c>
      <c r="C13880" t="s">
        <v>67</v>
      </c>
      <c r="D13880" t="s">
        <v>67</v>
      </c>
      <c r="E13880" t="s">
        <v>67</v>
      </c>
      <c r="F13880" t="s">
        <v>49</v>
      </c>
      <c r="G13880" s="117">
        <v>0.44</v>
      </c>
    </row>
    <row r="13881" spans="1:7" x14ac:dyDescent="0.25">
      <c r="A13881" s="116" t="s">
        <v>21598</v>
      </c>
      <c r="B13881" s="117" t="s">
        <v>8008</v>
      </c>
      <c r="C13881" t="s">
        <v>67</v>
      </c>
      <c r="D13881" t="s">
        <v>67</v>
      </c>
      <c r="E13881" t="s">
        <v>67</v>
      </c>
      <c r="F13881" t="s">
        <v>49</v>
      </c>
      <c r="G13881" s="117">
        <v>0.44</v>
      </c>
    </row>
    <row r="13882" spans="1:7" x14ac:dyDescent="0.25">
      <c r="A13882" s="116" t="s">
        <v>21599</v>
      </c>
      <c r="B13882" s="117" t="s">
        <v>8008</v>
      </c>
      <c r="C13882" t="s">
        <v>67</v>
      </c>
      <c r="D13882" t="s">
        <v>67</v>
      </c>
      <c r="E13882" t="s">
        <v>67</v>
      </c>
      <c r="F13882" t="s">
        <v>51</v>
      </c>
      <c r="G13882" s="117">
        <v>0.44</v>
      </c>
    </row>
    <row r="13883" spans="1:7" x14ac:dyDescent="0.25">
      <c r="A13883" s="116" t="s">
        <v>21600</v>
      </c>
      <c r="B13883" s="117" t="s">
        <v>21601</v>
      </c>
      <c r="C13883" t="s">
        <v>67</v>
      </c>
      <c r="D13883" t="s">
        <v>67</v>
      </c>
      <c r="E13883" t="s">
        <v>67</v>
      </c>
      <c r="F13883" t="s">
        <v>27987</v>
      </c>
      <c r="G13883" s="117">
        <v>0.8</v>
      </c>
    </row>
    <row r="13884" spans="1:7" x14ac:dyDescent="0.25">
      <c r="A13884" s="116" t="s">
        <v>21602</v>
      </c>
      <c r="B13884" s="117" t="s">
        <v>8010</v>
      </c>
      <c r="C13884" t="s">
        <v>67</v>
      </c>
      <c r="D13884" t="s">
        <v>67</v>
      </c>
      <c r="E13884" t="s">
        <v>67</v>
      </c>
      <c r="F13884" t="s">
        <v>49</v>
      </c>
      <c r="G13884" s="117">
        <v>0.44</v>
      </c>
    </row>
    <row r="13885" spans="1:7" x14ac:dyDescent="0.25">
      <c r="A13885" s="116" t="s">
        <v>21603</v>
      </c>
      <c r="B13885" s="117" t="s">
        <v>21604</v>
      </c>
      <c r="C13885" t="s">
        <v>67</v>
      </c>
      <c r="D13885" t="s">
        <v>67</v>
      </c>
      <c r="E13885" t="s">
        <v>67</v>
      </c>
      <c r="F13885" t="s">
        <v>27990</v>
      </c>
      <c r="G13885" s="117">
        <v>0.8</v>
      </c>
    </row>
    <row r="13886" spans="1:7" x14ac:dyDescent="0.25">
      <c r="A13886" s="116" t="s">
        <v>21605</v>
      </c>
      <c r="B13886" s="117" t="s">
        <v>8076</v>
      </c>
      <c r="C13886" t="s">
        <v>67</v>
      </c>
      <c r="D13886" t="s">
        <v>67</v>
      </c>
      <c r="E13886" t="s">
        <v>67</v>
      </c>
      <c r="F13886" t="s">
        <v>27987</v>
      </c>
      <c r="G13886" s="117">
        <v>0.44</v>
      </c>
    </row>
    <row r="13887" spans="1:7" x14ac:dyDescent="0.25">
      <c r="A13887" s="116" t="s">
        <v>21606</v>
      </c>
      <c r="B13887" s="117" t="s">
        <v>21607</v>
      </c>
      <c r="C13887" t="s">
        <v>67</v>
      </c>
      <c r="D13887" t="s">
        <v>67</v>
      </c>
      <c r="E13887" t="s">
        <v>67</v>
      </c>
      <c r="F13887" t="s">
        <v>27987</v>
      </c>
      <c r="G13887" s="117">
        <v>0.8</v>
      </c>
    </row>
    <row r="13888" spans="1:7" x14ac:dyDescent="0.25">
      <c r="A13888" s="116" t="s">
        <v>21608</v>
      </c>
      <c r="B13888" s="117" t="s">
        <v>21609</v>
      </c>
      <c r="C13888" t="s">
        <v>67</v>
      </c>
      <c r="D13888" t="s">
        <v>67</v>
      </c>
      <c r="E13888" t="s">
        <v>67</v>
      </c>
      <c r="F13888" t="s">
        <v>51</v>
      </c>
      <c r="G13888" s="117">
        <v>0.42</v>
      </c>
    </row>
    <row r="13889" spans="1:7" x14ac:dyDescent="0.25">
      <c r="A13889" s="116" t="s">
        <v>21610</v>
      </c>
      <c r="B13889" s="117" t="s">
        <v>21611</v>
      </c>
      <c r="C13889" t="s">
        <v>67</v>
      </c>
      <c r="D13889" t="s">
        <v>67</v>
      </c>
      <c r="E13889" t="s">
        <v>67</v>
      </c>
      <c r="F13889" t="s">
        <v>51</v>
      </c>
      <c r="G13889" s="117">
        <v>0.8</v>
      </c>
    </row>
    <row r="13890" spans="1:7" x14ac:dyDescent="0.25">
      <c r="A13890" s="116" t="s">
        <v>21612</v>
      </c>
      <c r="B13890" s="117" t="s">
        <v>21613</v>
      </c>
      <c r="C13890" t="s">
        <v>67</v>
      </c>
      <c r="D13890" t="s">
        <v>67</v>
      </c>
      <c r="E13890" t="s">
        <v>67</v>
      </c>
      <c r="F13890" t="s">
        <v>27987</v>
      </c>
      <c r="G13890" s="117">
        <v>0.8</v>
      </c>
    </row>
    <row r="13891" spans="1:7" x14ac:dyDescent="0.25">
      <c r="A13891" s="116" t="s">
        <v>21614</v>
      </c>
      <c r="B13891" s="117" t="s">
        <v>21615</v>
      </c>
      <c r="C13891" t="s">
        <v>67</v>
      </c>
      <c r="D13891" t="s">
        <v>67</v>
      </c>
      <c r="E13891" t="s">
        <v>67</v>
      </c>
      <c r="F13891" t="s">
        <v>27990</v>
      </c>
      <c r="G13891" s="117">
        <v>0.8</v>
      </c>
    </row>
    <row r="13892" spans="1:7" x14ac:dyDescent="0.25">
      <c r="A13892" s="116" t="s">
        <v>21616</v>
      </c>
      <c r="B13892" s="117" t="s">
        <v>9060</v>
      </c>
      <c r="C13892" t="s">
        <v>67</v>
      </c>
      <c r="D13892" t="s">
        <v>67</v>
      </c>
      <c r="E13892" t="s">
        <v>67</v>
      </c>
      <c r="F13892" t="s">
        <v>27990</v>
      </c>
      <c r="G13892" s="117">
        <v>0.8</v>
      </c>
    </row>
    <row r="13893" spans="1:7" x14ac:dyDescent="0.25">
      <c r="A13893" s="116" t="s">
        <v>21617</v>
      </c>
      <c r="B13893" s="117" t="s">
        <v>21618</v>
      </c>
      <c r="C13893" t="s">
        <v>67</v>
      </c>
      <c r="D13893" t="s">
        <v>67</v>
      </c>
      <c r="E13893" t="s">
        <v>67</v>
      </c>
      <c r="F13893" t="s">
        <v>49</v>
      </c>
      <c r="G13893" s="117">
        <v>0.8</v>
      </c>
    </row>
    <row r="13894" spans="1:7" x14ac:dyDescent="0.25">
      <c r="A13894" s="116" t="s">
        <v>21619</v>
      </c>
      <c r="B13894" s="117" t="s">
        <v>21618</v>
      </c>
      <c r="C13894" t="s">
        <v>67</v>
      </c>
      <c r="D13894" t="s">
        <v>67</v>
      </c>
      <c r="E13894" t="s">
        <v>67</v>
      </c>
      <c r="F13894" t="s">
        <v>45</v>
      </c>
      <c r="G13894" s="117">
        <v>0.8</v>
      </c>
    </row>
    <row r="13895" spans="1:7" x14ac:dyDescent="0.25">
      <c r="A13895" s="116" t="s">
        <v>21620</v>
      </c>
      <c r="B13895" s="117" t="s">
        <v>21621</v>
      </c>
      <c r="C13895" t="s">
        <v>67</v>
      </c>
      <c r="D13895" t="s">
        <v>67</v>
      </c>
      <c r="E13895" t="s">
        <v>67</v>
      </c>
      <c r="F13895" t="s">
        <v>45</v>
      </c>
      <c r="G13895" s="117">
        <v>0.8</v>
      </c>
    </row>
    <row r="13896" spans="1:7" x14ac:dyDescent="0.25">
      <c r="A13896" s="116" t="s">
        <v>31178</v>
      </c>
      <c r="B13896" s="117" t="s">
        <v>31179</v>
      </c>
      <c r="C13896" t="s">
        <v>67</v>
      </c>
      <c r="D13896" t="s">
        <v>67</v>
      </c>
      <c r="E13896" t="s">
        <v>67</v>
      </c>
      <c r="F13896" t="s">
        <v>45</v>
      </c>
      <c r="G13896" s="117">
        <v>0.8</v>
      </c>
    </row>
    <row r="13897" spans="1:7" x14ac:dyDescent="0.25">
      <c r="A13897" s="116" t="s">
        <v>21622</v>
      </c>
      <c r="B13897" s="117" t="s">
        <v>21623</v>
      </c>
      <c r="C13897" t="s">
        <v>67</v>
      </c>
      <c r="D13897" t="s">
        <v>67</v>
      </c>
      <c r="E13897" t="s">
        <v>67</v>
      </c>
      <c r="F13897" t="s">
        <v>49</v>
      </c>
      <c r="G13897" s="117">
        <v>1.33</v>
      </c>
    </row>
    <row r="13898" spans="1:7" x14ac:dyDescent="0.25">
      <c r="A13898" s="116" t="s">
        <v>21624</v>
      </c>
      <c r="B13898" s="117" t="s">
        <v>21625</v>
      </c>
      <c r="C13898" t="s">
        <v>67</v>
      </c>
      <c r="D13898" t="s">
        <v>67</v>
      </c>
      <c r="E13898" t="s">
        <v>67</v>
      </c>
      <c r="F13898" t="s">
        <v>27987</v>
      </c>
      <c r="G13898" s="117">
        <v>1.33</v>
      </c>
    </row>
    <row r="13899" spans="1:7" x14ac:dyDescent="0.25">
      <c r="A13899" s="116" t="s">
        <v>21626</v>
      </c>
      <c r="B13899" s="117" t="s">
        <v>21627</v>
      </c>
      <c r="C13899" t="s">
        <v>67</v>
      </c>
      <c r="D13899" t="s">
        <v>67</v>
      </c>
      <c r="E13899" t="s">
        <v>67</v>
      </c>
      <c r="F13899" t="s">
        <v>49</v>
      </c>
      <c r="G13899" s="117">
        <v>0.8</v>
      </c>
    </row>
    <row r="13900" spans="1:7" x14ac:dyDescent="0.25">
      <c r="A13900" s="116" t="s">
        <v>21628</v>
      </c>
      <c r="B13900" s="117" t="s">
        <v>9209</v>
      </c>
      <c r="C13900" t="s">
        <v>67</v>
      </c>
      <c r="D13900" t="s">
        <v>67</v>
      </c>
      <c r="E13900" t="s">
        <v>67</v>
      </c>
      <c r="F13900" t="s">
        <v>27987</v>
      </c>
      <c r="G13900" s="117">
        <v>0.44</v>
      </c>
    </row>
    <row r="13901" spans="1:7" x14ac:dyDescent="0.25">
      <c r="A13901" s="116" t="s">
        <v>21629</v>
      </c>
      <c r="B13901" s="117" t="s">
        <v>21630</v>
      </c>
      <c r="C13901" t="s">
        <v>67</v>
      </c>
      <c r="D13901" t="s">
        <v>67</v>
      </c>
      <c r="E13901" t="s">
        <v>67</v>
      </c>
      <c r="F13901" t="s">
        <v>49</v>
      </c>
      <c r="G13901" s="117">
        <v>0.8</v>
      </c>
    </row>
    <row r="13902" spans="1:7" x14ac:dyDescent="0.25">
      <c r="A13902" s="116" t="s">
        <v>21631</v>
      </c>
      <c r="B13902" s="117" t="s">
        <v>9311</v>
      </c>
      <c r="C13902" t="s">
        <v>67</v>
      </c>
      <c r="D13902" t="s">
        <v>67</v>
      </c>
      <c r="E13902" t="s">
        <v>67</v>
      </c>
      <c r="F13902" t="s">
        <v>49</v>
      </c>
      <c r="G13902" s="117">
        <v>0.8</v>
      </c>
    </row>
    <row r="13903" spans="1:7" x14ac:dyDescent="0.25">
      <c r="A13903" s="116" t="s">
        <v>21632</v>
      </c>
      <c r="B13903" s="117" t="s">
        <v>9311</v>
      </c>
      <c r="C13903" t="s">
        <v>67</v>
      </c>
      <c r="D13903" t="s">
        <v>67</v>
      </c>
      <c r="E13903" t="s">
        <v>67</v>
      </c>
      <c r="F13903" t="s">
        <v>45</v>
      </c>
      <c r="G13903" s="117">
        <v>0.8</v>
      </c>
    </row>
    <row r="13904" spans="1:7" x14ac:dyDescent="0.25">
      <c r="A13904" s="116" t="s">
        <v>21633</v>
      </c>
      <c r="B13904" s="117" t="s">
        <v>13182</v>
      </c>
      <c r="C13904" t="s">
        <v>67</v>
      </c>
      <c r="D13904" t="s">
        <v>67</v>
      </c>
      <c r="E13904" t="s">
        <v>67</v>
      </c>
      <c r="F13904" t="s">
        <v>27990</v>
      </c>
      <c r="G13904" s="117">
        <v>0.8</v>
      </c>
    </row>
    <row r="13905" spans="1:7" x14ac:dyDescent="0.25">
      <c r="A13905" s="116" t="s">
        <v>21634</v>
      </c>
      <c r="B13905" s="117" t="s">
        <v>21635</v>
      </c>
      <c r="C13905" t="s">
        <v>67</v>
      </c>
      <c r="D13905" t="s">
        <v>67</v>
      </c>
      <c r="E13905" t="s">
        <v>67</v>
      </c>
      <c r="F13905" t="s">
        <v>49</v>
      </c>
      <c r="G13905" s="117">
        <v>0.8</v>
      </c>
    </row>
    <row r="13906" spans="1:7" x14ac:dyDescent="0.25">
      <c r="A13906" s="116" t="s">
        <v>21636</v>
      </c>
      <c r="B13906" s="117" t="s">
        <v>21637</v>
      </c>
      <c r="C13906" t="s">
        <v>67</v>
      </c>
      <c r="D13906" t="s">
        <v>67</v>
      </c>
      <c r="E13906" t="s">
        <v>67</v>
      </c>
      <c r="F13906" t="s">
        <v>51</v>
      </c>
      <c r="G13906" s="117">
        <v>3.12</v>
      </c>
    </row>
    <row r="13907" spans="1:7" x14ac:dyDescent="0.25">
      <c r="A13907" s="116" t="s">
        <v>28209</v>
      </c>
      <c r="B13907" s="117" t="s">
        <v>28210</v>
      </c>
      <c r="C13907" t="s">
        <v>67</v>
      </c>
      <c r="D13907" t="s">
        <v>67</v>
      </c>
      <c r="E13907" t="s">
        <v>67</v>
      </c>
      <c r="F13907" t="s">
        <v>45</v>
      </c>
      <c r="G13907" s="117">
        <v>0.76</v>
      </c>
    </row>
    <row r="13908" spans="1:7" x14ac:dyDescent="0.25">
      <c r="A13908" s="116" t="s">
        <v>21638</v>
      </c>
      <c r="B13908" s="117" t="s">
        <v>21639</v>
      </c>
      <c r="C13908" t="s">
        <v>67</v>
      </c>
      <c r="D13908" t="s">
        <v>67</v>
      </c>
      <c r="E13908" t="s">
        <v>67</v>
      </c>
      <c r="F13908" t="s">
        <v>27987</v>
      </c>
      <c r="G13908" s="117">
        <v>1.33</v>
      </c>
    </row>
    <row r="13909" spans="1:7" x14ac:dyDescent="0.25">
      <c r="A13909" s="116" t="s">
        <v>21640</v>
      </c>
      <c r="B13909" s="117" t="s">
        <v>21641</v>
      </c>
      <c r="C13909" t="s">
        <v>67</v>
      </c>
      <c r="D13909" t="s">
        <v>67</v>
      </c>
      <c r="E13909" t="s">
        <v>67</v>
      </c>
      <c r="F13909" t="s">
        <v>51</v>
      </c>
      <c r="G13909" s="117">
        <v>0.76</v>
      </c>
    </row>
    <row r="13910" spans="1:7" x14ac:dyDescent="0.25">
      <c r="A13910" s="116" t="s">
        <v>21642</v>
      </c>
      <c r="B13910" s="117" t="s">
        <v>21643</v>
      </c>
      <c r="C13910" t="s">
        <v>67</v>
      </c>
      <c r="D13910" t="s">
        <v>67</v>
      </c>
      <c r="E13910" t="s">
        <v>67</v>
      </c>
      <c r="F13910" t="s">
        <v>45</v>
      </c>
      <c r="G13910" s="117">
        <v>1.33</v>
      </c>
    </row>
    <row r="13911" spans="1:7" x14ac:dyDescent="0.25">
      <c r="A13911" s="116" t="s">
        <v>21644</v>
      </c>
      <c r="B13911" s="117" t="s">
        <v>21645</v>
      </c>
      <c r="C13911" t="s">
        <v>67</v>
      </c>
      <c r="D13911" t="s">
        <v>67</v>
      </c>
      <c r="E13911" t="s">
        <v>67</v>
      </c>
      <c r="F13911" t="s">
        <v>49</v>
      </c>
      <c r="G13911" s="117">
        <v>0.89</v>
      </c>
    </row>
    <row r="13912" spans="1:7" x14ac:dyDescent="0.25">
      <c r="A13912" s="116" t="s">
        <v>21646</v>
      </c>
      <c r="B13912" s="117" t="s">
        <v>92</v>
      </c>
      <c r="C13912" t="s">
        <v>67</v>
      </c>
      <c r="D13912" t="s">
        <v>67</v>
      </c>
      <c r="E13912" t="s">
        <v>67</v>
      </c>
      <c r="F13912" t="s">
        <v>49</v>
      </c>
      <c r="G13912" s="117">
        <v>0.89</v>
      </c>
    </row>
    <row r="13913" spans="1:7" x14ac:dyDescent="0.25">
      <c r="A13913" s="116" t="s">
        <v>21647</v>
      </c>
      <c r="B13913" s="117" t="s">
        <v>21648</v>
      </c>
      <c r="C13913" t="s">
        <v>67</v>
      </c>
      <c r="D13913" t="s">
        <v>67</v>
      </c>
      <c r="E13913" t="s">
        <v>67</v>
      </c>
      <c r="F13913" t="s">
        <v>49</v>
      </c>
      <c r="G13913" s="117">
        <v>0.8</v>
      </c>
    </row>
    <row r="13914" spans="1:7" x14ac:dyDescent="0.25">
      <c r="A13914" s="116" t="s">
        <v>21649</v>
      </c>
      <c r="B13914" s="117" t="s">
        <v>13184</v>
      </c>
      <c r="C13914" t="s">
        <v>67</v>
      </c>
      <c r="D13914" t="s">
        <v>67</v>
      </c>
      <c r="E13914" t="s">
        <v>67</v>
      </c>
      <c r="F13914" t="s">
        <v>27987</v>
      </c>
      <c r="G13914" s="117">
        <v>0.8</v>
      </c>
    </row>
    <row r="13915" spans="1:7" x14ac:dyDescent="0.25">
      <c r="A13915" s="116" t="s">
        <v>21650</v>
      </c>
      <c r="B13915" s="117" t="s">
        <v>21651</v>
      </c>
      <c r="C13915" t="s">
        <v>67</v>
      </c>
      <c r="D13915" t="s">
        <v>67</v>
      </c>
      <c r="E13915" t="s">
        <v>67</v>
      </c>
      <c r="F13915" t="s">
        <v>49</v>
      </c>
      <c r="G13915" s="117">
        <v>1.33</v>
      </c>
    </row>
    <row r="13916" spans="1:7" x14ac:dyDescent="0.25">
      <c r="A13916" s="116" t="s">
        <v>21652</v>
      </c>
      <c r="B13916" s="117" t="s">
        <v>21653</v>
      </c>
      <c r="C13916" t="s">
        <v>67</v>
      </c>
      <c r="D13916" t="s">
        <v>67</v>
      </c>
      <c r="E13916" t="s">
        <v>67</v>
      </c>
      <c r="F13916" t="s">
        <v>49</v>
      </c>
      <c r="G13916" s="117">
        <v>1.33</v>
      </c>
    </row>
    <row r="13917" spans="1:7" x14ac:dyDescent="0.25">
      <c r="A13917" s="116" t="s">
        <v>21654</v>
      </c>
      <c r="B13917" s="117" t="s">
        <v>21655</v>
      </c>
      <c r="C13917" t="s">
        <v>67</v>
      </c>
      <c r="D13917" t="s">
        <v>67</v>
      </c>
      <c r="E13917" t="s">
        <v>67</v>
      </c>
      <c r="F13917" t="s">
        <v>49</v>
      </c>
      <c r="G13917" s="117">
        <v>1.33</v>
      </c>
    </row>
    <row r="13918" spans="1:7" x14ac:dyDescent="0.25">
      <c r="A13918" s="116" t="s">
        <v>21656</v>
      </c>
      <c r="B13918" s="117" t="s">
        <v>21657</v>
      </c>
      <c r="C13918" t="s">
        <v>67</v>
      </c>
      <c r="D13918" t="s">
        <v>67</v>
      </c>
      <c r="E13918" t="s">
        <v>67</v>
      </c>
      <c r="F13918" t="s">
        <v>49</v>
      </c>
      <c r="G13918" s="117">
        <v>1.33</v>
      </c>
    </row>
    <row r="13919" spans="1:7" x14ac:dyDescent="0.25">
      <c r="A13919" s="116" t="s">
        <v>21658</v>
      </c>
      <c r="B13919" s="117" t="s">
        <v>21659</v>
      </c>
      <c r="C13919" t="s">
        <v>67</v>
      </c>
      <c r="D13919" t="s">
        <v>67</v>
      </c>
      <c r="E13919" t="s">
        <v>67</v>
      </c>
      <c r="F13919" t="s">
        <v>27987</v>
      </c>
      <c r="G13919" s="117">
        <v>1.33</v>
      </c>
    </row>
    <row r="13920" spans="1:7" x14ac:dyDescent="0.25">
      <c r="A13920" s="116" t="s">
        <v>21660</v>
      </c>
      <c r="B13920" s="117" t="s">
        <v>21661</v>
      </c>
      <c r="C13920" t="s">
        <v>67</v>
      </c>
      <c r="D13920" t="s">
        <v>67</v>
      </c>
      <c r="E13920" t="s">
        <v>67</v>
      </c>
      <c r="F13920" t="s">
        <v>27987</v>
      </c>
      <c r="G13920" s="117">
        <v>1.33</v>
      </c>
    </row>
    <row r="13921" spans="1:7" x14ac:dyDescent="0.25">
      <c r="A13921" s="116" t="s">
        <v>21662</v>
      </c>
      <c r="B13921" s="117" t="s">
        <v>21663</v>
      </c>
      <c r="C13921" t="s">
        <v>67</v>
      </c>
      <c r="D13921" t="s">
        <v>67</v>
      </c>
      <c r="E13921" t="s">
        <v>67</v>
      </c>
      <c r="F13921" t="s">
        <v>45</v>
      </c>
      <c r="G13921" s="117">
        <v>1.33</v>
      </c>
    </row>
    <row r="13922" spans="1:7" x14ac:dyDescent="0.25">
      <c r="A13922" s="116" t="s">
        <v>21664</v>
      </c>
      <c r="B13922" s="117" t="s">
        <v>21665</v>
      </c>
      <c r="C13922" t="s">
        <v>67</v>
      </c>
      <c r="D13922" t="s">
        <v>67</v>
      </c>
      <c r="E13922" t="s">
        <v>67</v>
      </c>
      <c r="F13922" t="s">
        <v>45</v>
      </c>
      <c r="G13922" s="117">
        <v>1.33</v>
      </c>
    </row>
    <row r="13923" spans="1:7" x14ac:dyDescent="0.25">
      <c r="A13923" s="116" t="s">
        <v>21666</v>
      </c>
      <c r="B13923" s="117" t="s">
        <v>21667</v>
      </c>
      <c r="C13923" t="s">
        <v>67</v>
      </c>
      <c r="D13923" t="s">
        <v>67</v>
      </c>
      <c r="E13923" t="s">
        <v>67</v>
      </c>
      <c r="F13923" t="s">
        <v>49</v>
      </c>
      <c r="G13923" s="117">
        <v>1.33</v>
      </c>
    </row>
    <row r="13924" spans="1:7" x14ac:dyDescent="0.25">
      <c r="A13924" s="116" t="s">
        <v>21668</v>
      </c>
      <c r="B13924" s="117" t="s">
        <v>21669</v>
      </c>
      <c r="C13924" t="s">
        <v>67</v>
      </c>
      <c r="D13924" t="s">
        <v>67</v>
      </c>
      <c r="E13924" t="s">
        <v>67</v>
      </c>
      <c r="F13924" t="s">
        <v>49</v>
      </c>
      <c r="G13924" s="117">
        <v>2.58</v>
      </c>
    </row>
    <row r="13925" spans="1:7" x14ac:dyDescent="0.25">
      <c r="A13925" s="116" t="s">
        <v>21670</v>
      </c>
      <c r="B13925" s="117" t="s">
        <v>21671</v>
      </c>
      <c r="C13925" t="s">
        <v>67</v>
      </c>
      <c r="D13925" t="s">
        <v>67</v>
      </c>
      <c r="E13925" t="s">
        <v>67</v>
      </c>
      <c r="F13925" t="s">
        <v>49</v>
      </c>
      <c r="G13925" s="117">
        <v>2.58</v>
      </c>
    </row>
    <row r="13926" spans="1:7" x14ac:dyDescent="0.25">
      <c r="A13926" s="116" t="s">
        <v>21672</v>
      </c>
      <c r="B13926" s="117" t="s">
        <v>21673</v>
      </c>
      <c r="C13926" t="s">
        <v>67</v>
      </c>
      <c r="D13926" t="s">
        <v>67</v>
      </c>
      <c r="E13926" t="s">
        <v>67</v>
      </c>
      <c r="F13926" t="s">
        <v>49</v>
      </c>
      <c r="G13926" s="117">
        <v>1.33</v>
      </c>
    </row>
    <row r="13927" spans="1:7" x14ac:dyDescent="0.25">
      <c r="A13927" s="116" t="s">
        <v>21674</v>
      </c>
      <c r="B13927" s="117" t="s">
        <v>21675</v>
      </c>
      <c r="C13927" t="s">
        <v>67</v>
      </c>
      <c r="D13927" t="s">
        <v>67</v>
      </c>
      <c r="E13927" t="s">
        <v>67</v>
      </c>
      <c r="F13927" t="s">
        <v>49</v>
      </c>
      <c r="G13927" s="117">
        <v>0.8</v>
      </c>
    </row>
    <row r="13928" spans="1:7" x14ac:dyDescent="0.25">
      <c r="A13928" s="116" t="s">
        <v>21676</v>
      </c>
      <c r="B13928" s="117" t="s">
        <v>21677</v>
      </c>
      <c r="C13928" t="s">
        <v>67</v>
      </c>
      <c r="D13928" t="s">
        <v>67</v>
      </c>
      <c r="E13928" t="s">
        <v>67</v>
      </c>
      <c r="F13928" t="s">
        <v>45</v>
      </c>
      <c r="G13928" s="117">
        <v>1.77</v>
      </c>
    </row>
    <row r="13929" spans="1:7" x14ac:dyDescent="0.25">
      <c r="A13929" s="116" t="s">
        <v>21678</v>
      </c>
      <c r="B13929" s="117" t="s">
        <v>21679</v>
      </c>
      <c r="C13929" t="s">
        <v>67</v>
      </c>
      <c r="D13929" t="s">
        <v>67</v>
      </c>
      <c r="E13929" t="s">
        <v>67</v>
      </c>
      <c r="F13929" t="s">
        <v>49</v>
      </c>
      <c r="G13929" s="117">
        <v>1.33</v>
      </c>
    </row>
    <row r="13930" spans="1:7" x14ac:dyDescent="0.25">
      <c r="A13930" s="116" t="s">
        <v>21680</v>
      </c>
      <c r="B13930" s="117" t="s">
        <v>21681</v>
      </c>
      <c r="C13930" t="s">
        <v>67</v>
      </c>
      <c r="D13930" t="s">
        <v>67</v>
      </c>
      <c r="E13930" t="s">
        <v>67</v>
      </c>
      <c r="F13930" t="s">
        <v>49</v>
      </c>
      <c r="G13930" s="117">
        <v>1.33</v>
      </c>
    </row>
    <row r="13931" spans="1:7" x14ac:dyDescent="0.25">
      <c r="A13931" s="116" t="s">
        <v>21682</v>
      </c>
      <c r="B13931" s="117" t="s">
        <v>21683</v>
      </c>
      <c r="C13931" t="s">
        <v>67</v>
      </c>
      <c r="D13931" t="s">
        <v>67</v>
      </c>
      <c r="E13931" t="s">
        <v>67</v>
      </c>
      <c r="F13931" t="s">
        <v>49</v>
      </c>
      <c r="G13931" s="117">
        <v>1.33</v>
      </c>
    </row>
    <row r="13932" spans="1:7" x14ac:dyDescent="0.25">
      <c r="A13932" s="116" t="s">
        <v>21684</v>
      </c>
      <c r="B13932" s="117" t="s">
        <v>21685</v>
      </c>
      <c r="C13932" t="s">
        <v>67</v>
      </c>
      <c r="D13932" t="s">
        <v>67</v>
      </c>
      <c r="E13932" t="s">
        <v>67</v>
      </c>
      <c r="F13932" t="s">
        <v>49</v>
      </c>
      <c r="G13932" s="117">
        <v>1.77</v>
      </c>
    </row>
    <row r="13933" spans="1:7" x14ac:dyDescent="0.25">
      <c r="A13933" s="116" t="s">
        <v>21686</v>
      </c>
      <c r="B13933" s="117" t="s">
        <v>21687</v>
      </c>
      <c r="C13933" t="s">
        <v>67</v>
      </c>
      <c r="D13933" t="s">
        <v>67</v>
      </c>
      <c r="E13933" t="s">
        <v>67</v>
      </c>
      <c r="F13933" t="s">
        <v>49</v>
      </c>
      <c r="G13933" s="117">
        <v>2.23</v>
      </c>
    </row>
    <row r="13934" spans="1:7" x14ac:dyDescent="0.25">
      <c r="A13934" s="116" t="s">
        <v>21688</v>
      </c>
      <c r="B13934" s="117" t="s">
        <v>9080</v>
      </c>
      <c r="C13934" t="s">
        <v>67</v>
      </c>
      <c r="D13934" t="s">
        <v>67</v>
      </c>
      <c r="E13934" t="s">
        <v>67</v>
      </c>
      <c r="F13934" t="s">
        <v>27987</v>
      </c>
      <c r="G13934" s="117">
        <v>2.23</v>
      </c>
    </row>
    <row r="13935" spans="1:7" x14ac:dyDescent="0.25">
      <c r="A13935" s="116" t="s">
        <v>21689</v>
      </c>
      <c r="B13935" s="117" t="s">
        <v>21690</v>
      </c>
      <c r="C13935" t="s">
        <v>67</v>
      </c>
      <c r="D13935" t="s">
        <v>67</v>
      </c>
      <c r="E13935" t="s">
        <v>67</v>
      </c>
      <c r="F13935" t="s">
        <v>51</v>
      </c>
      <c r="G13935" s="117">
        <v>1.69</v>
      </c>
    </row>
    <row r="13936" spans="1:7" x14ac:dyDescent="0.25">
      <c r="A13936" s="116" t="s">
        <v>21691</v>
      </c>
      <c r="B13936" s="117" t="s">
        <v>8010</v>
      </c>
      <c r="C13936" t="s">
        <v>67</v>
      </c>
      <c r="D13936" t="s">
        <v>67</v>
      </c>
      <c r="E13936" t="s">
        <v>67</v>
      </c>
      <c r="F13936" t="s">
        <v>27987</v>
      </c>
      <c r="G13936" s="117">
        <v>2.67</v>
      </c>
    </row>
    <row r="13937" spans="1:7" x14ac:dyDescent="0.25">
      <c r="A13937" s="116" t="s">
        <v>21692</v>
      </c>
      <c r="B13937" s="117" t="s">
        <v>21693</v>
      </c>
      <c r="C13937" t="s">
        <v>67</v>
      </c>
      <c r="D13937" t="s">
        <v>67</v>
      </c>
      <c r="E13937" t="s">
        <v>67</v>
      </c>
      <c r="F13937" t="s">
        <v>27990</v>
      </c>
      <c r="G13937" s="117">
        <v>1.33</v>
      </c>
    </row>
    <row r="13938" spans="1:7" x14ac:dyDescent="0.25">
      <c r="A13938" s="116" t="s">
        <v>21694</v>
      </c>
      <c r="B13938" s="117" t="s">
        <v>21695</v>
      </c>
      <c r="C13938" t="s">
        <v>67</v>
      </c>
      <c r="D13938" t="s">
        <v>67</v>
      </c>
      <c r="E13938" t="s">
        <v>67</v>
      </c>
      <c r="F13938" t="s">
        <v>27987</v>
      </c>
      <c r="G13938" s="117">
        <v>1.33</v>
      </c>
    </row>
    <row r="13939" spans="1:7" x14ac:dyDescent="0.25">
      <c r="A13939" s="116" t="s">
        <v>21696</v>
      </c>
      <c r="B13939" s="117" t="s">
        <v>21587</v>
      </c>
      <c r="C13939" t="s">
        <v>67</v>
      </c>
      <c r="D13939" t="s">
        <v>67</v>
      </c>
      <c r="E13939" t="s">
        <v>67</v>
      </c>
      <c r="F13939" t="s">
        <v>45</v>
      </c>
      <c r="G13939" s="117">
        <v>0.44</v>
      </c>
    </row>
    <row r="13940" spans="1:7" x14ac:dyDescent="0.25">
      <c r="A13940" s="116" t="s">
        <v>21697</v>
      </c>
      <c r="B13940" s="117" t="s">
        <v>21698</v>
      </c>
      <c r="C13940" t="s">
        <v>67</v>
      </c>
      <c r="D13940" t="s">
        <v>67</v>
      </c>
      <c r="E13940" t="s">
        <v>67</v>
      </c>
      <c r="F13940" t="s">
        <v>45</v>
      </c>
      <c r="G13940" s="117">
        <v>0.44</v>
      </c>
    </row>
    <row r="13941" spans="1:7" x14ac:dyDescent="0.25">
      <c r="A13941" s="116" t="s">
        <v>21699</v>
      </c>
      <c r="B13941" s="117" t="s">
        <v>21700</v>
      </c>
      <c r="C13941" t="s">
        <v>67</v>
      </c>
      <c r="D13941" t="s">
        <v>67</v>
      </c>
      <c r="E13941" t="s">
        <v>67</v>
      </c>
      <c r="F13941" t="s">
        <v>27990</v>
      </c>
      <c r="G13941" s="117">
        <v>0.8</v>
      </c>
    </row>
    <row r="13942" spans="1:7" x14ac:dyDescent="0.25">
      <c r="A13942" s="116" t="s">
        <v>21701</v>
      </c>
      <c r="B13942" s="117" t="s">
        <v>9238</v>
      </c>
      <c r="C13942" t="s">
        <v>67</v>
      </c>
      <c r="D13942" t="s">
        <v>67</v>
      </c>
      <c r="E13942" t="s">
        <v>67</v>
      </c>
      <c r="F13942" t="s">
        <v>49</v>
      </c>
      <c r="G13942" s="117">
        <v>0.8</v>
      </c>
    </row>
    <row r="13943" spans="1:7" x14ac:dyDescent="0.25">
      <c r="A13943" s="116" t="s">
        <v>21702</v>
      </c>
      <c r="B13943" s="117" t="s">
        <v>21703</v>
      </c>
      <c r="C13943" t="s">
        <v>67</v>
      </c>
      <c r="D13943" t="s">
        <v>67</v>
      </c>
      <c r="E13943" t="s">
        <v>67</v>
      </c>
      <c r="F13943" t="s">
        <v>49</v>
      </c>
      <c r="G13943" s="117">
        <v>0.8</v>
      </c>
    </row>
    <row r="13944" spans="1:7" x14ac:dyDescent="0.25">
      <c r="A13944" s="116" t="s">
        <v>21704</v>
      </c>
      <c r="B13944" s="117" t="s">
        <v>21705</v>
      </c>
      <c r="C13944" t="s">
        <v>67</v>
      </c>
      <c r="D13944" t="s">
        <v>67</v>
      </c>
      <c r="E13944" t="s">
        <v>67</v>
      </c>
      <c r="F13944" t="s">
        <v>49</v>
      </c>
      <c r="G13944" s="117">
        <v>0.8</v>
      </c>
    </row>
    <row r="13945" spans="1:7" x14ac:dyDescent="0.25">
      <c r="A13945" s="116" t="s">
        <v>21706</v>
      </c>
      <c r="B13945" s="117" t="s">
        <v>21707</v>
      </c>
      <c r="C13945" t="s">
        <v>67</v>
      </c>
      <c r="D13945" t="s">
        <v>67</v>
      </c>
      <c r="E13945" t="s">
        <v>67</v>
      </c>
      <c r="F13945" t="s">
        <v>49</v>
      </c>
      <c r="G13945" s="117">
        <v>1.33</v>
      </c>
    </row>
    <row r="13946" spans="1:7" x14ac:dyDescent="0.25">
      <c r="A13946" s="116" t="s">
        <v>21708</v>
      </c>
      <c r="B13946" s="117" t="s">
        <v>21709</v>
      </c>
      <c r="C13946" t="s">
        <v>67</v>
      </c>
      <c r="D13946" t="s">
        <v>67</v>
      </c>
      <c r="E13946" t="s">
        <v>67</v>
      </c>
      <c r="F13946" t="s">
        <v>27987</v>
      </c>
      <c r="G13946" s="117">
        <v>1.33</v>
      </c>
    </row>
    <row r="13947" spans="1:7" x14ac:dyDescent="0.25">
      <c r="A13947" s="116" t="s">
        <v>21710</v>
      </c>
      <c r="B13947" s="117" t="s">
        <v>21711</v>
      </c>
      <c r="C13947" t="s">
        <v>67</v>
      </c>
      <c r="D13947" t="s">
        <v>67</v>
      </c>
      <c r="E13947" t="s">
        <v>67</v>
      </c>
      <c r="F13947" t="s">
        <v>49</v>
      </c>
      <c r="G13947" s="117">
        <v>2.58</v>
      </c>
    </row>
    <row r="13948" spans="1:7" x14ac:dyDescent="0.25">
      <c r="A13948" s="116" t="s">
        <v>27788</v>
      </c>
      <c r="B13948" s="117" t="s">
        <v>21712</v>
      </c>
      <c r="C13948" t="s">
        <v>67</v>
      </c>
      <c r="D13948" t="s">
        <v>67</v>
      </c>
      <c r="E13948" t="s">
        <v>67</v>
      </c>
      <c r="F13948" t="s">
        <v>45</v>
      </c>
      <c r="G13948" s="117">
        <v>3.56</v>
      </c>
    </row>
    <row r="13949" spans="1:7" x14ac:dyDescent="0.25">
      <c r="A13949" s="116" t="s">
        <v>21713</v>
      </c>
      <c r="B13949" s="117" t="s">
        <v>21714</v>
      </c>
      <c r="C13949" t="s">
        <v>67</v>
      </c>
      <c r="D13949" t="s">
        <v>67</v>
      </c>
      <c r="E13949" t="s">
        <v>67</v>
      </c>
      <c r="F13949" t="s">
        <v>27987</v>
      </c>
      <c r="G13949" s="117">
        <v>3.12</v>
      </c>
    </row>
    <row r="13950" spans="1:7" x14ac:dyDescent="0.25">
      <c r="A13950" s="116" t="s">
        <v>27789</v>
      </c>
      <c r="B13950" s="117" t="s">
        <v>21715</v>
      </c>
      <c r="C13950" t="s">
        <v>67</v>
      </c>
      <c r="D13950" t="s">
        <v>67</v>
      </c>
      <c r="E13950" t="s">
        <v>67</v>
      </c>
      <c r="F13950" t="s">
        <v>45</v>
      </c>
      <c r="G13950" s="117">
        <v>4</v>
      </c>
    </row>
    <row r="13951" spans="1:7" x14ac:dyDescent="0.25">
      <c r="A13951" s="116" t="s">
        <v>27790</v>
      </c>
      <c r="B13951" s="117" t="s">
        <v>21716</v>
      </c>
      <c r="C13951" t="s">
        <v>67</v>
      </c>
      <c r="D13951" t="s">
        <v>67</v>
      </c>
      <c r="E13951" t="s">
        <v>67</v>
      </c>
      <c r="F13951" t="s">
        <v>27990</v>
      </c>
      <c r="G13951" s="117">
        <v>4.8899999999999997</v>
      </c>
    </row>
    <row r="13952" spans="1:7" x14ac:dyDescent="0.25">
      <c r="A13952" s="116" t="s">
        <v>27791</v>
      </c>
      <c r="B13952" s="117" t="s">
        <v>21717</v>
      </c>
      <c r="C13952" t="s">
        <v>67</v>
      </c>
      <c r="D13952" t="s">
        <v>67</v>
      </c>
      <c r="E13952" t="s">
        <v>67</v>
      </c>
      <c r="F13952" t="s">
        <v>27987</v>
      </c>
      <c r="G13952" s="117">
        <v>5.25</v>
      </c>
    </row>
    <row r="13953" spans="1:7" x14ac:dyDescent="0.25">
      <c r="A13953" s="116" t="s">
        <v>27792</v>
      </c>
      <c r="B13953" s="117" t="s">
        <v>21718</v>
      </c>
      <c r="C13953" t="s">
        <v>67</v>
      </c>
      <c r="D13953" t="s">
        <v>67</v>
      </c>
      <c r="E13953" t="s">
        <v>67</v>
      </c>
      <c r="F13953" t="s">
        <v>27987</v>
      </c>
      <c r="G13953" s="117">
        <v>5.25</v>
      </c>
    </row>
    <row r="13954" spans="1:7" x14ac:dyDescent="0.25">
      <c r="A13954" s="116" t="s">
        <v>27793</v>
      </c>
      <c r="B13954" s="117" t="s">
        <v>21719</v>
      </c>
      <c r="C13954" t="s">
        <v>67</v>
      </c>
      <c r="D13954" t="s">
        <v>67</v>
      </c>
      <c r="E13954" t="s">
        <v>67</v>
      </c>
      <c r="F13954" t="s">
        <v>45</v>
      </c>
      <c r="G13954" s="117">
        <v>5.79</v>
      </c>
    </row>
    <row r="13955" spans="1:7" x14ac:dyDescent="0.25">
      <c r="A13955" s="116" t="s">
        <v>27794</v>
      </c>
      <c r="B13955" s="117" t="s">
        <v>21720</v>
      </c>
      <c r="C13955" t="s">
        <v>67</v>
      </c>
      <c r="D13955" t="s">
        <v>67</v>
      </c>
      <c r="E13955" t="s">
        <v>67</v>
      </c>
      <c r="F13955" t="s">
        <v>45</v>
      </c>
      <c r="G13955" s="117">
        <v>5.79</v>
      </c>
    </row>
    <row r="13956" spans="1:7" x14ac:dyDescent="0.25">
      <c r="A13956" s="116" t="s">
        <v>27795</v>
      </c>
      <c r="B13956" s="117" t="s">
        <v>21721</v>
      </c>
      <c r="C13956" t="s">
        <v>67</v>
      </c>
      <c r="D13956" t="s">
        <v>67</v>
      </c>
      <c r="E13956" t="s">
        <v>67</v>
      </c>
      <c r="F13956" t="s">
        <v>45</v>
      </c>
      <c r="G13956" s="117">
        <v>4.8899999999999997</v>
      </c>
    </row>
    <row r="13957" spans="1:7" x14ac:dyDescent="0.25">
      <c r="A13957" s="116" t="s">
        <v>27796</v>
      </c>
      <c r="B13957" s="117" t="s">
        <v>21722</v>
      </c>
      <c r="C13957" t="s">
        <v>67</v>
      </c>
      <c r="D13957" t="s">
        <v>67</v>
      </c>
      <c r="E13957" t="s">
        <v>67</v>
      </c>
      <c r="F13957" t="s">
        <v>45</v>
      </c>
      <c r="G13957" s="117">
        <v>2.67</v>
      </c>
    </row>
    <row r="13958" spans="1:7" x14ac:dyDescent="0.25">
      <c r="A13958" s="116" t="s">
        <v>21723</v>
      </c>
      <c r="B13958" s="117" t="s">
        <v>21724</v>
      </c>
      <c r="C13958" t="s">
        <v>67</v>
      </c>
      <c r="D13958" t="s">
        <v>67</v>
      </c>
      <c r="E13958" t="s">
        <v>67</v>
      </c>
      <c r="F13958" t="s">
        <v>27987</v>
      </c>
      <c r="G13958" s="117">
        <v>3.12</v>
      </c>
    </row>
    <row r="13959" spans="1:7" x14ac:dyDescent="0.25">
      <c r="A13959" s="116" t="s">
        <v>21725</v>
      </c>
      <c r="B13959" s="117" t="s">
        <v>21726</v>
      </c>
      <c r="C13959" t="s">
        <v>67</v>
      </c>
      <c r="D13959" t="s">
        <v>67</v>
      </c>
      <c r="E13959" t="s">
        <v>67</v>
      </c>
      <c r="F13959" t="s">
        <v>49</v>
      </c>
      <c r="G13959" s="117">
        <v>0.44</v>
      </c>
    </row>
    <row r="13960" spans="1:7" x14ac:dyDescent="0.25">
      <c r="A13960" s="116" t="s">
        <v>21727</v>
      </c>
      <c r="B13960" s="117" t="s">
        <v>21728</v>
      </c>
      <c r="C13960" t="s">
        <v>67</v>
      </c>
      <c r="D13960" t="s">
        <v>67</v>
      </c>
      <c r="E13960" t="s">
        <v>67</v>
      </c>
      <c r="F13960" t="s">
        <v>45</v>
      </c>
      <c r="G13960" s="117">
        <v>0.44</v>
      </c>
    </row>
    <row r="13961" spans="1:7" x14ac:dyDescent="0.25">
      <c r="A13961" s="116" t="s">
        <v>21729</v>
      </c>
      <c r="B13961" s="117" t="s">
        <v>8010</v>
      </c>
      <c r="C13961" t="s">
        <v>67</v>
      </c>
      <c r="D13961" t="s">
        <v>67</v>
      </c>
      <c r="E13961" t="s">
        <v>67</v>
      </c>
      <c r="F13961" t="s">
        <v>45</v>
      </c>
      <c r="G13961" s="117">
        <v>0.44</v>
      </c>
    </row>
    <row r="13962" spans="1:7" x14ac:dyDescent="0.25">
      <c r="A13962" s="116" t="s">
        <v>27797</v>
      </c>
      <c r="B13962" s="117" t="s">
        <v>21730</v>
      </c>
      <c r="C13962" t="s">
        <v>67</v>
      </c>
      <c r="D13962" t="s">
        <v>67</v>
      </c>
      <c r="E13962" t="s">
        <v>67</v>
      </c>
      <c r="F13962" t="s">
        <v>45</v>
      </c>
      <c r="G13962" s="117">
        <v>5.25</v>
      </c>
    </row>
    <row r="13963" spans="1:7" x14ac:dyDescent="0.25">
      <c r="A13963" s="116" t="s">
        <v>21731</v>
      </c>
      <c r="B13963" s="117" t="s">
        <v>21630</v>
      </c>
      <c r="C13963" t="s">
        <v>67</v>
      </c>
      <c r="D13963" t="s">
        <v>67</v>
      </c>
      <c r="E13963" t="s">
        <v>67</v>
      </c>
      <c r="F13963" t="s">
        <v>49</v>
      </c>
      <c r="G13963" s="117">
        <v>0.8</v>
      </c>
    </row>
    <row r="13964" spans="1:7" x14ac:dyDescent="0.25">
      <c r="A13964" s="116" t="s">
        <v>27798</v>
      </c>
      <c r="B13964" s="117" t="s">
        <v>21732</v>
      </c>
      <c r="C13964" t="s">
        <v>67</v>
      </c>
      <c r="D13964" t="s">
        <v>67</v>
      </c>
      <c r="E13964" t="s">
        <v>67</v>
      </c>
      <c r="F13964" t="s">
        <v>27990</v>
      </c>
      <c r="G13964" s="117">
        <v>5.0599999999999996</v>
      </c>
    </row>
    <row r="13965" spans="1:7" x14ac:dyDescent="0.25">
      <c r="A13965" s="116" t="s">
        <v>27799</v>
      </c>
      <c r="B13965" s="117" t="s">
        <v>21733</v>
      </c>
      <c r="C13965" t="s">
        <v>67</v>
      </c>
      <c r="D13965" t="s">
        <v>67</v>
      </c>
      <c r="E13965" t="s">
        <v>67</v>
      </c>
      <c r="F13965" t="s">
        <v>45</v>
      </c>
      <c r="G13965" s="117">
        <v>3.56</v>
      </c>
    </row>
    <row r="13966" spans="1:7" x14ac:dyDescent="0.25">
      <c r="A13966" s="116" t="s">
        <v>27800</v>
      </c>
      <c r="B13966" s="117" t="s">
        <v>21732</v>
      </c>
      <c r="C13966" t="s">
        <v>67</v>
      </c>
      <c r="D13966" t="s">
        <v>67</v>
      </c>
      <c r="E13966" t="s">
        <v>67</v>
      </c>
      <c r="F13966" t="s">
        <v>45</v>
      </c>
      <c r="G13966" s="117">
        <v>2.67</v>
      </c>
    </row>
    <row r="13967" spans="1:7" x14ac:dyDescent="0.25">
      <c r="A13967" s="116" t="s">
        <v>27801</v>
      </c>
      <c r="B13967" s="117" t="s">
        <v>21734</v>
      </c>
      <c r="C13967" t="s">
        <v>67</v>
      </c>
      <c r="D13967" t="s">
        <v>67</v>
      </c>
      <c r="E13967" t="s">
        <v>67</v>
      </c>
      <c r="F13967" t="s">
        <v>27987</v>
      </c>
      <c r="G13967" s="117">
        <v>4.8899999999999997</v>
      </c>
    </row>
    <row r="13968" spans="1:7" x14ac:dyDescent="0.25">
      <c r="A13968" s="116" t="s">
        <v>27802</v>
      </c>
      <c r="B13968" s="117" t="s">
        <v>21735</v>
      </c>
      <c r="C13968" t="s">
        <v>67</v>
      </c>
      <c r="D13968" t="s">
        <v>67</v>
      </c>
      <c r="E13968" t="s">
        <v>67</v>
      </c>
      <c r="F13968" t="s">
        <v>45</v>
      </c>
      <c r="G13968" s="117">
        <v>3.48</v>
      </c>
    </row>
    <row r="13969" spans="1:7" x14ac:dyDescent="0.25">
      <c r="A13969" s="116" t="s">
        <v>27803</v>
      </c>
      <c r="B13969" s="117" t="s">
        <v>21736</v>
      </c>
      <c r="C13969" t="s">
        <v>67</v>
      </c>
      <c r="D13969" t="s">
        <v>67</v>
      </c>
      <c r="E13969" t="s">
        <v>67</v>
      </c>
      <c r="F13969" t="s">
        <v>45</v>
      </c>
      <c r="G13969" s="117">
        <v>1.33</v>
      </c>
    </row>
    <row r="13970" spans="1:7" x14ac:dyDescent="0.25">
      <c r="A13970" s="116" t="s">
        <v>27804</v>
      </c>
      <c r="B13970" s="117" t="s">
        <v>21737</v>
      </c>
      <c r="C13970" t="s">
        <v>67</v>
      </c>
      <c r="D13970" t="s">
        <v>67</v>
      </c>
      <c r="E13970" t="s">
        <v>67</v>
      </c>
      <c r="F13970" t="s">
        <v>27987</v>
      </c>
      <c r="G13970" s="117">
        <v>4</v>
      </c>
    </row>
    <row r="13971" spans="1:7" x14ac:dyDescent="0.25">
      <c r="A13971" s="116" t="s">
        <v>21738</v>
      </c>
      <c r="B13971" s="117" t="s">
        <v>9576</v>
      </c>
      <c r="C13971" t="s">
        <v>67</v>
      </c>
      <c r="D13971" t="s">
        <v>67</v>
      </c>
      <c r="E13971" t="s">
        <v>67</v>
      </c>
      <c r="F13971" t="s">
        <v>27987</v>
      </c>
      <c r="G13971" s="117">
        <v>1.33</v>
      </c>
    </row>
    <row r="13972" spans="1:7" x14ac:dyDescent="0.25">
      <c r="A13972" s="116" t="s">
        <v>21739</v>
      </c>
      <c r="B13972" s="117" t="s">
        <v>21740</v>
      </c>
      <c r="C13972" t="s">
        <v>67</v>
      </c>
      <c r="D13972" t="s">
        <v>67</v>
      </c>
      <c r="E13972" t="s">
        <v>67</v>
      </c>
      <c r="F13972" t="s">
        <v>27987</v>
      </c>
      <c r="G13972" s="117">
        <v>1.69</v>
      </c>
    </row>
    <row r="13973" spans="1:7" x14ac:dyDescent="0.25">
      <c r="A13973" s="116" t="s">
        <v>21741</v>
      </c>
      <c r="B13973" s="117" t="s">
        <v>9184</v>
      </c>
      <c r="C13973" t="s">
        <v>67</v>
      </c>
      <c r="D13973" t="s">
        <v>67</v>
      </c>
      <c r="E13973" t="s">
        <v>67</v>
      </c>
      <c r="F13973" t="s">
        <v>27987</v>
      </c>
      <c r="G13973" s="117">
        <v>1.33</v>
      </c>
    </row>
    <row r="13974" spans="1:7" x14ac:dyDescent="0.25">
      <c r="A13974" s="116" t="s">
        <v>21742</v>
      </c>
      <c r="B13974" s="117" t="s">
        <v>21743</v>
      </c>
      <c r="C13974" t="s">
        <v>67</v>
      </c>
      <c r="D13974" t="s">
        <v>67</v>
      </c>
      <c r="E13974" t="s">
        <v>67</v>
      </c>
      <c r="F13974" t="s">
        <v>45</v>
      </c>
      <c r="G13974" s="117">
        <v>2.58</v>
      </c>
    </row>
    <row r="13975" spans="1:7" x14ac:dyDescent="0.25">
      <c r="A13975" s="116" t="s">
        <v>21744</v>
      </c>
      <c r="B13975" s="117" t="s">
        <v>9140</v>
      </c>
      <c r="C13975" t="s">
        <v>67</v>
      </c>
      <c r="D13975" t="s">
        <v>67</v>
      </c>
      <c r="E13975" t="s">
        <v>67</v>
      </c>
      <c r="F13975" t="s">
        <v>27987</v>
      </c>
      <c r="G13975" s="117">
        <v>1.33</v>
      </c>
    </row>
    <row r="13976" spans="1:7" x14ac:dyDescent="0.25">
      <c r="A13976" s="116" t="s">
        <v>21745</v>
      </c>
      <c r="B13976" s="117" t="s">
        <v>9138</v>
      </c>
      <c r="C13976" t="s">
        <v>67</v>
      </c>
      <c r="D13976" t="s">
        <v>67</v>
      </c>
      <c r="E13976" t="s">
        <v>67</v>
      </c>
      <c r="F13976" t="s">
        <v>27987</v>
      </c>
      <c r="G13976" s="117">
        <v>1.77</v>
      </c>
    </row>
    <row r="13977" spans="1:7" x14ac:dyDescent="0.25">
      <c r="A13977" s="116" t="s">
        <v>27805</v>
      </c>
      <c r="B13977" s="117" t="s">
        <v>21746</v>
      </c>
      <c r="C13977" t="s">
        <v>67</v>
      </c>
      <c r="D13977" t="s">
        <v>67</v>
      </c>
      <c r="E13977" t="s">
        <v>67</v>
      </c>
      <c r="F13977" t="s">
        <v>27990</v>
      </c>
      <c r="G13977" s="117">
        <v>3.48</v>
      </c>
    </row>
    <row r="13978" spans="1:7" x14ac:dyDescent="0.25">
      <c r="A13978" s="116" t="s">
        <v>27806</v>
      </c>
      <c r="B13978" s="117" t="s">
        <v>21747</v>
      </c>
      <c r="C13978" t="s">
        <v>67</v>
      </c>
      <c r="D13978" t="s">
        <v>67</v>
      </c>
      <c r="E13978" t="s">
        <v>67</v>
      </c>
      <c r="F13978" t="s">
        <v>45</v>
      </c>
      <c r="G13978" s="117">
        <v>3.48</v>
      </c>
    </row>
    <row r="13979" spans="1:7" x14ac:dyDescent="0.25">
      <c r="A13979" s="116" t="s">
        <v>21748</v>
      </c>
      <c r="B13979" s="117" t="s">
        <v>9165</v>
      </c>
      <c r="C13979" t="s">
        <v>67</v>
      </c>
      <c r="D13979" t="s">
        <v>67</v>
      </c>
      <c r="E13979" t="s">
        <v>67</v>
      </c>
      <c r="F13979" t="s">
        <v>49</v>
      </c>
      <c r="G13979" s="117">
        <v>7.92</v>
      </c>
    </row>
    <row r="13980" spans="1:7" x14ac:dyDescent="0.25">
      <c r="A13980" s="116" t="s">
        <v>21749</v>
      </c>
      <c r="B13980" s="117" t="s">
        <v>21750</v>
      </c>
      <c r="C13980" t="s">
        <v>67</v>
      </c>
      <c r="D13980" t="s">
        <v>67</v>
      </c>
      <c r="E13980" t="s">
        <v>67</v>
      </c>
      <c r="F13980" t="s">
        <v>27987</v>
      </c>
      <c r="G13980" s="117">
        <v>4</v>
      </c>
    </row>
    <row r="13981" spans="1:7" x14ac:dyDescent="0.25">
      <c r="A13981" s="116" t="s">
        <v>21751</v>
      </c>
      <c r="B13981" s="117" t="s">
        <v>21752</v>
      </c>
      <c r="C13981" t="s">
        <v>67</v>
      </c>
      <c r="D13981" t="s">
        <v>67</v>
      </c>
      <c r="E13981" t="s">
        <v>67</v>
      </c>
      <c r="F13981" t="s">
        <v>45</v>
      </c>
      <c r="G13981" s="117">
        <v>0.8</v>
      </c>
    </row>
    <row r="13982" spans="1:7" x14ac:dyDescent="0.25">
      <c r="A13982" s="116" t="s">
        <v>21753</v>
      </c>
      <c r="B13982" s="117" t="s">
        <v>21754</v>
      </c>
      <c r="C13982" t="s">
        <v>67</v>
      </c>
      <c r="D13982" t="s">
        <v>67</v>
      </c>
      <c r="E13982" t="s">
        <v>67</v>
      </c>
      <c r="F13982" t="s">
        <v>49</v>
      </c>
      <c r="G13982" s="117">
        <v>0.44</v>
      </c>
    </row>
    <row r="13983" spans="1:7" x14ac:dyDescent="0.25">
      <c r="A13983" s="116" t="s">
        <v>21755</v>
      </c>
      <c r="B13983" s="117" t="s">
        <v>21756</v>
      </c>
      <c r="C13983" t="s">
        <v>67</v>
      </c>
      <c r="D13983" t="s">
        <v>67</v>
      </c>
      <c r="E13983" t="s">
        <v>67</v>
      </c>
      <c r="F13983" t="s">
        <v>27987</v>
      </c>
      <c r="G13983" s="117">
        <v>0.8</v>
      </c>
    </row>
    <row r="13984" spans="1:7" x14ac:dyDescent="0.25">
      <c r="A13984" s="116" t="s">
        <v>21757</v>
      </c>
      <c r="B13984" s="117" t="s">
        <v>26516</v>
      </c>
      <c r="C13984" t="s">
        <v>67</v>
      </c>
      <c r="D13984" t="s">
        <v>67</v>
      </c>
      <c r="E13984" t="s">
        <v>67</v>
      </c>
      <c r="F13984" t="s">
        <v>27987</v>
      </c>
      <c r="G13984" s="117">
        <v>0.7</v>
      </c>
    </row>
    <row r="13985" spans="1:7" x14ac:dyDescent="0.25">
      <c r="A13985" s="116" t="s">
        <v>21758</v>
      </c>
      <c r="B13985" s="117" t="s">
        <v>9322</v>
      </c>
      <c r="C13985" t="s">
        <v>67</v>
      </c>
      <c r="D13985" t="s">
        <v>67</v>
      </c>
      <c r="E13985" t="s">
        <v>67</v>
      </c>
      <c r="F13985" t="s">
        <v>27987</v>
      </c>
      <c r="G13985" s="117">
        <v>1.33</v>
      </c>
    </row>
    <row r="13986" spans="1:7" x14ac:dyDescent="0.25">
      <c r="A13986" s="116" t="s">
        <v>21759</v>
      </c>
      <c r="B13986" s="117" t="s">
        <v>8096</v>
      </c>
      <c r="C13986" t="s">
        <v>67</v>
      </c>
      <c r="D13986" t="s">
        <v>67</v>
      </c>
      <c r="E13986" t="s">
        <v>67</v>
      </c>
      <c r="F13986" t="s">
        <v>27987</v>
      </c>
      <c r="G13986" s="117">
        <v>0.8</v>
      </c>
    </row>
    <row r="13987" spans="1:7" x14ac:dyDescent="0.25">
      <c r="A13987" s="116" t="s">
        <v>21760</v>
      </c>
      <c r="B13987" s="117" t="s">
        <v>9163</v>
      </c>
      <c r="C13987" t="s">
        <v>67</v>
      </c>
      <c r="D13987" t="s">
        <v>67</v>
      </c>
      <c r="E13987" t="s">
        <v>67</v>
      </c>
      <c r="F13987" t="s">
        <v>27987</v>
      </c>
      <c r="G13987" s="117">
        <v>0.8</v>
      </c>
    </row>
    <row r="13988" spans="1:7" x14ac:dyDescent="0.25">
      <c r="A13988" s="116" t="s">
        <v>21761</v>
      </c>
      <c r="B13988" s="117" t="s">
        <v>21762</v>
      </c>
      <c r="C13988" t="s">
        <v>67</v>
      </c>
      <c r="D13988" t="s">
        <v>67</v>
      </c>
      <c r="E13988" t="s">
        <v>67</v>
      </c>
      <c r="F13988" t="s">
        <v>27987</v>
      </c>
      <c r="G13988" s="117">
        <v>0.8</v>
      </c>
    </row>
    <row r="13989" spans="1:7" x14ac:dyDescent="0.25">
      <c r="A13989" s="116" t="s">
        <v>21763</v>
      </c>
      <c r="B13989" s="117" t="s">
        <v>21764</v>
      </c>
      <c r="C13989" t="s">
        <v>67</v>
      </c>
      <c r="D13989" t="s">
        <v>67</v>
      </c>
      <c r="E13989" t="s">
        <v>67</v>
      </c>
      <c r="F13989" t="s">
        <v>49</v>
      </c>
      <c r="G13989" s="117">
        <v>1.33</v>
      </c>
    </row>
    <row r="13990" spans="1:7" x14ac:dyDescent="0.25">
      <c r="A13990" s="116" t="s">
        <v>21765</v>
      </c>
      <c r="B13990" s="117" t="s">
        <v>21766</v>
      </c>
      <c r="C13990" t="s">
        <v>67</v>
      </c>
      <c r="D13990" t="s">
        <v>67</v>
      </c>
      <c r="E13990" t="s">
        <v>67</v>
      </c>
      <c r="F13990" t="s">
        <v>49</v>
      </c>
      <c r="G13990" s="117">
        <v>0.8</v>
      </c>
    </row>
    <row r="13991" spans="1:7" x14ac:dyDescent="0.25">
      <c r="A13991" s="116" t="s">
        <v>21767</v>
      </c>
      <c r="B13991" s="117" t="s">
        <v>21766</v>
      </c>
      <c r="C13991" t="s">
        <v>67</v>
      </c>
      <c r="D13991" t="s">
        <v>67</v>
      </c>
      <c r="E13991" t="s">
        <v>67</v>
      </c>
      <c r="F13991" t="s">
        <v>45</v>
      </c>
      <c r="G13991" s="117">
        <v>16.82</v>
      </c>
    </row>
    <row r="13992" spans="1:7" x14ac:dyDescent="0.25">
      <c r="A13992" s="116" t="s">
        <v>21768</v>
      </c>
      <c r="B13992" s="117" t="s">
        <v>12107</v>
      </c>
      <c r="C13992" t="s">
        <v>67</v>
      </c>
      <c r="D13992" t="s">
        <v>67</v>
      </c>
      <c r="E13992" t="s">
        <v>67</v>
      </c>
      <c r="F13992" t="s">
        <v>49</v>
      </c>
      <c r="G13992" s="117">
        <v>0.89</v>
      </c>
    </row>
    <row r="13993" spans="1:7" x14ac:dyDescent="0.25">
      <c r="A13993" s="116" t="s">
        <v>21769</v>
      </c>
      <c r="B13993" s="117" t="s">
        <v>9157</v>
      </c>
      <c r="C13993" t="s">
        <v>67</v>
      </c>
      <c r="D13993" t="s">
        <v>67</v>
      </c>
      <c r="E13993" t="s">
        <v>67</v>
      </c>
      <c r="F13993" t="s">
        <v>49</v>
      </c>
      <c r="G13993" s="117">
        <v>0.89</v>
      </c>
    </row>
    <row r="13994" spans="1:7" x14ac:dyDescent="0.25">
      <c r="A13994" s="116" t="s">
        <v>21770</v>
      </c>
      <c r="B13994" s="117" t="s">
        <v>21771</v>
      </c>
      <c r="C13994" t="s">
        <v>67</v>
      </c>
      <c r="D13994" t="s">
        <v>67</v>
      </c>
      <c r="E13994" t="s">
        <v>67</v>
      </c>
      <c r="F13994" t="s">
        <v>49</v>
      </c>
      <c r="G13994" s="117">
        <v>1.69</v>
      </c>
    </row>
    <row r="13995" spans="1:7" x14ac:dyDescent="0.25">
      <c r="A13995" s="116" t="s">
        <v>21772</v>
      </c>
      <c r="B13995" s="117" t="s">
        <v>21773</v>
      </c>
      <c r="C13995" t="s">
        <v>67</v>
      </c>
      <c r="D13995" t="s">
        <v>67</v>
      </c>
      <c r="E13995" t="s">
        <v>67</v>
      </c>
      <c r="F13995" t="s">
        <v>27987</v>
      </c>
      <c r="G13995" s="117">
        <v>16.82</v>
      </c>
    </row>
    <row r="13996" spans="1:7" x14ac:dyDescent="0.25">
      <c r="A13996" s="116" t="s">
        <v>21774</v>
      </c>
      <c r="B13996" s="117" t="s">
        <v>21775</v>
      </c>
      <c r="C13996" t="s">
        <v>67</v>
      </c>
      <c r="D13996" t="s">
        <v>67</v>
      </c>
      <c r="E13996" t="s">
        <v>67</v>
      </c>
      <c r="F13996" t="s">
        <v>27987</v>
      </c>
      <c r="G13996" s="117">
        <v>1.33</v>
      </c>
    </row>
    <row r="13997" spans="1:7" x14ac:dyDescent="0.25">
      <c r="A13997" s="116" t="s">
        <v>21776</v>
      </c>
      <c r="B13997" s="117" t="s">
        <v>9276</v>
      </c>
      <c r="C13997" t="s">
        <v>67</v>
      </c>
      <c r="D13997" t="s">
        <v>67</v>
      </c>
      <c r="E13997" t="s">
        <v>67</v>
      </c>
      <c r="F13997" t="s">
        <v>49</v>
      </c>
      <c r="G13997" s="117">
        <v>1.69</v>
      </c>
    </row>
    <row r="13998" spans="1:7" x14ac:dyDescent="0.25">
      <c r="A13998" s="116" t="s">
        <v>21777</v>
      </c>
      <c r="B13998" s="117" t="s">
        <v>9276</v>
      </c>
      <c r="C13998" t="s">
        <v>67</v>
      </c>
      <c r="D13998" t="s">
        <v>67</v>
      </c>
      <c r="E13998" t="s">
        <v>67</v>
      </c>
      <c r="F13998" t="s">
        <v>27987</v>
      </c>
      <c r="G13998" s="117">
        <v>0.8</v>
      </c>
    </row>
    <row r="13999" spans="1:7" x14ac:dyDescent="0.25">
      <c r="A13999" s="116" t="s">
        <v>21778</v>
      </c>
      <c r="B13999" s="117" t="s">
        <v>9209</v>
      </c>
      <c r="C13999" t="s">
        <v>67</v>
      </c>
      <c r="D13999" t="s">
        <v>67</v>
      </c>
      <c r="E13999" t="s">
        <v>67</v>
      </c>
      <c r="F13999" t="s">
        <v>49</v>
      </c>
      <c r="G13999" s="117">
        <v>0.8</v>
      </c>
    </row>
    <row r="14000" spans="1:7" x14ac:dyDescent="0.25">
      <c r="A14000" s="116" t="s">
        <v>21779</v>
      </c>
      <c r="B14000" s="117" t="s">
        <v>9209</v>
      </c>
      <c r="C14000" t="s">
        <v>67</v>
      </c>
      <c r="D14000" t="s">
        <v>67</v>
      </c>
      <c r="E14000" t="s">
        <v>67</v>
      </c>
      <c r="F14000" t="s">
        <v>49</v>
      </c>
      <c r="G14000" s="117">
        <v>0.8</v>
      </c>
    </row>
    <row r="14001" spans="1:7" x14ac:dyDescent="0.25">
      <c r="A14001" s="116" t="s">
        <v>21780</v>
      </c>
      <c r="B14001" s="117" t="s">
        <v>21781</v>
      </c>
      <c r="C14001" t="s">
        <v>67</v>
      </c>
      <c r="D14001" t="s">
        <v>67</v>
      </c>
      <c r="E14001" t="s">
        <v>67</v>
      </c>
      <c r="F14001" t="s">
        <v>27987</v>
      </c>
      <c r="G14001" s="117">
        <v>1.33</v>
      </c>
    </row>
    <row r="14002" spans="1:7" x14ac:dyDescent="0.25">
      <c r="A14002" s="116" t="s">
        <v>21782</v>
      </c>
      <c r="B14002" s="117" t="s">
        <v>21783</v>
      </c>
      <c r="C14002" t="s">
        <v>67</v>
      </c>
      <c r="D14002" t="s">
        <v>67</v>
      </c>
      <c r="E14002" t="s">
        <v>67</v>
      </c>
      <c r="F14002" t="s">
        <v>49</v>
      </c>
      <c r="G14002" s="117">
        <v>0.8</v>
      </c>
    </row>
    <row r="14003" spans="1:7" x14ac:dyDescent="0.25">
      <c r="A14003" s="116" t="s">
        <v>21784</v>
      </c>
      <c r="B14003" s="117" t="s">
        <v>21785</v>
      </c>
      <c r="C14003" t="s">
        <v>67</v>
      </c>
      <c r="D14003" t="s">
        <v>67</v>
      </c>
      <c r="E14003" t="s">
        <v>67</v>
      </c>
      <c r="F14003" t="s">
        <v>27987</v>
      </c>
      <c r="G14003" s="117">
        <v>0.8</v>
      </c>
    </row>
    <row r="14004" spans="1:7" x14ac:dyDescent="0.25">
      <c r="A14004" s="116" t="s">
        <v>21786</v>
      </c>
      <c r="B14004" s="117" t="s">
        <v>20475</v>
      </c>
      <c r="C14004" t="s">
        <v>67</v>
      </c>
      <c r="D14004" t="s">
        <v>67</v>
      </c>
      <c r="E14004" t="s">
        <v>67</v>
      </c>
      <c r="F14004" t="s">
        <v>27990</v>
      </c>
      <c r="G14004" s="117">
        <v>1.33</v>
      </c>
    </row>
    <row r="14005" spans="1:7" x14ac:dyDescent="0.25">
      <c r="A14005" s="116" t="s">
        <v>21787</v>
      </c>
      <c r="B14005" s="117" t="s">
        <v>21788</v>
      </c>
      <c r="C14005" t="s">
        <v>67</v>
      </c>
      <c r="D14005" t="s">
        <v>67</v>
      </c>
      <c r="E14005" t="s">
        <v>67</v>
      </c>
      <c r="F14005" t="s">
        <v>49</v>
      </c>
      <c r="G14005" s="117">
        <v>0.8</v>
      </c>
    </row>
    <row r="14006" spans="1:7" x14ac:dyDescent="0.25">
      <c r="A14006" s="116" t="s">
        <v>21789</v>
      </c>
      <c r="B14006" s="117" t="s">
        <v>13377</v>
      </c>
      <c r="C14006" t="s">
        <v>67</v>
      </c>
      <c r="D14006" t="s">
        <v>67</v>
      </c>
      <c r="E14006" t="s">
        <v>67</v>
      </c>
      <c r="F14006" t="s">
        <v>27987</v>
      </c>
      <c r="G14006" s="117">
        <v>0.89</v>
      </c>
    </row>
    <row r="14007" spans="1:7" x14ac:dyDescent="0.25">
      <c r="A14007" s="116" t="s">
        <v>21790</v>
      </c>
      <c r="B14007" s="117" t="s">
        <v>9174</v>
      </c>
      <c r="C14007" t="s">
        <v>67</v>
      </c>
      <c r="D14007" t="s">
        <v>67</v>
      </c>
      <c r="E14007" t="s">
        <v>67</v>
      </c>
      <c r="F14007" t="s">
        <v>27987</v>
      </c>
      <c r="G14007" s="117">
        <v>0.44</v>
      </c>
    </row>
    <row r="14008" spans="1:7" x14ac:dyDescent="0.25">
      <c r="A14008" s="116" t="s">
        <v>21791</v>
      </c>
      <c r="B14008" s="117" t="s">
        <v>13383</v>
      </c>
      <c r="C14008" t="s">
        <v>67</v>
      </c>
      <c r="D14008" t="s">
        <v>67</v>
      </c>
      <c r="E14008" t="s">
        <v>67</v>
      </c>
      <c r="F14008" t="s">
        <v>45</v>
      </c>
      <c r="G14008" s="117">
        <v>0.89</v>
      </c>
    </row>
    <row r="14009" spans="1:7" x14ac:dyDescent="0.25">
      <c r="A14009" s="116" t="s">
        <v>21792</v>
      </c>
      <c r="B14009" s="117" t="s">
        <v>21793</v>
      </c>
      <c r="C14009" t="s">
        <v>67</v>
      </c>
      <c r="D14009" t="s">
        <v>67</v>
      </c>
      <c r="E14009" t="s">
        <v>67</v>
      </c>
      <c r="F14009" t="s">
        <v>49</v>
      </c>
      <c r="G14009" s="117">
        <v>0.89</v>
      </c>
    </row>
    <row r="14010" spans="1:7" x14ac:dyDescent="0.25">
      <c r="A14010" s="116" t="s">
        <v>21794</v>
      </c>
      <c r="B14010" s="117" t="s">
        <v>21627</v>
      </c>
      <c r="C14010" t="s">
        <v>67</v>
      </c>
      <c r="D14010" t="s">
        <v>67</v>
      </c>
      <c r="E14010" t="s">
        <v>67</v>
      </c>
      <c r="F14010" t="s">
        <v>49</v>
      </c>
      <c r="G14010" s="117">
        <v>0.8</v>
      </c>
    </row>
    <row r="14011" spans="1:7" x14ac:dyDescent="0.25">
      <c r="A14011" s="116" t="s">
        <v>21795</v>
      </c>
      <c r="B14011" s="117" t="s">
        <v>9145</v>
      </c>
      <c r="C14011" t="s">
        <v>67</v>
      </c>
      <c r="D14011" t="s">
        <v>67</v>
      </c>
      <c r="E14011" t="s">
        <v>67</v>
      </c>
      <c r="F14011" t="s">
        <v>49</v>
      </c>
      <c r="G14011" s="117">
        <v>1.33</v>
      </c>
    </row>
    <row r="14012" spans="1:7" x14ac:dyDescent="0.25">
      <c r="A14012" s="116" t="s">
        <v>21796</v>
      </c>
      <c r="B14012" s="117" t="s">
        <v>9145</v>
      </c>
      <c r="C14012" t="s">
        <v>67</v>
      </c>
      <c r="D14012" t="s">
        <v>67</v>
      </c>
      <c r="E14012" t="s">
        <v>67</v>
      </c>
      <c r="F14012" t="s">
        <v>49</v>
      </c>
      <c r="G14012" s="117">
        <v>0.8</v>
      </c>
    </row>
    <row r="14013" spans="1:7" x14ac:dyDescent="0.25">
      <c r="A14013" s="116" t="s">
        <v>21797</v>
      </c>
      <c r="B14013" s="117" t="s">
        <v>21798</v>
      </c>
      <c r="C14013" t="s">
        <v>67</v>
      </c>
      <c r="D14013" t="s">
        <v>67</v>
      </c>
      <c r="E14013" t="s">
        <v>67</v>
      </c>
      <c r="F14013" t="s">
        <v>49</v>
      </c>
      <c r="G14013" s="117">
        <v>0.8</v>
      </c>
    </row>
    <row r="14014" spans="1:7" x14ac:dyDescent="0.25">
      <c r="A14014" s="116" t="s">
        <v>21799</v>
      </c>
      <c r="B14014" s="117" t="s">
        <v>21800</v>
      </c>
      <c r="C14014" t="s">
        <v>67</v>
      </c>
      <c r="D14014" t="s">
        <v>67</v>
      </c>
      <c r="E14014" t="s">
        <v>67</v>
      </c>
      <c r="F14014" t="s">
        <v>49</v>
      </c>
      <c r="G14014" s="117">
        <v>0.8</v>
      </c>
    </row>
    <row r="14015" spans="1:7" x14ac:dyDescent="0.25">
      <c r="A14015" s="116" t="s">
        <v>21801</v>
      </c>
      <c r="B14015" s="117" t="s">
        <v>21802</v>
      </c>
      <c r="C14015" t="s">
        <v>67</v>
      </c>
      <c r="D14015" t="s">
        <v>67</v>
      </c>
      <c r="E14015" t="s">
        <v>67</v>
      </c>
      <c r="F14015" t="s">
        <v>27987</v>
      </c>
      <c r="G14015" s="117">
        <v>1.33</v>
      </c>
    </row>
    <row r="14016" spans="1:7" x14ac:dyDescent="0.25">
      <c r="A14016" s="116" t="s">
        <v>21803</v>
      </c>
      <c r="B14016" s="117" t="s">
        <v>13182</v>
      </c>
      <c r="C14016" t="s">
        <v>67</v>
      </c>
      <c r="D14016" t="s">
        <v>67</v>
      </c>
      <c r="E14016" t="s">
        <v>67</v>
      </c>
      <c r="F14016" t="s">
        <v>49</v>
      </c>
      <c r="G14016" s="117">
        <v>1.33</v>
      </c>
    </row>
    <row r="14017" spans="1:7" x14ac:dyDescent="0.25">
      <c r="A14017" s="116" t="s">
        <v>21804</v>
      </c>
      <c r="B14017" s="117" t="s">
        <v>9644</v>
      </c>
      <c r="C14017" t="s">
        <v>67</v>
      </c>
      <c r="D14017" t="s">
        <v>67</v>
      </c>
      <c r="E14017" t="s">
        <v>67</v>
      </c>
      <c r="F14017" t="s">
        <v>49</v>
      </c>
      <c r="G14017" s="117">
        <v>3.12</v>
      </c>
    </row>
    <row r="14018" spans="1:7" x14ac:dyDescent="0.25">
      <c r="A14018" s="116" t="s">
        <v>21805</v>
      </c>
      <c r="B14018" s="117" t="s">
        <v>9176</v>
      </c>
      <c r="C14018" t="s">
        <v>67</v>
      </c>
      <c r="D14018" t="s">
        <v>67</v>
      </c>
      <c r="E14018" t="s">
        <v>67</v>
      </c>
      <c r="F14018" t="s">
        <v>27987</v>
      </c>
      <c r="G14018" s="117">
        <v>1.33</v>
      </c>
    </row>
    <row r="14019" spans="1:7" x14ac:dyDescent="0.25">
      <c r="A14019" s="116" t="s">
        <v>21806</v>
      </c>
      <c r="B14019" s="117" t="s">
        <v>21807</v>
      </c>
      <c r="C14019" t="s">
        <v>67</v>
      </c>
      <c r="D14019" t="s">
        <v>67</v>
      </c>
      <c r="E14019" t="s">
        <v>67</v>
      </c>
      <c r="F14019" t="s">
        <v>45</v>
      </c>
      <c r="G14019" s="117">
        <v>1.69</v>
      </c>
    </row>
    <row r="14020" spans="1:7" x14ac:dyDescent="0.25">
      <c r="A14020" s="116" t="s">
        <v>21808</v>
      </c>
      <c r="B14020" s="117" t="s">
        <v>21809</v>
      </c>
      <c r="C14020" t="s">
        <v>67</v>
      </c>
      <c r="D14020" t="s">
        <v>67</v>
      </c>
      <c r="E14020" t="s">
        <v>67</v>
      </c>
      <c r="F14020" t="s">
        <v>49</v>
      </c>
      <c r="G14020" s="117">
        <v>2.58</v>
      </c>
    </row>
    <row r="14021" spans="1:7" x14ac:dyDescent="0.25">
      <c r="A14021" s="116" t="s">
        <v>21810</v>
      </c>
      <c r="B14021" s="117" t="s">
        <v>8044</v>
      </c>
      <c r="C14021" t="s">
        <v>67</v>
      </c>
      <c r="D14021" t="s">
        <v>67</v>
      </c>
      <c r="E14021" t="s">
        <v>67</v>
      </c>
      <c r="F14021" t="s">
        <v>45</v>
      </c>
      <c r="G14021" s="117">
        <v>1.63</v>
      </c>
    </row>
    <row r="14022" spans="1:7" x14ac:dyDescent="0.25">
      <c r="A14022" s="116" t="s">
        <v>21811</v>
      </c>
      <c r="B14022" s="117" t="s">
        <v>9178</v>
      </c>
      <c r="C14022" t="s">
        <v>67</v>
      </c>
      <c r="D14022" t="s">
        <v>67</v>
      </c>
      <c r="E14022" t="s">
        <v>67</v>
      </c>
      <c r="F14022" t="s">
        <v>27987</v>
      </c>
      <c r="G14022" s="117">
        <v>2.58</v>
      </c>
    </row>
    <row r="14023" spans="1:7" x14ac:dyDescent="0.25">
      <c r="A14023" s="116" t="s">
        <v>21812</v>
      </c>
      <c r="B14023" s="117" t="s">
        <v>9178</v>
      </c>
      <c r="C14023" t="s">
        <v>67</v>
      </c>
      <c r="D14023" t="s">
        <v>67</v>
      </c>
      <c r="E14023" t="s">
        <v>67</v>
      </c>
      <c r="F14023" t="s">
        <v>49</v>
      </c>
      <c r="G14023" s="117">
        <v>1.69</v>
      </c>
    </row>
    <row r="14024" spans="1:7" x14ac:dyDescent="0.25">
      <c r="A14024" s="116" t="s">
        <v>21813</v>
      </c>
      <c r="B14024" s="117" t="s">
        <v>21814</v>
      </c>
      <c r="C14024" t="s">
        <v>67</v>
      </c>
      <c r="D14024" t="s">
        <v>67</v>
      </c>
      <c r="E14024" t="s">
        <v>67</v>
      </c>
      <c r="F14024" t="s">
        <v>49</v>
      </c>
      <c r="G14024" s="117">
        <v>1.33</v>
      </c>
    </row>
    <row r="14025" spans="1:7" x14ac:dyDescent="0.25">
      <c r="A14025" s="116" t="s">
        <v>21815</v>
      </c>
      <c r="B14025" s="117" t="s">
        <v>13389</v>
      </c>
      <c r="C14025" t="s">
        <v>67</v>
      </c>
      <c r="D14025" t="s">
        <v>67</v>
      </c>
      <c r="E14025" t="s">
        <v>67</v>
      </c>
      <c r="F14025" t="s">
        <v>27987</v>
      </c>
      <c r="G14025" s="117">
        <v>0.8</v>
      </c>
    </row>
    <row r="14026" spans="1:7" x14ac:dyDescent="0.25">
      <c r="A14026" s="116" t="s">
        <v>21816</v>
      </c>
      <c r="B14026" s="117" t="s">
        <v>9211</v>
      </c>
      <c r="C14026" t="s">
        <v>67</v>
      </c>
      <c r="D14026" t="s">
        <v>67</v>
      </c>
      <c r="E14026" t="s">
        <v>67</v>
      </c>
      <c r="F14026" t="s">
        <v>27987</v>
      </c>
      <c r="G14026" s="117">
        <v>1.33</v>
      </c>
    </row>
    <row r="14027" spans="1:7" x14ac:dyDescent="0.25">
      <c r="A14027" s="116" t="s">
        <v>21817</v>
      </c>
      <c r="B14027" s="117" t="s">
        <v>21818</v>
      </c>
      <c r="C14027" t="s">
        <v>67</v>
      </c>
      <c r="D14027" t="s">
        <v>67</v>
      </c>
      <c r="E14027" t="s">
        <v>67</v>
      </c>
      <c r="F14027" t="s">
        <v>49</v>
      </c>
      <c r="G14027" s="117">
        <v>1.77</v>
      </c>
    </row>
    <row r="14028" spans="1:7" x14ac:dyDescent="0.25">
      <c r="A14028" s="116" t="s">
        <v>21819</v>
      </c>
      <c r="B14028" s="117" t="s">
        <v>9159</v>
      </c>
      <c r="C14028" t="s">
        <v>67</v>
      </c>
      <c r="D14028" t="s">
        <v>67</v>
      </c>
      <c r="E14028" t="s">
        <v>67</v>
      </c>
      <c r="F14028" t="s">
        <v>49</v>
      </c>
      <c r="G14028" s="117">
        <v>1.33</v>
      </c>
    </row>
    <row r="14029" spans="1:7" x14ac:dyDescent="0.25">
      <c r="A14029" s="116" t="s">
        <v>21820</v>
      </c>
      <c r="B14029" s="117" t="s">
        <v>21821</v>
      </c>
      <c r="C14029" t="s">
        <v>67</v>
      </c>
      <c r="D14029" t="s">
        <v>67</v>
      </c>
      <c r="E14029" t="s">
        <v>67</v>
      </c>
      <c r="F14029" t="s">
        <v>27990</v>
      </c>
      <c r="G14029" s="117">
        <v>1.69</v>
      </c>
    </row>
    <row r="14030" spans="1:7" x14ac:dyDescent="0.25">
      <c r="A14030" s="116" t="s">
        <v>21822</v>
      </c>
      <c r="B14030" s="117" t="s">
        <v>4700</v>
      </c>
      <c r="C14030" t="s">
        <v>67</v>
      </c>
      <c r="D14030" t="s">
        <v>67</v>
      </c>
      <c r="E14030" t="s">
        <v>67</v>
      </c>
      <c r="F14030" t="s">
        <v>49</v>
      </c>
      <c r="G14030" s="117">
        <v>0.89</v>
      </c>
    </row>
    <row r="14031" spans="1:7" x14ac:dyDescent="0.25">
      <c r="A14031" s="116" t="s">
        <v>21823</v>
      </c>
      <c r="B14031" s="117" t="s">
        <v>9155</v>
      </c>
      <c r="C14031" t="s">
        <v>67</v>
      </c>
      <c r="D14031" t="s">
        <v>67</v>
      </c>
      <c r="E14031" t="s">
        <v>67</v>
      </c>
      <c r="F14031" t="s">
        <v>49</v>
      </c>
      <c r="G14031" s="117">
        <v>2.58</v>
      </c>
    </row>
    <row r="14032" spans="1:7" x14ac:dyDescent="0.25">
      <c r="A14032" s="116" t="s">
        <v>21824</v>
      </c>
      <c r="B14032" s="117" t="s">
        <v>9272</v>
      </c>
      <c r="C14032" t="s">
        <v>67</v>
      </c>
      <c r="D14032" t="s">
        <v>67</v>
      </c>
      <c r="E14032" t="s">
        <v>67</v>
      </c>
      <c r="F14032" t="s">
        <v>49</v>
      </c>
      <c r="G14032" s="117">
        <v>1.33</v>
      </c>
    </row>
    <row r="14033" spans="1:7" x14ac:dyDescent="0.25">
      <c r="A14033" s="116" t="s">
        <v>21825</v>
      </c>
      <c r="B14033" s="117" t="s">
        <v>21826</v>
      </c>
      <c r="C14033" t="s">
        <v>67</v>
      </c>
      <c r="D14033" t="s">
        <v>67</v>
      </c>
      <c r="E14033" t="s">
        <v>67</v>
      </c>
      <c r="F14033" t="s">
        <v>49</v>
      </c>
      <c r="G14033" s="117">
        <v>2.58</v>
      </c>
    </row>
    <row r="14034" spans="1:7" x14ac:dyDescent="0.25">
      <c r="A14034" s="116" t="s">
        <v>21827</v>
      </c>
      <c r="B14034" s="117" t="s">
        <v>9576</v>
      </c>
      <c r="C14034" t="s">
        <v>67</v>
      </c>
      <c r="D14034" t="s">
        <v>67</v>
      </c>
      <c r="E14034" t="s">
        <v>67</v>
      </c>
      <c r="F14034" t="s">
        <v>49</v>
      </c>
      <c r="G14034" s="117">
        <v>1.69</v>
      </c>
    </row>
    <row r="14035" spans="1:7" x14ac:dyDescent="0.25">
      <c r="A14035" s="116" t="s">
        <v>21828</v>
      </c>
      <c r="B14035" s="117" t="s">
        <v>9576</v>
      </c>
      <c r="C14035" t="s">
        <v>67</v>
      </c>
      <c r="D14035" t="s">
        <v>67</v>
      </c>
      <c r="E14035" t="s">
        <v>67</v>
      </c>
      <c r="F14035" t="s">
        <v>27987</v>
      </c>
      <c r="G14035" s="117">
        <v>1.33</v>
      </c>
    </row>
    <row r="14036" spans="1:7" x14ac:dyDescent="0.25">
      <c r="A14036" s="116" t="s">
        <v>21829</v>
      </c>
      <c r="B14036" s="117" t="s">
        <v>26517</v>
      </c>
      <c r="C14036" t="s">
        <v>67</v>
      </c>
      <c r="D14036" t="s">
        <v>67</v>
      </c>
      <c r="E14036" t="s">
        <v>67</v>
      </c>
      <c r="F14036" t="s">
        <v>49</v>
      </c>
      <c r="G14036" s="117">
        <v>0.7</v>
      </c>
    </row>
    <row r="14037" spans="1:7" x14ac:dyDescent="0.25">
      <c r="A14037" s="116" t="s">
        <v>21830</v>
      </c>
      <c r="B14037" s="117" t="s">
        <v>9580</v>
      </c>
      <c r="C14037" t="s">
        <v>67</v>
      </c>
      <c r="D14037" t="s">
        <v>67</v>
      </c>
      <c r="E14037" t="s">
        <v>67</v>
      </c>
      <c r="F14037" t="s">
        <v>45</v>
      </c>
      <c r="G14037" s="117">
        <v>1.33</v>
      </c>
    </row>
    <row r="14038" spans="1:7" x14ac:dyDescent="0.25">
      <c r="A14038" s="116" t="s">
        <v>21831</v>
      </c>
      <c r="B14038" s="117" t="s">
        <v>21832</v>
      </c>
      <c r="C14038" t="s">
        <v>67</v>
      </c>
      <c r="D14038" t="s">
        <v>67</v>
      </c>
      <c r="E14038" t="s">
        <v>67</v>
      </c>
      <c r="F14038" t="s">
        <v>51</v>
      </c>
      <c r="G14038" s="117">
        <v>1.61</v>
      </c>
    </row>
    <row r="14039" spans="1:7" x14ac:dyDescent="0.25">
      <c r="A14039" s="116" t="s">
        <v>21833</v>
      </c>
      <c r="B14039" s="117" t="s">
        <v>9194</v>
      </c>
      <c r="C14039" t="s">
        <v>67</v>
      </c>
      <c r="D14039" t="s">
        <v>67</v>
      </c>
      <c r="E14039" t="s">
        <v>67</v>
      </c>
      <c r="F14039" t="s">
        <v>49</v>
      </c>
      <c r="G14039" s="117">
        <v>2.23</v>
      </c>
    </row>
    <row r="14040" spans="1:7" x14ac:dyDescent="0.25">
      <c r="A14040" s="116" t="s">
        <v>21834</v>
      </c>
      <c r="B14040" s="117" t="s">
        <v>9194</v>
      </c>
      <c r="C14040" t="s">
        <v>67</v>
      </c>
      <c r="D14040" t="s">
        <v>67</v>
      </c>
      <c r="E14040" t="s">
        <v>67</v>
      </c>
      <c r="F14040" t="s">
        <v>27987</v>
      </c>
      <c r="G14040" s="117">
        <v>2.23</v>
      </c>
    </row>
    <row r="14041" spans="1:7" x14ac:dyDescent="0.25">
      <c r="A14041" s="116" t="s">
        <v>21835</v>
      </c>
      <c r="B14041" s="117" t="s">
        <v>21836</v>
      </c>
      <c r="C14041" t="s">
        <v>67</v>
      </c>
      <c r="D14041" t="s">
        <v>67</v>
      </c>
      <c r="E14041" t="s">
        <v>67</v>
      </c>
      <c r="F14041" t="s">
        <v>27987</v>
      </c>
      <c r="G14041" s="117">
        <v>2.58</v>
      </c>
    </row>
    <row r="14042" spans="1:7" x14ac:dyDescent="0.25">
      <c r="A14042" s="116" t="s">
        <v>21837</v>
      </c>
      <c r="B14042" s="117" t="s">
        <v>21838</v>
      </c>
      <c r="C14042" t="s">
        <v>67</v>
      </c>
      <c r="D14042" t="s">
        <v>67</v>
      </c>
      <c r="E14042" t="s">
        <v>67</v>
      </c>
      <c r="F14042" t="s">
        <v>49</v>
      </c>
      <c r="G14042" s="117">
        <v>2.58</v>
      </c>
    </row>
    <row r="14043" spans="1:7" x14ac:dyDescent="0.25">
      <c r="A14043" s="116" t="s">
        <v>21839</v>
      </c>
      <c r="B14043" s="117" t="s">
        <v>9080</v>
      </c>
      <c r="C14043" t="s">
        <v>67</v>
      </c>
      <c r="D14043" t="s">
        <v>67</v>
      </c>
      <c r="E14043" t="s">
        <v>67</v>
      </c>
      <c r="F14043" t="s">
        <v>27987</v>
      </c>
      <c r="G14043" s="117">
        <v>2.23</v>
      </c>
    </row>
    <row r="14044" spans="1:7" x14ac:dyDescent="0.25">
      <c r="A14044" s="116" t="s">
        <v>21840</v>
      </c>
      <c r="B14044" s="117" t="s">
        <v>21841</v>
      </c>
      <c r="C14044" t="s">
        <v>67</v>
      </c>
      <c r="D14044" t="s">
        <v>67</v>
      </c>
      <c r="E14044" t="s">
        <v>67</v>
      </c>
      <c r="F14044" t="s">
        <v>45</v>
      </c>
      <c r="G14044" s="117">
        <v>1.69</v>
      </c>
    </row>
    <row r="14045" spans="1:7" x14ac:dyDescent="0.25">
      <c r="A14045" s="116" t="s">
        <v>21842</v>
      </c>
      <c r="B14045" s="117" t="s">
        <v>21843</v>
      </c>
      <c r="C14045" t="s">
        <v>67</v>
      </c>
      <c r="D14045" t="s">
        <v>67</v>
      </c>
      <c r="E14045" t="s">
        <v>67</v>
      </c>
      <c r="F14045" t="s">
        <v>51</v>
      </c>
      <c r="G14045" s="117">
        <v>1.69</v>
      </c>
    </row>
    <row r="14046" spans="1:7" x14ac:dyDescent="0.25">
      <c r="A14046" s="116" t="s">
        <v>21844</v>
      </c>
      <c r="B14046" s="117" t="s">
        <v>21845</v>
      </c>
      <c r="C14046" t="s">
        <v>67</v>
      </c>
      <c r="D14046" t="s">
        <v>67</v>
      </c>
      <c r="E14046" t="s">
        <v>67</v>
      </c>
      <c r="F14046" t="s">
        <v>49</v>
      </c>
      <c r="G14046" s="117">
        <v>3.12</v>
      </c>
    </row>
    <row r="14047" spans="1:7" x14ac:dyDescent="0.25">
      <c r="A14047" s="116" t="s">
        <v>21846</v>
      </c>
      <c r="B14047" s="117" t="s">
        <v>21847</v>
      </c>
      <c r="C14047" t="s">
        <v>67</v>
      </c>
      <c r="D14047" t="s">
        <v>67</v>
      </c>
      <c r="E14047" t="s">
        <v>67</v>
      </c>
      <c r="F14047" t="s">
        <v>27987</v>
      </c>
      <c r="G14047" s="117">
        <v>8.4499999999999993</v>
      </c>
    </row>
    <row r="14048" spans="1:7" x14ac:dyDescent="0.25">
      <c r="A14048" s="116" t="s">
        <v>27807</v>
      </c>
      <c r="B14048" s="117" t="s">
        <v>21848</v>
      </c>
      <c r="C14048" t="s">
        <v>67</v>
      </c>
      <c r="D14048" t="s">
        <v>67</v>
      </c>
      <c r="E14048" t="s">
        <v>67</v>
      </c>
      <c r="F14048" t="s">
        <v>45</v>
      </c>
      <c r="G14048" s="117">
        <v>61.16</v>
      </c>
    </row>
    <row r="14049" spans="1:7" x14ac:dyDescent="0.25">
      <c r="A14049" s="116" t="s">
        <v>21849</v>
      </c>
      <c r="B14049" s="117" t="s">
        <v>21850</v>
      </c>
      <c r="C14049" t="s">
        <v>67</v>
      </c>
      <c r="D14049" t="s">
        <v>67</v>
      </c>
      <c r="E14049" t="s">
        <v>67</v>
      </c>
      <c r="F14049" t="s">
        <v>27987</v>
      </c>
      <c r="G14049" s="117">
        <v>6.14</v>
      </c>
    </row>
    <row r="14050" spans="1:7" x14ac:dyDescent="0.25">
      <c r="A14050" s="116" t="s">
        <v>27808</v>
      </c>
      <c r="B14050" s="117" t="s">
        <v>21851</v>
      </c>
      <c r="C14050" t="s">
        <v>67</v>
      </c>
      <c r="D14050" t="s">
        <v>67</v>
      </c>
      <c r="E14050" t="s">
        <v>67</v>
      </c>
      <c r="F14050" t="s">
        <v>45</v>
      </c>
      <c r="G14050" s="117">
        <v>7.56</v>
      </c>
    </row>
    <row r="14051" spans="1:7" x14ac:dyDescent="0.25">
      <c r="A14051" s="116" t="s">
        <v>27809</v>
      </c>
      <c r="B14051" s="117" t="s">
        <v>21852</v>
      </c>
      <c r="C14051" t="s">
        <v>67</v>
      </c>
      <c r="D14051" t="s">
        <v>67</v>
      </c>
      <c r="E14051" t="s">
        <v>67</v>
      </c>
      <c r="F14051" t="s">
        <v>45</v>
      </c>
      <c r="G14051" s="117">
        <v>3.56</v>
      </c>
    </row>
    <row r="14052" spans="1:7" x14ac:dyDescent="0.25">
      <c r="A14052" s="116" t="s">
        <v>21853</v>
      </c>
      <c r="B14052" s="117" t="s">
        <v>21854</v>
      </c>
      <c r="C14052" t="s">
        <v>67</v>
      </c>
      <c r="D14052" t="s">
        <v>67</v>
      </c>
      <c r="E14052" t="s">
        <v>67</v>
      </c>
      <c r="F14052" t="s">
        <v>27987</v>
      </c>
      <c r="G14052" s="117">
        <v>1.77</v>
      </c>
    </row>
    <row r="14053" spans="1:7" x14ac:dyDescent="0.25">
      <c r="A14053" s="116" t="s">
        <v>21855</v>
      </c>
      <c r="B14053" s="117" t="s">
        <v>21856</v>
      </c>
      <c r="C14053" t="s">
        <v>67</v>
      </c>
      <c r="D14053" t="s">
        <v>67</v>
      </c>
      <c r="E14053" t="s">
        <v>67</v>
      </c>
      <c r="F14053" t="s">
        <v>27987</v>
      </c>
      <c r="G14053" s="117">
        <v>3.56</v>
      </c>
    </row>
    <row r="14054" spans="1:7" x14ac:dyDescent="0.25">
      <c r="A14054" s="116" t="s">
        <v>21857</v>
      </c>
      <c r="B14054" s="117" t="s">
        <v>21858</v>
      </c>
      <c r="C14054" t="s">
        <v>67</v>
      </c>
      <c r="D14054" t="s">
        <v>67</v>
      </c>
      <c r="E14054" t="s">
        <v>67</v>
      </c>
      <c r="F14054" t="s">
        <v>49</v>
      </c>
      <c r="G14054" s="117">
        <v>2.67</v>
      </c>
    </row>
    <row r="14055" spans="1:7" x14ac:dyDescent="0.25">
      <c r="A14055" s="116" t="s">
        <v>27810</v>
      </c>
      <c r="B14055" s="117" t="s">
        <v>125</v>
      </c>
      <c r="C14055" t="s">
        <v>67</v>
      </c>
      <c r="D14055" t="s">
        <v>67</v>
      </c>
      <c r="E14055" t="s">
        <v>67</v>
      </c>
      <c r="F14055" t="s">
        <v>27987</v>
      </c>
      <c r="G14055" s="117">
        <v>24.82</v>
      </c>
    </row>
    <row r="14056" spans="1:7" x14ac:dyDescent="0.25">
      <c r="A14056" s="116" t="s">
        <v>21859</v>
      </c>
      <c r="B14056" s="117" t="s">
        <v>9157</v>
      </c>
      <c r="C14056" t="s">
        <v>67</v>
      </c>
      <c r="D14056" t="s">
        <v>67</v>
      </c>
      <c r="E14056" t="s">
        <v>67</v>
      </c>
      <c r="F14056" t="s">
        <v>45</v>
      </c>
      <c r="G14056" s="117">
        <v>0.8</v>
      </c>
    </row>
    <row r="14057" spans="1:7" x14ac:dyDescent="0.25">
      <c r="A14057" s="116" t="s">
        <v>27811</v>
      </c>
      <c r="B14057" s="117" t="s">
        <v>21860</v>
      </c>
      <c r="C14057" t="s">
        <v>67</v>
      </c>
      <c r="D14057" t="s">
        <v>67</v>
      </c>
      <c r="E14057" t="s">
        <v>67</v>
      </c>
      <c r="F14057" t="s">
        <v>27987</v>
      </c>
      <c r="G14057" s="117">
        <v>46.75</v>
      </c>
    </row>
    <row r="14058" spans="1:7" x14ac:dyDescent="0.25">
      <c r="A14058" s="116" t="s">
        <v>27812</v>
      </c>
      <c r="B14058" s="117" t="s">
        <v>21861</v>
      </c>
      <c r="C14058" t="s">
        <v>67</v>
      </c>
      <c r="D14058" t="s">
        <v>67</v>
      </c>
      <c r="E14058" t="s">
        <v>67</v>
      </c>
      <c r="F14058" t="s">
        <v>45</v>
      </c>
      <c r="G14058" s="117">
        <v>3.56</v>
      </c>
    </row>
    <row r="14059" spans="1:7" x14ac:dyDescent="0.25">
      <c r="A14059" s="116" t="s">
        <v>27813</v>
      </c>
      <c r="B14059" s="117" t="s">
        <v>21862</v>
      </c>
      <c r="C14059" t="s">
        <v>67</v>
      </c>
      <c r="D14059" t="s">
        <v>67</v>
      </c>
      <c r="E14059" t="s">
        <v>67</v>
      </c>
      <c r="F14059" t="s">
        <v>27987</v>
      </c>
      <c r="G14059" s="117">
        <v>3.48</v>
      </c>
    </row>
    <row r="14060" spans="1:7" x14ac:dyDescent="0.25">
      <c r="A14060" s="116" t="s">
        <v>27814</v>
      </c>
      <c r="B14060" s="117" t="s">
        <v>21863</v>
      </c>
      <c r="C14060" t="s">
        <v>67</v>
      </c>
      <c r="D14060" t="s">
        <v>67</v>
      </c>
      <c r="E14060" t="s">
        <v>67</v>
      </c>
      <c r="F14060" t="s">
        <v>27987</v>
      </c>
      <c r="G14060" s="117">
        <v>206.53</v>
      </c>
    </row>
    <row r="14061" spans="1:7" x14ac:dyDescent="0.25">
      <c r="A14061" s="116" t="s">
        <v>27815</v>
      </c>
      <c r="B14061" s="117" t="s">
        <v>8256</v>
      </c>
      <c r="C14061" t="s">
        <v>67</v>
      </c>
      <c r="D14061" t="s">
        <v>67</v>
      </c>
      <c r="E14061" t="s">
        <v>67</v>
      </c>
      <c r="F14061" t="s">
        <v>45</v>
      </c>
      <c r="G14061" s="117">
        <v>3.56</v>
      </c>
    </row>
    <row r="14062" spans="1:7" x14ac:dyDescent="0.25">
      <c r="A14062" s="116" t="s">
        <v>27816</v>
      </c>
      <c r="B14062" s="117" t="s">
        <v>8256</v>
      </c>
      <c r="C14062" t="s">
        <v>67</v>
      </c>
      <c r="D14062" t="s">
        <v>67</v>
      </c>
      <c r="E14062" t="s">
        <v>67</v>
      </c>
      <c r="F14062" t="s">
        <v>45</v>
      </c>
      <c r="G14062" s="117">
        <v>141.78</v>
      </c>
    </row>
    <row r="14063" spans="1:7" x14ac:dyDescent="0.25">
      <c r="A14063" s="116" t="s">
        <v>27817</v>
      </c>
      <c r="B14063" s="117" t="s">
        <v>21864</v>
      </c>
      <c r="C14063" t="s">
        <v>67</v>
      </c>
      <c r="D14063" t="s">
        <v>67</v>
      </c>
      <c r="E14063" t="s">
        <v>67</v>
      </c>
      <c r="F14063" t="s">
        <v>45</v>
      </c>
      <c r="G14063" s="117">
        <v>53.65</v>
      </c>
    </row>
    <row r="14064" spans="1:7" x14ac:dyDescent="0.25">
      <c r="A14064" s="116" t="s">
        <v>21865</v>
      </c>
      <c r="B14064" s="117" t="s">
        <v>21866</v>
      </c>
      <c r="C14064" t="s">
        <v>67</v>
      </c>
      <c r="D14064" t="s">
        <v>67</v>
      </c>
      <c r="E14064" t="s">
        <v>67</v>
      </c>
      <c r="F14064" t="s">
        <v>27987</v>
      </c>
      <c r="G14064" s="117">
        <v>1.69</v>
      </c>
    </row>
    <row r="14065" spans="1:7" x14ac:dyDescent="0.25">
      <c r="A14065" s="116" t="s">
        <v>21867</v>
      </c>
      <c r="B14065" s="117" t="s">
        <v>21868</v>
      </c>
      <c r="C14065" t="s">
        <v>67</v>
      </c>
      <c r="D14065" t="s">
        <v>67</v>
      </c>
      <c r="E14065" t="s">
        <v>67</v>
      </c>
      <c r="F14065" t="s">
        <v>49</v>
      </c>
      <c r="G14065" s="117">
        <v>0.44</v>
      </c>
    </row>
    <row r="14066" spans="1:7" x14ac:dyDescent="0.25">
      <c r="A14066" s="116" t="s">
        <v>21869</v>
      </c>
      <c r="B14066" s="117" t="s">
        <v>21870</v>
      </c>
      <c r="C14066" t="s">
        <v>67</v>
      </c>
      <c r="D14066" t="s">
        <v>67</v>
      </c>
      <c r="E14066" t="s">
        <v>67</v>
      </c>
      <c r="F14066" t="s">
        <v>45</v>
      </c>
      <c r="G14066" s="117">
        <v>0.44</v>
      </c>
    </row>
    <row r="14067" spans="1:7" x14ac:dyDescent="0.25">
      <c r="A14067" s="116" t="s">
        <v>21871</v>
      </c>
      <c r="B14067" s="117" t="s">
        <v>21872</v>
      </c>
      <c r="C14067" t="s">
        <v>67</v>
      </c>
      <c r="D14067" t="s">
        <v>67</v>
      </c>
      <c r="E14067" t="s">
        <v>67</v>
      </c>
      <c r="F14067" t="s">
        <v>49</v>
      </c>
      <c r="G14067" s="117">
        <v>0.8</v>
      </c>
    </row>
    <row r="14068" spans="1:7" x14ac:dyDescent="0.25">
      <c r="A14068" s="116" t="s">
        <v>21873</v>
      </c>
      <c r="B14068" s="117" t="s">
        <v>21874</v>
      </c>
      <c r="C14068" t="s">
        <v>67</v>
      </c>
      <c r="D14068" t="s">
        <v>67</v>
      </c>
      <c r="E14068" t="s">
        <v>67</v>
      </c>
      <c r="F14068" t="s">
        <v>49</v>
      </c>
      <c r="G14068" s="117">
        <v>0.44</v>
      </c>
    </row>
    <row r="14069" spans="1:7" x14ac:dyDescent="0.25">
      <c r="A14069" s="116" t="s">
        <v>21875</v>
      </c>
      <c r="B14069" s="117" t="s">
        <v>21876</v>
      </c>
      <c r="C14069" t="s">
        <v>67</v>
      </c>
      <c r="D14069" t="s">
        <v>67</v>
      </c>
      <c r="E14069" t="s">
        <v>67</v>
      </c>
      <c r="F14069" t="s">
        <v>49</v>
      </c>
      <c r="G14069" s="117">
        <v>0.8</v>
      </c>
    </row>
    <row r="14070" spans="1:7" x14ac:dyDescent="0.25">
      <c r="A14070" s="116" t="s">
        <v>21877</v>
      </c>
      <c r="B14070" s="117" t="s">
        <v>8997</v>
      </c>
      <c r="C14070" t="s">
        <v>67</v>
      </c>
      <c r="D14070" t="s">
        <v>67</v>
      </c>
      <c r="E14070" t="s">
        <v>67</v>
      </c>
      <c r="F14070" t="s">
        <v>49</v>
      </c>
      <c r="G14070" s="117">
        <v>0.8</v>
      </c>
    </row>
    <row r="14071" spans="1:7" x14ac:dyDescent="0.25">
      <c r="A14071" s="116" t="s">
        <v>21878</v>
      </c>
      <c r="B14071" s="117" t="s">
        <v>8153</v>
      </c>
      <c r="C14071" t="s">
        <v>67</v>
      </c>
      <c r="D14071" t="s">
        <v>67</v>
      </c>
      <c r="E14071" t="s">
        <v>67</v>
      </c>
      <c r="F14071" t="s">
        <v>51</v>
      </c>
      <c r="G14071" s="117">
        <v>0.89</v>
      </c>
    </row>
    <row r="14072" spans="1:7" x14ac:dyDescent="0.25">
      <c r="A14072" s="116" t="s">
        <v>21879</v>
      </c>
      <c r="B14072" s="117" t="s">
        <v>8196</v>
      </c>
      <c r="C14072" t="s">
        <v>67</v>
      </c>
      <c r="D14072" t="s">
        <v>67</v>
      </c>
      <c r="E14072" t="s">
        <v>67</v>
      </c>
      <c r="F14072" t="s">
        <v>27987</v>
      </c>
      <c r="G14072" s="117">
        <v>2.58</v>
      </c>
    </row>
    <row r="14073" spans="1:7" x14ac:dyDescent="0.25">
      <c r="A14073" s="116" t="s">
        <v>21880</v>
      </c>
      <c r="B14073" s="117" t="s">
        <v>8196</v>
      </c>
      <c r="C14073" t="s">
        <v>67</v>
      </c>
      <c r="D14073" t="s">
        <v>67</v>
      </c>
      <c r="E14073" t="s">
        <v>67</v>
      </c>
      <c r="F14073" t="s">
        <v>27987</v>
      </c>
      <c r="G14073" s="117">
        <v>2.58</v>
      </c>
    </row>
    <row r="14074" spans="1:7" x14ac:dyDescent="0.25">
      <c r="A14074" s="116" t="s">
        <v>21881</v>
      </c>
      <c r="B14074" s="117" t="s">
        <v>20100</v>
      </c>
      <c r="C14074" t="s">
        <v>67</v>
      </c>
      <c r="D14074" t="s">
        <v>67</v>
      </c>
      <c r="E14074" t="s">
        <v>67</v>
      </c>
      <c r="F14074" t="s">
        <v>27987</v>
      </c>
      <c r="G14074" s="117">
        <v>3.48</v>
      </c>
    </row>
    <row r="14075" spans="1:7" x14ac:dyDescent="0.25">
      <c r="A14075" s="116" t="s">
        <v>21882</v>
      </c>
      <c r="B14075" s="117" t="s">
        <v>21883</v>
      </c>
      <c r="C14075" t="s">
        <v>67</v>
      </c>
      <c r="D14075" t="s">
        <v>67</v>
      </c>
      <c r="E14075" t="s">
        <v>67</v>
      </c>
      <c r="F14075" t="s">
        <v>49</v>
      </c>
      <c r="G14075" s="117">
        <v>1.69</v>
      </c>
    </row>
    <row r="14076" spans="1:7" x14ac:dyDescent="0.25">
      <c r="A14076" s="116" t="s">
        <v>27818</v>
      </c>
      <c r="B14076" s="117" t="s">
        <v>21884</v>
      </c>
      <c r="C14076" t="s">
        <v>67</v>
      </c>
      <c r="D14076" t="s">
        <v>67</v>
      </c>
      <c r="E14076" t="s">
        <v>67</v>
      </c>
      <c r="F14076" t="s">
        <v>45</v>
      </c>
      <c r="G14076" s="117">
        <v>4.3600000000000003</v>
      </c>
    </row>
    <row r="14077" spans="1:7" x14ac:dyDescent="0.25">
      <c r="A14077" s="116" t="s">
        <v>27819</v>
      </c>
      <c r="B14077" s="117" t="s">
        <v>21885</v>
      </c>
      <c r="C14077" t="s">
        <v>67</v>
      </c>
      <c r="D14077" t="s">
        <v>67</v>
      </c>
      <c r="E14077" t="s">
        <v>67</v>
      </c>
      <c r="F14077" t="s">
        <v>45</v>
      </c>
      <c r="G14077" s="117">
        <v>71.37</v>
      </c>
    </row>
    <row r="14078" spans="1:7" x14ac:dyDescent="0.25">
      <c r="A14078" s="116" t="s">
        <v>27820</v>
      </c>
      <c r="B14078" s="117" t="s">
        <v>21886</v>
      </c>
      <c r="C14078" t="s">
        <v>67</v>
      </c>
      <c r="D14078" t="s">
        <v>67</v>
      </c>
      <c r="E14078" t="s">
        <v>67</v>
      </c>
      <c r="F14078" t="s">
        <v>45</v>
      </c>
      <c r="G14078" s="117">
        <v>24.63</v>
      </c>
    </row>
    <row r="14079" spans="1:7" x14ac:dyDescent="0.25">
      <c r="A14079" s="116" t="s">
        <v>21887</v>
      </c>
      <c r="B14079" s="117" t="s">
        <v>24472</v>
      </c>
      <c r="C14079" t="s">
        <v>67</v>
      </c>
      <c r="D14079" t="s">
        <v>67</v>
      </c>
      <c r="E14079" t="s">
        <v>67</v>
      </c>
      <c r="F14079" t="s">
        <v>27987</v>
      </c>
      <c r="G14079" s="117">
        <v>0.3</v>
      </c>
    </row>
    <row r="14080" spans="1:7" x14ac:dyDescent="0.25">
      <c r="A14080" s="116" t="s">
        <v>21888</v>
      </c>
      <c r="B14080" s="117" t="s">
        <v>8339</v>
      </c>
      <c r="C14080" t="s">
        <v>67</v>
      </c>
      <c r="D14080" t="s">
        <v>67</v>
      </c>
      <c r="E14080" t="s">
        <v>67</v>
      </c>
      <c r="F14080" t="s">
        <v>49</v>
      </c>
      <c r="G14080" s="117">
        <v>0.8</v>
      </c>
    </row>
    <row r="14081" spans="1:7" x14ac:dyDescent="0.25">
      <c r="A14081" s="116" t="s">
        <v>21889</v>
      </c>
      <c r="B14081" s="117" t="s">
        <v>8256</v>
      </c>
      <c r="C14081" t="s">
        <v>67</v>
      </c>
      <c r="D14081" t="s">
        <v>67</v>
      </c>
      <c r="E14081" t="s">
        <v>67</v>
      </c>
      <c r="F14081" t="s">
        <v>49</v>
      </c>
      <c r="G14081" s="117">
        <v>0.44</v>
      </c>
    </row>
    <row r="14082" spans="1:7" x14ac:dyDescent="0.25">
      <c r="A14082" s="116" t="s">
        <v>21890</v>
      </c>
      <c r="B14082" s="117" t="s">
        <v>21863</v>
      </c>
      <c r="C14082" t="s">
        <v>67</v>
      </c>
      <c r="D14082" t="s">
        <v>67</v>
      </c>
      <c r="E14082" t="s">
        <v>67</v>
      </c>
      <c r="F14082" t="s">
        <v>49</v>
      </c>
      <c r="G14082" s="117">
        <v>0.44</v>
      </c>
    </row>
    <row r="14083" spans="1:7" x14ac:dyDescent="0.25">
      <c r="A14083" s="116" t="s">
        <v>21891</v>
      </c>
      <c r="B14083" s="117" t="s">
        <v>8233</v>
      </c>
      <c r="C14083" t="s">
        <v>67</v>
      </c>
      <c r="D14083" t="s">
        <v>67</v>
      </c>
      <c r="E14083" t="s">
        <v>67</v>
      </c>
      <c r="F14083" t="s">
        <v>49</v>
      </c>
      <c r="G14083" s="117">
        <v>0.44</v>
      </c>
    </row>
    <row r="14084" spans="1:7" x14ac:dyDescent="0.25">
      <c r="A14084" s="116" t="s">
        <v>21892</v>
      </c>
      <c r="B14084" s="117" t="s">
        <v>8233</v>
      </c>
      <c r="C14084" t="s">
        <v>67</v>
      </c>
      <c r="D14084" t="s">
        <v>67</v>
      </c>
      <c r="E14084" t="s">
        <v>67</v>
      </c>
      <c r="F14084" t="s">
        <v>49</v>
      </c>
      <c r="G14084" s="117">
        <v>0.44</v>
      </c>
    </row>
    <row r="14085" spans="1:7" x14ac:dyDescent="0.25">
      <c r="A14085" s="116" t="s">
        <v>21893</v>
      </c>
      <c r="B14085" s="117" t="s">
        <v>8262</v>
      </c>
      <c r="C14085" t="s">
        <v>67</v>
      </c>
      <c r="D14085" t="s">
        <v>67</v>
      </c>
      <c r="E14085" t="s">
        <v>67</v>
      </c>
      <c r="F14085" t="s">
        <v>49</v>
      </c>
      <c r="G14085" s="117">
        <v>0.44</v>
      </c>
    </row>
    <row r="14086" spans="1:7" x14ac:dyDescent="0.25">
      <c r="A14086" s="116" t="s">
        <v>21894</v>
      </c>
      <c r="B14086" s="117" t="s">
        <v>8262</v>
      </c>
      <c r="C14086" t="s">
        <v>67</v>
      </c>
      <c r="D14086" t="s">
        <v>67</v>
      </c>
      <c r="E14086" t="s">
        <v>67</v>
      </c>
      <c r="F14086" t="s">
        <v>49</v>
      </c>
      <c r="G14086" s="117">
        <v>0.44</v>
      </c>
    </row>
    <row r="14087" spans="1:7" x14ac:dyDescent="0.25">
      <c r="A14087" s="116" t="s">
        <v>21895</v>
      </c>
      <c r="B14087" s="117" t="s">
        <v>8236</v>
      </c>
      <c r="C14087" t="s">
        <v>67</v>
      </c>
      <c r="D14087" t="s">
        <v>67</v>
      </c>
      <c r="E14087" t="s">
        <v>67</v>
      </c>
      <c r="F14087" t="s">
        <v>27987</v>
      </c>
      <c r="G14087" s="117">
        <v>0.4</v>
      </c>
    </row>
    <row r="14088" spans="1:7" x14ac:dyDescent="0.25">
      <c r="A14088" s="116" t="s">
        <v>21896</v>
      </c>
      <c r="B14088" s="117" t="s">
        <v>8239</v>
      </c>
      <c r="C14088" t="s">
        <v>67</v>
      </c>
      <c r="D14088" t="s">
        <v>67</v>
      </c>
      <c r="E14088" t="s">
        <v>67</v>
      </c>
      <c r="F14088" t="s">
        <v>45</v>
      </c>
      <c r="G14088" s="117">
        <v>1.69</v>
      </c>
    </row>
    <row r="14089" spans="1:7" x14ac:dyDescent="0.25">
      <c r="A14089" s="116" t="s">
        <v>21897</v>
      </c>
      <c r="B14089" s="117" t="s">
        <v>8309</v>
      </c>
      <c r="C14089" t="s">
        <v>67</v>
      </c>
      <c r="D14089" t="s">
        <v>67</v>
      </c>
      <c r="E14089" t="s">
        <v>67</v>
      </c>
      <c r="F14089" t="s">
        <v>27990</v>
      </c>
      <c r="G14089" s="117">
        <v>0.44</v>
      </c>
    </row>
    <row r="14090" spans="1:7" x14ac:dyDescent="0.25">
      <c r="A14090" s="116" t="s">
        <v>21898</v>
      </c>
      <c r="B14090" s="117" t="s">
        <v>12107</v>
      </c>
      <c r="C14090" t="s">
        <v>67</v>
      </c>
      <c r="D14090" t="s">
        <v>67</v>
      </c>
      <c r="E14090" t="s">
        <v>67</v>
      </c>
      <c r="F14090" t="s">
        <v>45</v>
      </c>
      <c r="G14090" s="117">
        <v>0.44</v>
      </c>
    </row>
    <row r="14091" spans="1:7" x14ac:dyDescent="0.25">
      <c r="A14091" s="116" t="s">
        <v>21899</v>
      </c>
      <c r="B14091" s="117" t="s">
        <v>21900</v>
      </c>
      <c r="C14091" t="s">
        <v>67</v>
      </c>
      <c r="D14091" t="s">
        <v>67</v>
      </c>
      <c r="E14091" t="s">
        <v>67</v>
      </c>
      <c r="F14091" t="s">
        <v>49</v>
      </c>
      <c r="G14091" s="117">
        <v>0.8</v>
      </c>
    </row>
    <row r="14092" spans="1:7" x14ac:dyDescent="0.25">
      <c r="A14092" s="116" t="s">
        <v>21901</v>
      </c>
      <c r="B14092" s="117" t="s">
        <v>21902</v>
      </c>
      <c r="C14092" t="s">
        <v>67</v>
      </c>
      <c r="D14092" t="s">
        <v>67</v>
      </c>
      <c r="E14092" t="s">
        <v>67</v>
      </c>
      <c r="F14092" t="s">
        <v>27987</v>
      </c>
      <c r="G14092" s="117">
        <v>0.8</v>
      </c>
    </row>
    <row r="14093" spans="1:7" x14ac:dyDescent="0.25">
      <c r="A14093" s="116" t="s">
        <v>21903</v>
      </c>
      <c r="B14093" s="117" t="s">
        <v>21904</v>
      </c>
      <c r="C14093" t="s">
        <v>67</v>
      </c>
      <c r="D14093" t="s">
        <v>67</v>
      </c>
      <c r="E14093" t="s">
        <v>67</v>
      </c>
      <c r="F14093" t="s">
        <v>49</v>
      </c>
      <c r="G14093" s="117">
        <v>0.8</v>
      </c>
    </row>
    <row r="14094" spans="1:7" x14ac:dyDescent="0.25">
      <c r="A14094" s="116" t="s">
        <v>27821</v>
      </c>
      <c r="B14094" s="117" t="s">
        <v>21905</v>
      </c>
      <c r="C14094" t="s">
        <v>67</v>
      </c>
      <c r="D14094" t="s">
        <v>67</v>
      </c>
      <c r="E14094" t="s">
        <v>67</v>
      </c>
      <c r="F14094" t="s">
        <v>45</v>
      </c>
      <c r="G14094" s="117">
        <v>109.78</v>
      </c>
    </row>
    <row r="14095" spans="1:7" x14ac:dyDescent="0.25">
      <c r="A14095" s="116" t="s">
        <v>27822</v>
      </c>
      <c r="B14095" s="117" t="s">
        <v>21906</v>
      </c>
      <c r="C14095" t="s">
        <v>67</v>
      </c>
      <c r="D14095" t="s">
        <v>67</v>
      </c>
      <c r="E14095" t="s">
        <v>67</v>
      </c>
      <c r="F14095" t="s">
        <v>45</v>
      </c>
      <c r="G14095" s="117">
        <v>177.22</v>
      </c>
    </row>
    <row r="14096" spans="1:7" x14ac:dyDescent="0.25">
      <c r="A14096" s="116" t="s">
        <v>27823</v>
      </c>
      <c r="B14096" s="117" t="s">
        <v>21907</v>
      </c>
      <c r="C14096" t="s">
        <v>67</v>
      </c>
      <c r="D14096" t="s">
        <v>67</v>
      </c>
      <c r="E14096" t="s">
        <v>67</v>
      </c>
      <c r="F14096" t="s">
        <v>45</v>
      </c>
      <c r="G14096" s="117">
        <v>95.19</v>
      </c>
    </row>
    <row r="14097" spans="1:7" x14ac:dyDescent="0.25">
      <c r="A14097" s="116" t="s">
        <v>27824</v>
      </c>
      <c r="B14097" s="117" t="s">
        <v>21908</v>
      </c>
      <c r="C14097" t="s">
        <v>67</v>
      </c>
      <c r="D14097" t="s">
        <v>67</v>
      </c>
      <c r="E14097" t="s">
        <v>67</v>
      </c>
      <c r="F14097" t="s">
        <v>45</v>
      </c>
      <c r="G14097" s="117">
        <v>61.23</v>
      </c>
    </row>
    <row r="14098" spans="1:7" x14ac:dyDescent="0.25">
      <c r="A14098" s="116" t="s">
        <v>27825</v>
      </c>
      <c r="B14098" s="117" t="s">
        <v>21909</v>
      </c>
      <c r="C14098" t="s">
        <v>67</v>
      </c>
      <c r="D14098" t="s">
        <v>67</v>
      </c>
      <c r="E14098" t="s">
        <v>67</v>
      </c>
      <c r="F14098" t="s">
        <v>45</v>
      </c>
      <c r="G14098" s="117">
        <v>207.72</v>
      </c>
    </row>
    <row r="14099" spans="1:7" x14ac:dyDescent="0.25">
      <c r="A14099" s="116" t="s">
        <v>27826</v>
      </c>
      <c r="B14099" s="117" t="s">
        <v>21910</v>
      </c>
      <c r="C14099" t="s">
        <v>67</v>
      </c>
      <c r="D14099" t="s">
        <v>67</v>
      </c>
      <c r="E14099" t="s">
        <v>67</v>
      </c>
      <c r="F14099" t="s">
        <v>45</v>
      </c>
      <c r="G14099" s="117">
        <v>90.05</v>
      </c>
    </row>
    <row r="14100" spans="1:7" x14ac:dyDescent="0.25">
      <c r="A14100" s="116" t="s">
        <v>27827</v>
      </c>
      <c r="B14100" s="117" t="s">
        <v>21911</v>
      </c>
      <c r="C14100" t="s">
        <v>67</v>
      </c>
      <c r="D14100" t="s">
        <v>67</v>
      </c>
      <c r="E14100" t="s">
        <v>67</v>
      </c>
      <c r="F14100" t="s">
        <v>27987</v>
      </c>
      <c r="G14100" s="117">
        <v>16.02</v>
      </c>
    </row>
    <row r="14101" spans="1:7" x14ac:dyDescent="0.25">
      <c r="A14101" s="116" t="s">
        <v>27828</v>
      </c>
      <c r="B14101" s="117" t="s">
        <v>21911</v>
      </c>
      <c r="C14101" t="s">
        <v>67</v>
      </c>
      <c r="D14101" t="s">
        <v>67</v>
      </c>
      <c r="E14101" t="s">
        <v>67</v>
      </c>
      <c r="F14101" t="s">
        <v>45</v>
      </c>
      <c r="G14101" s="117">
        <v>51.54</v>
      </c>
    </row>
    <row r="14102" spans="1:7" x14ac:dyDescent="0.25">
      <c r="A14102" s="116" t="s">
        <v>27829</v>
      </c>
      <c r="B14102" s="117" t="s">
        <v>21912</v>
      </c>
      <c r="C14102" t="s">
        <v>67</v>
      </c>
      <c r="D14102" t="s">
        <v>67</v>
      </c>
      <c r="E14102" t="s">
        <v>67</v>
      </c>
      <c r="F14102" t="s">
        <v>45</v>
      </c>
      <c r="G14102" s="117">
        <v>122.81</v>
      </c>
    </row>
    <row r="14103" spans="1:7" x14ac:dyDescent="0.25">
      <c r="A14103" s="116" t="s">
        <v>27830</v>
      </c>
      <c r="B14103" s="117" t="s">
        <v>21913</v>
      </c>
      <c r="C14103" t="s">
        <v>67</v>
      </c>
      <c r="D14103" t="s">
        <v>67</v>
      </c>
      <c r="E14103" t="s">
        <v>67</v>
      </c>
      <c r="F14103" t="s">
        <v>45</v>
      </c>
      <c r="G14103" s="117">
        <v>172.2</v>
      </c>
    </row>
    <row r="14104" spans="1:7" x14ac:dyDescent="0.25">
      <c r="A14104" s="116" t="s">
        <v>27831</v>
      </c>
      <c r="B14104" s="117" t="s">
        <v>21914</v>
      </c>
      <c r="C14104" t="s">
        <v>67</v>
      </c>
      <c r="D14104" t="s">
        <v>67</v>
      </c>
      <c r="E14104" t="s">
        <v>67</v>
      </c>
      <c r="F14104" t="s">
        <v>45</v>
      </c>
      <c r="G14104" s="117">
        <v>149.49</v>
      </c>
    </row>
    <row r="14105" spans="1:7" x14ac:dyDescent="0.25">
      <c r="A14105" s="116" t="s">
        <v>27832</v>
      </c>
      <c r="B14105" s="117" t="s">
        <v>21915</v>
      </c>
      <c r="C14105" t="s">
        <v>67</v>
      </c>
      <c r="D14105" t="s">
        <v>67</v>
      </c>
      <c r="E14105" t="s">
        <v>67</v>
      </c>
      <c r="F14105" t="s">
        <v>45</v>
      </c>
      <c r="G14105" s="117">
        <v>129.63</v>
      </c>
    </row>
    <row r="14106" spans="1:7" x14ac:dyDescent="0.25">
      <c r="A14106" s="116" t="s">
        <v>27833</v>
      </c>
      <c r="B14106" s="117" t="s">
        <v>29570</v>
      </c>
      <c r="C14106" t="s">
        <v>67</v>
      </c>
      <c r="D14106" t="s">
        <v>67</v>
      </c>
      <c r="E14106" t="s">
        <v>67</v>
      </c>
      <c r="F14106" t="s">
        <v>45</v>
      </c>
      <c r="G14106" s="117">
        <v>177.94</v>
      </c>
    </row>
    <row r="14107" spans="1:7" x14ac:dyDescent="0.25">
      <c r="A14107" s="116" t="s">
        <v>27834</v>
      </c>
      <c r="B14107" s="117" t="s">
        <v>29570</v>
      </c>
      <c r="C14107" t="s">
        <v>67</v>
      </c>
      <c r="D14107" t="s">
        <v>67</v>
      </c>
      <c r="E14107" t="s">
        <v>67</v>
      </c>
      <c r="F14107" t="s">
        <v>45</v>
      </c>
      <c r="G14107" s="117">
        <v>142.07</v>
      </c>
    </row>
    <row r="14108" spans="1:7" x14ac:dyDescent="0.25">
      <c r="A14108" s="116" t="s">
        <v>27835</v>
      </c>
      <c r="B14108" s="117" t="s">
        <v>8163</v>
      </c>
      <c r="C14108" t="s">
        <v>67</v>
      </c>
      <c r="D14108" t="s">
        <v>67</v>
      </c>
      <c r="E14108" t="s">
        <v>67</v>
      </c>
      <c r="F14108" t="s">
        <v>45</v>
      </c>
      <c r="G14108" s="117">
        <v>48.43</v>
      </c>
    </row>
    <row r="14109" spans="1:7" x14ac:dyDescent="0.25">
      <c r="A14109" s="116" t="s">
        <v>27836</v>
      </c>
      <c r="B14109" s="117" t="s">
        <v>21916</v>
      </c>
      <c r="C14109" t="s">
        <v>67</v>
      </c>
      <c r="D14109" t="s">
        <v>67</v>
      </c>
      <c r="E14109" t="s">
        <v>67</v>
      </c>
      <c r="F14109" t="s">
        <v>45</v>
      </c>
      <c r="G14109" s="117">
        <v>122.81</v>
      </c>
    </row>
    <row r="14110" spans="1:7" x14ac:dyDescent="0.25">
      <c r="A14110" s="116" t="s">
        <v>21917</v>
      </c>
      <c r="B14110" s="117" t="s">
        <v>21918</v>
      </c>
      <c r="C14110" t="s">
        <v>67</v>
      </c>
      <c r="D14110" t="s">
        <v>67</v>
      </c>
      <c r="E14110" t="s">
        <v>67</v>
      </c>
      <c r="F14110" t="s">
        <v>27987</v>
      </c>
      <c r="G14110" s="117">
        <v>0.44</v>
      </c>
    </row>
    <row r="14111" spans="1:7" x14ac:dyDescent="0.25">
      <c r="A14111" s="116" t="s">
        <v>28211</v>
      </c>
      <c r="B14111" s="117" t="s">
        <v>28212</v>
      </c>
      <c r="C14111" t="s">
        <v>67</v>
      </c>
      <c r="D14111" t="s">
        <v>67</v>
      </c>
      <c r="E14111" t="s">
        <v>67</v>
      </c>
      <c r="F14111" t="s">
        <v>45</v>
      </c>
      <c r="G14111" s="117">
        <v>0.42</v>
      </c>
    </row>
    <row r="14112" spans="1:7" x14ac:dyDescent="0.25">
      <c r="A14112" s="116" t="s">
        <v>21919</v>
      </c>
      <c r="B14112" s="117" t="s">
        <v>21920</v>
      </c>
      <c r="C14112" t="s">
        <v>67</v>
      </c>
      <c r="D14112" t="s">
        <v>67</v>
      </c>
      <c r="E14112" t="s">
        <v>67</v>
      </c>
      <c r="F14112" t="s">
        <v>27987</v>
      </c>
      <c r="G14112" s="117">
        <v>0.44</v>
      </c>
    </row>
    <row r="14113" spans="1:7" x14ac:dyDescent="0.25">
      <c r="A14113" s="116" t="s">
        <v>21921</v>
      </c>
      <c r="B14113" s="117" t="s">
        <v>21922</v>
      </c>
      <c r="C14113" t="s">
        <v>67</v>
      </c>
      <c r="D14113" t="s">
        <v>67</v>
      </c>
      <c r="E14113" t="s">
        <v>67</v>
      </c>
      <c r="F14113" t="s">
        <v>27987</v>
      </c>
      <c r="G14113" s="117">
        <v>0.44</v>
      </c>
    </row>
    <row r="14114" spans="1:7" x14ac:dyDescent="0.25">
      <c r="A14114" s="116" t="s">
        <v>21923</v>
      </c>
      <c r="B14114" s="117" t="s">
        <v>21924</v>
      </c>
      <c r="C14114" t="s">
        <v>67</v>
      </c>
      <c r="D14114" t="s">
        <v>67</v>
      </c>
      <c r="E14114" t="s">
        <v>67</v>
      </c>
      <c r="F14114" t="s">
        <v>27987</v>
      </c>
      <c r="G14114" s="117">
        <v>0.8</v>
      </c>
    </row>
    <row r="14115" spans="1:7" x14ac:dyDescent="0.25">
      <c r="A14115" s="116" t="s">
        <v>21925</v>
      </c>
      <c r="B14115" s="117" t="s">
        <v>21926</v>
      </c>
      <c r="C14115" t="s">
        <v>67</v>
      </c>
      <c r="D14115" t="s">
        <v>67</v>
      </c>
      <c r="E14115" t="s">
        <v>67</v>
      </c>
      <c r="F14115" t="s">
        <v>49</v>
      </c>
      <c r="G14115" s="117">
        <v>0.8</v>
      </c>
    </row>
    <row r="14116" spans="1:7" x14ac:dyDescent="0.25">
      <c r="A14116" s="116" t="s">
        <v>21927</v>
      </c>
      <c r="B14116" s="117" t="s">
        <v>21928</v>
      </c>
      <c r="C14116" t="s">
        <v>67</v>
      </c>
      <c r="D14116" t="s">
        <v>67</v>
      </c>
      <c r="E14116" t="s">
        <v>67</v>
      </c>
      <c r="F14116" t="s">
        <v>27987</v>
      </c>
      <c r="G14116" s="117">
        <v>0.8</v>
      </c>
    </row>
    <row r="14117" spans="1:7" x14ac:dyDescent="0.25">
      <c r="A14117" s="116" t="s">
        <v>21929</v>
      </c>
      <c r="B14117" s="117" t="s">
        <v>21930</v>
      </c>
      <c r="C14117" t="s">
        <v>67</v>
      </c>
      <c r="D14117" t="s">
        <v>67</v>
      </c>
      <c r="E14117" t="s">
        <v>67</v>
      </c>
      <c r="F14117" t="s">
        <v>27987</v>
      </c>
      <c r="G14117" s="117">
        <v>0.8</v>
      </c>
    </row>
    <row r="14118" spans="1:7" x14ac:dyDescent="0.25">
      <c r="A14118" s="116" t="s">
        <v>21931</v>
      </c>
      <c r="B14118" s="117" t="s">
        <v>21932</v>
      </c>
      <c r="C14118" t="s">
        <v>67</v>
      </c>
      <c r="D14118" t="s">
        <v>67</v>
      </c>
      <c r="E14118" t="s">
        <v>67</v>
      </c>
      <c r="F14118" t="s">
        <v>49</v>
      </c>
      <c r="G14118" s="117">
        <v>0.89</v>
      </c>
    </row>
    <row r="14119" spans="1:7" x14ac:dyDescent="0.25">
      <c r="A14119" s="116" t="s">
        <v>21933</v>
      </c>
      <c r="B14119" s="117" t="s">
        <v>21934</v>
      </c>
      <c r="C14119" t="s">
        <v>67</v>
      </c>
      <c r="D14119" t="s">
        <v>67</v>
      </c>
      <c r="E14119" t="s">
        <v>67</v>
      </c>
      <c r="F14119" t="s">
        <v>27987</v>
      </c>
      <c r="G14119" s="117">
        <v>0.8</v>
      </c>
    </row>
    <row r="14120" spans="1:7" x14ac:dyDescent="0.25">
      <c r="A14120" s="116" t="s">
        <v>21935</v>
      </c>
      <c r="B14120" s="117" t="s">
        <v>21936</v>
      </c>
      <c r="C14120" t="s">
        <v>67</v>
      </c>
      <c r="D14120" t="s">
        <v>67</v>
      </c>
      <c r="E14120" t="s">
        <v>67</v>
      </c>
      <c r="F14120" t="s">
        <v>27987</v>
      </c>
      <c r="G14120" s="117">
        <v>1.33</v>
      </c>
    </row>
    <row r="14121" spans="1:7" x14ac:dyDescent="0.25">
      <c r="A14121" s="116" t="s">
        <v>21937</v>
      </c>
      <c r="B14121" s="117" t="s">
        <v>21938</v>
      </c>
      <c r="C14121" t="s">
        <v>67</v>
      </c>
      <c r="D14121" t="s">
        <v>67</v>
      </c>
      <c r="E14121" t="s">
        <v>67</v>
      </c>
      <c r="F14121" t="s">
        <v>27987</v>
      </c>
      <c r="G14121" s="117">
        <v>1.33</v>
      </c>
    </row>
    <row r="14122" spans="1:7" x14ac:dyDescent="0.25">
      <c r="A14122" s="116" t="s">
        <v>21939</v>
      </c>
      <c r="B14122" s="117" t="s">
        <v>21940</v>
      </c>
      <c r="C14122" t="s">
        <v>67</v>
      </c>
      <c r="D14122" t="s">
        <v>67</v>
      </c>
      <c r="E14122" t="s">
        <v>67</v>
      </c>
      <c r="F14122" t="s">
        <v>27987</v>
      </c>
      <c r="G14122" s="117">
        <v>3.56</v>
      </c>
    </row>
    <row r="14123" spans="1:7" x14ac:dyDescent="0.25">
      <c r="A14123" s="116" t="s">
        <v>21941</v>
      </c>
      <c r="B14123" s="117" t="s">
        <v>21942</v>
      </c>
      <c r="C14123" t="s">
        <v>67</v>
      </c>
      <c r="D14123" t="s">
        <v>67</v>
      </c>
      <c r="E14123" t="s">
        <v>67</v>
      </c>
      <c r="F14123" t="s">
        <v>45</v>
      </c>
      <c r="G14123" s="117">
        <v>0.44</v>
      </c>
    </row>
    <row r="14124" spans="1:7" x14ac:dyDescent="0.25">
      <c r="A14124" s="116" t="s">
        <v>27837</v>
      </c>
      <c r="B14124" s="117" t="s">
        <v>21943</v>
      </c>
      <c r="C14124" t="s">
        <v>67</v>
      </c>
      <c r="D14124" t="s">
        <v>67</v>
      </c>
      <c r="E14124" t="s">
        <v>67</v>
      </c>
      <c r="F14124" t="s">
        <v>45</v>
      </c>
      <c r="G14124" s="117">
        <v>83.56</v>
      </c>
    </row>
    <row r="14125" spans="1:7" x14ac:dyDescent="0.25">
      <c r="A14125" s="116" t="s">
        <v>27838</v>
      </c>
      <c r="B14125" s="117" t="s">
        <v>21944</v>
      </c>
      <c r="C14125" t="s">
        <v>67</v>
      </c>
      <c r="D14125" t="s">
        <v>67</v>
      </c>
      <c r="E14125" t="s">
        <v>67</v>
      </c>
      <c r="F14125" t="s">
        <v>45</v>
      </c>
      <c r="G14125" s="117">
        <v>79.11</v>
      </c>
    </row>
    <row r="14126" spans="1:7" x14ac:dyDescent="0.25">
      <c r="A14126" s="116" t="s">
        <v>27839</v>
      </c>
      <c r="B14126" s="117" t="s">
        <v>21945</v>
      </c>
      <c r="C14126" t="s">
        <v>67</v>
      </c>
      <c r="D14126" t="s">
        <v>67</v>
      </c>
      <c r="E14126" t="s">
        <v>67</v>
      </c>
      <c r="F14126" t="s">
        <v>45</v>
      </c>
      <c r="G14126" s="117">
        <v>23.58</v>
      </c>
    </row>
    <row r="14127" spans="1:7" x14ac:dyDescent="0.25">
      <c r="A14127" s="116" t="s">
        <v>27840</v>
      </c>
      <c r="B14127" s="117" t="s">
        <v>21946</v>
      </c>
      <c r="C14127" t="s">
        <v>67</v>
      </c>
      <c r="D14127" t="s">
        <v>67</v>
      </c>
      <c r="E14127" t="s">
        <v>67</v>
      </c>
      <c r="F14127" t="s">
        <v>27987</v>
      </c>
      <c r="G14127" s="117">
        <v>98.68</v>
      </c>
    </row>
    <row r="14128" spans="1:7" x14ac:dyDescent="0.25">
      <c r="A14128" s="116" t="s">
        <v>27841</v>
      </c>
      <c r="B14128" s="117" t="s">
        <v>21947</v>
      </c>
      <c r="C14128" t="s">
        <v>67</v>
      </c>
      <c r="D14128" t="s">
        <v>67</v>
      </c>
      <c r="E14128" t="s">
        <v>67</v>
      </c>
      <c r="F14128" t="s">
        <v>45</v>
      </c>
      <c r="G14128" s="117">
        <v>230.38</v>
      </c>
    </row>
    <row r="14129" spans="1:7" x14ac:dyDescent="0.25">
      <c r="A14129" s="116" t="s">
        <v>27842</v>
      </c>
      <c r="B14129" s="117" t="s">
        <v>21948</v>
      </c>
      <c r="C14129" t="s">
        <v>67</v>
      </c>
      <c r="D14129" t="s">
        <v>67</v>
      </c>
      <c r="E14129" t="s">
        <v>67</v>
      </c>
      <c r="F14129" t="s">
        <v>27987</v>
      </c>
      <c r="G14129" s="117">
        <v>303.35000000000002</v>
      </c>
    </row>
    <row r="14130" spans="1:7" x14ac:dyDescent="0.25">
      <c r="A14130" s="116" t="s">
        <v>27843</v>
      </c>
      <c r="B14130" s="117" t="s">
        <v>21949</v>
      </c>
      <c r="C14130" t="s">
        <v>67</v>
      </c>
      <c r="D14130" t="s">
        <v>67</v>
      </c>
      <c r="E14130" t="s">
        <v>67</v>
      </c>
      <c r="F14130" t="s">
        <v>45</v>
      </c>
      <c r="G14130" s="117">
        <v>582.75</v>
      </c>
    </row>
    <row r="14131" spans="1:7" x14ac:dyDescent="0.25">
      <c r="A14131" s="116" t="s">
        <v>27844</v>
      </c>
      <c r="B14131" s="117" t="s">
        <v>21950</v>
      </c>
      <c r="C14131" t="s">
        <v>67</v>
      </c>
      <c r="D14131" t="s">
        <v>67</v>
      </c>
      <c r="E14131" t="s">
        <v>67</v>
      </c>
      <c r="F14131" t="s">
        <v>45</v>
      </c>
      <c r="G14131" s="117">
        <v>566.38</v>
      </c>
    </row>
    <row r="14132" spans="1:7" x14ac:dyDescent="0.25">
      <c r="A14132" s="116" t="s">
        <v>27845</v>
      </c>
      <c r="B14132" s="117" t="s">
        <v>21951</v>
      </c>
      <c r="C14132" t="s">
        <v>67</v>
      </c>
      <c r="D14132" t="s">
        <v>67</v>
      </c>
      <c r="E14132" t="s">
        <v>67</v>
      </c>
      <c r="F14132" t="s">
        <v>45</v>
      </c>
      <c r="G14132" s="117">
        <v>89.79</v>
      </c>
    </row>
    <row r="14133" spans="1:7" x14ac:dyDescent="0.25">
      <c r="A14133" s="116" t="s">
        <v>27846</v>
      </c>
      <c r="B14133" s="117" t="s">
        <v>21952</v>
      </c>
      <c r="C14133" t="s">
        <v>67</v>
      </c>
      <c r="D14133" t="s">
        <v>67</v>
      </c>
      <c r="E14133" t="s">
        <v>67</v>
      </c>
      <c r="F14133" t="s">
        <v>45</v>
      </c>
      <c r="G14133" s="117">
        <v>57.75</v>
      </c>
    </row>
    <row r="14134" spans="1:7" x14ac:dyDescent="0.25">
      <c r="A14134" s="116" t="s">
        <v>27847</v>
      </c>
      <c r="B14134" s="117" t="s">
        <v>21953</v>
      </c>
      <c r="C14134" t="s">
        <v>67</v>
      </c>
      <c r="D14134" t="s">
        <v>67</v>
      </c>
      <c r="E14134" t="s">
        <v>67</v>
      </c>
      <c r="F14134" t="s">
        <v>27987</v>
      </c>
      <c r="G14134" s="117">
        <v>112.02</v>
      </c>
    </row>
    <row r="14135" spans="1:7" x14ac:dyDescent="0.25">
      <c r="A14135" s="116" t="s">
        <v>27848</v>
      </c>
      <c r="B14135" s="117" t="s">
        <v>21954</v>
      </c>
      <c r="C14135" t="s">
        <v>67</v>
      </c>
      <c r="D14135" t="s">
        <v>67</v>
      </c>
      <c r="E14135" t="s">
        <v>67</v>
      </c>
      <c r="F14135" t="s">
        <v>45</v>
      </c>
      <c r="G14135" s="117">
        <v>55.62</v>
      </c>
    </row>
    <row r="14136" spans="1:7" x14ac:dyDescent="0.25">
      <c r="A14136" s="116" t="s">
        <v>27849</v>
      </c>
      <c r="B14136" s="117" t="s">
        <v>21955</v>
      </c>
      <c r="C14136" t="s">
        <v>67</v>
      </c>
      <c r="D14136" t="s">
        <v>67</v>
      </c>
      <c r="E14136" t="s">
        <v>67</v>
      </c>
      <c r="F14136" t="s">
        <v>45</v>
      </c>
      <c r="G14136" s="117">
        <v>55.62</v>
      </c>
    </row>
    <row r="14137" spans="1:7" x14ac:dyDescent="0.25">
      <c r="A14137" s="116" t="s">
        <v>27850</v>
      </c>
      <c r="B14137" s="117" t="s">
        <v>21956</v>
      </c>
      <c r="C14137" t="s">
        <v>67</v>
      </c>
      <c r="D14137" t="s">
        <v>67</v>
      </c>
      <c r="E14137" t="s">
        <v>67</v>
      </c>
      <c r="F14137" t="s">
        <v>45</v>
      </c>
      <c r="G14137" s="117">
        <v>489.86</v>
      </c>
    </row>
    <row r="14138" spans="1:7" x14ac:dyDescent="0.25">
      <c r="A14138" s="116" t="s">
        <v>27851</v>
      </c>
      <c r="B14138" s="117" t="s">
        <v>4755</v>
      </c>
      <c r="C14138" t="s">
        <v>67</v>
      </c>
      <c r="D14138" t="s">
        <v>67</v>
      </c>
      <c r="E14138" t="s">
        <v>67</v>
      </c>
      <c r="F14138" t="s">
        <v>27987</v>
      </c>
      <c r="G14138" s="117">
        <v>104.92</v>
      </c>
    </row>
    <row r="14139" spans="1:7" x14ac:dyDescent="0.25">
      <c r="A14139" s="116" t="s">
        <v>27852</v>
      </c>
      <c r="B14139" s="117" t="s">
        <v>29571</v>
      </c>
      <c r="C14139" t="s">
        <v>67</v>
      </c>
      <c r="D14139" t="s">
        <v>67</v>
      </c>
      <c r="E14139" t="s">
        <v>67</v>
      </c>
      <c r="F14139" t="s">
        <v>45</v>
      </c>
      <c r="G14139" s="117">
        <v>102.77</v>
      </c>
    </row>
    <row r="14140" spans="1:7" x14ac:dyDescent="0.25">
      <c r="A14140" s="116" t="s">
        <v>27853</v>
      </c>
      <c r="B14140" s="117" t="s">
        <v>21957</v>
      </c>
      <c r="C14140" t="s">
        <v>67</v>
      </c>
      <c r="D14140" t="s">
        <v>67</v>
      </c>
      <c r="E14140" t="s">
        <v>67</v>
      </c>
      <c r="F14140" t="s">
        <v>45</v>
      </c>
      <c r="G14140" s="117">
        <v>132.13999999999999</v>
      </c>
    </row>
    <row r="14141" spans="1:7" x14ac:dyDescent="0.25">
      <c r="A14141" s="116" t="s">
        <v>27854</v>
      </c>
      <c r="B14141" s="117" t="s">
        <v>21958</v>
      </c>
      <c r="C14141" t="s">
        <v>67</v>
      </c>
      <c r="D14141" t="s">
        <v>67</v>
      </c>
      <c r="E14141" t="s">
        <v>67</v>
      </c>
      <c r="F14141" t="s">
        <v>45</v>
      </c>
      <c r="G14141" s="117">
        <v>192.12</v>
      </c>
    </row>
    <row r="14142" spans="1:7" x14ac:dyDescent="0.25">
      <c r="A14142" s="116" t="s">
        <v>27855</v>
      </c>
      <c r="B14142" s="117" t="s">
        <v>21959</v>
      </c>
      <c r="C14142" t="s">
        <v>67</v>
      </c>
      <c r="D14142" t="s">
        <v>67</v>
      </c>
      <c r="E14142" t="s">
        <v>67</v>
      </c>
      <c r="F14142" t="s">
        <v>27987</v>
      </c>
      <c r="G14142" s="117">
        <v>168.08</v>
      </c>
    </row>
    <row r="14143" spans="1:7" x14ac:dyDescent="0.25">
      <c r="A14143" s="116" t="s">
        <v>27856</v>
      </c>
      <c r="B14143" s="117" t="s">
        <v>83</v>
      </c>
      <c r="C14143" t="s">
        <v>67</v>
      </c>
      <c r="D14143" t="s">
        <v>67</v>
      </c>
      <c r="E14143" t="s">
        <v>67</v>
      </c>
      <c r="F14143" t="s">
        <v>45</v>
      </c>
      <c r="G14143" s="117">
        <v>80.52</v>
      </c>
    </row>
    <row r="14144" spans="1:7" x14ac:dyDescent="0.25">
      <c r="A14144" s="116" t="s">
        <v>27857</v>
      </c>
      <c r="B14144" s="117" t="s">
        <v>21960</v>
      </c>
      <c r="C14144" t="s">
        <v>67</v>
      </c>
      <c r="D14144" t="s">
        <v>67</v>
      </c>
      <c r="E14144" t="s">
        <v>67</v>
      </c>
      <c r="F14144" t="s">
        <v>45</v>
      </c>
      <c r="G14144" s="117">
        <v>91.2</v>
      </c>
    </row>
    <row r="14145" spans="1:7" x14ac:dyDescent="0.25">
      <c r="A14145" s="116" t="s">
        <v>27858</v>
      </c>
      <c r="B14145" s="117" t="s">
        <v>21961</v>
      </c>
      <c r="C14145" t="s">
        <v>67</v>
      </c>
      <c r="D14145" t="s">
        <v>67</v>
      </c>
      <c r="E14145" t="s">
        <v>67</v>
      </c>
      <c r="F14145" t="s">
        <v>49</v>
      </c>
      <c r="G14145" s="117">
        <v>111.68</v>
      </c>
    </row>
    <row r="14146" spans="1:7" x14ac:dyDescent="0.25">
      <c r="A14146" s="116" t="s">
        <v>27859</v>
      </c>
      <c r="B14146" s="117" t="s">
        <v>21962</v>
      </c>
      <c r="C14146" t="s">
        <v>67</v>
      </c>
      <c r="D14146" t="s">
        <v>67</v>
      </c>
      <c r="E14146" t="s">
        <v>67</v>
      </c>
      <c r="F14146" t="s">
        <v>45</v>
      </c>
      <c r="G14146" s="117">
        <v>224.14</v>
      </c>
    </row>
    <row r="14147" spans="1:7" x14ac:dyDescent="0.25">
      <c r="A14147" s="116" t="s">
        <v>27860</v>
      </c>
      <c r="B14147" s="117" t="s">
        <v>21963</v>
      </c>
      <c r="C14147" t="s">
        <v>67</v>
      </c>
      <c r="D14147" t="s">
        <v>67</v>
      </c>
      <c r="E14147" t="s">
        <v>67</v>
      </c>
      <c r="F14147" t="s">
        <v>45</v>
      </c>
      <c r="G14147" s="117">
        <v>4234.62</v>
      </c>
    </row>
    <row r="14148" spans="1:7" x14ac:dyDescent="0.25">
      <c r="A14148" s="116" t="s">
        <v>27861</v>
      </c>
      <c r="B14148" s="117" t="s">
        <v>29572</v>
      </c>
      <c r="C14148" t="s">
        <v>67</v>
      </c>
      <c r="D14148" t="s">
        <v>67</v>
      </c>
      <c r="E14148" t="s">
        <v>67</v>
      </c>
      <c r="F14148" t="s">
        <v>27987</v>
      </c>
      <c r="G14148" s="117">
        <v>27.88</v>
      </c>
    </row>
    <row r="14149" spans="1:7" x14ac:dyDescent="0.25">
      <c r="A14149" s="116" t="s">
        <v>27862</v>
      </c>
      <c r="B14149" s="117" t="s">
        <v>21964</v>
      </c>
      <c r="C14149" t="s">
        <v>67</v>
      </c>
      <c r="D14149" t="s">
        <v>67</v>
      </c>
      <c r="E14149" t="s">
        <v>67</v>
      </c>
      <c r="F14149" t="s">
        <v>27987</v>
      </c>
      <c r="G14149" s="117">
        <v>20.38</v>
      </c>
    </row>
    <row r="14150" spans="1:7" x14ac:dyDescent="0.25">
      <c r="A14150" s="116" t="s">
        <v>27863</v>
      </c>
      <c r="B14150" s="117" t="s">
        <v>21965</v>
      </c>
      <c r="C14150" t="s">
        <v>67</v>
      </c>
      <c r="D14150" t="s">
        <v>67</v>
      </c>
      <c r="E14150" t="s">
        <v>67</v>
      </c>
      <c r="F14150" t="s">
        <v>45</v>
      </c>
      <c r="G14150" s="117">
        <v>22.69</v>
      </c>
    </row>
    <row r="14151" spans="1:7" x14ac:dyDescent="0.25">
      <c r="A14151" s="116" t="s">
        <v>27864</v>
      </c>
      <c r="B14151" s="117" t="s">
        <v>21966</v>
      </c>
      <c r="C14151" t="s">
        <v>67</v>
      </c>
      <c r="D14151" t="s">
        <v>67</v>
      </c>
      <c r="E14151" t="s">
        <v>67</v>
      </c>
      <c r="F14151" t="s">
        <v>27987</v>
      </c>
      <c r="G14151" s="117">
        <v>59.18</v>
      </c>
    </row>
    <row r="14152" spans="1:7" x14ac:dyDescent="0.25">
      <c r="A14152" s="116" t="s">
        <v>27865</v>
      </c>
      <c r="B14152" s="117" t="s">
        <v>21967</v>
      </c>
      <c r="C14152" t="s">
        <v>67</v>
      </c>
      <c r="D14152" t="s">
        <v>67</v>
      </c>
      <c r="E14152" t="s">
        <v>67</v>
      </c>
      <c r="F14152" t="s">
        <v>49</v>
      </c>
      <c r="G14152" s="117">
        <v>34.26</v>
      </c>
    </row>
    <row r="14153" spans="1:7" x14ac:dyDescent="0.25">
      <c r="A14153" s="116" t="s">
        <v>27866</v>
      </c>
      <c r="B14153" s="117" t="s">
        <v>21967</v>
      </c>
      <c r="C14153" t="s">
        <v>67</v>
      </c>
      <c r="D14153" t="s">
        <v>67</v>
      </c>
      <c r="E14153" t="s">
        <v>67</v>
      </c>
      <c r="F14153" t="s">
        <v>27987</v>
      </c>
      <c r="G14153" s="117">
        <v>113.45</v>
      </c>
    </row>
    <row r="14154" spans="1:7" x14ac:dyDescent="0.25">
      <c r="A14154" s="116" t="s">
        <v>21968</v>
      </c>
      <c r="B14154" s="117" t="s">
        <v>21969</v>
      </c>
      <c r="C14154" t="s">
        <v>67</v>
      </c>
      <c r="D14154" t="s">
        <v>67</v>
      </c>
      <c r="E14154" t="s">
        <v>67</v>
      </c>
      <c r="F14154" t="s">
        <v>27990</v>
      </c>
      <c r="G14154" s="117">
        <v>0.44</v>
      </c>
    </row>
    <row r="14155" spans="1:7" x14ac:dyDescent="0.25">
      <c r="A14155" s="116" t="s">
        <v>21970</v>
      </c>
      <c r="B14155" s="117" t="s">
        <v>21971</v>
      </c>
      <c r="C14155" t="s">
        <v>67</v>
      </c>
      <c r="D14155" t="s">
        <v>67</v>
      </c>
      <c r="E14155" t="s">
        <v>67</v>
      </c>
      <c r="F14155" t="s">
        <v>49</v>
      </c>
      <c r="G14155" s="117">
        <v>0.44</v>
      </c>
    </row>
    <row r="14156" spans="1:7" x14ac:dyDescent="0.25">
      <c r="A14156" s="116" t="s">
        <v>21972</v>
      </c>
      <c r="B14156" s="117" t="s">
        <v>21973</v>
      </c>
      <c r="C14156" t="s">
        <v>67</v>
      </c>
      <c r="D14156" t="s">
        <v>67</v>
      </c>
      <c r="E14156" t="s">
        <v>67</v>
      </c>
      <c r="F14156" t="s">
        <v>51</v>
      </c>
      <c r="G14156" s="117">
        <v>0.42</v>
      </c>
    </row>
    <row r="14157" spans="1:7" x14ac:dyDescent="0.25">
      <c r="A14157" s="116" t="s">
        <v>21974</v>
      </c>
      <c r="B14157" s="117" t="s">
        <v>21975</v>
      </c>
      <c r="C14157" t="s">
        <v>67</v>
      </c>
      <c r="D14157" t="s">
        <v>67</v>
      </c>
      <c r="E14157" t="s">
        <v>67</v>
      </c>
      <c r="F14157" t="s">
        <v>27987</v>
      </c>
      <c r="G14157" s="117">
        <v>0.44</v>
      </c>
    </row>
    <row r="14158" spans="1:7" x14ac:dyDescent="0.25">
      <c r="A14158" s="116" t="s">
        <v>21976</v>
      </c>
      <c r="B14158" s="117" t="s">
        <v>21977</v>
      </c>
      <c r="C14158" t="s">
        <v>67</v>
      </c>
      <c r="D14158" t="s">
        <v>67</v>
      </c>
      <c r="E14158" t="s">
        <v>67</v>
      </c>
      <c r="F14158" t="s">
        <v>49</v>
      </c>
      <c r="G14158" s="117">
        <v>0.44</v>
      </c>
    </row>
    <row r="14159" spans="1:7" x14ac:dyDescent="0.25">
      <c r="A14159" s="116" t="s">
        <v>21978</v>
      </c>
      <c r="B14159" s="117" t="s">
        <v>21979</v>
      </c>
      <c r="C14159" t="s">
        <v>67</v>
      </c>
      <c r="D14159" t="s">
        <v>67</v>
      </c>
      <c r="E14159" t="s">
        <v>67</v>
      </c>
      <c r="F14159" t="s">
        <v>27987</v>
      </c>
      <c r="G14159" s="117">
        <v>0.44</v>
      </c>
    </row>
    <row r="14160" spans="1:7" x14ac:dyDescent="0.25">
      <c r="A14160" s="116" t="s">
        <v>21980</v>
      </c>
      <c r="B14160" s="117" t="s">
        <v>21981</v>
      </c>
      <c r="C14160" t="s">
        <v>67</v>
      </c>
      <c r="D14160" t="s">
        <v>67</v>
      </c>
      <c r="E14160" t="s">
        <v>67</v>
      </c>
      <c r="F14160" t="s">
        <v>51</v>
      </c>
      <c r="G14160" s="117">
        <v>0.44</v>
      </c>
    </row>
    <row r="14161" spans="1:7" x14ac:dyDescent="0.25">
      <c r="A14161" s="116" t="s">
        <v>21982</v>
      </c>
      <c r="B14161" s="117" t="s">
        <v>21983</v>
      </c>
      <c r="C14161" t="s">
        <v>67</v>
      </c>
      <c r="D14161" t="s">
        <v>67</v>
      </c>
      <c r="E14161" t="s">
        <v>67</v>
      </c>
      <c r="F14161" t="s">
        <v>49</v>
      </c>
      <c r="G14161" s="117">
        <v>0.44</v>
      </c>
    </row>
    <row r="14162" spans="1:7" x14ac:dyDescent="0.25">
      <c r="A14162" s="116" t="s">
        <v>21984</v>
      </c>
      <c r="B14162" s="117" t="s">
        <v>21985</v>
      </c>
      <c r="C14162" t="s">
        <v>67</v>
      </c>
      <c r="D14162" t="s">
        <v>67</v>
      </c>
      <c r="E14162" t="s">
        <v>67</v>
      </c>
      <c r="F14162" t="s">
        <v>27987</v>
      </c>
      <c r="G14162" s="117">
        <v>0.8</v>
      </c>
    </row>
    <row r="14163" spans="1:7" x14ac:dyDescent="0.25">
      <c r="A14163" s="116" t="s">
        <v>21986</v>
      </c>
      <c r="B14163" s="117" t="s">
        <v>7117</v>
      </c>
      <c r="C14163" t="s">
        <v>67</v>
      </c>
      <c r="D14163" t="s">
        <v>67</v>
      </c>
      <c r="E14163" t="s">
        <v>67</v>
      </c>
      <c r="F14163" t="s">
        <v>27987</v>
      </c>
      <c r="G14163" s="117">
        <v>0.8</v>
      </c>
    </row>
    <row r="14164" spans="1:7" x14ac:dyDescent="0.25">
      <c r="A14164" s="116" t="s">
        <v>21987</v>
      </c>
      <c r="B14164" s="117" t="s">
        <v>21988</v>
      </c>
      <c r="C14164" t="s">
        <v>67</v>
      </c>
      <c r="D14164" t="s">
        <v>67</v>
      </c>
      <c r="E14164" t="s">
        <v>67</v>
      </c>
      <c r="F14164" t="s">
        <v>27987</v>
      </c>
      <c r="G14164" s="117">
        <v>0.8</v>
      </c>
    </row>
    <row r="14165" spans="1:7" x14ac:dyDescent="0.25">
      <c r="A14165" s="116" t="s">
        <v>21989</v>
      </c>
      <c r="B14165" s="117" t="s">
        <v>21990</v>
      </c>
      <c r="C14165" t="s">
        <v>67</v>
      </c>
      <c r="D14165" t="s">
        <v>67</v>
      </c>
      <c r="E14165" t="s">
        <v>67</v>
      </c>
      <c r="F14165" t="s">
        <v>49</v>
      </c>
      <c r="G14165" s="117">
        <v>0.44</v>
      </c>
    </row>
    <row r="14166" spans="1:7" x14ac:dyDescent="0.25">
      <c r="A14166" s="116" t="s">
        <v>21991</v>
      </c>
      <c r="B14166" s="117" t="s">
        <v>7319</v>
      </c>
      <c r="C14166" t="s">
        <v>67</v>
      </c>
      <c r="D14166" t="s">
        <v>67</v>
      </c>
      <c r="E14166" t="s">
        <v>67</v>
      </c>
      <c r="F14166" t="s">
        <v>49</v>
      </c>
      <c r="G14166" s="117">
        <v>0.44</v>
      </c>
    </row>
    <row r="14167" spans="1:7" x14ac:dyDescent="0.25">
      <c r="A14167" s="116" t="s">
        <v>21992</v>
      </c>
      <c r="B14167" s="117" t="s">
        <v>21993</v>
      </c>
      <c r="C14167" t="s">
        <v>67</v>
      </c>
      <c r="D14167" t="s">
        <v>67</v>
      </c>
      <c r="E14167" t="s">
        <v>67</v>
      </c>
      <c r="F14167" t="s">
        <v>49</v>
      </c>
      <c r="G14167" s="117">
        <v>1.69</v>
      </c>
    </row>
    <row r="14168" spans="1:7" x14ac:dyDescent="0.25">
      <c r="A14168" s="116" t="s">
        <v>21994</v>
      </c>
      <c r="B14168" s="117" t="s">
        <v>21995</v>
      </c>
      <c r="C14168" t="s">
        <v>67</v>
      </c>
      <c r="D14168" t="s">
        <v>67</v>
      </c>
      <c r="E14168" t="s">
        <v>67</v>
      </c>
      <c r="F14168" t="s">
        <v>27987</v>
      </c>
      <c r="G14168" s="117">
        <v>1.33</v>
      </c>
    </row>
    <row r="14169" spans="1:7" x14ac:dyDescent="0.25">
      <c r="A14169" s="116" t="s">
        <v>21996</v>
      </c>
      <c r="B14169" s="117" t="s">
        <v>7437</v>
      </c>
      <c r="C14169" t="s">
        <v>67</v>
      </c>
      <c r="D14169" t="s">
        <v>67</v>
      </c>
      <c r="E14169" t="s">
        <v>67</v>
      </c>
      <c r="F14169" t="s">
        <v>49</v>
      </c>
      <c r="G14169" s="117">
        <v>0.44</v>
      </c>
    </row>
    <row r="14170" spans="1:7" x14ac:dyDescent="0.25">
      <c r="A14170" s="116" t="s">
        <v>21997</v>
      </c>
      <c r="B14170" s="117" t="s">
        <v>7695</v>
      </c>
      <c r="C14170" t="s">
        <v>67</v>
      </c>
      <c r="D14170" t="s">
        <v>67</v>
      </c>
      <c r="E14170" t="s">
        <v>67</v>
      </c>
      <c r="F14170" t="s">
        <v>49</v>
      </c>
      <c r="G14170" s="117">
        <v>0.8</v>
      </c>
    </row>
    <row r="14171" spans="1:7" x14ac:dyDescent="0.25">
      <c r="A14171" s="116" t="s">
        <v>21998</v>
      </c>
      <c r="B14171" s="117" t="s">
        <v>7665</v>
      </c>
      <c r="C14171" t="s">
        <v>67</v>
      </c>
      <c r="D14171" t="s">
        <v>67</v>
      </c>
      <c r="E14171" t="s">
        <v>67</v>
      </c>
      <c r="F14171" t="s">
        <v>49</v>
      </c>
      <c r="G14171" s="117">
        <v>0.8</v>
      </c>
    </row>
    <row r="14172" spans="1:7" x14ac:dyDescent="0.25">
      <c r="A14172" s="116" t="s">
        <v>21999</v>
      </c>
      <c r="B14172" s="117" t="s">
        <v>22000</v>
      </c>
      <c r="C14172" t="s">
        <v>67</v>
      </c>
      <c r="D14172" t="s">
        <v>67</v>
      </c>
      <c r="E14172" t="s">
        <v>67</v>
      </c>
      <c r="F14172" t="s">
        <v>27987</v>
      </c>
      <c r="G14172" s="117">
        <v>0.76</v>
      </c>
    </row>
    <row r="14173" spans="1:7" x14ac:dyDescent="0.25">
      <c r="A14173" s="116" t="s">
        <v>22001</v>
      </c>
      <c r="B14173" s="117" t="s">
        <v>22002</v>
      </c>
      <c r="C14173" t="s">
        <v>67</v>
      </c>
      <c r="D14173" t="s">
        <v>67</v>
      </c>
      <c r="E14173" t="s">
        <v>67</v>
      </c>
      <c r="F14173" t="s">
        <v>49</v>
      </c>
      <c r="G14173" s="117">
        <v>0.8</v>
      </c>
    </row>
    <row r="14174" spans="1:7" x14ac:dyDescent="0.25">
      <c r="A14174" s="116" t="s">
        <v>22003</v>
      </c>
      <c r="B14174" s="117" t="s">
        <v>22004</v>
      </c>
      <c r="C14174" t="s">
        <v>67</v>
      </c>
      <c r="D14174" t="s">
        <v>67</v>
      </c>
      <c r="E14174" t="s">
        <v>67</v>
      </c>
      <c r="F14174" t="s">
        <v>45</v>
      </c>
      <c r="G14174" s="117">
        <v>0.8</v>
      </c>
    </row>
    <row r="14175" spans="1:7" x14ac:dyDescent="0.25">
      <c r="A14175" s="116" t="s">
        <v>22005</v>
      </c>
      <c r="B14175" s="117" t="s">
        <v>22006</v>
      </c>
      <c r="C14175" t="s">
        <v>67</v>
      </c>
      <c r="D14175" t="s">
        <v>67</v>
      </c>
      <c r="E14175" t="s">
        <v>67</v>
      </c>
      <c r="F14175" t="s">
        <v>45</v>
      </c>
      <c r="G14175" s="117">
        <v>1.33</v>
      </c>
    </row>
    <row r="14176" spans="1:7" x14ac:dyDescent="0.25">
      <c r="A14176" s="116" t="s">
        <v>22007</v>
      </c>
      <c r="B14176" s="117" t="s">
        <v>22008</v>
      </c>
      <c r="C14176" t="s">
        <v>67</v>
      </c>
      <c r="D14176" t="s">
        <v>67</v>
      </c>
      <c r="E14176" t="s">
        <v>67</v>
      </c>
      <c r="F14176" t="s">
        <v>27987</v>
      </c>
      <c r="G14176" s="117">
        <v>0.89</v>
      </c>
    </row>
    <row r="14177" spans="1:7" x14ac:dyDescent="0.25">
      <c r="A14177" s="116" t="s">
        <v>22009</v>
      </c>
      <c r="B14177" s="117" t="s">
        <v>22010</v>
      </c>
      <c r="C14177" t="s">
        <v>67</v>
      </c>
      <c r="D14177" t="s">
        <v>67</v>
      </c>
      <c r="E14177" t="s">
        <v>67</v>
      </c>
      <c r="F14177" t="s">
        <v>27987</v>
      </c>
      <c r="G14177" s="117">
        <v>0.5</v>
      </c>
    </row>
    <row r="14178" spans="1:7" x14ac:dyDescent="0.25">
      <c r="A14178" s="116" t="s">
        <v>22011</v>
      </c>
      <c r="B14178" s="117" t="s">
        <v>22012</v>
      </c>
      <c r="C14178" t="s">
        <v>67</v>
      </c>
      <c r="D14178" t="s">
        <v>67</v>
      </c>
      <c r="E14178" t="s">
        <v>67</v>
      </c>
      <c r="F14178" t="s">
        <v>27987</v>
      </c>
      <c r="G14178" s="117">
        <v>1.33</v>
      </c>
    </row>
    <row r="14179" spans="1:7" x14ac:dyDescent="0.25">
      <c r="A14179" s="116" t="s">
        <v>22013</v>
      </c>
      <c r="B14179" s="117" t="s">
        <v>22014</v>
      </c>
      <c r="C14179" t="s">
        <v>67</v>
      </c>
      <c r="D14179" t="s">
        <v>67</v>
      </c>
      <c r="E14179" t="s">
        <v>67</v>
      </c>
      <c r="F14179" t="s">
        <v>27987</v>
      </c>
      <c r="G14179" s="117">
        <v>2.58</v>
      </c>
    </row>
    <row r="14180" spans="1:7" x14ac:dyDescent="0.25">
      <c r="A14180" s="116" t="s">
        <v>22015</v>
      </c>
      <c r="B14180" s="117" t="s">
        <v>22016</v>
      </c>
      <c r="C14180" t="s">
        <v>67</v>
      </c>
      <c r="D14180" t="s">
        <v>67</v>
      </c>
      <c r="E14180" t="s">
        <v>67</v>
      </c>
      <c r="F14180" t="s">
        <v>45</v>
      </c>
      <c r="G14180" s="117">
        <v>2.67</v>
      </c>
    </row>
    <row r="14181" spans="1:7" x14ac:dyDescent="0.25">
      <c r="A14181" s="116" t="s">
        <v>22017</v>
      </c>
      <c r="B14181" s="117" t="s">
        <v>7663</v>
      </c>
      <c r="C14181" t="s">
        <v>67</v>
      </c>
      <c r="D14181" t="s">
        <v>67</v>
      </c>
      <c r="E14181" t="s">
        <v>67</v>
      </c>
      <c r="F14181" t="s">
        <v>51</v>
      </c>
      <c r="G14181" s="117">
        <v>1.27</v>
      </c>
    </row>
    <row r="14182" spans="1:7" x14ac:dyDescent="0.25">
      <c r="A14182" s="116" t="s">
        <v>22018</v>
      </c>
      <c r="B14182" s="117" t="s">
        <v>22019</v>
      </c>
      <c r="C14182" t="s">
        <v>67</v>
      </c>
      <c r="D14182" t="s">
        <v>67</v>
      </c>
      <c r="E14182" t="s">
        <v>67</v>
      </c>
      <c r="F14182" t="s">
        <v>27987</v>
      </c>
      <c r="G14182" s="117">
        <v>1.27</v>
      </c>
    </row>
    <row r="14183" spans="1:7" x14ac:dyDescent="0.25">
      <c r="A14183" s="116" t="s">
        <v>22020</v>
      </c>
      <c r="B14183" s="117" t="s">
        <v>7639</v>
      </c>
      <c r="C14183" t="s">
        <v>67</v>
      </c>
      <c r="D14183" t="s">
        <v>67</v>
      </c>
      <c r="E14183" t="s">
        <v>67</v>
      </c>
      <c r="F14183" t="s">
        <v>49</v>
      </c>
      <c r="G14183" s="117">
        <v>3.48</v>
      </c>
    </row>
    <row r="14184" spans="1:7" x14ac:dyDescent="0.25">
      <c r="A14184" s="116" t="s">
        <v>22021</v>
      </c>
      <c r="B14184" s="117" t="s">
        <v>22022</v>
      </c>
      <c r="C14184" t="s">
        <v>67</v>
      </c>
      <c r="D14184" t="s">
        <v>67</v>
      </c>
      <c r="E14184" t="s">
        <v>67</v>
      </c>
      <c r="F14184" t="s">
        <v>49</v>
      </c>
      <c r="G14184" s="117">
        <v>3.48</v>
      </c>
    </row>
    <row r="14185" spans="1:7" x14ac:dyDescent="0.25">
      <c r="A14185" s="116" t="s">
        <v>22023</v>
      </c>
      <c r="B14185" s="117" t="s">
        <v>22024</v>
      </c>
      <c r="C14185" t="s">
        <v>67</v>
      </c>
      <c r="D14185" t="s">
        <v>67</v>
      </c>
      <c r="E14185" t="s">
        <v>67</v>
      </c>
      <c r="F14185" t="s">
        <v>27987</v>
      </c>
      <c r="G14185" s="117">
        <v>2.58</v>
      </c>
    </row>
    <row r="14186" spans="1:7" x14ac:dyDescent="0.25">
      <c r="A14186" s="116" t="s">
        <v>22025</v>
      </c>
      <c r="B14186" s="117" t="s">
        <v>7111</v>
      </c>
      <c r="C14186" t="s">
        <v>67</v>
      </c>
      <c r="D14186" t="s">
        <v>67</v>
      </c>
      <c r="E14186" t="s">
        <v>67</v>
      </c>
      <c r="F14186" t="s">
        <v>27987</v>
      </c>
      <c r="G14186" s="117">
        <v>3.48</v>
      </c>
    </row>
    <row r="14187" spans="1:7" x14ac:dyDescent="0.25">
      <c r="A14187" s="116" t="s">
        <v>22026</v>
      </c>
      <c r="B14187" s="117" t="s">
        <v>22027</v>
      </c>
      <c r="C14187" t="s">
        <v>67</v>
      </c>
      <c r="D14187" t="s">
        <v>67</v>
      </c>
      <c r="E14187" t="s">
        <v>67</v>
      </c>
      <c r="F14187" t="s">
        <v>49</v>
      </c>
      <c r="G14187" s="117">
        <v>3.56</v>
      </c>
    </row>
    <row r="14188" spans="1:7" x14ac:dyDescent="0.25">
      <c r="A14188" s="116" t="s">
        <v>22028</v>
      </c>
      <c r="B14188" s="117" t="s">
        <v>22029</v>
      </c>
      <c r="C14188" t="s">
        <v>67</v>
      </c>
      <c r="D14188" t="s">
        <v>67</v>
      </c>
      <c r="E14188" t="s">
        <v>67</v>
      </c>
      <c r="F14188" t="s">
        <v>27987</v>
      </c>
      <c r="G14188" s="117">
        <v>4.3600000000000003</v>
      </c>
    </row>
    <row r="14189" spans="1:7" x14ac:dyDescent="0.25">
      <c r="A14189" s="116" t="s">
        <v>22030</v>
      </c>
      <c r="B14189" s="117" t="s">
        <v>22031</v>
      </c>
      <c r="C14189" t="s">
        <v>67</v>
      </c>
      <c r="D14189" t="s">
        <v>67</v>
      </c>
      <c r="E14189" t="s">
        <v>67</v>
      </c>
      <c r="F14189" t="s">
        <v>27987</v>
      </c>
      <c r="G14189" s="117">
        <v>6.14</v>
      </c>
    </row>
    <row r="14190" spans="1:7" x14ac:dyDescent="0.25">
      <c r="A14190" s="116" t="s">
        <v>22032</v>
      </c>
      <c r="B14190" s="117" t="s">
        <v>22033</v>
      </c>
      <c r="C14190" t="s">
        <v>67</v>
      </c>
      <c r="D14190" t="s">
        <v>67</v>
      </c>
      <c r="E14190" t="s">
        <v>67</v>
      </c>
      <c r="F14190" t="s">
        <v>49</v>
      </c>
      <c r="G14190" s="117">
        <v>1.33</v>
      </c>
    </row>
    <row r="14191" spans="1:7" x14ac:dyDescent="0.25">
      <c r="A14191" s="116" t="s">
        <v>22034</v>
      </c>
      <c r="B14191" s="117" t="s">
        <v>22035</v>
      </c>
      <c r="C14191" t="s">
        <v>67</v>
      </c>
      <c r="D14191" t="s">
        <v>67</v>
      </c>
      <c r="E14191" t="s">
        <v>67</v>
      </c>
      <c r="F14191" t="s">
        <v>27987</v>
      </c>
      <c r="G14191" s="117">
        <v>1.33</v>
      </c>
    </row>
    <row r="14192" spans="1:7" x14ac:dyDescent="0.25">
      <c r="A14192" s="116" t="s">
        <v>22036</v>
      </c>
      <c r="B14192" s="117" t="s">
        <v>22037</v>
      </c>
      <c r="C14192" t="s">
        <v>67</v>
      </c>
      <c r="D14192" t="s">
        <v>67</v>
      </c>
      <c r="E14192" t="s">
        <v>67</v>
      </c>
      <c r="F14192" t="s">
        <v>45</v>
      </c>
      <c r="G14192" s="117">
        <v>1.33</v>
      </c>
    </row>
    <row r="14193" spans="1:7" x14ac:dyDescent="0.25">
      <c r="A14193" s="116" t="s">
        <v>22038</v>
      </c>
      <c r="B14193" s="117" t="s">
        <v>22039</v>
      </c>
      <c r="C14193" t="s">
        <v>67</v>
      </c>
      <c r="D14193" t="s">
        <v>67</v>
      </c>
      <c r="E14193" t="s">
        <v>67</v>
      </c>
      <c r="F14193" t="s">
        <v>27987</v>
      </c>
      <c r="G14193" s="117">
        <v>1.33</v>
      </c>
    </row>
    <row r="14194" spans="1:7" x14ac:dyDescent="0.25">
      <c r="A14194" s="116" t="s">
        <v>29573</v>
      </c>
      <c r="B14194" s="117" t="s">
        <v>29574</v>
      </c>
      <c r="C14194" t="s">
        <v>67</v>
      </c>
      <c r="D14194" t="s">
        <v>67</v>
      </c>
      <c r="E14194" t="s">
        <v>67</v>
      </c>
      <c r="F14194" t="s">
        <v>27987</v>
      </c>
      <c r="G14194" s="117">
        <v>9999</v>
      </c>
    </row>
    <row r="14195" spans="1:7" x14ac:dyDescent="0.25">
      <c r="A14195" s="116" t="s">
        <v>22040</v>
      </c>
      <c r="B14195" s="117" t="s">
        <v>22041</v>
      </c>
      <c r="C14195" t="s">
        <v>67</v>
      </c>
      <c r="D14195" t="s">
        <v>67</v>
      </c>
      <c r="E14195" t="s">
        <v>67</v>
      </c>
      <c r="F14195" t="s">
        <v>49</v>
      </c>
      <c r="G14195" s="117">
        <v>1.33</v>
      </c>
    </row>
    <row r="14196" spans="1:7" x14ac:dyDescent="0.25">
      <c r="A14196" s="116" t="s">
        <v>22042</v>
      </c>
      <c r="B14196" s="117" t="s">
        <v>22043</v>
      </c>
      <c r="C14196" t="s">
        <v>67</v>
      </c>
      <c r="D14196" t="s">
        <v>67</v>
      </c>
      <c r="E14196" t="s">
        <v>67</v>
      </c>
      <c r="F14196" t="s">
        <v>27987</v>
      </c>
      <c r="G14196" s="117">
        <v>1.33</v>
      </c>
    </row>
    <row r="14197" spans="1:7" x14ac:dyDescent="0.25">
      <c r="A14197" s="116" t="s">
        <v>22044</v>
      </c>
      <c r="B14197" s="117" t="s">
        <v>22045</v>
      </c>
      <c r="C14197" t="s">
        <v>67</v>
      </c>
      <c r="D14197" t="s">
        <v>67</v>
      </c>
      <c r="E14197" t="s">
        <v>67</v>
      </c>
      <c r="F14197" t="s">
        <v>49</v>
      </c>
      <c r="G14197" s="117">
        <v>2.58</v>
      </c>
    </row>
    <row r="14198" spans="1:7" x14ac:dyDescent="0.25">
      <c r="A14198" s="116" t="s">
        <v>22046</v>
      </c>
      <c r="B14198" s="117" t="s">
        <v>22047</v>
      </c>
      <c r="C14198" t="s">
        <v>67</v>
      </c>
      <c r="D14198" t="s">
        <v>67</v>
      </c>
      <c r="E14198" t="s">
        <v>67</v>
      </c>
      <c r="F14198" t="s">
        <v>49</v>
      </c>
      <c r="G14198" s="117">
        <v>1.77</v>
      </c>
    </row>
    <row r="14199" spans="1:7" x14ac:dyDescent="0.25">
      <c r="A14199" s="116" t="s">
        <v>22048</v>
      </c>
      <c r="B14199" s="117" t="s">
        <v>22049</v>
      </c>
      <c r="C14199" t="s">
        <v>67</v>
      </c>
      <c r="D14199" t="s">
        <v>67</v>
      </c>
      <c r="E14199" t="s">
        <v>67</v>
      </c>
      <c r="F14199" t="s">
        <v>27987</v>
      </c>
      <c r="G14199" s="117">
        <v>2.23</v>
      </c>
    </row>
    <row r="14200" spans="1:7" x14ac:dyDescent="0.25">
      <c r="A14200" s="116" t="s">
        <v>22050</v>
      </c>
      <c r="B14200" s="117" t="s">
        <v>22051</v>
      </c>
      <c r="C14200" t="s">
        <v>67</v>
      </c>
      <c r="D14200" t="s">
        <v>67</v>
      </c>
      <c r="E14200" t="s">
        <v>67</v>
      </c>
      <c r="F14200" t="s">
        <v>51</v>
      </c>
      <c r="G14200" s="117">
        <v>1.69</v>
      </c>
    </row>
    <row r="14201" spans="1:7" x14ac:dyDescent="0.25">
      <c r="A14201" s="116" t="s">
        <v>22052</v>
      </c>
      <c r="B14201" s="117" t="s">
        <v>7676</v>
      </c>
      <c r="C14201" t="s">
        <v>67</v>
      </c>
      <c r="D14201" t="s">
        <v>67</v>
      </c>
      <c r="E14201" t="s">
        <v>67</v>
      </c>
      <c r="F14201" t="s">
        <v>27990</v>
      </c>
      <c r="G14201" s="117">
        <v>2.58</v>
      </c>
    </row>
    <row r="14202" spans="1:7" x14ac:dyDescent="0.25">
      <c r="A14202" s="116" t="s">
        <v>22053</v>
      </c>
      <c r="B14202" s="117" t="s">
        <v>22054</v>
      </c>
      <c r="C14202" t="s">
        <v>67</v>
      </c>
      <c r="D14202" t="s">
        <v>67</v>
      </c>
      <c r="E14202" t="s">
        <v>67</v>
      </c>
      <c r="F14202" t="s">
        <v>49</v>
      </c>
      <c r="G14202" s="117">
        <v>2.58</v>
      </c>
    </row>
    <row r="14203" spans="1:7" x14ac:dyDescent="0.25">
      <c r="A14203" s="116" t="s">
        <v>22055</v>
      </c>
      <c r="B14203" s="117" t="s">
        <v>22056</v>
      </c>
      <c r="C14203" t="s">
        <v>67</v>
      </c>
      <c r="D14203" t="s">
        <v>67</v>
      </c>
      <c r="E14203" t="s">
        <v>67</v>
      </c>
      <c r="F14203" t="s">
        <v>27987</v>
      </c>
      <c r="G14203" s="117">
        <v>4.3600000000000003</v>
      </c>
    </row>
    <row r="14204" spans="1:7" x14ac:dyDescent="0.25">
      <c r="A14204" s="116" t="s">
        <v>22057</v>
      </c>
      <c r="B14204" s="117" t="s">
        <v>22058</v>
      </c>
      <c r="C14204" t="s">
        <v>67</v>
      </c>
      <c r="D14204" t="s">
        <v>67</v>
      </c>
      <c r="E14204" t="s">
        <v>67</v>
      </c>
      <c r="F14204" t="s">
        <v>27987</v>
      </c>
      <c r="G14204" s="117">
        <v>2.27</v>
      </c>
    </row>
    <row r="14205" spans="1:7" x14ac:dyDescent="0.25">
      <c r="A14205" s="116" t="s">
        <v>27867</v>
      </c>
      <c r="B14205" s="117" t="s">
        <v>22059</v>
      </c>
      <c r="C14205" t="s">
        <v>67</v>
      </c>
      <c r="D14205" t="s">
        <v>67</v>
      </c>
      <c r="E14205" t="s">
        <v>67</v>
      </c>
      <c r="F14205" t="s">
        <v>45</v>
      </c>
      <c r="G14205" s="117">
        <v>34.19</v>
      </c>
    </row>
    <row r="14206" spans="1:7" x14ac:dyDescent="0.25">
      <c r="A14206" s="116" t="s">
        <v>27868</v>
      </c>
      <c r="B14206" s="117" t="s">
        <v>22060</v>
      </c>
      <c r="C14206" t="s">
        <v>67</v>
      </c>
      <c r="D14206" t="s">
        <v>67</v>
      </c>
      <c r="E14206" t="s">
        <v>67</v>
      </c>
      <c r="F14206" t="s">
        <v>27987</v>
      </c>
      <c r="G14206" s="117">
        <v>48.5</v>
      </c>
    </row>
    <row r="14207" spans="1:7" x14ac:dyDescent="0.25">
      <c r="A14207" s="116" t="s">
        <v>27869</v>
      </c>
      <c r="B14207" s="117" t="s">
        <v>22061</v>
      </c>
      <c r="C14207" t="s">
        <v>67</v>
      </c>
      <c r="D14207" t="s">
        <v>67</v>
      </c>
      <c r="E14207" t="s">
        <v>67</v>
      </c>
      <c r="F14207" t="s">
        <v>27987</v>
      </c>
      <c r="G14207" s="117">
        <v>74.3</v>
      </c>
    </row>
    <row r="14208" spans="1:7" x14ac:dyDescent="0.25">
      <c r="A14208" s="116" t="s">
        <v>27870</v>
      </c>
      <c r="B14208" s="117" t="s">
        <v>22062</v>
      </c>
      <c r="C14208" t="s">
        <v>67</v>
      </c>
      <c r="D14208" t="s">
        <v>67</v>
      </c>
      <c r="E14208" t="s">
        <v>67</v>
      </c>
      <c r="F14208" t="s">
        <v>45</v>
      </c>
      <c r="G14208" s="117">
        <v>23.05</v>
      </c>
    </row>
    <row r="14209" spans="1:7" x14ac:dyDescent="0.25">
      <c r="A14209" s="116" t="s">
        <v>27871</v>
      </c>
      <c r="B14209" s="117" t="s">
        <v>22059</v>
      </c>
      <c r="C14209" t="s">
        <v>67</v>
      </c>
      <c r="D14209" t="s">
        <v>67</v>
      </c>
      <c r="E14209" t="s">
        <v>67</v>
      </c>
      <c r="F14209" t="s">
        <v>49</v>
      </c>
      <c r="G14209" s="117">
        <v>29.27</v>
      </c>
    </row>
    <row r="14210" spans="1:7" x14ac:dyDescent="0.25">
      <c r="A14210" s="116" t="s">
        <v>22063</v>
      </c>
      <c r="B14210" s="117" t="s">
        <v>22027</v>
      </c>
      <c r="C14210" t="s">
        <v>67</v>
      </c>
      <c r="D14210" t="s">
        <v>67</v>
      </c>
      <c r="E14210" t="s">
        <v>67</v>
      </c>
      <c r="F14210" t="s">
        <v>49</v>
      </c>
      <c r="G14210" s="117">
        <v>4.3600000000000003</v>
      </c>
    </row>
    <row r="14211" spans="1:7" x14ac:dyDescent="0.25">
      <c r="A14211" s="116" t="s">
        <v>27872</v>
      </c>
      <c r="B14211" s="117" t="s">
        <v>22064</v>
      </c>
      <c r="C14211" t="s">
        <v>67</v>
      </c>
      <c r="D14211" t="s">
        <v>67</v>
      </c>
      <c r="E14211" t="s">
        <v>67</v>
      </c>
      <c r="F14211" t="s">
        <v>45</v>
      </c>
      <c r="G14211" s="117">
        <v>42.62</v>
      </c>
    </row>
    <row r="14212" spans="1:7" x14ac:dyDescent="0.25">
      <c r="A14212" s="116" t="s">
        <v>22065</v>
      </c>
      <c r="B14212" s="117" t="s">
        <v>22066</v>
      </c>
      <c r="C14212" t="s">
        <v>67</v>
      </c>
      <c r="D14212" t="s">
        <v>67</v>
      </c>
      <c r="E14212" t="s">
        <v>67</v>
      </c>
      <c r="F14212" t="s">
        <v>45</v>
      </c>
      <c r="G14212" s="117">
        <v>6.14</v>
      </c>
    </row>
    <row r="14213" spans="1:7" x14ac:dyDescent="0.25">
      <c r="A14213" s="116" t="s">
        <v>27873</v>
      </c>
      <c r="B14213" s="117" t="s">
        <v>22067</v>
      </c>
      <c r="C14213" t="s">
        <v>67</v>
      </c>
      <c r="D14213" t="s">
        <v>67</v>
      </c>
      <c r="E14213" t="s">
        <v>67</v>
      </c>
      <c r="F14213" t="s">
        <v>27987</v>
      </c>
      <c r="G14213" s="117">
        <v>44.05</v>
      </c>
    </row>
    <row r="14214" spans="1:7" x14ac:dyDescent="0.25">
      <c r="A14214" s="116" t="s">
        <v>27874</v>
      </c>
      <c r="B14214" s="117" t="s">
        <v>22068</v>
      </c>
      <c r="C14214" t="s">
        <v>67</v>
      </c>
      <c r="D14214" t="s">
        <v>67</v>
      </c>
      <c r="E14214" t="s">
        <v>67</v>
      </c>
      <c r="F14214" t="s">
        <v>45</v>
      </c>
      <c r="G14214" s="117">
        <v>62.74</v>
      </c>
    </row>
    <row r="14215" spans="1:7" x14ac:dyDescent="0.25">
      <c r="A14215" s="116" t="s">
        <v>29575</v>
      </c>
      <c r="B14215" s="117" t="s">
        <v>29576</v>
      </c>
      <c r="C14215" t="s">
        <v>67</v>
      </c>
      <c r="D14215" t="s">
        <v>67</v>
      </c>
      <c r="E14215" t="s">
        <v>67</v>
      </c>
      <c r="F14215" t="s">
        <v>45</v>
      </c>
      <c r="G14215" s="117">
        <v>0</v>
      </c>
    </row>
    <row r="14216" spans="1:7" x14ac:dyDescent="0.25">
      <c r="A14216" s="116" t="s">
        <v>22069</v>
      </c>
      <c r="B14216" s="117" t="s">
        <v>29577</v>
      </c>
      <c r="C14216" t="s">
        <v>67</v>
      </c>
      <c r="D14216" t="s">
        <v>67</v>
      </c>
      <c r="E14216" t="s">
        <v>67</v>
      </c>
      <c r="F14216" t="s">
        <v>45</v>
      </c>
      <c r="G14216" s="117">
        <v>9.6999999999999993</v>
      </c>
    </row>
    <row r="14217" spans="1:7" x14ac:dyDescent="0.25">
      <c r="A14217" s="116" t="s">
        <v>22070</v>
      </c>
      <c r="B14217" s="117" t="s">
        <v>22071</v>
      </c>
      <c r="C14217" t="s">
        <v>67</v>
      </c>
      <c r="D14217" t="s">
        <v>67</v>
      </c>
      <c r="E14217" t="s">
        <v>67</v>
      </c>
      <c r="F14217" t="s">
        <v>27987</v>
      </c>
      <c r="G14217" s="117">
        <v>13.26</v>
      </c>
    </row>
    <row r="14218" spans="1:7" x14ac:dyDescent="0.25">
      <c r="A14218" s="116" t="s">
        <v>22072</v>
      </c>
      <c r="B14218" s="117" t="s">
        <v>22073</v>
      </c>
      <c r="C14218" t="s">
        <v>67</v>
      </c>
      <c r="D14218" t="s">
        <v>67</v>
      </c>
      <c r="E14218" t="s">
        <v>67</v>
      </c>
      <c r="F14218" t="s">
        <v>27987</v>
      </c>
      <c r="G14218" s="117">
        <v>11.12</v>
      </c>
    </row>
    <row r="14219" spans="1:7" x14ac:dyDescent="0.25">
      <c r="A14219" s="116" t="s">
        <v>27875</v>
      </c>
      <c r="B14219" s="117" t="s">
        <v>5664</v>
      </c>
      <c r="C14219" t="s">
        <v>67</v>
      </c>
      <c r="D14219" t="s">
        <v>67</v>
      </c>
      <c r="E14219" t="s">
        <v>67</v>
      </c>
      <c r="F14219" t="s">
        <v>49</v>
      </c>
      <c r="G14219" s="117">
        <v>30.7</v>
      </c>
    </row>
    <row r="14220" spans="1:7" x14ac:dyDescent="0.25">
      <c r="A14220" s="116" t="s">
        <v>27876</v>
      </c>
      <c r="B14220" s="117" t="s">
        <v>22074</v>
      </c>
      <c r="C14220" t="s">
        <v>67</v>
      </c>
      <c r="D14220" t="s">
        <v>67</v>
      </c>
      <c r="E14220" t="s">
        <v>67</v>
      </c>
      <c r="F14220" t="s">
        <v>49</v>
      </c>
      <c r="G14220" s="117">
        <v>41.38</v>
      </c>
    </row>
    <row r="14221" spans="1:7" x14ac:dyDescent="0.25">
      <c r="A14221" s="116" t="s">
        <v>27877</v>
      </c>
      <c r="B14221" s="117" t="s">
        <v>22075</v>
      </c>
      <c r="C14221" t="s">
        <v>67</v>
      </c>
      <c r="D14221" t="s">
        <v>67</v>
      </c>
      <c r="E14221" t="s">
        <v>67</v>
      </c>
      <c r="F14221" t="s">
        <v>45</v>
      </c>
      <c r="G14221" s="117">
        <v>26.25</v>
      </c>
    </row>
    <row r="14222" spans="1:7" x14ac:dyDescent="0.25">
      <c r="A14222" s="116" t="s">
        <v>27878</v>
      </c>
      <c r="B14222" s="117" t="s">
        <v>22076</v>
      </c>
      <c r="C14222" t="s">
        <v>67</v>
      </c>
      <c r="D14222" t="s">
        <v>67</v>
      </c>
      <c r="E14222" t="s">
        <v>67</v>
      </c>
      <c r="F14222" t="s">
        <v>49</v>
      </c>
      <c r="G14222" s="117">
        <v>29.81</v>
      </c>
    </row>
    <row r="14223" spans="1:7" x14ac:dyDescent="0.25">
      <c r="A14223" s="116" t="s">
        <v>27879</v>
      </c>
      <c r="B14223" s="117" t="s">
        <v>22077</v>
      </c>
      <c r="C14223" t="s">
        <v>67</v>
      </c>
      <c r="D14223" t="s">
        <v>67</v>
      </c>
      <c r="E14223" t="s">
        <v>67</v>
      </c>
      <c r="F14223" t="s">
        <v>49</v>
      </c>
      <c r="G14223" s="117">
        <v>27.14</v>
      </c>
    </row>
    <row r="14224" spans="1:7" x14ac:dyDescent="0.25">
      <c r="A14224" s="116" t="s">
        <v>27880</v>
      </c>
      <c r="B14224" s="117" t="s">
        <v>22078</v>
      </c>
      <c r="C14224" t="s">
        <v>67</v>
      </c>
      <c r="D14224" t="s">
        <v>67</v>
      </c>
      <c r="E14224" t="s">
        <v>67</v>
      </c>
      <c r="F14224" t="s">
        <v>45</v>
      </c>
      <c r="G14224" s="117">
        <v>4.37</v>
      </c>
    </row>
    <row r="14225" spans="1:7" x14ac:dyDescent="0.25">
      <c r="A14225" s="116" t="s">
        <v>27881</v>
      </c>
      <c r="B14225" s="117" t="s">
        <v>22079</v>
      </c>
      <c r="C14225" t="s">
        <v>67</v>
      </c>
      <c r="D14225" t="s">
        <v>67</v>
      </c>
      <c r="E14225" t="s">
        <v>67</v>
      </c>
      <c r="F14225" t="s">
        <v>45</v>
      </c>
      <c r="G14225" s="117">
        <v>9.6999999999999993</v>
      </c>
    </row>
    <row r="14226" spans="1:7" x14ac:dyDescent="0.25">
      <c r="A14226" s="116" t="s">
        <v>27882</v>
      </c>
      <c r="B14226" s="117" t="s">
        <v>22080</v>
      </c>
      <c r="C14226" t="s">
        <v>67</v>
      </c>
      <c r="D14226" t="s">
        <v>67</v>
      </c>
      <c r="E14226" t="s">
        <v>67</v>
      </c>
      <c r="F14226" t="s">
        <v>45</v>
      </c>
      <c r="G14226" s="117">
        <v>12.08</v>
      </c>
    </row>
    <row r="14227" spans="1:7" x14ac:dyDescent="0.25">
      <c r="A14227" s="116" t="s">
        <v>27883</v>
      </c>
      <c r="B14227" s="117" t="s">
        <v>22081</v>
      </c>
      <c r="C14227" t="s">
        <v>67</v>
      </c>
      <c r="D14227" t="s">
        <v>67</v>
      </c>
      <c r="E14227" t="s">
        <v>67</v>
      </c>
      <c r="F14227" t="s">
        <v>45</v>
      </c>
      <c r="G14227" s="117">
        <v>13.26</v>
      </c>
    </row>
    <row r="14228" spans="1:7" x14ac:dyDescent="0.25">
      <c r="A14228" s="116" t="s">
        <v>27884</v>
      </c>
      <c r="B14228" s="117" t="s">
        <v>79</v>
      </c>
      <c r="C14228" t="s">
        <v>67</v>
      </c>
      <c r="D14228" t="s">
        <v>67</v>
      </c>
      <c r="E14228" t="s">
        <v>67</v>
      </c>
      <c r="F14228" t="s">
        <v>45</v>
      </c>
      <c r="G14228" s="117">
        <v>36.93</v>
      </c>
    </row>
    <row r="14229" spans="1:7" x14ac:dyDescent="0.25">
      <c r="A14229" s="116" t="s">
        <v>29578</v>
      </c>
      <c r="B14229" s="117" t="s">
        <v>3497</v>
      </c>
      <c r="C14229" t="s">
        <v>67</v>
      </c>
      <c r="D14229" t="s">
        <v>67</v>
      </c>
      <c r="E14229" t="s">
        <v>67</v>
      </c>
      <c r="F14229" t="s">
        <v>45</v>
      </c>
      <c r="G14229" s="117">
        <v>0</v>
      </c>
    </row>
    <row r="14230" spans="1:7" x14ac:dyDescent="0.25">
      <c r="A14230" s="116" t="s">
        <v>27885</v>
      </c>
      <c r="B14230" s="117" t="s">
        <v>22082</v>
      </c>
      <c r="C14230" t="s">
        <v>67</v>
      </c>
      <c r="D14230" t="s">
        <v>67</v>
      </c>
      <c r="E14230" t="s">
        <v>67</v>
      </c>
      <c r="F14230" t="s">
        <v>45</v>
      </c>
      <c r="G14230" s="117">
        <v>14.14</v>
      </c>
    </row>
    <row r="14231" spans="1:7" x14ac:dyDescent="0.25">
      <c r="A14231" s="116" t="s">
        <v>27886</v>
      </c>
      <c r="B14231" s="117" t="s">
        <v>22083</v>
      </c>
      <c r="C14231" t="s">
        <v>67</v>
      </c>
      <c r="D14231" t="s">
        <v>67</v>
      </c>
      <c r="E14231" t="s">
        <v>67</v>
      </c>
      <c r="F14231" t="s">
        <v>45</v>
      </c>
      <c r="G14231" s="117">
        <v>145.49</v>
      </c>
    </row>
    <row r="14232" spans="1:7" x14ac:dyDescent="0.25">
      <c r="A14232" s="116" t="s">
        <v>27887</v>
      </c>
      <c r="B14232" s="117" t="s">
        <v>22084</v>
      </c>
      <c r="C14232" t="s">
        <v>67</v>
      </c>
      <c r="D14232" t="s">
        <v>67</v>
      </c>
      <c r="E14232" t="s">
        <v>67</v>
      </c>
      <c r="F14232" t="s">
        <v>45</v>
      </c>
      <c r="G14232" s="117">
        <v>7.12</v>
      </c>
    </row>
    <row r="14233" spans="1:7" x14ac:dyDescent="0.25">
      <c r="A14233" s="116" t="s">
        <v>27888</v>
      </c>
      <c r="B14233" s="117" t="s">
        <v>22085</v>
      </c>
      <c r="C14233" t="s">
        <v>67</v>
      </c>
      <c r="D14233" t="s">
        <v>67</v>
      </c>
      <c r="E14233" t="s">
        <v>67</v>
      </c>
      <c r="F14233" t="s">
        <v>45</v>
      </c>
      <c r="G14233" s="117">
        <v>7.12</v>
      </c>
    </row>
    <row r="14234" spans="1:7" x14ac:dyDescent="0.25">
      <c r="A14234" s="116" t="s">
        <v>27889</v>
      </c>
      <c r="B14234" s="117" t="s">
        <v>22086</v>
      </c>
      <c r="C14234" t="s">
        <v>67</v>
      </c>
      <c r="D14234" t="s">
        <v>67</v>
      </c>
      <c r="E14234" t="s">
        <v>67</v>
      </c>
      <c r="F14234" t="s">
        <v>45</v>
      </c>
      <c r="G14234" s="117">
        <v>7.12</v>
      </c>
    </row>
    <row r="14235" spans="1:7" x14ac:dyDescent="0.25">
      <c r="A14235" s="116" t="s">
        <v>27890</v>
      </c>
      <c r="B14235" s="117" t="s">
        <v>22086</v>
      </c>
      <c r="C14235" t="s">
        <v>67</v>
      </c>
      <c r="D14235" t="s">
        <v>67</v>
      </c>
      <c r="E14235" t="s">
        <v>67</v>
      </c>
      <c r="F14235" t="s">
        <v>27987</v>
      </c>
      <c r="G14235" s="117">
        <v>14.14</v>
      </c>
    </row>
    <row r="14236" spans="1:7" x14ac:dyDescent="0.25">
      <c r="A14236" s="116" t="s">
        <v>27891</v>
      </c>
      <c r="B14236" s="117" t="s">
        <v>22085</v>
      </c>
      <c r="C14236" t="s">
        <v>67</v>
      </c>
      <c r="D14236" t="s">
        <v>67</v>
      </c>
      <c r="E14236" t="s">
        <v>67</v>
      </c>
      <c r="F14236" t="s">
        <v>45</v>
      </c>
      <c r="G14236" s="117">
        <v>12.08</v>
      </c>
    </row>
    <row r="14237" spans="1:7" x14ac:dyDescent="0.25">
      <c r="A14237" s="116" t="s">
        <v>27892</v>
      </c>
      <c r="B14237" s="117" t="s">
        <v>22087</v>
      </c>
      <c r="C14237" t="s">
        <v>67</v>
      </c>
      <c r="D14237" t="s">
        <v>67</v>
      </c>
      <c r="E14237" t="s">
        <v>67</v>
      </c>
      <c r="F14237" t="s">
        <v>45</v>
      </c>
      <c r="G14237" s="117">
        <v>16.82</v>
      </c>
    </row>
    <row r="14238" spans="1:7" x14ac:dyDescent="0.25">
      <c r="A14238" s="116" t="s">
        <v>27893</v>
      </c>
      <c r="B14238" s="117" t="s">
        <v>22088</v>
      </c>
      <c r="C14238" t="s">
        <v>67</v>
      </c>
      <c r="D14238" t="s">
        <v>67</v>
      </c>
      <c r="E14238" t="s">
        <v>67</v>
      </c>
      <c r="F14238" t="s">
        <v>45</v>
      </c>
      <c r="G14238" s="117">
        <v>84.08</v>
      </c>
    </row>
    <row r="14239" spans="1:7" x14ac:dyDescent="0.25">
      <c r="A14239" s="116" t="s">
        <v>27894</v>
      </c>
      <c r="B14239" s="117" t="s">
        <v>22089</v>
      </c>
      <c r="C14239" t="s">
        <v>67</v>
      </c>
      <c r="D14239" t="s">
        <v>67</v>
      </c>
      <c r="E14239" t="s">
        <v>67</v>
      </c>
      <c r="F14239" t="s">
        <v>45</v>
      </c>
      <c r="G14239" s="117">
        <v>23.58</v>
      </c>
    </row>
    <row r="14240" spans="1:7" x14ac:dyDescent="0.25">
      <c r="A14240" s="116" t="s">
        <v>27895</v>
      </c>
      <c r="B14240" s="117" t="s">
        <v>22090</v>
      </c>
      <c r="C14240" t="s">
        <v>67</v>
      </c>
      <c r="D14240" t="s">
        <v>67</v>
      </c>
      <c r="E14240" t="s">
        <v>67</v>
      </c>
      <c r="F14240" t="s">
        <v>27987</v>
      </c>
      <c r="G14240" s="117">
        <v>24.82</v>
      </c>
    </row>
    <row r="14241" spans="1:7" x14ac:dyDescent="0.25">
      <c r="A14241" s="116" t="s">
        <v>27896</v>
      </c>
      <c r="B14241" s="117" t="s">
        <v>22091</v>
      </c>
      <c r="C14241" t="s">
        <v>67</v>
      </c>
      <c r="D14241" t="s">
        <v>67</v>
      </c>
      <c r="E14241" t="s">
        <v>67</v>
      </c>
      <c r="F14241" t="s">
        <v>27987</v>
      </c>
      <c r="G14241" s="117">
        <v>45.82</v>
      </c>
    </row>
    <row r="14242" spans="1:7" x14ac:dyDescent="0.25">
      <c r="A14242" s="116" t="s">
        <v>27897</v>
      </c>
      <c r="B14242" s="117" t="s">
        <v>22091</v>
      </c>
      <c r="C14242" t="s">
        <v>67</v>
      </c>
      <c r="D14242" t="s">
        <v>67</v>
      </c>
      <c r="E14242" t="s">
        <v>67</v>
      </c>
      <c r="F14242" t="s">
        <v>45</v>
      </c>
      <c r="G14242" s="117">
        <v>57.75</v>
      </c>
    </row>
    <row r="14243" spans="1:7" x14ac:dyDescent="0.25">
      <c r="A14243" s="116" t="s">
        <v>27898</v>
      </c>
      <c r="B14243" s="117" t="s">
        <v>22092</v>
      </c>
      <c r="C14243" t="s">
        <v>67</v>
      </c>
      <c r="D14243" t="s">
        <v>67</v>
      </c>
      <c r="E14243" t="s">
        <v>67</v>
      </c>
      <c r="F14243" t="s">
        <v>45</v>
      </c>
      <c r="G14243" s="117">
        <v>47.04</v>
      </c>
    </row>
    <row r="14244" spans="1:7" x14ac:dyDescent="0.25">
      <c r="A14244" s="116" t="s">
        <v>27899</v>
      </c>
      <c r="B14244" s="117" t="s">
        <v>22093</v>
      </c>
      <c r="C14244" t="s">
        <v>67</v>
      </c>
      <c r="D14244" t="s">
        <v>67</v>
      </c>
      <c r="E14244" t="s">
        <v>67</v>
      </c>
      <c r="F14244" t="s">
        <v>45</v>
      </c>
      <c r="G14244" s="117">
        <v>14.8</v>
      </c>
    </row>
    <row r="14245" spans="1:7" x14ac:dyDescent="0.25">
      <c r="A14245" s="116" t="s">
        <v>27900</v>
      </c>
      <c r="B14245" s="117" t="s">
        <v>22094</v>
      </c>
      <c r="C14245" t="s">
        <v>67</v>
      </c>
      <c r="D14245" t="s">
        <v>67</v>
      </c>
      <c r="E14245" t="s">
        <v>67</v>
      </c>
      <c r="F14245" t="s">
        <v>45</v>
      </c>
      <c r="G14245" s="117">
        <v>36.409999999999997</v>
      </c>
    </row>
    <row r="14246" spans="1:7" x14ac:dyDescent="0.25">
      <c r="A14246" s="116" t="s">
        <v>27901</v>
      </c>
      <c r="B14246" s="117" t="s">
        <v>22095</v>
      </c>
      <c r="C14246" t="s">
        <v>67</v>
      </c>
      <c r="D14246" t="s">
        <v>67</v>
      </c>
      <c r="E14246" t="s">
        <v>67</v>
      </c>
      <c r="F14246" t="s">
        <v>45</v>
      </c>
      <c r="G14246" s="117">
        <v>15.96</v>
      </c>
    </row>
    <row r="14247" spans="1:7" x14ac:dyDescent="0.25">
      <c r="A14247" s="116" t="s">
        <v>27902</v>
      </c>
      <c r="B14247" s="117" t="s">
        <v>22095</v>
      </c>
      <c r="C14247" t="s">
        <v>67</v>
      </c>
      <c r="D14247" t="s">
        <v>67</v>
      </c>
      <c r="E14247" t="s">
        <v>67</v>
      </c>
      <c r="F14247" t="s">
        <v>45</v>
      </c>
      <c r="G14247" s="117">
        <v>5.33</v>
      </c>
    </row>
    <row r="14248" spans="1:7" x14ac:dyDescent="0.25">
      <c r="A14248" s="116" t="s">
        <v>27903</v>
      </c>
      <c r="B14248" s="117" t="s">
        <v>22096</v>
      </c>
      <c r="C14248" t="s">
        <v>67</v>
      </c>
      <c r="D14248" t="s">
        <v>67</v>
      </c>
      <c r="E14248" t="s">
        <v>67</v>
      </c>
      <c r="F14248" t="s">
        <v>45</v>
      </c>
      <c r="G14248" s="117">
        <v>9.6999999999999993</v>
      </c>
    </row>
    <row r="14249" spans="1:7" x14ac:dyDescent="0.25">
      <c r="A14249" s="116" t="s">
        <v>27904</v>
      </c>
      <c r="B14249" s="117" t="s">
        <v>22097</v>
      </c>
      <c r="C14249" t="s">
        <v>67</v>
      </c>
      <c r="D14249" t="s">
        <v>67</v>
      </c>
      <c r="E14249" t="s">
        <v>67</v>
      </c>
      <c r="F14249" t="s">
        <v>49</v>
      </c>
      <c r="G14249" s="117">
        <v>51.52</v>
      </c>
    </row>
    <row r="14250" spans="1:7" x14ac:dyDescent="0.25">
      <c r="A14250" s="116" t="s">
        <v>27905</v>
      </c>
      <c r="B14250" s="117" t="s">
        <v>22098</v>
      </c>
      <c r="C14250" t="s">
        <v>67</v>
      </c>
      <c r="D14250" t="s">
        <v>67</v>
      </c>
      <c r="E14250" t="s">
        <v>67</v>
      </c>
      <c r="F14250" t="s">
        <v>45</v>
      </c>
      <c r="G14250" s="117">
        <v>17.36</v>
      </c>
    </row>
    <row r="14251" spans="1:7" x14ac:dyDescent="0.25">
      <c r="A14251" s="116" t="s">
        <v>27906</v>
      </c>
      <c r="B14251" s="117" t="s">
        <v>22099</v>
      </c>
      <c r="C14251" t="s">
        <v>67</v>
      </c>
      <c r="D14251" t="s">
        <v>67</v>
      </c>
      <c r="E14251" t="s">
        <v>67</v>
      </c>
      <c r="F14251" t="s">
        <v>45</v>
      </c>
      <c r="G14251" s="117">
        <v>7.78</v>
      </c>
    </row>
    <row r="14252" spans="1:7" x14ac:dyDescent="0.25">
      <c r="A14252" s="116" t="s">
        <v>27907</v>
      </c>
      <c r="B14252" s="117" t="s">
        <v>22100</v>
      </c>
      <c r="C14252" t="s">
        <v>67</v>
      </c>
      <c r="D14252" t="s">
        <v>67</v>
      </c>
      <c r="E14252" t="s">
        <v>67</v>
      </c>
      <c r="F14252" t="s">
        <v>45</v>
      </c>
      <c r="G14252" s="117">
        <v>12.01</v>
      </c>
    </row>
    <row r="14253" spans="1:7" x14ac:dyDescent="0.25">
      <c r="A14253" s="116" t="s">
        <v>27908</v>
      </c>
      <c r="B14253" s="117" t="s">
        <v>22101</v>
      </c>
      <c r="C14253" t="s">
        <v>67</v>
      </c>
      <c r="D14253" t="s">
        <v>67</v>
      </c>
      <c r="E14253" t="s">
        <v>67</v>
      </c>
      <c r="F14253" t="s">
        <v>45</v>
      </c>
      <c r="G14253" s="117">
        <v>130.19999999999999</v>
      </c>
    </row>
    <row r="14254" spans="1:7" x14ac:dyDescent="0.25">
      <c r="A14254" s="116" t="s">
        <v>27909</v>
      </c>
      <c r="B14254" s="117" t="s">
        <v>22102</v>
      </c>
      <c r="C14254" t="s">
        <v>67</v>
      </c>
      <c r="D14254" t="s">
        <v>67</v>
      </c>
      <c r="E14254" t="s">
        <v>67</v>
      </c>
      <c r="F14254" t="s">
        <v>45</v>
      </c>
      <c r="G14254" s="117">
        <v>115</v>
      </c>
    </row>
    <row r="14255" spans="1:7" x14ac:dyDescent="0.25">
      <c r="A14255" s="116" t="s">
        <v>27910</v>
      </c>
      <c r="B14255" s="117" t="s">
        <v>22103</v>
      </c>
      <c r="C14255" t="s">
        <v>67</v>
      </c>
      <c r="D14255" t="s">
        <v>67</v>
      </c>
      <c r="E14255" t="s">
        <v>67</v>
      </c>
      <c r="F14255" t="s">
        <v>45</v>
      </c>
      <c r="G14255" s="117">
        <v>3.56</v>
      </c>
    </row>
    <row r="14256" spans="1:7" x14ac:dyDescent="0.25">
      <c r="A14256" s="116" t="s">
        <v>27911</v>
      </c>
      <c r="B14256" s="117" t="s">
        <v>22104</v>
      </c>
      <c r="C14256" t="s">
        <v>67</v>
      </c>
      <c r="D14256" t="s">
        <v>67</v>
      </c>
      <c r="E14256" t="s">
        <v>67</v>
      </c>
      <c r="F14256" t="s">
        <v>49</v>
      </c>
      <c r="G14256" s="117">
        <v>62.8</v>
      </c>
    </row>
    <row r="14257" spans="1:7" x14ac:dyDescent="0.25">
      <c r="A14257" s="116" t="s">
        <v>27912</v>
      </c>
      <c r="B14257" s="117" t="s">
        <v>22105</v>
      </c>
      <c r="C14257" t="s">
        <v>67</v>
      </c>
      <c r="D14257" t="s">
        <v>67</v>
      </c>
      <c r="E14257" t="s">
        <v>67</v>
      </c>
      <c r="F14257" t="s">
        <v>27987</v>
      </c>
      <c r="G14257" s="117">
        <v>74.3</v>
      </c>
    </row>
    <row r="14258" spans="1:7" x14ac:dyDescent="0.25">
      <c r="A14258" s="116" t="s">
        <v>27913</v>
      </c>
      <c r="B14258" s="117" t="s">
        <v>22102</v>
      </c>
      <c r="C14258" t="s">
        <v>67</v>
      </c>
      <c r="D14258" t="s">
        <v>67</v>
      </c>
      <c r="E14258" t="s">
        <v>67</v>
      </c>
      <c r="F14258" t="s">
        <v>45</v>
      </c>
      <c r="G14258" s="117">
        <v>46.18</v>
      </c>
    </row>
    <row r="14259" spans="1:7" x14ac:dyDescent="0.25">
      <c r="A14259" s="116" t="s">
        <v>27914</v>
      </c>
      <c r="B14259" s="117" t="s">
        <v>22105</v>
      </c>
      <c r="C14259" t="s">
        <v>67</v>
      </c>
      <c r="D14259" t="s">
        <v>67</v>
      </c>
      <c r="E14259" t="s">
        <v>67</v>
      </c>
      <c r="F14259" t="s">
        <v>27987</v>
      </c>
      <c r="G14259" s="117">
        <v>81.42</v>
      </c>
    </row>
    <row r="14260" spans="1:7" x14ac:dyDescent="0.25">
      <c r="A14260" s="116" t="s">
        <v>27915</v>
      </c>
      <c r="B14260" s="117" t="s">
        <v>22106</v>
      </c>
      <c r="C14260" t="s">
        <v>67</v>
      </c>
      <c r="D14260" t="s">
        <v>67</v>
      </c>
      <c r="E14260" t="s">
        <v>67</v>
      </c>
      <c r="F14260" t="s">
        <v>45</v>
      </c>
      <c r="G14260" s="117">
        <v>6.68</v>
      </c>
    </row>
    <row r="14261" spans="1:7" x14ac:dyDescent="0.25">
      <c r="A14261" s="116" t="s">
        <v>27916</v>
      </c>
      <c r="B14261" s="117" t="s">
        <v>22107</v>
      </c>
      <c r="C14261" t="s">
        <v>67</v>
      </c>
      <c r="D14261" t="s">
        <v>67</v>
      </c>
      <c r="E14261" t="s">
        <v>67</v>
      </c>
      <c r="F14261" t="s">
        <v>45</v>
      </c>
      <c r="G14261" s="117">
        <v>13.26</v>
      </c>
    </row>
    <row r="14262" spans="1:7" x14ac:dyDescent="0.25">
      <c r="A14262" s="116" t="s">
        <v>27917</v>
      </c>
      <c r="B14262" s="117" t="s">
        <v>29579</v>
      </c>
      <c r="C14262" t="s">
        <v>67</v>
      </c>
      <c r="D14262" t="s">
        <v>67</v>
      </c>
      <c r="E14262" t="s">
        <v>67</v>
      </c>
      <c r="F14262" t="s">
        <v>49</v>
      </c>
      <c r="G14262" s="117">
        <v>9.35</v>
      </c>
    </row>
    <row r="14263" spans="1:7" x14ac:dyDescent="0.25">
      <c r="A14263" s="116" t="s">
        <v>27918</v>
      </c>
      <c r="B14263" s="117" t="s">
        <v>29580</v>
      </c>
      <c r="C14263" t="s">
        <v>67</v>
      </c>
      <c r="D14263" t="s">
        <v>67</v>
      </c>
      <c r="E14263" t="s">
        <v>67</v>
      </c>
      <c r="F14263" t="s">
        <v>27987</v>
      </c>
      <c r="G14263" s="117">
        <v>24.48</v>
      </c>
    </row>
    <row r="14264" spans="1:7" x14ac:dyDescent="0.25">
      <c r="A14264" s="116" t="s">
        <v>27919</v>
      </c>
      <c r="B14264" s="117" t="s">
        <v>22108</v>
      </c>
      <c r="C14264" t="s">
        <v>67</v>
      </c>
      <c r="D14264" t="s">
        <v>67</v>
      </c>
      <c r="E14264" t="s">
        <v>67</v>
      </c>
      <c r="F14264" t="s">
        <v>27987</v>
      </c>
      <c r="G14264" s="117">
        <v>8.81</v>
      </c>
    </row>
    <row r="14265" spans="1:7" x14ac:dyDescent="0.25">
      <c r="A14265" s="116" t="s">
        <v>27920</v>
      </c>
      <c r="B14265" s="117" t="s">
        <v>22109</v>
      </c>
      <c r="C14265" t="s">
        <v>67</v>
      </c>
      <c r="D14265" t="s">
        <v>67</v>
      </c>
      <c r="E14265" t="s">
        <v>67</v>
      </c>
      <c r="F14265" t="s">
        <v>45</v>
      </c>
      <c r="G14265" s="117">
        <v>5.25</v>
      </c>
    </row>
    <row r="14266" spans="1:7" x14ac:dyDescent="0.25">
      <c r="A14266" s="116" t="s">
        <v>27921</v>
      </c>
      <c r="B14266" s="117" t="s">
        <v>22110</v>
      </c>
      <c r="C14266" t="s">
        <v>67</v>
      </c>
      <c r="D14266" t="s">
        <v>67</v>
      </c>
      <c r="E14266" t="s">
        <v>67</v>
      </c>
      <c r="F14266" t="s">
        <v>45</v>
      </c>
      <c r="G14266" s="117">
        <v>44.57</v>
      </c>
    </row>
    <row r="14267" spans="1:7" x14ac:dyDescent="0.25">
      <c r="A14267" s="116" t="s">
        <v>27922</v>
      </c>
      <c r="B14267" s="117" t="s">
        <v>22111</v>
      </c>
      <c r="C14267" t="s">
        <v>67</v>
      </c>
      <c r="D14267" t="s">
        <v>67</v>
      </c>
      <c r="E14267" t="s">
        <v>67</v>
      </c>
      <c r="F14267" t="s">
        <v>45</v>
      </c>
      <c r="G14267" s="117">
        <v>63.14</v>
      </c>
    </row>
    <row r="14268" spans="1:7" x14ac:dyDescent="0.25">
      <c r="A14268" s="116" t="s">
        <v>27923</v>
      </c>
      <c r="B14268" s="117" t="s">
        <v>22112</v>
      </c>
      <c r="C14268" t="s">
        <v>67</v>
      </c>
      <c r="D14268" t="s">
        <v>67</v>
      </c>
      <c r="E14268" t="s">
        <v>67</v>
      </c>
      <c r="F14268" t="s">
        <v>45</v>
      </c>
      <c r="G14268" s="117">
        <v>6.14</v>
      </c>
    </row>
    <row r="14269" spans="1:7" x14ac:dyDescent="0.25">
      <c r="A14269" s="116" t="s">
        <v>27924</v>
      </c>
      <c r="B14269" s="117" t="s">
        <v>22113</v>
      </c>
      <c r="C14269" t="s">
        <v>67</v>
      </c>
      <c r="D14269" t="s">
        <v>67</v>
      </c>
      <c r="E14269" t="s">
        <v>67</v>
      </c>
      <c r="F14269" t="s">
        <v>27987</v>
      </c>
      <c r="G14269" s="117">
        <v>14.1</v>
      </c>
    </row>
    <row r="14270" spans="1:7" x14ac:dyDescent="0.25">
      <c r="A14270" s="116" t="s">
        <v>27925</v>
      </c>
      <c r="B14270" s="117" t="s">
        <v>22114</v>
      </c>
      <c r="C14270" t="s">
        <v>67</v>
      </c>
      <c r="D14270" t="s">
        <v>67</v>
      </c>
      <c r="E14270" t="s">
        <v>67</v>
      </c>
      <c r="F14270" t="s">
        <v>45</v>
      </c>
      <c r="G14270" s="117">
        <v>0</v>
      </c>
    </row>
    <row r="14271" spans="1:7" x14ac:dyDescent="0.25">
      <c r="A14271" s="116" t="s">
        <v>27926</v>
      </c>
      <c r="B14271" s="117" t="s">
        <v>22115</v>
      </c>
      <c r="C14271" t="s">
        <v>67</v>
      </c>
      <c r="D14271" t="s">
        <v>67</v>
      </c>
      <c r="E14271" t="s">
        <v>67</v>
      </c>
      <c r="F14271" t="s">
        <v>45</v>
      </c>
      <c r="G14271" s="117">
        <v>22.69</v>
      </c>
    </row>
    <row r="14272" spans="1:7" x14ac:dyDescent="0.25">
      <c r="A14272" s="116" t="s">
        <v>27927</v>
      </c>
      <c r="B14272" s="117" t="s">
        <v>22116</v>
      </c>
      <c r="C14272" t="s">
        <v>67</v>
      </c>
      <c r="D14272" t="s">
        <v>67</v>
      </c>
      <c r="E14272" t="s">
        <v>67</v>
      </c>
      <c r="F14272" t="s">
        <v>27987</v>
      </c>
      <c r="G14272" s="117">
        <v>16.91</v>
      </c>
    </row>
    <row r="14273" spans="1:7" x14ac:dyDescent="0.25">
      <c r="A14273" s="116" t="s">
        <v>27928</v>
      </c>
      <c r="B14273" s="117" t="s">
        <v>22117</v>
      </c>
      <c r="C14273" t="s">
        <v>67</v>
      </c>
      <c r="D14273" t="s">
        <v>67</v>
      </c>
      <c r="E14273" t="s">
        <v>67</v>
      </c>
      <c r="F14273" t="s">
        <v>45</v>
      </c>
      <c r="G14273" s="117">
        <v>7.92</v>
      </c>
    </row>
    <row r="14274" spans="1:7" x14ac:dyDescent="0.25">
      <c r="A14274" s="116" t="s">
        <v>27929</v>
      </c>
      <c r="B14274" s="117" t="s">
        <v>22118</v>
      </c>
      <c r="C14274" t="s">
        <v>67</v>
      </c>
      <c r="D14274" t="s">
        <v>67</v>
      </c>
      <c r="E14274" t="s">
        <v>67</v>
      </c>
      <c r="F14274" t="s">
        <v>45</v>
      </c>
      <c r="G14274" s="117">
        <v>10.47</v>
      </c>
    </row>
    <row r="14275" spans="1:7" x14ac:dyDescent="0.25">
      <c r="A14275" s="116" t="s">
        <v>27930</v>
      </c>
      <c r="B14275" s="117" t="s">
        <v>29581</v>
      </c>
      <c r="C14275" t="s">
        <v>67</v>
      </c>
      <c r="D14275" t="s">
        <v>67</v>
      </c>
      <c r="E14275" t="s">
        <v>67</v>
      </c>
      <c r="F14275" t="s">
        <v>27987</v>
      </c>
      <c r="G14275" s="117">
        <v>97.44</v>
      </c>
    </row>
    <row r="14276" spans="1:7" x14ac:dyDescent="0.25">
      <c r="A14276" s="116" t="s">
        <v>27931</v>
      </c>
      <c r="B14276" s="117" t="s">
        <v>22119</v>
      </c>
      <c r="C14276" t="s">
        <v>67</v>
      </c>
      <c r="D14276" t="s">
        <v>67</v>
      </c>
      <c r="E14276" t="s">
        <v>67</v>
      </c>
      <c r="F14276" t="s">
        <v>45</v>
      </c>
      <c r="G14276" s="117">
        <v>41.74</v>
      </c>
    </row>
    <row r="14277" spans="1:7" x14ac:dyDescent="0.25">
      <c r="A14277" s="116" t="s">
        <v>27932</v>
      </c>
      <c r="B14277" s="117" t="s">
        <v>22120</v>
      </c>
      <c r="C14277" t="s">
        <v>67</v>
      </c>
      <c r="D14277" t="s">
        <v>67</v>
      </c>
      <c r="E14277" t="s">
        <v>67</v>
      </c>
      <c r="F14277" t="s">
        <v>27987</v>
      </c>
      <c r="G14277" s="117">
        <v>31.94</v>
      </c>
    </row>
    <row r="14278" spans="1:7" x14ac:dyDescent="0.25">
      <c r="A14278" s="116" t="s">
        <v>27933</v>
      </c>
      <c r="B14278" s="117" t="s">
        <v>22121</v>
      </c>
      <c r="C14278" t="s">
        <v>67</v>
      </c>
      <c r="D14278" t="s">
        <v>67</v>
      </c>
      <c r="E14278" t="s">
        <v>67</v>
      </c>
      <c r="F14278" t="s">
        <v>45</v>
      </c>
      <c r="G14278" s="117">
        <v>5.24</v>
      </c>
    </row>
    <row r="14279" spans="1:7" x14ac:dyDescent="0.25">
      <c r="A14279" s="116" t="s">
        <v>27934</v>
      </c>
      <c r="B14279" s="117" t="s">
        <v>22122</v>
      </c>
      <c r="C14279" t="s">
        <v>67</v>
      </c>
      <c r="D14279" t="s">
        <v>67</v>
      </c>
      <c r="E14279" t="s">
        <v>67</v>
      </c>
      <c r="F14279" t="s">
        <v>45</v>
      </c>
      <c r="G14279" s="117">
        <v>10.47</v>
      </c>
    </row>
    <row r="14280" spans="1:7" x14ac:dyDescent="0.25">
      <c r="A14280" s="116" t="s">
        <v>27935</v>
      </c>
      <c r="B14280" s="117" t="s">
        <v>22121</v>
      </c>
      <c r="C14280" t="s">
        <v>67</v>
      </c>
      <c r="D14280" t="s">
        <v>67</v>
      </c>
      <c r="E14280" t="s">
        <v>67</v>
      </c>
      <c r="F14280" t="s">
        <v>45</v>
      </c>
      <c r="G14280" s="117">
        <v>6.14</v>
      </c>
    </row>
    <row r="14281" spans="1:7" x14ac:dyDescent="0.25">
      <c r="A14281" s="116" t="s">
        <v>27936</v>
      </c>
      <c r="B14281" s="117" t="s">
        <v>22123</v>
      </c>
      <c r="C14281" t="s">
        <v>67</v>
      </c>
      <c r="D14281" t="s">
        <v>67</v>
      </c>
      <c r="E14281" t="s">
        <v>67</v>
      </c>
      <c r="F14281" t="s">
        <v>45</v>
      </c>
      <c r="G14281" s="117">
        <v>14.14</v>
      </c>
    </row>
    <row r="14282" spans="1:7" x14ac:dyDescent="0.25">
      <c r="A14282" s="116" t="s">
        <v>27937</v>
      </c>
      <c r="B14282" s="117" t="s">
        <v>22123</v>
      </c>
      <c r="C14282" t="s">
        <v>67</v>
      </c>
      <c r="D14282" t="s">
        <v>67</v>
      </c>
      <c r="E14282" t="s">
        <v>67</v>
      </c>
      <c r="F14282" t="s">
        <v>45</v>
      </c>
      <c r="G14282" s="117">
        <v>188.82</v>
      </c>
    </row>
    <row r="14283" spans="1:7" x14ac:dyDescent="0.25">
      <c r="A14283" s="116" t="s">
        <v>27938</v>
      </c>
      <c r="B14283" s="117" t="s">
        <v>22124</v>
      </c>
      <c r="C14283" t="s">
        <v>67</v>
      </c>
      <c r="D14283" t="s">
        <v>67</v>
      </c>
      <c r="E14283" t="s">
        <v>67</v>
      </c>
      <c r="F14283" t="s">
        <v>45</v>
      </c>
      <c r="G14283" s="117">
        <v>203.68</v>
      </c>
    </row>
    <row r="14284" spans="1:7" x14ac:dyDescent="0.25">
      <c r="A14284" s="116" t="s">
        <v>27939</v>
      </c>
      <c r="B14284" s="117" t="s">
        <v>22125</v>
      </c>
      <c r="C14284" t="s">
        <v>67</v>
      </c>
      <c r="D14284" t="s">
        <v>67</v>
      </c>
      <c r="E14284" t="s">
        <v>67</v>
      </c>
      <c r="F14284" t="s">
        <v>45</v>
      </c>
      <c r="G14284" s="117">
        <v>3.12</v>
      </c>
    </row>
    <row r="14285" spans="1:7" x14ac:dyDescent="0.25">
      <c r="A14285" s="116" t="s">
        <v>27940</v>
      </c>
      <c r="B14285" s="117" t="s">
        <v>22126</v>
      </c>
      <c r="C14285" t="s">
        <v>67</v>
      </c>
      <c r="D14285" t="s">
        <v>67</v>
      </c>
      <c r="E14285" t="s">
        <v>67</v>
      </c>
      <c r="F14285" t="s">
        <v>45</v>
      </c>
      <c r="G14285" s="117">
        <v>47.07</v>
      </c>
    </row>
    <row r="14286" spans="1:7" x14ac:dyDescent="0.25">
      <c r="A14286" s="116" t="s">
        <v>27941</v>
      </c>
      <c r="B14286" s="117" t="s">
        <v>22127</v>
      </c>
      <c r="C14286" t="s">
        <v>67</v>
      </c>
      <c r="D14286" t="s">
        <v>67</v>
      </c>
      <c r="E14286" t="s">
        <v>67</v>
      </c>
      <c r="F14286" t="s">
        <v>27987</v>
      </c>
      <c r="G14286" s="117">
        <v>27.14</v>
      </c>
    </row>
    <row r="14287" spans="1:7" x14ac:dyDescent="0.25">
      <c r="A14287" s="116" t="s">
        <v>27942</v>
      </c>
      <c r="B14287" s="117" t="s">
        <v>22128</v>
      </c>
      <c r="C14287" t="s">
        <v>67</v>
      </c>
      <c r="D14287" t="s">
        <v>67</v>
      </c>
      <c r="E14287" t="s">
        <v>67</v>
      </c>
      <c r="F14287" t="s">
        <v>45</v>
      </c>
      <c r="G14287" s="117">
        <v>17.36</v>
      </c>
    </row>
    <row r="14288" spans="1:7" x14ac:dyDescent="0.25">
      <c r="A14288" s="116" t="s">
        <v>27943</v>
      </c>
      <c r="B14288" s="117" t="s">
        <v>22129</v>
      </c>
      <c r="C14288" t="s">
        <v>67</v>
      </c>
      <c r="D14288" t="s">
        <v>67</v>
      </c>
      <c r="E14288" t="s">
        <v>67</v>
      </c>
      <c r="F14288" t="s">
        <v>45</v>
      </c>
      <c r="G14288" s="117">
        <v>15.57</v>
      </c>
    </row>
    <row r="14289" spans="1:7" x14ac:dyDescent="0.25">
      <c r="A14289" s="116" t="s">
        <v>27944</v>
      </c>
      <c r="B14289" s="117" t="s">
        <v>22130</v>
      </c>
      <c r="C14289" t="s">
        <v>67</v>
      </c>
      <c r="D14289" t="s">
        <v>67</v>
      </c>
      <c r="E14289" t="s">
        <v>67</v>
      </c>
      <c r="F14289" t="s">
        <v>45</v>
      </c>
      <c r="G14289" s="117">
        <v>285.19</v>
      </c>
    </row>
    <row r="14290" spans="1:7" x14ac:dyDescent="0.25">
      <c r="A14290" s="116" t="s">
        <v>27945</v>
      </c>
      <c r="B14290" s="117" t="s">
        <v>22131</v>
      </c>
      <c r="C14290" t="s">
        <v>67</v>
      </c>
      <c r="D14290" t="s">
        <v>67</v>
      </c>
      <c r="E14290" t="s">
        <v>67</v>
      </c>
      <c r="F14290" t="s">
        <v>45</v>
      </c>
      <c r="G14290" s="117">
        <v>346.58</v>
      </c>
    </row>
    <row r="14291" spans="1:7" x14ac:dyDescent="0.25">
      <c r="A14291" s="116" t="s">
        <v>27946</v>
      </c>
      <c r="B14291" s="117" t="s">
        <v>22132</v>
      </c>
      <c r="C14291" t="s">
        <v>67</v>
      </c>
      <c r="D14291" t="s">
        <v>67</v>
      </c>
      <c r="E14291" t="s">
        <v>67</v>
      </c>
      <c r="F14291" t="s">
        <v>45</v>
      </c>
      <c r="G14291" s="117">
        <v>731.73</v>
      </c>
    </row>
    <row r="14292" spans="1:7" x14ac:dyDescent="0.25">
      <c r="A14292" s="116" t="s">
        <v>22133</v>
      </c>
      <c r="B14292" s="117" t="s">
        <v>22134</v>
      </c>
      <c r="C14292" t="s">
        <v>67</v>
      </c>
      <c r="D14292" t="s">
        <v>67</v>
      </c>
      <c r="E14292" t="s">
        <v>67</v>
      </c>
      <c r="F14292" t="s">
        <v>27987</v>
      </c>
      <c r="G14292" s="117">
        <v>478.29</v>
      </c>
    </row>
    <row r="14293" spans="1:7" x14ac:dyDescent="0.25">
      <c r="A14293" s="116" t="s">
        <v>27947</v>
      </c>
      <c r="B14293" s="117" t="s">
        <v>22135</v>
      </c>
      <c r="C14293" t="s">
        <v>67</v>
      </c>
      <c r="D14293" t="s">
        <v>67</v>
      </c>
      <c r="E14293" t="s">
        <v>67</v>
      </c>
      <c r="F14293" t="s">
        <v>45</v>
      </c>
      <c r="G14293" s="117">
        <v>14.68</v>
      </c>
    </row>
    <row r="14294" spans="1:7" x14ac:dyDescent="0.25">
      <c r="A14294" s="116" t="s">
        <v>27948</v>
      </c>
      <c r="B14294" s="117" t="s">
        <v>29582</v>
      </c>
      <c r="C14294" t="s">
        <v>67</v>
      </c>
      <c r="D14294" t="s">
        <v>67</v>
      </c>
      <c r="E14294" t="s">
        <v>67</v>
      </c>
      <c r="F14294" t="s">
        <v>45</v>
      </c>
      <c r="G14294" s="117">
        <v>27.14</v>
      </c>
    </row>
    <row r="14295" spans="1:7" x14ac:dyDescent="0.25">
      <c r="A14295" s="116" t="s">
        <v>22136</v>
      </c>
      <c r="B14295" s="117" t="s">
        <v>22137</v>
      </c>
      <c r="C14295" t="s">
        <v>67</v>
      </c>
      <c r="D14295" t="s">
        <v>67</v>
      </c>
      <c r="E14295" t="s">
        <v>67</v>
      </c>
      <c r="F14295" t="s">
        <v>45</v>
      </c>
      <c r="G14295" s="117">
        <v>99.13</v>
      </c>
    </row>
    <row r="14296" spans="1:7" x14ac:dyDescent="0.25">
      <c r="A14296" s="116" t="s">
        <v>22138</v>
      </c>
      <c r="B14296" s="117" t="s">
        <v>22139</v>
      </c>
      <c r="C14296" t="s">
        <v>67</v>
      </c>
      <c r="D14296" t="s">
        <v>67</v>
      </c>
      <c r="E14296" t="s">
        <v>67</v>
      </c>
      <c r="F14296" t="s">
        <v>45</v>
      </c>
      <c r="G14296" s="117">
        <v>21.64</v>
      </c>
    </row>
    <row r="14297" spans="1:7" x14ac:dyDescent="0.25">
      <c r="A14297" s="116" t="s">
        <v>22140</v>
      </c>
      <c r="B14297" s="117" t="s">
        <v>22141</v>
      </c>
      <c r="C14297" t="s">
        <v>67</v>
      </c>
      <c r="D14297" t="s">
        <v>67</v>
      </c>
      <c r="E14297" t="s">
        <v>67</v>
      </c>
      <c r="F14297" t="s">
        <v>45</v>
      </c>
      <c r="G14297" s="117">
        <v>19.61</v>
      </c>
    </row>
    <row r="14298" spans="1:7" x14ac:dyDescent="0.25">
      <c r="A14298" s="116" t="s">
        <v>26736</v>
      </c>
      <c r="B14298" s="117" t="s">
        <v>29583</v>
      </c>
      <c r="C14298" t="s">
        <v>67</v>
      </c>
      <c r="D14298" t="s">
        <v>67</v>
      </c>
      <c r="E14298" t="s">
        <v>67</v>
      </c>
      <c r="F14298" t="s">
        <v>27987</v>
      </c>
      <c r="G14298" s="117">
        <v>140</v>
      </c>
    </row>
    <row r="14299" spans="1:7" x14ac:dyDescent="0.25">
      <c r="A14299" s="116" t="s">
        <v>22142</v>
      </c>
      <c r="B14299" s="117" t="s">
        <v>22143</v>
      </c>
      <c r="C14299" t="s">
        <v>67</v>
      </c>
      <c r="D14299" t="s">
        <v>67</v>
      </c>
      <c r="E14299" t="s">
        <v>67</v>
      </c>
      <c r="F14299" t="s">
        <v>27987</v>
      </c>
      <c r="G14299" s="117">
        <v>0.8</v>
      </c>
    </row>
    <row r="14300" spans="1:7" x14ac:dyDescent="0.25">
      <c r="A14300" s="116" t="s">
        <v>22144</v>
      </c>
      <c r="B14300" s="117" t="s">
        <v>22145</v>
      </c>
      <c r="C14300" t="s">
        <v>67</v>
      </c>
      <c r="D14300" t="s">
        <v>67</v>
      </c>
      <c r="E14300" t="s">
        <v>67</v>
      </c>
      <c r="F14300" t="s">
        <v>27987</v>
      </c>
      <c r="G14300" s="117">
        <v>3.12</v>
      </c>
    </row>
    <row r="14301" spans="1:7" x14ac:dyDescent="0.25">
      <c r="A14301" s="116" t="s">
        <v>22146</v>
      </c>
      <c r="B14301" s="117" t="s">
        <v>22147</v>
      </c>
      <c r="C14301" t="s">
        <v>67</v>
      </c>
      <c r="D14301" t="s">
        <v>67</v>
      </c>
      <c r="E14301" t="s">
        <v>67</v>
      </c>
      <c r="F14301" t="s">
        <v>27987</v>
      </c>
      <c r="G14301" s="117">
        <v>2.58</v>
      </c>
    </row>
    <row r="14302" spans="1:7" x14ac:dyDescent="0.25">
      <c r="A14302" s="116" t="s">
        <v>22148</v>
      </c>
      <c r="B14302" s="117" t="s">
        <v>22149</v>
      </c>
      <c r="C14302" t="s">
        <v>67</v>
      </c>
      <c r="D14302" t="s">
        <v>67</v>
      </c>
      <c r="E14302" t="s">
        <v>67</v>
      </c>
      <c r="F14302" t="s">
        <v>49</v>
      </c>
      <c r="G14302" s="117">
        <v>0.8</v>
      </c>
    </row>
    <row r="14303" spans="1:7" x14ac:dyDescent="0.25">
      <c r="A14303" s="116" t="s">
        <v>22150</v>
      </c>
      <c r="B14303" s="117" t="s">
        <v>22151</v>
      </c>
      <c r="C14303" t="s">
        <v>67</v>
      </c>
      <c r="D14303" t="s">
        <v>67</v>
      </c>
      <c r="E14303" t="s">
        <v>67</v>
      </c>
      <c r="F14303" t="s">
        <v>27987</v>
      </c>
      <c r="G14303" s="117">
        <v>0.8</v>
      </c>
    </row>
    <row r="14304" spans="1:7" x14ac:dyDescent="0.25">
      <c r="A14304" s="116" t="s">
        <v>22152</v>
      </c>
      <c r="B14304" s="117" t="s">
        <v>22153</v>
      </c>
      <c r="C14304" t="s">
        <v>67</v>
      </c>
      <c r="D14304" t="s">
        <v>67</v>
      </c>
      <c r="E14304" t="s">
        <v>67</v>
      </c>
      <c r="F14304" t="s">
        <v>27987</v>
      </c>
      <c r="G14304" s="117">
        <v>9.6999999999999993</v>
      </c>
    </row>
    <row r="14305" spans="1:7" x14ac:dyDescent="0.25">
      <c r="A14305" s="116" t="s">
        <v>22154</v>
      </c>
      <c r="B14305" s="117" t="s">
        <v>22155</v>
      </c>
      <c r="C14305" t="s">
        <v>67</v>
      </c>
      <c r="D14305" t="s">
        <v>67</v>
      </c>
      <c r="E14305" t="s">
        <v>67</v>
      </c>
      <c r="F14305" t="s">
        <v>27987</v>
      </c>
      <c r="G14305" s="117">
        <v>14.14</v>
      </c>
    </row>
    <row r="14306" spans="1:7" x14ac:dyDescent="0.25">
      <c r="A14306" s="116" t="s">
        <v>22156</v>
      </c>
      <c r="B14306" s="117" t="s">
        <v>22157</v>
      </c>
      <c r="C14306" t="s">
        <v>67</v>
      </c>
      <c r="D14306" t="s">
        <v>67</v>
      </c>
      <c r="E14306" t="s">
        <v>67</v>
      </c>
      <c r="F14306" t="s">
        <v>49</v>
      </c>
      <c r="G14306" s="117">
        <v>3.56</v>
      </c>
    </row>
    <row r="14307" spans="1:7" x14ac:dyDescent="0.25">
      <c r="A14307" s="116" t="s">
        <v>22158</v>
      </c>
      <c r="B14307" s="117" t="s">
        <v>22159</v>
      </c>
      <c r="C14307" t="s">
        <v>67</v>
      </c>
      <c r="D14307" t="s">
        <v>67</v>
      </c>
      <c r="E14307" t="s">
        <v>67</v>
      </c>
      <c r="F14307" t="s">
        <v>49</v>
      </c>
      <c r="G14307" s="117">
        <v>1.33</v>
      </c>
    </row>
    <row r="14308" spans="1:7" x14ac:dyDescent="0.25">
      <c r="A14308" s="116" t="s">
        <v>22160</v>
      </c>
      <c r="B14308" s="117" t="s">
        <v>22161</v>
      </c>
      <c r="C14308" t="s">
        <v>67</v>
      </c>
      <c r="D14308" t="s">
        <v>67</v>
      </c>
      <c r="E14308" t="s">
        <v>67</v>
      </c>
      <c r="F14308" t="s">
        <v>49</v>
      </c>
      <c r="G14308" s="117">
        <v>6.53</v>
      </c>
    </row>
    <row r="14309" spans="1:7" x14ac:dyDescent="0.25">
      <c r="A14309" s="116" t="s">
        <v>22162</v>
      </c>
      <c r="B14309" s="117" t="s">
        <v>22163</v>
      </c>
      <c r="C14309" t="s">
        <v>67</v>
      </c>
      <c r="D14309" t="s">
        <v>67</v>
      </c>
      <c r="E14309" t="s">
        <v>67</v>
      </c>
      <c r="F14309" t="s">
        <v>49</v>
      </c>
      <c r="G14309" s="117">
        <v>11.12</v>
      </c>
    </row>
    <row r="14310" spans="1:7" x14ac:dyDescent="0.25">
      <c r="A14310" s="116" t="s">
        <v>22164</v>
      </c>
      <c r="B14310" s="117" t="s">
        <v>22165</v>
      </c>
      <c r="C14310" t="s">
        <v>67</v>
      </c>
      <c r="D14310" t="s">
        <v>67</v>
      </c>
      <c r="E14310" t="s">
        <v>67</v>
      </c>
      <c r="F14310" t="s">
        <v>27987</v>
      </c>
      <c r="G14310" s="117">
        <v>0.8</v>
      </c>
    </row>
    <row r="14311" spans="1:7" x14ac:dyDescent="0.25">
      <c r="A14311" s="116" t="s">
        <v>22166</v>
      </c>
      <c r="B14311" s="117" t="s">
        <v>22167</v>
      </c>
      <c r="C14311" t="s">
        <v>67</v>
      </c>
      <c r="D14311" t="s">
        <v>67</v>
      </c>
      <c r="E14311" t="s">
        <v>67</v>
      </c>
      <c r="F14311" t="s">
        <v>27987</v>
      </c>
      <c r="G14311" s="117">
        <v>0.88</v>
      </c>
    </row>
    <row r="14312" spans="1:7" x14ac:dyDescent="0.25">
      <c r="A14312" s="116" t="s">
        <v>22168</v>
      </c>
      <c r="B14312" s="117" t="s">
        <v>22169</v>
      </c>
      <c r="C14312" t="s">
        <v>67</v>
      </c>
      <c r="D14312" t="s">
        <v>67</v>
      </c>
      <c r="E14312" t="s">
        <v>67</v>
      </c>
      <c r="F14312" t="s">
        <v>49</v>
      </c>
      <c r="G14312" s="117">
        <v>0.8</v>
      </c>
    </row>
    <row r="14313" spans="1:7" x14ac:dyDescent="0.25">
      <c r="A14313" s="116" t="s">
        <v>22170</v>
      </c>
      <c r="B14313" s="117" t="s">
        <v>26518</v>
      </c>
      <c r="C14313" t="s">
        <v>67</v>
      </c>
      <c r="D14313" t="s">
        <v>67</v>
      </c>
      <c r="E14313" t="s">
        <v>67</v>
      </c>
      <c r="F14313" t="s">
        <v>49</v>
      </c>
      <c r="G14313" s="117">
        <v>2.0299999999999998</v>
      </c>
    </row>
    <row r="14314" spans="1:7" x14ac:dyDescent="0.25">
      <c r="A14314" s="116" t="s">
        <v>22171</v>
      </c>
      <c r="B14314" s="117" t="s">
        <v>26519</v>
      </c>
      <c r="C14314" t="s">
        <v>67</v>
      </c>
      <c r="D14314" t="s">
        <v>67</v>
      </c>
      <c r="E14314" t="s">
        <v>67</v>
      </c>
      <c r="F14314" t="s">
        <v>45</v>
      </c>
      <c r="G14314" s="117">
        <v>15.55</v>
      </c>
    </row>
    <row r="14315" spans="1:7" x14ac:dyDescent="0.25">
      <c r="A14315" s="116" t="s">
        <v>22172</v>
      </c>
      <c r="B14315" s="117" t="s">
        <v>29584</v>
      </c>
      <c r="C14315" t="s">
        <v>67</v>
      </c>
      <c r="D14315" t="s">
        <v>67</v>
      </c>
      <c r="E14315" t="s">
        <v>67</v>
      </c>
      <c r="F14315" t="s">
        <v>45</v>
      </c>
      <c r="G14315" s="117">
        <v>0</v>
      </c>
    </row>
    <row r="14316" spans="1:7" x14ac:dyDescent="0.25">
      <c r="A14316" s="116" t="s">
        <v>22173</v>
      </c>
      <c r="B14316" s="117" t="s">
        <v>22174</v>
      </c>
      <c r="C14316" t="s">
        <v>67</v>
      </c>
      <c r="D14316" t="s">
        <v>67</v>
      </c>
      <c r="E14316" t="s">
        <v>67</v>
      </c>
      <c r="F14316" t="s">
        <v>49</v>
      </c>
      <c r="G14316" s="117">
        <v>10.58</v>
      </c>
    </row>
    <row r="14317" spans="1:7" x14ac:dyDescent="0.25">
      <c r="A14317" s="116" t="s">
        <v>22175</v>
      </c>
      <c r="B14317" s="117" t="s">
        <v>29585</v>
      </c>
      <c r="C14317" t="s">
        <v>67</v>
      </c>
      <c r="D14317" t="s">
        <v>67</v>
      </c>
      <c r="E14317" t="s">
        <v>67</v>
      </c>
      <c r="F14317" t="s">
        <v>27987</v>
      </c>
      <c r="G14317" s="117">
        <v>7.02</v>
      </c>
    </row>
    <row r="14318" spans="1:7" x14ac:dyDescent="0.25">
      <c r="A14318" s="116" t="s">
        <v>22176</v>
      </c>
      <c r="B14318" s="117" t="s">
        <v>22177</v>
      </c>
      <c r="C14318" t="s">
        <v>67</v>
      </c>
      <c r="D14318" t="s">
        <v>67</v>
      </c>
      <c r="E14318" t="s">
        <v>67</v>
      </c>
      <c r="F14318" t="s">
        <v>27987</v>
      </c>
      <c r="G14318" s="117">
        <v>57.39</v>
      </c>
    </row>
    <row r="14319" spans="1:7" x14ac:dyDescent="0.25">
      <c r="A14319" s="116" t="s">
        <v>22178</v>
      </c>
      <c r="B14319" s="117" t="s">
        <v>22179</v>
      </c>
      <c r="C14319" t="s">
        <v>67</v>
      </c>
      <c r="D14319" t="s">
        <v>67</v>
      </c>
      <c r="E14319" t="s">
        <v>67</v>
      </c>
      <c r="F14319" t="s">
        <v>27987</v>
      </c>
      <c r="G14319" s="117">
        <v>1.69</v>
      </c>
    </row>
    <row r="14320" spans="1:7" x14ac:dyDescent="0.25">
      <c r="A14320" s="116" t="s">
        <v>22180</v>
      </c>
      <c r="B14320" s="117" t="s">
        <v>22181</v>
      </c>
      <c r="C14320" t="s">
        <v>67</v>
      </c>
      <c r="D14320" t="s">
        <v>67</v>
      </c>
      <c r="E14320" t="s">
        <v>67</v>
      </c>
      <c r="F14320" t="s">
        <v>27987</v>
      </c>
      <c r="G14320" s="117">
        <v>0.44</v>
      </c>
    </row>
    <row r="14321" spans="1:7" x14ac:dyDescent="0.25">
      <c r="A14321" s="116" t="s">
        <v>22182</v>
      </c>
      <c r="B14321" s="117" t="s">
        <v>22183</v>
      </c>
      <c r="C14321" t="s">
        <v>67</v>
      </c>
      <c r="D14321" t="s">
        <v>67</v>
      </c>
      <c r="E14321" t="s">
        <v>67</v>
      </c>
      <c r="F14321" t="s">
        <v>27987</v>
      </c>
      <c r="G14321" s="117">
        <v>2.58</v>
      </c>
    </row>
    <row r="14322" spans="1:7" x14ac:dyDescent="0.25">
      <c r="A14322" s="116" t="s">
        <v>22184</v>
      </c>
      <c r="B14322" s="117" t="s">
        <v>22185</v>
      </c>
      <c r="C14322" t="s">
        <v>67</v>
      </c>
      <c r="D14322" t="s">
        <v>67</v>
      </c>
      <c r="E14322" t="s">
        <v>67</v>
      </c>
      <c r="F14322" t="s">
        <v>27987</v>
      </c>
      <c r="G14322" s="117">
        <v>1.77</v>
      </c>
    </row>
    <row r="14323" spans="1:7" x14ac:dyDescent="0.25">
      <c r="A14323" s="116" t="s">
        <v>22186</v>
      </c>
      <c r="B14323" s="117" t="s">
        <v>22187</v>
      </c>
      <c r="C14323" t="s">
        <v>67</v>
      </c>
      <c r="D14323" t="s">
        <v>67</v>
      </c>
      <c r="E14323" t="s">
        <v>67</v>
      </c>
      <c r="F14323" t="s">
        <v>27987</v>
      </c>
      <c r="G14323" s="117">
        <v>7.56</v>
      </c>
    </row>
    <row r="14324" spans="1:7" x14ac:dyDescent="0.25">
      <c r="A14324" s="116" t="s">
        <v>22188</v>
      </c>
      <c r="B14324" s="117" t="s">
        <v>22189</v>
      </c>
      <c r="C14324" t="s">
        <v>67</v>
      </c>
      <c r="D14324" t="s">
        <v>67</v>
      </c>
      <c r="E14324" t="s">
        <v>67</v>
      </c>
      <c r="F14324" t="s">
        <v>27987</v>
      </c>
      <c r="G14324" s="117">
        <v>7.92</v>
      </c>
    </row>
    <row r="14325" spans="1:7" x14ac:dyDescent="0.25">
      <c r="A14325" s="116" t="s">
        <v>22190</v>
      </c>
      <c r="B14325" s="117" t="s">
        <v>22191</v>
      </c>
      <c r="C14325" t="s">
        <v>67</v>
      </c>
      <c r="D14325" t="s">
        <v>67</v>
      </c>
      <c r="E14325" t="s">
        <v>67</v>
      </c>
      <c r="F14325" t="s">
        <v>27987</v>
      </c>
      <c r="G14325" s="117">
        <v>73.42</v>
      </c>
    </row>
    <row r="14326" spans="1:7" x14ac:dyDescent="0.25">
      <c r="A14326" s="116" t="s">
        <v>22192</v>
      </c>
      <c r="B14326" s="117" t="s">
        <v>22193</v>
      </c>
      <c r="C14326" t="s">
        <v>67</v>
      </c>
      <c r="D14326" t="s">
        <v>67</v>
      </c>
      <c r="E14326" t="s">
        <v>67</v>
      </c>
      <c r="F14326" t="s">
        <v>27987</v>
      </c>
      <c r="G14326" s="117">
        <v>8.89</v>
      </c>
    </row>
    <row r="14327" spans="1:7" x14ac:dyDescent="0.25">
      <c r="A14327" s="116" t="s">
        <v>22194</v>
      </c>
      <c r="B14327" s="117" t="s">
        <v>22195</v>
      </c>
      <c r="C14327" t="s">
        <v>67</v>
      </c>
      <c r="D14327" t="s">
        <v>67</v>
      </c>
      <c r="E14327" t="s">
        <v>67</v>
      </c>
      <c r="F14327" t="s">
        <v>49</v>
      </c>
      <c r="G14327" s="117">
        <v>1.33</v>
      </c>
    </row>
    <row r="14328" spans="1:7" x14ac:dyDescent="0.25">
      <c r="A14328" s="116" t="s">
        <v>22196</v>
      </c>
      <c r="B14328" s="117" t="s">
        <v>22197</v>
      </c>
      <c r="C14328" t="s">
        <v>67</v>
      </c>
      <c r="D14328" t="s">
        <v>67</v>
      </c>
      <c r="E14328" t="s">
        <v>67</v>
      </c>
      <c r="F14328" t="s">
        <v>27987</v>
      </c>
      <c r="G14328" s="117">
        <v>79.11</v>
      </c>
    </row>
    <row r="14329" spans="1:7" x14ac:dyDescent="0.25">
      <c r="A14329" s="116" t="s">
        <v>22198</v>
      </c>
      <c r="B14329" s="117" t="s">
        <v>22199</v>
      </c>
      <c r="C14329" t="s">
        <v>67</v>
      </c>
      <c r="D14329" t="s">
        <v>67</v>
      </c>
      <c r="E14329" t="s">
        <v>67</v>
      </c>
      <c r="F14329" t="s">
        <v>27987</v>
      </c>
      <c r="G14329" s="117">
        <v>98.32</v>
      </c>
    </row>
    <row r="14330" spans="1:7" x14ac:dyDescent="0.25">
      <c r="A14330" s="116" t="s">
        <v>22200</v>
      </c>
      <c r="B14330" s="117" t="s">
        <v>22201</v>
      </c>
      <c r="C14330" t="s">
        <v>67</v>
      </c>
      <c r="D14330" t="s">
        <v>67</v>
      </c>
      <c r="E14330" t="s">
        <v>67</v>
      </c>
      <c r="F14330" t="s">
        <v>27987</v>
      </c>
      <c r="G14330" s="117">
        <v>27.14</v>
      </c>
    </row>
    <row r="14331" spans="1:7" x14ac:dyDescent="0.25">
      <c r="A14331" s="116" t="s">
        <v>22202</v>
      </c>
      <c r="B14331" s="117" t="s">
        <v>22203</v>
      </c>
      <c r="C14331" t="s">
        <v>67</v>
      </c>
      <c r="D14331" t="s">
        <v>67</v>
      </c>
      <c r="E14331" t="s">
        <v>67</v>
      </c>
      <c r="F14331" t="s">
        <v>27987</v>
      </c>
      <c r="G14331" s="117">
        <v>1.01</v>
      </c>
    </row>
    <row r="14332" spans="1:7" x14ac:dyDescent="0.25">
      <c r="A14332" s="116" t="s">
        <v>22204</v>
      </c>
      <c r="B14332" s="117" t="s">
        <v>22205</v>
      </c>
      <c r="C14332" t="s">
        <v>67</v>
      </c>
      <c r="D14332" t="s">
        <v>67</v>
      </c>
      <c r="E14332" t="s">
        <v>67</v>
      </c>
      <c r="F14332" t="s">
        <v>27987</v>
      </c>
      <c r="G14332" s="117">
        <v>81.77</v>
      </c>
    </row>
    <row r="14333" spans="1:7" x14ac:dyDescent="0.25">
      <c r="A14333" s="116" t="s">
        <v>22206</v>
      </c>
      <c r="B14333" s="117" t="s">
        <v>17730</v>
      </c>
      <c r="C14333" t="s">
        <v>67</v>
      </c>
      <c r="D14333" t="s">
        <v>67</v>
      </c>
      <c r="E14333" t="s">
        <v>67</v>
      </c>
      <c r="F14333" t="s">
        <v>27987</v>
      </c>
      <c r="G14333" s="117">
        <v>104.02</v>
      </c>
    </row>
    <row r="14334" spans="1:7" x14ac:dyDescent="0.25">
      <c r="A14334" s="116" t="s">
        <v>22207</v>
      </c>
      <c r="B14334" s="117" t="s">
        <v>22208</v>
      </c>
      <c r="C14334" t="s">
        <v>67</v>
      </c>
      <c r="D14334" t="s">
        <v>67</v>
      </c>
      <c r="E14334" t="s">
        <v>67</v>
      </c>
      <c r="F14334" t="s">
        <v>27987</v>
      </c>
      <c r="G14334" s="117">
        <v>66.64</v>
      </c>
    </row>
    <row r="14335" spans="1:7" x14ac:dyDescent="0.25">
      <c r="A14335" s="116" t="s">
        <v>22209</v>
      </c>
      <c r="B14335" s="117" t="s">
        <v>22210</v>
      </c>
      <c r="C14335" t="s">
        <v>67</v>
      </c>
      <c r="D14335" t="s">
        <v>67</v>
      </c>
      <c r="E14335" t="s">
        <v>67</v>
      </c>
      <c r="F14335" t="s">
        <v>27987</v>
      </c>
      <c r="G14335" s="117">
        <v>57.39</v>
      </c>
    </row>
    <row r="14336" spans="1:7" x14ac:dyDescent="0.25">
      <c r="A14336" s="116" t="s">
        <v>22211</v>
      </c>
      <c r="B14336" s="117" t="s">
        <v>22212</v>
      </c>
      <c r="C14336" t="s">
        <v>67</v>
      </c>
      <c r="D14336" t="s">
        <v>67</v>
      </c>
      <c r="E14336" t="s">
        <v>67</v>
      </c>
      <c r="F14336" t="s">
        <v>27987</v>
      </c>
      <c r="G14336" s="117">
        <v>1.69</v>
      </c>
    </row>
    <row r="14337" spans="1:7" x14ac:dyDescent="0.25">
      <c r="A14337" s="116" t="s">
        <v>22213</v>
      </c>
      <c r="B14337" s="117" t="s">
        <v>22214</v>
      </c>
      <c r="C14337" t="s">
        <v>67</v>
      </c>
      <c r="D14337" t="s">
        <v>67</v>
      </c>
      <c r="E14337" t="s">
        <v>67</v>
      </c>
      <c r="F14337" t="s">
        <v>27987</v>
      </c>
      <c r="G14337" s="117">
        <v>7.02</v>
      </c>
    </row>
    <row r="14338" spans="1:7" x14ac:dyDescent="0.25">
      <c r="A14338" s="116" t="s">
        <v>22215</v>
      </c>
      <c r="B14338" s="117" t="s">
        <v>22216</v>
      </c>
      <c r="C14338" t="s">
        <v>67</v>
      </c>
      <c r="D14338" t="s">
        <v>67</v>
      </c>
      <c r="E14338" t="s">
        <v>67</v>
      </c>
      <c r="F14338" t="s">
        <v>27987</v>
      </c>
      <c r="G14338" s="117">
        <v>8.4499999999999993</v>
      </c>
    </row>
    <row r="14339" spans="1:7" x14ac:dyDescent="0.25">
      <c r="A14339" s="116" t="s">
        <v>22217</v>
      </c>
      <c r="B14339" s="117" t="s">
        <v>22218</v>
      </c>
      <c r="C14339" t="s">
        <v>67</v>
      </c>
      <c r="D14339" t="s">
        <v>67</v>
      </c>
      <c r="E14339" t="s">
        <v>67</v>
      </c>
      <c r="F14339" t="s">
        <v>49</v>
      </c>
      <c r="G14339" s="117">
        <v>0.8</v>
      </c>
    </row>
    <row r="14340" spans="1:7" x14ac:dyDescent="0.25">
      <c r="A14340" s="116" t="s">
        <v>22219</v>
      </c>
      <c r="B14340" s="117" t="s">
        <v>22220</v>
      </c>
      <c r="C14340" t="s">
        <v>67</v>
      </c>
      <c r="D14340" t="s">
        <v>67</v>
      </c>
      <c r="E14340" t="s">
        <v>67</v>
      </c>
      <c r="F14340" t="s">
        <v>27987</v>
      </c>
      <c r="G14340" s="117">
        <v>73.42</v>
      </c>
    </row>
    <row r="14341" spans="1:7" x14ac:dyDescent="0.25">
      <c r="A14341" s="116" t="s">
        <v>22221</v>
      </c>
      <c r="B14341" s="117" t="s">
        <v>22222</v>
      </c>
      <c r="C14341" t="s">
        <v>67</v>
      </c>
      <c r="D14341" t="s">
        <v>67</v>
      </c>
      <c r="E14341" t="s">
        <v>67</v>
      </c>
      <c r="F14341" t="s">
        <v>27987</v>
      </c>
      <c r="G14341" s="117">
        <v>8.89</v>
      </c>
    </row>
    <row r="14342" spans="1:7" x14ac:dyDescent="0.25">
      <c r="A14342" s="116" t="s">
        <v>22223</v>
      </c>
      <c r="B14342" s="117" t="s">
        <v>22224</v>
      </c>
      <c r="C14342" t="s">
        <v>67</v>
      </c>
      <c r="D14342" t="s">
        <v>67</v>
      </c>
      <c r="E14342" t="s">
        <v>67</v>
      </c>
      <c r="F14342" t="s">
        <v>27987</v>
      </c>
      <c r="G14342" s="117">
        <v>23.05</v>
      </c>
    </row>
    <row r="14343" spans="1:7" x14ac:dyDescent="0.25">
      <c r="A14343" s="116" t="s">
        <v>22225</v>
      </c>
      <c r="B14343" s="117" t="s">
        <v>22226</v>
      </c>
      <c r="C14343" t="s">
        <v>67</v>
      </c>
      <c r="D14343" t="s">
        <v>67</v>
      </c>
      <c r="E14343" t="s">
        <v>67</v>
      </c>
      <c r="F14343" t="s">
        <v>27987</v>
      </c>
      <c r="G14343" s="117">
        <v>60.42</v>
      </c>
    </row>
    <row r="14344" spans="1:7" x14ac:dyDescent="0.25">
      <c r="A14344" s="116" t="s">
        <v>22227</v>
      </c>
      <c r="B14344" s="117" t="s">
        <v>22228</v>
      </c>
      <c r="C14344" t="s">
        <v>67</v>
      </c>
      <c r="D14344" t="s">
        <v>67</v>
      </c>
      <c r="E14344" t="s">
        <v>67</v>
      </c>
      <c r="F14344" t="s">
        <v>27987</v>
      </c>
      <c r="G14344" s="117">
        <v>0.3</v>
      </c>
    </row>
    <row r="14345" spans="1:7" x14ac:dyDescent="0.25">
      <c r="A14345" s="116" t="s">
        <v>22229</v>
      </c>
      <c r="B14345" s="117" t="s">
        <v>22230</v>
      </c>
      <c r="C14345" t="s">
        <v>67</v>
      </c>
      <c r="D14345" t="s">
        <v>67</v>
      </c>
      <c r="E14345" t="s">
        <v>67</v>
      </c>
      <c r="F14345" t="s">
        <v>27987</v>
      </c>
      <c r="G14345" s="117">
        <v>0.3</v>
      </c>
    </row>
    <row r="14346" spans="1:7" x14ac:dyDescent="0.25">
      <c r="A14346" s="116" t="s">
        <v>22231</v>
      </c>
      <c r="B14346" s="117" t="s">
        <v>22232</v>
      </c>
      <c r="C14346" t="s">
        <v>67</v>
      </c>
      <c r="D14346" t="s">
        <v>67</v>
      </c>
      <c r="E14346" t="s">
        <v>67</v>
      </c>
      <c r="F14346" t="s">
        <v>27987</v>
      </c>
      <c r="G14346" s="117">
        <v>0.3</v>
      </c>
    </row>
    <row r="14347" spans="1:7" x14ac:dyDescent="0.25">
      <c r="A14347" s="116" t="s">
        <v>22233</v>
      </c>
      <c r="B14347" s="117" t="s">
        <v>22234</v>
      </c>
      <c r="C14347" t="s">
        <v>67</v>
      </c>
      <c r="D14347" t="s">
        <v>67</v>
      </c>
      <c r="E14347" t="s">
        <v>67</v>
      </c>
      <c r="F14347" t="s">
        <v>45</v>
      </c>
      <c r="G14347" s="117">
        <v>0.3</v>
      </c>
    </row>
    <row r="14348" spans="1:7" x14ac:dyDescent="0.25">
      <c r="A14348" s="116" t="s">
        <v>22235</v>
      </c>
      <c r="B14348" s="117" t="s">
        <v>22236</v>
      </c>
      <c r="C14348" t="s">
        <v>67</v>
      </c>
      <c r="D14348" t="s">
        <v>67</v>
      </c>
      <c r="E14348" t="s">
        <v>67</v>
      </c>
      <c r="F14348" t="s">
        <v>27987</v>
      </c>
      <c r="G14348" s="117">
        <v>0.3</v>
      </c>
    </row>
    <row r="14349" spans="1:7" x14ac:dyDescent="0.25">
      <c r="A14349" s="116" t="s">
        <v>22237</v>
      </c>
      <c r="B14349" s="117" t="s">
        <v>22238</v>
      </c>
      <c r="C14349" t="s">
        <v>67</v>
      </c>
      <c r="D14349" t="s">
        <v>67</v>
      </c>
      <c r="E14349" t="s">
        <v>67</v>
      </c>
      <c r="F14349" t="s">
        <v>27987</v>
      </c>
      <c r="G14349" s="117">
        <v>0.3</v>
      </c>
    </row>
    <row r="14350" spans="1:7" x14ac:dyDescent="0.25">
      <c r="A14350" s="116" t="s">
        <v>22239</v>
      </c>
      <c r="B14350" s="117" t="s">
        <v>22240</v>
      </c>
      <c r="C14350" t="s">
        <v>67</v>
      </c>
      <c r="D14350" t="s">
        <v>67</v>
      </c>
      <c r="E14350" t="s">
        <v>67</v>
      </c>
      <c r="F14350" t="s">
        <v>27987</v>
      </c>
      <c r="G14350" s="117">
        <v>0.32</v>
      </c>
    </row>
    <row r="14351" spans="1:7" x14ac:dyDescent="0.25">
      <c r="A14351" s="116" t="s">
        <v>22241</v>
      </c>
      <c r="B14351" s="117" t="s">
        <v>22242</v>
      </c>
      <c r="C14351" t="s">
        <v>67</v>
      </c>
      <c r="D14351" t="s">
        <v>67</v>
      </c>
      <c r="E14351" t="s">
        <v>67</v>
      </c>
      <c r="F14351" t="s">
        <v>27987</v>
      </c>
      <c r="G14351" s="117">
        <v>4.45</v>
      </c>
    </row>
    <row r="14352" spans="1:7" x14ac:dyDescent="0.25">
      <c r="A14352" s="116" t="s">
        <v>29586</v>
      </c>
      <c r="B14352" s="117" t="s">
        <v>29587</v>
      </c>
      <c r="C14352" t="s">
        <v>67</v>
      </c>
      <c r="D14352" t="s">
        <v>67</v>
      </c>
      <c r="E14352" t="s">
        <v>67</v>
      </c>
      <c r="F14352" t="s">
        <v>45</v>
      </c>
      <c r="G14352" s="117">
        <v>0</v>
      </c>
    </row>
    <row r="14353" spans="1:7" x14ac:dyDescent="0.25">
      <c r="A14353" s="116" t="s">
        <v>22243</v>
      </c>
      <c r="B14353" s="117" t="s">
        <v>2445</v>
      </c>
      <c r="C14353" t="s">
        <v>67</v>
      </c>
      <c r="D14353" t="s">
        <v>67</v>
      </c>
      <c r="E14353" t="s">
        <v>67</v>
      </c>
      <c r="F14353" t="s">
        <v>49</v>
      </c>
      <c r="G14353" s="117">
        <v>15.04</v>
      </c>
    </row>
    <row r="14354" spans="1:7" x14ac:dyDescent="0.25">
      <c r="A14354" s="116" t="s">
        <v>22244</v>
      </c>
      <c r="B14354" s="117" t="s">
        <v>22245</v>
      </c>
      <c r="C14354" t="s">
        <v>67</v>
      </c>
      <c r="D14354" t="s">
        <v>67</v>
      </c>
      <c r="E14354" t="s">
        <v>67</v>
      </c>
      <c r="F14354" t="s">
        <v>27987</v>
      </c>
      <c r="G14354" s="117">
        <v>19.489999999999998</v>
      </c>
    </row>
    <row r="14355" spans="1:7" x14ac:dyDescent="0.25">
      <c r="A14355" s="116" t="s">
        <v>22246</v>
      </c>
      <c r="B14355" s="117" t="s">
        <v>22247</v>
      </c>
      <c r="C14355" t="s">
        <v>67</v>
      </c>
      <c r="D14355" t="s">
        <v>67</v>
      </c>
      <c r="E14355" t="s">
        <v>67</v>
      </c>
      <c r="F14355" t="s">
        <v>45</v>
      </c>
      <c r="G14355" s="117">
        <v>296.23</v>
      </c>
    </row>
    <row r="14356" spans="1:7" x14ac:dyDescent="0.25">
      <c r="A14356" s="116" t="s">
        <v>22248</v>
      </c>
      <c r="B14356" s="117" t="s">
        <v>22249</v>
      </c>
      <c r="C14356" t="s">
        <v>67</v>
      </c>
      <c r="D14356" t="s">
        <v>67</v>
      </c>
      <c r="E14356" t="s">
        <v>67</v>
      </c>
      <c r="F14356" t="s">
        <v>45</v>
      </c>
      <c r="G14356" s="117">
        <v>448.38</v>
      </c>
    </row>
    <row r="14357" spans="1:7" x14ac:dyDescent="0.25">
      <c r="A14357" s="116" t="s">
        <v>22250</v>
      </c>
      <c r="B14357" s="117" t="s">
        <v>22251</v>
      </c>
      <c r="C14357" t="s">
        <v>67</v>
      </c>
      <c r="D14357" t="s">
        <v>67</v>
      </c>
      <c r="E14357" t="s">
        <v>67</v>
      </c>
      <c r="F14357" t="s">
        <v>27987</v>
      </c>
      <c r="G14357" s="117">
        <v>8.4499999999999993</v>
      </c>
    </row>
    <row r="14358" spans="1:7" x14ac:dyDescent="0.25">
      <c r="A14358" s="116" t="s">
        <v>22252</v>
      </c>
      <c r="B14358" s="117" t="s">
        <v>22253</v>
      </c>
      <c r="C14358" t="s">
        <v>67</v>
      </c>
      <c r="D14358" t="s">
        <v>67</v>
      </c>
      <c r="E14358" t="s">
        <v>67</v>
      </c>
      <c r="F14358" t="s">
        <v>27987</v>
      </c>
      <c r="G14358" s="117">
        <v>236.25</v>
      </c>
    </row>
    <row r="14359" spans="1:7" x14ac:dyDescent="0.25">
      <c r="A14359" s="116" t="s">
        <v>22254</v>
      </c>
      <c r="B14359" s="117" t="s">
        <v>22199</v>
      </c>
      <c r="C14359" t="s">
        <v>67</v>
      </c>
      <c r="D14359" t="s">
        <v>67</v>
      </c>
      <c r="E14359" t="s">
        <v>67</v>
      </c>
      <c r="F14359" t="s">
        <v>45</v>
      </c>
      <c r="G14359" s="117">
        <v>116.48</v>
      </c>
    </row>
    <row r="14360" spans="1:7" x14ac:dyDescent="0.25">
      <c r="A14360" s="116" t="s">
        <v>22255</v>
      </c>
      <c r="B14360" s="117" t="s">
        <v>22256</v>
      </c>
      <c r="C14360" t="s">
        <v>67</v>
      </c>
      <c r="D14360" t="s">
        <v>67</v>
      </c>
      <c r="E14360" t="s">
        <v>67</v>
      </c>
      <c r="F14360" t="s">
        <v>27990</v>
      </c>
      <c r="G14360" s="117">
        <v>7.02</v>
      </c>
    </row>
    <row r="14361" spans="1:7" x14ac:dyDescent="0.25">
      <c r="A14361" s="116" t="s">
        <v>22257</v>
      </c>
      <c r="B14361" s="117" t="s">
        <v>22258</v>
      </c>
      <c r="C14361" t="s">
        <v>67</v>
      </c>
      <c r="D14361" t="s">
        <v>67</v>
      </c>
      <c r="E14361" t="s">
        <v>67</v>
      </c>
      <c r="F14361" t="s">
        <v>27987</v>
      </c>
      <c r="G14361" s="117">
        <v>17.7</v>
      </c>
    </row>
    <row r="14362" spans="1:7" x14ac:dyDescent="0.25">
      <c r="A14362" s="116" t="s">
        <v>22259</v>
      </c>
      <c r="B14362" s="117" t="s">
        <v>22260</v>
      </c>
      <c r="C14362" t="s">
        <v>67</v>
      </c>
      <c r="D14362" t="s">
        <v>67</v>
      </c>
      <c r="E14362" t="s">
        <v>67</v>
      </c>
      <c r="F14362" t="s">
        <v>27987</v>
      </c>
      <c r="G14362" s="117">
        <v>28.38</v>
      </c>
    </row>
    <row r="14363" spans="1:7" x14ac:dyDescent="0.25">
      <c r="A14363" s="116" t="s">
        <v>22261</v>
      </c>
      <c r="B14363" s="117" t="s">
        <v>22262</v>
      </c>
      <c r="C14363" t="s">
        <v>67</v>
      </c>
      <c r="D14363" t="s">
        <v>67</v>
      </c>
      <c r="E14363" t="s">
        <v>67</v>
      </c>
      <c r="F14363" t="s">
        <v>27987</v>
      </c>
      <c r="G14363" s="117">
        <v>9.6999999999999993</v>
      </c>
    </row>
    <row r="14364" spans="1:7" x14ac:dyDescent="0.25">
      <c r="A14364" s="116" t="s">
        <v>22263</v>
      </c>
      <c r="B14364" s="117" t="s">
        <v>9174</v>
      </c>
      <c r="C14364" t="s">
        <v>67</v>
      </c>
      <c r="D14364" t="s">
        <v>67</v>
      </c>
      <c r="E14364" t="s">
        <v>67</v>
      </c>
      <c r="F14364" t="s">
        <v>45</v>
      </c>
      <c r="G14364" s="117">
        <v>9.6999999999999993</v>
      </c>
    </row>
    <row r="14365" spans="1:7" x14ac:dyDescent="0.25">
      <c r="A14365" s="116" t="s">
        <v>22264</v>
      </c>
      <c r="B14365" s="117" t="s">
        <v>22265</v>
      </c>
      <c r="C14365" t="s">
        <v>67</v>
      </c>
      <c r="D14365" t="s">
        <v>67</v>
      </c>
      <c r="E14365" t="s">
        <v>67</v>
      </c>
      <c r="F14365" t="s">
        <v>27987</v>
      </c>
      <c r="G14365" s="117">
        <v>46.18</v>
      </c>
    </row>
    <row r="14366" spans="1:7" x14ac:dyDescent="0.25">
      <c r="A14366" s="116" t="s">
        <v>22266</v>
      </c>
      <c r="B14366" s="117" t="s">
        <v>22267</v>
      </c>
      <c r="C14366" t="s">
        <v>67</v>
      </c>
      <c r="D14366" t="s">
        <v>67</v>
      </c>
      <c r="E14366" t="s">
        <v>67</v>
      </c>
      <c r="F14366" t="s">
        <v>27987</v>
      </c>
      <c r="G14366" s="117">
        <v>9.6999999999999993</v>
      </c>
    </row>
    <row r="14367" spans="1:7" x14ac:dyDescent="0.25">
      <c r="A14367" s="116" t="s">
        <v>22268</v>
      </c>
      <c r="B14367" s="117" t="s">
        <v>22269</v>
      </c>
      <c r="C14367" t="s">
        <v>67</v>
      </c>
      <c r="D14367" t="s">
        <v>67</v>
      </c>
      <c r="E14367" t="s">
        <v>67</v>
      </c>
      <c r="F14367" t="s">
        <v>27987</v>
      </c>
      <c r="G14367" s="117">
        <v>9.6999999999999993</v>
      </c>
    </row>
    <row r="14368" spans="1:7" x14ac:dyDescent="0.25">
      <c r="A14368" s="116" t="s">
        <v>22270</v>
      </c>
      <c r="B14368" s="117" t="s">
        <v>22271</v>
      </c>
      <c r="C14368" t="s">
        <v>67</v>
      </c>
      <c r="D14368" t="s">
        <v>67</v>
      </c>
      <c r="E14368" t="s">
        <v>67</v>
      </c>
      <c r="F14368" t="s">
        <v>27987</v>
      </c>
      <c r="G14368" s="117">
        <v>185.88</v>
      </c>
    </row>
    <row r="14369" spans="1:7" x14ac:dyDescent="0.25">
      <c r="A14369" s="116" t="s">
        <v>22272</v>
      </c>
      <c r="B14369" s="117" t="s">
        <v>22273</v>
      </c>
      <c r="C14369" t="s">
        <v>67</v>
      </c>
      <c r="D14369" t="s">
        <v>67</v>
      </c>
      <c r="E14369" t="s">
        <v>67</v>
      </c>
      <c r="F14369" t="s">
        <v>27987</v>
      </c>
      <c r="G14369" s="117">
        <v>9.6999999999999993</v>
      </c>
    </row>
    <row r="14370" spans="1:7" x14ac:dyDescent="0.25">
      <c r="A14370" s="116" t="s">
        <v>22274</v>
      </c>
      <c r="B14370" s="117" t="s">
        <v>22275</v>
      </c>
      <c r="C14370" t="s">
        <v>67</v>
      </c>
      <c r="D14370" t="s">
        <v>67</v>
      </c>
      <c r="E14370" t="s">
        <v>67</v>
      </c>
      <c r="F14370" t="s">
        <v>27987</v>
      </c>
      <c r="G14370" s="117">
        <v>74.66</v>
      </c>
    </row>
    <row r="14371" spans="1:7" x14ac:dyDescent="0.25">
      <c r="A14371" s="116" t="s">
        <v>22276</v>
      </c>
      <c r="B14371" s="117" t="s">
        <v>9180</v>
      </c>
      <c r="C14371" t="s">
        <v>67</v>
      </c>
      <c r="D14371" t="s">
        <v>67</v>
      </c>
      <c r="E14371" t="s">
        <v>67</v>
      </c>
      <c r="F14371" t="s">
        <v>45</v>
      </c>
      <c r="G14371" s="117">
        <v>9.6999999999999993</v>
      </c>
    </row>
    <row r="14372" spans="1:7" x14ac:dyDescent="0.25">
      <c r="A14372" s="116" t="s">
        <v>22277</v>
      </c>
      <c r="B14372" s="117" t="s">
        <v>22278</v>
      </c>
      <c r="C14372" t="s">
        <v>67</v>
      </c>
      <c r="D14372" t="s">
        <v>67</v>
      </c>
      <c r="E14372" t="s">
        <v>67</v>
      </c>
      <c r="F14372" t="s">
        <v>27987</v>
      </c>
      <c r="G14372" s="117">
        <v>19.13</v>
      </c>
    </row>
    <row r="14373" spans="1:7" x14ac:dyDescent="0.25">
      <c r="A14373" s="116" t="s">
        <v>22279</v>
      </c>
      <c r="B14373" s="117" t="s">
        <v>22280</v>
      </c>
      <c r="C14373" t="s">
        <v>67</v>
      </c>
      <c r="D14373" t="s">
        <v>67</v>
      </c>
      <c r="E14373" t="s">
        <v>67</v>
      </c>
      <c r="F14373" t="s">
        <v>27987</v>
      </c>
      <c r="G14373" s="117">
        <v>64.87</v>
      </c>
    </row>
    <row r="14374" spans="1:7" x14ac:dyDescent="0.25">
      <c r="A14374" s="116" t="s">
        <v>22281</v>
      </c>
      <c r="B14374" s="117" t="s">
        <v>22282</v>
      </c>
      <c r="C14374" t="s">
        <v>67</v>
      </c>
      <c r="D14374" t="s">
        <v>67</v>
      </c>
      <c r="E14374" t="s">
        <v>67</v>
      </c>
      <c r="F14374" t="s">
        <v>27987</v>
      </c>
      <c r="G14374" s="117">
        <v>9.6999999999999993</v>
      </c>
    </row>
    <row r="14375" spans="1:7" x14ac:dyDescent="0.25">
      <c r="A14375" s="116" t="s">
        <v>22283</v>
      </c>
      <c r="B14375" s="117" t="s">
        <v>22284</v>
      </c>
      <c r="C14375" t="s">
        <v>67</v>
      </c>
      <c r="D14375" t="s">
        <v>67</v>
      </c>
      <c r="E14375" t="s">
        <v>67</v>
      </c>
      <c r="F14375" t="s">
        <v>27987</v>
      </c>
      <c r="G14375" s="117">
        <v>9.6999999999999993</v>
      </c>
    </row>
    <row r="14376" spans="1:7" x14ac:dyDescent="0.25">
      <c r="A14376" s="116" t="s">
        <v>22285</v>
      </c>
      <c r="B14376" s="117" t="s">
        <v>22286</v>
      </c>
      <c r="C14376" t="s">
        <v>67</v>
      </c>
      <c r="D14376" t="s">
        <v>67</v>
      </c>
      <c r="E14376" t="s">
        <v>67</v>
      </c>
      <c r="F14376" t="s">
        <v>27987</v>
      </c>
      <c r="G14376" s="117">
        <v>9.6999999999999993</v>
      </c>
    </row>
    <row r="14377" spans="1:7" x14ac:dyDescent="0.25">
      <c r="A14377" s="116" t="s">
        <v>22287</v>
      </c>
      <c r="B14377" s="117" t="s">
        <v>9174</v>
      </c>
      <c r="C14377" t="s">
        <v>67</v>
      </c>
      <c r="D14377" t="s">
        <v>67</v>
      </c>
      <c r="E14377" t="s">
        <v>67</v>
      </c>
      <c r="F14377" t="s">
        <v>45</v>
      </c>
      <c r="G14377" s="117">
        <v>9.6999999999999993</v>
      </c>
    </row>
    <row r="14378" spans="1:7" x14ac:dyDescent="0.25">
      <c r="A14378" s="116" t="s">
        <v>22288</v>
      </c>
      <c r="B14378" s="117" t="s">
        <v>22289</v>
      </c>
      <c r="C14378" t="s">
        <v>67</v>
      </c>
      <c r="D14378" t="s">
        <v>67</v>
      </c>
      <c r="E14378" t="s">
        <v>67</v>
      </c>
      <c r="F14378" t="s">
        <v>27987</v>
      </c>
      <c r="G14378" s="117">
        <v>9.6999999999999993</v>
      </c>
    </row>
    <row r="14379" spans="1:7" x14ac:dyDescent="0.25">
      <c r="A14379" s="116" t="s">
        <v>22290</v>
      </c>
      <c r="B14379" s="117" t="s">
        <v>22291</v>
      </c>
      <c r="C14379" t="s">
        <v>67</v>
      </c>
      <c r="D14379" t="s">
        <v>67</v>
      </c>
      <c r="E14379" t="s">
        <v>67</v>
      </c>
      <c r="F14379" t="s">
        <v>45</v>
      </c>
      <c r="G14379" s="117">
        <v>9.6999999999999993</v>
      </c>
    </row>
    <row r="14380" spans="1:7" x14ac:dyDescent="0.25">
      <c r="A14380" s="116" t="s">
        <v>22292</v>
      </c>
      <c r="B14380" s="117" t="s">
        <v>22293</v>
      </c>
      <c r="C14380" t="s">
        <v>67</v>
      </c>
      <c r="D14380" t="s">
        <v>67</v>
      </c>
      <c r="E14380" t="s">
        <v>67</v>
      </c>
      <c r="F14380" t="s">
        <v>27987</v>
      </c>
      <c r="G14380" s="117">
        <v>9.6999999999999993</v>
      </c>
    </row>
    <row r="14381" spans="1:7" x14ac:dyDescent="0.25">
      <c r="A14381" s="116" t="s">
        <v>22294</v>
      </c>
      <c r="B14381" s="117" t="s">
        <v>22295</v>
      </c>
      <c r="C14381" t="s">
        <v>67</v>
      </c>
      <c r="D14381" t="s">
        <v>67</v>
      </c>
      <c r="E14381" t="s">
        <v>67</v>
      </c>
      <c r="F14381" t="s">
        <v>27987</v>
      </c>
      <c r="G14381" s="117">
        <v>28.38</v>
      </c>
    </row>
    <row r="14382" spans="1:7" x14ac:dyDescent="0.25">
      <c r="A14382" s="116" t="s">
        <v>22296</v>
      </c>
      <c r="B14382" s="117" t="s">
        <v>22297</v>
      </c>
      <c r="C14382" t="s">
        <v>67</v>
      </c>
      <c r="D14382" t="s">
        <v>67</v>
      </c>
      <c r="E14382" t="s">
        <v>67</v>
      </c>
      <c r="F14382" t="s">
        <v>27987</v>
      </c>
      <c r="G14382" s="117">
        <v>537.01</v>
      </c>
    </row>
    <row r="14383" spans="1:7" x14ac:dyDescent="0.25">
      <c r="A14383" s="116" t="s">
        <v>22298</v>
      </c>
      <c r="B14383" s="117" t="s">
        <v>22299</v>
      </c>
      <c r="C14383" t="s">
        <v>67</v>
      </c>
      <c r="D14383" t="s">
        <v>67</v>
      </c>
      <c r="E14383" t="s">
        <v>67</v>
      </c>
      <c r="F14383" t="s">
        <v>27987</v>
      </c>
      <c r="G14383" s="117">
        <v>203.68</v>
      </c>
    </row>
    <row r="14384" spans="1:7" x14ac:dyDescent="0.25">
      <c r="A14384" s="116" t="s">
        <v>22300</v>
      </c>
      <c r="B14384" s="117" t="s">
        <v>9276</v>
      </c>
      <c r="C14384" t="s">
        <v>67</v>
      </c>
      <c r="D14384" t="s">
        <v>67</v>
      </c>
      <c r="E14384" t="s">
        <v>67</v>
      </c>
      <c r="F14384" t="s">
        <v>45</v>
      </c>
      <c r="G14384" s="117">
        <v>9.6999999999999993</v>
      </c>
    </row>
    <row r="14385" spans="1:7" x14ac:dyDescent="0.25">
      <c r="A14385" s="116" t="s">
        <v>22301</v>
      </c>
      <c r="B14385" s="117" t="s">
        <v>22302</v>
      </c>
      <c r="C14385" t="s">
        <v>67</v>
      </c>
      <c r="D14385" t="s">
        <v>67</v>
      </c>
      <c r="E14385" t="s">
        <v>67</v>
      </c>
      <c r="F14385" t="s">
        <v>27987</v>
      </c>
      <c r="G14385" s="117">
        <v>417.77</v>
      </c>
    </row>
    <row r="14386" spans="1:7" x14ac:dyDescent="0.25">
      <c r="A14386" s="116" t="s">
        <v>22303</v>
      </c>
      <c r="B14386" s="117" t="s">
        <v>21587</v>
      </c>
      <c r="C14386" t="s">
        <v>67</v>
      </c>
      <c r="D14386" t="s">
        <v>67</v>
      </c>
      <c r="E14386" t="s">
        <v>67</v>
      </c>
      <c r="F14386" t="s">
        <v>49</v>
      </c>
      <c r="G14386" s="117">
        <v>9.6999999999999993</v>
      </c>
    </row>
    <row r="14387" spans="1:7" x14ac:dyDescent="0.25">
      <c r="A14387" s="116" t="s">
        <v>22304</v>
      </c>
      <c r="B14387" s="117" t="s">
        <v>22305</v>
      </c>
      <c r="C14387" t="s">
        <v>67</v>
      </c>
      <c r="D14387" t="s">
        <v>67</v>
      </c>
      <c r="E14387" t="s">
        <v>67</v>
      </c>
      <c r="F14387" t="s">
        <v>27987</v>
      </c>
      <c r="G14387" s="117">
        <v>19.13</v>
      </c>
    </row>
    <row r="14388" spans="1:7" x14ac:dyDescent="0.25">
      <c r="A14388" s="116" t="s">
        <v>22306</v>
      </c>
      <c r="B14388" s="117" t="s">
        <v>22307</v>
      </c>
      <c r="C14388" t="s">
        <v>67</v>
      </c>
      <c r="D14388" t="s">
        <v>67</v>
      </c>
      <c r="E14388" t="s">
        <v>67</v>
      </c>
      <c r="F14388" t="s">
        <v>27987</v>
      </c>
      <c r="G14388" s="117">
        <v>9.6999999999999993</v>
      </c>
    </row>
    <row r="14389" spans="1:7" x14ac:dyDescent="0.25">
      <c r="A14389" s="116" t="s">
        <v>22308</v>
      </c>
      <c r="B14389" s="117" t="s">
        <v>22309</v>
      </c>
      <c r="C14389" t="s">
        <v>67</v>
      </c>
      <c r="D14389" t="s">
        <v>67</v>
      </c>
      <c r="E14389" t="s">
        <v>67</v>
      </c>
      <c r="F14389" t="s">
        <v>27987</v>
      </c>
      <c r="G14389" s="117">
        <v>71.099999999999994</v>
      </c>
    </row>
    <row r="14390" spans="1:7" x14ac:dyDescent="0.25">
      <c r="A14390" s="116" t="s">
        <v>22310</v>
      </c>
      <c r="B14390" s="117" t="s">
        <v>22311</v>
      </c>
      <c r="C14390" t="s">
        <v>67</v>
      </c>
      <c r="D14390" t="s">
        <v>67</v>
      </c>
      <c r="E14390" t="s">
        <v>67</v>
      </c>
      <c r="F14390" t="s">
        <v>45</v>
      </c>
      <c r="G14390" s="117">
        <v>9.6999999999999993</v>
      </c>
    </row>
    <row r="14391" spans="1:7" x14ac:dyDescent="0.25">
      <c r="A14391" s="116" t="s">
        <v>22312</v>
      </c>
      <c r="B14391" s="117" t="s">
        <v>22313</v>
      </c>
      <c r="C14391" t="s">
        <v>67</v>
      </c>
      <c r="D14391" t="s">
        <v>67</v>
      </c>
      <c r="E14391" t="s">
        <v>67</v>
      </c>
      <c r="F14391" t="s">
        <v>27987</v>
      </c>
      <c r="G14391" s="117">
        <v>9.6999999999999993</v>
      </c>
    </row>
    <row r="14392" spans="1:7" x14ac:dyDescent="0.25">
      <c r="A14392" s="116" t="s">
        <v>22314</v>
      </c>
      <c r="B14392" s="117" t="s">
        <v>22315</v>
      </c>
      <c r="C14392" t="s">
        <v>67</v>
      </c>
      <c r="D14392" t="s">
        <v>67</v>
      </c>
      <c r="E14392" t="s">
        <v>67</v>
      </c>
      <c r="F14392" t="s">
        <v>27987</v>
      </c>
      <c r="G14392" s="117">
        <v>562.29</v>
      </c>
    </row>
    <row r="14393" spans="1:7" x14ac:dyDescent="0.25">
      <c r="A14393" s="116" t="s">
        <v>22316</v>
      </c>
      <c r="B14393" s="117" t="s">
        <v>22317</v>
      </c>
      <c r="C14393" t="s">
        <v>67</v>
      </c>
      <c r="D14393" t="s">
        <v>67</v>
      </c>
      <c r="E14393" t="s">
        <v>67</v>
      </c>
      <c r="F14393" t="s">
        <v>27987</v>
      </c>
      <c r="G14393" s="117">
        <v>289.64</v>
      </c>
    </row>
    <row r="14394" spans="1:7" x14ac:dyDescent="0.25">
      <c r="A14394" s="116" t="s">
        <v>22318</v>
      </c>
      <c r="B14394" s="117" t="s">
        <v>22295</v>
      </c>
      <c r="C14394" t="s">
        <v>67</v>
      </c>
      <c r="D14394" t="s">
        <v>67</v>
      </c>
      <c r="E14394" t="s">
        <v>67</v>
      </c>
      <c r="F14394" t="s">
        <v>27987</v>
      </c>
      <c r="G14394" s="117">
        <v>19.13</v>
      </c>
    </row>
    <row r="14395" spans="1:7" x14ac:dyDescent="0.25">
      <c r="A14395" s="116" t="s">
        <v>22319</v>
      </c>
      <c r="B14395" s="117" t="s">
        <v>22320</v>
      </c>
      <c r="C14395" t="s">
        <v>67</v>
      </c>
      <c r="D14395" t="s">
        <v>67</v>
      </c>
      <c r="E14395" t="s">
        <v>67</v>
      </c>
      <c r="F14395" t="s">
        <v>27987</v>
      </c>
      <c r="G14395" s="117">
        <v>318.48</v>
      </c>
    </row>
    <row r="14396" spans="1:7" x14ac:dyDescent="0.25">
      <c r="A14396" s="116" t="s">
        <v>22321</v>
      </c>
      <c r="B14396" s="117" t="s">
        <v>22320</v>
      </c>
      <c r="C14396" t="s">
        <v>67</v>
      </c>
      <c r="D14396" t="s">
        <v>67</v>
      </c>
      <c r="E14396" t="s">
        <v>67</v>
      </c>
      <c r="F14396" t="s">
        <v>27987</v>
      </c>
      <c r="G14396" s="117">
        <v>217.02</v>
      </c>
    </row>
    <row r="14397" spans="1:7" x14ac:dyDescent="0.25">
      <c r="A14397" s="116" t="s">
        <v>22322</v>
      </c>
      <c r="B14397" s="117" t="s">
        <v>22323</v>
      </c>
      <c r="C14397" t="s">
        <v>67</v>
      </c>
      <c r="D14397" t="s">
        <v>67</v>
      </c>
      <c r="E14397" t="s">
        <v>67</v>
      </c>
      <c r="F14397" t="s">
        <v>27987</v>
      </c>
      <c r="G14397" s="117">
        <v>418.13</v>
      </c>
    </row>
    <row r="14398" spans="1:7" x14ac:dyDescent="0.25">
      <c r="A14398" s="116" t="s">
        <v>22324</v>
      </c>
      <c r="B14398" s="117" t="s">
        <v>22325</v>
      </c>
      <c r="C14398" t="s">
        <v>67</v>
      </c>
      <c r="D14398" t="s">
        <v>67</v>
      </c>
      <c r="E14398" t="s">
        <v>67</v>
      </c>
      <c r="F14398" t="s">
        <v>27987</v>
      </c>
      <c r="G14398" s="117">
        <v>199.24</v>
      </c>
    </row>
    <row r="14399" spans="1:7" x14ac:dyDescent="0.25">
      <c r="A14399" s="116" t="s">
        <v>22326</v>
      </c>
      <c r="B14399" s="117" t="s">
        <v>22327</v>
      </c>
      <c r="C14399" t="s">
        <v>67</v>
      </c>
      <c r="D14399" t="s">
        <v>67</v>
      </c>
      <c r="E14399" t="s">
        <v>67</v>
      </c>
      <c r="F14399" t="s">
        <v>27987</v>
      </c>
      <c r="G14399" s="117">
        <v>73.42</v>
      </c>
    </row>
    <row r="14400" spans="1:7" x14ac:dyDescent="0.25">
      <c r="A14400" s="116" t="s">
        <v>22328</v>
      </c>
      <c r="B14400" s="117" t="s">
        <v>22329</v>
      </c>
      <c r="C14400" t="s">
        <v>67</v>
      </c>
      <c r="D14400" t="s">
        <v>67</v>
      </c>
      <c r="E14400" t="s">
        <v>67</v>
      </c>
      <c r="F14400" t="s">
        <v>45</v>
      </c>
      <c r="G14400" s="117">
        <v>22.69</v>
      </c>
    </row>
    <row r="14401" spans="1:7" x14ac:dyDescent="0.25">
      <c r="A14401" s="116" t="s">
        <v>22330</v>
      </c>
      <c r="B14401" s="117" t="s">
        <v>22331</v>
      </c>
      <c r="C14401" t="s">
        <v>67</v>
      </c>
      <c r="D14401" t="s">
        <v>67</v>
      </c>
      <c r="E14401" t="s">
        <v>67</v>
      </c>
      <c r="F14401" t="s">
        <v>27987</v>
      </c>
      <c r="G14401" s="117">
        <v>23.94</v>
      </c>
    </row>
    <row r="14402" spans="1:7" x14ac:dyDescent="0.25">
      <c r="A14402" s="116" t="s">
        <v>22332</v>
      </c>
      <c r="B14402" s="117" t="s">
        <v>22333</v>
      </c>
      <c r="C14402" t="s">
        <v>67</v>
      </c>
      <c r="D14402" t="s">
        <v>67</v>
      </c>
      <c r="E14402" t="s">
        <v>67</v>
      </c>
      <c r="F14402" t="s">
        <v>27987</v>
      </c>
      <c r="G14402" s="117">
        <v>1104.19</v>
      </c>
    </row>
    <row r="14403" spans="1:7" x14ac:dyDescent="0.25">
      <c r="A14403" s="116" t="s">
        <v>22334</v>
      </c>
      <c r="B14403" s="117" t="s">
        <v>22335</v>
      </c>
      <c r="C14403" t="s">
        <v>67</v>
      </c>
      <c r="D14403" t="s">
        <v>67</v>
      </c>
      <c r="E14403" t="s">
        <v>67</v>
      </c>
      <c r="F14403" t="s">
        <v>45</v>
      </c>
      <c r="G14403" s="117">
        <v>28.38</v>
      </c>
    </row>
    <row r="14404" spans="1:7" x14ac:dyDescent="0.25">
      <c r="A14404" s="116" t="s">
        <v>22336</v>
      </c>
      <c r="B14404" s="117" t="s">
        <v>29588</v>
      </c>
      <c r="C14404" t="s">
        <v>67</v>
      </c>
      <c r="D14404" t="s">
        <v>67</v>
      </c>
      <c r="E14404" t="s">
        <v>67</v>
      </c>
      <c r="F14404" t="s">
        <v>27987</v>
      </c>
      <c r="G14404" s="117">
        <v>294.98</v>
      </c>
    </row>
    <row r="14405" spans="1:7" x14ac:dyDescent="0.25">
      <c r="A14405" s="116" t="s">
        <v>22337</v>
      </c>
      <c r="B14405" s="117" t="s">
        <v>22338</v>
      </c>
      <c r="C14405" t="s">
        <v>67</v>
      </c>
      <c r="D14405" t="s">
        <v>67</v>
      </c>
      <c r="E14405" t="s">
        <v>67</v>
      </c>
      <c r="F14405" t="s">
        <v>27987</v>
      </c>
      <c r="G14405" s="117">
        <v>6.68</v>
      </c>
    </row>
    <row r="14406" spans="1:7" x14ac:dyDescent="0.25">
      <c r="A14406" s="116" t="s">
        <v>29589</v>
      </c>
      <c r="B14406" s="117" t="s">
        <v>29590</v>
      </c>
      <c r="C14406" t="s">
        <v>67</v>
      </c>
      <c r="D14406" t="s">
        <v>67</v>
      </c>
      <c r="E14406" t="s">
        <v>67</v>
      </c>
      <c r="F14406" t="s">
        <v>27987</v>
      </c>
      <c r="G14406" s="117">
        <v>180</v>
      </c>
    </row>
    <row r="14407" spans="1:7" x14ac:dyDescent="0.25">
      <c r="A14407" s="116" t="s">
        <v>29591</v>
      </c>
      <c r="B14407" s="117" t="s">
        <v>29592</v>
      </c>
      <c r="C14407" t="s">
        <v>67</v>
      </c>
      <c r="D14407" t="s">
        <v>67</v>
      </c>
      <c r="E14407" t="s">
        <v>67</v>
      </c>
      <c r="F14407" t="s">
        <v>27987</v>
      </c>
      <c r="G14407" s="117">
        <v>45</v>
      </c>
    </row>
    <row r="14408" spans="1:7" x14ac:dyDescent="0.25">
      <c r="A14408" s="116" t="s">
        <v>29593</v>
      </c>
      <c r="B14408" s="117" t="s">
        <v>29594</v>
      </c>
      <c r="C14408" t="s">
        <v>67</v>
      </c>
      <c r="D14408" t="s">
        <v>67</v>
      </c>
      <c r="E14408" t="s">
        <v>67</v>
      </c>
      <c r="F14408" t="s">
        <v>45</v>
      </c>
      <c r="G14408" s="117">
        <v>431</v>
      </c>
    </row>
    <row r="14409" spans="1:7" x14ac:dyDescent="0.25">
      <c r="A14409" s="116" t="s">
        <v>30649</v>
      </c>
      <c r="B14409" s="117" t="s">
        <v>30650</v>
      </c>
      <c r="C14409" t="s">
        <v>67</v>
      </c>
      <c r="D14409" t="s">
        <v>67</v>
      </c>
      <c r="E14409" t="s">
        <v>67</v>
      </c>
      <c r="F14409" t="s">
        <v>27987</v>
      </c>
      <c r="G14409" s="117">
        <v>9999</v>
      </c>
    </row>
    <row r="14410" spans="1:7" x14ac:dyDescent="0.25">
      <c r="A14410" s="116" t="s">
        <v>29595</v>
      </c>
      <c r="B14410" s="117" t="s">
        <v>29596</v>
      </c>
      <c r="C14410" t="s">
        <v>67</v>
      </c>
      <c r="D14410" t="s">
        <v>67</v>
      </c>
      <c r="E14410" t="s">
        <v>67</v>
      </c>
      <c r="F14410" t="s">
        <v>45</v>
      </c>
      <c r="G14410" s="117">
        <v>9999</v>
      </c>
    </row>
    <row r="14411" spans="1:7" x14ac:dyDescent="0.25">
      <c r="A14411" s="116" t="s">
        <v>29597</v>
      </c>
      <c r="B14411" s="117" t="s">
        <v>29598</v>
      </c>
      <c r="C14411" t="s">
        <v>67</v>
      </c>
      <c r="D14411" t="s">
        <v>67</v>
      </c>
      <c r="E14411" t="s">
        <v>67</v>
      </c>
      <c r="F14411" t="s">
        <v>45</v>
      </c>
      <c r="G14411" s="117">
        <v>9999</v>
      </c>
    </row>
    <row r="14412" spans="1:7" x14ac:dyDescent="0.25">
      <c r="A14412" s="116" t="s">
        <v>29599</v>
      </c>
      <c r="B14412" s="117" t="s">
        <v>29600</v>
      </c>
      <c r="C14412" t="s">
        <v>67</v>
      </c>
      <c r="D14412" t="s">
        <v>67</v>
      </c>
      <c r="E14412" t="s">
        <v>67</v>
      </c>
      <c r="F14412" t="s">
        <v>45</v>
      </c>
      <c r="G14412" s="117">
        <v>9999</v>
      </c>
    </row>
    <row r="14413" spans="1:7" x14ac:dyDescent="0.25">
      <c r="A14413" s="116" t="s">
        <v>22339</v>
      </c>
      <c r="B14413" s="117" t="s">
        <v>22340</v>
      </c>
      <c r="C14413" t="s">
        <v>67</v>
      </c>
      <c r="D14413" t="s">
        <v>67</v>
      </c>
      <c r="E14413" t="s">
        <v>67</v>
      </c>
      <c r="F14413" t="s">
        <v>27987</v>
      </c>
      <c r="G14413" s="117">
        <v>50.27</v>
      </c>
    </row>
    <row r="14414" spans="1:7" x14ac:dyDescent="0.25">
      <c r="A14414" s="116" t="s">
        <v>22341</v>
      </c>
      <c r="B14414" s="117" t="s">
        <v>22342</v>
      </c>
      <c r="C14414" t="s">
        <v>67</v>
      </c>
      <c r="D14414" t="s">
        <v>67</v>
      </c>
      <c r="E14414" t="s">
        <v>67</v>
      </c>
      <c r="F14414" t="s">
        <v>45</v>
      </c>
      <c r="G14414" s="117">
        <v>13.26</v>
      </c>
    </row>
    <row r="14415" spans="1:7" x14ac:dyDescent="0.25">
      <c r="A14415" s="116" t="s">
        <v>22343</v>
      </c>
      <c r="B14415" s="117" t="s">
        <v>5826</v>
      </c>
      <c r="C14415" t="s">
        <v>67</v>
      </c>
      <c r="D14415" t="s">
        <v>67</v>
      </c>
      <c r="E14415" t="s">
        <v>67</v>
      </c>
      <c r="F14415" t="s">
        <v>45</v>
      </c>
      <c r="G14415" s="117">
        <v>22.16</v>
      </c>
    </row>
    <row r="14416" spans="1:7" x14ac:dyDescent="0.25">
      <c r="A14416" s="116" t="s">
        <v>22344</v>
      </c>
      <c r="B14416" s="117" t="s">
        <v>22345</v>
      </c>
      <c r="C14416" t="s">
        <v>67</v>
      </c>
      <c r="D14416" t="s">
        <v>67</v>
      </c>
      <c r="E14416" t="s">
        <v>67</v>
      </c>
      <c r="F14416" t="s">
        <v>45</v>
      </c>
      <c r="G14416" s="117">
        <v>158.30000000000001</v>
      </c>
    </row>
    <row r="14417" spans="1:7" x14ac:dyDescent="0.25">
      <c r="A14417" s="116" t="s">
        <v>22346</v>
      </c>
      <c r="B14417" s="117" t="s">
        <v>22347</v>
      </c>
      <c r="C14417" t="s">
        <v>67</v>
      </c>
      <c r="D14417" t="s">
        <v>67</v>
      </c>
      <c r="E14417" t="s">
        <v>67</v>
      </c>
      <c r="F14417" t="s">
        <v>45</v>
      </c>
      <c r="G14417" s="117">
        <v>76.98</v>
      </c>
    </row>
    <row r="14418" spans="1:7" x14ac:dyDescent="0.25">
      <c r="A14418" s="116" t="s">
        <v>22348</v>
      </c>
      <c r="B14418" s="117" t="s">
        <v>22349</v>
      </c>
      <c r="C14418" t="s">
        <v>67</v>
      </c>
      <c r="D14418" t="s">
        <v>67</v>
      </c>
      <c r="E14418" t="s">
        <v>67</v>
      </c>
      <c r="F14418" t="s">
        <v>45</v>
      </c>
      <c r="G14418" s="117">
        <v>49.74</v>
      </c>
    </row>
    <row r="14419" spans="1:7" x14ac:dyDescent="0.25">
      <c r="A14419" s="116" t="s">
        <v>22350</v>
      </c>
      <c r="B14419" s="117" t="s">
        <v>22351</v>
      </c>
      <c r="C14419" t="s">
        <v>67</v>
      </c>
      <c r="D14419" t="s">
        <v>67</v>
      </c>
      <c r="E14419" t="s">
        <v>67</v>
      </c>
      <c r="F14419" t="s">
        <v>27987</v>
      </c>
      <c r="G14419" s="117">
        <v>24.82</v>
      </c>
    </row>
    <row r="14420" spans="1:7" x14ac:dyDescent="0.25">
      <c r="A14420" s="116" t="s">
        <v>22352</v>
      </c>
      <c r="B14420" s="117" t="s">
        <v>22353</v>
      </c>
      <c r="C14420" t="s">
        <v>67</v>
      </c>
      <c r="D14420" t="s">
        <v>67</v>
      </c>
      <c r="E14420" t="s">
        <v>67</v>
      </c>
      <c r="F14420" t="s">
        <v>49</v>
      </c>
      <c r="G14420" s="117">
        <v>1.69</v>
      </c>
    </row>
    <row r="14421" spans="1:7" x14ac:dyDescent="0.25">
      <c r="A14421" s="116" t="s">
        <v>22354</v>
      </c>
      <c r="B14421" s="117" t="s">
        <v>22355</v>
      </c>
      <c r="C14421" t="s">
        <v>67</v>
      </c>
      <c r="D14421" t="s">
        <v>67</v>
      </c>
      <c r="E14421" t="s">
        <v>67</v>
      </c>
      <c r="F14421" t="s">
        <v>27987</v>
      </c>
      <c r="G14421" s="117">
        <v>7.12</v>
      </c>
    </row>
    <row r="14422" spans="1:7" x14ac:dyDescent="0.25">
      <c r="A14422" s="116" t="s">
        <v>22356</v>
      </c>
      <c r="B14422" s="117" t="s">
        <v>22357</v>
      </c>
      <c r="C14422" t="s">
        <v>67</v>
      </c>
      <c r="D14422" t="s">
        <v>67</v>
      </c>
      <c r="E14422" t="s">
        <v>67</v>
      </c>
      <c r="F14422" t="s">
        <v>45</v>
      </c>
      <c r="G14422" s="117">
        <v>36.93</v>
      </c>
    </row>
    <row r="14423" spans="1:7" x14ac:dyDescent="0.25">
      <c r="A14423" s="116" t="s">
        <v>22358</v>
      </c>
      <c r="B14423" s="117" t="s">
        <v>22359</v>
      </c>
      <c r="C14423" t="s">
        <v>67</v>
      </c>
      <c r="D14423" t="s">
        <v>67</v>
      </c>
      <c r="E14423" t="s">
        <v>67</v>
      </c>
      <c r="F14423" t="s">
        <v>27987</v>
      </c>
      <c r="G14423" s="117">
        <v>51.17</v>
      </c>
    </row>
    <row r="14424" spans="1:7" x14ac:dyDescent="0.25">
      <c r="A14424" s="116" t="s">
        <v>22360</v>
      </c>
      <c r="B14424" s="117" t="s">
        <v>22361</v>
      </c>
      <c r="C14424" t="s">
        <v>67</v>
      </c>
      <c r="D14424" t="s">
        <v>67</v>
      </c>
      <c r="E14424" t="s">
        <v>67</v>
      </c>
      <c r="F14424" t="s">
        <v>49</v>
      </c>
      <c r="G14424" s="117">
        <v>12.37</v>
      </c>
    </row>
    <row r="14425" spans="1:7" x14ac:dyDescent="0.25">
      <c r="A14425" s="116" t="s">
        <v>22362</v>
      </c>
      <c r="B14425" s="117" t="s">
        <v>22363</v>
      </c>
      <c r="C14425" t="s">
        <v>67</v>
      </c>
      <c r="D14425" t="s">
        <v>67</v>
      </c>
      <c r="E14425" t="s">
        <v>67</v>
      </c>
      <c r="F14425" t="s">
        <v>45</v>
      </c>
      <c r="G14425" s="117">
        <v>197.1</v>
      </c>
    </row>
    <row r="14426" spans="1:7" x14ac:dyDescent="0.25">
      <c r="A14426" s="116" t="s">
        <v>22364</v>
      </c>
      <c r="B14426" s="117" t="s">
        <v>22365</v>
      </c>
      <c r="C14426" t="s">
        <v>67</v>
      </c>
      <c r="D14426" t="s">
        <v>67</v>
      </c>
      <c r="E14426" t="s">
        <v>67</v>
      </c>
      <c r="F14426" t="s">
        <v>45</v>
      </c>
      <c r="G14426" s="117">
        <v>4.8899999999999997</v>
      </c>
    </row>
    <row r="14427" spans="1:7" x14ac:dyDescent="0.25">
      <c r="A14427" s="116" t="s">
        <v>22366</v>
      </c>
      <c r="B14427" s="117" t="s">
        <v>22367</v>
      </c>
      <c r="C14427" t="s">
        <v>67</v>
      </c>
      <c r="D14427" t="s">
        <v>67</v>
      </c>
      <c r="E14427" t="s">
        <v>67</v>
      </c>
      <c r="F14427" t="s">
        <v>27987</v>
      </c>
      <c r="G14427" s="117">
        <v>159.19</v>
      </c>
    </row>
    <row r="14428" spans="1:7" x14ac:dyDescent="0.25">
      <c r="A14428" s="116" t="s">
        <v>22368</v>
      </c>
      <c r="B14428" s="117" t="s">
        <v>22369</v>
      </c>
      <c r="C14428" t="s">
        <v>67</v>
      </c>
      <c r="D14428" t="s">
        <v>67</v>
      </c>
      <c r="E14428" t="s">
        <v>67</v>
      </c>
      <c r="F14428" t="s">
        <v>45</v>
      </c>
      <c r="G14428" s="117">
        <v>1.69</v>
      </c>
    </row>
    <row r="14429" spans="1:7" x14ac:dyDescent="0.25">
      <c r="A14429" s="116" t="s">
        <v>22370</v>
      </c>
      <c r="B14429" s="117" t="s">
        <v>22371</v>
      </c>
      <c r="C14429" t="s">
        <v>67</v>
      </c>
      <c r="D14429" t="s">
        <v>67</v>
      </c>
      <c r="E14429" t="s">
        <v>67</v>
      </c>
      <c r="F14429" t="s">
        <v>45</v>
      </c>
      <c r="G14429" s="117">
        <v>35.5</v>
      </c>
    </row>
    <row r="14430" spans="1:7" x14ac:dyDescent="0.25">
      <c r="A14430" s="116" t="s">
        <v>22372</v>
      </c>
      <c r="B14430" s="117" t="s">
        <v>22373</v>
      </c>
      <c r="C14430" t="s">
        <v>67</v>
      </c>
      <c r="D14430" t="s">
        <v>67</v>
      </c>
      <c r="E14430" t="s">
        <v>67</v>
      </c>
      <c r="F14430" t="s">
        <v>27987</v>
      </c>
      <c r="G14430" s="117">
        <v>117.01</v>
      </c>
    </row>
    <row r="14431" spans="1:7" x14ac:dyDescent="0.25">
      <c r="A14431" s="116" t="s">
        <v>22374</v>
      </c>
      <c r="B14431" s="117" t="s">
        <v>22375</v>
      </c>
      <c r="C14431" t="s">
        <v>67</v>
      </c>
      <c r="D14431" t="s">
        <v>67</v>
      </c>
      <c r="E14431" t="s">
        <v>67</v>
      </c>
      <c r="F14431" t="s">
        <v>45</v>
      </c>
      <c r="G14431" s="117">
        <v>2.67</v>
      </c>
    </row>
    <row r="14432" spans="1:7" x14ac:dyDescent="0.25">
      <c r="A14432" s="116" t="s">
        <v>22376</v>
      </c>
      <c r="B14432" s="117" t="s">
        <v>22345</v>
      </c>
      <c r="C14432" t="s">
        <v>67</v>
      </c>
      <c r="D14432" t="s">
        <v>67</v>
      </c>
      <c r="E14432" t="s">
        <v>67</v>
      </c>
      <c r="F14432" t="s">
        <v>45</v>
      </c>
      <c r="G14432" s="117">
        <v>169.51</v>
      </c>
    </row>
    <row r="14433" spans="1:7" x14ac:dyDescent="0.25">
      <c r="A14433" s="116" t="s">
        <v>22377</v>
      </c>
      <c r="B14433" s="117" t="s">
        <v>22378</v>
      </c>
      <c r="C14433" t="s">
        <v>67</v>
      </c>
      <c r="D14433" t="s">
        <v>67</v>
      </c>
      <c r="E14433" t="s">
        <v>67</v>
      </c>
      <c r="F14433" t="s">
        <v>27987</v>
      </c>
      <c r="G14433" s="117">
        <v>23.94</v>
      </c>
    </row>
    <row r="14434" spans="1:7" x14ac:dyDescent="0.25">
      <c r="A14434" s="116" t="s">
        <v>22379</v>
      </c>
      <c r="B14434" s="117" t="s">
        <v>22380</v>
      </c>
      <c r="C14434" t="s">
        <v>67</v>
      </c>
      <c r="D14434" t="s">
        <v>67</v>
      </c>
      <c r="E14434" t="s">
        <v>67</v>
      </c>
      <c r="F14434" t="s">
        <v>27987</v>
      </c>
      <c r="G14434" s="117">
        <v>44.94</v>
      </c>
    </row>
    <row r="14435" spans="1:7" x14ac:dyDescent="0.25">
      <c r="A14435" s="116" t="s">
        <v>22381</v>
      </c>
      <c r="B14435" s="117" t="s">
        <v>22382</v>
      </c>
      <c r="C14435" t="s">
        <v>67</v>
      </c>
      <c r="D14435" t="s">
        <v>67</v>
      </c>
      <c r="E14435" t="s">
        <v>67</v>
      </c>
      <c r="F14435" t="s">
        <v>27987</v>
      </c>
      <c r="G14435" s="117">
        <v>44.94</v>
      </c>
    </row>
    <row r="14436" spans="1:7" x14ac:dyDescent="0.25">
      <c r="A14436" s="116" t="s">
        <v>22383</v>
      </c>
      <c r="B14436" s="117" t="s">
        <v>9355</v>
      </c>
      <c r="C14436" t="s">
        <v>67</v>
      </c>
      <c r="D14436" t="s">
        <v>67</v>
      </c>
      <c r="E14436" t="s">
        <v>67</v>
      </c>
      <c r="F14436" t="s">
        <v>45</v>
      </c>
      <c r="G14436" s="117">
        <v>1.69</v>
      </c>
    </row>
    <row r="14437" spans="1:7" x14ac:dyDescent="0.25">
      <c r="A14437" s="116" t="s">
        <v>22384</v>
      </c>
      <c r="B14437" s="117" t="s">
        <v>22385</v>
      </c>
      <c r="C14437" t="s">
        <v>67</v>
      </c>
      <c r="D14437" t="s">
        <v>67</v>
      </c>
      <c r="E14437" t="s">
        <v>67</v>
      </c>
      <c r="F14437" t="s">
        <v>45</v>
      </c>
      <c r="G14437" s="117">
        <v>12.01</v>
      </c>
    </row>
    <row r="14438" spans="1:7" x14ac:dyDescent="0.25">
      <c r="A14438" s="116" t="s">
        <v>22386</v>
      </c>
      <c r="B14438" s="117" t="s">
        <v>22387</v>
      </c>
      <c r="C14438" t="s">
        <v>67</v>
      </c>
      <c r="D14438" t="s">
        <v>67</v>
      </c>
      <c r="E14438" t="s">
        <v>67</v>
      </c>
      <c r="F14438" t="s">
        <v>45</v>
      </c>
      <c r="G14438" s="117">
        <v>12.01</v>
      </c>
    </row>
    <row r="14439" spans="1:7" x14ac:dyDescent="0.25">
      <c r="A14439" s="116" t="s">
        <v>22388</v>
      </c>
      <c r="B14439" s="117" t="s">
        <v>22389</v>
      </c>
      <c r="C14439" t="s">
        <v>67</v>
      </c>
      <c r="D14439" t="s">
        <v>67</v>
      </c>
      <c r="E14439" t="s">
        <v>67</v>
      </c>
      <c r="F14439" t="s">
        <v>49</v>
      </c>
      <c r="G14439" s="117">
        <v>2.58</v>
      </c>
    </row>
    <row r="14440" spans="1:7" x14ac:dyDescent="0.25">
      <c r="A14440" s="116" t="s">
        <v>22390</v>
      </c>
      <c r="B14440" s="117" t="s">
        <v>22391</v>
      </c>
      <c r="C14440" t="s">
        <v>67</v>
      </c>
      <c r="D14440" t="s">
        <v>67</v>
      </c>
      <c r="E14440" t="s">
        <v>67</v>
      </c>
      <c r="F14440" t="s">
        <v>27987</v>
      </c>
      <c r="G14440" s="117">
        <v>13.26</v>
      </c>
    </row>
    <row r="14441" spans="1:7" x14ac:dyDescent="0.25">
      <c r="A14441" s="116" t="s">
        <v>22392</v>
      </c>
      <c r="B14441" s="117" t="s">
        <v>22393</v>
      </c>
      <c r="C14441" t="s">
        <v>67</v>
      </c>
      <c r="D14441" t="s">
        <v>67</v>
      </c>
      <c r="E14441" t="s">
        <v>67</v>
      </c>
      <c r="F14441" t="s">
        <v>45</v>
      </c>
      <c r="G14441" s="117">
        <v>17.7</v>
      </c>
    </row>
    <row r="14442" spans="1:7" x14ac:dyDescent="0.25">
      <c r="A14442" s="116" t="s">
        <v>22394</v>
      </c>
      <c r="B14442" s="117" t="s">
        <v>22395</v>
      </c>
      <c r="C14442" t="s">
        <v>67</v>
      </c>
      <c r="D14442" t="s">
        <v>67</v>
      </c>
      <c r="E14442" t="s">
        <v>67</v>
      </c>
      <c r="F14442" t="s">
        <v>27987</v>
      </c>
      <c r="G14442" s="117">
        <v>328.26</v>
      </c>
    </row>
    <row r="14443" spans="1:7" x14ac:dyDescent="0.25">
      <c r="A14443" s="116" t="s">
        <v>22396</v>
      </c>
      <c r="B14443" s="117" t="s">
        <v>22397</v>
      </c>
      <c r="C14443" t="s">
        <v>67</v>
      </c>
      <c r="D14443" t="s">
        <v>67</v>
      </c>
      <c r="E14443" t="s">
        <v>67</v>
      </c>
      <c r="F14443" t="s">
        <v>27987</v>
      </c>
      <c r="G14443" s="117">
        <v>9.6999999999999993</v>
      </c>
    </row>
    <row r="14444" spans="1:7" x14ac:dyDescent="0.25">
      <c r="A14444" s="116" t="s">
        <v>22398</v>
      </c>
      <c r="B14444" s="117" t="s">
        <v>15198</v>
      </c>
      <c r="C14444" t="s">
        <v>67</v>
      </c>
      <c r="D14444" t="s">
        <v>67</v>
      </c>
      <c r="E14444" t="s">
        <v>67</v>
      </c>
      <c r="F14444" t="s">
        <v>45</v>
      </c>
      <c r="G14444" s="117">
        <v>5.33</v>
      </c>
    </row>
    <row r="14445" spans="1:7" x14ac:dyDescent="0.25">
      <c r="A14445" s="116" t="s">
        <v>22399</v>
      </c>
      <c r="B14445" s="117" t="s">
        <v>137</v>
      </c>
      <c r="C14445" t="s">
        <v>67</v>
      </c>
      <c r="D14445" t="s">
        <v>67</v>
      </c>
      <c r="E14445" t="s">
        <v>67</v>
      </c>
      <c r="F14445" t="s">
        <v>27987</v>
      </c>
      <c r="G14445" s="117">
        <v>43.51</v>
      </c>
    </row>
    <row r="14446" spans="1:7" x14ac:dyDescent="0.25">
      <c r="A14446" s="116" t="s">
        <v>22400</v>
      </c>
      <c r="B14446" s="117" t="s">
        <v>9039</v>
      </c>
      <c r="C14446" t="s">
        <v>67</v>
      </c>
      <c r="D14446" t="s">
        <v>67</v>
      </c>
      <c r="E14446" t="s">
        <v>67</v>
      </c>
      <c r="F14446" t="s">
        <v>45</v>
      </c>
      <c r="G14446" s="117">
        <v>1.69</v>
      </c>
    </row>
    <row r="14447" spans="1:7" x14ac:dyDescent="0.25">
      <c r="A14447" s="116" t="s">
        <v>22401</v>
      </c>
      <c r="B14447" s="117" t="s">
        <v>22402</v>
      </c>
      <c r="C14447" t="s">
        <v>67</v>
      </c>
      <c r="D14447" t="s">
        <v>67</v>
      </c>
      <c r="E14447" t="s">
        <v>67</v>
      </c>
      <c r="F14447" t="s">
        <v>27987</v>
      </c>
      <c r="G14447" s="117">
        <v>52.42</v>
      </c>
    </row>
    <row r="14448" spans="1:7" x14ac:dyDescent="0.25">
      <c r="A14448" s="116" t="s">
        <v>22403</v>
      </c>
      <c r="B14448" s="117" t="s">
        <v>22404</v>
      </c>
      <c r="C14448" t="s">
        <v>67</v>
      </c>
      <c r="D14448" t="s">
        <v>67</v>
      </c>
      <c r="E14448" t="s">
        <v>67</v>
      </c>
      <c r="F14448" t="s">
        <v>45</v>
      </c>
      <c r="G14448" s="117">
        <v>3.12</v>
      </c>
    </row>
    <row r="14449" spans="1:7" x14ac:dyDescent="0.25">
      <c r="A14449" s="116" t="s">
        <v>22405</v>
      </c>
      <c r="B14449" s="117" t="s">
        <v>22406</v>
      </c>
      <c r="C14449" t="s">
        <v>67</v>
      </c>
      <c r="D14449" t="s">
        <v>67</v>
      </c>
      <c r="E14449" t="s">
        <v>67</v>
      </c>
      <c r="F14449" t="s">
        <v>49</v>
      </c>
      <c r="G14449" s="117">
        <v>1.69</v>
      </c>
    </row>
    <row r="14450" spans="1:7" x14ac:dyDescent="0.25">
      <c r="A14450" s="116" t="s">
        <v>22407</v>
      </c>
      <c r="B14450" s="117" t="s">
        <v>22408</v>
      </c>
      <c r="C14450" t="s">
        <v>67</v>
      </c>
      <c r="D14450" t="s">
        <v>67</v>
      </c>
      <c r="E14450" t="s">
        <v>67</v>
      </c>
      <c r="F14450" t="s">
        <v>45</v>
      </c>
      <c r="G14450" s="117">
        <v>6.14</v>
      </c>
    </row>
    <row r="14451" spans="1:7" x14ac:dyDescent="0.25">
      <c r="A14451" s="116" t="s">
        <v>22409</v>
      </c>
      <c r="B14451" s="117" t="s">
        <v>22410</v>
      </c>
      <c r="C14451" t="s">
        <v>67</v>
      </c>
      <c r="D14451" t="s">
        <v>67</v>
      </c>
      <c r="E14451" t="s">
        <v>67</v>
      </c>
      <c r="F14451" t="s">
        <v>27987</v>
      </c>
      <c r="G14451" s="117">
        <v>151.71</v>
      </c>
    </row>
    <row r="14452" spans="1:7" x14ac:dyDescent="0.25">
      <c r="A14452" s="116" t="s">
        <v>22411</v>
      </c>
      <c r="B14452" s="117" t="s">
        <v>22412</v>
      </c>
      <c r="C14452" t="s">
        <v>67</v>
      </c>
      <c r="D14452" t="s">
        <v>67</v>
      </c>
      <c r="E14452" t="s">
        <v>67</v>
      </c>
      <c r="F14452" t="s">
        <v>45</v>
      </c>
      <c r="G14452" s="117">
        <v>16.82</v>
      </c>
    </row>
    <row r="14453" spans="1:7" x14ac:dyDescent="0.25">
      <c r="A14453" s="116" t="s">
        <v>22413</v>
      </c>
      <c r="B14453" s="117" t="s">
        <v>22414</v>
      </c>
      <c r="C14453" t="s">
        <v>67</v>
      </c>
      <c r="D14453" t="s">
        <v>67</v>
      </c>
      <c r="E14453" t="s">
        <v>67</v>
      </c>
      <c r="F14453" t="s">
        <v>49</v>
      </c>
      <c r="G14453" s="117">
        <v>1.69</v>
      </c>
    </row>
    <row r="14454" spans="1:7" x14ac:dyDescent="0.25">
      <c r="A14454" s="116" t="s">
        <v>22415</v>
      </c>
      <c r="B14454" s="117" t="s">
        <v>22416</v>
      </c>
      <c r="C14454" t="s">
        <v>67</v>
      </c>
      <c r="D14454" t="s">
        <v>67</v>
      </c>
      <c r="E14454" t="s">
        <v>67</v>
      </c>
      <c r="F14454" t="s">
        <v>45</v>
      </c>
      <c r="G14454" s="117">
        <v>10.58</v>
      </c>
    </row>
    <row r="14455" spans="1:7" x14ac:dyDescent="0.25">
      <c r="A14455" s="116" t="s">
        <v>22417</v>
      </c>
      <c r="B14455" s="117" t="s">
        <v>22418</v>
      </c>
      <c r="C14455" t="s">
        <v>67</v>
      </c>
      <c r="D14455" t="s">
        <v>67</v>
      </c>
      <c r="E14455" t="s">
        <v>67</v>
      </c>
      <c r="F14455" t="s">
        <v>27987</v>
      </c>
      <c r="G14455" s="117">
        <v>10.58</v>
      </c>
    </row>
    <row r="14456" spans="1:7" x14ac:dyDescent="0.25">
      <c r="A14456" s="116" t="s">
        <v>22419</v>
      </c>
      <c r="B14456" s="117" t="s">
        <v>22420</v>
      </c>
      <c r="C14456" t="s">
        <v>67</v>
      </c>
      <c r="D14456" t="s">
        <v>67</v>
      </c>
      <c r="E14456" t="s">
        <v>67</v>
      </c>
      <c r="F14456" t="s">
        <v>49</v>
      </c>
      <c r="G14456" s="117">
        <v>1.33</v>
      </c>
    </row>
    <row r="14457" spans="1:7" x14ac:dyDescent="0.25">
      <c r="A14457" s="116" t="s">
        <v>22421</v>
      </c>
      <c r="B14457" s="117" t="s">
        <v>22422</v>
      </c>
      <c r="C14457" t="s">
        <v>67</v>
      </c>
      <c r="D14457" t="s">
        <v>67</v>
      </c>
      <c r="E14457" t="s">
        <v>67</v>
      </c>
      <c r="F14457" t="s">
        <v>45</v>
      </c>
      <c r="G14457" s="117">
        <v>41.38</v>
      </c>
    </row>
    <row r="14458" spans="1:7" x14ac:dyDescent="0.25">
      <c r="A14458" s="116" t="s">
        <v>22423</v>
      </c>
      <c r="B14458" s="117" t="s">
        <v>22424</v>
      </c>
      <c r="C14458" t="s">
        <v>67</v>
      </c>
      <c r="D14458" t="s">
        <v>67</v>
      </c>
      <c r="E14458" t="s">
        <v>67</v>
      </c>
      <c r="F14458" t="s">
        <v>45</v>
      </c>
      <c r="G14458" s="117">
        <v>23.94</v>
      </c>
    </row>
    <row r="14459" spans="1:7" x14ac:dyDescent="0.25">
      <c r="A14459" s="116" t="s">
        <v>22425</v>
      </c>
      <c r="B14459" s="117" t="s">
        <v>22426</v>
      </c>
      <c r="C14459" t="s">
        <v>67</v>
      </c>
      <c r="D14459" t="s">
        <v>67</v>
      </c>
      <c r="E14459" t="s">
        <v>67</v>
      </c>
      <c r="F14459" t="s">
        <v>45</v>
      </c>
      <c r="G14459" s="117">
        <v>29.81</v>
      </c>
    </row>
    <row r="14460" spans="1:7" x14ac:dyDescent="0.25">
      <c r="A14460" s="116" t="s">
        <v>22427</v>
      </c>
      <c r="B14460" s="117" t="s">
        <v>22428</v>
      </c>
      <c r="C14460" t="s">
        <v>67</v>
      </c>
      <c r="D14460" t="s">
        <v>67</v>
      </c>
      <c r="E14460" t="s">
        <v>67</v>
      </c>
      <c r="F14460" t="s">
        <v>45</v>
      </c>
      <c r="G14460" s="117">
        <v>111.14</v>
      </c>
    </row>
    <row r="14461" spans="1:7" x14ac:dyDescent="0.25">
      <c r="A14461" s="116" t="s">
        <v>22429</v>
      </c>
      <c r="B14461" s="117" t="s">
        <v>22430</v>
      </c>
      <c r="C14461" t="s">
        <v>67</v>
      </c>
      <c r="D14461" t="s">
        <v>67</v>
      </c>
      <c r="E14461" t="s">
        <v>67</v>
      </c>
      <c r="F14461" t="s">
        <v>27987</v>
      </c>
      <c r="G14461" s="117">
        <v>1.77</v>
      </c>
    </row>
    <row r="14462" spans="1:7" x14ac:dyDescent="0.25">
      <c r="A14462" s="116" t="s">
        <v>22431</v>
      </c>
      <c r="B14462" s="117" t="s">
        <v>22432</v>
      </c>
      <c r="C14462" t="s">
        <v>67</v>
      </c>
      <c r="D14462" t="s">
        <v>67</v>
      </c>
      <c r="E14462" t="s">
        <v>67</v>
      </c>
      <c r="F14462" t="s">
        <v>27987</v>
      </c>
      <c r="G14462" s="117">
        <v>1.77</v>
      </c>
    </row>
    <row r="14463" spans="1:7" x14ac:dyDescent="0.25">
      <c r="A14463" s="116" t="s">
        <v>22433</v>
      </c>
      <c r="B14463" s="117" t="s">
        <v>22434</v>
      </c>
      <c r="C14463" t="s">
        <v>67</v>
      </c>
      <c r="D14463" t="s">
        <v>67</v>
      </c>
      <c r="E14463" t="s">
        <v>67</v>
      </c>
      <c r="F14463" t="s">
        <v>45</v>
      </c>
      <c r="G14463" s="117">
        <v>15.93</v>
      </c>
    </row>
    <row r="14464" spans="1:7" x14ac:dyDescent="0.25">
      <c r="A14464" s="116" t="s">
        <v>22435</v>
      </c>
      <c r="B14464" s="117" t="s">
        <v>22436</v>
      </c>
      <c r="C14464" t="s">
        <v>67</v>
      </c>
      <c r="D14464" t="s">
        <v>67</v>
      </c>
      <c r="E14464" t="s">
        <v>67</v>
      </c>
      <c r="F14464" t="s">
        <v>27987</v>
      </c>
      <c r="G14464" s="117">
        <v>57.75</v>
      </c>
    </row>
    <row r="14465" spans="1:7" x14ac:dyDescent="0.25">
      <c r="A14465" s="116" t="s">
        <v>22437</v>
      </c>
      <c r="B14465" s="117" t="s">
        <v>22438</v>
      </c>
      <c r="C14465" t="s">
        <v>67</v>
      </c>
      <c r="D14465" t="s">
        <v>67</v>
      </c>
      <c r="E14465" t="s">
        <v>67</v>
      </c>
      <c r="F14465" t="s">
        <v>45</v>
      </c>
      <c r="G14465" s="117">
        <v>1.77</v>
      </c>
    </row>
    <row r="14466" spans="1:7" x14ac:dyDescent="0.25">
      <c r="A14466" s="116" t="s">
        <v>22439</v>
      </c>
      <c r="B14466" s="117" t="s">
        <v>22440</v>
      </c>
      <c r="C14466" t="s">
        <v>67</v>
      </c>
      <c r="D14466" t="s">
        <v>67</v>
      </c>
      <c r="E14466" t="s">
        <v>67</v>
      </c>
      <c r="F14466" t="s">
        <v>27987</v>
      </c>
      <c r="G14466" s="117">
        <v>31.94</v>
      </c>
    </row>
    <row r="14467" spans="1:7" x14ac:dyDescent="0.25">
      <c r="A14467" s="116" t="s">
        <v>22441</v>
      </c>
      <c r="B14467" s="117" t="s">
        <v>22442</v>
      </c>
      <c r="C14467" t="s">
        <v>67</v>
      </c>
      <c r="D14467" t="s">
        <v>67</v>
      </c>
      <c r="E14467" t="s">
        <v>67</v>
      </c>
      <c r="F14467" t="s">
        <v>27987</v>
      </c>
      <c r="G14467" s="117">
        <v>4.8899999999999997</v>
      </c>
    </row>
    <row r="14468" spans="1:7" x14ac:dyDescent="0.25">
      <c r="A14468" s="116" t="s">
        <v>22443</v>
      </c>
      <c r="B14468" s="117" t="s">
        <v>22444</v>
      </c>
      <c r="C14468" t="s">
        <v>67</v>
      </c>
      <c r="D14468" t="s">
        <v>67</v>
      </c>
      <c r="E14468" t="s">
        <v>67</v>
      </c>
      <c r="F14468" t="s">
        <v>45</v>
      </c>
      <c r="G14468" s="117">
        <v>1.77</v>
      </c>
    </row>
    <row r="14469" spans="1:7" x14ac:dyDescent="0.25">
      <c r="A14469" s="116" t="s">
        <v>22445</v>
      </c>
      <c r="B14469" s="117" t="s">
        <v>5218</v>
      </c>
      <c r="C14469" t="s">
        <v>67</v>
      </c>
      <c r="D14469" t="s">
        <v>67</v>
      </c>
      <c r="E14469" t="s">
        <v>67</v>
      </c>
      <c r="F14469" t="s">
        <v>45</v>
      </c>
      <c r="G14469" s="117">
        <v>15.57</v>
      </c>
    </row>
    <row r="14470" spans="1:7" x14ac:dyDescent="0.25">
      <c r="A14470" s="116" t="s">
        <v>22446</v>
      </c>
      <c r="B14470" s="117" t="s">
        <v>22447</v>
      </c>
      <c r="C14470" t="s">
        <v>67</v>
      </c>
      <c r="D14470" t="s">
        <v>67</v>
      </c>
      <c r="E14470" t="s">
        <v>67</v>
      </c>
      <c r="F14470" t="s">
        <v>45</v>
      </c>
      <c r="G14470" s="117">
        <v>106.33</v>
      </c>
    </row>
    <row r="14471" spans="1:7" x14ac:dyDescent="0.25">
      <c r="A14471" s="116" t="s">
        <v>22448</v>
      </c>
      <c r="B14471" s="117" t="s">
        <v>22449</v>
      </c>
      <c r="C14471" t="s">
        <v>67</v>
      </c>
      <c r="D14471" t="s">
        <v>67</v>
      </c>
      <c r="E14471" t="s">
        <v>67</v>
      </c>
      <c r="F14471" t="s">
        <v>45</v>
      </c>
      <c r="G14471" s="117">
        <v>46.18</v>
      </c>
    </row>
    <row r="14472" spans="1:7" x14ac:dyDescent="0.25">
      <c r="A14472" s="116" t="s">
        <v>22450</v>
      </c>
      <c r="B14472" s="117" t="s">
        <v>22430</v>
      </c>
      <c r="C14472" t="s">
        <v>67</v>
      </c>
      <c r="D14472" t="s">
        <v>67</v>
      </c>
      <c r="E14472" t="s">
        <v>67</v>
      </c>
      <c r="F14472" t="s">
        <v>45</v>
      </c>
      <c r="G14472" s="117">
        <v>1.77</v>
      </c>
    </row>
    <row r="14473" spans="1:7" x14ac:dyDescent="0.25">
      <c r="A14473" s="116" t="s">
        <v>22451</v>
      </c>
      <c r="B14473" s="117" t="s">
        <v>22452</v>
      </c>
      <c r="C14473" t="s">
        <v>67</v>
      </c>
      <c r="D14473" t="s">
        <v>67</v>
      </c>
      <c r="E14473" t="s">
        <v>67</v>
      </c>
      <c r="F14473" t="s">
        <v>27987</v>
      </c>
      <c r="G14473" s="117">
        <v>22.69</v>
      </c>
    </row>
    <row r="14474" spans="1:7" x14ac:dyDescent="0.25">
      <c r="A14474" s="116" t="s">
        <v>22453</v>
      </c>
      <c r="B14474" s="117" t="s">
        <v>22454</v>
      </c>
      <c r="C14474" t="s">
        <v>67</v>
      </c>
      <c r="D14474" t="s">
        <v>67</v>
      </c>
      <c r="E14474" t="s">
        <v>67</v>
      </c>
      <c r="F14474" t="s">
        <v>27987</v>
      </c>
      <c r="G14474" s="117">
        <v>25.36</v>
      </c>
    </row>
    <row r="14475" spans="1:7" x14ac:dyDescent="0.25">
      <c r="A14475" s="116" t="s">
        <v>22455</v>
      </c>
      <c r="B14475" s="117" t="s">
        <v>22456</v>
      </c>
      <c r="C14475" t="s">
        <v>67</v>
      </c>
      <c r="D14475" t="s">
        <v>67</v>
      </c>
      <c r="E14475" t="s">
        <v>67</v>
      </c>
      <c r="F14475" t="s">
        <v>45</v>
      </c>
      <c r="G14475" s="117">
        <v>2.58</v>
      </c>
    </row>
    <row r="14476" spans="1:7" x14ac:dyDescent="0.25">
      <c r="A14476" s="116" t="s">
        <v>22457</v>
      </c>
      <c r="B14476" s="117" t="s">
        <v>5084</v>
      </c>
      <c r="C14476" t="s">
        <v>67</v>
      </c>
      <c r="D14476" t="s">
        <v>67</v>
      </c>
      <c r="E14476" t="s">
        <v>67</v>
      </c>
      <c r="F14476" t="s">
        <v>45</v>
      </c>
      <c r="G14476" s="117">
        <v>4.8899999999999997</v>
      </c>
    </row>
    <row r="14477" spans="1:7" x14ac:dyDescent="0.25">
      <c r="A14477" s="116" t="s">
        <v>22458</v>
      </c>
      <c r="B14477" s="117" t="s">
        <v>22459</v>
      </c>
      <c r="C14477" t="s">
        <v>67</v>
      </c>
      <c r="D14477" t="s">
        <v>67</v>
      </c>
      <c r="E14477" t="s">
        <v>67</v>
      </c>
      <c r="F14477" t="s">
        <v>45</v>
      </c>
      <c r="G14477" s="117">
        <v>17.7</v>
      </c>
    </row>
    <row r="14478" spans="1:7" x14ac:dyDescent="0.25">
      <c r="A14478" s="116" t="s">
        <v>22460</v>
      </c>
      <c r="B14478" s="117" t="s">
        <v>22461</v>
      </c>
      <c r="C14478" t="s">
        <v>67</v>
      </c>
      <c r="D14478" t="s">
        <v>67</v>
      </c>
      <c r="E14478" t="s">
        <v>67</v>
      </c>
      <c r="F14478" t="s">
        <v>45</v>
      </c>
      <c r="G14478" s="117">
        <v>8.4499999999999993</v>
      </c>
    </row>
    <row r="14479" spans="1:7" x14ac:dyDescent="0.25">
      <c r="A14479" s="116" t="s">
        <v>22462</v>
      </c>
      <c r="B14479" s="117" t="s">
        <v>22463</v>
      </c>
      <c r="C14479" t="s">
        <v>67</v>
      </c>
      <c r="D14479" t="s">
        <v>67</v>
      </c>
      <c r="E14479" t="s">
        <v>67</v>
      </c>
      <c r="F14479" t="s">
        <v>45</v>
      </c>
      <c r="G14479" s="117">
        <v>15.93</v>
      </c>
    </row>
    <row r="14480" spans="1:7" x14ac:dyDescent="0.25">
      <c r="A14480" s="116" t="s">
        <v>22464</v>
      </c>
      <c r="B14480" s="117" t="s">
        <v>22465</v>
      </c>
      <c r="C14480" t="s">
        <v>67</v>
      </c>
      <c r="D14480" t="s">
        <v>67</v>
      </c>
      <c r="E14480" t="s">
        <v>67</v>
      </c>
      <c r="F14480" t="s">
        <v>27987</v>
      </c>
      <c r="G14480" s="117">
        <v>13.26</v>
      </c>
    </row>
    <row r="14481" spans="1:7" x14ac:dyDescent="0.25">
      <c r="A14481" s="116" t="s">
        <v>22466</v>
      </c>
      <c r="B14481" s="117" t="s">
        <v>22467</v>
      </c>
      <c r="C14481" t="s">
        <v>67</v>
      </c>
      <c r="D14481" t="s">
        <v>67</v>
      </c>
      <c r="E14481" t="s">
        <v>67</v>
      </c>
      <c r="F14481" t="s">
        <v>27987</v>
      </c>
      <c r="G14481" s="117">
        <v>2.23</v>
      </c>
    </row>
    <row r="14482" spans="1:7" x14ac:dyDescent="0.25">
      <c r="A14482" s="116" t="s">
        <v>22468</v>
      </c>
      <c r="B14482" s="117" t="s">
        <v>22469</v>
      </c>
      <c r="C14482" t="s">
        <v>67</v>
      </c>
      <c r="D14482" t="s">
        <v>67</v>
      </c>
      <c r="E14482" t="s">
        <v>67</v>
      </c>
      <c r="F14482" t="s">
        <v>49</v>
      </c>
      <c r="G14482" s="117">
        <v>2.23</v>
      </c>
    </row>
    <row r="14483" spans="1:7" x14ac:dyDescent="0.25">
      <c r="A14483" s="116" t="s">
        <v>22470</v>
      </c>
      <c r="B14483" s="117" t="s">
        <v>22471</v>
      </c>
      <c r="C14483" t="s">
        <v>67</v>
      </c>
      <c r="D14483" t="s">
        <v>67</v>
      </c>
      <c r="E14483" t="s">
        <v>67</v>
      </c>
      <c r="F14483" t="s">
        <v>45</v>
      </c>
      <c r="G14483" s="117">
        <v>54.19</v>
      </c>
    </row>
    <row r="14484" spans="1:7" x14ac:dyDescent="0.25">
      <c r="A14484" s="116" t="s">
        <v>22472</v>
      </c>
      <c r="B14484" s="117" t="s">
        <v>22473</v>
      </c>
      <c r="C14484" t="s">
        <v>67</v>
      </c>
      <c r="D14484" t="s">
        <v>67</v>
      </c>
      <c r="E14484" t="s">
        <v>67</v>
      </c>
      <c r="F14484" t="s">
        <v>27987</v>
      </c>
      <c r="G14484" s="117">
        <v>1.33</v>
      </c>
    </row>
    <row r="14485" spans="1:7" x14ac:dyDescent="0.25">
      <c r="A14485" s="116" t="s">
        <v>22474</v>
      </c>
      <c r="B14485" s="117" t="s">
        <v>22475</v>
      </c>
      <c r="C14485" t="s">
        <v>67</v>
      </c>
      <c r="D14485" t="s">
        <v>67</v>
      </c>
      <c r="E14485" t="s">
        <v>67</v>
      </c>
      <c r="F14485" t="s">
        <v>27987</v>
      </c>
      <c r="G14485" s="117">
        <v>331.82</v>
      </c>
    </row>
    <row r="14486" spans="1:7" x14ac:dyDescent="0.25">
      <c r="A14486" s="116" t="s">
        <v>22476</v>
      </c>
      <c r="B14486" s="117" t="s">
        <v>5249</v>
      </c>
      <c r="C14486" t="s">
        <v>67</v>
      </c>
      <c r="D14486" t="s">
        <v>67</v>
      </c>
      <c r="E14486" t="s">
        <v>67</v>
      </c>
      <c r="F14486" t="s">
        <v>45</v>
      </c>
      <c r="G14486" s="117">
        <v>29.81</v>
      </c>
    </row>
    <row r="14487" spans="1:7" x14ac:dyDescent="0.25">
      <c r="A14487" s="116" t="s">
        <v>22477</v>
      </c>
      <c r="B14487" s="117" t="s">
        <v>22478</v>
      </c>
      <c r="C14487" t="s">
        <v>67</v>
      </c>
      <c r="D14487" t="s">
        <v>67</v>
      </c>
      <c r="E14487" t="s">
        <v>67</v>
      </c>
      <c r="F14487" t="s">
        <v>45</v>
      </c>
      <c r="G14487" s="117">
        <v>250.49</v>
      </c>
    </row>
    <row r="14488" spans="1:7" x14ac:dyDescent="0.25">
      <c r="A14488" s="116" t="s">
        <v>22479</v>
      </c>
      <c r="B14488" s="117" t="s">
        <v>22480</v>
      </c>
      <c r="C14488" t="s">
        <v>67</v>
      </c>
      <c r="D14488" t="s">
        <v>67</v>
      </c>
      <c r="E14488" t="s">
        <v>67</v>
      </c>
      <c r="F14488" t="s">
        <v>45</v>
      </c>
      <c r="G14488" s="117">
        <v>49.74</v>
      </c>
    </row>
    <row r="14489" spans="1:7" x14ac:dyDescent="0.25">
      <c r="A14489" s="116" t="s">
        <v>22481</v>
      </c>
      <c r="B14489" s="117" t="s">
        <v>22482</v>
      </c>
      <c r="C14489" t="s">
        <v>67</v>
      </c>
      <c r="D14489" t="s">
        <v>67</v>
      </c>
      <c r="E14489" t="s">
        <v>67</v>
      </c>
      <c r="F14489" t="s">
        <v>45</v>
      </c>
      <c r="G14489" s="117">
        <v>23.94</v>
      </c>
    </row>
    <row r="14490" spans="1:7" x14ac:dyDescent="0.25">
      <c r="A14490" s="116" t="s">
        <v>22483</v>
      </c>
      <c r="B14490" s="117" t="s">
        <v>22484</v>
      </c>
      <c r="C14490" t="s">
        <v>67</v>
      </c>
      <c r="D14490" t="s">
        <v>67</v>
      </c>
      <c r="E14490" t="s">
        <v>67</v>
      </c>
      <c r="F14490" t="s">
        <v>45</v>
      </c>
      <c r="G14490" s="117">
        <v>3.56</v>
      </c>
    </row>
    <row r="14491" spans="1:7" x14ac:dyDescent="0.25">
      <c r="A14491" s="116" t="s">
        <v>22485</v>
      </c>
      <c r="B14491" s="117" t="s">
        <v>22486</v>
      </c>
      <c r="C14491" t="s">
        <v>67</v>
      </c>
      <c r="D14491" t="s">
        <v>67</v>
      </c>
      <c r="E14491" t="s">
        <v>67</v>
      </c>
      <c r="F14491" t="s">
        <v>45</v>
      </c>
      <c r="G14491" s="117">
        <v>6.14</v>
      </c>
    </row>
    <row r="14492" spans="1:7" x14ac:dyDescent="0.25">
      <c r="A14492" s="116" t="s">
        <v>22487</v>
      </c>
      <c r="B14492" s="117" t="s">
        <v>22488</v>
      </c>
      <c r="C14492" t="s">
        <v>67</v>
      </c>
      <c r="D14492" t="s">
        <v>67</v>
      </c>
      <c r="E14492" t="s">
        <v>67</v>
      </c>
      <c r="F14492" t="s">
        <v>45</v>
      </c>
      <c r="G14492" s="117">
        <v>41.38</v>
      </c>
    </row>
    <row r="14493" spans="1:7" x14ac:dyDescent="0.25">
      <c r="A14493" s="116" t="s">
        <v>22489</v>
      </c>
      <c r="B14493" s="117" t="s">
        <v>22490</v>
      </c>
      <c r="C14493" t="s">
        <v>67</v>
      </c>
      <c r="D14493" t="s">
        <v>67</v>
      </c>
      <c r="E14493" t="s">
        <v>67</v>
      </c>
      <c r="F14493" t="s">
        <v>27987</v>
      </c>
      <c r="G14493" s="117">
        <v>8.4</v>
      </c>
    </row>
    <row r="14494" spans="1:7" x14ac:dyDescent="0.25">
      <c r="A14494" s="116" t="s">
        <v>22491</v>
      </c>
      <c r="B14494" s="117" t="s">
        <v>22490</v>
      </c>
      <c r="C14494" t="s">
        <v>67</v>
      </c>
      <c r="D14494" t="s">
        <v>67</v>
      </c>
      <c r="E14494" t="s">
        <v>67</v>
      </c>
      <c r="F14494" t="s">
        <v>27987</v>
      </c>
      <c r="G14494" s="117">
        <v>8.4</v>
      </c>
    </row>
    <row r="14495" spans="1:7" x14ac:dyDescent="0.25">
      <c r="A14495" s="116" t="s">
        <v>22492</v>
      </c>
      <c r="B14495" s="117" t="s">
        <v>22493</v>
      </c>
      <c r="C14495" t="s">
        <v>67</v>
      </c>
      <c r="D14495" t="s">
        <v>67</v>
      </c>
      <c r="E14495" t="s">
        <v>67</v>
      </c>
      <c r="F14495" t="s">
        <v>27987</v>
      </c>
      <c r="G14495" s="117">
        <v>328.26</v>
      </c>
    </row>
    <row r="14496" spans="1:7" x14ac:dyDescent="0.25">
      <c r="A14496" s="116" t="s">
        <v>22494</v>
      </c>
      <c r="B14496" s="117" t="s">
        <v>22495</v>
      </c>
      <c r="C14496" t="s">
        <v>67</v>
      </c>
      <c r="D14496" t="s">
        <v>67</v>
      </c>
      <c r="E14496" t="s">
        <v>67</v>
      </c>
      <c r="F14496" t="s">
        <v>45</v>
      </c>
      <c r="G14496" s="117">
        <v>19.13</v>
      </c>
    </row>
    <row r="14497" spans="1:7" x14ac:dyDescent="0.25">
      <c r="A14497" s="116" t="s">
        <v>22496</v>
      </c>
      <c r="B14497" s="117" t="s">
        <v>22497</v>
      </c>
      <c r="C14497" t="s">
        <v>67</v>
      </c>
      <c r="D14497" t="s">
        <v>67</v>
      </c>
      <c r="E14497" t="s">
        <v>67</v>
      </c>
      <c r="F14497" t="s">
        <v>45</v>
      </c>
      <c r="G14497" s="117">
        <v>71.87</v>
      </c>
    </row>
    <row r="14498" spans="1:7" x14ac:dyDescent="0.25">
      <c r="A14498" s="116" t="s">
        <v>22498</v>
      </c>
      <c r="B14498" s="117" t="s">
        <v>22499</v>
      </c>
      <c r="C14498" t="s">
        <v>67</v>
      </c>
      <c r="D14498" t="s">
        <v>67</v>
      </c>
      <c r="E14498" t="s">
        <v>67</v>
      </c>
      <c r="F14498" t="s">
        <v>45</v>
      </c>
      <c r="G14498" s="117">
        <v>9.6999999999999993</v>
      </c>
    </row>
    <row r="14499" spans="1:7" x14ac:dyDescent="0.25">
      <c r="A14499" s="116" t="s">
        <v>22500</v>
      </c>
      <c r="B14499" s="117" t="s">
        <v>22501</v>
      </c>
      <c r="C14499" t="s">
        <v>67</v>
      </c>
      <c r="D14499" t="s">
        <v>67</v>
      </c>
      <c r="E14499" t="s">
        <v>67</v>
      </c>
      <c r="F14499" t="s">
        <v>45</v>
      </c>
      <c r="G14499" s="117">
        <v>79.11</v>
      </c>
    </row>
    <row r="14500" spans="1:7" x14ac:dyDescent="0.25">
      <c r="A14500" s="116" t="s">
        <v>22502</v>
      </c>
      <c r="B14500" s="117" t="s">
        <v>22503</v>
      </c>
      <c r="C14500" t="s">
        <v>67</v>
      </c>
      <c r="D14500" t="s">
        <v>67</v>
      </c>
      <c r="E14500" t="s">
        <v>67</v>
      </c>
      <c r="F14500" t="s">
        <v>45</v>
      </c>
      <c r="G14500" s="117">
        <v>2.58</v>
      </c>
    </row>
    <row r="14501" spans="1:7" x14ac:dyDescent="0.25">
      <c r="A14501" s="116" t="s">
        <v>22504</v>
      </c>
      <c r="B14501" s="117" t="s">
        <v>22505</v>
      </c>
      <c r="C14501" t="s">
        <v>67</v>
      </c>
      <c r="D14501" t="s">
        <v>67</v>
      </c>
      <c r="E14501" t="s">
        <v>67</v>
      </c>
      <c r="F14501" t="s">
        <v>45</v>
      </c>
      <c r="G14501" s="117">
        <v>0.8</v>
      </c>
    </row>
    <row r="14502" spans="1:7" x14ac:dyDescent="0.25">
      <c r="A14502" s="116" t="s">
        <v>22506</v>
      </c>
      <c r="B14502" s="117" t="s">
        <v>22507</v>
      </c>
      <c r="C14502" t="s">
        <v>67</v>
      </c>
      <c r="D14502" t="s">
        <v>67</v>
      </c>
      <c r="E14502" t="s">
        <v>67</v>
      </c>
      <c r="F14502" t="s">
        <v>27987</v>
      </c>
      <c r="G14502" s="117">
        <v>27.14</v>
      </c>
    </row>
    <row r="14503" spans="1:7" x14ac:dyDescent="0.25">
      <c r="A14503" s="116" t="s">
        <v>22508</v>
      </c>
      <c r="B14503" s="117" t="s">
        <v>22509</v>
      </c>
      <c r="C14503" t="s">
        <v>67</v>
      </c>
      <c r="D14503" t="s">
        <v>67</v>
      </c>
      <c r="E14503" t="s">
        <v>67</v>
      </c>
      <c r="F14503" t="s">
        <v>27987</v>
      </c>
      <c r="G14503" s="117">
        <v>27.14</v>
      </c>
    </row>
    <row r="14504" spans="1:7" x14ac:dyDescent="0.25">
      <c r="A14504" s="116" t="s">
        <v>22510</v>
      </c>
      <c r="B14504" s="117" t="s">
        <v>22511</v>
      </c>
      <c r="C14504" t="s">
        <v>67</v>
      </c>
      <c r="D14504" t="s">
        <v>67</v>
      </c>
      <c r="E14504" t="s">
        <v>67</v>
      </c>
      <c r="F14504" t="s">
        <v>27987</v>
      </c>
      <c r="G14504" s="117">
        <v>7.12</v>
      </c>
    </row>
    <row r="14505" spans="1:7" x14ac:dyDescent="0.25">
      <c r="A14505" s="116" t="s">
        <v>22512</v>
      </c>
      <c r="B14505" s="117" t="s">
        <v>22513</v>
      </c>
      <c r="C14505" t="s">
        <v>67</v>
      </c>
      <c r="D14505" t="s">
        <v>67</v>
      </c>
      <c r="E14505" t="s">
        <v>67</v>
      </c>
      <c r="F14505" t="s">
        <v>49</v>
      </c>
      <c r="G14505" s="117">
        <v>3.12</v>
      </c>
    </row>
    <row r="14506" spans="1:7" x14ac:dyDescent="0.25">
      <c r="A14506" s="116" t="s">
        <v>22514</v>
      </c>
      <c r="B14506" s="117" t="s">
        <v>29601</v>
      </c>
      <c r="C14506" t="s">
        <v>67</v>
      </c>
      <c r="D14506" t="s">
        <v>67</v>
      </c>
      <c r="E14506" t="s">
        <v>67</v>
      </c>
      <c r="F14506" t="s">
        <v>49</v>
      </c>
      <c r="G14506" s="117">
        <v>2.23</v>
      </c>
    </row>
    <row r="14507" spans="1:7" x14ac:dyDescent="0.25">
      <c r="A14507" s="116" t="s">
        <v>22515</v>
      </c>
      <c r="B14507" s="117" t="s">
        <v>5329</v>
      </c>
      <c r="C14507" t="s">
        <v>67</v>
      </c>
      <c r="D14507" t="s">
        <v>67</v>
      </c>
      <c r="E14507" t="s">
        <v>67</v>
      </c>
      <c r="F14507" t="s">
        <v>27987</v>
      </c>
      <c r="G14507" s="117">
        <v>11.12</v>
      </c>
    </row>
    <row r="14508" spans="1:7" x14ac:dyDescent="0.25">
      <c r="A14508" s="116" t="s">
        <v>22516</v>
      </c>
      <c r="B14508" s="117" t="s">
        <v>22517</v>
      </c>
      <c r="C14508" t="s">
        <v>67</v>
      </c>
      <c r="D14508" t="s">
        <v>67</v>
      </c>
      <c r="E14508" t="s">
        <v>67</v>
      </c>
      <c r="F14508" t="s">
        <v>45</v>
      </c>
      <c r="G14508" s="117">
        <v>2.58</v>
      </c>
    </row>
    <row r="14509" spans="1:7" x14ac:dyDescent="0.25">
      <c r="A14509" s="116" t="s">
        <v>22518</v>
      </c>
      <c r="B14509" s="117" t="s">
        <v>29602</v>
      </c>
      <c r="C14509" t="s">
        <v>67</v>
      </c>
      <c r="D14509" t="s">
        <v>67</v>
      </c>
      <c r="E14509" t="s">
        <v>67</v>
      </c>
      <c r="F14509" t="s">
        <v>49</v>
      </c>
      <c r="G14509" s="117">
        <v>2.23</v>
      </c>
    </row>
    <row r="14510" spans="1:7" x14ac:dyDescent="0.25">
      <c r="A14510" s="116" t="s">
        <v>22519</v>
      </c>
      <c r="B14510" s="117" t="s">
        <v>8227</v>
      </c>
      <c r="C14510" t="s">
        <v>67</v>
      </c>
      <c r="D14510" t="s">
        <v>67</v>
      </c>
      <c r="E14510" t="s">
        <v>67</v>
      </c>
      <c r="F14510" t="s">
        <v>27987</v>
      </c>
      <c r="G14510" s="117">
        <v>1.33</v>
      </c>
    </row>
    <row r="14511" spans="1:7" x14ac:dyDescent="0.25">
      <c r="A14511" s="116" t="s">
        <v>22520</v>
      </c>
      <c r="B14511" s="117" t="s">
        <v>22521</v>
      </c>
      <c r="C14511" t="s">
        <v>67</v>
      </c>
      <c r="D14511" t="s">
        <v>67</v>
      </c>
      <c r="E14511" t="s">
        <v>67</v>
      </c>
      <c r="F14511" t="s">
        <v>49</v>
      </c>
      <c r="G14511" s="117">
        <v>4.8899999999999997</v>
      </c>
    </row>
    <row r="14512" spans="1:7" x14ac:dyDescent="0.25">
      <c r="A14512" s="116" t="s">
        <v>22522</v>
      </c>
      <c r="B14512" s="117" t="s">
        <v>8997</v>
      </c>
      <c r="C14512" t="s">
        <v>67</v>
      </c>
      <c r="D14512" t="s">
        <v>67</v>
      </c>
      <c r="E14512" t="s">
        <v>67</v>
      </c>
      <c r="F14512" t="s">
        <v>49</v>
      </c>
      <c r="G14512" s="117">
        <v>1.33</v>
      </c>
    </row>
    <row r="14513" spans="1:7" x14ac:dyDescent="0.25">
      <c r="A14513" s="116" t="s">
        <v>22523</v>
      </c>
      <c r="B14513" s="117" t="s">
        <v>22524</v>
      </c>
      <c r="C14513" t="s">
        <v>67</v>
      </c>
      <c r="D14513" t="s">
        <v>67</v>
      </c>
      <c r="E14513" t="s">
        <v>67</v>
      </c>
      <c r="F14513" t="s">
        <v>49</v>
      </c>
      <c r="G14513" s="117">
        <v>3.56</v>
      </c>
    </row>
    <row r="14514" spans="1:7" x14ac:dyDescent="0.25">
      <c r="A14514" s="116" t="s">
        <v>22525</v>
      </c>
      <c r="B14514" s="117" t="s">
        <v>22526</v>
      </c>
      <c r="C14514" t="s">
        <v>67</v>
      </c>
      <c r="D14514" t="s">
        <v>67</v>
      </c>
      <c r="E14514" t="s">
        <v>67</v>
      </c>
      <c r="F14514" t="s">
        <v>45</v>
      </c>
      <c r="G14514" s="117">
        <v>1.33</v>
      </c>
    </row>
    <row r="14515" spans="1:7" x14ac:dyDescent="0.25">
      <c r="A14515" s="116" t="s">
        <v>22527</v>
      </c>
      <c r="B14515" s="117" t="s">
        <v>8192</v>
      </c>
      <c r="C14515" t="s">
        <v>67</v>
      </c>
      <c r="D14515" t="s">
        <v>67</v>
      </c>
      <c r="E14515" t="s">
        <v>67</v>
      </c>
      <c r="F14515" t="s">
        <v>45</v>
      </c>
      <c r="G14515" s="117">
        <v>2.58</v>
      </c>
    </row>
    <row r="14516" spans="1:7" x14ac:dyDescent="0.25">
      <c r="A14516" s="116" t="s">
        <v>22528</v>
      </c>
      <c r="B14516" s="117" t="s">
        <v>22529</v>
      </c>
      <c r="C14516" t="s">
        <v>67</v>
      </c>
      <c r="D14516" t="s">
        <v>67</v>
      </c>
      <c r="E14516" t="s">
        <v>67</v>
      </c>
      <c r="F14516" t="s">
        <v>27987</v>
      </c>
      <c r="G14516" s="117">
        <v>1.33</v>
      </c>
    </row>
    <row r="14517" spans="1:7" x14ac:dyDescent="0.25">
      <c r="A14517" s="116" t="s">
        <v>22530</v>
      </c>
      <c r="B14517" s="117" t="s">
        <v>22531</v>
      </c>
      <c r="C14517" t="s">
        <v>67</v>
      </c>
      <c r="D14517" t="s">
        <v>67</v>
      </c>
      <c r="E14517" t="s">
        <v>67</v>
      </c>
      <c r="F14517" t="s">
        <v>49</v>
      </c>
      <c r="G14517" s="117">
        <v>2.58</v>
      </c>
    </row>
    <row r="14518" spans="1:7" x14ac:dyDescent="0.25">
      <c r="A14518" s="116" t="s">
        <v>22532</v>
      </c>
      <c r="B14518" s="117" t="s">
        <v>8090</v>
      </c>
      <c r="C14518" t="s">
        <v>67</v>
      </c>
      <c r="D14518" t="s">
        <v>67</v>
      </c>
      <c r="E14518" t="s">
        <v>67</v>
      </c>
      <c r="F14518" t="s">
        <v>49</v>
      </c>
      <c r="G14518" s="117">
        <v>3.12</v>
      </c>
    </row>
    <row r="14519" spans="1:7" x14ac:dyDescent="0.25">
      <c r="A14519" s="116" t="s">
        <v>22533</v>
      </c>
      <c r="B14519" s="117" t="s">
        <v>22534</v>
      </c>
      <c r="C14519" t="s">
        <v>67</v>
      </c>
      <c r="D14519" t="s">
        <v>67</v>
      </c>
      <c r="E14519" t="s">
        <v>67</v>
      </c>
      <c r="F14519" t="s">
        <v>27987</v>
      </c>
      <c r="G14519" s="117">
        <v>1.69</v>
      </c>
    </row>
    <row r="14520" spans="1:7" x14ac:dyDescent="0.25">
      <c r="A14520" s="116" t="s">
        <v>22535</v>
      </c>
      <c r="B14520" s="117" t="s">
        <v>21683</v>
      </c>
      <c r="C14520" t="s">
        <v>67</v>
      </c>
      <c r="D14520" t="s">
        <v>67</v>
      </c>
      <c r="E14520" t="s">
        <v>67</v>
      </c>
      <c r="F14520" t="s">
        <v>49</v>
      </c>
      <c r="G14520" s="117">
        <v>1.33</v>
      </c>
    </row>
    <row r="14521" spans="1:7" x14ac:dyDescent="0.25">
      <c r="A14521" s="116" t="s">
        <v>22536</v>
      </c>
      <c r="B14521" s="117" t="s">
        <v>22537</v>
      </c>
      <c r="C14521" t="s">
        <v>67</v>
      </c>
      <c r="D14521" t="s">
        <v>67</v>
      </c>
      <c r="E14521" t="s">
        <v>67</v>
      </c>
      <c r="F14521" t="s">
        <v>49</v>
      </c>
      <c r="G14521" s="117">
        <v>0.8</v>
      </c>
    </row>
    <row r="14522" spans="1:7" x14ac:dyDescent="0.25">
      <c r="A14522" s="116" t="s">
        <v>22538</v>
      </c>
      <c r="B14522" s="117" t="s">
        <v>22539</v>
      </c>
      <c r="C14522" t="s">
        <v>67</v>
      </c>
      <c r="D14522" t="s">
        <v>67</v>
      </c>
      <c r="E14522" t="s">
        <v>67</v>
      </c>
      <c r="F14522" t="s">
        <v>45</v>
      </c>
      <c r="G14522" s="117">
        <v>5.79</v>
      </c>
    </row>
    <row r="14523" spans="1:7" x14ac:dyDescent="0.25">
      <c r="A14523" s="116" t="s">
        <v>22540</v>
      </c>
      <c r="B14523" s="117" t="s">
        <v>22541</v>
      </c>
      <c r="C14523" t="s">
        <v>67</v>
      </c>
      <c r="D14523" t="s">
        <v>67</v>
      </c>
      <c r="E14523" t="s">
        <v>67</v>
      </c>
      <c r="F14523" t="s">
        <v>49</v>
      </c>
      <c r="G14523" s="117">
        <v>4.8899999999999997</v>
      </c>
    </row>
    <row r="14524" spans="1:7" x14ac:dyDescent="0.25">
      <c r="A14524" s="116" t="s">
        <v>22542</v>
      </c>
      <c r="B14524" s="117" t="s">
        <v>22543</v>
      </c>
      <c r="C14524" t="s">
        <v>67</v>
      </c>
      <c r="D14524" t="s">
        <v>67</v>
      </c>
      <c r="E14524" t="s">
        <v>67</v>
      </c>
      <c r="F14524" t="s">
        <v>45</v>
      </c>
      <c r="G14524" s="117">
        <v>2.58</v>
      </c>
    </row>
    <row r="14525" spans="1:7" x14ac:dyDescent="0.25">
      <c r="A14525" s="116" t="s">
        <v>22544</v>
      </c>
      <c r="B14525" s="117" t="s">
        <v>8090</v>
      </c>
      <c r="C14525" t="s">
        <v>67</v>
      </c>
      <c r="D14525" t="s">
        <v>67</v>
      </c>
      <c r="E14525" t="s">
        <v>67</v>
      </c>
      <c r="F14525" t="s">
        <v>49</v>
      </c>
      <c r="G14525" s="117">
        <v>4.8899999999999997</v>
      </c>
    </row>
    <row r="14526" spans="1:7" x14ac:dyDescent="0.25">
      <c r="A14526" s="116" t="s">
        <v>22545</v>
      </c>
      <c r="B14526" s="117" t="s">
        <v>22546</v>
      </c>
      <c r="C14526" t="s">
        <v>67</v>
      </c>
      <c r="D14526" t="s">
        <v>67</v>
      </c>
      <c r="E14526" t="s">
        <v>67</v>
      </c>
      <c r="F14526" t="s">
        <v>45</v>
      </c>
      <c r="G14526" s="117">
        <v>44.94</v>
      </c>
    </row>
    <row r="14527" spans="1:7" x14ac:dyDescent="0.25">
      <c r="A14527" s="116" t="s">
        <v>22547</v>
      </c>
      <c r="B14527" s="117" t="s">
        <v>22548</v>
      </c>
      <c r="C14527" t="s">
        <v>67</v>
      </c>
      <c r="D14527" t="s">
        <v>67</v>
      </c>
      <c r="E14527" t="s">
        <v>67</v>
      </c>
      <c r="F14527" t="s">
        <v>27987</v>
      </c>
      <c r="G14527" s="117">
        <v>181.98</v>
      </c>
    </row>
    <row r="14528" spans="1:7" x14ac:dyDescent="0.25">
      <c r="A14528" s="116" t="s">
        <v>22549</v>
      </c>
      <c r="B14528" s="117" t="s">
        <v>22550</v>
      </c>
      <c r="C14528" t="s">
        <v>67</v>
      </c>
      <c r="D14528" t="s">
        <v>67</v>
      </c>
      <c r="E14528" t="s">
        <v>67</v>
      </c>
      <c r="F14528" t="s">
        <v>45</v>
      </c>
      <c r="G14528" s="117">
        <v>7.12</v>
      </c>
    </row>
    <row r="14529" spans="1:7" x14ac:dyDescent="0.25">
      <c r="A14529" s="116" t="s">
        <v>22551</v>
      </c>
      <c r="B14529" s="117" t="s">
        <v>22552</v>
      </c>
      <c r="C14529" t="s">
        <v>67</v>
      </c>
      <c r="D14529" t="s">
        <v>67</v>
      </c>
      <c r="E14529" t="s">
        <v>67</v>
      </c>
      <c r="F14529" t="s">
        <v>27987</v>
      </c>
      <c r="G14529" s="117">
        <v>46.18</v>
      </c>
    </row>
    <row r="14530" spans="1:7" x14ac:dyDescent="0.25">
      <c r="A14530" s="116" t="s">
        <v>22553</v>
      </c>
      <c r="B14530" s="117" t="s">
        <v>22554</v>
      </c>
      <c r="C14530" t="s">
        <v>67</v>
      </c>
      <c r="D14530" t="s">
        <v>67</v>
      </c>
      <c r="E14530" t="s">
        <v>67</v>
      </c>
      <c r="F14530" t="s">
        <v>27987</v>
      </c>
      <c r="G14530" s="117">
        <v>49.74</v>
      </c>
    </row>
    <row r="14531" spans="1:7" x14ac:dyDescent="0.25">
      <c r="A14531" s="116" t="s">
        <v>22555</v>
      </c>
      <c r="B14531" s="117" t="s">
        <v>22556</v>
      </c>
      <c r="C14531" t="s">
        <v>67</v>
      </c>
      <c r="D14531" t="s">
        <v>67</v>
      </c>
      <c r="E14531" t="s">
        <v>67</v>
      </c>
      <c r="F14531" t="s">
        <v>27987</v>
      </c>
      <c r="G14531" s="117">
        <v>7.12</v>
      </c>
    </row>
    <row r="14532" spans="1:7" x14ac:dyDescent="0.25">
      <c r="A14532" s="116" t="s">
        <v>22557</v>
      </c>
      <c r="B14532" s="117" t="s">
        <v>22558</v>
      </c>
      <c r="C14532" t="s">
        <v>67</v>
      </c>
      <c r="D14532" t="s">
        <v>67</v>
      </c>
      <c r="E14532" t="s">
        <v>67</v>
      </c>
      <c r="F14532" t="s">
        <v>27987</v>
      </c>
      <c r="G14532" s="117">
        <v>0.8</v>
      </c>
    </row>
    <row r="14533" spans="1:7" x14ac:dyDescent="0.25">
      <c r="A14533" s="116" t="s">
        <v>22559</v>
      </c>
      <c r="B14533" s="117" t="s">
        <v>22560</v>
      </c>
      <c r="C14533" t="s">
        <v>67</v>
      </c>
      <c r="D14533" t="s">
        <v>67</v>
      </c>
      <c r="E14533" t="s">
        <v>67</v>
      </c>
      <c r="F14533" t="s">
        <v>27987</v>
      </c>
      <c r="G14533" s="117">
        <v>8.4499999999999993</v>
      </c>
    </row>
    <row r="14534" spans="1:7" x14ac:dyDescent="0.25">
      <c r="A14534" s="116" t="s">
        <v>22561</v>
      </c>
      <c r="B14534" s="117" t="s">
        <v>22562</v>
      </c>
      <c r="C14534" t="s">
        <v>67</v>
      </c>
      <c r="D14534" t="s">
        <v>67</v>
      </c>
      <c r="E14534" t="s">
        <v>67</v>
      </c>
      <c r="F14534" t="s">
        <v>27987</v>
      </c>
      <c r="G14534" s="117">
        <v>1.69</v>
      </c>
    </row>
    <row r="14535" spans="1:7" x14ac:dyDescent="0.25">
      <c r="A14535" s="116" t="s">
        <v>22563</v>
      </c>
      <c r="B14535" s="117" t="s">
        <v>22564</v>
      </c>
      <c r="C14535" t="s">
        <v>67</v>
      </c>
      <c r="D14535" t="s">
        <v>67</v>
      </c>
      <c r="E14535" t="s">
        <v>67</v>
      </c>
      <c r="F14535" t="s">
        <v>27987</v>
      </c>
      <c r="G14535" s="117">
        <v>36.93</v>
      </c>
    </row>
    <row r="14536" spans="1:7" x14ac:dyDescent="0.25">
      <c r="A14536" s="116" t="s">
        <v>22565</v>
      </c>
      <c r="B14536" s="117" t="s">
        <v>22566</v>
      </c>
      <c r="C14536" t="s">
        <v>67</v>
      </c>
      <c r="D14536" t="s">
        <v>67</v>
      </c>
      <c r="E14536" t="s">
        <v>67</v>
      </c>
      <c r="F14536" t="s">
        <v>45</v>
      </c>
      <c r="G14536" s="117">
        <v>14.14</v>
      </c>
    </row>
    <row r="14537" spans="1:7" x14ac:dyDescent="0.25">
      <c r="A14537" s="116" t="s">
        <v>22567</v>
      </c>
      <c r="B14537" s="117" t="s">
        <v>22568</v>
      </c>
      <c r="C14537" t="s">
        <v>67</v>
      </c>
      <c r="D14537" t="s">
        <v>67</v>
      </c>
      <c r="E14537" t="s">
        <v>67</v>
      </c>
      <c r="F14537" t="s">
        <v>45</v>
      </c>
      <c r="G14537" s="117">
        <v>10.58</v>
      </c>
    </row>
    <row r="14538" spans="1:7" x14ac:dyDescent="0.25">
      <c r="A14538" s="116" t="s">
        <v>22569</v>
      </c>
      <c r="B14538" s="117" t="s">
        <v>22570</v>
      </c>
      <c r="C14538" t="s">
        <v>67</v>
      </c>
      <c r="D14538" t="s">
        <v>67</v>
      </c>
      <c r="E14538" t="s">
        <v>67</v>
      </c>
      <c r="F14538" t="s">
        <v>45</v>
      </c>
      <c r="G14538" s="117">
        <v>10.58</v>
      </c>
    </row>
    <row r="14539" spans="1:7" x14ac:dyDescent="0.25">
      <c r="A14539" s="116" t="s">
        <v>22571</v>
      </c>
      <c r="B14539" s="117" t="s">
        <v>22572</v>
      </c>
      <c r="C14539" t="s">
        <v>67</v>
      </c>
      <c r="D14539" t="s">
        <v>67</v>
      </c>
      <c r="E14539" t="s">
        <v>67</v>
      </c>
      <c r="F14539" t="s">
        <v>27987</v>
      </c>
      <c r="G14539" s="117">
        <v>17.7</v>
      </c>
    </row>
    <row r="14540" spans="1:7" x14ac:dyDescent="0.25">
      <c r="A14540" s="116" t="s">
        <v>22573</v>
      </c>
      <c r="B14540" s="117" t="s">
        <v>22574</v>
      </c>
      <c r="C14540" t="s">
        <v>67</v>
      </c>
      <c r="D14540" t="s">
        <v>67</v>
      </c>
      <c r="E14540" t="s">
        <v>67</v>
      </c>
      <c r="F14540" t="s">
        <v>45</v>
      </c>
      <c r="G14540" s="117">
        <v>2.67</v>
      </c>
    </row>
    <row r="14541" spans="1:7" x14ac:dyDescent="0.25">
      <c r="A14541" s="116" t="s">
        <v>22575</v>
      </c>
      <c r="B14541" s="117" t="s">
        <v>22576</v>
      </c>
      <c r="C14541" t="s">
        <v>67</v>
      </c>
      <c r="D14541" t="s">
        <v>67</v>
      </c>
      <c r="E14541" t="s">
        <v>67</v>
      </c>
      <c r="F14541" t="s">
        <v>27987</v>
      </c>
      <c r="G14541" s="117">
        <v>0.8</v>
      </c>
    </row>
    <row r="14542" spans="1:7" x14ac:dyDescent="0.25">
      <c r="A14542" s="116" t="s">
        <v>22577</v>
      </c>
      <c r="B14542" s="117" t="s">
        <v>22578</v>
      </c>
      <c r="C14542" t="s">
        <v>67</v>
      </c>
      <c r="D14542" t="s">
        <v>67</v>
      </c>
      <c r="E14542" t="s">
        <v>67</v>
      </c>
      <c r="F14542" t="s">
        <v>45</v>
      </c>
      <c r="G14542" s="117">
        <v>2.58</v>
      </c>
    </row>
    <row r="14543" spans="1:7" x14ac:dyDescent="0.25">
      <c r="A14543" s="116" t="s">
        <v>22579</v>
      </c>
      <c r="B14543" s="117" t="s">
        <v>22580</v>
      </c>
      <c r="C14543" t="s">
        <v>67</v>
      </c>
      <c r="D14543" t="s">
        <v>67</v>
      </c>
      <c r="E14543" t="s">
        <v>67</v>
      </c>
      <c r="F14543" t="s">
        <v>27987</v>
      </c>
      <c r="G14543" s="117">
        <v>1.33</v>
      </c>
    </row>
    <row r="14544" spans="1:7" x14ac:dyDescent="0.25">
      <c r="A14544" s="116" t="s">
        <v>22581</v>
      </c>
      <c r="B14544" s="117" t="s">
        <v>22582</v>
      </c>
      <c r="C14544" t="s">
        <v>67</v>
      </c>
      <c r="D14544" t="s">
        <v>67</v>
      </c>
      <c r="E14544" t="s">
        <v>67</v>
      </c>
      <c r="F14544" t="s">
        <v>45</v>
      </c>
      <c r="G14544" s="117">
        <v>9.6999999999999993</v>
      </c>
    </row>
    <row r="14545" spans="1:7" x14ac:dyDescent="0.25">
      <c r="A14545" s="116" t="s">
        <v>22583</v>
      </c>
      <c r="B14545" s="117" t="s">
        <v>22584</v>
      </c>
      <c r="C14545" t="s">
        <v>67</v>
      </c>
      <c r="D14545" t="s">
        <v>67</v>
      </c>
      <c r="E14545" t="s">
        <v>67</v>
      </c>
      <c r="F14545" t="s">
        <v>45</v>
      </c>
      <c r="G14545" s="117">
        <v>23.94</v>
      </c>
    </row>
    <row r="14546" spans="1:7" x14ac:dyDescent="0.25">
      <c r="A14546" s="116" t="s">
        <v>22585</v>
      </c>
      <c r="B14546" s="117" t="s">
        <v>22586</v>
      </c>
      <c r="C14546" t="s">
        <v>67</v>
      </c>
      <c r="D14546" t="s">
        <v>67</v>
      </c>
      <c r="E14546" t="s">
        <v>67</v>
      </c>
      <c r="F14546" t="s">
        <v>45</v>
      </c>
      <c r="G14546" s="117">
        <v>21.26</v>
      </c>
    </row>
    <row r="14547" spans="1:7" x14ac:dyDescent="0.25">
      <c r="A14547" s="116" t="s">
        <v>22587</v>
      </c>
      <c r="B14547" s="117" t="s">
        <v>22588</v>
      </c>
      <c r="C14547" t="s">
        <v>67</v>
      </c>
      <c r="D14547" t="s">
        <v>67</v>
      </c>
      <c r="E14547" t="s">
        <v>67</v>
      </c>
      <c r="F14547" t="s">
        <v>45</v>
      </c>
      <c r="G14547" s="117">
        <v>3.12</v>
      </c>
    </row>
    <row r="14548" spans="1:7" x14ac:dyDescent="0.25">
      <c r="A14548" s="116" t="s">
        <v>22589</v>
      </c>
      <c r="B14548" s="117" t="s">
        <v>22590</v>
      </c>
      <c r="C14548" t="s">
        <v>67</v>
      </c>
      <c r="D14548" t="s">
        <v>67</v>
      </c>
      <c r="E14548" t="s">
        <v>67</v>
      </c>
      <c r="F14548" t="s">
        <v>45</v>
      </c>
      <c r="G14548" s="117">
        <v>11.48</v>
      </c>
    </row>
    <row r="14549" spans="1:7" x14ac:dyDescent="0.25">
      <c r="A14549" s="116" t="s">
        <v>22591</v>
      </c>
      <c r="B14549" s="117" t="s">
        <v>22592</v>
      </c>
      <c r="C14549" t="s">
        <v>67</v>
      </c>
      <c r="D14549" t="s">
        <v>67</v>
      </c>
      <c r="E14549" t="s">
        <v>67</v>
      </c>
      <c r="F14549" t="s">
        <v>27987</v>
      </c>
      <c r="G14549" s="117">
        <v>34.26</v>
      </c>
    </row>
    <row r="14550" spans="1:7" x14ac:dyDescent="0.25">
      <c r="A14550" s="116" t="s">
        <v>22593</v>
      </c>
      <c r="B14550" s="117" t="s">
        <v>22594</v>
      </c>
      <c r="C14550" t="s">
        <v>67</v>
      </c>
      <c r="D14550" t="s">
        <v>67</v>
      </c>
      <c r="E14550" t="s">
        <v>67</v>
      </c>
      <c r="F14550" t="s">
        <v>45</v>
      </c>
      <c r="G14550" s="117">
        <v>35.5</v>
      </c>
    </row>
    <row r="14551" spans="1:7" x14ac:dyDescent="0.25">
      <c r="A14551" s="116" t="s">
        <v>22595</v>
      </c>
      <c r="B14551" s="117" t="s">
        <v>22505</v>
      </c>
      <c r="C14551" t="s">
        <v>67</v>
      </c>
      <c r="D14551" t="s">
        <v>67</v>
      </c>
      <c r="E14551" t="s">
        <v>67</v>
      </c>
      <c r="F14551" t="s">
        <v>45</v>
      </c>
      <c r="G14551" s="117">
        <v>7.12</v>
      </c>
    </row>
    <row r="14552" spans="1:7" x14ac:dyDescent="0.25">
      <c r="A14552" s="116" t="s">
        <v>22596</v>
      </c>
      <c r="B14552" s="117" t="s">
        <v>22505</v>
      </c>
      <c r="C14552" t="s">
        <v>67</v>
      </c>
      <c r="D14552" t="s">
        <v>67</v>
      </c>
      <c r="E14552" t="s">
        <v>67</v>
      </c>
      <c r="F14552" t="s">
        <v>45</v>
      </c>
      <c r="G14552" s="117">
        <v>2.67</v>
      </c>
    </row>
    <row r="14553" spans="1:7" x14ac:dyDescent="0.25">
      <c r="A14553" s="116" t="s">
        <v>22597</v>
      </c>
      <c r="B14553" s="117" t="s">
        <v>22598</v>
      </c>
      <c r="C14553" t="s">
        <v>67</v>
      </c>
      <c r="D14553" t="s">
        <v>67</v>
      </c>
      <c r="E14553" t="s">
        <v>67</v>
      </c>
      <c r="F14553" t="s">
        <v>45</v>
      </c>
      <c r="G14553" s="117">
        <v>92.1</v>
      </c>
    </row>
    <row r="14554" spans="1:7" x14ac:dyDescent="0.25">
      <c r="A14554" s="116" t="s">
        <v>22599</v>
      </c>
      <c r="B14554" s="117" t="s">
        <v>22600</v>
      </c>
      <c r="C14554" t="s">
        <v>67</v>
      </c>
      <c r="D14554" t="s">
        <v>67</v>
      </c>
      <c r="E14554" t="s">
        <v>67</v>
      </c>
      <c r="F14554" t="s">
        <v>27987</v>
      </c>
      <c r="G14554" s="117">
        <v>8.4499999999999993</v>
      </c>
    </row>
    <row r="14555" spans="1:7" x14ac:dyDescent="0.25">
      <c r="A14555" s="116" t="s">
        <v>22601</v>
      </c>
      <c r="B14555" s="117" t="s">
        <v>22602</v>
      </c>
      <c r="C14555" t="s">
        <v>67</v>
      </c>
      <c r="D14555" t="s">
        <v>67</v>
      </c>
      <c r="E14555" t="s">
        <v>67</v>
      </c>
      <c r="F14555" t="s">
        <v>45</v>
      </c>
      <c r="G14555" s="117">
        <v>3.56</v>
      </c>
    </row>
    <row r="14556" spans="1:7" x14ac:dyDescent="0.25">
      <c r="A14556" s="116" t="s">
        <v>22603</v>
      </c>
      <c r="B14556" s="117" t="s">
        <v>12634</v>
      </c>
      <c r="C14556" t="s">
        <v>67</v>
      </c>
      <c r="D14556" t="s">
        <v>67</v>
      </c>
      <c r="E14556" t="s">
        <v>67</v>
      </c>
      <c r="F14556" t="s">
        <v>45</v>
      </c>
      <c r="G14556" s="117">
        <v>10.58</v>
      </c>
    </row>
    <row r="14557" spans="1:7" x14ac:dyDescent="0.25">
      <c r="A14557" s="116" t="s">
        <v>22604</v>
      </c>
      <c r="B14557" s="117" t="s">
        <v>22605</v>
      </c>
      <c r="C14557" t="s">
        <v>67</v>
      </c>
      <c r="D14557" t="s">
        <v>67</v>
      </c>
      <c r="E14557" t="s">
        <v>67</v>
      </c>
      <c r="F14557" t="s">
        <v>49</v>
      </c>
      <c r="G14557" s="117">
        <v>1.33</v>
      </c>
    </row>
    <row r="14558" spans="1:7" x14ac:dyDescent="0.25">
      <c r="A14558" s="116" t="s">
        <v>22606</v>
      </c>
      <c r="B14558" s="117" t="s">
        <v>22607</v>
      </c>
      <c r="C14558" t="s">
        <v>67</v>
      </c>
      <c r="D14558" t="s">
        <v>67</v>
      </c>
      <c r="E14558" t="s">
        <v>67</v>
      </c>
      <c r="F14558" t="s">
        <v>27987</v>
      </c>
      <c r="G14558" s="117">
        <v>41.38</v>
      </c>
    </row>
    <row r="14559" spans="1:7" x14ac:dyDescent="0.25">
      <c r="A14559" s="116" t="s">
        <v>22608</v>
      </c>
      <c r="B14559" s="117" t="s">
        <v>22609</v>
      </c>
      <c r="C14559" t="s">
        <v>67</v>
      </c>
      <c r="D14559" t="s">
        <v>67</v>
      </c>
      <c r="E14559" t="s">
        <v>67</v>
      </c>
      <c r="F14559" t="s">
        <v>45</v>
      </c>
      <c r="G14559" s="117">
        <v>2.23</v>
      </c>
    </row>
    <row r="14560" spans="1:7" x14ac:dyDescent="0.25">
      <c r="A14560" s="116" t="s">
        <v>22610</v>
      </c>
      <c r="B14560" s="117" t="s">
        <v>22611</v>
      </c>
      <c r="C14560" t="s">
        <v>67</v>
      </c>
      <c r="D14560" t="s">
        <v>67</v>
      </c>
      <c r="E14560" t="s">
        <v>67</v>
      </c>
      <c r="F14560" t="s">
        <v>45</v>
      </c>
      <c r="G14560" s="117">
        <v>3.12</v>
      </c>
    </row>
    <row r="14561" spans="1:7" x14ac:dyDescent="0.25">
      <c r="A14561" s="116" t="s">
        <v>22612</v>
      </c>
      <c r="B14561" s="117" t="s">
        <v>22613</v>
      </c>
      <c r="C14561" t="s">
        <v>67</v>
      </c>
      <c r="D14561" t="s">
        <v>67</v>
      </c>
      <c r="E14561" t="s">
        <v>67</v>
      </c>
      <c r="F14561" t="s">
        <v>45</v>
      </c>
      <c r="G14561" s="117">
        <v>3.12</v>
      </c>
    </row>
    <row r="14562" spans="1:7" x14ac:dyDescent="0.25">
      <c r="A14562" s="116" t="s">
        <v>22614</v>
      </c>
      <c r="B14562" s="117" t="s">
        <v>22615</v>
      </c>
      <c r="C14562" t="s">
        <v>67</v>
      </c>
      <c r="D14562" t="s">
        <v>67</v>
      </c>
      <c r="E14562" t="s">
        <v>67</v>
      </c>
      <c r="F14562" t="s">
        <v>49</v>
      </c>
      <c r="G14562" s="117">
        <v>1.33</v>
      </c>
    </row>
    <row r="14563" spans="1:7" x14ac:dyDescent="0.25">
      <c r="A14563" s="116" t="s">
        <v>22616</v>
      </c>
      <c r="B14563" s="117" t="s">
        <v>22617</v>
      </c>
      <c r="C14563" t="s">
        <v>67</v>
      </c>
      <c r="D14563" t="s">
        <v>67</v>
      </c>
      <c r="E14563" t="s">
        <v>67</v>
      </c>
      <c r="F14563" t="s">
        <v>45</v>
      </c>
      <c r="G14563" s="117">
        <v>14.14</v>
      </c>
    </row>
    <row r="14564" spans="1:7" x14ac:dyDescent="0.25">
      <c r="A14564" s="116" t="s">
        <v>22618</v>
      </c>
      <c r="B14564" s="117" t="s">
        <v>22619</v>
      </c>
      <c r="C14564" t="s">
        <v>67</v>
      </c>
      <c r="D14564" t="s">
        <v>67</v>
      </c>
      <c r="E14564" t="s">
        <v>67</v>
      </c>
      <c r="F14564" t="s">
        <v>45</v>
      </c>
      <c r="G14564" s="117">
        <v>4.8899999999999997</v>
      </c>
    </row>
    <row r="14565" spans="1:7" x14ac:dyDescent="0.25">
      <c r="A14565" s="116" t="s">
        <v>22620</v>
      </c>
      <c r="B14565" s="117" t="s">
        <v>12634</v>
      </c>
      <c r="C14565" t="s">
        <v>67</v>
      </c>
      <c r="D14565" t="s">
        <v>67</v>
      </c>
      <c r="E14565" t="s">
        <v>67</v>
      </c>
      <c r="F14565" t="s">
        <v>45</v>
      </c>
      <c r="G14565" s="117">
        <v>15.57</v>
      </c>
    </row>
    <row r="14566" spans="1:7" x14ac:dyDescent="0.25">
      <c r="A14566" s="116" t="s">
        <v>22621</v>
      </c>
      <c r="B14566" s="117" t="s">
        <v>22622</v>
      </c>
      <c r="C14566" t="s">
        <v>67</v>
      </c>
      <c r="D14566" t="s">
        <v>67</v>
      </c>
      <c r="E14566" t="s">
        <v>67</v>
      </c>
      <c r="F14566" t="s">
        <v>45</v>
      </c>
      <c r="G14566" s="117">
        <v>16.82</v>
      </c>
    </row>
    <row r="14567" spans="1:7" x14ac:dyDescent="0.25">
      <c r="A14567" s="116" t="s">
        <v>22623</v>
      </c>
      <c r="B14567" s="117" t="s">
        <v>22624</v>
      </c>
      <c r="C14567" t="s">
        <v>67</v>
      </c>
      <c r="D14567" t="s">
        <v>67</v>
      </c>
      <c r="E14567" t="s">
        <v>67</v>
      </c>
      <c r="F14567" t="s">
        <v>45</v>
      </c>
      <c r="G14567" s="117">
        <v>4</v>
      </c>
    </row>
    <row r="14568" spans="1:7" x14ac:dyDescent="0.25">
      <c r="A14568" s="116" t="s">
        <v>22625</v>
      </c>
      <c r="B14568" s="117" t="s">
        <v>22626</v>
      </c>
      <c r="C14568" t="s">
        <v>67</v>
      </c>
      <c r="D14568" t="s">
        <v>67</v>
      </c>
      <c r="E14568" t="s">
        <v>67</v>
      </c>
      <c r="F14568" t="s">
        <v>27987</v>
      </c>
      <c r="G14568" s="117">
        <v>19.13</v>
      </c>
    </row>
    <row r="14569" spans="1:7" x14ac:dyDescent="0.25">
      <c r="A14569" s="116" t="s">
        <v>22627</v>
      </c>
      <c r="B14569" s="117" t="s">
        <v>22628</v>
      </c>
      <c r="C14569" t="s">
        <v>67</v>
      </c>
      <c r="D14569" t="s">
        <v>67</v>
      </c>
      <c r="E14569" t="s">
        <v>67</v>
      </c>
      <c r="F14569" t="s">
        <v>27987</v>
      </c>
      <c r="G14569" s="117">
        <v>9.6999999999999993</v>
      </c>
    </row>
    <row r="14570" spans="1:7" x14ac:dyDescent="0.25">
      <c r="A14570" s="116" t="s">
        <v>22629</v>
      </c>
      <c r="B14570" s="117" t="s">
        <v>9888</v>
      </c>
      <c r="C14570" t="s">
        <v>67</v>
      </c>
      <c r="D14570" t="s">
        <v>67</v>
      </c>
      <c r="E14570" t="s">
        <v>67</v>
      </c>
      <c r="F14570" t="s">
        <v>49</v>
      </c>
      <c r="G14570" s="117">
        <v>2.58</v>
      </c>
    </row>
    <row r="14571" spans="1:7" x14ac:dyDescent="0.25">
      <c r="A14571" s="116" t="s">
        <v>22630</v>
      </c>
      <c r="B14571" s="117" t="s">
        <v>22631</v>
      </c>
      <c r="C14571" t="s">
        <v>67</v>
      </c>
      <c r="D14571" t="s">
        <v>67</v>
      </c>
      <c r="E14571" t="s">
        <v>67</v>
      </c>
      <c r="F14571" t="s">
        <v>49</v>
      </c>
      <c r="G14571" s="117">
        <v>30.7</v>
      </c>
    </row>
    <row r="14572" spans="1:7" x14ac:dyDescent="0.25">
      <c r="A14572" s="116" t="s">
        <v>22632</v>
      </c>
      <c r="B14572" s="117" t="s">
        <v>22633</v>
      </c>
      <c r="C14572" t="s">
        <v>67</v>
      </c>
      <c r="D14572" t="s">
        <v>67</v>
      </c>
      <c r="E14572" t="s">
        <v>67</v>
      </c>
      <c r="F14572" t="s">
        <v>27987</v>
      </c>
      <c r="G14572" s="117">
        <v>46.18</v>
      </c>
    </row>
    <row r="14573" spans="1:7" x14ac:dyDescent="0.25">
      <c r="A14573" s="116" t="s">
        <v>22634</v>
      </c>
      <c r="B14573" s="117" t="s">
        <v>22635</v>
      </c>
      <c r="C14573" t="s">
        <v>67</v>
      </c>
      <c r="D14573" t="s">
        <v>67</v>
      </c>
      <c r="E14573" t="s">
        <v>67</v>
      </c>
      <c r="F14573" t="s">
        <v>27987</v>
      </c>
      <c r="G14573" s="117">
        <v>39.06</v>
      </c>
    </row>
    <row r="14574" spans="1:7" x14ac:dyDescent="0.25">
      <c r="A14574" s="116" t="s">
        <v>22636</v>
      </c>
      <c r="B14574" s="117" t="s">
        <v>22637</v>
      </c>
      <c r="C14574" t="s">
        <v>67</v>
      </c>
      <c r="D14574" t="s">
        <v>67</v>
      </c>
      <c r="E14574" t="s">
        <v>67</v>
      </c>
      <c r="F14574" t="s">
        <v>45</v>
      </c>
      <c r="G14574" s="117">
        <v>39.06</v>
      </c>
    </row>
    <row r="14575" spans="1:7" x14ac:dyDescent="0.25">
      <c r="A14575" s="116" t="s">
        <v>22638</v>
      </c>
      <c r="B14575" s="117" t="s">
        <v>29603</v>
      </c>
      <c r="C14575" t="s">
        <v>67</v>
      </c>
      <c r="D14575" t="s">
        <v>67</v>
      </c>
      <c r="E14575" t="s">
        <v>67</v>
      </c>
      <c r="F14575" t="s">
        <v>49</v>
      </c>
      <c r="G14575" s="117">
        <v>8.81</v>
      </c>
    </row>
    <row r="14576" spans="1:7" x14ac:dyDescent="0.25">
      <c r="A14576" s="116" t="s">
        <v>22639</v>
      </c>
      <c r="B14576" s="117" t="s">
        <v>22640</v>
      </c>
      <c r="C14576" t="s">
        <v>67</v>
      </c>
      <c r="D14576" t="s">
        <v>67</v>
      </c>
      <c r="E14576" t="s">
        <v>67</v>
      </c>
      <c r="F14576" t="s">
        <v>27987</v>
      </c>
      <c r="G14576" s="117">
        <v>23.94</v>
      </c>
    </row>
    <row r="14577" spans="1:7" x14ac:dyDescent="0.25">
      <c r="A14577" s="116" t="s">
        <v>22641</v>
      </c>
      <c r="B14577" s="117" t="s">
        <v>22642</v>
      </c>
      <c r="C14577" t="s">
        <v>67</v>
      </c>
      <c r="D14577" t="s">
        <v>67</v>
      </c>
      <c r="E14577" t="s">
        <v>67</v>
      </c>
      <c r="F14577" t="s">
        <v>27987</v>
      </c>
      <c r="G14577" s="117">
        <v>14.68</v>
      </c>
    </row>
    <row r="14578" spans="1:7" x14ac:dyDescent="0.25">
      <c r="A14578" s="116" t="s">
        <v>22643</v>
      </c>
      <c r="B14578" s="117" t="s">
        <v>22644</v>
      </c>
      <c r="C14578" t="s">
        <v>67</v>
      </c>
      <c r="D14578" t="s">
        <v>67</v>
      </c>
      <c r="E14578" t="s">
        <v>67</v>
      </c>
      <c r="F14578" t="s">
        <v>27987</v>
      </c>
      <c r="G14578" s="117">
        <v>12.01</v>
      </c>
    </row>
    <row r="14579" spans="1:7" x14ac:dyDescent="0.25">
      <c r="A14579" s="116" t="s">
        <v>22645</v>
      </c>
      <c r="B14579" s="117" t="s">
        <v>22646</v>
      </c>
      <c r="C14579" t="s">
        <v>67</v>
      </c>
      <c r="D14579" t="s">
        <v>67</v>
      </c>
      <c r="E14579" t="s">
        <v>67</v>
      </c>
      <c r="F14579" t="s">
        <v>27987</v>
      </c>
      <c r="G14579" s="117">
        <v>16.82</v>
      </c>
    </row>
    <row r="14580" spans="1:7" x14ac:dyDescent="0.25">
      <c r="A14580" s="116" t="s">
        <v>22647</v>
      </c>
      <c r="B14580" s="117" t="s">
        <v>22648</v>
      </c>
      <c r="C14580" t="s">
        <v>67</v>
      </c>
      <c r="D14580" t="s">
        <v>67</v>
      </c>
      <c r="E14580" t="s">
        <v>67</v>
      </c>
      <c r="F14580" t="s">
        <v>49</v>
      </c>
      <c r="G14580" s="117">
        <v>16.82</v>
      </c>
    </row>
    <row r="14581" spans="1:7" x14ac:dyDescent="0.25">
      <c r="A14581" s="116" t="s">
        <v>22649</v>
      </c>
      <c r="B14581" s="117" t="s">
        <v>22650</v>
      </c>
      <c r="C14581" t="s">
        <v>67</v>
      </c>
      <c r="D14581" t="s">
        <v>67</v>
      </c>
      <c r="E14581" t="s">
        <v>67</v>
      </c>
      <c r="F14581" t="s">
        <v>45</v>
      </c>
      <c r="G14581" s="117">
        <v>23.94</v>
      </c>
    </row>
    <row r="14582" spans="1:7" x14ac:dyDescent="0.25">
      <c r="A14582" s="116" t="s">
        <v>22651</v>
      </c>
      <c r="B14582" s="117" t="s">
        <v>22652</v>
      </c>
      <c r="C14582" t="s">
        <v>67</v>
      </c>
      <c r="D14582" t="s">
        <v>67</v>
      </c>
      <c r="E14582" t="s">
        <v>67</v>
      </c>
      <c r="F14582" t="s">
        <v>27987</v>
      </c>
      <c r="G14582" s="117">
        <v>24.82</v>
      </c>
    </row>
    <row r="14583" spans="1:7" x14ac:dyDescent="0.25">
      <c r="A14583" s="116" t="s">
        <v>22653</v>
      </c>
      <c r="B14583" s="117" t="s">
        <v>22654</v>
      </c>
      <c r="C14583" t="s">
        <v>67</v>
      </c>
      <c r="D14583" t="s">
        <v>67</v>
      </c>
      <c r="E14583" t="s">
        <v>67</v>
      </c>
      <c r="F14583" t="s">
        <v>27987</v>
      </c>
      <c r="G14583" s="117">
        <v>23.94</v>
      </c>
    </row>
    <row r="14584" spans="1:7" x14ac:dyDescent="0.25">
      <c r="A14584" s="116" t="s">
        <v>22655</v>
      </c>
      <c r="B14584" s="117" t="s">
        <v>22656</v>
      </c>
      <c r="C14584" t="s">
        <v>67</v>
      </c>
      <c r="D14584" t="s">
        <v>67</v>
      </c>
      <c r="E14584" t="s">
        <v>67</v>
      </c>
      <c r="F14584" t="s">
        <v>27987</v>
      </c>
      <c r="G14584" s="117">
        <v>33.369999999999997</v>
      </c>
    </row>
    <row r="14585" spans="1:7" x14ac:dyDescent="0.25">
      <c r="A14585" s="116" t="s">
        <v>22657</v>
      </c>
      <c r="B14585" s="117" t="s">
        <v>22658</v>
      </c>
      <c r="C14585" t="s">
        <v>67</v>
      </c>
      <c r="D14585" t="s">
        <v>67</v>
      </c>
      <c r="E14585" t="s">
        <v>67</v>
      </c>
      <c r="F14585" t="s">
        <v>27987</v>
      </c>
      <c r="G14585" s="117">
        <v>24.82</v>
      </c>
    </row>
    <row r="14586" spans="1:7" x14ac:dyDescent="0.25">
      <c r="A14586" s="116" t="s">
        <v>22659</v>
      </c>
      <c r="B14586" s="117" t="s">
        <v>22660</v>
      </c>
      <c r="C14586" t="s">
        <v>67</v>
      </c>
      <c r="D14586" t="s">
        <v>67</v>
      </c>
      <c r="E14586" t="s">
        <v>67</v>
      </c>
      <c r="F14586" t="s">
        <v>45</v>
      </c>
      <c r="G14586" s="117">
        <v>28.38</v>
      </c>
    </row>
    <row r="14587" spans="1:7" x14ac:dyDescent="0.25">
      <c r="A14587" s="116" t="s">
        <v>22661</v>
      </c>
      <c r="B14587" s="117" t="s">
        <v>22662</v>
      </c>
      <c r="C14587" t="s">
        <v>67</v>
      </c>
      <c r="D14587" t="s">
        <v>67</v>
      </c>
      <c r="E14587" t="s">
        <v>67</v>
      </c>
      <c r="F14587" t="s">
        <v>45</v>
      </c>
      <c r="G14587" s="117">
        <v>28.38</v>
      </c>
    </row>
    <row r="14588" spans="1:7" x14ac:dyDescent="0.25">
      <c r="A14588" s="116" t="s">
        <v>22663</v>
      </c>
      <c r="B14588" s="117" t="s">
        <v>22664</v>
      </c>
      <c r="C14588" t="s">
        <v>67</v>
      </c>
      <c r="D14588" t="s">
        <v>67</v>
      </c>
      <c r="E14588" t="s">
        <v>67</v>
      </c>
      <c r="F14588" t="s">
        <v>45</v>
      </c>
      <c r="G14588" s="117">
        <v>538.26</v>
      </c>
    </row>
    <row r="14589" spans="1:7" x14ac:dyDescent="0.25">
      <c r="A14589" s="116" t="s">
        <v>22665</v>
      </c>
      <c r="B14589" s="117" t="s">
        <v>22666</v>
      </c>
      <c r="C14589" t="s">
        <v>67</v>
      </c>
      <c r="D14589" t="s">
        <v>67</v>
      </c>
      <c r="E14589" t="s">
        <v>67</v>
      </c>
      <c r="F14589" t="s">
        <v>45</v>
      </c>
      <c r="G14589" s="117">
        <v>46.71</v>
      </c>
    </row>
    <row r="14590" spans="1:7" x14ac:dyDescent="0.25">
      <c r="A14590" s="116" t="s">
        <v>22667</v>
      </c>
      <c r="B14590" s="117" t="s">
        <v>22668</v>
      </c>
      <c r="C14590" t="s">
        <v>67</v>
      </c>
      <c r="D14590" t="s">
        <v>67</v>
      </c>
      <c r="E14590" t="s">
        <v>67</v>
      </c>
      <c r="F14590" t="s">
        <v>45</v>
      </c>
      <c r="G14590" s="117">
        <v>27.14</v>
      </c>
    </row>
    <row r="14591" spans="1:7" x14ac:dyDescent="0.25">
      <c r="A14591" s="116" t="s">
        <v>22669</v>
      </c>
      <c r="B14591" s="117" t="s">
        <v>22670</v>
      </c>
      <c r="C14591" t="s">
        <v>67</v>
      </c>
      <c r="D14591" t="s">
        <v>67</v>
      </c>
      <c r="E14591" t="s">
        <v>67</v>
      </c>
      <c r="F14591" t="s">
        <v>45</v>
      </c>
      <c r="G14591" s="117">
        <v>96.55</v>
      </c>
    </row>
    <row r="14592" spans="1:7" x14ac:dyDescent="0.25">
      <c r="A14592" s="116" t="s">
        <v>22671</v>
      </c>
      <c r="B14592" s="117" t="s">
        <v>22672</v>
      </c>
      <c r="C14592" t="s">
        <v>67</v>
      </c>
      <c r="D14592" t="s">
        <v>67</v>
      </c>
      <c r="E14592" t="s">
        <v>67</v>
      </c>
      <c r="F14592" t="s">
        <v>27987</v>
      </c>
      <c r="G14592" s="117">
        <v>107.58</v>
      </c>
    </row>
    <row r="14593" spans="1:7" x14ac:dyDescent="0.25">
      <c r="A14593" s="116" t="s">
        <v>22673</v>
      </c>
      <c r="B14593" s="117" t="s">
        <v>15198</v>
      </c>
      <c r="C14593" t="s">
        <v>67</v>
      </c>
      <c r="D14593" t="s">
        <v>67</v>
      </c>
      <c r="E14593" t="s">
        <v>67</v>
      </c>
      <c r="F14593" t="s">
        <v>27987</v>
      </c>
      <c r="G14593" s="117">
        <v>6.33</v>
      </c>
    </row>
    <row r="14594" spans="1:7" x14ac:dyDescent="0.25">
      <c r="A14594" s="116" t="s">
        <v>22674</v>
      </c>
      <c r="B14594" s="117" t="s">
        <v>22675</v>
      </c>
      <c r="C14594" t="s">
        <v>67</v>
      </c>
      <c r="D14594" t="s">
        <v>67</v>
      </c>
      <c r="E14594" t="s">
        <v>67</v>
      </c>
      <c r="F14594" t="s">
        <v>27987</v>
      </c>
      <c r="G14594" s="117">
        <v>5.0199999999999996</v>
      </c>
    </row>
    <row r="14595" spans="1:7" x14ac:dyDescent="0.25">
      <c r="A14595" s="116" t="s">
        <v>22676</v>
      </c>
      <c r="B14595" s="117" t="s">
        <v>22677</v>
      </c>
      <c r="C14595" t="s">
        <v>67</v>
      </c>
      <c r="D14595" t="s">
        <v>67</v>
      </c>
      <c r="E14595" t="s">
        <v>67</v>
      </c>
      <c r="F14595" t="s">
        <v>27987</v>
      </c>
      <c r="G14595" s="117">
        <v>42.82</v>
      </c>
    </row>
    <row r="14596" spans="1:7" x14ac:dyDescent="0.25">
      <c r="A14596" s="116" t="s">
        <v>22678</v>
      </c>
      <c r="B14596" s="117" t="s">
        <v>22679</v>
      </c>
      <c r="C14596" t="s">
        <v>67</v>
      </c>
      <c r="D14596" t="s">
        <v>67</v>
      </c>
      <c r="E14596" t="s">
        <v>67</v>
      </c>
      <c r="F14596" t="s">
        <v>27987</v>
      </c>
      <c r="G14596" s="117">
        <v>35.409999999999997</v>
      </c>
    </row>
    <row r="14597" spans="1:7" x14ac:dyDescent="0.25">
      <c r="A14597" s="116" t="s">
        <v>22680</v>
      </c>
      <c r="B14597" s="117" t="s">
        <v>22681</v>
      </c>
      <c r="C14597" t="s">
        <v>67</v>
      </c>
      <c r="D14597" t="s">
        <v>67</v>
      </c>
      <c r="E14597" t="s">
        <v>67</v>
      </c>
      <c r="F14597" t="s">
        <v>27987</v>
      </c>
      <c r="G14597" s="117">
        <v>187.84</v>
      </c>
    </row>
    <row r="14598" spans="1:7" x14ac:dyDescent="0.25">
      <c r="A14598" s="116" t="s">
        <v>22682</v>
      </c>
      <c r="B14598" s="117" t="s">
        <v>22683</v>
      </c>
      <c r="C14598" t="s">
        <v>67</v>
      </c>
      <c r="D14598" t="s">
        <v>67</v>
      </c>
      <c r="E14598" t="s">
        <v>67</v>
      </c>
      <c r="F14598" t="s">
        <v>27987</v>
      </c>
      <c r="G14598" s="117">
        <v>369.91</v>
      </c>
    </row>
    <row r="14599" spans="1:7" x14ac:dyDescent="0.25">
      <c r="A14599" s="116" t="s">
        <v>22684</v>
      </c>
      <c r="B14599" s="117" t="s">
        <v>22685</v>
      </c>
      <c r="C14599" t="s">
        <v>67</v>
      </c>
      <c r="D14599" t="s">
        <v>67</v>
      </c>
      <c r="E14599" t="s">
        <v>67</v>
      </c>
      <c r="F14599" t="s">
        <v>27987</v>
      </c>
      <c r="G14599" s="117">
        <v>8.0399999999999991</v>
      </c>
    </row>
    <row r="14600" spans="1:7" x14ac:dyDescent="0.25">
      <c r="A14600" s="116" t="s">
        <v>22686</v>
      </c>
      <c r="B14600" s="117" t="s">
        <v>22687</v>
      </c>
      <c r="C14600" t="s">
        <v>67</v>
      </c>
      <c r="D14600" t="s">
        <v>67</v>
      </c>
      <c r="E14600" t="s">
        <v>67</v>
      </c>
      <c r="F14600" t="s">
        <v>27987</v>
      </c>
      <c r="G14600" s="117">
        <v>127.95</v>
      </c>
    </row>
    <row r="14601" spans="1:7" x14ac:dyDescent="0.25">
      <c r="A14601" s="116" t="s">
        <v>22688</v>
      </c>
      <c r="B14601" s="117" t="s">
        <v>22689</v>
      </c>
      <c r="C14601" t="s">
        <v>67</v>
      </c>
      <c r="D14601" t="s">
        <v>67</v>
      </c>
      <c r="E14601" t="s">
        <v>67</v>
      </c>
      <c r="F14601" t="s">
        <v>45</v>
      </c>
      <c r="G14601" s="117">
        <v>68.930000000000007</v>
      </c>
    </row>
    <row r="14602" spans="1:7" x14ac:dyDescent="0.25">
      <c r="A14602" s="116" t="s">
        <v>22690</v>
      </c>
      <c r="B14602" s="117" t="s">
        <v>22691</v>
      </c>
      <c r="C14602" t="s">
        <v>67</v>
      </c>
      <c r="D14602" t="s">
        <v>67</v>
      </c>
      <c r="E14602" t="s">
        <v>67</v>
      </c>
      <c r="F14602" t="s">
        <v>27987</v>
      </c>
      <c r="G14602" s="117">
        <v>15.95</v>
      </c>
    </row>
    <row r="14603" spans="1:7" x14ac:dyDescent="0.25">
      <c r="A14603" s="116" t="s">
        <v>22692</v>
      </c>
      <c r="B14603" s="117" t="s">
        <v>22693</v>
      </c>
      <c r="C14603" t="s">
        <v>67</v>
      </c>
      <c r="D14603" t="s">
        <v>67</v>
      </c>
      <c r="E14603" t="s">
        <v>67</v>
      </c>
      <c r="F14603" t="s">
        <v>27987</v>
      </c>
      <c r="G14603" s="117">
        <v>68.05</v>
      </c>
    </row>
    <row r="14604" spans="1:7" x14ac:dyDescent="0.25">
      <c r="A14604" s="116" t="s">
        <v>22694</v>
      </c>
      <c r="B14604" s="117" t="s">
        <v>22695</v>
      </c>
      <c r="C14604" t="s">
        <v>67</v>
      </c>
      <c r="D14604" t="s">
        <v>67</v>
      </c>
      <c r="E14604" t="s">
        <v>67</v>
      </c>
      <c r="F14604" t="s">
        <v>27987</v>
      </c>
      <c r="G14604" s="117">
        <v>61.53</v>
      </c>
    </row>
    <row r="14605" spans="1:7" x14ac:dyDescent="0.25">
      <c r="A14605" s="116" t="s">
        <v>22696</v>
      </c>
      <c r="B14605" s="117" t="s">
        <v>22697</v>
      </c>
      <c r="C14605" t="s">
        <v>67</v>
      </c>
      <c r="D14605" t="s">
        <v>67</v>
      </c>
      <c r="E14605" t="s">
        <v>67</v>
      </c>
      <c r="F14605" t="s">
        <v>45</v>
      </c>
      <c r="G14605" s="117">
        <v>111.25</v>
      </c>
    </row>
    <row r="14606" spans="1:7" x14ac:dyDescent="0.25">
      <c r="A14606" s="116" t="s">
        <v>22698</v>
      </c>
      <c r="B14606" s="117" t="s">
        <v>22699</v>
      </c>
      <c r="C14606" t="s">
        <v>67</v>
      </c>
      <c r="D14606" t="s">
        <v>67</v>
      </c>
      <c r="E14606" t="s">
        <v>67</v>
      </c>
      <c r="F14606" t="s">
        <v>27987</v>
      </c>
      <c r="G14606" s="117">
        <v>165.49</v>
      </c>
    </row>
    <row r="14607" spans="1:7" x14ac:dyDescent="0.25">
      <c r="A14607" s="116" t="s">
        <v>22700</v>
      </c>
      <c r="B14607" s="117" t="s">
        <v>22701</v>
      </c>
      <c r="C14607" t="s">
        <v>67</v>
      </c>
      <c r="D14607" t="s">
        <v>67</v>
      </c>
      <c r="E14607" t="s">
        <v>67</v>
      </c>
      <c r="F14607" t="s">
        <v>27987</v>
      </c>
      <c r="G14607" s="117">
        <v>186.33</v>
      </c>
    </row>
    <row r="14608" spans="1:7" x14ac:dyDescent="0.25">
      <c r="A14608" s="116" t="s">
        <v>22702</v>
      </c>
      <c r="B14608" s="117" t="s">
        <v>22703</v>
      </c>
      <c r="C14608" t="s">
        <v>67</v>
      </c>
      <c r="D14608" t="s">
        <v>67</v>
      </c>
      <c r="E14608" t="s">
        <v>67</v>
      </c>
      <c r="F14608" t="s">
        <v>27987</v>
      </c>
      <c r="G14608" s="117">
        <v>124.18</v>
      </c>
    </row>
    <row r="14609" spans="1:7" x14ac:dyDescent="0.25">
      <c r="A14609" s="116" t="s">
        <v>22704</v>
      </c>
      <c r="B14609" s="117" t="s">
        <v>22705</v>
      </c>
      <c r="C14609" t="s">
        <v>67</v>
      </c>
      <c r="D14609" t="s">
        <v>67</v>
      </c>
      <c r="E14609" t="s">
        <v>67</v>
      </c>
      <c r="F14609" t="s">
        <v>27987</v>
      </c>
      <c r="G14609" s="117">
        <v>82.75</v>
      </c>
    </row>
    <row r="14610" spans="1:7" x14ac:dyDescent="0.25">
      <c r="A14610" s="116" t="s">
        <v>22706</v>
      </c>
      <c r="B14610" s="117" t="s">
        <v>22703</v>
      </c>
      <c r="C14610" t="s">
        <v>67</v>
      </c>
      <c r="D14610" t="s">
        <v>67</v>
      </c>
      <c r="E14610" t="s">
        <v>67</v>
      </c>
      <c r="F14610" t="s">
        <v>27987</v>
      </c>
      <c r="G14610" s="117">
        <v>144.9</v>
      </c>
    </row>
    <row r="14611" spans="1:7" x14ac:dyDescent="0.25">
      <c r="A14611" s="116" t="s">
        <v>22707</v>
      </c>
      <c r="B14611" s="117" t="s">
        <v>22708</v>
      </c>
      <c r="C14611" t="s">
        <v>67</v>
      </c>
      <c r="D14611" t="s">
        <v>67</v>
      </c>
      <c r="E14611" t="s">
        <v>67</v>
      </c>
      <c r="F14611" t="s">
        <v>27987</v>
      </c>
      <c r="G14611" s="117">
        <v>184.11</v>
      </c>
    </row>
    <row r="14612" spans="1:7" x14ac:dyDescent="0.25">
      <c r="A14612" s="116" t="s">
        <v>22709</v>
      </c>
      <c r="B14612" s="117" t="s">
        <v>17730</v>
      </c>
      <c r="C14612" t="s">
        <v>67</v>
      </c>
      <c r="D14612" t="s">
        <v>67</v>
      </c>
      <c r="E14612" t="s">
        <v>67</v>
      </c>
      <c r="F14612" t="s">
        <v>45</v>
      </c>
      <c r="G14612" s="117">
        <v>821.43</v>
      </c>
    </row>
    <row r="14613" spans="1:7" x14ac:dyDescent="0.25">
      <c r="A14613" s="116" t="s">
        <v>22710</v>
      </c>
      <c r="B14613" s="117" t="s">
        <v>22711</v>
      </c>
      <c r="C14613" t="s">
        <v>67</v>
      </c>
      <c r="D14613" t="s">
        <v>67</v>
      </c>
      <c r="E14613" t="s">
        <v>67</v>
      </c>
      <c r="F14613" t="s">
        <v>45</v>
      </c>
      <c r="G14613" s="117">
        <v>269.08</v>
      </c>
    </row>
    <row r="14614" spans="1:7" x14ac:dyDescent="0.25">
      <c r="A14614" s="116" t="s">
        <v>22712</v>
      </c>
      <c r="B14614" s="117" t="s">
        <v>22713</v>
      </c>
      <c r="C14614" t="s">
        <v>67</v>
      </c>
      <c r="D14614" t="s">
        <v>67</v>
      </c>
      <c r="E14614" t="s">
        <v>67</v>
      </c>
      <c r="F14614" t="s">
        <v>45</v>
      </c>
      <c r="G14614" s="117">
        <v>127.45</v>
      </c>
    </row>
    <row r="14615" spans="1:7" x14ac:dyDescent="0.25">
      <c r="A14615" s="116" t="s">
        <v>22714</v>
      </c>
      <c r="B14615" s="117" t="s">
        <v>22697</v>
      </c>
      <c r="C14615" t="s">
        <v>67</v>
      </c>
      <c r="D14615" t="s">
        <v>67</v>
      </c>
      <c r="E14615" t="s">
        <v>67</v>
      </c>
      <c r="F14615" t="s">
        <v>45</v>
      </c>
      <c r="G14615" s="117">
        <v>194.62</v>
      </c>
    </row>
    <row r="14616" spans="1:7" x14ac:dyDescent="0.25">
      <c r="A14616" s="116" t="s">
        <v>22715</v>
      </c>
      <c r="B14616" s="117" t="s">
        <v>22716</v>
      </c>
      <c r="C14616" t="s">
        <v>67</v>
      </c>
      <c r="D14616" t="s">
        <v>67</v>
      </c>
      <c r="E14616" t="s">
        <v>67</v>
      </c>
      <c r="F14616" t="s">
        <v>45</v>
      </c>
      <c r="G14616" s="117">
        <v>148.91999999999999</v>
      </c>
    </row>
    <row r="14617" spans="1:7" x14ac:dyDescent="0.25">
      <c r="A14617" s="116" t="s">
        <v>22717</v>
      </c>
      <c r="B14617" s="117" t="s">
        <v>22718</v>
      </c>
      <c r="C14617" t="s">
        <v>67</v>
      </c>
      <c r="D14617" t="s">
        <v>67</v>
      </c>
      <c r="E14617" t="s">
        <v>67</v>
      </c>
      <c r="F14617" t="s">
        <v>27987</v>
      </c>
      <c r="G14617" s="117">
        <v>724.24</v>
      </c>
    </row>
    <row r="14618" spans="1:7" x14ac:dyDescent="0.25">
      <c r="A14618" s="116" t="s">
        <v>22719</v>
      </c>
      <c r="B14618" s="117" t="s">
        <v>22720</v>
      </c>
      <c r="C14618" t="s">
        <v>67</v>
      </c>
      <c r="D14618" t="s">
        <v>67</v>
      </c>
      <c r="E14618" t="s">
        <v>67</v>
      </c>
      <c r="F14618" t="s">
        <v>27987</v>
      </c>
      <c r="G14618" s="117">
        <v>310.39</v>
      </c>
    </row>
    <row r="14619" spans="1:7" x14ac:dyDescent="0.25">
      <c r="A14619" s="116" t="s">
        <v>22721</v>
      </c>
      <c r="B14619" s="117" t="s">
        <v>22722</v>
      </c>
      <c r="C14619" t="s">
        <v>67</v>
      </c>
      <c r="D14619" t="s">
        <v>67</v>
      </c>
      <c r="E14619" t="s">
        <v>67</v>
      </c>
      <c r="F14619" t="s">
        <v>27987</v>
      </c>
      <c r="G14619" s="117">
        <v>165.49</v>
      </c>
    </row>
    <row r="14620" spans="1:7" x14ac:dyDescent="0.25">
      <c r="A14620" s="116" t="s">
        <v>22723</v>
      </c>
      <c r="B14620" s="117" t="s">
        <v>22724</v>
      </c>
      <c r="C14620" t="s">
        <v>67</v>
      </c>
      <c r="D14620" t="s">
        <v>67</v>
      </c>
      <c r="E14620" t="s">
        <v>67</v>
      </c>
      <c r="F14620" t="s">
        <v>27987</v>
      </c>
      <c r="G14620" s="117">
        <v>310.39</v>
      </c>
    </row>
    <row r="14621" spans="1:7" x14ac:dyDescent="0.25">
      <c r="A14621" s="116" t="s">
        <v>22725</v>
      </c>
      <c r="B14621" s="117" t="s">
        <v>29604</v>
      </c>
      <c r="C14621" t="s">
        <v>67</v>
      </c>
      <c r="D14621" t="s">
        <v>67</v>
      </c>
      <c r="E14621" t="s">
        <v>67</v>
      </c>
      <c r="F14621" t="s">
        <v>27987</v>
      </c>
      <c r="G14621" s="117">
        <v>186.21</v>
      </c>
    </row>
    <row r="14622" spans="1:7" x14ac:dyDescent="0.25">
      <c r="A14622" s="116" t="s">
        <v>22726</v>
      </c>
      <c r="B14622" s="117" t="s">
        <v>22727</v>
      </c>
      <c r="C14622" t="s">
        <v>67</v>
      </c>
      <c r="D14622" t="s">
        <v>67</v>
      </c>
      <c r="E14622" t="s">
        <v>67</v>
      </c>
      <c r="F14622" t="s">
        <v>27987</v>
      </c>
      <c r="G14622" s="117">
        <v>6.15</v>
      </c>
    </row>
    <row r="14623" spans="1:7" x14ac:dyDescent="0.25">
      <c r="A14623" s="116" t="s">
        <v>22728</v>
      </c>
      <c r="B14623" s="117" t="s">
        <v>22727</v>
      </c>
      <c r="C14623" t="s">
        <v>67</v>
      </c>
      <c r="D14623" t="s">
        <v>67</v>
      </c>
      <c r="E14623" t="s">
        <v>67</v>
      </c>
      <c r="F14623" t="s">
        <v>27987</v>
      </c>
      <c r="G14623" s="117">
        <v>4.1399999999999997</v>
      </c>
    </row>
    <row r="14624" spans="1:7" x14ac:dyDescent="0.25">
      <c r="A14624" s="116" t="s">
        <v>22729</v>
      </c>
      <c r="B14624" s="117" t="s">
        <v>22730</v>
      </c>
      <c r="C14624" t="s">
        <v>67</v>
      </c>
      <c r="D14624" t="s">
        <v>67</v>
      </c>
      <c r="E14624" t="s">
        <v>67</v>
      </c>
      <c r="F14624" t="s">
        <v>27987</v>
      </c>
      <c r="G14624" s="117">
        <v>36.29</v>
      </c>
    </row>
    <row r="14625" spans="1:7" x14ac:dyDescent="0.25">
      <c r="A14625" s="116" t="s">
        <v>22731</v>
      </c>
      <c r="B14625" s="117" t="s">
        <v>22732</v>
      </c>
      <c r="C14625" t="s">
        <v>67</v>
      </c>
      <c r="D14625" t="s">
        <v>67</v>
      </c>
      <c r="E14625" t="s">
        <v>67</v>
      </c>
      <c r="F14625" t="s">
        <v>27987</v>
      </c>
      <c r="G14625" s="117">
        <v>2.13</v>
      </c>
    </row>
    <row r="14626" spans="1:7" x14ac:dyDescent="0.25">
      <c r="A14626" s="116" t="s">
        <v>22733</v>
      </c>
      <c r="B14626" s="117" t="s">
        <v>22734</v>
      </c>
      <c r="C14626" t="s">
        <v>67</v>
      </c>
      <c r="D14626" t="s">
        <v>67</v>
      </c>
      <c r="E14626" t="s">
        <v>67</v>
      </c>
      <c r="F14626" t="s">
        <v>27987</v>
      </c>
      <c r="G14626" s="117">
        <v>0.8</v>
      </c>
    </row>
    <row r="14627" spans="1:7" x14ac:dyDescent="0.25">
      <c r="A14627" s="116" t="s">
        <v>22735</v>
      </c>
      <c r="B14627" s="117" t="s">
        <v>22736</v>
      </c>
      <c r="C14627" t="s">
        <v>67</v>
      </c>
      <c r="D14627" t="s">
        <v>67</v>
      </c>
      <c r="E14627" t="s">
        <v>67</v>
      </c>
      <c r="F14627" t="s">
        <v>27987</v>
      </c>
      <c r="G14627" s="117">
        <v>3.26</v>
      </c>
    </row>
    <row r="14628" spans="1:7" x14ac:dyDescent="0.25">
      <c r="A14628" s="116" t="s">
        <v>22737</v>
      </c>
      <c r="B14628" s="117" t="s">
        <v>29605</v>
      </c>
      <c r="C14628" t="s">
        <v>67</v>
      </c>
      <c r="D14628" t="s">
        <v>67</v>
      </c>
      <c r="E14628" t="s">
        <v>67</v>
      </c>
      <c r="F14628" t="s">
        <v>27987</v>
      </c>
      <c r="G14628" s="117">
        <v>4</v>
      </c>
    </row>
    <row r="14629" spans="1:7" x14ac:dyDescent="0.25">
      <c r="A14629" s="116" t="s">
        <v>22738</v>
      </c>
      <c r="B14629" s="117" t="s">
        <v>22739</v>
      </c>
      <c r="C14629" t="s">
        <v>67</v>
      </c>
      <c r="D14629" t="s">
        <v>67</v>
      </c>
      <c r="E14629" t="s">
        <v>67</v>
      </c>
      <c r="F14629" t="s">
        <v>27987</v>
      </c>
      <c r="G14629" s="117">
        <v>2.13</v>
      </c>
    </row>
    <row r="14630" spans="1:7" x14ac:dyDescent="0.25">
      <c r="A14630" s="116" t="s">
        <v>22740</v>
      </c>
      <c r="B14630" s="117" t="s">
        <v>22741</v>
      </c>
      <c r="C14630" t="s">
        <v>67</v>
      </c>
      <c r="D14630" t="s">
        <v>67</v>
      </c>
      <c r="E14630" t="s">
        <v>67</v>
      </c>
      <c r="F14630" t="s">
        <v>27987</v>
      </c>
      <c r="G14630" s="117">
        <v>28.5</v>
      </c>
    </row>
    <row r="14631" spans="1:7" x14ac:dyDescent="0.25">
      <c r="A14631" s="116" t="s">
        <v>22742</v>
      </c>
      <c r="B14631" s="117" t="s">
        <v>22743</v>
      </c>
      <c r="C14631" t="s">
        <v>67</v>
      </c>
      <c r="D14631" t="s">
        <v>67</v>
      </c>
      <c r="E14631" t="s">
        <v>67</v>
      </c>
      <c r="F14631" t="s">
        <v>27987</v>
      </c>
      <c r="G14631" s="117">
        <v>42.62</v>
      </c>
    </row>
    <row r="14632" spans="1:7" x14ac:dyDescent="0.25">
      <c r="A14632" s="116" t="s">
        <v>22744</v>
      </c>
      <c r="B14632" s="117" t="s">
        <v>22741</v>
      </c>
      <c r="C14632" t="s">
        <v>67</v>
      </c>
      <c r="D14632" t="s">
        <v>67</v>
      </c>
      <c r="E14632" t="s">
        <v>67</v>
      </c>
      <c r="F14632" t="s">
        <v>27987</v>
      </c>
      <c r="G14632" s="117">
        <v>57.01</v>
      </c>
    </row>
    <row r="14633" spans="1:7" x14ac:dyDescent="0.25">
      <c r="A14633" s="116" t="s">
        <v>22745</v>
      </c>
      <c r="B14633" s="117" t="s">
        <v>22746</v>
      </c>
      <c r="C14633" t="s">
        <v>67</v>
      </c>
      <c r="D14633" t="s">
        <v>67</v>
      </c>
      <c r="E14633" t="s">
        <v>67</v>
      </c>
      <c r="F14633" t="s">
        <v>27987</v>
      </c>
      <c r="G14633" s="117">
        <v>20.72</v>
      </c>
    </row>
    <row r="14634" spans="1:7" x14ac:dyDescent="0.25">
      <c r="A14634" s="116" t="s">
        <v>22747</v>
      </c>
      <c r="B14634" s="117" t="s">
        <v>22748</v>
      </c>
      <c r="C14634" t="s">
        <v>67</v>
      </c>
      <c r="D14634" t="s">
        <v>67</v>
      </c>
      <c r="E14634" t="s">
        <v>67</v>
      </c>
      <c r="F14634" t="s">
        <v>45</v>
      </c>
      <c r="G14634" s="117">
        <v>48.97</v>
      </c>
    </row>
    <row r="14635" spans="1:7" x14ac:dyDescent="0.25">
      <c r="A14635" s="116" t="s">
        <v>22749</v>
      </c>
      <c r="B14635" s="117" t="s">
        <v>20719</v>
      </c>
      <c r="C14635" t="s">
        <v>67</v>
      </c>
      <c r="D14635" t="s">
        <v>67</v>
      </c>
      <c r="E14635" t="s">
        <v>67</v>
      </c>
      <c r="F14635" t="s">
        <v>45</v>
      </c>
      <c r="G14635" s="117">
        <v>177.42</v>
      </c>
    </row>
    <row r="14636" spans="1:7" x14ac:dyDescent="0.25">
      <c r="A14636" s="116" t="s">
        <v>22750</v>
      </c>
      <c r="B14636" s="117" t="s">
        <v>22751</v>
      </c>
      <c r="C14636" t="s">
        <v>67</v>
      </c>
      <c r="D14636" t="s">
        <v>67</v>
      </c>
      <c r="E14636" t="s">
        <v>67</v>
      </c>
      <c r="F14636" t="s">
        <v>27987</v>
      </c>
      <c r="G14636" s="117">
        <v>150.05000000000001</v>
      </c>
    </row>
    <row r="14637" spans="1:7" x14ac:dyDescent="0.25">
      <c r="A14637" s="116" t="s">
        <v>22752</v>
      </c>
      <c r="B14637" s="117" t="s">
        <v>22753</v>
      </c>
      <c r="C14637" t="s">
        <v>67</v>
      </c>
      <c r="D14637" t="s">
        <v>67</v>
      </c>
      <c r="E14637" t="s">
        <v>67</v>
      </c>
      <c r="F14637" t="s">
        <v>45</v>
      </c>
      <c r="G14637" s="117">
        <v>403.43</v>
      </c>
    </row>
    <row r="14638" spans="1:7" x14ac:dyDescent="0.25">
      <c r="A14638" s="116" t="s">
        <v>22754</v>
      </c>
      <c r="B14638" s="117" t="s">
        <v>22755</v>
      </c>
      <c r="C14638" t="s">
        <v>67</v>
      </c>
      <c r="D14638" t="s">
        <v>67</v>
      </c>
      <c r="E14638" t="s">
        <v>67</v>
      </c>
      <c r="F14638" t="s">
        <v>45</v>
      </c>
      <c r="G14638" s="117">
        <v>49.84</v>
      </c>
    </row>
    <row r="14639" spans="1:7" x14ac:dyDescent="0.25">
      <c r="A14639" s="116" t="s">
        <v>22756</v>
      </c>
      <c r="B14639" s="117" t="s">
        <v>22757</v>
      </c>
      <c r="C14639" t="s">
        <v>67</v>
      </c>
      <c r="D14639" t="s">
        <v>67</v>
      </c>
      <c r="E14639" t="s">
        <v>67</v>
      </c>
      <c r="F14639" t="s">
        <v>45</v>
      </c>
      <c r="G14639" s="117">
        <v>55.13</v>
      </c>
    </row>
    <row r="14640" spans="1:7" x14ac:dyDescent="0.25">
      <c r="A14640" s="116" t="s">
        <v>22758</v>
      </c>
      <c r="B14640" s="117" t="s">
        <v>22759</v>
      </c>
      <c r="C14640" t="s">
        <v>67</v>
      </c>
      <c r="D14640" t="s">
        <v>67</v>
      </c>
      <c r="E14640" t="s">
        <v>67</v>
      </c>
      <c r="F14640" t="s">
        <v>27987</v>
      </c>
      <c r="G14640" s="117">
        <v>31.01</v>
      </c>
    </row>
    <row r="14641" spans="1:7" x14ac:dyDescent="0.25">
      <c r="A14641" s="116" t="s">
        <v>22760</v>
      </c>
      <c r="B14641" s="117" t="s">
        <v>22761</v>
      </c>
      <c r="C14641" t="s">
        <v>67</v>
      </c>
      <c r="D14641" t="s">
        <v>67</v>
      </c>
      <c r="E14641" t="s">
        <v>67</v>
      </c>
      <c r="F14641" t="s">
        <v>45</v>
      </c>
      <c r="G14641" s="117">
        <v>123.27</v>
      </c>
    </row>
    <row r="14642" spans="1:7" x14ac:dyDescent="0.25">
      <c r="A14642" s="116" t="s">
        <v>22762</v>
      </c>
      <c r="B14642" s="117" t="s">
        <v>29606</v>
      </c>
      <c r="C14642" t="s">
        <v>67</v>
      </c>
      <c r="D14642" t="s">
        <v>67</v>
      </c>
      <c r="E14642" t="s">
        <v>67</v>
      </c>
      <c r="F14642" t="s">
        <v>45</v>
      </c>
      <c r="G14642" s="117">
        <v>117.43</v>
      </c>
    </row>
    <row r="14643" spans="1:7" x14ac:dyDescent="0.25">
      <c r="A14643" s="116" t="s">
        <v>22763</v>
      </c>
      <c r="B14643" s="117" t="s">
        <v>22764</v>
      </c>
      <c r="C14643" t="s">
        <v>67</v>
      </c>
      <c r="D14643" t="s">
        <v>67</v>
      </c>
      <c r="E14643" t="s">
        <v>67</v>
      </c>
      <c r="F14643" t="s">
        <v>27987</v>
      </c>
      <c r="G14643" s="117">
        <v>144.9</v>
      </c>
    </row>
    <row r="14644" spans="1:7" x14ac:dyDescent="0.25">
      <c r="A14644" s="116" t="s">
        <v>22765</v>
      </c>
      <c r="B14644" s="117" t="s">
        <v>22766</v>
      </c>
      <c r="C14644" t="s">
        <v>67</v>
      </c>
      <c r="D14644" t="s">
        <v>67</v>
      </c>
      <c r="E14644" t="s">
        <v>67</v>
      </c>
      <c r="F14644" t="s">
        <v>27987</v>
      </c>
      <c r="G14644" s="117">
        <v>4.3899999999999997</v>
      </c>
    </row>
    <row r="14645" spans="1:7" x14ac:dyDescent="0.25">
      <c r="A14645" s="116" t="s">
        <v>22767</v>
      </c>
      <c r="B14645" s="117" t="s">
        <v>22768</v>
      </c>
      <c r="C14645" t="s">
        <v>67</v>
      </c>
      <c r="D14645" t="s">
        <v>67</v>
      </c>
      <c r="E14645" t="s">
        <v>67</v>
      </c>
      <c r="F14645" t="s">
        <v>27987</v>
      </c>
      <c r="G14645" s="117">
        <v>10.42</v>
      </c>
    </row>
    <row r="14646" spans="1:7" x14ac:dyDescent="0.25">
      <c r="A14646" s="116" t="s">
        <v>22769</v>
      </c>
      <c r="B14646" s="117" t="s">
        <v>22770</v>
      </c>
      <c r="C14646" t="s">
        <v>67</v>
      </c>
      <c r="D14646" t="s">
        <v>67</v>
      </c>
      <c r="E14646" t="s">
        <v>67</v>
      </c>
      <c r="F14646" t="s">
        <v>45</v>
      </c>
      <c r="G14646" s="117">
        <v>101.36</v>
      </c>
    </row>
    <row r="14647" spans="1:7" x14ac:dyDescent="0.25">
      <c r="A14647" s="116" t="s">
        <v>22771</v>
      </c>
      <c r="B14647" s="117" t="s">
        <v>22772</v>
      </c>
      <c r="C14647" t="s">
        <v>67</v>
      </c>
      <c r="D14647" t="s">
        <v>67</v>
      </c>
      <c r="E14647" t="s">
        <v>67</v>
      </c>
      <c r="F14647" t="s">
        <v>27987</v>
      </c>
      <c r="G14647" s="117">
        <v>16.82</v>
      </c>
    </row>
    <row r="14648" spans="1:7" x14ac:dyDescent="0.25">
      <c r="A14648" s="116" t="s">
        <v>22773</v>
      </c>
      <c r="B14648" s="117" t="s">
        <v>22774</v>
      </c>
      <c r="C14648" t="s">
        <v>67</v>
      </c>
      <c r="D14648" t="s">
        <v>67</v>
      </c>
      <c r="E14648" t="s">
        <v>67</v>
      </c>
      <c r="F14648" t="s">
        <v>45</v>
      </c>
      <c r="G14648" s="117">
        <v>168.62</v>
      </c>
    </row>
    <row r="14649" spans="1:7" x14ac:dyDescent="0.25">
      <c r="A14649" s="116" t="s">
        <v>22775</v>
      </c>
      <c r="B14649" s="117" t="s">
        <v>22776</v>
      </c>
      <c r="C14649" t="s">
        <v>67</v>
      </c>
      <c r="D14649" t="s">
        <v>67</v>
      </c>
      <c r="E14649" t="s">
        <v>67</v>
      </c>
      <c r="F14649" t="s">
        <v>27987</v>
      </c>
      <c r="G14649" s="117">
        <v>900</v>
      </c>
    </row>
    <row r="14650" spans="1:7" x14ac:dyDescent="0.25">
      <c r="A14650" s="116" t="s">
        <v>22777</v>
      </c>
      <c r="B14650" s="117" t="s">
        <v>22778</v>
      </c>
      <c r="C14650" t="s">
        <v>67</v>
      </c>
      <c r="D14650" t="s">
        <v>67</v>
      </c>
      <c r="E14650" t="s">
        <v>67</v>
      </c>
      <c r="F14650" t="s">
        <v>27987</v>
      </c>
      <c r="G14650" s="117">
        <v>168.62</v>
      </c>
    </row>
    <row r="14651" spans="1:7" x14ac:dyDescent="0.25">
      <c r="A14651" s="116" t="s">
        <v>22779</v>
      </c>
      <c r="B14651" s="117" t="s">
        <v>22780</v>
      </c>
      <c r="C14651" t="s">
        <v>67</v>
      </c>
      <c r="D14651" t="s">
        <v>67</v>
      </c>
      <c r="E14651" t="s">
        <v>67</v>
      </c>
      <c r="F14651" t="s">
        <v>49</v>
      </c>
      <c r="G14651" s="117">
        <v>168.62</v>
      </c>
    </row>
    <row r="14652" spans="1:7" x14ac:dyDescent="0.25">
      <c r="A14652" s="116" t="s">
        <v>22781</v>
      </c>
      <c r="B14652" s="117" t="s">
        <v>22782</v>
      </c>
      <c r="C14652" t="s">
        <v>67</v>
      </c>
      <c r="D14652" t="s">
        <v>67</v>
      </c>
      <c r="E14652" t="s">
        <v>67</v>
      </c>
      <c r="F14652" t="s">
        <v>27987</v>
      </c>
      <c r="G14652" s="117">
        <v>40.76</v>
      </c>
    </row>
    <row r="14653" spans="1:7" x14ac:dyDescent="0.25">
      <c r="A14653" s="116" t="s">
        <v>22783</v>
      </c>
      <c r="B14653" s="117" t="s">
        <v>22784</v>
      </c>
      <c r="C14653" t="s">
        <v>67</v>
      </c>
      <c r="D14653" t="s">
        <v>67</v>
      </c>
      <c r="E14653" t="s">
        <v>67</v>
      </c>
      <c r="F14653" t="s">
        <v>27987</v>
      </c>
      <c r="G14653" s="117">
        <v>505.87</v>
      </c>
    </row>
    <row r="14654" spans="1:7" x14ac:dyDescent="0.25">
      <c r="A14654" s="116" t="s">
        <v>22785</v>
      </c>
      <c r="B14654" s="117" t="s">
        <v>22786</v>
      </c>
      <c r="C14654" t="s">
        <v>67</v>
      </c>
      <c r="D14654" t="s">
        <v>67</v>
      </c>
      <c r="E14654" t="s">
        <v>67</v>
      </c>
      <c r="F14654" t="s">
        <v>27987</v>
      </c>
      <c r="G14654" s="117">
        <v>377</v>
      </c>
    </row>
    <row r="14655" spans="1:7" x14ac:dyDescent="0.25">
      <c r="A14655" s="116" t="s">
        <v>22787</v>
      </c>
      <c r="B14655" s="117" t="s">
        <v>22788</v>
      </c>
      <c r="C14655" t="s">
        <v>67</v>
      </c>
      <c r="D14655" t="s">
        <v>67</v>
      </c>
      <c r="E14655" t="s">
        <v>67</v>
      </c>
      <c r="F14655" t="s">
        <v>45</v>
      </c>
      <c r="G14655" s="117">
        <v>67.540000000000006</v>
      </c>
    </row>
    <row r="14656" spans="1:7" x14ac:dyDescent="0.25">
      <c r="A14656" s="116" t="s">
        <v>30542</v>
      </c>
      <c r="B14656" s="117" t="s">
        <v>30543</v>
      </c>
      <c r="C14656" t="s">
        <v>67</v>
      </c>
      <c r="D14656" t="s">
        <v>67</v>
      </c>
      <c r="E14656" t="s">
        <v>67</v>
      </c>
      <c r="F14656" t="s">
        <v>45</v>
      </c>
      <c r="G14656" s="117">
        <v>9999</v>
      </c>
    </row>
    <row r="14657" spans="1:7" x14ac:dyDescent="0.25">
      <c r="A14657" s="116" t="s">
        <v>30544</v>
      </c>
      <c r="B14657" s="117" t="s">
        <v>30545</v>
      </c>
      <c r="C14657" t="s">
        <v>67</v>
      </c>
      <c r="D14657" t="s">
        <v>67</v>
      </c>
      <c r="E14657" t="s">
        <v>67</v>
      </c>
      <c r="F14657" t="s">
        <v>45</v>
      </c>
      <c r="G14657" s="117">
        <v>9999</v>
      </c>
    </row>
    <row r="14658" spans="1:7" x14ac:dyDescent="0.25">
      <c r="A14658" s="116" t="s">
        <v>30546</v>
      </c>
      <c r="B14658" s="117" t="s">
        <v>30547</v>
      </c>
      <c r="C14658" t="s">
        <v>67</v>
      </c>
      <c r="D14658" t="s">
        <v>67</v>
      </c>
      <c r="E14658" t="s">
        <v>67</v>
      </c>
      <c r="F14658" t="s">
        <v>45</v>
      </c>
      <c r="G14658" s="117">
        <v>9999</v>
      </c>
    </row>
    <row r="14659" spans="1:7" x14ac:dyDescent="0.25">
      <c r="A14659" s="116" t="s">
        <v>30548</v>
      </c>
      <c r="B14659" s="117" t="s">
        <v>30549</v>
      </c>
      <c r="C14659" t="s">
        <v>67</v>
      </c>
      <c r="D14659" t="s">
        <v>67</v>
      </c>
      <c r="E14659" t="s">
        <v>67</v>
      </c>
      <c r="F14659" t="s">
        <v>45</v>
      </c>
      <c r="G14659" s="117">
        <v>9999</v>
      </c>
    </row>
    <row r="14660" spans="1:7" x14ac:dyDescent="0.25">
      <c r="A14660" s="116" t="s">
        <v>30550</v>
      </c>
      <c r="B14660" s="117" t="s">
        <v>30551</v>
      </c>
      <c r="C14660" t="s">
        <v>67</v>
      </c>
      <c r="D14660" t="s">
        <v>67</v>
      </c>
      <c r="E14660" t="s">
        <v>67</v>
      </c>
      <c r="F14660" t="s">
        <v>45</v>
      </c>
      <c r="G14660" s="117">
        <v>9999</v>
      </c>
    </row>
    <row r="14661" spans="1:7" x14ac:dyDescent="0.25">
      <c r="A14661" s="116" t="s">
        <v>30552</v>
      </c>
      <c r="B14661" s="117" t="s">
        <v>30553</v>
      </c>
      <c r="C14661" t="s">
        <v>67</v>
      </c>
      <c r="D14661" t="s">
        <v>67</v>
      </c>
      <c r="E14661" t="s">
        <v>67</v>
      </c>
      <c r="F14661" t="s">
        <v>45</v>
      </c>
      <c r="G14661" s="117">
        <v>9999</v>
      </c>
    </row>
    <row r="14662" spans="1:7" x14ac:dyDescent="0.25">
      <c r="A14662" s="116" t="s">
        <v>30554</v>
      </c>
      <c r="B14662" s="117" t="s">
        <v>30555</v>
      </c>
      <c r="C14662" t="s">
        <v>67</v>
      </c>
      <c r="D14662" t="s">
        <v>67</v>
      </c>
      <c r="E14662" t="s">
        <v>67</v>
      </c>
      <c r="F14662" t="s">
        <v>45</v>
      </c>
      <c r="G14662" s="117">
        <v>9999</v>
      </c>
    </row>
    <row r="14663" spans="1:7" x14ac:dyDescent="0.25">
      <c r="A14663" s="116" t="s">
        <v>30556</v>
      </c>
      <c r="B14663" s="117" t="s">
        <v>30557</v>
      </c>
      <c r="C14663" t="s">
        <v>67</v>
      </c>
      <c r="D14663" t="s">
        <v>67</v>
      </c>
      <c r="E14663" t="s">
        <v>67</v>
      </c>
      <c r="F14663" t="s">
        <v>45</v>
      </c>
      <c r="G14663" s="117">
        <v>9999</v>
      </c>
    </row>
    <row r="14664" spans="1:7" x14ac:dyDescent="0.25">
      <c r="A14664" s="116" t="s">
        <v>30558</v>
      </c>
      <c r="B14664" s="117" t="s">
        <v>30559</v>
      </c>
      <c r="C14664" t="s">
        <v>67</v>
      </c>
      <c r="D14664" t="s">
        <v>67</v>
      </c>
      <c r="E14664" t="s">
        <v>67</v>
      </c>
      <c r="F14664" t="s">
        <v>45</v>
      </c>
      <c r="G14664" s="117">
        <v>9999</v>
      </c>
    </row>
    <row r="14665" spans="1:7" x14ac:dyDescent="0.25">
      <c r="A14665" s="116" t="s">
        <v>30560</v>
      </c>
      <c r="B14665" s="117" t="s">
        <v>30561</v>
      </c>
      <c r="C14665" t="s">
        <v>67</v>
      </c>
      <c r="D14665" t="s">
        <v>67</v>
      </c>
      <c r="E14665" t="s">
        <v>67</v>
      </c>
      <c r="F14665" t="s">
        <v>45</v>
      </c>
      <c r="G14665" s="117">
        <v>9999</v>
      </c>
    </row>
    <row r="14666" spans="1:7" x14ac:dyDescent="0.25">
      <c r="A14666" s="116" t="s">
        <v>31027</v>
      </c>
      <c r="B14666" s="117" t="s">
        <v>31028</v>
      </c>
      <c r="C14666" t="s">
        <v>67</v>
      </c>
      <c r="D14666" t="s">
        <v>67</v>
      </c>
      <c r="E14666" t="s">
        <v>67</v>
      </c>
      <c r="F14666" t="s">
        <v>45</v>
      </c>
      <c r="G14666" s="117">
        <v>9999</v>
      </c>
    </row>
    <row r="14667" spans="1:7" x14ac:dyDescent="0.25">
      <c r="A14667" s="116" t="s">
        <v>31029</v>
      </c>
      <c r="B14667" s="117" t="s">
        <v>31030</v>
      </c>
      <c r="C14667" t="s">
        <v>67</v>
      </c>
      <c r="D14667" t="s">
        <v>67</v>
      </c>
      <c r="E14667" t="s">
        <v>67</v>
      </c>
      <c r="F14667" t="s">
        <v>45</v>
      </c>
      <c r="G14667" s="117">
        <v>9999</v>
      </c>
    </row>
    <row r="14668" spans="1:7" x14ac:dyDescent="0.25">
      <c r="A14668" s="116" t="s">
        <v>31031</v>
      </c>
      <c r="B14668" s="117" t="s">
        <v>31032</v>
      </c>
      <c r="C14668" t="s">
        <v>67</v>
      </c>
      <c r="D14668" t="s">
        <v>67</v>
      </c>
      <c r="E14668" t="s">
        <v>67</v>
      </c>
      <c r="F14668" t="s">
        <v>45</v>
      </c>
      <c r="G14668" s="117">
        <v>9999</v>
      </c>
    </row>
    <row r="14669" spans="1:7" x14ac:dyDescent="0.25">
      <c r="A14669" s="116" t="s">
        <v>31033</v>
      </c>
      <c r="B14669" s="117" t="s">
        <v>31034</v>
      </c>
      <c r="C14669" t="s">
        <v>67</v>
      </c>
      <c r="D14669" t="s">
        <v>67</v>
      </c>
      <c r="E14669" t="s">
        <v>67</v>
      </c>
      <c r="F14669" t="s">
        <v>45</v>
      </c>
      <c r="G14669" s="117">
        <v>9999</v>
      </c>
    </row>
    <row r="14670" spans="1:7" x14ac:dyDescent="0.25">
      <c r="A14670" s="116" t="s">
        <v>31035</v>
      </c>
      <c r="B14670" s="117" t="s">
        <v>31036</v>
      </c>
      <c r="C14670" t="s">
        <v>67</v>
      </c>
      <c r="D14670" t="s">
        <v>67</v>
      </c>
      <c r="E14670" t="s">
        <v>67</v>
      </c>
      <c r="F14670" t="s">
        <v>45</v>
      </c>
      <c r="G14670" s="117">
        <v>9999</v>
      </c>
    </row>
    <row r="14671" spans="1:7" x14ac:dyDescent="0.25">
      <c r="A14671" s="116" t="s">
        <v>31037</v>
      </c>
      <c r="B14671" s="117" t="s">
        <v>31038</v>
      </c>
      <c r="C14671" t="s">
        <v>67</v>
      </c>
      <c r="D14671" t="s">
        <v>67</v>
      </c>
      <c r="E14671" t="s">
        <v>67</v>
      </c>
      <c r="F14671" t="s">
        <v>45</v>
      </c>
      <c r="G14671" s="117">
        <v>9999</v>
      </c>
    </row>
    <row r="14672" spans="1:7" x14ac:dyDescent="0.25">
      <c r="A14672" s="116" t="s">
        <v>31039</v>
      </c>
      <c r="B14672" s="117" t="s">
        <v>31040</v>
      </c>
      <c r="C14672" t="s">
        <v>67</v>
      </c>
      <c r="D14672" t="s">
        <v>67</v>
      </c>
      <c r="E14672" t="s">
        <v>67</v>
      </c>
      <c r="F14672" t="s">
        <v>45</v>
      </c>
      <c r="G14672" s="117">
        <v>9999</v>
      </c>
    </row>
    <row r="14673" spans="1:7" x14ac:dyDescent="0.25">
      <c r="A14673" s="116" t="s">
        <v>31041</v>
      </c>
      <c r="B14673" s="117" t="s">
        <v>31042</v>
      </c>
      <c r="C14673" t="s">
        <v>67</v>
      </c>
      <c r="D14673" t="s">
        <v>67</v>
      </c>
      <c r="E14673" t="s">
        <v>67</v>
      </c>
      <c r="F14673" t="s">
        <v>45</v>
      </c>
      <c r="G14673" s="117">
        <v>9999</v>
      </c>
    </row>
    <row r="14674" spans="1:7" x14ac:dyDescent="0.25">
      <c r="A14674" s="116" t="s">
        <v>31043</v>
      </c>
      <c r="B14674" s="117" t="s">
        <v>31044</v>
      </c>
      <c r="C14674" t="s">
        <v>67</v>
      </c>
      <c r="D14674" t="s">
        <v>67</v>
      </c>
      <c r="E14674" t="s">
        <v>67</v>
      </c>
      <c r="F14674" t="s">
        <v>45</v>
      </c>
      <c r="G14674" s="117">
        <v>9999</v>
      </c>
    </row>
    <row r="14675" spans="1:7" x14ac:dyDescent="0.25">
      <c r="A14675" s="116" t="s">
        <v>31045</v>
      </c>
      <c r="B14675" s="117" t="s">
        <v>30893</v>
      </c>
      <c r="C14675" t="s">
        <v>67</v>
      </c>
      <c r="D14675" t="s">
        <v>67</v>
      </c>
      <c r="E14675" t="s">
        <v>67</v>
      </c>
      <c r="F14675" t="s">
        <v>45</v>
      </c>
      <c r="G14675" s="117">
        <v>9999</v>
      </c>
    </row>
    <row r="14676" spans="1:7" x14ac:dyDescent="0.25">
      <c r="A14676" s="116" t="s">
        <v>31046</v>
      </c>
      <c r="B14676" s="117" t="s">
        <v>31047</v>
      </c>
      <c r="C14676" t="s">
        <v>67</v>
      </c>
      <c r="D14676" t="s">
        <v>67</v>
      </c>
      <c r="E14676" t="s">
        <v>67</v>
      </c>
      <c r="F14676" t="s">
        <v>45</v>
      </c>
      <c r="G14676" s="117">
        <v>9999</v>
      </c>
    </row>
    <row r="14677" spans="1:7" x14ac:dyDescent="0.25">
      <c r="A14677" s="116" t="s">
        <v>31048</v>
      </c>
      <c r="B14677" s="117" t="s">
        <v>31049</v>
      </c>
      <c r="C14677" t="s">
        <v>67</v>
      </c>
      <c r="D14677" t="s">
        <v>67</v>
      </c>
      <c r="E14677" t="s">
        <v>67</v>
      </c>
      <c r="F14677" t="s">
        <v>45</v>
      </c>
      <c r="G14677" s="117">
        <v>9999</v>
      </c>
    </row>
    <row r="14678" spans="1:7" x14ac:dyDescent="0.25">
      <c r="A14678" s="116" t="s">
        <v>31050</v>
      </c>
      <c r="B14678" s="117" t="s">
        <v>31051</v>
      </c>
      <c r="C14678" t="s">
        <v>67</v>
      </c>
      <c r="D14678" t="s">
        <v>67</v>
      </c>
      <c r="E14678" t="s">
        <v>67</v>
      </c>
      <c r="F14678" t="s">
        <v>45</v>
      </c>
      <c r="G14678" s="117">
        <v>9999</v>
      </c>
    </row>
    <row r="14679" spans="1:7" x14ac:dyDescent="0.25">
      <c r="A14679" s="116" t="s">
        <v>31052</v>
      </c>
      <c r="B14679" s="117" t="s">
        <v>31053</v>
      </c>
      <c r="C14679" t="s">
        <v>67</v>
      </c>
      <c r="D14679" t="s">
        <v>67</v>
      </c>
      <c r="E14679" t="s">
        <v>67</v>
      </c>
      <c r="F14679" t="s">
        <v>45</v>
      </c>
      <c r="G14679" s="117">
        <v>9999</v>
      </c>
    </row>
    <row r="14680" spans="1:7" x14ac:dyDescent="0.25">
      <c r="A14680" s="116" t="s">
        <v>31054</v>
      </c>
      <c r="B14680" s="117" t="s">
        <v>31055</v>
      </c>
      <c r="C14680" t="s">
        <v>67</v>
      </c>
      <c r="D14680" t="s">
        <v>67</v>
      </c>
      <c r="E14680" t="s">
        <v>67</v>
      </c>
      <c r="F14680" t="s">
        <v>45</v>
      </c>
      <c r="G14680" s="117">
        <v>9999</v>
      </c>
    </row>
    <row r="14681" spans="1:7" x14ac:dyDescent="0.25">
      <c r="A14681" s="116" t="s">
        <v>31056</v>
      </c>
      <c r="B14681" s="117" t="s">
        <v>31057</v>
      </c>
      <c r="C14681" t="s">
        <v>67</v>
      </c>
      <c r="D14681" t="s">
        <v>67</v>
      </c>
      <c r="E14681" t="s">
        <v>67</v>
      </c>
      <c r="F14681" t="s">
        <v>45</v>
      </c>
      <c r="G14681" s="117">
        <v>9999</v>
      </c>
    </row>
    <row r="14682" spans="1:7" x14ac:dyDescent="0.25">
      <c r="A14682" s="116" t="s">
        <v>31058</v>
      </c>
      <c r="B14682" s="117" t="s">
        <v>31059</v>
      </c>
      <c r="C14682" t="s">
        <v>67</v>
      </c>
      <c r="D14682" t="s">
        <v>67</v>
      </c>
      <c r="E14682" t="s">
        <v>67</v>
      </c>
      <c r="F14682" t="s">
        <v>45</v>
      </c>
      <c r="G14682" s="117">
        <v>9999</v>
      </c>
    </row>
    <row r="14683" spans="1:7" x14ac:dyDescent="0.25">
      <c r="A14683" s="116" t="s">
        <v>31060</v>
      </c>
      <c r="B14683" s="117" t="s">
        <v>31049</v>
      </c>
      <c r="C14683" t="s">
        <v>67</v>
      </c>
      <c r="D14683" t="s">
        <v>67</v>
      </c>
      <c r="E14683" t="s">
        <v>67</v>
      </c>
      <c r="F14683" t="s">
        <v>45</v>
      </c>
      <c r="G14683" s="117">
        <v>9999</v>
      </c>
    </row>
    <row r="14684" spans="1:7" x14ac:dyDescent="0.25">
      <c r="A14684" s="116" t="s">
        <v>31061</v>
      </c>
      <c r="B14684" s="117" t="s">
        <v>31062</v>
      </c>
      <c r="C14684" t="s">
        <v>67</v>
      </c>
      <c r="D14684" t="s">
        <v>67</v>
      </c>
      <c r="E14684" t="s">
        <v>67</v>
      </c>
      <c r="F14684" t="s">
        <v>45</v>
      </c>
      <c r="G14684" s="117">
        <v>9999</v>
      </c>
    </row>
    <row r="14685" spans="1:7" x14ac:dyDescent="0.25">
      <c r="A14685" s="116" t="s">
        <v>31063</v>
      </c>
      <c r="B14685" s="117" t="s">
        <v>31064</v>
      </c>
      <c r="C14685" t="s">
        <v>67</v>
      </c>
      <c r="D14685" t="s">
        <v>67</v>
      </c>
      <c r="E14685" t="s">
        <v>67</v>
      </c>
      <c r="F14685" t="s">
        <v>45</v>
      </c>
      <c r="G14685" s="117">
        <v>9999</v>
      </c>
    </row>
    <row r="14686" spans="1:7" x14ac:dyDescent="0.25">
      <c r="A14686" s="116" t="s">
        <v>31065</v>
      </c>
      <c r="B14686" s="117" t="s">
        <v>31047</v>
      </c>
      <c r="C14686" t="s">
        <v>67</v>
      </c>
      <c r="D14686" t="s">
        <v>67</v>
      </c>
      <c r="E14686" t="s">
        <v>67</v>
      </c>
      <c r="F14686" t="s">
        <v>45</v>
      </c>
      <c r="G14686" s="117">
        <v>9999</v>
      </c>
    </row>
    <row r="14687" spans="1:7" x14ac:dyDescent="0.25">
      <c r="A14687" s="116" t="s">
        <v>31066</v>
      </c>
      <c r="B14687" s="117" t="s">
        <v>30893</v>
      </c>
      <c r="C14687" t="s">
        <v>67</v>
      </c>
      <c r="D14687" t="s">
        <v>67</v>
      </c>
      <c r="E14687" t="s">
        <v>67</v>
      </c>
      <c r="F14687" t="s">
        <v>45</v>
      </c>
      <c r="G14687" s="117">
        <v>9999</v>
      </c>
    </row>
    <row r="14688" spans="1:7" x14ac:dyDescent="0.25">
      <c r="A14688" s="116" t="s">
        <v>31067</v>
      </c>
      <c r="B14688" s="117" t="s">
        <v>31044</v>
      </c>
      <c r="C14688" t="s">
        <v>67</v>
      </c>
      <c r="D14688" t="s">
        <v>67</v>
      </c>
      <c r="E14688" t="s">
        <v>67</v>
      </c>
      <c r="F14688" t="s">
        <v>45</v>
      </c>
      <c r="G14688" s="117">
        <v>9999</v>
      </c>
    </row>
    <row r="14689" spans="1:7" x14ac:dyDescent="0.25">
      <c r="A14689" s="116" t="s">
        <v>31068</v>
      </c>
      <c r="B14689" s="117" t="s">
        <v>31069</v>
      </c>
      <c r="C14689" t="s">
        <v>67</v>
      </c>
      <c r="D14689" t="s">
        <v>67</v>
      </c>
      <c r="E14689" t="s">
        <v>67</v>
      </c>
      <c r="F14689" t="s">
        <v>45</v>
      </c>
      <c r="G14689" s="117">
        <v>9999</v>
      </c>
    </row>
    <row r="14690" spans="1:7" x14ac:dyDescent="0.25">
      <c r="A14690" s="116" t="s">
        <v>31070</v>
      </c>
      <c r="B14690" s="117" t="s">
        <v>31071</v>
      </c>
      <c r="C14690" t="s">
        <v>67</v>
      </c>
      <c r="D14690" t="s">
        <v>67</v>
      </c>
      <c r="E14690" t="s">
        <v>67</v>
      </c>
      <c r="F14690" t="s">
        <v>45</v>
      </c>
      <c r="G14690" s="117">
        <v>9999</v>
      </c>
    </row>
    <row r="14691" spans="1:7" x14ac:dyDescent="0.25">
      <c r="A14691" s="116" t="s">
        <v>31072</v>
      </c>
      <c r="B14691" s="117" t="s">
        <v>31073</v>
      </c>
      <c r="C14691" t="s">
        <v>67</v>
      </c>
      <c r="D14691" t="s">
        <v>67</v>
      </c>
      <c r="E14691" t="s">
        <v>67</v>
      </c>
      <c r="F14691" t="s">
        <v>45</v>
      </c>
      <c r="G14691" s="117">
        <v>9999</v>
      </c>
    </row>
    <row r="14692" spans="1:7" x14ac:dyDescent="0.25">
      <c r="A14692" s="116" t="s">
        <v>31074</v>
      </c>
      <c r="B14692" s="117" t="s">
        <v>31053</v>
      </c>
      <c r="C14692" t="s">
        <v>67</v>
      </c>
      <c r="D14692" t="s">
        <v>67</v>
      </c>
      <c r="E14692" t="s">
        <v>67</v>
      </c>
      <c r="F14692" t="s">
        <v>45</v>
      </c>
      <c r="G14692" s="117">
        <v>9999</v>
      </c>
    </row>
    <row r="14693" spans="1:7" x14ac:dyDescent="0.25">
      <c r="A14693" s="116" t="s">
        <v>31075</v>
      </c>
      <c r="B14693" s="117" t="s">
        <v>31028</v>
      </c>
      <c r="C14693" t="s">
        <v>67</v>
      </c>
      <c r="D14693" t="s">
        <v>67</v>
      </c>
      <c r="E14693" t="s">
        <v>67</v>
      </c>
      <c r="F14693" t="s">
        <v>45</v>
      </c>
      <c r="G14693" s="117">
        <v>9999</v>
      </c>
    </row>
    <row r="14694" spans="1:7" x14ac:dyDescent="0.25">
      <c r="A14694" s="116" t="s">
        <v>31076</v>
      </c>
      <c r="B14694" s="117" t="s">
        <v>31032</v>
      </c>
      <c r="C14694" t="s">
        <v>67</v>
      </c>
      <c r="D14694" t="s">
        <v>67</v>
      </c>
      <c r="E14694" t="s">
        <v>67</v>
      </c>
      <c r="F14694" t="s">
        <v>45</v>
      </c>
      <c r="G14694" s="117">
        <v>9999</v>
      </c>
    </row>
    <row r="14695" spans="1:7" x14ac:dyDescent="0.25">
      <c r="A14695" s="116" t="s">
        <v>31077</v>
      </c>
      <c r="B14695" s="117" t="s">
        <v>31030</v>
      </c>
      <c r="C14695" t="s">
        <v>67</v>
      </c>
      <c r="D14695" t="s">
        <v>67</v>
      </c>
      <c r="E14695" t="s">
        <v>67</v>
      </c>
      <c r="F14695" t="s">
        <v>45</v>
      </c>
      <c r="G14695" s="117">
        <v>9999</v>
      </c>
    </row>
    <row r="14696" spans="1:7" x14ac:dyDescent="0.25">
      <c r="A14696" s="116" t="s">
        <v>31078</v>
      </c>
      <c r="B14696" s="117" t="s">
        <v>31038</v>
      </c>
      <c r="C14696" t="s">
        <v>67</v>
      </c>
      <c r="D14696" t="s">
        <v>67</v>
      </c>
      <c r="E14696" t="s">
        <v>67</v>
      </c>
      <c r="F14696" t="s">
        <v>45</v>
      </c>
      <c r="G14696" s="117">
        <v>9999</v>
      </c>
    </row>
    <row r="14697" spans="1:7" x14ac:dyDescent="0.25">
      <c r="A14697" s="116" t="s">
        <v>22789</v>
      </c>
      <c r="B14697" s="117" t="s">
        <v>22790</v>
      </c>
      <c r="C14697" t="s">
        <v>67</v>
      </c>
      <c r="D14697" t="s">
        <v>67</v>
      </c>
      <c r="E14697" t="s">
        <v>67</v>
      </c>
      <c r="F14697" t="s">
        <v>45</v>
      </c>
      <c r="G14697" s="117">
        <v>75.55</v>
      </c>
    </row>
    <row r="14698" spans="1:7" x14ac:dyDescent="0.25">
      <c r="A14698" s="116" t="s">
        <v>22791</v>
      </c>
      <c r="B14698" s="117" t="s">
        <v>22792</v>
      </c>
      <c r="C14698" t="s">
        <v>67</v>
      </c>
      <c r="D14698" t="s">
        <v>67</v>
      </c>
      <c r="E14698" t="s">
        <v>67</v>
      </c>
      <c r="F14698" t="s">
        <v>45</v>
      </c>
      <c r="G14698" s="117">
        <v>548.04999999999995</v>
      </c>
    </row>
    <row r="14699" spans="1:7" x14ac:dyDescent="0.25">
      <c r="A14699" s="116" t="s">
        <v>22793</v>
      </c>
      <c r="B14699" s="117" t="s">
        <v>22794</v>
      </c>
      <c r="C14699" t="s">
        <v>67</v>
      </c>
      <c r="D14699" t="s">
        <v>67</v>
      </c>
      <c r="E14699" t="s">
        <v>67</v>
      </c>
      <c r="F14699" t="s">
        <v>45</v>
      </c>
      <c r="G14699" s="117">
        <v>114.7</v>
      </c>
    </row>
    <row r="14700" spans="1:7" x14ac:dyDescent="0.25">
      <c r="A14700" s="116" t="s">
        <v>22795</v>
      </c>
      <c r="B14700" s="117" t="s">
        <v>22796</v>
      </c>
      <c r="C14700" t="s">
        <v>67</v>
      </c>
      <c r="D14700" t="s">
        <v>67</v>
      </c>
      <c r="E14700" t="s">
        <v>67</v>
      </c>
      <c r="F14700" t="s">
        <v>45</v>
      </c>
      <c r="G14700" s="117">
        <v>89.79</v>
      </c>
    </row>
    <row r="14701" spans="1:7" x14ac:dyDescent="0.25">
      <c r="A14701" s="116" t="s">
        <v>22797</v>
      </c>
      <c r="B14701" s="117" t="s">
        <v>22798</v>
      </c>
      <c r="C14701" t="s">
        <v>67</v>
      </c>
      <c r="D14701" t="s">
        <v>67</v>
      </c>
      <c r="E14701" t="s">
        <v>67</v>
      </c>
      <c r="F14701" t="s">
        <v>27987</v>
      </c>
      <c r="G14701" s="117">
        <v>104.02</v>
      </c>
    </row>
    <row r="14702" spans="1:7" x14ac:dyDescent="0.25">
      <c r="A14702" s="116" t="s">
        <v>22799</v>
      </c>
      <c r="B14702" s="117" t="s">
        <v>22800</v>
      </c>
      <c r="C14702" t="s">
        <v>67</v>
      </c>
      <c r="D14702" t="s">
        <v>67</v>
      </c>
      <c r="E14702" t="s">
        <v>67</v>
      </c>
      <c r="F14702" t="s">
        <v>45</v>
      </c>
      <c r="G14702" s="117">
        <v>18.079999999999998</v>
      </c>
    </row>
    <row r="14703" spans="1:7" x14ac:dyDescent="0.25">
      <c r="A14703" s="116" t="s">
        <v>22801</v>
      </c>
      <c r="B14703" s="117" t="s">
        <v>22802</v>
      </c>
      <c r="C14703" t="s">
        <v>67</v>
      </c>
      <c r="D14703" t="s">
        <v>67</v>
      </c>
      <c r="E14703" t="s">
        <v>67</v>
      </c>
      <c r="F14703" t="s">
        <v>45</v>
      </c>
      <c r="G14703" s="117">
        <v>285.55</v>
      </c>
    </row>
    <row r="14704" spans="1:7" x14ac:dyDescent="0.25">
      <c r="A14704" s="116" t="s">
        <v>22803</v>
      </c>
      <c r="B14704" s="117" t="s">
        <v>22804</v>
      </c>
      <c r="C14704" t="s">
        <v>67</v>
      </c>
      <c r="D14704" t="s">
        <v>67</v>
      </c>
      <c r="E14704" t="s">
        <v>67</v>
      </c>
      <c r="F14704" t="s">
        <v>45</v>
      </c>
      <c r="G14704" s="117">
        <v>67.540000000000006</v>
      </c>
    </row>
    <row r="14705" spans="1:7" x14ac:dyDescent="0.25">
      <c r="A14705" s="116" t="s">
        <v>28108</v>
      </c>
      <c r="B14705" s="117" t="s">
        <v>28109</v>
      </c>
      <c r="C14705" t="s">
        <v>67</v>
      </c>
      <c r="D14705" t="s">
        <v>67</v>
      </c>
      <c r="E14705" t="s">
        <v>67</v>
      </c>
      <c r="F14705" t="s">
        <v>49</v>
      </c>
      <c r="G14705" s="117">
        <v>2</v>
      </c>
    </row>
    <row r="14706" spans="1:7" x14ac:dyDescent="0.25">
      <c r="A14706" s="116" t="s">
        <v>22805</v>
      </c>
      <c r="B14706" s="117" t="s">
        <v>22806</v>
      </c>
      <c r="C14706" t="s">
        <v>67</v>
      </c>
      <c r="D14706" t="s">
        <v>67</v>
      </c>
      <c r="E14706" t="s">
        <v>67</v>
      </c>
      <c r="F14706" t="s">
        <v>27987</v>
      </c>
      <c r="G14706" s="117">
        <v>34.659999999999997</v>
      </c>
    </row>
    <row r="14707" spans="1:7" x14ac:dyDescent="0.25">
      <c r="A14707" s="116" t="s">
        <v>22807</v>
      </c>
      <c r="B14707" s="117" t="s">
        <v>22808</v>
      </c>
      <c r="C14707" t="s">
        <v>67</v>
      </c>
      <c r="D14707" t="s">
        <v>67</v>
      </c>
      <c r="E14707" t="s">
        <v>67</v>
      </c>
      <c r="F14707" t="s">
        <v>27987</v>
      </c>
      <c r="G14707" s="117">
        <v>21.97</v>
      </c>
    </row>
    <row r="14708" spans="1:7" x14ac:dyDescent="0.25">
      <c r="A14708" s="116" t="s">
        <v>22809</v>
      </c>
      <c r="B14708" s="117" t="s">
        <v>22810</v>
      </c>
      <c r="C14708" t="s">
        <v>67</v>
      </c>
      <c r="D14708" t="s">
        <v>67</v>
      </c>
      <c r="E14708" t="s">
        <v>67</v>
      </c>
      <c r="F14708" t="s">
        <v>27987</v>
      </c>
      <c r="G14708" s="117">
        <v>156.94999999999999</v>
      </c>
    </row>
    <row r="14709" spans="1:7" x14ac:dyDescent="0.25">
      <c r="A14709" s="116" t="s">
        <v>22811</v>
      </c>
      <c r="B14709" s="117" t="s">
        <v>22812</v>
      </c>
      <c r="C14709" t="s">
        <v>67</v>
      </c>
      <c r="D14709" t="s">
        <v>67</v>
      </c>
      <c r="E14709" t="s">
        <v>67</v>
      </c>
      <c r="F14709" t="s">
        <v>27987</v>
      </c>
      <c r="G14709" s="117">
        <v>71.819999999999993</v>
      </c>
    </row>
    <row r="14710" spans="1:7" x14ac:dyDescent="0.25">
      <c r="A14710" s="116" t="s">
        <v>22813</v>
      </c>
      <c r="B14710" s="117" t="s">
        <v>22814</v>
      </c>
      <c r="C14710" t="s">
        <v>67</v>
      </c>
      <c r="D14710" t="s">
        <v>67</v>
      </c>
      <c r="E14710" t="s">
        <v>67</v>
      </c>
      <c r="F14710" t="s">
        <v>27987</v>
      </c>
      <c r="G14710" s="117">
        <v>12.43</v>
      </c>
    </row>
    <row r="14711" spans="1:7" x14ac:dyDescent="0.25">
      <c r="A14711" s="116" t="s">
        <v>22815</v>
      </c>
      <c r="B14711" s="117" t="s">
        <v>22816</v>
      </c>
      <c r="C14711" t="s">
        <v>67</v>
      </c>
      <c r="D14711" t="s">
        <v>67</v>
      </c>
      <c r="E14711" t="s">
        <v>67</v>
      </c>
      <c r="F14711" t="s">
        <v>27987</v>
      </c>
      <c r="G14711" s="117">
        <v>456.67</v>
      </c>
    </row>
    <row r="14712" spans="1:7" x14ac:dyDescent="0.25">
      <c r="A14712" s="116" t="s">
        <v>22817</v>
      </c>
      <c r="B14712" s="117" t="s">
        <v>30162</v>
      </c>
      <c r="C14712" t="s">
        <v>67</v>
      </c>
      <c r="D14712" t="s">
        <v>67</v>
      </c>
      <c r="E14712" t="s">
        <v>67</v>
      </c>
      <c r="F14712" t="s">
        <v>27987</v>
      </c>
      <c r="G14712" s="117">
        <v>29</v>
      </c>
    </row>
    <row r="14713" spans="1:7" x14ac:dyDescent="0.25">
      <c r="A14713" s="116" t="s">
        <v>28110</v>
      </c>
      <c r="B14713" s="117" t="s">
        <v>28111</v>
      </c>
      <c r="C14713" t="s">
        <v>67</v>
      </c>
      <c r="D14713" t="s">
        <v>67</v>
      </c>
      <c r="E14713" t="s">
        <v>67</v>
      </c>
      <c r="F14713" t="s">
        <v>27987</v>
      </c>
      <c r="G14713" s="117">
        <v>10</v>
      </c>
    </row>
    <row r="14714" spans="1:7" x14ac:dyDescent="0.25">
      <c r="A14714" s="116" t="s">
        <v>28112</v>
      </c>
      <c r="B14714" s="117" t="s">
        <v>28113</v>
      </c>
      <c r="C14714" t="s">
        <v>67</v>
      </c>
      <c r="D14714" t="s">
        <v>67</v>
      </c>
      <c r="E14714" t="s">
        <v>67</v>
      </c>
      <c r="F14714" t="s">
        <v>27987</v>
      </c>
      <c r="G14714" s="117">
        <v>10</v>
      </c>
    </row>
    <row r="14715" spans="1:7" x14ac:dyDescent="0.25">
      <c r="A14715" s="116" t="s">
        <v>22818</v>
      </c>
      <c r="B14715" s="117" t="s">
        <v>5084</v>
      </c>
      <c r="C14715" t="s">
        <v>67</v>
      </c>
      <c r="D14715" t="s">
        <v>67</v>
      </c>
      <c r="E14715" t="s">
        <v>67</v>
      </c>
      <c r="F14715" t="s">
        <v>27987</v>
      </c>
      <c r="G14715" s="117">
        <v>0.8</v>
      </c>
    </row>
    <row r="14716" spans="1:7" x14ac:dyDescent="0.25">
      <c r="A14716" s="116" t="s">
        <v>22819</v>
      </c>
      <c r="B14716" s="117" t="s">
        <v>22820</v>
      </c>
      <c r="C14716" t="s">
        <v>67</v>
      </c>
      <c r="D14716" t="s">
        <v>67</v>
      </c>
      <c r="E14716" t="s">
        <v>67</v>
      </c>
      <c r="F14716" t="s">
        <v>45</v>
      </c>
      <c r="G14716" s="117">
        <v>2.58</v>
      </c>
    </row>
    <row r="14717" spans="1:7" x14ac:dyDescent="0.25">
      <c r="A14717" s="116" t="s">
        <v>22821</v>
      </c>
      <c r="B14717" s="117" t="s">
        <v>22822</v>
      </c>
      <c r="C14717" t="s">
        <v>67</v>
      </c>
      <c r="D14717" t="s">
        <v>67</v>
      </c>
      <c r="E14717" t="s">
        <v>67</v>
      </c>
      <c r="F14717" t="s">
        <v>45</v>
      </c>
      <c r="G14717" s="117">
        <v>4</v>
      </c>
    </row>
    <row r="14718" spans="1:7" x14ac:dyDescent="0.25">
      <c r="A14718" s="116" t="s">
        <v>22823</v>
      </c>
      <c r="B14718" s="117" t="s">
        <v>22824</v>
      </c>
      <c r="C14718" t="s">
        <v>67</v>
      </c>
      <c r="D14718" t="s">
        <v>67</v>
      </c>
      <c r="E14718" t="s">
        <v>67</v>
      </c>
      <c r="F14718" t="s">
        <v>45</v>
      </c>
      <c r="G14718" s="117">
        <v>116.47</v>
      </c>
    </row>
    <row r="14719" spans="1:7" x14ac:dyDescent="0.25">
      <c r="A14719" s="116" t="s">
        <v>22825</v>
      </c>
      <c r="B14719" s="117" t="s">
        <v>22826</v>
      </c>
      <c r="C14719" t="s">
        <v>67</v>
      </c>
      <c r="D14719" t="s">
        <v>67</v>
      </c>
      <c r="E14719" t="s">
        <v>67</v>
      </c>
      <c r="F14719" t="s">
        <v>45</v>
      </c>
      <c r="G14719" s="117">
        <v>40</v>
      </c>
    </row>
    <row r="14720" spans="1:7" x14ac:dyDescent="0.25">
      <c r="A14720" s="116" t="s">
        <v>22827</v>
      </c>
      <c r="B14720" s="117" t="s">
        <v>22828</v>
      </c>
      <c r="C14720" t="s">
        <v>67</v>
      </c>
      <c r="D14720" t="s">
        <v>67</v>
      </c>
      <c r="E14720" t="s">
        <v>67</v>
      </c>
      <c r="F14720" t="s">
        <v>27987</v>
      </c>
      <c r="G14720" s="117">
        <v>52.06</v>
      </c>
    </row>
    <row r="14721" spans="1:7" x14ac:dyDescent="0.25">
      <c r="A14721" s="116" t="s">
        <v>29607</v>
      </c>
      <c r="B14721" s="117" t="s">
        <v>29608</v>
      </c>
      <c r="C14721" t="s">
        <v>67</v>
      </c>
      <c r="D14721" t="s">
        <v>67</v>
      </c>
      <c r="E14721" t="s">
        <v>67</v>
      </c>
      <c r="F14721" t="s">
        <v>45</v>
      </c>
      <c r="G14721" s="117">
        <v>4.5</v>
      </c>
    </row>
    <row r="14722" spans="1:7" x14ac:dyDescent="0.25">
      <c r="A14722" s="116" t="s">
        <v>22829</v>
      </c>
      <c r="B14722" s="117" t="s">
        <v>22830</v>
      </c>
      <c r="C14722" t="s">
        <v>67</v>
      </c>
      <c r="D14722" t="s">
        <v>67</v>
      </c>
      <c r="E14722" t="s">
        <v>67</v>
      </c>
      <c r="F14722" t="s">
        <v>45</v>
      </c>
      <c r="G14722" s="117">
        <v>16.82</v>
      </c>
    </row>
    <row r="14723" spans="1:7" x14ac:dyDescent="0.25">
      <c r="A14723" s="116" t="s">
        <v>22831</v>
      </c>
      <c r="B14723" s="117" t="s">
        <v>22832</v>
      </c>
      <c r="C14723" t="s">
        <v>67</v>
      </c>
      <c r="D14723" t="s">
        <v>67</v>
      </c>
      <c r="E14723" t="s">
        <v>67</v>
      </c>
      <c r="F14723" t="s">
        <v>45</v>
      </c>
      <c r="G14723" s="117">
        <v>189.98</v>
      </c>
    </row>
    <row r="14724" spans="1:7" x14ac:dyDescent="0.25">
      <c r="A14724" s="116" t="s">
        <v>22833</v>
      </c>
      <c r="B14724" s="117" t="s">
        <v>22834</v>
      </c>
      <c r="C14724" t="s">
        <v>67</v>
      </c>
      <c r="D14724" t="s">
        <v>67</v>
      </c>
      <c r="E14724" t="s">
        <v>67</v>
      </c>
      <c r="F14724" t="s">
        <v>45</v>
      </c>
      <c r="G14724" s="117">
        <v>4.8899999999999997</v>
      </c>
    </row>
    <row r="14725" spans="1:7" x14ac:dyDescent="0.25">
      <c r="A14725" s="116" t="s">
        <v>22835</v>
      </c>
      <c r="B14725" s="117" t="s">
        <v>22836</v>
      </c>
      <c r="C14725" t="s">
        <v>67</v>
      </c>
      <c r="D14725" t="s">
        <v>67</v>
      </c>
      <c r="E14725" t="s">
        <v>67</v>
      </c>
      <c r="F14725" t="s">
        <v>45</v>
      </c>
      <c r="G14725" s="117">
        <v>0.8</v>
      </c>
    </row>
    <row r="14726" spans="1:7" x14ac:dyDescent="0.25">
      <c r="A14726" s="116" t="s">
        <v>22837</v>
      </c>
      <c r="B14726" s="117" t="s">
        <v>22838</v>
      </c>
      <c r="C14726" t="s">
        <v>67</v>
      </c>
      <c r="D14726" t="s">
        <v>67</v>
      </c>
      <c r="E14726" t="s">
        <v>67</v>
      </c>
      <c r="F14726" t="s">
        <v>45</v>
      </c>
      <c r="G14726" s="117">
        <v>14.14</v>
      </c>
    </row>
    <row r="14727" spans="1:7" x14ac:dyDescent="0.25">
      <c r="A14727" s="116" t="s">
        <v>22839</v>
      </c>
      <c r="B14727" s="117" t="s">
        <v>22840</v>
      </c>
      <c r="C14727" t="s">
        <v>67</v>
      </c>
      <c r="D14727" t="s">
        <v>67</v>
      </c>
      <c r="E14727" t="s">
        <v>67</v>
      </c>
      <c r="F14727" t="s">
        <v>45</v>
      </c>
      <c r="G14727" s="117">
        <v>2.23</v>
      </c>
    </row>
    <row r="14728" spans="1:7" x14ac:dyDescent="0.25">
      <c r="A14728" s="116" t="s">
        <v>22841</v>
      </c>
      <c r="B14728" s="117" t="s">
        <v>22842</v>
      </c>
      <c r="C14728" t="s">
        <v>67</v>
      </c>
      <c r="D14728" t="s">
        <v>67</v>
      </c>
      <c r="E14728" t="s">
        <v>67</v>
      </c>
      <c r="F14728" t="s">
        <v>45</v>
      </c>
      <c r="G14728" s="117">
        <v>0.8</v>
      </c>
    </row>
    <row r="14729" spans="1:7" x14ac:dyDescent="0.25">
      <c r="A14729" s="116" t="s">
        <v>22843</v>
      </c>
      <c r="B14729" s="117" t="s">
        <v>22844</v>
      </c>
      <c r="C14729" t="s">
        <v>67</v>
      </c>
      <c r="D14729" t="s">
        <v>67</v>
      </c>
      <c r="E14729" t="s">
        <v>67</v>
      </c>
      <c r="F14729" t="s">
        <v>45</v>
      </c>
      <c r="G14729" s="117">
        <v>22.69</v>
      </c>
    </row>
    <row r="14730" spans="1:7" x14ac:dyDescent="0.25">
      <c r="A14730" s="116" t="s">
        <v>22845</v>
      </c>
      <c r="B14730" s="117" t="s">
        <v>22846</v>
      </c>
      <c r="C14730" t="s">
        <v>67</v>
      </c>
      <c r="D14730" t="s">
        <v>67</v>
      </c>
      <c r="E14730" t="s">
        <v>67</v>
      </c>
      <c r="F14730" t="s">
        <v>27987</v>
      </c>
      <c r="G14730" s="117">
        <v>95.91</v>
      </c>
    </row>
    <row r="14731" spans="1:7" x14ac:dyDescent="0.25">
      <c r="A14731" s="116" t="s">
        <v>22847</v>
      </c>
      <c r="B14731" s="117" t="s">
        <v>22848</v>
      </c>
      <c r="C14731" t="s">
        <v>67</v>
      </c>
      <c r="D14731" t="s">
        <v>67</v>
      </c>
      <c r="E14731" t="s">
        <v>67</v>
      </c>
      <c r="F14731" t="s">
        <v>45</v>
      </c>
      <c r="G14731" s="117">
        <v>20.38</v>
      </c>
    </row>
    <row r="14732" spans="1:7" x14ac:dyDescent="0.25">
      <c r="A14732" s="116" t="s">
        <v>22849</v>
      </c>
      <c r="B14732" s="117" t="s">
        <v>22850</v>
      </c>
      <c r="C14732" t="s">
        <v>67</v>
      </c>
      <c r="D14732" t="s">
        <v>67</v>
      </c>
      <c r="E14732" t="s">
        <v>67</v>
      </c>
      <c r="F14732" t="s">
        <v>45</v>
      </c>
      <c r="G14732" s="117">
        <v>3.12</v>
      </c>
    </row>
    <row r="14733" spans="1:7" x14ac:dyDescent="0.25">
      <c r="A14733" s="116" t="s">
        <v>22851</v>
      </c>
      <c r="B14733" s="117" t="s">
        <v>22852</v>
      </c>
      <c r="C14733" t="s">
        <v>67</v>
      </c>
      <c r="D14733" t="s">
        <v>67</v>
      </c>
      <c r="E14733" t="s">
        <v>67</v>
      </c>
      <c r="F14733" t="s">
        <v>45</v>
      </c>
      <c r="G14733" s="117">
        <v>104.02</v>
      </c>
    </row>
    <row r="14734" spans="1:7" x14ac:dyDescent="0.25">
      <c r="A14734" s="116" t="s">
        <v>22853</v>
      </c>
      <c r="B14734" s="117" t="s">
        <v>22854</v>
      </c>
      <c r="C14734" t="s">
        <v>67</v>
      </c>
      <c r="D14734" t="s">
        <v>67</v>
      </c>
      <c r="E14734" t="s">
        <v>67</v>
      </c>
      <c r="F14734" t="s">
        <v>45</v>
      </c>
      <c r="G14734" s="117">
        <v>31.94</v>
      </c>
    </row>
    <row r="14735" spans="1:7" x14ac:dyDescent="0.25">
      <c r="A14735" s="116" t="s">
        <v>30098</v>
      </c>
      <c r="B14735" s="117" t="s">
        <v>30379</v>
      </c>
      <c r="C14735" t="s">
        <v>67</v>
      </c>
      <c r="D14735" t="s">
        <v>67</v>
      </c>
      <c r="E14735" t="s">
        <v>67</v>
      </c>
      <c r="F14735" t="s">
        <v>45</v>
      </c>
      <c r="G14735" s="117">
        <v>11.55</v>
      </c>
    </row>
    <row r="14736" spans="1:7" x14ac:dyDescent="0.25">
      <c r="A14736" s="116" t="s">
        <v>22855</v>
      </c>
      <c r="B14736" s="117" t="s">
        <v>4587</v>
      </c>
      <c r="C14736" t="s">
        <v>67</v>
      </c>
      <c r="D14736" t="s">
        <v>67</v>
      </c>
      <c r="E14736" t="s">
        <v>67</v>
      </c>
      <c r="F14736" t="s">
        <v>45</v>
      </c>
      <c r="G14736" s="117">
        <v>114.7</v>
      </c>
    </row>
    <row r="14737" spans="1:7" x14ac:dyDescent="0.25">
      <c r="A14737" s="116" t="s">
        <v>22856</v>
      </c>
      <c r="B14737" s="117" t="s">
        <v>22857</v>
      </c>
      <c r="C14737" t="s">
        <v>67</v>
      </c>
      <c r="D14737" t="s">
        <v>67</v>
      </c>
      <c r="E14737" t="s">
        <v>67</v>
      </c>
      <c r="F14737" t="s">
        <v>49</v>
      </c>
      <c r="G14737" s="117">
        <v>196.15</v>
      </c>
    </row>
    <row r="14738" spans="1:7" x14ac:dyDescent="0.25">
      <c r="A14738" s="116" t="s">
        <v>22858</v>
      </c>
      <c r="B14738" s="117" t="s">
        <v>22859</v>
      </c>
      <c r="C14738" t="s">
        <v>67</v>
      </c>
      <c r="D14738" t="s">
        <v>67</v>
      </c>
      <c r="E14738" t="s">
        <v>67</v>
      </c>
      <c r="F14738" t="s">
        <v>27990</v>
      </c>
      <c r="G14738" s="117">
        <v>196.15</v>
      </c>
    </row>
    <row r="14739" spans="1:7" x14ac:dyDescent="0.25">
      <c r="A14739" s="116" t="s">
        <v>22860</v>
      </c>
      <c r="B14739" s="117" t="s">
        <v>22861</v>
      </c>
      <c r="C14739" t="s">
        <v>67</v>
      </c>
      <c r="D14739" t="s">
        <v>67</v>
      </c>
      <c r="E14739" t="s">
        <v>67</v>
      </c>
      <c r="F14739" t="s">
        <v>45</v>
      </c>
      <c r="G14739" s="117">
        <v>44.94</v>
      </c>
    </row>
    <row r="14740" spans="1:7" x14ac:dyDescent="0.25">
      <c r="A14740" s="116" t="s">
        <v>22862</v>
      </c>
      <c r="B14740" s="117" t="s">
        <v>22863</v>
      </c>
      <c r="C14740" t="s">
        <v>67</v>
      </c>
      <c r="D14740" t="s">
        <v>67</v>
      </c>
      <c r="E14740" t="s">
        <v>67</v>
      </c>
      <c r="F14740" t="s">
        <v>45</v>
      </c>
      <c r="G14740" s="117">
        <v>2.58</v>
      </c>
    </row>
    <row r="14741" spans="1:7" x14ac:dyDescent="0.25">
      <c r="A14741" s="116" t="s">
        <v>22864</v>
      </c>
      <c r="B14741" s="117" t="s">
        <v>22865</v>
      </c>
      <c r="C14741" t="s">
        <v>67</v>
      </c>
      <c r="D14741" t="s">
        <v>67</v>
      </c>
      <c r="E14741" t="s">
        <v>67</v>
      </c>
      <c r="F14741" t="s">
        <v>45</v>
      </c>
      <c r="G14741" s="117">
        <v>2.58</v>
      </c>
    </row>
    <row r="14742" spans="1:7" x14ac:dyDescent="0.25">
      <c r="A14742" s="116" t="s">
        <v>22866</v>
      </c>
      <c r="B14742" s="117" t="s">
        <v>22867</v>
      </c>
      <c r="C14742" t="s">
        <v>67</v>
      </c>
      <c r="D14742" t="s">
        <v>67</v>
      </c>
      <c r="E14742" t="s">
        <v>67</v>
      </c>
      <c r="F14742" t="s">
        <v>27987</v>
      </c>
      <c r="G14742" s="117">
        <v>42.62</v>
      </c>
    </row>
    <row r="14743" spans="1:7" x14ac:dyDescent="0.25">
      <c r="A14743" s="116" t="s">
        <v>22868</v>
      </c>
      <c r="B14743" s="117" t="s">
        <v>22869</v>
      </c>
      <c r="C14743" t="s">
        <v>67</v>
      </c>
      <c r="D14743" t="s">
        <v>67</v>
      </c>
      <c r="E14743" t="s">
        <v>67</v>
      </c>
      <c r="F14743" t="s">
        <v>27987</v>
      </c>
      <c r="G14743" s="117">
        <v>3.56</v>
      </c>
    </row>
    <row r="14744" spans="1:7" x14ac:dyDescent="0.25">
      <c r="A14744" s="116" t="s">
        <v>22870</v>
      </c>
      <c r="B14744" s="117" t="s">
        <v>22871</v>
      </c>
      <c r="C14744" t="s">
        <v>67</v>
      </c>
      <c r="D14744" t="s">
        <v>67</v>
      </c>
      <c r="E14744" t="s">
        <v>67</v>
      </c>
      <c r="F14744" t="s">
        <v>27987</v>
      </c>
      <c r="G14744" s="117">
        <v>3.12</v>
      </c>
    </row>
    <row r="14745" spans="1:7" x14ac:dyDescent="0.25">
      <c r="A14745" s="116" t="s">
        <v>22872</v>
      </c>
      <c r="B14745" s="117" t="s">
        <v>22873</v>
      </c>
      <c r="C14745" t="s">
        <v>67</v>
      </c>
      <c r="D14745" t="s">
        <v>67</v>
      </c>
      <c r="E14745" t="s">
        <v>67</v>
      </c>
      <c r="F14745" t="s">
        <v>45</v>
      </c>
      <c r="G14745" s="117">
        <v>109.89</v>
      </c>
    </row>
    <row r="14746" spans="1:7" x14ac:dyDescent="0.25">
      <c r="A14746" s="116" t="s">
        <v>22874</v>
      </c>
      <c r="B14746" s="117" t="s">
        <v>22875</v>
      </c>
      <c r="C14746" t="s">
        <v>67</v>
      </c>
      <c r="D14746" t="s">
        <v>67</v>
      </c>
      <c r="E14746" t="s">
        <v>67</v>
      </c>
      <c r="F14746" t="s">
        <v>27987</v>
      </c>
      <c r="G14746" s="117">
        <v>8.4499999999999993</v>
      </c>
    </row>
    <row r="14747" spans="1:7" x14ac:dyDescent="0.25">
      <c r="A14747" s="116" t="s">
        <v>22876</v>
      </c>
      <c r="B14747" s="117" t="s">
        <v>22877</v>
      </c>
      <c r="C14747" t="s">
        <v>67</v>
      </c>
      <c r="D14747" t="s">
        <v>67</v>
      </c>
      <c r="E14747" t="s">
        <v>67</v>
      </c>
      <c r="F14747" t="s">
        <v>45</v>
      </c>
      <c r="G14747" s="117">
        <v>7.12</v>
      </c>
    </row>
    <row r="14748" spans="1:7" x14ac:dyDescent="0.25">
      <c r="A14748" s="116" t="s">
        <v>22878</v>
      </c>
      <c r="B14748" s="117" t="s">
        <v>22879</v>
      </c>
      <c r="C14748" t="s">
        <v>67</v>
      </c>
      <c r="D14748" t="s">
        <v>67</v>
      </c>
      <c r="E14748" t="s">
        <v>67</v>
      </c>
      <c r="F14748" t="s">
        <v>45</v>
      </c>
      <c r="G14748" s="117">
        <v>112.92</v>
      </c>
    </row>
    <row r="14749" spans="1:7" x14ac:dyDescent="0.25">
      <c r="A14749" s="116" t="s">
        <v>22880</v>
      </c>
      <c r="B14749" s="117" t="s">
        <v>22881</v>
      </c>
      <c r="C14749" t="s">
        <v>67</v>
      </c>
      <c r="D14749" t="s">
        <v>67</v>
      </c>
      <c r="E14749" t="s">
        <v>67</v>
      </c>
      <c r="F14749" t="s">
        <v>45</v>
      </c>
      <c r="G14749" s="117">
        <v>31.94</v>
      </c>
    </row>
    <row r="14750" spans="1:7" x14ac:dyDescent="0.25">
      <c r="A14750" s="116" t="s">
        <v>22882</v>
      </c>
      <c r="B14750" s="117" t="s">
        <v>22883</v>
      </c>
      <c r="C14750" t="s">
        <v>67</v>
      </c>
      <c r="D14750" t="s">
        <v>67</v>
      </c>
      <c r="E14750" t="s">
        <v>67</v>
      </c>
      <c r="F14750" t="s">
        <v>45</v>
      </c>
      <c r="G14750" s="117">
        <v>86.23</v>
      </c>
    </row>
    <row r="14751" spans="1:7" x14ac:dyDescent="0.25">
      <c r="A14751" s="116" t="s">
        <v>22884</v>
      </c>
      <c r="B14751" s="117" t="s">
        <v>22885</v>
      </c>
      <c r="C14751" t="s">
        <v>67</v>
      </c>
      <c r="D14751" t="s">
        <v>67</v>
      </c>
      <c r="E14751" t="s">
        <v>67</v>
      </c>
      <c r="F14751" t="s">
        <v>45</v>
      </c>
      <c r="G14751" s="117">
        <v>46.18</v>
      </c>
    </row>
    <row r="14752" spans="1:7" x14ac:dyDescent="0.25">
      <c r="A14752" s="116" t="s">
        <v>22886</v>
      </c>
      <c r="B14752" s="117" t="s">
        <v>22887</v>
      </c>
      <c r="C14752" t="s">
        <v>67</v>
      </c>
      <c r="D14752" t="s">
        <v>67</v>
      </c>
      <c r="E14752" t="s">
        <v>67</v>
      </c>
      <c r="F14752" t="s">
        <v>27987</v>
      </c>
      <c r="G14752" s="117">
        <v>5.33</v>
      </c>
    </row>
    <row r="14753" spans="1:7" x14ac:dyDescent="0.25">
      <c r="A14753" s="116" t="s">
        <v>22888</v>
      </c>
      <c r="B14753" s="117" t="s">
        <v>22889</v>
      </c>
      <c r="C14753" t="s">
        <v>67</v>
      </c>
      <c r="D14753" t="s">
        <v>67</v>
      </c>
      <c r="E14753" t="s">
        <v>67</v>
      </c>
      <c r="F14753" t="s">
        <v>45</v>
      </c>
      <c r="G14753" s="117">
        <v>52.06</v>
      </c>
    </row>
    <row r="14754" spans="1:7" x14ac:dyDescent="0.25">
      <c r="A14754" s="116" t="s">
        <v>22890</v>
      </c>
      <c r="B14754" s="117" t="s">
        <v>22891</v>
      </c>
      <c r="C14754" t="s">
        <v>67</v>
      </c>
      <c r="D14754" t="s">
        <v>67</v>
      </c>
      <c r="E14754" t="s">
        <v>67</v>
      </c>
      <c r="F14754" t="s">
        <v>27987</v>
      </c>
      <c r="G14754" s="117">
        <v>1.33</v>
      </c>
    </row>
    <row r="14755" spans="1:7" x14ac:dyDescent="0.25">
      <c r="A14755" s="116" t="s">
        <v>22892</v>
      </c>
      <c r="B14755" s="117" t="s">
        <v>22893</v>
      </c>
      <c r="C14755" t="s">
        <v>67</v>
      </c>
      <c r="D14755" t="s">
        <v>67</v>
      </c>
      <c r="E14755" t="s">
        <v>67</v>
      </c>
      <c r="F14755" t="s">
        <v>27987</v>
      </c>
      <c r="G14755" s="117">
        <v>10.58</v>
      </c>
    </row>
    <row r="14756" spans="1:7" x14ac:dyDescent="0.25">
      <c r="A14756" s="116" t="s">
        <v>22894</v>
      </c>
      <c r="B14756" s="117" t="s">
        <v>22895</v>
      </c>
      <c r="C14756" t="s">
        <v>67</v>
      </c>
      <c r="D14756" t="s">
        <v>67</v>
      </c>
      <c r="E14756" t="s">
        <v>67</v>
      </c>
      <c r="F14756" t="s">
        <v>45</v>
      </c>
      <c r="G14756" s="117">
        <v>36.93</v>
      </c>
    </row>
    <row r="14757" spans="1:7" x14ac:dyDescent="0.25">
      <c r="A14757" s="116" t="s">
        <v>22896</v>
      </c>
      <c r="B14757" s="117" t="s">
        <v>22897</v>
      </c>
      <c r="C14757" t="s">
        <v>67</v>
      </c>
      <c r="D14757" t="s">
        <v>67</v>
      </c>
      <c r="E14757" t="s">
        <v>67</v>
      </c>
      <c r="F14757" t="s">
        <v>45</v>
      </c>
      <c r="G14757" s="117">
        <v>6.14</v>
      </c>
    </row>
    <row r="14758" spans="1:7" x14ac:dyDescent="0.25">
      <c r="A14758" s="116" t="s">
        <v>22898</v>
      </c>
      <c r="B14758" s="117" t="s">
        <v>22899</v>
      </c>
      <c r="C14758" t="s">
        <v>67</v>
      </c>
      <c r="D14758" t="s">
        <v>67</v>
      </c>
      <c r="E14758" t="s">
        <v>67</v>
      </c>
      <c r="F14758" t="s">
        <v>45</v>
      </c>
      <c r="G14758" s="117">
        <v>51.17</v>
      </c>
    </row>
    <row r="14759" spans="1:7" x14ac:dyDescent="0.25">
      <c r="A14759" s="116" t="s">
        <v>22900</v>
      </c>
      <c r="B14759" s="117" t="s">
        <v>22901</v>
      </c>
      <c r="C14759" t="s">
        <v>67</v>
      </c>
      <c r="D14759" t="s">
        <v>67</v>
      </c>
      <c r="E14759" t="s">
        <v>67</v>
      </c>
      <c r="F14759" t="s">
        <v>45</v>
      </c>
      <c r="G14759" s="117">
        <v>12.01</v>
      </c>
    </row>
    <row r="14760" spans="1:7" x14ac:dyDescent="0.25">
      <c r="A14760" s="116" t="s">
        <v>22902</v>
      </c>
      <c r="B14760" s="117" t="s">
        <v>22903</v>
      </c>
      <c r="C14760" t="s">
        <v>67</v>
      </c>
      <c r="D14760" t="s">
        <v>67</v>
      </c>
      <c r="E14760" t="s">
        <v>67</v>
      </c>
      <c r="F14760" t="s">
        <v>45</v>
      </c>
      <c r="G14760" s="117">
        <v>1.33</v>
      </c>
    </row>
    <row r="14761" spans="1:7" x14ac:dyDescent="0.25">
      <c r="A14761" s="116" t="s">
        <v>22904</v>
      </c>
      <c r="B14761" s="117" t="s">
        <v>22905</v>
      </c>
      <c r="C14761" t="s">
        <v>67</v>
      </c>
      <c r="D14761" t="s">
        <v>67</v>
      </c>
      <c r="E14761" t="s">
        <v>67</v>
      </c>
      <c r="F14761" t="s">
        <v>45</v>
      </c>
      <c r="G14761" s="117">
        <v>1.77</v>
      </c>
    </row>
    <row r="14762" spans="1:7" x14ac:dyDescent="0.25">
      <c r="A14762" s="116" t="s">
        <v>22906</v>
      </c>
      <c r="B14762" s="117" t="s">
        <v>22907</v>
      </c>
      <c r="C14762" t="s">
        <v>67</v>
      </c>
      <c r="D14762" t="s">
        <v>67</v>
      </c>
      <c r="E14762" t="s">
        <v>67</v>
      </c>
      <c r="F14762" t="s">
        <v>45</v>
      </c>
      <c r="G14762" s="117">
        <v>3.56</v>
      </c>
    </row>
    <row r="14763" spans="1:7" x14ac:dyDescent="0.25">
      <c r="A14763" s="116" t="s">
        <v>22908</v>
      </c>
      <c r="B14763" s="117" t="s">
        <v>22909</v>
      </c>
      <c r="C14763" t="s">
        <v>67</v>
      </c>
      <c r="D14763" t="s">
        <v>67</v>
      </c>
      <c r="E14763" t="s">
        <v>67</v>
      </c>
      <c r="F14763" t="s">
        <v>27987</v>
      </c>
      <c r="G14763" s="117">
        <v>4.3600000000000003</v>
      </c>
    </row>
    <row r="14764" spans="1:7" x14ac:dyDescent="0.25">
      <c r="A14764" s="116" t="s">
        <v>22910</v>
      </c>
      <c r="B14764" s="117" t="s">
        <v>22911</v>
      </c>
      <c r="C14764" t="s">
        <v>67</v>
      </c>
      <c r="D14764" t="s">
        <v>67</v>
      </c>
      <c r="E14764" t="s">
        <v>67</v>
      </c>
      <c r="F14764" t="s">
        <v>27987</v>
      </c>
      <c r="G14764" s="117">
        <v>35.5</v>
      </c>
    </row>
    <row r="14765" spans="1:7" x14ac:dyDescent="0.25">
      <c r="A14765" s="116" t="s">
        <v>22912</v>
      </c>
      <c r="B14765" s="117" t="s">
        <v>22913</v>
      </c>
      <c r="C14765" t="s">
        <v>67</v>
      </c>
      <c r="D14765" t="s">
        <v>67</v>
      </c>
      <c r="E14765" t="s">
        <v>67</v>
      </c>
      <c r="F14765" t="s">
        <v>27987</v>
      </c>
      <c r="G14765" s="117">
        <v>39.6</v>
      </c>
    </row>
    <row r="14766" spans="1:7" x14ac:dyDescent="0.25">
      <c r="A14766" s="116" t="s">
        <v>22914</v>
      </c>
      <c r="B14766" s="117" t="s">
        <v>22915</v>
      </c>
      <c r="C14766" t="s">
        <v>67</v>
      </c>
      <c r="D14766" t="s">
        <v>67</v>
      </c>
      <c r="E14766" t="s">
        <v>67</v>
      </c>
      <c r="F14766" t="s">
        <v>45</v>
      </c>
      <c r="G14766" s="117">
        <v>1.33</v>
      </c>
    </row>
    <row r="14767" spans="1:7" x14ac:dyDescent="0.25">
      <c r="A14767" s="116" t="s">
        <v>22916</v>
      </c>
      <c r="B14767" s="117" t="s">
        <v>22917</v>
      </c>
      <c r="C14767" t="s">
        <v>67</v>
      </c>
      <c r="D14767" t="s">
        <v>67</v>
      </c>
      <c r="E14767" t="s">
        <v>67</v>
      </c>
      <c r="F14767" t="s">
        <v>45</v>
      </c>
      <c r="G14767" s="117">
        <v>70.739999999999995</v>
      </c>
    </row>
    <row r="14768" spans="1:7" x14ac:dyDescent="0.25">
      <c r="A14768" s="116" t="s">
        <v>22918</v>
      </c>
      <c r="B14768" s="117" t="s">
        <v>22919</v>
      </c>
      <c r="C14768" t="s">
        <v>67</v>
      </c>
      <c r="D14768" t="s">
        <v>67</v>
      </c>
      <c r="E14768" t="s">
        <v>67</v>
      </c>
      <c r="F14768" t="s">
        <v>45</v>
      </c>
      <c r="G14768" s="117">
        <v>38.700000000000003</v>
      </c>
    </row>
    <row r="14769" spans="1:7" x14ac:dyDescent="0.25">
      <c r="A14769" s="116" t="s">
        <v>22920</v>
      </c>
      <c r="B14769" s="117" t="s">
        <v>22921</v>
      </c>
      <c r="C14769" t="s">
        <v>67</v>
      </c>
      <c r="D14769" t="s">
        <v>67</v>
      </c>
      <c r="E14769" t="s">
        <v>67</v>
      </c>
      <c r="F14769" t="s">
        <v>27987</v>
      </c>
      <c r="G14769" s="117">
        <v>36.04</v>
      </c>
    </row>
    <row r="14770" spans="1:7" x14ac:dyDescent="0.25">
      <c r="A14770" s="116" t="s">
        <v>22922</v>
      </c>
      <c r="B14770" s="117" t="s">
        <v>22923</v>
      </c>
      <c r="C14770" t="s">
        <v>67</v>
      </c>
      <c r="D14770" t="s">
        <v>67</v>
      </c>
      <c r="E14770" t="s">
        <v>67</v>
      </c>
      <c r="F14770" t="s">
        <v>45</v>
      </c>
      <c r="G14770" s="117">
        <v>13.26</v>
      </c>
    </row>
    <row r="14771" spans="1:7" x14ac:dyDescent="0.25">
      <c r="A14771" s="116" t="s">
        <v>22924</v>
      </c>
      <c r="B14771" s="117" t="s">
        <v>22925</v>
      </c>
      <c r="C14771" t="s">
        <v>67</v>
      </c>
      <c r="D14771" t="s">
        <v>67</v>
      </c>
      <c r="E14771" t="s">
        <v>67</v>
      </c>
      <c r="F14771" t="s">
        <v>27987</v>
      </c>
      <c r="G14771" s="117">
        <v>4.8899999999999997</v>
      </c>
    </row>
    <row r="14772" spans="1:7" x14ac:dyDescent="0.25">
      <c r="A14772" s="116" t="s">
        <v>22926</v>
      </c>
      <c r="B14772" s="117" t="s">
        <v>29609</v>
      </c>
      <c r="C14772" t="s">
        <v>67</v>
      </c>
      <c r="D14772" t="s">
        <v>67</v>
      </c>
      <c r="E14772" t="s">
        <v>67</v>
      </c>
      <c r="F14772" t="s">
        <v>45</v>
      </c>
      <c r="G14772" s="117">
        <v>39.6</v>
      </c>
    </row>
    <row r="14773" spans="1:7" x14ac:dyDescent="0.25">
      <c r="A14773" s="116" t="s">
        <v>22927</v>
      </c>
      <c r="B14773" s="117" t="s">
        <v>22928</v>
      </c>
      <c r="C14773" t="s">
        <v>67</v>
      </c>
      <c r="D14773" t="s">
        <v>67</v>
      </c>
      <c r="E14773" t="s">
        <v>67</v>
      </c>
      <c r="F14773" t="s">
        <v>27987</v>
      </c>
      <c r="G14773" s="117">
        <v>12.01</v>
      </c>
    </row>
    <row r="14774" spans="1:7" x14ac:dyDescent="0.25">
      <c r="A14774" s="116" t="s">
        <v>22929</v>
      </c>
      <c r="B14774" s="117" t="s">
        <v>22919</v>
      </c>
      <c r="C14774" t="s">
        <v>67</v>
      </c>
      <c r="D14774" t="s">
        <v>67</v>
      </c>
      <c r="E14774" t="s">
        <v>67</v>
      </c>
      <c r="F14774" t="s">
        <v>27987</v>
      </c>
      <c r="G14774" s="117">
        <v>25.71</v>
      </c>
    </row>
    <row r="14775" spans="1:7" x14ac:dyDescent="0.25">
      <c r="A14775" s="116" t="s">
        <v>22930</v>
      </c>
      <c r="B14775" s="117" t="s">
        <v>22931</v>
      </c>
      <c r="C14775" t="s">
        <v>67</v>
      </c>
      <c r="D14775" t="s">
        <v>67</v>
      </c>
      <c r="E14775" t="s">
        <v>67</v>
      </c>
      <c r="F14775" t="s">
        <v>27987</v>
      </c>
      <c r="G14775" s="117">
        <v>13.26</v>
      </c>
    </row>
    <row r="14776" spans="1:7" x14ac:dyDescent="0.25">
      <c r="A14776" s="116" t="s">
        <v>22932</v>
      </c>
      <c r="B14776" s="117" t="s">
        <v>22933</v>
      </c>
      <c r="C14776" t="s">
        <v>67</v>
      </c>
      <c r="D14776" t="s">
        <v>67</v>
      </c>
      <c r="E14776" t="s">
        <v>67</v>
      </c>
      <c r="F14776" t="s">
        <v>27987</v>
      </c>
      <c r="G14776" s="117">
        <v>1.33</v>
      </c>
    </row>
    <row r="14777" spans="1:7" x14ac:dyDescent="0.25">
      <c r="A14777" s="116" t="s">
        <v>22934</v>
      </c>
      <c r="B14777" s="117" t="s">
        <v>22935</v>
      </c>
      <c r="C14777" t="s">
        <v>67</v>
      </c>
      <c r="D14777" t="s">
        <v>67</v>
      </c>
      <c r="E14777" t="s">
        <v>67</v>
      </c>
      <c r="F14777" t="s">
        <v>27987</v>
      </c>
      <c r="G14777" s="117">
        <v>44.94</v>
      </c>
    </row>
    <row r="14778" spans="1:7" x14ac:dyDescent="0.25">
      <c r="A14778" s="116" t="s">
        <v>22936</v>
      </c>
      <c r="B14778" s="117" t="s">
        <v>22937</v>
      </c>
      <c r="C14778" t="s">
        <v>67</v>
      </c>
      <c r="D14778" t="s">
        <v>67</v>
      </c>
      <c r="E14778" t="s">
        <v>67</v>
      </c>
      <c r="F14778" t="s">
        <v>27987</v>
      </c>
      <c r="G14778" s="117">
        <v>114.35</v>
      </c>
    </row>
    <row r="14779" spans="1:7" x14ac:dyDescent="0.25">
      <c r="A14779" s="116" t="s">
        <v>22938</v>
      </c>
      <c r="B14779" s="117" t="s">
        <v>22939</v>
      </c>
      <c r="C14779" t="s">
        <v>67</v>
      </c>
      <c r="D14779" t="s">
        <v>67</v>
      </c>
      <c r="E14779" t="s">
        <v>67</v>
      </c>
      <c r="F14779" t="s">
        <v>27987</v>
      </c>
      <c r="G14779" s="117">
        <v>52.42</v>
      </c>
    </row>
    <row r="14780" spans="1:7" x14ac:dyDescent="0.25">
      <c r="A14780" s="116" t="s">
        <v>22940</v>
      </c>
      <c r="B14780" s="117" t="s">
        <v>22941</v>
      </c>
      <c r="C14780" t="s">
        <v>67</v>
      </c>
      <c r="D14780" t="s">
        <v>67</v>
      </c>
      <c r="E14780" t="s">
        <v>67</v>
      </c>
      <c r="F14780" t="s">
        <v>27987</v>
      </c>
      <c r="G14780" s="117">
        <v>88.89</v>
      </c>
    </row>
    <row r="14781" spans="1:7" x14ac:dyDescent="0.25">
      <c r="A14781" s="116" t="s">
        <v>22942</v>
      </c>
      <c r="B14781" s="117" t="s">
        <v>22943</v>
      </c>
      <c r="C14781" t="s">
        <v>67</v>
      </c>
      <c r="D14781" t="s">
        <v>67</v>
      </c>
      <c r="E14781" t="s">
        <v>67</v>
      </c>
      <c r="F14781" t="s">
        <v>27987</v>
      </c>
      <c r="G14781" s="117">
        <v>11.48</v>
      </c>
    </row>
    <row r="14782" spans="1:7" x14ac:dyDescent="0.25">
      <c r="A14782" s="116" t="s">
        <v>22944</v>
      </c>
      <c r="B14782" s="117" t="s">
        <v>22945</v>
      </c>
      <c r="C14782" t="s">
        <v>67</v>
      </c>
      <c r="D14782" t="s">
        <v>67</v>
      </c>
      <c r="E14782" t="s">
        <v>67</v>
      </c>
      <c r="F14782" t="s">
        <v>27987</v>
      </c>
      <c r="G14782" s="117">
        <v>4</v>
      </c>
    </row>
    <row r="14783" spans="1:7" x14ac:dyDescent="0.25">
      <c r="A14783" s="116" t="s">
        <v>22946</v>
      </c>
      <c r="B14783" s="117" t="s">
        <v>22947</v>
      </c>
      <c r="C14783" t="s">
        <v>67</v>
      </c>
      <c r="D14783" t="s">
        <v>67</v>
      </c>
      <c r="E14783" t="s">
        <v>67</v>
      </c>
      <c r="F14783" t="s">
        <v>27987</v>
      </c>
      <c r="G14783" s="117">
        <v>1.77</v>
      </c>
    </row>
    <row r="14784" spans="1:7" x14ac:dyDescent="0.25">
      <c r="A14784" s="116" t="s">
        <v>22948</v>
      </c>
      <c r="B14784" s="117" t="s">
        <v>22949</v>
      </c>
      <c r="C14784" t="s">
        <v>67</v>
      </c>
      <c r="D14784" t="s">
        <v>67</v>
      </c>
      <c r="E14784" t="s">
        <v>67</v>
      </c>
      <c r="F14784" t="s">
        <v>27987</v>
      </c>
      <c r="G14784" s="117">
        <v>61.85</v>
      </c>
    </row>
    <row r="14785" spans="1:7" x14ac:dyDescent="0.25">
      <c r="A14785" s="116" t="s">
        <v>22950</v>
      </c>
      <c r="B14785" s="117" t="s">
        <v>22951</v>
      </c>
      <c r="C14785" t="s">
        <v>67</v>
      </c>
      <c r="D14785" t="s">
        <v>67</v>
      </c>
      <c r="E14785" t="s">
        <v>67</v>
      </c>
      <c r="F14785" t="s">
        <v>27987</v>
      </c>
      <c r="G14785" s="117">
        <v>4</v>
      </c>
    </row>
    <row r="14786" spans="1:7" x14ac:dyDescent="0.25">
      <c r="A14786" s="116" t="s">
        <v>22952</v>
      </c>
      <c r="B14786" s="117" t="s">
        <v>9335</v>
      </c>
      <c r="C14786" t="s">
        <v>67</v>
      </c>
      <c r="D14786" t="s">
        <v>67</v>
      </c>
      <c r="E14786" t="s">
        <v>67</v>
      </c>
      <c r="F14786" t="s">
        <v>27987</v>
      </c>
      <c r="G14786" s="117">
        <v>1.33</v>
      </c>
    </row>
    <row r="14787" spans="1:7" x14ac:dyDescent="0.25">
      <c r="A14787" s="116" t="s">
        <v>22953</v>
      </c>
      <c r="B14787" s="117" t="s">
        <v>22954</v>
      </c>
      <c r="C14787" t="s">
        <v>67</v>
      </c>
      <c r="D14787" t="s">
        <v>67</v>
      </c>
      <c r="E14787" t="s">
        <v>67</v>
      </c>
      <c r="F14787" t="s">
        <v>27987</v>
      </c>
      <c r="G14787" s="117">
        <v>2.23</v>
      </c>
    </row>
    <row r="14788" spans="1:7" x14ac:dyDescent="0.25">
      <c r="A14788" s="116" t="s">
        <v>22955</v>
      </c>
      <c r="B14788" s="117" t="s">
        <v>22956</v>
      </c>
      <c r="C14788" t="s">
        <v>67</v>
      </c>
      <c r="D14788" t="s">
        <v>67</v>
      </c>
      <c r="E14788" t="s">
        <v>67</v>
      </c>
      <c r="F14788" t="s">
        <v>27987</v>
      </c>
      <c r="G14788" s="117">
        <v>4.3600000000000003</v>
      </c>
    </row>
    <row r="14789" spans="1:7" x14ac:dyDescent="0.25">
      <c r="A14789" s="116" t="s">
        <v>22957</v>
      </c>
      <c r="B14789" s="117" t="s">
        <v>22958</v>
      </c>
      <c r="C14789" t="s">
        <v>67</v>
      </c>
      <c r="D14789" t="s">
        <v>67</v>
      </c>
      <c r="E14789" t="s">
        <v>67</v>
      </c>
      <c r="F14789" t="s">
        <v>27987</v>
      </c>
      <c r="G14789" s="117">
        <v>24.48</v>
      </c>
    </row>
    <row r="14790" spans="1:7" x14ac:dyDescent="0.25">
      <c r="A14790" s="116" t="s">
        <v>22959</v>
      </c>
      <c r="B14790" s="117" t="s">
        <v>29610</v>
      </c>
      <c r="C14790" t="s">
        <v>67</v>
      </c>
      <c r="D14790" t="s">
        <v>67</v>
      </c>
      <c r="E14790" t="s">
        <v>67</v>
      </c>
      <c r="F14790" t="s">
        <v>27987</v>
      </c>
      <c r="G14790" s="117">
        <v>22.16</v>
      </c>
    </row>
    <row r="14791" spans="1:7" x14ac:dyDescent="0.25">
      <c r="A14791" s="116" t="s">
        <v>22960</v>
      </c>
      <c r="B14791" s="117" t="s">
        <v>22961</v>
      </c>
      <c r="C14791" t="s">
        <v>67</v>
      </c>
      <c r="D14791" t="s">
        <v>67</v>
      </c>
      <c r="E14791" t="s">
        <v>67</v>
      </c>
      <c r="F14791" t="s">
        <v>27987</v>
      </c>
      <c r="G14791" s="117">
        <v>10.58</v>
      </c>
    </row>
    <row r="14792" spans="1:7" x14ac:dyDescent="0.25">
      <c r="A14792" s="116" t="s">
        <v>22962</v>
      </c>
      <c r="B14792" s="117" t="s">
        <v>22963</v>
      </c>
      <c r="C14792" t="s">
        <v>67</v>
      </c>
      <c r="D14792" t="s">
        <v>67</v>
      </c>
      <c r="E14792" t="s">
        <v>67</v>
      </c>
      <c r="F14792" t="s">
        <v>27987</v>
      </c>
      <c r="G14792" s="117">
        <v>1.69</v>
      </c>
    </row>
    <row r="14793" spans="1:7" x14ac:dyDescent="0.25">
      <c r="A14793" s="116" t="s">
        <v>22964</v>
      </c>
      <c r="B14793" s="117" t="s">
        <v>22965</v>
      </c>
      <c r="C14793" t="s">
        <v>67</v>
      </c>
      <c r="D14793" t="s">
        <v>67</v>
      </c>
      <c r="E14793" t="s">
        <v>67</v>
      </c>
      <c r="F14793" t="s">
        <v>45</v>
      </c>
      <c r="G14793" s="117">
        <v>3.12</v>
      </c>
    </row>
    <row r="14794" spans="1:7" x14ac:dyDescent="0.25">
      <c r="A14794" s="116" t="s">
        <v>22966</v>
      </c>
      <c r="B14794" s="117" t="s">
        <v>22967</v>
      </c>
      <c r="C14794" t="s">
        <v>67</v>
      </c>
      <c r="D14794" t="s">
        <v>67</v>
      </c>
      <c r="E14794" t="s">
        <v>67</v>
      </c>
      <c r="F14794" t="s">
        <v>27987</v>
      </c>
      <c r="G14794" s="117">
        <v>1.77</v>
      </c>
    </row>
    <row r="14795" spans="1:7" x14ac:dyDescent="0.25">
      <c r="A14795" s="116" t="s">
        <v>22968</v>
      </c>
      <c r="B14795" s="117" t="s">
        <v>22969</v>
      </c>
      <c r="C14795" t="s">
        <v>67</v>
      </c>
      <c r="D14795" t="s">
        <v>67</v>
      </c>
      <c r="E14795" t="s">
        <v>67</v>
      </c>
      <c r="F14795" t="s">
        <v>27987</v>
      </c>
      <c r="G14795" s="117">
        <v>2.58</v>
      </c>
    </row>
    <row r="14796" spans="1:7" x14ac:dyDescent="0.25">
      <c r="A14796" s="116" t="s">
        <v>22970</v>
      </c>
      <c r="B14796" s="117" t="s">
        <v>22971</v>
      </c>
      <c r="C14796" t="s">
        <v>67</v>
      </c>
      <c r="D14796" t="s">
        <v>67</v>
      </c>
      <c r="E14796" t="s">
        <v>67</v>
      </c>
      <c r="F14796" t="s">
        <v>49</v>
      </c>
      <c r="G14796" s="117">
        <v>4</v>
      </c>
    </row>
    <row r="14797" spans="1:7" x14ac:dyDescent="0.25">
      <c r="A14797" s="116" t="s">
        <v>22972</v>
      </c>
      <c r="B14797" s="117" t="s">
        <v>22973</v>
      </c>
      <c r="C14797" t="s">
        <v>67</v>
      </c>
      <c r="D14797" t="s">
        <v>67</v>
      </c>
      <c r="E14797" t="s">
        <v>67</v>
      </c>
      <c r="F14797" t="s">
        <v>27987</v>
      </c>
      <c r="G14797" s="117">
        <v>7.02</v>
      </c>
    </row>
    <row r="14798" spans="1:7" x14ac:dyDescent="0.25">
      <c r="A14798" s="116" t="s">
        <v>22974</v>
      </c>
      <c r="B14798" s="117" t="s">
        <v>22975</v>
      </c>
      <c r="C14798" t="s">
        <v>67</v>
      </c>
      <c r="D14798" t="s">
        <v>67</v>
      </c>
      <c r="E14798" t="s">
        <v>67</v>
      </c>
      <c r="F14798" t="s">
        <v>27987</v>
      </c>
      <c r="G14798" s="117">
        <v>78.75</v>
      </c>
    </row>
    <row r="14799" spans="1:7" x14ac:dyDescent="0.25">
      <c r="A14799" s="116" t="s">
        <v>22976</v>
      </c>
      <c r="B14799" s="117" t="s">
        <v>22977</v>
      </c>
      <c r="C14799" t="s">
        <v>67</v>
      </c>
      <c r="D14799" t="s">
        <v>67</v>
      </c>
      <c r="E14799" t="s">
        <v>67</v>
      </c>
      <c r="F14799" t="s">
        <v>27987</v>
      </c>
      <c r="G14799" s="117">
        <v>5.25</v>
      </c>
    </row>
    <row r="14800" spans="1:7" x14ac:dyDescent="0.25">
      <c r="A14800" s="116" t="s">
        <v>22978</v>
      </c>
      <c r="B14800" s="117" t="s">
        <v>22979</v>
      </c>
      <c r="C14800" t="s">
        <v>67</v>
      </c>
      <c r="D14800" t="s">
        <v>67</v>
      </c>
      <c r="E14800" t="s">
        <v>67</v>
      </c>
      <c r="F14800" t="s">
        <v>27987</v>
      </c>
      <c r="G14800" s="117">
        <v>7.02</v>
      </c>
    </row>
    <row r="14801" spans="1:7" x14ac:dyDescent="0.25">
      <c r="A14801" s="116" t="s">
        <v>22980</v>
      </c>
      <c r="B14801" s="117" t="s">
        <v>22954</v>
      </c>
      <c r="C14801" t="s">
        <v>67</v>
      </c>
      <c r="D14801" t="s">
        <v>67</v>
      </c>
      <c r="E14801" t="s">
        <v>67</v>
      </c>
      <c r="F14801" t="s">
        <v>45</v>
      </c>
      <c r="G14801" s="117">
        <v>7.92</v>
      </c>
    </row>
    <row r="14802" spans="1:7" x14ac:dyDescent="0.25">
      <c r="A14802" s="116" t="s">
        <v>22981</v>
      </c>
      <c r="B14802" s="117" t="s">
        <v>22982</v>
      </c>
      <c r="C14802" t="s">
        <v>67</v>
      </c>
      <c r="D14802" t="s">
        <v>67</v>
      </c>
      <c r="E14802" t="s">
        <v>67</v>
      </c>
      <c r="F14802" t="s">
        <v>27987</v>
      </c>
      <c r="G14802" s="117">
        <v>1.77</v>
      </c>
    </row>
    <row r="14803" spans="1:7" x14ac:dyDescent="0.25">
      <c r="A14803" s="116" t="s">
        <v>22983</v>
      </c>
      <c r="B14803" s="117" t="s">
        <v>22984</v>
      </c>
      <c r="C14803" t="s">
        <v>67</v>
      </c>
      <c r="D14803" t="s">
        <v>67</v>
      </c>
      <c r="E14803" t="s">
        <v>67</v>
      </c>
      <c r="F14803" t="s">
        <v>27987</v>
      </c>
      <c r="G14803" s="117">
        <v>76.44</v>
      </c>
    </row>
    <row r="14804" spans="1:7" x14ac:dyDescent="0.25">
      <c r="A14804" s="116" t="s">
        <v>22985</v>
      </c>
      <c r="B14804" s="117" t="s">
        <v>22986</v>
      </c>
      <c r="C14804" t="s">
        <v>67</v>
      </c>
      <c r="D14804" t="s">
        <v>67</v>
      </c>
      <c r="E14804" t="s">
        <v>67</v>
      </c>
      <c r="F14804" t="s">
        <v>27987</v>
      </c>
      <c r="G14804" s="117">
        <v>9.6999999999999993</v>
      </c>
    </row>
    <row r="14805" spans="1:7" x14ac:dyDescent="0.25">
      <c r="A14805" s="116" t="s">
        <v>22987</v>
      </c>
      <c r="B14805" s="117" t="s">
        <v>22988</v>
      </c>
      <c r="C14805" t="s">
        <v>67</v>
      </c>
      <c r="D14805" t="s">
        <v>67</v>
      </c>
      <c r="E14805" t="s">
        <v>67</v>
      </c>
      <c r="F14805" t="s">
        <v>27987</v>
      </c>
      <c r="G14805" s="117">
        <v>47.07</v>
      </c>
    </row>
    <row r="14806" spans="1:7" x14ac:dyDescent="0.25">
      <c r="A14806" s="116" t="s">
        <v>22989</v>
      </c>
      <c r="B14806" s="117" t="s">
        <v>22990</v>
      </c>
      <c r="C14806" t="s">
        <v>67</v>
      </c>
      <c r="D14806" t="s">
        <v>67</v>
      </c>
      <c r="E14806" t="s">
        <v>67</v>
      </c>
      <c r="F14806" t="s">
        <v>27987</v>
      </c>
      <c r="G14806" s="117">
        <v>5.79</v>
      </c>
    </row>
    <row r="14807" spans="1:7" x14ac:dyDescent="0.25">
      <c r="A14807" s="116" t="s">
        <v>22991</v>
      </c>
      <c r="B14807" s="117" t="s">
        <v>22992</v>
      </c>
      <c r="C14807" t="s">
        <v>67</v>
      </c>
      <c r="D14807" t="s">
        <v>67</v>
      </c>
      <c r="E14807" t="s">
        <v>67</v>
      </c>
      <c r="F14807" t="s">
        <v>27987</v>
      </c>
      <c r="G14807" s="117">
        <v>118.26</v>
      </c>
    </row>
    <row r="14808" spans="1:7" x14ac:dyDescent="0.25">
      <c r="A14808" s="116" t="s">
        <v>22993</v>
      </c>
      <c r="B14808" s="117" t="s">
        <v>22994</v>
      </c>
      <c r="C14808" t="s">
        <v>67</v>
      </c>
      <c r="D14808" t="s">
        <v>67</v>
      </c>
      <c r="E14808" t="s">
        <v>67</v>
      </c>
      <c r="F14808" t="s">
        <v>27987</v>
      </c>
      <c r="G14808" s="117">
        <v>48.86</v>
      </c>
    </row>
    <row r="14809" spans="1:7" x14ac:dyDescent="0.25">
      <c r="A14809" s="116" t="s">
        <v>22995</v>
      </c>
      <c r="B14809" s="117" t="s">
        <v>22996</v>
      </c>
      <c r="C14809" t="s">
        <v>67</v>
      </c>
      <c r="D14809" t="s">
        <v>67</v>
      </c>
      <c r="E14809" t="s">
        <v>67</v>
      </c>
      <c r="F14809" t="s">
        <v>27987</v>
      </c>
      <c r="G14809" s="117">
        <v>13.8</v>
      </c>
    </row>
    <row r="14810" spans="1:7" x14ac:dyDescent="0.25">
      <c r="A14810" s="116" t="s">
        <v>22997</v>
      </c>
      <c r="B14810" s="117" t="s">
        <v>22998</v>
      </c>
      <c r="C14810" t="s">
        <v>67</v>
      </c>
      <c r="D14810" t="s">
        <v>67</v>
      </c>
      <c r="E14810" t="s">
        <v>67</v>
      </c>
      <c r="F14810" t="s">
        <v>27987</v>
      </c>
      <c r="G14810" s="117">
        <v>5.25</v>
      </c>
    </row>
    <row r="14811" spans="1:7" x14ac:dyDescent="0.25">
      <c r="A14811" s="116" t="s">
        <v>22999</v>
      </c>
      <c r="B14811" s="117" t="s">
        <v>23000</v>
      </c>
      <c r="C14811" t="s">
        <v>67</v>
      </c>
      <c r="D14811" t="s">
        <v>67</v>
      </c>
      <c r="E14811" t="s">
        <v>67</v>
      </c>
      <c r="F14811" t="s">
        <v>27987</v>
      </c>
      <c r="G14811" s="117">
        <v>31.06</v>
      </c>
    </row>
    <row r="14812" spans="1:7" x14ac:dyDescent="0.25">
      <c r="A14812" s="116" t="s">
        <v>23001</v>
      </c>
      <c r="B14812" s="117" t="s">
        <v>23002</v>
      </c>
      <c r="C14812" t="s">
        <v>67</v>
      </c>
      <c r="D14812" t="s">
        <v>67</v>
      </c>
      <c r="E14812" t="s">
        <v>67</v>
      </c>
      <c r="F14812" t="s">
        <v>27987</v>
      </c>
      <c r="G14812" s="117">
        <v>4.8899999999999997</v>
      </c>
    </row>
    <row r="14813" spans="1:7" x14ac:dyDescent="0.25">
      <c r="A14813" s="116" t="s">
        <v>23003</v>
      </c>
      <c r="B14813" s="117" t="s">
        <v>23004</v>
      </c>
      <c r="C14813" t="s">
        <v>67</v>
      </c>
      <c r="D14813" t="s">
        <v>67</v>
      </c>
      <c r="E14813" t="s">
        <v>67</v>
      </c>
      <c r="F14813" t="s">
        <v>45</v>
      </c>
      <c r="G14813" s="117">
        <v>194.43</v>
      </c>
    </row>
    <row r="14814" spans="1:7" x14ac:dyDescent="0.25">
      <c r="A14814" s="116" t="s">
        <v>23005</v>
      </c>
      <c r="B14814" s="117" t="s">
        <v>23006</v>
      </c>
      <c r="C14814" t="s">
        <v>67</v>
      </c>
      <c r="D14814" t="s">
        <v>67</v>
      </c>
      <c r="E14814" t="s">
        <v>67</v>
      </c>
      <c r="F14814" t="s">
        <v>27987</v>
      </c>
      <c r="G14814" s="117">
        <v>28.92</v>
      </c>
    </row>
    <row r="14815" spans="1:7" x14ac:dyDescent="0.25">
      <c r="A14815" s="116" t="s">
        <v>23007</v>
      </c>
      <c r="B14815" s="117" t="s">
        <v>23008</v>
      </c>
      <c r="C14815" t="s">
        <v>67</v>
      </c>
      <c r="D14815" t="s">
        <v>67</v>
      </c>
      <c r="E14815" t="s">
        <v>67</v>
      </c>
      <c r="F14815" t="s">
        <v>27987</v>
      </c>
      <c r="G14815" s="117">
        <v>135.69999999999999</v>
      </c>
    </row>
    <row r="14816" spans="1:7" x14ac:dyDescent="0.25">
      <c r="A14816" s="116" t="s">
        <v>23009</v>
      </c>
      <c r="B14816" s="117" t="s">
        <v>23010</v>
      </c>
      <c r="C14816" t="s">
        <v>67</v>
      </c>
      <c r="D14816" t="s">
        <v>67</v>
      </c>
      <c r="E14816" t="s">
        <v>67</v>
      </c>
      <c r="F14816" t="s">
        <v>27987</v>
      </c>
      <c r="G14816" s="117">
        <v>36.39</v>
      </c>
    </row>
    <row r="14817" spans="1:7" x14ac:dyDescent="0.25">
      <c r="A14817" s="116" t="s">
        <v>23011</v>
      </c>
      <c r="B14817" s="117" t="s">
        <v>23012</v>
      </c>
      <c r="C14817" t="s">
        <v>67</v>
      </c>
      <c r="D14817" t="s">
        <v>67</v>
      </c>
      <c r="E14817" t="s">
        <v>67</v>
      </c>
      <c r="F14817" t="s">
        <v>27987</v>
      </c>
      <c r="G14817" s="117">
        <v>5.79</v>
      </c>
    </row>
    <row r="14818" spans="1:7" x14ac:dyDescent="0.25">
      <c r="A14818" s="116" t="s">
        <v>23013</v>
      </c>
      <c r="B14818" s="117" t="s">
        <v>23014</v>
      </c>
      <c r="C14818" t="s">
        <v>67</v>
      </c>
      <c r="D14818" t="s">
        <v>67</v>
      </c>
      <c r="E14818" t="s">
        <v>67</v>
      </c>
      <c r="F14818" t="s">
        <v>27987</v>
      </c>
      <c r="G14818" s="117">
        <v>4.8899999999999997</v>
      </c>
    </row>
    <row r="14819" spans="1:7" x14ac:dyDescent="0.25">
      <c r="A14819" s="116" t="s">
        <v>23015</v>
      </c>
      <c r="B14819" s="117" t="s">
        <v>23016</v>
      </c>
      <c r="C14819" t="s">
        <v>67</v>
      </c>
      <c r="D14819" t="s">
        <v>67</v>
      </c>
      <c r="E14819" t="s">
        <v>67</v>
      </c>
      <c r="F14819" t="s">
        <v>45</v>
      </c>
      <c r="G14819" s="117">
        <v>4.45</v>
      </c>
    </row>
    <row r="14820" spans="1:7" x14ac:dyDescent="0.25">
      <c r="A14820" s="116" t="s">
        <v>23017</v>
      </c>
      <c r="B14820" s="117" t="s">
        <v>23016</v>
      </c>
      <c r="C14820" t="s">
        <v>67</v>
      </c>
      <c r="D14820" t="s">
        <v>67</v>
      </c>
      <c r="E14820" t="s">
        <v>67</v>
      </c>
      <c r="F14820" t="s">
        <v>27987</v>
      </c>
      <c r="G14820" s="117">
        <v>4</v>
      </c>
    </row>
    <row r="14821" spans="1:7" x14ac:dyDescent="0.25">
      <c r="A14821" s="116" t="s">
        <v>23018</v>
      </c>
      <c r="B14821" s="117" t="s">
        <v>23019</v>
      </c>
      <c r="C14821" t="s">
        <v>67</v>
      </c>
      <c r="D14821" t="s">
        <v>67</v>
      </c>
      <c r="E14821" t="s">
        <v>67</v>
      </c>
      <c r="F14821" t="s">
        <v>27987</v>
      </c>
      <c r="G14821" s="117">
        <v>0.89</v>
      </c>
    </row>
    <row r="14822" spans="1:7" x14ac:dyDescent="0.25">
      <c r="A14822" s="116" t="s">
        <v>23020</v>
      </c>
      <c r="B14822" s="117" t="s">
        <v>23021</v>
      </c>
      <c r="C14822" t="s">
        <v>67</v>
      </c>
      <c r="D14822" t="s">
        <v>67</v>
      </c>
      <c r="E14822" t="s">
        <v>67</v>
      </c>
      <c r="F14822" t="s">
        <v>45</v>
      </c>
      <c r="G14822" s="117">
        <v>18.239999999999998</v>
      </c>
    </row>
    <row r="14823" spans="1:7" x14ac:dyDescent="0.25">
      <c r="A14823" s="116" t="s">
        <v>23022</v>
      </c>
      <c r="B14823" s="117" t="s">
        <v>23023</v>
      </c>
      <c r="C14823" t="s">
        <v>67</v>
      </c>
      <c r="D14823" t="s">
        <v>67</v>
      </c>
      <c r="E14823" t="s">
        <v>67</v>
      </c>
      <c r="F14823" t="s">
        <v>27987</v>
      </c>
      <c r="G14823" s="117">
        <v>127.69</v>
      </c>
    </row>
    <row r="14824" spans="1:7" x14ac:dyDescent="0.25">
      <c r="A14824" s="116" t="s">
        <v>23024</v>
      </c>
      <c r="B14824" s="117" t="s">
        <v>23025</v>
      </c>
      <c r="C14824" t="s">
        <v>67</v>
      </c>
      <c r="D14824" t="s">
        <v>67</v>
      </c>
      <c r="E14824" t="s">
        <v>67</v>
      </c>
      <c r="F14824" t="s">
        <v>27987</v>
      </c>
      <c r="G14824" s="117">
        <v>2.58</v>
      </c>
    </row>
    <row r="14825" spans="1:7" x14ac:dyDescent="0.25">
      <c r="A14825" s="116" t="s">
        <v>23026</v>
      </c>
      <c r="B14825" s="117" t="s">
        <v>23027</v>
      </c>
      <c r="C14825" t="s">
        <v>67</v>
      </c>
      <c r="D14825" t="s">
        <v>67</v>
      </c>
      <c r="E14825" t="s">
        <v>67</v>
      </c>
      <c r="F14825" t="s">
        <v>27987</v>
      </c>
      <c r="G14825" s="117">
        <v>2.23</v>
      </c>
    </row>
    <row r="14826" spans="1:7" x14ac:dyDescent="0.25">
      <c r="A14826" s="116" t="s">
        <v>23028</v>
      </c>
      <c r="B14826" s="117" t="s">
        <v>23029</v>
      </c>
      <c r="C14826" t="s">
        <v>67</v>
      </c>
      <c r="D14826" t="s">
        <v>67</v>
      </c>
      <c r="E14826" t="s">
        <v>67</v>
      </c>
      <c r="F14826" t="s">
        <v>45</v>
      </c>
      <c r="G14826" s="117">
        <v>9.35</v>
      </c>
    </row>
    <row r="14827" spans="1:7" x14ac:dyDescent="0.25">
      <c r="A14827" s="116" t="s">
        <v>23030</v>
      </c>
      <c r="B14827" s="117" t="s">
        <v>23031</v>
      </c>
      <c r="C14827" t="s">
        <v>67</v>
      </c>
      <c r="D14827" t="s">
        <v>67</v>
      </c>
      <c r="E14827" t="s">
        <v>67</v>
      </c>
      <c r="F14827" t="s">
        <v>27987</v>
      </c>
      <c r="G14827" s="117">
        <v>7.56</v>
      </c>
    </row>
    <row r="14828" spans="1:7" x14ac:dyDescent="0.25">
      <c r="A14828" s="116" t="s">
        <v>23032</v>
      </c>
      <c r="B14828" s="117" t="s">
        <v>23033</v>
      </c>
      <c r="C14828" t="s">
        <v>67</v>
      </c>
      <c r="D14828" t="s">
        <v>67</v>
      </c>
      <c r="E14828" t="s">
        <v>67</v>
      </c>
      <c r="F14828" t="s">
        <v>27987</v>
      </c>
      <c r="G14828" s="117">
        <v>6.14</v>
      </c>
    </row>
    <row r="14829" spans="1:7" x14ac:dyDescent="0.25">
      <c r="A14829" s="116" t="s">
        <v>23034</v>
      </c>
      <c r="B14829" s="117" t="s">
        <v>23035</v>
      </c>
      <c r="C14829" t="s">
        <v>67</v>
      </c>
      <c r="D14829" t="s">
        <v>67</v>
      </c>
      <c r="E14829" t="s">
        <v>67</v>
      </c>
      <c r="F14829" t="s">
        <v>27987</v>
      </c>
      <c r="G14829" s="117">
        <v>3.48</v>
      </c>
    </row>
    <row r="14830" spans="1:7" x14ac:dyDescent="0.25">
      <c r="A14830" s="116" t="s">
        <v>23036</v>
      </c>
      <c r="B14830" s="117" t="s">
        <v>23016</v>
      </c>
      <c r="C14830" t="s">
        <v>67</v>
      </c>
      <c r="D14830" t="s">
        <v>67</v>
      </c>
      <c r="E14830" t="s">
        <v>67</v>
      </c>
      <c r="F14830" t="s">
        <v>27987</v>
      </c>
      <c r="G14830" s="117">
        <v>6.14</v>
      </c>
    </row>
    <row r="14831" spans="1:7" x14ac:dyDescent="0.25">
      <c r="A14831" s="116" t="s">
        <v>23037</v>
      </c>
      <c r="B14831" s="117" t="s">
        <v>23038</v>
      </c>
      <c r="C14831" t="s">
        <v>67</v>
      </c>
      <c r="D14831" t="s">
        <v>67</v>
      </c>
      <c r="E14831" t="s">
        <v>67</v>
      </c>
      <c r="F14831" t="s">
        <v>27987</v>
      </c>
      <c r="G14831" s="117">
        <v>31.58</v>
      </c>
    </row>
    <row r="14832" spans="1:7" x14ac:dyDescent="0.25">
      <c r="A14832" s="116" t="s">
        <v>23039</v>
      </c>
      <c r="B14832" s="117" t="s">
        <v>23040</v>
      </c>
      <c r="C14832" t="s">
        <v>67</v>
      </c>
      <c r="D14832" t="s">
        <v>67</v>
      </c>
      <c r="E14832" t="s">
        <v>67</v>
      </c>
      <c r="F14832" t="s">
        <v>27987</v>
      </c>
      <c r="G14832" s="117">
        <v>17.36</v>
      </c>
    </row>
    <row r="14833" spans="1:7" x14ac:dyDescent="0.25">
      <c r="A14833" s="116" t="s">
        <v>23041</v>
      </c>
      <c r="B14833" s="117" t="s">
        <v>23042</v>
      </c>
      <c r="C14833" t="s">
        <v>67</v>
      </c>
      <c r="D14833" t="s">
        <v>67</v>
      </c>
      <c r="E14833" t="s">
        <v>67</v>
      </c>
      <c r="F14833" t="s">
        <v>27987</v>
      </c>
      <c r="G14833" s="117">
        <v>268.29000000000002</v>
      </c>
    </row>
    <row r="14834" spans="1:7" x14ac:dyDescent="0.25">
      <c r="A14834" s="116" t="s">
        <v>23043</v>
      </c>
      <c r="B14834" s="117" t="s">
        <v>23044</v>
      </c>
      <c r="C14834" t="s">
        <v>67</v>
      </c>
      <c r="D14834" t="s">
        <v>67</v>
      </c>
      <c r="E14834" t="s">
        <v>67</v>
      </c>
      <c r="F14834" t="s">
        <v>27987</v>
      </c>
      <c r="G14834" s="117">
        <v>0.8</v>
      </c>
    </row>
    <row r="14835" spans="1:7" x14ac:dyDescent="0.25">
      <c r="A14835" s="116" t="s">
        <v>23045</v>
      </c>
      <c r="B14835" s="117" t="s">
        <v>23046</v>
      </c>
      <c r="C14835" t="s">
        <v>67</v>
      </c>
      <c r="D14835" t="s">
        <v>67</v>
      </c>
      <c r="E14835" t="s">
        <v>67</v>
      </c>
      <c r="F14835" t="s">
        <v>27987</v>
      </c>
      <c r="G14835" s="117">
        <v>1.77</v>
      </c>
    </row>
    <row r="14836" spans="1:7" x14ac:dyDescent="0.25">
      <c r="A14836" s="116" t="s">
        <v>23047</v>
      </c>
      <c r="B14836" s="117" t="s">
        <v>23048</v>
      </c>
      <c r="C14836" t="s">
        <v>67</v>
      </c>
      <c r="D14836" t="s">
        <v>67</v>
      </c>
      <c r="E14836" t="s">
        <v>67</v>
      </c>
      <c r="F14836" t="s">
        <v>27987</v>
      </c>
      <c r="G14836" s="117">
        <v>36.04</v>
      </c>
    </row>
    <row r="14837" spans="1:7" x14ac:dyDescent="0.25">
      <c r="A14837" s="116" t="s">
        <v>23049</v>
      </c>
      <c r="B14837" s="117" t="s">
        <v>23050</v>
      </c>
      <c r="C14837" t="s">
        <v>67</v>
      </c>
      <c r="D14837" t="s">
        <v>67</v>
      </c>
      <c r="E14837" t="s">
        <v>67</v>
      </c>
      <c r="F14837" t="s">
        <v>27987</v>
      </c>
      <c r="G14837" s="117">
        <v>20.02</v>
      </c>
    </row>
    <row r="14838" spans="1:7" x14ac:dyDescent="0.25">
      <c r="A14838" s="116" t="s">
        <v>23051</v>
      </c>
      <c r="B14838" s="117" t="s">
        <v>23052</v>
      </c>
      <c r="C14838" t="s">
        <v>67</v>
      </c>
      <c r="D14838" t="s">
        <v>67</v>
      </c>
      <c r="E14838" t="s">
        <v>67</v>
      </c>
      <c r="F14838" t="s">
        <v>27987</v>
      </c>
      <c r="G14838" s="117">
        <v>33.729999999999997</v>
      </c>
    </row>
    <row r="14839" spans="1:7" x14ac:dyDescent="0.25">
      <c r="A14839" s="116" t="s">
        <v>23053</v>
      </c>
      <c r="B14839" s="117" t="s">
        <v>23054</v>
      </c>
      <c r="C14839" t="s">
        <v>67</v>
      </c>
      <c r="D14839" t="s">
        <v>67</v>
      </c>
      <c r="E14839" t="s">
        <v>67</v>
      </c>
      <c r="F14839" t="s">
        <v>27987</v>
      </c>
      <c r="G14839" s="117">
        <v>3.12</v>
      </c>
    </row>
    <row r="14840" spans="1:7" x14ac:dyDescent="0.25">
      <c r="A14840" s="116" t="s">
        <v>23055</v>
      </c>
      <c r="B14840" s="117" t="s">
        <v>23056</v>
      </c>
      <c r="C14840" t="s">
        <v>67</v>
      </c>
      <c r="D14840" t="s">
        <v>67</v>
      </c>
      <c r="E14840" t="s">
        <v>67</v>
      </c>
      <c r="F14840" t="s">
        <v>27987</v>
      </c>
      <c r="G14840" s="117">
        <v>0.89</v>
      </c>
    </row>
    <row r="14841" spans="1:7" x14ac:dyDescent="0.25">
      <c r="A14841" s="116" t="s">
        <v>23057</v>
      </c>
      <c r="B14841" s="117" t="s">
        <v>23058</v>
      </c>
      <c r="C14841" t="s">
        <v>67</v>
      </c>
      <c r="D14841" t="s">
        <v>67</v>
      </c>
      <c r="E14841" t="s">
        <v>67</v>
      </c>
      <c r="F14841" t="s">
        <v>49</v>
      </c>
      <c r="G14841" s="117">
        <v>1.33</v>
      </c>
    </row>
    <row r="14842" spans="1:7" x14ac:dyDescent="0.25">
      <c r="A14842" s="116" t="s">
        <v>23059</v>
      </c>
      <c r="B14842" s="117" t="s">
        <v>2505</v>
      </c>
      <c r="C14842" t="s">
        <v>67</v>
      </c>
      <c r="D14842" t="s">
        <v>67</v>
      </c>
      <c r="E14842" t="s">
        <v>67</v>
      </c>
      <c r="F14842" t="s">
        <v>27987</v>
      </c>
      <c r="G14842" s="117">
        <v>1.77</v>
      </c>
    </row>
    <row r="14843" spans="1:7" x14ac:dyDescent="0.25">
      <c r="A14843" s="116" t="s">
        <v>23060</v>
      </c>
      <c r="B14843" s="117" t="s">
        <v>23061</v>
      </c>
      <c r="C14843" t="s">
        <v>67</v>
      </c>
      <c r="D14843" t="s">
        <v>67</v>
      </c>
      <c r="E14843" t="s">
        <v>67</v>
      </c>
      <c r="F14843" t="s">
        <v>45</v>
      </c>
      <c r="G14843" s="117">
        <v>1.77</v>
      </c>
    </row>
    <row r="14844" spans="1:7" x14ac:dyDescent="0.25">
      <c r="A14844" s="116" t="s">
        <v>23062</v>
      </c>
      <c r="B14844" s="117" t="s">
        <v>23010</v>
      </c>
      <c r="C14844" t="s">
        <v>67</v>
      </c>
      <c r="D14844" t="s">
        <v>67</v>
      </c>
      <c r="E14844" t="s">
        <v>67</v>
      </c>
      <c r="F14844" t="s">
        <v>27987</v>
      </c>
      <c r="G14844" s="117">
        <v>6.68</v>
      </c>
    </row>
    <row r="14845" spans="1:7" x14ac:dyDescent="0.25">
      <c r="A14845" s="116" t="s">
        <v>23063</v>
      </c>
      <c r="B14845" s="117" t="s">
        <v>23064</v>
      </c>
      <c r="C14845" t="s">
        <v>67</v>
      </c>
      <c r="D14845" t="s">
        <v>67</v>
      </c>
      <c r="E14845" t="s">
        <v>67</v>
      </c>
      <c r="F14845" t="s">
        <v>27987</v>
      </c>
      <c r="G14845" s="117">
        <v>10.68</v>
      </c>
    </row>
    <row r="14846" spans="1:7" x14ac:dyDescent="0.25">
      <c r="A14846" s="116" t="s">
        <v>23065</v>
      </c>
      <c r="B14846" s="117" t="s">
        <v>23066</v>
      </c>
      <c r="C14846" t="s">
        <v>67</v>
      </c>
      <c r="D14846" t="s">
        <v>67</v>
      </c>
      <c r="E14846" t="s">
        <v>67</v>
      </c>
      <c r="F14846" t="s">
        <v>27987</v>
      </c>
      <c r="G14846" s="117">
        <v>42.62</v>
      </c>
    </row>
    <row r="14847" spans="1:7" x14ac:dyDescent="0.25">
      <c r="A14847" s="116" t="s">
        <v>23067</v>
      </c>
      <c r="B14847" s="117" t="s">
        <v>23068</v>
      </c>
      <c r="C14847" t="s">
        <v>67</v>
      </c>
      <c r="D14847" t="s">
        <v>67</v>
      </c>
      <c r="E14847" t="s">
        <v>67</v>
      </c>
      <c r="F14847" t="s">
        <v>27987</v>
      </c>
      <c r="G14847" s="117">
        <v>42.62</v>
      </c>
    </row>
    <row r="14848" spans="1:7" x14ac:dyDescent="0.25">
      <c r="A14848" s="116" t="s">
        <v>23069</v>
      </c>
      <c r="B14848" s="117" t="s">
        <v>23070</v>
      </c>
      <c r="C14848" t="s">
        <v>67</v>
      </c>
      <c r="D14848" t="s">
        <v>67</v>
      </c>
      <c r="E14848" t="s">
        <v>67</v>
      </c>
      <c r="F14848" t="s">
        <v>27987</v>
      </c>
      <c r="G14848" s="117">
        <v>0.8</v>
      </c>
    </row>
    <row r="14849" spans="1:7" x14ac:dyDescent="0.25">
      <c r="A14849" s="116" t="s">
        <v>23071</v>
      </c>
      <c r="B14849" s="117" t="s">
        <v>23072</v>
      </c>
      <c r="C14849" t="s">
        <v>67</v>
      </c>
      <c r="D14849" t="s">
        <v>67</v>
      </c>
      <c r="E14849" t="s">
        <v>67</v>
      </c>
      <c r="F14849" t="s">
        <v>49</v>
      </c>
      <c r="G14849" s="117">
        <v>0.8</v>
      </c>
    </row>
    <row r="14850" spans="1:7" x14ac:dyDescent="0.25">
      <c r="A14850" s="116" t="s">
        <v>23073</v>
      </c>
      <c r="B14850" s="117" t="s">
        <v>23074</v>
      </c>
      <c r="C14850" t="s">
        <v>67</v>
      </c>
      <c r="D14850" t="s">
        <v>67</v>
      </c>
      <c r="E14850" t="s">
        <v>67</v>
      </c>
      <c r="F14850" t="s">
        <v>27987</v>
      </c>
      <c r="G14850" s="117">
        <v>1.33</v>
      </c>
    </row>
    <row r="14851" spans="1:7" x14ac:dyDescent="0.25">
      <c r="A14851" s="116" t="s">
        <v>23075</v>
      </c>
      <c r="B14851" s="117" t="s">
        <v>23076</v>
      </c>
      <c r="C14851" t="s">
        <v>67</v>
      </c>
      <c r="D14851" t="s">
        <v>67</v>
      </c>
      <c r="E14851" t="s">
        <v>67</v>
      </c>
      <c r="F14851" t="s">
        <v>27987</v>
      </c>
      <c r="G14851" s="117">
        <v>80.88</v>
      </c>
    </row>
    <row r="14852" spans="1:7" x14ac:dyDescent="0.25">
      <c r="A14852" s="116" t="s">
        <v>23077</v>
      </c>
      <c r="B14852" s="117" t="s">
        <v>23078</v>
      </c>
      <c r="C14852" t="s">
        <v>67</v>
      </c>
      <c r="D14852" t="s">
        <v>67</v>
      </c>
      <c r="E14852" t="s">
        <v>67</v>
      </c>
      <c r="F14852" t="s">
        <v>27987</v>
      </c>
      <c r="G14852" s="117">
        <v>43.51</v>
      </c>
    </row>
    <row r="14853" spans="1:7" x14ac:dyDescent="0.25">
      <c r="A14853" s="116" t="s">
        <v>23079</v>
      </c>
      <c r="B14853" s="117" t="s">
        <v>23080</v>
      </c>
      <c r="C14853" t="s">
        <v>67</v>
      </c>
      <c r="D14853" t="s">
        <v>67</v>
      </c>
      <c r="E14853" t="s">
        <v>67</v>
      </c>
      <c r="F14853" t="s">
        <v>27987</v>
      </c>
      <c r="G14853" s="117">
        <v>5.79</v>
      </c>
    </row>
    <row r="14854" spans="1:7" x14ac:dyDescent="0.25">
      <c r="A14854" s="116" t="s">
        <v>23081</v>
      </c>
      <c r="B14854" s="117" t="s">
        <v>23082</v>
      </c>
      <c r="C14854" t="s">
        <v>67</v>
      </c>
      <c r="D14854" t="s">
        <v>67</v>
      </c>
      <c r="E14854" t="s">
        <v>67</v>
      </c>
      <c r="F14854" t="s">
        <v>27987</v>
      </c>
      <c r="G14854" s="117">
        <v>38.700000000000003</v>
      </c>
    </row>
    <row r="14855" spans="1:7" x14ac:dyDescent="0.25">
      <c r="A14855" s="116" t="s">
        <v>23083</v>
      </c>
      <c r="B14855" s="117" t="s">
        <v>23084</v>
      </c>
      <c r="C14855" t="s">
        <v>67</v>
      </c>
      <c r="D14855" t="s">
        <v>67</v>
      </c>
      <c r="E14855" t="s">
        <v>67</v>
      </c>
      <c r="F14855" t="s">
        <v>27987</v>
      </c>
      <c r="G14855" s="117">
        <v>4.8899999999999997</v>
      </c>
    </row>
    <row r="14856" spans="1:7" x14ac:dyDescent="0.25">
      <c r="A14856" s="116" t="s">
        <v>23085</v>
      </c>
      <c r="B14856" s="117" t="s">
        <v>23086</v>
      </c>
      <c r="C14856" t="s">
        <v>67</v>
      </c>
      <c r="D14856" t="s">
        <v>67</v>
      </c>
      <c r="E14856" t="s">
        <v>67</v>
      </c>
      <c r="F14856" t="s">
        <v>27987</v>
      </c>
      <c r="G14856" s="117">
        <v>357.26</v>
      </c>
    </row>
    <row r="14857" spans="1:7" x14ac:dyDescent="0.25">
      <c r="A14857" s="116" t="s">
        <v>23087</v>
      </c>
      <c r="B14857" s="117" t="s">
        <v>23088</v>
      </c>
      <c r="C14857" t="s">
        <v>67</v>
      </c>
      <c r="D14857" t="s">
        <v>67</v>
      </c>
      <c r="E14857" t="s">
        <v>67</v>
      </c>
      <c r="F14857" t="s">
        <v>27987</v>
      </c>
      <c r="G14857" s="117">
        <v>50.63</v>
      </c>
    </row>
    <row r="14858" spans="1:7" x14ac:dyDescent="0.25">
      <c r="A14858" s="116" t="s">
        <v>23089</v>
      </c>
      <c r="B14858" s="117" t="s">
        <v>23090</v>
      </c>
      <c r="C14858" t="s">
        <v>67</v>
      </c>
      <c r="D14858" t="s">
        <v>67</v>
      </c>
      <c r="E14858" t="s">
        <v>67</v>
      </c>
      <c r="F14858" t="s">
        <v>27987</v>
      </c>
      <c r="G14858" s="117">
        <v>27.5</v>
      </c>
    </row>
    <row r="14859" spans="1:7" x14ac:dyDescent="0.25">
      <c r="A14859" s="116" t="s">
        <v>23091</v>
      </c>
      <c r="B14859" s="117" t="s">
        <v>23092</v>
      </c>
      <c r="C14859" t="s">
        <v>67</v>
      </c>
      <c r="D14859" t="s">
        <v>67</v>
      </c>
      <c r="E14859" t="s">
        <v>67</v>
      </c>
      <c r="F14859" t="s">
        <v>27987</v>
      </c>
      <c r="G14859" s="117">
        <v>4.45</v>
      </c>
    </row>
    <row r="14860" spans="1:7" x14ac:dyDescent="0.25">
      <c r="A14860" s="116" t="s">
        <v>23093</v>
      </c>
      <c r="B14860" s="117" t="s">
        <v>23094</v>
      </c>
      <c r="C14860" t="s">
        <v>67</v>
      </c>
      <c r="D14860" t="s">
        <v>67</v>
      </c>
      <c r="E14860" t="s">
        <v>67</v>
      </c>
      <c r="F14860" t="s">
        <v>27987</v>
      </c>
      <c r="G14860" s="117">
        <v>3.12</v>
      </c>
    </row>
    <row r="14861" spans="1:7" x14ac:dyDescent="0.25">
      <c r="A14861" s="116" t="s">
        <v>23095</v>
      </c>
      <c r="B14861" s="117" t="s">
        <v>23094</v>
      </c>
      <c r="C14861" t="s">
        <v>67</v>
      </c>
      <c r="D14861" t="s">
        <v>67</v>
      </c>
      <c r="E14861" t="s">
        <v>67</v>
      </c>
      <c r="F14861" t="s">
        <v>27987</v>
      </c>
      <c r="G14861" s="117">
        <v>2.58</v>
      </c>
    </row>
    <row r="14862" spans="1:7" x14ac:dyDescent="0.25">
      <c r="A14862" s="116" t="s">
        <v>23096</v>
      </c>
      <c r="B14862" s="117" t="s">
        <v>23097</v>
      </c>
      <c r="C14862" t="s">
        <v>67</v>
      </c>
      <c r="D14862" t="s">
        <v>67</v>
      </c>
      <c r="E14862" t="s">
        <v>67</v>
      </c>
      <c r="F14862" t="s">
        <v>27987</v>
      </c>
      <c r="G14862" s="117">
        <v>5.79</v>
      </c>
    </row>
    <row r="14863" spans="1:7" x14ac:dyDescent="0.25">
      <c r="A14863" s="116" t="s">
        <v>23098</v>
      </c>
      <c r="B14863" s="117" t="s">
        <v>23099</v>
      </c>
      <c r="C14863" t="s">
        <v>67</v>
      </c>
      <c r="D14863" t="s">
        <v>67</v>
      </c>
      <c r="E14863" t="s">
        <v>67</v>
      </c>
      <c r="F14863" t="s">
        <v>27987</v>
      </c>
      <c r="G14863" s="117">
        <v>5.79</v>
      </c>
    </row>
    <row r="14864" spans="1:7" x14ac:dyDescent="0.25">
      <c r="A14864" s="116" t="s">
        <v>23100</v>
      </c>
      <c r="B14864" s="117" t="s">
        <v>23101</v>
      </c>
      <c r="C14864" t="s">
        <v>67</v>
      </c>
      <c r="D14864" t="s">
        <v>67</v>
      </c>
      <c r="E14864" t="s">
        <v>67</v>
      </c>
      <c r="F14864" t="s">
        <v>27987</v>
      </c>
      <c r="G14864" s="117">
        <v>7.56</v>
      </c>
    </row>
    <row r="14865" spans="1:7" x14ac:dyDescent="0.25">
      <c r="A14865" s="116" t="s">
        <v>23102</v>
      </c>
      <c r="B14865" s="117" t="s">
        <v>23103</v>
      </c>
      <c r="C14865" t="s">
        <v>67</v>
      </c>
      <c r="D14865" t="s">
        <v>67</v>
      </c>
      <c r="E14865" t="s">
        <v>67</v>
      </c>
      <c r="F14865" t="s">
        <v>27987</v>
      </c>
      <c r="G14865" s="117">
        <v>5.25</v>
      </c>
    </row>
    <row r="14866" spans="1:7" x14ac:dyDescent="0.25">
      <c r="A14866" s="116" t="s">
        <v>23104</v>
      </c>
      <c r="B14866" s="117" t="s">
        <v>23105</v>
      </c>
      <c r="C14866" t="s">
        <v>67</v>
      </c>
      <c r="D14866" t="s">
        <v>67</v>
      </c>
      <c r="E14866" t="s">
        <v>67</v>
      </c>
      <c r="F14866" t="s">
        <v>27987</v>
      </c>
      <c r="G14866" s="117">
        <v>127.16</v>
      </c>
    </row>
    <row r="14867" spans="1:7" x14ac:dyDescent="0.25">
      <c r="A14867" s="116" t="s">
        <v>23106</v>
      </c>
      <c r="B14867" s="117" t="s">
        <v>23107</v>
      </c>
      <c r="C14867" t="s">
        <v>67</v>
      </c>
      <c r="D14867" t="s">
        <v>67</v>
      </c>
      <c r="E14867" t="s">
        <v>67</v>
      </c>
      <c r="F14867" t="s">
        <v>27987</v>
      </c>
      <c r="G14867" s="117">
        <v>32.479999999999997</v>
      </c>
    </row>
    <row r="14868" spans="1:7" x14ac:dyDescent="0.25">
      <c r="A14868" s="116" t="s">
        <v>23108</v>
      </c>
      <c r="B14868" s="117" t="s">
        <v>23109</v>
      </c>
      <c r="C14868" t="s">
        <v>67</v>
      </c>
      <c r="D14868" t="s">
        <v>67</v>
      </c>
      <c r="E14868" t="s">
        <v>67</v>
      </c>
      <c r="F14868" t="s">
        <v>27987</v>
      </c>
      <c r="G14868" s="117">
        <v>32.479999999999997</v>
      </c>
    </row>
    <row r="14869" spans="1:7" x14ac:dyDescent="0.25">
      <c r="A14869" s="116" t="s">
        <v>23110</v>
      </c>
      <c r="B14869" s="117" t="s">
        <v>23111</v>
      </c>
      <c r="C14869" t="s">
        <v>67</v>
      </c>
      <c r="D14869" t="s">
        <v>67</v>
      </c>
      <c r="E14869" t="s">
        <v>67</v>
      </c>
      <c r="F14869" t="s">
        <v>27987</v>
      </c>
      <c r="G14869" s="117">
        <v>2.23</v>
      </c>
    </row>
    <row r="14870" spans="1:7" x14ac:dyDescent="0.25">
      <c r="A14870" s="116" t="s">
        <v>23112</v>
      </c>
      <c r="B14870" s="117" t="s">
        <v>23113</v>
      </c>
      <c r="C14870" t="s">
        <v>67</v>
      </c>
      <c r="D14870" t="s">
        <v>67</v>
      </c>
      <c r="E14870" t="s">
        <v>67</v>
      </c>
      <c r="F14870" t="s">
        <v>27987</v>
      </c>
      <c r="G14870" s="117">
        <v>39.6</v>
      </c>
    </row>
    <row r="14871" spans="1:7" x14ac:dyDescent="0.25">
      <c r="A14871" s="116" t="s">
        <v>23114</v>
      </c>
      <c r="B14871" s="117" t="s">
        <v>23115</v>
      </c>
      <c r="C14871" t="s">
        <v>67</v>
      </c>
      <c r="D14871" t="s">
        <v>67</v>
      </c>
      <c r="E14871" t="s">
        <v>67</v>
      </c>
      <c r="F14871" t="s">
        <v>27987</v>
      </c>
      <c r="G14871" s="117">
        <v>16.46</v>
      </c>
    </row>
    <row r="14872" spans="1:7" x14ac:dyDescent="0.25">
      <c r="A14872" s="116" t="s">
        <v>23116</v>
      </c>
      <c r="B14872" s="117" t="s">
        <v>23117</v>
      </c>
      <c r="C14872" t="s">
        <v>67</v>
      </c>
      <c r="D14872" t="s">
        <v>67</v>
      </c>
      <c r="E14872" t="s">
        <v>67</v>
      </c>
      <c r="F14872" t="s">
        <v>27987</v>
      </c>
      <c r="G14872" s="117">
        <v>24.82</v>
      </c>
    </row>
    <row r="14873" spans="1:7" x14ac:dyDescent="0.25">
      <c r="A14873" s="116" t="s">
        <v>23118</v>
      </c>
      <c r="B14873" s="117" t="s">
        <v>23119</v>
      </c>
      <c r="C14873" t="s">
        <v>67</v>
      </c>
      <c r="D14873" t="s">
        <v>67</v>
      </c>
      <c r="E14873" t="s">
        <v>67</v>
      </c>
      <c r="F14873" t="s">
        <v>27987</v>
      </c>
      <c r="G14873" s="117">
        <v>0.8</v>
      </c>
    </row>
    <row r="14874" spans="1:7" x14ac:dyDescent="0.25">
      <c r="A14874" s="116" t="s">
        <v>23120</v>
      </c>
      <c r="B14874" s="117" t="s">
        <v>23121</v>
      </c>
      <c r="C14874" t="s">
        <v>67</v>
      </c>
      <c r="D14874" t="s">
        <v>67</v>
      </c>
      <c r="E14874" t="s">
        <v>67</v>
      </c>
      <c r="F14874" t="s">
        <v>27987</v>
      </c>
      <c r="G14874" s="117">
        <v>130.36000000000001</v>
      </c>
    </row>
    <row r="14875" spans="1:7" x14ac:dyDescent="0.25">
      <c r="A14875" s="116" t="s">
        <v>23122</v>
      </c>
      <c r="B14875" s="117" t="s">
        <v>23123</v>
      </c>
      <c r="C14875" t="s">
        <v>67</v>
      </c>
      <c r="D14875" t="s">
        <v>67</v>
      </c>
      <c r="E14875" t="s">
        <v>67</v>
      </c>
      <c r="F14875" t="s">
        <v>27987</v>
      </c>
      <c r="G14875" s="117">
        <v>3.12</v>
      </c>
    </row>
    <row r="14876" spans="1:7" x14ac:dyDescent="0.25">
      <c r="A14876" s="116" t="s">
        <v>23124</v>
      </c>
      <c r="B14876" s="117" t="s">
        <v>23125</v>
      </c>
      <c r="C14876" t="s">
        <v>67</v>
      </c>
      <c r="D14876" t="s">
        <v>67</v>
      </c>
      <c r="E14876" t="s">
        <v>67</v>
      </c>
      <c r="F14876" t="s">
        <v>27987</v>
      </c>
      <c r="G14876" s="117">
        <v>3.56</v>
      </c>
    </row>
    <row r="14877" spans="1:7" x14ac:dyDescent="0.25">
      <c r="A14877" s="116" t="s">
        <v>23126</v>
      </c>
      <c r="B14877" s="117" t="s">
        <v>23127</v>
      </c>
      <c r="C14877" t="s">
        <v>67</v>
      </c>
      <c r="D14877" t="s">
        <v>67</v>
      </c>
      <c r="E14877" t="s">
        <v>67</v>
      </c>
      <c r="F14877" t="s">
        <v>27987</v>
      </c>
      <c r="G14877" s="117">
        <v>7.02</v>
      </c>
    </row>
    <row r="14878" spans="1:7" x14ac:dyDescent="0.25">
      <c r="A14878" s="116" t="s">
        <v>23128</v>
      </c>
      <c r="B14878" s="117" t="s">
        <v>23129</v>
      </c>
      <c r="C14878" t="s">
        <v>67</v>
      </c>
      <c r="D14878" t="s">
        <v>67</v>
      </c>
      <c r="E14878" t="s">
        <v>67</v>
      </c>
      <c r="F14878" t="s">
        <v>45</v>
      </c>
      <c r="G14878" s="117">
        <v>8.81</v>
      </c>
    </row>
    <row r="14879" spans="1:7" x14ac:dyDescent="0.25">
      <c r="A14879" s="116" t="s">
        <v>23130</v>
      </c>
      <c r="B14879" s="117" t="s">
        <v>23131</v>
      </c>
      <c r="C14879" t="s">
        <v>67</v>
      </c>
      <c r="D14879" t="s">
        <v>67</v>
      </c>
      <c r="E14879" t="s">
        <v>67</v>
      </c>
      <c r="F14879" t="s">
        <v>27987</v>
      </c>
      <c r="G14879" s="117">
        <v>49.38</v>
      </c>
    </row>
    <row r="14880" spans="1:7" x14ac:dyDescent="0.25">
      <c r="A14880" s="116" t="s">
        <v>23132</v>
      </c>
      <c r="B14880" s="117" t="s">
        <v>23133</v>
      </c>
      <c r="C14880" t="s">
        <v>67</v>
      </c>
      <c r="D14880" t="s">
        <v>67</v>
      </c>
      <c r="E14880" t="s">
        <v>67</v>
      </c>
      <c r="F14880" t="s">
        <v>27987</v>
      </c>
      <c r="G14880" s="117">
        <v>14.68</v>
      </c>
    </row>
    <row r="14881" spans="1:7" x14ac:dyDescent="0.25">
      <c r="A14881" s="116" t="s">
        <v>23134</v>
      </c>
      <c r="B14881" s="117" t="s">
        <v>23135</v>
      </c>
      <c r="C14881" t="s">
        <v>67</v>
      </c>
      <c r="D14881" t="s">
        <v>67</v>
      </c>
      <c r="E14881" t="s">
        <v>67</v>
      </c>
      <c r="F14881" t="s">
        <v>27987</v>
      </c>
      <c r="G14881" s="117">
        <v>281.99</v>
      </c>
    </row>
    <row r="14882" spans="1:7" x14ac:dyDescent="0.25">
      <c r="A14882" s="116" t="s">
        <v>23136</v>
      </c>
      <c r="B14882" s="117" t="s">
        <v>23137</v>
      </c>
      <c r="C14882" t="s">
        <v>67</v>
      </c>
      <c r="D14882" t="s">
        <v>67</v>
      </c>
      <c r="E14882" t="s">
        <v>67</v>
      </c>
      <c r="F14882" t="s">
        <v>27987</v>
      </c>
      <c r="G14882" s="117">
        <v>12.45</v>
      </c>
    </row>
    <row r="14883" spans="1:7" x14ac:dyDescent="0.25">
      <c r="A14883" s="116" t="s">
        <v>23138</v>
      </c>
      <c r="B14883" s="117" t="s">
        <v>23139</v>
      </c>
      <c r="C14883" t="s">
        <v>67</v>
      </c>
      <c r="D14883" t="s">
        <v>67</v>
      </c>
      <c r="E14883" t="s">
        <v>67</v>
      </c>
      <c r="F14883" t="s">
        <v>27987</v>
      </c>
      <c r="G14883" s="117">
        <v>8.81</v>
      </c>
    </row>
    <row r="14884" spans="1:7" x14ac:dyDescent="0.25">
      <c r="A14884" s="116" t="s">
        <v>23140</v>
      </c>
      <c r="B14884" s="117" t="s">
        <v>23141</v>
      </c>
      <c r="C14884" t="s">
        <v>67</v>
      </c>
      <c r="D14884" t="s">
        <v>67</v>
      </c>
      <c r="E14884" t="s">
        <v>67</v>
      </c>
      <c r="F14884" t="s">
        <v>27987</v>
      </c>
      <c r="G14884" s="117">
        <v>3.56</v>
      </c>
    </row>
    <row r="14885" spans="1:7" x14ac:dyDescent="0.25">
      <c r="A14885" s="116" t="s">
        <v>23142</v>
      </c>
      <c r="B14885" s="117" t="s">
        <v>23143</v>
      </c>
      <c r="C14885" t="s">
        <v>67</v>
      </c>
      <c r="D14885" t="s">
        <v>67</v>
      </c>
      <c r="E14885" t="s">
        <v>67</v>
      </c>
      <c r="F14885" t="s">
        <v>27987</v>
      </c>
      <c r="G14885" s="117">
        <v>12.01</v>
      </c>
    </row>
    <row r="14886" spans="1:7" x14ac:dyDescent="0.25">
      <c r="A14886" s="116" t="s">
        <v>23144</v>
      </c>
      <c r="B14886" s="117" t="s">
        <v>23145</v>
      </c>
      <c r="C14886" t="s">
        <v>67</v>
      </c>
      <c r="D14886" t="s">
        <v>67</v>
      </c>
      <c r="E14886" t="s">
        <v>67</v>
      </c>
      <c r="F14886" t="s">
        <v>27987</v>
      </c>
      <c r="G14886" s="117">
        <v>1.77</v>
      </c>
    </row>
    <row r="14887" spans="1:7" x14ac:dyDescent="0.25">
      <c r="A14887" s="116" t="s">
        <v>23146</v>
      </c>
      <c r="B14887" s="117" t="s">
        <v>23147</v>
      </c>
      <c r="C14887" t="s">
        <v>67</v>
      </c>
      <c r="D14887" t="s">
        <v>67</v>
      </c>
      <c r="E14887" t="s">
        <v>67</v>
      </c>
      <c r="F14887" t="s">
        <v>27987</v>
      </c>
      <c r="G14887" s="117">
        <v>3.12</v>
      </c>
    </row>
    <row r="14888" spans="1:7" x14ac:dyDescent="0.25">
      <c r="A14888" s="116" t="s">
        <v>23148</v>
      </c>
      <c r="B14888" s="117" t="s">
        <v>23149</v>
      </c>
      <c r="C14888" t="s">
        <v>67</v>
      </c>
      <c r="D14888" t="s">
        <v>67</v>
      </c>
      <c r="E14888" t="s">
        <v>67</v>
      </c>
      <c r="F14888" t="s">
        <v>27987</v>
      </c>
      <c r="G14888" s="117">
        <v>16.46</v>
      </c>
    </row>
    <row r="14889" spans="1:7" x14ac:dyDescent="0.25">
      <c r="A14889" s="116" t="s">
        <v>23150</v>
      </c>
      <c r="B14889" s="117" t="s">
        <v>23147</v>
      </c>
      <c r="C14889" t="s">
        <v>67</v>
      </c>
      <c r="D14889" t="s">
        <v>67</v>
      </c>
      <c r="E14889" t="s">
        <v>67</v>
      </c>
      <c r="F14889" t="s">
        <v>27987</v>
      </c>
      <c r="G14889" s="117">
        <v>1.77</v>
      </c>
    </row>
    <row r="14890" spans="1:7" x14ac:dyDescent="0.25">
      <c r="A14890" s="116" t="s">
        <v>23151</v>
      </c>
      <c r="B14890" s="117" t="s">
        <v>23152</v>
      </c>
      <c r="C14890" t="s">
        <v>67</v>
      </c>
      <c r="D14890" t="s">
        <v>67</v>
      </c>
      <c r="E14890" t="s">
        <v>67</v>
      </c>
      <c r="F14890" t="s">
        <v>27987</v>
      </c>
      <c r="G14890" s="117">
        <v>0.8</v>
      </c>
    </row>
    <row r="14891" spans="1:7" x14ac:dyDescent="0.25">
      <c r="A14891" s="116" t="s">
        <v>23153</v>
      </c>
      <c r="B14891" s="117" t="s">
        <v>23154</v>
      </c>
      <c r="C14891" t="s">
        <v>67</v>
      </c>
      <c r="D14891" t="s">
        <v>67</v>
      </c>
      <c r="E14891" t="s">
        <v>67</v>
      </c>
      <c r="F14891" t="s">
        <v>45</v>
      </c>
      <c r="G14891" s="117">
        <v>7.56</v>
      </c>
    </row>
    <row r="14892" spans="1:7" x14ac:dyDescent="0.25">
      <c r="A14892" s="116" t="s">
        <v>23155</v>
      </c>
      <c r="B14892" s="117" t="s">
        <v>23156</v>
      </c>
      <c r="C14892" t="s">
        <v>67</v>
      </c>
      <c r="D14892" t="s">
        <v>67</v>
      </c>
      <c r="E14892" t="s">
        <v>67</v>
      </c>
      <c r="F14892" t="s">
        <v>45</v>
      </c>
      <c r="G14892" s="117">
        <v>7.56</v>
      </c>
    </row>
    <row r="14893" spans="1:7" x14ac:dyDescent="0.25">
      <c r="A14893" s="116" t="s">
        <v>23157</v>
      </c>
      <c r="B14893" s="117" t="s">
        <v>23158</v>
      </c>
      <c r="C14893" t="s">
        <v>67</v>
      </c>
      <c r="D14893" t="s">
        <v>67</v>
      </c>
      <c r="E14893" t="s">
        <v>67</v>
      </c>
      <c r="F14893" t="s">
        <v>49</v>
      </c>
      <c r="G14893" s="117">
        <v>0.8</v>
      </c>
    </row>
    <row r="14894" spans="1:7" x14ac:dyDescent="0.25">
      <c r="A14894" s="116" t="s">
        <v>23159</v>
      </c>
      <c r="B14894" s="117" t="s">
        <v>23160</v>
      </c>
      <c r="C14894" t="s">
        <v>67</v>
      </c>
      <c r="D14894" t="s">
        <v>67</v>
      </c>
      <c r="E14894" t="s">
        <v>67</v>
      </c>
      <c r="F14894" t="s">
        <v>27987</v>
      </c>
      <c r="G14894" s="117">
        <v>31.58</v>
      </c>
    </row>
    <row r="14895" spans="1:7" x14ac:dyDescent="0.25">
      <c r="A14895" s="116" t="s">
        <v>23161</v>
      </c>
      <c r="B14895" s="117" t="s">
        <v>23162</v>
      </c>
      <c r="C14895" t="s">
        <v>67</v>
      </c>
      <c r="D14895" t="s">
        <v>67</v>
      </c>
      <c r="E14895" t="s">
        <v>67</v>
      </c>
      <c r="F14895" t="s">
        <v>27987</v>
      </c>
      <c r="G14895" s="117">
        <v>44.94</v>
      </c>
    </row>
    <row r="14896" spans="1:7" x14ac:dyDescent="0.25">
      <c r="A14896" s="116" t="s">
        <v>23163</v>
      </c>
      <c r="B14896" s="117" t="s">
        <v>23164</v>
      </c>
      <c r="C14896" t="s">
        <v>67</v>
      </c>
      <c r="D14896" t="s">
        <v>67</v>
      </c>
      <c r="E14896" t="s">
        <v>67</v>
      </c>
      <c r="F14896" t="s">
        <v>27987</v>
      </c>
      <c r="G14896" s="117">
        <v>1.69</v>
      </c>
    </row>
    <row r="14897" spans="1:7" x14ac:dyDescent="0.25">
      <c r="A14897" s="116" t="s">
        <v>23165</v>
      </c>
      <c r="B14897" s="117" t="s">
        <v>23166</v>
      </c>
      <c r="C14897" t="s">
        <v>67</v>
      </c>
      <c r="D14897" t="s">
        <v>67</v>
      </c>
      <c r="E14897" t="s">
        <v>67</v>
      </c>
      <c r="F14897" t="s">
        <v>27987</v>
      </c>
      <c r="G14897" s="117">
        <v>0.8</v>
      </c>
    </row>
    <row r="14898" spans="1:7" x14ac:dyDescent="0.25">
      <c r="A14898" s="116" t="s">
        <v>23167</v>
      </c>
      <c r="B14898" s="117" t="s">
        <v>23168</v>
      </c>
      <c r="C14898" t="s">
        <v>67</v>
      </c>
      <c r="D14898" t="s">
        <v>67</v>
      </c>
      <c r="E14898" t="s">
        <v>67</v>
      </c>
      <c r="F14898" t="s">
        <v>27987</v>
      </c>
      <c r="G14898" s="117">
        <v>1.77</v>
      </c>
    </row>
    <row r="14899" spans="1:7" x14ac:dyDescent="0.25">
      <c r="A14899" s="116" t="s">
        <v>23169</v>
      </c>
      <c r="B14899" s="117" t="s">
        <v>23170</v>
      </c>
      <c r="C14899" t="s">
        <v>67</v>
      </c>
      <c r="D14899" t="s">
        <v>67</v>
      </c>
      <c r="E14899" t="s">
        <v>67</v>
      </c>
      <c r="F14899" t="s">
        <v>27987</v>
      </c>
      <c r="G14899" s="117">
        <v>1.77</v>
      </c>
    </row>
    <row r="14900" spans="1:7" x14ac:dyDescent="0.25">
      <c r="A14900" s="116" t="s">
        <v>23171</v>
      </c>
      <c r="B14900" s="117" t="s">
        <v>23172</v>
      </c>
      <c r="C14900" t="s">
        <v>67</v>
      </c>
      <c r="D14900" t="s">
        <v>67</v>
      </c>
      <c r="E14900" t="s">
        <v>67</v>
      </c>
      <c r="F14900" t="s">
        <v>27987</v>
      </c>
      <c r="G14900" s="117">
        <v>124.49</v>
      </c>
    </row>
    <row r="14901" spans="1:7" x14ac:dyDescent="0.25">
      <c r="A14901" s="116" t="s">
        <v>23173</v>
      </c>
      <c r="B14901" s="117" t="s">
        <v>23174</v>
      </c>
      <c r="C14901" t="s">
        <v>67</v>
      </c>
      <c r="D14901" t="s">
        <v>67</v>
      </c>
      <c r="E14901" t="s">
        <v>67</v>
      </c>
      <c r="F14901" t="s">
        <v>27987</v>
      </c>
      <c r="G14901" s="117">
        <v>17.36</v>
      </c>
    </row>
    <row r="14902" spans="1:7" x14ac:dyDescent="0.25">
      <c r="A14902" s="116" t="s">
        <v>23175</v>
      </c>
      <c r="B14902" s="117" t="s">
        <v>23176</v>
      </c>
      <c r="C14902" t="s">
        <v>67</v>
      </c>
      <c r="D14902" t="s">
        <v>67</v>
      </c>
      <c r="E14902" t="s">
        <v>67</v>
      </c>
      <c r="F14902" t="s">
        <v>27987</v>
      </c>
      <c r="G14902" s="117">
        <v>8.4499999999999993</v>
      </c>
    </row>
    <row r="14903" spans="1:7" x14ac:dyDescent="0.25">
      <c r="A14903" s="116" t="s">
        <v>23177</v>
      </c>
      <c r="B14903" s="117" t="s">
        <v>23178</v>
      </c>
      <c r="C14903" t="s">
        <v>67</v>
      </c>
      <c r="D14903" t="s">
        <v>67</v>
      </c>
      <c r="E14903" t="s">
        <v>67</v>
      </c>
      <c r="F14903" t="s">
        <v>27987</v>
      </c>
      <c r="G14903" s="117">
        <v>3.56</v>
      </c>
    </row>
    <row r="14904" spans="1:7" x14ac:dyDescent="0.25">
      <c r="A14904" s="116" t="s">
        <v>23179</v>
      </c>
      <c r="B14904" s="117" t="s">
        <v>23180</v>
      </c>
      <c r="C14904" t="s">
        <v>67</v>
      </c>
      <c r="D14904" t="s">
        <v>67</v>
      </c>
      <c r="E14904" t="s">
        <v>67</v>
      </c>
      <c r="F14904" t="s">
        <v>27987</v>
      </c>
      <c r="G14904" s="117">
        <v>0.8</v>
      </c>
    </row>
    <row r="14905" spans="1:7" x14ac:dyDescent="0.25">
      <c r="A14905" s="116" t="s">
        <v>23181</v>
      </c>
      <c r="B14905" s="117" t="s">
        <v>23182</v>
      </c>
      <c r="C14905" t="s">
        <v>67</v>
      </c>
      <c r="D14905" t="s">
        <v>67</v>
      </c>
      <c r="E14905" t="s">
        <v>67</v>
      </c>
      <c r="F14905" t="s">
        <v>27987</v>
      </c>
      <c r="G14905" s="117">
        <v>60.42</v>
      </c>
    </row>
    <row r="14906" spans="1:7" x14ac:dyDescent="0.25">
      <c r="A14906" s="116" t="s">
        <v>23183</v>
      </c>
      <c r="B14906" s="117" t="s">
        <v>23184</v>
      </c>
      <c r="C14906" t="s">
        <v>67</v>
      </c>
      <c r="D14906" t="s">
        <v>67</v>
      </c>
      <c r="E14906" t="s">
        <v>67</v>
      </c>
      <c r="F14906" t="s">
        <v>27987</v>
      </c>
      <c r="G14906" s="117">
        <v>5.79</v>
      </c>
    </row>
    <row r="14907" spans="1:7" x14ac:dyDescent="0.25">
      <c r="A14907" s="116" t="s">
        <v>23185</v>
      </c>
      <c r="B14907" s="117" t="s">
        <v>23186</v>
      </c>
      <c r="C14907" t="s">
        <v>67</v>
      </c>
      <c r="D14907" t="s">
        <v>67</v>
      </c>
      <c r="E14907" t="s">
        <v>67</v>
      </c>
      <c r="F14907" t="s">
        <v>27987</v>
      </c>
      <c r="G14907" s="117">
        <v>33.369999999999997</v>
      </c>
    </row>
    <row r="14908" spans="1:7" x14ac:dyDescent="0.25">
      <c r="A14908" s="116" t="s">
        <v>23187</v>
      </c>
      <c r="B14908" s="117" t="s">
        <v>23176</v>
      </c>
      <c r="C14908" t="s">
        <v>67</v>
      </c>
      <c r="D14908" t="s">
        <v>67</v>
      </c>
      <c r="E14908" t="s">
        <v>67</v>
      </c>
      <c r="F14908" t="s">
        <v>27987</v>
      </c>
      <c r="G14908" s="117">
        <v>12.9</v>
      </c>
    </row>
    <row r="14909" spans="1:7" x14ac:dyDescent="0.25">
      <c r="A14909" s="116" t="s">
        <v>29611</v>
      </c>
      <c r="B14909" s="117" t="s">
        <v>29612</v>
      </c>
      <c r="C14909" t="s">
        <v>67</v>
      </c>
      <c r="D14909" t="s">
        <v>67</v>
      </c>
      <c r="E14909" t="s">
        <v>67</v>
      </c>
      <c r="F14909" t="s">
        <v>45</v>
      </c>
      <c r="G14909" s="117">
        <v>30</v>
      </c>
    </row>
    <row r="14910" spans="1:7" x14ac:dyDescent="0.25">
      <c r="A14910" s="116" t="s">
        <v>23188</v>
      </c>
      <c r="B14910" s="117" t="s">
        <v>23189</v>
      </c>
      <c r="C14910" t="s">
        <v>67</v>
      </c>
      <c r="D14910" t="s">
        <v>67</v>
      </c>
      <c r="E14910" t="s">
        <v>67</v>
      </c>
      <c r="F14910" t="s">
        <v>27987</v>
      </c>
      <c r="G14910" s="117">
        <v>207.77</v>
      </c>
    </row>
    <row r="14911" spans="1:7" x14ac:dyDescent="0.25">
      <c r="A14911" s="116" t="s">
        <v>23190</v>
      </c>
      <c r="B14911" s="117" t="s">
        <v>23191</v>
      </c>
      <c r="C14911" t="s">
        <v>67</v>
      </c>
      <c r="D14911" t="s">
        <v>67</v>
      </c>
      <c r="E14911" t="s">
        <v>67</v>
      </c>
      <c r="F14911" t="s">
        <v>27987</v>
      </c>
      <c r="G14911" s="117">
        <v>23.05</v>
      </c>
    </row>
    <row r="14912" spans="1:7" x14ac:dyDescent="0.25">
      <c r="A14912" s="116" t="s">
        <v>23192</v>
      </c>
      <c r="B14912" s="117" t="s">
        <v>23193</v>
      </c>
      <c r="C14912" t="s">
        <v>67</v>
      </c>
      <c r="D14912" t="s">
        <v>67</v>
      </c>
      <c r="E14912" t="s">
        <v>67</v>
      </c>
      <c r="F14912" t="s">
        <v>27987</v>
      </c>
      <c r="G14912" s="117">
        <v>0.8</v>
      </c>
    </row>
    <row r="14913" spans="1:7" x14ac:dyDescent="0.25">
      <c r="A14913" s="116" t="s">
        <v>23194</v>
      </c>
      <c r="B14913" s="117" t="s">
        <v>23195</v>
      </c>
      <c r="C14913" t="s">
        <v>67</v>
      </c>
      <c r="D14913" t="s">
        <v>67</v>
      </c>
      <c r="E14913" t="s">
        <v>67</v>
      </c>
      <c r="F14913" t="s">
        <v>27987</v>
      </c>
      <c r="G14913" s="117">
        <v>0.8</v>
      </c>
    </row>
    <row r="14914" spans="1:7" x14ac:dyDescent="0.25">
      <c r="A14914" s="116" t="s">
        <v>23196</v>
      </c>
      <c r="B14914" s="117" t="s">
        <v>23197</v>
      </c>
      <c r="C14914" t="s">
        <v>67</v>
      </c>
      <c r="D14914" t="s">
        <v>67</v>
      </c>
      <c r="E14914" t="s">
        <v>67</v>
      </c>
      <c r="F14914" t="s">
        <v>27987</v>
      </c>
      <c r="G14914" s="117">
        <v>1.33</v>
      </c>
    </row>
    <row r="14915" spans="1:7" x14ac:dyDescent="0.25">
      <c r="A14915" s="116" t="s">
        <v>23198</v>
      </c>
      <c r="B14915" s="117" t="s">
        <v>23199</v>
      </c>
      <c r="C14915" t="s">
        <v>67</v>
      </c>
      <c r="D14915" t="s">
        <v>67</v>
      </c>
      <c r="E14915" t="s">
        <v>67</v>
      </c>
      <c r="F14915" t="s">
        <v>27987</v>
      </c>
      <c r="G14915" s="117">
        <v>17.7</v>
      </c>
    </row>
    <row r="14916" spans="1:7" x14ac:dyDescent="0.25">
      <c r="A14916" s="116" t="s">
        <v>23200</v>
      </c>
      <c r="B14916" s="117" t="s">
        <v>23201</v>
      </c>
      <c r="C14916" t="s">
        <v>67</v>
      </c>
      <c r="D14916" t="s">
        <v>67</v>
      </c>
      <c r="E14916" t="s">
        <v>67</v>
      </c>
      <c r="F14916" t="s">
        <v>27987</v>
      </c>
      <c r="G14916" s="117">
        <v>20.02</v>
      </c>
    </row>
    <row r="14917" spans="1:7" x14ac:dyDescent="0.25">
      <c r="A14917" s="116" t="s">
        <v>23202</v>
      </c>
      <c r="B14917" s="117" t="s">
        <v>23203</v>
      </c>
      <c r="C14917" t="s">
        <v>67</v>
      </c>
      <c r="D14917" t="s">
        <v>67</v>
      </c>
      <c r="E14917" t="s">
        <v>67</v>
      </c>
      <c r="F14917" t="s">
        <v>49</v>
      </c>
      <c r="G14917" s="117">
        <v>0.8</v>
      </c>
    </row>
    <row r="14918" spans="1:7" x14ac:dyDescent="0.25">
      <c r="A14918" s="116" t="s">
        <v>23204</v>
      </c>
      <c r="B14918" s="117" t="s">
        <v>23205</v>
      </c>
      <c r="C14918" t="s">
        <v>67</v>
      </c>
      <c r="D14918" t="s">
        <v>67</v>
      </c>
      <c r="E14918" t="s">
        <v>67</v>
      </c>
      <c r="F14918" t="s">
        <v>27987</v>
      </c>
      <c r="G14918" s="117">
        <v>1.77</v>
      </c>
    </row>
    <row r="14919" spans="1:7" x14ac:dyDescent="0.25">
      <c r="A14919" s="116" t="s">
        <v>23206</v>
      </c>
      <c r="B14919" s="117" t="s">
        <v>23207</v>
      </c>
      <c r="C14919" t="s">
        <v>67</v>
      </c>
      <c r="D14919" t="s">
        <v>67</v>
      </c>
      <c r="E14919" t="s">
        <v>67</v>
      </c>
      <c r="F14919" t="s">
        <v>27987</v>
      </c>
      <c r="G14919" s="117">
        <v>1.77</v>
      </c>
    </row>
    <row r="14920" spans="1:7" x14ac:dyDescent="0.25">
      <c r="A14920" s="116" t="s">
        <v>23208</v>
      </c>
      <c r="B14920" s="117" t="s">
        <v>23209</v>
      </c>
      <c r="C14920" t="s">
        <v>67</v>
      </c>
      <c r="D14920" t="s">
        <v>67</v>
      </c>
      <c r="E14920" t="s">
        <v>67</v>
      </c>
      <c r="F14920" t="s">
        <v>27987</v>
      </c>
      <c r="G14920" s="117">
        <v>2.58</v>
      </c>
    </row>
    <row r="14921" spans="1:7" x14ac:dyDescent="0.25">
      <c r="A14921" s="116" t="s">
        <v>23210</v>
      </c>
      <c r="B14921" s="117" t="s">
        <v>23211</v>
      </c>
      <c r="C14921" t="s">
        <v>67</v>
      </c>
      <c r="D14921" t="s">
        <v>67</v>
      </c>
      <c r="E14921" t="s">
        <v>67</v>
      </c>
      <c r="F14921" t="s">
        <v>27987</v>
      </c>
      <c r="G14921" s="117">
        <v>3.48</v>
      </c>
    </row>
    <row r="14922" spans="1:7" x14ac:dyDescent="0.25">
      <c r="A14922" s="116" t="s">
        <v>23212</v>
      </c>
      <c r="B14922" s="117" t="s">
        <v>23213</v>
      </c>
      <c r="C14922" t="s">
        <v>67</v>
      </c>
      <c r="D14922" t="s">
        <v>67</v>
      </c>
      <c r="E14922" t="s">
        <v>67</v>
      </c>
      <c r="F14922" t="s">
        <v>27987</v>
      </c>
      <c r="G14922" s="117">
        <v>0.8</v>
      </c>
    </row>
    <row r="14923" spans="1:7" x14ac:dyDescent="0.25">
      <c r="A14923" s="116" t="s">
        <v>23214</v>
      </c>
      <c r="B14923" s="117" t="s">
        <v>23215</v>
      </c>
      <c r="C14923" t="s">
        <v>67</v>
      </c>
      <c r="D14923" t="s">
        <v>67</v>
      </c>
      <c r="E14923" t="s">
        <v>67</v>
      </c>
      <c r="F14923" t="s">
        <v>49</v>
      </c>
      <c r="G14923" s="117">
        <v>0.8</v>
      </c>
    </row>
    <row r="14924" spans="1:7" x14ac:dyDescent="0.25">
      <c r="A14924" s="116" t="s">
        <v>23216</v>
      </c>
      <c r="B14924" s="117" t="s">
        <v>23217</v>
      </c>
      <c r="C14924" t="s">
        <v>67</v>
      </c>
      <c r="D14924" t="s">
        <v>67</v>
      </c>
      <c r="E14924" t="s">
        <v>67</v>
      </c>
      <c r="F14924" t="s">
        <v>27987</v>
      </c>
      <c r="G14924" s="117">
        <v>385.74</v>
      </c>
    </row>
    <row r="14925" spans="1:7" x14ac:dyDescent="0.25">
      <c r="A14925" s="116" t="s">
        <v>23218</v>
      </c>
      <c r="B14925" s="117" t="s">
        <v>23219</v>
      </c>
      <c r="C14925" t="s">
        <v>67</v>
      </c>
      <c r="D14925" t="s">
        <v>67</v>
      </c>
      <c r="E14925" t="s">
        <v>67</v>
      </c>
      <c r="F14925" t="s">
        <v>27987</v>
      </c>
      <c r="G14925" s="117">
        <v>434.14</v>
      </c>
    </row>
    <row r="14926" spans="1:7" x14ac:dyDescent="0.25">
      <c r="A14926" s="116" t="s">
        <v>23220</v>
      </c>
      <c r="B14926" s="117" t="s">
        <v>23221</v>
      </c>
      <c r="C14926" t="s">
        <v>67</v>
      </c>
      <c r="D14926" t="s">
        <v>67</v>
      </c>
      <c r="E14926" t="s">
        <v>67</v>
      </c>
      <c r="F14926" t="s">
        <v>27987</v>
      </c>
      <c r="G14926" s="117">
        <v>100.11</v>
      </c>
    </row>
    <row r="14927" spans="1:7" x14ac:dyDescent="0.25">
      <c r="A14927" s="116" t="s">
        <v>23222</v>
      </c>
      <c r="B14927" s="117" t="s">
        <v>23221</v>
      </c>
      <c r="C14927" t="s">
        <v>67</v>
      </c>
      <c r="D14927" t="s">
        <v>67</v>
      </c>
      <c r="E14927" t="s">
        <v>67</v>
      </c>
      <c r="F14927" t="s">
        <v>27987</v>
      </c>
      <c r="G14927" s="117">
        <v>68.069999999999993</v>
      </c>
    </row>
    <row r="14928" spans="1:7" x14ac:dyDescent="0.25">
      <c r="A14928" s="116" t="s">
        <v>23223</v>
      </c>
      <c r="B14928" s="117" t="s">
        <v>23224</v>
      </c>
      <c r="C14928" t="s">
        <v>67</v>
      </c>
      <c r="D14928" t="s">
        <v>67</v>
      </c>
      <c r="E14928" t="s">
        <v>67</v>
      </c>
      <c r="F14928" t="s">
        <v>27987</v>
      </c>
      <c r="G14928" s="117">
        <v>141.93</v>
      </c>
    </row>
    <row r="14929" spans="1:7" x14ac:dyDescent="0.25">
      <c r="A14929" s="116" t="s">
        <v>23225</v>
      </c>
      <c r="B14929" s="117" t="s">
        <v>23226</v>
      </c>
      <c r="C14929" t="s">
        <v>67</v>
      </c>
      <c r="D14929" t="s">
        <v>67</v>
      </c>
      <c r="E14929" t="s">
        <v>67</v>
      </c>
      <c r="F14929" t="s">
        <v>27987</v>
      </c>
      <c r="G14929" s="117">
        <v>69.69</v>
      </c>
    </row>
    <row r="14930" spans="1:7" x14ac:dyDescent="0.25">
      <c r="A14930" s="116" t="s">
        <v>23227</v>
      </c>
      <c r="B14930" s="117" t="s">
        <v>2445</v>
      </c>
      <c r="C14930" t="s">
        <v>67</v>
      </c>
      <c r="D14930" t="s">
        <v>67</v>
      </c>
      <c r="E14930" t="s">
        <v>67</v>
      </c>
      <c r="F14930" t="s">
        <v>27987</v>
      </c>
      <c r="G14930" s="117">
        <v>28</v>
      </c>
    </row>
    <row r="14931" spans="1:7" x14ac:dyDescent="0.25">
      <c r="A14931" s="116" t="s">
        <v>23228</v>
      </c>
      <c r="B14931" s="117" t="s">
        <v>23229</v>
      </c>
      <c r="C14931" t="s">
        <v>67</v>
      </c>
      <c r="D14931" t="s">
        <v>67</v>
      </c>
      <c r="E14931" t="s">
        <v>67</v>
      </c>
      <c r="F14931" t="s">
        <v>27987</v>
      </c>
      <c r="G14931" s="117">
        <v>121.54</v>
      </c>
    </row>
    <row r="14932" spans="1:7" x14ac:dyDescent="0.25">
      <c r="A14932" s="116" t="s">
        <v>23230</v>
      </c>
      <c r="B14932" s="117" t="s">
        <v>13042</v>
      </c>
      <c r="C14932" t="s">
        <v>67</v>
      </c>
      <c r="D14932" t="s">
        <v>67</v>
      </c>
      <c r="E14932" t="s">
        <v>67</v>
      </c>
      <c r="F14932" t="s">
        <v>27987</v>
      </c>
      <c r="G14932" s="117">
        <v>35.909999999999997</v>
      </c>
    </row>
    <row r="14933" spans="1:7" x14ac:dyDescent="0.25">
      <c r="A14933" s="116" t="s">
        <v>23231</v>
      </c>
      <c r="B14933" s="117" t="s">
        <v>23232</v>
      </c>
      <c r="C14933" t="s">
        <v>67</v>
      </c>
      <c r="D14933" t="s">
        <v>67</v>
      </c>
      <c r="E14933" t="s">
        <v>67</v>
      </c>
      <c r="F14933" t="s">
        <v>27987</v>
      </c>
      <c r="G14933" s="117">
        <v>64.05</v>
      </c>
    </row>
    <row r="14934" spans="1:7" x14ac:dyDescent="0.25">
      <c r="A14934" s="116" t="s">
        <v>23233</v>
      </c>
      <c r="B14934" s="117" t="s">
        <v>23234</v>
      </c>
      <c r="C14934" t="s">
        <v>67</v>
      </c>
      <c r="D14934" t="s">
        <v>67</v>
      </c>
      <c r="E14934" t="s">
        <v>67</v>
      </c>
      <c r="F14934" t="s">
        <v>27987</v>
      </c>
      <c r="G14934" s="117">
        <v>37.28</v>
      </c>
    </row>
    <row r="14935" spans="1:7" x14ac:dyDescent="0.25">
      <c r="A14935" s="116" t="s">
        <v>23235</v>
      </c>
      <c r="B14935" s="117" t="s">
        <v>23236</v>
      </c>
      <c r="C14935" t="s">
        <v>67</v>
      </c>
      <c r="D14935" t="s">
        <v>67</v>
      </c>
      <c r="E14935" t="s">
        <v>67</v>
      </c>
      <c r="F14935" t="s">
        <v>27987</v>
      </c>
      <c r="G14935" s="117">
        <v>87.18</v>
      </c>
    </row>
    <row r="14936" spans="1:7" x14ac:dyDescent="0.25">
      <c r="A14936" s="116" t="s">
        <v>23237</v>
      </c>
      <c r="B14936" s="117" t="s">
        <v>23238</v>
      </c>
      <c r="C14936" t="s">
        <v>67</v>
      </c>
      <c r="D14936" t="s">
        <v>67</v>
      </c>
      <c r="E14936" t="s">
        <v>67</v>
      </c>
      <c r="F14936" t="s">
        <v>27987</v>
      </c>
      <c r="G14936" s="117">
        <v>862.36</v>
      </c>
    </row>
    <row r="14937" spans="1:7" x14ac:dyDescent="0.25">
      <c r="A14937" s="116" t="s">
        <v>23239</v>
      </c>
      <c r="B14937" s="117" t="s">
        <v>23240</v>
      </c>
      <c r="C14937" t="s">
        <v>67</v>
      </c>
      <c r="D14937" t="s">
        <v>67</v>
      </c>
      <c r="E14937" t="s">
        <v>67</v>
      </c>
      <c r="F14937" t="s">
        <v>27987</v>
      </c>
      <c r="G14937" s="117">
        <v>223.62</v>
      </c>
    </row>
    <row r="14938" spans="1:7" x14ac:dyDescent="0.25">
      <c r="A14938" s="116" t="s">
        <v>23241</v>
      </c>
      <c r="B14938" s="117" t="s">
        <v>23242</v>
      </c>
      <c r="C14938" t="s">
        <v>67</v>
      </c>
      <c r="D14938" t="s">
        <v>67</v>
      </c>
      <c r="E14938" t="s">
        <v>67</v>
      </c>
      <c r="F14938" t="s">
        <v>49</v>
      </c>
      <c r="G14938" s="117">
        <v>0.89</v>
      </c>
    </row>
    <row r="14939" spans="1:7" x14ac:dyDescent="0.25">
      <c r="A14939" s="116" t="s">
        <v>23243</v>
      </c>
      <c r="B14939" s="117" t="s">
        <v>29613</v>
      </c>
      <c r="C14939" t="s">
        <v>67</v>
      </c>
      <c r="D14939" t="s">
        <v>67</v>
      </c>
      <c r="E14939" t="s">
        <v>67</v>
      </c>
      <c r="F14939" t="s">
        <v>49</v>
      </c>
      <c r="G14939" s="117">
        <v>1.77</v>
      </c>
    </row>
    <row r="14940" spans="1:7" x14ac:dyDescent="0.25">
      <c r="A14940" s="116" t="s">
        <v>23244</v>
      </c>
      <c r="B14940" s="117" t="s">
        <v>23245</v>
      </c>
      <c r="C14940" t="s">
        <v>67</v>
      </c>
      <c r="D14940" t="s">
        <v>67</v>
      </c>
      <c r="E14940" t="s">
        <v>67</v>
      </c>
      <c r="F14940" t="s">
        <v>49</v>
      </c>
      <c r="G14940" s="117">
        <v>3.56</v>
      </c>
    </row>
    <row r="14941" spans="1:7" x14ac:dyDescent="0.25">
      <c r="A14941" s="116" t="s">
        <v>23246</v>
      </c>
      <c r="B14941" s="117" t="s">
        <v>23247</v>
      </c>
      <c r="C14941" t="s">
        <v>67</v>
      </c>
      <c r="D14941" t="s">
        <v>67</v>
      </c>
      <c r="E14941" t="s">
        <v>67</v>
      </c>
      <c r="F14941" t="s">
        <v>49</v>
      </c>
      <c r="G14941" s="117">
        <v>1.77</v>
      </c>
    </row>
    <row r="14942" spans="1:7" x14ac:dyDescent="0.25">
      <c r="A14942" s="116" t="s">
        <v>23248</v>
      </c>
      <c r="B14942" s="117" t="s">
        <v>7998</v>
      </c>
      <c r="C14942" t="s">
        <v>67</v>
      </c>
      <c r="D14942" t="s">
        <v>67</v>
      </c>
      <c r="E14942" t="s">
        <v>67</v>
      </c>
      <c r="F14942" t="s">
        <v>27987</v>
      </c>
      <c r="G14942" s="117">
        <v>3.12</v>
      </c>
    </row>
    <row r="14943" spans="1:7" x14ac:dyDescent="0.25">
      <c r="A14943" s="116" t="s">
        <v>23249</v>
      </c>
      <c r="B14943" s="117" t="s">
        <v>23250</v>
      </c>
      <c r="C14943" t="s">
        <v>67</v>
      </c>
      <c r="D14943" t="s">
        <v>67</v>
      </c>
      <c r="E14943" t="s">
        <v>67</v>
      </c>
      <c r="F14943" t="s">
        <v>27987</v>
      </c>
      <c r="G14943" s="117">
        <v>29.81</v>
      </c>
    </row>
    <row r="14944" spans="1:7" x14ac:dyDescent="0.25">
      <c r="A14944" s="116" t="s">
        <v>23251</v>
      </c>
      <c r="B14944" s="117" t="s">
        <v>23252</v>
      </c>
      <c r="C14944" t="s">
        <v>67</v>
      </c>
      <c r="D14944" t="s">
        <v>67</v>
      </c>
      <c r="E14944" t="s">
        <v>67</v>
      </c>
      <c r="F14944" t="s">
        <v>49</v>
      </c>
      <c r="G14944" s="117">
        <v>14.68</v>
      </c>
    </row>
    <row r="14945" spans="1:7" x14ac:dyDescent="0.25">
      <c r="A14945" s="116" t="s">
        <v>23253</v>
      </c>
      <c r="B14945" s="117" t="s">
        <v>14991</v>
      </c>
      <c r="C14945" t="s">
        <v>67</v>
      </c>
      <c r="D14945" t="s">
        <v>67</v>
      </c>
      <c r="E14945" t="s">
        <v>67</v>
      </c>
      <c r="F14945" t="s">
        <v>45</v>
      </c>
      <c r="G14945" s="117">
        <v>1.69</v>
      </c>
    </row>
    <row r="14946" spans="1:7" x14ac:dyDescent="0.25">
      <c r="A14946" s="116" t="s">
        <v>23254</v>
      </c>
      <c r="B14946" s="117" t="s">
        <v>23255</v>
      </c>
      <c r="C14946" t="s">
        <v>67</v>
      </c>
      <c r="D14946" t="s">
        <v>67</v>
      </c>
      <c r="E14946" t="s">
        <v>67</v>
      </c>
      <c r="F14946" t="s">
        <v>49</v>
      </c>
      <c r="G14946" s="117">
        <v>1.33</v>
      </c>
    </row>
    <row r="14947" spans="1:7" x14ac:dyDescent="0.25">
      <c r="A14947" s="116" t="s">
        <v>23256</v>
      </c>
      <c r="B14947" s="117" t="s">
        <v>5610</v>
      </c>
      <c r="C14947" t="s">
        <v>67</v>
      </c>
      <c r="D14947" t="s">
        <v>67</v>
      </c>
      <c r="E14947" t="s">
        <v>67</v>
      </c>
      <c r="F14947" t="s">
        <v>49</v>
      </c>
      <c r="G14947" s="117">
        <v>1.33</v>
      </c>
    </row>
    <row r="14948" spans="1:7" x14ac:dyDescent="0.25">
      <c r="A14948" s="116" t="s">
        <v>23257</v>
      </c>
      <c r="B14948" s="117" t="s">
        <v>5766</v>
      </c>
      <c r="C14948" t="s">
        <v>67</v>
      </c>
      <c r="D14948" t="s">
        <v>67</v>
      </c>
      <c r="E14948" t="s">
        <v>67</v>
      </c>
      <c r="F14948" t="s">
        <v>49</v>
      </c>
      <c r="G14948" s="117">
        <v>13.35</v>
      </c>
    </row>
    <row r="14949" spans="1:7" x14ac:dyDescent="0.25">
      <c r="A14949" s="116" t="s">
        <v>23258</v>
      </c>
      <c r="B14949" s="117" t="s">
        <v>23259</v>
      </c>
      <c r="C14949" t="s">
        <v>67</v>
      </c>
      <c r="D14949" t="s">
        <v>67</v>
      </c>
      <c r="E14949" t="s">
        <v>67</v>
      </c>
      <c r="F14949" t="s">
        <v>49</v>
      </c>
      <c r="G14949" s="117">
        <v>12.01</v>
      </c>
    </row>
    <row r="14950" spans="1:7" x14ac:dyDescent="0.25">
      <c r="A14950" s="116" t="s">
        <v>23260</v>
      </c>
      <c r="B14950" s="117" t="s">
        <v>23261</v>
      </c>
      <c r="C14950" t="s">
        <v>67</v>
      </c>
      <c r="D14950" t="s">
        <v>67</v>
      </c>
      <c r="E14950" t="s">
        <v>67</v>
      </c>
      <c r="F14950" t="s">
        <v>49</v>
      </c>
      <c r="G14950" s="117">
        <v>2.23</v>
      </c>
    </row>
    <row r="14951" spans="1:7" x14ac:dyDescent="0.25">
      <c r="A14951" s="116" t="s">
        <v>23262</v>
      </c>
      <c r="B14951" s="117" t="s">
        <v>14991</v>
      </c>
      <c r="C14951" t="s">
        <v>67</v>
      </c>
      <c r="D14951" t="s">
        <v>67</v>
      </c>
      <c r="E14951" t="s">
        <v>67</v>
      </c>
      <c r="F14951" t="s">
        <v>27987</v>
      </c>
      <c r="G14951" s="117">
        <v>2.58</v>
      </c>
    </row>
    <row r="14952" spans="1:7" x14ac:dyDescent="0.25">
      <c r="A14952" s="116" t="s">
        <v>23263</v>
      </c>
      <c r="B14952" s="117" t="s">
        <v>23264</v>
      </c>
      <c r="C14952" t="s">
        <v>67</v>
      </c>
      <c r="D14952" t="s">
        <v>67</v>
      </c>
      <c r="E14952" t="s">
        <v>67</v>
      </c>
      <c r="F14952" t="s">
        <v>27990</v>
      </c>
      <c r="G14952" s="117">
        <v>10.58</v>
      </c>
    </row>
    <row r="14953" spans="1:7" x14ac:dyDescent="0.25">
      <c r="A14953" s="116" t="s">
        <v>23265</v>
      </c>
      <c r="B14953" s="117" t="s">
        <v>5835</v>
      </c>
      <c r="C14953" t="s">
        <v>67</v>
      </c>
      <c r="D14953" t="s">
        <v>67</v>
      </c>
      <c r="E14953" t="s">
        <v>67</v>
      </c>
      <c r="F14953" t="s">
        <v>27990</v>
      </c>
      <c r="G14953" s="117">
        <v>1.69</v>
      </c>
    </row>
    <row r="14954" spans="1:7" x14ac:dyDescent="0.25">
      <c r="A14954" s="116" t="s">
        <v>23266</v>
      </c>
      <c r="B14954" s="117" t="s">
        <v>23267</v>
      </c>
      <c r="C14954" t="s">
        <v>67</v>
      </c>
      <c r="D14954" t="s">
        <v>67</v>
      </c>
      <c r="E14954" t="s">
        <v>67</v>
      </c>
      <c r="F14954" t="s">
        <v>27990</v>
      </c>
      <c r="G14954" s="117">
        <v>2.23</v>
      </c>
    </row>
    <row r="14955" spans="1:7" x14ac:dyDescent="0.25">
      <c r="A14955" s="116" t="s">
        <v>23268</v>
      </c>
      <c r="B14955" s="117" t="s">
        <v>23269</v>
      </c>
      <c r="C14955" t="s">
        <v>67</v>
      </c>
      <c r="D14955" t="s">
        <v>67</v>
      </c>
      <c r="E14955" t="s">
        <v>67</v>
      </c>
      <c r="F14955" t="s">
        <v>27990</v>
      </c>
      <c r="G14955" s="117">
        <v>46.71</v>
      </c>
    </row>
    <row r="14956" spans="1:7" x14ac:dyDescent="0.25">
      <c r="A14956" s="116" t="s">
        <v>23270</v>
      </c>
      <c r="B14956" s="117" t="s">
        <v>23271</v>
      </c>
      <c r="C14956" t="s">
        <v>67</v>
      </c>
      <c r="D14956" t="s">
        <v>67</v>
      </c>
      <c r="E14956" t="s">
        <v>67</v>
      </c>
      <c r="F14956" t="s">
        <v>49</v>
      </c>
      <c r="G14956" s="117">
        <v>30.7</v>
      </c>
    </row>
    <row r="14957" spans="1:7" x14ac:dyDescent="0.25">
      <c r="A14957" s="116" t="s">
        <v>23272</v>
      </c>
      <c r="B14957" s="117" t="s">
        <v>5624</v>
      </c>
      <c r="C14957" t="s">
        <v>67</v>
      </c>
      <c r="D14957" t="s">
        <v>67</v>
      </c>
      <c r="E14957" t="s">
        <v>67</v>
      </c>
      <c r="F14957" t="s">
        <v>49</v>
      </c>
      <c r="G14957" s="117">
        <v>3.12</v>
      </c>
    </row>
    <row r="14958" spans="1:7" x14ac:dyDescent="0.25">
      <c r="A14958" s="116" t="s">
        <v>23273</v>
      </c>
      <c r="B14958" s="117" t="s">
        <v>5774</v>
      </c>
      <c r="C14958" t="s">
        <v>67</v>
      </c>
      <c r="D14958" t="s">
        <v>67</v>
      </c>
      <c r="E14958" t="s">
        <v>67</v>
      </c>
      <c r="F14958" t="s">
        <v>27990</v>
      </c>
      <c r="G14958" s="117">
        <v>1.69</v>
      </c>
    </row>
    <row r="14959" spans="1:7" x14ac:dyDescent="0.25">
      <c r="A14959" s="116" t="s">
        <v>23274</v>
      </c>
      <c r="B14959" s="117" t="s">
        <v>23275</v>
      </c>
      <c r="C14959" t="s">
        <v>67</v>
      </c>
      <c r="D14959" t="s">
        <v>67</v>
      </c>
      <c r="E14959" t="s">
        <v>67</v>
      </c>
      <c r="F14959" t="s">
        <v>51</v>
      </c>
      <c r="G14959" s="117">
        <v>8.4499999999999993</v>
      </c>
    </row>
    <row r="14960" spans="1:7" x14ac:dyDescent="0.25">
      <c r="A14960" s="116" t="s">
        <v>23276</v>
      </c>
      <c r="B14960" s="117" t="s">
        <v>23277</v>
      </c>
      <c r="C14960" t="s">
        <v>67</v>
      </c>
      <c r="D14960" t="s">
        <v>67</v>
      </c>
      <c r="E14960" t="s">
        <v>67</v>
      </c>
      <c r="F14960" t="s">
        <v>49</v>
      </c>
      <c r="G14960" s="117">
        <v>2.58</v>
      </c>
    </row>
    <row r="14961" spans="1:7" x14ac:dyDescent="0.25">
      <c r="A14961" s="116" t="s">
        <v>23278</v>
      </c>
      <c r="B14961" s="117" t="s">
        <v>23279</v>
      </c>
      <c r="C14961" t="s">
        <v>67</v>
      </c>
      <c r="D14961" t="s">
        <v>67</v>
      </c>
      <c r="E14961" t="s">
        <v>67</v>
      </c>
      <c r="F14961" t="s">
        <v>49</v>
      </c>
      <c r="G14961" s="117">
        <v>1.77</v>
      </c>
    </row>
    <row r="14962" spans="1:7" x14ac:dyDescent="0.25">
      <c r="A14962" s="116" t="s">
        <v>23280</v>
      </c>
      <c r="B14962" s="117" t="s">
        <v>23281</v>
      </c>
      <c r="C14962" t="s">
        <v>67</v>
      </c>
      <c r="D14962" t="s">
        <v>67</v>
      </c>
      <c r="E14962" t="s">
        <v>67</v>
      </c>
      <c r="F14962" t="s">
        <v>49</v>
      </c>
      <c r="G14962" s="117">
        <v>2.58</v>
      </c>
    </row>
    <row r="14963" spans="1:7" x14ac:dyDescent="0.25">
      <c r="A14963" s="116" t="s">
        <v>23282</v>
      </c>
      <c r="B14963" s="117" t="s">
        <v>23283</v>
      </c>
      <c r="C14963" t="s">
        <v>67</v>
      </c>
      <c r="D14963" t="s">
        <v>67</v>
      </c>
      <c r="E14963" t="s">
        <v>67</v>
      </c>
      <c r="F14963" t="s">
        <v>49</v>
      </c>
      <c r="G14963" s="117">
        <v>1.33</v>
      </c>
    </row>
    <row r="14964" spans="1:7" x14ac:dyDescent="0.25">
      <c r="A14964" s="116" t="s">
        <v>23284</v>
      </c>
      <c r="B14964" s="117" t="s">
        <v>23285</v>
      </c>
      <c r="C14964" t="s">
        <v>67</v>
      </c>
      <c r="D14964" t="s">
        <v>67</v>
      </c>
      <c r="E14964" t="s">
        <v>67</v>
      </c>
      <c r="F14964" t="s">
        <v>49</v>
      </c>
      <c r="G14964" s="117">
        <v>3.56</v>
      </c>
    </row>
    <row r="14965" spans="1:7" x14ac:dyDescent="0.25">
      <c r="A14965" s="116" t="s">
        <v>23286</v>
      </c>
      <c r="B14965" s="117" t="s">
        <v>23287</v>
      </c>
      <c r="C14965" t="s">
        <v>67</v>
      </c>
      <c r="D14965" t="s">
        <v>67</v>
      </c>
      <c r="E14965" t="s">
        <v>67</v>
      </c>
      <c r="F14965" t="s">
        <v>27987</v>
      </c>
      <c r="G14965" s="117">
        <v>9.6999999999999993</v>
      </c>
    </row>
    <row r="14966" spans="1:7" x14ac:dyDescent="0.25">
      <c r="A14966" s="116" t="s">
        <v>23288</v>
      </c>
      <c r="B14966" s="117" t="s">
        <v>23289</v>
      </c>
      <c r="C14966" t="s">
        <v>67</v>
      </c>
      <c r="D14966" t="s">
        <v>67</v>
      </c>
      <c r="E14966" t="s">
        <v>67</v>
      </c>
      <c r="F14966" t="s">
        <v>49</v>
      </c>
      <c r="G14966" s="117">
        <v>3.12</v>
      </c>
    </row>
    <row r="14967" spans="1:7" x14ac:dyDescent="0.25">
      <c r="A14967" s="116" t="s">
        <v>23290</v>
      </c>
      <c r="B14967" s="117" t="s">
        <v>23291</v>
      </c>
      <c r="C14967" t="s">
        <v>67</v>
      </c>
      <c r="D14967" t="s">
        <v>67</v>
      </c>
      <c r="E14967" t="s">
        <v>67</v>
      </c>
      <c r="F14967" t="s">
        <v>49</v>
      </c>
      <c r="G14967" s="117">
        <v>2.58</v>
      </c>
    </row>
    <row r="14968" spans="1:7" x14ac:dyDescent="0.25">
      <c r="A14968" s="116" t="s">
        <v>23292</v>
      </c>
      <c r="B14968" s="117" t="s">
        <v>23293</v>
      </c>
      <c r="C14968" t="s">
        <v>67</v>
      </c>
      <c r="D14968" t="s">
        <v>67</v>
      </c>
      <c r="E14968" t="s">
        <v>67</v>
      </c>
      <c r="F14968" t="s">
        <v>49</v>
      </c>
      <c r="G14968" s="117">
        <v>4</v>
      </c>
    </row>
    <row r="14969" spans="1:7" x14ac:dyDescent="0.25">
      <c r="A14969" s="116" t="s">
        <v>23294</v>
      </c>
      <c r="B14969" s="117" t="s">
        <v>23295</v>
      </c>
      <c r="C14969" t="s">
        <v>67</v>
      </c>
      <c r="D14969" t="s">
        <v>67</v>
      </c>
      <c r="E14969" t="s">
        <v>67</v>
      </c>
      <c r="F14969" t="s">
        <v>49</v>
      </c>
      <c r="G14969" s="117">
        <v>0.89</v>
      </c>
    </row>
    <row r="14970" spans="1:7" x14ac:dyDescent="0.25">
      <c r="A14970" s="116" t="s">
        <v>23296</v>
      </c>
      <c r="B14970" s="117" t="s">
        <v>12462</v>
      </c>
      <c r="C14970" t="s">
        <v>67</v>
      </c>
      <c r="D14970" t="s">
        <v>67</v>
      </c>
      <c r="E14970" t="s">
        <v>67</v>
      </c>
      <c r="F14970" t="s">
        <v>49</v>
      </c>
      <c r="G14970" s="117">
        <v>6.14</v>
      </c>
    </row>
    <row r="14971" spans="1:7" x14ac:dyDescent="0.25">
      <c r="A14971" s="116" t="s">
        <v>23297</v>
      </c>
      <c r="B14971" s="117" t="s">
        <v>6977</v>
      </c>
      <c r="C14971" t="s">
        <v>67</v>
      </c>
      <c r="D14971" t="s">
        <v>67</v>
      </c>
      <c r="E14971" t="s">
        <v>67</v>
      </c>
      <c r="F14971" t="s">
        <v>49</v>
      </c>
      <c r="G14971" s="117">
        <v>1.33</v>
      </c>
    </row>
    <row r="14972" spans="1:7" x14ac:dyDescent="0.25">
      <c r="A14972" s="116" t="s">
        <v>23298</v>
      </c>
      <c r="B14972" s="117" t="s">
        <v>23299</v>
      </c>
      <c r="C14972" t="s">
        <v>67</v>
      </c>
      <c r="D14972" t="s">
        <v>67</v>
      </c>
      <c r="E14972" t="s">
        <v>67</v>
      </c>
      <c r="F14972" t="s">
        <v>49</v>
      </c>
      <c r="G14972" s="117">
        <v>3.12</v>
      </c>
    </row>
    <row r="14973" spans="1:7" x14ac:dyDescent="0.25">
      <c r="A14973" s="116" t="s">
        <v>23300</v>
      </c>
      <c r="B14973" s="117" t="s">
        <v>23301</v>
      </c>
      <c r="C14973" t="s">
        <v>67</v>
      </c>
      <c r="D14973" t="s">
        <v>67</v>
      </c>
      <c r="E14973" t="s">
        <v>67</v>
      </c>
      <c r="F14973" t="s">
        <v>27990</v>
      </c>
      <c r="G14973" s="117">
        <v>0.89</v>
      </c>
    </row>
    <row r="14974" spans="1:7" x14ac:dyDescent="0.25">
      <c r="A14974" s="116" t="s">
        <v>23302</v>
      </c>
      <c r="B14974" s="117" t="s">
        <v>23303</v>
      </c>
      <c r="C14974" t="s">
        <v>67</v>
      </c>
      <c r="D14974" t="s">
        <v>67</v>
      </c>
      <c r="E14974" t="s">
        <v>67</v>
      </c>
      <c r="F14974" t="s">
        <v>49</v>
      </c>
      <c r="G14974" s="117">
        <v>6.14</v>
      </c>
    </row>
    <row r="14975" spans="1:7" x14ac:dyDescent="0.25">
      <c r="A14975" s="116" t="s">
        <v>23304</v>
      </c>
      <c r="B14975" s="117" t="s">
        <v>5608</v>
      </c>
      <c r="C14975" t="s">
        <v>67</v>
      </c>
      <c r="D14975" t="s">
        <v>67</v>
      </c>
      <c r="E14975" t="s">
        <v>67</v>
      </c>
      <c r="F14975" t="s">
        <v>49</v>
      </c>
      <c r="G14975" s="117">
        <v>1.33</v>
      </c>
    </row>
    <row r="14976" spans="1:7" x14ac:dyDescent="0.25">
      <c r="A14976" s="116" t="s">
        <v>23305</v>
      </c>
      <c r="B14976" s="117" t="s">
        <v>7253</v>
      </c>
      <c r="C14976" t="s">
        <v>67</v>
      </c>
      <c r="D14976" t="s">
        <v>67</v>
      </c>
      <c r="E14976" t="s">
        <v>67</v>
      </c>
      <c r="F14976" t="s">
        <v>49</v>
      </c>
      <c r="G14976" s="117">
        <v>1.33</v>
      </c>
    </row>
    <row r="14977" spans="1:7" x14ac:dyDescent="0.25">
      <c r="A14977" s="116" t="s">
        <v>23306</v>
      </c>
      <c r="B14977" s="117" t="s">
        <v>23307</v>
      </c>
      <c r="C14977" t="s">
        <v>67</v>
      </c>
      <c r="D14977" t="s">
        <v>67</v>
      </c>
      <c r="E14977" t="s">
        <v>67</v>
      </c>
      <c r="F14977" t="s">
        <v>27987</v>
      </c>
      <c r="G14977" s="117">
        <v>1.77</v>
      </c>
    </row>
    <row r="14978" spans="1:7" x14ac:dyDescent="0.25">
      <c r="A14978" s="116" t="s">
        <v>23308</v>
      </c>
      <c r="B14978" s="117" t="s">
        <v>23309</v>
      </c>
      <c r="C14978" t="s">
        <v>67</v>
      </c>
      <c r="D14978" t="s">
        <v>67</v>
      </c>
      <c r="E14978" t="s">
        <v>67</v>
      </c>
      <c r="F14978" t="s">
        <v>27990</v>
      </c>
      <c r="G14978" s="117">
        <v>1.33</v>
      </c>
    </row>
    <row r="14979" spans="1:7" x14ac:dyDescent="0.25">
      <c r="A14979" s="116" t="s">
        <v>23310</v>
      </c>
      <c r="B14979" s="117" t="s">
        <v>23311</v>
      </c>
      <c r="C14979" t="s">
        <v>67</v>
      </c>
      <c r="D14979" t="s">
        <v>67</v>
      </c>
      <c r="E14979" t="s">
        <v>67</v>
      </c>
      <c r="F14979" t="s">
        <v>49</v>
      </c>
      <c r="G14979" s="117">
        <v>0.44</v>
      </c>
    </row>
    <row r="14980" spans="1:7" x14ac:dyDescent="0.25">
      <c r="A14980" s="116" t="s">
        <v>23312</v>
      </c>
      <c r="B14980" s="117" t="s">
        <v>23313</v>
      </c>
      <c r="C14980" t="s">
        <v>67</v>
      </c>
      <c r="D14980" t="s">
        <v>67</v>
      </c>
      <c r="E14980" t="s">
        <v>67</v>
      </c>
      <c r="F14980" t="s">
        <v>27987</v>
      </c>
      <c r="G14980" s="117">
        <v>1.33</v>
      </c>
    </row>
    <row r="14981" spans="1:7" x14ac:dyDescent="0.25">
      <c r="A14981" s="116" t="s">
        <v>23314</v>
      </c>
      <c r="B14981" s="117" t="s">
        <v>23315</v>
      </c>
      <c r="C14981" t="s">
        <v>67</v>
      </c>
      <c r="D14981" t="s">
        <v>67</v>
      </c>
      <c r="E14981" t="s">
        <v>67</v>
      </c>
      <c r="F14981" t="s">
        <v>27987</v>
      </c>
      <c r="G14981" s="117">
        <v>1.69</v>
      </c>
    </row>
    <row r="14982" spans="1:7" x14ac:dyDescent="0.25">
      <c r="A14982" s="116" t="s">
        <v>23316</v>
      </c>
      <c r="B14982" s="117" t="s">
        <v>23317</v>
      </c>
      <c r="C14982" t="s">
        <v>67</v>
      </c>
      <c r="D14982" t="s">
        <v>67</v>
      </c>
      <c r="E14982" t="s">
        <v>67</v>
      </c>
      <c r="F14982" t="s">
        <v>49</v>
      </c>
      <c r="G14982" s="117">
        <v>47.61</v>
      </c>
    </row>
    <row r="14983" spans="1:7" x14ac:dyDescent="0.25">
      <c r="A14983" s="116" t="s">
        <v>23318</v>
      </c>
      <c r="B14983" s="117" t="s">
        <v>23319</v>
      </c>
      <c r="C14983" t="s">
        <v>67</v>
      </c>
      <c r="D14983" t="s">
        <v>67</v>
      </c>
      <c r="E14983" t="s">
        <v>67</v>
      </c>
      <c r="F14983" t="s">
        <v>27987</v>
      </c>
      <c r="G14983" s="117">
        <v>15.57</v>
      </c>
    </row>
    <row r="14984" spans="1:7" x14ac:dyDescent="0.25">
      <c r="A14984" s="116" t="s">
        <v>23320</v>
      </c>
      <c r="B14984" s="117" t="s">
        <v>21800</v>
      </c>
      <c r="C14984" t="s">
        <v>67</v>
      </c>
      <c r="D14984" t="s">
        <v>67</v>
      </c>
      <c r="E14984" t="s">
        <v>67</v>
      </c>
      <c r="F14984" t="s">
        <v>49</v>
      </c>
      <c r="G14984" s="117">
        <v>2.23</v>
      </c>
    </row>
    <row r="14985" spans="1:7" x14ac:dyDescent="0.25">
      <c r="A14985" s="116" t="s">
        <v>23321</v>
      </c>
      <c r="B14985" s="117" t="s">
        <v>23322</v>
      </c>
      <c r="C14985" t="s">
        <v>67</v>
      </c>
      <c r="D14985" t="s">
        <v>67</v>
      </c>
      <c r="E14985" t="s">
        <v>67</v>
      </c>
      <c r="F14985" t="s">
        <v>49</v>
      </c>
      <c r="G14985" s="117">
        <v>23.94</v>
      </c>
    </row>
    <row r="14986" spans="1:7" x14ac:dyDescent="0.25">
      <c r="A14986" s="116" t="s">
        <v>23323</v>
      </c>
      <c r="B14986" s="117" t="s">
        <v>23324</v>
      </c>
      <c r="C14986" t="s">
        <v>67</v>
      </c>
      <c r="D14986" t="s">
        <v>67</v>
      </c>
      <c r="E14986" t="s">
        <v>67</v>
      </c>
      <c r="F14986" t="s">
        <v>49</v>
      </c>
      <c r="G14986" s="117">
        <v>1.33</v>
      </c>
    </row>
    <row r="14987" spans="1:7" x14ac:dyDescent="0.25">
      <c r="A14987" s="116" t="s">
        <v>23325</v>
      </c>
      <c r="B14987" s="117" t="s">
        <v>23326</v>
      </c>
      <c r="C14987" t="s">
        <v>67</v>
      </c>
      <c r="D14987" t="s">
        <v>67</v>
      </c>
      <c r="E14987" t="s">
        <v>67</v>
      </c>
      <c r="F14987" t="s">
        <v>49</v>
      </c>
      <c r="G14987" s="117">
        <v>1.69</v>
      </c>
    </row>
    <row r="14988" spans="1:7" x14ac:dyDescent="0.25">
      <c r="A14988" s="116" t="s">
        <v>23327</v>
      </c>
      <c r="B14988" s="117" t="s">
        <v>23309</v>
      </c>
      <c r="C14988" t="s">
        <v>67</v>
      </c>
      <c r="D14988" t="s">
        <v>67</v>
      </c>
      <c r="E14988" t="s">
        <v>67</v>
      </c>
      <c r="F14988" t="s">
        <v>27987</v>
      </c>
      <c r="G14988" s="117">
        <v>3.12</v>
      </c>
    </row>
    <row r="14989" spans="1:7" x14ac:dyDescent="0.25">
      <c r="A14989" s="116" t="s">
        <v>23328</v>
      </c>
      <c r="B14989" s="117" t="s">
        <v>23329</v>
      </c>
      <c r="C14989" t="s">
        <v>67</v>
      </c>
      <c r="D14989" t="s">
        <v>67</v>
      </c>
      <c r="E14989" t="s">
        <v>67</v>
      </c>
      <c r="F14989" t="s">
        <v>49</v>
      </c>
      <c r="G14989" s="117">
        <v>1.33</v>
      </c>
    </row>
    <row r="14990" spans="1:7" x14ac:dyDescent="0.25">
      <c r="A14990" s="116" t="s">
        <v>23330</v>
      </c>
      <c r="B14990" s="117" t="s">
        <v>23331</v>
      </c>
      <c r="C14990" t="s">
        <v>67</v>
      </c>
      <c r="D14990" t="s">
        <v>67</v>
      </c>
      <c r="E14990" t="s">
        <v>67</v>
      </c>
      <c r="F14990" t="s">
        <v>49</v>
      </c>
      <c r="G14990" s="117">
        <v>0.89</v>
      </c>
    </row>
    <row r="14991" spans="1:7" x14ac:dyDescent="0.25">
      <c r="A14991" s="116" t="s">
        <v>23332</v>
      </c>
      <c r="B14991" s="117" t="s">
        <v>23333</v>
      </c>
      <c r="C14991" t="s">
        <v>67</v>
      </c>
      <c r="D14991" t="s">
        <v>67</v>
      </c>
      <c r="E14991" t="s">
        <v>67</v>
      </c>
      <c r="F14991" t="s">
        <v>49</v>
      </c>
      <c r="G14991" s="117">
        <v>3.48</v>
      </c>
    </row>
    <row r="14992" spans="1:7" x14ac:dyDescent="0.25">
      <c r="A14992" s="116" t="s">
        <v>23334</v>
      </c>
      <c r="B14992" s="117" t="s">
        <v>23335</v>
      </c>
      <c r="C14992" t="s">
        <v>67</v>
      </c>
      <c r="D14992" t="s">
        <v>67</v>
      </c>
      <c r="E14992" t="s">
        <v>67</v>
      </c>
      <c r="F14992" t="s">
        <v>49</v>
      </c>
      <c r="G14992" s="117">
        <v>1.77</v>
      </c>
    </row>
    <row r="14993" spans="1:7" x14ac:dyDescent="0.25">
      <c r="A14993" s="116" t="s">
        <v>23336</v>
      </c>
      <c r="B14993" s="117" t="s">
        <v>7017</v>
      </c>
      <c r="C14993" t="s">
        <v>67</v>
      </c>
      <c r="D14993" t="s">
        <v>67</v>
      </c>
      <c r="E14993" t="s">
        <v>67</v>
      </c>
      <c r="F14993" t="s">
        <v>49</v>
      </c>
      <c r="G14993" s="117">
        <v>6.68</v>
      </c>
    </row>
    <row r="14994" spans="1:7" x14ac:dyDescent="0.25">
      <c r="A14994" s="116" t="s">
        <v>30209</v>
      </c>
      <c r="B14994" s="117" t="s">
        <v>30562</v>
      </c>
      <c r="C14994" t="s">
        <v>67</v>
      </c>
      <c r="D14994" t="s">
        <v>67</v>
      </c>
      <c r="E14994" t="s">
        <v>67</v>
      </c>
      <c r="F14994" t="s">
        <v>27987</v>
      </c>
      <c r="G14994" s="117">
        <v>4</v>
      </c>
    </row>
    <row r="14995" spans="1:7" x14ac:dyDescent="0.25">
      <c r="A14995" s="116" t="s">
        <v>23337</v>
      </c>
      <c r="B14995" s="117" t="s">
        <v>23338</v>
      </c>
      <c r="C14995" t="s">
        <v>67</v>
      </c>
      <c r="D14995" t="s">
        <v>67</v>
      </c>
      <c r="E14995" t="s">
        <v>67</v>
      </c>
      <c r="F14995" t="s">
        <v>45</v>
      </c>
      <c r="G14995" s="117">
        <v>10.58</v>
      </c>
    </row>
    <row r="14996" spans="1:7" x14ac:dyDescent="0.25">
      <c r="A14996" s="116" t="s">
        <v>23339</v>
      </c>
      <c r="B14996" s="117" t="s">
        <v>3360</v>
      </c>
      <c r="C14996" t="s">
        <v>67</v>
      </c>
      <c r="D14996" t="s">
        <v>67</v>
      </c>
      <c r="E14996" t="s">
        <v>67</v>
      </c>
      <c r="F14996" t="s">
        <v>49</v>
      </c>
      <c r="G14996" s="117">
        <v>5.33</v>
      </c>
    </row>
    <row r="14997" spans="1:7" x14ac:dyDescent="0.25">
      <c r="A14997" s="116" t="s">
        <v>23340</v>
      </c>
      <c r="B14997" s="117" t="s">
        <v>23341</v>
      </c>
      <c r="C14997" t="s">
        <v>67</v>
      </c>
      <c r="D14997" t="s">
        <v>67</v>
      </c>
      <c r="E14997" t="s">
        <v>67</v>
      </c>
      <c r="F14997" t="s">
        <v>49</v>
      </c>
      <c r="G14997" s="117">
        <v>1.33</v>
      </c>
    </row>
    <row r="14998" spans="1:7" x14ac:dyDescent="0.25">
      <c r="A14998" s="116" t="s">
        <v>23342</v>
      </c>
      <c r="B14998" s="117" t="s">
        <v>8384</v>
      </c>
      <c r="C14998" t="s">
        <v>67</v>
      </c>
      <c r="D14998" t="s">
        <v>67</v>
      </c>
      <c r="E14998" t="s">
        <v>67</v>
      </c>
      <c r="F14998" t="s">
        <v>49</v>
      </c>
      <c r="G14998" s="117">
        <v>0.44</v>
      </c>
    </row>
    <row r="14999" spans="1:7" x14ac:dyDescent="0.25">
      <c r="A14999" s="116" t="s">
        <v>23343</v>
      </c>
      <c r="B14999" s="117" t="s">
        <v>23344</v>
      </c>
      <c r="C14999" t="s">
        <v>67</v>
      </c>
      <c r="D14999" t="s">
        <v>67</v>
      </c>
      <c r="E14999" t="s">
        <v>67</v>
      </c>
      <c r="F14999" t="s">
        <v>49</v>
      </c>
      <c r="G14999" s="117">
        <v>0.8</v>
      </c>
    </row>
    <row r="15000" spans="1:7" x14ac:dyDescent="0.25">
      <c r="A15000" s="116" t="s">
        <v>23345</v>
      </c>
      <c r="B15000" s="117" t="s">
        <v>21868</v>
      </c>
      <c r="C15000" t="s">
        <v>67</v>
      </c>
      <c r="D15000" t="s">
        <v>67</v>
      </c>
      <c r="E15000" t="s">
        <v>67</v>
      </c>
      <c r="F15000" t="s">
        <v>27990</v>
      </c>
      <c r="G15000" s="117">
        <v>0.89</v>
      </c>
    </row>
    <row r="15001" spans="1:7" x14ac:dyDescent="0.25">
      <c r="A15001" s="116" t="s">
        <v>23346</v>
      </c>
      <c r="B15001" s="117" t="s">
        <v>23347</v>
      </c>
      <c r="C15001" t="s">
        <v>67</v>
      </c>
      <c r="D15001" t="s">
        <v>67</v>
      </c>
      <c r="E15001" t="s">
        <v>67</v>
      </c>
      <c r="F15001" t="s">
        <v>27990</v>
      </c>
      <c r="G15001" s="117">
        <v>1.32</v>
      </c>
    </row>
    <row r="15002" spans="1:7" x14ac:dyDescent="0.25">
      <c r="A15002" s="116" t="s">
        <v>29614</v>
      </c>
      <c r="B15002" s="117" t="s">
        <v>29615</v>
      </c>
      <c r="C15002" t="s">
        <v>67</v>
      </c>
      <c r="D15002" t="s">
        <v>67</v>
      </c>
      <c r="E15002" t="s">
        <v>67</v>
      </c>
      <c r="F15002" t="s">
        <v>45</v>
      </c>
      <c r="G15002" s="117">
        <v>7</v>
      </c>
    </row>
    <row r="15003" spans="1:7" x14ac:dyDescent="0.25">
      <c r="A15003" s="116" t="s">
        <v>23348</v>
      </c>
      <c r="B15003" s="117" t="s">
        <v>23349</v>
      </c>
      <c r="C15003" t="s">
        <v>67</v>
      </c>
      <c r="D15003" t="s">
        <v>67</v>
      </c>
      <c r="E15003" t="s">
        <v>67</v>
      </c>
      <c r="F15003" t="s">
        <v>49</v>
      </c>
      <c r="G15003" s="117">
        <v>4</v>
      </c>
    </row>
    <row r="15004" spans="1:7" x14ac:dyDescent="0.25">
      <c r="A15004" s="116" t="s">
        <v>23350</v>
      </c>
      <c r="B15004" s="117" t="s">
        <v>23351</v>
      </c>
      <c r="C15004" t="s">
        <v>67</v>
      </c>
      <c r="D15004" t="s">
        <v>67</v>
      </c>
      <c r="E15004" t="s">
        <v>67</v>
      </c>
      <c r="F15004" t="s">
        <v>27987</v>
      </c>
      <c r="G15004" s="117">
        <v>95.66</v>
      </c>
    </row>
    <row r="15005" spans="1:7" x14ac:dyDescent="0.25">
      <c r="A15005" s="116" t="s">
        <v>23352</v>
      </c>
      <c r="B15005" s="117" t="s">
        <v>23353</v>
      </c>
      <c r="C15005" t="s">
        <v>67</v>
      </c>
      <c r="D15005" t="s">
        <v>67</v>
      </c>
      <c r="E15005" t="s">
        <v>67</v>
      </c>
      <c r="F15005" t="s">
        <v>27987</v>
      </c>
      <c r="G15005" s="117">
        <v>114.35</v>
      </c>
    </row>
    <row r="15006" spans="1:7" x14ac:dyDescent="0.25">
      <c r="A15006" s="116" t="s">
        <v>23354</v>
      </c>
      <c r="B15006" s="117" t="s">
        <v>23355</v>
      </c>
      <c r="C15006" t="s">
        <v>67</v>
      </c>
      <c r="D15006" t="s">
        <v>67</v>
      </c>
      <c r="E15006" t="s">
        <v>67</v>
      </c>
      <c r="F15006" t="s">
        <v>45</v>
      </c>
      <c r="G15006" s="117">
        <v>135.69999999999999</v>
      </c>
    </row>
    <row r="15007" spans="1:7" x14ac:dyDescent="0.25">
      <c r="A15007" s="116" t="s">
        <v>30292</v>
      </c>
      <c r="B15007" s="117" t="s">
        <v>30293</v>
      </c>
      <c r="C15007" t="s">
        <v>67</v>
      </c>
      <c r="D15007" t="s">
        <v>67</v>
      </c>
      <c r="E15007" t="s">
        <v>67</v>
      </c>
      <c r="F15007" t="s">
        <v>45</v>
      </c>
      <c r="G15007" s="117">
        <v>3</v>
      </c>
    </row>
    <row r="15008" spans="1:7" x14ac:dyDescent="0.25">
      <c r="A15008" s="116" t="s">
        <v>30294</v>
      </c>
      <c r="B15008" s="117" t="s">
        <v>30295</v>
      </c>
      <c r="C15008" t="s">
        <v>67</v>
      </c>
      <c r="D15008" t="s">
        <v>67</v>
      </c>
      <c r="E15008" t="s">
        <v>67</v>
      </c>
      <c r="F15008" t="s">
        <v>45</v>
      </c>
      <c r="G15008" s="117">
        <v>3</v>
      </c>
    </row>
    <row r="15009" spans="1:7" x14ac:dyDescent="0.25">
      <c r="A15009" s="116" t="s">
        <v>23356</v>
      </c>
      <c r="B15009" s="117" t="s">
        <v>23357</v>
      </c>
      <c r="C15009" t="s">
        <v>67</v>
      </c>
      <c r="D15009" t="s">
        <v>67</v>
      </c>
      <c r="E15009" t="s">
        <v>67</v>
      </c>
      <c r="F15009" t="s">
        <v>49</v>
      </c>
      <c r="G15009" s="117">
        <v>0.44</v>
      </c>
    </row>
    <row r="15010" spans="1:7" x14ac:dyDescent="0.25">
      <c r="A15010" s="116" t="s">
        <v>23358</v>
      </c>
      <c r="B15010" s="117" t="s">
        <v>23359</v>
      </c>
      <c r="C15010" t="s">
        <v>67</v>
      </c>
      <c r="D15010" t="s">
        <v>67</v>
      </c>
      <c r="E15010" t="s">
        <v>67</v>
      </c>
      <c r="F15010" t="s">
        <v>49</v>
      </c>
      <c r="G15010" s="117">
        <v>3.12</v>
      </c>
    </row>
    <row r="15011" spans="1:7" x14ac:dyDescent="0.25">
      <c r="A15011" s="116" t="s">
        <v>23360</v>
      </c>
      <c r="B15011" s="117" t="s">
        <v>23361</v>
      </c>
      <c r="C15011" t="s">
        <v>67</v>
      </c>
      <c r="D15011" t="s">
        <v>67</v>
      </c>
      <c r="E15011" t="s">
        <v>67</v>
      </c>
      <c r="F15011" t="s">
        <v>49</v>
      </c>
      <c r="G15011" s="117">
        <v>3.12</v>
      </c>
    </row>
    <row r="15012" spans="1:7" x14ac:dyDescent="0.25">
      <c r="A15012" s="116" t="s">
        <v>23362</v>
      </c>
      <c r="B15012" s="117" t="s">
        <v>8751</v>
      </c>
      <c r="C15012" t="s">
        <v>67</v>
      </c>
      <c r="D15012" t="s">
        <v>67</v>
      </c>
      <c r="E15012" t="s">
        <v>67</v>
      </c>
      <c r="F15012" t="s">
        <v>49</v>
      </c>
      <c r="G15012" s="117">
        <v>0.8</v>
      </c>
    </row>
    <row r="15013" spans="1:7" x14ac:dyDescent="0.25">
      <c r="A15013" s="116" t="s">
        <v>23363</v>
      </c>
      <c r="B15013" s="117" t="s">
        <v>23364</v>
      </c>
      <c r="C15013" t="s">
        <v>67</v>
      </c>
      <c r="D15013" t="s">
        <v>67</v>
      </c>
      <c r="E15013" t="s">
        <v>67</v>
      </c>
      <c r="F15013" t="s">
        <v>49</v>
      </c>
      <c r="G15013" s="117">
        <v>1.33</v>
      </c>
    </row>
    <row r="15014" spans="1:7" x14ac:dyDescent="0.25">
      <c r="A15014" s="116" t="s">
        <v>23365</v>
      </c>
      <c r="B15014" s="117" t="s">
        <v>23366</v>
      </c>
      <c r="C15014" t="s">
        <v>67</v>
      </c>
      <c r="D15014" t="s">
        <v>67</v>
      </c>
      <c r="E15014" t="s">
        <v>67</v>
      </c>
      <c r="F15014" t="s">
        <v>49</v>
      </c>
      <c r="G15014" s="117">
        <v>1.33</v>
      </c>
    </row>
    <row r="15015" spans="1:7" x14ac:dyDescent="0.25">
      <c r="A15015" s="116" t="s">
        <v>29616</v>
      </c>
      <c r="B15015" s="117" t="s">
        <v>29617</v>
      </c>
      <c r="C15015" t="s">
        <v>67</v>
      </c>
      <c r="D15015" t="s">
        <v>67</v>
      </c>
      <c r="E15015" t="s">
        <v>67</v>
      </c>
      <c r="F15015" t="s">
        <v>45</v>
      </c>
      <c r="G15015" s="117">
        <v>4</v>
      </c>
    </row>
    <row r="15016" spans="1:7" x14ac:dyDescent="0.25">
      <c r="A15016" s="116" t="s">
        <v>29618</v>
      </c>
      <c r="B15016" s="117" t="s">
        <v>29619</v>
      </c>
      <c r="C15016" t="s">
        <v>67</v>
      </c>
      <c r="D15016" t="s">
        <v>67</v>
      </c>
      <c r="E15016" t="s">
        <v>67</v>
      </c>
      <c r="F15016" t="s">
        <v>45</v>
      </c>
      <c r="G15016" s="117">
        <v>3</v>
      </c>
    </row>
    <row r="15017" spans="1:7" x14ac:dyDescent="0.25">
      <c r="A15017" s="116" t="s">
        <v>23367</v>
      </c>
      <c r="B15017" s="117" t="s">
        <v>23368</v>
      </c>
      <c r="C15017" t="s">
        <v>67</v>
      </c>
      <c r="D15017" t="s">
        <v>67</v>
      </c>
      <c r="E15017" t="s">
        <v>67</v>
      </c>
      <c r="F15017" t="s">
        <v>49</v>
      </c>
      <c r="G15017" s="117">
        <v>1.77</v>
      </c>
    </row>
    <row r="15018" spans="1:7" x14ac:dyDescent="0.25">
      <c r="A15018" s="116" t="s">
        <v>23369</v>
      </c>
      <c r="B15018" s="117" t="s">
        <v>23370</v>
      </c>
      <c r="C15018" t="s">
        <v>67</v>
      </c>
      <c r="D15018" t="s">
        <v>67</v>
      </c>
      <c r="E15018" t="s">
        <v>67</v>
      </c>
      <c r="F15018" t="s">
        <v>49</v>
      </c>
      <c r="G15018" s="117">
        <v>1.69</v>
      </c>
    </row>
    <row r="15019" spans="1:7" x14ac:dyDescent="0.25">
      <c r="A15019" s="116" t="s">
        <v>29620</v>
      </c>
      <c r="B15019" s="117" t="s">
        <v>29621</v>
      </c>
      <c r="C15019" t="s">
        <v>67</v>
      </c>
      <c r="D15019" t="s">
        <v>67</v>
      </c>
      <c r="E15019" t="s">
        <v>67</v>
      </c>
      <c r="F15019" t="s">
        <v>45</v>
      </c>
      <c r="G15019" s="117">
        <v>3.5</v>
      </c>
    </row>
    <row r="15020" spans="1:7" x14ac:dyDescent="0.25">
      <c r="A15020" s="116" t="s">
        <v>23371</v>
      </c>
      <c r="B15020" s="117" t="s">
        <v>23372</v>
      </c>
      <c r="C15020" t="s">
        <v>67</v>
      </c>
      <c r="D15020" t="s">
        <v>67</v>
      </c>
      <c r="E15020" t="s">
        <v>67</v>
      </c>
      <c r="F15020" t="s">
        <v>49</v>
      </c>
      <c r="G15020" s="117">
        <v>0.8</v>
      </c>
    </row>
    <row r="15021" spans="1:7" x14ac:dyDescent="0.25">
      <c r="A15021" s="116" t="s">
        <v>23373</v>
      </c>
      <c r="B15021" s="117" t="s">
        <v>23374</v>
      </c>
      <c r="C15021" t="s">
        <v>67</v>
      </c>
      <c r="D15021" t="s">
        <v>67</v>
      </c>
      <c r="E15021" t="s">
        <v>67</v>
      </c>
      <c r="F15021" t="s">
        <v>49</v>
      </c>
      <c r="G15021" s="117">
        <v>1.69</v>
      </c>
    </row>
    <row r="15022" spans="1:7" x14ac:dyDescent="0.25">
      <c r="A15022" s="116" t="s">
        <v>23375</v>
      </c>
      <c r="B15022" s="117" t="s">
        <v>23376</v>
      </c>
      <c r="C15022" t="s">
        <v>67</v>
      </c>
      <c r="D15022" t="s">
        <v>67</v>
      </c>
      <c r="E15022" t="s">
        <v>67</v>
      </c>
      <c r="F15022" t="s">
        <v>49</v>
      </c>
      <c r="G15022" s="117">
        <v>0.6</v>
      </c>
    </row>
    <row r="15023" spans="1:7" x14ac:dyDescent="0.25">
      <c r="A15023" s="116" t="s">
        <v>23377</v>
      </c>
      <c r="B15023" s="117" t="s">
        <v>23378</v>
      </c>
      <c r="C15023" t="s">
        <v>67</v>
      </c>
      <c r="D15023" t="s">
        <v>67</v>
      </c>
      <c r="E15023" t="s">
        <v>67</v>
      </c>
      <c r="F15023" t="s">
        <v>27987</v>
      </c>
      <c r="G15023" s="117">
        <v>4</v>
      </c>
    </row>
    <row r="15024" spans="1:7" x14ac:dyDescent="0.25">
      <c r="A15024" s="116" t="s">
        <v>23379</v>
      </c>
      <c r="B15024" s="117" t="s">
        <v>16386</v>
      </c>
      <c r="C15024" t="s">
        <v>67</v>
      </c>
      <c r="D15024" t="s">
        <v>67</v>
      </c>
      <c r="E15024" t="s">
        <v>67</v>
      </c>
      <c r="F15024" t="s">
        <v>27987</v>
      </c>
      <c r="G15024" s="117">
        <v>33.369999999999997</v>
      </c>
    </row>
    <row r="15025" spans="1:7" x14ac:dyDescent="0.25">
      <c r="A15025" s="116" t="s">
        <v>23380</v>
      </c>
      <c r="B15025" s="117" t="s">
        <v>23381</v>
      </c>
      <c r="C15025" t="s">
        <v>67</v>
      </c>
      <c r="D15025" t="s">
        <v>67</v>
      </c>
      <c r="E15025" t="s">
        <v>67</v>
      </c>
      <c r="F15025" t="s">
        <v>27987</v>
      </c>
      <c r="G15025" s="117">
        <v>12.01</v>
      </c>
    </row>
    <row r="15026" spans="1:7" x14ac:dyDescent="0.25">
      <c r="A15026" s="116" t="s">
        <v>23382</v>
      </c>
      <c r="B15026" s="117" t="s">
        <v>23383</v>
      </c>
      <c r="C15026" t="s">
        <v>67</v>
      </c>
      <c r="D15026" t="s">
        <v>67</v>
      </c>
      <c r="E15026" t="s">
        <v>67</v>
      </c>
      <c r="F15026" t="s">
        <v>49</v>
      </c>
      <c r="G15026" s="117">
        <v>3.48</v>
      </c>
    </row>
    <row r="15027" spans="1:7" x14ac:dyDescent="0.25">
      <c r="A15027" s="116" t="s">
        <v>23384</v>
      </c>
      <c r="B15027" s="117" t="s">
        <v>23385</v>
      </c>
      <c r="C15027" t="s">
        <v>67</v>
      </c>
      <c r="D15027" t="s">
        <v>67</v>
      </c>
      <c r="E15027" t="s">
        <v>67</v>
      </c>
      <c r="F15027" t="s">
        <v>49</v>
      </c>
      <c r="G15027" s="117">
        <v>2.58</v>
      </c>
    </row>
    <row r="15028" spans="1:7" x14ac:dyDescent="0.25">
      <c r="A15028" s="116" t="s">
        <v>23386</v>
      </c>
      <c r="B15028" s="117" t="s">
        <v>23387</v>
      </c>
      <c r="C15028" t="s">
        <v>67</v>
      </c>
      <c r="D15028" t="s">
        <v>67</v>
      </c>
      <c r="E15028" t="s">
        <v>67</v>
      </c>
      <c r="F15028" t="s">
        <v>27987</v>
      </c>
      <c r="G15028" s="117">
        <v>44.4</v>
      </c>
    </row>
    <row r="15029" spans="1:7" x14ac:dyDescent="0.25">
      <c r="A15029" s="116" t="s">
        <v>23388</v>
      </c>
      <c r="B15029" s="117" t="s">
        <v>23389</v>
      </c>
      <c r="C15029" t="s">
        <v>67</v>
      </c>
      <c r="D15029" t="s">
        <v>67</v>
      </c>
      <c r="E15029" t="s">
        <v>67</v>
      </c>
      <c r="F15029" t="s">
        <v>49</v>
      </c>
      <c r="G15029" s="117">
        <v>8.89</v>
      </c>
    </row>
    <row r="15030" spans="1:7" x14ac:dyDescent="0.25">
      <c r="A15030" s="116" t="s">
        <v>23390</v>
      </c>
      <c r="B15030" s="117" t="s">
        <v>23391</v>
      </c>
      <c r="C15030" t="s">
        <v>67</v>
      </c>
      <c r="D15030" t="s">
        <v>67</v>
      </c>
      <c r="E15030" t="s">
        <v>67</v>
      </c>
      <c r="F15030" t="s">
        <v>45</v>
      </c>
      <c r="G15030" s="117">
        <v>29.81</v>
      </c>
    </row>
    <row r="15031" spans="1:7" x14ac:dyDescent="0.25">
      <c r="A15031" s="116" t="s">
        <v>23392</v>
      </c>
      <c r="B15031" s="117" t="s">
        <v>23393</v>
      </c>
      <c r="C15031" t="s">
        <v>67</v>
      </c>
      <c r="D15031" t="s">
        <v>67</v>
      </c>
      <c r="E15031" t="s">
        <v>67</v>
      </c>
      <c r="F15031" t="s">
        <v>49</v>
      </c>
      <c r="G15031" s="117">
        <v>2.23</v>
      </c>
    </row>
    <row r="15032" spans="1:7" x14ac:dyDescent="0.25">
      <c r="A15032" s="116" t="s">
        <v>23394</v>
      </c>
      <c r="B15032" s="117" t="s">
        <v>23395</v>
      </c>
      <c r="C15032" t="s">
        <v>67</v>
      </c>
      <c r="D15032" t="s">
        <v>67</v>
      </c>
      <c r="E15032" t="s">
        <v>67</v>
      </c>
      <c r="F15032" t="s">
        <v>27987</v>
      </c>
      <c r="G15032" s="117">
        <v>10.58</v>
      </c>
    </row>
    <row r="15033" spans="1:7" x14ac:dyDescent="0.25">
      <c r="A15033" s="116" t="s">
        <v>23396</v>
      </c>
      <c r="B15033" s="117" t="s">
        <v>23397</v>
      </c>
      <c r="C15033" t="s">
        <v>67</v>
      </c>
      <c r="D15033" t="s">
        <v>67</v>
      </c>
      <c r="E15033" t="s">
        <v>67</v>
      </c>
      <c r="F15033" t="s">
        <v>45</v>
      </c>
      <c r="G15033" s="117">
        <v>95.66</v>
      </c>
    </row>
    <row r="15034" spans="1:7" x14ac:dyDescent="0.25">
      <c r="A15034" s="116" t="s">
        <v>23398</v>
      </c>
      <c r="B15034" s="117" t="s">
        <v>22114</v>
      </c>
      <c r="C15034" t="s">
        <v>67</v>
      </c>
      <c r="D15034" t="s">
        <v>67</v>
      </c>
      <c r="E15034" t="s">
        <v>67</v>
      </c>
      <c r="F15034" t="s">
        <v>27987</v>
      </c>
      <c r="G15034" s="117">
        <v>0.96</v>
      </c>
    </row>
    <row r="15035" spans="1:7" x14ac:dyDescent="0.25">
      <c r="A15035" s="116" t="s">
        <v>23399</v>
      </c>
      <c r="B15035" s="117" t="s">
        <v>23376</v>
      </c>
      <c r="C15035" t="s">
        <v>67</v>
      </c>
      <c r="D15035" t="s">
        <v>67</v>
      </c>
      <c r="E15035" t="s">
        <v>67</v>
      </c>
      <c r="F15035" t="s">
        <v>27987</v>
      </c>
      <c r="G15035" s="117">
        <v>1.2</v>
      </c>
    </row>
    <row r="15036" spans="1:7" x14ac:dyDescent="0.25">
      <c r="A15036" s="116" t="s">
        <v>23400</v>
      </c>
      <c r="B15036" s="117" t="s">
        <v>23401</v>
      </c>
      <c r="C15036" t="s">
        <v>67</v>
      </c>
      <c r="D15036" t="s">
        <v>67</v>
      </c>
      <c r="E15036" t="s">
        <v>67</v>
      </c>
      <c r="F15036" t="s">
        <v>49</v>
      </c>
      <c r="G15036" s="117">
        <v>2.2999999999999998</v>
      </c>
    </row>
    <row r="15037" spans="1:7" x14ac:dyDescent="0.25">
      <c r="A15037" s="116" t="s">
        <v>23402</v>
      </c>
      <c r="B15037" s="117" t="s">
        <v>23403</v>
      </c>
      <c r="C15037" t="s">
        <v>67</v>
      </c>
      <c r="D15037" t="s">
        <v>67</v>
      </c>
      <c r="E15037" t="s">
        <v>67</v>
      </c>
      <c r="F15037" t="s">
        <v>27990</v>
      </c>
      <c r="G15037" s="117">
        <v>0.6</v>
      </c>
    </row>
    <row r="15038" spans="1:7" x14ac:dyDescent="0.25">
      <c r="A15038" s="116" t="s">
        <v>23404</v>
      </c>
      <c r="B15038" s="117" t="s">
        <v>23405</v>
      </c>
      <c r="C15038" t="s">
        <v>67</v>
      </c>
      <c r="D15038" t="s">
        <v>67</v>
      </c>
      <c r="E15038" t="s">
        <v>67</v>
      </c>
      <c r="F15038" t="s">
        <v>27987</v>
      </c>
      <c r="G15038" s="117">
        <v>0.8</v>
      </c>
    </row>
    <row r="15039" spans="1:7" x14ac:dyDescent="0.25">
      <c r="A15039" s="116" t="s">
        <v>23406</v>
      </c>
      <c r="B15039" s="117" t="s">
        <v>23407</v>
      </c>
      <c r="C15039" t="s">
        <v>67</v>
      </c>
      <c r="D15039" t="s">
        <v>67</v>
      </c>
      <c r="E15039" t="s">
        <v>67</v>
      </c>
      <c r="F15039" t="s">
        <v>27987</v>
      </c>
      <c r="G15039" s="117">
        <v>0.8</v>
      </c>
    </row>
    <row r="15040" spans="1:7" x14ac:dyDescent="0.25">
      <c r="A15040" s="116" t="s">
        <v>23408</v>
      </c>
      <c r="B15040" s="117" t="s">
        <v>23409</v>
      </c>
      <c r="C15040" t="s">
        <v>67</v>
      </c>
      <c r="D15040" t="s">
        <v>67</v>
      </c>
      <c r="E15040" t="s">
        <v>67</v>
      </c>
      <c r="F15040" t="s">
        <v>27990</v>
      </c>
      <c r="G15040" s="117">
        <v>41.74</v>
      </c>
    </row>
    <row r="15041" spans="1:7" x14ac:dyDescent="0.25">
      <c r="A15041" s="116" t="s">
        <v>23410</v>
      </c>
      <c r="B15041" s="117" t="s">
        <v>23411</v>
      </c>
      <c r="C15041" t="s">
        <v>67</v>
      </c>
      <c r="D15041" t="s">
        <v>67</v>
      </c>
      <c r="E15041" t="s">
        <v>67</v>
      </c>
      <c r="F15041" t="s">
        <v>45</v>
      </c>
      <c r="G15041" s="117">
        <v>6.68</v>
      </c>
    </row>
    <row r="15042" spans="1:7" x14ac:dyDescent="0.25">
      <c r="A15042" s="116" t="s">
        <v>23412</v>
      </c>
      <c r="B15042" s="117" t="s">
        <v>23413</v>
      </c>
      <c r="C15042" t="s">
        <v>67</v>
      </c>
      <c r="D15042" t="s">
        <v>67</v>
      </c>
      <c r="E15042" t="s">
        <v>67</v>
      </c>
      <c r="F15042" t="s">
        <v>49</v>
      </c>
      <c r="G15042" s="117">
        <v>26.61</v>
      </c>
    </row>
    <row r="15043" spans="1:7" x14ac:dyDescent="0.25">
      <c r="A15043" s="116" t="s">
        <v>23414</v>
      </c>
      <c r="B15043" s="117" t="s">
        <v>23415</v>
      </c>
      <c r="C15043" t="s">
        <v>67</v>
      </c>
      <c r="D15043" t="s">
        <v>67</v>
      </c>
      <c r="E15043" t="s">
        <v>67</v>
      </c>
      <c r="F15043" t="s">
        <v>27987</v>
      </c>
      <c r="G15043" s="117">
        <v>44.94</v>
      </c>
    </row>
    <row r="15044" spans="1:7" x14ac:dyDescent="0.25">
      <c r="A15044" s="116" t="s">
        <v>23416</v>
      </c>
      <c r="B15044" s="117" t="s">
        <v>23417</v>
      </c>
      <c r="C15044" t="s">
        <v>67</v>
      </c>
      <c r="D15044" t="s">
        <v>67</v>
      </c>
      <c r="E15044" t="s">
        <v>67</v>
      </c>
      <c r="F15044" t="s">
        <v>27987</v>
      </c>
      <c r="G15044" s="117">
        <v>0.89</v>
      </c>
    </row>
    <row r="15045" spans="1:7" x14ac:dyDescent="0.25">
      <c r="A15045" s="116" t="s">
        <v>23418</v>
      </c>
      <c r="B15045" s="117" t="s">
        <v>23419</v>
      </c>
      <c r="C15045" t="s">
        <v>67</v>
      </c>
      <c r="D15045" t="s">
        <v>67</v>
      </c>
      <c r="E15045" t="s">
        <v>67</v>
      </c>
      <c r="F15045" t="s">
        <v>27987</v>
      </c>
      <c r="G15045" s="117">
        <v>17.36</v>
      </c>
    </row>
    <row r="15046" spans="1:7" x14ac:dyDescent="0.25">
      <c r="A15046" s="116" t="s">
        <v>23420</v>
      </c>
      <c r="B15046" s="117" t="s">
        <v>23421</v>
      </c>
      <c r="C15046" t="s">
        <v>67</v>
      </c>
      <c r="D15046" t="s">
        <v>67</v>
      </c>
      <c r="E15046" t="s">
        <v>67</v>
      </c>
      <c r="F15046" t="s">
        <v>49</v>
      </c>
      <c r="G15046" s="117">
        <v>4</v>
      </c>
    </row>
    <row r="15047" spans="1:7" x14ac:dyDescent="0.25">
      <c r="A15047" s="116" t="s">
        <v>23422</v>
      </c>
      <c r="B15047" s="117" t="s">
        <v>23423</v>
      </c>
      <c r="C15047" t="s">
        <v>67</v>
      </c>
      <c r="D15047" t="s">
        <v>67</v>
      </c>
      <c r="E15047" t="s">
        <v>67</v>
      </c>
      <c r="F15047" t="s">
        <v>45</v>
      </c>
      <c r="G15047" s="117">
        <v>24.82</v>
      </c>
    </row>
    <row r="15048" spans="1:7" x14ac:dyDescent="0.25">
      <c r="A15048" s="116" t="s">
        <v>23424</v>
      </c>
      <c r="B15048" s="117" t="s">
        <v>23425</v>
      </c>
      <c r="C15048" t="s">
        <v>67</v>
      </c>
      <c r="D15048" t="s">
        <v>67</v>
      </c>
      <c r="E15048" t="s">
        <v>67</v>
      </c>
      <c r="F15048" t="s">
        <v>49</v>
      </c>
      <c r="G15048" s="117">
        <v>2.58</v>
      </c>
    </row>
    <row r="15049" spans="1:7" x14ac:dyDescent="0.25">
      <c r="A15049" s="116" t="s">
        <v>23426</v>
      </c>
      <c r="B15049" s="117" t="s">
        <v>23427</v>
      </c>
      <c r="C15049" t="s">
        <v>67</v>
      </c>
      <c r="D15049" t="s">
        <v>67</v>
      </c>
      <c r="E15049" t="s">
        <v>67</v>
      </c>
      <c r="F15049" t="s">
        <v>27987</v>
      </c>
      <c r="G15049" s="117">
        <v>6.68</v>
      </c>
    </row>
    <row r="15050" spans="1:7" x14ac:dyDescent="0.25">
      <c r="A15050" s="116" t="s">
        <v>23428</v>
      </c>
      <c r="B15050" s="117" t="s">
        <v>9028</v>
      </c>
      <c r="C15050" t="s">
        <v>67</v>
      </c>
      <c r="D15050" t="s">
        <v>67</v>
      </c>
      <c r="E15050" t="s">
        <v>67</v>
      </c>
      <c r="F15050" t="s">
        <v>27987</v>
      </c>
      <c r="G15050" s="117">
        <v>0.8</v>
      </c>
    </row>
    <row r="15051" spans="1:7" x14ac:dyDescent="0.25">
      <c r="A15051" s="116" t="s">
        <v>23429</v>
      </c>
      <c r="B15051" s="117" t="s">
        <v>23430</v>
      </c>
      <c r="C15051" t="s">
        <v>67</v>
      </c>
      <c r="D15051" t="s">
        <v>67</v>
      </c>
      <c r="E15051" t="s">
        <v>67</v>
      </c>
      <c r="F15051" t="s">
        <v>27987</v>
      </c>
      <c r="G15051" s="117">
        <v>3.12</v>
      </c>
    </row>
    <row r="15052" spans="1:7" x14ac:dyDescent="0.25">
      <c r="A15052" s="116" t="s">
        <v>23431</v>
      </c>
      <c r="B15052" s="117" t="s">
        <v>23432</v>
      </c>
      <c r="C15052" t="s">
        <v>67</v>
      </c>
      <c r="D15052" t="s">
        <v>67</v>
      </c>
      <c r="E15052" t="s">
        <v>67</v>
      </c>
      <c r="F15052" t="s">
        <v>27990</v>
      </c>
      <c r="G15052" s="117">
        <v>2.23</v>
      </c>
    </row>
    <row r="15053" spans="1:7" x14ac:dyDescent="0.25">
      <c r="A15053" s="116" t="s">
        <v>23433</v>
      </c>
      <c r="B15053" s="117" t="s">
        <v>29622</v>
      </c>
      <c r="C15053" t="s">
        <v>67</v>
      </c>
      <c r="D15053" t="s">
        <v>67</v>
      </c>
      <c r="E15053" t="s">
        <v>67</v>
      </c>
      <c r="F15053" t="s">
        <v>27987</v>
      </c>
      <c r="G15053" s="117">
        <v>4.3600000000000003</v>
      </c>
    </row>
    <row r="15054" spans="1:7" x14ac:dyDescent="0.25">
      <c r="A15054" s="116" t="s">
        <v>23434</v>
      </c>
      <c r="B15054" s="117" t="s">
        <v>29623</v>
      </c>
      <c r="C15054" t="s">
        <v>67</v>
      </c>
      <c r="D15054" t="s">
        <v>67</v>
      </c>
      <c r="E15054" t="s">
        <v>67</v>
      </c>
      <c r="F15054" t="s">
        <v>27987</v>
      </c>
      <c r="G15054" s="117">
        <v>2.23</v>
      </c>
    </row>
    <row r="15055" spans="1:7" x14ac:dyDescent="0.25">
      <c r="A15055" s="116" t="s">
        <v>23435</v>
      </c>
      <c r="B15055" s="117" t="s">
        <v>23436</v>
      </c>
      <c r="C15055" t="s">
        <v>67</v>
      </c>
      <c r="D15055" t="s">
        <v>67</v>
      </c>
      <c r="E15055" t="s">
        <v>67</v>
      </c>
      <c r="F15055" t="s">
        <v>49</v>
      </c>
      <c r="G15055" s="117">
        <v>49.38</v>
      </c>
    </row>
    <row r="15056" spans="1:7" x14ac:dyDescent="0.25">
      <c r="A15056" s="116" t="s">
        <v>23437</v>
      </c>
      <c r="B15056" s="117" t="s">
        <v>23438</v>
      </c>
      <c r="C15056" t="s">
        <v>67</v>
      </c>
      <c r="D15056" t="s">
        <v>67</v>
      </c>
      <c r="E15056" t="s">
        <v>67</v>
      </c>
      <c r="F15056" t="s">
        <v>27987</v>
      </c>
      <c r="G15056" s="117">
        <v>2.23</v>
      </c>
    </row>
    <row r="15057" spans="1:7" x14ac:dyDescent="0.25">
      <c r="A15057" s="116" t="s">
        <v>23439</v>
      </c>
      <c r="B15057" s="117" t="s">
        <v>29624</v>
      </c>
      <c r="C15057" t="s">
        <v>67</v>
      </c>
      <c r="D15057" t="s">
        <v>67</v>
      </c>
      <c r="E15057" t="s">
        <v>67</v>
      </c>
      <c r="F15057" t="s">
        <v>27987</v>
      </c>
      <c r="G15057" s="117">
        <v>0.89</v>
      </c>
    </row>
    <row r="15058" spans="1:7" x14ac:dyDescent="0.25">
      <c r="A15058" s="116" t="s">
        <v>23440</v>
      </c>
      <c r="B15058" s="117" t="s">
        <v>23441</v>
      </c>
      <c r="C15058" t="s">
        <v>67</v>
      </c>
      <c r="D15058" t="s">
        <v>67</v>
      </c>
      <c r="E15058" t="s">
        <v>67</v>
      </c>
      <c r="F15058" t="s">
        <v>27987</v>
      </c>
      <c r="G15058" s="117">
        <v>3.48</v>
      </c>
    </row>
    <row r="15059" spans="1:7" x14ac:dyDescent="0.25">
      <c r="A15059" s="116" t="s">
        <v>23442</v>
      </c>
      <c r="B15059" s="117" t="s">
        <v>23443</v>
      </c>
      <c r="C15059" t="s">
        <v>67</v>
      </c>
      <c r="D15059" t="s">
        <v>67</v>
      </c>
      <c r="E15059" t="s">
        <v>67</v>
      </c>
      <c r="F15059" t="s">
        <v>27987</v>
      </c>
      <c r="G15059" s="117">
        <v>0.89</v>
      </c>
    </row>
    <row r="15060" spans="1:7" x14ac:dyDescent="0.25">
      <c r="A15060" s="116" t="s">
        <v>23444</v>
      </c>
      <c r="B15060" s="117" t="s">
        <v>23445</v>
      </c>
      <c r="C15060" t="s">
        <v>67</v>
      </c>
      <c r="D15060" t="s">
        <v>67</v>
      </c>
      <c r="E15060" t="s">
        <v>67</v>
      </c>
      <c r="F15060" t="s">
        <v>27987</v>
      </c>
      <c r="G15060" s="117">
        <v>3.12</v>
      </c>
    </row>
    <row r="15061" spans="1:7" x14ac:dyDescent="0.25">
      <c r="A15061" s="116" t="s">
        <v>23446</v>
      </c>
      <c r="B15061" s="117" t="s">
        <v>23447</v>
      </c>
      <c r="C15061" t="s">
        <v>67</v>
      </c>
      <c r="D15061" t="s">
        <v>67</v>
      </c>
      <c r="E15061" t="s">
        <v>67</v>
      </c>
      <c r="F15061" t="s">
        <v>49</v>
      </c>
      <c r="G15061" s="117">
        <v>2.23</v>
      </c>
    </row>
    <row r="15062" spans="1:7" x14ac:dyDescent="0.25">
      <c r="A15062" s="116" t="s">
        <v>23448</v>
      </c>
      <c r="B15062" s="117" t="s">
        <v>23449</v>
      </c>
      <c r="C15062" t="s">
        <v>67</v>
      </c>
      <c r="D15062" t="s">
        <v>67</v>
      </c>
      <c r="E15062" t="s">
        <v>67</v>
      </c>
      <c r="F15062" t="s">
        <v>27987</v>
      </c>
      <c r="G15062" s="117">
        <v>1.33</v>
      </c>
    </row>
    <row r="15063" spans="1:7" x14ac:dyDescent="0.25">
      <c r="A15063" s="116" t="s">
        <v>23450</v>
      </c>
      <c r="B15063" s="117" t="s">
        <v>23451</v>
      </c>
      <c r="C15063" t="s">
        <v>67</v>
      </c>
      <c r="D15063" t="s">
        <v>67</v>
      </c>
      <c r="E15063" t="s">
        <v>67</v>
      </c>
      <c r="F15063" t="s">
        <v>27987</v>
      </c>
      <c r="G15063" s="117">
        <v>3.48</v>
      </c>
    </row>
    <row r="15064" spans="1:7" x14ac:dyDescent="0.25">
      <c r="A15064" s="116" t="s">
        <v>23452</v>
      </c>
      <c r="B15064" s="117" t="s">
        <v>23453</v>
      </c>
      <c r="C15064" t="s">
        <v>67</v>
      </c>
      <c r="D15064" t="s">
        <v>67</v>
      </c>
      <c r="E15064" t="s">
        <v>67</v>
      </c>
      <c r="F15064" t="s">
        <v>27987</v>
      </c>
      <c r="G15064" s="117">
        <v>25.71</v>
      </c>
    </row>
    <row r="15065" spans="1:7" x14ac:dyDescent="0.25">
      <c r="A15065" s="116" t="s">
        <v>23454</v>
      </c>
      <c r="B15065" s="117" t="s">
        <v>23455</v>
      </c>
      <c r="C15065" t="s">
        <v>67</v>
      </c>
      <c r="D15065" t="s">
        <v>67</v>
      </c>
      <c r="E15065" t="s">
        <v>67</v>
      </c>
      <c r="F15065" t="s">
        <v>27987</v>
      </c>
      <c r="G15065" s="117">
        <v>3.48</v>
      </c>
    </row>
    <row r="15066" spans="1:7" x14ac:dyDescent="0.25">
      <c r="A15066" s="116" t="s">
        <v>23456</v>
      </c>
      <c r="B15066" s="117" t="s">
        <v>23457</v>
      </c>
      <c r="C15066" t="s">
        <v>67</v>
      </c>
      <c r="D15066" t="s">
        <v>67</v>
      </c>
      <c r="E15066" t="s">
        <v>67</v>
      </c>
      <c r="F15066" t="s">
        <v>49</v>
      </c>
      <c r="G15066" s="117">
        <v>3.48</v>
      </c>
    </row>
    <row r="15067" spans="1:7" x14ac:dyDescent="0.25">
      <c r="A15067" s="116" t="s">
        <v>23458</v>
      </c>
      <c r="B15067" s="117" t="s">
        <v>23459</v>
      </c>
      <c r="C15067" t="s">
        <v>67</v>
      </c>
      <c r="D15067" t="s">
        <v>67</v>
      </c>
      <c r="E15067" t="s">
        <v>67</v>
      </c>
      <c r="F15067" t="s">
        <v>45</v>
      </c>
      <c r="G15067" s="117">
        <v>0.8</v>
      </c>
    </row>
    <row r="15068" spans="1:7" x14ac:dyDescent="0.25">
      <c r="A15068" s="116" t="s">
        <v>23460</v>
      </c>
      <c r="B15068" s="117" t="s">
        <v>23461</v>
      </c>
      <c r="C15068" t="s">
        <v>67</v>
      </c>
      <c r="D15068" t="s">
        <v>67</v>
      </c>
      <c r="E15068" t="s">
        <v>67</v>
      </c>
      <c r="F15068" t="s">
        <v>27987</v>
      </c>
      <c r="G15068" s="117">
        <v>6.68</v>
      </c>
    </row>
    <row r="15069" spans="1:7" x14ac:dyDescent="0.25">
      <c r="A15069" s="116" t="s">
        <v>23462</v>
      </c>
      <c r="B15069" s="117" t="s">
        <v>23463</v>
      </c>
      <c r="C15069" t="s">
        <v>67</v>
      </c>
      <c r="D15069" t="s">
        <v>67</v>
      </c>
      <c r="E15069" t="s">
        <v>67</v>
      </c>
      <c r="F15069" t="s">
        <v>27987</v>
      </c>
      <c r="G15069" s="117">
        <v>4.3600000000000003</v>
      </c>
    </row>
    <row r="15070" spans="1:7" x14ac:dyDescent="0.25">
      <c r="A15070" s="116" t="s">
        <v>23464</v>
      </c>
      <c r="B15070" s="117" t="s">
        <v>23465</v>
      </c>
      <c r="C15070" t="s">
        <v>67</v>
      </c>
      <c r="D15070" t="s">
        <v>67</v>
      </c>
      <c r="E15070" t="s">
        <v>67</v>
      </c>
      <c r="F15070" t="s">
        <v>27987</v>
      </c>
      <c r="G15070" s="117">
        <v>125.92</v>
      </c>
    </row>
    <row r="15071" spans="1:7" x14ac:dyDescent="0.25">
      <c r="A15071" s="116" t="s">
        <v>23466</v>
      </c>
      <c r="B15071" s="117" t="s">
        <v>23467</v>
      </c>
      <c r="C15071" t="s">
        <v>67</v>
      </c>
      <c r="D15071" t="s">
        <v>67</v>
      </c>
      <c r="E15071" t="s">
        <v>67</v>
      </c>
      <c r="F15071" t="s">
        <v>27987</v>
      </c>
      <c r="G15071" s="117">
        <v>93.88</v>
      </c>
    </row>
    <row r="15072" spans="1:7" x14ac:dyDescent="0.25">
      <c r="A15072" s="116" t="s">
        <v>23468</v>
      </c>
      <c r="B15072" s="117" t="s">
        <v>23469</v>
      </c>
      <c r="C15072" t="s">
        <v>67</v>
      </c>
      <c r="D15072" t="s">
        <v>67</v>
      </c>
      <c r="E15072" t="s">
        <v>67</v>
      </c>
      <c r="F15072" t="s">
        <v>27987</v>
      </c>
      <c r="G15072" s="117">
        <v>6.68</v>
      </c>
    </row>
    <row r="15073" spans="1:7" x14ac:dyDescent="0.25">
      <c r="A15073" s="116" t="s">
        <v>23470</v>
      </c>
      <c r="B15073" s="117" t="s">
        <v>23471</v>
      </c>
      <c r="C15073" t="s">
        <v>67</v>
      </c>
      <c r="D15073" t="s">
        <v>67</v>
      </c>
      <c r="E15073" t="s">
        <v>67</v>
      </c>
      <c r="F15073" t="s">
        <v>49</v>
      </c>
      <c r="G15073" s="117">
        <v>16.46</v>
      </c>
    </row>
    <row r="15074" spans="1:7" x14ac:dyDescent="0.25">
      <c r="A15074" s="116" t="s">
        <v>30296</v>
      </c>
      <c r="B15074" s="117" t="s">
        <v>30297</v>
      </c>
      <c r="C15074" t="s">
        <v>67</v>
      </c>
      <c r="D15074" t="s">
        <v>67</v>
      </c>
      <c r="E15074" t="s">
        <v>67</v>
      </c>
      <c r="F15074" t="s">
        <v>45</v>
      </c>
      <c r="G15074" s="117">
        <v>26.5</v>
      </c>
    </row>
    <row r="15075" spans="1:7" x14ac:dyDescent="0.25">
      <c r="A15075" s="116" t="s">
        <v>30298</v>
      </c>
      <c r="B15075" s="117" t="s">
        <v>30299</v>
      </c>
      <c r="C15075" t="s">
        <v>67</v>
      </c>
      <c r="D15075" t="s">
        <v>67</v>
      </c>
      <c r="E15075" t="s">
        <v>67</v>
      </c>
      <c r="F15075" t="s">
        <v>45</v>
      </c>
      <c r="G15075" s="117">
        <v>5.2</v>
      </c>
    </row>
    <row r="15076" spans="1:7" x14ac:dyDescent="0.25">
      <c r="A15076" s="116" t="s">
        <v>23472</v>
      </c>
      <c r="B15076" s="117" t="s">
        <v>23473</v>
      </c>
      <c r="C15076" t="s">
        <v>67</v>
      </c>
      <c r="D15076" t="s">
        <v>67</v>
      </c>
      <c r="E15076" t="s">
        <v>67</v>
      </c>
      <c r="F15076" t="s">
        <v>49</v>
      </c>
      <c r="G15076" s="117">
        <v>96.68</v>
      </c>
    </row>
    <row r="15077" spans="1:7" x14ac:dyDescent="0.25">
      <c r="A15077" s="116" t="s">
        <v>23474</v>
      </c>
      <c r="B15077" s="117" t="s">
        <v>23475</v>
      </c>
      <c r="C15077" t="s">
        <v>67</v>
      </c>
      <c r="D15077" t="s">
        <v>67</v>
      </c>
      <c r="E15077" t="s">
        <v>67</v>
      </c>
      <c r="F15077" t="s">
        <v>27987</v>
      </c>
      <c r="G15077" s="117">
        <v>0.13</v>
      </c>
    </row>
    <row r="15078" spans="1:7" x14ac:dyDescent="0.25">
      <c r="A15078" s="116" t="s">
        <v>23476</v>
      </c>
      <c r="B15078" s="117" t="s">
        <v>23477</v>
      </c>
      <c r="C15078" t="s">
        <v>67</v>
      </c>
      <c r="D15078" t="s">
        <v>67</v>
      </c>
      <c r="E15078" t="s">
        <v>67</v>
      </c>
      <c r="F15078" t="s">
        <v>27987</v>
      </c>
      <c r="G15078" s="117">
        <v>212.58</v>
      </c>
    </row>
    <row r="15079" spans="1:7" x14ac:dyDescent="0.25">
      <c r="A15079" s="116" t="s">
        <v>30306</v>
      </c>
      <c r="B15079" s="117" t="s">
        <v>30307</v>
      </c>
      <c r="C15079" t="s">
        <v>67</v>
      </c>
      <c r="D15079" t="s">
        <v>67</v>
      </c>
      <c r="E15079" t="s">
        <v>67</v>
      </c>
      <c r="F15079" t="s">
        <v>27987</v>
      </c>
      <c r="G15079" s="117">
        <v>9999</v>
      </c>
    </row>
    <row r="15080" spans="1:7" x14ac:dyDescent="0.25">
      <c r="A15080" s="116" t="s">
        <v>30308</v>
      </c>
      <c r="B15080" s="117" t="s">
        <v>30309</v>
      </c>
      <c r="C15080" t="s">
        <v>67</v>
      </c>
      <c r="D15080" t="s">
        <v>67</v>
      </c>
      <c r="E15080" t="s">
        <v>67</v>
      </c>
      <c r="F15080" t="s">
        <v>27987</v>
      </c>
      <c r="G15080" s="117">
        <v>9999</v>
      </c>
    </row>
    <row r="15081" spans="1:7" x14ac:dyDescent="0.25">
      <c r="A15081" s="116" t="s">
        <v>30186</v>
      </c>
      <c r="B15081" s="117" t="s">
        <v>30563</v>
      </c>
      <c r="C15081" t="s">
        <v>67</v>
      </c>
      <c r="D15081" t="s">
        <v>67</v>
      </c>
      <c r="E15081" t="s">
        <v>67</v>
      </c>
      <c r="F15081" t="s">
        <v>27987</v>
      </c>
      <c r="G15081" s="117">
        <v>13</v>
      </c>
    </row>
    <row r="15082" spans="1:7" x14ac:dyDescent="0.25">
      <c r="A15082" s="116" t="s">
        <v>30310</v>
      </c>
      <c r="B15082" s="117" t="s">
        <v>31238</v>
      </c>
      <c r="C15082" t="s">
        <v>67</v>
      </c>
      <c r="D15082" t="s">
        <v>67</v>
      </c>
      <c r="E15082" t="s">
        <v>67</v>
      </c>
      <c r="F15082" t="s">
        <v>45</v>
      </c>
      <c r="G15082" s="117">
        <v>4</v>
      </c>
    </row>
    <row r="15083" spans="1:7" x14ac:dyDescent="0.25">
      <c r="A15083" s="116" t="s">
        <v>30311</v>
      </c>
      <c r="B15083" s="117" t="s">
        <v>30312</v>
      </c>
      <c r="C15083" t="s">
        <v>67</v>
      </c>
      <c r="D15083" t="s">
        <v>67</v>
      </c>
      <c r="E15083" t="s">
        <v>67</v>
      </c>
      <c r="F15083" t="s">
        <v>45</v>
      </c>
      <c r="G15083" s="117">
        <v>9999</v>
      </c>
    </row>
    <row r="15084" spans="1:7" x14ac:dyDescent="0.25">
      <c r="A15084" s="116" t="s">
        <v>30313</v>
      </c>
      <c r="B15084" s="117" t="s">
        <v>5575</v>
      </c>
      <c r="C15084" t="s">
        <v>67</v>
      </c>
      <c r="D15084" t="s">
        <v>67</v>
      </c>
      <c r="E15084" t="s">
        <v>67</v>
      </c>
      <c r="F15084" t="s">
        <v>27987</v>
      </c>
      <c r="G15084" s="117">
        <v>4.2</v>
      </c>
    </row>
    <row r="15085" spans="1:7" x14ac:dyDescent="0.25">
      <c r="A15085" s="116" t="s">
        <v>30210</v>
      </c>
      <c r="B15085" s="117" t="s">
        <v>5575</v>
      </c>
      <c r="C15085" t="s">
        <v>67</v>
      </c>
      <c r="D15085" t="s">
        <v>67</v>
      </c>
      <c r="E15085" t="s">
        <v>67</v>
      </c>
      <c r="F15085" t="s">
        <v>45</v>
      </c>
      <c r="G15085" s="117">
        <v>2</v>
      </c>
    </row>
    <row r="15086" spans="1:7" x14ac:dyDescent="0.25">
      <c r="A15086" s="116" t="s">
        <v>30175</v>
      </c>
      <c r="B15086" s="117" t="s">
        <v>30176</v>
      </c>
      <c r="C15086" t="s">
        <v>67</v>
      </c>
      <c r="D15086" t="s">
        <v>67</v>
      </c>
      <c r="E15086" t="s">
        <v>67</v>
      </c>
      <c r="F15086" t="s">
        <v>45</v>
      </c>
      <c r="G15086" s="117">
        <v>15</v>
      </c>
    </row>
    <row r="15087" spans="1:7" x14ac:dyDescent="0.25">
      <c r="A15087" s="116" t="s">
        <v>30211</v>
      </c>
      <c r="B15087" s="117" t="s">
        <v>30212</v>
      </c>
      <c r="C15087" t="s">
        <v>67</v>
      </c>
      <c r="D15087" t="s">
        <v>67</v>
      </c>
      <c r="E15087" t="s">
        <v>67</v>
      </c>
      <c r="F15087" t="s">
        <v>27987</v>
      </c>
      <c r="G15087" s="117">
        <v>343.77</v>
      </c>
    </row>
    <row r="15088" spans="1:7" x14ac:dyDescent="0.25">
      <c r="A15088" s="116" t="s">
        <v>30314</v>
      </c>
      <c r="B15088" s="117" t="s">
        <v>30315</v>
      </c>
      <c r="C15088" t="s">
        <v>67</v>
      </c>
      <c r="D15088" t="s">
        <v>67</v>
      </c>
      <c r="E15088" t="s">
        <v>67</v>
      </c>
      <c r="F15088" t="s">
        <v>45</v>
      </c>
      <c r="G15088" s="117">
        <v>9999</v>
      </c>
    </row>
    <row r="15089" spans="1:7" x14ac:dyDescent="0.25">
      <c r="A15089" s="116" t="s">
        <v>30316</v>
      </c>
      <c r="B15089" s="117" t="s">
        <v>31273</v>
      </c>
      <c r="C15089" t="s">
        <v>67</v>
      </c>
      <c r="D15089" t="s">
        <v>67</v>
      </c>
      <c r="E15089" t="s">
        <v>67</v>
      </c>
      <c r="F15089" t="s">
        <v>27987</v>
      </c>
      <c r="G15089" s="117">
        <v>36</v>
      </c>
    </row>
    <row r="15090" spans="1:7" x14ac:dyDescent="0.25">
      <c r="A15090" s="116" t="s">
        <v>30317</v>
      </c>
      <c r="B15090" s="117" t="s">
        <v>30318</v>
      </c>
      <c r="C15090" t="s">
        <v>67</v>
      </c>
      <c r="D15090" t="s">
        <v>67</v>
      </c>
      <c r="E15090" t="s">
        <v>67</v>
      </c>
      <c r="F15090" t="s">
        <v>27987</v>
      </c>
      <c r="G15090" s="117">
        <v>9999</v>
      </c>
    </row>
    <row r="15091" spans="1:7" x14ac:dyDescent="0.25">
      <c r="A15091" s="116" t="s">
        <v>30319</v>
      </c>
      <c r="B15091" s="117" t="s">
        <v>30320</v>
      </c>
      <c r="C15091" t="s">
        <v>67</v>
      </c>
      <c r="D15091" t="s">
        <v>67</v>
      </c>
      <c r="E15091" t="s">
        <v>67</v>
      </c>
      <c r="F15091" t="s">
        <v>27987</v>
      </c>
      <c r="G15091" s="117">
        <v>9999</v>
      </c>
    </row>
    <row r="15092" spans="1:7" x14ac:dyDescent="0.25">
      <c r="A15092" s="116" t="s">
        <v>23478</v>
      </c>
      <c r="B15092" s="117" t="s">
        <v>23479</v>
      </c>
      <c r="C15092" t="s">
        <v>67</v>
      </c>
      <c r="D15092" t="s">
        <v>67</v>
      </c>
      <c r="E15092" t="s">
        <v>67</v>
      </c>
      <c r="F15092" t="s">
        <v>27987</v>
      </c>
      <c r="G15092" s="117">
        <v>2.5</v>
      </c>
    </row>
    <row r="15093" spans="1:7" x14ac:dyDescent="0.25">
      <c r="A15093" s="116" t="s">
        <v>23480</v>
      </c>
      <c r="B15093" s="117" t="s">
        <v>26520</v>
      </c>
      <c r="C15093" t="s">
        <v>67</v>
      </c>
      <c r="D15093" t="s">
        <v>67</v>
      </c>
      <c r="E15093" t="s">
        <v>67</v>
      </c>
      <c r="F15093" t="s">
        <v>27987</v>
      </c>
      <c r="G15093" s="117">
        <v>27.14</v>
      </c>
    </row>
    <row r="15094" spans="1:7" x14ac:dyDescent="0.25">
      <c r="A15094" s="116" t="s">
        <v>23481</v>
      </c>
      <c r="B15094" s="117" t="s">
        <v>23482</v>
      </c>
      <c r="C15094" t="s">
        <v>67</v>
      </c>
      <c r="D15094" t="s">
        <v>67</v>
      </c>
      <c r="E15094" t="s">
        <v>67</v>
      </c>
      <c r="F15094" t="s">
        <v>27987</v>
      </c>
      <c r="G15094" s="117">
        <v>68.430000000000007</v>
      </c>
    </row>
    <row r="15095" spans="1:7" x14ac:dyDescent="0.25">
      <c r="A15095" s="116" t="s">
        <v>23483</v>
      </c>
      <c r="B15095" s="117" t="s">
        <v>23484</v>
      </c>
      <c r="C15095" t="s">
        <v>67</v>
      </c>
      <c r="D15095" t="s">
        <v>67</v>
      </c>
      <c r="E15095" t="s">
        <v>67</v>
      </c>
      <c r="F15095" t="s">
        <v>27987</v>
      </c>
      <c r="G15095" s="117">
        <v>61.9</v>
      </c>
    </row>
    <row r="15096" spans="1:7" x14ac:dyDescent="0.25">
      <c r="A15096" s="116" t="s">
        <v>23485</v>
      </c>
      <c r="B15096" s="117" t="s">
        <v>23486</v>
      </c>
      <c r="C15096" t="s">
        <v>67</v>
      </c>
      <c r="D15096" t="s">
        <v>67</v>
      </c>
      <c r="E15096" t="s">
        <v>67</v>
      </c>
      <c r="F15096" t="s">
        <v>27987</v>
      </c>
      <c r="G15096" s="117">
        <v>40.93</v>
      </c>
    </row>
    <row r="15097" spans="1:7" x14ac:dyDescent="0.25">
      <c r="A15097" s="116" t="s">
        <v>23487</v>
      </c>
      <c r="B15097" s="117" t="s">
        <v>23488</v>
      </c>
      <c r="C15097" t="s">
        <v>67</v>
      </c>
      <c r="D15097" t="s">
        <v>67</v>
      </c>
      <c r="E15097" t="s">
        <v>67</v>
      </c>
      <c r="F15097" t="s">
        <v>45</v>
      </c>
      <c r="G15097" s="117">
        <v>456.42</v>
      </c>
    </row>
    <row r="15098" spans="1:7" x14ac:dyDescent="0.25">
      <c r="A15098" s="116" t="s">
        <v>23489</v>
      </c>
      <c r="B15098" s="117" t="s">
        <v>23490</v>
      </c>
      <c r="C15098" t="s">
        <v>67</v>
      </c>
      <c r="D15098" t="s">
        <v>67</v>
      </c>
      <c r="E15098" t="s">
        <v>67</v>
      </c>
      <c r="F15098" t="s">
        <v>27987</v>
      </c>
      <c r="G15098" s="117">
        <v>5.79</v>
      </c>
    </row>
    <row r="15099" spans="1:7" x14ac:dyDescent="0.25">
      <c r="A15099" s="116" t="s">
        <v>23491</v>
      </c>
      <c r="B15099" s="117" t="s">
        <v>21683</v>
      </c>
      <c r="C15099" t="s">
        <v>67</v>
      </c>
      <c r="D15099" t="s">
        <v>67</v>
      </c>
      <c r="E15099" t="s">
        <v>67</v>
      </c>
      <c r="F15099" t="s">
        <v>27987</v>
      </c>
      <c r="G15099" s="117">
        <v>1.91</v>
      </c>
    </row>
    <row r="15100" spans="1:7" x14ac:dyDescent="0.25">
      <c r="A15100" s="116" t="s">
        <v>23492</v>
      </c>
      <c r="B15100" s="117" t="s">
        <v>29625</v>
      </c>
      <c r="C15100" t="s">
        <v>67</v>
      </c>
      <c r="D15100" t="s">
        <v>67</v>
      </c>
      <c r="E15100" t="s">
        <v>67</v>
      </c>
      <c r="F15100" t="s">
        <v>27987</v>
      </c>
      <c r="G15100" s="117">
        <v>1.91</v>
      </c>
    </row>
    <row r="15101" spans="1:7" x14ac:dyDescent="0.25">
      <c r="A15101" s="116" t="s">
        <v>27963</v>
      </c>
      <c r="B15101" s="117" t="s">
        <v>27964</v>
      </c>
      <c r="C15101" t="s">
        <v>67</v>
      </c>
      <c r="D15101" t="s">
        <v>67</v>
      </c>
      <c r="E15101" t="s">
        <v>67</v>
      </c>
      <c r="F15101" t="s">
        <v>27987</v>
      </c>
      <c r="G15101" s="117">
        <v>4.5</v>
      </c>
    </row>
    <row r="15102" spans="1:7" x14ac:dyDescent="0.25">
      <c r="A15102" s="116" t="s">
        <v>27965</v>
      </c>
      <c r="B15102" s="117" t="s">
        <v>27966</v>
      </c>
      <c r="C15102" t="s">
        <v>67</v>
      </c>
      <c r="D15102" t="s">
        <v>67</v>
      </c>
      <c r="E15102" t="s">
        <v>67</v>
      </c>
      <c r="F15102" t="s">
        <v>27987</v>
      </c>
      <c r="G15102" s="117">
        <v>9</v>
      </c>
    </row>
    <row r="15103" spans="1:7" x14ac:dyDescent="0.25">
      <c r="A15103" s="116" t="s">
        <v>23493</v>
      </c>
      <c r="B15103" s="117" t="s">
        <v>23494</v>
      </c>
      <c r="C15103" t="s">
        <v>67</v>
      </c>
      <c r="D15103" t="s">
        <v>67</v>
      </c>
      <c r="E15103" t="s">
        <v>67</v>
      </c>
      <c r="F15103" t="s">
        <v>27987</v>
      </c>
      <c r="G15103" s="117">
        <v>833.86</v>
      </c>
    </row>
    <row r="15104" spans="1:7" x14ac:dyDescent="0.25">
      <c r="A15104" s="116" t="s">
        <v>29626</v>
      </c>
      <c r="B15104" s="117" t="s">
        <v>29627</v>
      </c>
      <c r="C15104" t="s">
        <v>67</v>
      </c>
      <c r="D15104" t="s">
        <v>67</v>
      </c>
      <c r="E15104" t="s">
        <v>67</v>
      </c>
      <c r="F15104" t="s">
        <v>45</v>
      </c>
      <c r="G15104" s="117">
        <v>5</v>
      </c>
    </row>
    <row r="15105" spans="1:7" x14ac:dyDescent="0.25">
      <c r="A15105" s="116" t="s">
        <v>23495</v>
      </c>
      <c r="B15105" s="117" t="s">
        <v>26521</v>
      </c>
      <c r="C15105" t="s">
        <v>67</v>
      </c>
      <c r="D15105" t="s">
        <v>67</v>
      </c>
      <c r="E15105" t="s">
        <v>67</v>
      </c>
      <c r="F15105" t="s">
        <v>27987</v>
      </c>
      <c r="G15105" s="117">
        <v>5</v>
      </c>
    </row>
    <row r="15106" spans="1:7" x14ac:dyDescent="0.25">
      <c r="A15106" s="116" t="s">
        <v>23496</v>
      </c>
      <c r="B15106" s="117" t="s">
        <v>23497</v>
      </c>
      <c r="C15106" t="s">
        <v>67</v>
      </c>
      <c r="D15106" t="s">
        <v>67</v>
      </c>
      <c r="E15106" t="s">
        <v>67</v>
      </c>
      <c r="F15106" t="s">
        <v>27987</v>
      </c>
      <c r="G15106" s="117">
        <v>4</v>
      </c>
    </row>
    <row r="15107" spans="1:7" x14ac:dyDescent="0.25">
      <c r="A15107" s="116" t="s">
        <v>23498</v>
      </c>
      <c r="B15107" s="117" t="s">
        <v>26522</v>
      </c>
      <c r="C15107" t="s">
        <v>67</v>
      </c>
      <c r="D15107" t="s">
        <v>67</v>
      </c>
      <c r="E15107" t="s">
        <v>67</v>
      </c>
      <c r="F15107" t="s">
        <v>27987</v>
      </c>
      <c r="G15107" s="117">
        <v>2</v>
      </c>
    </row>
    <row r="15108" spans="1:7" x14ac:dyDescent="0.25">
      <c r="A15108" s="116" t="s">
        <v>23499</v>
      </c>
      <c r="B15108" s="117" t="s">
        <v>23500</v>
      </c>
      <c r="C15108" t="s">
        <v>67</v>
      </c>
      <c r="D15108" t="s">
        <v>67</v>
      </c>
      <c r="E15108" t="s">
        <v>67</v>
      </c>
      <c r="F15108" t="s">
        <v>27987</v>
      </c>
      <c r="G15108" s="117">
        <v>3</v>
      </c>
    </row>
    <row r="15109" spans="1:7" x14ac:dyDescent="0.25">
      <c r="A15109" s="116" t="s">
        <v>23501</v>
      </c>
      <c r="B15109" s="117" t="s">
        <v>23502</v>
      </c>
      <c r="C15109" t="s">
        <v>67</v>
      </c>
      <c r="D15109" t="s">
        <v>67</v>
      </c>
      <c r="E15109" t="s">
        <v>67</v>
      </c>
      <c r="F15109" t="s">
        <v>27987</v>
      </c>
      <c r="G15109" s="117">
        <v>4</v>
      </c>
    </row>
    <row r="15110" spans="1:7" x14ac:dyDescent="0.25">
      <c r="A15110" s="116" t="s">
        <v>23503</v>
      </c>
      <c r="B15110" s="117" t="s">
        <v>23504</v>
      </c>
      <c r="C15110" t="s">
        <v>67</v>
      </c>
      <c r="D15110" t="s">
        <v>67</v>
      </c>
      <c r="E15110" t="s">
        <v>67</v>
      </c>
      <c r="F15110" t="s">
        <v>27987</v>
      </c>
      <c r="G15110" s="117">
        <v>4</v>
      </c>
    </row>
    <row r="15111" spans="1:7" x14ac:dyDescent="0.25">
      <c r="A15111" s="116" t="s">
        <v>23505</v>
      </c>
      <c r="B15111" s="117" t="s">
        <v>23506</v>
      </c>
      <c r="C15111" t="s">
        <v>67</v>
      </c>
      <c r="D15111" t="s">
        <v>67</v>
      </c>
      <c r="E15111" t="s">
        <v>67</v>
      </c>
      <c r="F15111" t="s">
        <v>27987</v>
      </c>
      <c r="G15111" s="117">
        <v>3.5</v>
      </c>
    </row>
    <row r="15112" spans="1:7" x14ac:dyDescent="0.25">
      <c r="A15112" s="116" t="s">
        <v>23507</v>
      </c>
      <c r="B15112" s="117" t="s">
        <v>23508</v>
      </c>
      <c r="C15112" t="s">
        <v>67</v>
      </c>
      <c r="D15112" t="s">
        <v>67</v>
      </c>
      <c r="E15112" t="s">
        <v>67</v>
      </c>
      <c r="F15112" t="s">
        <v>27987</v>
      </c>
      <c r="G15112" s="117">
        <v>19.73</v>
      </c>
    </row>
    <row r="15113" spans="1:7" x14ac:dyDescent="0.25">
      <c r="A15113" s="116" t="s">
        <v>23509</v>
      </c>
      <c r="B15113" s="117" t="s">
        <v>23510</v>
      </c>
      <c r="C15113" t="s">
        <v>67</v>
      </c>
      <c r="D15113" t="s">
        <v>67</v>
      </c>
      <c r="E15113" t="s">
        <v>67</v>
      </c>
      <c r="F15113" t="s">
        <v>27987</v>
      </c>
      <c r="G15113" s="117">
        <v>11.6</v>
      </c>
    </row>
    <row r="15114" spans="1:7" x14ac:dyDescent="0.25">
      <c r="A15114" s="116" t="s">
        <v>23511</v>
      </c>
      <c r="B15114" s="117" t="s">
        <v>23512</v>
      </c>
      <c r="C15114" t="s">
        <v>67</v>
      </c>
      <c r="D15114" t="s">
        <v>67</v>
      </c>
      <c r="E15114" t="s">
        <v>67</v>
      </c>
      <c r="F15114" t="s">
        <v>27987</v>
      </c>
      <c r="G15114" s="117">
        <v>20</v>
      </c>
    </row>
    <row r="15115" spans="1:7" x14ac:dyDescent="0.25">
      <c r="A15115" s="116" t="s">
        <v>23513</v>
      </c>
      <c r="B15115" s="117" t="s">
        <v>26523</v>
      </c>
      <c r="C15115" t="s">
        <v>67</v>
      </c>
      <c r="D15115" t="s">
        <v>67</v>
      </c>
      <c r="E15115" t="s">
        <v>67</v>
      </c>
      <c r="F15115" t="s">
        <v>27987</v>
      </c>
      <c r="G15115" s="117">
        <v>250</v>
      </c>
    </row>
    <row r="15116" spans="1:7" x14ac:dyDescent="0.25">
      <c r="A15116" s="116" t="s">
        <v>23514</v>
      </c>
      <c r="B15116" s="117" t="s">
        <v>26524</v>
      </c>
      <c r="C15116" t="s">
        <v>67</v>
      </c>
      <c r="D15116" t="s">
        <v>67</v>
      </c>
      <c r="E15116" t="s">
        <v>67</v>
      </c>
      <c r="F15116" t="s">
        <v>45</v>
      </c>
      <c r="G15116" s="117">
        <v>96</v>
      </c>
    </row>
    <row r="15117" spans="1:7" x14ac:dyDescent="0.25">
      <c r="A15117" s="116" t="s">
        <v>23515</v>
      </c>
      <c r="B15117" s="117" t="s">
        <v>26525</v>
      </c>
      <c r="C15117" t="s">
        <v>67</v>
      </c>
      <c r="D15117" t="s">
        <v>67</v>
      </c>
      <c r="E15117" t="s">
        <v>67</v>
      </c>
      <c r="F15117" t="s">
        <v>27987</v>
      </c>
      <c r="G15117" s="117">
        <v>153.78</v>
      </c>
    </row>
    <row r="15118" spans="1:7" x14ac:dyDescent="0.25">
      <c r="A15118" s="116" t="s">
        <v>23516</v>
      </c>
      <c r="B15118" s="117" t="s">
        <v>26526</v>
      </c>
      <c r="C15118" t="s">
        <v>67</v>
      </c>
      <c r="D15118" t="s">
        <v>67</v>
      </c>
      <c r="E15118" t="s">
        <v>67</v>
      </c>
      <c r="F15118" t="s">
        <v>49</v>
      </c>
      <c r="G15118" s="117">
        <v>5</v>
      </c>
    </row>
    <row r="15119" spans="1:7" x14ac:dyDescent="0.25">
      <c r="A15119" s="116" t="s">
        <v>23517</v>
      </c>
      <c r="B15119" s="117" t="s">
        <v>26527</v>
      </c>
      <c r="C15119" t="s">
        <v>67</v>
      </c>
      <c r="D15119" t="s">
        <v>67</v>
      </c>
      <c r="E15119" t="s">
        <v>67</v>
      </c>
      <c r="F15119" t="s">
        <v>27987</v>
      </c>
      <c r="G15119" s="117">
        <v>142.83000000000001</v>
      </c>
    </row>
    <row r="15120" spans="1:7" x14ac:dyDescent="0.25">
      <c r="A15120" s="116" t="s">
        <v>23518</v>
      </c>
      <c r="B15120" s="117" t="s">
        <v>26528</v>
      </c>
      <c r="C15120" t="s">
        <v>67</v>
      </c>
      <c r="D15120" t="s">
        <v>67</v>
      </c>
      <c r="E15120" t="s">
        <v>67</v>
      </c>
      <c r="F15120" t="s">
        <v>27987</v>
      </c>
      <c r="G15120" s="117">
        <v>70</v>
      </c>
    </row>
    <row r="15121" spans="1:7" x14ac:dyDescent="0.25">
      <c r="A15121" s="116" t="s">
        <v>23519</v>
      </c>
      <c r="B15121" s="117" t="s">
        <v>26529</v>
      </c>
      <c r="C15121" t="s">
        <v>67</v>
      </c>
      <c r="D15121" t="s">
        <v>67</v>
      </c>
      <c r="E15121" t="s">
        <v>67</v>
      </c>
      <c r="F15121" t="s">
        <v>27987</v>
      </c>
      <c r="G15121" s="117">
        <v>35.4</v>
      </c>
    </row>
    <row r="15122" spans="1:7" x14ac:dyDescent="0.25">
      <c r="A15122" s="116" t="s">
        <v>23520</v>
      </c>
      <c r="B15122" s="117" t="s">
        <v>23521</v>
      </c>
      <c r="C15122" t="s">
        <v>67</v>
      </c>
      <c r="D15122" t="s">
        <v>67</v>
      </c>
      <c r="E15122" t="s">
        <v>67</v>
      </c>
      <c r="F15122" t="s">
        <v>27987</v>
      </c>
      <c r="G15122" s="117">
        <v>7</v>
      </c>
    </row>
    <row r="15123" spans="1:7" x14ac:dyDescent="0.25">
      <c r="A15123" s="116" t="s">
        <v>23522</v>
      </c>
      <c r="B15123" s="117" t="s">
        <v>26530</v>
      </c>
      <c r="C15123" t="s">
        <v>67</v>
      </c>
      <c r="D15123" t="s">
        <v>67</v>
      </c>
      <c r="E15123" t="s">
        <v>67</v>
      </c>
      <c r="F15123" t="s">
        <v>27987</v>
      </c>
      <c r="G15123" s="117">
        <v>115</v>
      </c>
    </row>
    <row r="15124" spans="1:7" x14ac:dyDescent="0.25">
      <c r="A15124" s="116" t="s">
        <v>23523</v>
      </c>
      <c r="B15124" s="117" t="s">
        <v>23524</v>
      </c>
      <c r="C15124" t="s">
        <v>67</v>
      </c>
      <c r="D15124" t="s">
        <v>67</v>
      </c>
      <c r="E15124" t="s">
        <v>67</v>
      </c>
      <c r="F15124" t="s">
        <v>27987</v>
      </c>
      <c r="G15124" s="117">
        <v>197.31</v>
      </c>
    </row>
    <row r="15125" spans="1:7" x14ac:dyDescent="0.25">
      <c r="A15125" s="116" t="s">
        <v>23525</v>
      </c>
      <c r="B15125" s="117" t="s">
        <v>26531</v>
      </c>
      <c r="C15125" t="s">
        <v>67</v>
      </c>
      <c r="D15125" t="s">
        <v>67</v>
      </c>
      <c r="E15125" t="s">
        <v>67</v>
      </c>
      <c r="F15125" t="s">
        <v>27987</v>
      </c>
      <c r="G15125" s="117">
        <v>45</v>
      </c>
    </row>
    <row r="15126" spans="1:7" x14ac:dyDescent="0.25">
      <c r="A15126" s="116" t="s">
        <v>30775</v>
      </c>
      <c r="B15126" s="117" t="s">
        <v>30776</v>
      </c>
      <c r="C15126" t="s">
        <v>67</v>
      </c>
      <c r="D15126" t="s">
        <v>67</v>
      </c>
      <c r="E15126" t="s">
        <v>67</v>
      </c>
      <c r="F15126" t="s">
        <v>27987</v>
      </c>
      <c r="G15126" s="117">
        <v>20</v>
      </c>
    </row>
    <row r="15127" spans="1:7" x14ac:dyDescent="0.25">
      <c r="A15127" s="116" t="s">
        <v>23526</v>
      </c>
      <c r="B15127" s="117" t="s">
        <v>26532</v>
      </c>
      <c r="C15127" t="s">
        <v>67</v>
      </c>
      <c r="D15127" t="s">
        <v>67</v>
      </c>
      <c r="E15127" t="s">
        <v>67</v>
      </c>
      <c r="F15127" t="s">
        <v>27987</v>
      </c>
      <c r="G15127" s="117">
        <v>5</v>
      </c>
    </row>
    <row r="15128" spans="1:7" x14ac:dyDescent="0.25">
      <c r="A15128" s="116" t="s">
        <v>23527</v>
      </c>
      <c r="B15128" s="117" t="s">
        <v>23528</v>
      </c>
      <c r="C15128" t="s">
        <v>67</v>
      </c>
      <c r="D15128" t="s">
        <v>67</v>
      </c>
      <c r="E15128" t="s">
        <v>67</v>
      </c>
      <c r="F15128" t="s">
        <v>27987</v>
      </c>
      <c r="G15128" s="117">
        <v>208.91</v>
      </c>
    </row>
    <row r="15129" spans="1:7" x14ac:dyDescent="0.25">
      <c r="A15129" s="116" t="s">
        <v>23529</v>
      </c>
      <c r="B15129" s="117" t="s">
        <v>26533</v>
      </c>
      <c r="C15129" t="s">
        <v>67</v>
      </c>
      <c r="D15129" t="s">
        <v>67</v>
      </c>
      <c r="E15129" t="s">
        <v>67</v>
      </c>
      <c r="F15129" t="s">
        <v>27987</v>
      </c>
      <c r="G15129" s="117">
        <v>20</v>
      </c>
    </row>
    <row r="15130" spans="1:7" x14ac:dyDescent="0.25">
      <c r="A15130" s="116" t="s">
        <v>23530</v>
      </c>
      <c r="B15130" s="117" t="s">
        <v>26534</v>
      </c>
      <c r="C15130" t="s">
        <v>67</v>
      </c>
      <c r="D15130" t="s">
        <v>67</v>
      </c>
      <c r="E15130" t="s">
        <v>67</v>
      </c>
      <c r="F15130" t="s">
        <v>27987</v>
      </c>
      <c r="G15130" s="117">
        <v>20</v>
      </c>
    </row>
    <row r="15131" spans="1:7" x14ac:dyDescent="0.25">
      <c r="A15131" s="116" t="s">
        <v>23531</v>
      </c>
      <c r="B15131" s="117" t="s">
        <v>26535</v>
      </c>
      <c r="C15131" t="s">
        <v>67</v>
      </c>
      <c r="D15131" t="s">
        <v>67</v>
      </c>
      <c r="E15131" t="s">
        <v>67</v>
      </c>
      <c r="F15131" t="s">
        <v>27987</v>
      </c>
      <c r="G15131" s="117">
        <v>6.5</v>
      </c>
    </row>
    <row r="15132" spans="1:7" x14ac:dyDescent="0.25">
      <c r="A15132" s="116" t="s">
        <v>23532</v>
      </c>
      <c r="B15132" s="117" t="s">
        <v>23533</v>
      </c>
      <c r="C15132" t="s">
        <v>67</v>
      </c>
      <c r="D15132" t="s">
        <v>67</v>
      </c>
      <c r="E15132" t="s">
        <v>67</v>
      </c>
      <c r="F15132" t="s">
        <v>27987</v>
      </c>
      <c r="G15132" s="117">
        <v>70</v>
      </c>
    </row>
    <row r="15133" spans="1:7" x14ac:dyDescent="0.25">
      <c r="A15133" s="116" t="s">
        <v>31093</v>
      </c>
      <c r="B15133" s="117" t="s">
        <v>31094</v>
      </c>
      <c r="C15133" t="s">
        <v>67</v>
      </c>
      <c r="D15133" t="s">
        <v>67</v>
      </c>
      <c r="E15133" t="s">
        <v>67</v>
      </c>
      <c r="F15133" t="s">
        <v>27987</v>
      </c>
      <c r="G15133" s="117">
        <v>9999</v>
      </c>
    </row>
    <row r="15134" spans="1:7" x14ac:dyDescent="0.25">
      <c r="A15134" s="116" t="s">
        <v>23534</v>
      </c>
      <c r="B15134" s="117" t="s">
        <v>23535</v>
      </c>
      <c r="C15134" t="s">
        <v>67</v>
      </c>
      <c r="D15134" t="s">
        <v>67</v>
      </c>
      <c r="E15134" t="s">
        <v>67</v>
      </c>
      <c r="F15134" t="s">
        <v>27987</v>
      </c>
      <c r="G15134" s="117">
        <v>74.66</v>
      </c>
    </row>
    <row r="15135" spans="1:7" x14ac:dyDescent="0.25">
      <c r="A15135" s="116" t="s">
        <v>23536</v>
      </c>
      <c r="B15135" s="117" t="s">
        <v>23537</v>
      </c>
      <c r="C15135" t="s">
        <v>67</v>
      </c>
      <c r="D15135" t="s">
        <v>67</v>
      </c>
      <c r="E15135" t="s">
        <v>67</v>
      </c>
      <c r="F15135" t="s">
        <v>27987</v>
      </c>
      <c r="G15135" s="117">
        <v>59.18</v>
      </c>
    </row>
    <row r="15136" spans="1:7" x14ac:dyDescent="0.25">
      <c r="A15136" s="116" t="s">
        <v>23538</v>
      </c>
      <c r="B15136" s="117" t="s">
        <v>23539</v>
      </c>
      <c r="C15136" t="s">
        <v>67</v>
      </c>
      <c r="D15136" t="s">
        <v>67</v>
      </c>
      <c r="E15136" t="s">
        <v>67</v>
      </c>
      <c r="F15136" t="s">
        <v>27987</v>
      </c>
      <c r="G15136" s="117">
        <v>0.96</v>
      </c>
    </row>
    <row r="15137" spans="1:7" x14ac:dyDescent="0.25">
      <c r="A15137" s="116" t="s">
        <v>23540</v>
      </c>
      <c r="B15137" s="117" t="s">
        <v>8256</v>
      </c>
      <c r="C15137" t="s">
        <v>67</v>
      </c>
      <c r="D15137" t="s">
        <v>67</v>
      </c>
      <c r="E15137" t="s">
        <v>67</v>
      </c>
      <c r="F15137" t="s">
        <v>27987</v>
      </c>
      <c r="G15137" s="117">
        <v>1.69</v>
      </c>
    </row>
    <row r="15138" spans="1:7" x14ac:dyDescent="0.25">
      <c r="A15138" s="116" t="s">
        <v>23541</v>
      </c>
      <c r="B15138" s="117" t="s">
        <v>23542</v>
      </c>
      <c r="C15138" t="s">
        <v>67</v>
      </c>
      <c r="D15138" t="s">
        <v>67</v>
      </c>
      <c r="E15138" t="s">
        <v>67</v>
      </c>
      <c r="F15138" t="s">
        <v>27987</v>
      </c>
      <c r="G15138" s="117">
        <v>2.58</v>
      </c>
    </row>
    <row r="15139" spans="1:7" x14ac:dyDescent="0.25">
      <c r="A15139" s="116" t="s">
        <v>23543</v>
      </c>
      <c r="B15139" s="117" t="s">
        <v>23544</v>
      </c>
      <c r="C15139" t="s">
        <v>67</v>
      </c>
      <c r="D15139" t="s">
        <v>67</v>
      </c>
      <c r="E15139" t="s">
        <v>67</v>
      </c>
      <c r="F15139" t="s">
        <v>27987</v>
      </c>
      <c r="G15139" s="117">
        <v>2.58</v>
      </c>
    </row>
    <row r="15140" spans="1:7" x14ac:dyDescent="0.25">
      <c r="A15140" s="116" t="s">
        <v>23545</v>
      </c>
      <c r="B15140" s="117" t="s">
        <v>23546</v>
      </c>
      <c r="C15140" t="s">
        <v>67</v>
      </c>
      <c r="D15140" t="s">
        <v>67</v>
      </c>
      <c r="E15140" t="s">
        <v>67</v>
      </c>
      <c r="F15140" t="s">
        <v>27987</v>
      </c>
      <c r="G15140" s="117">
        <v>1.69</v>
      </c>
    </row>
    <row r="15141" spans="1:7" x14ac:dyDescent="0.25">
      <c r="A15141" s="116" t="s">
        <v>23547</v>
      </c>
      <c r="B15141" s="117" t="s">
        <v>23548</v>
      </c>
      <c r="C15141" t="s">
        <v>67</v>
      </c>
      <c r="D15141" t="s">
        <v>67</v>
      </c>
      <c r="E15141" t="s">
        <v>67</v>
      </c>
      <c r="F15141" t="s">
        <v>27987</v>
      </c>
      <c r="G15141" s="117">
        <v>1.69</v>
      </c>
    </row>
    <row r="15142" spans="1:7" x14ac:dyDescent="0.25">
      <c r="A15142" s="116" t="s">
        <v>23549</v>
      </c>
      <c r="B15142" s="117" t="s">
        <v>23550</v>
      </c>
      <c r="C15142" t="s">
        <v>67</v>
      </c>
      <c r="D15142" t="s">
        <v>67</v>
      </c>
      <c r="E15142" t="s">
        <v>67</v>
      </c>
      <c r="F15142" t="s">
        <v>27987</v>
      </c>
      <c r="G15142" s="117">
        <v>3.12</v>
      </c>
    </row>
    <row r="15143" spans="1:7" x14ac:dyDescent="0.25">
      <c r="A15143" s="116" t="s">
        <v>23551</v>
      </c>
      <c r="B15143" s="117" t="s">
        <v>23552</v>
      </c>
      <c r="C15143" t="s">
        <v>67</v>
      </c>
      <c r="D15143" t="s">
        <v>67</v>
      </c>
      <c r="E15143" t="s">
        <v>67</v>
      </c>
      <c r="F15143" t="s">
        <v>27987</v>
      </c>
      <c r="G15143" s="117">
        <v>2.63</v>
      </c>
    </row>
    <row r="15144" spans="1:7" x14ac:dyDescent="0.25">
      <c r="A15144" s="116" t="s">
        <v>23553</v>
      </c>
      <c r="B15144" s="117" t="s">
        <v>23554</v>
      </c>
      <c r="C15144" t="s">
        <v>67</v>
      </c>
      <c r="D15144" t="s">
        <v>67</v>
      </c>
      <c r="E15144" t="s">
        <v>67</v>
      </c>
      <c r="F15144" t="s">
        <v>27987</v>
      </c>
      <c r="G15144" s="117">
        <v>15.93</v>
      </c>
    </row>
    <row r="15145" spans="1:7" x14ac:dyDescent="0.25">
      <c r="A15145" s="116" t="s">
        <v>23555</v>
      </c>
      <c r="B15145" s="117" t="s">
        <v>23556</v>
      </c>
      <c r="C15145" t="s">
        <v>67</v>
      </c>
      <c r="D15145" t="s">
        <v>67</v>
      </c>
      <c r="E15145" t="s">
        <v>67</v>
      </c>
      <c r="F15145" t="s">
        <v>27987</v>
      </c>
      <c r="G15145" s="117">
        <v>1.79</v>
      </c>
    </row>
    <row r="15146" spans="1:7" x14ac:dyDescent="0.25">
      <c r="A15146" s="116" t="s">
        <v>23557</v>
      </c>
      <c r="B15146" s="117" t="s">
        <v>23558</v>
      </c>
      <c r="C15146" t="s">
        <v>67</v>
      </c>
      <c r="D15146" t="s">
        <v>67</v>
      </c>
      <c r="E15146" t="s">
        <v>67</v>
      </c>
      <c r="F15146" t="s">
        <v>27987</v>
      </c>
      <c r="G15146" s="117">
        <v>198.88</v>
      </c>
    </row>
    <row r="15147" spans="1:7" x14ac:dyDescent="0.25">
      <c r="A15147" s="116" t="s">
        <v>23559</v>
      </c>
      <c r="B15147" s="117" t="s">
        <v>23560</v>
      </c>
      <c r="C15147" t="s">
        <v>67</v>
      </c>
      <c r="D15147" t="s">
        <v>67</v>
      </c>
      <c r="E15147" t="s">
        <v>67</v>
      </c>
      <c r="F15147" t="s">
        <v>45</v>
      </c>
      <c r="G15147" s="117">
        <v>19.489999999999998</v>
      </c>
    </row>
    <row r="15148" spans="1:7" x14ac:dyDescent="0.25">
      <c r="A15148" s="116" t="s">
        <v>23561</v>
      </c>
      <c r="B15148" s="117" t="s">
        <v>23562</v>
      </c>
      <c r="C15148" t="s">
        <v>67</v>
      </c>
      <c r="D15148" t="s">
        <v>67</v>
      </c>
      <c r="E15148" t="s">
        <v>67</v>
      </c>
      <c r="F15148" t="s">
        <v>27987</v>
      </c>
      <c r="G15148" s="117">
        <v>189.08</v>
      </c>
    </row>
    <row r="15149" spans="1:7" x14ac:dyDescent="0.25">
      <c r="A15149" s="116" t="s">
        <v>23563</v>
      </c>
      <c r="B15149" s="117" t="s">
        <v>23564</v>
      </c>
      <c r="C15149" t="s">
        <v>67</v>
      </c>
      <c r="D15149" t="s">
        <v>67</v>
      </c>
      <c r="E15149" t="s">
        <v>67</v>
      </c>
      <c r="F15149" t="s">
        <v>27987</v>
      </c>
      <c r="G15149" s="117">
        <v>2.76</v>
      </c>
    </row>
    <row r="15150" spans="1:7" x14ac:dyDescent="0.25">
      <c r="A15150" s="116" t="s">
        <v>26830</v>
      </c>
      <c r="B15150" s="117" t="s">
        <v>26831</v>
      </c>
      <c r="C15150" t="s">
        <v>67</v>
      </c>
      <c r="D15150" t="s">
        <v>67</v>
      </c>
      <c r="E15150" t="s">
        <v>67</v>
      </c>
      <c r="F15150" t="s">
        <v>27987</v>
      </c>
      <c r="G15150" s="117">
        <v>4.5</v>
      </c>
    </row>
    <row r="15151" spans="1:7" x14ac:dyDescent="0.25">
      <c r="A15151" s="116" t="s">
        <v>26832</v>
      </c>
      <c r="B15151" s="117" t="s">
        <v>26833</v>
      </c>
      <c r="C15151" t="s">
        <v>67</v>
      </c>
      <c r="D15151" t="s">
        <v>67</v>
      </c>
      <c r="E15151" t="s">
        <v>67</v>
      </c>
      <c r="F15151" t="s">
        <v>27987</v>
      </c>
      <c r="G15151" s="117">
        <v>10</v>
      </c>
    </row>
    <row r="15152" spans="1:7" x14ac:dyDescent="0.25">
      <c r="A15152" s="116" t="s">
        <v>23565</v>
      </c>
      <c r="B15152" s="117" t="s">
        <v>23566</v>
      </c>
      <c r="C15152" t="s">
        <v>67</v>
      </c>
      <c r="D15152" t="s">
        <v>67</v>
      </c>
      <c r="E15152" t="s">
        <v>67</v>
      </c>
      <c r="F15152" t="s">
        <v>27987</v>
      </c>
      <c r="G15152" s="117">
        <v>1.88</v>
      </c>
    </row>
    <row r="15153" spans="1:7" x14ac:dyDescent="0.25">
      <c r="A15153" s="116" t="s">
        <v>26834</v>
      </c>
      <c r="B15153" s="117" t="s">
        <v>26835</v>
      </c>
      <c r="C15153" t="s">
        <v>67</v>
      </c>
      <c r="D15153" t="s">
        <v>67</v>
      </c>
      <c r="E15153" t="s">
        <v>67</v>
      </c>
      <c r="F15153" t="s">
        <v>27987</v>
      </c>
      <c r="G15153" s="117">
        <v>2</v>
      </c>
    </row>
    <row r="15154" spans="1:7" x14ac:dyDescent="0.25">
      <c r="A15154" s="116" t="s">
        <v>23567</v>
      </c>
      <c r="B15154" s="117" t="s">
        <v>23568</v>
      </c>
      <c r="C15154" t="s">
        <v>67</v>
      </c>
      <c r="D15154" t="s">
        <v>67</v>
      </c>
      <c r="E15154" t="s">
        <v>67</v>
      </c>
      <c r="F15154" t="s">
        <v>45</v>
      </c>
      <c r="G15154" s="117">
        <v>2.76</v>
      </c>
    </row>
    <row r="15155" spans="1:7" x14ac:dyDescent="0.25">
      <c r="A15155" s="116" t="s">
        <v>23569</v>
      </c>
      <c r="B15155" s="117" t="s">
        <v>23570</v>
      </c>
      <c r="C15155" t="s">
        <v>67</v>
      </c>
      <c r="D15155" t="s">
        <v>67</v>
      </c>
      <c r="E15155" t="s">
        <v>67</v>
      </c>
      <c r="F15155" t="s">
        <v>45</v>
      </c>
      <c r="G15155" s="117">
        <v>8.91</v>
      </c>
    </row>
    <row r="15156" spans="1:7" x14ac:dyDescent="0.25">
      <c r="A15156" s="116" t="s">
        <v>23571</v>
      </c>
      <c r="B15156" s="117" t="s">
        <v>8153</v>
      </c>
      <c r="C15156" t="s">
        <v>67</v>
      </c>
      <c r="D15156" t="s">
        <v>67</v>
      </c>
      <c r="E15156" t="s">
        <v>67</v>
      </c>
      <c r="F15156" t="s">
        <v>27987</v>
      </c>
      <c r="G15156" s="117">
        <v>2.58</v>
      </c>
    </row>
    <row r="15157" spans="1:7" x14ac:dyDescent="0.25">
      <c r="A15157" s="116" t="s">
        <v>26836</v>
      </c>
      <c r="B15157" s="117" t="s">
        <v>26837</v>
      </c>
      <c r="C15157" t="s">
        <v>67</v>
      </c>
      <c r="D15157" t="s">
        <v>67</v>
      </c>
      <c r="E15157" t="s">
        <v>67</v>
      </c>
      <c r="F15157" t="s">
        <v>27987</v>
      </c>
      <c r="G15157" s="117">
        <v>0.6</v>
      </c>
    </row>
    <row r="15158" spans="1:7" x14ac:dyDescent="0.25">
      <c r="A15158" s="116" t="s">
        <v>26838</v>
      </c>
      <c r="B15158" s="117" t="s">
        <v>26839</v>
      </c>
      <c r="C15158" t="s">
        <v>67</v>
      </c>
      <c r="D15158" t="s">
        <v>67</v>
      </c>
      <c r="E15158" t="s">
        <v>67</v>
      </c>
      <c r="F15158" t="s">
        <v>27987</v>
      </c>
      <c r="G15158" s="117">
        <v>0.6</v>
      </c>
    </row>
    <row r="15159" spans="1:7" x14ac:dyDescent="0.25">
      <c r="A15159" s="116" t="s">
        <v>23572</v>
      </c>
      <c r="B15159" s="117" t="s">
        <v>23573</v>
      </c>
      <c r="C15159" t="s">
        <v>67</v>
      </c>
      <c r="D15159" t="s">
        <v>67</v>
      </c>
      <c r="E15159" t="s">
        <v>67</v>
      </c>
      <c r="F15159" t="s">
        <v>27987</v>
      </c>
      <c r="G15159" s="117">
        <v>1.55</v>
      </c>
    </row>
    <row r="15160" spans="1:7" x14ac:dyDescent="0.25">
      <c r="A15160" s="116" t="s">
        <v>26840</v>
      </c>
      <c r="B15160" s="117" t="s">
        <v>26841</v>
      </c>
      <c r="C15160" t="s">
        <v>67</v>
      </c>
      <c r="D15160" t="s">
        <v>67</v>
      </c>
      <c r="E15160" t="s">
        <v>67</v>
      </c>
      <c r="F15160" t="s">
        <v>27987</v>
      </c>
      <c r="G15160" s="117">
        <v>2.27</v>
      </c>
    </row>
    <row r="15161" spans="1:7" x14ac:dyDescent="0.25">
      <c r="A15161" s="116" t="s">
        <v>23574</v>
      </c>
      <c r="B15161" s="117" t="s">
        <v>23575</v>
      </c>
      <c r="C15161" t="s">
        <v>67</v>
      </c>
      <c r="D15161" t="s">
        <v>67</v>
      </c>
      <c r="E15161" t="s">
        <v>67</v>
      </c>
      <c r="F15161" t="s">
        <v>27987</v>
      </c>
      <c r="G15161" s="117">
        <v>9.81</v>
      </c>
    </row>
    <row r="15162" spans="1:7" x14ac:dyDescent="0.25">
      <c r="A15162" s="116" t="s">
        <v>23576</v>
      </c>
      <c r="B15162" s="117" t="s">
        <v>23577</v>
      </c>
      <c r="C15162" t="s">
        <v>67</v>
      </c>
      <c r="D15162" t="s">
        <v>67</v>
      </c>
      <c r="E15162" t="s">
        <v>67</v>
      </c>
      <c r="F15162" t="s">
        <v>27987</v>
      </c>
      <c r="G15162" s="117">
        <v>10.58</v>
      </c>
    </row>
    <row r="15163" spans="1:7" x14ac:dyDescent="0.25">
      <c r="A15163" s="116" t="s">
        <v>23578</v>
      </c>
      <c r="B15163" s="117" t="s">
        <v>23579</v>
      </c>
      <c r="C15163" t="s">
        <v>67</v>
      </c>
      <c r="D15163" t="s">
        <v>67</v>
      </c>
      <c r="E15163" t="s">
        <v>67</v>
      </c>
      <c r="F15163" t="s">
        <v>27987</v>
      </c>
      <c r="G15163" s="117">
        <v>17.7</v>
      </c>
    </row>
    <row r="15164" spans="1:7" x14ac:dyDescent="0.25">
      <c r="A15164" s="116" t="s">
        <v>23580</v>
      </c>
      <c r="B15164" s="117" t="s">
        <v>23581</v>
      </c>
      <c r="C15164" t="s">
        <v>67</v>
      </c>
      <c r="D15164" t="s">
        <v>67</v>
      </c>
      <c r="E15164" t="s">
        <v>67</v>
      </c>
      <c r="F15164" t="s">
        <v>27987</v>
      </c>
      <c r="G15164" s="117">
        <v>4</v>
      </c>
    </row>
    <row r="15165" spans="1:7" x14ac:dyDescent="0.25">
      <c r="A15165" s="116" t="s">
        <v>23582</v>
      </c>
      <c r="B15165" s="117" t="s">
        <v>23583</v>
      </c>
      <c r="C15165" t="s">
        <v>67</v>
      </c>
      <c r="D15165" t="s">
        <v>67</v>
      </c>
      <c r="E15165" t="s">
        <v>67</v>
      </c>
      <c r="F15165" t="s">
        <v>27987</v>
      </c>
      <c r="G15165" s="117">
        <v>3.56</v>
      </c>
    </row>
    <row r="15166" spans="1:7" x14ac:dyDescent="0.25">
      <c r="A15166" s="116" t="s">
        <v>23584</v>
      </c>
      <c r="B15166" s="117" t="s">
        <v>23585</v>
      </c>
      <c r="C15166" t="s">
        <v>67</v>
      </c>
      <c r="D15166" t="s">
        <v>67</v>
      </c>
      <c r="E15166" t="s">
        <v>67</v>
      </c>
      <c r="F15166" t="s">
        <v>27987</v>
      </c>
      <c r="G15166" s="117">
        <v>2.63</v>
      </c>
    </row>
    <row r="15167" spans="1:7" x14ac:dyDescent="0.25">
      <c r="A15167" s="116" t="s">
        <v>23586</v>
      </c>
      <c r="B15167" s="117" t="s">
        <v>23587</v>
      </c>
      <c r="C15167" t="s">
        <v>67</v>
      </c>
      <c r="D15167" t="s">
        <v>67</v>
      </c>
      <c r="E15167" t="s">
        <v>67</v>
      </c>
      <c r="F15167" t="s">
        <v>27987</v>
      </c>
      <c r="G15167" s="117">
        <v>3.35</v>
      </c>
    </row>
    <row r="15168" spans="1:7" x14ac:dyDescent="0.25">
      <c r="A15168" s="116" t="s">
        <v>23588</v>
      </c>
      <c r="B15168" s="117" t="s">
        <v>23589</v>
      </c>
      <c r="C15168" t="s">
        <v>67</v>
      </c>
      <c r="D15168" t="s">
        <v>67</v>
      </c>
      <c r="E15168" t="s">
        <v>67</v>
      </c>
      <c r="F15168" t="s">
        <v>49</v>
      </c>
      <c r="G15168" s="117">
        <v>2.76</v>
      </c>
    </row>
    <row r="15169" spans="1:7" x14ac:dyDescent="0.25">
      <c r="A15169" s="116" t="s">
        <v>23590</v>
      </c>
      <c r="B15169" s="117" t="s">
        <v>9543</v>
      </c>
      <c r="C15169" t="s">
        <v>67</v>
      </c>
      <c r="D15169" t="s">
        <v>67</v>
      </c>
      <c r="E15169" t="s">
        <v>67</v>
      </c>
      <c r="F15169" t="s">
        <v>27987</v>
      </c>
      <c r="G15169" s="117">
        <v>1.79</v>
      </c>
    </row>
    <row r="15170" spans="1:7" x14ac:dyDescent="0.25">
      <c r="A15170" s="116" t="s">
        <v>23591</v>
      </c>
      <c r="B15170" s="117" t="s">
        <v>8262</v>
      </c>
      <c r="C15170" t="s">
        <v>67</v>
      </c>
      <c r="D15170" t="s">
        <v>67</v>
      </c>
      <c r="E15170" t="s">
        <v>67</v>
      </c>
      <c r="F15170" t="s">
        <v>27987</v>
      </c>
      <c r="G15170" s="117">
        <v>1.33</v>
      </c>
    </row>
    <row r="15171" spans="1:7" x14ac:dyDescent="0.25">
      <c r="A15171" s="116" t="s">
        <v>23592</v>
      </c>
      <c r="B15171" s="117" t="s">
        <v>9543</v>
      </c>
      <c r="C15171" t="s">
        <v>67</v>
      </c>
      <c r="D15171" t="s">
        <v>67</v>
      </c>
      <c r="E15171" t="s">
        <v>67</v>
      </c>
      <c r="F15171" t="s">
        <v>27987</v>
      </c>
      <c r="G15171" s="117">
        <v>1.79</v>
      </c>
    </row>
    <row r="15172" spans="1:7" x14ac:dyDescent="0.25">
      <c r="A15172" s="116" t="s">
        <v>23593</v>
      </c>
      <c r="B15172" s="117" t="s">
        <v>23594</v>
      </c>
      <c r="C15172" t="s">
        <v>67</v>
      </c>
      <c r="D15172" t="s">
        <v>67</v>
      </c>
      <c r="E15172" t="s">
        <v>67</v>
      </c>
      <c r="F15172" t="s">
        <v>27987</v>
      </c>
      <c r="G15172" s="117">
        <v>1.79</v>
      </c>
    </row>
    <row r="15173" spans="1:7" x14ac:dyDescent="0.25">
      <c r="A15173" s="116" t="s">
        <v>23595</v>
      </c>
      <c r="B15173" s="117" t="s">
        <v>23596</v>
      </c>
      <c r="C15173" t="s">
        <v>67</v>
      </c>
      <c r="D15173" t="s">
        <v>67</v>
      </c>
      <c r="E15173" t="s">
        <v>67</v>
      </c>
      <c r="F15173" t="s">
        <v>27987</v>
      </c>
      <c r="G15173" s="117">
        <v>3.56</v>
      </c>
    </row>
    <row r="15174" spans="1:7" x14ac:dyDescent="0.25">
      <c r="A15174" s="116" t="s">
        <v>23597</v>
      </c>
      <c r="B15174" s="117" t="s">
        <v>23598</v>
      </c>
      <c r="C15174" t="s">
        <v>67</v>
      </c>
      <c r="D15174" t="s">
        <v>67</v>
      </c>
      <c r="E15174" t="s">
        <v>67</v>
      </c>
      <c r="F15174" t="s">
        <v>27987</v>
      </c>
      <c r="G15174" s="117">
        <v>3.56</v>
      </c>
    </row>
    <row r="15175" spans="1:7" x14ac:dyDescent="0.25">
      <c r="A15175" s="116" t="s">
        <v>23599</v>
      </c>
      <c r="B15175" s="117" t="s">
        <v>23579</v>
      </c>
      <c r="C15175" t="s">
        <v>67</v>
      </c>
      <c r="D15175" t="s">
        <v>67</v>
      </c>
      <c r="E15175" t="s">
        <v>67</v>
      </c>
      <c r="F15175" t="s">
        <v>27987</v>
      </c>
      <c r="G15175" s="117">
        <v>33.369999999999997</v>
      </c>
    </row>
    <row r="15176" spans="1:7" x14ac:dyDescent="0.25">
      <c r="A15176" s="116" t="s">
        <v>23600</v>
      </c>
      <c r="B15176" s="117" t="s">
        <v>23601</v>
      </c>
      <c r="C15176" t="s">
        <v>67</v>
      </c>
      <c r="D15176" t="s">
        <v>67</v>
      </c>
      <c r="E15176" t="s">
        <v>67</v>
      </c>
      <c r="F15176" t="s">
        <v>27987</v>
      </c>
      <c r="G15176" s="117">
        <v>3.56</v>
      </c>
    </row>
    <row r="15177" spans="1:7" x14ac:dyDescent="0.25">
      <c r="A15177" s="116" t="s">
        <v>23602</v>
      </c>
      <c r="B15177" s="117" t="s">
        <v>23603</v>
      </c>
      <c r="C15177" t="s">
        <v>67</v>
      </c>
      <c r="D15177" t="s">
        <v>67</v>
      </c>
      <c r="E15177" t="s">
        <v>67</v>
      </c>
      <c r="F15177" t="s">
        <v>27987</v>
      </c>
      <c r="G15177" s="117">
        <v>17.7</v>
      </c>
    </row>
    <row r="15178" spans="1:7" x14ac:dyDescent="0.25">
      <c r="A15178" s="116" t="s">
        <v>23604</v>
      </c>
      <c r="B15178" s="117" t="s">
        <v>23605</v>
      </c>
      <c r="C15178" t="s">
        <v>67</v>
      </c>
      <c r="D15178" t="s">
        <v>67</v>
      </c>
      <c r="E15178" t="s">
        <v>67</v>
      </c>
      <c r="F15178" t="s">
        <v>27987</v>
      </c>
      <c r="G15178" s="117">
        <v>3.56</v>
      </c>
    </row>
    <row r="15179" spans="1:7" x14ac:dyDescent="0.25">
      <c r="A15179" s="116" t="s">
        <v>23606</v>
      </c>
      <c r="B15179" s="117" t="s">
        <v>9145</v>
      </c>
      <c r="C15179" t="s">
        <v>67</v>
      </c>
      <c r="D15179" t="s">
        <v>67</v>
      </c>
      <c r="E15179" t="s">
        <v>67</v>
      </c>
      <c r="F15179" t="s">
        <v>27987</v>
      </c>
      <c r="G15179" s="117">
        <v>3.56</v>
      </c>
    </row>
    <row r="15180" spans="1:7" x14ac:dyDescent="0.25">
      <c r="A15180" s="116" t="s">
        <v>23607</v>
      </c>
      <c r="B15180" s="117" t="s">
        <v>23608</v>
      </c>
      <c r="C15180" t="s">
        <v>67</v>
      </c>
      <c r="D15180" t="s">
        <v>67</v>
      </c>
      <c r="E15180" t="s">
        <v>67</v>
      </c>
      <c r="F15180" t="s">
        <v>27987</v>
      </c>
      <c r="G15180" s="117">
        <v>4.8899999999999997</v>
      </c>
    </row>
    <row r="15181" spans="1:7" x14ac:dyDescent="0.25">
      <c r="A15181" s="116" t="s">
        <v>23609</v>
      </c>
      <c r="B15181" s="117" t="s">
        <v>23610</v>
      </c>
      <c r="C15181" t="s">
        <v>67</v>
      </c>
      <c r="D15181" t="s">
        <v>67</v>
      </c>
      <c r="E15181" t="s">
        <v>67</v>
      </c>
      <c r="F15181" t="s">
        <v>49</v>
      </c>
      <c r="G15181" s="117">
        <v>1.79</v>
      </c>
    </row>
    <row r="15182" spans="1:7" x14ac:dyDescent="0.25">
      <c r="A15182" s="116" t="s">
        <v>23611</v>
      </c>
      <c r="B15182" s="117" t="s">
        <v>23535</v>
      </c>
      <c r="C15182" t="s">
        <v>67</v>
      </c>
      <c r="D15182" t="s">
        <v>67</v>
      </c>
      <c r="E15182" t="s">
        <v>67</v>
      </c>
      <c r="F15182" t="s">
        <v>27987</v>
      </c>
      <c r="G15182" s="117">
        <v>41.38</v>
      </c>
    </row>
    <row r="15183" spans="1:7" x14ac:dyDescent="0.25">
      <c r="A15183" s="116" t="s">
        <v>23612</v>
      </c>
      <c r="B15183" s="117" t="s">
        <v>23613</v>
      </c>
      <c r="C15183" t="s">
        <v>67</v>
      </c>
      <c r="D15183" t="s">
        <v>67</v>
      </c>
      <c r="E15183" t="s">
        <v>67</v>
      </c>
      <c r="F15183" t="s">
        <v>27987</v>
      </c>
      <c r="G15183" s="117">
        <v>5.38</v>
      </c>
    </row>
    <row r="15184" spans="1:7" x14ac:dyDescent="0.25">
      <c r="A15184" s="116" t="s">
        <v>23614</v>
      </c>
      <c r="B15184" s="117" t="s">
        <v>29628</v>
      </c>
      <c r="C15184" t="s">
        <v>67</v>
      </c>
      <c r="D15184" t="s">
        <v>67</v>
      </c>
      <c r="E15184" t="s">
        <v>67</v>
      </c>
      <c r="F15184" t="s">
        <v>27987</v>
      </c>
      <c r="G15184" s="117">
        <v>3.47</v>
      </c>
    </row>
    <row r="15185" spans="1:7" x14ac:dyDescent="0.25">
      <c r="A15185" s="116" t="s">
        <v>23615</v>
      </c>
      <c r="B15185" s="117" t="s">
        <v>184</v>
      </c>
      <c r="C15185" t="s">
        <v>67</v>
      </c>
      <c r="D15185" t="s">
        <v>67</v>
      </c>
      <c r="E15185" t="s">
        <v>67</v>
      </c>
      <c r="F15185" t="s">
        <v>27987</v>
      </c>
      <c r="G15185" s="117">
        <v>2.63</v>
      </c>
    </row>
    <row r="15186" spans="1:7" x14ac:dyDescent="0.25">
      <c r="A15186" s="116" t="s">
        <v>23616</v>
      </c>
      <c r="B15186" s="117" t="s">
        <v>23617</v>
      </c>
      <c r="C15186" t="s">
        <v>67</v>
      </c>
      <c r="D15186" t="s">
        <v>67</v>
      </c>
      <c r="E15186" t="s">
        <v>67</v>
      </c>
      <c r="F15186" t="s">
        <v>27987</v>
      </c>
      <c r="G15186" s="117">
        <v>8.4499999999999993</v>
      </c>
    </row>
    <row r="15187" spans="1:7" x14ac:dyDescent="0.25">
      <c r="A15187" s="116" t="s">
        <v>23618</v>
      </c>
      <c r="B15187" s="117" t="s">
        <v>23619</v>
      </c>
      <c r="C15187" t="s">
        <v>67</v>
      </c>
      <c r="D15187" t="s">
        <v>67</v>
      </c>
      <c r="E15187" t="s">
        <v>67</v>
      </c>
      <c r="F15187" t="s">
        <v>27987</v>
      </c>
      <c r="G15187" s="117">
        <v>2.58</v>
      </c>
    </row>
    <row r="15188" spans="1:7" x14ac:dyDescent="0.25">
      <c r="A15188" s="116" t="s">
        <v>23620</v>
      </c>
      <c r="B15188" s="117" t="s">
        <v>9209</v>
      </c>
      <c r="C15188" t="s">
        <v>67</v>
      </c>
      <c r="D15188" t="s">
        <v>67</v>
      </c>
      <c r="E15188" t="s">
        <v>67</v>
      </c>
      <c r="F15188" t="s">
        <v>27987</v>
      </c>
      <c r="G15188" s="117">
        <v>2.58</v>
      </c>
    </row>
    <row r="15189" spans="1:7" x14ac:dyDescent="0.25">
      <c r="A15189" s="116" t="s">
        <v>23621</v>
      </c>
      <c r="B15189" s="117" t="s">
        <v>23622</v>
      </c>
      <c r="C15189" t="s">
        <v>67</v>
      </c>
      <c r="D15189" t="s">
        <v>67</v>
      </c>
      <c r="E15189" t="s">
        <v>67</v>
      </c>
      <c r="F15189" t="s">
        <v>27987</v>
      </c>
      <c r="G15189" s="117">
        <v>2.58</v>
      </c>
    </row>
    <row r="15190" spans="1:7" x14ac:dyDescent="0.25">
      <c r="A15190" s="116" t="s">
        <v>23623</v>
      </c>
      <c r="B15190" s="117" t="s">
        <v>23624</v>
      </c>
      <c r="C15190" t="s">
        <v>67</v>
      </c>
      <c r="D15190" t="s">
        <v>67</v>
      </c>
      <c r="E15190" t="s">
        <v>67</v>
      </c>
      <c r="F15190" t="s">
        <v>27987</v>
      </c>
      <c r="G15190" s="117">
        <v>40.49</v>
      </c>
    </row>
    <row r="15191" spans="1:7" x14ac:dyDescent="0.25">
      <c r="A15191" s="116" t="s">
        <v>23625</v>
      </c>
      <c r="B15191" s="117" t="s">
        <v>23550</v>
      </c>
      <c r="C15191" t="s">
        <v>67</v>
      </c>
      <c r="D15191" t="s">
        <v>67</v>
      </c>
      <c r="E15191" t="s">
        <v>67</v>
      </c>
      <c r="F15191" t="s">
        <v>27987</v>
      </c>
      <c r="G15191" s="117">
        <v>3.12</v>
      </c>
    </row>
    <row r="15192" spans="1:7" x14ac:dyDescent="0.25">
      <c r="A15192" s="116" t="s">
        <v>23626</v>
      </c>
      <c r="B15192" s="117" t="s">
        <v>23627</v>
      </c>
      <c r="C15192" t="s">
        <v>67</v>
      </c>
      <c r="D15192" t="s">
        <v>67</v>
      </c>
      <c r="E15192" t="s">
        <v>67</v>
      </c>
      <c r="F15192" t="s">
        <v>27987</v>
      </c>
      <c r="G15192" s="117">
        <v>33.369999999999997</v>
      </c>
    </row>
    <row r="15193" spans="1:7" x14ac:dyDescent="0.25">
      <c r="A15193" s="116" t="s">
        <v>26842</v>
      </c>
      <c r="B15193" s="117" t="s">
        <v>26843</v>
      </c>
      <c r="C15193" t="s">
        <v>67</v>
      </c>
      <c r="D15193" t="s">
        <v>67</v>
      </c>
      <c r="E15193" t="s">
        <v>67</v>
      </c>
      <c r="F15193" t="s">
        <v>27987</v>
      </c>
      <c r="G15193" s="117">
        <v>2</v>
      </c>
    </row>
    <row r="15194" spans="1:7" x14ac:dyDescent="0.25">
      <c r="A15194" s="116" t="s">
        <v>26844</v>
      </c>
      <c r="B15194" s="117" t="s">
        <v>23636</v>
      </c>
      <c r="C15194" t="s">
        <v>67</v>
      </c>
      <c r="D15194" t="s">
        <v>67</v>
      </c>
      <c r="E15194" t="s">
        <v>67</v>
      </c>
      <c r="F15194" t="s">
        <v>27987</v>
      </c>
      <c r="G15194" s="117">
        <v>3</v>
      </c>
    </row>
    <row r="15195" spans="1:7" x14ac:dyDescent="0.25">
      <c r="A15195" s="116" t="s">
        <v>23628</v>
      </c>
      <c r="B15195" s="117" t="s">
        <v>29629</v>
      </c>
      <c r="C15195" t="s">
        <v>67</v>
      </c>
      <c r="D15195" t="s">
        <v>67</v>
      </c>
      <c r="E15195" t="s">
        <v>67</v>
      </c>
      <c r="F15195" t="s">
        <v>27987</v>
      </c>
      <c r="G15195" s="117">
        <v>14.95</v>
      </c>
    </row>
    <row r="15196" spans="1:7" x14ac:dyDescent="0.25">
      <c r="A15196" s="116" t="s">
        <v>23629</v>
      </c>
      <c r="B15196" s="117" t="s">
        <v>23630</v>
      </c>
      <c r="C15196" t="s">
        <v>67</v>
      </c>
      <c r="D15196" t="s">
        <v>67</v>
      </c>
      <c r="E15196" t="s">
        <v>67</v>
      </c>
      <c r="F15196" t="s">
        <v>27987</v>
      </c>
      <c r="G15196" s="117">
        <v>3.12</v>
      </c>
    </row>
    <row r="15197" spans="1:7" x14ac:dyDescent="0.25">
      <c r="A15197" s="116" t="s">
        <v>23631</v>
      </c>
      <c r="B15197" s="117" t="s">
        <v>23632</v>
      </c>
      <c r="C15197" t="s">
        <v>67</v>
      </c>
      <c r="D15197" t="s">
        <v>67</v>
      </c>
      <c r="E15197" t="s">
        <v>67</v>
      </c>
      <c r="F15197" t="s">
        <v>27987</v>
      </c>
      <c r="G15197" s="117">
        <v>4.3600000000000003</v>
      </c>
    </row>
    <row r="15198" spans="1:7" x14ac:dyDescent="0.25">
      <c r="A15198" s="116" t="s">
        <v>23633</v>
      </c>
      <c r="B15198" s="117" t="s">
        <v>23634</v>
      </c>
      <c r="C15198" t="s">
        <v>67</v>
      </c>
      <c r="D15198" t="s">
        <v>67</v>
      </c>
      <c r="E15198" t="s">
        <v>67</v>
      </c>
      <c r="F15198" t="s">
        <v>27987</v>
      </c>
      <c r="G15198" s="117">
        <v>3.12</v>
      </c>
    </row>
    <row r="15199" spans="1:7" x14ac:dyDescent="0.25">
      <c r="A15199" s="116" t="s">
        <v>23635</v>
      </c>
      <c r="B15199" s="117" t="s">
        <v>23636</v>
      </c>
      <c r="C15199" t="s">
        <v>67</v>
      </c>
      <c r="D15199" t="s">
        <v>67</v>
      </c>
      <c r="E15199" t="s">
        <v>67</v>
      </c>
      <c r="F15199" t="s">
        <v>27987</v>
      </c>
      <c r="G15199" s="117">
        <v>4.3600000000000003</v>
      </c>
    </row>
    <row r="15200" spans="1:7" x14ac:dyDescent="0.25">
      <c r="A15200" s="116" t="s">
        <v>23637</v>
      </c>
      <c r="B15200" s="117" t="s">
        <v>23638</v>
      </c>
      <c r="C15200" t="s">
        <v>67</v>
      </c>
      <c r="D15200" t="s">
        <v>67</v>
      </c>
      <c r="E15200" t="s">
        <v>67</v>
      </c>
      <c r="F15200" t="s">
        <v>27987</v>
      </c>
      <c r="G15200" s="117">
        <v>1.67</v>
      </c>
    </row>
    <row r="15201" spans="1:7" x14ac:dyDescent="0.25">
      <c r="A15201" s="116" t="s">
        <v>23639</v>
      </c>
      <c r="B15201" s="117" t="s">
        <v>23640</v>
      </c>
      <c r="C15201" t="s">
        <v>67</v>
      </c>
      <c r="D15201" t="s">
        <v>67</v>
      </c>
      <c r="E15201" t="s">
        <v>67</v>
      </c>
      <c r="F15201" t="s">
        <v>27987</v>
      </c>
      <c r="G15201" s="117">
        <v>4.3600000000000003</v>
      </c>
    </row>
    <row r="15202" spans="1:7" x14ac:dyDescent="0.25">
      <c r="A15202" s="116" t="s">
        <v>23641</v>
      </c>
      <c r="B15202" s="117" t="s">
        <v>23642</v>
      </c>
      <c r="C15202" t="s">
        <v>67</v>
      </c>
      <c r="D15202" t="s">
        <v>67</v>
      </c>
      <c r="E15202" t="s">
        <v>67</v>
      </c>
      <c r="F15202" t="s">
        <v>27987</v>
      </c>
      <c r="G15202" s="117">
        <v>4.3600000000000003</v>
      </c>
    </row>
    <row r="15203" spans="1:7" x14ac:dyDescent="0.25">
      <c r="A15203" s="116" t="s">
        <v>23643</v>
      </c>
      <c r="B15203" s="117" t="s">
        <v>23644</v>
      </c>
      <c r="C15203" t="s">
        <v>67</v>
      </c>
      <c r="D15203" t="s">
        <v>67</v>
      </c>
      <c r="E15203" t="s">
        <v>67</v>
      </c>
      <c r="F15203" t="s">
        <v>27987</v>
      </c>
      <c r="G15203" s="117">
        <v>4.3600000000000003</v>
      </c>
    </row>
    <row r="15204" spans="1:7" x14ac:dyDescent="0.25">
      <c r="A15204" s="116" t="s">
        <v>23645</v>
      </c>
      <c r="B15204" s="117" t="s">
        <v>23613</v>
      </c>
      <c r="C15204" t="s">
        <v>67</v>
      </c>
      <c r="D15204" t="s">
        <v>67</v>
      </c>
      <c r="E15204" t="s">
        <v>67</v>
      </c>
      <c r="F15204" t="s">
        <v>27987</v>
      </c>
      <c r="G15204" s="117">
        <v>1.67</v>
      </c>
    </row>
    <row r="15205" spans="1:7" x14ac:dyDescent="0.25">
      <c r="A15205" s="116" t="s">
        <v>23646</v>
      </c>
      <c r="B15205" s="117" t="s">
        <v>184</v>
      </c>
      <c r="C15205" t="s">
        <v>67</v>
      </c>
      <c r="D15205" t="s">
        <v>67</v>
      </c>
      <c r="E15205" t="s">
        <v>67</v>
      </c>
      <c r="F15205" t="s">
        <v>27987</v>
      </c>
      <c r="G15205" s="117">
        <v>1.33</v>
      </c>
    </row>
    <row r="15206" spans="1:7" x14ac:dyDescent="0.25">
      <c r="A15206" s="116" t="s">
        <v>23647</v>
      </c>
      <c r="B15206" s="117" t="s">
        <v>23605</v>
      </c>
      <c r="C15206" t="s">
        <v>67</v>
      </c>
      <c r="D15206" t="s">
        <v>67</v>
      </c>
      <c r="E15206" t="s">
        <v>67</v>
      </c>
      <c r="F15206" t="s">
        <v>27987</v>
      </c>
      <c r="G15206" s="117">
        <v>2.23</v>
      </c>
    </row>
    <row r="15207" spans="1:7" x14ac:dyDescent="0.25">
      <c r="A15207" s="116" t="s">
        <v>23648</v>
      </c>
      <c r="B15207" s="117" t="s">
        <v>23649</v>
      </c>
      <c r="C15207" t="s">
        <v>67</v>
      </c>
      <c r="D15207" t="s">
        <v>67</v>
      </c>
      <c r="E15207" t="s">
        <v>67</v>
      </c>
      <c r="F15207" t="s">
        <v>27987</v>
      </c>
      <c r="G15207" s="117">
        <v>3.56</v>
      </c>
    </row>
    <row r="15208" spans="1:7" x14ac:dyDescent="0.25">
      <c r="A15208" s="116" t="s">
        <v>23650</v>
      </c>
      <c r="B15208" s="117" t="s">
        <v>23651</v>
      </c>
      <c r="C15208" t="s">
        <v>67</v>
      </c>
      <c r="D15208" t="s">
        <v>67</v>
      </c>
      <c r="E15208" t="s">
        <v>67</v>
      </c>
      <c r="F15208" t="s">
        <v>27987</v>
      </c>
      <c r="G15208" s="117">
        <v>33.369999999999997</v>
      </c>
    </row>
    <row r="15209" spans="1:7" x14ac:dyDescent="0.25">
      <c r="A15209" s="116" t="s">
        <v>23652</v>
      </c>
      <c r="B15209" s="117" t="s">
        <v>23653</v>
      </c>
      <c r="C15209" t="s">
        <v>67</v>
      </c>
      <c r="D15209" t="s">
        <v>67</v>
      </c>
      <c r="E15209" t="s">
        <v>67</v>
      </c>
      <c r="F15209" t="s">
        <v>27987</v>
      </c>
      <c r="G15209" s="117">
        <v>3.56</v>
      </c>
    </row>
    <row r="15210" spans="1:7" x14ac:dyDescent="0.25">
      <c r="A15210" s="116" t="s">
        <v>23654</v>
      </c>
      <c r="B15210" s="117" t="s">
        <v>23655</v>
      </c>
      <c r="C15210" t="s">
        <v>67</v>
      </c>
      <c r="D15210" t="s">
        <v>67</v>
      </c>
      <c r="E15210" t="s">
        <v>67</v>
      </c>
      <c r="F15210" t="s">
        <v>27987</v>
      </c>
      <c r="G15210" s="117">
        <v>3.56</v>
      </c>
    </row>
    <row r="15211" spans="1:7" x14ac:dyDescent="0.25">
      <c r="A15211" s="116" t="s">
        <v>23656</v>
      </c>
      <c r="B15211" s="117" t="s">
        <v>29630</v>
      </c>
      <c r="C15211" t="s">
        <v>67</v>
      </c>
      <c r="D15211" t="s">
        <v>67</v>
      </c>
      <c r="E15211" t="s">
        <v>67</v>
      </c>
      <c r="F15211" t="s">
        <v>27987</v>
      </c>
      <c r="G15211" s="117">
        <v>2.63</v>
      </c>
    </row>
    <row r="15212" spans="1:7" x14ac:dyDescent="0.25">
      <c r="A15212" s="116" t="s">
        <v>23657</v>
      </c>
      <c r="B15212" s="117" t="s">
        <v>23658</v>
      </c>
      <c r="C15212" t="s">
        <v>67</v>
      </c>
      <c r="D15212" t="s">
        <v>67</v>
      </c>
      <c r="E15212" t="s">
        <v>67</v>
      </c>
      <c r="F15212" t="s">
        <v>27987</v>
      </c>
      <c r="G15212" s="117">
        <v>6.58</v>
      </c>
    </row>
    <row r="15213" spans="1:7" x14ac:dyDescent="0.25">
      <c r="A15213" s="116" t="s">
        <v>23659</v>
      </c>
      <c r="B15213" s="117" t="s">
        <v>23598</v>
      </c>
      <c r="C15213" t="s">
        <v>67</v>
      </c>
      <c r="D15213" t="s">
        <v>67</v>
      </c>
      <c r="E15213" t="s">
        <v>67</v>
      </c>
      <c r="F15213" t="s">
        <v>27987</v>
      </c>
      <c r="G15213" s="117">
        <v>1.33</v>
      </c>
    </row>
    <row r="15214" spans="1:7" x14ac:dyDescent="0.25">
      <c r="A15214" s="116" t="s">
        <v>23660</v>
      </c>
      <c r="B15214" s="117" t="s">
        <v>23661</v>
      </c>
      <c r="C15214" t="s">
        <v>67</v>
      </c>
      <c r="D15214" t="s">
        <v>67</v>
      </c>
      <c r="E15214" t="s">
        <v>67</v>
      </c>
      <c r="F15214" t="s">
        <v>27987</v>
      </c>
      <c r="G15214" s="117">
        <v>33.369999999999997</v>
      </c>
    </row>
    <row r="15215" spans="1:7" x14ac:dyDescent="0.25">
      <c r="A15215" s="116" t="s">
        <v>23662</v>
      </c>
      <c r="B15215" s="117" t="s">
        <v>23663</v>
      </c>
      <c r="C15215" t="s">
        <v>67</v>
      </c>
      <c r="D15215" t="s">
        <v>67</v>
      </c>
      <c r="E15215" t="s">
        <v>67</v>
      </c>
      <c r="F15215" t="s">
        <v>27987</v>
      </c>
      <c r="G15215" s="117">
        <v>3.56</v>
      </c>
    </row>
    <row r="15216" spans="1:7" x14ac:dyDescent="0.25">
      <c r="A15216" s="116" t="s">
        <v>23664</v>
      </c>
      <c r="B15216" s="117" t="s">
        <v>23665</v>
      </c>
      <c r="C15216" t="s">
        <v>67</v>
      </c>
      <c r="D15216" t="s">
        <v>67</v>
      </c>
      <c r="E15216" t="s">
        <v>67</v>
      </c>
      <c r="F15216" t="s">
        <v>27987</v>
      </c>
      <c r="G15216" s="117">
        <v>4.3600000000000003</v>
      </c>
    </row>
    <row r="15217" spans="1:7" x14ac:dyDescent="0.25">
      <c r="A15217" s="116" t="s">
        <v>26845</v>
      </c>
      <c r="B15217" s="117" t="s">
        <v>26846</v>
      </c>
      <c r="C15217" t="s">
        <v>67</v>
      </c>
      <c r="D15217" t="s">
        <v>67</v>
      </c>
      <c r="E15217" t="s">
        <v>67</v>
      </c>
      <c r="F15217" t="s">
        <v>27987</v>
      </c>
      <c r="G15217" s="117">
        <v>5</v>
      </c>
    </row>
    <row r="15218" spans="1:7" x14ac:dyDescent="0.25">
      <c r="A15218" s="116" t="s">
        <v>26847</v>
      </c>
      <c r="B15218" s="117" t="s">
        <v>26848</v>
      </c>
      <c r="C15218" t="s">
        <v>67</v>
      </c>
      <c r="D15218" t="s">
        <v>67</v>
      </c>
      <c r="E15218" t="s">
        <v>67</v>
      </c>
      <c r="F15218" t="s">
        <v>27987</v>
      </c>
      <c r="G15218" s="117">
        <v>3.5</v>
      </c>
    </row>
    <row r="15219" spans="1:7" x14ac:dyDescent="0.25">
      <c r="A15219" s="116" t="s">
        <v>26849</v>
      </c>
      <c r="B15219" s="117" t="s">
        <v>26850</v>
      </c>
      <c r="C15219" t="s">
        <v>67</v>
      </c>
      <c r="D15219" t="s">
        <v>67</v>
      </c>
      <c r="E15219" t="s">
        <v>67</v>
      </c>
      <c r="F15219" t="s">
        <v>27987</v>
      </c>
      <c r="G15219" s="117">
        <v>2.27</v>
      </c>
    </row>
    <row r="15220" spans="1:7" x14ac:dyDescent="0.25">
      <c r="A15220" s="116" t="s">
        <v>26851</v>
      </c>
      <c r="B15220" s="117" t="s">
        <v>26852</v>
      </c>
      <c r="C15220" t="s">
        <v>67</v>
      </c>
      <c r="D15220" t="s">
        <v>67</v>
      </c>
      <c r="E15220" t="s">
        <v>67</v>
      </c>
      <c r="F15220" t="s">
        <v>27987</v>
      </c>
      <c r="G15220" s="117">
        <v>3.5</v>
      </c>
    </row>
    <row r="15221" spans="1:7" x14ac:dyDescent="0.25">
      <c r="A15221" s="116" t="s">
        <v>23666</v>
      </c>
      <c r="B15221" s="117" t="s">
        <v>23667</v>
      </c>
      <c r="C15221" t="s">
        <v>67</v>
      </c>
      <c r="D15221" t="s">
        <v>67</v>
      </c>
      <c r="E15221" t="s">
        <v>67</v>
      </c>
      <c r="F15221" t="s">
        <v>27987</v>
      </c>
      <c r="G15221" s="117">
        <v>59.18</v>
      </c>
    </row>
    <row r="15222" spans="1:7" x14ac:dyDescent="0.25">
      <c r="A15222" s="116" t="s">
        <v>23668</v>
      </c>
      <c r="B15222" s="117" t="s">
        <v>23669</v>
      </c>
      <c r="C15222" t="s">
        <v>67</v>
      </c>
      <c r="D15222" t="s">
        <v>67</v>
      </c>
      <c r="E15222" t="s">
        <v>67</v>
      </c>
      <c r="F15222" t="s">
        <v>49</v>
      </c>
      <c r="G15222" s="117">
        <v>1.8</v>
      </c>
    </row>
    <row r="15223" spans="1:7" x14ac:dyDescent="0.25">
      <c r="A15223" s="116" t="s">
        <v>23670</v>
      </c>
      <c r="B15223" s="117" t="s">
        <v>23671</v>
      </c>
      <c r="C15223" t="s">
        <v>67</v>
      </c>
      <c r="D15223" t="s">
        <v>67</v>
      </c>
      <c r="E15223" t="s">
        <v>67</v>
      </c>
      <c r="F15223" t="s">
        <v>27987</v>
      </c>
      <c r="G15223" s="117">
        <v>3.56</v>
      </c>
    </row>
    <row r="15224" spans="1:7" x14ac:dyDescent="0.25">
      <c r="A15224" s="116" t="s">
        <v>23672</v>
      </c>
      <c r="B15224" s="117" t="s">
        <v>23673</v>
      </c>
      <c r="C15224" t="s">
        <v>67</v>
      </c>
      <c r="D15224" t="s">
        <v>67</v>
      </c>
      <c r="E15224" t="s">
        <v>67</v>
      </c>
      <c r="F15224" t="s">
        <v>27987</v>
      </c>
      <c r="G15224" s="117">
        <v>6.14</v>
      </c>
    </row>
    <row r="15225" spans="1:7" x14ac:dyDescent="0.25">
      <c r="A15225" s="116" t="s">
        <v>23674</v>
      </c>
      <c r="B15225" s="117" t="s">
        <v>29631</v>
      </c>
      <c r="C15225" t="s">
        <v>67</v>
      </c>
      <c r="D15225" t="s">
        <v>67</v>
      </c>
      <c r="E15225" t="s">
        <v>67</v>
      </c>
      <c r="F15225" t="s">
        <v>27987</v>
      </c>
      <c r="G15225" s="117">
        <v>14.71</v>
      </c>
    </row>
    <row r="15226" spans="1:7" x14ac:dyDescent="0.25">
      <c r="A15226" s="116" t="s">
        <v>23675</v>
      </c>
      <c r="B15226" s="117" t="s">
        <v>23676</v>
      </c>
      <c r="C15226" t="s">
        <v>67</v>
      </c>
      <c r="D15226" t="s">
        <v>67</v>
      </c>
      <c r="E15226" t="s">
        <v>67</v>
      </c>
      <c r="F15226" t="s">
        <v>27987</v>
      </c>
      <c r="G15226" s="117">
        <v>49.74</v>
      </c>
    </row>
    <row r="15227" spans="1:7" x14ac:dyDescent="0.25">
      <c r="A15227" s="116" t="s">
        <v>23677</v>
      </c>
      <c r="B15227" s="117" t="s">
        <v>23678</v>
      </c>
      <c r="C15227" t="s">
        <v>67</v>
      </c>
      <c r="D15227" t="s">
        <v>67</v>
      </c>
      <c r="E15227" t="s">
        <v>67</v>
      </c>
      <c r="F15227" t="s">
        <v>27987</v>
      </c>
      <c r="G15227" s="117">
        <v>781.36</v>
      </c>
    </row>
    <row r="15228" spans="1:7" x14ac:dyDescent="0.25">
      <c r="A15228" s="116" t="s">
        <v>23679</v>
      </c>
      <c r="B15228" s="117" t="s">
        <v>29632</v>
      </c>
      <c r="C15228" t="s">
        <v>67</v>
      </c>
      <c r="D15228" t="s">
        <v>67</v>
      </c>
      <c r="E15228" t="s">
        <v>67</v>
      </c>
      <c r="F15228" t="s">
        <v>27987</v>
      </c>
      <c r="G15228" s="117">
        <v>32.65</v>
      </c>
    </row>
    <row r="15229" spans="1:7" x14ac:dyDescent="0.25">
      <c r="A15229" s="116" t="s">
        <v>23680</v>
      </c>
      <c r="B15229" s="117" t="s">
        <v>23681</v>
      </c>
      <c r="C15229" t="s">
        <v>67</v>
      </c>
      <c r="D15229" t="s">
        <v>67</v>
      </c>
      <c r="E15229" t="s">
        <v>67</v>
      </c>
      <c r="F15229" t="s">
        <v>27987</v>
      </c>
      <c r="G15229" s="117">
        <v>96.9</v>
      </c>
    </row>
    <row r="15230" spans="1:7" x14ac:dyDescent="0.25">
      <c r="A15230" s="116" t="s">
        <v>23682</v>
      </c>
      <c r="B15230" s="117" t="s">
        <v>23683</v>
      </c>
      <c r="C15230" t="s">
        <v>67</v>
      </c>
      <c r="D15230" t="s">
        <v>67</v>
      </c>
      <c r="E15230" t="s">
        <v>67</v>
      </c>
      <c r="F15230" t="s">
        <v>45</v>
      </c>
      <c r="G15230" s="117">
        <v>96.9</v>
      </c>
    </row>
    <row r="15231" spans="1:7" x14ac:dyDescent="0.25">
      <c r="A15231" s="116" t="s">
        <v>23684</v>
      </c>
      <c r="B15231" s="117" t="s">
        <v>23685</v>
      </c>
      <c r="C15231" t="s">
        <v>67</v>
      </c>
      <c r="D15231" t="s">
        <v>67</v>
      </c>
      <c r="E15231" t="s">
        <v>67</v>
      </c>
      <c r="F15231" t="s">
        <v>27987</v>
      </c>
      <c r="G15231" s="117">
        <v>14.14</v>
      </c>
    </row>
    <row r="15232" spans="1:7" x14ac:dyDescent="0.25">
      <c r="A15232" s="116" t="s">
        <v>23686</v>
      </c>
      <c r="B15232" s="117" t="s">
        <v>23687</v>
      </c>
      <c r="C15232" t="s">
        <v>67</v>
      </c>
      <c r="D15232" t="s">
        <v>67</v>
      </c>
      <c r="E15232" t="s">
        <v>67</v>
      </c>
      <c r="F15232" t="s">
        <v>27987</v>
      </c>
      <c r="G15232" s="117">
        <v>2.58</v>
      </c>
    </row>
    <row r="15233" spans="1:7" x14ac:dyDescent="0.25">
      <c r="A15233" s="116" t="s">
        <v>23688</v>
      </c>
      <c r="B15233" s="117" t="s">
        <v>21344</v>
      </c>
      <c r="C15233" t="s">
        <v>67</v>
      </c>
      <c r="D15233" t="s">
        <v>67</v>
      </c>
      <c r="E15233" t="s">
        <v>67</v>
      </c>
      <c r="F15233" t="s">
        <v>27987</v>
      </c>
      <c r="G15233" s="117">
        <v>2.58</v>
      </c>
    </row>
    <row r="15234" spans="1:7" x14ac:dyDescent="0.25">
      <c r="A15234" s="116" t="s">
        <v>23689</v>
      </c>
      <c r="B15234" s="117" t="s">
        <v>23690</v>
      </c>
      <c r="C15234" t="s">
        <v>67</v>
      </c>
      <c r="D15234" t="s">
        <v>67</v>
      </c>
      <c r="E15234" t="s">
        <v>67</v>
      </c>
      <c r="F15234" t="s">
        <v>45</v>
      </c>
      <c r="G15234" s="117">
        <v>9.35</v>
      </c>
    </row>
    <row r="15235" spans="1:7" x14ac:dyDescent="0.25">
      <c r="A15235" s="116" t="s">
        <v>23691</v>
      </c>
      <c r="B15235" s="117" t="s">
        <v>23692</v>
      </c>
      <c r="C15235" t="s">
        <v>67</v>
      </c>
      <c r="D15235" t="s">
        <v>67</v>
      </c>
      <c r="E15235" t="s">
        <v>67</v>
      </c>
      <c r="F15235" t="s">
        <v>27987</v>
      </c>
      <c r="G15235" s="117">
        <v>15.57</v>
      </c>
    </row>
    <row r="15236" spans="1:7" x14ac:dyDescent="0.25">
      <c r="A15236" s="116" t="s">
        <v>23693</v>
      </c>
      <c r="B15236" s="117" t="s">
        <v>21900</v>
      </c>
      <c r="C15236" t="s">
        <v>67</v>
      </c>
      <c r="D15236" t="s">
        <v>67</v>
      </c>
      <c r="E15236" t="s">
        <v>67</v>
      </c>
      <c r="F15236" t="s">
        <v>27987</v>
      </c>
      <c r="G15236" s="117">
        <v>1.33</v>
      </c>
    </row>
    <row r="15237" spans="1:7" x14ac:dyDescent="0.25">
      <c r="A15237" s="116" t="s">
        <v>23694</v>
      </c>
      <c r="B15237" s="117" t="s">
        <v>9103</v>
      </c>
      <c r="C15237" t="s">
        <v>67</v>
      </c>
      <c r="D15237" t="s">
        <v>67</v>
      </c>
      <c r="E15237" t="s">
        <v>67</v>
      </c>
      <c r="F15237" t="s">
        <v>49</v>
      </c>
      <c r="G15237" s="117">
        <v>3.56</v>
      </c>
    </row>
    <row r="15238" spans="1:7" x14ac:dyDescent="0.25">
      <c r="A15238" s="116" t="s">
        <v>23695</v>
      </c>
      <c r="B15238" s="117" t="s">
        <v>23696</v>
      </c>
      <c r="C15238" t="s">
        <v>67</v>
      </c>
      <c r="D15238" t="s">
        <v>67</v>
      </c>
      <c r="E15238" t="s">
        <v>67</v>
      </c>
      <c r="F15238" t="s">
        <v>27987</v>
      </c>
      <c r="G15238" s="117">
        <v>16.82</v>
      </c>
    </row>
    <row r="15239" spans="1:7" x14ac:dyDescent="0.25">
      <c r="A15239" s="116" t="s">
        <v>23697</v>
      </c>
      <c r="B15239" s="117" t="s">
        <v>23698</v>
      </c>
      <c r="C15239" t="s">
        <v>67</v>
      </c>
      <c r="D15239" t="s">
        <v>67</v>
      </c>
      <c r="E15239" t="s">
        <v>67</v>
      </c>
      <c r="F15239" t="s">
        <v>27987</v>
      </c>
      <c r="G15239" s="117">
        <v>6.14</v>
      </c>
    </row>
    <row r="15240" spans="1:7" x14ac:dyDescent="0.25">
      <c r="A15240" s="116" t="s">
        <v>23699</v>
      </c>
      <c r="B15240" s="117" t="s">
        <v>23700</v>
      </c>
      <c r="C15240" t="s">
        <v>67</v>
      </c>
      <c r="D15240" t="s">
        <v>67</v>
      </c>
      <c r="E15240" t="s">
        <v>67</v>
      </c>
      <c r="F15240" t="s">
        <v>27987</v>
      </c>
      <c r="G15240" s="117">
        <v>0.8</v>
      </c>
    </row>
    <row r="15241" spans="1:7" x14ac:dyDescent="0.25">
      <c r="A15241" s="116" t="s">
        <v>23701</v>
      </c>
      <c r="B15241" s="117" t="s">
        <v>23702</v>
      </c>
      <c r="C15241" t="s">
        <v>67</v>
      </c>
      <c r="D15241" t="s">
        <v>67</v>
      </c>
      <c r="E15241" t="s">
        <v>67</v>
      </c>
      <c r="F15241" t="s">
        <v>27987</v>
      </c>
      <c r="G15241" s="117">
        <v>230.38</v>
      </c>
    </row>
    <row r="15242" spans="1:7" x14ac:dyDescent="0.25">
      <c r="A15242" s="116" t="s">
        <v>23703</v>
      </c>
      <c r="B15242" s="117" t="s">
        <v>23704</v>
      </c>
      <c r="C15242" t="s">
        <v>67</v>
      </c>
      <c r="D15242" t="s">
        <v>67</v>
      </c>
      <c r="E15242" t="s">
        <v>67</v>
      </c>
      <c r="F15242" t="s">
        <v>27987</v>
      </c>
      <c r="G15242" s="117">
        <v>3.12</v>
      </c>
    </row>
    <row r="15243" spans="1:7" x14ac:dyDescent="0.25">
      <c r="A15243" s="116" t="s">
        <v>23705</v>
      </c>
      <c r="B15243" s="117" t="s">
        <v>8236</v>
      </c>
      <c r="C15243" t="s">
        <v>67</v>
      </c>
      <c r="D15243" t="s">
        <v>67</v>
      </c>
      <c r="E15243" t="s">
        <v>67</v>
      </c>
      <c r="F15243" t="s">
        <v>27987</v>
      </c>
      <c r="G15243" s="117">
        <v>2.58</v>
      </c>
    </row>
    <row r="15244" spans="1:7" x14ac:dyDescent="0.25">
      <c r="A15244" s="116" t="s">
        <v>23706</v>
      </c>
      <c r="B15244" s="117" t="s">
        <v>23707</v>
      </c>
      <c r="C15244" t="s">
        <v>67</v>
      </c>
      <c r="D15244" t="s">
        <v>67</v>
      </c>
      <c r="E15244" t="s">
        <v>67</v>
      </c>
      <c r="F15244" t="s">
        <v>27987</v>
      </c>
      <c r="G15244" s="117">
        <v>10.58</v>
      </c>
    </row>
    <row r="15245" spans="1:7" x14ac:dyDescent="0.25">
      <c r="A15245" s="116" t="s">
        <v>23708</v>
      </c>
      <c r="B15245" s="117" t="s">
        <v>23709</v>
      </c>
      <c r="C15245" t="s">
        <v>67</v>
      </c>
      <c r="D15245" t="s">
        <v>67</v>
      </c>
      <c r="E15245" t="s">
        <v>67</v>
      </c>
      <c r="F15245" t="s">
        <v>49</v>
      </c>
      <c r="G15245" s="117">
        <v>3.56</v>
      </c>
    </row>
    <row r="15246" spans="1:7" x14ac:dyDescent="0.25">
      <c r="A15246" s="116" t="s">
        <v>23710</v>
      </c>
      <c r="B15246" s="117" t="s">
        <v>23711</v>
      </c>
      <c r="C15246" t="s">
        <v>67</v>
      </c>
      <c r="D15246" t="s">
        <v>67</v>
      </c>
      <c r="E15246" t="s">
        <v>67</v>
      </c>
      <c r="F15246" t="s">
        <v>45</v>
      </c>
      <c r="G15246" s="117">
        <v>336.26</v>
      </c>
    </row>
    <row r="15247" spans="1:7" x14ac:dyDescent="0.25">
      <c r="A15247" s="116" t="s">
        <v>23712</v>
      </c>
      <c r="B15247" s="117" t="s">
        <v>23713</v>
      </c>
      <c r="C15247" t="s">
        <v>67</v>
      </c>
      <c r="D15247" t="s">
        <v>67</v>
      </c>
      <c r="E15247" t="s">
        <v>67</v>
      </c>
      <c r="F15247" t="s">
        <v>27987</v>
      </c>
      <c r="G15247" s="117">
        <v>76.98</v>
      </c>
    </row>
    <row r="15248" spans="1:7" x14ac:dyDescent="0.25">
      <c r="A15248" s="116" t="s">
        <v>23714</v>
      </c>
      <c r="B15248" s="117" t="s">
        <v>9140</v>
      </c>
      <c r="C15248" t="s">
        <v>67</v>
      </c>
      <c r="D15248" t="s">
        <v>67</v>
      </c>
      <c r="E15248" t="s">
        <v>67</v>
      </c>
      <c r="F15248" t="s">
        <v>27987</v>
      </c>
      <c r="G15248" s="117">
        <v>3.56</v>
      </c>
    </row>
    <row r="15249" spans="1:7" x14ac:dyDescent="0.25">
      <c r="A15249" s="116" t="s">
        <v>23715</v>
      </c>
      <c r="B15249" s="117" t="s">
        <v>8262</v>
      </c>
      <c r="C15249" t="s">
        <v>67</v>
      </c>
      <c r="D15249" t="s">
        <v>67</v>
      </c>
      <c r="E15249" t="s">
        <v>67</v>
      </c>
      <c r="F15249" t="s">
        <v>27987</v>
      </c>
      <c r="G15249" s="117">
        <v>1.33</v>
      </c>
    </row>
    <row r="15250" spans="1:7" x14ac:dyDescent="0.25">
      <c r="A15250" s="116" t="s">
        <v>23716</v>
      </c>
      <c r="B15250" s="117" t="s">
        <v>8256</v>
      </c>
      <c r="C15250" t="s">
        <v>67</v>
      </c>
      <c r="D15250" t="s">
        <v>67</v>
      </c>
      <c r="E15250" t="s">
        <v>67</v>
      </c>
      <c r="F15250" t="s">
        <v>49</v>
      </c>
      <c r="G15250" s="117">
        <v>1.33</v>
      </c>
    </row>
    <row r="15251" spans="1:7" x14ac:dyDescent="0.25">
      <c r="A15251" s="116" t="s">
        <v>23717</v>
      </c>
      <c r="B15251" s="117" t="s">
        <v>9238</v>
      </c>
      <c r="C15251" t="s">
        <v>67</v>
      </c>
      <c r="D15251" t="s">
        <v>67</v>
      </c>
      <c r="E15251" t="s">
        <v>67</v>
      </c>
      <c r="F15251" t="s">
        <v>27987</v>
      </c>
      <c r="G15251" s="117">
        <v>3.48</v>
      </c>
    </row>
    <row r="15252" spans="1:7" x14ac:dyDescent="0.25">
      <c r="A15252" s="116" t="s">
        <v>23718</v>
      </c>
      <c r="B15252" s="117" t="s">
        <v>29633</v>
      </c>
      <c r="C15252" t="s">
        <v>67</v>
      </c>
      <c r="D15252" t="s">
        <v>67</v>
      </c>
      <c r="E15252" t="s">
        <v>67</v>
      </c>
      <c r="F15252" t="s">
        <v>27987</v>
      </c>
      <c r="G15252" s="117">
        <v>155.63</v>
      </c>
    </row>
    <row r="15253" spans="1:7" x14ac:dyDescent="0.25">
      <c r="A15253" s="116" t="s">
        <v>23719</v>
      </c>
      <c r="B15253" s="117" t="s">
        <v>23720</v>
      </c>
      <c r="C15253" t="s">
        <v>67</v>
      </c>
      <c r="D15253" t="s">
        <v>67</v>
      </c>
      <c r="E15253" t="s">
        <v>67</v>
      </c>
      <c r="F15253" t="s">
        <v>27987</v>
      </c>
      <c r="G15253" s="117">
        <v>3.56</v>
      </c>
    </row>
    <row r="15254" spans="1:7" x14ac:dyDescent="0.25">
      <c r="A15254" s="116" t="s">
        <v>23721</v>
      </c>
      <c r="B15254" s="117" t="s">
        <v>8311</v>
      </c>
      <c r="C15254" t="s">
        <v>67</v>
      </c>
      <c r="D15254" t="s">
        <v>67</v>
      </c>
      <c r="E15254" t="s">
        <v>67</v>
      </c>
      <c r="F15254" t="s">
        <v>27987</v>
      </c>
      <c r="G15254" s="117">
        <v>1.33</v>
      </c>
    </row>
    <row r="15255" spans="1:7" x14ac:dyDescent="0.25">
      <c r="A15255" s="116" t="s">
        <v>23722</v>
      </c>
      <c r="B15255" s="117" t="s">
        <v>8233</v>
      </c>
      <c r="C15255" t="s">
        <v>67</v>
      </c>
      <c r="D15255" t="s">
        <v>67</v>
      </c>
      <c r="E15255" t="s">
        <v>67</v>
      </c>
      <c r="F15255" t="s">
        <v>27987</v>
      </c>
      <c r="G15255" s="117">
        <v>3.12</v>
      </c>
    </row>
    <row r="15256" spans="1:7" x14ac:dyDescent="0.25">
      <c r="A15256" s="116" t="s">
        <v>23723</v>
      </c>
      <c r="B15256" s="117" t="s">
        <v>23724</v>
      </c>
      <c r="C15256" t="s">
        <v>67</v>
      </c>
      <c r="D15256" t="s">
        <v>67</v>
      </c>
      <c r="E15256" t="s">
        <v>67</v>
      </c>
      <c r="F15256" t="s">
        <v>27987</v>
      </c>
      <c r="G15256" s="117">
        <v>3.12</v>
      </c>
    </row>
    <row r="15257" spans="1:7" x14ac:dyDescent="0.25">
      <c r="A15257" s="116" t="s">
        <v>23725</v>
      </c>
      <c r="B15257" s="117" t="s">
        <v>23726</v>
      </c>
      <c r="C15257" t="s">
        <v>67</v>
      </c>
      <c r="D15257" t="s">
        <v>67</v>
      </c>
      <c r="E15257" t="s">
        <v>67</v>
      </c>
      <c r="F15257" t="s">
        <v>27987</v>
      </c>
      <c r="G15257" s="117">
        <v>35.5</v>
      </c>
    </row>
    <row r="15258" spans="1:7" x14ac:dyDescent="0.25">
      <c r="A15258" s="116" t="s">
        <v>23727</v>
      </c>
      <c r="B15258" s="117" t="s">
        <v>9155</v>
      </c>
      <c r="C15258" t="s">
        <v>67</v>
      </c>
      <c r="D15258" t="s">
        <v>67</v>
      </c>
      <c r="E15258" t="s">
        <v>67</v>
      </c>
      <c r="F15258" t="s">
        <v>27987</v>
      </c>
      <c r="G15258" s="117">
        <v>3.48</v>
      </c>
    </row>
    <row r="15259" spans="1:7" x14ac:dyDescent="0.25">
      <c r="A15259" s="116" t="s">
        <v>23728</v>
      </c>
      <c r="B15259" s="117" t="s">
        <v>23729</v>
      </c>
      <c r="C15259" t="s">
        <v>67</v>
      </c>
      <c r="D15259" t="s">
        <v>67</v>
      </c>
      <c r="E15259" t="s">
        <v>67</v>
      </c>
      <c r="F15259" t="s">
        <v>49</v>
      </c>
      <c r="G15259" s="117">
        <v>3.56</v>
      </c>
    </row>
    <row r="15260" spans="1:7" x14ac:dyDescent="0.25">
      <c r="A15260" s="116" t="s">
        <v>23730</v>
      </c>
      <c r="B15260" s="117" t="s">
        <v>23731</v>
      </c>
      <c r="C15260" t="s">
        <v>67</v>
      </c>
      <c r="D15260" t="s">
        <v>67</v>
      </c>
      <c r="E15260" t="s">
        <v>67</v>
      </c>
      <c r="F15260" t="s">
        <v>49</v>
      </c>
      <c r="G15260" s="117">
        <v>3.56</v>
      </c>
    </row>
    <row r="15261" spans="1:7" x14ac:dyDescent="0.25">
      <c r="A15261" s="116" t="s">
        <v>23732</v>
      </c>
      <c r="B15261" s="117" t="s">
        <v>23733</v>
      </c>
      <c r="C15261" t="s">
        <v>67</v>
      </c>
      <c r="D15261" t="s">
        <v>67</v>
      </c>
      <c r="E15261" t="s">
        <v>67</v>
      </c>
      <c r="F15261" t="s">
        <v>27987</v>
      </c>
      <c r="G15261" s="117">
        <v>4.3600000000000003</v>
      </c>
    </row>
    <row r="15262" spans="1:7" x14ac:dyDescent="0.25">
      <c r="A15262" s="116" t="s">
        <v>23734</v>
      </c>
      <c r="B15262" s="117" t="s">
        <v>23735</v>
      </c>
      <c r="C15262" t="s">
        <v>67</v>
      </c>
      <c r="D15262" t="s">
        <v>67</v>
      </c>
      <c r="E15262" t="s">
        <v>67</v>
      </c>
      <c r="F15262" t="s">
        <v>27987</v>
      </c>
      <c r="G15262" s="117">
        <v>3.56</v>
      </c>
    </row>
    <row r="15263" spans="1:7" x14ac:dyDescent="0.25">
      <c r="A15263" s="116" t="s">
        <v>23736</v>
      </c>
      <c r="B15263" s="117" t="s">
        <v>23737</v>
      </c>
      <c r="C15263" t="s">
        <v>67</v>
      </c>
      <c r="D15263" t="s">
        <v>67</v>
      </c>
      <c r="E15263" t="s">
        <v>67</v>
      </c>
      <c r="F15263" t="s">
        <v>27987</v>
      </c>
      <c r="G15263" s="117">
        <v>29.81</v>
      </c>
    </row>
    <row r="15264" spans="1:7" x14ac:dyDescent="0.25">
      <c r="A15264" s="116" t="s">
        <v>23738</v>
      </c>
      <c r="B15264" s="117" t="s">
        <v>23739</v>
      </c>
      <c r="C15264" t="s">
        <v>67</v>
      </c>
      <c r="D15264" t="s">
        <v>67</v>
      </c>
      <c r="E15264" t="s">
        <v>67</v>
      </c>
      <c r="F15264" t="s">
        <v>49</v>
      </c>
      <c r="G15264" s="117">
        <v>2.23</v>
      </c>
    </row>
    <row r="15265" spans="1:7" x14ac:dyDescent="0.25">
      <c r="A15265" s="116" t="s">
        <v>23740</v>
      </c>
      <c r="B15265" s="117" t="s">
        <v>23741</v>
      </c>
      <c r="C15265" t="s">
        <v>67</v>
      </c>
      <c r="D15265" t="s">
        <v>67</v>
      </c>
      <c r="E15265" t="s">
        <v>67</v>
      </c>
      <c r="F15265" t="s">
        <v>27987</v>
      </c>
      <c r="G15265" s="117">
        <v>14.68</v>
      </c>
    </row>
    <row r="15266" spans="1:7" x14ac:dyDescent="0.25">
      <c r="A15266" s="116" t="s">
        <v>23742</v>
      </c>
      <c r="B15266" s="117" t="s">
        <v>23743</v>
      </c>
      <c r="C15266" t="s">
        <v>67</v>
      </c>
      <c r="D15266" t="s">
        <v>67</v>
      </c>
      <c r="E15266" t="s">
        <v>67</v>
      </c>
      <c r="F15266" t="s">
        <v>49</v>
      </c>
      <c r="G15266" s="117">
        <v>7.12</v>
      </c>
    </row>
    <row r="15267" spans="1:7" x14ac:dyDescent="0.25">
      <c r="A15267" s="116" t="s">
        <v>23744</v>
      </c>
      <c r="B15267" s="117" t="s">
        <v>23745</v>
      </c>
      <c r="C15267" t="s">
        <v>67</v>
      </c>
      <c r="D15267" t="s">
        <v>67</v>
      </c>
      <c r="E15267" t="s">
        <v>67</v>
      </c>
      <c r="F15267" t="s">
        <v>27987</v>
      </c>
      <c r="G15267" s="117">
        <v>7.92</v>
      </c>
    </row>
    <row r="15268" spans="1:7" x14ac:dyDescent="0.25">
      <c r="A15268" s="116" t="s">
        <v>23746</v>
      </c>
      <c r="B15268" s="117" t="s">
        <v>23747</v>
      </c>
      <c r="C15268" t="s">
        <v>67</v>
      </c>
      <c r="D15268" t="s">
        <v>67</v>
      </c>
      <c r="E15268" t="s">
        <v>67</v>
      </c>
      <c r="F15268" t="s">
        <v>49</v>
      </c>
      <c r="G15268" s="117">
        <v>3.56</v>
      </c>
    </row>
    <row r="15269" spans="1:7" x14ac:dyDescent="0.25">
      <c r="A15269" s="116" t="s">
        <v>23748</v>
      </c>
      <c r="B15269" s="117" t="s">
        <v>8012</v>
      </c>
      <c r="C15269" t="s">
        <v>67</v>
      </c>
      <c r="D15269" t="s">
        <v>67</v>
      </c>
      <c r="E15269" t="s">
        <v>67</v>
      </c>
      <c r="F15269" t="s">
        <v>27987</v>
      </c>
      <c r="G15269" s="117">
        <v>3.48</v>
      </c>
    </row>
    <row r="15270" spans="1:7" x14ac:dyDescent="0.25">
      <c r="A15270" s="116" t="s">
        <v>23749</v>
      </c>
      <c r="B15270" s="117" t="s">
        <v>23750</v>
      </c>
      <c r="C15270" t="s">
        <v>67</v>
      </c>
      <c r="D15270" t="s">
        <v>67</v>
      </c>
      <c r="E15270" t="s">
        <v>67</v>
      </c>
      <c r="F15270" t="s">
        <v>49</v>
      </c>
      <c r="G15270" s="117">
        <v>4.3600000000000003</v>
      </c>
    </row>
    <row r="15271" spans="1:7" x14ac:dyDescent="0.25">
      <c r="A15271" s="116" t="s">
        <v>23751</v>
      </c>
      <c r="B15271" s="117" t="s">
        <v>23752</v>
      </c>
      <c r="C15271" t="s">
        <v>67</v>
      </c>
      <c r="D15271" t="s">
        <v>67</v>
      </c>
      <c r="E15271" t="s">
        <v>67</v>
      </c>
      <c r="F15271" t="s">
        <v>27987</v>
      </c>
      <c r="G15271" s="117">
        <v>104.56</v>
      </c>
    </row>
    <row r="15272" spans="1:7" x14ac:dyDescent="0.25">
      <c r="A15272" s="116" t="s">
        <v>23753</v>
      </c>
      <c r="B15272" s="117" t="s">
        <v>23754</v>
      </c>
      <c r="C15272" t="s">
        <v>67</v>
      </c>
      <c r="D15272" t="s">
        <v>67</v>
      </c>
      <c r="E15272" t="s">
        <v>67</v>
      </c>
      <c r="F15272" t="s">
        <v>27987</v>
      </c>
      <c r="G15272" s="117">
        <v>14.14</v>
      </c>
    </row>
    <row r="15273" spans="1:7" x14ac:dyDescent="0.25">
      <c r="A15273" s="116" t="s">
        <v>23755</v>
      </c>
      <c r="B15273" s="117" t="s">
        <v>23756</v>
      </c>
      <c r="C15273" t="s">
        <v>67</v>
      </c>
      <c r="D15273" t="s">
        <v>67</v>
      </c>
      <c r="E15273" t="s">
        <v>67</v>
      </c>
      <c r="F15273" t="s">
        <v>27987</v>
      </c>
      <c r="G15273" s="117">
        <v>3.56</v>
      </c>
    </row>
    <row r="15274" spans="1:7" x14ac:dyDescent="0.25">
      <c r="A15274" s="116" t="s">
        <v>23757</v>
      </c>
      <c r="B15274" s="117" t="s">
        <v>23758</v>
      </c>
      <c r="C15274" t="s">
        <v>67</v>
      </c>
      <c r="D15274" t="s">
        <v>67</v>
      </c>
      <c r="E15274" t="s">
        <v>67</v>
      </c>
      <c r="F15274" t="s">
        <v>49</v>
      </c>
      <c r="G15274" s="117">
        <v>3.12</v>
      </c>
    </row>
    <row r="15275" spans="1:7" x14ac:dyDescent="0.25">
      <c r="A15275" s="116" t="s">
        <v>23759</v>
      </c>
      <c r="B15275" s="117" t="s">
        <v>23760</v>
      </c>
      <c r="C15275" t="s">
        <v>67</v>
      </c>
      <c r="D15275" t="s">
        <v>67</v>
      </c>
      <c r="E15275" t="s">
        <v>67</v>
      </c>
      <c r="F15275" t="s">
        <v>45</v>
      </c>
      <c r="G15275" s="117">
        <v>1.33</v>
      </c>
    </row>
    <row r="15276" spans="1:7" x14ac:dyDescent="0.25">
      <c r="A15276" s="116" t="s">
        <v>23761</v>
      </c>
      <c r="B15276" s="117" t="s">
        <v>23735</v>
      </c>
      <c r="C15276" t="s">
        <v>67</v>
      </c>
      <c r="D15276" t="s">
        <v>67</v>
      </c>
      <c r="E15276" t="s">
        <v>67</v>
      </c>
      <c r="F15276" t="s">
        <v>27987</v>
      </c>
      <c r="G15276" s="117">
        <v>3.56</v>
      </c>
    </row>
    <row r="15277" spans="1:7" x14ac:dyDescent="0.25">
      <c r="A15277" s="116" t="s">
        <v>23762</v>
      </c>
      <c r="B15277" s="117" t="s">
        <v>23763</v>
      </c>
      <c r="C15277" t="s">
        <v>67</v>
      </c>
      <c r="D15277" t="s">
        <v>67</v>
      </c>
      <c r="E15277" t="s">
        <v>67</v>
      </c>
      <c r="F15277" t="s">
        <v>27987</v>
      </c>
      <c r="G15277" s="117">
        <v>6.14</v>
      </c>
    </row>
    <row r="15278" spans="1:7" x14ac:dyDescent="0.25">
      <c r="A15278" s="116" t="s">
        <v>23764</v>
      </c>
      <c r="B15278" s="117" t="s">
        <v>23765</v>
      </c>
      <c r="C15278" t="s">
        <v>67</v>
      </c>
      <c r="D15278" t="s">
        <v>67</v>
      </c>
      <c r="E15278" t="s">
        <v>67</v>
      </c>
      <c r="F15278" t="s">
        <v>27987</v>
      </c>
      <c r="G15278" s="117">
        <v>6.14</v>
      </c>
    </row>
    <row r="15279" spans="1:7" x14ac:dyDescent="0.25">
      <c r="A15279" s="116" t="s">
        <v>23766</v>
      </c>
      <c r="B15279" s="117" t="s">
        <v>8227</v>
      </c>
      <c r="C15279" t="s">
        <v>67</v>
      </c>
      <c r="D15279" t="s">
        <v>67</v>
      </c>
      <c r="E15279" t="s">
        <v>67</v>
      </c>
      <c r="F15279" t="s">
        <v>49</v>
      </c>
      <c r="G15279" s="117">
        <v>4</v>
      </c>
    </row>
    <row r="15280" spans="1:7" x14ac:dyDescent="0.25">
      <c r="A15280" s="116" t="s">
        <v>23767</v>
      </c>
      <c r="B15280" s="117" t="s">
        <v>23731</v>
      </c>
      <c r="C15280" t="s">
        <v>67</v>
      </c>
      <c r="D15280" t="s">
        <v>67</v>
      </c>
      <c r="E15280" t="s">
        <v>67</v>
      </c>
      <c r="F15280" t="s">
        <v>27987</v>
      </c>
      <c r="G15280" s="117">
        <v>3.56</v>
      </c>
    </row>
    <row r="15281" spans="1:7" x14ac:dyDescent="0.25">
      <c r="A15281" s="116" t="s">
        <v>23768</v>
      </c>
      <c r="B15281" s="117" t="s">
        <v>23769</v>
      </c>
      <c r="C15281" t="s">
        <v>67</v>
      </c>
      <c r="D15281" t="s">
        <v>67</v>
      </c>
      <c r="E15281" t="s">
        <v>67</v>
      </c>
      <c r="F15281" t="s">
        <v>27987</v>
      </c>
      <c r="G15281" s="117">
        <v>13.8</v>
      </c>
    </row>
    <row r="15282" spans="1:7" x14ac:dyDescent="0.25">
      <c r="A15282" s="116" t="s">
        <v>23770</v>
      </c>
      <c r="B15282" s="117" t="s">
        <v>23771</v>
      </c>
      <c r="C15282" t="s">
        <v>67</v>
      </c>
      <c r="D15282" t="s">
        <v>67</v>
      </c>
      <c r="E15282" t="s">
        <v>67</v>
      </c>
      <c r="F15282" t="s">
        <v>27987</v>
      </c>
      <c r="G15282" s="117">
        <v>3.56</v>
      </c>
    </row>
    <row r="15283" spans="1:7" x14ac:dyDescent="0.25">
      <c r="A15283" s="116" t="s">
        <v>23772</v>
      </c>
      <c r="B15283" s="117" t="s">
        <v>23773</v>
      </c>
      <c r="C15283" t="s">
        <v>67</v>
      </c>
      <c r="D15283" t="s">
        <v>67</v>
      </c>
      <c r="E15283" t="s">
        <v>67</v>
      </c>
      <c r="F15283" t="s">
        <v>45</v>
      </c>
      <c r="G15283" s="117">
        <v>20.02</v>
      </c>
    </row>
    <row r="15284" spans="1:7" x14ac:dyDescent="0.25">
      <c r="A15284" s="116" t="s">
        <v>23774</v>
      </c>
      <c r="B15284" s="117" t="s">
        <v>23775</v>
      </c>
      <c r="C15284" t="s">
        <v>67</v>
      </c>
      <c r="D15284" t="s">
        <v>67</v>
      </c>
      <c r="E15284" t="s">
        <v>67</v>
      </c>
      <c r="F15284" t="s">
        <v>45</v>
      </c>
      <c r="G15284" s="117">
        <v>2.58</v>
      </c>
    </row>
    <row r="15285" spans="1:7" x14ac:dyDescent="0.25">
      <c r="A15285" s="116" t="s">
        <v>23776</v>
      </c>
      <c r="B15285" s="117" t="s">
        <v>23777</v>
      </c>
      <c r="C15285" t="s">
        <v>67</v>
      </c>
      <c r="D15285" t="s">
        <v>67</v>
      </c>
      <c r="E15285" t="s">
        <v>67</v>
      </c>
      <c r="F15285" t="s">
        <v>45</v>
      </c>
      <c r="G15285" s="117">
        <v>40.85</v>
      </c>
    </row>
    <row r="15286" spans="1:7" x14ac:dyDescent="0.25">
      <c r="A15286" s="116" t="s">
        <v>23778</v>
      </c>
      <c r="B15286" s="117" t="s">
        <v>23779</v>
      </c>
      <c r="C15286" t="s">
        <v>67</v>
      </c>
      <c r="D15286" t="s">
        <v>67</v>
      </c>
      <c r="E15286" t="s">
        <v>67</v>
      </c>
      <c r="F15286" t="s">
        <v>27987</v>
      </c>
      <c r="G15286" s="117">
        <v>3.48</v>
      </c>
    </row>
    <row r="15287" spans="1:7" x14ac:dyDescent="0.25">
      <c r="A15287" s="116" t="s">
        <v>23780</v>
      </c>
      <c r="B15287" s="117" t="s">
        <v>23781</v>
      </c>
      <c r="C15287" t="s">
        <v>67</v>
      </c>
      <c r="D15287" t="s">
        <v>67</v>
      </c>
      <c r="E15287" t="s">
        <v>67</v>
      </c>
      <c r="F15287" t="s">
        <v>45</v>
      </c>
      <c r="G15287" s="117">
        <v>207.24</v>
      </c>
    </row>
    <row r="15288" spans="1:7" x14ac:dyDescent="0.25">
      <c r="A15288" s="116" t="s">
        <v>23782</v>
      </c>
      <c r="B15288" s="117" t="s">
        <v>29634</v>
      </c>
      <c r="C15288" t="s">
        <v>67</v>
      </c>
      <c r="D15288" t="s">
        <v>67</v>
      </c>
      <c r="E15288" t="s">
        <v>67</v>
      </c>
      <c r="F15288" t="s">
        <v>45</v>
      </c>
      <c r="G15288" s="117">
        <v>3.48</v>
      </c>
    </row>
    <row r="15289" spans="1:7" x14ac:dyDescent="0.25">
      <c r="A15289" s="116" t="s">
        <v>23783</v>
      </c>
      <c r="B15289" s="117" t="s">
        <v>23784</v>
      </c>
      <c r="C15289" t="s">
        <v>67</v>
      </c>
      <c r="D15289" t="s">
        <v>67</v>
      </c>
      <c r="E15289" t="s">
        <v>67</v>
      </c>
      <c r="F15289" t="s">
        <v>49</v>
      </c>
      <c r="G15289" s="117">
        <v>3.48</v>
      </c>
    </row>
    <row r="15290" spans="1:7" x14ac:dyDescent="0.25">
      <c r="A15290" s="116" t="s">
        <v>23785</v>
      </c>
      <c r="B15290" s="117" t="s">
        <v>23786</v>
      </c>
      <c r="C15290" t="s">
        <v>67</v>
      </c>
      <c r="D15290" t="s">
        <v>67</v>
      </c>
      <c r="E15290" t="s">
        <v>67</v>
      </c>
      <c r="F15290" t="s">
        <v>49</v>
      </c>
      <c r="G15290" s="117">
        <v>3.48</v>
      </c>
    </row>
    <row r="15291" spans="1:7" x14ac:dyDescent="0.25">
      <c r="A15291" s="116" t="s">
        <v>23787</v>
      </c>
      <c r="B15291" s="117" t="s">
        <v>23788</v>
      </c>
      <c r="C15291" t="s">
        <v>67</v>
      </c>
      <c r="D15291" t="s">
        <v>67</v>
      </c>
      <c r="E15291" t="s">
        <v>67</v>
      </c>
      <c r="F15291" t="s">
        <v>27987</v>
      </c>
      <c r="G15291" s="117">
        <v>15.04</v>
      </c>
    </row>
    <row r="15292" spans="1:7" x14ac:dyDescent="0.25">
      <c r="A15292" s="116" t="s">
        <v>23789</v>
      </c>
      <c r="B15292" s="117" t="s">
        <v>23790</v>
      </c>
      <c r="C15292" t="s">
        <v>67</v>
      </c>
      <c r="D15292" t="s">
        <v>67</v>
      </c>
      <c r="E15292" t="s">
        <v>67</v>
      </c>
      <c r="F15292" t="s">
        <v>27987</v>
      </c>
      <c r="G15292" s="117">
        <v>271.31</v>
      </c>
    </row>
    <row r="15293" spans="1:7" x14ac:dyDescent="0.25">
      <c r="A15293" s="116" t="s">
        <v>23791</v>
      </c>
      <c r="B15293" s="117" t="s">
        <v>23792</v>
      </c>
      <c r="C15293" t="s">
        <v>67</v>
      </c>
      <c r="D15293" t="s">
        <v>67</v>
      </c>
      <c r="E15293" t="s">
        <v>67</v>
      </c>
      <c r="F15293" t="s">
        <v>27987</v>
      </c>
      <c r="G15293" s="117">
        <v>16.82</v>
      </c>
    </row>
    <row r="15294" spans="1:7" x14ac:dyDescent="0.25">
      <c r="A15294" s="116" t="s">
        <v>23793</v>
      </c>
      <c r="B15294" s="117" t="s">
        <v>23794</v>
      </c>
      <c r="C15294" t="s">
        <v>67</v>
      </c>
      <c r="D15294" t="s">
        <v>67</v>
      </c>
      <c r="E15294" t="s">
        <v>67</v>
      </c>
      <c r="F15294" t="s">
        <v>27987</v>
      </c>
      <c r="G15294" s="117">
        <v>3.12</v>
      </c>
    </row>
    <row r="15295" spans="1:7" x14ac:dyDescent="0.25">
      <c r="A15295" s="116" t="s">
        <v>23795</v>
      </c>
      <c r="B15295" s="117" t="s">
        <v>23796</v>
      </c>
      <c r="C15295" t="s">
        <v>67</v>
      </c>
      <c r="D15295" t="s">
        <v>67</v>
      </c>
      <c r="E15295" t="s">
        <v>67</v>
      </c>
      <c r="F15295" t="s">
        <v>27987</v>
      </c>
      <c r="G15295" s="117">
        <v>241.06</v>
      </c>
    </row>
    <row r="15296" spans="1:7" x14ac:dyDescent="0.25">
      <c r="A15296" s="116" t="s">
        <v>23797</v>
      </c>
      <c r="B15296" s="117" t="s">
        <v>23798</v>
      </c>
      <c r="C15296" t="s">
        <v>67</v>
      </c>
      <c r="D15296" t="s">
        <v>67</v>
      </c>
      <c r="E15296" t="s">
        <v>67</v>
      </c>
      <c r="F15296" t="s">
        <v>45</v>
      </c>
      <c r="G15296" s="117">
        <v>3.48</v>
      </c>
    </row>
    <row r="15297" spans="1:7" x14ac:dyDescent="0.25">
      <c r="A15297" s="116" t="s">
        <v>23799</v>
      </c>
      <c r="B15297" s="117" t="s">
        <v>23800</v>
      </c>
      <c r="C15297" t="s">
        <v>67</v>
      </c>
      <c r="D15297" t="s">
        <v>67</v>
      </c>
      <c r="E15297" t="s">
        <v>67</v>
      </c>
      <c r="F15297" t="s">
        <v>27987</v>
      </c>
      <c r="G15297" s="117">
        <v>27.14</v>
      </c>
    </row>
    <row r="15298" spans="1:7" x14ac:dyDescent="0.25">
      <c r="A15298" s="116" t="s">
        <v>23801</v>
      </c>
      <c r="B15298" s="117" t="s">
        <v>23802</v>
      </c>
      <c r="C15298" t="s">
        <v>67</v>
      </c>
      <c r="D15298" t="s">
        <v>67</v>
      </c>
      <c r="E15298" t="s">
        <v>67</v>
      </c>
      <c r="F15298" t="s">
        <v>27987</v>
      </c>
      <c r="G15298" s="117">
        <v>6.14</v>
      </c>
    </row>
    <row r="15299" spans="1:7" x14ac:dyDescent="0.25">
      <c r="A15299" s="116" t="s">
        <v>23803</v>
      </c>
      <c r="B15299" s="117" t="s">
        <v>23804</v>
      </c>
      <c r="C15299" t="s">
        <v>67</v>
      </c>
      <c r="D15299" t="s">
        <v>67</v>
      </c>
      <c r="E15299" t="s">
        <v>67</v>
      </c>
      <c r="F15299" t="s">
        <v>45</v>
      </c>
      <c r="G15299" s="117">
        <v>10.58</v>
      </c>
    </row>
    <row r="15300" spans="1:7" x14ac:dyDescent="0.25">
      <c r="A15300" s="116" t="s">
        <v>23805</v>
      </c>
      <c r="B15300" s="117" t="s">
        <v>21618</v>
      </c>
      <c r="C15300" t="s">
        <v>67</v>
      </c>
      <c r="D15300" t="s">
        <v>67</v>
      </c>
      <c r="E15300" t="s">
        <v>67</v>
      </c>
      <c r="F15300" t="s">
        <v>49</v>
      </c>
      <c r="G15300" s="117">
        <v>3.56</v>
      </c>
    </row>
    <row r="15301" spans="1:7" x14ac:dyDescent="0.25">
      <c r="A15301" s="116" t="s">
        <v>23806</v>
      </c>
      <c r="B15301" s="117" t="s">
        <v>23807</v>
      </c>
      <c r="C15301" t="s">
        <v>67</v>
      </c>
      <c r="D15301" t="s">
        <v>67</v>
      </c>
      <c r="E15301" t="s">
        <v>67</v>
      </c>
      <c r="F15301" t="s">
        <v>27990</v>
      </c>
      <c r="G15301" s="117">
        <v>3.56</v>
      </c>
    </row>
    <row r="15302" spans="1:7" x14ac:dyDescent="0.25">
      <c r="A15302" s="116" t="s">
        <v>23808</v>
      </c>
      <c r="B15302" s="117" t="s">
        <v>23809</v>
      </c>
      <c r="C15302" t="s">
        <v>67</v>
      </c>
      <c r="D15302" t="s">
        <v>67</v>
      </c>
      <c r="E15302" t="s">
        <v>67</v>
      </c>
      <c r="F15302" t="s">
        <v>27987</v>
      </c>
      <c r="G15302" s="117">
        <v>6.69</v>
      </c>
    </row>
    <row r="15303" spans="1:7" x14ac:dyDescent="0.25">
      <c r="A15303" s="116" t="s">
        <v>23810</v>
      </c>
      <c r="B15303" s="117" t="s">
        <v>23811</v>
      </c>
      <c r="C15303" t="s">
        <v>67</v>
      </c>
      <c r="D15303" t="s">
        <v>67</v>
      </c>
      <c r="E15303" t="s">
        <v>67</v>
      </c>
      <c r="F15303" t="s">
        <v>27990</v>
      </c>
      <c r="G15303" s="117">
        <v>13.8</v>
      </c>
    </row>
    <row r="15304" spans="1:7" x14ac:dyDescent="0.25">
      <c r="A15304" s="116" t="s">
        <v>23812</v>
      </c>
      <c r="B15304" s="117" t="s">
        <v>23813</v>
      </c>
      <c r="C15304" t="s">
        <v>67</v>
      </c>
      <c r="D15304" t="s">
        <v>67</v>
      </c>
      <c r="E15304" t="s">
        <v>67</v>
      </c>
      <c r="F15304" t="s">
        <v>27987</v>
      </c>
      <c r="G15304" s="117">
        <v>3.48</v>
      </c>
    </row>
    <row r="15305" spans="1:7" x14ac:dyDescent="0.25">
      <c r="A15305" s="116" t="s">
        <v>23814</v>
      </c>
      <c r="B15305" s="117" t="s">
        <v>23815</v>
      </c>
      <c r="C15305" t="s">
        <v>67</v>
      </c>
      <c r="D15305" t="s">
        <v>67</v>
      </c>
      <c r="E15305" t="s">
        <v>67</v>
      </c>
      <c r="F15305" t="s">
        <v>27987</v>
      </c>
      <c r="G15305" s="117">
        <v>7.12</v>
      </c>
    </row>
    <row r="15306" spans="1:7" x14ac:dyDescent="0.25">
      <c r="A15306" s="116" t="s">
        <v>23816</v>
      </c>
      <c r="B15306" s="117" t="s">
        <v>23817</v>
      </c>
      <c r="C15306" t="s">
        <v>67</v>
      </c>
      <c r="D15306" t="s">
        <v>67</v>
      </c>
      <c r="E15306" t="s">
        <v>67</v>
      </c>
      <c r="F15306" t="s">
        <v>27987</v>
      </c>
      <c r="G15306" s="117">
        <v>15.57</v>
      </c>
    </row>
    <row r="15307" spans="1:7" x14ac:dyDescent="0.25">
      <c r="A15307" s="116" t="s">
        <v>23818</v>
      </c>
      <c r="B15307" s="117" t="s">
        <v>23819</v>
      </c>
      <c r="C15307" t="s">
        <v>67</v>
      </c>
      <c r="D15307" t="s">
        <v>67</v>
      </c>
      <c r="E15307" t="s">
        <v>67</v>
      </c>
      <c r="F15307" t="s">
        <v>45</v>
      </c>
      <c r="G15307" s="117">
        <v>26.25</v>
      </c>
    </row>
    <row r="15308" spans="1:7" x14ac:dyDescent="0.25">
      <c r="A15308" s="116" t="s">
        <v>23820</v>
      </c>
      <c r="B15308" s="117" t="s">
        <v>23821</v>
      </c>
      <c r="C15308" t="s">
        <v>67</v>
      </c>
      <c r="D15308" t="s">
        <v>67</v>
      </c>
      <c r="E15308" t="s">
        <v>67</v>
      </c>
      <c r="F15308" t="s">
        <v>27987</v>
      </c>
      <c r="G15308" s="117">
        <v>71.099999999999994</v>
      </c>
    </row>
    <row r="15309" spans="1:7" x14ac:dyDescent="0.25">
      <c r="A15309" s="116" t="s">
        <v>23822</v>
      </c>
      <c r="B15309" s="117" t="s">
        <v>23823</v>
      </c>
      <c r="C15309" t="s">
        <v>67</v>
      </c>
      <c r="D15309" t="s">
        <v>67</v>
      </c>
      <c r="E15309" t="s">
        <v>67</v>
      </c>
      <c r="F15309" t="s">
        <v>27987</v>
      </c>
      <c r="G15309" s="117">
        <v>7.56</v>
      </c>
    </row>
    <row r="15310" spans="1:7" x14ac:dyDescent="0.25">
      <c r="A15310" s="116" t="s">
        <v>23824</v>
      </c>
      <c r="B15310" s="117" t="s">
        <v>23825</v>
      </c>
      <c r="C15310" t="s">
        <v>67</v>
      </c>
      <c r="D15310" t="s">
        <v>67</v>
      </c>
      <c r="E15310" t="s">
        <v>67</v>
      </c>
      <c r="F15310" t="s">
        <v>45</v>
      </c>
      <c r="G15310" s="117">
        <v>141.04</v>
      </c>
    </row>
    <row r="15311" spans="1:7" x14ac:dyDescent="0.25">
      <c r="A15311" s="116" t="s">
        <v>23826</v>
      </c>
      <c r="B15311" s="117" t="s">
        <v>23827</v>
      </c>
      <c r="C15311" t="s">
        <v>67</v>
      </c>
      <c r="D15311" t="s">
        <v>67</v>
      </c>
      <c r="E15311" t="s">
        <v>67</v>
      </c>
      <c r="F15311" t="s">
        <v>27987</v>
      </c>
      <c r="G15311" s="117">
        <v>17.7</v>
      </c>
    </row>
    <row r="15312" spans="1:7" x14ac:dyDescent="0.25">
      <c r="A15312" s="116" t="s">
        <v>23828</v>
      </c>
      <c r="B15312" s="117" t="s">
        <v>23829</v>
      </c>
      <c r="C15312" t="s">
        <v>67</v>
      </c>
      <c r="D15312" t="s">
        <v>67</v>
      </c>
      <c r="E15312" t="s">
        <v>67</v>
      </c>
      <c r="F15312" t="s">
        <v>27987</v>
      </c>
      <c r="G15312" s="117">
        <v>330.04</v>
      </c>
    </row>
    <row r="15313" spans="1:7" x14ac:dyDescent="0.25">
      <c r="A15313" s="116" t="s">
        <v>23830</v>
      </c>
      <c r="B15313" s="117" t="s">
        <v>23831</v>
      </c>
      <c r="C15313" t="s">
        <v>67</v>
      </c>
      <c r="D15313" t="s">
        <v>67</v>
      </c>
      <c r="E15313" t="s">
        <v>67</v>
      </c>
      <c r="F15313" t="s">
        <v>45</v>
      </c>
      <c r="G15313" s="117">
        <v>127.95</v>
      </c>
    </row>
    <row r="15314" spans="1:7" x14ac:dyDescent="0.25">
      <c r="A15314" s="116" t="s">
        <v>23832</v>
      </c>
      <c r="B15314" s="117" t="s">
        <v>21798</v>
      </c>
      <c r="C15314" t="s">
        <v>67</v>
      </c>
      <c r="D15314" t="s">
        <v>67</v>
      </c>
      <c r="E15314" t="s">
        <v>67</v>
      </c>
      <c r="F15314" t="s">
        <v>49</v>
      </c>
      <c r="G15314" s="117">
        <v>1.69</v>
      </c>
    </row>
    <row r="15315" spans="1:7" x14ac:dyDescent="0.25">
      <c r="A15315" s="116" t="s">
        <v>23833</v>
      </c>
      <c r="B15315" s="117" t="s">
        <v>8256</v>
      </c>
      <c r="C15315" t="s">
        <v>67</v>
      </c>
      <c r="D15315" t="s">
        <v>67</v>
      </c>
      <c r="E15315" t="s">
        <v>67</v>
      </c>
      <c r="F15315" t="s">
        <v>49</v>
      </c>
      <c r="G15315" s="117">
        <v>0.8</v>
      </c>
    </row>
    <row r="15316" spans="1:7" x14ac:dyDescent="0.25">
      <c r="A15316" s="116" t="s">
        <v>23834</v>
      </c>
      <c r="B15316" s="117" t="s">
        <v>23835</v>
      </c>
      <c r="C15316" t="s">
        <v>67</v>
      </c>
      <c r="D15316" t="s">
        <v>67</v>
      </c>
      <c r="E15316" t="s">
        <v>67</v>
      </c>
      <c r="F15316" t="s">
        <v>27987</v>
      </c>
      <c r="G15316" s="117">
        <v>2.58</v>
      </c>
    </row>
    <row r="15317" spans="1:7" x14ac:dyDescent="0.25">
      <c r="A15317" s="116" t="s">
        <v>23836</v>
      </c>
      <c r="B15317" s="117" t="s">
        <v>8236</v>
      </c>
      <c r="C15317" t="s">
        <v>67</v>
      </c>
      <c r="D15317" t="s">
        <v>67</v>
      </c>
      <c r="E15317" t="s">
        <v>67</v>
      </c>
      <c r="F15317" t="s">
        <v>27987</v>
      </c>
      <c r="G15317" s="117">
        <v>0.8</v>
      </c>
    </row>
    <row r="15318" spans="1:7" x14ac:dyDescent="0.25">
      <c r="A15318" s="116" t="s">
        <v>23837</v>
      </c>
      <c r="B15318" s="117" t="s">
        <v>13797</v>
      </c>
      <c r="C15318" t="s">
        <v>67</v>
      </c>
      <c r="D15318" t="s">
        <v>67</v>
      </c>
      <c r="E15318" t="s">
        <v>67</v>
      </c>
      <c r="F15318" t="s">
        <v>45</v>
      </c>
      <c r="G15318" s="117">
        <v>3.48</v>
      </c>
    </row>
    <row r="15319" spans="1:7" x14ac:dyDescent="0.25">
      <c r="A15319" s="116" t="s">
        <v>23838</v>
      </c>
      <c r="B15319" s="117" t="s">
        <v>23839</v>
      </c>
      <c r="C15319" t="s">
        <v>67</v>
      </c>
      <c r="D15319" t="s">
        <v>67</v>
      </c>
      <c r="E15319" t="s">
        <v>67</v>
      </c>
      <c r="F15319" t="s">
        <v>27987</v>
      </c>
      <c r="G15319" s="117">
        <v>1.69</v>
      </c>
    </row>
    <row r="15320" spans="1:7" x14ac:dyDescent="0.25">
      <c r="A15320" s="116" t="s">
        <v>23840</v>
      </c>
      <c r="B15320" s="117" t="s">
        <v>23841</v>
      </c>
      <c r="C15320" t="s">
        <v>67</v>
      </c>
      <c r="D15320" t="s">
        <v>67</v>
      </c>
      <c r="E15320" t="s">
        <v>67</v>
      </c>
      <c r="F15320" t="s">
        <v>45</v>
      </c>
      <c r="G15320" s="117">
        <v>0.8</v>
      </c>
    </row>
    <row r="15321" spans="1:7" x14ac:dyDescent="0.25">
      <c r="A15321" s="116" t="s">
        <v>23842</v>
      </c>
      <c r="B15321" s="117" t="s">
        <v>8339</v>
      </c>
      <c r="C15321" t="s">
        <v>67</v>
      </c>
      <c r="D15321" t="s">
        <v>67</v>
      </c>
      <c r="E15321" t="s">
        <v>67</v>
      </c>
      <c r="F15321" t="s">
        <v>49</v>
      </c>
      <c r="G15321" s="117">
        <v>0.8</v>
      </c>
    </row>
    <row r="15322" spans="1:7" x14ac:dyDescent="0.25">
      <c r="A15322" s="116" t="s">
        <v>23843</v>
      </c>
      <c r="B15322" s="117" t="s">
        <v>23844</v>
      </c>
      <c r="C15322" t="s">
        <v>67</v>
      </c>
      <c r="D15322" t="s">
        <v>67</v>
      </c>
      <c r="E15322" t="s">
        <v>67</v>
      </c>
      <c r="F15322" t="s">
        <v>27987</v>
      </c>
      <c r="G15322" s="117">
        <v>3.56</v>
      </c>
    </row>
    <row r="15323" spans="1:7" x14ac:dyDescent="0.25">
      <c r="A15323" s="116" t="s">
        <v>23845</v>
      </c>
      <c r="B15323" s="117" t="s">
        <v>23846</v>
      </c>
      <c r="C15323" t="s">
        <v>67</v>
      </c>
      <c r="D15323" t="s">
        <v>67</v>
      </c>
      <c r="E15323" t="s">
        <v>67</v>
      </c>
      <c r="F15323" t="s">
        <v>27987</v>
      </c>
      <c r="G15323" s="117">
        <v>6.14</v>
      </c>
    </row>
    <row r="15324" spans="1:7" x14ac:dyDescent="0.25">
      <c r="A15324" s="116" t="s">
        <v>23847</v>
      </c>
      <c r="B15324" s="117" t="s">
        <v>23848</v>
      </c>
      <c r="C15324" t="s">
        <v>67</v>
      </c>
      <c r="D15324" t="s">
        <v>67</v>
      </c>
      <c r="E15324" t="s">
        <v>67</v>
      </c>
      <c r="F15324" t="s">
        <v>49</v>
      </c>
      <c r="G15324" s="117">
        <v>1.69</v>
      </c>
    </row>
    <row r="15325" spans="1:7" x14ac:dyDescent="0.25">
      <c r="A15325" s="116" t="s">
        <v>23849</v>
      </c>
      <c r="B15325" s="117" t="s">
        <v>29635</v>
      </c>
      <c r="C15325" t="s">
        <v>67</v>
      </c>
      <c r="D15325" t="s">
        <v>67</v>
      </c>
      <c r="E15325" t="s">
        <v>67</v>
      </c>
      <c r="F15325" t="s">
        <v>27987</v>
      </c>
      <c r="G15325" s="117">
        <v>6.14</v>
      </c>
    </row>
    <row r="15326" spans="1:7" x14ac:dyDescent="0.25">
      <c r="A15326" s="116" t="s">
        <v>23850</v>
      </c>
      <c r="B15326" s="117" t="s">
        <v>23851</v>
      </c>
      <c r="C15326" t="s">
        <v>67</v>
      </c>
      <c r="D15326" t="s">
        <v>67</v>
      </c>
      <c r="E15326" t="s">
        <v>67</v>
      </c>
      <c r="F15326" t="s">
        <v>27987</v>
      </c>
      <c r="G15326" s="117">
        <v>4.8899999999999997</v>
      </c>
    </row>
    <row r="15327" spans="1:7" x14ac:dyDescent="0.25">
      <c r="A15327" s="116" t="s">
        <v>23852</v>
      </c>
      <c r="B15327" s="117" t="s">
        <v>23853</v>
      </c>
      <c r="C15327" t="s">
        <v>67</v>
      </c>
      <c r="D15327" t="s">
        <v>67</v>
      </c>
      <c r="E15327" t="s">
        <v>67</v>
      </c>
      <c r="F15327" t="s">
        <v>27987</v>
      </c>
      <c r="G15327" s="117">
        <v>3.56</v>
      </c>
    </row>
    <row r="15328" spans="1:7" x14ac:dyDescent="0.25">
      <c r="A15328" s="116" t="s">
        <v>23854</v>
      </c>
      <c r="B15328" s="117" t="s">
        <v>23855</v>
      </c>
      <c r="C15328" t="s">
        <v>67</v>
      </c>
      <c r="D15328" t="s">
        <v>67</v>
      </c>
      <c r="E15328" t="s">
        <v>67</v>
      </c>
      <c r="F15328" t="s">
        <v>27987</v>
      </c>
      <c r="G15328" s="117">
        <v>4</v>
      </c>
    </row>
    <row r="15329" spans="1:7" x14ac:dyDescent="0.25">
      <c r="A15329" s="116" t="s">
        <v>23856</v>
      </c>
      <c r="B15329" s="117" t="s">
        <v>23857</v>
      </c>
      <c r="C15329" t="s">
        <v>67</v>
      </c>
      <c r="D15329" t="s">
        <v>67</v>
      </c>
      <c r="E15329" t="s">
        <v>67</v>
      </c>
      <c r="F15329" t="s">
        <v>27987</v>
      </c>
      <c r="G15329" s="117">
        <v>6.14</v>
      </c>
    </row>
    <row r="15330" spans="1:7" x14ac:dyDescent="0.25">
      <c r="A15330" s="116" t="s">
        <v>23858</v>
      </c>
      <c r="B15330" s="117" t="s">
        <v>23859</v>
      </c>
      <c r="C15330" t="s">
        <v>67</v>
      </c>
      <c r="D15330" t="s">
        <v>67</v>
      </c>
      <c r="E15330" t="s">
        <v>67</v>
      </c>
      <c r="F15330" t="s">
        <v>27987</v>
      </c>
      <c r="G15330" s="117">
        <v>6.68</v>
      </c>
    </row>
    <row r="15331" spans="1:7" x14ac:dyDescent="0.25">
      <c r="A15331" s="116" t="s">
        <v>23860</v>
      </c>
      <c r="B15331" s="117" t="s">
        <v>23861</v>
      </c>
      <c r="C15331" t="s">
        <v>67</v>
      </c>
      <c r="D15331" t="s">
        <v>67</v>
      </c>
      <c r="E15331" t="s">
        <v>67</v>
      </c>
      <c r="F15331" t="s">
        <v>27987</v>
      </c>
      <c r="G15331" s="117">
        <v>3.48</v>
      </c>
    </row>
    <row r="15332" spans="1:7" x14ac:dyDescent="0.25">
      <c r="A15332" s="116" t="s">
        <v>23862</v>
      </c>
      <c r="B15332" s="117" t="s">
        <v>23863</v>
      </c>
      <c r="C15332" t="s">
        <v>67</v>
      </c>
      <c r="D15332" t="s">
        <v>67</v>
      </c>
      <c r="E15332" t="s">
        <v>67</v>
      </c>
      <c r="F15332" t="s">
        <v>27987</v>
      </c>
      <c r="G15332" s="117">
        <v>10.24</v>
      </c>
    </row>
    <row r="15333" spans="1:7" x14ac:dyDescent="0.25">
      <c r="A15333" s="116" t="s">
        <v>23864</v>
      </c>
      <c r="B15333" s="117" t="s">
        <v>23865</v>
      </c>
      <c r="C15333" t="s">
        <v>67</v>
      </c>
      <c r="D15333" t="s">
        <v>67</v>
      </c>
      <c r="E15333" t="s">
        <v>67</v>
      </c>
      <c r="F15333" t="s">
        <v>27990</v>
      </c>
      <c r="G15333" s="117">
        <v>6.68</v>
      </c>
    </row>
    <row r="15334" spans="1:7" x14ac:dyDescent="0.25">
      <c r="A15334" s="116" t="s">
        <v>23866</v>
      </c>
      <c r="B15334" s="117" t="s">
        <v>23867</v>
      </c>
      <c r="C15334" t="s">
        <v>67</v>
      </c>
      <c r="D15334" t="s">
        <v>67</v>
      </c>
      <c r="E15334" t="s">
        <v>67</v>
      </c>
      <c r="F15334" t="s">
        <v>45</v>
      </c>
      <c r="G15334" s="117">
        <v>4</v>
      </c>
    </row>
    <row r="15335" spans="1:7" x14ac:dyDescent="0.25">
      <c r="A15335" s="116" t="s">
        <v>23868</v>
      </c>
      <c r="B15335" s="117" t="s">
        <v>23869</v>
      </c>
      <c r="C15335" t="s">
        <v>67</v>
      </c>
      <c r="D15335" t="s">
        <v>67</v>
      </c>
      <c r="E15335" t="s">
        <v>67</v>
      </c>
      <c r="F15335" t="s">
        <v>27987</v>
      </c>
      <c r="G15335" s="117">
        <v>1.69</v>
      </c>
    </row>
    <row r="15336" spans="1:7" x14ac:dyDescent="0.25">
      <c r="A15336" s="116" t="s">
        <v>23870</v>
      </c>
      <c r="B15336" s="117" t="s">
        <v>8010</v>
      </c>
      <c r="C15336" t="s">
        <v>67</v>
      </c>
      <c r="D15336" t="s">
        <v>67</v>
      </c>
      <c r="E15336" t="s">
        <v>67</v>
      </c>
      <c r="F15336" t="s">
        <v>49</v>
      </c>
      <c r="G15336" s="117">
        <v>1.33</v>
      </c>
    </row>
    <row r="15337" spans="1:7" x14ac:dyDescent="0.25">
      <c r="A15337" s="116" t="s">
        <v>23871</v>
      </c>
      <c r="B15337" s="117" t="s">
        <v>23872</v>
      </c>
      <c r="C15337" t="s">
        <v>67</v>
      </c>
      <c r="D15337" t="s">
        <v>67</v>
      </c>
      <c r="E15337" t="s">
        <v>67</v>
      </c>
      <c r="F15337" t="s">
        <v>27987</v>
      </c>
      <c r="G15337" s="117">
        <v>3.12</v>
      </c>
    </row>
    <row r="15338" spans="1:7" x14ac:dyDescent="0.25">
      <c r="A15338" s="116" t="s">
        <v>23873</v>
      </c>
      <c r="B15338" s="117" t="s">
        <v>23874</v>
      </c>
      <c r="C15338" t="s">
        <v>67</v>
      </c>
      <c r="D15338" t="s">
        <v>67</v>
      </c>
      <c r="E15338" t="s">
        <v>67</v>
      </c>
      <c r="F15338" t="s">
        <v>49</v>
      </c>
      <c r="G15338" s="117">
        <v>1.69</v>
      </c>
    </row>
    <row r="15339" spans="1:7" x14ac:dyDescent="0.25">
      <c r="A15339" s="116" t="s">
        <v>23875</v>
      </c>
      <c r="B15339" s="117" t="s">
        <v>23876</v>
      </c>
      <c r="C15339" t="s">
        <v>67</v>
      </c>
      <c r="D15339" t="s">
        <v>67</v>
      </c>
      <c r="E15339" t="s">
        <v>67</v>
      </c>
      <c r="F15339" t="s">
        <v>27987</v>
      </c>
      <c r="G15339" s="117">
        <v>3.56</v>
      </c>
    </row>
    <row r="15340" spans="1:7" x14ac:dyDescent="0.25">
      <c r="A15340" s="116" t="s">
        <v>23877</v>
      </c>
      <c r="B15340" s="117" t="s">
        <v>23878</v>
      </c>
      <c r="C15340" t="s">
        <v>67</v>
      </c>
      <c r="D15340" t="s">
        <v>67</v>
      </c>
      <c r="E15340" t="s">
        <v>67</v>
      </c>
      <c r="F15340" t="s">
        <v>45</v>
      </c>
      <c r="G15340" s="117">
        <v>1.69</v>
      </c>
    </row>
    <row r="15341" spans="1:7" x14ac:dyDescent="0.25">
      <c r="A15341" s="116" t="s">
        <v>23879</v>
      </c>
      <c r="B15341" s="117" t="s">
        <v>23880</v>
      </c>
      <c r="C15341" t="s">
        <v>67</v>
      </c>
      <c r="D15341" t="s">
        <v>67</v>
      </c>
      <c r="E15341" t="s">
        <v>67</v>
      </c>
      <c r="F15341" t="s">
        <v>45</v>
      </c>
      <c r="G15341" s="117">
        <v>6.68</v>
      </c>
    </row>
    <row r="15342" spans="1:7" x14ac:dyDescent="0.25">
      <c r="A15342" s="116" t="s">
        <v>23881</v>
      </c>
      <c r="B15342" s="117" t="s">
        <v>23882</v>
      </c>
      <c r="C15342" t="s">
        <v>67</v>
      </c>
      <c r="D15342" t="s">
        <v>67</v>
      </c>
      <c r="E15342" t="s">
        <v>67</v>
      </c>
      <c r="F15342" t="s">
        <v>27987</v>
      </c>
      <c r="G15342" s="117">
        <v>1.69</v>
      </c>
    </row>
    <row r="15343" spans="1:7" x14ac:dyDescent="0.25">
      <c r="A15343" s="116" t="s">
        <v>23883</v>
      </c>
      <c r="B15343" s="117" t="s">
        <v>8233</v>
      </c>
      <c r="C15343" t="s">
        <v>67</v>
      </c>
      <c r="D15343" t="s">
        <v>67</v>
      </c>
      <c r="E15343" t="s">
        <v>67</v>
      </c>
      <c r="F15343" t="s">
        <v>27987</v>
      </c>
      <c r="G15343" s="117">
        <v>0.8</v>
      </c>
    </row>
    <row r="15344" spans="1:7" x14ac:dyDescent="0.25">
      <c r="A15344" s="116" t="s">
        <v>23884</v>
      </c>
      <c r="B15344" s="117" t="s">
        <v>23885</v>
      </c>
      <c r="C15344" t="s">
        <v>67</v>
      </c>
      <c r="D15344" t="s">
        <v>67</v>
      </c>
      <c r="E15344" t="s">
        <v>67</v>
      </c>
      <c r="F15344" t="s">
        <v>27987</v>
      </c>
      <c r="G15344" s="117">
        <v>13.26</v>
      </c>
    </row>
    <row r="15345" spans="1:7" x14ac:dyDescent="0.25">
      <c r="A15345" s="116" t="s">
        <v>23886</v>
      </c>
      <c r="B15345" s="117" t="s">
        <v>23887</v>
      </c>
      <c r="C15345" t="s">
        <v>67</v>
      </c>
      <c r="D15345" t="s">
        <v>67</v>
      </c>
      <c r="E15345" t="s">
        <v>67</v>
      </c>
      <c r="F15345" t="s">
        <v>27987</v>
      </c>
      <c r="G15345" s="117">
        <v>10.58</v>
      </c>
    </row>
    <row r="15346" spans="1:7" x14ac:dyDescent="0.25">
      <c r="A15346" s="116" t="s">
        <v>23888</v>
      </c>
      <c r="B15346" s="117" t="s">
        <v>23851</v>
      </c>
      <c r="C15346" t="s">
        <v>67</v>
      </c>
      <c r="D15346" t="s">
        <v>67</v>
      </c>
      <c r="E15346" t="s">
        <v>67</v>
      </c>
      <c r="F15346" t="s">
        <v>27987</v>
      </c>
      <c r="G15346" s="117">
        <v>4</v>
      </c>
    </row>
    <row r="15347" spans="1:7" x14ac:dyDescent="0.25">
      <c r="A15347" s="116" t="s">
        <v>23889</v>
      </c>
      <c r="B15347" s="117" t="s">
        <v>23890</v>
      </c>
      <c r="C15347" t="s">
        <v>67</v>
      </c>
      <c r="D15347" t="s">
        <v>67</v>
      </c>
      <c r="E15347" t="s">
        <v>67</v>
      </c>
      <c r="F15347" t="s">
        <v>27987</v>
      </c>
      <c r="G15347" s="117">
        <v>3.56</v>
      </c>
    </row>
    <row r="15348" spans="1:7" x14ac:dyDescent="0.25">
      <c r="A15348" s="116" t="s">
        <v>23891</v>
      </c>
      <c r="B15348" s="117" t="s">
        <v>23892</v>
      </c>
      <c r="C15348" t="s">
        <v>67</v>
      </c>
      <c r="D15348" t="s">
        <v>67</v>
      </c>
      <c r="E15348" t="s">
        <v>67</v>
      </c>
      <c r="F15348" t="s">
        <v>27987</v>
      </c>
      <c r="G15348" s="117">
        <v>3.12</v>
      </c>
    </row>
    <row r="15349" spans="1:7" x14ac:dyDescent="0.25">
      <c r="A15349" s="116" t="s">
        <v>23893</v>
      </c>
      <c r="B15349" s="117" t="s">
        <v>23894</v>
      </c>
      <c r="C15349" t="s">
        <v>67</v>
      </c>
      <c r="D15349" t="s">
        <v>67</v>
      </c>
      <c r="E15349" t="s">
        <v>67</v>
      </c>
      <c r="F15349" t="s">
        <v>27987</v>
      </c>
      <c r="G15349" s="117">
        <v>3.48</v>
      </c>
    </row>
    <row r="15350" spans="1:7" x14ac:dyDescent="0.25">
      <c r="A15350" s="116" t="s">
        <v>23895</v>
      </c>
      <c r="B15350" s="117" t="s">
        <v>23896</v>
      </c>
      <c r="C15350" t="s">
        <v>67</v>
      </c>
      <c r="D15350" t="s">
        <v>67</v>
      </c>
      <c r="E15350" t="s">
        <v>67</v>
      </c>
      <c r="F15350" t="s">
        <v>27987</v>
      </c>
      <c r="G15350" s="117">
        <v>24.82</v>
      </c>
    </row>
    <row r="15351" spans="1:7" x14ac:dyDescent="0.25">
      <c r="A15351" s="116" t="s">
        <v>23897</v>
      </c>
      <c r="B15351" s="117" t="s">
        <v>23898</v>
      </c>
      <c r="C15351" t="s">
        <v>67</v>
      </c>
      <c r="D15351" t="s">
        <v>67</v>
      </c>
      <c r="E15351" t="s">
        <v>67</v>
      </c>
      <c r="F15351" t="s">
        <v>27987</v>
      </c>
      <c r="G15351" s="117">
        <v>3.56</v>
      </c>
    </row>
    <row r="15352" spans="1:7" x14ac:dyDescent="0.25">
      <c r="A15352" s="116" t="s">
        <v>23899</v>
      </c>
      <c r="B15352" s="117" t="s">
        <v>23900</v>
      </c>
      <c r="C15352" t="s">
        <v>67</v>
      </c>
      <c r="D15352" t="s">
        <v>67</v>
      </c>
      <c r="E15352" t="s">
        <v>67</v>
      </c>
      <c r="F15352" t="s">
        <v>45</v>
      </c>
      <c r="G15352" s="117">
        <v>3.48</v>
      </c>
    </row>
    <row r="15353" spans="1:7" x14ac:dyDescent="0.25">
      <c r="A15353" s="116" t="s">
        <v>23901</v>
      </c>
      <c r="B15353" s="117" t="s">
        <v>8163</v>
      </c>
      <c r="C15353" t="s">
        <v>67</v>
      </c>
      <c r="D15353" t="s">
        <v>67</v>
      </c>
      <c r="E15353" t="s">
        <v>67</v>
      </c>
      <c r="F15353" t="s">
        <v>27987</v>
      </c>
      <c r="G15353" s="117">
        <v>4</v>
      </c>
    </row>
    <row r="15354" spans="1:7" x14ac:dyDescent="0.25">
      <c r="A15354" s="116" t="s">
        <v>23902</v>
      </c>
      <c r="B15354" s="117" t="s">
        <v>23903</v>
      </c>
      <c r="C15354" t="s">
        <v>67</v>
      </c>
      <c r="D15354" t="s">
        <v>67</v>
      </c>
      <c r="E15354" t="s">
        <v>67</v>
      </c>
      <c r="F15354" t="s">
        <v>27987</v>
      </c>
      <c r="G15354" s="117">
        <v>3.12</v>
      </c>
    </row>
    <row r="15355" spans="1:7" x14ac:dyDescent="0.25">
      <c r="A15355" s="116" t="s">
        <v>23904</v>
      </c>
      <c r="B15355" s="117" t="s">
        <v>23905</v>
      </c>
      <c r="C15355" t="s">
        <v>67</v>
      </c>
      <c r="D15355" t="s">
        <v>67</v>
      </c>
      <c r="E15355" t="s">
        <v>67</v>
      </c>
      <c r="F15355" t="s">
        <v>45</v>
      </c>
      <c r="G15355" s="117">
        <v>141.93</v>
      </c>
    </row>
    <row r="15356" spans="1:7" x14ac:dyDescent="0.25">
      <c r="A15356" s="116" t="s">
        <v>23906</v>
      </c>
      <c r="B15356" s="117" t="s">
        <v>8262</v>
      </c>
      <c r="C15356" t="s">
        <v>67</v>
      </c>
      <c r="D15356" t="s">
        <v>67</v>
      </c>
      <c r="E15356" t="s">
        <v>67</v>
      </c>
      <c r="F15356" t="s">
        <v>49</v>
      </c>
      <c r="G15356" s="117">
        <v>0.8</v>
      </c>
    </row>
    <row r="15357" spans="1:7" x14ac:dyDescent="0.25">
      <c r="A15357" s="116" t="s">
        <v>23907</v>
      </c>
      <c r="B15357" s="117" t="s">
        <v>21900</v>
      </c>
      <c r="C15357" t="s">
        <v>67</v>
      </c>
      <c r="D15357" t="s">
        <v>67</v>
      </c>
      <c r="E15357" t="s">
        <v>67</v>
      </c>
      <c r="F15357" t="s">
        <v>27987</v>
      </c>
      <c r="G15357" s="117">
        <v>1.33</v>
      </c>
    </row>
    <row r="15358" spans="1:7" x14ac:dyDescent="0.25">
      <c r="A15358" s="116" t="s">
        <v>23908</v>
      </c>
      <c r="B15358" s="117" t="s">
        <v>9140</v>
      </c>
      <c r="C15358" t="s">
        <v>67</v>
      </c>
      <c r="D15358" t="s">
        <v>67</v>
      </c>
      <c r="E15358" t="s">
        <v>67</v>
      </c>
      <c r="F15358" t="s">
        <v>27987</v>
      </c>
      <c r="G15358" s="117">
        <v>3.56</v>
      </c>
    </row>
    <row r="15359" spans="1:7" x14ac:dyDescent="0.25">
      <c r="A15359" s="116" t="s">
        <v>23909</v>
      </c>
      <c r="B15359" s="117" t="s">
        <v>23910</v>
      </c>
      <c r="C15359" t="s">
        <v>67</v>
      </c>
      <c r="D15359" t="s">
        <v>67</v>
      </c>
      <c r="E15359" t="s">
        <v>67</v>
      </c>
      <c r="F15359" t="s">
        <v>27987</v>
      </c>
      <c r="G15359" s="117">
        <v>6.14</v>
      </c>
    </row>
    <row r="15360" spans="1:7" x14ac:dyDescent="0.25">
      <c r="A15360" s="116" t="s">
        <v>23911</v>
      </c>
      <c r="B15360" s="117" t="s">
        <v>8006</v>
      </c>
      <c r="C15360" t="s">
        <v>67</v>
      </c>
      <c r="D15360" t="s">
        <v>67</v>
      </c>
      <c r="E15360" t="s">
        <v>67</v>
      </c>
      <c r="F15360" t="s">
        <v>27987</v>
      </c>
      <c r="G15360" s="117">
        <v>1.33</v>
      </c>
    </row>
    <row r="15361" spans="1:7" x14ac:dyDescent="0.25">
      <c r="A15361" s="116" t="s">
        <v>23912</v>
      </c>
      <c r="B15361" s="117" t="s">
        <v>23913</v>
      </c>
      <c r="C15361" t="s">
        <v>67</v>
      </c>
      <c r="D15361" t="s">
        <v>67</v>
      </c>
      <c r="E15361" t="s">
        <v>67</v>
      </c>
      <c r="F15361" t="s">
        <v>49</v>
      </c>
      <c r="G15361" s="117">
        <v>3.12</v>
      </c>
    </row>
    <row r="15362" spans="1:7" x14ac:dyDescent="0.25">
      <c r="A15362" s="116" t="s">
        <v>23914</v>
      </c>
      <c r="B15362" s="117" t="s">
        <v>23915</v>
      </c>
      <c r="C15362" t="s">
        <v>67</v>
      </c>
      <c r="D15362" t="s">
        <v>67</v>
      </c>
      <c r="E15362" t="s">
        <v>67</v>
      </c>
      <c r="F15362" t="s">
        <v>45</v>
      </c>
      <c r="G15362" s="117">
        <v>1.69</v>
      </c>
    </row>
    <row r="15363" spans="1:7" x14ac:dyDescent="0.25">
      <c r="A15363" s="116" t="s">
        <v>23916</v>
      </c>
      <c r="B15363" s="117" t="s">
        <v>23917</v>
      </c>
      <c r="C15363" t="s">
        <v>67</v>
      </c>
      <c r="D15363" t="s">
        <v>67</v>
      </c>
      <c r="E15363" t="s">
        <v>67</v>
      </c>
      <c r="F15363" t="s">
        <v>45</v>
      </c>
      <c r="G15363" s="117">
        <v>1.69</v>
      </c>
    </row>
    <row r="15364" spans="1:7" x14ac:dyDescent="0.25">
      <c r="A15364" s="116" t="s">
        <v>23918</v>
      </c>
      <c r="B15364" s="117" t="s">
        <v>23919</v>
      </c>
      <c r="C15364" t="s">
        <v>67</v>
      </c>
      <c r="D15364" t="s">
        <v>67</v>
      </c>
      <c r="E15364" t="s">
        <v>67</v>
      </c>
      <c r="F15364" t="s">
        <v>27987</v>
      </c>
      <c r="G15364" s="117">
        <v>0.8</v>
      </c>
    </row>
    <row r="15365" spans="1:7" x14ac:dyDescent="0.25">
      <c r="A15365" s="116" t="s">
        <v>23920</v>
      </c>
      <c r="B15365" s="117" t="s">
        <v>23921</v>
      </c>
      <c r="C15365" t="s">
        <v>67</v>
      </c>
      <c r="D15365" t="s">
        <v>67</v>
      </c>
      <c r="E15365" t="s">
        <v>67</v>
      </c>
      <c r="F15365" t="s">
        <v>27987</v>
      </c>
      <c r="G15365" s="117">
        <v>33.369999999999997</v>
      </c>
    </row>
    <row r="15366" spans="1:7" x14ac:dyDescent="0.25">
      <c r="A15366" s="116" t="s">
        <v>23922</v>
      </c>
      <c r="B15366" s="117" t="s">
        <v>8233</v>
      </c>
      <c r="C15366" t="s">
        <v>67</v>
      </c>
      <c r="D15366" t="s">
        <v>67</v>
      </c>
      <c r="E15366" t="s">
        <v>67</v>
      </c>
      <c r="F15366" t="s">
        <v>45</v>
      </c>
      <c r="G15366" s="117">
        <v>0.8</v>
      </c>
    </row>
    <row r="15367" spans="1:7" x14ac:dyDescent="0.25">
      <c r="A15367" s="116" t="s">
        <v>23923</v>
      </c>
      <c r="B15367" s="117" t="s">
        <v>23924</v>
      </c>
      <c r="C15367" t="s">
        <v>67</v>
      </c>
      <c r="D15367" t="s">
        <v>67</v>
      </c>
      <c r="E15367" t="s">
        <v>67</v>
      </c>
      <c r="F15367" t="s">
        <v>27987</v>
      </c>
      <c r="G15367" s="117">
        <v>2.58</v>
      </c>
    </row>
    <row r="15368" spans="1:7" x14ac:dyDescent="0.25">
      <c r="A15368" s="116" t="s">
        <v>23925</v>
      </c>
      <c r="B15368" s="117" t="s">
        <v>23926</v>
      </c>
      <c r="C15368" t="s">
        <v>67</v>
      </c>
      <c r="D15368" t="s">
        <v>67</v>
      </c>
      <c r="E15368" t="s">
        <v>67</v>
      </c>
      <c r="F15368" t="s">
        <v>27987</v>
      </c>
      <c r="G15368" s="117">
        <v>6.68</v>
      </c>
    </row>
    <row r="15369" spans="1:7" x14ac:dyDescent="0.25">
      <c r="A15369" s="116" t="s">
        <v>23927</v>
      </c>
      <c r="B15369" s="117" t="s">
        <v>23928</v>
      </c>
      <c r="C15369" t="s">
        <v>67</v>
      </c>
      <c r="D15369" t="s">
        <v>67</v>
      </c>
      <c r="E15369" t="s">
        <v>67</v>
      </c>
      <c r="F15369" t="s">
        <v>27987</v>
      </c>
      <c r="G15369" s="117">
        <v>6.14</v>
      </c>
    </row>
    <row r="15370" spans="1:7" x14ac:dyDescent="0.25">
      <c r="A15370" s="116" t="s">
        <v>23929</v>
      </c>
      <c r="B15370" s="117" t="s">
        <v>8008</v>
      </c>
      <c r="C15370" t="s">
        <v>67</v>
      </c>
      <c r="D15370" t="s">
        <v>67</v>
      </c>
      <c r="E15370" t="s">
        <v>67</v>
      </c>
      <c r="F15370" t="s">
        <v>27987</v>
      </c>
      <c r="G15370" s="117">
        <v>1.69</v>
      </c>
    </row>
    <row r="15371" spans="1:7" x14ac:dyDescent="0.25">
      <c r="A15371" s="116" t="s">
        <v>23930</v>
      </c>
      <c r="B15371" s="117" t="s">
        <v>23931</v>
      </c>
      <c r="C15371" t="s">
        <v>67</v>
      </c>
      <c r="D15371" t="s">
        <v>67</v>
      </c>
      <c r="E15371" t="s">
        <v>67</v>
      </c>
      <c r="F15371" t="s">
        <v>27987</v>
      </c>
      <c r="G15371" s="117">
        <v>26.25</v>
      </c>
    </row>
    <row r="15372" spans="1:7" x14ac:dyDescent="0.25">
      <c r="A15372" s="116" t="s">
        <v>23932</v>
      </c>
      <c r="B15372" s="117" t="s">
        <v>29636</v>
      </c>
      <c r="C15372" t="s">
        <v>67</v>
      </c>
      <c r="D15372" t="s">
        <v>67</v>
      </c>
      <c r="E15372" t="s">
        <v>67</v>
      </c>
      <c r="F15372" t="s">
        <v>45</v>
      </c>
      <c r="G15372" s="117">
        <v>3.12</v>
      </c>
    </row>
    <row r="15373" spans="1:7" x14ac:dyDescent="0.25">
      <c r="A15373" s="116" t="s">
        <v>23933</v>
      </c>
      <c r="B15373" s="117" t="s">
        <v>23934</v>
      </c>
      <c r="C15373" t="s">
        <v>67</v>
      </c>
      <c r="D15373" t="s">
        <v>67</v>
      </c>
      <c r="E15373" t="s">
        <v>67</v>
      </c>
      <c r="F15373" t="s">
        <v>45</v>
      </c>
      <c r="G15373" s="117">
        <v>2.58</v>
      </c>
    </row>
    <row r="15374" spans="1:7" x14ac:dyDescent="0.25">
      <c r="A15374" s="116" t="s">
        <v>23935</v>
      </c>
      <c r="B15374" s="117" t="s">
        <v>23903</v>
      </c>
      <c r="C15374" t="s">
        <v>67</v>
      </c>
      <c r="D15374" t="s">
        <v>67</v>
      </c>
      <c r="E15374" t="s">
        <v>67</v>
      </c>
      <c r="F15374" t="s">
        <v>27987</v>
      </c>
      <c r="G15374" s="117">
        <v>2.58</v>
      </c>
    </row>
    <row r="15375" spans="1:7" x14ac:dyDescent="0.25">
      <c r="A15375" s="116" t="s">
        <v>23936</v>
      </c>
      <c r="B15375" s="117" t="s">
        <v>23851</v>
      </c>
      <c r="C15375" t="s">
        <v>67</v>
      </c>
      <c r="D15375" t="s">
        <v>67</v>
      </c>
      <c r="E15375" t="s">
        <v>67</v>
      </c>
      <c r="F15375" t="s">
        <v>27987</v>
      </c>
      <c r="G15375" s="117">
        <v>3.12</v>
      </c>
    </row>
    <row r="15376" spans="1:7" x14ac:dyDescent="0.25">
      <c r="A15376" s="116" t="s">
        <v>23937</v>
      </c>
      <c r="B15376" s="117" t="s">
        <v>8012</v>
      </c>
      <c r="C15376" t="s">
        <v>67</v>
      </c>
      <c r="D15376" t="s">
        <v>67</v>
      </c>
      <c r="E15376" t="s">
        <v>67</v>
      </c>
      <c r="F15376" t="s">
        <v>27987</v>
      </c>
      <c r="G15376" s="117">
        <v>1.69</v>
      </c>
    </row>
    <row r="15377" spans="1:7" x14ac:dyDescent="0.25">
      <c r="A15377" s="116" t="s">
        <v>23938</v>
      </c>
      <c r="B15377" s="117" t="s">
        <v>23939</v>
      </c>
      <c r="C15377" t="s">
        <v>67</v>
      </c>
      <c r="D15377" t="s">
        <v>67</v>
      </c>
      <c r="E15377" t="s">
        <v>67</v>
      </c>
      <c r="F15377" t="s">
        <v>27987</v>
      </c>
      <c r="G15377" s="117">
        <v>36.93</v>
      </c>
    </row>
    <row r="15378" spans="1:7" x14ac:dyDescent="0.25">
      <c r="A15378" s="116" t="s">
        <v>23940</v>
      </c>
      <c r="B15378" s="117" t="s">
        <v>23941</v>
      </c>
      <c r="C15378" t="s">
        <v>67</v>
      </c>
      <c r="D15378" t="s">
        <v>67</v>
      </c>
      <c r="E15378" t="s">
        <v>67</v>
      </c>
      <c r="F15378" t="s">
        <v>27987</v>
      </c>
      <c r="G15378" s="117">
        <v>2.58</v>
      </c>
    </row>
    <row r="15379" spans="1:7" x14ac:dyDescent="0.25">
      <c r="A15379" s="116" t="s">
        <v>29637</v>
      </c>
      <c r="B15379" s="117" t="s">
        <v>30116</v>
      </c>
      <c r="C15379" t="s">
        <v>67</v>
      </c>
      <c r="D15379" t="s">
        <v>67</v>
      </c>
      <c r="E15379" t="s">
        <v>67</v>
      </c>
      <c r="F15379" t="s">
        <v>45</v>
      </c>
      <c r="G15379" s="117">
        <v>8.61</v>
      </c>
    </row>
    <row r="15380" spans="1:7" x14ac:dyDescent="0.25">
      <c r="A15380" s="116" t="s">
        <v>23942</v>
      </c>
      <c r="B15380" s="117" t="s">
        <v>23943</v>
      </c>
      <c r="C15380" t="s">
        <v>67</v>
      </c>
      <c r="D15380" t="s">
        <v>67</v>
      </c>
      <c r="E15380" t="s">
        <v>67</v>
      </c>
      <c r="F15380" t="s">
        <v>27987</v>
      </c>
      <c r="G15380" s="117">
        <v>0.8</v>
      </c>
    </row>
    <row r="15381" spans="1:7" x14ac:dyDescent="0.25">
      <c r="A15381" s="116" t="s">
        <v>23944</v>
      </c>
      <c r="B15381" s="117" t="s">
        <v>23945</v>
      </c>
      <c r="C15381" t="s">
        <v>67</v>
      </c>
      <c r="D15381" t="s">
        <v>67</v>
      </c>
      <c r="E15381" t="s">
        <v>67</v>
      </c>
      <c r="F15381" t="s">
        <v>27987</v>
      </c>
      <c r="G15381" s="117">
        <v>0.8</v>
      </c>
    </row>
    <row r="15382" spans="1:7" x14ac:dyDescent="0.25">
      <c r="A15382" s="116" t="s">
        <v>23946</v>
      </c>
      <c r="B15382" s="117" t="s">
        <v>23947</v>
      </c>
      <c r="C15382" t="s">
        <v>67</v>
      </c>
      <c r="D15382" t="s">
        <v>67</v>
      </c>
      <c r="E15382" t="s">
        <v>67</v>
      </c>
      <c r="F15382" t="s">
        <v>27987</v>
      </c>
      <c r="G15382" s="117">
        <v>0.8</v>
      </c>
    </row>
    <row r="15383" spans="1:7" x14ac:dyDescent="0.25">
      <c r="A15383" s="116" t="s">
        <v>23948</v>
      </c>
      <c r="B15383" s="117" t="s">
        <v>8256</v>
      </c>
      <c r="C15383" t="s">
        <v>67</v>
      </c>
      <c r="D15383" t="s">
        <v>67</v>
      </c>
      <c r="E15383" t="s">
        <v>67</v>
      </c>
      <c r="F15383" t="s">
        <v>27987</v>
      </c>
      <c r="G15383" s="117">
        <v>0.8</v>
      </c>
    </row>
    <row r="15384" spans="1:7" x14ac:dyDescent="0.25">
      <c r="A15384" s="116" t="s">
        <v>23949</v>
      </c>
      <c r="B15384" s="117" t="s">
        <v>23950</v>
      </c>
      <c r="C15384" t="s">
        <v>67</v>
      </c>
      <c r="D15384" t="s">
        <v>67</v>
      </c>
      <c r="E15384" t="s">
        <v>67</v>
      </c>
      <c r="F15384" t="s">
        <v>27987</v>
      </c>
      <c r="G15384" s="117">
        <v>23.94</v>
      </c>
    </row>
    <row r="15385" spans="1:7" x14ac:dyDescent="0.25">
      <c r="A15385" s="116" t="s">
        <v>23951</v>
      </c>
      <c r="B15385" s="117" t="s">
        <v>23952</v>
      </c>
      <c r="C15385" t="s">
        <v>67</v>
      </c>
      <c r="D15385" t="s">
        <v>67</v>
      </c>
      <c r="E15385" t="s">
        <v>67</v>
      </c>
      <c r="F15385" t="s">
        <v>49</v>
      </c>
      <c r="G15385" s="117">
        <v>3.56</v>
      </c>
    </row>
    <row r="15386" spans="1:7" x14ac:dyDescent="0.25">
      <c r="A15386" s="116" t="s">
        <v>23953</v>
      </c>
      <c r="B15386" s="117" t="s">
        <v>23954</v>
      </c>
      <c r="C15386" t="s">
        <v>67</v>
      </c>
      <c r="D15386" t="s">
        <v>67</v>
      </c>
      <c r="E15386" t="s">
        <v>67</v>
      </c>
      <c r="F15386" t="s">
        <v>27987</v>
      </c>
      <c r="G15386" s="117">
        <v>7.56</v>
      </c>
    </row>
    <row r="15387" spans="1:7" x14ac:dyDescent="0.25">
      <c r="A15387" s="116" t="s">
        <v>23955</v>
      </c>
      <c r="B15387" s="117" t="s">
        <v>23956</v>
      </c>
      <c r="C15387" t="s">
        <v>67</v>
      </c>
      <c r="D15387" t="s">
        <v>67</v>
      </c>
      <c r="E15387" t="s">
        <v>67</v>
      </c>
      <c r="F15387" t="s">
        <v>27987</v>
      </c>
      <c r="G15387" s="117">
        <v>4.3600000000000003</v>
      </c>
    </row>
    <row r="15388" spans="1:7" x14ac:dyDescent="0.25">
      <c r="A15388" s="116" t="s">
        <v>23957</v>
      </c>
      <c r="B15388" s="117" t="s">
        <v>23958</v>
      </c>
      <c r="C15388" t="s">
        <v>67</v>
      </c>
      <c r="D15388" t="s">
        <v>67</v>
      </c>
      <c r="E15388" t="s">
        <v>67</v>
      </c>
      <c r="F15388" t="s">
        <v>27987</v>
      </c>
      <c r="G15388" s="117">
        <v>4.3600000000000003</v>
      </c>
    </row>
    <row r="15389" spans="1:7" x14ac:dyDescent="0.25">
      <c r="A15389" s="116" t="s">
        <v>23959</v>
      </c>
      <c r="B15389" s="117" t="s">
        <v>21874</v>
      </c>
      <c r="C15389" t="s">
        <v>67</v>
      </c>
      <c r="D15389" t="s">
        <v>67</v>
      </c>
      <c r="E15389" t="s">
        <v>67</v>
      </c>
      <c r="F15389" t="s">
        <v>27987</v>
      </c>
      <c r="G15389" s="117">
        <v>2.58</v>
      </c>
    </row>
    <row r="15390" spans="1:7" x14ac:dyDescent="0.25">
      <c r="A15390" s="116" t="s">
        <v>23960</v>
      </c>
      <c r="B15390" s="117" t="s">
        <v>23961</v>
      </c>
      <c r="C15390" t="s">
        <v>67</v>
      </c>
      <c r="D15390" t="s">
        <v>67</v>
      </c>
      <c r="E15390" t="s">
        <v>67</v>
      </c>
      <c r="F15390" t="s">
        <v>27987</v>
      </c>
      <c r="G15390" s="117">
        <v>2.58</v>
      </c>
    </row>
    <row r="15391" spans="1:7" x14ac:dyDescent="0.25">
      <c r="A15391" s="116" t="s">
        <v>23962</v>
      </c>
      <c r="B15391" s="117" t="s">
        <v>29638</v>
      </c>
      <c r="C15391" t="s">
        <v>67</v>
      </c>
      <c r="D15391" t="s">
        <v>67</v>
      </c>
      <c r="E15391" t="s">
        <v>67</v>
      </c>
      <c r="F15391" t="s">
        <v>45</v>
      </c>
      <c r="G15391" s="117">
        <v>3.56</v>
      </c>
    </row>
    <row r="15392" spans="1:7" x14ac:dyDescent="0.25">
      <c r="A15392" s="116" t="s">
        <v>23963</v>
      </c>
      <c r="B15392" s="117" t="s">
        <v>23964</v>
      </c>
      <c r="C15392" t="s">
        <v>67</v>
      </c>
      <c r="D15392" t="s">
        <v>67</v>
      </c>
      <c r="E15392" t="s">
        <v>67</v>
      </c>
      <c r="F15392" t="s">
        <v>27987</v>
      </c>
      <c r="G15392" s="117">
        <v>3.56</v>
      </c>
    </row>
    <row r="15393" spans="1:7" x14ac:dyDescent="0.25">
      <c r="A15393" s="116" t="s">
        <v>23965</v>
      </c>
      <c r="B15393" s="117" t="s">
        <v>23853</v>
      </c>
      <c r="C15393" t="s">
        <v>67</v>
      </c>
      <c r="D15393" t="s">
        <v>67</v>
      </c>
      <c r="E15393" t="s">
        <v>67</v>
      </c>
      <c r="F15393" t="s">
        <v>45</v>
      </c>
      <c r="G15393" s="117">
        <v>1.69</v>
      </c>
    </row>
    <row r="15394" spans="1:7" x14ac:dyDescent="0.25">
      <c r="A15394" s="116" t="s">
        <v>23966</v>
      </c>
      <c r="B15394" s="117" t="s">
        <v>23967</v>
      </c>
      <c r="C15394" t="s">
        <v>67</v>
      </c>
      <c r="D15394" t="s">
        <v>67</v>
      </c>
      <c r="E15394" t="s">
        <v>67</v>
      </c>
      <c r="F15394" t="s">
        <v>45</v>
      </c>
      <c r="G15394" s="117">
        <v>0.8</v>
      </c>
    </row>
    <row r="15395" spans="1:7" x14ac:dyDescent="0.25">
      <c r="A15395" s="116" t="s">
        <v>23968</v>
      </c>
      <c r="B15395" s="117" t="s">
        <v>23969</v>
      </c>
      <c r="C15395" t="s">
        <v>67</v>
      </c>
      <c r="D15395" t="s">
        <v>67</v>
      </c>
      <c r="E15395" t="s">
        <v>67</v>
      </c>
      <c r="F15395" t="s">
        <v>45</v>
      </c>
      <c r="G15395" s="117">
        <v>1.69</v>
      </c>
    </row>
    <row r="15396" spans="1:7" x14ac:dyDescent="0.25">
      <c r="A15396" s="116" t="s">
        <v>23970</v>
      </c>
      <c r="B15396" s="117" t="s">
        <v>23971</v>
      </c>
      <c r="C15396" t="s">
        <v>67</v>
      </c>
      <c r="D15396" t="s">
        <v>67</v>
      </c>
      <c r="E15396" t="s">
        <v>67</v>
      </c>
      <c r="F15396" t="s">
        <v>27987</v>
      </c>
      <c r="G15396" s="117">
        <v>10.58</v>
      </c>
    </row>
    <row r="15397" spans="1:7" x14ac:dyDescent="0.25">
      <c r="A15397" s="116" t="s">
        <v>23972</v>
      </c>
      <c r="B15397" s="117" t="s">
        <v>29639</v>
      </c>
      <c r="C15397" t="s">
        <v>67</v>
      </c>
      <c r="D15397" t="s">
        <v>67</v>
      </c>
      <c r="E15397" t="s">
        <v>67</v>
      </c>
      <c r="F15397" t="s">
        <v>27987</v>
      </c>
      <c r="G15397" s="117">
        <v>8.4499999999999993</v>
      </c>
    </row>
    <row r="15398" spans="1:7" x14ac:dyDescent="0.25">
      <c r="A15398" s="116" t="s">
        <v>23973</v>
      </c>
      <c r="B15398" s="117" t="s">
        <v>23974</v>
      </c>
      <c r="C15398" t="s">
        <v>67</v>
      </c>
      <c r="D15398" t="s">
        <v>67</v>
      </c>
      <c r="E15398" t="s">
        <v>67</v>
      </c>
      <c r="F15398" t="s">
        <v>27987</v>
      </c>
      <c r="G15398" s="117">
        <v>24.82</v>
      </c>
    </row>
    <row r="15399" spans="1:7" x14ac:dyDescent="0.25">
      <c r="A15399" s="116" t="s">
        <v>23975</v>
      </c>
      <c r="B15399" s="117" t="s">
        <v>23976</v>
      </c>
      <c r="C15399" t="s">
        <v>67</v>
      </c>
      <c r="D15399" t="s">
        <v>67</v>
      </c>
      <c r="E15399" t="s">
        <v>67</v>
      </c>
      <c r="F15399" t="s">
        <v>27987</v>
      </c>
      <c r="G15399" s="117">
        <v>9.6999999999999993</v>
      </c>
    </row>
    <row r="15400" spans="1:7" x14ac:dyDescent="0.25">
      <c r="A15400" s="116" t="s">
        <v>23977</v>
      </c>
      <c r="B15400" s="117" t="s">
        <v>23978</v>
      </c>
      <c r="C15400" t="s">
        <v>67</v>
      </c>
      <c r="D15400" t="s">
        <v>67</v>
      </c>
      <c r="E15400" t="s">
        <v>67</v>
      </c>
      <c r="F15400" t="s">
        <v>27987</v>
      </c>
      <c r="G15400" s="117">
        <v>1.69</v>
      </c>
    </row>
    <row r="15401" spans="1:7" x14ac:dyDescent="0.25">
      <c r="A15401" s="116" t="s">
        <v>23979</v>
      </c>
      <c r="B15401" s="117" t="s">
        <v>23980</v>
      </c>
      <c r="C15401" t="s">
        <v>67</v>
      </c>
      <c r="D15401" t="s">
        <v>67</v>
      </c>
      <c r="E15401" t="s">
        <v>67</v>
      </c>
      <c r="F15401" t="s">
        <v>27987</v>
      </c>
      <c r="G15401" s="117">
        <v>2.58</v>
      </c>
    </row>
    <row r="15402" spans="1:7" x14ac:dyDescent="0.25">
      <c r="A15402" s="116" t="s">
        <v>23981</v>
      </c>
      <c r="B15402" s="117" t="s">
        <v>23982</v>
      </c>
      <c r="C15402" t="s">
        <v>67</v>
      </c>
      <c r="D15402" t="s">
        <v>67</v>
      </c>
      <c r="E15402" t="s">
        <v>67</v>
      </c>
      <c r="F15402" t="s">
        <v>27987</v>
      </c>
      <c r="G15402" s="117">
        <v>1.69</v>
      </c>
    </row>
    <row r="15403" spans="1:7" x14ac:dyDescent="0.25">
      <c r="A15403" s="116" t="s">
        <v>23983</v>
      </c>
      <c r="B15403" s="117" t="s">
        <v>23984</v>
      </c>
      <c r="C15403" t="s">
        <v>67</v>
      </c>
      <c r="D15403" t="s">
        <v>67</v>
      </c>
      <c r="E15403" t="s">
        <v>67</v>
      </c>
      <c r="F15403" t="s">
        <v>27987</v>
      </c>
      <c r="G15403" s="117">
        <v>7.12</v>
      </c>
    </row>
    <row r="15404" spans="1:7" x14ac:dyDescent="0.25">
      <c r="A15404" s="116" t="s">
        <v>23985</v>
      </c>
      <c r="B15404" s="117" t="s">
        <v>23986</v>
      </c>
      <c r="C15404" t="s">
        <v>67</v>
      </c>
      <c r="D15404" t="s">
        <v>67</v>
      </c>
      <c r="E15404" t="s">
        <v>67</v>
      </c>
      <c r="F15404" t="s">
        <v>27987</v>
      </c>
      <c r="G15404" s="117">
        <v>2.58</v>
      </c>
    </row>
    <row r="15405" spans="1:7" x14ac:dyDescent="0.25">
      <c r="A15405" s="116" t="s">
        <v>23987</v>
      </c>
      <c r="B15405" s="117" t="s">
        <v>23988</v>
      </c>
      <c r="C15405" t="s">
        <v>67</v>
      </c>
      <c r="D15405" t="s">
        <v>67</v>
      </c>
      <c r="E15405" t="s">
        <v>67</v>
      </c>
      <c r="F15405" t="s">
        <v>27987</v>
      </c>
      <c r="G15405" s="117">
        <v>3.48</v>
      </c>
    </row>
    <row r="15406" spans="1:7" x14ac:dyDescent="0.25">
      <c r="A15406" s="116" t="s">
        <v>23989</v>
      </c>
      <c r="B15406" s="117" t="s">
        <v>23988</v>
      </c>
      <c r="C15406" t="s">
        <v>67</v>
      </c>
      <c r="D15406" t="s">
        <v>67</v>
      </c>
      <c r="E15406" t="s">
        <v>67</v>
      </c>
      <c r="F15406" t="s">
        <v>27987</v>
      </c>
      <c r="G15406" s="117">
        <v>2.58</v>
      </c>
    </row>
    <row r="15407" spans="1:7" x14ac:dyDescent="0.25">
      <c r="A15407" s="116" t="s">
        <v>23990</v>
      </c>
      <c r="B15407" s="117" t="s">
        <v>23991</v>
      </c>
      <c r="C15407" t="s">
        <v>67</v>
      </c>
      <c r="D15407" t="s">
        <v>67</v>
      </c>
      <c r="E15407" t="s">
        <v>67</v>
      </c>
      <c r="F15407" t="s">
        <v>27987</v>
      </c>
      <c r="G15407" s="117">
        <v>2.58</v>
      </c>
    </row>
    <row r="15408" spans="1:7" x14ac:dyDescent="0.25">
      <c r="A15408" s="116" t="s">
        <v>23992</v>
      </c>
      <c r="B15408" s="117" t="s">
        <v>23993</v>
      </c>
      <c r="C15408" t="s">
        <v>67</v>
      </c>
      <c r="D15408" t="s">
        <v>67</v>
      </c>
      <c r="E15408" t="s">
        <v>67</v>
      </c>
      <c r="F15408" t="s">
        <v>27987</v>
      </c>
      <c r="G15408" s="117">
        <v>6.14</v>
      </c>
    </row>
    <row r="15409" spans="1:7" x14ac:dyDescent="0.25">
      <c r="A15409" s="116" t="s">
        <v>23994</v>
      </c>
      <c r="B15409" s="117" t="s">
        <v>23995</v>
      </c>
      <c r="C15409" t="s">
        <v>67</v>
      </c>
      <c r="D15409" t="s">
        <v>67</v>
      </c>
      <c r="E15409" t="s">
        <v>67</v>
      </c>
      <c r="F15409" t="s">
        <v>45</v>
      </c>
      <c r="G15409" s="117">
        <v>3.48</v>
      </c>
    </row>
    <row r="15410" spans="1:7" x14ac:dyDescent="0.25">
      <c r="A15410" s="116" t="s">
        <v>23996</v>
      </c>
      <c r="B15410" s="117" t="s">
        <v>23997</v>
      </c>
      <c r="C15410" t="s">
        <v>67</v>
      </c>
      <c r="D15410" t="s">
        <v>67</v>
      </c>
      <c r="E15410" t="s">
        <v>67</v>
      </c>
      <c r="F15410" t="s">
        <v>45</v>
      </c>
      <c r="G15410" s="117">
        <v>3.48</v>
      </c>
    </row>
    <row r="15411" spans="1:7" x14ac:dyDescent="0.25">
      <c r="A15411" s="116" t="s">
        <v>23998</v>
      </c>
      <c r="B15411" s="117" t="s">
        <v>23999</v>
      </c>
      <c r="C15411" t="s">
        <v>67</v>
      </c>
      <c r="D15411" t="s">
        <v>67</v>
      </c>
      <c r="E15411" t="s">
        <v>67</v>
      </c>
      <c r="F15411" t="s">
        <v>45</v>
      </c>
      <c r="G15411" s="117">
        <v>3.48</v>
      </c>
    </row>
    <row r="15412" spans="1:7" x14ac:dyDescent="0.25">
      <c r="A15412" s="116" t="s">
        <v>24000</v>
      </c>
      <c r="B15412" s="117" t="s">
        <v>24001</v>
      </c>
      <c r="C15412" t="s">
        <v>67</v>
      </c>
      <c r="D15412" t="s">
        <v>67</v>
      </c>
      <c r="E15412" t="s">
        <v>67</v>
      </c>
      <c r="F15412" t="s">
        <v>45</v>
      </c>
      <c r="G15412" s="117">
        <v>1.69</v>
      </c>
    </row>
    <row r="15413" spans="1:7" x14ac:dyDescent="0.25">
      <c r="A15413" s="116" t="s">
        <v>24002</v>
      </c>
      <c r="B15413" s="117" t="s">
        <v>24003</v>
      </c>
      <c r="C15413" t="s">
        <v>67</v>
      </c>
      <c r="D15413" t="s">
        <v>67</v>
      </c>
      <c r="E15413" t="s">
        <v>67</v>
      </c>
      <c r="F15413" t="s">
        <v>45</v>
      </c>
      <c r="G15413" s="117">
        <v>5.33</v>
      </c>
    </row>
    <row r="15414" spans="1:7" x14ac:dyDescent="0.25">
      <c r="A15414" s="116" t="s">
        <v>24004</v>
      </c>
      <c r="B15414" s="117" t="s">
        <v>8309</v>
      </c>
      <c r="C15414" t="s">
        <v>67</v>
      </c>
      <c r="D15414" t="s">
        <v>67</v>
      </c>
      <c r="E15414" t="s">
        <v>67</v>
      </c>
      <c r="F15414" t="s">
        <v>27987</v>
      </c>
      <c r="G15414" s="117">
        <v>1.33</v>
      </c>
    </row>
    <row r="15415" spans="1:7" x14ac:dyDescent="0.25">
      <c r="A15415" s="116" t="s">
        <v>24005</v>
      </c>
      <c r="B15415" s="117" t="s">
        <v>24006</v>
      </c>
      <c r="C15415" t="s">
        <v>67</v>
      </c>
      <c r="D15415" t="s">
        <v>67</v>
      </c>
      <c r="E15415" t="s">
        <v>67</v>
      </c>
      <c r="F15415" t="s">
        <v>27987</v>
      </c>
      <c r="G15415" s="117">
        <v>2.89</v>
      </c>
    </row>
    <row r="15416" spans="1:7" x14ac:dyDescent="0.25">
      <c r="A15416" s="116" t="s">
        <v>24007</v>
      </c>
      <c r="B15416" s="117" t="s">
        <v>24008</v>
      </c>
      <c r="C15416" t="s">
        <v>67</v>
      </c>
      <c r="D15416" t="s">
        <v>67</v>
      </c>
      <c r="E15416" t="s">
        <v>67</v>
      </c>
      <c r="F15416" t="s">
        <v>45</v>
      </c>
      <c r="G15416" s="117">
        <v>4.3600000000000003</v>
      </c>
    </row>
    <row r="15417" spans="1:7" x14ac:dyDescent="0.25">
      <c r="A15417" s="116" t="s">
        <v>24009</v>
      </c>
      <c r="B15417" s="117" t="s">
        <v>9891</v>
      </c>
      <c r="C15417" t="s">
        <v>67</v>
      </c>
      <c r="D15417" t="s">
        <v>67</v>
      </c>
      <c r="E15417" t="s">
        <v>67</v>
      </c>
      <c r="F15417" t="s">
        <v>27987</v>
      </c>
      <c r="G15417" s="117">
        <v>4</v>
      </c>
    </row>
    <row r="15418" spans="1:7" x14ac:dyDescent="0.25">
      <c r="A15418" s="116" t="s">
        <v>24010</v>
      </c>
      <c r="B15418" s="117" t="s">
        <v>24011</v>
      </c>
      <c r="C15418" t="s">
        <v>67</v>
      </c>
      <c r="D15418" t="s">
        <v>67</v>
      </c>
      <c r="E15418" t="s">
        <v>67</v>
      </c>
      <c r="F15418" t="s">
        <v>27987</v>
      </c>
      <c r="G15418" s="117">
        <v>37.82</v>
      </c>
    </row>
    <row r="15419" spans="1:7" x14ac:dyDescent="0.25">
      <c r="A15419" s="116" t="s">
        <v>24012</v>
      </c>
      <c r="B15419" s="117" t="s">
        <v>24013</v>
      </c>
      <c r="C15419" t="s">
        <v>67</v>
      </c>
      <c r="D15419" t="s">
        <v>67</v>
      </c>
      <c r="E15419" t="s">
        <v>67</v>
      </c>
      <c r="F15419" t="s">
        <v>27987</v>
      </c>
      <c r="G15419" s="117">
        <v>4.3600000000000003</v>
      </c>
    </row>
    <row r="15420" spans="1:7" x14ac:dyDescent="0.25">
      <c r="A15420" s="116" t="s">
        <v>24014</v>
      </c>
      <c r="B15420" s="117" t="s">
        <v>24015</v>
      </c>
      <c r="C15420" t="s">
        <v>67</v>
      </c>
      <c r="D15420" t="s">
        <v>67</v>
      </c>
      <c r="E15420" t="s">
        <v>67</v>
      </c>
      <c r="F15420" t="s">
        <v>45</v>
      </c>
      <c r="G15420" s="117">
        <v>17.7</v>
      </c>
    </row>
    <row r="15421" spans="1:7" x14ac:dyDescent="0.25">
      <c r="A15421" s="116" t="s">
        <v>24016</v>
      </c>
      <c r="B15421" s="117" t="s">
        <v>24017</v>
      </c>
      <c r="C15421" t="s">
        <v>67</v>
      </c>
      <c r="D15421" t="s">
        <v>67</v>
      </c>
      <c r="E15421" t="s">
        <v>67</v>
      </c>
      <c r="F15421" t="s">
        <v>27987</v>
      </c>
      <c r="G15421" s="117">
        <v>41.38</v>
      </c>
    </row>
    <row r="15422" spans="1:7" x14ac:dyDescent="0.25">
      <c r="A15422" s="116" t="s">
        <v>24018</v>
      </c>
      <c r="B15422" s="117" t="s">
        <v>24019</v>
      </c>
      <c r="C15422" t="s">
        <v>67</v>
      </c>
      <c r="D15422" t="s">
        <v>67</v>
      </c>
      <c r="E15422" t="s">
        <v>67</v>
      </c>
      <c r="F15422" t="s">
        <v>27987</v>
      </c>
      <c r="G15422" s="117">
        <v>2.58</v>
      </c>
    </row>
    <row r="15423" spans="1:7" x14ac:dyDescent="0.25">
      <c r="A15423" s="116" t="s">
        <v>24020</v>
      </c>
      <c r="B15423" s="117" t="s">
        <v>24021</v>
      </c>
      <c r="C15423" t="s">
        <v>67</v>
      </c>
      <c r="D15423" t="s">
        <v>67</v>
      </c>
      <c r="E15423" t="s">
        <v>67</v>
      </c>
      <c r="F15423" t="s">
        <v>45</v>
      </c>
      <c r="G15423" s="117">
        <v>2.58</v>
      </c>
    </row>
    <row r="15424" spans="1:7" x14ac:dyDescent="0.25">
      <c r="A15424" s="116" t="s">
        <v>24022</v>
      </c>
      <c r="B15424" s="117" t="s">
        <v>24023</v>
      </c>
      <c r="C15424" t="s">
        <v>67</v>
      </c>
      <c r="D15424" t="s">
        <v>67</v>
      </c>
      <c r="E15424" t="s">
        <v>67</v>
      </c>
      <c r="F15424" t="s">
        <v>27987</v>
      </c>
      <c r="G15424" s="117">
        <v>2.58</v>
      </c>
    </row>
    <row r="15425" spans="1:7" x14ac:dyDescent="0.25">
      <c r="A15425" s="116" t="s">
        <v>24024</v>
      </c>
      <c r="B15425" s="117" t="s">
        <v>24025</v>
      </c>
      <c r="C15425" t="s">
        <v>67</v>
      </c>
      <c r="D15425" t="s">
        <v>67</v>
      </c>
      <c r="E15425" t="s">
        <v>67</v>
      </c>
      <c r="F15425" t="s">
        <v>27987</v>
      </c>
      <c r="G15425" s="117">
        <v>3.12</v>
      </c>
    </row>
    <row r="15426" spans="1:7" x14ac:dyDescent="0.25">
      <c r="A15426" s="116" t="s">
        <v>24026</v>
      </c>
      <c r="B15426" s="117" t="s">
        <v>24027</v>
      </c>
      <c r="C15426" t="s">
        <v>67</v>
      </c>
      <c r="D15426" t="s">
        <v>67</v>
      </c>
      <c r="E15426" t="s">
        <v>67</v>
      </c>
      <c r="F15426" t="s">
        <v>27987</v>
      </c>
      <c r="G15426" s="117">
        <v>15.57</v>
      </c>
    </row>
    <row r="15427" spans="1:7" x14ac:dyDescent="0.25">
      <c r="A15427" s="116" t="s">
        <v>24028</v>
      </c>
      <c r="B15427" s="117" t="s">
        <v>24029</v>
      </c>
      <c r="C15427" t="s">
        <v>67</v>
      </c>
      <c r="D15427" t="s">
        <v>67</v>
      </c>
      <c r="E15427" t="s">
        <v>67</v>
      </c>
      <c r="F15427" t="s">
        <v>49</v>
      </c>
      <c r="G15427" s="117">
        <v>3.56</v>
      </c>
    </row>
    <row r="15428" spans="1:7" x14ac:dyDescent="0.25">
      <c r="A15428" s="116" t="s">
        <v>24030</v>
      </c>
      <c r="B15428" s="117" t="s">
        <v>23859</v>
      </c>
      <c r="C15428" t="s">
        <v>67</v>
      </c>
      <c r="D15428" t="s">
        <v>67</v>
      </c>
      <c r="E15428" t="s">
        <v>67</v>
      </c>
      <c r="F15428" t="s">
        <v>27987</v>
      </c>
      <c r="G15428" s="117">
        <v>3.56</v>
      </c>
    </row>
    <row r="15429" spans="1:7" x14ac:dyDescent="0.25">
      <c r="A15429" s="116" t="s">
        <v>24031</v>
      </c>
      <c r="B15429" s="117" t="s">
        <v>24032</v>
      </c>
      <c r="C15429" t="s">
        <v>67</v>
      </c>
      <c r="D15429" t="s">
        <v>67</v>
      </c>
      <c r="E15429" t="s">
        <v>67</v>
      </c>
      <c r="F15429" t="s">
        <v>27987</v>
      </c>
      <c r="G15429" s="117">
        <v>12.9</v>
      </c>
    </row>
    <row r="15430" spans="1:7" x14ac:dyDescent="0.25">
      <c r="A15430" s="116" t="s">
        <v>24033</v>
      </c>
      <c r="B15430" s="117" t="s">
        <v>24034</v>
      </c>
      <c r="C15430" t="s">
        <v>67</v>
      </c>
      <c r="D15430" t="s">
        <v>67</v>
      </c>
      <c r="E15430" t="s">
        <v>67</v>
      </c>
      <c r="F15430" t="s">
        <v>27987</v>
      </c>
      <c r="G15430" s="117">
        <v>7.12</v>
      </c>
    </row>
    <row r="15431" spans="1:7" x14ac:dyDescent="0.25">
      <c r="A15431" s="116" t="s">
        <v>24035</v>
      </c>
      <c r="B15431" s="117" t="s">
        <v>24036</v>
      </c>
      <c r="C15431" t="s">
        <v>67</v>
      </c>
      <c r="D15431" t="s">
        <v>67</v>
      </c>
      <c r="E15431" t="s">
        <v>67</v>
      </c>
      <c r="F15431" t="s">
        <v>27987</v>
      </c>
      <c r="G15431" s="117">
        <v>7.56</v>
      </c>
    </row>
    <row r="15432" spans="1:7" x14ac:dyDescent="0.25">
      <c r="A15432" s="116" t="s">
        <v>24037</v>
      </c>
      <c r="B15432" s="117" t="s">
        <v>24038</v>
      </c>
      <c r="C15432" t="s">
        <v>67</v>
      </c>
      <c r="D15432" t="s">
        <v>67</v>
      </c>
      <c r="E15432" t="s">
        <v>67</v>
      </c>
      <c r="F15432" t="s">
        <v>49</v>
      </c>
      <c r="G15432" s="117">
        <v>2.23</v>
      </c>
    </row>
    <row r="15433" spans="1:7" x14ac:dyDescent="0.25">
      <c r="A15433" s="116" t="s">
        <v>24039</v>
      </c>
      <c r="B15433" s="117" t="s">
        <v>24040</v>
      </c>
      <c r="C15433" t="s">
        <v>67</v>
      </c>
      <c r="D15433" t="s">
        <v>67</v>
      </c>
      <c r="E15433" t="s">
        <v>67</v>
      </c>
      <c r="F15433" t="s">
        <v>45</v>
      </c>
      <c r="G15433" s="117">
        <v>10.58</v>
      </c>
    </row>
    <row r="15434" spans="1:7" x14ac:dyDescent="0.25">
      <c r="A15434" s="116" t="s">
        <v>24041</v>
      </c>
      <c r="B15434" s="117" t="s">
        <v>24042</v>
      </c>
      <c r="C15434" t="s">
        <v>67</v>
      </c>
      <c r="D15434" t="s">
        <v>67</v>
      </c>
      <c r="E15434" t="s">
        <v>67</v>
      </c>
      <c r="F15434" t="s">
        <v>45</v>
      </c>
      <c r="G15434" s="117">
        <v>47.61</v>
      </c>
    </row>
    <row r="15435" spans="1:7" x14ac:dyDescent="0.25">
      <c r="A15435" s="116" t="s">
        <v>24043</v>
      </c>
      <c r="B15435" s="117" t="s">
        <v>24044</v>
      </c>
      <c r="C15435" t="s">
        <v>67</v>
      </c>
      <c r="D15435" t="s">
        <v>67</v>
      </c>
      <c r="E15435" t="s">
        <v>67</v>
      </c>
      <c r="F15435" t="s">
        <v>27987</v>
      </c>
      <c r="G15435" s="117">
        <v>22.69</v>
      </c>
    </row>
    <row r="15436" spans="1:7" x14ac:dyDescent="0.25">
      <c r="A15436" s="116" t="s">
        <v>24045</v>
      </c>
      <c r="B15436" s="117" t="s">
        <v>24046</v>
      </c>
      <c r="C15436" t="s">
        <v>67</v>
      </c>
      <c r="D15436" t="s">
        <v>67</v>
      </c>
      <c r="E15436" t="s">
        <v>67</v>
      </c>
      <c r="F15436" t="s">
        <v>49</v>
      </c>
      <c r="G15436" s="117">
        <v>3.56</v>
      </c>
    </row>
    <row r="15437" spans="1:7" x14ac:dyDescent="0.25">
      <c r="A15437" s="116" t="s">
        <v>24047</v>
      </c>
      <c r="B15437" s="117" t="s">
        <v>24048</v>
      </c>
      <c r="C15437" t="s">
        <v>67</v>
      </c>
      <c r="D15437" t="s">
        <v>67</v>
      </c>
      <c r="E15437" t="s">
        <v>67</v>
      </c>
      <c r="F15437" t="s">
        <v>27987</v>
      </c>
      <c r="G15437" s="117">
        <v>8.4499999999999993</v>
      </c>
    </row>
    <row r="15438" spans="1:7" x14ac:dyDescent="0.25">
      <c r="A15438" s="116" t="s">
        <v>24049</v>
      </c>
      <c r="B15438" s="117" t="s">
        <v>24050</v>
      </c>
      <c r="C15438" t="s">
        <v>67</v>
      </c>
      <c r="D15438" t="s">
        <v>67</v>
      </c>
      <c r="E15438" t="s">
        <v>67</v>
      </c>
      <c r="F15438" t="s">
        <v>27987</v>
      </c>
      <c r="G15438" s="117">
        <v>71.989999999999995</v>
      </c>
    </row>
    <row r="15439" spans="1:7" x14ac:dyDescent="0.25">
      <c r="A15439" s="116" t="s">
        <v>24051</v>
      </c>
      <c r="B15439" s="117" t="s">
        <v>8024</v>
      </c>
      <c r="C15439" t="s">
        <v>67</v>
      </c>
      <c r="D15439" t="s">
        <v>67</v>
      </c>
      <c r="E15439" t="s">
        <v>67</v>
      </c>
      <c r="F15439" t="s">
        <v>49</v>
      </c>
      <c r="G15439" s="117">
        <v>3.12</v>
      </c>
    </row>
    <row r="15440" spans="1:7" x14ac:dyDescent="0.25">
      <c r="A15440" s="116" t="s">
        <v>24052</v>
      </c>
      <c r="B15440" s="117" t="s">
        <v>24053</v>
      </c>
      <c r="C15440" t="s">
        <v>67</v>
      </c>
      <c r="D15440" t="s">
        <v>67</v>
      </c>
      <c r="E15440" t="s">
        <v>67</v>
      </c>
      <c r="F15440" t="s">
        <v>27987</v>
      </c>
      <c r="G15440" s="117">
        <v>9.6999999999999993</v>
      </c>
    </row>
    <row r="15441" spans="1:7" x14ac:dyDescent="0.25">
      <c r="A15441" s="116" t="s">
        <v>24054</v>
      </c>
      <c r="B15441" s="117" t="s">
        <v>24055</v>
      </c>
      <c r="C15441" t="s">
        <v>67</v>
      </c>
      <c r="D15441" t="s">
        <v>67</v>
      </c>
      <c r="E15441" t="s">
        <v>67</v>
      </c>
      <c r="F15441" t="s">
        <v>45</v>
      </c>
      <c r="G15441" s="117">
        <v>4</v>
      </c>
    </row>
    <row r="15442" spans="1:7" x14ac:dyDescent="0.25">
      <c r="A15442" s="116" t="s">
        <v>24056</v>
      </c>
      <c r="B15442" s="117" t="s">
        <v>24057</v>
      </c>
      <c r="C15442" t="s">
        <v>67</v>
      </c>
      <c r="D15442" t="s">
        <v>67</v>
      </c>
      <c r="E15442" t="s">
        <v>67</v>
      </c>
      <c r="F15442" t="s">
        <v>27987</v>
      </c>
      <c r="G15442" s="117">
        <v>348.37</v>
      </c>
    </row>
    <row r="15443" spans="1:7" x14ac:dyDescent="0.25">
      <c r="A15443" s="116" t="s">
        <v>24058</v>
      </c>
      <c r="B15443" s="117" t="s">
        <v>24059</v>
      </c>
      <c r="C15443" t="s">
        <v>67</v>
      </c>
      <c r="D15443" t="s">
        <v>67</v>
      </c>
      <c r="E15443" t="s">
        <v>67</v>
      </c>
      <c r="F15443" t="s">
        <v>45</v>
      </c>
      <c r="G15443" s="117">
        <v>30.7</v>
      </c>
    </row>
    <row r="15444" spans="1:7" x14ac:dyDescent="0.25">
      <c r="A15444" s="116" t="s">
        <v>24060</v>
      </c>
      <c r="B15444" s="117" t="s">
        <v>24061</v>
      </c>
      <c r="C15444" t="s">
        <v>67</v>
      </c>
      <c r="D15444" t="s">
        <v>67</v>
      </c>
      <c r="E15444" t="s">
        <v>67</v>
      </c>
      <c r="F15444" t="s">
        <v>27987</v>
      </c>
      <c r="G15444" s="117">
        <v>271.31</v>
      </c>
    </row>
    <row r="15445" spans="1:7" x14ac:dyDescent="0.25">
      <c r="A15445" s="116" t="s">
        <v>24062</v>
      </c>
      <c r="B15445" s="117" t="s">
        <v>24063</v>
      </c>
      <c r="C15445" t="s">
        <v>67</v>
      </c>
      <c r="D15445" t="s">
        <v>67</v>
      </c>
      <c r="E15445" t="s">
        <v>67</v>
      </c>
      <c r="F15445" t="s">
        <v>27987</v>
      </c>
      <c r="G15445" s="117">
        <v>286.98</v>
      </c>
    </row>
    <row r="15446" spans="1:7" x14ac:dyDescent="0.25">
      <c r="A15446" s="116" t="s">
        <v>24064</v>
      </c>
      <c r="B15446" s="117" t="s">
        <v>23950</v>
      </c>
      <c r="C15446" t="s">
        <v>67</v>
      </c>
      <c r="D15446" t="s">
        <v>67</v>
      </c>
      <c r="E15446" t="s">
        <v>67</v>
      </c>
      <c r="F15446" t="s">
        <v>27987</v>
      </c>
      <c r="G15446" s="117">
        <v>63.98</v>
      </c>
    </row>
    <row r="15447" spans="1:7" x14ac:dyDescent="0.25">
      <c r="A15447" s="116" t="s">
        <v>24065</v>
      </c>
      <c r="B15447" s="117" t="s">
        <v>24066</v>
      </c>
      <c r="C15447" t="s">
        <v>67</v>
      </c>
      <c r="D15447" t="s">
        <v>67</v>
      </c>
      <c r="E15447" t="s">
        <v>67</v>
      </c>
      <c r="F15447" t="s">
        <v>27987</v>
      </c>
      <c r="G15447" s="117">
        <v>82.67</v>
      </c>
    </row>
    <row r="15448" spans="1:7" x14ac:dyDescent="0.25">
      <c r="A15448" s="116" t="s">
        <v>24067</v>
      </c>
      <c r="B15448" s="117" t="s">
        <v>24068</v>
      </c>
      <c r="C15448" t="s">
        <v>67</v>
      </c>
      <c r="D15448" t="s">
        <v>67</v>
      </c>
      <c r="E15448" t="s">
        <v>67</v>
      </c>
      <c r="F15448" t="s">
        <v>45</v>
      </c>
      <c r="G15448" s="117">
        <v>69.86</v>
      </c>
    </row>
    <row r="15449" spans="1:7" x14ac:dyDescent="0.25">
      <c r="A15449" s="116" t="s">
        <v>24069</v>
      </c>
      <c r="B15449" s="117" t="s">
        <v>24070</v>
      </c>
      <c r="C15449" t="s">
        <v>67</v>
      </c>
      <c r="D15449" t="s">
        <v>67</v>
      </c>
      <c r="E15449" t="s">
        <v>67</v>
      </c>
      <c r="F15449" t="s">
        <v>27987</v>
      </c>
      <c r="G15449" s="117">
        <v>33.020000000000003</v>
      </c>
    </row>
    <row r="15450" spans="1:7" x14ac:dyDescent="0.25">
      <c r="A15450" s="116" t="s">
        <v>24071</v>
      </c>
      <c r="B15450" s="117" t="s">
        <v>796</v>
      </c>
      <c r="C15450" t="s">
        <v>67</v>
      </c>
      <c r="D15450" t="s">
        <v>67</v>
      </c>
      <c r="E15450" t="s">
        <v>67</v>
      </c>
      <c r="F15450" t="s">
        <v>45</v>
      </c>
      <c r="G15450" s="117">
        <v>41.38</v>
      </c>
    </row>
    <row r="15451" spans="1:7" x14ac:dyDescent="0.25">
      <c r="A15451" s="116" t="s">
        <v>24072</v>
      </c>
      <c r="B15451" s="117" t="s">
        <v>24073</v>
      </c>
      <c r="C15451" t="s">
        <v>67</v>
      </c>
      <c r="D15451" t="s">
        <v>67</v>
      </c>
      <c r="E15451" t="s">
        <v>67</v>
      </c>
      <c r="F15451" t="s">
        <v>27987</v>
      </c>
      <c r="G15451" s="117">
        <v>27.5</v>
      </c>
    </row>
    <row r="15452" spans="1:7" x14ac:dyDescent="0.25">
      <c r="A15452" s="116" t="s">
        <v>24074</v>
      </c>
      <c r="B15452" s="117" t="s">
        <v>24075</v>
      </c>
      <c r="C15452" t="s">
        <v>67</v>
      </c>
      <c r="D15452" t="s">
        <v>67</v>
      </c>
      <c r="E15452" t="s">
        <v>67</v>
      </c>
      <c r="F15452" t="s">
        <v>27987</v>
      </c>
      <c r="G15452" s="117">
        <v>336.26</v>
      </c>
    </row>
    <row r="15453" spans="1:7" x14ac:dyDescent="0.25">
      <c r="A15453" s="116" t="s">
        <v>24076</v>
      </c>
      <c r="B15453" s="117" t="s">
        <v>24077</v>
      </c>
      <c r="C15453" t="s">
        <v>67</v>
      </c>
      <c r="D15453" t="s">
        <v>67</v>
      </c>
      <c r="E15453" t="s">
        <v>67</v>
      </c>
      <c r="F15453" t="s">
        <v>45</v>
      </c>
      <c r="G15453" s="117">
        <v>3.12</v>
      </c>
    </row>
    <row r="15454" spans="1:7" x14ac:dyDescent="0.25">
      <c r="A15454" s="116" t="s">
        <v>24078</v>
      </c>
      <c r="B15454" s="117" t="s">
        <v>24079</v>
      </c>
      <c r="C15454" t="s">
        <v>67</v>
      </c>
      <c r="D15454" t="s">
        <v>67</v>
      </c>
      <c r="E15454" t="s">
        <v>67</v>
      </c>
      <c r="F15454" t="s">
        <v>27987</v>
      </c>
      <c r="G15454" s="117">
        <v>17.7</v>
      </c>
    </row>
    <row r="15455" spans="1:7" x14ac:dyDescent="0.25">
      <c r="A15455" s="116" t="s">
        <v>24080</v>
      </c>
      <c r="B15455" s="117" t="s">
        <v>24081</v>
      </c>
      <c r="C15455" t="s">
        <v>67</v>
      </c>
      <c r="D15455" t="s">
        <v>67</v>
      </c>
      <c r="E15455" t="s">
        <v>67</v>
      </c>
      <c r="F15455" t="s">
        <v>27987</v>
      </c>
      <c r="G15455" s="117">
        <v>1.69</v>
      </c>
    </row>
    <row r="15456" spans="1:7" x14ac:dyDescent="0.25">
      <c r="A15456" s="116" t="s">
        <v>24082</v>
      </c>
      <c r="B15456" s="117" t="s">
        <v>24083</v>
      </c>
      <c r="C15456" t="s">
        <v>67</v>
      </c>
      <c r="D15456" t="s">
        <v>67</v>
      </c>
      <c r="E15456" t="s">
        <v>67</v>
      </c>
      <c r="F15456" t="s">
        <v>49</v>
      </c>
      <c r="G15456" s="117">
        <v>9.6999999999999993</v>
      </c>
    </row>
    <row r="15457" spans="1:7" x14ac:dyDescent="0.25">
      <c r="A15457" s="116" t="s">
        <v>24084</v>
      </c>
      <c r="B15457" s="117" t="s">
        <v>24085</v>
      </c>
      <c r="C15457" t="s">
        <v>67</v>
      </c>
      <c r="D15457" t="s">
        <v>67</v>
      </c>
      <c r="E15457" t="s">
        <v>67</v>
      </c>
      <c r="F15457" t="s">
        <v>45</v>
      </c>
      <c r="G15457" s="117">
        <v>39.68</v>
      </c>
    </row>
    <row r="15458" spans="1:7" x14ac:dyDescent="0.25">
      <c r="A15458" s="116" t="s">
        <v>24086</v>
      </c>
      <c r="B15458" s="117" t="s">
        <v>29640</v>
      </c>
      <c r="C15458" t="s">
        <v>67</v>
      </c>
      <c r="D15458" t="s">
        <v>67</v>
      </c>
      <c r="E15458" t="s">
        <v>67</v>
      </c>
      <c r="F15458" t="s">
        <v>49</v>
      </c>
      <c r="G15458" s="117">
        <v>2.58</v>
      </c>
    </row>
    <row r="15459" spans="1:7" x14ac:dyDescent="0.25">
      <c r="A15459" s="116" t="s">
        <v>24087</v>
      </c>
      <c r="B15459" s="117" t="s">
        <v>24088</v>
      </c>
      <c r="C15459" t="s">
        <v>67</v>
      </c>
      <c r="D15459" t="s">
        <v>67</v>
      </c>
      <c r="E15459" t="s">
        <v>67</v>
      </c>
      <c r="F15459" t="s">
        <v>27987</v>
      </c>
      <c r="G15459" s="117">
        <v>6.68</v>
      </c>
    </row>
    <row r="15460" spans="1:7" x14ac:dyDescent="0.25">
      <c r="A15460" s="116" t="s">
        <v>24089</v>
      </c>
      <c r="B15460" s="117" t="s">
        <v>29641</v>
      </c>
      <c r="C15460" t="s">
        <v>67</v>
      </c>
      <c r="D15460" t="s">
        <v>67</v>
      </c>
      <c r="E15460" t="s">
        <v>67</v>
      </c>
      <c r="F15460" t="s">
        <v>27987</v>
      </c>
      <c r="G15460" s="117">
        <v>1.91</v>
      </c>
    </row>
    <row r="15461" spans="1:7" x14ac:dyDescent="0.25">
      <c r="A15461" s="116" t="s">
        <v>24090</v>
      </c>
      <c r="B15461" s="117" t="s">
        <v>24091</v>
      </c>
      <c r="C15461" t="s">
        <v>67</v>
      </c>
      <c r="D15461" t="s">
        <v>67</v>
      </c>
      <c r="E15461" t="s">
        <v>67</v>
      </c>
      <c r="F15461" t="s">
        <v>27987</v>
      </c>
      <c r="G15461" s="117">
        <v>2.58</v>
      </c>
    </row>
    <row r="15462" spans="1:7" x14ac:dyDescent="0.25">
      <c r="A15462" s="116" t="s">
        <v>24092</v>
      </c>
      <c r="B15462" s="117" t="s">
        <v>24093</v>
      </c>
      <c r="C15462" t="s">
        <v>67</v>
      </c>
      <c r="D15462" t="s">
        <v>67</v>
      </c>
      <c r="E15462" t="s">
        <v>67</v>
      </c>
      <c r="F15462" t="s">
        <v>27987</v>
      </c>
      <c r="G15462" s="117">
        <v>9.6999999999999993</v>
      </c>
    </row>
    <row r="15463" spans="1:7" x14ac:dyDescent="0.25">
      <c r="A15463" s="116" t="s">
        <v>24094</v>
      </c>
      <c r="B15463" s="117" t="s">
        <v>24095</v>
      </c>
      <c r="C15463" t="s">
        <v>67</v>
      </c>
      <c r="D15463" t="s">
        <v>67</v>
      </c>
      <c r="E15463" t="s">
        <v>67</v>
      </c>
      <c r="F15463" t="s">
        <v>27987</v>
      </c>
      <c r="G15463" s="117">
        <v>19.13</v>
      </c>
    </row>
    <row r="15464" spans="1:7" x14ac:dyDescent="0.25">
      <c r="A15464" s="116" t="s">
        <v>24096</v>
      </c>
      <c r="B15464" s="117" t="s">
        <v>24097</v>
      </c>
      <c r="C15464" t="s">
        <v>67</v>
      </c>
      <c r="D15464" t="s">
        <v>67</v>
      </c>
      <c r="E15464" t="s">
        <v>67</v>
      </c>
      <c r="F15464" t="s">
        <v>27987</v>
      </c>
      <c r="G15464" s="117">
        <v>37.82</v>
      </c>
    </row>
    <row r="15465" spans="1:7" x14ac:dyDescent="0.25">
      <c r="A15465" s="116" t="s">
        <v>24098</v>
      </c>
      <c r="B15465" s="117" t="s">
        <v>24099</v>
      </c>
      <c r="C15465" t="s">
        <v>67</v>
      </c>
      <c r="D15465" t="s">
        <v>67</v>
      </c>
      <c r="E15465" t="s">
        <v>67</v>
      </c>
      <c r="F15465" t="s">
        <v>49</v>
      </c>
      <c r="G15465" s="117">
        <v>4.8899999999999997</v>
      </c>
    </row>
    <row r="15466" spans="1:7" x14ac:dyDescent="0.25">
      <c r="A15466" s="116" t="s">
        <v>24100</v>
      </c>
      <c r="B15466" s="117" t="s">
        <v>5211</v>
      </c>
      <c r="C15466" t="s">
        <v>67</v>
      </c>
      <c r="D15466" t="s">
        <v>67</v>
      </c>
      <c r="E15466" t="s">
        <v>67</v>
      </c>
      <c r="F15466" t="s">
        <v>49</v>
      </c>
      <c r="G15466" s="117">
        <v>17.2</v>
      </c>
    </row>
    <row r="15467" spans="1:7" x14ac:dyDescent="0.25">
      <c r="A15467" s="116" t="s">
        <v>24101</v>
      </c>
      <c r="B15467" s="117" t="s">
        <v>24102</v>
      </c>
      <c r="C15467" t="s">
        <v>67</v>
      </c>
      <c r="D15467" t="s">
        <v>67</v>
      </c>
      <c r="E15467" t="s">
        <v>67</v>
      </c>
      <c r="F15467" t="s">
        <v>49</v>
      </c>
      <c r="G15467" s="117">
        <v>75.55</v>
      </c>
    </row>
    <row r="15468" spans="1:7" x14ac:dyDescent="0.25">
      <c r="A15468" s="116" t="s">
        <v>24103</v>
      </c>
      <c r="B15468" s="117" t="s">
        <v>24104</v>
      </c>
      <c r="C15468" t="s">
        <v>67</v>
      </c>
      <c r="D15468" t="s">
        <v>67</v>
      </c>
      <c r="E15468" t="s">
        <v>67</v>
      </c>
      <c r="F15468" t="s">
        <v>27987</v>
      </c>
      <c r="G15468" s="117">
        <v>2.23</v>
      </c>
    </row>
    <row r="15469" spans="1:7" x14ac:dyDescent="0.25">
      <c r="A15469" s="116" t="s">
        <v>24105</v>
      </c>
      <c r="B15469" s="117" t="s">
        <v>24106</v>
      </c>
      <c r="C15469" t="s">
        <v>67</v>
      </c>
      <c r="D15469" t="s">
        <v>67</v>
      </c>
      <c r="E15469" t="s">
        <v>67</v>
      </c>
      <c r="F15469" t="s">
        <v>49</v>
      </c>
      <c r="G15469" s="117">
        <v>1.69</v>
      </c>
    </row>
    <row r="15470" spans="1:7" x14ac:dyDescent="0.25">
      <c r="A15470" s="116" t="s">
        <v>24107</v>
      </c>
      <c r="B15470" s="117" t="s">
        <v>24108</v>
      </c>
      <c r="C15470" t="s">
        <v>67</v>
      </c>
      <c r="D15470" t="s">
        <v>67</v>
      </c>
      <c r="E15470" t="s">
        <v>67</v>
      </c>
      <c r="F15470" t="s">
        <v>45</v>
      </c>
      <c r="G15470" s="117">
        <v>13.26</v>
      </c>
    </row>
    <row r="15471" spans="1:7" x14ac:dyDescent="0.25">
      <c r="A15471" s="116" t="s">
        <v>24109</v>
      </c>
      <c r="B15471" s="117" t="s">
        <v>24110</v>
      </c>
      <c r="C15471" t="s">
        <v>67</v>
      </c>
      <c r="D15471" t="s">
        <v>67</v>
      </c>
      <c r="E15471" t="s">
        <v>67</v>
      </c>
      <c r="F15471" t="s">
        <v>27987</v>
      </c>
      <c r="G15471" s="117">
        <v>6.68</v>
      </c>
    </row>
    <row r="15472" spans="1:7" x14ac:dyDescent="0.25">
      <c r="A15472" s="116" t="s">
        <v>24111</v>
      </c>
      <c r="B15472" s="117" t="s">
        <v>24112</v>
      </c>
      <c r="C15472" t="s">
        <v>67</v>
      </c>
      <c r="D15472" t="s">
        <v>67</v>
      </c>
      <c r="E15472" t="s">
        <v>67</v>
      </c>
      <c r="F15472" t="s">
        <v>27987</v>
      </c>
      <c r="G15472" s="117">
        <v>6.68</v>
      </c>
    </row>
    <row r="15473" spans="1:7" x14ac:dyDescent="0.25">
      <c r="A15473" s="116" t="s">
        <v>24113</v>
      </c>
      <c r="B15473" s="117" t="s">
        <v>24114</v>
      </c>
      <c r="C15473" t="s">
        <v>67</v>
      </c>
      <c r="D15473" t="s">
        <v>67</v>
      </c>
      <c r="E15473" t="s">
        <v>67</v>
      </c>
      <c r="F15473" t="s">
        <v>49</v>
      </c>
      <c r="G15473" s="117">
        <v>1.69</v>
      </c>
    </row>
    <row r="15474" spans="1:7" x14ac:dyDescent="0.25">
      <c r="A15474" s="116" t="s">
        <v>24115</v>
      </c>
      <c r="B15474" s="117" t="s">
        <v>9039</v>
      </c>
      <c r="C15474" t="s">
        <v>67</v>
      </c>
      <c r="D15474" t="s">
        <v>67</v>
      </c>
      <c r="E15474" t="s">
        <v>67</v>
      </c>
      <c r="F15474" t="s">
        <v>45</v>
      </c>
      <c r="G15474" s="117">
        <v>1.69</v>
      </c>
    </row>
    <row r="15475" spans="1:7" x14ac:dyDescent="0.25">
      <c r="A15475" s="116" t="s">
        <v>24116</v>
      </c>
      <c r="B15475" s="117" t="s">
        <v>24117</v>
      </c>
      <c r="C15475" t="s">
        <v>67</v>
      </c>
      <c r="D15475" t="s">
        <v>67</v>
      </c>
      <c r="E15475" t="s">
        <v>67</v>
      </c>
      <c r="F15475" t="s">
        <v>27987</v>
      </c>
      <c r="G15475" s="117">
        <v>1.69</v>
      </c>
    </row>
    <row r="15476" spans="1:7" x14ac:dyDescent="0.25">
      <c r="A15476" s="116" t="s">
        <v>24118</v>
      </c>
      <c r="B15476" s="117" t="s">
        <v>5211</v>
      </c>
      <c r="C15476" t="s">
        <v>67</v>
      </c>
      <c r="D15476" t="s">
        <v>67</v>
      </c>
      <c r="E15476" t="s">
        <v>67</v>
      </c>
      <c r="F15476" t="s">
        <v>27987</v>
      </c>
      <c r="G15476" s="117">
        <v>17.7</v>
      </c>
    </row>
    <row r="15477" spans="1:7" x14ac:dyDescent="0.25">
      <c r="A15477" s="116" t="s">
        <v>24119</v>
      </c>
      <c r="B15477" s="117" t="s">
        <v>24120</v>
      </c>
      <c r="C15477" t="s">
        <v>67</v>
      </c>
      <c r="D15477" t="s">
        <v>67</v>
      </c>
      <c r="E15477" t="s">
        <v>67</v>
      </c>
      <c r="F15477" t="s">
        <v>27987</v>
      </c>
      <c r="G15477" s="117">
        <v>19.13</v>
      </c>
    </row>
    <row r="15478" spans="1:7" x14ac:dyDescent="0.25">
      <c r="A15478" s="116" t="s">
        <v>24121</v>
      </c>
      <c r="B15478" s="117" t="s">
        <v>24122</v>
      </c>
      <c r="C15478" t="s">
        <v>67</v>
      </c>
      <c r="D15478" t="s">
        <v>67</v>
      </c>
      <c r="E15478" t="s">
        <v>67</v>
      </c>
      <c r="F15478" t="s">
        <v>27987</v>
      </c>
      <c r="G15478" s="117">
        <v>29.81</v>
      </c>
    </row>
    <row r="15479" spans="1:7" x14ac:dyDescent="0.25">
      <c r="A15479" s="116" t="s">
        <v>24123</v>
      </c>
      <c r="B15479" s="117" t="s">
        <v>24124</v>
      </c>
      <c r="C15479" t="s">
        <v>67</v>
      </c>
      <c r="D15479" t="s">
        <v>67</v>
      </c>
      <c r="E15479" t="s">
        <v>67</v>
      </c>
      <c r="F15479" t="s">
        <v>27987</v>
      </c>
      <c r="G15479" s="117">
        <v>29.81</v>
      </c>
    </row>
    <row r="15480" spans="1:7" x14ac:dyDescent="0.25">
      <c r="A15480" s="116" t="s">
        <v>24125</v>
      </c>
      <c r="B15480" s="117" t="s">
        <v>24126</v>
      </c>
      <c r="C15480" t="s">
        <v>67</v>
      </c>
      <c r="D15480" t="s">
        <v>67</v>
      </c>
      <c r="E15480" t="s">
        <v>67</v>
      </c>
      <c r="F15480" t="s">
        <v>27987</v>
      </c>
      <c r="G15480" s="117">
        <v>129.82</v>
      </c>
    </row>
    <row r="15481" spans="1:7" x14ac:dyDescent="0.25">
      <c r="A15481" s="116" t="s">
        <v>24127</v>
      </c>
      <c r="B15481" s="117" t="s">
        <v>24085</v>
      </c>
      <c r="C15481" t="s">
        <v>67</v>
      </c>
      <c r="D15481" t="s">
        <v>67</v>
      </c>
      <c r="E15481" t="s">
        <v>67</v>
      </c>
      <c r="F15481" t="s">
        <v>27987</v>
      </c>
      <c r="G15481" s="117">
        <v>91.2</v>
      </c>
    </row>
    <row r="15482" spans="1:7" x14ac:dyDescent="0.25">
      <c r="A15482" s="116" t="s">
        <v>24128</v>
      </c>
      <c r="B15482" s="117" t="s">
        <v>24129</v>
      </c>
      <c r="C15482" t="s">
        <v>67</v>
      </c>
      <c r="D15482" t="s">
        <v>67</v>
      </c>
      <c r="E15482" t="s">
        <v>67</v>
      </c>
      <c r="F15482" t="s">
        <v>27987</v>
      </c>
      <c r="G15482" s="117">
        <v>104.02</v>
      </c>
    </row>
    <row r="15483" spans="1:7" x14ac:dyDescent="0.25">
      <c r="A15483" s="116" t="s">
        <v>24130</v>
      </c>
      <c r="B15483" s="117" t="s">
        <v>24131</v>
      </c>
      <c r="C15483" t="s">
        <v>67</v>
      </c>
      <c r="D15483" t="s">
        <v>67</v>
      </c>
      <c r="E15483" t="s">
        <v>67</v>
      </c>
      <c r="F15483" t="s">
        <v>27987</v>
      </c>
      <c r="G15483" s="117">
        <v>159.19</v>
      </c>
    </row>
    <row r="15484" spans="1:7" x14ac:dyDescent="0.25">
      <c r="A15484" s="116" t="s">
        <v>24132</v>
      </c>
      <c r="B15484" s="117" t="s">
        <v>29642</v>
      </c>
      <c r="C15484" t="s">
        <v>67</v>
      </c>
      <c r="D15484" t="s">
        <v>67</v>
      </c>
      <c r="E15484" t="s">
        <v>67</v>
      </c>
      <c r="F15484" t="s">
        <v>45</v>
      </c>
      <c r="G15484" s="117">
        <v>194.56</v>
      </c>
    </row>
    <row r="15485" spans="1:7" x14ac:dyDescent="0.25">
      <c r="A15485" s="116" t="s">
        <v>24133</v>
      </c>
      <c r="B15485" s="117" t="s">
        <v>24134</v>
      </c>
      <c r="C15485" t="s">
        <v>67</v>
      </c>
      <c r="D15485" t="s">
        <v>67</v>
      </c>
      <c r="E15485" t="s">
        <v>67</v>
      </c>
      <c r="F15485" t="s">
        <v>45</v>
      </c>
      <c r="G15485" s="117">
        <v>283.42</v>
      </c>
    </row>
    <row r="15486" spans="1:7" x14ac:dyDescent="0.25">
      <c r="A15486" s="116" t="s">
        <v>24135</v>
      </c>
      <c r="B15486" s="117" t="s">
        <v>24136</v>
      </c>
      <c r="C15486" t="s">
        <v>67</v>
      </c>
      <c r="D15486" t="s">
        <v>67</v>
      </c>
      <c r="E15486" t="s">
        <v>67</v>
      </c>
      <c r="F15486" t="s">
        <v>27987</v>
      </c>
      <c r="G15486" s="117">
        <v>247.82</v>
      </c>
    </row>
    <row r="15487" spans="1:7" x14ac:dyDescent="0.25">
      <c r="A15487" s="116" t="s">
        <v>24137</v>
      </c>
      <c r="B15487" s="117" t="s">
        <v>24138</v>
      </c>
      <c r="C15487" t="s">
        <v>67</v>
      </c>
      <c r="D15487" t="s">
        <v>67</v>
      </c>
      <c r="E15487" t="s">
        <v>67</v>
      </c>
      <c r="F15487" t="s">
        <v>27987</v>
      </c>
      <c r="G15487" s="117">
        <v>206.76</v>
      </c>
    </row>
    <row r="15488" spans="1:7" x14ac:dyDescent="0.25">
      <c r="A15488" s="116" t="s">
        <v>31239</v>
      </c>
      <c r="B15488" s="117" t="s">
        <v>31240</v>
      </c>
      <c r="C15488" t="s">
        <v>67</v>
      </c>
      <c r="D15488" t="s">
        <v>67</v>
      </c>
      <c r="E15488" t="s">
        <v>67</v>
      </c>
      <c r="F15488" t="s">
        <v>45</v>
      </c>
      <c r="G15488" s="117">
        <v>4.5</v>
      </c>
    </row>
    <row r="15489" spans="1:7" x14ac:dyDescent="0.25">
      <c r="A15489" s="116" t="s">
        <v>24139</v>
      </c>
      <c r="B15489" s="117" t="s">
        <v>24140</v>
      </c>
      <c r="C15489" t="s">
        <v>67</v>
      </c>
      <c r="D15489" t="s">
        <v>67</v>
      </c>
      <c r="E15489" t="s">
        <v>67</v>
      </c>
      <c r="F15489" t="s">
        <v>27987</v>
      </c>
      <c r="G15489" s="117">
        <v>0.44</v>
      </c>
    </row>
    <row r="15490" spans="1:7" x14ac:dyDescent="0.25">
      <c r="A15490" s="116" t="s">
        <v>24141</v>
      </c>
      <c r="B15490" s="117" t="s">
        <v>8010</v>
      </c>
      <c r="C15490" t="s">
        <v>67</v>
      </c>
      <c r="D15490" t="s">
        <v>67</v>
      </c>
      <c r="E15490" t="s">
        <v>67</v>
      </c>
      <c r="F15490" t="s">
        <v>49</v>
      </c>
      <c r="G15490" s="117">
        <v>0.44</v>
      </c>
    </row>
    <row r="15491" spans="1:7" x14ac:dyDescent="0.25">
      <c r="A15491" s="116" t="s">
        <v>24142</v>
      </c>
      <c r="B15491" s="117" t="s">
        <v>24143</v>
      </c>
      <c r="C15491" t="s">
        <v>67</v>
      </c>
      <c r="D15491" t="s">
        <v>67</v>
      </c>
      <c r="E15491" t="s">
        <v>67</v>
      </c>
      <c r="F15491" t="s">
        <v>27987</v>
      </c>
      <c r="G15491" s="117">
        <v>71.099999999999994</v>
      </c>
    </row>
    <row r="15492" spans="1:7" x14ac:dyDescent="0.25">
      <c r="A15492" s="116" t="s">
        <v>29837</v>
      </c>
      <c r="B15492" s="117" t="s">
        <v>30564</v>
      </c>
      <c r="C15492" t="s">
        <v>67</v>
      </c>
      <c r="D15492" t="s">
        <v>67</v>
      </c>
      <c r="E15492" t="s">
        <v>67</v>
      </c>
      <c r="F15492" t="s">
        <v>27987</v>
      </c>
      <c r="G15492" s="117">
        <v>20</v>
      </c>
    </row>
    <row r="15493" spans="1:7" x14ac:dyDescent="0.25">
      <c r="A15493" s="116" t="s">
        <v>24144</v>
      </c>
      <c r="B15493" s="117" t="s">
        <v>24145</v>
      </c>
      <c r="C15493" t="s">
        <v>67</v>
      </c>
      <c r="D15493" t="s">
        <v>67</v>
      </c>
      <c r="E15493" t="s">
        <v>67</v>
      </c>
      <c r="F15493" t="s">
        <v>27987</v>
      </c>
      <c r="G15493" s="117">
        <v>0.89</v>
      </c>
    </row>
    <row r="15494" spans="1:7" x14ac:dyDescent="0.25">
      <c r="A15494" s="116" t="s">
        <v>24146</v>
      </c>
      <c r="B15494" s="117" t="s">
        <v>24147</v>
      </c>
      <c r="C15494" t="s">
        <v>67</v>
      </c>
      <c r="D15494" t="s">
        <v>67</v>
      </c>
      <c r="E15494" t="s">
        <v>67</v>
      </c>
      <c r="F15494" t="s">
        <v>45</v>
      </c>
      <c r="G15494" s="117">
        <v>27.14</v>
      </c>
    </row>
    <row r="15495" spans="1:7" x14ac:dyDescent="0.25">
      <c r="A15495" s="116" t="s">
        <v>24148</v>
      </c>
      <c r="B15495" s="117" t="s">
        <v>24145</v>
      </c>
      <c r="C15495" t="s">
        <v>67</v>
      </c>
      <c r="D15495" t="s">
        <v>67</v>
      </c>
      <c r="E15495" t="s">
        <v>67</v>
      </c>
      <c r="F15495" t="s">
        <v>27987</v>
      </c>
      <c r="G15495" s="117">
        <v>9.6999999999999993</v>
      </c>
    </row>
    <row r="15496" spans="1:7" x14ac:dyDescent="0.25">
      <c r="A15496" s="116" t="s">
        <v>24149</v>
      </c>
      <c r="B15496" s="117" t="s">
        <v>24150</v>
      </c>
      <c r="C15496" t="s">
        <v>67</v>
      </c>
      <c r="D15496" t="s">
        <v>67</v>
      </c>
      <c r="E15496" t="s">
        <v>67</v>
      </c>
      <c r="F15496" t="s">
        <v>27987</v>
      </c>
      <c r="G15496" s="117">
        <v>4.3600000000000003</v>
      </c>
    </row>
    <row r="15497" spans="1:7" x14ac:dyDescent="0.25">
      <c r="A15497" s="116" t="s">
        <v>24151</v>
      </c>
      <c r="B15497" s="117" t="s">
        <v>24152</v>
      </c>
      <c r="C15497" t="s">
        <v>67</v>
      </c>
      <c r="D15497" t="s">
        <v>67</v>
      </c>
      <c r="E15497" t="s">
        <v>67</v>
      </c>
      <c r="F15497" t="s">
        <v>27987</v>
      </c>
      <c r="G15497" s="117">
        <v>20.38</v>
      </c>
    </row>
    <row r="15498" spans="1:7" x14ac:dyDescent="0.25">
      <c r="A15498" s="116" t="s">
        <v>31241</v>
      </c>
      <c r="B15498" s="117" t="s">
        <v>31242</v>
      </c>
      <c r="C15498" t="s">
        <v>67</v>
      </c>
      <c r="D15498" t="s">
        <v>67</v>
      </c>
      <c r="E15498" t="s">
        <v>67</v>
      </c>
      <c r="F15498" t="s">
        <v>45</v>
      </c>
      <c r="G15498" s="117">
        <v>3.47</v>
      </c>
    </row>
    <row r="15499" spans="1:7" x14ac:dyDescent="0.25">
      <c r="A15499" s="116" t="s">
        <v>31243</v>
      </c>
      <c r="B15499" s="117" t="s">
        <v>31244</v>
      </c>
      <c r="C15499" t="s">
        <v>67</v>
      </c>
      <c r="D15499" t="s">
        <v>67</v>
      </c>
      <c r="E15499" t="s">
        <v>67</v>
      </c>
      <c r="F15499" t="s">
        <v>45</v>
      </c>
      <c r="G15499" s="117">
        <v>3</v>
      </c>
    </row>
    <row r="15500" spans="1:7" x14ac:dyDescent="0.25">
      <c r="A15500" s="116" t="s">
        <v>24153</v>
      </c>
      <c r="B15500" s="117" t="s">
        <v>24154</v>
      </c>
      <c r="C15500" t="s">
        <v>67</v>
      </c>
      <c r="D15500" t="s">
        <v>67</v>
      </c>
      <c r="E15500" t="s">
        <v>67</v>
      </c>
      <c r="F15500" t="s">
        <v>27987</v>
      </c>
      <c r="G15500" s="117">
        <v>2.58</v>
      </c>
    </row>
    <row r="15501" spans="1:7" x14ac:dyDescent="0.25">
      <c r="A15501" s="116" t="s">
        <v>24155</v>
      </c>
      <c r="B15501" s="117" t="s">
        <v>24156</v>
      </c>
      <c r="C15501" t="s">
        <v>67</v>
      </c>
      <c r="D15501" t="s">
        <v>67</v>
      </c>
      <c r="E15501" t="s">
        <v>67</v>
      </c>
      <c r="F15501" t="s">
        <v>27987</v>
      </c>
      <c r="G15501" s="117">
        <v>10.58</v>
      </c>
    </row>
    <row r="15502" spans="1:7" x14ac:dyDescent="0.25">
      <c r="A15502" s="116" t="s">
        <v>24157</v>
      </c>
      <c r="B15502" s="117" t="s">
        <v>24158</v>
      </c>
      <c r="C15502" t="s">
        <v>67</v>
      </c>
      <c r="D15502" t="s">
        <v>67</v>
      </c>
      <c r="E15502" t="s">
        <v>67</v>
      </c>
      <c r="F15502" t="s">
        <v>27987</v>
      </c>
      <c r="G15502" s="117">
        <v>28.02</v>
      </c>
    </row>
    <row r="15503" spans="1:7" x14ac:dyDescent="0.25">
      <c r="A15503" s="116" t="s">
        <v>24159</v>
      </c>
      <c r="B15503" s="117" t="s">
        <v>24160</v>
      </c>
      <c r="C15503" t="s">
        <v>67</v>
      </c>
      <c r="D15503" t="s">
        <v>67</v>
      </c>
      <c r="E15503" t="s">
        <v>67</v>
      </c>
      <c r="F15503" t="s">
        <v>27987</v>
      </c>
      <c r="G15503" s="117">
        <v>2.58</v>
      </c>
    </row>
    <row r="15504" spans="1:7" x14ac:dyDescent="0.25">
      <c r="A15504" s="116" t="s">
        <v>24161</v>
      </c>
      <c r="B15504" s="117" t="s">
        <v>92</v>
      </c>
      <c r="C15504" t="s">
        <v>67</v>
      </c>
      <c r="D15504" t="s">
        <v>67</v>
      </c>
      <c r="E15504" t="s">
        <v>67</v>
      </c>
      <c r="F15504" t="s">
        <v>27987</v>
      </c>
      <c r="G15504" s="117">
        <v>2.58</v>
      </c>
    </row>
    <row r="15505" spans="1:7" x14ac:dyDescent="0.25">
      <c r="A15505" s="116" t="s">
        <v>29838</v>
      </c>
      <c r="B15505" s="117" t="s">
        <v>30565</v>
      </c>
      <c r="C15505" t="s">
        <v>67</v>
      </c>
      <c r="D15505" t="s">
        <v>67</v>
      </c>
      <c r="E15505" t="s">
        <v>67</v>
      </c>
      <c r="F15505" t="s">
        <v>27987</v>
      </c>
      <c r="G15505" s="117">
        <v>20</v>
      </c>
    </row>
    <row r="15506" spans="1:7" x14ac:dyDescent="0.25">
      <c r="A15506" s="116" t="s">
        <v>29839</v>
      </c>
      <c r="B15506" s="117" t="s">
        <v>30566</v>
      </c>
      <c r="C15506" t="s">
        <v>67</v>
      </c>
      <c r="D15506" t="s">
        <v>67</v>
      </c>
      <c r="E15506" t="s">
        <v>67</v>
      </c>
      <c r="F15506" t="s">
        <v>27987</v>
      </c>
      <c r="G15506" s="117">
        <v>20</v>
      </c>
    </row>
    <row r="15507" spans="1:7" x14ac:dyDescent="0.25">
      <c r="A15507" s="116" t="s">
        <v>24162</v>
      </c>
      <c r="B15507" s="117" t="s">
        <v>24163</v>
      </c>
      <c r="C15507" t="s">
        <v>67</v>
      </c>
      <c r="D15507" t="s">
        <v>67</v>
      </c>
      <c r="E15507" t="s">
        <v>67</v>
      </c>
      <c r="F15507" t="s">
        <v>27987</v>
      </c>
      <c r="G15507" s="117">
        <v>2.67</v>
      </c>
    </row>
    <row r="15508" spans="1:7" x14ac:dyDescent="0.25">
      <c r="A15508" s="116" t="s">
        <v>24164</v>
      </c>
      <c r="B15508" s="117" t="s">
        <v>24165</v>
      </c>
      <c r="C15508" t="s">
        <v>67</v>
      </c>
      <c r="D15508" t="s">
        <v>67</v>
      </c>
      <c r="E15508" t="s">
        <v>67</v>
      </c>
      <c r="F15508" t="s">
        <v>27987</v>
      </c>
      <c r="G15508" s="117">
        <v>68.430000000000007</v>
      </c>
    </row>
    <row r="15509" spans="1:7" x14ac:dyDescent="0.25">
      <c r="A15509" s="116" t="s">
        <v>24166</v>
      </c>
      <c r="B15509" s="117" t="s">
        <v>24167</v>
      </c>
      <c r="C15509" t="s">
        <v>67</v>
      </c>
      <c r="D15509" t="s">
        <v>67</v>
      </c>
      <c r="E15509" t="s">
        <v>67</v>
      </c>
      <c r="F15509" t="s">
        <v>27987</v>
      </c>
      <c r="G15509" s="117">
        <v>93.88</v>
      </c>
    </row>
    <row r="15510" spans="1:7" x14ac:dyDescent="0.25">
      <c r="A15510" s="116" t="s">
        <v>24168</v>
      </c>
      <c r="B15510" s="117" t="s">
        <v>24169</v>
      </c>
      <c r="C15510" t="s">
        <v>67</v>
      </c>
      <c r="D15510" t="s">
        <v>67</v>
      </c>
      <c r="E15510" t="s">
        <v>67</v>
      </c>
      <c r="F15510" t="s">
        <v>27987</v>
      </c>
      <c r="G15510" s="117">
        <v>4.8899999999999997</v>
      </c>
    </row>
    <row r="15511" spans="1:7" x14ac:dyDescent="0.25">
      <c r="A15511" s="116" t="s">
        <v>24170</v>
      </c>
      <c r="B15511" s="117" t="s">
        <v>30163</v>
      </c>
      <c r="C15511" t="s">
        <v>67</v>
      </c>
      <c r="D15511" t="s">
        <v>67</v>
      </c>
      <c r="E15511" t="s">
        <v>67</v>
      </c>
      <c r="F15511" t="s">
        <v>27987</v>
      </c>
      <c r="G15511" s="117">
        <v>2.15</v>
      </c>
    </row>
    <row r="15512" spans="1:7" x14ac:dyDescent="0.25">
      <c r="A15512" s="116" t="s">
        <v>24171</v>
      </c>
      <c r="B15512" s="117" t="s">
        <v>24172</v>
      </c>
      <c r="C15512" t="s">
        <v>67</v>
      </c>
      <c r="D15512" t="s">
        <v>67</v>
      </c>
      <c r="E15512" t="s">
        <v>67</v>
      </c>
      <c r="F15512" t="s">
        <v>27987</v>
      </c>
      <c r="G15512" s="117">
        <v>74.66</v>
      </c>
    </row>
    <row r="15513" spans="1:7" x14ac:dyDescent="0.25">
      <c r="A15513" s="116" t="s">
        <v>24173</v>
      </c>
      <c r="B15513" s="117" t="s">
        <v>29643</v>
      </c>
      <c r="C15513" t="s">
        <v>67</v>
      </c>
      <c r="D15513" t="s">
        <v>67</v>
      </c>
      <c r="E15513" t="s">
        <v>67</v>
      </c>
      <c r="F15513" t="s">
        <v>27987</v>
      </c>
      <c r="G15513" s="117">
        <v>77.61</v>
      </c>
    </row>
    <row r="15514" spans="1:7" x14ac:dyDescent="0.25">
      <c r="A15514" s="116" t="s">
        <v>31245</v>
      </c>
      <c r="B15514" s="117" t="s">
        <v>31246</v>
      </c>
      <c r="C15514" t="s">
        <v>67</v>
      </c>
      <c r="D15514" t="s">
        <v>67</v>
      </c>
      <c r="E15514" t="s">
        <v>67</v>
      </c>
      <c r="F15514" t="s">
        <v>45</v>
      </c>
      <c r="G15514" s="117">
        <v>75</v>
      </c>
    </row>
    <row r="15515" spans="1:7" x14ac:dyDescent="0.25">
      <c r="A15515" s="116" t="s">
        <v>24174</v>
      </c>
      <c r="B15515" s="117" t="s">
        <v>24175</v>
      </c>
      <c r="C15515" t="s">
        <v>67</v>
      </c>
      <c r="D15515" t="s">
        <v>67</v>
      </c>
      <c r="E15515" t="s">
        <v>67</v>
      </c>
      <c r="F15515" t="s">
        <v>45</v>
      </c>
      <c r="G15515" s="117">
        <v>142.38999999999999</v>
      </c>
    </row>
    <row r="15516" spans="1:7" x14ac:dyDescent="0.25">
      <c r="A15516" s="116" t="s">
        <v>24176</v>
      </c>
      <c r="B15516" s="117" t="s">
        <v>30164</v>
      </c>
      <c r="C15516" t="s">
        <v>67</v>
      </c>
      <c r="D15516" t="s">
        <v>67</v>
      </c>
      <c r="E15516" t="s">
        <v>67</v>
      </c>
      <c r="F15516" t="s">
        <v>27987</v>
      </c>
      <c r="G15516" s="117">
        <v>13.47</v>
      </c>
    </row>
    <row r="15517" spans="1:7" x14ac:dyDescent="0.25">
      <c r="A15517" s="116" t="s">
        <v>24177</v>
      </c>
      <c r="B15517" s="117" t="s">
        <v>30165</v>
      </c>
      <c r="C15517" t="s">
        <v>67</v>
      </c>
      <c r="D15517" t="s">
        <v>67</v>
      </c>
      <c r="E15517" t="s">
        <v>67</v>
      </c>
      <c r="F15517" t="s">
        <v>27987</v>
      </c>
      <c r="G15517" s="117">
        <v>13.47</v>
      </c>
    </row>
    <row r="15518" spans="1:7" x14ac:dyDescent="0.25">
      <c r="A15518" s="116" t="s">
        <v>24178</v>
      </c>
      <c r="B15518" s="117" t="s">
        <v>30166</v>
      </c>
      <c r="C15518" t="s">
        <v>67</v>
      </c>
      <c r="D15518" t="s">
        <v>67</v>
      </c>
      <c r="E15518" t="s">
        <v>67</v>
      </c>
      <c r="F15518" t="s">
        <v>45</v>
      </c>
      <c r="G15518" s="117">
        <v>4.54</v>
      </c>
    </row>
    <row r="15519" spans="1:7" x14ac:dyDescent="0.25">
      <c r="A15519" s="116" t="s">
        <v>24179</v>
      </c>
      <c r="B15519" s="117" t="s">
        <v>24180</v>
      </c>
      <c r="C15519" t="s">
        <v>67</v>
      </c>
      <c r="D15519" t="s">
        <v>67</v>
      </c>
      <c r="E15519" t="s">
        <v>67</v>
      </c>
      <c r="F15519" t="s">
        <v>27987</v>
      </c>
      <c r="G15519" s="117">
        <v>74.66</v>
      </c>
    </row>
    <row r="15520" spans="1:7" x14ac:dyDescent="0.25">
      <c r="A15520" s="116" t="s">
        <v>24181</v>
      </c>
      <c r="B15520" s="117" t="s">
        <v>24182</v>
      </c>
      <c r="C15520" t="s">
        <v>67</v>
      </c>
      <c r="D15520" t="s">
        <v>67</v>
      </c>
      <c r="E15520" t="s">
        <v>67</v>
      </c>
      <c r="F15520" t="s">
        <v>27987</v>
      </c>
      <c r="G15520" s="117">
        <v>1.91</v>
      </c>
    </row>
    <row r="15521" spans="1:7" x14ac:dyDescent="0.25">
      <c r="A15521" s="116" t="s">
        <v>24183</v>
      </c>
      <c r="B15521" s="117" t="s">
        <v>5331</v>
      </c>
      <c r="C15521" t="s">
        <v>67</v>
      </c>
      <c r="D15521" t="s">
        <v>67</v>
      </c>
      <c r="E15521" t="s">
        <v>67</v>
      </c>
      <c r="F15521" t="s">
        <v>45</v>
      </c>
      <c r="G15521" s="117">
        <v>10</v>
      </c>
    </row>
    <row r="15522" spans="1:7" x14ac:dyDescent="0.25">
      <c r="A15522" s="116" t="s">
        <v>24184</v>
      </c>
      <c r="B15522" s="117" t="s">
        <v>24185</v>
      </c>
      <c r="C15522" t="s">
        <v>67</v>
      </c>
      <c r="D15522" t="s">
        <v>67</v>
      </c>
      <c r="E15522" t="s">
        <v>67</v>
      </c>
      <c r="F15522" t="s">
        <v>45</v>
      </c>
      <c r="G15522" s="117">
        <v>8.4499999999999993</v>
      </c>
    </row>
    <row r="15523" spans="1:7" x14ac:dyDescent="0.25">
      <c r="A15523" s="116" t="s">
        <v>24186</v>
      </c>
      <c r="B15523" s="117" t="s">
        <v>23344</v>
      </c>
      <c r="C15523" t="s">
        <v>67</v>
      </c>
      <c r="D15523" t="s">
        <v>67</v>
      </c>
      <c r="E15523" t="s">
        <v>67</v>
      </c>
      <c r="F15523" t="s">
        <v>45</v>
      </c>
      <c r="G15523" s="117">
        <v>1.69</v>
      </c>
    </row>
    <row r="15524" spans="1:7" x14ac:dyDescent="0.25">
      <c r="A15524" s="116" t="s">
        <v>24187</v>
      </c>
      <c r="B15524" s="117" t="s">
        <v>24188</v>
      </c>
      <c r="C15524" t="s">
        <v>67</v>
      </c>
      <c r="D15524" t="s">
        <v>67</v>
      </c>
      <c r="E15524" t="s">
        <v>67</v>
      </c>
      <c r="F15524" t="s">
        <v>45</v>
      </c>
      <c r="G15524" s="117">
        <v>20.38</v>
      </c>
    </row>
    <row r="15525" spans="1:7" x14ac:dyDescent="0.25">
      <c r="A15525" s="116" t="s">
        <v>24189</v>
      </c>
      <c r="B15525" s="117" t="s">
        <v>24190</v>
      </c>
      <c r="C15525" t="s">
        <v>67</v>
      </c>
      <c r="D15525" t="s">
        <v>67</v>
      </c>
      <c r="E15525" t="s">
        <v>67</v>
      </c>
      <c r="F15525" t="s">
        <v>45</v>
      </c>
      <c r="G15525" s="117">
        <v>4.3600000000000003</v>
      </c>
    </row>
    <row r="15526" spans="1:7" x14ac:dyDescent="0.25">
      <c r="A15526" s="116" t="s">
        <v>24191</v>
      </c>
      <c r="B15526" s="117" t="s">
        <v>24192</v>
      </c>
      <c r="C15526" t="s">
        <v>67</v>
      </c>
      <c r="D15526" t="s">
        <v>67</v>
      </c>
      <c r="E15526" t="s">
        <v>67</v>
      </c>
      <c r="F15526" t="s">
        <v>45</v>
      </c>
      <c r="G15526" s="117">
        <v>6.68</v>
      </c>
    </row>
    <row r="15527" spans="1:7" x14ac:dyDescent="0.25">
      <c r="A15527" s="116" t="s">
        <v>24193</v>
      </c>
      <c r="B15527" s="117" t="s">
        <v>24194</v>
      </c>
      <c r="C15527" t="s">
        <v>67</v>
      </c>
      <c r="D15527" t="s">
        <v>67</v>
      </c>
      <c r="E15527" t="s">
        <v>67</v>
      </c>
      <c r="F15527" t="s">
        <v>45</v>
      </c>
      <c r="G15527" s="117">
        <v>6.68</v>
      </c>
    </row>
    <row r="15528" spans="1:7" x14ac:dyDescent="0.25">
      <c r="A15528" s="116" t="s">
        <v>24195</v>
      </c>
      <c r="B15528" s="117" t="s">
        <v>24196</v>
      </c>
      <c r="C15528" t="s">
        <v>67</v>
      </c>
      <c r="D15528" t="s">
        <v>67</v>
      </c>
      <c r="E15528" t="s">
        <v>67</v>
      </c>
      <c r="F15528" t="s">
        <v>27987</v>
      </c>
      <c r="G15528" s="117">
        <v>82.67</v>
      </c>
    </row>
    <row r="15529" spans="1:7" x14ac:dyDescent="0.25">
      <c r="A15529" s="116" t="s">
        <v>24197</v>
      </c>
      <c r="B15529" s="117" t="s">
        <v>24198</v>
      </c>
      <c r="C15529" t="s">
        <v>67</v>
      </c>
      <c r="D15529" t="s">
        <v>67</v>
      </c>
      <c r="E15529" t="s">
        <v>67</v>
      </c>
      <c r="F15529" t="s">
        <v>45</v>
      </c>
      <c r="G15529" s="117">
        <v>4.3600000000000003</v>
      </c>
    </row>
    <row r="15530" spans="1:7" x14ac:dyDescent="0.25">
      <c r="A15530" s="116" t="s">
        <v>24199</v>
      </c>
      <c r="B15530" s="117" t="s">
        <v>24200</v>
      </c>
      <c r="C15530" t="s">
        <v>67</v>
      </c>
      <c r="D15530" t="s">
        <v>67</v>
      </c>
      <c r="E15530" t="s">
        <v>67</v>
      </c>
      <c r="F15530" t="s">
        <v>45</v>
      </c>
      <c r="G15530" s="117">
        <v>4.3600000000000003</v>
      </c>
    </row>
    <row r="15531" spans="1:7" x14ac:dyDescent="0.25">
      <c r="A15531" s="116" t="s">
        <v>24201</v>
      </c>
      <c r="B15531" s="117" t="s">
        <v>24202</v>
      </c>
      <c r="C15531" t="s">
        <v>67</v>
      </c>
      <c r="D15531" t="s">
        <v>67</v>
      </c>
      <c r="E15531" t="s">
        <v>67</v>
      </c>
      <c r="F15531" t="s">
        <v>45</v>
      </c>
      <c r="G15531" s="117">
        <v>3.56</v>
      </c>
    </row>
    <row r="15532" spans="1:7" x14ac:dyDescent="0.25">
      <c r="A15532" s="116" t="s">
        <v>24203</v>
      </c>
      <c r="B15532" s="117" t="s">
        <v>24204</v>
      </c>
      <c r="C15532" t="s">
        <v>67</v>
      </c>
      <c r="D15532" t="s">
        <v>67</v>
      </c>
      <c r="E15532" t="s">
        <v>67</v>
      </c>
      <c r="F15532" t="s">
        <v>45</v>
      </c>
      <c r="G15532" s="117">
        <v>13.26</v>
      </c>
    </row>
    <row r="15533" spans="1:7" x14ac:dyDescent="0.25">
      <c r="A15533" s="116" t="s">
        <v>24205</v>
      </c>
      <c r="B15533" s="117" t="s">
        <v>8153</v>
      </c>
      <c r="C15533" t="s">
        <v>67</v>
      </c>
      <c r="D15533" t="s">
        <v>67</v>
      </c>
      <c r="E15533" t="s">
        <v>67</v>
      </c>
      <c r="F15533" t="s">
        <v>45</v>
      </c>
      <c r="G15533" s="117">
        <v>2.58</v>
      </c>
    </row>
    <row r="15534" spans="1:7" x14ac:dyDescent="0.25">
      <c r="A15534" s="116" t="s">
        <v>24206</v>
      </c>
      <c r="B15534" s="117" t="s">
        <v>24207</v>
      </c>
      <c r="C15534" t="s">
        <v>67</v>
      </c>
      <c r="D15534" t="s">
        <v>67</v>
      </c>
      <c r="E15534" t="s">
        <v>67</v>
      </c>
      <c r="F15534" t="s">
        <v>45</v>
      </c>
      <c r="G15534" s="117">
        <v>4.3600000000000003</v>
      </c>
    </row>
    <row r="15535" spans="1:7" x14ac:dyDescent="0.25">
      <c r="A15535" s="116" t="s">
        <v>24208</v>
      </c>
      <c r="B15535" s="117" t="s">
        <v>23739</v>
      </c>
      <c r="C15535" t="s">
        <v>67</v>
      </c>
      <c r="D15535" t="s">
        <v>67</v>
      </c>
      <c r="E15535" t="s">
        <v>67</v>
      </c>
      <c r="F15535" t="s">
        <v>45</v>
      </c>
      <c r="G15535" s="117">
        <v>2.58</v>
      </c>
    </row>
    <row r="15536" spans="1:7" x14ac:dyDescent="0.25">
      <c r="A15536" s="116" t="s">
        <v>24209</v>
      </c>
      <c r="B15536" s="117" t="s">
        <v>24210</v>
      </c>
      <c r="C15536" t="s">
        <v>67</v>
      </c>
      <c r="D15536" t="s">
        <v>67</v>
      </c>
      <c r="E15536" t="s">
        <v>67</v>
      </c>
      <c r="F15536" t="s">
        <v>45</v>
      </c>
      <c r="G15536" s="117">
        <v>4.3600000000000003</v>
      </c>
    </row>
    <row r="15537" spans="1:7" x14ac:dyDescent="0.25">
      <c r="A15537" s="116" t="s">
        <v>24211</v>
      </c>
      <c r="B15537" s="117" t="s">
        <v>24212</v>
      </c>
      <c r="C15537" t="s">
        <v>67</v>
      </c>
      <c r="D15537" t="s">
        <v>67</v>
      </c>
      <c r="E15537" t="s">
        <v>67</v>
      </c>
      <c r="F15537" t="s">
        <v>45</v>
      </c>
      <c r="G15537" s="117">
        <v>6.68</v>
      </c>
    </row>
    <row r="15538" spans="1:7" x14ac:dyDescent="0.25">
      <c r="A15538" s="116" t="s">
        <v>24213</v>
      </c>
      <c r="B15538" s="117" t="s">
        <v>24214</v>
      </c>
      <c r="C15538" t="s">
        <v>67</v>
      </c>
      <c r="D15538" t="s">
        <v>67</v>
      </c>
      <c r="E15538" t="s">
        <v>67</v>
      </c>
      <c r="F15538" t="s">
        <v>45</v>
      </c>
      <c r="G15538" s="117">
        <v>2.58</v>
      </c>
    </row>
    <row r="15539" spans="1:7" x14ac:dyDescent="0.25">
      <c r="A15539" s="116" t="s">
        <v>24215</v>
      </c>
      <c r="B15539" s="117" t="s">
        <v>24216</v>
      </c>
      <c r="C15539" t="s">
        <v>67</v>
      </c>
      <c r="D15539" t="s">
        <v>67</v>
      </c>
      <c r="E15539" t="s">
        <v>67</v>
      </c>
      <c r="F15539" t="s">
        <v>45</v>
      </c>
      <c r="G15539" s="117">
        <v>2.58</v>
      </c>
    </row>
    <row r="15540" spans="1:7" x14ac:dyDescent="0.25">
      <c r="A15540" s="116" t="s">
        <v>24217</v>
      </c>
      <c r="B15540" s="117" t="s">
        <v>24218</v>
      </c>
      <c r="C15540" t="s">
        <v>67</v>
      </c>
      <c r="D15540" t="s">
        <v>67</v>
      </c>
      <c r="E15540" t="s">
        <v>67</v>
      </c>
      <c r="F15540" t="s">
        <v>45</v>
      </c>
      <c r="G15540" s="117">
        <v>1.69</v>
      </c>
    </row>
    <row r="15541" spans="1:7" x14ac:dyDescent="0.25">
      <c r="A15541" s="116" t="s">
        <v>24219</v>
      </c>
      <c r="B15541" s="117" t="s">
        <v>24220</v>
      </c>
      <c r="C15541" t="s">
        <v>67</v>
      </c>
      <c r="D15541" t="s">
        <v>67</v>
      </c>
      <c r="E15541" t="s">
        <v>67</v>
      </c>
      <c r="F15541" t="s">
        <v>45</v>
      </c>
      <c r="G15541" s="117">
        <v>13.26</v>
      </c>
    </row>
    <row r="15542" spans="1:7" x14ac:dyDescent="0.25">
      <c r="A15542" s="116" t="s">
        <v>24221</v>
      </c>
      <c r="B15542" s="117" t="s">
        <v>24222</v>
      </c>
      <c r="C15542" t="s">
        <v>67</v>
      </c>
      <c r="D15542" t="s">
        <v>67</v>
      </c>
      <c r="E15542" t="s">
        <v>67</v>
      </c>
      <c r="F15542" t="s">
        <v>45</v>
      </c>
      <c r="G15542" s="117">
        <v>4.3600000000000003</v>
      </c>
    </row>
    <row r="15543" spans="1:7" x14ac:dyDescent="0.25">
      <c r="A15543" s="116" t="s">
        <v>24223</v>
      </c>
      <c r="B15543" s="117" t="s">
        <v>24224</v>
      </c>
      <c r="C15543" t="s">
        <v>67</v>
      </c>
      <c r="D15543" t="s">
        <v>67</v>
      </c>
      <c r="E15543" t="s">
        <v>67</v>
      </c>
      <c r="F15543" t="s">
        <v>45</v>
      </c>
      <c r="G15543" s="117">
        <v>4.3600000000000003</v>
      </c>
    </row>
    <row r="15544" spans="1:7" x14ac:dyDescent="0.25">
      <c r="A15544" s="116" t="s">
        <v>24225</v>
      </c>
      <c r="B15544" s="117" t="s">
        <v>24226</v>
      </c>
      <c r="C15544" t="s">
        <v>67</v>
      </c>
      <c r="D15544" t="s">
        <v>67</v>
      </c>
      <c r="E15544" t="s">
        <v>67</v>
      </c>
      <c r="F15544" t="s">
        <v>45</v>
      </c>
      <c r="G15544" s="117">
        <v>20.38</v>
      </c>
    </row>
    <row r="15545" spans="1:7" x14ac:dyDescent="0.25">
      <c r="A15545" s="116" t="s">
        <v>24227</v>
      </c>
      <c r="B15545" s="117" t="s">
        <v>24228</v>
      </c>
      <c r="C15545" t="s">
        <v>67</v>
      </c>
      <c r="D15545" t="s">
        <v>67</v>
      </c>
      <c r="E15545" t="s">
        <v>67</v>
      </c>
      <c r="F15545" t="s">
        <v>45</v>
      </c>
      <c r="G15545" s="117">
        <v>6.68</v>
      </c>
    </row>
    <row r="15546" spans="1:7" x14ac:dyDescent="0.25">
      <c r="A15546" s="116" t="s">
        <v>24229</v>
      </c>
      <c r="B15546" s="117" t="s">
        <v>24230</v>
      </c>
      <c r="C15546" t="s">
        <v>67</v>
      </c>
      <c r="D15546" t="s">
        <v>67</v>
      </c>
      <c r="E15546" t="s">
        <v>67</v>
      </c>
      <c r="F15546" t="s">
        <v>45</v>
      </c>
      <c r="G15546" s="117">
        <v>4.3600000000000003</v>
      </c>
    </row>
    <row r="15547" spans="1:7" x14ac:dyDescent="0.25">
      <c r="A15547" s="116" t="s">
        <v>24231</v>
      </c>
      <c r="B15547" s="117" t="s">
        <v>24232</v>
      </c>
      <c r="C15547" t="s">
        <v>67</v>
      </c>
      <c r="D15547" t="s">
        <v>67</v>
      </c>
      <c r="E15547" t="s">
        <v>67</v>
      </c>
      <c r="F15547" t="s">
        <v>45</v>
      </c>
      <c r="G15547" s="117">
        <v>2.58</v>
      </c>
    </row>
    <row r="15548" spans="1:7" x14ac:dyDescent="0.25">
      <c r="A15548" s="116" t="s">
        <v>24233</v>
      </c>
      <c r="B15548" s="117" t="s">
        <v>24234</v>
      </c>
      <c r="C15548" t="s">
        <v>67</v>
      </c>
      <c r="D15548" t="s">
        <v>67</v>
      </c>
      <c r="E15548" t="s">
        <v>67</v>
      </c>
      <c r="F15548" t="s">
        <v>45</v>
      </c>
      <c r="G15548" s="117">
        <v>61.31</v>
      </c>
    </row>
    <row r="15549" spans="1:7" x14ac:dyDescent="0.25">
      <c r="A15549" s="116" t="s">
        <v>24235</v>
      </c>
      <c r="B15549" s="117" t="s">
        <v>24236</v>
      </c>
      <c r="C15549" t="s">
        <v>67</v>
      </c>
      <c r="D15549" t="s">
        <v>67</v>
      </c>
      <c r="E15549" t="s">
        <v>67</v>
      </c>
      <c r="F15549" t="s">
        <v>45</v>
      </c>
      <c r="G15549" s="117">
        <v>1.69</v>
      </c>
    </row>
    <row r="15550" spans="1:7" x14ac:dyDescent="0.25">
      <c r="A15550" s="116" t="s">
        <v>24237</v>
      </c>
      <c r="B15550" s="117" t="s">
        <v>24238</v>
      </c>
      <c r="C15550" t="s">
        <v>67</v>
      </c>
      <c r="D15550" t="s">
        <v>67</v>
      </c>
      <c r="E15550" t="s">
        <v>67</v>
      </c>
      <c r="F15550" t="s">
        <v>45</v>
      </c>
      <c r="G15550" s="117">
        <v>2.58</v>
      </c>
    </row>
    <row r="15551" spans="1:7" x14ac:dyDescent="0.25">
      <c r="A15551" s="116" t="s">
        <v>24239</v>
      </c>
      <c r="B15551" s="117" t="s">
        <v>24240</v>
      </c>
      <c r="C15551" t="s">
        <v>67</v>
      </c>
      <c r="D15551" t="s">
        <v>67</v>
      </c>
      <c r="E15551" t="s">
        <v>67</v>
      </c>
      <c r="F15551" t="s">
        <v>45</v>
      </c>
      <c r="G15551" s="117">
        <v>4.3600000000000003</v>
      </c>
    </row>
    <row r="15552" spans="1:7" x14ac:dyDescent="0.25">
      <c r="A15552" s="116" t="s">
        <v>24241</v>
      </c>
      <c r="B15552" s="117" t="s">
        <v>24230</v>
      </c>
      <c r="C15552" t="s">
        <v>67</v>
      </c>
      <c r="D15552" t="s">
        <v>67</v>
      </c>
      <c r="E15552" t="s">
        <v>67</v>
      </c>
      <c r="F15552" t="s">
        <v>45</v>
      </c>
      <c r="G15552" s="117">
        <v>4.3600000000000003</v>
      </c>
    </row>
    <row r="15553" spans="1:7" x14ac:dyDescent="0.25">
      <c r="A15553" s="116" t="s">
        <v>24242</v>
      </c>
      <c r="B15553" s="117" t="s">
        <v>24243</v>
      </c>
      <c r="C15553" t="s">
        <v>67</v>
      </c>
      <c r="D15553" t="s">
        <v>67</v>
      </c>
      <c r="E15553" t="s">
        <v>67</v>
      </c>
      <c r="F15553" t="s">
        <v>45</v>
      </c>
      <c r="G15553" s="117">
        <v>13.26</v>
      </c>
    </row>
    <row r="15554" spans="1:7" x14ac:dyDescent="0.25">
      <c r="A15554" s="116" t="s">
        <v>24244</v>
      </c>
      <c r="B15554" s="117" t="s">
        <v>24245</v>
      </c>
      <c r="C15554" t="s">
        <v>67</v>
      </c>
      <c r="D15554" t="s">
        <v>67</v>
      </c>
      <c r="E15554" t="s">
        <v>67</v>
      </c>
      <c r="F15554" t="s">
        <v>45</v>
      </c>
      <c r="G15554" s="117">
        <v>13.26</v>
      </c>
    </row>
    <row r="15555" spans="1:7" x14ac:dyDescent="0.25">
      <c r="A15555" s="116" t="s">
        <v>24246</v>
      </c>
      <c r="B15555" s="117" t="s">
        <v>23050</v>
      </c>
      <c r="C15555" t="s">
        <v>67</v>
      </c>
      <c r="D15555" t="s">
        <v>67</v>
      </c>
      <c r="E15555" t="s">
        <v>67</v>
      </c>
      <c r="F15555" t="s">
        <v>45</v>
      </c>
      <c r="G15555" s="117">
        <v>4.3600000000000003</v>
      </c>
    </row>
    <row r="15556" spans="1:7" x14ac:dyDescent="0.25">
      <c r="A15556" s="116" t="s">
        <v>24247</v>
      </c>
      <c r="B15556" s="117" t="s">
        <v>24248</v>
      </c>
      <c r="C15556" t="s">
        <v>67</v>
      </c>
      <c r="D15556" t="s">
        <v>67</v>
      </c>
      <c r="E15556" t="s">
        <v>67</v>
      </c>
      <c r="F15556" t="s">
        <v>45</v>
      </c>
      <c r="G15556" s="117">
        <v>2.58</v>
      </c>
    </row>
    <row r="15557" spans="1:7" x14ac:dyDescent="0.25">
      <c r="A15557" s="116" t="s">
        <v>24249</v>
      </c>
      <c r="B15557" s="117" t="s">
        <v>24250</v>
      </c>
      <c r="C15557" t="s">
        <v>67</v>
      </c>
      <c r="D15557" t="s">
        <v>67</v>
      </c>
      <c r="E15557" t="s">
        <v>67</v>
      </c>
      <c r="F15557" t="s">
        <v>45</v>
      </c>
      <c r="G15557" s="117">
        <v>2.58</v>
      </c>
    </row>
    <row r="15558" spans="1:7" x14ac:dyDescent="0.25">
      <c r="A15558" s="116" t="s">
        <v>24251</v>
      </c>
      <c r="B15558" s="117" t="s">
        <v>24252</v>
      </c>
      <c r="C15558" t="s">
        <v>67</v>
      </c>
      <c r="D15558" t="s">
        <v>67</v>
      </c>
      <c r="E15558" t="s">
        <v>67</v>
      </c>
      <c r="F15558" t="s">
        <v>45</v>
      </c>
      <c r="G15558" s="117">
        <v>2.58</v>
      </c>
    </row>
    <row r="15559" spans="1:7" x14ac:dyDescent="0.25">
      <c r="A15559" s="116" t="s">
        <v>24253</v>
      </c>
      <c r="B15559" s="117" t="s">
        <v>24254</v>
      </c>
      <c r="C15559" t="s">
        <v>67</v>
      </c>
      <c r="D15559" t="s">
        <v>67</v>
      </c>
      <c r="E15559" t="s">
        <v>67</v>
      </c>
      <c r="F15559" t="s">
        <v>45</v>
      </c>
      <c r="G15559" s="117">
        <v>2.58</v>
      </c>
    </row>
    <row r="15560" spans="1:7" x14ac:dyDescent="0.25">
      <c r="A15560" s="116" t="s">
        <v>24255</v>
      </c>
      <c r="B15560" s="117" t="s">
        <v>24256</v>
      </c>
      <c r="C15560" t="s">
        <v>67</v>
      </c>
      <c r="D15560" t="s">
        <v>67</v>
      </c>
      <c r="E15560" t="s">
        <v>67</v>
      </c>
      <c r="F15560" t="s">
        <v>45</v>
      </c>
      <c r="G15560" s="117">
        <v>2.58</v>
      </c>
    </row>
    <row r="15561" spans="1:7" x14ac:dyDescent="0.25">
      <c r="A15561" s="116" t="s">
        <v>24257</v>
      </c>
      <c r="B15561" s="117" t="s">
        <v>24258</v>
      </c>
      <c r="C15561" t="s">
        <v>67</v>
      </c>
      <c r="D15561" t="s">
        <v>67</v>
      </c>
      <c r="E15561" t="s">
        <v>67</v>
      </c>
      <c r="F15561" t="s">
        <v>45</v>
      </c>
      <c r="G15561" s="117">
        <v>8.4499999999999993</v>
      </c>
    </row>
    <row r="15562" spans="1:7" x14ac:dyDescent="0.25">
      <c r="A15562" s="116" t="s">
        <v>24259</v>
      </c>
      <c r="B15562" s="117" t="s">
        <v>24260</v>
      </c>
      <c r="C15562" t="s">
        <v>67</v>
      </c>
      <c r="D15562" t="s">
        <v>67</v>
      </c>
      <c r="E15562" t="s">
        <v>67</v>
      </c>
      <c r="F15562" t="s">
        <v>45</v>
      </c>
      <c r="G15562" s="117">
        <v>8.4499999999999993</v>
      </c>
    </row>
    <row r="15563" spans="1:7" x14ac:dyDescent="0.25">
      <c r="A15563" s="116" t="s">
        <v>24261</v>
      </c>
      <c r="B15563" s="117" t="s">
        <v>24262</v>
      </c>
      <c r="C15563" t="s">
        <v>67</v>
      </c>
      <c r="D15563" t="s">
        <v>67</v>
      </c>
      <c r="E15563" t="s">
        <v>67</v>
      </c>
      <c r="F15563" t="s">
        <v>45</v>
      </c>
      <c r="G15563" s="117">
        <v>8.4499999999999993</v>
      </c>
    </row>
    <row r="15564" spans="1:7" x14ac:dyDescent="0.25">
      <c r="A15564" s="116" t="s">
        <v>24263</v>
      </c>
      <c r="B15564" s="117" t="s">
        <v>24264</v>
      </c>
      <c r="C15564" t="s">
        <v>67</v>
      </c>
      <c r="D15564" t="s">
        <v>67</v>
      </c>
      <c r="E15564" t="s">
        <v>67</v>
      </c>
      <c r="F15564" t="s">
        <v>45</v>
      </c>
      <c r="G15564" s="117">
        <v>41.38</v>
      </c>
    </row>
    <row r="15565" spans="1:7" x14ac:dyDescent="0.25">
      <c r="A15565" s="116" t="s">
        <v>24265</v>
      </c>
      <c r="B15565" s="117" t="s">
        <v>24266</v>
      </c>
      <c r="C15565" t="s">
        <v>67</v>
      </c>
      <c r="D15565" t="s">
        <v>67</v>
      </c>
      <c r="E15565" t="s">
        <v>67</v>
      </c>
      <c r="F15565" t="s">
        <v>45</v>
      </c>
      <c r="G15565" s="117">
        <v>2.58</v>
      </c>
    </row>
    <row r="15566" spans="1:7" x14ac:dyDescent="0.25">
      <c r="A15566" s="116" t="s">
        <v>24267</v>
      </c>
      <c r="B15566" s="117" t="s">
        <v>24268</v>
      </c>
      <c r="C15566" t="s">
        <v>67</v>
      </c>
      <c r="D15566" t="s">
        <v>67</v>
      </c>
      <c r="E15566" t="s">
        <v>67</v>
      </c>
      <c r="F15566" t="s">
        <v>45</v>
      </c>
      <c r="G15566" s="117">
        <v>41.38</v>
      </c>
    </row>
    <row r="15567" spans="1:7" x14ac:dyDescent="0.25">
      <c r="A15567" s="116" t="s">
        <v>24269</v>
      </c>
      <c r="B15567" s="117" t="s">
        <v>24270</v>
      </c>
      <c r="C15567" t="s">
        <v>67</v>
      </c>
      <c r="D15567" t="s">
        <v>67</v>
      </c>
      <c r="E15567" t="s">
        <v>67</v>
      </c>
      <c r="F15567" t="s">
        <v>45</v>
      </c>
      <c r="G15567" s="117">
        <v>13.26</v>
      </c>
    </row>
    <row r="15568" spans="1:7" x14ac:dyDescent="0.25">
      <c r="A15568" s="116" t="s">
        <v>24271</v>
      </c>
      <c r="B15568" s="117" t="s">
        <v>24272</v>
      </c>
      <c r="C15568" t="s">
        <v>67</v>
      </c>
      <c r="D15568" t="s">
        <v>67</v>
      </c>
      <c r="E15568" t="s">
        <v>67</v>
      </c>
      <c r="F15568" t="s">
        <v>45</v>
      </c>
      <c r="G15568" s="117">
        <v>4.3600000000000003</v>
      </c>
    </row>
    <row r="15569" spans="1:7" x14ac:dyDescent="0.25">
      <c r="A15569" s="116" t="s">
        <v>24273</v>
      </c>
      <c r="B15569" s="117" t="s">
        <v>24274</v>
      </c>
      <c r="C15569" t="s">
        <v>67</v>
      </c>
      <c r="D15569" t="s">
        <v>67</v>
      </c>
      <c r="E15569" t="s">
        <v>67</v>
      </c>
      <c r="F15569" t="s">
        <v>45</v>
      </c>
      <c r="G15569" s="117">
        <v>12.37</v>
      </c>
    </row>
    <row r="15570" spans="1:7" x14ac:dyDescent="0.25">
      <c r="A15570" s="116" t="s">
        <v>24275</v>
      </c>
      <c r="B15570" s="117" t="s">
        <v>24230</v>
      </c>
      <c r="C15570" t="s">
        <v>67</v>
      </c>
      <c r="D15570" t="s">
        <v>67</v>
      </c>
      <c r="E15570" t="s">
        <v>67</v>
      </c>
      <c r="F15570" t="s">
        <v>45</v>
      </c>
      <c r="G15570" s="117">
        <v>4.3600000000000003</v>
      </c>
    </row>
    <row r="15571" spans="1:7" x14ac:dyDescent="0.25">
      <c r="A15571" s="116" t="s">
        <v>24276</v>
      </c>
      <c r="B15571" s="117" t="s">
        <v>24277</v>
      </c>
      <c r="C15571" t="s">
        <v>67</v>
      </c>
      <c r="D15571" t="s">
        <v>67</v>
      </c>
      <c r="E15571" t="s">
        <v>67</v>
      </c>
      <c r="F15571" t="s">
        <v>45</v>
      </c>
      <c r="G15571" s="117">
        <v>4.3600000000000003</v>
      </c>
    </row>
    <row r="15572" spans="1:7" x14ac:dyDescent="0.25">
      <c r="A15572" s="116" t="s">
        <v>24278</v>
      </c>
      <c r="B15572" s="117" t="s">
        <v>24279</v>
      </c>
      <c r="C15572" t="s">
        <v>67</v>
      </c>
      <c r="D15572" t="s">
        <v>67</v>
      </c>
      <c r="E15572" t="s">
        <v>67</v>
      </c>
      <c r="F15572" t="s">
        <v>45</v>
      </c>
      <c r="G15572" s="117">
        <v>2.58</v>
      </c>
    </row>
    <row r="15573" spans="1:7" x14ac:dyDescent="0.25">
      <c r="A15573" s="116" t="s">
        <v>24280</v>
      </c>
      <c r="B15573" s="117" t="s">
        <v>24281</v>
      </c>
      <c r="C15573" t="s">
        <v>67</v>
      </c>
      <c r="D15573" t="s">
        <v>67</v>
      </c>
      <c r="E15573" t="s">
        <v>67</v>
      </c>
      <c r="F15573" t="s">
        <v>45</v>
      </c>
      <c r="G15573" s="117">
        <v>61.31</v>
      </c>
    </row>
    <row r="15574" spans="1:7" x14ac:dyDescent="0.25">
      <c r="A15574" s="116" t="s">
        <v>24282</v>
      </c>
      <c r="B15574" s="117" t="s">
        <v>24283</v>
      </c>
      <c r="C15574" t="s">
        <v>67</v>
      </c>
      <c r="D15574" t="s">
        <v>67</v>
      </c>
      <c r="E15574" t="s">
        <v>67</v>
      </c>
      <c r="F15574" t="s">
        <v>27987</v>
      </c>
      <c r="G15574" s="117">
        <v>346.94</v>
      </c>
    </row>
    <row r="15575" spans="1:7" x14ac:dyDescent="0.25">
      <c r="A15575" s="116" t="s">
        <v>24284</v>
      </c>
      <c r="B15575" s="117" t="s">
        <v>24285</v>
      </c>
      <c r="C15575" t="s">
        <v>67</v>
      </c>
      <c r="D15575" t="s">
        <v>67</v>
      </c>
      <c r="E15575" t="s">
        <v>67</v>
      </c>
      <c r="F15575" t="s">
        <v>27987</v>
      </c>
      <c r="G15575" s="117">
        <v>82.67</v>
      </c>
    </row>
    <row r="15576" spans="1:7" x14ac:dyDescent="0.25">
      <c r="A15576" s="116" t="s">
        <v>24286</v>
      </c>
      <c r="B15576" s="117" t="s">
        <v>24287</v>
      </c>
      <c r="C15576" t="s">
        <v>67</v>
      </c>
      <c r="D15576" t="s">
        <v>67</v>
      </c>
      <c r="E15576" t="s">
        <v>67</v>
      </c>
      <c r="F15576" t="s">
        <v>45</v>
      </c>
      <c r="G15576" s="117">
        <v>82.67</v>
      </c>
    </row>
    <row r="15577" spans="1:7" x14ac:dyDescent="0.25">
      <c r="A15577" s="116" t="s">
        <v>24288</v>
      </c>
      <c r="B15577" s="117" t="s">
        <v>24289</v>
      </c>
      <c r="C15577" t="s">
        <v>67</v>
      </c>
      <c r="D15577" t="s">
        <v>67</v>
      </c>
      <c r="E15577" t="s">
        <v>67</v>
      </c>
      <c r="F15577" t="s">
        <v>45</v>
      </c>
      <c r="G15577" s="117">
        <v>86.23</v>
      </c>
    </row>
    <row r="15578" spans="1:7" x14ac:dyDescent="0.25">
      <c r="A15578" s="116" t="s">
        <v>24290</v>
      </c>
      <c r="B15578" s="117" t="s">
        <v>24291</v>
      </c>
      <c r="C15578" t="s">
        <v>67</v>
      </c>
      <c r="D15578" t="s">
        <v>67</v>
      </c>
      <c r="E15578" t="s">
        <v>67</v>
      </c>
      <c r="F15578" t="s">
        <v>45</v>
      </c>
      <c r="G15578" s="117">
        <v>342.14</v>
      </c>
    </row>
    <row r="15579" spans="1:7" x14ac:dyDescent="0.25">
      <c r="A15579" s="116" t="s">
        <v>24292</v>
      </c>
      <c r="B15579" s="117" t="s">
        <v>24293</v>
      </c>
      <c r="C15579" t="s">
        <v>67</v>
      </c>
      <c r="D15579" t="s">
        <v>67</v>
      </c>
      <c r="E15579" t="s">
        <v>67</v>
      </c>
      <c r="F15579" t="s">
        <v>45</v>
      </c>
      <c r="G15579" s="117">
        <v>20.38</v>
      </c>
    </row>
    <row r="15580" spans="1:7" x14ac:dyDescent="0.25">
      <c r="A15580" s="116" t="s">
        <v>24294</v>
      </c>
      <c r="B15580" s="117" t="s">
        <v>24295</v>
      </c>
      <c r="C15580" t="s">
        <v>67</v>
      </c>
      <c r="D15580" t="s">
        <v>67</v>
      </c>
      <c r="E15580" t="s">
        <v>67</v>
      </c>
      <c r="F15580" t="s">
        <v>27987</v>
      </c>
      <c r="G15580" s="117">
        <v>2.58</v>
      </c>
    </row>
    <row r="15581" spans="1:7" x14ac:dyDescent="0.25">
      <c r="A15581" s="116" t="s">
        <v>24296</v>
      </c>
      <c r="B15581" s="117" t="s">
        <v>24297</v>
      </c>
      <c r="C15581" t="s">
        <v>67</v>
      </c>
      <c r="D15581" t="s">
        <v>67</v>
      </c>
      <c r="E15581" t="s">
        <v>67</v>
      </c>
      <c r="F15581" t="s">
        <v>49</v>
      </c>
      <c r="G15581" s="117">
        <v>0.8</v>
      </c>
    </row>
    <row r="15582" spans="1:7" x14ac:dyDescent="0.25">
      <c r="A15582" s="116" t="s">
        <v>24298</v>
      </c>
      <c r="B15582" s="117" t="s">
        <v>24299</v>
      </c>
      <c r="C15582" t="s">
        <v>67</v>
      </c>
      <c r="D15582" t="s">
        <v>67</v>
      </c>
      <c r="E15582" t="s">
        <v>67</v>
      </c>
      <c r="F15582" t="s">
        <v>49</v>
      </c>
      <c r="G15582" s="117">
        <v>0.8</v>
      </c>
    </row>
    <row r="15583" spans="1:7" x14ac:dyDescent="0.25">
      <c r="A15583" s="116" t="s">
        <v>24300</v>
      </c>
      <c r="B15583" s="117" t="s">
        <v>24301</v>
      </c>
      <c r="C15583" t="s">
        <v>67</v>
      </c>
      <c r="D15583" t="s">
        <v>67</v>
      </c>
      <c r="E15583" t="s">
        <v>67</v>
      </c>
      <c r="F15583" t="s">
        <v>49</v>
      </c>
      <c r="G15583" s="117">
        <v>7.56</v>
      </c>
    </row>
    <row r="15584" spans="1:7" x14ac:dyDescent="0.25">
      <c r="A15584" s="116" t="s">
        <v>24302</v>
      </c>
      <c r="B15584" s="117" t="s">
        <v>24303</v>
      </c>
      <c r="C15584" t="s">
        <v>67</v>
      </c>
      <c r="D15584" t="s">
        <v>67</v>
      </c>
      <c r="E15584" t="s">
        <v>67</v>
      </c>
      <c r="F15584" t="s">
        <v>45</v>
      </c>
      <c r="G15584" s="117">
        <v>7.12</v>
      </c>
    </row>
    <row r="15585" spans="1:7" x14ac:dyDescent="0.25">
      <c r="A15585" s="116" t="s">
        <v>24304</v>
      </c>
      <c r="B15585" s="117" t="s">
        <v>9026</v>
      </c>
      <c r="C15585" t="s">
        <v>67</v>
      </c>
      <c r="D15585" t="s">
        <v>67</v>
      </c>
      <c r="E15585" t="s">
        <v>67</v>
      </c>
      <c r="F15585" t="s">
        <v>27987</v>
      </c>
      <c r="G15585" s="117">
        <v>7.56</v>
      </c>
    </row>
    <row r="15586" spans="1:7" x14ac:dyDescent="0.25">
      <c r="A15586" s="116" t="s">
        <v>24305</v>
      </c>
      <c r="B15586" s="117" t="s">
        <v>8339</v>
      </c>
      <c r="C15586" t="s">
        <v>67</v>
      </c>
      <c r="D15586" t="s">
        <v>67</v>
      </c>
      <c r="E15586" t="s">
        <v>67</v>
      </c>
      <c r="F15586" t="s">
        <v>27987</v>
      </c>
      <c r="G15586" s="117">
        <v>0.8</v>
      </c>
    </row>
    <row r="15587" spans="1:7" x14ac:dyDescent="0.25">
      <c r="A15587" s="116" t="s">
        <v>24306</v>
      </c>
      <c r="B15587" s="117" t="s">
        <v>8010</v>
      </c>
      <c r="C15587" t="s">
        <v>67</v>
      </c>
      <c r="D15587" t="s">
        <v>67</v>
      </c>
      <c r="E15587" t="s">
        <v>67</v>
      </c>
      <c r="F15587" t="s">
        <v>49</v>
      </c>
      <c r="G15587" s="117">
        <v>0.8</v>
      </c>
    </row>
    <row r="15588" spans="1:7" x14ac:dyDescent="0.25">
      <c r="A15588" s="116" t="s">
        <v>24307</v>
      </c>
      <c r="B15588" s="117" t="s">
        <v>24308</v>
      </c>
      <c r="C15588" t="s">
        <v>67</v>
      </c>
      <c r="D15588" t="s">
        <v>67</v>
      </c>
      <c r="E15588" t="s">
        <v>67</v>
      </c>
      <c r="F15588" t="s">
        <v>49</v>
      </c>
      <c r="G15588" s="117">
        <v>1.33</v>
      </c>
    </row>
    <row r="15589" spans="1:7" x14ac:dyDescent="0.25">
      <c r="A15589" s="116" t="s">
        <v>24309</v>
      </c>
      <c r="B15589" s="117" t="s">
        <v>23841</v>
      </c>
      <c r="C15589" t="s">
        <v>67</v>
      </c>
      <c r="D15589" t="s">
        <v>67</v>
      </c>
      <c r="E15589" t="s">
        <v>67</v>
      </c>
      <c r="F15589" t="s">
        <v>27987</v>
      </c>
      <c r="G15589" s="117">
        <v>0.8</v>
      </c>
    </row>
    <row r="15590" spans="1:7" x14ac:dyDescent="0.25">
      <c r="A15590" s="116" t="s">
        <v>24310</v>
      </c>
      <c r="B15590" s="117" t="s">
        <v>24311</v>
      </c>
      <c r="C15590" t="s">
        <v>67</v>
      </c>
      <c r="D15590" t="s">
        <v>67</v>
      </c>
      <c r="E15590" t="s">
        <v>67</v>
      </c>
      <c r="F15590" t="s">
        <v>27987</v>
      </c>
      <c r="G15590" s="117">
        <v>84.08</v>
      </c>
    </row>
    <row r="15591" spans="1:7" x14ac:dyDescent="0.25">
      <c r="A15591" s="116" t="s">
        <v>24312</v>
      </c>
      <c r="B15591" s="117" t="s">
        <v>24313</v>
      </c>
      <c r="C15591" t="s">
        <v>67</v>
      </c>
      <c r="D15591" t="s">
        <v>67</v>
      </c>
      <c r="E15591" t="s">
        <v>67</v>
      </c>
      <c r="F15591" t="s">
        <v>27987</v>
      </c>
      <c r="G15591" s="117">
        <v>27.14</v>
      </c>
    </row>
    <row r="15592" spans="1:7" x14ac:dyDescent="0.25">
      <c r="A15592" s="116" t="s">
        <v>24314</v>
      </c>
      <c r="B15592" s="117" t="s">
        <v>23598</v>
      </c>
      <c r="C15592" t="s">
        <v>67</v>
      </c>
      <c r="D15592" t="s">
        <v>67</v>
      </c>
      <c r="E15592" t="s">
        <v>67</v>
      </c>
      <c r="F15592" t="s">
        <v>49</v>
      </c>
      <c r="G15592" s="117">
        <v>0.8</v>
      </c>
    </row>
    <row r="15593" spans="1:7" x14ac:dyDescent="0.25">
      <c r="A15593" s="116" t="s">
        <v>24315</v>
      </c>
      <c r="B15593" s="117" t="s">
        <v>24316</v>
      </c>
      <c r="C15593" t="s">
        <v>67</v>
      </c>
      <c r="D15593" t="s">
        <v>67</v>
      </c>
      <c r="E15593" t="s">
        <v>67</v>
      </c>
      <c r="F15593" t="s">
        <v>27987</v>
      </c>
      <c r="G15593" s="117">
        <v>0.8</v>
      </c>
    </row>
    <row r="15594" spans="1:7" x14ac:dyDescent="0.25">
      <c r="A15594" s="116" t="s">
        <v>24317</v>
      </c>
      <c r="B15594" s="117" t="s">
        <v>24318</v>
      </c>
      <c r="C15594" t="s">
        <v>67</v>
      </c>
      <c r="D15594" t="s">
        <v>67</v>
      </c>
      <c r="E15594" t="s">
        <v>67</v>
      </c>
      <c r="F15594" t="s">
        <v>27987</v>
      </c>
      <c r="G15594" s="117">
        <v>1.69</v>
      </c>
    </row>
    <row r="15595" spans="1:7" x14ac:dyDescent="0.25">
      <c r="A15595" s="116" t="s">
        <v>24319</v>
      </c>
      <c r="B15595" s="117" t="s">
        <v>24320</v>
      </c>
      <c r="C15595" t="s">
        <v>67</v>
      </c>
      <c r="D15595" t="s">
        <v>67</v>
      </c>
      <c r="E15595" t="s">
        <v>67</v>
      </c>
      <c r="F15595" t="s">
        <v>49</v>
      </c>
      <c r="G15595" s="117">
        <v>1.69</v>
      </c>
    </row>
    <row r="15596" spans="1:7" x14ac:dyDescent="0.25">
      <c r="A15596" s="116" t="s">
        <v>24321</v>
      </c>
      <c r="B15596" s="117" t="s">
        <v>24322</v>
      </c>
      <c r="C15596" t="s">
        <v>67</v>
      </c>
      <c r="D15596" t="s">
        <v>67</v>
      </c>
      <c r="E15596" t="s">
        <v>67</v>
      </c>
      <c r="F15596" t="s">
        <v>49</v>
      </c>
      <c r="G15596" s="117">
        <v>1.69</v>
      </c>
    </row>
    <row r="15597" spans="1:7" x14ac:dyDescent="0.25">
      <c r="A15597" s="116" t="s">
        <v>24323</v>
      </c>
      <c r="B15597" s="117" t="s">
        <v>24324</v>
      </c>
      <c r="C15597" t="s">
        <v>67</v>
      </c>
      <c r="D15597" t="s">
        <v>67</v>
      </c>
      <c r="E15597" t="s">
        <v>67</v>
      </c>
      <c r="F15597" t="s">
        <v>27987</v>
      </c>
      <c r="G15597" s="117">
        <v>33.369999999999997</v>
      </c>
    </row>
    <row r="15598" spans="1:7" x14ac:dyDescent="0.25">
      <c r="A15598" s="116" t="s">
        <v>24325</v>
      </c>
      <c r="B15598" s="117" t="s">
        <v>24326</v>
      </c>
      <c r="C15598" t="s">
        <v>67</v>
      </c>
      <c r="D15598" t="s">
        <v>67</v>
      </c>
      <c r="E15598" t="s">
        <v>67</v>
      </c>
      <c r="F15598" t="s">
        <v>27987</v>
      </c>
      <c r="G15598" s="117">
        <v>100.46</v>
      </c>
    </row>
    <row r="15599" spans="1:7" x14ac:dyDescent="0.25">
      <c r="A15599" s="116" t="s">
        <v>24327</v>
      </c>
      <c r="B15599" s="117" t="s">
        <v>24328</v>
      </c>
      <c r="C15599" t="s">
        <v>67</v>
      </c>
      <c r="D15599" t="s">
        <v>67</v>
      </c>
      <c r="E15599" t="s">
        <v>67</v>
      </c>
      <c r="F15599" t="s">
        <v>49</v>
      </c>
      <c r="G15599" s="117">
        <v>0.8</v>
      </c>
    </row>
    <row r="15600" spans="1:7" x14ac:dyDescent="0.25">
      <c r="A15600" s="116" t="s">
        <v>24329</v>
      </c>
      <c r="B15600" s="117" t="s">
        <v>8008</v>
      </c>
      <c r="C15600" t="s">
        <v>67</v>
      </c>
      <c r="D15600" t="s">
        <v>67</v>
      </c>
      <c r="E15600" t="s">
        <v>67</v>
      </c>
      <c r="F15600" t="s">
        <v>49</v>
      </c>
      <c r="G15600" s="117">
        <v>0.8</v>
      </c>
    </row>
    <row r="15601" spans="1:7" x14ac:dyDescent="0.25">
      <c r="A15601" s="116" t="s">
        <v>24330</v>
      </c>
      <c r="B15601" s="117" t="s">
        <v>24331</v>
      </c>
      <c r="C15601" t="s">
        <v>67</v>
      </c>
      <c r="D15601" t="s">
        <v>67</v>
      </c>
      <c r="E15601" t="s">
        <v>67</v>
      </c>
      <c r="F15601" t="s">
        <v>27987</v>
      </c>
      <c r="G15601" s="117">
        <v>3.12</v>
      </c>
    </row>
    <row r="15602" spans="1:7" x14ac:dyDescent="0.25">
      <c r="A15602" s="116" t="s">
        <v>24332</v>
      </c>
      <c r="B15602" s="117" t="s">
        <v>24333</v>
      </c>
      <c r="C15602" t="s">
        <v>67</v>
      </c>
      <c r="D15602" t="s">
        <v>67</v>
      </c>
      <c r="E15602" t="s">
        <v>67</v>
      </c>
      <c r="F15602" t="s">
        <v>27987</v>
      </c>
      <c r="G15602" s="117">
        <v>2.58</v>
      </c>
    </row>
    <row r="15603" spans="1:7" x14ac:dyDescent="0.25">
      <c r="A15603" s="116" t="s">
        <v>24334</v>
      </c>
      <c r="B15603" s="117" t="s">
        <v>24335</v>
      </c>
      <c r="C15603" t="s">
        <v>67</v>
      </c>
      <c r="D15603" t="s">
        <v>67</v>
      </c>
      <c r="E15603" t="s">
        <v>67</v>
      </c>
      <c r="F15603" t="s">
        <v>49</v>
      </c>
      <c r="G15603" s="117">
        <v>2.58</v>
      </c>
    </row>
    <row r="15604" spans="1:7" x14ac:dyDescent="0.25">
      <c r="A15604" s="116" t="s">
        <v>24336</v>
      </c>
      <c r="B15604" s="117" t="s">
        <v>21874</v>
      </c>
      <c r="C15604" t="s">
        <v>67</v>
      </c>
      <c r="D15604" t="s">
        <v>67</v>
      </c>
      <c r="E15604" t="s">
        <v>67</v>
      </c>
      <c r="F15604" t="s">
        <v>49</v>
      </c>
      <c r="G15604" s="117">
        <v>1.33</v>
      </c>
    </row>
    <row r="15605" spans="1:7" x14ac:dyDescent="0.25">
      <c r="A15605" s="116" t="s">
        <v>24337</v>
      </c>
      <c r="B15605" s="117" t="s">
        <v>8139</v>
      </c>
      <c r="C15605" t="s">
        <v>67</v>
      </c>
      <c r="D15605" t="s">
        <v>67</v>
      </c>
      <c r="E15605" t="s">
        <v>67</v>
      </c>
      <c r="F15605" t="s">
        <v>27987</v>
      </c>
      <c r="G15605" s="117">
        <v>0.8</v>
      </c>
    </row>
    <row r="15606" spans="1:7" x14ac:dyDescent="0.25">
      <c r="A15606" s="116" t="s">
        <v>24338</v>
      </c>
      <c r="B15606" s="117" t="s">
        <v>24339</v>
      </c>
      <c r="C15606" t="s">
        <v>67</v>
      </c>
      <c r="D15606" t="s">
        <v>67</v>
      </c>
      <c r="E15606" t="s">
        <v>67</v>
      </c>
      <c r="F15606" t="s">
        <v>27987</v>
      </c>
      <c r="G15606" s="117">
        <v>1.69</v>
      </c>
    </row>
    <row r="15607" spans="1:7" x14ac:dyDescent="0.25">
      <c r="A15607" s="116" t="s">
        <v>24340</v>
      </c>
      <c r="B15607" s="117" t="s">
        <v>24341</v>
      </c>
      <c r="C15607" t="s">
        <v>67</v>
      </c>
      <c r="D15607" t="s">
        <v>67</v>
      </c>
      <c r="E15607" t="s">
        <v>67</v>
      </c>
      <c r="F15607" t="s">
        <v>27987</v>
      </c>
      <c r="G15607" s="117">
        <v>191.23</v>
      </c>
    </row>
    <row r="15608" spans="1:7" x14ac:dyDescent="0.25">
      <c r="A15608" s="116" t="s">
        <v>24342</v>
      </c>
      <c r="B15608" s="117" t="s">
        <v>24343</v>
      </c>
      <c r="C15608" t="s">
        <v>67</v>
      </c>
      <c r="D15608" t="s">
        <v>67</v>
      </c>
      <c r="E15608" t="s">
        <v>67</v>
      </c>
      <c r="F15608" t="s">
        <v>27987</v>
      </c>
      <c r="G15608" s="117">
        <v>20.92</v>
      </c>
    </row>
    <row r="15609" spans="1:7" x14ac:dyDescent="0.25">
      <c r="A15609" s="116" t="s">
        <v>24344</v>
      </c>
      <c r="B15609" s="117" t="s">
        <v>24345</v>
      </c>
      <c r="C15609" t="s">
        <v>67</v>
      </c>
      <c r="D15609" t="s">
        <v>67</v>
      </c>
      <c r="E15609" t="s">
        <v>67</v>
      </c>
      <c r="F15609" t="s">
        <v>27987</v>
      </c>
      <c r="G15609" s="117">
        <v>0.8</v>
      </c>
    </row>
    <row r="15610" spans="1:7" x14ac:dyDescent="0.25">
      <c r="A15610" s="116" t="s">
        <v>24346</v>
      </c>
      <c r="B15610" s="117" t="s">
        <v>23720</v>
      </c>
      <c r="C15610" t="s">
        <v>67</v>
      </c>
      <c r="D15610" t="s">
        <v>67</v>
      </c>
      <c r="E15610" t="s">
        <v>67</v>
      </c>
      <c r="F15610" t="s">
        <v>27987</v>
      </c>
      <c r="G15610" s="117">
        <v>0.8</v>
      </c>
    </row>
    <row r="15611" spans="1:7" x14ac:dyDescent="0.25">
      <c r="A15611" s="116" t="s">
        <v>24347</v>
      </c>
      <c r="B15611" s="117" t="s">
        <v>24348</v>
      </c>
      <c r="C15611" t="s">
        <v>67</v>
      </c>
      <c r="D15611" t="s">
        <v>67</v>
      </c>
      <c r="E15611" t="s">
        <v>67</v>
      </c>
      <c r="F15611" t="s">
        <v>27987</v>
      </c>
      <c r="G15611" s="117">
        <v>6.14</v>
      </c>
    </row>
    <row r="15612" spans="1:7" x14ac:dyDescent="0.25">
      <c r="A15612" s="116" t="s">
        <v>24349</v>
      </c>
      <c r="B15612" s="117" t="s">
        <v>9238</v>
      </c>
      <c r="C15612" t="s">
        <v>67</v>
      </c>
      <c r="D15612" t="s">
        <v>67</v>
      </c>
      <c r="E15612" t="s">
        <v>67</v>
      </c>
      <c r="F15612" t="s">
        <v>49</v>
      </c>
      <c r="G15612" s="117">
        <v>0.8</v>
      </c>
    </row>
    <row r="15613" spans="1:7" x14ac:dyDescent="0.25">
      <c r="A15613" s="116" t="s">
        <v>24350</v>
      </c>
      <c r="B15613" s="117" t="s">
        <v>24351</v>
      </c>
      <c r="C15613" t="s">
        <v>67</v>
      </c>
      <c r="D15613" t="s">
        <v>67</v>
      </c>
      <c r="E15613" t="s">
        <v>67</v>
      </c>
      <c r="F15613" t="s">
        <v>49</v>
      </c>
      <c r="G15613" s="117">
        <v>6.14</v>
      </c>
    </row>
    <row r="15614" spans="1:7" x14ac:dyDescent="0.25">
      <c r="A15614" s="116" t="s">
        <v>30213</v>
      </c>
      <c r="B15614" s="117" t="s">
        <v>30567</v>
      </c>
      <c r="C15614" t="s">
        <v>67</v>
      </c>
      <c r="D15614" t="s">
        <v>67</v>
      </c>
      <c r="E15614" t="s">
        <v>67</v>
      </c>
      <c r="F15614" t="s">
        <v>27987</v>
      </c>
      <c r="G15614" s="117">
        <v>50</v>
      </c>
    </row>
    <row r="15615" spans="1:7" x14ac:dyDescent="0.25">
      <c r="A15615" s="116" t="s">
        <v>24352</v>
      </c>
      <c r="B15615" s="117" t="s">
        <v>23484</v>
      </c>
      <c r="C15615" t="s">
        <v>67</v>
      </c>
      <c r="D15615" t="s">
        <v>67</v>
      </c>
      <c r="E15615" t="s">
        <v>67</v>
      </c>
      <c r="F15615" t="s">
        <v>27987</v>
      </c>
      <c r="G15615" s="117">
        <v>109.36</v>
      </c>
    </row>
    <row r="15616" spans="1:7" x14ac:dyDescent="0.25">
      <c r="A15616" s="116" t="s">
        <v>24353</v>
      </c>
      <c r="B15616" s="117" t="s">
        <v>24354</v>
      </c>
      <c r="C15616" t="s">
        <v>67</v>
      </c>
      <c r="D15616" t="s">
        <v>67</v>
      </c>
      <c r="E15616" t="s">
        <v>67</v>
      </c>
      <c r="F15616" t="s">
        <v>27987</v>
      </c>
      <c r="G15616" s="117">
        <v>0.8</v>
      </c>
    </row>
    <row r="15617" spans="1:7" x14ac:dyDescent="0.25">
      <c r="A15617" s="116" t="s">
        <v>24355</v>
      </c>
      <c r="B15617" s="117" t="s">
        <v>8309</v>
      </c>
      <c r="C15617" t="s">
        <v>67</v>
      </c>
      <c r="D15617" t="s">
        <v>67</v>
      </c>
      <c r="E15617" t="s">
        <v>67</v>
      </c>
      <c r="F15617" t="s">
        <v>49</v>
      </c>
      <c r="G15617" s="117">
        <v>0.8</v>
      </c>
    </row>
    <row r="15618" spans="1:7" x14ac:dyDescent="0.25">
      <c r="A15618" s="116" t="s">
        <v>24356</v>
      </c>
      <c r="B15618" s="117" t="s">
        <v>24357</v>
      </c>
      <c r="C15618" t="s">
        <v>67</v>
      </c>
      <c r="D15618" t="s">
        <v>67</v>
      </c>
      <c r="E15618" t="s">
        <v>67</v>
      </c>
      <c r="F15618" t="s">
        <v>27987</v>
      </c>
      <c r="G15618" s="117">
        <v>185</v>
      </c>
    </row>
    <row r="15619" spans="1:7" x14ac:dyDescent="0.25">
      <c r="A15619" s="116" t="s">
        <v>24358</v>
      </c>
      <c r="B15619" s="117" t="s">
        <v>24359</v>
      </c>
      <c r="C15619" t="s">
        <v>67</v>
      </c>
      <c r="D15619" t="s">
        <v>67</v>
      </c>
      <c r="E15619" t="s">
        <v>67</v>
      </c>
      <c r="F15619" t="s">
        <v>51</v>
      </c>
      <c r="G15619" s="117">
        <v>0.89</v>
      </c>
    </row>
    <row r="15620" spans="1:7" x14ac:dyDescent="0.25">
      <c r="A15620" s="116" t="s">
        <v>24360</v>
      </c>
      <c r="B15620" s="117" t="s">
        <v>24361</v>
      </c>
      <c r="C15620" t="s">
        <v>67</v>
      </c>
      <c r="D15620" t="s">
        <v>67</v>
      </c>
      <c r="E15620" t="s">
        <v>67</v>
      </c>
      <c r="F15620" t="s">
        <v>45</v>
      </c>
      <c r="G15620" s="117">
        <v>20.38</v>
      </c>
    </row>
    <row r="15621" spans="1:7" x14ac:dyDescent="0.25">
      <c r="A15621" s="116" t="s">
        <v>24362</v>
      </c>
      <c r="B15621" s="117" t="s">
        <v>23486</v>
      </c>
      <c r="C15621" t="s">
        <v>67</v>
      </c>
      <c r="D15621" t="s">
        <v>67</v>
      </c>
      <c r="E15621" t="s">
        <v>67</v>
      </c>
      <c r="F15621" t="s">
        <v>45</v>
      </c>
      <c r="G15621" s="117">
        <v>47.61</v>
      </c>
    </row>
    <row r="15622" spans="1:7" x14ac:dyDescent="0.25">
      <c r="A15622" s="116" t="s">
        <v>24363</v>
      </c>
      <c r="B15622" s="117" t="s">
        <v>8153</v>
      </c>
      <c r="C15622" t="s">
        <v>67</v>
      </c>
      <c r="D15622" t="s">
        <v>67</v>
      </c>
      <c r="E15622" t="s">
        <v>67</v>
      </c>
      <c r="F15622" t="s">
        <v>27987</v>
      </c>
      <c r="G15622" s="117">
        <v>0.89</v>
      </c>
    </row>
    <row r="15623" spans="1:7" x14ac:dyDescent="0.25">
      <c r="A15623" s="116" t="s">
        <v>24364</v>
      </c>
      <c r="B15623" s="117" t="s">
        <v>24365</v>
      </c>
      <c r="C15623" t="s">
        <v>67</v>
      </c>
      <c r="D15623" t="s">
        <v>67</v>
      </c>
      <c r="E15623" t="s">
        <v>67</v>
      </c>
      <c r="F15623" t="s">
        <v>49</v>
      </c>
      <c r="G15623" s="117">
        <v>0.8</v>
      </c>
    </row>
    <row r="15624" spans="1:7" x14ac:dyDescent="0.25">
      <c r="A15624" s="116" t="s">
        <v>24366</v>
      </c>
      <c r="B15624" s="117" t="s">
        <v>24367</v>
      </c>
      <c r="C15624" t="s">
        <v>67</v>
      </c>
      <c r="D15624" t="s">
        <v>67</v>
      </c>
      <c r="E15624" t="s">
        <v>67</v>
      </c>
      <c r="F15624" t="s">
        <v>27987</v>
      </c>
      <c r="G15624" s="117">
        <v>0.8</v>
      </c>
    </row>
    <row r="15625" spans="1:7" x14ac:dyDescent="0.25">
      <c r="A15625" s="116" t="s">
        <v>24368</v>
      </c>
      <c r="B15625" s="117" t="s">
        <v>24369</v>
      </c>
      <c r="C15625" t="s">
        <v>67</v>
      </c>
      <c r="D15625" t="s">
        <v>67</v>
      </c>
      <c r="E15625" t="s">
        <v>67</v>
      </c>
      <c r="F15625" t="s">
        <v>27987</v>
      </c>
      <c r="G15625" s="117">
        <v>3.56</v>
      </c>
    </row>
    <row r="15626" spans="1:7" x14ac:dyDescent="0.25">
      <c r="A15626" s="116" t="s">
        <v>24370</v>
      </c>
      <c r="B15626" s="117" t="s">
        <v>24371</v>
      </c>
      <c r="C15626" t="s">
        <v>67</v>
      </c>
      <c r="D15626" t="s">
        <v>67</v>
      </c>
      <c r="E15626" t="s">
        <v>67</v>
      </c>
      <c r="F15626" t="s">
        <v>49</v>
      </c>
      <c r="G15626" s="117">
        <v>2.23</v>
      </c>
    </row>
    <row r="15627" spans="1:7" x14ac:dyDescent="0.25">
      <c r="A15627" s="116" t="s">
        <v>24372</v>
      </c>
      <c r="B15627" s="117" t="s">
        <v>24373</v>
      </c>
      <c r="C15627" t="s">
        <v>67</v>
      </c>
      <c r="D15627" t="s">
        <v>67</v>
      </c>
      <c r="E15627" t="s">
        <v>67</v>
      </c>
      <c r="F15627" t="s">
        <v>27987</v>
      </c>
      <c r="G15627" s="117">
        <v>17.7</v>
      </c>
    </row>
    <row r="15628" spans="1:7" x14ac:dyDescent="0.25">
      <c r="A15628" s="116" t="s">
        <v>24374</v>
      </c>
      <c r="B15628" s="117" t="s">
        <v>24375</v>
      </c>
      <c r="C15628" t="s">
        <v>67</v>
      </c>
      <c r="D15628" t="s">
        <v>67</v>
      </c>
      <c r="E15628" t="s">
        <v>67</v>
      </c>
      <c r="F15628" t="s">
        <v>27987</v>
      </c>
      <c r="G15628" s="117">
        <v>2.23</v>
      </c>
    </row>
    <row r="15629" spans="1:7" x14ac:dyDescent="0.25">
      <c r="A15629" s="116" t="s">
        <v>24376</v>
      </c>
      <c r="B15629" s="117" t="s">
        <v>24377</v>
      </c>
      <c r="C15629" t="s">
        <v>67</v>
      </c>
      <c r="D15629" t="s">
        <v>67</v>
      </c>
      <c r="E15629" t="s">
        <v>67</v>
      </c>
      <c r="F15629" t="s">
        <v>27987</v>
      </c>
      <c r="G15629" s="117">
        <v>94.76</v>
      </c>
    </row>
    <row r="15630" spans="1:7" x14ac:dyDescent="0.25">
      <c r="A15630" s="116" t="s">
        <v>24378</v>
      </c>
      <c r="B15630" s="117" t="s">
        <v>24379</v>
      </c>
      <c r="C15630" t="s">
        <v>67</v>
      </c>
      <c r="D15630" t="s">
        <v>67</v>
      </c>
      <c r="E15630" t="s">
        <v>67</v>
      </c>
      <c r="F15630" t="s">
        <v>49</v>
      </c>
      <c r="G15630" s="117">
        <v>9.35</v>
      </c>
    </row>
    <row r="15631" spans="1:7" x14ac:dyDescent="0.25">
      <c r="A15631" s="116" t="s">
        <v>24380</v>
      </c>
      <c r="B15631" s="117" t="s">
        <v>24381</v>
      </c>
      <c r="C15631" t="s">
        <v>67</v>
      </c>
      <c r="D15631" t="s">
        <v>67</v>
      </c>
      <c r="E15631" t="s">
        <v>67</v>
      </c>
      <c r="F15631" t="s">
        <v>49</v>
      </c>
      <c r="G15631" s="117">
        <v>25.71</v>
      </c>
    </row>
    <row r="15632" spans="1:7" x14ac:dyDescent="0.25">
      <c r="A15632" s="116" t="s">
        <v>24382</v>
      </c>
      <c r="B15632" s="117" t="s">
        <v>24383</v>
      </c>
      <c r="C15632" t="s">
        <v>67</v>
      </c>
      <c r="D15632" t="s">
        <v>67</v>
      </c>
      <c r="E15632" t="s">
        <v>67</v>
      </c>
      <c r="F15632" t="s">
        <v>27987</v>
      </c>
      <c r="G15632" s="117">
        <v>3.56</v>
      </c>
    </row>
    <row r="15633" spans="1:7" x14ac:dyDescent="0.25">
      <c r="A15633" s="116" t="s">
        <v>24384</v>
      </c>
      <c r="B15633" s="117" t="s">
        <v>24385</v>
      </c>
      <c r="C15633" t="s">
        <v>67</v>
      </c>
      <c r="D15633" t="s">
        <v>67</v>
      </c>
      <c r="E15633" t="s">
        <v>67</v>
      </c>
      <c r="F15633" t="s">
        <v>27990</v>
      </c>
      <c r="G15633" s="117">
        <v>5.25</v>
      </c>
    </row>
    <row r="15634" spans="1:7" x14ac:dyDescent="0.25">
      <c r="A15634" s="116" t="s">
        <v>24386</v>
      </c>
      <c r="B15634" s="117" t="s">
        <v>24387</v>
      </c>
      <c r="C15634" t="s">
        <v>67</v>
      </c>
      <c r="D15634" t="s">
        <v>67</v>
      </c>
      <c r="E15634" t="s">
        <v>67</v>
      </c>
      <c r="F15634" t="s">
        <v>27987</v>
      </c>
      <c r="G15634" s="117">
        <v>2.23</v>
      </c>
    </row>
    <row r="15635" spans="1:7" x14ac:dyDescent="0.25">
      <c r="A15635" s="116" t="s">
        <v>24388</v>
      </c>
      <c r="B15635" s="117" t="s">
        <v>24389</v>
      </c>
      <c r="C15635" t="s">
        <v>67</v>
      </c>
      <c r="D15635" t="s">
        <v>67</v>
      </c>
      <c r="E15635" t="s">
        <v>67</v>
      </c>
      <c r="F15635" t="s">
        <v>45</v>
      </c>
      <c r="G15635" s="117">
        <v>294.98</v>
      </c>
    </row>
    <row r="15636" spans="1:7" x14ac:dyDescent="0.25">
      <c r="A15636" s="116" t="s">
        <v>24390</v>
      </c>
      <c r="B15636" s="117" t="s">
        <v>24391</v>
      </c>
      <c r="C15636" t="s">
        <v>67</v>
      </c>
      <c r="D15636" t="s">
        <v>67</v>
      </c>
      <c r="E15636" t="s">
        <v>67</v>
      </c>
      <c r="F15636" t="s">
        <v>27987</v>
      </c>
      <c r="G15636" s="117">
        <v>294.98</v>
      </c>
    </row>
    <row r="15637" spans="1:7" x14ac:dyDescent="0.25">
      <c r="A15637" s="116" t="s">
        <v>24392</v>
      </c>
      <c r="B15637" s="117" t="s">
        <v>24393</v>
      </c>
      <c r="C15637" t="s">
        <v>67</v>
      </c>
      <c r="D15637" t="s">
        <v>67</v>
      </c>
      <c r="E15637" t="s">
        <v>67</v>
      </c>
      <c r="F15637" t="s">
        <v>27987</v>
      </c>
      <c r="G15637" s="117">
        <v>88.54</v>
      </c>
    </row>
    <row r="15638" spans="1:7" x14ac:dyDescent="0.25">
      <c r="A15638" s="116" t="s">
        <v>24394</v>
      </c>
      <c r="B15638" s="117" t="s">
        <v>8339</v>
      </c>
      <c r="C15638" t="s">
        <v>67</v>
      </c>
      <c r="D15638" t="s">
        <v>67</v>
      </c>
      <c r="E15638" t="s">
        <v>67</v>
      </c>
      <c r="F15638" t="s">
        <v>27987</v>
      </c>
      <c r="G15638" s="117">
        <v>0.8</v>
      </c>
    </row>
    <row r="15639" spans="1:7" x14ac:dyDescent="0.25">
      <c r="A15639" s="116" t="s">
        <v>24395</v>
      </c>
      <c r="B15639" s="117" t="s">
        <v>24396</v>
      </c>
      <c r="C15639" t="s">
        <v>67</v>
      </c>
      <c r="D15639" t="s">
        <v>67</v>
      </c>
      <c r="E15639" t="s">
        <v>67</v>
      </c>
      <c r="F15639" t="s">
        <v>27987</v>
      </c>
      <c r="G15639" s="117">
        <v>7.56</v>
      </c>
    </row>
    <row r="15640" spans="1:7" x14ac:dyDescent="0.25">
      <c r="A15640" s="116" t="s">
        <v>24397</v>
      </c>
      <c r="B15640" s="117" t="s">
        <v>9298</v>
      </c>
      <c r="C15640" t="s">
        <v>67</v>
      </c>
      <c r="D15640" t="s">
        <v>67</v>
      </c>
      <c r="E15640" t="s">
        <v>67</v>
      </c>
      <c r="F15640" t="s">
        <v>27987</v>
      </c>
      <c r="G15640" s="117">
        <v>1.33</v>
      </c>
    </row>
    <row r="15641" spans="1:7" x14ac:dyDescent="0.25">
      <c r="A15641" s="116" t="s">
        <v>26684</v>
      </c>
      <c r="B15641" s="117" t="s">
        <v>26685</v>
      </c>
      <c r="C15641" t="s">
        <v>67</v>
      </c>
      <c r="D15641" t="s">
        <v>67</v>
      </c>
      <c r="E15641" t="s">
        <v>67</v>
      </c>
      <c r="F15641" t="s">
        <v>27987</v>
      </c>
      <c r="G15641" s="117">
        <v>13.47</v>
      </c>
    </row>
    <row r="15642" spans="1:7" x14ac:dyDescent="0.25">
      <c r="A15642" s="116" t="s">
        <v>29644</v>
      </c>
      <c r="B15642" s="117" t="s">
        <v>29645</v>
      </c>
      <c r="C15642" t="s">
        <v>67</v>
      </c>
      <c r="D15642" t="s">
        <v>67</v>
      </c>
      <c r="E15642" t="s">
        <v>67</v>
      </c>
      <c r="F15642" t="s">
        <v>45</v>
      </c>
      <c r="G15642" s="117">
        <v>4</v>
      </c>
    </row>
    <row r="15643" spans="1:7" x14ac:dyDescent="0.25">
      <c r="A15643" s="116" t="s">
        <v>24398</v>
      </c>
      <c r="B15643" s="117" t="s">
        <v>24399</v>
      </c>
      <c r="C15643" t="s">
        <v>67</v>
      </c>
      <c r="D15643" t="s">
        <v>67</v>
      </c>
      <c r="E15643" t="s">
        <v>67</v>
      </c>
      <c r="F15643" t="s">
        <v>27987</v>
      </c>
      <c r="G15643" s="117">
        <v>59.18</v>
      </c>
    </row>
    <row r="15644" spans="1:7" x14ac:dyDescent="0.25">
      <c r="A15644" s="116" t="s">
        <v>28213</v>
      </c>
      <c r="B15644" s="117" t="s">
        <v>28214</v>
      </c>
      <c r="C15644" t="s">
        <v>67</v>
      </c>
      <c r="D15644" t="s">
        <v>67</v>
      </c>
      <c r="E15644" t="s">
        <v>67</v>
      </c>
      <c r="F15644" t="s">
        <v>27987</v>
      </c>
      <c r="G15644" s="117">
        <v>11.48</v>
      </c>
    </row>
    <row r="15645" spans="1:7" x14ac:dyDescent="0.25">
      <c r="A15645" s="116" t="s">
        <v>24400</v>
      </c>
      <c r="B15645" s="117" t="s">
        <v>24401</v>
      </c>
      <c r="C15645" t="s">
        <v>67</v>
      </c>
      <c r="D15645" t="s">
        <v>67</v>
      </c>
      <c r="E15645" t="s">
        <v>67</v>
      </c>
      <c r="F15645" t="s">
        <v>49</v>
      </c>
      <c r="G15645" s="117">
        <v>0.8</v>
      </c>
    </row>
    <row r="15646" spans="1:7" x14ac:dyDescent="0.25">
      <c r="A15646" s="116" t="s">
        <v>24402</v>
      </c>
      <c r="B15646" s="117" t="s">
        <v>24403</v>
      </c>
      <c r="C15646" t="s">
        <v>67</v>
      </c>
      <c r="D15646" t="s">
        <v>67</v>
      </c>
      <c r="E15646" t="s">
        <v>67</v>
      </c>
      <c r="F15646" t="s">
        <v>49</v>
      </c>
      <c r="G15646" s="117">
        <v>59.18</v>
      </c>
    </row>
    <row r="15647" spans="1:7" x14ac:dyDescent="0.25">
      <c r="A15647" s="116" t="s">
        <v>24404</v>
      </c>
      <c r="B15647" s="117" t="s">
        <v>20719</v>
      </c>
      <c r="C15647" t="s">
        <v>67</v>
      </c>
      <c r="D15647" t="s">
        <v>67</v>
      </c>
      <c r="E15647" t="s">
        <v>67</v>
      </c>
      <c r="F15647" t="s">
        <v>45</v>
      </c>
      <c r="G15647" s="117">
        <v>81.42</v>
      </c>
    </row>
    <row r="15648" spans="1:7" x14ac:dyDescent="0.25">
      <c r="A15648" s="116" t="s">
        <v>24405</v>
      </c>
      <c r="B15648" s="117" t="s">
        <v>24406</v>
      </c>
      <c r="C15648" t="s">
        <v>67</v>
      </c>
      <c r="D15648" t="s">
        <v>67</v>
      </c>
      <c r="E15648" t="s">
        <v>67</v>
      </c>
      <c r="F15648" t="s">
        <v>27987</v>
      </c>
      <c r="G15648" s="117">
        <v>147.62</v>
      </c>
    </row>
    <row r="15649" spans="1:7" x14ac:dyDescent="0.25">
      <c r="A15649" s="116" t="s">
        <v>24407</v>
      </c>
      <c r="B15649" s="117" t="s">
        <v>9264</v>
      </c>
      <c r="C15649" t="s">
        <v>67</v>
      </c>
      <c r="D15649" t="s">
        <v>67</v>
      </c>
      <c r="E15649" t="s">
        <v>67</v>
      </c>
      <c r="F15649" t="s">
        <v>49</v>
      </c>
      <c r="G15649" s="117">
        <v>2.23</v>
      </c>
    </row>
    <row r="15650" spans="1:7" x14ac:dyDescent="0.25">
      <c r="A15650" s="116" t="s">
        <v>24408</v>
      </c>
      <c r="B15650" s="117" t="s">
        <v>24409</v>
      </c>
      <c r="C15650" t="s">
        <v>67</v>
      </c>
      <c r="D15650" t="s">
        <v>67</v>
      </c>
      <c r="E15650" t="s">
        <v>67</v>
      </c>
      <c r="F15650" t="s">
        <v>27987</v>
      </c>
      <c r="G15650" s="117">
        <v>3.56</v>
      </c>
    </row>
    <row r="15651" spans="1:7" x14ac:dyDescent="0.25">
      <c r="A15651" s="116" t="s">
        <v>24410</v>
      </c>
      <c r="B15651" s="117" t="s">
        <v>24411</v>
      </c>
      <c r="C15651" t="s">
        <v>67</v>
      </c>
      <c r="D15651" t="s">
        <v>67</v>
      </c>
      <c r="E15651" t="s">
        <v>67</v>
      </c>
      <c r="F15651" t="s">
        <v>27987</v>
      </c>
      <c r="G15651" s="117">
        <v>4.8899999999999997</v>
      </c>
    </row>
    <row r="15652" spans="1:7" x14ac:dyDescent="0.25">
      <c r="A15652" s="116" t="s">
        <v>24412</v>
      </c>
      <c r="B15652" s="117" t="s">
        <v>8236</v>
      </c>
      <c r="C15652" t="s">
        <v>67</v>
      </c>
      <c r="D15652" t="s">
        <v>67</v>
      </c>
      <c r="E15652" t="s">
        <v>67</v>
      </c>
      <c r="F15652" t="s">
        <v>27987</v>
      </c>
      <c r="G15652" s="117">
        <v>1.69</v>
      </c>
    </row>
    <row r="15653" spans="1:7" x14ac:dyDescent="0.25">
      <c r="A15653" s="116" t="s">
        <v>24413</v>
      </c>
      <c r="B15653" s="117" t="s">
        <v>24414</v>
      </c>
      <c r="C15653" t="s">
        <v>67</v>
      </c>
      <c r="D15653" t="s">
        <v>67</v>
      </c>
      <c r="E15653" t="s">
        <v>67</v>
      </c>
      <c r="F15653" t="s">
        <v>49</v>
      </c>
      <c r="G15653" s="117">
        <v>7.92</v>
      </c>
    </row>
    <row r="15654" spans="1:7" x14ac:dyDescent="0.25">
      <c r="A15654" s="116" t="s">
        <v>24415</v>
      </c>
      <c r="B15654" s="117" t="s">
        <v>24416</v>
      </c>
      <c r="C15654" t="s">
        <v>67</v>
      </c>
      <c r="D15654" t="s">
        <v>67</v>
      </c>
      <c r="E15654" t="s">
        <v>67</v>
      </c>
      <c r="F15654" t="s">
        <v>49</v>
      </c>
      <c r="G15654" s="117">
        <v>0.8</v>
      </c>
    </row>
    <row r="15655" spans="1:7" x14ac:dyDescent="0.25">
      <c r="A15655" s="116" t="s">
        <v>24417</v>
      </c>
      <c r="B15655" s="117" t="s">
        <v>24418</v>
      </c>
      <c r="C15655" t="s">
        <v>67</v>
      </c>
      <c r="D15655" t="s">
        <v>67</v>
      </c>
      <c r="E15655" t="s">
        <v>67</v>
      </c>
      <c r="F15655" t="s">
        <v>27987</v>
      </c>
      <c r="G15655" s="117">
        <v>153.5</v>
      </c>
    </row>
    <row r="15656" spans="1:7" x14ac:dyDescent="0.25">
      <c r="A15656" s="116" t="s">
        <v>24419</v>
      </c>
      <c r="B15656" s="117" t="s">
        <v>8256</v>
      </c>
      <c r="C15656" t="s">
        <v>67</v>
      </c>
      <c r="D15656" t="s">
        <v>67</v>
      </c>
      <c r="E15656" t="s">
        <v>67</v>
      </c>
      <c r="F15656" t="s">
        <v>27990</v>
      </c>
      <c r="G15656" s="117">
        <v>0.8</v>
      </c>
    </row>
    <row r="15657" spans="1:7" x14ac:dyDescent="0.25">
      <c r="A15657" s="116" t="s">
        <v>24420</v>
      </c>
      <c r="B15657" s="117" t="s">
        <v>21798</v>
      </c>
      <c r="C15657" t="s">
        <v>67</v>
      </c>
      <c r="D15657" t="s">
        <v>67</v>
      </c>
      <c r="E15657" t="s">
        <v>67</v>
      </c>
      <c r="F15657" t="s">
        <v>49</v>
      </c>
      <c r="G15657" s="117">
        <v>0.44</v>
      </c>
    </row>
    <row r="15658" spans="1:7" x14ac:dyDescent="0.25">
      <c r="A15658" s="116" t="s">
        <v>24421</v>
      </c>
      <c r="B15658" s="117" t="s">
        <v>24422</v>
      </c>
      <c r="C15658" t="s">
        <v>67</v>
      </c>
      <c r="D15658" t="s">
        <v>67</v>
      </c>
      <c r="E15658" t="s">
        <v>67</v>
      </c>
      <c r="F15658" t="s">
        <v>27987</v>
      </c>
      <c r="G15658" s="117">
        <v>13.26</v>
      </c>
    </row>
    <row r="15659" spans="1:7" x14ac:dyDescent="0.25">
      <c r="A15659" s="116" t="s">
        <v>24423</v>
      </c>
      <c r="B15659" s="117" t="s">
        <v>24424</v>
      </c>
      <c r="C15659" t="s">
        <v>67</v>
      </c>
      <c r="D15659" t="s">
        <v>67</v>
      </c>
      <c r="E15659" t="s">
        <v>67</v>
      </c>
      <c r="F15659" t="s">
        <v>27987</v>
      </c>
      <c r="G15659" s="117">
        <v>9.35</v>
      </c>
    </row>
    <row r="15660" spans="1:7" x14ac:dyDescent="0.25">
      <c r="A15660" s="116" t="s">
        <v>24425</v>
      </c>
      <c r="B15660" s="117" t="s">
        <v>24426</v>
      </c>
      <c r="C15660" t="s">
        <v>67</v>
      </c>
      <c r="D15660" t="s">
        <v>67</v>
      </c>
      <c r="E15660" t="s">
        <v>67</v>
      </c>
      <c r="F15660" t="s">
        <v>49</v>
      </c>
      <c r="G15660" s="117">
        <v>7.12</v>
      </c>
    </row>
    <row r="15661" spans="1:7" x14ac:dyDescent="0.25">
      <c r="A15661" s="116" t="s">
        <v>24427</v>
      </c>
      <c r="B15661" s="117" t="s">
        <v>24428</v>
      </c>
      <c r="C15661" t="s">
        <v>67</v>
      </c>
      <c r="D15661" t="s">
        <v>67</v>
      </c>
      <c r="E15661" t="s">
        <v>67</v>
      </c>
      <c r="F15661" t="s">
        <v>27987</v>
      </c>
      <c r="G15661" s="117">
        <v>13.26</v>
      </c>
    </row>
    <row r="15662" spans="1:7" x14ac:dyDescent="0.25">
      <c r="A15662" s="116" t="s">
        <v>24429</v>
      </c>
      <c r="B15662" s="117" t="s">
        <v>29646</v>
      </c>
      <c r="C15662" t="s">
        <v>67</v>
      </c>
      <c r="D15662" t="s">
        <v>67</v>
      </c>
      <c r="E15662" t="s">
        <v>67</v>
      </c>
      <c r="F15662" t="s">
        <v>49</v>
      </c>
      <c r="G15662" s="117">
        <v>0.8</v>
      </c>
    </row>
    <row r="15663" spans="1:7" x14ac:dyDescent="0.25">
      <c r="A15663" s="116" t="s">
        <v>24430</v>
      </c>
      <c r="B15663" s="117" t="s">
        <v>24431</v>
      </c>
      <c r="C15663" t="s">
        <v>67</v>
      </c>
      <c r="D15663" t="s">
        <v>67</v>
      </c>
      <c r="E15663" t="s">
        <v>67</v>
      </c>
      <c r="F15663" t="s">
        <v>49</v>
      </c>
      <c r="G15663" s="117">
        <v>9.6999999999999993</v>
      </c>
    </row>
    <row r="15664" spans="1:7" x14ac:dyDescent="0.25">
      <c r="A15664" s="116" t="s">
        <v>24432</v>
      </c>
      <c r="B15664" s="117" t="s">
        <v>24433</v>
      </c>
      <c r="C15664" t="s">
        <v>67</v>
      </c>
      <c r="D15664" t="s">
        <v>67</v>
      </c>
      <c r="E15664" t="s">
        <v>67</v>
      </c>
      <c r="F15664" t="s">
        <v>49</v>
      </c>
      <c r="G15664" s="117">
        <v>1.33</v>
      </c>
    </row>
    <row r="15665" spans="1:7" x14ac:dyDescent="0.25">
      <c r="A15665" s="116" t="s">
        <v>24434</v>
      </c>
      <c r="B15665" s="117" t="s">
        <v>24435</v>
      </c>
      <c r="C15665" t="s">
        <v>67</v>
      </c>
      <c r="D15665" t="s">
        <v>67</v>
      </c>
      <c r="E15665" t="s">
        <v>67</v>
      </c>
      <c r="F15665" t="s">
        <v>27987</v>
      </c>
      <c r="G15665" s="117">
        <v>1.77</v>
      </c>
    </row>
    <row r="15666" spans="1:7" x14ac:dyDescent="0.25">
      <c r="A15666" s="116" t="s">
        <v>24436</v>
      </c>
      <c r="B15666" s="117" t="s">
        <v>24437</v>
      </c>
      <c r="C15666" t="s">
        <v>67</v>
      </c>
      <c r="D15666" t="s">
        <v>67</v>
      </c>
      <c r="E15666" t="s">
        <v>67</v>
      </c>
      <c r="F15666" t="s">
        <v>27987</v>
      </c>
      <c r="G15666" s="117">
        <v>10.58</v>
      </c>
    </row>
    <row r="15667" spans="1:7" x14ac:dyDescent="0.25">
      <c r="A15667" s="116" t="s">
        <v>24438</v>
      </c>
      <c r="B15667" s="117" t="s">
        <v>24439</v>
      </c>
      <c r="C15667" t="s">
        <v>67</v>
      </c>
      <c r="D15667" t="s">
        <v>67</v>
      </c>
      <c r="E15667" t="s">
        <v>67</v>
      </c>
      <c r="F15667" t="s">
        <v>49</v>
      </c>
      <c r="G15667" s="117">
        <v>12.01</v>
      </c>
    </row>
    <row r="15668" spans="1:7" x14ac:dyDescent="0.25">
      <c r="A15668" s="116" t="s">
        <v>24440</v>
      </c>
      <c r="B15668" s="117" t="s">
        <v>24441</v>
      </c>
      <c r="C15668" t="s">
        <v>67</v>
      </c>
      <c r="D15668" t="s">
        <v>67</v>
      </c>
      <c r="E15668" t="s">
        <v>67</v>
      </c>
      <c r="F15668" t="s">
        <v>49</v>
      </c>
      <c r="G15668" s="117">
        <v>0.8</v>
      </c>
    </row>
    <row r="15669" spans="1:7" x14ac:dyDescent="0.25">
      <c r="A15669" s="116" t="s">
        <v>24442</v>
      </c>
      <c r="B15669" s="117" t="s">
        <v>24443</v>
      </c>
      <c r="C15669" t="s">
        <v>67</v>
      </c>
      <c r="D15669" t="s">
        <v>67</v>
      </c>
      <c r="E15669" t="s">
        <v>67</v>
      </c>
      <c r="F15669" t="s">
        <v>49</v>
      </c>
      <c r="G15669" s="117">
        <v>4.8899999999999997</v>
      </c>
    </row>
    <row r="15670" spans="1:7" x14ac:dyDescent="0.25">
      <c r="A15670" s="116" t="s">
        <v>24444</v>
      </c>
      <c r="B15670" s="117" t="s">
        <v>24445</v>
      </c>
      <c r="C15670" t="s">
        <v>67</v>
      </c>
      <c r="D15670" t="s">
        <v>67</v>
      </c>
      <c r="E15670" t="s">
        <v>67</v>
      </c>
      <c r="F15670" t="s">
        <v>27987</v>
      </c>
      <c r="G15670" s="117">
        <v>1.69</v>
      </c>
    </row>
    <row r="15671" spans="1:7" x14ac:dyDescent="0.25">
      <c r="A15671" s="116" t="s">
        <v>24446</v>
      </c>
      <c r="B15671" s="117" t="s">
        <v>24447</v>
      </c>
      <c r="C15671" t="s">
        <v>67</v>
      </c>
      <c r="D15671" t="s">
        <v>67</v>
      </c>
      <c r="E15671" t="s">
        <v>67</v>
      </c>
      <c r="F15671" t="s">
        <v>27987</v>
      </c>
      <c r="G15671" s="117">
        <v>1.69</v>
      </c>
    </row>
    <row r="15672" spans="1:7" x14ac:dyDescent="0.25">
      <c r="A15672" s="116" t="s">
        <v>24448</v>
      </c>
      <c r="B15672" s="117" t="s">
        <v>24449</v>
      </c>
      <c r="C15672" t="s">
        <v>67</v>
      </c>
      <c r="D15672" t="s">
        <v>67</v>
      </c>
      <c r="E15672" t="s">
        <v>67</v>
      </c>
      <c r="F15672" t="s">
        <v>49</v>
      </c>
      <c r="G15672" s="117">
        <v>8.81</v>
      </c>
    </row>
    <row r="15673" spans="1:7" x14ac:dyDescent="0.25">
      <c r="A15673" s="116" t="s">
        <v>24450</v>
      </c>
      <c r="B15673" s="117" t="s">
        <v>29647</v>
      </c>
      <c r="C15673" t="s">
        <v>67</v>
      </c>
      <c r="D15673" t="s">
        <v>67</v>
      </c>
      <c r="E15673" t="s">
        <v>67</v>
      </c>
      <c r="F15673" t="s">
        <v>27987</v>
      </c>
      <c r="G15673" s="117">
        <v>2.58</v>
      </c>
    </row>
    <row r="15674" spans="1:7" x14ac:dyDescent="0.25">
      <c r="A15674" s="116" t="s">
        <v>24451</v>
      </c>
      <c r="B15674" s="117" t="s">
        <v>24416</v>
      </c>
      <c r="C15674" t="s">
        <v>67</v>
      </c>
      <c r="D15674" t="s">
        <v>67</v>
      </c>
      <c r="E15674" t="s">
        <v>67</v>
      </c>
      <c r="F15674" t="s">
        <v>49</v>
      </c>
      <c r="G15674" s="117">
        <v>0.8</v>
      </c>
    </row>
    <row r="15675" spans="1:7" x14ac:dyDescent="0.25">
      <c r="A15675" s="116" t="s">
        <v>24452</v>
      </c>
      <c r="B15675" s="117" t="s">
        <v>24453</v>
      </c>
      <c r="C15675" t="s">
        <v>67</v>
      </c>
      <c r="D15675" t="s">
        <v>67</v>
      </c>
      <c r="E15675" t="s">
        <v>67</v>
      </c>
      <c r="F15675" t="s">
        <v>45</v>
      </c>
      <c r="G15675" s="117">
        <v>0.8</v>
      </c>
    </row>
    <row r="15676" spans="1:7" x14ac:dyDescent="0.25">
      <c r="A15676" s="116" t="s">
        <v>24454</v>
      </c>
      <c r="B15676" s="117" t="s">
        <v>24455</v>
      </c>
      <c r="C15676" t="s">
        <v>67</v>
      </c>
      <c r="D15676" t="s">
        <v>67</v>
      </c>
      <c r="E15676" t="s">
        <v>67</v>
      </c>
      <c r="F15676" t="s">
        <v>49</v>
      </c>
      <c r="G15676" s="117">
        <v>16.82</v>
      </c>
    </row>
    <row r="15677" spans="1:7" x14ac:dyDescent="0.25">
      <c r="A15677" s="116" t="s">
        <v>24456</v>
      </c>
      <c r="B15677" s="117" t="s">
        <v>22212</v>
      </c>
      <c r="C15677" t="s">
        <v>67</v>
      </c>
      <c r="D15677" t="s">
        <v>67</v>
      </c>
      <c r="E15677" t="s">
        <v>67</v>
      </c>
      <c r="F15677" t="s">
        <v>49</v>
      </c>
      <c r="G15677" s="117">
        <v>1.33</v>
      </c>
    </row>
    <row r="15678" spans="1:7" x14ac:dyDescent="0.25">
      <c r="A15678" s="116" t="s">
        <v>24457</v>
      </c>
      <c r="B15678" s="117" t="s">
        <v>24458</v>
      </c>
      <c r="C15678" t="s">
        <v>67</v>
      </c>
      <c r="D15678" t="s">
        <v>67</v>
      </c>
      <c r="E15678" t="s">
        <v>67</v>
      </c>
      <c r="F15678" t="s">
        <v>27987</v>
      </c>
      <c r="G15678" s="117">
        <v>10.58</v>
      </c>
    </row>
    <row r="15679" spans="1:7" x14ac:dyDescent="0.25">
      <c r="A15679" s="116" t="s">
        <v>24459</v>
      </c>
      <c r="B15679" s="117" t="s">
        <v>24460</v>
      </c>
      <c r="C15679" t="s">
        <v>67</v>
      </c>
      <c r="D15679" t="s">
        <v>67</v>
      </c>
      <c r="E15679" t="s">
        <v>67</v>
      </c>
      <c r="F15679" t="s">
        <v>27987</v>
      </c>
      <c r="G15679" s="117">
        <v>2.23</v>
      </c>
    </row>
    <row r="15680" spans="1:7" x14ac:dyDescent="0.25">
      <c r="A15680" s="116" t="s">
        <v>24461</v>
      </c>
      <c r="B15680" s="117" t="s">
        <v>24462</v>
      </c>
      <c r="C15680" t="s">
        <v>67</v>
      </c>
      <c r="D15680" t="s">
        <v>67</v>
      </c>
      <c r="E15680" t="s">
        <v>67</v>
      </c>
      <c r="F15680" t="s">
        <v>27987</v>
      </c>
      <c r="G15680" s="117">
        <v>10.58</v>
      </c>
    </row>
    <row r="15681" spans="1:7" x14ac:dyDescent="0.25">
      <c r="A15681" s="116" t="s">
        <v>24463</v>
      </c>
      <c r="B15681" s="117" t="s">
        <v>24464</v>
      </c>
      <c r="C15681" t="s">
        <v>67</v>
      </c>
      <c r="D15681" t="s">
        <v>67</v>
      </c>
      <c r="E15681" t="s">
        <v>67</v>
      </c>
      <c r="F15681" t="s">
        <v>27987</v>
      </c>
      <c r="G15681" s="117">
        <v>3.56</v>
      </c>
    </row>
    <row r="15682" spans="1:7" x14ac:dyDescent="0.25">
      <c r="A15682" s="116" t="s">
        <v>24465</v>
      </c>
      <c r="B15682" s="117" t="s">
        <v>24466</v>
      </c>
      <c r="C15682" t="s">
        <v>67</v>
      </c>
      <c r="D15682" t="s">
        <v>67</v>
      </c>
      <c r="E15682" t="s">
        <v>67</v>
      </c>
      <c r="F15682" t="s">
        <v>27987</v>
      </c>
      <c r="G15682" s="117">
        <v>135.69999999999999</v>
      </c>
    </row>
    <row r="15683" spans="1:7" x14ac:dyDescent="0.25">
      <c r="A15683" s="116" t="s">
        <v>24467</v>
      </c>
      <c r="B15683" s="117" t="s">
        <v>24468</v>
      </c>
      <c r="C15683" t="s">
        <v>67</v>
      </c>
      <c r="D15683" t="s">
        <v>67</v>
      </c>
      <c r="E15683" t="s">
        <v>67</v>
      </c>
      <c r="F15683" t="s">
        <v>27987</v>
      </c>
      <c r="G15683" s="117">
        <v>3.48</v>
      </c>
    </row>
    <row r="15684" spans="1:7" x14ac:dyDescent="0.25">
      <c r="A15684" s="116" t="s">
        <v>24469</v>
      </c>
      <c r="B15684" s="117" t="s">
        <v>24470</v>
      </c>
      <c r="C15684" t="s">
        <v>67</v>
      </c>
      <c r="D15684" t="s">
        <v>67</v>
      </c>
      <c r="E15684" t="s">
        <v>67</v>
      </c>
      <c r="F15684" t="s">
        <v>27987</v>
      </c>
      <c r="G15684" s="117">
        <v>1.69</v>
      </c>
    </row>
    <row r="15685" spans="1:7" x14ac:dyDescent="0.25">
      <c r="A15685" s="116" t="s">
        <v>24471</v>
      </c>
      <c r="B15685" s="117" t="s">
        <v>24472</v>
      </c>
      <c r="C15685" t="s">
        <v>67</v>
      </c>
      <c r="D15685" t="s">
        <v>67</v>
      </c>
      <c r="E15685" t="s">
        <v>67</v>
      </c>
      <c r="F15685" t="s">
        <v>45</v>
      </c>
      <c r="G15685" s="117">
        <v>0.8</v>
      </c>
    </row>
    <row r="15686" spans="1:7" x14ac:dyDescent="0.25">
      <c r="A15686" s="116" t="s">
        <v>24473</v>
      </c>
      <c r="B15686" s="117" t="s">
        <v>24474</v>
      </c>
      <c r="C15686" t="s">
        <v>67</v>
      </c>
      <c r="D15686" t="s">
        <v>67</v>
      </c>
      <c r="E15686" t="s">
        <v>67</v>
      </c>
      <c r="F15686" t="s">
        <v>45</v>
      </c>
      <c r="G15686" s="117">
        <v>3.12</v>
      </c>
    </row>
    <row r="15687" spans="1:7" x14ac:dyDescent="0.25">
      <c r="A15687" s="116" t="s">
        <v>24475</v>
      </c>
      <c r="B15687" s="117" t="s">
        <v>8233</v>
      </c>
      <c r="C15687" t="s">
        <v>67</v>
      </c>
      <c r="D15687" t="s">
        <v>67</v>
      </c>
      <c r="E15687" t="s">
        <v>67</v>
      </c>
      <c r="F15687" t="s">
        <v>45</v>
      </c>
      <c r="G15687" s="117">
        <v>3.12</v>
      </c>
    </row>
    <row r="15688" spans="1:7" x14ac:dyDescent="0.25">
      <c r="A15688" s="116" t="s">
        <v>24476</v>
      </c>
      <c r="B15688" s="117" t="s">
        <v>24477</v>
      </c>
      <c r="C15688" t="s">
        <v>67</v>
      </c>
      <c r="D15688" t="s">
        <v>67</v>
      </c>
      <c r="E15688" t="s">
        <v>67</v>
      </c>
      <c r="F15688" t="s">
        <v>27987</v>
      </c>
      <c r="G15688" s="117">
        <v>9.6999999999999993</v>
      </c>
    </row>
    <row r="15689" spans="1:7" x14ac:dyDescent="0.25">
      <c r="A15689" s="116" t="s">
        <v>24478</v>
      </c>
      <c r="B15689" s="117" t="s">
        <v>24479</v>
      </c>
      <c r="C15689" t="s">
        <v>67</v>
      </c>
      <c r="D15689" t="s">
        <v>67</v>
      </c>
      <c r="E15689" t="s">
        <v>67</v>
      </c>
      <c r="F15689" t="s">
        <v>27987</v>
      </c>
      <c r="G15689" s="117">
        <v>17.7</v>
      </c>
    </row>
    <row r="15690" spans="1:7" x14ac:dyDescent="0.25">
      <c r="A15690" s="116" t="s">
        <v>24480</v>
      </c>
      <c r="B15690" s="117" t="s">
        <v>24481</v>
      </c>
      <c r="C15690" t="s">
        <v>67</v>
      </c>
      <c r="D15690" t="s">
        <v>67</v>
      </c>
      <c r="E15690" t="s">
        <v>67</v>
      </c>
      <c r="F15690" t="s">
        <v>27987</v>
      </c>
      <c r="G15690" s="117">
        <v>14.14</v>
      </c>
    </row>
    <row r="15691" spans="1:7" x14ac:dyDescent="0.25">
      <c r="A15691" s="116" t="s">
        <v>24482</v>
      </c>
      <c r="B15691" s="117" t="s">
        <v>24483</v>
      </c>
      <c r="C15691" t="s">
        <v>67</v>
      </c>
      <c r="D15691" t="s">
        <v>67</v>
      </c>
      <c r="E15691" t="s">
        <v>67</v>
      </c>
      <c r="F15691" t="s">
        <v>27987</v>
      </c>
      <c r="G15691" s="117">
        <v>2.58</v>
      </c>
    </row>
    <row r="15692" spans="1:7" x14ac:dyDescent="0.25">
      <c r="A15692" s="116" t="s">
        <v>24484</v>
      </c>
      <c r="B15692" s="117" t="s">
        <v>24485</v>
      </c>
      <c r="C15692" t="s">
        <v>67</v>
      </c>
      <c r="D15692" t="s">
        <v>67</v>
      </c>
      <c r="E15692" t="s">
        <v>67</v>
      </c>
      <c r="F15692" t="s">
        <v>45</v>
      </c>
      <c r="G15692" s="117">
        <v>140.5</v>
      </c>
    </row>
    <row r="15693" spans="1:7" x14ac:dyDescent="0.25">
      <c r="A15693" s="116" t="s">
        <v>24486</v>
      </c>
      <c r="B15693" s="117" t="s">
        <v>9335</v>
      </c>
      <c r="C15693" t="s">
        <v>67</v>
      </c>
      <c r="D15693" t="s">
        <v>67</v>
      </c>
      <c r="E15693" t="s">
        <v>67</v>
      </c>
      <c r="F15693" t="s">
        <v>27987</v>
      </c>
      <c r="G15693" s="117">
        <v>0.8</v>
      </c>
    </row>
    <row r="15694" spans="1:7" x14ac:dyDescent="0.25">
      <c r="A15694" s="116" t="s">
        <v>24487</v>
      </c>
      <c r="B15694" s="117" t="s">
        <v>24488</v>
      </c>
      <c r="C15694" t="s">
        <v>67</v>
      </c>
      <c r="D15694" t="s">
        <v>67</v>
      </c>
      <c r="E15694" t="s">
        <v>67</v>
      </c>
      <c r="F15694" t="s">
        <v>49</v>
      </c>
      <c r="G15694" s="117">
        <v>2.23</v>
      </c>
    </row>
    <row r="15695" spans="1:7" x14ac:dyDescent="0.25">
      <c r="A15695" s="116" t="s">
        <v>24489</v>
      </c>
      <c r="B15695" s="117" t="s">
        <v>24490</v>
      </c>
      <c r="C15695" t="s">
        <v>67</v>
      </c>
      <c r="D15695" t="s">
        <v>67</v>
      </c>
      <c r="E15695" t="s">
        <v>67</v>
      </c>
      <c r="F15695" t="s">
        <v>49</v>
      </c>
      <c r="G15695" s="117">
        <v>1.33</v>
      </c>
    </row>
    <row r="15696" spans="1:7" x14ac:dyDescent="0.25">
      <c r="A15696" s="116" t="s">
        <v>24491</v>
      </c>
      <c r="B15696" s="117" t="s">
        <v>24492</v>
      </c>
      <c r="C15696" t="s">
        <v>67</v>
      </c>
      <c r="D15696" t="s">
        <v>67</v>
      </c>
      <c r="E15696" t="s">
        <v>67</v>
      </c>
      <c r="F15696" t="s">
        <v>27987</v>
      </c>
      <c r="G15696" s="117">
        <v>5.25</v>
      </c>
    </row>
    <row r="15697" spans="1:7" x14ac:dyDescent="0.25">
      <c r="A15697" s="116" t="s">
        <v>24493</v>
      </c>
      <c r="B15697" s="117" t="s">
        <v>24494</v>
      </c>
      <c r="C15697" t="s">
        <v>67</v>
      </c>
      <c r="D15697" t="s">
        <v>67</v>
      </c>
      <c r="E15697" t="s">
        <v>67</v>
      </c>
      <c r="F15697" t="s">
        <v>27987</v>
      </c>
      <c r="G15697" s="117">
        <v>104.92</v>
      </c>
    </row>
    <row r="15698" spans="1:7" x14ac:dyDescent="0.25">
      <c r="A15698" s="116" t="s">
        <v>24495</v>
      </c>
      <c r="B15698" s="117" t="s">
        <v>24496</v>
      </c>
      <c r="C15698" t="s">
        <v>67</v>
      </c>
      <c r="D15698" t="s">
        <v>67</v>
      </c>
      <c r="E15698" t="s">
        <v>67</v>
      </c>
      <c r="F15698" t="s">
        <v>49</v>
      </c>
      <c r="G15698" s="117">
        <v>0.63</v>
      </c>
    </row>
    <row r="15699" spans="1:7" x14ac:dyDescent="0.25">
      <c r="A15699" s="116" t="s">
        <v>24497</v>
      </c>
      <c r="B15699" s="117" t="s">
        <v>24498</v>
      </c>
      <c r="C15699" t="s">
        <v>67</v>
      </c>
      <c r="D15699" t="s">
        <v>67</v>
      </c>
      <c r="E15699" t="s">
        <v>67</v>
      </c>
      <c r="F15699" t="s">
        <v>49</v>
      </c>
      <c r="G15699" s="117">
        <v>330.04</v>
      </c>
    </row>
    <row r="15700" spans="1:7" x14ac:dyDescent="0.25">
      <c r="A15700" s="116" t="s">
        <v>24499</v>
      </c>
      <c r="B15700" s="117" t="s">
        <v>24500</v>
      </c>
      <c r="C15700" t="s">
        <v>67</v>
      </c>
      <c r="D15700" t="s">
        <v>67</v>
      </c>
      <c r="E15700" t="s">
        <v>67</v>
      </c>
      <c r="F15700" t="s">
        <v>49</v>
      </c>
      <c r="G15700" s="117">
        <v>0.8</v>
      </c>
    </row>
    <row r="15701" spans="1:7" x14ac:dyDescent="0.25">
      <c r="A15701" s="116" t="s">
        <v>24501</v>
      </c>
      <c r="B15701" s="117" t="s">
        <v>24502</v>
      </c>
      <c r="C15701" t="s">
        <v>67</v>
      </c>
      <c r="D15701" t="s">
        <v>67</v>
      </c>
      <c r="E15701" t="s">
        <v>67</v>
      </c>
      <c r="F15701" t="s">
        <v>27987</v>
      </c>
      <c r="G15701" s="117">
        <v>336.26</v>
      </c>
    </row>
    <row r="15702" spans="1:7" x14ac:dyDescent="0.25">
      <c r="A15702" s="116" t="s">
        <v>24503</v>
      </c>
      <c r="B15702" s="117" t="s">
        <v>24502</v>
      </c>
      <c r="C15702" t="s">
        <v>67</v>
      </c>
      <c r="D15702" t="s">
        <v>67</v>
      </c>
      <c r="E15702" t="s">
        <v>67</v>
      </c>
      <c r="F15702" t="s">
        <v>49</v>
      </c>
      <c r="G15702" s="117">
        <v>396.42</v>
      </c>
    </row>
    <row r="15703" spans="1:7" x14ac:dyDescent="0.25">
      <c r="A15703" s="116" t="s">
        <v>24504</v>
      </c>
      <c r="B15703" s="117" t="s">
        <v>24505</v>
      </c>
      <c r="C15703" t="s">
        <v>67</v>
      </c>
      <c r="D15703" t="s">
        <v>67</v>
      </c>
      <c r="E15703" t="s">
        <v>67</v>
      </c>
      <c r="F15703" t="s">
        <v>27987</v>
      </c>
      <c r="G15703" s="117">
        <v>1.33</v>
      </c>
    </row>
    <row r="15704" spans="1:7" x14ac:dyDescent="0.25">
      <c r="A15704" s="116" t="s">
        <v>24506</v>
      </c>
      <c r="B15704" s="117" t="s">
        <v>8024</v>
      </c>
      <c r="C15704" t="s">
        <v>67</v>
      </c>
      <c r="D15704" t="s">
        <v>67</v>
      </c>
      <c r="E15704" t="s">
        <v>67</v>
      </c>
      <c r="F15704" t="s">
        <v>49</v>
      </c>
      <c r="G15704" s="117">
        <v>1.33</v>
      </c>
    </row>
    <row r="15705" spans="1:7" x14ac:dyDescent="0.25">
      <c r="A15705" s="116" t="s">
        <v>24507</v>
      </c>
      <c r="B15705" s="117" t="s">
        <v>24508</v>
      </c>
      <c r="C15705" t="s">
        <v>67</v>
      </c>
      <c r="D15705" t="s">
        <v>67</v>
      </c>
      <c r="E15705" t="s">
        <v>67</v>
      </c>
      <c r="F15705" t="s">
        <v>27990</v>
      </c>
      <c r="G15705" s="117">
        <v>0.8</v>
      </c>
    </row>
    <row r="15706" spans="1:7" x14ac:dyDescent="0.25">
      <c r="A15706" s="116" t="s">
        <v>24509</v>
      </c>
      <c r="B15706" s="117" t="s">
        <v>24510</v>
      </c>
      <c r="C15706" t="s">
        <v>67</v>
      </c>
      <c r="D15706" t="s">
        <v>67</v>
      </c>
      <c r="E15706" t="s">
        <v>67</v>
      </c>
      <c r="F15706" t="s">
        <v>49</v>
      </c>
      <c r="G15706" s="117">
        <v>17.7</v>
      </c>
    </row>
    <row r="15707" spans="1:7" x14ac:dyDescent="0.25">
      <c r="A15707" s="116" t="s">
        <v>24511</v>
      </c>
      <c r="B15707" s="117" t="s">
        <v>24512</v>
      </c>
      <c r="C15707" t="s">
        <v>67</v>
      </c>
      <c r="D15707" t="s">
        <v>67</v>
      </c>
      <c r="E15707" t="s">
        <v>67</v>
      </c>
      <c r="F15707" t="s">
        <v>27987</v>
      </c>
      <c r="G15707" s="117">
        <v>17.7</v>
      </c>
    </row>
    <row r="15708" spans="1:7" x14ac:dyDescent="0.25">
      <c r="A15708" s="116" t="s">
        <v>24513</v>
      </c>
      <c r="B15708" s="117" t="s">
        <v>24514</v>
      </c>
      <c r="C15708" t="s">
        <v>67</v>
      </c>
      <c r="D15708" t="s">
        <v>67</v>
      </c>
      <c r="E15708" t="s">
        <v>67</v>
      </c>
      <c r="F15708" t="s">
        <v>27987</v>
      </c>
      <c r="G15708" s="117">
        <v>106.33</v>
      </c>
    </row>
    <row r="15709" spans="1:7" x14ac:dyDescent="0.25">
      <c r="A15709" s="116" t="s">
        <v>24515</v>
      </c>
      <c r="B15709" s="117" t="s">
        <v>24516</v>
      </c>
      <c r="C15709" t="s">
        <v>67</v>
      </c>
      <c r="D15709" t="s">
        <v>67</v>
      </c>
      <c r="E15709" t="s">
        <v>67</v>
      </c>
      <c r="F15709" t="s">
        <v>49</v>
      </c>
      <c r="G15709" s="117">
        <v>1.33</v>
      </c>
    </row>
    <row r="15710" spans="1:7" x14ac:dyDescent="0.25">
      <c r="A15710" s="116" t="s">
        <v>24517</v>
      </c>
      <c r="B15710" s="117" t="s">
        <v>24518</v>
      </c>
      <c r="C15710" t="s">
        <v>67</v>
      </c>
      <c r="D15710" t="s">
        <v>67</v>
      </c>
      <c r="E15710" t="s">
        <v>67</v>
      </c>
      <c r="F15710" t="s">
        <v>27987</v>
      </c>
      <c r="G15710" s="117">
        <v>32.83</v>
      </c>
    </row>
    <row r="15711" spans="1:7" x14ac:dyDescent="0.25">
      <c r="A15711" s="116" t="s">
        <v>24519</v>
      </c>
      <c r="B15711" s="117" t="s">
        <v>24520</v>
      </c>
      <c r="C15711" t="s">
        <v>67</v>
      </c>
      <c r="D15711" t="s">
        <v>67</v>
      </c>
      <c r="E15711" t="s">
        <v>67</v>
      </c>
      <c r="F15711" t="s">
        <v>27987</v>
      </c>
      <c r="G15711" s="117">
        <v>9.6999999999999993</v>
      </c>
    </row>
    <row r="15712" spans="1:7" x14ac:dyDescent="0.25">
      <c r="A15712" s="116" t="s">
        <v>24521</v>
      </c>
      <c r="B15712" s="117" t="s">
        <v>24522</v>
      </c>
      <c r="C15712" t="s">
        <v>67</v>
      </c>
      <c r="D15712" t="s">
        <v>67</v>
      </c>
      <c r="E15712" t="s">
        <v>67</v>
      </c>
      <c r="F15712" t="s">
        <v>49</v>
      </c>
      <c r="G15712" s="117">
        <v>8.4499999999999993</v>
      </c>
    </row>
    <row r="15713" spans="1:7" x14ac:dyDescent="0.25">
      <c r="A15713" s="116" t="s">
        <v>24523</v>
      </c>
      <c r="B15713" s="117" t="s">
        <v>24524</v>
      </c>
      <c r="C15713" t="s">
        <v>67</v>
      </c>
      <c r="D15713" t="s">
        <v>67</v>
      </c>
      <c r="E15713" t="s">
        <v>67</v>
      </c>
      <c r="F15713" t="s">
        <v>27987</v>
      </c>
      <c r="G15713" s="117">
        <v>3.56</v>
      </c>
    </row>
    <row r="15714" spans="1:7" x14ac:dyDescent="0.25">
      <c r="A15714" s="116" t="s">
        <v>24525</v>
      </c>
      <c r="B15714" s="117" t="s">
        <v>24526</v>
      </c>
      <c r="C15714" t="s">
        <v>67</v>
      </c>
      <c r="D15714" t="s">
        <v>67</v>
      </c>
      <c r="E15714" t="s">
        <v>67</v>
      </c>
      <c r="F15714" t="s">
        <v>27987</v>
      </c>
      <c r="G15714" s="117">
        <v>1.33</v>
      </c>
    </row>
    <row r="15715" spans="1:7" x14ac:dyDescent="0.25">
      <c r="A15715" s="116" t="s">
        <v>24527</v>
      </c>
      <c r="B15715" s="117" t="s">
        <v>24528</v>
      </c>
      <c r="C15715" t="s">
        <v>67</v>
      </c>
      <c r="D15715" t="s">
        <v>67</v>
      </c>
      <c r="E15715" t="s">
        <v>67</v>
      </c>
      <c r="F15715" t="s">
        <v>45</v>
      </c>
      <c r="G15715" s="117">
        <v>2.58</v>
      </c>
    </row>
    <row r="15716" spans="1:7" x14ac:dyDescent="0.25">
      <c r="A15716" s="116" t="s">
        <v>24529</v>
      </c>
      <c r="B15716" s="117" t="s">
        <v>23357</v>
      </c>
      <c r="C15716" t="s">
        <v>67</v>
      </c>
      <c r="D15716" t="s">
        <v>67</v>
      </c>
      <c r="E15716" t="s">
        <v>67</v>
      </c>
      <c r="F15716" t="s">
        <v>27987</v>
      </c>
      <c r="G15716" s="117">
        <v>0.8</v>
      </c>
    </row>
    <row r="15717" spans="1:7" x14ac:dyDescent="0.25">
      <c r="A15717" s="116" t="s">
        <v>24530</v>
      </c>
      <c r="B15717" s="117" t="s">
        <v>24531</v>
      </c>
      <c r="C15717" t="s">
        <v>67</v>
      </c>
      <c r="D15717" t="s">
        <v>67</v>
      </c>
      <c r="E15717" t="s">
        <v>67</v>
      </c>
      <c r="F15717" t="s">
        <v>49</v>
      </c>
      <c r="G15717" s="117">
        <v>3.48</v>
      </c>
    </row>
    <row r="15718" spans="1:7" x14ac:dyDescent="0.25">
      <c r="A15718" s="116" t="s">
        <v>24532</v>
      </c>
      <c r="B15718" s="117" t="s">
        <v>24533</v>
      </c>
      <c r="C15718" t="s">
        <v>67</v>
      </c>
      <c r="D15718" t="s">
        <v>67</v>
      </c>
      <c r="E15718" t="s">
        <v>67</v>
      </c>
      <c r="F15718" t="s">
        <v>27990</v>
      </c>
      <c r="G15718" s="117">
        <v>56.86</v>
      </c>
    </row>
    <row r="15719" spans="1:7" x14ac:dyDescent="0.25">
      <c r="A15719" s="116" t="s">
        <v>24534</v>
      </c>
      <c r="B15719" s="117" t="s">
        <v>24533</v>
      </c>
      <c r="C15719" t="s">
        <v>67</v>
      </c>
      <c r="D15719" t="s">
        <v>67</v>
      </c>
      <c r="E15719" t="s">
        <v>67</v>
      </c>
      <c r="F15719" t="s">
        <v>45</v>
      </c>
      <c r="G15719" s="117">
        <v>57.39</v>
      </c>
    </row>
    <row r="15720" spans="1:7" x14ac:dyDescent="0.25">
      <c r="A15720" s="116" t="s">
        <v>24535</v>
      </c>
      <c r="B15720" s="117" t="s">
        <v>23488</v>
      </c>
      <c r="C15720" t="s">
        <v>67</v>
      </c>
      <c r="D15720" t="s">
        <v>67</v>
      </c>
      <c r="E15720" t="s">
        <v>67</v>
      </c>
      <c r="F15720" t="s">
        <v>45</v>
      </c>
      <c r="G15720" s="117">
        <v>668.18</v>
      </c>
    </row>
    <row r="15721" spans="1:7" x14ac:dyDescent="0.25">
      <c r="A15721" s="116" t="s">
        <v>24536</v>
      </c>
      <c r="B15721" s="117" t="s">
        <v>24537</v>
      </c>
      <c r="C15721" t="s">
        <v>67</v>
      </c>
      <c r="D15721" t="s">
        <v>67</v>
      </c>
      <c r="E15721" t="s">
        <v>67</v>
      </c>
      <c r="F15721" t="s">
        <v>51</v>
      </c>
      <c r="G15721" s="117">
        <v>14.14</v>
      </c>
    </row>
    <row r="15722" spans="1:7" x14ac:dyDescent="0.25">
      <c r="A15722" s="116" t="s">
        <v>24538</v>
      </c>
      <c r="B15722" s="117" t="s">
        <v>24539</v>
      </c>
      <c r="C15722" t="s">
        <v>67</v>
      </c>
      <c r="D15722" t="s">
        <v>67</v>
      </c>
      <c r="E15722" t="s">
        <v>67</v>
      </c>
      <c r="F15722" t="s">
        <v>49</v>
      </c>
      <c r="G15722" s="117">
        <v>14.14</v>
      </c>
    </row>
    <row r="15723" spans="1:7" x14ac:dyDescent="0.25">
      <c r="A15723" s="116" t="s">
        <v>24540</v>
      </c>
      <c r="B15723" s="117" t="s">
        <v>24541</v>
      </c>
      <c r="C15723" t="s">
        <v>67</v>
      </c>
      <c r="D15723" t="s">
        <v>67</v>
      </c>
      <c r="E15723" t="s">
        <v>67</v>
      </c>
      <c r="F15723" t="s">
        <v>45</v>
      </c>
      <c r="G15723" s="117">
        <v>3.12</v>
      </c>
    </row>
    <row r="15724" spans="1:7" x14ac:dyDescent="0.25">
      <c r="A15724" s="116" t="s">
        <v>24542</v>
      </c>
      <c r="B15724" s="117" t="s">
        <v>24543</v>
      </c>
      <c r="C15724" t="s">
        <v>67</v>
      </c>
      <c r="D15724" t="s">
        <v>67</v>
      </c>
      <c r="E15724" t="s">
        <v>67</v>
      </c>
      <c r="F15724" t="s">
        <v>27987</v>
      </c>
      <c r="G15724" s="117">
        <v>42.62</v>
      </c>
    </row>
    <row r="15725" spans="1:7" x14ac:dyDescent="0.25">
      <c r="A15725" s="116" t="s">
        <v>24544</v>
      </c>
      <c r="B15725" s="117" t="s">
        <v>24545</v>
      </c>
      <c r="C15725" t="s">
        <v>67</v>
      </c>
      <c r="D15725" t="s">
        <v>67</v>
      </c>
      <c r="E15725" t="s">
        <v>67</v>
      </c>
      <c r="F15725" t="s">
        <v>45</v>
      </c>
      <c r="G15725" s="117">
        <v>11.96</v>
      </c>
    </row>
    <row r="15726" spans="1:7" x14ac:dyDescent="0.25">
      <c r="A15726" s="116" t="s">
        <v>24546</v>
      </c>
      <c r="B15726" s="117" t="s">
        <v>24547</v>
      </c>
      <c r="C15726" t="s">
        <v>67</v>
      </c>
      <c r="D15726" t="s">
        <v>67</v>
      </c>
      <c r="E15726" t="s">
        <v>67</v>
      </c>
      <c r="F15726" t="s">
        <v>27987</v>
      </c>
      <c r="G15726" s="117">
        <v>2.58</v>
      </c>
    </row>
    <row r="15727" spans="1:7" x14ac:dyDescent="0.25">
      <c r="A15727" s="116" t="s">
        <v>24548</v>
      </c>
      <c r="B15727" s="117" t="s">
        <v>24549</v>
      </c>
      <c r="C15727" t="s">
        <v>67</v>
      </c>
      <c r="D15727" t="s">
        <v>67</v>
      </c>
      <c r="E15727" t="s">
        <v>67</v>
      </c>
      <c r="F15727" t="s">
        <v>49</v>
      </c>
      <c r="G15727" s="117">
        <v>70.91</v>
      </c>
    </row>
    <row r="15728" spans="1:7" x14ac:dyDescent="0.25">
      <c r="A15728" s="116" t="s">
        <v>24550</v>
      </c>
      <c r="B15728" s="117" t="s">
        <v>24551</v>
      </c>
      <c r="C15728" t="s">
        <v>67</v>
      </c>
      <c r="D15728" t="s">
        <v>67</v>
      </c>
      <c r="E15728" t="s">
        <v>67</v>
      </c>
      <c r="F15728" t="s">
        <v>45</v>
      </c>
      <c r="G15728" s="117">
        <v>1002.75</v>
      </c>
    </row>
    <row r="15729" spans="1:7" x14ac:dyDescent="0.25">
      <c r="A15729" s="116" t="s">
        <v>24552</v>
      </c>
      <c r="B15729" s="117" t="s">
        <v>24553</v>
      </c>
      <c r="C15729" t="s">
        <v>67</v>
      </c>
      <c r="D15729" t="s">
        <v>67</v>
      </c>
      <c r="E15729" t="s">
        <v>67</v>
      </c>
      <c r="F15729" t="s">
        <v>27987</v>
      </c>
      <c r="G15729" s="117">
        <v>96.01</v>
      </c>
    </row>
    <row r="15730" spans="1:7" x14ac:dyDescent="0.25">
      <c r="A15730" s="116" t="s">
        <v>24554</v>
      </c>
      <c r="B15730" s="117" t="s">
        <v>24555</v>
      </c>
      <c r="C15730" t="s">
        <v>67</v>
      </c>
      <c r="D15730" t="s">
        <v>67</v>
      </c>
      <c r="E15730" t="s">
        <v>67</v>
      </c>
      <c r="F15730" t="s">
        <v>27987</v>
      </c>
      <c r="G15730" s="117">
        <v>3.56</v>
      </c>
    </row>
    <row r="15731" spans="1:7" x14ac:dyDescent="0.25">
      <c r="A15731" s="116" t="s">
        <v>24556</v>
      </c>
      <c r="B15731" s="117" t="s">
        <v>24557</v>
      </c>
      <c r="C15731" t="s">
        <v>67</v>
      </c>
      <c r="D15731" t="s">
        <v>67</v>
      </c>
      <c r="E15731" t="s">
        <v>67</v>
      </c>
      <c r="F15731" t="s">
        <v>27987</v>
      </c>
      <c r="G15731" s="117">
        <v>59.18</v>
      </c>
    </row>
    <row r="15732" spans="1:7" x14ac:dyDescent="0.25">
      <c r="A15732" s="116" t="s">
        <v>24558</v>
      </c>
      <c r="B15732" s="117" t="s">
        <v>24559</v>
      </c>
      <c r="C15732" t="s">
        <v>67</v>
      </c>
      <c r="D15732" t="s">
        <v>67</v>
      </c>
      <c r="E15732" t="s">
        <v>67</v>
      </c>
      <c r="F15732" t="s">
        <v>27990</v>
      </c>
      <c r="G15732" s="117">
        <v>20.92</v>
      </c>
    </row>
    <row r="15733" spans="1:7" x14ac:dyDescent="0.25">
      <c r="A15733" s="116" t="s">
        <v>24560</v>
      </c>
      <c r="B15733" s="117" t="s">
        <v>24561</v>
      </c>
      <c r="C15733" t="s">
        <v>67</v>
      </c>
      <c r="D15733" t="s">
        <v>67</v>
      </c>
      <c r="E15733" t="s">
        <v>67</v>
      </c>
      <c r="F15733" t="s">
        <v>27987</v>
      </c>
      <c r="G15733" s="117">
        <v>28.92</v>
      </c>
    </row>
    <row r="15734" spans="1:7" x14ac:dyDescent="0.25">
      <c r="A15734" s="116" t="s">
        <v>24562</v>
      </c>
      <c r="B15734" s="117" t="s">
        <v>8233</v>
      </c>
      <c r="C15734" t="s">
        <v>67</v>
      </c>
      <c r="D15734" t="s">
        <v>67</v>
      </c>
      <c r="E15734" t="s">
        <v>67</v>
      </c>
      <c r="F15734" t="s">
        <v>49</v>
      </c>
      <c r="G15734" s="117">
        <v>3.56</v>
      </c>
    </row>
    <row r="15735" spans="1:7" x14ac:dyDescent="0.25">
      <c r="A15735" s="116" t="s">
        <v>24563</v>
      </c>
      <c r="B15735" s="117" t="s">
        <v>24564</v>
      </c>
      <c r="C15735" t="s">
        <v>67</v>
      </c>
      <c r="D15735" t="s">
        <v>67</v>
      </c>
      <c r="E15735" t="s">
        <v>67</v>
      </c>
      <c r="F15735" t="s">
        <v>27987</v>
      </c>
      <c r="G15735" s="117">
        <v>36.04</v>
      </c>
    </row>
    <row r="15736" spans="1:7" x14ac:dyDescent="0.25">
      <c r="A15736" s="116" t="s">
        <v>24565</v>
      </c>
      <c r="B15736" s="117" t="s">
        <v>8153</v>
      </c>
      <c r="C15736" t="s">
        <v>67</v>
      </c>
      <c r="D15736" t="s">
        <v>67</v>
      </c>
      <c r="E15736" t="s">
        <v>67</v>
      </c>
      <c r="F15736" t="s">
        <v>27987</v>
      </c>
      <c r="G15736" s="117">
        <v>6.14</v>
      </c>
    </row>
    <row r="15737" spans="1:7" x14ac:dyDescent="0.25">
      <c r="A15737" s="116" t="s">
        <v>24566</v>
      </c>
      <c r="B15737" s="117" t="s">
        <v>24567</v>
      </c>
      <c r="C15737" t="s">
        <v>67</v>
      </c>
      <c r="D15737" t="s">
        <v>67</v>
      </c>
      <c r="E15737" t="s">
        <v>67</v>
      </c>
      <c r="F15737" t="s">
        <v>27987</v>
      </c>
      <c r="G15737" s="117">
        <v>14.68</v>
      </c>
    </row>
    <row r="15738" spans="1:7" x14ac:dyDescent="0.25">
      <c r="A15738" s="116" t="s">
        <v>24568</v>
      </c>
      <c r="B15738" s="117" t="s">
        <v>24569</v>
      </c>
      <c r="C15738" t="s">
        <v>67</v>
      </c>
      <c r="D15738" t="s">
        <v>67</v>
      </c>
      <c r="E15738" t="s">
        <v>67</v>
      </c>
      <c r="F15738" t="s">
        <v>27987</v>
      </c>
      <c r="G15738" s="117">
        <v>2.23</v>
      </c>
    </row>
    <row r="15739" spans="1:7" x14ac:dyDescent="0.25">
      <c r="A15739" s="116" t="s">
        <v>24570</v>
      </c>
      <c r="B15739" s="117" t="s">
        <v>24571</v>
      </c>
      <c r="C15739" t="s">
        <v>67</v>
      </c>
      <c r="D15739" t="s">
        <v>67</v>
      </c>
      <c r="E15739" t="s">
        <v>67</v>
      </c>
      <c r="F15739" t="s">
        <v>27987</v>
      </c>
      <c r="G15739" s="117">
        <v>2.23</v>
      </c>
    </row>
    <row r="15740" spans="1:7" x14ac:dyDescent="0.25">
      <c r="A15740" s="116" t="s">
        <v>24572</v>
      </c>
      <c r="B15740" s="117" t="s">
        <v>24573</v>
      </c>
      <c r="C15740" t="s">
        <v>67</v>
      </c>
      <c r="D15740" t="s">
        <v>67</v>
      </c>
      <c r="E15740" t="s">
        <v>67</v>
      </c>
      <c r="F15740" t="s">
        <v>27987</v>
      </c>
      <c r="G15740" s="117">
        <v>59.18</v>
      </c>
    </row>
    <row r="15741" spans="1:7" x14ac:dyDescent="0.25">
      <c r="A15741" s="116" t="s">
        <v>24574</v>
      </c>
      <c r="B15741" s="117" t="s">
        <v>24575</v>
      </c>
      <c r="C15741" t="s">
        <v>67</v>
      </c>
      <c r="D15741" t="s">
        <v>67</v>
      </c>
      <c r="E15741" t="s">
        <v>67</v>
      </c>
      <c r="F15741" t="s">
        <v>49</v>
      </c>
      <c r="G15741" s="117">
        <v>0.8</v>
      </c>
    </row>
    <row r="15742" spans="1:7" x14ac:dyDescent="0.25">
      <c r="A15742" s="116" t="s">
        <v>24576</v>
      </c>
      <c r="B15742" s="117" t="s">
        <v>24577</v>
      </c>
      <c r="C15742" t="s">
        <v>67</v>
      </c>
      <c r="D15742" t="s">
        <v>67</v>
      </c>
      <c r="E15742" t="s">
        <v>67</v>
      </c>
      <c r="F15742" t="s">
        <v>27987</v>
      </c>
      <c r="G15742" s="117">
        <v>3.12</v>
      </c>
    </row>
    <row r="15743" spans="1:7" x14ac:dyDescent="0.25">
      <c r="A15743" s="116" t="s">
        <v>24578</v>
      </c>
      <c r="B15743" s="117" t="s">
        <v>9028</v>
      </c>
      <c r="C15743" t="s">
        <v>67</v>
      </c>
      <c r="D15743" t="s">
        <v>67</v>
      </c>
      <c r="E15743" t="s">
        <v>67</v>
      </c>
      <c r="F15743" t="s">
        <v>27987</v>
      </c>
      <c r="G15743" s="117">
        <v>6.14</v>
      </c>
    </row>
    <row r="15744" spans="1:7" x14ac:dyDescent="0.25">
      <c r="A15744" s="116" t="s">
        <v>24579</v>
      </c>
      <c r="B15744" s="117" t="s">
        <v>21863</v>
      </c>
      <c r="C15744" t="s">
        <v>67</v>
      </c>
      <c r="D15744" t="s">
        <v>67</v>
      </c>
      <c r="E15744" t="s">
        <v>67</v>
      </c>
      <c r="F15744" t="s">
        <v>27987</v>
      </c>
      <c r="G15744" s="117">
        <v>8.4499999999999993</v>
      </c>
    </row>
    <row r="15745" spans="1:7" x14ac:dyDescent="0.25">
      <c r="A15745" s="116" t="s">
        <v>24580</v>
      </c>
      <c r="B15745" s="117" t="s">
        <v>24581</v>
      </c>
      <c r="C15745" t="s">
        <v>67</v>
      </c>
      <c r="D15745" t="s">
        <v>67</v>
      </c>
      <c r="E15745" t="s">
        <v>67</v>
      </c>
      <c r="F15745" t="s">
        <v>27987</v>
      </c>
      <c r="G15745" s="117">
        <v>2.23</v>
      </c>
    </row>
    <row r="15746" spans="1:7" x14ac:dyDescent="0.25">
      <c r="A15746" s="116" t="s">
        <v>24582</v>
      </c>
      <c r="B15746" s="117" t="s">
        <v>9151</v>
      </c>
      <c r="C15746" t="s">
        <v>67</v>
      </c>
      <c r="D15746" t="s">
        <v>67</v>
      </c>
      <c r="E15746" t="s">
        <v>67</v>
      </c>
      <c r="F15746" t="s">
        <v>27987</v>
      </c>
      <c r="G15746" s="117">
        <v>4.3600000000000003</v>
      </c>
    </row>
    <row r="15747" spans="1:7" x14ac:dyDescent="0.25">
      <c r="A15747" s="116" t="s">
        <v>24583</v>
      </c>
      <c r="B15747" s="117" t="s">
        <v>8236</v>
      </c>
      <c r="C15747" t="s">
        <v>67</v>
      </c>
      <c r="D15747" t="s">
        <v>67</v>
      </c>
      <c r="E15747" t="s">
        <v>67</v>
      </c>
      <c r="F15747" t="s">
        <v>27987</v>
      </c>
      <c r="G15747" s="117">
        <v>13.26</v>
      </c>
    </row>
    <row r="15748" spans="1:7" x14ac:dyDescent="0.25">
      <c r="A15748" s="116" t="s">
        <v>24584</v>
      </c>
      <c r="B15748" s="117" t="s">
        <v>24585</v>
      </c>
      <c r="C15748" t="s">
        <v>67</v>
      </c>
      <c r="D15748" t="s">
        <v>67</v>
      </c>
      <c r="E15748" t="s">
        <v>67</v>
      </c>
      <c r="F15748" t="s">
        <v>27987</v>
      </c>
      <c r="G15748" s="117">
        <v>12.37</v>
      </c>
    </row>
    <row r="15749" spans="1:7" x14ac:dyDescent="0.25">
      <c r="A15749" s="116" t="s">
        <v>24586</v>
      </c>
      <c r="B15749" s="117" t="s">
        <v>24587</v>
      </c>
      <c r="C15749" t="s">
        <v>67</v>
      </c>
      <c r="D15749" t="s">
        <v>67</v>
      </c>
      <c r="E15749" t="s">
        <v>67</v>
      </c>
      <c r="F15749" t="s">
        <v>49</v>
      </c>
      <c r="G15749" s="117">
        <v>15.7</v>
      </c>
    </row>
    <row r="15750" spans="1:7" x14ac:dyDescent="0.25">
      <c r="A15750" s="116" t="s">
        <v>24588</v>
      </c>
      <c r="B15750" s="117" t="s">
        <v>24339</v>
      </c>
      <c r="C15750" t="s">
        <v>67</v>
      </c>
      <c r="D15750" t="s">
        <v>67</v>
      </c>
      <c r="E15750" t="s">
        <v>67</v>
      </c>
      <c r="F15750" t="s">
        <v>27987</v>
      </c>
      <c r="G15750" s="117">
        <v>2.23</v>
      </c>
    </row>
    <row r="15751" spans="1:7" x14ac:dyDescent="0.25">
      <c r="A15751" s="116" t="s">
        <v>24589</v>
      </c>
      <c r="B15751" s="117" t="s">
        <v>8339</v>
      </c>
      <c r="C15751" t="s">
        <v>67</v>
      </c>
      <c r="D15751" t="s">
        <v>67</v>
      </c>
      <c r="E15751" t="s">
        <v>67</v>
      </c>
      <c r="F15751" t="s">
        <v>27987</v>
      </c>
      <c r="G15751" s="117">
        <v>1.33</v>
      </c>
    </row>
    <row r="15752" spans="1:7" x14ac:dyDescent="0.25">
      <c r="A15752" s="116" t="s">
        <v>24590</v>
      </c>
      <c r="B15752" s="117" t="s">
        <v>24230</v>
      </c>
      <c r="C15752" t="s">
        <v>67</v>
      </c>
      <c r="D15752" t="s">
        <v>67</v>
      </c>
      <c r="E15752" t="s">
        <v>67</v>
      </c>
      <c r="F15752" t="s">
        <v>27987</v>
      </c>
      <c r="G15752" s="117">
        <v>5.25</v>
      </c>
    </row>
    <row r="15753" spans="1:7" x14ac:dyDescent="0.25">
      <c r="A15753" s="116" t="s">
        <v>24591</v>
      </c>
      <c r="B15753" s="117" t="s">
        <v>24592</v>
      </c>
      <c r="C15753" t="s">
        <v>67</v>
      </c>
      <c r="D15753" t="s">
        <v>67</v>
      </c>
      <c r="E15753" t="s">
        <v>67</v>
      </c>
      <c r="F15753" t="s">
        <v>27987</v>
      </c>
      <c r="G15753" s="117">
        <v>2.23</v>
      </c>
    </row>
    <row r="15754" spans="1:7" x14ac:dyDescent="0.25">
      <c r="A15754" s="116" t="s">
        <v>24593</v>
      </c>
      <c r="B15754" s="117" t="s">
        <v>24594</v>
      </c>
      <c r="C15754" t="s">
        <v>67</v>
      </c>
      <c r="D15754" t="s">
        <v>67</v>
      </c>
      <c r="E15754" t="s">
        <v>67</v>
      </c>
      <c r="F15754" t="s">
        <v>27987</v>
      </c>
      <c r="G15754" s="117">
        <v>1.69</v>
      </c>
    </row>
    <row r="15755" spans="1:7" x14ac:dyDescent="0.25">
      <c r="A15755" s="116" t="s">
        <v>24595</v>
      </c>
      <c r="B15755" s="117" t="s">
        <v>24559</v>
      </c>
      <c r="C15755" t="s">
        <v>67</v>
      </c>
      <c r="D15755" t="s">
        <v>67</v>
      </c>
      <c r="E15755" t="s">
        <v>67</v>
      </c>
      <c r="F15755" t="s">
        <v>27987</v>
      </c>
      <c r="G15755" s="117">
        <v>2.23</v>
      </c>
    </row>
    <row r="15756" spans="1:7" x14ac:dyDescent="0.25">
      <c r="A15756" s="116" t="s">
        <v>24596</v>
      </c>
      <c r="B15756" s="117" t="s">
        <v>8262</v>
      </c>
      <c r="C15756" t="s">
        <v>67</v>
      </c>
      <c r="D15756" t="s">
        <v>67</v>
      </c>
      <c r="E15756" t="s">
        <v>67</v>
      </c>
      <c r="F15756" t="s">
        <v>27987</v>
      </c>
      <c r="G15756" s="117">
        <v>1.69</v>
      </c>
    </row>
    <row r="15757" spans="1:7" x14ac:dyDescent="0.25">
      <c r="A15757" s="116" t="s">
        <v>24597</v>
      </c>
      <c r="B15757" s="117" t="s">
        <v>24598</v>
      </c>
      <c r="C15757" t="s">
        <v>67</v>
      </c>
      <c r="D15757" t="s">
        <v>67</v>
      </c>
      <c r="E15757" t="s">
        <v>67</v>
      </c>
      <c r="F15757" t="s">
        <v>27987</v>
      </c>
      <c r="G15757" s="117">
        <v>4.8899999999999997</v>
      </c>
    </row>
    <row r="15758" spans="1:7" x14ac:dyDescent="0.25">
      <c r="A15758" s="116" t="s">
        <v>24599</v>
      </c>
      <c r="B15758" s="117" t="s">
        <v>29648</v>
      </c>
      <c r="C15758" t="s">
        <v>67</v>
      </c>
      <c r="D15758" t="s">
        <v>67</v>
      </c>
      <c r="E15758" t="s">
        <v>67</v>
      </c>
      <c r="F15758" t="s">
        <v>27987</v>
      </c>
      <c r="G15758" s="117">
        <v>1.2</v>
      </c>
    </row>
    <row r="15759" spans="1:7" x14ac:dyDescent="0.25">
      <c r="A15759" s="116" t="s">
        <v>24600</v>
      </c>
      <c r="B15759" s="117" t="s">
        <v>24601</v>
      </c>
      <c r="C15759" t="s">
        <v>67</v>
      </c>
      <c r="D15759" t="s">
        <v>67</v>
      </c>
      <c r="E15759" t="s">
        <v>67</v>
      </c>
      <c r="F15759" t="s">
        <v>27987</v>
      </c>
      <c r="G15759" s="117">
        <v>1.69</v>
      </c>
    </row>
    <row r="15760" spans="1:7" x14ac:dyDescent="0.25">
      <c r="A15760" s="116" t="s">
        <v>24602</v>
      </c>
      <c r="B15760" s="117" t="s">
        <v>24603</v>
      </c>
      <c r="C15760" t="s">
        <v>67</v>
      </c>
      <c r="D15760" t="s">
        <v>67</v>
      </c>
      <c r="E15760" t="s">
        <v>67</v>
      </c>
      <c r="F15760" t="s">
        <v>27987</v>
      </c>
      <c r="G15760" s="117">
        <v>0.6</v>
      </c>
    </row>
    <row r="15761" spans="1:7" x14ac:dyDescent="0.25">
      <c r="A15761" s="116" t="s">
        <v>24604</v>
      </c>
      <c r="B15761" s="117" t="s">
        <v>24605</v>
      </c>
      <c r="C15761" t="s">
        <v>67</v>
      </c>
      <c r="D15761" t="s">
        <v>67</v>
      </c>
      <c r="E15761" t="s">
        <v>67</v>
      </c>
      <c r="F15761" t="s">
        <v>27987</v>
      </c>
      <c r="G15761" s="117">
        <v>5.0199999999999996</v>
      </c>
    </row>
    <row r="15762" spans="1:7" x14ac:dyDescent="0.25">
      <c r="A15762" s="116" t="s">
        <v>24606</v>
      </c>
      <c r="B15762" s="117" t="s">
        <v>29649</v>
      </c>
      <c r="C15762" t="s">
        <v>67</v>
      </c>
      <c r="D15762" t="s">
        <v>67</v>
      </c>
      <c r="E15762" t="s">
        <v>67</v>
      </c>
      <c r="F15762" t="s">
        <v>27987</v>
      </c>
      <c r="G15762" s="117">
        <v>9.93</v>
      </c>
    </row>
    <row r="15763" spans="1:7" x14ac:dyDescent="0.25">
      <c r="A15763" s="116" t="s">
        <v>24607</v>
      </c>
      <c r="B15763" s="117" t="s">
        <v>29650</v>
      </c>
      <c r="C15763" t="s">
        <v>67</v>
      </c>
      <c r="D15763" t="s">
        <v>67</v>
      </c>
      <c r="E15763" t="s">
        <v>67</v>
      </c>
      <c r="F15763" t="s">
        <v>27987</v>
      </c>
      <c r="G15763" s="117">
        <v>9.93</v>
      </c>
    </row>
    <row r="15764" spans="1:7" x14ac:dyDescent="0.25">
      <c r="A15764" s="116" t="s">
        <v>24608</v>
      </c>
      <c r="B15764" s="117" t="s">
        <v>8309</v>
      </c>
      <c r="C15764" t="s">
        <v>67</v>
      </c>
      <c r="D15764" t="s">
        <v>67</v>
      </c>
      <c r="E15764" t="s">
        <v>67</v>
      </c>
      <c r="F15764" t="s">
        <v>27987</v>
      </c>
      <c r="G15764" s="117">
        <v>1.33</v>
      </c>
    </row>
    <row r="15765" spans="1:7" x14ac:dyDescent="0.25">
      <c r="A15765" s="116" t="s">
        <v>24609</v>
      </c>
      <c r="B15765" s="117" t="s">
        <v>24610</v>
      </c>
      <c r="C15765" t="s">
        <v>67</v>
      </c>
      <c r="D15765" t="s">
        <v>67</v>
      </c>
      <c r="E15765" t="s">
        <v>67</v>
      </c>
      <c r="F15765" t="s">
        <v>45</v>
      </c>
      <c r="G15765" s="117">
        <v>3.11</v>
      </c>
    </row>
    <row r="15766" spans="1:7" x14ac:dyDescent="0.25">
      <c r="A15766" s="116" t="s">
        <v>24611</v>
      </c>
      <c r="B15766" s="117" t="s">
        <v>24612</v>
      </c>
      <c r="C15766" t="s">
        <v>67</v>
      </c>
      <c r="D15766" t="s">
        <v>67</v>
      </c>
      <c r="E15766" t="s">
        <v>67</v>
      </c>
      <c r="F15766" t="s">
        <v>27987</v>
      </c>
      <c r="G15766" s="117">
        <v>3</v>
      </c>
    </row>
    <row r="15767" spans="1:7" x14ac:dyDescent="0.25">
      <c r="A15767" s="116" t="s">
        <v>24613</v>
      </c>
      <c r="B15767" s="117" t="s">
        <v>24614</v>
      </c>
      <c r="C15767" t="s">
        <v>67</v>
      </c>
      <c r="D15767" t="s">
        <v>67</v>
      </c>
      <c r="E15767" t="s">
        <v>67</v>
      </c>
      <c r="F15767" t="s">
        <v>27987</v>
      </c>
      <c r="G15767" s="117">
        <v>8.4499999999999993</v>
      </c>
    </row>
    <row r="15768" spans="1:7" x14ac:dyDescent="0.25">
      <c r="A15768" s="116" t="s">
        <v>24615</v>
      </c>
      <c r="B15768" s="117" t="s">
        <v>24616</v>
      </c>
      <c r="C15768" t="s">
        <v>67</v>
      </c>
      <c r="D15768" t="s">
        <v>67</v>
      </c>
      <c r="E15768" t="s">
        <v>67</v>
      </c>
      <c r="F15768" t="s">
        <v>27987</v>
      </c>
      <c r="G15768" s="117">
        <v>2.58</v>
      </c>
    </row>
    <row r="15769" spans="1:7" x14ac:dyDescent="0.25">
      <c r="A15769" s="116" t="s">
        <v>24617</v>
      </c>
      <c r="B15769" s="117" t="s">
        <v>8196</v>
      </c>
      <c r="C15769" t="s">
        <v>67</v>
      </c>
      <c r="D15769" t="s">
        <v>67</v>
      </c>
      <c r="E15769" t="s">
        <v>67</v>
      </c>
      <c r="F15769" t="s">
        <v>27987</v>
      </c>
      <c r="G15769" s="117">
        <v>10.58</v>
      </c>
    </row>
    <row r="15770" spans="1:7" x14ac:dyDescent="0.25">
      <c r="A15770" s="116" t="s">
        <v>24618</v>
      </c>
      <c r="B15770" s="117" t="s">
        <v>24619</v>
      </c>
      <c r="C15770" t="s">
        <v>67</v>
      </c>
      <c r="D15770" t="s">
        <v>67</v>
      </c>
      <c r="E15770" t="s">
        <v>67</v>
      </c>
      <c r="F15770" t="s">
        <v>27987</v>
      </c>
      <c r="G15770" s="117">
        <v>17.7</v>
      </c>
    </row>
    <row r="15771" spans="1:7" x14ac:dyDescent="0.25">
      <c r="A15771" s="116" t="s">
        <v>24620</v>
      </c>
      <c r="B15771" s="117" t="s">
        <v>24621</v>
      </c>
      <c r="C15771" t="s">
        <v>67</v>
      </c>
      <c r="D15771" t="s">
        <v>67</v>
      </c>
      <c r="E15771" t="s">
        <v>67</v>
      </c>
      <c r="F15771" t="s">
        <v>45</v>
      </c>
      <c r="G15771" s="117">
        <v>132.13999999999999</v>
      </c>
    </row>
    <row r="15772" spans="1:7" x14ac:dyDescent="0.25">
      <c r="A15772" s="116" t="s">
        <v>24622</v>
      </c>
      <c r="B15772" s="117" t="s">
        <v>29651</v>
      </c>
      <c r="C15772" t="s">
        <v>67</v>
      </c>
      <c r="D15772" t="s">
        <v>67</v>
      </c>
      <c r="E15772" t="s">
        <v>67</v>
      </c>
      <c r="F15772" t="s">
        <v>27987</v>
      </c>
      <c r="G15772" s="117">
        <v>11.96</v>
      </c>
    </row>
    <row r="15773" spans="1:7" x14ac:dyDescent="0.25">
      <c r="A15773" s="116" t="s">
        <v>24623</v>
      </c>
      <c r="B15773" s="117" t="s">
        <v>29651</v>
      </c>
      <c r="C15773" t="s">
        <v>67</v>
      </c>
      <c r="D15773" t="s">
        <v>67</v>
      </c>
      <c r="E15773" t="s">
        <v>67</v>
      </c>
      <c r="F15773" t="s">
        <v>45</v>
      </c>
      <c r="G15773" s="117">
        <v>11.96</v>
      </c>
    </row>
    <row r="15774" spans="1:7" x14ac:dyDescent="0.25">
      <c r="A15774" s="116" t="s">
        <v>24624</v>
      </c>
      <c r="B15774" s="117" t="s">
        <v>24625</v>
      </c>
      <c r="C15774" t="s">
        <v>67</v>
      </c>
      <c r="D15774" t="s">
        <v>67</v>
      </c>
      <c r="E15774" t="s">
        <v>67</v>
      </c>
      <c r="F15774" t="s">
        <v>27987</v>
      </c>
      <c r="G15774" s="117">
        <v>0.8</v>
      </c>
    </row>
    <row r="15775" spans="1:7" x14ac:dyDescent="0.25">
      <c r="A15775" s="116" t="s">
        <v>24626</v>
      </c>
      <c r="B15775" s="117" t="s">
        <v>24627</v>
      </c>
      <c r="C15775" t="s">
        <v>67</v>
      </c>
      <c r="D15775" t="s">
        <v>67</v>
      </c>
      <c r="E15775" t="s">
        <v>67</v>
      </c>
      <c r="F15775" t="s">
        <v>27987</v>
      </c>
      <c r="G15775" s="117">
        <v>2.23</v>
      </c>
    </row>
    <row r="15776" spans="1:7" x14ac:dyDescent="0.25">
      <c r="A15776" s="116" t="s">
        <v>24628</v>
      </c>
      <c r="B15776" s="117" t="s">
        <v>24629</v>
      </c>
      <c r="C15776" t="s">
        <v>67</v>
      </c>
      <c r="D15776" t="s">
        <v>67</v>
      </c>
      <c r="E15776" t="s">
        <v>67</v>
      </c>
      <c r="F15776" t="s">
        <v>27987</v>
      </c>
      <c r="G15776" s="117">
        <v>39.06</v>
      </c>
    </row>
    <row r="15777" spans="1:7" x14ac:dyDescent="0.25">
      <c r="A15777" s="116" t="s">
        <v>24630</v>
      </c>
      <c r="B15777" s="117" t="s">
        <v>24631</v>
      </c>
      <c r="C15777" t="s">
        <v>67</v>
      </c>
      <c r="D15777" t="s">
        <v>67</v>
      </c>
      <c r="E15777" t="s">
        <v>67</v>
      </c>
      <c r="F15777" t="s">
        <v>27987</v>
      </c>
      <c r="G15777" s="117">
        <v>2.23</v>
      </c>
    </row>
    <row r="15778" spans="1:7" x14ac:dyDescent="0.25">
      <c r="A15778" s="116" t="s">
        <v>24632</v>
      </c>
      <c r="B15778" s="117" t="s">
        <v>24633</v>
      </c>
      <c r="C15778" t="s">
        <v>67</v>
      </c>
      <c r="D15778" t="s">
        <v>67</v>
      </c>
      <c r="E15778" t="s">
        <v>67</v>
      </c>
      <c r="F15778" t="s">
        <v>27987</v>
      </c>
      <c r="G15778" s="117">
        <v>4.3600000000000003</v>
      </c>
    </row>
    <row r="15779" spans="1:7" x14ac:dyDescent="0.25">
      <c r="A15779" s="116" t="s">
        <v>24634</v>
      </c>
      <c r="B15779" s="117" t="s">
        <v>9028</v>
      </c>
      <c r="C15779" t="s">
        <v>67</v>
      </c>
      <c r="D15779" t="s">
        <v>67</v>
      </c>
      <c r="E15779" t="s">
        <v>67</v>
      </c>
      <c r="F15779" t="s">
        <v>49</v>
      </c>
      <c r="G15779" s="117">
        <v>3.56</v>
      </c>
    </row>
    <row r="15780" spans="1:7" x14ac:dyDescent="0.25">
      <c r="A15780" s="116" t="s">
        <v>24635</v>
      </c>
      <c r="B15780" s="117" t="s">
        <v>24636</v>
      </c>
      <c r="C15780" t="s">
        <v>67</v>
      </c>
      <c r="D15780" t="s">
        <v>67</v>
      </c>
      <c r="E15780" t="s">
        <v>67</v>
      </c>
      <c r="F15780" t="s">
        <v>27987</v>
      </c>
      <c r="G15780" s="117">
        <v>222.37</v>
      </c>
    </row>
    <row r="15781" spans="1:7" x14ac:dyDescent="0.25">
      <c r="A15781" s="116" t="s">
        <v>24637</v>
      </c>
      <c r="B15781" s="117" t="s">
        <v>24638</v>
      </c>
      <c r="C15781" t="s">
        <v>67</v>
      </c>
      <c r="D15781" t="s">
        <v>67</v>
      </c>
      <c r="E15781" t="s">
        <v>67</v>
      </c>
      <c r="F15781" t="s">
        <v>27987</v>
      </c>
      <c r="G15781" s="117">
        <v>6.14</v>
      </c>
    </row>
    <row r="15782" spans="1:7" x14ac:dyDescent="0.25">
      <c r="A15782" s="116" t="s">
        <v>24639</v>
      </c>
      <c r="B15782" s="117" t="s">
        <v>24640</v>
      </c>
      <c r="C15782" t="s">
        <v>67</v>
      </c>
      <c r="D15782" t="s">
        <v>67</v>
      </c>
      <c r="E15782" t="s">
        <v>67</v>
      </c>
      <c r="F15782" t="s">
        <v>27987</v>
      </c>
      <c r="G15782" s="117">
        <v>39.06</v>
      </c>
    </row>
    <row r="15783" spans="1:7" x14ac:dyDescent="0.25">
      <c r="A15783" s="116" t="s">
        <v>24641</v>
      </c>
      <c r="B15783" s="117" t="s">
        <v>23739</v>
      </c>
      <c r="C15783" t="s">
        <v>67</v>
      </c>
      <c r="D15783" t="s">
        <v>67</v>
      </c>
      <c r="E15783" t="s">
        <v>67</v>
      </c>
      <c r="F15783" t="s">
        <v>49</v>
      </c>
      <c r="G15783" s="117">
        <v>3.56</v>
      </c>
    </row>
    <row r="15784" spans="1:7" x14ac:dyDescent="0.25">
      <c r="A15784" s="116" t="s">
        <v>24642</v>
      </c>
      <c r="B15784" s="117" t="s">
        <v>21874</v>
      </c>
      <c r="C15784" t="s">
        <v>67</v>
      </c>
      <c r="D15784" t="s">
        <v>67</v>
      </c>
      <c r="E15784" t="s">
        <v>67</v>
      </c>
      <c r="F15784" t="s">
        <v>27987</v>
      </c>
      <c r="G15784" s="117">
        <v>2.23</v>
      </c>
    </row>
    <row r="15785" spans="1:7" x14ac:dyDescent="0.25">
      <c r="A15785" s="116" t="s">
        <v>24643</v>
      </c>
      <c r="B15785" s="117" t="s">
        <v>24644</v>
      </c>
      <c r="C15785" t="s">
        <v>67</v>
      </c>
      <c r="D15785" t="s">
        <v>67</v>
      </c>
      <c r="E15785" t="s">
        <v>67</v>
      </c>
      <c r="F15785" t="s">
        <v>27987</v>
      </c>
      <c r="G15785" s="117">
        <v>3.56</v>
      </c>
    </row>
    <row r="15786" spans="1:7" x14ac:dyDescent="0.25">
      <c r="A15786" s="116" t="s">
        <v>24645</v>
      </c>
      <c r="B15786" s="117" t="s">
        <v>24646</v>
      </c>
      <c r="C15786" t="s">
        <v>67</v>
      </c>
      <c r="D15786" t="s">
        <v>67</v>
      </c>
      <c r="E15786" t="s">
        <v>67</v>
      </c>
      <c r="F15786" t="s">
        <v>49</v>
      </c>
      <c r="G15786" s="117">
        <v>4.8899999999999997</v>
      </c>
    </row>
    <row r="15787" spans="1:7" x14ac:dyDescent="0.25">
      <c r="A15787" s="116" t="s">
        <v>24647</v>
      </c>
      <c r="B15787" s="117" t="s">
        <v>24648</v>
      </c>
      <c r="C15787" t="s">
        <v>67</v>
      </c>
      <c r="D15787" t="s">
        <v>67</v>
      </c>
      <c r="E15787" t="s">
        <v>67</v>
      </c>
      <c r="F15787" t="s">
        <v>27987</v>
      </c>
      <c r="G15787" s="117">
        <v>218.45</v>
      </c>
    </row>
    <row r="15788" spans="1:7" x14ac:dyDescent="0.25">
      <c r="A15788" s="116" t="s">
        <v>24649</v>
      </c>
      <c r="B15788" s="117" t="s">
        <v>24650</v>
      </c>
      <c r="C15788" t="s">
        <v>67</v>
      </c>
      <c r="D15788" t="s">
        <v>67</v>
      </c>
      <c r="E15788" t="s">
        <v>67</v>
      </c>
      <c r="F15788" t="s">
        <v>27987</v>
      </c>
      <c r="G15788" s="117">
        <v>13.8</v>
      </c>
    </row>
    <row r="15789" spans="1:7" x14ac:dyDescent="0.25">
      <c r="A15789" s="116" t="s">
        <v>24651</v>
      </c>
      <c r="B15789" s="117" t="s">
        <v>24266</v>
      </c>
      <c r="C15789" t="s">
        <v>67</v>
      </c>
      <c r="D15789" t="s">
        <v>67</v>
      </c>
      <c r="E15789" t="s">
        <v>67</v>
      </c>
      <c r="F15789" t="s">
        <v>49</v>
      </c>
      <c r="G15789" s="117">
        <v>3.56</v>
      </c>
    </row>
    <row r="15790" spans="1:7" x14ac:dyDescent="0.25">
      <c r="A15790" s="116" t="s">
        <v>24652</v>
      </c>
      <c r="B15790" s="117" t="s">
        <v>24653</v>
      </c>
      <c r="C15790" t="s">
        <v>67</v>
      </c>
      <c r="D15790" t="s">
        <v>67</v>
      </c>
      <c r="E15790" t="s">
        <v>67</v>
      </c>
      <c r="F15790" t="s">
        <v>27987</v>
      </c>
      <c r="G15790" s="117">
        <v>23.94</v>
      </c>
    </row>
    <row r="15791" spans="1:7" x14ac:dyDescent="0.25">
      <c r="A15791" s="116" t="s">
        <v>24654</v>
      </c>
      <c r="B15791" s="117" t="s">
        <v>24551</v>
      </c>
      <c r="C15791" t="s">
        <v>67</v>
      </c>
      <c r="D15791" t="s">
        <v>67</v>
      </c>
      <c r="E15791" t="s">
        <v>67</v>
      </c>
      <c r="F15791" t="s">
        <v>27987</v>
      </c>
      <c r="G15791" s="117">
        <v>1054.73</v>
      </c>
    </row>
    <row r="15792" spans="1:7" x14ac:dyDescent="0.25">
      <c r="A15792" s="116" t="s">
        <v>24655</v>
      </c>
      <c r="B15792" s="117" t="s">
        <v>24656</v>
      </c>
      <c r="C15792" t="s">
        <v>67</v>
      </c>
      <c r="D15792" t="s">
        <v>67</v>
      </c>
      <c r="E15792" t="s">
        <v>67</v>
      </c>
      <c r="F15792" t="s">
        <v>27987</v>
      </c>
      <c r="G15792" s="117">
        <v>36.04</v>
      </c>
    </row>
    <row r="15793" spans="1:7" x14ac:dyDescent="0.25">
      <c r="A15793" s="116" t="s">
        <v>24657</v>
      </c>
      <c r="B15793" s="117" t="s">
        <v>24658</v>
      </c>
      <c r="C15793" t="s">
        <v>67</v>
      </c>
      <c r="D15793" t="s">
        <v>67</v>
      </c>
      <c r="E15793" t="s">
        <v>67</v>
      </c>
      <c r="F15793" t="s">
        <v>27987</v>
      </c>
      <c r="G15793" s="117">
        <v>39.06</v>
      </c>
    </row>
    <row r="15794" spans="1:7" x14ac:dyDescent="0.25">
      <c r="A15794" s="116" t="s">
        <v>24659</v>
      </c>
      <c r="B15794" s="117" t="s">
        <v>24660</v>
      </c>
      <c r="C15794" t="s">
        <v>67</v>
      </c>
      <c r="D15794" t="s">
        <v>67</v>
      </c>
      <c r="E15794" t="s">
        <v>67</v>
      </c>
      <c r="F15794" t="s">
        <v>27987</v>
      </c>
      <c r="G15794" s="117">
        <v>155.63</v>
      </c>
    </row>
    <row r="15795" spans="1:7" x14ac:dyDescent="0.25">
      <c r="A15795" s="116" t="s">
        <v>24661</v>
      </c>
      <c r="B15795" s="117" t="s">
        <v>24662</v>
      </c>
      <c r="C15795" t="s">
        <v>67</v>
      </c>
      <c r="D15795" t="s">
        <v>67</v>
      </c>
      <c r="E15795" t="s">
        <v>67</v>
      </c>
      <c r="F15795" t="s">
        <v>27987</v>
      </c>
      <c r="G15795" s="117">
        <v>327.01</v>
      </c>
    </row>
    <row r="15796" spans="1:7" x14ac:dyDescent="0.25">
      <c r="A15796" s="116" t="s">
        <v>24663</v>
      </c>
      <c r="B15796" s="117" t="s">
        <v>24664</v>
      </c>
      <c r="C15796" t="s">
        <v>67</v>
      </c>
      <c r="D15796" t="s">
        <v>67</v>
      </c>
      <c r="E15796" t="s">
        <v>67</v>
      </c>
      <c r="F15796" t="s">
        <v>27987</v>
      </c>
      <c r="G15796" s="117">
        <v>82.67</v>
      </c>
    </row>
    <row r="15797" spans="1:7" x14ac:dyDescent="0.25">
      <c r="A15797" s="116" t="s">
        <v>24665</v>
      </c>
      <c r="B15797" s="117" t="s">
        <v>24666</v>
      </c>
      <c r="C15797" t="s">
        <v>67</v>
      </c>
      <c r="D15797" t="s">
        <v>67</v>
      </c>
      <c r="E15797" t="s">
        <v>67</v>
      </c>
      <c r="F15797" t="s">
        <v>27987</v>
      </c>
      <c r="G15797" s="117">
        <v>142.82</v>
      </c>
    </row>
    <row r="15798" spans="1:7" x14ac:dyDescent="0.25">
      <c r="A15798" s="116" t="s">
        <v>24667</v>
      </c>
      <c r="B15798" s="117" t="s">
        <v>24668</v>
      </c>
      <c r="C15798" t="s">
        <v>67</v>
      </c>
      <c r="D15798" t="s">
        <v>67</v>
      </c>
      <c r="E15798" t="s">
        <v>67</v>
      </c>
      <c r="F15798" t="s">
        <v>27987</v>
      </c>
      <c r="G15798" s="117">
        <v>18.239999999999998</v>
      </c>
    </row>
    <row r="15799" spans="1:7" x14ac:dyDescent="0.25">
      <c r="A15799" s="116" t="s">
        <v>24669</v>
      </c>
      <c r="B15799" s="117" t="s">
        <v>24670</v>
      </c>
      <c r="C15799" t="s">
        <v>67</v>
      </c>
      <c r="D15799" t="s">
        <v>67</v>
      </c>
      <c r="E15799" t="s">
        <v>67</v>
      </c>
      <c r="F15799" t="s">
        <v>27987</v>
      </c>
      <c r="G15799" s="117">
        <v>14.68</v>
      </c>
    </row>
    <row r="15800" spans="1:7" x14ac:dyDescent="0.25">
      <c r="A15800" s="116" t="s">
        <v>24671</v>
      </c>
      <c r="B15800" s="117" t="s">
        <v>24672</v>
      </c>
      <c r="C15800" t="s">
        <v>67</v>
      </c>
      <c r="D15800" t="s">
        <v>67</v>
      </c>
      <c r="E15800" t="s">
        <v>67</v>
      </c>
      <c r="F15800" t="s">
        <v>27987</v>
      </c>
      <c r="G15800" s="117">
        <v>28.92</v>
      </c>
    </row>
    <row r="15801" spans="1:7" x14ac:dyDescent="0.25">
      <c r="A15801" s="116" t="s">
        <v>24673</v>
      </c>
      <c r="B15801" s="117" t="s">
        <v>24674</v>
      </c>
      <c r="C15801" t="s">
        <v>67</v>
      </c>
      <c r="D15801" t="s">
        <v>67</v>
      </c>
      <c r="E15801" t="s">
        <v>67</v>
      </c>
      <c r="F15801" t="s">
        <v>45</v>
      </c>
      <c r="G15801" s="117">
        <v>165.42</v>
      </c>
    </row>
    <row r="15802" spans="1:7" x14ac:dyDescent="0.25">
      <c r="A15802" s="116" t="s">
        <v>24675</v>
      </c>
      <c r="B15802" s="117" t="s">
        <v>24676</v>
      </c>
      <c r="C15802" t="s">
        <v>67</v>
      </c>
      <c r="D15802" t="s">
        <v>67</v>
      </c>
      <c r="E15802" t="s">
        <v>67</v>
      </c>
      <c r="F15802" t="s">
        <v>27987</v>
      </c>
      <c r="G15802" s="117">
        <v>23.94</v>
      </c>
    </row>
    <row r="15803" spans="1:7" x14ac:dyDescent="0.25">
      <c r="A15803" s="116" t="s">
        <v>24677</v>
      </c>
      <c r="B15803" s="117" t="s">
        <v>24678</v>
      </c>
      <c r="C15803" t="s">
        <v>67</v>
      </c>
      <c r="D15803" t="s">
        <v>67</v>
      </c>
      <c r="E15803" t="s">
        <v>67</v>
      </c>
      <c r="F15803" t="s">
        <v>27987</v>
      </c>
      <c r="G15803" s="117">
        <v>0.8</v>
      </c>
    </row>
    <row r="15804" spans="1:7" x14ac:dyDescent="0.25">
      <c r="A15804" s="116" t="s">
        <v>24679</v>
      </c>
      <c r="B15804" s="117" t="s">
        <v>24680</v>
      </c>
      <c r="C15804" t="s">
        <v>67</v>
      </c>
      <c r="D15804" t="s">
        <v>67</v>
      </c>
      <c r="E15804" t="s">
        <v>67</v>
      </c>
      <c r="F15804" t="s">
        <v>45</v>
      </c>
      <c r="G15804" s="117">
        <v>29.81</v>
      </c>
    </row>
    <row r="15805" spans="1:7" x14ac:dyDescent="0.25">
      <c r="A15805" s="116" t="s">
        <v>24681</v>
      </c>
      <c r="B15805" s="117" t="s">
        <v>24682</v>
      </c>
      <c r="C15805" t="s">
        <v>67</v>
      </c>
      <c r="D15805" t="s">
        <v>67</v>
      </c>
      <c r="E15805" t="s">
        <v>67</v>
      </c>
      <c r="F15805" t="s">
        <v>45</v>
      </c>
      <c r="G15805" s="117">
        <v>31.94</v>
      </c>
    </row>
    <row r="15806" spans="1:7" x14ac:dyDescent="0.25">
      <c r="A15806" s="116" t="s">
        <v>24683</v>
      </c>
      <c r="B15806" s="117" t="s">
        <v>24684</v>
      </c>
      <c r="C15806" t="s">
        <v>67</v>
      </c>
      <c r="D15806" t="s">
        <v>67</v>
      </c>
      <c r="E15806" t="s">
        <v>67</v>
      </c>
      <c r="F15806" t="s">
        <v>45</v>
      </c>
      <c r="G15806" s="117">
        <v>14.14</v>
      </c>
    </row>
    <row r="15807" spans="1:7" x14ac:dyDescent="0.25">
      <c r="A15807" s="116" t="s">
        <v>24685</v>
      </c>
      <c r="B15807" s="117" t="s">
        <v>9317</v>
      </c>
      <c r="C15807" t="s">
        <v>67</v>
      </c>
      <c r="D15807" t="s">
        <v>67</v>
      </c>
      <c r="E15807" t="s">
        <v>67</v>
      </c>
      <c r="F15807" t="s">
        <v>27987</v>
      </c>
      <c r="G15807" s="117">
        <v>0.8</v>
      </c>
    </row>
    <row r="15808" spans="1:7" x14ac:dyDescent="0.25">
      <c r="A15808" s="116" t="s">
        <v>24686</v>
      </c>
      <c r="B15808" s="117" t="s">
        <v>24687</v>
      </c>
      <c r="C15808" t="s">
        <v>67</v>
      </c>
      <c r="D15808" t="s">
        <v>67</v>
      </c>
      <c r="E15808" t="s">
        <v>67</v>
      </c>
      <c r="F15808" t="s">
        <v>45</v>
      </c>
      <c r="G15808" s="117">
        <v>230.38</v>
      </c>
    </row>
    <row r="15809" spans="1:7" x14ac:dyDescent="0.25">
      <c r="A15809" s="116" t="s">
        <v>24688</v>
      </c>
      <c r="B15809" s="117" t="s">
        <v>24689</v>
      </c>
      <c r="C15809" t="s">
        <v>67</v>
      </c>
      <c r="D15809" t="s">
        <v>67</v>
      </c>
      <c r="E15809" t="s">
        <v>67</v>
      </c>
      <c r="F15809" t="s">
        <v>45</v>
      </c>
      <c r="G15809" s="117">
        <v>112.92</v>
      </c>
    </row>
    <row r="15810" spans="1:7" x14ac:dyDescent="0.25">
      <c r="A15810" s="116" t="s">
        <v>24690</v>
      </c>
      <c r="B15810" s="117" t="s">
        <v>24691</v>
      </c>
      <c r="C15810" t="s">
        <v>67</v>
      </c>
      <c r="D15810" t="s">
        <v>67</v>
      </c>
      <c r="E15810" t="s">
        <v>67</v>
      </c>
      <c r="F15810" t="s">
        <v>45</v>
      </c>
      <c r="G15810" s="117">
        <v>92.1</v>
      </c>
    </row>
    <row r="15811" spans="1:7" x14ac:dyDescent="0.25">
      <c r="A15811" s="116" t="s">
        <v>24692</v>
      </c>
      <c r="B15811" s="117" t="s">
        <v>24693</v>
      </c>
      <c r="C15811" t="s">
        <v>67</v>
      </c>
      <c r="D15811" t="s">
        <v>67</v>
      </c>
      <c r="E15811" t="s">
        <v>67</v>
      </c>
      <c r="F15811" t="s">
        <v>45</v>
      </c>
      <c r="G15811" s="117">
        <v>14.14</v>
      </c>
    </row>
    <row r="15812" spans="1:7" x14ac:dyDescent="0.25">
      <c r="A15812" s="116" t="s">
        <v>24694</v>
      </c>
      <c r="B15812" s="117" t="s">
        <v>24695</v>
      </c>
      <c r="C15812" t="s">
        <v>67</v>
      </c>
      <c r="D15812" t="s">
        <v>67</v>
      </c>
      <c r="E15812" t="s">
        <v>67</v>
      </c>
      <c r="F15812" t="s">
        <v>45</v>
      </c>
      <c r="G15812" s="117">
        <v>15.57</v>
      </c>
    </row>
    <row r="15813" spans="1:7" x14ac:dyDescent="0.25">
      <c r="A15813" s="116" t="s">
        <v>24696</v>
      </c>
      <c r="B15813" s="117" t="s">
        <v>24697</v>
      </c>
      <c r="C15813" t="s">
        <v>67</v>
      </c>
      <c r="D15813" t="s">
        <v>67</v>
      </c>
      <c r="E15813" t="s">
        <v>67</v>
      </c>
      <c r="F15813" t="s">
        <v>45</v>
      </c>
      <c r="G15813" s="117">
        <v>15.57</v>
      </c>
    </row>
    <row r="15814" spans="1:7" x14ac:dyDescent="0.25">
      <c r="A15814" s="116" t="s">
        <v>24698</v>
      </c>
      <c r="B15814" s="117" t="s">
        <v>24699</v>
      </c>
      <c r="C15814" t="s">
        <v>67</v>
      </c>
      <c r="D15814" t="s">
        <v>67</v>
      </c>
      <c r="E15814" t="s">
        <v>67</v>
      </c>
      <c r="F15814" t="s">
        <v>45</v>
      </c>
      <c r="G15814" s="117">
        <v>25.71</v>
      </c>
    </row>
    <row r="15815" spans="1:7" x14ac:dyDescent="0.25">
      <c r="A15815" s="116" t="s">
        <v>24700</v>
      </c>
      <c r="B15815" s="117" t="s">
        <v>24701</v>
      </c>
      <c r="C15815" t="s">
        <v>67</v>
      </c>
      <c r="D15815" t="s">
        <v>67</v>
      </c>
      <c r="E15815" t="s">
        <v>67</v>
      </c>
      <c r="F15815" t="s">
        <v>45</v>
      </c>
      <c r="G15815" s="117">
        <v>39.950000000000003</v>
      </c>
    </row>
    <row r="15816" spans="1:7" x14ac:dyDescent="0.25">
      <c r="A15816" s="116" t="s">
        <v>24702</v>
      </c>
      <c r="B15816" s="117" t="s">
        <v>24703</v>
      </c>
      <c r="C15816" t="s">
        <v>67</v>
      </c>
      <c r="D15816" t="s">
        <v>67</v>
      </c>
      <c r="E15816" t="s">
        <v>67</v>
      </c>
      <c r="F15816" t="s">
        <v>27987</v>
      </c>
      <c r="G15816" s="117">
        <v>44.4</v>
      </c>
    </row>
    <row r="15817" spans="1:7" x14ac:dyDescent="0.25">
      <c r="A15817" s="116" t="s">
        <v>24704</v>
      </c>
      <c r="B15817" s="117" t="s">
        <v>24705</v>
      </c>
      <c r="C15817" t="s">
        <v>67</v>
      </c>
      <c r="D15817" t="s">
        <v>67</v>
      </c>
      <c r="E15817" t="s">
        <v>67</v>
      </c>
      <c r="F15817" t="s">
        <v>45</v>
      </c>
      <c r="G15817" s="117">
        <v>14.14</v>
      </c>
    </row>
    <row r="15818" spans="1:7" x14ac:dyDescent="0.25">
      <c r="A15818" s="116" t="s">
        <v>24706</v>
      </c>
      <c r="B15818" s="117" t="s">
        <v>24707</v>
      </c>
      <c r="C15818" t="s">
        <v>67</v>
      </c>
      <c r="D15818" t="s">
        <v>67</v>
      </c>
      <c r="E15818" t="s">
        <v>67</v>
      </c>
      <c r="F15818" t="s">
        <v>45</v>
      </c>
      <c r="G15818" s="117">
        <v>35.5</v>
      </c>
    </row>
    <row r="15819" spans="1:7" x14ac:dyDescent="0.25">
      <c r="A15819" s="116" t="s">
        <v>24708</v>
      </c>
      <c r="B15819" s="117" t="s">
        <v>24709</v>
      </c>
      <c r="C15819" t="s">
        <v>67</v>
      </c>
      <c r="D15819" t="s">
        <v>67</v>
      </c>
      <c r="E15819" t="s">
        <v>67</v>
      </c>
      <c r="F15819" t="s">
        <v>27987</v>
      </c>
      <c r="G15819" s="117">
        <v>33.369999999999997</v>
      </c>
    </row>
    <row r="15820" spans="1:7" x14ac:dyDescent="0.25">
      <c r="A15820" s="116" t="s">
        <v>24710</v>
      </c>
      <c r="B15820" s="117" t="s">
        <v>24711</v>
      </c>
      <c r="C15820" t="s">
        <v>67</v>
      </c>
      <c r="D15820" t="s">
        <v>67</v>
      </c>
      <c r="E15820" t="s">
        <v>67</v>
      </c>
      <c r="F15820" t="s">
        <v>45</v>
      </c>
      <c r="G15820" s="117">
        <v>39.6</v>
      </c>
    </row>
    <row r="15821" spans="1:7" x14ac:dyDescent="0.25">
      <c r="A15821" s="116" t="s">
        <v>24712</v>
      </c>
      <c r="B15821" s="117" t="s">
        <v>24713</v>
      </c>
      <c r="C15821" t="s">
        <v>67</v>
      </c>
      <c r="D15821" t="s">
        <v>67</v>
      </c>
      <c r="E15821" t="s">
        <v>67</v>
      </c>
      <c r="F15821" t="s">
        <v>45</v>
      </c>
      <c r="G15821" s="117">
        <v>13.26</v>
      </c>
    </row>
    <row r="15822" spans="1:7" x14ac:dyDescent="0.25">
      <c r="A15822" s="116" t="s">
        <v>24714</v>
      </c>
      <c r="B15822" s="117" t="s">
        <v>24715</v>
      </c>
      <c r="C15822" t="s">
        <v>67</v>
      </c>
      <c r="D15822" t="s">
        <v>67</v>
      </c>
      <c r="E15822" t="s">
        <v>67</v>
      </c>
      <c r="F15822" t="s">
        <v>45</v>
      </c>
      <c r="G15822" s="117">
        <v>14.14</v>
      </c>
    </row>
    <row r="15823" spans="1:7" x14ac:dyDescent="0.25">
      <c r="A15823" s="116" t="s">
        <v>24716</v>
      </c>
      <c r="B15823" s="117" t="s">
        <v>17605</v>
      </c>
      <c r="C15823" t="s">
        <v>67</v>
      </c>
      <c r="D15823" t="s">
        <v>67</v>
      </c>
      <c r="E15823" t="s">
        <v>67</v>
      </c>
      <c r="F15823" t="s">
        <v>27987</v>
      </c>
      <c r="G15823" s="117">
        <v>66.42</v>
      </c>
    </row>
    <row r="15824" spans="1:7" x14ac:dyDescent="0.25">
      <c r="A15824" s="116" t="s">
        <v>24717</v>
      </c>
      <c r="B15824" s="117" t="s">
        <v>29652</v>
      </c>
      <c r="C15824" t="s">
        <v>67</v>
      </c>
      <c r="D15824" t="s">
        <v>67</v>
      </c>
      <c r="E15824" t="s">
        <v>67</v>
      </c>
      <c r="F15824" t="s">
        <v>27987</v>
      </c>
      <c r="G15824" s="117">
        <v>27.87</v>
      </c>
    </row>
    <row r="15825" spans="1:7" x14ac:dyDescent="0.25">
      <c r="A15825" s="116" t="s">
        <v>24718</v>
      </c>
      <c r="B15825" s="117" t="s">
        <v>24719</v>
      </c>
      <c r="C15825" t="s">
        <v>67</v>
      </c>
      <c r="D15825" t="s">
        <v>67</v>
      </c>
      <c r="E15825" t="s">
        <v>67</v>
      </c>
      <c r="F15825" t="s">
        <v>27987</v>
      </c>
      <c r="G15825" s="117">
        <v>243.34</v>
      </c>
    </row>
    <row r="15826" spans="1:7" x14ac:dyDescent="0.25">
      <c r="A15826" s="116" t="s">
        <v>24720</v>
      </c>
      <c r="B15826" s="117" t="s">
        <v>24721</v>
      </c>
      <c r="C15826" t="s">
        <v>67</v>
      </c>
      <c r="D15826" t="s">
        <v>67</v>
      </c>
      <c r="E15826" t="s">
        <v>67</v>
      </c>
      <c r="F15826" t="s">
        <v>27987</v>
      </c>
      <c r="G15826" s="117">
        <v>117.01</v>
      </c>
    </row>
    <row r="15827" spans="1:7" x14ac:dyDescent="0.25">
      <c r="A15827" s="116" t="s">
        <v>24722</v>
      </c>
      <c r="B15827" s="117" t="s">
        <v>24723</v>
      </c>
      <c r="C15827" t="s">
        <v>67</v>
      </c>
      <c r="D15827" t="s">
        <v>67</v>
      </c>
      <c r="E15827" t="s">
        <v>67</v>
      </c>
      <c r="F15827" t="s">
        <v>27987</v>
      </c>
      <c r="G15827" s="117">
        <v>0.8</v>
      </c>
    </row>
    <row r="15828" spans="1:7" x14ac:dyDescent="0.25">
      <c r="A15828" s="116" t="s">
        <v>24724</v>
      </c>
      <c r="B15828" s="117" t="s">
        <v>24725</v>
      </c>
      <c r="C15828" t="s">
        <v>67</v>
      </c>
      <c r="D15828" t="s">
        <v>67</v>
      </c>
      <c r="E15828" t="s">
        <v>67</v>
      </c>
      <c r="F15828" t="s">
        <v>27987</v>
      </c>
      <c r="G15828" s="117">
        <v>670.15</v>
      </c>
    </row>
    <row r="15829" spans="1:7" x14ac:dyDescent="0.25">
      <c r="A15829" s="116" t="s">
        <v>26874</v>
      </c>
      <c r="B15829" s="117" t="s">
        <v>26875</v>
      </c>
      <c r="C15829" t="s">
        <v>67</v>
      </c>
      <c r="D15829" t="s">
        <v>67</v>
      </c>
      <c r="E15829" t="s">
        <v>67</v>
      </c>
      <c r="F15829" t="s">
        <v>45</v>
      </c>
      <c r="G15829" s="117">
        <v>75.89</v>
      </c>
    </row>
    <row r="15830" spans="1:7" x14ac:dyDescent="0.25">
      <c r="A15830" s="116" t="s">
        <v>24726</v>
      </c>
      <c r="B15830" s="117" t="s">
        <v>24727</v>
      </c>
      <c r="C15830" t="s">
        <v>67</v>
      </c>
      <c r="D15830" t="s">
        <v>67</v>
      </c>
      <c r="E15830" t="s">
        <v>67</v>
      </c>
      <c r="F15830" t="s">
        <v>27987</v>
      </c>
      <c r="G15830" s="117">
        <v>46.18</v>
      </c>
    </row>
    <row r="15831" spans="1:7" x14ac:dyDescent="0.25">
      <c r="A15831" s="116" t="s">
        <v>24728</v>
      </c>
      <c r="B15831" s="117" t="s">
        <v>29653</v>
      </c>
      <c r="C15831" t="s">
        <v>67</v>
      </c>
      <c r="D15831" t="s">
        <v>67</v>
      </c>
      <c r="E15831" t="s">
        <v>67</v>
      </c>
      <c r="F15831" t="s">
        <v>27987</v>
      </c>
      <c r="G15831" s="117">
        <v>38.9</v>
      </c>
    </row>
    <row r="15832" spans="1:7" x14ac:dyDescent="0.25">
      <c r="A15832" s="116" t="s">
        <v>24729</v>
      </c>
      <c r="B15832" s="117" t="s">
        <v>184</v>
      </c>
      <c r="C15832" t="s">
        <v>67</v>
      </c>
      <c r="D15832" t="s">
        <v>67</v>
      </c>
      <c r="E15832" t="s">
        <v>67</v>
      </c>
      <c r="F15832" t="s">
        <v>27987</v>
      </c>
      <c r="G15832" s="117">
        <v>1.33</v>
      </c>
    </row>
    <row r="15833" spans="1:7" x14ac:dyDescent="0.25">
      <c r="A15833" s="116" t="s">
        <v>24730</v>
      </c>
      <c r="B15833" s="117" t="s">
        <v>24731</v>
      </c>
      <c r="C15833" t="s">
        <v>67</v>
      </c>
      <c r="D15833" t="s">
        <v>67</v>
      </c>
      <c r="E15833" t="s">
        <v>67</v>
      </c>
      <c r="F15833" t="s">
        <v>27987</v>
      </c>
      <c r="G15833" s="117">
        <v>53.3</v>
      </c>
    </row>
    <row r="15834" spans="1:7" x14ac:dyDescent="0.25">
      <c r="A15834" s="116" t="s">
        <v>24732</v>
      </c>
      <c r="B15834" s="117" t="s">
        <v>29654</v>
      </c>
      <c r="C15834" t="s">
        <v>67</v>
      </c>
      <c r="D15834" t="s">
        <v>67</v>
      </c>
      <c r="E15834" t="s">
        <v>67</v>
      </c>
      <c r="F15834" t="s">
        <v>45</v>
      </c>
      <c r="G15834" s="117">
        <v>18.18</v>
      </c>
    </row>
    <row r="15835" spans="1:7" x14ac:dyDescent="0.25">
      <c r="A15835" s="116" t="s">
        <v>24733</v>
      </c>
      <c r="B15835" s="117" t="s">
        <v>24734</v>
      </c>
      <c r="C15835" t="s">
        <v>67</v>
      </c>
      <c r="D15835" t="s">
        <v>67</v>
      </c>
      <c r="E15835" t="s">
        <v>67</v>
      </c>
      <c r="F15835" t="s">
        <v>27987</v>
      </c>
      <c r="G15835" s="117">
        <v>7.56</v>
      </c>
    </row>
    <row r="15836" spans="1:7" x14ac:dyDescent="0.25">
      <c r="A15836" s="116" t="s">
        <v>24735</v>
      </c>
      <c r="B15836" s="117" t="s">
        <v>24736</v>
      </c>
      <c r="C15836" t="s">
        <v>67</v>
      </c>
      <c r="D15836" t="s">
        <v>67</v>
      </c>
      <c r="E15836" t="s">
        <v>67</v>
      </c>
      <c r="F15836" t="s">
        <v>27987</v>
      </c>
      <c r="G15836" s="117">
        <v>35.5</v>
      </c>
    </row>
    <row r="15837" spans="1:7" x14ac:dyDescent="0.25">
      <c r="A15837" s="116" t="s">
        <v>24737</v>
      </c>
      <c r="B15837" s="117" t="s">
        <v>24738</v>
      </c>
      <c r="C15837" t="s">
        <v>67</v>
      </c>
      <c r="D15837" t="s">
        <v>67</v>
      </c>
      <c r="E15837" t="s">
        <v>67</v>
      </c>
      <c r="F15837" t="s">
        <v>45</v>
      </c>
      <c r="G15837" s="117">
        <v>15.57</v>
      </c>
    </row>
    <row r="15838" spans="1:7" x14ac:dyDescent="0.25">
      <c r="A15838" s="116" t="s">
        <v>24739</v>
      </c>
      <c r="B15838" s="117" t="s">
        <v>24740</v>
      </c>
      <c r="C15838" t="s">
        <v>67</v>
      </c>
      <c r="D15838" t="s">
        <v>67</v>
      </c>
      <c r="E15838" t="s">
        <v>67</v>
      </c>
      <c r="F15838" t="s">
        <v>27987</v>
      </c>
      <c r="G15838" s="117">
        <v>179.66</v>
      </c>
    </row>
    <row r="15839" spans="1:7" x14ac:dyDescent="0.25">
      <c r="A15839" s="116" t="s">
        <v>24741</v>
      </c>
      <c r="B15839" s="117" t="s">
        <v>24742</v>
      </c>
      <c r="C15839" t="s">
        <v>67</v>
      </c>
      <c r="D15839" t="s">
        <v>67</v>
      </c>
      <c r="E15839" t="s">
        <v>67</v>
      </c>
      <c r="F15839" t="s">
        <v>45</v>
      </c>
      <c r="G15839" s="117">
        <v>33.369999999999997</v>
      </c>
    </row>
    <row r="15840" spans="1:7" x14ac:dyDescent="0.25">
      <c r="A15840" s="116" t="s">
        <v>24743</v>
      </c>
      <c r="B15840" s="117" t="s">
        <v>5185</v>
      </c>
      <c r="C15840" t="s">
        <v>67</v>
      </c>
      <c r="D15840" t="s">
        <v>67</v>
      </c>
      <c r="E15840" t="s">
        <v>67</v>
      </c>
      <c r="F15840" t="s">
        <v>49</v>
      </c>
      <c r="G15840" s="117">
        <v>3.56</v>
      </c>
    </row>
    <row r="15841" spans="1:7" x14ac:dyDescent="0.25">
      <c r="A15841" s="116" t="s">
        <v>24744</v>
      </c>
      <c r="B15841" s="117" t="s">
        <v>24745</v>
      </c>
      <c r="C15841" t="s">
        <v>67</v>
      </c>
      <c r="D15841" t="s">
        <v>67</v>
      </c>
      <c r="E15841" t="s">
        <v>67</v>
      </c>
      <c r="F15841" t="s">
        <v>27987</v>
      </c>
      <c r="G15841" s="117">
        <v>3.56</v>
      </c>
    </row>
    <row r="15842" spans="1:7" x14ac:dyDescent="0.25">
      <c r="A15842" s="116" t="s">
        <v>24746</v>
      </c>
      <c r="B15842" s="117" t="s">
        <v>8153</v>
      </c>
      <c r="C15842" t="s">
        <v>67</v>
      </c>
      <c r="D15842" t="s">
        <v>67</v>
      </c>
      <c r="E15842" t="s">
        <v>67</v>
      </c>
      <c r="F15842" t="s">
        <v>45</v>
      </c>
      <c r="G15842" s="117">
        <v>2.58</v>
      </c>
    </row>
    <row r="15843" spans="1:7" x14ac:dyDescent="0.25">
      <c r="A15843" s="116" t="s">
        <v>24747</v>
      </c>
      <c r="B15843" s="117" t="s">
        <v>24748</v>
      </c>
      <c r="C15843" t="s">
        <v>67</v>
      </c>
      <c r="D15843" t="s">
        <v>67</v>
      </c>
      <c r="E15843" t="s">
        <v>67</v>
      </c>
      <c r="F15843" t="s">
        <v>27990</v>
      </c>
      <c r="G15843" s="117">
        <v>0.44</v>
      </c>
    </row>
    <row r="15844" spans="1:7" x14ac:dyDescent="0.25">
      <c r="A15844" s="116" t="s">
        <v>24749</v>
      </c>
      <c r="B15844" s="117" t="s">
        <v>24750</v>
      </c>
      <c r="C15844" t="s">
        <v>67</v>
      </c>
      <c r="D15844" t="s">
        <v>67</v>
      </c>
      <c r="E15844" t="s">
        <v>67</v>
      </c>
      <c r="F15844" t="s">
        <v>45</v>
      </c>
      <c r="G15844" s="117">
        <v>2949.35</v>
      </c>
    </row>
    <row r="15845" spans="1:7" x14ac:dyDescent="0.25">
      <c r="A15845" s="116" t="s">
        <v>24751</v>
      </c>
      <c r="B15845" s="117" t="s">
        <v>24752</v>
      </c>
      <c r="C15845" t="s">
        <v>67</v>
      </c>
      <c r="D15845" t="s">
        <v>67</v>
      </c>
      <c r="E15845" t="s">
        <v>67</v>
      </c>
      <c r="F15845" t="s">
        <v>45</v>
      </c>
      <c r="G15845" s="117">
        <v>831.9</v>
      </c>
    </row>
    <row r="15846" spans="1:7" x14ac:dyDescent="0.25">
      <c r="A15846" s="116" t="s">
        <v>24753</v>
      </c>
      <c r="B15846" s="117" t="s">
        <v>24754</v>
      </c>
      <c r="C15846" t="s">
        <v>67</v>
      </c>
      <c r="D15846" t="s">
        <v>67</v>
      </c>
      <c r="E15846" t="s">
        <v>67</v>
      </c>
      <c r="F15846" t="s">
        <v>45</v>
      </c>
      <c r="G15846" s="117">
        <v>307.44</v>
      </c>
    </row>
    <row r="15847" spans="1:7" x14ac:dyDescent="0.25">
      <c r="A15847" s="116" t="s">
        <v>24755</v>
      </c>
      <c r="B15847" s="117" t="s">
        <v>24756</v>
      </c>
      <c r="C15847" t="s">
        <v>67</v>
      </c>
      <c r="D15847" t="s">
        <v>67</v>
      </c>
      <c r="E15847" t="s">
        <v>67</v>
      </c>
      <c r="F15847" t="s">
        <v>45</v>
      </c>
      <c r="G15847" s="117">
        <v>219.7</v>
      </c>
    </row>
    <row r="15848" spans="1:7" x14ac:dyDescent="0.25">
      <c r="A15848" s="116" t="s">
        <v>24757</v>
      </c>
      <c r="B15848" s="117" t="s">
        <v>24758</v>
      </c>
      <c r="C15848" t="s">
        <v>67</v>
      </c>
      <c r="D15848" t="s">
        <v>67</v>
      </c>
      <c r="E15848" t="s">
        <v>67</v>
      </c>
      <c r="F15848" t="s">
        <v>45</v>
      </c>
      <c r="G15848" s="117">
        <v>86.23</v>
      </c>
    </row>
    <row r="15849" spans="1:7" x14ac:dyDescent="0.25">
      <c r="A15849" s="116" t="s">
        <v>24759</v>
      </c>
      <c r="B15849" s="117" t="s">
        <v>29655</v>
      </c>
      <c r="C15849" t="s">
        <v>67</v>
      </c>
      <c r="D15849" t="s">
        <v>67</v>
      </c>
      <c r="E15849" t="s">
        <v>67</v>
      </c>
      <c r="F15849" t="s">
        <v>45</v>
      </c>
      <c r="G15849" s="117">
        <v>107.58</v>
      </c>
    </row>
    <row r="15850" spans="1:7" x14ac:dyDescent="0.25">
      <c r="A15850" s="116" t="s">
        <v>24760</v>
      </c>
      <c r="B15850" s="117" t="s">
        <v>24761</v>
      </c>
      <c r="C15850" t="s">
        <v>67</v>
      </c>
      <c r="D15850" t="s">
        <v>67</v>
      </c>
      <c r="E15850" t="s">
        <v>67</v>
      </c>
      <c r="F15850" t="s">
        <v>45</v>
      </c>
      <c r="G15850" s="117">
        <v>11.12</v>
      </c>
    </row>
    <row r="15851" spans="1:7" x14ac:dyDescent="0.25">
      <c r="A15851" s="116" t="s">
        <v>27069</v>
      </c>
      <c r="B15851" s="117" t="s">
        <v>29656</v>
      </c>
      <c r="C15851" t="s">
        <v>67</v>
      </c>
      <c r="D15851" t="s">
        <v>67</v>
      </c>
      <c r="E15851" t="s">
        <v>67</v>
      </c>
      <c r="F15851" t="s">
        <v>49</v>
      </c>
      <c r="G15851" s="117">
        <v>5.5</v>
      </c>
    </row>
    <row r="15852" spans="1:7" x14ac:dyDescent="0.25">
      <c r="A15852" s="116" t="s">
        <v>27070</v>
      </c>
      <c r="B15852" s="117" t="s">
        <v>29657</v>
      </c>
      <c r="C15852" t="s">
        <v>67</v>
      </c>
      <c r="D15852" t="s">
        <v>67</v>
      </c>
      <c r="E15852" t="s">
        <v>67</v>
      </c>
      <c r="F15852" t="s">
        <v>27987</v>
      </c>
      <c r="G15852" s="117">
        <v>2.58</v>
      </c>
    </row>
    <row r="15853" spans="1:7" x14ac:dyDescent="0.25">
      <c r="A15853" s="116" t="s">
        <v>27071</v>
      </c>
      <c r="B15853" s="117" t="s">
        <v>29658</v>
      </c>
      <c r="C15853" t="s">
        <v>67</v>
      </c>
      <c r="D15853" t="s">
        <v>67</v>
      </c>
      <c r="E15853" t="s">
        <v>67</v>
      </c>
      <c r="F15853" t="s">
        <v>27987</v>
      </c>
      <c r="G15853" s="117">
        <v>250</v>
      </c>
    </row>
    <row r="15854" spans="1:7" x14ac:dyDescent="0.25">
      <c r="A15854" s="116" t="s">
        <v>27072</v>
      </c>
      <c r="B15854" s="117" t="s">
        <v>29659</v>
      </c>
      <c r="C15854" t="s">
        <v>67</v>
      </c>
      <c r="D15854" t="s">
        <v>67</v>
      </c>
      <c r="E15854" t="s">
        <v>67</v>
      </c>
      <c r="F15854" t="s">
        <v>27987</v>
      </c>
      <c r="G15854" s="117">
        <v>18</v>
      </c>
    </row>
    <row r="15855" spans="1:7" x14ac:dyDescent="0.25">
      <c r="A15855" s="116" t="s">
        <v>27073</v>
      </c>
      <c r="B15855" s="117" t="s">
        <v>29660</v>
      </c>
      <c r="C15855" t="s">
        <v>67</v>
      </c>
      <c r="D15855" t="s">
        <v>67</v>
      </c>
      <c r="E15855" t="s">
        <v>67</v>
      </c>
      <c r="F15855" t="s">
        <v>27987</v>
      </c>
      <c r="G15855" s="117">
        <v>103</v>
      </c>
    </row>
    <row r="15856" spans="1:7" x14ac:dyDescent="0.25">
      <c r="A15856" s="116" t="s">
        <v>27074</v>
      </c>
      <c r="B15856" s="117" t="s">
        <v>29661</v>
      </c>
      <c r="C15856" t="s">
        <v>67</v>
      </c>
      <c r="D15856" t="s">
        <v>67</v>
      </c>
      <c r="E15856" t="s">
        <v>67</v>
      </c>
      <c r="F15856" t="s">
        <v>27987</v>
      </c>
      <c r="G15856" s="117">
        <v>2.58</v>
      </c>
    </row>
    <row r="15857" spans="1:7" x14ac:dyDescent="0.25">
      <c r="A15857" s="116" t="s">
        <v>27075</v>
      </c>
      <c r="B15857" s="117" t="s">
        <v>27076</v>
      </c>
      <c r="C15857" t="s">
        <v>67</v>
      </c>
      <c r="D15857" t="s">
        <v>67</v>
      </c>
      <c r="E15857" t="s">
        <v>67</v>
      </c>
      <c r="F15857" t="s">
        <v>27987</v>
      </c>
      <c r="G15857" s="117">
        <v>1.9</v>
      </c>
    </row>
    <row r="15858" spans="1:7" x14ac:dyDescent="0.25">
      <c r="A15858" s="116" t="s">
        <v>27077</v>
      </c>
      <c r="B15858" s="117" t="s">
        <v>27078</v>
      </c>
      <c r="C15858" t="s">
        <v>67</v>
      </c>
      <c r="D15858" t="s">
        <v>67</v>
      </c>
      <c r="E15858" t="s">
        <v>67</v>
      </c>
      <c r="F15858" t="s">
        <v>27987</v>
      </c>
      <c r="G15858" s="117">
        <v>1.9</v>
      </c>
    </row>
    <row r="15859" spans="1:7" x14ac:dyDescent="0.25">
      <c r="A15859" s="116" t="s">
        <v>27079</v>
      </c>
      <c r="B15859" s="117" t="s">
        <v>27080</v>
      </c>
      <c r="C15859" t="s">
        <v>67</v>
      </c>
      <c r="D15859" t="s">
        <v>67</v>
      </c>
      <c r="E15859" t="s">
        <v>67</v>
      </c>
      <c r="F15859" t="s">
        <v>27987</v>
      </c>
      <c r="G15859" s="117">
        <v>1.9</v>
      </c>
    </row>
    <row r="15860" spans="1:7" x14ac:dyDescent="0.25">
      <c r="A15860" s="116" t="s">
        <v>27081</v>
      </c>
      <c r="B15860" s="117" t="s">
        <v>29662</v>
      </c>
      <c r="C15860" t="s">
        <v>67</v>
      </c>
      <c r="D15860" t="s">
        <v>67</v>
      </c>
      <c r="E15860" t="s">
        <v>67</v>
      </c>
      <c r="F15860" t="s">
        <v>27987</v>
      </c>
      <c r="G15860" s="117">
        <v>15</v>
      </c>
    </row>
    <row r="15861" spans="1:7" x14ac:dyDescent="0.25">
      <c r="A15861" s="116" t="s">
        <v>27082</v>
      </c>
      <c r="B15861" s="117" t="s">
        <v>29663</v>
      </c>
      <c r="C15861" t="s">
        <v>67</v>
      </c>
      <c r="D15861" t="s">
        <v>67</v>
      </c>
      <c r="E15861" t="s">
        <v>67</v>
      </c>
      <c r="F15861" t="s">
        <v>27987</v>
      </c>
      <c r="G15861" s="117">
        <v>3</v>
      </c>
    </row>
    <row r="15862" spans="1:7" x14ac:dyDescent="0.25">
      <c r="A15862" s="116" t="s">
        <v>27005</v>
      </c>
      <c r="B15862" s="117" t="s">
        <v>29664</v>
      </c>
      <c r="C15862" t="s">
        <v>67</v>
      </c>
      <c r="D15862" t="s">
        <v>67</v>
      </c>
      <c r="E15862" t="s">
        <v>67</v>
      </c>
      <c r="F15862" t="s">
        <v>27987</v>
      </c>
      <c r="G15862" s="117">
        <v>11</v>
      </c>
    </row>
    <row r="15863" spans="1:7" x14ac:dyDescent="0.25">
      <c r="A15863" s="116" t="s">
        <v>27083</v>
      </c>
      <c r="B15863" s="117" t="s">
        <v>29665</v>
      </c>
      <c r="C15863" t="s">
        <v>67</v>
      </c>
      <c r="D15863" t="s">
        <v>67</v>
      </c>
      <c r="E15863" t="s">
        <v>67</v>
      </c>
      <c r="F15863" t="s">
        <v>27987</v>
      </c>
      <c r="G15863" s="117">
        <v>4</v>
      </c>
    </row>
    <row r="15864" spans="1:7" x14ac:dyDescent="0.25">
      <c r="A15864" s="116" t="s">
        <v>27084</v>
      </c>
      <c r="B15864" s="117" t="s">
        <v>29666</v>
      </c>
      <c r="C15864" t="s">
        <v>67</v>
      </c>
      <c r="D15864" t="s">
        <v>67</v>
      </c>
      <c r="E15864" t="s">
        <v>67</v>
      </c>
      <c r="F15864" t="s">
        <v>27987</v>
      </c>
      <c r="G15864" s="117">
        <v>22</v>
      </c>
    </row>
    <row r="15865" spans="1:7" x14ac:dyDescent="0.25">
      <c r="A15865" s="116" t="s">
        <v>27085</v>
      </c>
      <c r="B15865" s="117" t="s">
        <v>29667</v>
      </c>
      <c r="C15865" t="s">
        <v>67</v>
      </c>
      <c r="D15865" t="s">
        <v>67</v>
      </c>
      <c r="E15865" t="s">
        <v>67</v>
      </c>
      <c r="F15865" t="s">
        <v>27987</v>
      </c>
      <c r="G15865" s="117">
        <v>22</v>
      </c>
    </row>
    <row r="15866" spans="1:7" x14ac:dyDescent="0.25">
      <c r="A15866" s="116" t="s">
        <v>27086</v>
      </c>
      <c r="B15866" s="117" t="s">
        <v>29668</v>
      </c>
      <c r="C15866" t="s">
        <v>67</v>
      </c>
      <c r="D15866" t="s">
        <v>67</v>
      </c>
      <c r="E15866" t="s">
        <v>67</v>
      </c>
      <c r="F15866" t="s">
        <v>27987</v>
      </c>
      <c r="G15866" s="117">
        <v>50</v>
      </c>
    </row>
    <row r="15867" spans="1:7" x14ac:dyDescent="0.25">
      <c r="A15867" s="116" t="s">
        <v>27087</v>
      </c>
      <c r="B15867" s="117" t="s">
        <v>29669</v>
      </c>
      <c r="C15867" t="s">
        <v>67</v>
      </c>
      <c r="D15867" t="s">
        <v>67</v>
      </c>
      <c r="E15867" t="s">
        <v>67</v>
      </c>
      <c r="F15867" t="s">
        <v>27987</v>
      </c>
      <c r="G15867" s="117">
        <v>2</v>
      </c>
    </row>
    <row r="15868" spans="1:7" x14ac:dyDescent="0.25">
      <c r="A15868" s="116" t="s">
        <v>27088</v>
      </c>
      <c r="B15868" s="117" t="s">
        <v>29670</v>
      </c>
      <c r="C15868" t="s">
        <v>67</v>
      </c>
      <c r="D15868" t="s">
        <v>67</v>
      </c>
      <c r="E15868" t="s">
        <v>67</v>
      </c>
      <c r="F15868" t="s">
        <v>27987</v>
      </c>
      <c r="G15868" s="117">
        <v>1.5</v>
      </c>
    </row>
    <row r="15869" spans="1:7" x14ac:dyDescent="0.25">
      <c r="A15869" s="116" t="s">
        <v>27089</v>
      </c>
      <c r="B15869" s="117" t="s">
        <v>27090</v>
      </c>
      <c r="C15869" t="s">
        <v>67</v>
      </c>
      <c r="D15869" t="s">
        <v>67</v>
      </c>
      <c r="E15869" t="s">
        <v>67</v>
      </c>
      <c r="F15869" t="s">
        <v>27987</v>
      </c>
      <c r="G15869" s="117">
        <v>1.9</v>
      </c>
    </row>
    <row r="15870" spans="1:7" x14ac:dyDescent="0.25">
      <c r="A15870" s="116" t="s">
        <v>27091</v>
      </c>
      <c r="B15870" s="117" t="s">
        <v>27092</v>
      </c>
      <c r="C15870" t="s">
        <v>67</v>
      </c>
      <c r="D15870" t="s">
        <v>67</v>
      </c>
      <c r="E15870" t="s">
        <v>67</v>
      </c>
      <c r="F15870" t="s">
        <v>27987</v>
      </c>
      <c r="G15870" s="117">
        <v>1.9</v>
      </c>
    </row>
    <row r="15871" spans="1:7" x14ac:dyDescent="0.25">
      <c r="A15871" s="116" t="s">
        <v>27093</v>
      </c>
      <c r="B15871" s="117" t="s">
        <v>29671</v>
      </c>
      <c r="C15871" t="s">
        <v>67</v>
      </c>
      <c r="D15871" t="s">
        <v>67</v>
      </c>
      <c r="E15871" t="s">
        <v>67</v>
      </c>
      <c r="F15871" t="s">
        <v>27987</v>
      </c>
      <c r="G15871" s="117">
        <v>9</v>
      </c>
    </row>
    <row r="15872" spans="1:7" x14ac:dyDescent="0.25">
      <c r="A15872" s="116" t="s">
        <v>27094</v>
      </c>
      <c r="B15872" s="117" t="s">
        <v>29672</v>
      </c>
      <c r="C15872" t="s">
        <v>67</v>
      </c>
      <c r="D15872" t="s">
        <v>67</v>
      </c>
      <c r="E15872" t="s">
        <v>67</v>
      </c>
      <c r="F15872" t="s">
        <v>27987</v>
      </c>
      <c r="G15872" s="117">
        <v>12</v>
      </c>
    </row>
    <row r="15873" spans="1:7" x14ac:dyDescent="0.25">
      <c r="A15873" s="116" t="s">
        <v>27095</v>
      </c>
      <c r="B15873" s="117" t="s">
        <v>29673</v>
      </c>
      <c r="C15873" t="s">
        <v>67</v>
      </c>
      <c r="D15873" t="s">
        <v>67</v>
      </c>
      <c r="E15873" t="s">
        <v>67</v>
      </c>
      <c r="F15873" t="s">
        <v>27987</v>
      </c>
      <c r="G15873" s="117">
        <v>75</v>
      </c>
    </row>
    <row r="15874" spans="1:7" x14ac:dyDescent="0.25">
      <c r="A15874" s="116" t="s">
        <v>27096</v>
      </c>
      <c r="B15874" s="117" t="s">
        <v>29674</v>
      </c>
      <c r="C15874" t="s">
        <v>67</v>
      </c>
      <c r="D15874" t="s">
        <v>67</v>
      </c>
      <c r="E15874" t="s">
        <v>67</v>
      </c>
      <c r="F15874" t="s">
        <v>27987</v>
      </c>
      <c r="G15874" s="117">
        <v>15</v>
      </c>
    </row>
    <row r="15875" spans="1:7" x14ac:dyDescent="0.25">
      <c r="A15875" s="116" t="s">
        <v>27097</v>
      </c>
      <c r="B15875" s="117" t="s">
        <v>27098</v>
      </c>
      <c r="C15875" t="s">
        <v>67</v>
      </c>
      <c r="D15875" t="s">
        <v>67</v>
      </c>
      <c r="E15875" t="s">
        <v>67</v>
      </c>
      <c r="F15875" t="s">
        <v>27987</v>
      </c>
      <c r="G15875" s="117">
        <v>1.9</v>
      </c>
    </row>
    <row r="15876" spans="1:7" x14ac:dyDescent="0.25">
      <c r="A15876" s="116" t="s">
        <v>27099</v>
      </c>
      <c r="B15876" s="117" t="s">
        <v>29675</v>
      </c>
      <c r="C15876" t="s">
        <v>67</v>
      </c>
      <c r="D15876" t="s">
        <v>67</v>
      </c>
      <c r="E15876" t="s">
        <v>67</v>
      </c>
      <c r="F15876" t="s">
        <v>27987</v>
      </c>
      <c r="G15876" s="117">
        <v>3</v>
      </c>
    </row>
    <row r="15877" spans="1:7" x14ac:dyDescent="0.25">
      <c r="A15877" s="116" t="s">
        <v>27100</v>
      </c>
      <c r="B15877" s="117" t="s">
        <v>29676</v>
      </c>
      <c r="C15877" t="s">
        <v>67</v>
      </c>
      <c r="D15877" t="s">
        <v>67</v>
      </c>
      <c r="E15877" t="s">
        <v>67</v>
      </c>
      <c r="F15877" t="s">
        <v>27987</v>
      </c>
      <c r="G15877" s="117">
        <v>45</v>
      </c>
    </row>
    <row r="15878" spans="1:7" x14ac:dyDescent="0.25">
      <c r="A15878" s="116" t="s">
        <v>24762</v>
      </c>
      <c r="B15878" s="117" t="s">
        <v>24763</v>
      </c>
      <c r="C15878" t="s">
        <v>67</v>
      </c>
      <c r="D15878" t="s">
        <v>67</v>
      </c>
      <c r="E15878" t="s">
        <v>67</v>
      </c>
      <c r="F15878" t="s">
        <v>45</v>
      </c>
      <c r="G15878" s="117">
        <v>10617.37</v>
      </c>
    </row>
    <row r="15879" spans="1:7" x14ac:dyDescent="0.25">
      <c r="A15879" s="116" t="s">
        <v>24764</v>
      </c>
      <c r="B15879" s="117" t="s">
        <v>24765</v>
      </c>
      <c r="C15879" t="s">
        <v>67</v>
      </c>
      <c r="D15879" t="s">
        <v>67</v>
      </c>
      <c r="E15879" t="s">
        <v>67</v>
      </c>
      <c r="F15879" t="s">
        <v>45</v>
      </c>
      <c r="G15879" s="117">
        <v>3008.43</v>
      </c>
    </row>
    <row r="15880" spans="1:7" x14ac:dyDescent="0.25">
      <c r="A15880" s="116" t="s">
        <v>24766</v>
      </c>
      <c r="B15880" s="117" t="s">
        <v>24767</v>
      </c>
      <c r="C15880" t="s">
        <v>67</v>
      </c>
      <c r="D15880" t="s">
        <v>67</v>
      </c>
      <c r="E15880" t="s">
        <v>67</v>
      </c>
      <c r="F15880" t="s">
        <v>45</v>
      </c>
      <c r="G15880" s="117">
        <v>39.950000000000003</v>
      </c>
    </row>
    <row r="15881" spans="1:7" x14ac:dyDescent="0.25">
      <c r="A15881" s="116" t="s">
        <v>24768</v>
      </c>
      <c r="B15881" s="117" t="s">
        <v>24767</v>
      </c>
      <c r="C15881" t="s">
        <v>67</v>
      </c>
      <c r="D15881" t="s">
        <v>67</v>
      </c>
      <c r="E15881" t="s">
        <v>67</v>
      </c>
      <c r="F15881" t="s">
        <v>45</v>
      </c>
      <c r="G15881" s="117">
        <v>39.950000000000003</v>
      </c>
    </row>
    <row r="15882" spans="1:7" x14ac:dyDescent="0.25">
      <c r="A15882" s="116" t="s">
        <v>24769</v>
      </c>
      <c r="B15882" s="117" t="s">
        <v>24770</v>
      </c>
      <c r="C15882" t="s">
        <v>67</v>
      </c>
      <c r="D15882" t="s">
        <v>67</v>
      </c>
      <c r="E15882" t="s">
        <v>67</v>
      </c>
      <c r="F15882" t="s">
        <v>27987</v>
      </c>
      <c r="G15882" s="117">
        <v>143.38999999999999</v>
      </c>
    </row>
    <row r="15883" spans="1:7" x14ac:dyDescent="0.25">
      <c r="A15883" s="116" t="s">
        <v>24771</v>
      </c>
      <c r="B15883" s="117" t="s">
        <v>24772</v>
      </c>
      <c r="C15883" t="s">
        <v>67</v>
      </c>
      <c r="D15883" t="s">
        <v>67</v>
      </c>
      <c r="E15883" t="s">
        <v>67</v>
      </c>
      <c r="F15883" t="s">
        <v>45</v>
      </c>
      <c r="G15883" s="117">
        <v>80</v>
      </c>
    </row>
    <row r="15884" spans="1:7" x14ac:dyDescent="0.25">
      <c r="A15884" s="116" t="s">
        <v>24773</v>
      </c>
      <c r="B15884" s="117" t="s">
        <v>24774</v>
      </c>
      <c r="C15884" t="s">
        <v>67</v>
      </c>
      <c r="D15884" t="s">
        <v>67</v>
      </c>
      <c r="E15884" t="s">
        <v>67</v>
      </c>
      <c r="F15884" t="s">
        <v>45</v>
      </c>
      <c r="G15884" s="117">
        <v>168.08</v>
      </c>
    </row>
    <row r="15885" spans="1:7" x14ac:dyDescent="0.25">
      <c r="A15885" s="116" t="s">
        <v>24775</v>
      </c>
      <c r="B15885" s="117" t="s">
        <v>24776</v>
      </c>
      <c r="C15885" t="s">
        <v>67</v>
      </c>
      <c r="D15885" t="s">
        <v>67</v>
      </c>
      <c r="E15885" t="s">
        <v>67</v>
      </c>
      <c r="F15885" t="s">
        <v>27987</v>
      </c>
      <c r="G15885" s="117">
        <v>1831.71</v>
      </c>
    </row>
    <row r="15886" spans="1:7" x14ac:dyDescent="0.25">
      <c r="A15886" s="116" t="s">
        <v>27986</v>
      </c>
      <c r="B15886" s="117" t="s">
        <v>30777</v>
      </c>
      <c r="C15886" t="s">
        <v>67</v>
      </c>
      <c r="D15886" t="s">
        <v>67</v>
      </c>
      <c r="E15886" t="s">
        <v>67</v>
      </c>
      <c r="F15886" t="s">
        <v>27987</v>
      </c>
      <c r="G15886" s="117">
        <v>81.27</v>
      </c>
    </row>
    <row r="15887" spans="1:7" x14ac:dyDescent="0.25">
      <c r="A15887" s="116" t="s">
        <v>26536</v>
      </c>
      <c r="B15887" s="117" t="s">
        <v>30778</v>
      </c>
      <c r="C15887" t="s">
        <v>67</v>
      </c>
      <c r="D15887" t="s">
        <v>67</v>
      </c>
      <c r="E15887" t="s">
        <v>67</v>
      </c>
      <c r="F15887" t="s">
        <v>27987</v>
      </c>
      <c r="G15887" s="117">
        <v>45</v>
      </c>
    </row>
    <row r="15888" spans="1:7" x14ac:dyDescent="0.25">
      <c r="A15888" s="116" t="s">
        <v>24777</v>
      </c>
      <c r="B15888" s="117" t="s">
        <v>5826</v>
      </c>
      <c r="C15888" t="s">
        <v>67</v>
      </c>
      <c r="D15888" t="s">
        <v>67</v>
      </c>
      <c r="E15888" t="s">
        <v>67</v>
      </c>
      <c r="F15888" t="s">
        <v>45</v>
      </c>
      <c r="G15888" s="117">
        <v>29.81</v>
      </c>
    </row>
    <row r="15889" spans="1:7" x14ac:dyDescent="0.25">
      <c r="A15889" s="116" t="s">
        <v>24778</v>
      </c>
      <c r="B15889" s="117" t="s">
        <v>5826</v>
      </c>
      <c r="C15889" t="s">
        <v>67</v>
      </c>
      <c r="D15889" t="s">
        <v>67</v>
      </c>
      <c r="E15889" t="s">
        <v>67</v>
      </c>
      <c r="F15889" t="s">
        <v>45</v>
      </c>
      <c r="G15889" s="117">
        <v>36.93</v>
      </c>
    </row>
    <row r="15890" spans="1:7" x14ac:dyDescent="0.25">
      <c r="A15890" s="116" t="s">
        <v>24779</v>
      </c>
      <c r="B15890" s="117" t="s">
        <v>24780</v>
      </c>
      <c r="C15890" t="s">
        <v>67</v>
      </c>
      <c r="D15890" t="s">
        <v>67</v>
      </c>
      <c r="E15890" t="s">
        <v>67</v>
      </c>
      <c r="F15890" t="s">
        <v>45</v>
      </c>
      <c r="G15890" s="117">
        <v>63.08</v>
      </c>
    </row>
    <row r="15891" spans="1:7" x14ac:dyDescent="0.25">
      <c r="A15891" s="116" t="s">
        <v>24781</v>
      </c>
      <c r="B15891" s="117" t="s">
        <v>24782</v>
      </c>
      <c r="C15891" t="s">
        <v>67</v>
      </c>
      <c r="D15891" t="s">
        <v>67</v>
      </c>
      <c r="E15891" t="s">
        <v>67</v>
      </c>
      <c r="F15891" t="s">
        <v>45</v>
      </c>
      <c r="G15891" s="117">
        <v>63.08</v>
      </c>
    </row>
    <row r="15892" spans="1:7" x14ac:dyDescent="0.25">
      <c r="A15892" s="116" t="s">
        <v>24783</v>
      </c>
      <c r="B15892" s="117" t="s">
        <v>24784</v>
      </c>
      <c r="C15892" t="s">
        <v>67</v>
      </c>
      <c r="D15892" t="s">
        <v>67</v>
      </c>
      <c r="E15892" t="s">
        <v>67</v>
      </c>
      <c r="F15892" t="s">
        <v>27987</v>
      </c>
      <c r="G15892" s="117">
        <v>84.98</v>
      </c>
    </row>
    <row r="15893" spans="1:7" x14ac:dyDescent="0.25">
      <c r="A15893" s="116" t="s">
        <v>24785</v>
      </c>
      <c r="B15893" s="117" t="s">
        <v>24786</v>
      </c>
      <c r="C15893" t="s">
        <v>67</v>
      </c>
      <c r="D15893" t="s">
        <v>67</v>
      </c>
      <c r="E15893" t="s">
        <v>67</v>
      </c>
      <c r="F15893" t="s">
        <v>27987</v>
      </c>
      <c r="G15893" s="117">
        <v>63.08</v>
      </c>
    </row>
    <row r="15894" spans="1:7" x14ac:dyDescent="0.25">
      <c r="A15894" s="116" t="s">
        <v>24787</v>
      </c>
      <c r="B15894" s="117" t="s">
        <v>24788</v>
      </c>
      <c r="C15894" t="s">
        <v>67</v>
      </c>
      <c r="D15894" t="s">
        <v>67</v>
      </c>
      <c r="E15894" t="s">
        <v>67</v>
      </c>
      <c r="F15894" t="s">
        <v>45</v>
      </c>
      <c r="G15894" s="117">
        <v>782.07</v>
      </c>
    </row>
    <row r="15895" spans="1:7" x14ac:dyDescent="0.25">
      <c r="A15895" s="116" t="s">
        <v>24789</v>
      </c>
      <c r="B15895" s="117" t="s">
        <v>24790</v>
      </c>
      <c r="C15895" t="s">
        <v>67</v>
      </c>
      <c r="D15895" t="s">
        <v>67</v>
      </c>
      <c r="E15895" t="s">
        <v>67</v>
      </c>
      <c r="F15895" t="s">
        <v>45</v>
      </c>
      <c r="G15895" s="117">
        <v>8.4499999999999993</v>
      </c>
    </row>
    <row r="15896" spans="1:7" x14ac:dyDescent="0.25">
      <c r="A15896" s="116" t="s">
        <v>24791</v>
      </c>
      <c r="B15896" s="117" t="s">
        <v>24792</v>
      </c>
      <c r="C15896" t="s">
        <v>67</v>
      </c>
      <c r="D15896" t="s">
        <v>67</v>
      </c>
      <c r="E15896" t="s">
        <v>67</v>
      </c>
      <c r="F15896" t="s">
        <v>45</v>
      </c>
      <c r="G15896" s="117">
        <v>2.58</v>
      </c>
    </row>
    <row r="15897" spans="1:7" x14ac:dyDescent="0.25">
      <c r="A15897" s="116" t="s">
        <v>24793</v>
      </c>
      <c r="B15897" s="117" t="s">
        <v>24790</v>
      </c>
      <c r="C15897" t="s">
        <v>67</v>
      </c>
      <c r="D15897" t="s">
        <v>67</v>
      </c>
      <c r="E15897" t="s">
        <v>67</v>
      </c>
      <c r="F15897" t="s">
        <v>45</v>
      </c>
      <c r="G15897" s="117">
        <v>4.8899999999999997</v>
      </c>
    </row>
    <row r="15898" spans="1:7" x14ac:dyDescent="0.25">
      <c r="A15898" s="116" t="s">
        <v>24794</v>
      </c>
      <c r="B15898" s="117" t="s">
        <v>24795</v>
      </c>
      <c r="C15898" t="s">
        <v>67</v>
      </c>
      <c r="D15898" t="s">
        <v>67</v>
      </c>
      <c r="E15898" t="s">
        <v>67</v>
      </c>
      <c r="F15898" t="s">
        <v>45</v>
      </c>
      <c r="G15898" s="117">
        <v>64.87</v>
      </c>
    </row>
    <row r="15899" spans="1:7" x14ac:dyDescent="0.25">
      <c r="A15899" s="116" t="s">
        <v>24796</v>
      </c>
      <c r="B15899" s="117" t="s">
        <v>24790</v>
      </c>
      <c r="C15899" t="s">
        <v>67</v>
      </c>
      <c r="D15899" t="s">
        <v>67</v>
      </c>
      <c r="E15899" t="s">
        <v>67</v>
      </c>
      <c r="F15899" t="s">
        <v>45</v>
      </c>
      <c r="G15899" s="117">
        <v>9.6999999999999993</v>
      </c>
    </row>
    <row r="15900" spans="1:7" x14ac:dyDescent="0.25">
      <c r="A15900" s="116" t="s">
        <v>24797</v>
      </c>
      <c r="B15900" s="117" t="s">
        <v>24798</v>
      </c>
      <c r="C15900" t="s">
        <v>67</v>
      </c>
      <c r="D15900" t="s">
        <v>67</v>
      </c>
      <c r="E15900" t="s">
        <v>67</v>
      </c>
      <c r="F15900" t="s">
        <v>45</v>
      </c>
      <c r="G15900" s="117">
        <v>31.94</v>
      </c>
    </row>
    <row r="15901" spans="1:7" x14ac:dyDescent="0.25">
      <c r="A15901" s="116" t="s">
        <v>24799</v>
      </c>
      <c r="B15901" s="117" t="s">
        <v>24800</v>
      </c>
      <c r="C15901" t="s">
        <v>67</v>
      </c>
      <c r="D15901" t="s">
        <v>67</v>
      </c>
      <c r="E15901" t="s">
        <v>67</v>
      </c>
      <c r="F15901" t="s">
        <v>45</v>
      </c>
      <c r="G15901" s="117">
        <v>56.86</v>
      </c>
    </row>
    <row r="15902" spans="1:7" x14ac:dyDescent="0.25">
      <c r="A15902" s="116" t="s">
        <v>24801</v>
      </c>
      <c r="B15902" s="117" t="s">
        <v>24802</v>
      </c>
      <c r="C15902" t="s">
        <v>67</v>
      </c>
      <c r="D15902" t="s">
        <v>67</v>
      </c>
      <c r="E15902" t="s">
        <v>67</v>
      </c>
      <c r="F15902" t="s">
        <v>45</v>
      </c>
      <c r="G15902" s="117">
        <v>34.26</v>
      </c>
    </row>
    <row r="15903" spans="1:7" x14ac:dyDescent="0.25">
      <c r="A15903" s="116" t="s">
        <v>24803</v>
      </c>
      <c r="B15903" s="117" t="s">
        <v>24804</v>
      </c>
      <c r="C15903" t="s">
        <v>67</v>
      </c>
      <c r="D15903" t="s">
        <v>67</v>
      </c>
      <c r="E15903" t="s">
        <v>67</v>
      </c>
      <c r="F15903" t="s">
        <v>45</v>
      </c>
      <c r="G15903" s="117">
        <v>139.26</v>
      </c>
    </row>
    <row r="15904" spans="1:7" x14ac:dyDescent="0.25">
      <c r="A15904" s="116" t="s">
        <v>24805</v>
      </c>
      <c r="B15904" s="117" t="s">
        <v>24806</v>
      </c>
      <c r="C15904" t="s">
        <v>67</v>
      </c>
      <c r="D15904" t="s">
        <v>67</v>
      </c>
      <c r="E15904" t="s">
        <v>67</v>
      </c>
      <c r="F15904" t="s">
        <v>45</v>
      </c>
      <c r="G15904" s="117">
        <v>12.01</v>
      </c>
    </row>
    <row r="15905" spans="1:7" x14ac:dyDescent="0.25">
      <c r="A15905" s="116" t="s">
        <v>24807</v>
      </c>
      <c r="B15905" s="117" t="s">
        <v>24808</v>
      </c>
      <c r="C15905" t="s">
        <v>67</v>
      </c>
      <c r="D15905" t="s">
        <v>67</v>
      </c>
      <c r="E15905" t="s">
        <v>67</v>
      </c>
      <c r="F15905" t="s">
        <v>45</v>
      </c>
      <c r="G15905" s="117">
        <v>56.86</v>
      </c>
    </row>
    <row r="15906" spans="1:7" x14ac:dyDescent="0.25">
      <c r="A15906" s="116" t="s">
        <v>24809</v>
      </c>
      <c r="B15906" s="117" t="s">
        <v>24810</v>
      </c>
      <c r="C15906" t="s">
        <v>67</v>
      </c>
      <c r="D15906" t="s">
        <v>67</v>
      </c>
      <c r="E15906" t="s">
        <v>67</v>
      </c>
      <c r="F15906" t="s">
        <v>45</v>
      </c>
      <c r="G15906" s="117">
        <v>35.5</v>
      </c>
    </row>
    <row r="15907" spans="1:7" x14ac:dyDescent="0.25">
      <c r="A15907" s="116" t="s">
        <v>24811</v>
      </c>
      <c r="B15907" s="117" t="s">
        <v>24812</v>
      </c>
      <c r="C15907" t="s">
        <v>67</v>
      </c>
      <c r="D15907" t="s">
        <v>67</v>
      </c>
      <c r="E15907" t="s">
        <v>67</v>
      </c>
      <c r="F15907" t="s">
        <v>45</v>
      </c>
      <c r="G15907" s="117">
        <v>164.18</v>
      </c>
    </row>
    <row r="15908" spans="1:7" x14ac:dyDescent="0.25">
      <c r="A15908" s="116" t="s">
        <v>24813</v>
      </c>
      <c r="B15908" s="117" t="s">
        <v>24790</v>
      </c>
      <c r="C15908" t="s">
        <v>67</v>
      </c>
      <c r="D15908" t="s">
        <v>67</v>
      </c>
      <c r="E15908" t="s">
        <v>67</v>
      </c>
      <c r="F15908" t="s">
        <v>45</v>
      </c>
      <c r="G15908" s="117">
        <v>12.01</v>
      </c>
    </row>
    <row r="15909" spans="1:7" x14ac:dyDescent="0.25">
      <c r="A15909" s="116" t="s">
        <v>24814</v>
      </c>
      <c r="B15909" s="117" t="s">
        <v>24815</v>
      </c>
      <c r="C15909" t="s">
        <v>67</v>
      </c>
      <c r="D15909" t="s">
        <v>67</v>
      </c>
      <c r="E15909" t="s">
        <v>67</v>
      </c>
      <c r="F15909" t="s">
        <v>45</v>
      </c>
      <c r="G15909" s="117">
        <v>10.58</v>
      </c>
    </row>
    <row r="15910" spans="1:7" x14ac:dyDescent="0.25">
      <c r="A15910" s="116" t="s">
        <v>24816</v>
      </c>
      <c r="B15910" s="117" t="s">
        <v>24817</v>
      </c>
      <c r="C15910" t="s">
        <v>67</v>
      </c>
      <c r="D15910" t="s">
        <v>67</v>
      </c>
      <c r="E15910" t="s">
        <v>67</v>
      </c>
      <c r="F15910" t="s">
        <v>45</v>
      </c>
      <c r="G15910" s="117">
        <v>77.86</v>
      </c>
    </row>
    <row r="15911" spans="1:7" x14ac:dyDescent="0.25">
      <c r="A15911" s="116" t="s">
        <v>24818</v>
      </c>
      <c r="B15911" s="117" t="s">
        <v>24819</v>
      </c>
      <c r="C15911" t="s">
        <v>67</v>
      </c>
      <c r="D15911" t="s">
        <v>67</v>
      </c>
      <c r="E15911" t="s">
        <v>67</v>
      </c>
      <c r="F15911" t="s">
        <v>45</v>
      </c>
      <c r="G15911" s="117">
        <v>77.86</v>
      </c>
    </row>
    <row r="15912" spans="1:7" x14ac:dyDescent="0.25">
      <c r="A15912" s="116" t="s">
        <v>24820</v>
      </c>
      <c r="B15912" s="117" t="s">
        <v>24821</v>
      </c>
      <c r="C15912" t="s">
        <v>67</v>
      </c>
      <c r="D15912" t="s">
        <v>67</v>
      </c>
      <c r="E15912" t="s">
        <v>67</v>
      </c>
      <c r="F15912" t="s">
        <v>45</v>
      </c>
      <c r="G15912" s="117">
        <v>79.11</v>
      </c>
    </row>
    <row r="15913" spans="1:7" x14ac:dyDescent="0.25">
      <c r="A15913" s="116" t="s">
        <v>24822</v>
      </c>
      <c r="B15913" s="117" t="s">
        <v>24823</v>
      </c>
      <c r="C15913" t="s">
        <v>67</v>
      </c>
      <c r="D15913" t="s">
        <v>67</v>
      </c>
      <c r="E15913" t="s">
        <v>67</v>
      </c>
      <c r="F15913" t="s">
        <v>45</v>
      </c>
      <c r="G15913" s="117">
        <v>4.8899999999999997</v>
      </c>
    </row>
    <row r="15914" spans="1:7" x14ac:dyDescent="0.25">
      <c r="A15914" s="116" t="s">
        <v>24824</v>
      </c>
      <c r="B15914" s="117" t="s">
        <v>24825</v>
      </c>
      <c r="C15914" t="s">
        <v>67</v>
      </c>
      <c r="D15914" t="s">
        <v>67</v>
      </c>
      <c r="E15914" t="s">
        <v>67</v>
      </c>
      <c r="F15914" t="s">
        <v>45</v>
      </c>
      <c r="G15914" s="117">
        <v>790.98</v>
      </c>
    </row>
    <row r="15915" spans="1:7" x14ac:dyDescent="0.25">
      <c r="A15915" s="116" t="s">
        <v>24826</v>
      </c>
      <c r="B15915" s="117" t="s">
        <v>29677</v>
      </c>
      <c r="C15915" t="s">
        <v>67</v>
      </c>
      <c r="D15915" t="s">
        <v>67</v>
      </c>
      <c r="E15915" t="s">
        <v>67</v>
      </c>
      <c r="F15915" t="s">
        <v>27987</v>
      </c>
      <c r="G15915" s="117">
        <v>423.8</v>
      </c>
    </row>
    <row r="15916" spans="1:7" x14ac:dyDescent="0.25">
      <c r="A15916" s="116" t="s">
        <v>24827</v>
      </c>
      <c r="B15916" s="117" t="s">
        <v>24828</v>
      </c>
      <c r="C15916" t="s">
        <v>67</v>
      </c>
      <c r="D15916" t="s">
        <v>67</v>
      </c>
      <c r="E15916" t="s">
        <v>67</v>
      </c>
      <c r="F15916" t="s">
        <v>27987</v>
      </c>
      <c r="G15916" s="117">
        <v>13.15</v>
      </c>
    </row>
    <row r="15917" spans="1:7" x14ac:dyDescent="0.25">
      <c r="A15917" s="116" t="s">
        <v>24829</v>
      </c>
      <c r="B15917" s="117" t="s">
        <v>24830</v>
      </c>
      <c r="C15917" t="s">
        <v>67</v>
      </c>
      <c r="D15917" t="s">
        <v>67</v>
      </c>
      <c r="E15917" t="s">
        <v>67</v>
      </c>
      <c r="F15917" t="s">
        <v>27987</v>
      </c>
      <c r="G15917" s="117">
        <v>79.98</v>
      </c>
    </row>
    <row r="15918" spans="1:7" x14ac:dyDescent="0.25">
      <c r="A15918" s="116" t="s">
        <v>24831</v>
      </c>
      <c r="B15918" s="117" t="s">
        <v>24832</v>
      </c>
      <c r="C15918" t="s">
        <v>67</v>
      </c>
      <c r="D15918" t="s">
        <v>67</v>
      </c>
      <c r="E15918" t="s">
        <v>67</v>
      </c>
      <c r="F15918" t="s">
        <v>27987</v>
      </c>
      <c r="G15918" s="117">
        <v>64.66</v>
      </c>
    </row>
    <row r="15919" spans="1:7" x14ac:dyDescent="0.25">
      <c r="A15919" s="116" t="s">
        <v>24833</v>
      </c>
      <c r="B15919" s="117" t="s">
        <v>29678</v>
      </c>
      <c r="C15919" t="s">
        <v>67</v>
      </c>
      <c r="D15919" t="s">
        <v>67</v>
      </c>
      <c r="E15919" t="s">
        <v>67</v>
      </c>
      <c r="F15919" t="s">
        <v>45</v>
      </c>
      <c r="G15919" s="117">
        <v>4</v>
      </c>
    </row>
    <row r="15920" spans="1:7" x14ac:dyDescent="0.25">
      <c r="A15920" s="116" t="s">
        <v>24834</v>
      </c>
      <c r="B15920" s="117" t="s">
        <v>24835</v>
      </c>
      <c r="C15920" t="s">
        <v>67</v>
      </c>
      <c r="D15920" t="s">
        <v>67</v>
      </c>
      <c r="E15920" t="s">
        <v>67</v>
      </c>
      <c r="F15920" t="s">
        <v>45</v>
      </c>
      <c r="G15920" s="117">
        <v>4.3600000000000003</v>
      </c>
    </row>
    <row r="15921" spans="1:7" x14ac:dyDescent="0.25">
      <c r="A15921" s="116" t="s">
        <v>24836</v>
      </c>
      <c r="B15921" s="117" t="s">
        <v>24837</v>
      </c>
      <c r="C15921" t="s">
        <v>67</v>
      </c>
      <c r="D15921" t="s">
        <v>67</v>
      </c>
      <c r="E15921" t="s">
        <v>67</v>
      </c>
      <c r="F15921" t="s">
        <v>45</v>
      </c>
      <c r="G15921" s="117">
        <v>282.88</v>
      </c>
    </row>
    <row r="15922" spans="1:7" x14ac:dyDescent="0.25">
      <c r="A15922" s="116" t="s">
        <v>24838</v>
      </c>
      <c r="B15922" s="117" t="s">
        <v>24839</v>
      </c>
      <c r="C15922" t="s">
        <v>67</v>
      </c>
      <c r="D15922" t="s">
        <v>67</v>
      </c>
      <c r="E15922" t="s">
        <v>67</v>
      </c>
      <c r="F15922" t="s">
        <v>45</v>
      </c>
      <c r="G15922" s="117">
        <v>61.31</v>
      </c>
    </row>
    <row r="15923" spans="1:7" x14ac:dyDescent="0.25">
      <c r="A15923" s="116" t="s">
        <v>24840</v>
      </c>
      <c r="B15923" s="117" t="s">
        <v>24841</v>
      </c>
      <c r="C15923" t="s">
        <v>67</v>
      </c>
      <c r="D15923" t="s">
        <v>67</v>
      </c>
      <c r="E15923" t="s">
        <v>67</v>
      </c>
      <c r="F15923" t="s">
        <v>27987</v>
      </c>
      <c r="G15923" s="117">
        <v>201.4</v>
      </c>
    </row>
    <row r="15924" spans="1:7" x14ac:dyDescent="0.25">
      <c r="A15924" s="116" t="s">
        <v>24842</v>
      </c>
      <c r="B15924" s="117" t="s">
        <v>24843</v>
      </c>
      <c r="C15924" t="s">
        <v>67</v>
      </c>
      <c r="D15924" t="s">
        <v>67</v>
      </c>
      <c r="E15924" t="s">
        <v>67</v>
      </c>
      <c r="F15924" t="s">
        <v>45</v>
      </c>
      <c r="G15924" s="117">
        <v>12.01</v>
      </c>
    </row>
    <row r="15925" spans="1:7" x14ac:dyDescent="0.25">
      <c r="A15925" s="116" t="s">
        <v>24844</v>
      </c>
      <c r="B15925" s="117" t="s">
        <v>24845</v>
      </c>
      <c r="C15925" t="s">
        <v>67</v>
      </c>
      <c r="D15925" t="s">
        <v>67</v>
      </c>
      <c r="E15925" t="s">
        <v>67</v>
      </c>
      <c r="F15925" t="s">
        <v>45</v>
      </c>
      <c r="G15925" s="117">
        <v>49.74</v>
      </c>
    </row>
    <row r="15926" spans="1:7" x14ac:dyDescent="0.25">
      <c r="A15926" s="116" t="s">
        <v>24846</v>
      </c>
      <c r="B15926" s="117" t="s">
        <v>24847</v>
      </c>
      <c r="C15926" t="s">
        <v>67</v>
      </c>
      <c r="D15926" t="s">
        <v>67</v>
      </c>
      <c r="E15926" t="s">
        <v>67</v>
      </c>
      <c r="F15926" t="s">
        <v>45</v>
      </c>
      <c r="G15926" s="117">
        <v>538.79999999999995</v>
      </c>
    </row>
    <row r="15927" spans="1:7" x14ac:dyDescent="0.25">
      <c r="A15927" s="116" t="s">
        <v>24848</v>
      </c>
      <c r="B15927" s="117" t="s">
        <v>24849</v>
      </c>
      <c r="C15927" t="s">
        <v>67</v>
      </c>
      <c r="D15927" t="s">
        <v>67</v>
      </c>
      <c r="E15927" t="s">
        <v>67</v>
      </c>
      <c r="F15927" t="s">
        <v>45</v>
      </c>
      <c r="G15927" s="117">
        <v>413.68</v>
      </c>
    </row>
    <row r="15928" spans="1:7" x14ac:dyDescent="0.25">
      <c r="A15928" s="116" t="s">
        <v>24850</v>
      </c>
      <c r="B15928" s="117" t="s">
        <v>24851</v>
      </c>
      <c r="C15928" t="s">
        <v>67</v>
      </c>
      <c r="D15928" t="s">
        <v>67</v>
      </c>
      <c r="E15928" t="s">
        <v>67</v>
      </c>
      <c r="F15928" t="s">
        <v>45</v>
      </c>
      <c r="G15928" s="117">
        <v>538.79999999999995</v>
      </c>
    </row>
    <row r="15929" spans="1:7" x14ac:dyDescent="0.25">
      <c r="A15929" s="116" t="s">
        <v>24852</v>
      </c>
      <c r="B15929" s="117" t="s">
        <v>29679</v>
      </c>
      <c r="C15929" t="s">
        <v>67</v>
      </c>
      <c r="D15929" t="s">
        <v>67</v>
      </c>
      <c r="E15929" t="s">
        <v>67</v>
      </c>
      <c r="F15929" t="s">
        <v>45</v>
      </c>
      <c r="G15929" s="117">
        <v>413.68</v>
      </c>
    </row>
    <row r="15930" spans="1:7" x14ac:dyDescent="0.25">
      <c r="A15930" s="116" t="s">
        <v>24853</v>
      </c>
      <c r="B15930" s="117" t="s">
        <v>24854</v>
      </c>
      <c r="C15930" t="s">
        <v>67</v>
      </c>
      <c r="D15930" t="s">
        <v>67</v>
      </c>
      <c r="E15930" t="s">
        <v>67</v>
      </c>
      <c r="F15930" t="s">
        <v>45</v>
      </c>
      <c r="G15930" s="117">
        <v>21.26</v>
      </c>
    </row>
    <row r="15931" spans="1:7" x14ac:dyDescent="0.25">
      <c r="A15931" s="116" t="s">
        <v>24855</v>
      </c>
      <c r="B15931" s="117" t="s">
        <v>24856</v>
      </c>
      <c r="C15931" t="s">
        <v>67</v>
      </c>
      <c r="D15931" t="s">
        <v>67</v>
      </c>
      <c r="E15931" t="s">
        <v>67</v>
      </c>
      <c r="F15931" t="s">
        <v>45</v>
      </c>
      <c r="G15931" s="117">
        <v>185.88</v>
      </c>
    </row>
    <row r="15932" spans="1:7" x14ac:dyDescent="0.25">
      <c r="A15932" s="116" t="s">
        <v>24857</v>
      </c>
      <c r="B15932" s="117" t="s">
        <v>24858</v>
      </c>
      <c r="C15932" t="s">
        <v>67</v>
      </c>
      <c r="D15932" t="s">
        <v>67</v>
      </c>
      <c r="E15932" t="s">
        <v>67</v>
      </c>
      <c r="F15932" t="s">
        <v>45</v>
      </c>
      <c r="G15932" s="117">
        <v>6.14</v>
      </c>
    </row>
    <row r="15933" spans="1:7" x14ac:dyDescent="0.25">
      <c r="A15933" s="116" t="s">
        <v>24859</v>
      </c>
      <c r="B15933" s="117" t="s">
        <v>24860</v>
      </c>
      <c r="C15933" t="s">
        <v>67</v>
      </c>
      <c r="D15933" t="s">
        <v>67</v>
      </c>
      <c r="E15933" t="s">
        <v>67</v>
      </c>
      <c r="F15933" t="s">
        <v>27987</v>
      </c>
      <c r="G15933" s="117">
        <v>294.32</v>
      </c>
    </row>
    <row r="15934" spans="1:7" x14ac:dyDescent="0.25">
      <c r="A15934" s="116" t="s">
        <v>24861</v>
      </c>
      <c r="B15934" s="117" t="s">
        <v>24862</v>
      </c>
      <c r="C15934" t="s">
        <v>67</v>
      </c>
      <c r="D15934" t="s">
        <v>67</v>
      </c>
      <c r="E15934" t="s">
        <v>67</v>
      </c>
      <c r="F15934" t="s">
        <v>27987</v>
      </c>
      <c r="G15934" s="117">
        <v>72.83</v>
      </c>
    </row>
    <row r="15935" spans="1:7" x14ac:dyDescent="0.25">
      <c r="A15935" s="116" t="s">
        <v>24863</v>
      </c>
      <c r="B15935" s="117" t="s">
        <v>24864</v>
      </c>
      <c r="C15935" t="s">
        <v>67</v>
      </c>
      <c r="D15935" t="s">
        <v>67</v>
      </c>
      <c r="E15935" t="s">
        <v>67</v>
      </c>
      <c r="F15935" t="s">
        <v>45</v>
      </c>
      <c r="G15935" s="117">
        <v>147.62</v>
      </c>
    </row>
    <row r="15936" spans="1:7" x14ac:dyDescent="0.25">
      <c r="A15936" s="116" t="s">
        <v>24865</v>
      </c>
      <c r="B15936" s="117" t="s">
        <v>24866</v>
      </c>
      <c r="C15936" t="s">
        <v>67</v>
      </c>
      <c r="D15936" t="s">
        <v>67</v>
      </c>
      <c r="E15936" t="s">
        <v>67</v>
      </c>
      <c r="F15936" t="s">
        <v>45</v>
      </c>
      <c r="G15936" s="117">
        <v>61.31</v>
      </c>
    </row>
    <row r="15937" spans="1:7" x14ac:dyDescent="0.25">
      <c r="A15937" s="116" t="s">
        <v>24867</v>
      </c>
      <c r="B15937" s="117" t="s">
        <v>24868</v>
      </c>
      <c r="C15937" t="s">
        <v>67</v>
      </c>
      <c r="D15937" t="s">
        <v>67</v>
      </c>
      <c r="E15937" t="s">
        <v>67</v>
      </c>
      <c r="F15937" t="s">
        <v>45</v>
      </c>
      <c r="G15937" s="117">
        <v>120.57</v>
      </c>
    </row>
    <row r="15938" spans="1:7" x14ac:dyDescent="0.25">
      <c r="A15938" s="116" t="s">
        <v>24869</v>
      </c>
      <c r="B15938" s="117" t="s">
        <v>24870</v>
      </c>
      <c r="C15938" t="s">
        <v>67</v>
      </c>
      <c r="D15938" t="s">
        <v>67</v>
      </c>
      <c r="E15938" t="s">
        <v>67</v>
      </c>
      <c r="F15938" t="s">
        <v>45</v>
      </c>
      <c r="G15938" s="117">
        <v>312.77</v>
      </c>
    </row>
    <row r="15939" spans="1:7" x14ac:dyDescent="0.25">
      <c r="A15939" s="116" t="s">
        <v>24871</v>
      </c>
      <c r="B15939" s="117" t="s">
        <v>24872</v>
      </c>
      <c r="C15939" t="s">
        <v>67</v>
      </c>
      <c r="D15939" t="s">
        <v>67</v>
      </c>
      <c r="E15939" t="s">
        <v>67</v>
      </c>
      <c r="F15939" t="s">
        <v>45</v>
      </c>
      <c r="G15939" s="117">
        <v>120.57</v>
      </c>
    </row>
    <row r="15940" spans="1:7" x14ac:dyDescent="0.25">
      <c r="A15940" s="116" t="s">
        <v>24873</v>
      </c>
      <c r="B15940" s="117" t="s">
        <v>24874</v>
      </c>
      <c r="C15940" t="s">
        <v>67</v>
      </c>
      <c r="D15940" t="s">
        <v>67</v>
      </c>
      <c r="E15940" t="s">
        <v>67</v>
      </c>
      <c r="F15940" t="s">
        <v>45</v>
      </c>
      <c r="G15940" s="117">
        <v>348.73</v>
      </c>
    </row>
    <row r="15941" spans="1:7" x14ac:dyDescent="0.25">
      <c r="A15941" s="116" t="s">
        <v>24875</v>
      </c>
      <c r="B15941" s="117" t="s">
        <v>24876</v>
      </c>
      <c r="C15941" t="s">
        <v>67</v>
      </c>
      <c r="D15941" t="s">
        <v>67</v>
      </c>
      <c r="E15941" t="s">
        <v>67</v>
      </c>
      <c r="F15941" t="s">
        <v>45</v>
      </c>
      <c r="G15941" s="117">
        <v>42.62</v>
      </c>
    </row>
    <row r="15942" spans="1:7" x14ac:dyDescent="0.25">
      <c r="A15942" s="116" t="s">
        <v>24877</v>
      </c>
      <c r="B15942" s="117" t="s">
        <v>24878</v>
      </c>
      <c r="C15942" t="s">
        <v>67</v>
      </c>
      <c r="D15942" t="s">
        <v>67</v>
      </c>
      <c r="E15942" t="s">
        <v>67</v>
      </c>
      <c r="F15942" t="s">
        <v>27987</v>
      </c>
      <c r="G15942" s="117">
        <v>36.93</v>
      </c>
    </row>
    <row r="15943" spans="1:7" x14ac:dyDescent="0.25">
      <c r="A15943" s="116" t="s">
        <v>24879</v>
      </c>
      <c r="B15943" s="117" t="s">
        <v>24880</v>
      </c>
      <c r="C15943" t="s">
        <v>67</v>
      </c>
      <c r="D15943" t="s">
        <v>67</v>
      </c>
      <c r="E15943" t="s">
        <v>67</v>
      </c>
      <c r="F15943" t="s">
        <v>49</v>
      </c>
      <c r="G15943" s="117">
        <v>1.77</v>
      </c>
    </row>
    <row r="15944" spans="1:7" x14ac:dyDescent="0.25">
      <c r="A15944" s="116" t="s">
        <v>24881</v>
      </c>
      <c r="B15944" s="117" t="s">
        <v>24882</v>
      </c>
      <c r="C15944" t="s">
        <v>67</v>
      </c>
      <c r="D15944" t="s">
        <v>67</v>
      </c>
      <c r="E15944" t="s">
        <v>67</v>
      </c>
      <c r="F15944" t="s">
        <v>27987</v>
      </c>
      <c r="G15944" s="117">
        <v>6.14</v>
      </c>
    </row>
    <row r="15945" spans="1:7" x14ac:dyDescent="0.25">
      <c r="A15945" s="116" t="s">
        <v>24883</v>
      </c>
      <c r="B15945" s="117" t="s">
        <v>24884</v>
      </c>
      <c r="C15945" t="s">
        <v>67</v>
      </c>
      <c r="D15945" t="s">
        <v>67</v>
      </c>
      <c r="E15945" t="s">
        <v>67</v>
      </c>
      <c r="F15945" t="s">
        <v>27987</v>
      </c>
      <c r="G15945" s="117">
        <v>2.58</v>
      </c>
    </row>
    <row r="15946" spans="1:7" x14ac:dyDescent="0.25">
      <c r="A15946" s="116" t="s">
        <v>24885</v>
      </c>
      <c r="B15946" s="117" t="s">
        <v>24886</v>
      </c>
      <c r="C15946" t="s">
        <v>67</v>
      </c>
      <c r="D15946" t="s">
        <v>67</v>
      </c>
      <c r="E15946" t="s">
        <v>67</v>
      </c>
      <c r="F15946" t="s">
        <v>49</v>
      </c>
      <c r="G15946" s="117">
        <v>0.89</v>
      </c>
    </row>
    <row r="15947" spans="1:7" x14ac:dyDescent="0.25">
      <c r="A15947" s="116" t="s">
        <v>24887</v>
      </c>
      <c r="B15947" s="117" t="s">
        <v>24888</v>
      </c>
      <c r="C15947" t="s">
        <v>67</v>
      </c>
      <c r="D15947" t="s">
        <v>67</v>
      </c>
      <c r="E15947" t="s">
        <v>67</v>
      </c>
      <c r="F15947" t="s">
        <v>27987</v>
      </c>
      <c r="G15947" s="117">
        <v>5.79</v>
      </c>
    </row>
    <row r="15948" spans="1:7" x14ac:dyDescent="0.25">
      <c r="A15948" s="116" t="s">
        <v>24889</v>
      </c>
      <c r="B15948" s="117" t="s">
        <v>24890</v>
      </c>
      <c r="C15948" t="s">
        <v>67</v>
      </c>
      <c r="D15948" t="s">
        <v>67</v>
      </c>
      <c r="E15948" t="s">
        <v>67</v>
      </c>
      <c r="F15948" t="s">
        <v>27987</v>
      </c>
      <c r="G15948" s="117">
        <v>14.14</v>
      </c>
    </row>
    <row r="15949" spans="1:7" x14ac:dyDescent="0.25">
      <c r="A15949" s="116" t="s">
        <v>24891</v>
      </c>
      <c r="B15949" s="117" t="s">
        <v>24892</v>
      </c>
      <c r="C15949" t="s">
        <v>67</v>
      </c>
      <c r="D15949" t="s">
        <v>67</v>
      </c>
      <c r="E15949" t="s">
        <v>67</v>
      </c>
      <c r="F15949" t="s">
        <v>49</v>
      </c>
      <c r="G15949" s="117">
        <v>3.12</v>
      </c>
    </row>
    <row r="15950" spans="1:7" x14ac:dyDescent="0.25">
      <c r="A15950" s="116" t="s">
        <v>24893</v>
      </c>
      <c r="B15950" s="117" t="s">
        <v>24894</v>
      </c>
      <c r="C15950" t="s">
        <v>67</v>
      </c>
      <c r="D15950" t="s">
        <v>67</v>
      </c>
      <c r="E15950" t="s">
        <v>67</v>
      </c>
      <c r="F15950" t="s">
        <v>27987</v>
      </c>
      <c r="G15950" s="117">
        <v>147.62</v>
      </c>
    </row>
    <row r="15951" spans="1:7" x14ac:dyDescent="0.25">
      <c r="A15951" s="116" t="s">
        <v>24895</v>
      </c>
      <c r="B15951" s="117" t="s">
        <v>24896</v>
      </c>
      <c r="C15951" t="s">
        <v>67</v>
      </c>
      <c r="D15951" t="s">
        <v>67</v>
      </c>
      <c r="E15951" t="s">
        <v>67</v>
      </c>
      <c r="F15951" t="s">
        <v>27987</v>
      </c>
      <c r="G15951" s="117">
        <v>35.5</v>
      </c>
    </row>
    <row r="15952" spans="1:7" x14ac:dyDescent="0.25">
      <c r="A15952" s="116" t="s">
        <v>24897</v>
      </c>
      <c r="B15952" s="117" t="s">
        <v>24898</v>
      </c>
      <c r="C15952" t="s">
        <v>67</v>
      </c>
      <c r="D15952" t="s">
        <v>67</v>
      </c>
      <c r="E15952" t="s">
        <v>67</v>
      </c>
      <c r="F15952" t="s">
        <v>45</v>
      </c>
      <c r="G15952" s="117">
        <v>7.12</v>
      </c>
    </row>
    <row r="15953" spans="1:7" x14ac:dyDescent="0.25">
      <c r="A15953" s="116" t="s">
        <v>24899</v>
      </c>
      <c r="B15953" s="117" t="s">
        <v>24900</v>
      </c>
      <c r="C15953" t="s">
        <v>67</v>
      </c>
      <c r="D15953" t="s">
        <v>67</v>
      </c>
      <c r="E15953" t="s">
        <v>67</v>
      </c>
      <c r="F15953" t="s">
        <v>45</v>
      </c>
      <c r="G15953" s="117">
        <v>7.12</v>
      </c>
    </row>
    <row r="15954" spans="1:7" x14ac:dyDescent="0.25">
      <c r="A15954" s="116" t="s">
        <v>24901</v>
      </c>
      <c r="B15954" s="117" t="s">
        <v>24902</v>
      </c>
      <c r="C15954" t="s">
        <v>67</v>
      </c>
      <c r="D15954" t="s">
        <v>67</v>
      </c>
      <c r="E15954" t="s">
        <v>67</v>
      </c>
      <c r="F15954" t="s">
        <v>45</v>
      </c>
      <c r="G15954" s="117">
        <v>8.4499999999999993</v>
      </c>
    </row>
    <row r="15955" spans="1:7" x14ac:dyDescent="0.25">
      <c r="A15955" s="116" t="s">
        <v>24903</v>
      </c>
      <c r="B15955" s="117" t="s">
        <v>24904</v>
      </c>
      <c r="C15955" t="s">
        <v>67</v>
      </c>
      <c r="D15955" t="s">
        <v>67</v>
      </c>
      <c r="E15955" t="s">
        <v>67</v>
      </c>
      <c r="F15955" t="s">
        <v>45</v>
      </c>
      <c r="G15955" s="117">
        <v>76.98</v>
      </c>
    </row>
    <row r="15956" spans="1:7" x14ac:dyDescent="0.25">
      <c r="A15956" s="116" t="s">
        <v>24905</v>
      </c>
      <c r="B15956" s="117" t="s">
        <v>24906</v>
      </c>
      <c r="C15956" t="s">
        <v>67</v>
      </c>
      <c r="D15956" t="s">
        <v>67</v>
      </c>
      <c r="E15956" t="s">
        <v>67</v>
      </c>
      <c r="F15956" t="s">
        <v>45</v>
      </c>
      <c r="G15956" s="117">
        <v>0.89</v>
      </c>
    </row>
    <row r="15957" spans="1:7" x14ac:dyDescent="0.25">
      <c r="A15957" s="116" t="s">
        <v>24907</v>
      </c>
      <c r="B15957" s="117" t="s">
        <v>24908</v>
      </c>
      <c r="C15957" t="s">
        <v>67</v>
      </c>
      <c r="D15957" t="s">
        <v>67</v>
      </c>
      <c r="E15957" t="s">
        <v>67</v>
      </c>
      <c r="F15957" t="s">
        <v>45</v>
      </c>
      <c r="G15957" s="117">
        <v>64.87</v>
      </c>
    </row>
    <row r="15958" spans="1:7" x14ac:dyDescent="0.25">
      <c r="A15958" s="116" t="s">
        <v>24909</v>
      </c>
      <c r="B15958" s="117" t="s">
        <v>24910</v>
      </c>
      <c r="C15958" t="s">
        <v>67</v>
      </c>
      <c r="D15958" t="s">
        <v>67</v>
      </c>
      <c r="E15958" t="s">
        <v>67</v>
      </c>
      <c r="F15958" t="s">
        <v>27987</v>
      </c>
      <c r="G15958" s="117">
        <v>33.369999999999997</v>
      </c>
    </row>
    <row r="15959" spans="1:7" x14ac:dyDescent="0.25">
      <c r="A15959" s="116" t="s">
        <v>24911</v>
      </c>
      <c r="B15959" s="117" t="s">
        <v>24912</v>
      </c>
      <c r="C15959" t="s">
        <v>67</v>
      </c>
      <c r="D15959" t="s">
        <v>67</v>
      </c>
      <c r="E15959" t="s">
        <v>67</v>
      </c>
      <c r="F15959" t="s">
        <v>45</v>
      </c>
      <c r="G15959" s="117">
        <v>141.93</v>
      </c>
    </row>
    <row r="15960" spans="1:7" x14ac:dyDescent="0.25">
      <c r="A15960" s="116" t="s">
        <v>24913</v>
      </c>
      <c r="B15960" s="117" t="s">
        <v>24914</v>
      </c>
      <c r="C15960" t="s">
        <v>67</v>
      </c>
      <c r="D15960" t="s">
        <v>67</v>
      </c>
      <c r="E15960" t="s">
        <v>67</v>
      </c>
      <c r="F15960" t="s">
        <v>27987</v>
      </c>
      <c r="G15960" s="117">
        <v>6.14</v>
      </c>
    </row>
    <row r="15961" spans="1:7" x14ac:dyDescent="0.25">
      <c r="A15961" s="116" t="s">
        <v>24915</v>
      </c>
      <c r="B15961" s="117" t="s">
        <v>24916</v>
      </c>
      <c r="C15961" t="s">
        <v>67</v>
      </c>
      <c r="D15961" t="s">
        <v>67</v>
      </c>
      <c r="E15961" t="s">
        <v>67</v>
      </c>
      <c r="F15961" t="s">
        <v>27987</v>
      </c>
      <c r="G15961" s="117">
        <v>35.5</v>
      </c>
    </row>
    <row r="15962" spans="1:7" x14ac:dyDescent="0.25">
      <c r="A15962" s="116" t="s">
        <v>24917</v>
      </c>
      <c r="B15962" s="117" t="s">
        <v>24918</v>
      </c>
      <c r="C15962" t="s">
        <v>67</v>
      </c>
      <c r="D15962" t="s">
        <v>67</v>
      </c>
      <c r="E15962" t="s">
        <v>67</v>
      </c>
      <c r="F15962" t="s">
        <v>27987</v>
      </c>
      <c r="G15962" s="117">
        <v>1.69</v>
      </c>
    </row>
    <row r="15963" spans="1:7" x14ac:dyDescent="0.25">
      <c r="A15963" s="116" t="s">
        <v>24919</v>
      </c>
      <c r="B15963" s="117" t="s">
        <v>24920</v>
      </c>
      <c r="C15963" t="s">
        <v>67</v>
      </c>
      <c r="D15963" t="s">
        <v>67</v>
      </c>
      <c r="E15963" t="s">
        <v>67</v>
      </c>
      <c r="F15963" t="s">
        <v>27987</v>
      </c>
      <c r="G15963" s="117">
        <v>1.69</v>
      </c>
    </row>
    <row r="15964" spans="1:7" x14ac:dyDescent="0.25">
      <c r="A15964" s="116" t="s">
        <v>24921</v>
      </c>
      <c r="B15964" s="117" t="s">
        <v>24922</v>
      </c>
      <c r="C15964" t="s">
        <v>67</v>
      </c>
      <c r="D15964" t="s">
        <v>67</v>
      </c>
      <c r="E15964" t="s">
        <v>67</v>
      </c>
      <c r="F15964" t="s">
        <v>27987</v>
      </c>
      <c r="G15964" s="117">
        <v>17.7</v>
      </c>
    </row>
    <row r="15965" spans="1:7" x14ac:dyDescent="0.25">
      <c r="A15965" s="116" t="s">
        <v>24923</v>
      </c>
      <c r="B15965" s="117" t="s">
        <v>24924</v>
      </c>
      <c r="C15965" t="s">
        <v>67</v>
      </c>
      <c r="D15965" t="s">
        <v>67</v>
      </c>
      <c r="E15965" t="s">
        <v>67</v>
      </c>
      <c r="F15965" t="s">
        <v>27987</v>
      </c>
      <c r="G15965" s="117">
        <v>134.81</v>
      </c>
    </row>
    <row r="15966" spans="1:7" x14ac:dyDescent="0.25">
      <c r="A15966" s="116" t="s">
        <v>24925</v>
      </c>
      <c r="B15966" s="117" t="s">
        <v>24926</v>
      </c>
      <c r="C15966" t="s">
        <v>67</v>
      </c>
      <c r="D15966" t="s">
        <v>67</v>
      </c>
      <c r="E15966" t="s">
        <v>67</v>
      </c>
      <c r="F15966" t="s">
        <v>27987</v>
      </c>
      <c r="G15966" s="117">
        <v>73.760000000000005</v>
      </c>
    </row>
    <row r="15967" spans="1:7" x14ac:dyDescent="0.25">
      <c r="A15967" s="116" t="s">
        <v>24927</v>
      </c>
      <c r="B15967" s="117" t="s">
        <v>24928</v>
      </c>
      <c r="C15967" t="s">
        <v>67</v>
      </c>
      <c r="D15967" t="s">
        <v>67</v>
      </c>
      <c r="E15967" t="s">
        <v>67</v>
      </c>
      <c r="F15967" t="s">
        <v>27987</v>
      </c>
      <c r="G15967" s="117">
        <v>232.69</v>
      </c>
    </row>
    <row r="15968" spans="1:7" x14ac:dyDescent="0.25">
      <c r="A15968" s="116" t="s">
        <v>24929</v>
      </c>
      <c r="B15968" s="117" t="s">
        <v>30167</v>
      </c>
      <c r="C15968" t="s">
        <v>67</v>
      </c>
      <c r="D15968" t="s">
        <v>67</v>
      </c>
      <c r="E15968" t="s">
        <v>67</v>
      </c>
      <c r="F15968" t="s">
        <v>27987</v>
      </c>
      <c r="G15968" s="117">
        <v>27.14</v>
      </c>
    </row>
    <row r="15969" spans="1:7" x14ac:dyDescent="0.25">
      <c r="A15969" s="116" t="s">
        <v>24930</v>
      </c>
      <c r="B15969" s="117" t="s">
        <v>10635</v>
      </c>
      <c r="C15969" t="s">
        <v>67</v>
      </c>
      <c r="D15969" t="s">
        <v>67</v>
      </c>
      <c r="E15969" t="s">
        <v>67</v>
      </c>
      <c r="F15969" t="s">
        <v>27987</v>
      </c>
      <c r="G15969" s="117">
        <v>2.58</v>
      </c>
    </row>
    <row r="15970" spans="1:7" x14ac:dyDescent="0.25">
      <c r="A15970" s="116" t="s">
        <v>24931</v>
      </c>
      <c r="B15970" s="117" t="s">
        <v>24932</v>
      </c>
      <c r="C15970" t="s">
        <v>67</v>
      </c>
      <c r="D15970" t="s">
        <v>67</v>
      </c>
      <c r="E15970" t="s">
        <v>67</v>
      </c>
      <c r="F15970" t="s">
        <v>27987</v>
      </c>
      <c r="G15970" s="117">
        <v>0.44</v>
      </c>
    </row>
    <row r="15971" spans="1:7" x14ac:dyDescent="0.25">
      <c r="A15971" s="116" t="s">
        <v>24933</v>
      </c>
      <c r="B15971" s="117" t="s">
        <v>2445</v>
      </c>
      <c r="C15971" t="s">
        <v>67</v>
      </c>
      <c r="D15971" t="s">
        <v>67</v>
      </c>
      <c r="E15971" t="s">
        <v>67</v>
      </c>
      <c r="F15971" t="s">
        <v>27987</v>
      </c>
      <c r="G15971" s="117">
        <v>13.8</v>
      </c>
    </row>
    <row r="15972" spans="1:7" x14ac:dyDescent="0.25">
      <c r="A15972" s="116" t="s">
        <v>24934</v>
      </c>
      <c r="B15972" s="117" t="s">
        <v>24935</v>
      </c>
      <c r="C15972" t="s">
        <v>67</v>
      </c>
      <c r="D15972" t="s">
        <v>67</v>
      </c>
      <c r="E15972" t="s">
        <v>67</v>
      </c>
      <c r="F15972" t="s">
        <v>27987</v>
      </c>
      <c r="G15972" s="117">
        <v>4.8899999999999997</v>
      </c>
    </row>
    <row r="15973" spans="1:7" x14ac:dyDescent="0.25">
      <c r="A15973" s="116" t="s">
        <v>24936</v>
      </c>
      <c r="B15973" s="117" t="s">
        <v>24937</v>
      </c>
      <c r="C15973" t="s">
        <v>67</v>
      </c>
      <c r="D15973" t="s">
        <v>67</v>
      </c>
      <c r="E15973" t="s">
        <v>67</v>
      </c>
      <c r="F15973" t="s">
        <v>27987</v>
      </c>
      <c r="G15973" s="117">
        <v>4.3600000000000003</v>
      </c>
    </row>
    <row r="15974" spans="1:7" x14ac:dyDescent="0.25">
      <c r="A15974" s="116" t="s">
        <v>24938</v>
      </c>
      <c r="B15974" s="117" t="s">
        <v>24939</v>
      </c>
      <c r="C15974" t="s">
        <v>67</v>
      </c>
      <c r="D15974" t="s">
        <v>67</v>
      </c>
      <c r="E15974" t="s">
        <v>67</v>
      </c>
      <c r="F15974" t="s">
        <v>27987</v>
      </c>
      <c r="G15974" s="117">
        <v>2.58</v>
      </c>
    </row>
    <row r="15975" spans="1:7" x14ac:dyDescent="0.25">
      <c r="A15975" s="116" t="s">
        <v>24940</v>
      </c>
      <c r="B15975" s="117" t="s">
        <v>24941</v>
      </c>
      <c r="C15975" t="s">
        <v>67</v>
      </c>
      <c r="D15975" t="s">
        <v>67</v>
      </c>
      <c r="E15975" t="s">
        <v>67</v>
      </c>
      <c r="F15975" t="s">
        <v>27987</v>
      </c>
      <c r="G15975" s="117">
        <v>1.77</v>
      </c>
    </row>
    <row r="15976" spans="1:7" x14ac:dyDescent="0.25">
      <c r="A15976" s="116" t="s">
        <v>24942</v>
      </c>
      <c r="B15976" s="117" t="s">
        <v>24943</v>
      </c>
      <c r="C15976" t="s">
        <v>67</v>
      </c>
      <c r="D15976" t="s">
        <v>67</v>
      </c>
      <c r="E15976" t="s">
        <v>67</v>
      </c>
      <c r="F15976" t="s">
        <v>27987</v>
      </c>
      <c r="G15976" s="117">
        <v>1.77</v>
      </c>
    </row>
    <row r="15977" spans="1:7" x14ac:dyDescent="0.25">
      <c r="A15977" s="116" t="s">
        <v>24944</v>
      </c>
      <c r="B15977" s="117" t="s">
        <v>30168</v>
      </c>
      <c r="C15977" t="s">
        <v>67</v>
      </c>
      <c r="D15977" t="s">
        <v>67</v>
      </c>
      <c r="E15977" t="s">
        <v>67</v>
      </c>
      <c r="F15977" t="s">
        <v>27987</v>
      </c>
      <c r="G15977" s="117">
        <v>18.600000000000001</v>
      </c>
    </row>
    <row r="15978" spans="1:7" x14ac:dyDescent="0.25">
      <c r="A15978" s="116" t="s">
        <v>24945</v>
      </c>
      <c r="B15978" s="117" t="s">
        <v>24946</v>
      </c>
      <c r="C15978" t="s">
        <v>67</v>
      </c>
      <c r="D15978" t="s">
        <v>67</v>
      </c>
      <c r="E15978" t="s">
        <v>67</v>
      </c>
      <c r="F15978" t="s">
        <v>27987</v>
      </c>
      <c r="G15978" s="117">
        <v>1.77</v>
      </c>
    </row>
    <row r="15979" spans="1:7" x14ac:dyDescent="0.25">
      <c r="A15979" s="116" t="s">
        <v>24947</v>
      </c>
      <c r="B15979" s="117" t="s">
        <v>24948</v>
      </c>
      <c r="C15979" t="s">
        <v>67</v>
      </c>
      <c r="D15979" t="s">
        <v>67</v>
      </c>
      <c r="E15979" t="s">
        <v>67</v>
      </c>
      <c r="F15979" t="s">
        <v>27987</v>
      </c>
      <c r="G15979" s="117">
        <v>1.77</v>
      </c>
    </row>
    <row r="15980" spans="1:7" x14ac:dyDescent="0.25">
      <c r="A15980" s="116" t="s">
        <v>24949</v>
      </c>
      <c r="B15980" s="117" t="s">
        <v>24950</v>
      </c>
      <c r="C15980" t="s">
        <v>67</v>
      </c>
      <c r="D15980" t="s">
        <v>67</v>
      </c>
      <c r="E15980" t="s">
        <v>67</v>
      </c>
      <c r="F15980" t="s">
        <v>27987</v>
      </c>
      <c r="G15980" s="117">
        <v>53.3</v>
      </c>
    </row>
    <row r="15981" spans="1:7" x14ac:dyDescent="0.25">
      <c r="A15981" s="116" t="s">
        <v>24951</v>
      </c>
      <c r="B15981" s="117" t="s">
        <v>24952</v>
      </c>
      <c r="C15981" t="s">
        <v>67</v>
      </c>
      <c r="D15981" t="s">
        <v>67</v>
      </c>
      <c r="E15981" t="s">
        <v>67</v>
      </c>
      <c r="F15981" t="s">
        <v>27987</v>
      </c>
      <c r="G15981" s="117">
        <v>2.58</v>
      </c>
    </row>
    <row r="15982" spans="1:7" x14ac:dyDescent="0.25">
      <c r="A15982" s="116" t="s">
        <v>24953</v>
      </c>
      <c r="B15982" s="117" t="s">
        <v>13434</v>
      </c>
      <c r="C15982" t="s">
        <v>67</v>
      </c>
      <c r="D15982" t="s">
        <v>67</v>
      </c>
      <c r="E15982" t="s">
        <v>67</v>
      </c>
      <c r="F15982" t="s">
        <v>27987</v>
      </c>
      <c r="G15982" s="117">
        <v>6.14</v>
      </c>
    </row>
    <row r="15983" spans="1:7" x14ac:dyDescent="0.25">
      <c r="A15983" s="116" t="s">
        <v>24954</v>
      </c>
      <c r="B15983" s="117" t="s">
        <v>432</v>
      </c>
      <c r="C15983" t="s">
        <v>67</v>
      </c>
      <c r="D15983" t="s">
        <v>67</v>
      </c>
      <c r="E15983" t="s">
        <v>67</v>
      </c>
      <c r="F15983" t="s">
        <v>27987</v>
      </c>
      <c r="G15983" s="117">
        <v>5.79</v>
      </c>
    </row>
    <row r="15984" spans="1:7" x14ac:dyDescent="0.25">
      <c r="A15984" s="116" t="s">
        <v>24955</v>
      </c>
      <c r="B15984" s="117" t="s">
        <v>5575</v>
      </c>
      <c r="C15984" t="s">
        <v>67</v>
      </c>
      <c r="D15984" t="s">
        <v>67</v>
      </c>
      <c r="E15984" t="s">
        <v>67</v>
      </c>
      <c r="F15984" t="s">
        <v>27987</v>
      </c>
      <c r="G15984" s="117">
        <v>1.69</v>
      </c>
    </row>
    <row r="15985" spans="1:7" x14ac:dyDescent="0.25">
      <c r="A15985" s="116" t="s">
        <v>24956</v>
      </c>
      <c r="B15985" s="117" t="s">
        <v>5084</v>
      </c>
      <c r="C15985" t="s">
        <v>67</v>
      </c>
      <c r="D15985" t="s">
        <v>67</v>
      </c>
      <c r="E15985" t="s">
        <v>67</v>
      </c>
      <c r="F15985" t="s">
        <v>27987</v>
      </c>
      <c r="G15985" s="117">
        <v>1.77</v>
      </c>
    </row>
    <row r="15986" spans="1:7" x14ac:dyDescent="0.25">
      <c r="A15986" s="116" t="s">
        <v>24957</v>
      </c>
      <c r="B15986" s="117" t="s">
        <v>24958</v>
      </c>
      <c r="C15986" t="s">
        <v>67</v>
      </c>
      <c r="D15986" t="s">
        <v>67</v>
      </c>
      <c r="E15986" t="s">
        <v>67</v>
      </c>
      <c r="F15986" t="s">
        <v>27987</v>
      </c>
      <c r="G15986" s="117">
        <v>3.12</v>
      </c>
    </row>
    <row r="15987" spans="1:7" x14ac:dyDescent="0.25">
      <c r="A15987" s="116" t="s">
        <v>24959</v>
      </c>
      <c r="B15987" s="117" t="s">
        <v>24960</v>
      </c>
      <c r="C15987" t="s">
        <v>67</v>
      </c>
      <c r="D15987" t="s">
        <v>67</v>
      </c>
      <c r="E15987" t="s">
        <v>67</v>
      </c>
      <c r="F15987" t="s">
        <v>27987</v>
      </c>
      <c r="G15987" s="117">
        <v>2.23</v>
      </c>
    </row>
    <row r="15988" spans="1:7" x14ac:dyDescent="0.25">
      <c r="A15988" s="116" t="s">
        <v>24961</v>
      </c>
      <c r="B15988" s="117" t="s">
        <v>3799</v>
      </c>
      <c r="C15988" t="s">
        <v>67</v>
      </c>
      <c r="D15988" t="s">
        <v>67</v>
      </c>
      <c r="E15988" t="s">
        <v>67</v>
      </c>
      <c r="F15988" t="s">
        <v>27987</v>
      </c>
      <c r="G15988" s="117">
        <v>23.58</v>
      </c>
    </row>
    <row r="15989" spans="1:7" x14ac:dyDescent="0.25">
      <c r="A15989" s="116" t="s">
        <v>24962</v>
      </c>
      <c r="B15989" s="117" t="s">
        <v>3799</v>
      </c>
      <c r="C15989" t="s">
        <v>67</v>
      </c>
      <c r="D15989" t="s">
        <v>67</v>
      </c>
      <c r="E15989" t="s">
        <v>67</v>
      </c>
      <c r="F15989" t="s">
        <v>27987</v>
      </c>
      <c r="G15989" s="117">
        <v>149.4</v>
      </c>
    </row>
    <row r="15990" spans="1:7" x14ac:dyDescent="0.25">
      <c r="A15990" s="116" t="s">
        <v>24963</v>
      </c>
      <c r="B15990" s="117" t="s">
        <v>24964</v>
      </c>
      <c r="C15990" t="s">
        <v>67</v>
      </c>
      <c r="D15990" t="s">
        <v>67</v>
      </c>
      <c r="E15990" t="s">
        <v>67</v>
      </c>
      <c r="F15990" t="s">
        <v>27987</v>
      </c>
      <c r="G15990" s="117">
        <v>2.58</v>
      </c>
    </row>
    <row r="15991" spans="1:7" x14ac:dyDescent="0.25">
      <c r="A15991" s="116" t="s">
        <v>24965</v>
      </c>
      <c r="B15991" s="117" t="s">
        <v>24966</v>
      </c>
      <c r="C15991" t="s">
        <v>67</v>
      </c>
      <c r="D15991" t="s">
        <v>67</v>
      </c>
      <c r="E15991" t="s">
        <v>67</v>
      </c>
      <c r="F15991" t="s">
        <v>27987</v>
      </c>
      <c r="G15991" s="117">
        <v>2.58</v>
      </c>
    </row>
    <row r="15992" spans="1:7" x14ac:dyDescent="0.25">
      <c r="A15992" s="116" t="s">
        <v>24967</v>
      </c>
      <c r="B15992" s="117" t="s">
        <v>5084</v>
      </c>
      <c r="C15992" t="s">
        <v>67</v>
      </c>
      <c r="D15992" t="s">
        <v>67</v>
      </c>
      <c r="E15992" t="s">
        <v>67</v>
      </c>
      <c r="F15992" t="s">
        <v>27987</v>
      </c>
      <c r="G15992" s="117">
        <v>1.33</v>
      </c>
    </row>
    <row r="15993" spans="1:7" x14ac:dyDescent="0.25">
      <c r="A15993" s="116" t="s">
        <v>24968</v>
      </c>
      <c r="B15993" s="117" t="s">
        <v>24969</v>
      </c>
      <c r="C15993" t="s">
        <v>67</v>
      </c>
      <c r="D15993" t="s">
        <v>67</v>
      </c>
      <c r="E15993" t="s">
        <v>67</v>
      </c>
      <c r="F15993" t="s">
        <v>27987</v>
      </c>
      <c r="G15993" s="117">
        <v>1.77</v>
      </c>
    </row>
    <row r="15994" spans="1:7" x14ac:dyDescent="0.25">
      <c r="A15994" s="116" t="s">
        <v>24970</v>
      </c>
      <c r="B15994" s="117" t="s">
        <v>24971</v>
      </c>
      <c r="C15994" t="s">
        <v>67</v>
      </c>
      <c r="D15994" t="s">
        <v>67</v>
      </c>
      <c r="E15994" t="s">
        <v>67</v>
      </c>
      <c r="F15994" t="s">
        <v>27987</v>
      </c>
      <c r="G15994" s="117">
        <v>4</v>
      </c>
    </row>
    <row r="15995" spans="1:7" x14ac:dyDescent="0.25">
      <c r="A15995" s="116" t="s">
        <v>24972</v>
      </c>
      <c r="B15995" s="117" t="s">
        <v>24973</v>
      </c>
      <c r="C15995" t="s">
        <v>67</v>
      </c>
      <c r="D15995" t="s">
        <v>67</v>
      </c>
      <c r="E15995" t="s">
        <v>67</v>
      </c>
      <c r="F15995" t="s">
        <v>27987</v>
      </c>
      <c r="G15995" s="117">
        <v>3.48</v>
      </c>
    </row>
    <row r="15996" spans="1:7" x14ac:dyDescent="0.25">
      <c r="A15996" s="116" t="s">
        <v>24974</v>
      </c>
      <c r="B15996" s="117" t="s">
        <v>24975</v>
      </c>
      <c r="C15996" t="s">
        <v>67</v>
      </c>
      <c r="D15996" t="s">
        <v>67</v>
      </c>
      <c r="E15996" t="s">
        <v>67</v>
      </c>
      <c r="F15996" t="s">
        <v>27987</v>
      </c>
      <c r="G15996" s="117">
        <v>5.79</v>
      </c>
    </row>
    <row r="15997" spans="1:7" x14ac:dyDescent="0.25">
      <c r="A15997" s="116" t="s">
        <v>24976</v>
      </c>
      <c r="B15997" s="117" t="s">
        <v>24977</v>
      </c>
      <c r="C15997" t="s">
        <v>67</v>
      </c>
      <c r="D15997" t="s">
        <v>67</v>
      </c>
      <c r="E15997" t="s">
        <v>67</v>
      </c>
      <c r="F15997" t="s">
        <v>27987</v>
      </c>
      <c r="G15997" s="117">
        <v>3.12</v>
      </c>
    </row>
    <row r="15998" spans="1:7" x14ac:dyDescent="0.25">
      <c r="A15998" s="116" t="s">
        <v>24978</v>
      </c>
      <c r="B15998" s="117" t="s">
        <v>24979</v>
      </c>
      <c r="C15998" t="s">
        <v>67</v>
      </c>
      <c r="D15998" t="s">
        <v>67</v>
      </c>
      <c r="E15998" t="s">
        <v>67</v>
      </c>
      <c r="F15998" t="s">
        <v>27987</v>
      </c>
      <c r="G15998" s="117">
        <v>2.23</v>
      </c>
    </row>
    <row r="15999" spans="1:7" x14ac:dyDescent="0.25">
      <c r="A15999" s="116" t="s">
        <v>24980</v>
      </c>
      <c r="B15999" s="117" t="s">
        <v>24981</v>
      </c>
      <c r="C15999" t="s">
        <v>67</v>
      </c>
      <c r="D15999" t="s">
        <v>67</v>
      </c>
      <c r="E15999" t="s">
        <v>67</v>
      </c>
      <c r="F15999" t="s">
        <v>45</v>
      </c>
      <c r="G15999" s="117">
        <v>9.6999999999999993</v>
      </c>
    </row>
    <row r="16000" spans="1:7" x14ac:dyDescent="0.25">
      <c r="A16000" s="116" t="s">
        <v>24982</v>
      </c>
      <c r="B16000" s="117" t="s">
        <v>24983</v>
      </c>
      <c r="C16000" t="s">
        <v>67</v>
      </c>
      <c r="D16000" t="s">
        <v>67</v>
      </c>
      <c r="E16000" t="s">
        <v>67</v>
      </c>
      <c r="F16000" t="s">
        <v>27987</v>
      </c>
      <c r="G16000" s="117">
        <v>4.3600000000000003</v>
      </c>
    </row>
    <row r="16001" spans="1:7" x14ac:dyDescent="0.25">
      <c r="A16001" s="116" t="s">
        <v>24984</v>
      </c>
      <c r="B16001" s="117" t="s">
        <v>24985</v>
      </c>
      <c r="C16001" t="s">
        <v>67</v>
      </c>
      <c r="D16001" t="s">
        <v>67</v>
      </c>
      <c r="E16001" t="s">
        <v>67</v>
      </c>
      <c r="F16001" t="s">
        <v>27987</v>
      </c>
      <c r="G16001" s="117">
        <v>45.3</v>
      </c>
    </row>
    <row r="16002" spans="1:7" x14ac:dyDescent="0.25">
      <c r="A16002" s="116" t="s">
        <v>24986</v>
      </c>
      <c r="B16002" s="117" t="s">
        <v>24987</v>
      </c>
      <c r="C16002" t="s">
        <v>67</v>
      </c>
      <c r="D16002" t="s">
        <v>67</v>
      </c>
      <c r="E16002" t="s">
        <v>67</v>
      </c>
      <c r="F16002" t="s">
        <v>27987</v>
      </c>
      <c r="G16002" s="117">
        <v>8.81</v>
      </c>
    </row>
    <row r="16003" spans="1:7" x14ac:dyDescent="0.25">
      <c r="A16003" s="116" t="s">
        <v>24988</v>
      </c>
      <c r="B16003" s="117" t="s">
        <v>24989</v>
      </c>
      <c r="C16003" t="s">
        <v>67</v>
      </c>
      <c r="D16003" t="s">
        <v>67</v>
      </c>
      <c r="E16003" t="s">
        <v>67</v>
      </c>
      <c r="F16003" t="s">
        <v>27987</v>
      </c>
      <c r="G16003" s="117">
        <v>1.77</v>
      </c>
    </row>
    <row r="16004" spans="1:7" x14ac:dyDescent="0.25">
      <c r="A16004" s="116" t="s">
        <v>24990</v>
      </c>
      <c r="B16004" s="117" t="s">
        <v>24991</v>
      </c>
      <c r="C16004" t="s">
        <v>67</v>
      </c>
      <c r="D16004" t="s">
        <v>67</v>
      </c>
      <c r="E16004" t="s">
        <v>67</v>
      </c>
      <c r="F16004" t="s">
        <v>27987</v>
      </c>
      <c r="G16004" s="117">
        <v>5.25</v>
      </c>
    </row>
    <row r="16005" spans="1:7" x14ac:dyDescent="0.25">
      <c r="A16005" s="116" t="s">
        <v>24992</v>
      </c>
      <c r="B16005" s="117" t="s">
        <v>24993</v>
      </c>
      <c r="C16005" t="s">
        <v>67</v>
      </c>
      <c r="D16005" t="s">
        <v>67</v>
      </c>
      <c r="E16005" t="s">
        <v>67</v>
      </c>
      <c r="F16005" t="s">
        <v>27987</v>
      </c>
      <c r="G16005" s="117">
        <v>6.68</v>
      </c>
    </row>
    <row r="16006" spans="1:7" x14ac:dyDescent="0.25">
      <c r="A16006" s="116" t="s">
        <v>24994</v>
      </c>
      <c r="B16006" s="117" t="s">
        <v>24995</v>
      </c>
      <c r="C16006" t="s">
        <v>67</v>
      </c>
      <c r="D16006" t="s">
        <v>67</v>
      </c>
      <c r="E16006" t="s">
        <v>67</v>
      </c>
      <c r="F16006" t="s">
        <v>27987</v>
      </c>
      <c r="G16006" s="117">
        <v>7.02</v>
      </c>
    </row>
    <row r="16007" spans="1:7" x14ac:dyDescent="0.25">
      <c r="A16007" s="116" t="s">
        <v>24996</v>
      </c>
      <c r="B16007" s="117" t="s">
        <v>24997</v>
      </c>
      <c r="C16007" t="s">
        <v>67</v>
      </c>
      <c r="D16007" t="s">
        <v>67</v>
      </c>
      <c r="E16007" t="s">
        <v>67</v>
      </c>
      <c r="F16007" t="s">
        <v>27987</v>
      </c>
      <c r="G16007" s="117">
        <v>111.14</v>
      </c>
    </row>
    <row r="16008" spans="1:7" x14ac:dyDescent="0.25">
      <c r="A16008" s="116" t="s">
        <v>24998</v>
      </c>
      <c r="B16008" s="117" t="s">
        <v>24999</v>
      </c>
      <c r="C16008" t="s">
        <v>67</v>
      </c>
      <c r="D16008" t="s">
        <v>67</v>
      </c>
      <c r="E16008" t="s">
        <v>67</v>
      </c>
      <c r="F16008" t="s">
        <v>27987</v>
      </c>
      <c r="G16008" s="117">
        <v>5.33</v>
      </c>
    </row>
    <row r="16009" spans="1:7" x14ac:dyDescent="0.25">
      <c r="A16009" s="116" t="s">
        <v>25000</v>
      </c>
      <c r="B16009" s="117" t="s">
        <v>25001</v>
      </c>
      <c r="C16009" t="s">
        <v>67</v>
      </c>
      <c r="D16009" t="s">
        <v>67</v>
      </c>
      <c r="E16009" t="s">
        <v>67</v>
      </c>
      <c r="F16009" t="s">
        <v>27987</v>
      </c>
      <c r="G16009" s="117">
        <v>13.26</v>
      </c>
    </row>
    <row r="16010" spans="1:7" x14ac:dyDescent="0.25">
      <c r="A16010" s="116" t="s">
        <v>25002</v>
      </c>
      <c r="B16010" s="117" t="s">
        <v>25003</v>
      </c>
      <c r="C16010" t="s">
        <v>67</v>
      </c>
      <c r="D16010" t="s">
        <v>67</v>
      </c>
      <c r="E16010" t="s">
        <v>67</v>
      </c>
      <c r="F16010" t="s">
        <v>27987</v>
      </c>
      <c r="G16010" s="117">
        <v>19.489999999999998</v>
      </c>
    </row>
    <row r="16011" spans="1:7" x14ac:dyDescent="0.25">
      <c r="A16011" s="116" t="s">
        <v>25004</v>
      </c>
      <c r="B16011" s="117" t="s">
        <v>25005</v>
      </c>
      <c r="C16011" t="s">
        <v>67</v>
      </c>
      <c r="D16011" t="s">
        <v>67</v>
      </c>
      <c r="E16011" t="s">
        <v>67</v>
      </c>
      <c r="F16011" t="s">
        <v>27987</v>
      </c>
      <c r="G16011" s="117">
        <v>2.58</v>
      </c>
    </row>
    <row r="16012" spans="1:7" x14ac:dyDescent="0.25">
      <c r="A16012" s="116" t="s">
        <v>25006</v>
      </c>
      <c r="B16012" s="117" t="s">
        <v>25007</v>
      </c>
      <c r="C16012" t="s">
        <v>67</v>
      </c>
      <c r="D16012" t="s">
        <v>67</v>
      </c>
      <c r="E16012" t="s">
        <v>67</v>
      </c>
      <c r="F16012" t="s">
        <v>27987</v>
      </c>
      <c r="G16012" s="117">
        <v>4.3600000000000003</v>
      </c>
    </row>
    <row r="16013" spans="1:7" x14ac:dyDescent="0.25">
      <c r="A16013" s="116" t="s">
        <v>25008</v>
      </c>
      <c r="B16013" s="117" t="s">
        <v>12541</v>
      </c>
      <c r="C16013" t="s">
        <v>67</v>
      </c>
      <c r="D16013" t="s">
        <v>67</v>
      </c>
      <c r="E16013" t="s">
        <v>67</v>
      </c>
      <c r="F16013" t="s">
        <v>45</v>
      </c>
      <c r="G16013" s="117">
        <v>10.58</v>
      </c>
    </row>
    <row r="16014" spans="1:7" x14ac:dyDescent="0.25">
      <c r="A16014" s="116" t="s">
        <v>25009</v>
      </c>
      <c r="B16014" s="117" t="s">
        <v>25010</v>
      </c>
      <c r="C16014" t="s">
        <v>67</v>
      </c>
      <c r="D16014" t="s">
        <v>67</v>
      </c>
      <c r="E16014" t="s">
        <v>67</v>
      </c>
      <c r="F16014" t="s">
        <v>27987</v>
      </c>
      <c r="G16014" s="117">
        <v>7.02</v>
      </c>
    </row>
    <row r="16015" spans="1:7" x14ac:dyDescent="0.25">
      <c r="A16015" s="116" t="s">
        <v>25011</v>
      </c>
      <c r="B16015" s="117" t="s">
        <v>25012</v>
      </c>
      <c r="C16015" t="s">
        <v>67</v>
      </c>
      <c r="D16015" t="s">
        <v>67</v>
      </c>
      <c r="E16015" t="s">
        <v>67</v>
      </c>
      <c r="F16015" t="s">
        <v>27987</v>
      </c>
      <c r="G16015" s="117">
        <v>1.77</v>
      </c>
    </row>
    <row r="16016" spans="1:7" x14ac:dyDescent="0.25">
      <c r="A16016" s="116" t="s">
        <v>25013</v>
      </c>
      <c r="B16016" s="117" t="s">
        <v>12541</v>
      </c>
      <c r="C16016" t="s">
        <v>67</v>
      </c>
      <c r="D16016" t="s">
        <v>67</v>
      </c>
      <c r="E16016" t="s">
        <v>67</v>
      </c>
      <c r="F16016" t="s">
        <v>27987</v>
      </c>
      <c r="G16016" s="117">
        <v>5.25</v>
      </c>
    </row>
    <row r="16017" spans="1:7" x14ac:dyDescent="0.25">
      <c r="A16017" s="116" t="s">
        <v>25014</v>
      </c>
      <c r="B16017" s="117" t="s">
        <v>5575</v>
      </c>
      <c r="C16017" t="s">
        <v>67</v>
      </c>
      <c r="D16017" t="s">
        <v>67</v>
      </c>
      <c r="E16017" t="s">
        <v>67</v>
      </c>
      <c r="F16017" t="s">
        <v>27987</v>
      </c>
      <c r="G16017" s="117">
        <v>3.48</v>
      </c>
    </row>
    <row r="16018" spans="1:7" x14ac:dyDescent="0.25">
      <c r="A16018" s="116" t="s">
        <v>25015</v>
      </c>
      <c r="B16018" s="117" t="s">
        <v>25016</v>
      </c>
      <c r="C16018" t="s">
        <v>67</v>
      </c>
      <c r="D16018" t="s">
        <v>67</v>
      </c>
      <c r="E16018" t="s">
        <v>67</v>
      </c>
      <c r="F16018" t="s">
        <v>27987</v>
      </c>
      <c r="G16018" s="117">
        <v>2.58</v>
      </c>
    </row>
    <row r="16019" spans="1:7" x14ac:dyDescent="0.25">
      <c r="A16019" s="116" t="s">
        <v>25017</v>
      </c>
      <c r="B16019" s="117" t="s">
        <v>25018</v>
      </c>
      <c r="C16019" t="s">
        <v>67</v>
      </c>
      <c r="D16019" t="s">
        <v>67</v>
      </c>
      <c r="E16019" t="s">
        <v>67</v>
      </c>
      <c r="F16019" t="s">
        <v>27987</v>
      </c>
      <c r="G16019" s="117">
        <v>110.25</v>
      </c>
    </row>
    <row r="16020" spans="1:7" x14ac:dyDescent="0.25">
      <c r="A16020" s="116" t="s">
        <v>25019</v>
      </c>
      <c r="B16020" s="117" t="s">
        <v>25020</v>
      </c>
      <c r="C16020" t="s">
        <v>67</v>
      </c>
      <c r="D16020" t="s">
        <v>67</v>
      </c>
      <c r="E16020" t="s">
        <v>67</v>
      </c>
      <c r="F16020" t="s">
        <v>27987</v>
      </c>
      <c r="G16020" s="117">
        <v>37.82</v>
      </c>
    </row>
    <row r="16021" spans="1:7" x14ac:dyDescent="0.25">
      <c r="A16021" s="116" t="s">
        <v>25021</v>
      </c>
      <c r="B16021" s="117" t="s">
        <v>5084</v>
      </c>
      <c r="C16021" t="s">
        <v>67</v>
      </c>
      <c r="D16021" t="s">
        <v>67</v>
      </c>
      <c r="E16021" t="s">
        <v>67</v>
      </c>
      <c r="F16021" t="s">
        <v>27987</v>
      </c>
      <c r="G16021" s="117">
        <v>1.77</v>
      </c>
    </row>
    <row r="16022" spans="1:7" x14ac:dyDescent="0.25">
      <c r="A16022" s="116" t="s">
        <v>25022</v>
      </c>
      <c r="B16022" s="117" t="s">
        <v>13042</v>
      </c>
      <c r="C16022" t="s">
        <v>67</v>
      </c>
      <c r="D16022" t="s">
        <v>67</v>
      </c>
      <c r="E16022" t="s">
        <v>67</v>
      </c>
      <c r="F16022" t="s">
        <v>27987</v>
      </c>
      <c r="G16022" s="117">
        <v>12.37</v>
      </c>
    </row>
    <row r="16023" spans="1:7" x14ac:dyDescent="0.25">
      <c r="A16023" s="116" t="s">
        <v>25023</v>
      </c>
      <c r="B16023" s="117" t="s">
        <v>25024</v>
      </c>
      <c r="C16023" t="s">
        <v>67</v>
      </c>
      <c r="D16023" t="s">
        <v>67</v>
      </c>
      <c r="E16023" t="s">
        <v>67</v>
      </c>
      <c r="F16023" t="s">
        <v>45</v>
      </c>
      <c r="G16023" s="117">
        <v>131.61000000000001</v>
      </c>
    </row>
    <row r="16024" spans="1:7" x14ac:dyDescent="0.25">
      <c r="A16024" s="116" t="s">
        <v>25025</v>
      </c>
      <c r="B16024" s="117" t="s">
        <v>25026</v>
      </c>
      <c r="C16024" t="s">
        <v>67</v>
      </c>
      <c r="D16024" t="s">
        <v>67</v>
      </c>
      <c r="E16024" t="s">
        <v>67</v>
      </c>
      <c r="F16024" t="s">
        <v>27987</v>
      </c>
      <c r="G16024" s="117">
        <v>6.68</v>
      </c>
    </row>
    <row r="16025" spans="1:7" x14ac:dyDescent="0.25">
      <c r="A16025" s="116" t="s">
        <v>25027</v>
      </c>
      <c r="B16025" s="117" t="s">
        <v>25028</v>
      </c>
      <c r="C16025" t="s">
        <v>67</v>
      </c>
      <c r="D16025" t="s">
        <v>67</v>
      </c>
      <c r="E16025" t="s">
        <v>67</v>
      </c>
      <c r="F16025" t="s">
        <v>27987</v>
      </c>
      <c r="G16025" s="117">
        <v>24.48</v>
      </c>
    </row>
    <row r="16026" spans="1:7" x14ac:dyDescent="0.25">
      <c r="A16026" s="116" t="s">
        <v>25029</v>
      </c>
      <c r="B16026" s="117" t="s">
        <v>25030</v>
      </c>
      <c r="C16026" t="s">
        <v>67</v>
      </c>
      <c r="D16026" t="s">
        <v>67</v>
      </c>
      <c r="E16026" t="s">
        <v>67</v>
      </c>
      <c r="F16026" t="s">
        <v>27987</v>
      </c>
      <c r="G16026" s="117">
        <v>117.9</v>
      </c>
    </row>
    <row r="16027" spans="1:7" x14ac:dyDescent="0.25">
      <c r="A16027" s="116" t="s">
        <v>25031</v>
      </c>
      <c r="B16027" s="117" t="s">
        <v>25032</v>
      </c>
      <c r="C16027" t="s">
        <v>67</v>
      </c>
      <c r="D16027" t="s">
        <v>67</v>
      </c>
      <c r="E16027" t="s">
        <v>67</v>
      </c>
      <c r="F16027" t="s">
        <v>27987</v>
      </c>
      <c r="G16027" s="117">
        <v>255.82</v>
      </c>
    </row>
    <row r="16028" spans="1:7" x14ac:dyDescent="0.25">
      <c r="A16028" s="116" t="s">
        <v>25033</v>
      </c>
      <c r="B16028" s="117" t="s">
        <v>25034</v>
      </c>
      <c r="C16028" t="s">
        <v>67</v>
      </c>
      <c r="D16028" t="s">
        <v>67</v>
      </c>
      <c r="E16028" t="s">
        <v>67</v>
      </c>
      <c r="F16028" t="s">
        <v>27987</v>
      </c>
      <c r="G16028" s="117">
        <v>3.12</v>
      </c>
    </row>
    <row r="16029" spans="1:7" x14ac:dyDescent="0.25">
      <c r="A16029" s="116" t="s">
        <v>25035</v>
      </c>
      <c r="B16029" s="117" t="s">
        <v>25036</v>
      </c>
      <c r="C16029" t="s">
        <v>67</v>
      </c>
      <c r="D16029" t="s">
        <v>67</v>
      </c>
      <c r="E16029" t="s">
        <v>67</v>
      </c>
      <c r="F16029" t="s">
        <v>27987</v>
      </c>
      <c r="G16029" s="117">
        <v>6.14</v>
      </c>
    </row>
    <row r="16030" spans="1:7" x14ac:dyDescent="0.25">
      <c r="A16030" s="116" t="s">
        <v>25037</v>
      </c>
      <c r="B16030" s="117" t="s">
        <v>25038</v>
      </c>
      <c r="C16030" t="s">
        <v>67</v>
      </c>
      <c r="D16030" t="s">
        <v>67</v>
      </c>
      <c r="E16030" t="s">
        <v>67</v>
      </c>
      <c r="F16030" t="s">
        <v>27987</v>
      </c>
      <c r="G16030" s="117">
        <v>158.71</v>
      </c>
    </row>
    <row r="16031" spans="1:7" x14ac:dyDescent="0.25">
      <c r="A16031" s="116" t="s">
        <v>30187</v>
      </c>
      <c r="B16031" s="117" t="s">
        <v>30568</v>
      </c>
      <c r="C16031" t="s">
        <v>67</v>
      </c>
      <c r="D16031" t="s">
        <v>67</v>
      </c>
      <c r="E16031" t="s">
        <v>67</v>
      </c>
      <c r="F16031" t="s">
        <v>45</v>
      </c>
      <c r="G16031" s="117">
        <v>0.8</v>
      </c>
    </row>
    <row r="16032" spans="1:7" x14ac:dyDescent="0.25">
      <c r="A16032" s="116" t="s">
        <v>30188</v>
      </c>
      <c r="B16032" s="117" t="s">
        <v>30569</v>
      </c>
      <c r="C16032" t="s">
        <v>67</v>
      </c>
      <c r="D16032" t="s">
        <v>67</v>
      </c>
      <c r="E16032" t="s">
        <v>67</v>
      </c>
      <c r="F16032" t="s">
        <v>45</v>
      </c>
      <c r="G16032" s="117">
        <v>25.5</v>
      </c>
    </row>
    <row r="16033" spans="1:7" x14ac:dyDescent="0.25">
      <c r="A16033" s="116" t="s">
        <v>27958</v>
      </c>
      <c r="B16033" s="117" t="s">
        <v>27959</v>
      </c>
      <c r="C16033" t="s">
        <v>67</v>
      </c>
      <c r="D16033" t="s">
        <v>67</v>
      </c>
      <c r="E16033" t="s">
        <v>67</v>
      </c>
      <c r="F16033" t="s">
        <v>27987</v>
      </c>
      <c r="G16033" s="117">
        <v>162.38999999999999</v>
      </c>
    </row>
    <row r="16034" spans="1:7" x14ac:dyDescent="0.25">
      <c r="A16034" s="116" t="s">
        <v>30189</v>
      </c>
      <c r="B16034" s="117" t="s">
        <v>30190</v>
      </c>
      <c r="C16034" t="s">
        <v>67</v>
      </c>
      <c r="D16034" t="s">
        <v>67</v>
      </c>
      <c r="E16034" t="s">
        <v>67</v>
      </c>
      <c r="F16034" t="s">
        <v>45</v>
      </c>
      <c r="G16034" s="117">
        <v>4.5</v>
      </c>
    </row>
    <row r="16035" spans="1:7" x14ac:dyDescent="0.25">
      <c r="A16035" s="116" t="s">
        <v>29680</v>
      </c>
      <c r="B16035" s="117" t="s">
        <v>29681</v>
      </c>
      <c r="C16035" t="s">
        <v>67</v>
      </c>
      <c r="D16035" t="s">
        <v>67</v>
      </c>
      <c r="E16035" t="s">
        <v>67</v>
      </c>
      <c r="F16035" t="s">
        <v>27987</v>
      </c>
      <c r="G16035" s="117">
        <v>445</v>
      </c>
    </row>
    <row r="16036" spans="1:7" x14ac:dyDescent="0.25">
      <c r="A16036" s="116" t="s">
        <v>30192</v>
      </c>
      <c r="B16036" s="117" t="s">
        <v>30570</v>
      </c>
      <c r="C16036" t="s">
        <v>67</v>
      </c>
      <c r="D16036" t="s">
        <v>67</v>
      </c>
      <c r="E16036" t="s">
        <v>67</v>
      </c>
      <c r="F16036" t="s">
        <v>27987</v>
      </c>
      <c r="G16036" s="117">
        <v>124.74</v>
      </c>
    </row>
    <row r="16037" spans="1:7" x14ac:dyDescent="0.25">
      <c r="A16037" s="116" t="s">
        <v>30191</v>
      </c>
      <c r="B16037" s="117" t="s">
        <v>30571</v>
      </c>
      <c r="C16037" t="s">
        <v>67</v>
      </c>
      <c r="D16037" t="s">
        <v>67</v>
      </c>
      <c r="E16037" t="s">
        <v>67</v>
      </c>
      <c r="F16037" t="s">
        <v>45</v>
      </c>
      <c r="G16037" s="117">
        <v>23.5</v>
      </c>
    </row>
    <row r="16038" spans="1:7" x14ac:dyDescent="0.25">
      <c r="A16038" s="116" t="s">
        <v>29682</v>
      </c>
      <c r="B16038" s="117" t="s">
        <v>29683</v>
      </c>
      <c r="C16038" t="s">
        <v>67</v>
      </c>
      <c r="D16038" t="s">
        <v>67</v>
      </c>
      <c r="E16038" t="s">
        <v>67</v>
      </c>
      <c r="F16038" t="s">
        <v>45</v>
      </c>
      <c r="G16038" s="117">
        <v>9999</v>
      </c>
    </row>
    <row r="16039" spans="1:7" x14ac:dyDescent="0.25">
      <c r="A16039" s="116" t="s">
        <v>29684</v>
      </c>
      <c r="B16039" s="117" t="s">
        <v>29685</v>
      </c>
      <c r="C16039" t="s">
        <v>67</v>
      </c>
      <c r="D16039" t="s">
        <v>67</v>
      </c>
      <c r="E16039" t="s">
        <v>67</v>
      </c>
      <c r="F16039" t="s">
        <v>45</v>
      </c>
      <c r="G16039" s="117">
        <v>9999</v>
      </c>
    </row>
    <row r="16040" spans="1:7" x14ac:dyDescent="0.25">
      <c r="A16040" s="116" t="s">
        <v>29686</v>
      </c>
      <c r="B16040" s="117" t="s">
        <v>29687</v>
      </c>
      <c r="C16040" t="s">
        <v>67</v>
      </c>
      <c r="D16040" t="s">
        <v>67</v>
      </c>
      <c r="E16040" t="s">
        <v>67</v>
      </c>
      <c r="F16040" t="s">
        <v>45</v>
      </c>
      <c r="G16040" s="117">
        <v>9999</v>
      </c>
    </row>
    <row r="16041" spans="1:7" x14ac:dyDescent="0.25">
      <c r="A16041" s="116" t="s">
        <v>26588</v>
      </c>
      <c r="B16041" s="117" t="s">
        <v>26589</v>
      </c>
      <c r="C16041" t="s">
        <v>67</v>
      </c>
      <c r="D16041" t="s">
        <v>67</v>
      </c>
      <c r="E16041" t="s">
        <v>67</v>
      </c>
      <c r="F16041" t="s">
        <v>27987</v>
      </c>
      <c r="G16041" s="117">
        <v>1495</v>
      </c>
    </row>
    <row r="16042" spans="1:7" x14ac:dyDescent="0.25">
      <c r="A16042" s="116" t="s">
        <v>25039</v>
      </c>
      <c r="B16042" s="117" t="s">
        <v>29688</v>
      </c>
      <c r="C16042" t="s">
        <v>67</v>
      </c>
      <c r="D16042" t="s">
        <v>67</v>
      </c>
      <c r="E16042" t="s">
        <v>67</v>
      </c>
      <c r="F16042" t="s">
        <v>27987</v>
      </c>
      <c r="G16042" s="117">
        <v>24.23</v>
      </c>
    </row>
    <row r="16043" spans="1:7" x14ac:dyDescent="0.25">
      <c r="A16043" s="116" t="s">
        <v>25040</v>
      </c>
      <c r="B16043" s="117" t="s">
        <v>184</v>
      </c>
      <c r="C16043" t="s">
        <v>67</v>
      </c>
      <c r="D16043" t="s">
        <v>67</v>
      </c>
      <c r="E16043" t="s">
        <v>67</v>
      </c>
      <c r="F16043" t="s">
        <v>27987</v>
      </c>
      <c r="G16043" s="117">
        <v>4.8899999999999997</v>
      </c>
    </row>
    <row r="16044" spans="1:7" x14ac:dyDescent="0.25">
      <c r="A16044" s="116" t="s">
        <v>25041</v>
      </c>
      <c r="B16044" s="117" t="s">
        <v>8264</v>
      </c>
      <c r="C16044" t="s">
        <v>67</v>
      </c>
      <c r="D16044" t="s">
        <v>67</v>
      </c>
      <c r="E16044" t="s">
        <v>67</v>
      </c>
      <c r="F16044" t="s">
        <v>27987</v>
      </c>
      <c r="G16044" s="117">
        <v>3.56</v>
      </c>
    </row>
    <row r="16045" spans="1:7" x14ac:dyDescent="0.25">
      <c r="A16045" s="116" t="s">
        <v>25042</v>
      </c>
      <c r="B16045" s="117" t="s">
        <v>21863</v>
      </c>
      <c r="C16045" t="s">
        <v>67</v>
      </c>
      <c r="D16045" t="s">
        <v>67</v>
      </c>
      <c r="E16045" t="s">
        <v>67</v>
      </c>
      <c r="F16045" t="s">
        <v>27987</v>
      </c>
      <c r="G16045" s="117">
        <v>3.56</v>
      </c>
    </row>
    <row r="16046" spans="1:7" x14ac:dyDescent="0.25">
      <c r="A16046" s="116" t="s">
        <v>25043</v>
      </c>
      <c r="B16046" s="117" t="s">
        <v>25044</v>
      </c>
      <c r="C16046" t="s">
        <v>67</v>
      </c>
      <c r="D16046" t="s">
        <v>67</v>
      </c>
      <c r="E16046" t="s">
        <v>67</v>
      </c>
      <c r="F16046" t="s">
        <v>27987</v>
      </c>
      <c r="G16046" s="117">
        <v>4.8899999999999997</v>
      </c>
    </row>
    <row r="16047" spans="1:7" x14ac:dyDescent="0.25">
      <c r="A16047" s="116" t="s">
        <v>25045</v>
      </c>
      <c r="B16047" s="117" t="s">
        <v>25046</v>
      </c>
      <c r="C16047" t="s">
        <v>67</v>
      </c>
      <c r="D16047" t="s">
        <v>67</v>
      </c>
      <c r="E16047" t="s">
        <v>67</v>
      </c>
      <c r="F16047" t="s">
        <v>27987</v>
      </c>
      <c r="G16047" s="117">
        <v>66.3</v>
      </c>
    </row>
    <row r="16048" spans="1:7" x14ac:dyDescent="0.25">
      <c r="A16048" s="116" t="s">
        <v>25047</v>
      </c>
      <c r="B16048" s="117" t="s">
        <v>25048</v>
      </c>
      <c r="C16048" t="s">
        <v>67</v>
      </c>
      <c r="D16048" t="s">
        <v>67</v>
      </c>
      <c r="E16048" t="s">
        <v>67</v>
      </c>
      <c r="F16048" t="s">
        <v>45</v>
      </c>
      <c r="G16048" s="117">
        <v>2831.36</v>
      </c>
    </row>
    <row r="16049" spans="1:7" x14ac:dyDescent="0.25">
      <c r="A16049" s="116" t="s">
        <v>25049</v>
      </c>
      <c r="B16049" s="117" t="s">
        <v>25050</v>
      </c>
      <c r="C16049" t="s">
        <v>67</v>
      </c>
      <c r="D16049" t="s">
        <v>67</v>
      </c>
      <c r="E16049" t="s">
        <v>67</v>
      </c>
      <c r="F16049" t="s">
        <v>27987</v>
      </c>
      <c r="G16049" s="117">
        <v>1509.95</v>
      </c>
    </row>
    <row r="16050" spans="1:7" x14ac:dyDescent="0.25">
      <c r="A16050" s="116" t="s">
        <v>25051</v>
      </c>
      <c r="B16050" s="117" t="s">
        <v>25052</v>
      </c>
      <c r="C16050" t="s">
        <v>67</v>
      </c>
      <c r="D16050" t="s">
        <v>67</v>
      </c>
      <c r="E16050" t="s">
        <v>67</v>
      </c>
      <c r="F16050" t="s">
        <v>45</v>
      </c>
      <c r="G16050" s="117">
        <v>1769.79</v>
      </c>
    </row>
    <row r="16051" spans="1:7" x14ac:dyDescent="0.25">
      <c r="A16051" s="116" t="s">
        <v>25053</v>
      </c>
      <c r="B16051" s="117" t="s">
        <v>25054</v>
      </c>
      <c r="C16051" t="s">
        <v>67</v>
      </c>
      <c r="D16051" t="s">
        <v>67</v>
      </c>
      <c r="E16051" t="s">
        <v>67</v>
      </c>
      <c r="F16051" t="s">
        <v>45</v>
      </c>
      <c r="G16051" s="117">
        <v>1201.45</v>
      </c>
    </row>
    <row r="16052" spans="1:7" x14ac:dyDescent="0.25">
      <c r="A16052" s="116" t="s">
        <v>25055</v>
      </c>
      <c r="B16052" s="117" t="s">
        <v>25056</v>
      </c>
      <c r="C16052" t="s">
        <v>67</v>
      </c>
      <c r="D16052" t="s">
        <v>67</v>
      </c>
      <c r="E16052" t="s">
        <v>67</v>
      </c>
      <c r="F16052" t="s">
        <v>45</v>
      </c>
      <c r="G16052" s="117">
        <v>31.06</v>
      </c>
    </row>
    <row r="16053" spans="1:7" x14ac:dyDescent="0.25">
      <c r="A16053" s="116" t="s">
        <v>25057</v>
      </c>
      <c r="B16053" s="117" t="s">
        <v>25058</v>
      </c>
      <c r="C16053" t="s">
        <v>67</v>
      </c>
      <c r="D16053" t="s">
        <v>67</v>
      </c>
      <c r="E16053" t="s">
        <v>67</v>
      </c>
      <c r="F16053" t="s">
        <v>45</v>
      </c>
      <c r="G16053" s="117">
        <v>217.56</v>
      </c>
    </row>
    <row r="16054" spans="1:7" x14ac:dyDescent="0.25">
      <c r="A16054" s="116" t="s">
        <v>25059</v>
      </c>
      <c r="B16054" s="117" t="s">
        <v>25060</v>
      </c>
      <c r="C16054" t="s">
        <v>67</v>
      </c>
      <c r="D16054" t="s">
        <v>67</v>
      </c>
      <c r="E16054" t="s">
        <v>67</v>
      </c>
      <c r="F16054" t="s">
        <v>45</v>
      </c>
      <c r="G16054" s="117">
        <v>116.48</v>
      </c>
    </row>
    <row r="16055" spans="1:7" x14ac:dyDescent="0.25">
      <c r="A16055" s="116" t="s">
        <v>25061</v>
      </c>
      <c r="B16055" s="117" t="s">
        <v>25062</v>
      </c>
      <c r="C16055" t="s">
        <v>67</v>
      </c>
      <c r="D16055" t="s">
        <v>67</v>
      </c>
      <c r="E16055" t="s">
        <v>67</v>
      </c>
      <c r="F16055" t="s">
        <v>45</v>
      </c>
      <c r="G16055" s="117">
        <v>32.83</v>
      </c>
    </row>
    <row r="16056" spans="1:7" x14ac:dyDescent="0.25">
      <c r="A16056" s="116" t="s">
        <v>25063</v>
      </c>
      <c r="B16056" s="117" t="s">
        <v>25064</v>
      </c>
      <c r="C16056" t="s">
        <v>67</v>
      </c>
      <c r="D16056" t="s">
        <v>67</v>
      </c>
      <c r="E16056" t="s">
        <v>67</v>
      </c>
      <c r="F16056" t="s">
        <v>45</v>
      </c>
      <c r="G16056" s="117">
        <v>124.49</v>
      </c>
    </row>
    <row r="16057" spans="1:7" x14ac:dyDescent="0.25">
      <c r="A16057" s="116" t="s">
        <v>25065</v>
      </c>
      <c r="B16057" s="117" t="s">
        <v>25066</v>
      </c>
      <c r="C16057" t="s">
        <v>67</v>
      </c>
      <c r="D16057" t="s">
        <v>67</v>
      </c>
      <c r="E16057" t="s">
        <v>67</v>
      </c>
      <c r="F16057" t="s">
        <v>27987</v>
      </c>
      <c r="G16057" s="117">
        <v>87.64</v>
      </c>
    </row>
    <row r="16058" spans="1:7" x14ac:dyDescent="0.25">
      <c r="A16058" s="116" t="s">
        <v>25067</v>
      </c>
      <c r="B16058" s="117" t="s">
        <v>25068</v>
      </c>
      <c r="C16058" t="s">
        <v>67</v>
      </c>
      <c r="D16058" t="s">
        <v>67</v>
      </c>
      <c r="E16058" t="s">
        <v>67</v>
      </c>
      <c r="F16058" t="s">
        <v>45</v>
      </c>
      <c r="G16058" s="117">
        <v>1552.31</v>
      </c>
    </row>
    <row r="16059" spans="1:7" x14ac:dyDescent="0.25">
      <c r="A16059" s="116" t="s">
        <v>25069</v>
      </c>
      <c r="B16059" s="117" t="s">
        <v>25070</v>
      </c>
      <c r="C16059" t="s">
        <v>67</v>
      </c>
      <c r="D16059" t="s">
        <v>67</v>
      </c>
      <c r="E16059" t="s">
        <v>67</v>
      </c>
      <c r="F16059" t="s">
        <v>45</v>
      </c>
      <c r="G16059" s="117">
        <v>31.94</v>
      </c>
    </row>
    <row r="16060" spans="1:7" x14ac:dyDescent="0.25">
      <c r="A16060" s="116" t="s">
        <v>25071</v>
      </c>
      <c r="B16060" s="117" t="s">
        <v>25072</v>
      </c>
      <c r="C16060" t="s">
        <v>67</v>
      </c>
      <c r="D16060" t="s">
        <v>67</v>
      </c>
      <c r="E16060" t="s">
        <v>67</v>
      </c>
      <c r="F16060" t="s">
        <v>45</v>
      </c>
      <c r="G16060" s="117">
        <v>132.13999999999999</v>
      </c>
    </row>
    <row r="16061" spans="1:7" x14ac:dyDescent="0.25">
      <c r="A16061" s="116" t="s">
        <v>25073</v>
      </c>
      <c r="B16061" s="117" t="s">
        <v>25074</v>
      </c>
      <c r="C16061" t="s">
        <v>67</v>
      </c>
      <c r="D16061" t="s">
        <v>67</v>
      </c>
      <c r="E16061" t="s">
        <v>67</v>
      </c>
      <c r="F16061" t="s">
        <v>45</v>
      </c>
      <c r="G16061" s="117">
        <v>46.71</v>
      </c>
    </row>
    <row r="16062" spans="1:7" x14ac:dyDescent="0.25">
      <c r="A16062" s="116" t="s">
        <v>25075</v>
      </c>
      <c r="B16062" s="117" t="s">
        <v>25076</v>
      </c>
      <c r="C16062" t="s">
        <v>67</v>
      </c>
      <c r="D16062" t="s">
        <v>67</v>
      </c>
      <c r="E16062" t="s">
        <v>67</v>
      </c>
      <c r="F16062" t="s">
        <v>45</v>
      </c>
      <c r="G16062" s="117">
        <v>465.82</v>
      </c>
    </row>
    <row r="16063" spans="1:7" x14ac:dyDescent="0.25">
      <c r="A16063" s="116" t="s">
        <v>25077</v>
      </c>
      <c r="B16063" s="117" t="s">
        <v>25078</v>
      </c>
      <c r="C16063" t="s">
        <v>67</v>
      </c>
      <c r="D16063" t="s">
        <v>67</v>
      </c>
      <c r="E16063" t="s">
        <v>67</v>
      </c>
      <c r="F16063" t="s">
        <v>45</v>
      </c>
      <c r="G16063" s="117">
        <v>46.71</v>
      </c>
    </row>
    <row r="16064" spans="1:7" x14ac:dyDescent="0.25">
      <c r="A16064" s="116" t="s">
        <v>25079</v>
      </c>
      <c r="B16064" s="117" t="s">
        <v>25080</v>
      </c>
      <c r="C16064" t="s">
        <v>67</v>
      </c>
      <c r="D16064" t="s">
        <v>67</v>
      </c>
      <c r="E16064" t="s">
        <v>67</v>
      </c>
      <c r="F16064" t="s">
        <v>45</v>
      </c>
      <c r="G16064" s="117">
        <v>19.13</v>
      </c>
    </row>
    <row r="16065" spans="1:7" x14ac:dyDescent="0.25">
      <c r="A16065" s="116" t="s">
        <v>25081</v>
      </c>
      <c r="B16065" s="117" t="s">
        <v>25082</v>
      </c>
      <c r="C16065" t="s">
        <v>67</v>
      </c>
      <c r="D16065" t="s">
        <v>67</v>
      </c>
      <c r="E16065" t="s">
        <v>67</v>
      </c>
      <c r="F16065" t="s">
        <v>45</v>
      </c>
      <c r="G16065" s="117">
        <v>87.12</v>
      </c>
    </row>
    <row r="16066" spans="1:7" x14ac:dyDescent="0.25">
      <c r="A16066" s="116" t="s">
        <v>25083</v>
      </c>
      <c r="B16066" s="117" t="s">
        <v>25084</v>
      </c>
      <c r="C16066" t="s">
        <v>67</v>
      </c>
      <c r="D16066" t="s">
        <v>67</v>
      </c>
      <c r="E16066" t="s">
        <v>67</v>
      </c>
      <c r="F16066" t="s">
        <v>45</v>
      </c>
      <c r="G16066" s="117">
        <v>7.92</v>
      </c>
    </row>
    <row r="16067" spans="1:7" x14ac:dyDescent="0.25">
      <c r="A16067" s="116" t="s">
        <v>25085</v>
      </c>
      <c r="B16067" s="117" t="s">
        <v>25086</v>
      </c>
      <c r="C16067" t="s">
        <v>67</v>
      </c>
      <c r="D16067" t="s">
        <v>67</v>
      </c>
      <c r="E16067" t="s">
        <v>67</v>
      </c>
      <c r="F16067" t="s">
        <v>45</v>
      </c>
      <c r="G16067" s="117">
        <v>46.71</v>
      </c>
    </row>
    <row r="16068" spans="1:7" x14ac:dyDescent="0.25">
      <c r="A16068" s="116" t="s">
        <v>25087</v>
      </c>
      <c r="B16068" s="117" t="s">
        <v>25088</v>
      </c>
      <c r="C16068" t="s">
        <v>67</v>
      </c>
      <c r="D16068" t="s">
        <v>67</v>
      </c>
      <c r="E16068" t="s">
        <v>67</v>
      </c>
      <c r="F16068" t="s">
        <v>45</v>
      </c>
      <c r="G16068" s="117">
        <v>39.06</v>
      </c>
    </row>
    <row r="16069" spans="1:7" x14ac:dyDescent="0.25">
      <c r="A16069" s="116" t="s">
        <v>25089</v>
      </c>
      <c r="B16069" s="117" t="s">
        <v>25090</v>
      </c>
      <c r="C16069" t="s">
        <v>67</v>
      </c>
      <c r="D16069" t="s">
        <v>67</v>
      </c>
      <c r="E16069" t="s">
        <v>67</v>
      </c>
      <c r="F16069" t="s">
        <v>27987</v>
      </c>
      <c r="G16069" s="117">
        <v>39.06</v>
      </c>
    </row>
    <row r="16070" spans="1:7" x14ac:dyDescent="0.25">
      <c r="A16070" s="116" t="s">
        <v>25091</v>
      </c>
      <c r="B16070" s="117" t="s">
        <v>25092</v>
      </c>
      <c r="C16070" t="s">
        <v>67</v>
      </c>
      <c r="D16070" t="s">
        <v>67</v>
      </c>
      <c r="E16070" t="s">
        <v>67</v>
      </c>
      <c r="F16070" t="s">
        <v>27987</v>
      </c>
      <c r="G16070" s="117">
        <v>12.01</v>
      </c>
    </row>
    <row r="16071" spans="1:7" x14ac:dyDescent="0.25">
      <c r="A16071" s="116" t="s">
        <v>25093</v>
      </c>
      <c r="B16071" s="117" t="s">
        <v>25094</v>
      </c>
      <c r="C16071" t="s">
        <v>67</v>
      </c>
      <c r="D16071" t="s">
        <v>67</v>
      </c>
      <c r="E16071" t="s">
        <v>67</v>
      </c>
      <c r="F16071" t="s">
        <v>45</v>
      </c>
      <c r="G16071" s="117">
        <v>12.01</v>
      </c>
    </row>
    <row r="16072" spans="1:7" x14ac:dyDescent="0.25">
      <c r="A16072" s="116" t="s">
        <v>25095</v>
      </c>
      <c r="B16072" s="117" t="s">
        <v>25096</v>
      </c>
      <c r="C16072" t="s">
        <v>67</v>
      </c>
      <c r="D16072" t="s">
        <v>67</v>
      </c>
      <c r="E16072" t="s">
        <v>67</v>
      </c>
      <c r="F16072" t="s">
        <v>27987</v>
      </c>
      <c r="G16072" s="117">
        <v>8.81</v>
      </c>
    </row>
    <row r="16073" spans="1:7" x14ac:dyDescent="0.25">
      <c r="A16073" s="116" t="s">
        <v>25097</v>
      </c>
      <c r="B16073" s="117" t="s">
        <v>25098</v>
      </c>
      <c r="C16073" t="s">
        <v>67</v>
      </c>
      <c r="D16073" t="s">
        <v>67</v>
      </c>
      <c r="E16073" t="s">
        <v>67</v>
      </c>
      <c r="F16073" t="s">
        <v>45</v>
      </c>
      <c r="G16073" s="117">
        <v>21.8</v>
      </c>
    </row>
    <row r="16074" spans="1:7" x14ac:dyDescent="0.25">
      <c r="A16074" s="116" t="s">
        <v>25099</v>
      </c>
      <c r="B16074" s="117" t="s">
        <v>25100</v>
      </c>
      <c r="C16074" t="s">
        <v>67</v>
      </c>
      <c r="D16074" t="s">
        <v>67</v>
      </c>
      <c r="E16074" t="s">
        <v>67</v>
      </c>
      <c r="F16074" t="s">
        <v>45</v>
      </c>
      <c r="G16074" s="117">
        <v>97.44</v>
      </c>
    </row>
    <row r="16075" spans="1:7" x14ac:dyDescent="0.25">
      <c r="A16075" s="116" t="s">
        <v>25101</v>
      </c>
      <c r="B16075" s="117" t="s">
        <v>25102</v>
      </c>
      <c r="C16075" t="s">
        <v>67</v>
      </c>
      <c r="D16075" t="s">
        <v>67</v>
      </c>
      <c r="E16075" t="s">
        <v>67</v>
      </c>
      <c r="F16075" t="s">
        <v>27987</v>
      </c>
      <c r="G16075" s="117">
        <v>31.06</v>
      </c>
    </row>
    <row r="16076" spans="1:7" x14ac:dyDescent="0.25">
      <c r="A16076" s="116" t="s">
        <v>25103</v>
      </c>
      <c r="B16076" s="117" t="s">
        <v>25104</v>
      </c>
      <c r="C16076" t="s">
        <v>67</v>
      </c>
      <c r="D16076" t="s">
        <v>67</v>
      </c>
      <c r="E16076" t="s">
        <v>67</v>
      </c>
      <c r="F16076" t="s">
        <v>45</v>
      </c>
      <c r="G16076" s="117">
        <v>4</v>
      </c>
    </row>
    <row r="16077" spans="1:7" x14ac:dyDescent="0.25">
      <c r="A16077" s="116" t="s">
        <v>25105</v>
      </c>
      <c r="B16077" s="117" t="s">
        <v>25106</v>
      </c>
      <c r="C16077" t="s">
        <v>67</v>
      </c>
      <c r="D16077" t="s">
        <v>67</v>
      </c>
      <c r="E16077" t="s">
        <v>67</v>
      </c>
      <c r="F16077" t="s">
        <v>27987</v>
      </c>
      <c r="G16077" s="117">
        <v>3.48</v>
      </c>
    </row>
    <row r="16078" spans="1:7" x14ac:dyDescent="0.25">
      <c r="A16078" s="116" t="s">
        <v>25107</v>
      </c>
      <c r="B16078" s="117" t="s">
        <v>25108</v>
      </c>
      <c r="C16078" t="s">
        <v>67</v>
      </c>
      <c r="D16078" t="s">
        <v>67</v>
      </c>
      <c r="E16078" t="s">
        <v>67</v>
      </c>
      <c r="F16078" t="s">
        <v>45</v>
      </c>
      <c r="G16078" s="117">
        <v>3.48</v>
      </c>
    </row>
    <row r="16079" spans="1:7" x14ac:dyDescent="0.25">
      <c r="A16079" s="116" t="s">
        <v>25109</v>
      </c>
      <c r="B16079" s="117" t="s">
        <v>25110</v>
      </c>
      <c r="C16079" t="s">
        <v>67</v>
      </c>
      <c r="D16079" t="s">
        <v>67</v>
      </c>
      <c r="E16079" t="s">
        <v>67</v>
      </c>
      <c r="F16079" t="s">
        <v>27987</v>
      </c>
      <c r="G16079" s="117">
        <v>3.48</v>
      </c>
    </row>
    <row r="16080" spans="1:7" x14ac:dyDescent="0.25">
      <c r="A16080" s="116" t="s">
        <v>25111</v>
      </c>
      <c r="B16080" s="117" t="s">
        <v>25112</v>
      </c>
      <c r="C16080" t="s">
        <v>67</v>
      </c>
      <c r="D16080" t="s">
        <v>67</v>
      </c>
      <c r="E16080" t="s">
        <v>67</v>
      </c>
      <c r="F16080" t="s">
        <v>45</v>
      </c>
      <c r="G16080" s="117">
        <v>3.48</v>
      </c>
    </row>
    <row r="16081" spans="1:7" x14ac:dyDescent="0.25">
      <c r="A16081" s="116" t="s">
        <v>25113</v>
      </c>
      <c r="B16081" s="117" t="s">
        <v>25114</v>
      </c>
      <c r="C16081" t="s">
        <v>67</v>
      </c>
      <c r="D16081" t="s">
        <v>67</v>
      </c>
      <c r="E16081" t="s">
        <v>67</v>
      </c>
      <c r="F16081" t="s">
        <v>27987</v>
      </c>
      <c r="G16081" s="117">
        <v>3.48</v>
      </c>
    </row>
    <row r="16082" spans="1:7" x14ac:dyDescent="0.25">
      <c r="A16082" s="116" t="s">
        <v>25115</v>
      </c>
      <c r="B16082" s="117" t="s">
        <v>25116</v>
      </c>
      <c r="C16082" t="s">
        <v>67</v>
      </c>
      <c r="D16082" t="s">
        <v>67</v>
      </c>
      <c r="E16082" t="s">
        <v>67</v>
      </c>
      <c r="F16082" t="s">
        <v>45</v>
      </c>
      <c r="G16082" s="117">
        <v>4.8899999999999997</v>
      </c>
    </row>
    <row r="16083" spans="1:7" x14ac:dyDescent="0.25">
      <c r="A16083" s="116" t="s">
        <v>25117</v>
      </c>
      <c r="B16083" s="117" t="s">
        <v>25118</v>
      </c>
      <c r="C16083" t="s">
        <v>67</v>
      </c>
      <c r="D16083" t="s">
        <v>67</v>
      </c>
      <c r="E16083" t="s">
        <v>67</v>
      </c>
      <c r="F16083" t="s">
        <v>45</v>
      </c>
      <c r="G16083" s="117">
        <v>7.92</v>
      </c>
    </row>
    <row r="16084" spans="1:7" x14ac:dyDescent="0.25">
      <c r="A16084" s="116" t="s">
        <v>25119</v>
      </c>
      <c r="B16084" s="117" t="s">
        <v>25120</v>
      </c>
      <c r="C16084" t="s">
        <v>67</v>
      </c>
      <c r="D16084" t="s">
        <v>67</v>
      </c>
      <c r="E16084" t="s">
        <v>67</v>
      </c>
      <c r="F16084" t="s">
        <v>45</v>
      </c>
      <c r="G16084" s="117">
        <v>3.56</v>
      </c>
    </row>
    <row r="16085" spans="1:7" x14ac:dyDescent="0.25">
      <c r="A16085" s="116" t="s">
        <v>25121</v>
      </c>
      <c r="B16085" s="117" t="s">
        <v>25122</v>
      </c>
      <c r="C16085" t="s">
        <v>67</v>
      </c>
      <c r="D16085" t="s">
        <v>67</v>
      </c>
      <c r="E16085" t="s">
        <v>67</v>
      </c>
      <c r="F16085" t="s">
        <v>27987</v>
      </c>
      <c r="G16085" s="117">
        <v>3.48</v>
      </c>
    </row>
    <row r="16086" spans="1:7" x14ac:dyDescent="0.25">
      <c r="A16086" s="116" t="s">
        <v>25123</v>
      </c>
      <c r="B16086" s="117" t="s">
        <v>25124</v>
      </c>
      <c r="C16086" t="s">
        <v>67</v>
      </c>
      <c r="D16086" t="s">
        <v>67</v>
      </c>
      <c r="E16086" t="s">
        <v>67</v>
      </c>
      <c r="F16086" t="s">
        <v>45</v>
      </c>
      <c r="G16086" s="117">
        <v>3.48</v>
      </c>
    </row>
    <row r="16087" spans="1:7" x14ac:dyDescent="0.25">
      <c r="A16087" s="116" t="s">
        <v>25125</v>
      </c>
      <c r="B16087" s="117" t="s">
        <v>25126</v>
      </c>
      <c r="C16087" t="s">
        <v>67</v>
      </c>
      <c r="D16087" t="s">
        <v>67</v>
      </c>
      <c r="E16087" t="s">
        <v>67</v>
      </c>
      <c r="F16087" t="s">
        <v>27987</v>
      </c>
      <c r="G16087" s="117">
        <v>1002.75</v>
      </c>
    </row>
    <row r="16088" spans="1:7" x14ac:dyDescent="0.25">
      <c r="A16088" s="116" t="s">
        <v>25127</v>
      </c>
      <c r="B16088" s="117" t="s">
        <v>25128</v>
      </c>
      <c r="C16088" t="s">
        <v>67</v>
      </c>
      <c r="D16088" t="s">
        <v>67</v>
      </c>
      <c r="E16088" t="s">
        <v>67</v>
      </c>
      <c r="F16088" t="s">
        <v>45</v>
      </c>
      <c r="G16088" s="117">
        <v>649.13</v>
      </c>
    </row>
    <row r="16089" spans="1:7" x14ac:dyDescent="0.25">
      <c r="A16089" s="116" t="s">
        <v>25129</v>
      </c>
      <c r="B16089" s="117" t="s">
        <v>25130</v>
      </c>
      <c r="C16089" t="s">
        <v>67</v>
      </c>
      <c r="D16089" t="s">
        <v>67</v>
      </c>
      <c r="E16089" t="s">
        <v>67</v>
      </c>
      <c r="F16089" t="s">
        <v>45</v>
      </c>
      <c r="G16089" s="117">
        <v>270.06</v>
      </c>
    </row>
    <row r="16090" spans="1:7" x14ac:dyDescent="0.25">
      <c r="A16090" s="116" t="s">
        <v>25131</v>
      </c>
      <c r="B16090" s="117" t="s">
        <v>25132</v>
      </c>
      <c r="C16090" t="s">
        <v>67</v>
      </c>
      <c r="D16090" t="s">
        <v>67</v>
      </c>
      <c r="E16090" t="s">
        <v>67</v>
      </c>
      <c r="F16090" t="s">
        <v>45</v>
      </c>
      <c r="G16090" s="117">
        <v>437.7</v>
      </c>
    </row>
    <row r="16091" spans="1:7" x14ac:dyDescent="0.25">
      <c r="A16091" s="116" t="s">
        <v>25133</v>
      </c>
      <c r="B16091" s="117" t="s">
        <v>25134</v>
      </c>
      <c r="C16091" t="s">
        <v>67</v>
      </c>
      <c r="D16091" t="s">
        <v>67</v>
      </c>
      <c r="E16091" t="s">
        <v>67</v>
      </c>
      <c r="F16091" t="s">
        <v>27987</v>
      </c>
      <c r="G16091" s="117">
        <v>884.94</v>
      </c>
    </row>
    <row r="16092" spans="1:7" x14ac:dyDescent="0.25">
      <c r="A16092" s="116" t="s">
        <v>25135</v>
      </c>
      <c r="B16092" s="117" t="s">
        <v>25136</v>
      </c>
      <c r="C16092" t="s">
        <v>67</v>
      </c>
      <c r="D16092" t="s">
        <v>67</v>
      </c>
      <c r="E16092" t="s">
        <v>67</v>
      </c>
      <c r="F16092" t="s">
        <v>45</v>
      </c>
      <c r="G16092" s="117">
        <v>310.45999999999998</v>
      </c>
    </row>
    <row r="16093" spans="1:7" x14ac:dyDescent="0.25">
      <c r="A16093" s="116" t="s">
        <v>25137</v>
      </c>
      <c r="B16093" s="117" t="s">
        <v>25138</v>
      </c>
      <c r="C16093" t="s">
        <v>67</v>
      </c>
      <c r="D16093" t="s">
        <v>67</v>
      </c>
      <c r="E16093" t="s">
        <v>67</v>
      </c>
      <c r="F16093" t="s">
        <v>27987</v>
      </c>
      <c r="G16093" s="117">
        <v>4.3899999999999997</v>
      </c>
    </row>
    <row r="16094" spans="1:7" x14ac:dyDescent="0.25">
      <c r="A16094" s="116" t="s">
        <v>25139</v>
      </c>
      <c r="B16094" s="117" t="s">
        <v>25140</v>
      </c>
      <c r="C16094" t="s">
        <v>67</v>
      </c>
      <c r="D16094" t="s">
        <v>67</v>
      </c>
      <c r="E16094" t="s">
        <v>67</v>
      </c>
      <c r="F16094" t="s">
        <v>27990</v>
      </c>
      <c r="G16094" s="117">
        <v>6.23</v>
      </c>
    </row>
    <row r="16095" spans="1:7" x14ac:dyDescent="0.25">
      <c r="A16095" s="116" t="s">
        <v>25141</v>
      </c>
      <c r="B16095" s="117" t="s">
        <v>25142</v>
      </c>
      <c r="C16095" t="s">
        <v>67</v>
      </c>
      <c r="D16095" t="s">
        <v>67</v>
      </c>
      <c r="E16095" t="s">
        <v>67</v>
      </c>
      <c r="F16095" t="s">
        <v>45</v>
      </c>
      <c r="G16095" s="117">
        <v>6.23</v>
      </c>
    </row>
    <row r="16096" spans="1:7" x14ac:dyDescent="0.25">
      <c r="A16096" s="116" t="s">
        <v>25143</v>
      </c>
      <c r="B16096" s="117" t="s">
        <v>25144</v>
      </c>
      <c r="C16096" t="s">
        <v>67</v>
      </c>
      <c r="D16096" t="s">
        <v>67</v>
      </c>
      <c r="E16096" t="s">
        <v>67</v>
      </c>
      <c r="F16096" t="s">
        <v>45</v>
      </c>
      <c r="G16096" s="117">
        <v>0.44</v>
      </c>
    </row>
    <row r="16097" spans="1:7" x14ac:dyDescent="0.25">
      <c r="A16097" s="116" t="s">
        <v>25145</v>
      </c>
      <c r="B16097" s="117" t="s">
        <v>25146</v>
      </c>
      <c r="C16097" t="s">
        <v>67</v>
      </c>
      <c r="D16097" t="s">
        <v>67</v>
      </c>
      <c r="E16097" t="s">
        <v>67</v>
      </c>
      <c r="F16097" t="s">
        <v>45</v>
      </c>
      <c r="G16097" s="117">
        <v>59.18</v>
      </c>
    </row>
    <row r="16098" spans="1:7" x14ac:dyDescent="0.25">
      <c r="A16098" s="116" t="s">
        <v>25147</v>
      </c>
      <c r="B16098" s="117" t="s">
        <v>25148</v>
      </c>
      <c r="C16098" t="s">
        <v>67</v>
      </c>
      <c r="D16098" t="s">
        <v>67</v>
      </c>
      <c r="E16098" t="s">
        <v>67</v>
      </c>
      <c r="F16098" t="s">
        <v>45</v>
      </c>
      <c r="G16098" s="117">
        <v>0.44</v>
      </c>
    </row>
    <row r="16099" spans="1:7" x14ac:dyDescent="0.25">
      <c r="A16099" s="116" t="s">
        <v>25149</v>
      </c>
      <c r="B16099" s="117" t="s">
        <v>25150</v>
      </c>
      <c r="C16099" t="s">
        <v>67</v>
      </c>
      <c r="D16099" t="s">
        <v>67</v>
      </c>
      <c r="E16099" t="s">
        <v>67</v>
      </c>
      <c r="F16099" t="s">
        <v>45</v>
      </c>
      <c r="G16099" s="117">
        <v>14.14</v>
      </c>
    </row>
    <row r="16100" spans="1:7" x14ac:dyDescent="0.25">
      <c r="A16100" s="116" t="s">
        <v>25151</v>
      </c>
      <c r="B16100" s="117" t="s">
        <v>25152</v>
      </c>
      <c r="C16100" t="s">
        <v>67</v>
      </c>
      <c r="D16100" t="s">
        <v>67</v>
      </c>
      <c r="E16100" t="s">
        <v>67</v>
      </c>
      <c r="F16100" t="s">
        <v>45</v>
      </c>
      <c r="G16100" s="117">
        <v>3.56</v>
      </c>
    </row>
    <row r="16101" spans="1:7" x14ac:dyDescent="0.25">
      <c r="A16101" s="116" t="s">
        <v>25153</v>
      </c>
      <c r="B16101" s="117" t="s">
        <v>25154</v>
      </c>
      <c r="C16101" t="s">
        <v>67</v>
      </c>
      <c r="D16101" t="s">
        <v>67</v>
      </c>
      <c r="E16101" t="s">
        <v>67</v>
      </c>
      <c r="F16101" t="s">
        <v>45</v>
      </c>
      <c r="G16101" s="117">
        <v>4</v>
      </c>
    </row>
    <row r="16102" spans="1:7" x14ac:dyDescent="0.25">
      <c r="A16102" s="116" t="s">
        <v>25155</v>
      </c>
      <c r="B16102" s="117" t="s">
        <v>25156</v>
      </c>
      <c r="C16102" t="s">
        <v>67</v>
      </c>
      <c r="D16102" t="s">
        <v>67</v>
      </c>
      <c r="E16102" t="s">
        <v>67</v>
      </c>
      <c r="F16102" t="s">
        <v>45</v>
      </c>
      <c r="G16102" s="117">
        <v>13.26</v>
      </c>
    </row>
    <row r="16103" spans="1:7" x14ac:dyDescent="0.25">
      <c r="A16103" s="116" t="s">
        <v>25157</v>
      </c>
      <c r="B16103" s="117" t="s">
        <v>25158</v>
      </c>
      <c r="C16103" t="s">
        <v>67</v>
      </c>
      <c r="D16103" t="s">
        <v>67</v>
      </c>
      <c r="E16103" t="s">
        <v>67</v>
      </c>
      <c r="F16103" t="s">
        <v>27987</v>
      </c>
      <c r="G16103" s="117">
        <v>60.42</v>
      </c>
    </row>
    <row r="16104" spans="1:7" x14ac:dyDescent="0.25">
      <c r="A16104" s="116" t="s">
        <v>25159</v>
      </c>
      <c r="B16104" s="117" t="s">
        <v>25160</v>
      </c>
      <c r="C16104" t="s">
        <v>67</v>
      </c>
      <c r="D16104" t="s">
        <v>67</v>
      </c>
      <c r="E16104" t="s">
        <v>67</v>
      </c>
      <c r="F16104" t="s">
        <v>27987</v>
      </c>
      <c r="G16104" s="117">
        <v>36.93</v>
      </c>
    </row>
    <row r="16105" spans="1:7" x14ac:dyDescent="0.25">
      <c r="A16105" s="116" t="s">
        <v>25161</v>
      </c>
      <c r="B16105" s="117" t="s">
        <v>25162</v>
      </c>
      <c r="C16105" t="s">
        <v>67</v>
      </c>
      <c r="D16105" t="s">
        <v>67</v>
      </c>
      <c r="E16105" t="s">
        <v>67</v>
      </c>
      <c r="F16105" t="s">
        <v>45</v>
      </c>
      <c r="G16105" s="117">
        <v>0.44</v>
      </c>
    </row>
    <row r="16106" spans="1:7" x14ac:dyDescent="0.25">
      <c r="A16106" s="116" t="s">
        <v>25163</v>
      </c>
      <c r="B16106" s="117" t="s">
        <v>25164</v>
      </c>
      <c r="C16106" t="s">
        <v>67</v>
      </c>
      <c r="D16106" t="s">
        <v>67</v>
      </c>
      <c r="E16106" t="s">
        <v>67</v>
      </c>
      <c r="F16106" t="s">
        <v>49</v>
      </c>
      <c r="G16106" s="117">
        <v>0.44</v>
      </c>
    </row>
    <row r="16107" spans="1:7" x14ac:dyDescent="0.25">
      <c r="A16107" s="116" t="s">
        <v>25165</v>
      </c>
      <c r="B16107" s="117" t="s">
        <v>25166</v>
      </c>
      <c r="C16107" t="s">
        <v>67</v>
      </c>
      <c r="D16107" t="s">
        <v>67</v>
      </c>
      <c r="E16107" t="s">
        <v>67</v>
      </c>
      <c r="F16107" t="s">
        <v>45</v>
      </c>
      <c r="G16107" s="117">
        <v>6.14</v>
      </c>
    </row>
    <row r="16108" spans="1:7" x14ac:dyDescent="0.25">
      <c r="A16108" s="116" t="s">
        <v>25167</v>
      </c>
      <c r="B16108" s="117" t="s">
        <v>25168</v>
      </c>
      <c r="C16108" t="s">
        <v>67</v>
      </c>
      <c r="D16108" t="s">
        <v>67</v>
      </c>
      <c r="E16108" t="s">
        <v>67</v>
      </c>
      <c r="F16108" t="s">
        <v>27987</v>
      </c>
      <c r="G16108" s="117">
        <v>24.82</v>
      </c>
    </row>
    <row r="16109" spans="1:7" x14ac:dyDescent="0.25">
      <c r="A16109" s="116" t="s">
        <v>25169</v>
      </c>
      <c r="B16109" s="117" t="s">
        <v>25170</v>
      </c>
      <c r="C16109" t="s">
        <v>67</v>
      </c>
      <c r="D16109" t="s">
        <v>67</v>
      </c>
      <c r="E16109" t="s">
        <v>67</v>
      </c>
      <c r="F16109" t="s">
        <v>27987</v>
      </c>
      <c r="G16109" s="117">
        <v>4.8899999999999997</v>
      </c>
    </row>
    <row r="16110" spans="1:7" x14ac:dyDescent="0.25">
      <c r="A16110" s="116" t="s">
        <v>25171</v>
      </c>
      <c r="B16110" s="117" t="s">
        <v>25172</v>
      </c>
      <c r="C16110" t="s">
        <v>67</v>
      </c>
      <c r="D16110" t="s">
        <v>67</v>
      </c>
      <c r="E16110" t="s">
        <v>67</v>
      </c>
      <c r="F16110" t="s">
        <v>27987</v>
      </c>
      <c r="G16110" s="117">
        <v>2.58</v>
      </c>
    </row>
    <row r="16111" spans="1:7" x14ac:dyDescent="0.25">
      <c r="A16111" s="116" t="s">
        <v>25173</v>
      </c>
      <c r="B16111" s="117" t="s">
        <v>25166</v>
      </c>
      <c r="C16111" t="s">
        <v>67</v>
      </c>
      <c r="D16111" t="s">
        <v>67</v>
      </c>
      <c r="E16111" t="s">
        <v>67</v>
      </c>
      <c r="F16111" t="s">
        <v>27987</v>
      </c>
      <c r="G16111" s="117">
        <v>10.58</v>
      </c>
    </row>
    <row r="16112" spans="1:7" x14ac:dyDescent="0.25">
      <c r="A16112" s="116" t="s">
        <v>25174</v>
      </c>
      <c r="B16112" s="117" t="s">
        <v>25175</v>
      </c>
      <c r="C16112" t="s">
        <v>67</v>
      </c>
      <c r="D16112" t="s">
        <v>67</v>
      </c>
      <c r="E16112" t="s">
        <v>67</v>
      </c>
      <c r="F16112" t="s">
        <v>27987</v>
      </c>
      <c r="G16112" s="117">
        <v>305.66000000000003</v>
      </c>
    </row>
    <row r="16113" spans="1:7" x14ac:dyDescent="0.25">
      <c r="A16113" s="116" t="s">
        <v>25176</v>
      </c>
      <c r="B16113" s="117" t="s">
        <v>25177</v>
      </c>
      <c r="C16113" t="s">
        <v>67</v>
      </c>
      <c r="D16113" t="s">
        <v>67</v>
      </c>
      <c r="E16113" t="s">
        <v>67</v>
      </c>
      <c r="F16113" t="s">
        <v>27987</v>
      </c>
      <c r="G16113" s="117">
        <v>33.369999999999997</v>
      </c>
    </row>
    <row r="16114" spans="1:7" x14ac:dyDescent="0.25">
      <c r="A16114" s="116" t="s">
        <v>25178</v>
      </c>
      <c r="B16114" s="117" t="s">
        <v>25179</v>
      </c>
      <c r="C16114" t="s">
        <v>67</v>
      </c>
      <c r="D16114" t="s">
        <v>67</v>
      </c>
      <c r="E16114" t="s">
        <v>67</v>
      </c>
      <c r="F16114" t="s">
        <v>45</v>
      </c>
      <c r="G16114" s="117">
        <v>2.58</v>
      </c>
    </row>
    <row r="16115" spans="1:7" x14ac:dyDescent="0.25">
      <c r="A16115" s="116" t="s">
        <v>25180</v>
      </c>
      <c r="B16115" s="117" t="s">
        <v>25181</v>
      </c>
      <c r="C16115" t="s">
        <v>67</v>
      </c>
      <c r="D16115" t="s">
        <v>67</v>
      </c>
      <c r="E16115" t="s">
        <v>67</v>
      </c>
      <c r="F16115" t="s">
        <v>45</v>
      </c>
      <c r="G16115" s="117">
        <v>4.8899999999999997</v>
      </c>
    </row>
    <row r="16116" spans="1:7" x14ac:dyDescent="0.25">
      <c r="A16116" s="116" t="s">
        <v>25182</v>
      </c>
      <c r="B16116" s="117" t="s">
        <v>25183</v>
      </c>
      <c r="C16116" t="s">
        <v>67</v>
      </c>
      <c r="D16116" t="s">
        <v>67</v>
      </c>
      <c r="E16116" t="s">
        <v>67</v>
      </c>
      <c r="F16116" t="s">
        <v>45</v>
      </c>
      <c r="G16116" s="117">
        <v>4.8899999999999997</v>
      </c>
    </row>
    <row r="16117" spans="1:7" x14ac:dyDescent="0.25">
      <c r="A16117" s="116" t="s">
        <v>25184</v>
      </c>
      <c r="B16117" s="117" t="s">
        <v>25185</v>
      </c>
      <c r="C16117" t="s">
        <v>67</v>
      </c>
      <c r="D16117" t="s">
        <v>67</v>
      </c>
      <c r="E16117" t="s">
        <v>67</v>
      </c>
      <c r="F16117" t="s">
        <v>45</v>
      </c>
      <c r="G16117" s="117">
        <v>2.67</v>
      </c>
    </row>
    <row r="16118" spans="1:7" x14ac:dyDescent="0.25">
      <c r="A16118" s="116" t="s">
        <v>25186</v>
      </c>
      <c r="B16118" s="117" t="s">
        <v>25187</v>
      </c>
      <c r="C16118" t="s">
        <v>67</v>
      </c>
      <c r="D16118" t="s">
        <v>67</v>
      </c>
      <c r="E16118" t="s">
        <v>67</v>
      </c>
      <c r="F16118" t="s">
        <v>45</v>
      </c>
      <c r="G16118" s="117">
        <v>6.14</v>
      </c>
    </row>
    <row r="16119" spans="1:7" x14ac:dyDescent="0.25">
      <c r="A16119" s="116" t="s">
        <v>25188</v>
      </c>
      <c r="B16119" s="117" t="s">
        <v>25189</v>
      </c>
      <c r="C16119" t="s">
        <v>67</v>
      </c>
      <c r="D16119" t="s">
        <v>67</v>
      </c>
      <c r="E16119" t="s">
        <v>67</v>
      </c>
      <c r="F16119" t="s">
        <v>45</v>
      </c>
      <c r="G16119" s="117">
        <v>15.57</v>
      </c>
    </row>
    <row r="16120" spans="1:7" x14ac:dyDescent="0.25">
      <c r="A16120" s="116" t="s">
        <v>25190</v>
      </c>
      <c r="B16120" s="117" t="s">
        <v>25191</v>
      </c>
      <c r="C16120" t="s">
        <v>67</v>
      </c>
      <c r="D16120" t="s">
        <v>67</v>
      </c>
      <c r="E16120" t="s">
        <v>67</v>
      </c>
      <c r="F16120" t="s">
        <v>45</v>
      </c>
      <c r="G16120" s="117">
        <v>3.56</v>
      </c>
    </row>
    <row r="16121" spans="1:7" x14ac:dyDescent="0.25">
      <c r="A16121" s="116" t="s">
        <v>25192</v>
      </c>
      <c r="B16121" s="117" t="s">
        <v>25193</v>
      </c>
      <c r="C16121" t="s">
        <v>67</v>
      </c>
      <c r="D16121" t="s">
        <v>67</v>
      </c>
      <c r="E16121" t="s">
        <v>67</v>
      </c>
      <c r="F16121" t="s">
        <v>45</v>
      </c>
      <c r="G16121" s="117">
        <v>34.26</v>
      </c>
    </row>
    <row r="16122" spans="1:7" x14ac:dyDescent="0.25">
      <c r="A16122" s="116" t="s">
        <v>25194</v>
      </c>
      <c r="B16122" s="117" t="s">
        <v>25195</v>
      </c>
      <c r="C16122" t="s">
        <v>67</v>
      </c>
      <c r="D16122" t="s">
        <v>67</v>
      </c>
      <c r="E16122" t="s">
        <v>67</v>
      </c>
      <c r="F16122" t="s">
        <v>45</v>
      </c>
      <c r="G16122" s="117">
        <v>2.58</v>
      </c>
    </row>
    <row r="16123" spans="1:7" x14ac:dyDescent="0.25">
      <c r="A16123" s="116" t="s">
        <v>25196</v>
      </c>
      <c r="B16123" s="117" t="s">
        <v>25197</v>
      </c>
      <c r="C16123" t="s">
        <v>67</v>
      </c>
      <c r="D16123" t="s">
        <v>67</v>
      </c>
      <c r="E16123" t="s">
        <v>67</v>
      </c>
      <c r="F16123" t="s">
        <v>45</v>
      </c>
      <c r="G16123" s="117">
        <v>4.8899999999999997</v>
      </c>
    </row>
    <row r="16124" spans="1:7" x14ac:dyDescent="0.25">
      <c r="A16124" s="116" t="s">
        <v>25198</v>
      </c>
      <c r="B16124" s="117" t="s">
        <v>25199</v>
      </c>
      <c r="C16124" t="s">
        <v>67</v>
      </c>
      <c r="D16124" t="s">
        <v>67</v>
      </c>
      <c r="E16124" t="s">
        <v>67</v>
      </c>
      <c r="F16124" t="s">
        <v>45</v>
      </c>
      <c r="G16124" s="117">
        <v>4.8899999999999997</v>
      </c>
    </row>
    <row r="16125" spans="1:7" x14ac:dyDescent="0.25">
      <c r="A16125" s="116" t="s">
        <v>25200</v>
      </c>
      <c r="B16125" s="117" t="s">
        <v>25201</v>
      </c>
      <c r="C16125" t="s">
        <v>67</v>
      </c>
      <c r="D16125" t="s">
        <v>67</v>
      </c>
      <c r="E16125" t="s">
        <v>67</v>
      </c>
      <c r="F16125" t="s">
        <v>45</v>
      </c>
      <c r="G16125" s="117">
        <v>4.8899999999999997</v>
      </c>
    </row>
    <row r="16126" spans="1:7" x14ac:dyDescent="0.25">
      <c r="A16126" s="116" t="s">
        <v>25202</v>
      </c>
      <c r="B16126" s="117" t="s">
        <v>14479</v>
      </c>
      <c r="C16126" t="s">
        <v>67</v>
      </c>
      <c r="D16126" t="s">
        <v>67</v>
      </c>
      <c r="E16126" t="s">
        <v>67</v>
      </c>
      <c r="F16126" t="s">
        <v>45</v>
      </c>
      <c r="G16126" s="117">
        <v>46.18</v>
      </c>
    </row>
    <row r="16127" spans="1:7" x14ac:dyDescent="0.25">
      <c r="A16127" s="116" t="s">
        <v>25203</v>
      </c>
      <c r="B16127" s="117" t="s">
        <v>25204</v>
      </c>
      <c r="C16127" t="s">
        <v>67</v>
      </c>
      <c r="D16127" t="s">
        <v>67</v>
      </c>
      <c r="E16127" t="s">
        <v>67</v>
      </c>
      <c r="F16127" t="s">
        <v>45</v>
      </c>
      <c r="G16127" s="117">
        <v>92.1</v>
      </c>
    </row>
    <row r="16128" spans="1:7" x14ac:dyDescent="0.25">
      <c r="A16128" s="116" t="s">
        <v>25205</v>
      </c>
      <c r="B16128" s="117" t="s">
        <v>25206</v>
      </c>
      <c r="C16128" t="s">
        <v>67</v>
      </c>
      <c r="D16128" t="s">
        <v>67</v>
      </c>
      <c r="E16128" t="s">
        <v>67</v>
      </c>
      <c r="F16128" t="s">
        <v>27987</v>
      </c>
      <c r="G16128" s="117">
        <v>7.92</v>
      </c>
    </row>
    <row r="16129" spans="1:7" x14ac:dyDescent="0.25">
      <c r="A16129" s="116" t="s">
        <v>25207</v>
      </c>
      <c r="B16129" s="117" t="s">
        <v>25208</v>
      </c>
      <c r="C16129" t="s">
        <v>67</v>
      </c>
      <c r="D16129" t="s">
        <v>67</v>
      </c>
      <c r="E16129" t="s">
        <v>67</v>
      </c>
      <c r="F16129" t="s">
        <v>45</v>
      </c>
      <c r="G16129" s="117">
        <v>0.44</v>
      </c>
    </row>
    <row r="16130" spans="1:7" x14ac:dyDescent="0.25">
      <c r="A16130" s="116" t="s">
        <v>25209</v>
      </c>
      <c r="B16130" s="117" t="s">
        <v>25210</v>
      </c>
      <c r="C16130" t="s">
        <v>67</v>
      </c>
      <c r="D16130" t="s">
        <v>67</v>
      </c>
      <c r="E16130" t="s">
        <v>67</v>
      </c>
      <c r="F16130" t="s">
        <v>27987</v>
      </c>
      <c r="G16130" s="117">
        <v>7.02</v>
      </c>
    </row>
    <row r="16131" spans="1:7" x14ac:dyDescent="0.25">
      <c r="A16131" s="116" t="s">
        <v>25211</v>
      </c>
      <c r="B16131" s="117" t="s">
        <v>25212</v>
      </c>
      <c r="C16131" t="s">
        <v>67</v>
      </c>
      <c r="D16131" t="s">
        <v>67</v>
      </c>
      <c r="E16131" t="s">
        <v>67</v>
      </c>
      <c r="F16131" t="s">
        <v>45</v>
      </c>
      <c r="G16131" s="117">
        <v>311.88</v>
      </c>
    </row>
    <row r="16132" spans="1:7" x14ac:dyDescent="0.25">
      <c r="A16132" s="116" t="s">
        <v>25213</v>
      </c>
      <c r="B16132" s="117" t="s">
        <v>25214</v>
      </c>
      <c r="C16132" t="s">
        <v>67</v>
      </c>
      <c r="D16132" t="s">
        <v>67</v>
      </c>
      <c r="E16132" t="s">
        <v>67</v>
      </c>
      <c r="F16132" t="s">
        <v>27987</v>
      </c>
      <c r="G16132" s="117">
        <v>47.61</v>
      </c>
    </row>
    <row r="16133" spans="1:7" x14ac:dyDescent="0.25">
      <c r="A16133" s="116" t="s">
        <v>25215</v>
      </c>
      <c r="B16133" s="117" t="s">
        <v>25216</v>
      </c>
      <c r="C16133" t="s">
        <v>67</v>
      </c>
      <c r="D16133" t="s">
        <v>67</v>
      </c>
      <c r="E16133" t="s">
        <v>67</v>
      </c>
      <c r="F16133" t="s">
        <v>45</v>
      </c>
      <c r="G16133" s="117">
        <v>41.38</v>
      </c>
    </row>
    <row r="16134" spans="1:7" x14ac:dyDescent="0.25">
      <c r="A16134" s="116" t="s">
        <v>25217</v>
      </c>
      <c r="B16134" s="117" t="s">
        <v>25201</v>
      </c>
      <c r="C16134" t="s">
        <v>67</v>
      </c>
      <c r="D16134" t="s">
        <v>67</v>
      </c>
      <c r="E16134" t="s">
        <v>67</v>
      </c>
      <c r="F16134" t="s">
        <v>45</v>
      </c>
      <c r="G16134" s="117">
        <v>2.58</v>
      </c>
    </row>
    <row r="16135" spans="1:7" x14ac:dyDescent="0.25">
      <c r="A16135" s="116" t="s">
        <v>25218</v>
      </c>
      <c r="B16135" s="117" t="s">
        <v>25219</v>
      </c>
      <c r="C16135" t="s">
        <v>67</v>
      </c>
      <c r="D16135" t="s">
        <v>67</v>
      </c>
      <c r="E16135" t="s">
        <v>67</v>
      </c>
      <c r="F16135" t="s">
        <v>45</v>
      </c>
      <c r="G16135" s="117">
        <v>0.44</v>
      </c>
    </row>
    <row r="16136" spans="1:7" x14ac:dyDescent="0.25">
      <c r="A16136" s="116" t="s">
        <v>25220</v>
      </c>
      <c r="B16136" s="117" t="s">
        <v>25221</v>
      </c>
      <c r="C16136" t="s">
        <v>67</v>
      </c>
      <c r="D16136" t="s">
        <v>67</v>
      </c>
      <c r="E16136" t="s">
        <v>67</v>
      </c>
      <c r="F16136" t="s">
        <v>45</v>
      </c>
      <c r="G16136" s="117">
        <v>12.01</v>
      </c>
    </row>
    <row r="16137" spans="1:7" x14ac:dyDescent="0.25">
      <c r="A16137" s="116" t="s">
        <v>25222</v>
      </c>
      <c r="B16137" s="117" t="s">
        <v>25223</v>
      </c>
      <c r="C16137" t="s">
        <v>67</v>
      </c>
      <c r="D16137" t="s">
        <v>67</v>
      </c>
      <c r="E16137" t="s">
        <v>67</v>
      </c>
      <c r="F16137" t="s">
        <v>27987</v>
      </c>
      <c r="G16137" s="117">
        <v>31.94</v>
      </c>
    </row>
    <row r="16138" spans="1:7" x14ac:dyDescent="0.25">
      <c r="A16138" s="116" t="s">
        <v>25224</v>
      </c>
      <c r="B16138" s="117" t="s">
        <v>25225</v>
      </c>
      <c r="C16138" t="s">
        <v>67</v>
      </c>
      <c r="D16138" t="s">
        <v>67</v>
      </c>
      <c r="E16138" t="s">
        <v>67</v>
      </c>
      <c r="F16138" t="s">
        <v>27987</v>
      </c>
      <c r="G16138" s="117">
        <v>15.57</v>
      </c>
    </row>
    <row r="16139" spans="1:7" x14ac:dyDescent="0.25">
      <c r="A16139" s="116" t="s">
        <v>25226</v>
      </c>
      <c r="B16139" s="117" t="s">
        <v>25227</v>
      </c>
      <c r="C16139" t="s">
        <v>67</v>
      </c>
      <c r="D16139" t="s">
        <v>67</v>
      </c>
      <c r="E16139" t="s">
        <v>67</v>
      </c>
      <c r="F16139" t="s">
        <v>45</v>
      </c>
      <c r="G16139" s="117">
        <v>28.02</v>
      </c>
    </row>
    <row r="16140" spans="1:7" x14ac:dyDescent="0.25">
      <c r="A16140" s="116" t="s">
        <v>25228</v>
      </c>
      <c r="B16140" s="117" t="s">
        <v>25229</v>
      </c>
      <c r="C16140" t="s">
        <v>67</v>
      </c>
      <c r="D16140" t="s">
        <v>67</v>
      </c>
      <c r="E16140" t="s">
        <v>67</v>
      </c>
      <c r="F16140" t="s">
        <v>27987</v>
      </c>
      <c r="G16140" s="117">
        <v>271.85000000000002</v>
      </c>
    </row>
    <row r="16141" spans="1:7" x14ac:dyDescent="0.25">
      <c r="A16141" s="116" t="s">
        <v>25230</v>
      </c>
      <c r="B16141" s="117" t="s">
        <v>25225</v>
      </c>
      <c r="C16141" t="s">
        <v>67</v>
      </c>
      <c r="D16141" t="s">
        <v>67</v>
      </c>
      <c r="E16141" t="s">
        <v>67</v>
      </c>
      <c r="F16141" t="s">
        <v>27987</v>
      </c>
      <c r="G16141" s="117">
        <v>14.14</v>
      </c>
    </row>
    <row r="16142" spans="1:7" x14ac:dyDescent="0.25">
      <c r="A16142" s="116" t="s">
        <v>25231</v>
      </c>
      <c r="B16142" s="117" t="s">
        <v>25232</v>
      </c>
      <c r="C16142" t="s">
        <v>67</v>
      </c>
      <c r="D16142" t="s">
        <v>67</v>
      </c>
      <c r="E16142" t="s">
        <v>67</v>
      </c>
      <c r="F16142" t="s">
        <v>45</v>
      </c>
      <c r="G16142" s="117">
        <v>34.26</v>
      </c>
    </row>
    <row r="16143" spans="1:7" x14ac:dyDescent="0.25">
      <c r="A16143" s="116" t="s">
        <v>25233</v>
      </c>
      <c r="B16143" s="117" t="s">
        <v>25234</v>
      </c>
      <c r="C16143" t="s">
        <v>67</v>
      </c>
      <c r="D16143" t="s">
        <v>67</v>
      </c>
      <c r="E16143" t="s">
        <v>67</v>
      </c>
      <c r="F16143" t="s">
        <v>45</v>
      </c>
      <c r="G16143" s="117">
        <v>81.77</v>
      </c>
    </row>
    <row r="16144" spans="1:7" x14ac:dyDescent="0.25">
      <c r="A16144" s="116" t="s">
        <v>25235</v>
      </c>
      <c r="B16144" s="117" t="s">
        <v>25236</v>
      </c>
      <c r="C16144" t="s">
        <v>67</v>
      </c>
      <c r="D16144" t="s">
        <v>67</v>
      </c>
      <c r="E16144" t="s">
        <v>67</v>
      </c>
      <c r="F16144" t="s">
        <v>27987</v>
      </c>
      <c r="G16144" s="117">
        <v>25.71</v>
      </c>
    </row>
    <row r="16145" spans="1:7" x14ac:dyDescent="0.25">
      <c r="A16145" s="116" t="s">
        <v>25237</v>
      </c>
      <c r="B16145" s="117" t="s">
        <v>25238</v>
      </c>
      <c r="C16145" t="s">
        <v>67</v>
      </c>
      <c r="D16145" t="s">
        <v>67</v>
      </c>
      <c r="E16145" t="s">
        <v>67</v>
      </c>
      <c r="F16145" t="s">
        <v>27987</v>
      </c>
      <c r="G16145" s="117">
        <v>25.71</v>
      </c>
    </row>
    <row r="16146" spans="1:7" x14ac:dyDescent="0.25">
      <c r="A16146" s="116" t="s">
        <v>25239</v>
      </c>
      <c r="B16146" s="117" t="s">
        <v>25223</v>
      </c>
      <c r="C16146" t="s">
        <v>67</v>
      </c>
      <c r="D16146" t="s">
        <v>67</v>
      </c>
      <c r="E16146" t="s">
        <v>67</v>
      </c>
      <c r="F16146" t="s">
        <v>27987</v>
      </c>
      <c r="G16146" s="117">
        <v>304.24</v>
      </c>
    </row>
    <row r="16147" spans="1:7" x14ac:dyDescent="0.25">
      <c r="A16147" s="116" t="s">
        <v>25240</v>
      </c>
      <c r="B16147" s="117" t="s">
        <v>25241</v>
      </c>
      <c r="C16147" t="s">
        <v>67</v>
      </c>
      <c r="D16147" t="s">
        <v>67</v>
      </c>
      <c r="E16147" t="s">
        <v>67</v>
      </c>
      <c r="F16147" t="s">
        <v>27987</v>
      </c>
      <c r="G16147" s="117">
        <v>59.18</v>
      </c>
    </row>
    <row r="16148" spans="1:7" x14ac:dyDescent="0.25">
      <c r="A16148" s="116" t="s">
        <v>25242</v>
      </c>
      <c r="B16148" s="117" t="s">
        <v>25243</v>
      </c>
      <c r="C16148" t="s">
        <v>67</v>
      </c>
      <c r="D16148" t="s">
        <v>67</v>
      </c>
      <c r="E16148" t="s">
        <v>67</v>
      </c>
      <c r="F16148" t="s">
        <v>27987</v>
      </c>
      <c r="G16148" s="117">
        <v>77.86</v>
      </c>
    </row>
    <row r="16149" spans="1:7" x14ac:dyDescent="0.25">
      <c r="A16149" s="116" t="s">
        <v>25244</v>
      </c>
      <c r="B16149" s="117" t="s">
        <v>25245</v>
      </c>
      <c r="C16149" t="s">
        <v>67</v>
      </c>
      <c r="D16149" t="s">
        <v>67</v>
      </c>
      <c r="E16149" t="s">
        <v>67</v>
      </c>
      <c r="F16149" t="s">
        <v>27987</v>
      </c>
      <c r="G16149" s="117">
        <v>16.82</v>
      </c>
    </row>
    <row r="16150" spans="1:7" x14ac:dyDescent="0.25">
      <c r="A16150" s="116" t="s">
        <v>25246</v>
      </c>
      <c r="B16150" s="117" t="s">
        <v>25247</v>
      </c>
      <c r="C16150" t="s">
        <v>67</v>
      </c>
      <c r="D16150" t="s">
        <v>67</v>
      </c>
      <c r="E16150" t="s">
        <v>67</v>
      </c>
      <c r="F16150" t="s">
        <v>27987</v>
      </c>
      <c r="G16150" s="117">
        <v>15.57</v>
      </c>
    </row>
    <row r="16151" spans="1:7" x14ac:dyDescent="0.25">
      <c r="A16151" s="116" t="s">
        <v>25248</v>
      </c>
      <c r="B16151" s="117" t="s">
        <v>25249</v>
      </c>
      <c r="C16151" t="s">
        <v>67</v>
      </c>
      <c r="D16151" t="s">
        <v>67</v>
      </c>
      <c r="E16151" t="s">
        <v>67</v>
      </c>
      <c r="F16151" t="s">
        <v>27987</v>
      </c>
      <c r="G16151" s="117">
        <v>141.04</v>
      </c>
    </row>
    <row r="16152" spans="1:7" x14ac:dyDescent="0.25">
      <c r="A16152" s="116" t="s">
        <v>25250</v>
      </c>
      <c r="B16152" s="117" t="s">
        <v>25251</v>
      </c>
      <c r="C16152" t="s">
        <v>67</v>
      </c>
      <c r="D16152" t="s">
        <v>67</v>
      </c>
      <c r="E16152" t="s">
        <v>67</v>
      </c>
      <c r="F16152" t="s">
        <v>27987</v>
      </c>
      <c r="G16152" s="117">
        <v>14.14</v>
      </c>
    </row>
    <row r="16153" spans="1:7" x14ac:dyDescent="0.25">
      <c r="A16153" s="116" t="s">
        <v>25252</v>
      </c>
      <c r="B16153" s="117" t="s">
        <v>25253</v>
      </c>
      <c r="C16153" t="s">
        <v>67</v>
      </c>
      <c r="D16153" t="s">
        <v>67</v>
      </c>
      <c r="E16153" t="s">
        <v>67</v>
      </c>
      <c r="F16153" t="s">
        <v>27987</v>
      </c>
      <c r="G16153" s="117">
        <v>24.82</v>
      </c>
    </row>
    <row r="16154" spans="1:7" x14ac:dyDescent="0.25">
      <c r="A16154" s="116" t="s">
        <v>25254</v>
      </c>
      <c r="B16154" s="117" t="s">
        <v>25255</v>
      </c>
      <c r="C16154" t="s">
        <v>67</v>
      </c>
      <c r="D16154" t="s">
        <v>67</v>
      </c>
      <c r="E16154" t="s">
        <v>67</v>
      </c>
      <c r="F16154" t="s">
        <v>27987</v>
      </c>
      <c r="G16154" s="117">
        <v>15.57</v>
      </c>
    </row>
    <row r="16155" spans="1:7" x14ac:dyDescent="0.25">
      <c r="A16155" s="116" t="s">
        <v>25256</v>
      </c>
      <c r="B16155" s="117" t="s">
        <v>25257</v>
      </c>
      <c r="C16155" t="s">
        <v>67</v>
      </c>
      <c r="D16155" t="s">
        <v>67</v>
      </c>
      <c r="E16155" t="s">
        <v>67</v>
      </c>
      <c r="F16155" t="s">
        <v>27987</v>
      </c>
      <c r="G16155" s="117">
        <v>68.430000000000007</v>
      </c>
    </row>
    <row r="16156" spans="1:7" x14ac:dyDescent="0.25">
      <c r="A16156" s="116" t="s">
        <v>25258</v>
      </c>
      <c r="B16156" s="117" t="s">
        <v>25259</v>
      </c>
      <c r="C16156" t="s">
        <v>67</v>
      </c>
      <c r="D16156" t="s">
        <v>67</v>
      </c>
      <c r="E16156" t="s">
        <v>67</v>
      </c>
      <c r="F16156" t="s">
        <v>27987</v>
      </c>
      <c r="G16156" s="117">
        <v>34.26</v>
      </c>
    </row>
    <row r="16157" spans="1:7" x14ac:dyDescent="0.25">
      <c r="A16157" s="116" t="s">
        <v>25260</v>
      </c>
      <c r="B16157" s="117" t="s">
        <v>25261</v>
      </c>
      <c r="C16157" t="s">
        <v>67</v>
      </c>
      <c r="D16157" t="s">
        <v>67</v>
      </c>
      <c r="E16157" t="s">
        <v>67</v>
      </c>
      <c r="F16157" t="s">
        <v>27987</v>
      </c>
      <c r="G16157" s="117">
        <v>302.99</v>
      </c>
    </row>
    <row r="16158" spans="1:7" x14ac:dyDescent="0.25">
      <c r="A16158" s="116" t="s">
        <v>25262</v>
      </c>
      <c r="B16158" s="117" t="s">
        <v>25263</v>
      </c>
      <c r="C16158" t="s">
        <v>67</v>
      </c>
      <c r="D16158" t="s">
        <v>67</v>
      </c>
      <c r="E16158" t="s">
        <v>67</v>
      </c>
      <c r="F16158" t="s">
        <v>27987</v>
      </c>
      <c r="G16158" s="117">
        <v>80.52</v>
      </c>
    </row>
    <row r="16159" spans="1:7" x14ac:dyDescent="0.25">
      <c r="A16159" s="116" t="s">
        <v>25264</v>
      </c>
      <c r="B16159" s="117" t="s">
        <v>23324</v>
      </c>
      <c r="C16159" t="s">
        <v>67</v>
      </c>
      <c r="D16159" t="s">
        <v>67</v>
      </c>
      <c r="E16159" t="s">
        <v>67</v>
      </c>
      <c r="F16159" t="s">
        <v>27987</v>
      </c>
      <c r="G16159" s="117">
        <v>15.57</v>
      </c>
    </row>
    <row r="16160" spans="1:7" x14ac:dyDescent="0.25">
      <c r="A16160" s="116" t="s">
        <v>25265</v>
      </c>
      <c r="B16160" s="117" t="s">
        <v>25243</v>
      </c>
      <c r="C16160" t="s">
        <v>67</v>
      </c>
      <c r="D16160" t="s">
        <v>67</v>
      </c>
      <c r="E16160" t="s">
        <v>67</v>
      </c>
      <c r="F16160" t="s">
        <v>27987</v>
      </c>
      <c r="G16160" s="117">
        <v>416</v>
      </c>
    </row>
    <row r="16161" spans="1:7" x14ac:dyDescent="0.25">
      <c r="A16161" s="116" t="s">
        <v>29977</v>
      </c>
      <c r="B16161" s="117" t="s">
        <v>30572</v>
      </c>
      <c r="C16161" t="s">
        <v>67</v>
      </c>
      <c r="D16161" t="s">
        <v>67</v>
      </c>
      <c r="E16161" t="s">
        <v>67</v>
      </c>
      <c r="F16161" t="s">
        <v>27987</v>
      </c>
      <c r="G16161" s="117">
        <v>71.400000000000006</v>
      </c>
    </row>
    <row r="16162" spans="1:7" x14ac:dyDescent="0.25">
      <c r="A16162" s="116" t="s">
        <v>26712</v>
      </c>
      <c r="B16162" s="117" t="s">
        <v>29689</v>
      </c>
      <c r="C16162" t="s">
        <v>67</v>
      </c>
      <c r="D16162" t="s">
        <v>67</v>
      </c>
      <c r="E16162" t="s">
        <v>67</v>
      </c>
      <c r="F16162" t="s">
        <v>27987</v>
      </c>
      <c r="G16162" s="117">
        <v>130</v>
      </c>
    </row>
    <row r="16163" spans="1:7" x14ac:dyDescent="0.25">
      <c r="A16163" s="116" t="s">
        <v>26713</v>
      </c>
      <c r="B16163" s="117" t="s">
        <v>29690</v>
      </c>
      <c r="C16163" t="s">
        <v>67</v>
      </c>
      <c r="D16163" t="s">
        <v>67</v>
      </c>
      <c r="E16163" t="s">
        <v>67</v>
      </c>
      <c r="F16163" t="s">
        <v>27987</v>
      </c>
      <c r="G16163" s="117">
        <v>150</v>
      </c>
    </row>
    <row r="16164" spans="1:7" x14ac:dyDescent="0.25">
      <c r="A16164" s="116" t="s">
        <v>26714</v>
      </c>
      <c r="B16164" s="117" t="s">
        <v>29691</v>
      </c>
      <c r="C16164" t="s">
        <v>67</v>
      </c>
      <c r="D16164" t="s">
        <v>67</v>
      </c>
      <c r="E16164" t="s">
        <v>67</v>
      </c>
      <c r="F16164" t="s">
        <v>27987</v>
      </c>
      <c r="G16164" s="117">
        <v>8</v>
      </c>
    </row>
    <row r="16165" spans="1:7" x14ac:dyDescent="0.25">
      <c r="A16165" s="116" t="s">
        <v>26715</v>
      </c>
      <c r="B16165" s="117" t="s">
        <v>29692</v>
      </c>
      <c r="C16165" t="s">
        <v>67</v>
      </c>
      <c r="D16165" t="s">
        <v>67</v>
      </c>
      <c r="E16165" t="s">
        <v>67</v>
      </c>
      <c r="F16165" t="s">
        <v>27987</v>
      </c>
      <c r="G16165" s="117">
        <v>123.36</v>
      </c>
    </row>
    <row r="16166" spans="1:7" x14ac:dyDescent="0.25">
      <c r="A16166" s="116" t="s">
        <v>26716</v>
      </c>
      <c r="B16166" s="117" t="s">
        <v>29693</v>
      </c>
      <c r="C16166" t="s">
        <v>67</v>
      </c>
      <c r="D16166" t="s">
        <v>67</v>
      </c>
      <c r="E16166" t="s">
        <v>67</v>
      </c>
      <c r="F16166" t="s">
        <v>27987</v>
      </c>
      <c r="G16166" s="117">
        <v>38</v>
      </c>
    </row>
    <row r="16167" spans="1:7" x14ac:dyDescent="0.25">
      <c r="A16167" s="116" t="s">
        <v>26717</v>
      </c>
      <c r="B16167" s="117" t="s">
        <v>29694</v>
      </c>
      <c r="C16167" t="s">
        <v>67</v>
      </c>
      <c r="D16167" t="s">
        <v>67</v>
      </c>
      <c r="E16167" t="s">
        <v>67</v>
      </c>
      <c r="F16167" t="s">
        <v>27987</v>
      </c>
      <c r="G16167" s="117">
        <v>49</v>
      </c>
    </row>
    <row r="16168" spans="1:7" x14ac:dyDescent="0.25">
      <c r="A16168" s="116" t="s">
        <v>26718</v>
      </c>
      <c r="B16168" s="117" t="s">
        <v>29695</v>
      </c>
      <c r="C16168" t="s">
        <v>67</v>
      </c>
      <c r="D16168" t="s">
        <v>67</v>
      </c>
      <c r="E16168" t="s">
        <v>67</v>
      </c>
      <c r="F16168" t="s">
        <v>27987</v>
      </c>
      <c r="G16168" s="117">
        <v>18</v>
      </c>
    </row>
    <row r="16169" spans="1:7" x14ac:dyDescent="0.25">
      <c r="A16169" s="116" t="s">
        <v>26719</v>
      </c>
      <c r="B16169" s="117" t="s">
        <v>29696</v>
      </c>
      <c r="C16169" t="s">
        <v>67</v>
      </c>
      <c r="D16169" t="s">
        <v>67</v>
      </c>
      <c r="E16169" t="s">
        <v>67</v>
      </c>
      <c r="F16169" t="s">
        <v>27987</v>
      </c>
      <c r="G16169" s="117">
        <v>70</v>
      </c>
    </row>
    <row r="16170" spans="1:7" x14ac:dyDescent="0.25">
      <c r="A16170" s="116" t="s">
        <v>26720</v>
      </c>
      <c r="B16170" s="117" t="s">
        <v>29697</v>
      </c>
      <c r="C16170" t="s">
        <v>67</v>
      </c>
      <c r="D16170" t="s">
        <v>67</v>
      </c>
      <c r="E16170" t="s">
        <v>67</v>
      </c>
      <c r="F16170" t="s">
        <v>27987</v>
      </c>
      <c r="G16170" s="117">
        <v>12</v>
      </c>
    </row>
    <row r="16171" spans="1:7" x14ac:dyDescent="0.25">
      <c r="A16171" s="116" t="s">
        <v>26721</v>
      </c>
      <c r="B16171" s="117" t="s">
        <v>29698</v>
      </c>
      <c r="C16171" t="s">
        <v>67</v>
      </c>
      <c r="D16171" t="s">
        <v>67</v>
      </c>
      <c r="E16171" t="s">
        <v>67</v>
      </c>
      <c r="F16171" t="s">
        <v>27987</v>
      </c>
      <c r="G16171" s="117">
        <v>200</v>
      </c>
    </row>
    <row r="16172" spans="1:7" x14ac:dyDescent="0.25">
      <c r="A16172" s="116" t="s">
        <v>26722</v>
      </c>
      <c r="B16172" s="117" t="s">
        <v>29699</v>
      </c>
      <c r="C16172" t="s">
        <v>67</v>
      </c>
      <c r="D16172" t="s">
        <v>67</v>
      </c>
      <c r="E16172" t="s">
        <v>67</v>
      </c>
      <c r="F16172" t="s">
        <v>27987</v>
      </c>
      <c r="G16172" s="117">
        <v>38</v>
      </c>
    </row>
    <row r="16173" spans="1:7" x14ac:dyDescent="0.25">
      <c r="A16173" s="116" t="s">
        <v>26723</v>
      </c>
      <c r="B16173" s="117" t="s">
        <v>29700</v>
      </c>
      <c r="C16173" t="s">
        <v>67</v>
      </c>
      <c r="D16173" t="s">
        <v>67</v>
      </c>
      <c r="E16173" t="s">
        <v>67</v>
      </c>
      <c r="F16173" t="s">
        <v>27987</v>
      </c>
      <c r="G16173" s="117">
        <v>25</v>
      </c>
    </row>
    <row r="16174" spans="1:7" x14ac:dyDescent="0.25">
      <c r="A16174" s="116" t="s">
        <v>26724</v>
      </c>
      <c r="B16174" s="117" t="s">
        <v>29701</v>
      </c>
      <c r="C16174" t="s">
        <v>67</v>
      </c>
      <c r="D16174" t="s">
        <v>67</v>
      </c>
      <c r="E16174" t="s">
        <v>67</v>
      </c>
      <c r="F16174" t="s">
        <v>27987</v>
      </c>
      <c r="G16174" s="117">
        <v>5</v>
      </c>
    </row>
    <row r="16175" spans="1:7" x14ac:dyDescent="0.25">
      <c r="A16175" s="116" t="s">
        <v>26725</v>
      </c>
      <c r="B16175" s="117" t="s">
        <v>29702</v>
      </c>
      <c r="C16175" t="s">
        <v>67</v>
      </c>
      <c r="D16175" t="s">
        <v>67</v>
      </c>
      <c r="E16175" t="s">
        <v>67</v>
      </c>
      <c r="F16175" t="s">
        <v>27987</v>
      </c>
      <c r="G16175" s="117">
        <v>43</v>
      </c>
    </row>
    <row r="16176" spans="1:7" x14ac:dyDescent="0.25">
      <c r="A16176" s="116" t="s">
        <v>26726</v>
      </c>
      <c r="B16176" s="117" t="s">
        <v>29703</v>
      </c>
      <c r="C16176" t="s">
        <v>67</v>
      </c>
      <c r="D16176" t="s">
        <v>67</v>
      </c>
      <c r="E16176" t="s">
        <v>67</v>
      </c>
      <c r="F16176" t="s">
        <v>27987</v>
      </c>
      <c r="G16176" s="117">
        <v>480</v>
      </c>
    </row>
    <row r="16177" spans="1:7" x14ac:dyDescent="0.25">
      <c r="A16177" s="116" t="s">
        <v>30085</v>
      </c>
      <c r="B16177" s="117" t="s">
        <v>30573</v>
      </c>
      <c r="C16177" t="s">
        <v>67</v>
      </c>
      <c r="D16177" t="s">
        <v>67</v>
      </c>
      <c r="E16177" t="s">
        <v>67</v>
      </c>
      <c r="F16177" t="s">
        <v>45</v>
      </c>
      <c r="G16177" s="117">
        <v>34.76</v>
      </c>
    </row>
    <row r="16178" spans="1:7" x14ac:dyDescent="0.25">
      <c r="A16178" s="116" t="s">
        <v>30086</v>
      </c>
      <c r="B16178" s="117" t="s">
        <v>30574</v>
      </c>
      <c r="C16178" t="s">
        <v>67</v>
      </c>
      <c r="D16178" t="s">
        <v>67</v>
      </c>
      <c r="E16178" t="s">
        <v>67</v>
      </c>
      <c r="F16178" t="s">
        <v>45</v>
      </c>
      <c r="G16178" s="117">
        <v>5</v>
      </c>
    </row>
    <row r="16179" spans="1:7" x14ac:dyDescent="0.25">
      <c r="A16179" s="116" t="s">
        <v>30087</v>
      </c>
      <c r="B16179" s="117" t="s">
        <v>30575</v>
      </c>
      <c r="C16179" t="s">
        <v>67</v>
      </c>
      <c r="D16179" t="s">
        <v>67</v>
      </c>
      <c r="E16179" t="s">
        <v>67</v>
      </c>
      <c r="F16179" t="s">
        <v>45</v>
      </c>
      <c r="G16179" s="117">
        <v>244.86</v>
      </c>
    </row>
    <row r="16180" spans="1:7" x14ac:dyDescent="0.25">
      <c r="A16180" s="116" t="s">
        <v>30088</v>
      </c>
      <c r="B16180" s="117" t="s">
        <v>30576</v>
      </c>
      <c r="C16180" t="s">
        <v>67</v>
      </c>
      <c r="D16180" t="s">
        <v>67</v>
      </c>
      <c r="E16180" t="s">
        <v>67</v>
      </c>
      <c r="F16180" t="s">
        <v>45</v>
      </c>
      <c r="G16180" s="117">
        <v>57.44</v>
      </c>
    </row>
    <row r="16181" spans="1:7" x14ac:dyDescent="0.25">
      <c r="A16181" s="116" t="s">
        <v>30089</v>
      </c>
      <c r="B16181" s="117" t="s">
        <v>30577</v>
      </c>
      <c r="C16181" t="s">
        <v>67</v>
      </c>
      <c r="D16181" t="s">
        <v>67</v>
      </c>
      <c r="E16181" t="s">
        <v>67</v>
      </c>
      <c r="F16181" t="s">
        <v>45</v>
      </c>
      <c r="G16181" s="117">
        <v>4.83</v>
      </c>
    </row>
    <row r="16182" spans="1:7" x14ac:dyDescent="0.25">
      <c r="A16182" s="116" t="s">
        <v>30090</v>
      </c>
      <c r="B16182" s="117" t="s">
        <v>30578</v>
      </c>
      <c r="C16182" t="s">
        <v>67</v>
      </c>
      <c r="D16182" t="s">
        <v>67</v>
      </c>
      <c r="E16182" t="s">
        <v>67</v>
      </c>
      <c r="F16182" t="s">
        <v>45</v>
      </c>
      <c r="G16182" s="117">
        <v>26.04</v>
      </c>
    </row>
    <row r="16183" spans="1:7" x14ac:dyDescent="0.25">
      <c r="A16183" s="116" t="s">
        <v>30091</v>
      </c>
      <c r="B16183" s="117" t="s">
        <v>30579</v>
      </c>
      <c r="C16183" t="s">
        <v>67</v>
      </c>
      <c r="D16183" t="s">
        <v>67</v>
      </c>
      <c r="E16183" t="s">
        <v>67</v>
      </c>
      <c r="F16183" t="s">
        <v>45</v>
      </c>
      <c r="G16183" s="117">
        <v>4</v>
      </c>
    </row>
    <row r="16184" spans="1:7" x14ac:dyDescent="0.25">
      <c r="A16184" s="116" t="s">
        <v>30092</v>
      </c>
      <c r="B16184" s="117" t="s">
        <v>30580</v>
      </c>
      <c r="C16184" t="s">
        <v>67</v>
      </c>
      <c r="D16184" t="s">
        <v>67</v>
      </c>
      <c r="E16184" t="s">
        <v>67</v>
      </c>
      <c r="F16184" t="s">
        <v>45</v>
      </c>
      <c r="G16184" s="117">
        <v>213.89</v>
      </c>
    </row>
    <row r="16185" spans="1:7" x14ac:dyDescent="0.25">
      <c r="A16185" s="116" t="s">
        <v>25266</v>
      </c>
      <c r="B16185" s="117" t="s">
        <v>25201</v>
      </c>
      <c r="C16185" t="s">
        <v>67</v>
      </c>
      <c r="D16185" t="s">
        <v>67</v>
      </c>
      <c r="E16185" t="s">
        <v>67</v>
      </c>
      <c r="F16185" t="s">
        <v>45</v>
      </c>
      <c r="G16185" s="117">
        <v>6.14</v>
      </c>
    </row>
    <row r="16186" spans="1:7" x14ac:dyDescent="0.25">
      <c r="A16186" s="116" t="s">
        <v>25267</v>
      </c>
      <c r="B16186" s="117" t="s">
        <v>25268</v>
      </c>
      <c r="C16186" t="s">
        <v>67</v>
      </c>
      <c r="D16186" t="s">
        <v>67</v>
      </c>
      <c r="E16186" t="s">
        <v>67</v>
      </c>
      <c r="F16186" t="s">
        <v>27987</v>
      </c>
      <c r="G16186" s="117">
        <v>1.77</v>
      </c>
    </row>
    <row r="16187" spans="1:7" x14ac:dyDescent="0.25">
      <c r="A16187" s="116" t="s">
        <v>25269</v>
      </c>
      <c r="B16187" s="117" t="s">
        <v>25270</v>
      </c>
      <c r="C16187" t="s">
        <v>67</v>
      </c>
      <c r="D16187" t="s">
        <v>67</v>
      </c>
      <c r="E16187" t="s">
        <v>67</v>
      </c>
      <c r="F16187" t="s">
        <v>49</v>
      </c>
      <c r="G16187" s="117">
        <v>3.12</v>
      </c>
    </row>
    <row r="16188" spans="1:7" x14ac:dyDescent="0.25">
      <c r="A16188" s="116" t="s">
        <v>25271</v>
      </c>
      <c r="B16188" s="117" t="s">
        <v>25272</v>
      </c>
      <c r="C16188" t="s">
        <v>67</v>
      </c>
      <c r="D16188" t="s">
        <v>67</v>
      </c>
      <c r="E16188" t="s">
        <v>67</v>
      </c>
      <c r="F16188" t="s">
        <v>51</v>
      </c>
      <c r="G16188" s="117">
        <v>15.57</v>
      </c>
    </row>
    <row r="16189" spans="1:7" x14ac:dyDescent="0.25">
      <c r="A16189" s="116" t="s">
        <v>25273</v>
      </c>
      <c r="B16189" s="117" t="s">
        <v>25274</v>
      </c>
      <c r="C16189" t="s">
        <v>67</v>
      </c>
      <c r="D16189" t="s">
        <v>67</v>
      </c>
      <c r="E16189" t="s">
        <v>67</v>
      </c>
      <c r="F16189" t="s">
        <v>49</v>
      </c>
      <c r="G16189" s="117">
        <v>16.46</v>
      </c>
    </row>
    <row r="16190" spans="1:7" x14ac:dyDescent="0.25">
      <c r="A16190" s="116" t="s">
        <v>25275</v>
      </c>
      <c r="B16190" s="117" t="s">
        <v>25276</v>
      </c>
      <c r="C16190" t="s">
        <v>67</v>
      </c>
      <c r="D16190" t="s">
        <v>67</v>
      </c>
      <c r="E16190" t="s">
        <v>67</v>
      </c>
      <c r="F16190" t="s">
        <v>27987</v>
      </c>
      <c r="G16190" s="117">
        <v>88.54</v>
      </c>
    </row>
    <row r="16191" spans="1:7" x14ac:dyDescent="0.25">
      <c r="A16191" s="116" t="s">
        <v>25277</v>
      </c>
      <c r="B16191" s="117" t="s">
        <v>25278</v>
      </c>
      <c r="C16191" t="s">
        <v>67</v>
      </c>
      <c r="D16191" t="s">
        <v>67</v>
      </c>
      <c r="E16191" t="s">
        <v>67</v>
      </c>
      <c r="F16191" t="s">
        <v>45</v>
      </c>
      <c r="G16191" s="117">
        <v>5.25</v>
      </c>
    </row>
    <row r="16192" spans="1:7" x14ac:dyDescent="0.25">
      <c r="A16192" s="116" t="s">
        <v>25279</v>
      </c>
      <c r="B16192" s="117" t="s">
        <v>25280</v>
      </c>
      <c r="C16192" t="s">
        <v>67</v>
      </c>
      <c r="D16192" t="s">
        <v>67</v>
      </c>
      <c r="E16192" t="s">
        <v>67</v>
      </c>
      <c r="F16192" t="s">
        <v>27987</v>
      </c>
      <c r="G16192" s="117">
        <v>45.3</v>
      </c>
    </row>
    <row r="16193" spans="1:7" x14ac:dyDescent="0.25">
      <c r="A16193" s="116" t="s">
        <v>25281</v>
      </c>
      <c r="B16193" s="117" t="s">
        <v>25282</v>
      </c>
      <c r="C16193" t="s">
        <v>67</v>
      </c>
      <c r="D16193" t="s">
        <v>67</v>
      </c>
      <c r="E16193" t="s">
        <v>67</v>
      </c>
      <c r="F16193" t="s">
        <v>27987</v>
      </c>
      <c r="G16193" s="117">
        <v>5.25</v>
      </c>
    </row>
    <row r="16194" spans="1:7" x14ac:dyDescent="0.25">
      <c r="A16194" s="116" t="s">
        <v>25283</v>
      </c>
      <c r="B16194" s="117" t="s">
        <v>25284</v>
      </c>
      <c r="C16194" t="s">
        <v>67</v>
      </c>
      <c r="D16194" t="s">
        <v>67</v>
      </c>
      <c r="E16194" t="s">
        <v>67</v>
      </c>
      <c r="F16194" t="s">
        <v>45</v>
      </c>
      <c r="G16194" s="117">
        <v>403</v>
      </c>
    </row>
    <row r="16195" spans="1:7" x14ac:dyDescent="0.25">
      <c r="A16195" s="116" t="s">
        <v>25285</v>
      </c>
      <c r="B16195" s="117" t="s">
        <v>25286</v>
      </c>
      <c r="C16195" t="s">
        <v>67</v>
      </c>
      <c r="D16195" t="s">
        <v>67</v>
      </c>
      <c r="E16195" t="s">
        <v>67</v>
      </c>
      <c r="F16195" t="s">
        <v>27987</v>
      </c>
      <c r="G16195" s="117">
        <v>23.94</v>
      </c>
    </row>
    <row r="16196" spans="1:7" x14ac:dyDescent="0.25">
      <c r="A16196" s="116" t="s">
        <v>25287</v>
      </c>
      <c r="B16196" s="117" t="s">
        <v>8006</v>
      </c>
      <c r="C16196" t="s">
        <v>67</v>
      </c>
      <c r="D16196" t="s">
        <v>67</v>
      </c>
      <c r="E16196" t="s">
        <v>67</v>
      </c>
      <c r="F16196" t="s">
        <v>27987</v>
      </c>
      <c r="G16196" s="117">
        <v>3.56</v>
      </c>
    </row>
    <row r="16197" spans="1:7" x14ac:dyDescent="0.25">
      <c r="A16197" s="116" t="s">
        <v>25288</v>
      </c>
      <c r="B16197" s="117" t="s">
        <v>25289</v>
      </c>
      <c r="C16197" t="s">
        <v>67</v>
      </c>
      <c r="D16197" t="s">
        <v>67</v>
      </c>
      <c r="E16197" t="s">
        <v>67</v>
      </c>
      <c r="F16197" t="s">
        <v>27987</v>
      </c>
      <c r="G16197" s="117">
        <v>9.6999999999999993</v>
      </c>
    </row>
    <row r="16198" spans="1:7" x14ac:dyDescent="0.25">
      <c r="A16198" s="116" t="s">
        <v>25290</v>
      </c>
      <c r="B16198" s="117" t="s">
        <v>21587</v>
      </c>
      <c r="C16198" t="s">
        <v>67</v>
      </c>
      <c r="D16198" t="s">
        <v>67</v>
      </c>
      <c r="E16198" t="s">
        <v>67</v>
      </c>
      <c r="F16198" t="s">
        <v>45</v>
      </c>
      <c r="G16198" s="117">
        <v>8.4499999999999993</v>
      </c>
    </row>
    <row r="16199" spans="1:7" x14ac:dyDescent="0.25">
      <c r="A16199" s="116" t="s">
        <v>25291</v>
      </c>
      <c r="B16199" s="117" t="s">
        <v>25292</v>
      </c>
      <c r="C16199" t="s">
        <v>67</v>
      </c>
      <c r="D16199" t="s">
        <v>67</v>
      </c>
      <c r="E16199" t="s">
        <v>67</v>
      </c>
      <c r="F16199" t="s">
        <v>27987</v>
      </c>
      <c r="G16199" s="117">
        <v>310.45999999999998</v>
      </c>
    </row>
    <row r="16200" spans="1:7" x14ac:dyDescent="0.25">
      <c r="A16200" s="116" t="s">
        <v>25293</v>
      </c>
      <c r="B16200" s="117" t="s">
        <v>25294</v>
      </c>
      <c r="C16200" t="s">
        <v>67</v>
      </c>
      <c r="D16200" t="s">
        <v>67</v>
      </c>
      <c r="E16200" t="s">
        <v>67</v>
      </c>
      <c r="F16200" t="s">
        <v>27987</v>
      </c>
      <c r="G16200" s="117">
        <v>1153.1300000000001</v>
      </c>
    </row>
    <row r="16201" spans="1:7" x14ac:dyDescent="0.25">
      <c r="A16201" s="116" t="s">
        <v>25295</v>
      </c>
      <c r="B16201" s="117" t="s">
        <v>25296</v>
      </c>
      <c r="C16201" t="s">
        <v>67</v>
      </c>
      <c r="D16201" t="s">
        <v>67</v>
      </c>
      <c r="E16201" t="s">
        <v>67</v>
      </c>
      <c r="F16201" t="s">
        <v>27987</v>
      </c>
      <c r="G16201" s="117">
        <v>23.94</v>
      </c>
    </row>
    <row r="16202" spans="1:7" x14ac:dyDescent="0.25">
      <c r="A16202" s="116" t="s">
        <v>25297</v>
      </c>
      <c r="B16202" s="117" t="s">
        <v>25298</v>
      </c>
      <c r="C16202" t="s">
        <v>67</v>
      </c>
      <c r="D16202" t="s">
        <v>67</v>
      </c>
      <c r="E16202" t="s">
        <v>67</v>
      </c>
      <c r="F16202" t="s">
        <v>27987</v>
      </c>
      <c r="G16202" s="117">
        <v>92.1</v>
      </c>
    </row>
    <row r="16203" spans="1:7" x14ac:dyDescent="0.25">
      <c r="A16203" s="116" t="s">
        <v>25299</v>
      </c>
      <c r="B16203" s="117" t="s">
        <v>25300</v>
      </c>
      <c r="C16203" t="s">
        <v>67</v>
      </c>
      <c r="D16203" t="s">
        <v>67</v>
      </c>
      <c r="E16203" t="s">
        <v>67</v>
      </c>
      <c r="F16203" t="s">
        <v>27987</v>
      </c>
      <c r="G16203" s="117">
        <v>17.7</v>
      </c>
    </row>
    <row r="16204" spans="1:7" x14ac:dyDescent="0.25">
      <c r="A16204" s="116" t="s">
        <v>25301</v>
      </c>
      <c r="B16204" s="117" t="s">
        <v>25302</v>
      </c>
      <c r="C16204" t="s">
        <v>67</v>
      </c>
      <c r="D16204" t="s">
        <v>67</v>
      </c>
      <c r="E16204" t="s">
        <v>67</v>
      </c>
      <c r="F16204" t="s">
        <v>27987</v>
      </c>
      <c r="G16204" s="117">
        <v>155.63</v>
      </c>
    </row>
    <row r="16205" spans="1:7" x14ac:dyDescent="0.25">
      <c r="A16205" s="116" t="s">
        <v>25303</v>
      </c>
      <c r="B16205" s="117" t="s">
        <v>25304</v>
      </c>
      <c r="C16205" t="s">
        <v>67</v>
      </c>
      <c r="D16205" t="s">
        <v>67</v>
      </c>
      <c r="E16205" t="s">
        <v>67</v>
      </c>
      <c r="F16205" t="s">
        <v>27987</v>
      </c>
      <c r="G16205" s="117">
        <v>155.63</v>
      </c>
    </row>
    <row r="16206" spans="1:7" x14ac:dyDescent="0.25">
      <c r="A16206" s="116" t="s">
        <v>25305</v>
      </c>
      <c r="B16206" s="117" t="s">
        <v>25306</v>
      </c>
      <c r="C16206" t="s">
        <v>67</v>
      </c>
      <c r="D16206" t="s">
        <v>67</v>
      </c>
      <c r="E16206" t="s">
        <v>67</v>
      </c>
      <c r="F16206" t="s">
        <v>27987</v>
      </c>
      <c r="G16206" s="117">
        <v>17.7</v>
      </c>
    </row>
    <row r="16207" spans="1:7" x14ac:dyDescent="0.25">
      <c r="A16207" s="116" t="s">
        <v>25307</v>
      </c>
      <c r="B16207" s="117" t="s">
        <v>25308</v>
      </c>
      <c r="C16207" t="s">
        <v>67</v>
      </c>
      <c r="D16207" t="s">
        <v>67</v>
      </c>
      <c r="E16207" t="s">
        <v>67</v>
      </c>
      <c r="F16207" t="s">
        <v>27987</v>
      </c>
      <c r="G16207" s="117">
        <v>46.18</v>
      </c>
    </row>
    <row r="16208" spans="1:7" x14ac:dyDescent="0.25">
      <c r="A16208" s="116" t="s">
        <v>25309</v>
      </c>
      <c r="B16208" s="117" t="s">
        <v>25310</v>
      </c>
      <c r="C16208" t="s">
        <v>67</v>
      </c>
      <c r="D16208" t="s">
        <v>67</v>
      </c>
      <c r="E16208" t="s">
        <v>67</v>
      </c>
      <c r="F16208" t="s">
        <v>49</v>
      </c>
      <c r="G16208" s="117">
        <v>31.94</v>
      </c>
    </row>
    <row r="16209" spans="1:7" x14ac:dyDescent="0.25">
      <c r="A16209" s="116" t="s">
        <v>25311</v>
      </c>
      <c r="B16209" s="117" t="s">
        <v>25312</v>
      </c>
      <c r="C16209" t="s">
        <v>67</v>
      </c>
      <c r="D16209" t="s">
        <v>67</v>
      </c>
      <c r="E16209" t="s">
        <v>67</v>
      </c>
      <c r="F16209" t="s">
        <v>27987</v>
      </c>
      <c r="G16209" s="117">
        <v>16.82</v>
      </c>
    </row>
    <row r="16210" spans="1:7" x14ac:dyDescent="0.25">
      <c r="A16210" s="116" t="s">
        <v>25313</v>
      </c>
      <c r="B16210" s="117" t="s">
        <v>25314</v>
      </c>
      <c r="C16210" t="s">
        <v>67</v>
      </c>
      <c r="D16210" t="s">
        <v>67</v>
      </c>
      <c r="E16210" t="s">
        <v>67</v>
      </c>
      <c r="F16210" t="s">
        <v>27987</v>
      </c>
      <c r="G16210" s="117">
        <v>39.06</v>
      </c>
    </row>
    <row r="16211" spans="1:7" x14ac:dyDescent="0.25">
      <c r="A16211" s="116" t="s">
        <v>25315</v>
      </c>
      <c r="B16211" s="117" t="s">
        <v>25316</v>
      </c>
      <c r="C16211" t="s">
        <v>67</v>
      </c>
      <c r="D16211" t="s">
        <v>67</v>
      </c>
      <c r="E16211" t="s">
        <v>67</v>
      </c>
      <c r="F16211" t="s">
        <v>27987</v>
      </c>
      <c r="G16211" s="117">
        <v>27.14</v>
      </c>
    </row>
    <row r="16212" spans="1:7" x14ac:dyDescent="0.25">
      <c r="A16212" s="116" t="s">
        <v>25317</v>
      </c>
      <c r="B16212" s="117" t="s">
        <v>25318</v>
      </c>
      <c r="C16212" t="s">
        <v>67</v>
      </c>
      <c r="D16212" t="s">
        <v>67</v>
      </c>
      <c r="E16212" t="s">
        <v>67</v>
      </c>
      <c r="F16212" t="s">
        <v>27987</v>
      </c>
      <c r="G16212" s="117">
        <v>215.79</v>
      </c>
    </row>
    <row r="16213" spans="1:7" x14ac:dyDescent="0.25">
      <c r="A16213" s="116" t="s">
        <v>25319</v>
      </c>
      <c r="B16213" s="117" t="s">
        <v>25320</v>
      </c>
      <c r="C16213" t="s">
        <v>67</v>
      </c>
      <c r="D16213" t="s">
        <v>67</v>
      </c>
      <c r="E16213" t="s">
        <v>67</v>
      </c>
      <c r="F16213" t="s">
        <v>27987</v>
      </c>
      <c r="G16213" s="117">
        <v>215.79</v>
      </c>
    </row>
    <row r="16214" spans="1:7" x14ac:dyDescent="0.25">
      <c r="A16214" s="116" t="s">
        <v>25321</v>
      </c>
      <c r="B16214" s="117" t="s">
        <v>25322</v>
      </c>
      <c r="C16214" t="s">
        <v>67</v>
      </c>
      <c r="D16214" t="s">
        <v>67</v>
      </c>
      <c r="E16214" t="s">
        <v>67</v>
      </c>
      <c r="F16214" t="s">
        <v>27987</v>
      </c>
      <c r="G16214" s="117">
        <v>100.46</v>
      </c>
    </row>
    <row r="16215" spans="1:7" x14ac:dyDescent="0.25">
      <c r="A16215" s="116" t="s">
        <v>25323</v>
      </c>
      <c r="B16215" s="117" t="s">
        <v>25324</v>
      </c>
      <c r="C16215" t="s">
        <v>67</v>
      </c>
      <c r="D16215" t="s">
        <v>67</v>
      </c>
      <c r="E16215" t="s">
        <v>67</v>
      </c>
      <c r="F16215" t="s">
        <v>27987</v>
      </c>
      <c r="G16215" s="117">
        <v>22.69</v>
      </c>
    </row>
    <row r="16216" spans="1:7" x14ac:dyDescent="0.25">
      <c r="A16216" s="116" t="s">
        <v>25325</v>
      </c>
      <c r="B16216" s="117" t="s">
        <v>25326</v>
      </c>
      <c r="C16216" t="s">
        <v>67</v>
      </c>
      <c r="D16216" t="s">
        <v>67</v>
      </c>
      <c r="E16216" t="s">
        <v>67</v>
      </c>
      <c r="F16216" t="s">
        <v>27987</v>
      </c>
      <c r="G16216" s="117">
        <v>22.69</v>
      </c>
    </row>
    <row r="16217" spans="1:7" x14ac:dyDescent="0.25">
      <c r="A16217" s="116" t="s">
        <v>25327</v>
      </c>
      <c r="B16217" s="117" t="s">
        <v>25328</v>
      </c>
      <c r="C16217" t="s">
        <v>67</v>
      </c>
      <c r="D16217" t="s">
        <v>67</v>
      </c>
      <c r="E16217" t="s">
        <v>67</v>
      </c>
      <c r="F16217" t="s">
        <v>27987</v>
      </c>
      <c r="G16217" s="117">
        <v>17.7</v>
      </c>
    </row>
    <row r="16218" spans="1:7" x14ac:dyDescent="0.25">
      <c r="A16218" s="116" t="s">
        <v>25329</v>
      </c>
      <c r="B16218" s="117" t="s">
        <v>25330</v>
      </c>
      <c r="C16218" t="s">
        <v>67</v>
      </c>
      <c r="D16218" t="s">
        <v>67</v>
      </c>
      <c r="E16218" t="s">
        <v>67</v>
      </c>
      <c r="F16218" t="s">
        <v>27987</v>
      </c>
      <c r="G16218" s="117">
        <v>154.74</v>
      </c>
    </row>
    <row r="16219" spans="1:7" x14ac:dyDescent="0.25">
      <c r="A16219" s="116" t="s">
        <v>25331</v>
      </c>
      <c r="B16219" s="117" t="s">
        <v>25332</v>
      </c>
      <c r="C16219" t="s">
        <v>67</v>
      </c>
      <c r="D16219" t="s">
        <v>67</v>
      </c>
      <c r="E16219" t="s">
        <v>67</v>
      </c>
      <c r="F16219" t="s">
        <v>27987</v>
      </c>
      <c r="G16219" s="117">
        <v>154.74</v>
      </c>
    </row>
    <row r="16220" spans="1:7" x14ac:dyDescent="0.25">
      <c r="A16220" s="116" t="s">
        <v>25333</v>
      </c>
      <c r="B16220" s="117" t="s">
        <v>25334</v>
      </c>
      <c r="C16220" t="s">
        <v>67</v>
      </c>
      <c r="D16220" t="s">
        <v>67</v>
      </c>
      <c r="E16220" t="s">
        <v>67</v>
      </c>
      <c r="F16220" t="s">
        <v>27987</v>
      </c>
      <c r="G16220" s="117">
        <v>652.16</v>
      </c>
    </row>
    <row r="16221" spans="1:7" x14ac:dyDescent="0.25">
      <c r="A16221" s="116" t="s">
        <v>25335</v>
      </c>
      <c r="B16221" s="117" t="s">
        <v>25336</v>
      </c>
      <c r="C16221" t="s">
        <v>67</v>
      </c>
      <c r="D16221" t="s">
        <v>67</v>
      </c>
      <c r="E16221" t="s">
        <v>67</v>
      </c>
      <c r="F16221" t="s">
        <v>27987</v>
      </c>
      <c r="G16221" s="117">
        <v>634</v>
      </c>
    </row>
    <row r="16222" spans="1:7" x14ac:dyDescent="0.25">
      <c r="A16222" s="116" t="s">
        <v>25337</v>
      </c>
      <c r="B16222" s="117" t="s">
        <v>25338</v>
      </c>
      <c r="C16222" t="s">
        <v>67</v>
      </c>
      <c r="D16222" t="s">
        <v>67</v>
      </c>
      <c r="E16222" t="s">
        <v>67</v>
      </c>
      <c r="F16222" t="s">
        <v>27987</v>
      </c>
      <c r="G16222" s="117">
        <v>634</v>
      </c>
    </row>
    <row r="16223" spans="1:7" x14ac:dyDescent="0.25">
      <c r="A16223" s="116" t="s">
        <v>25339</v>
      </c>
      <c r="B16223" s="117" t="s">
        <v>25340</v>
      </c>
      <c r="C16223" t="s">
        <v>67</v>
      </c>
      <c r="D16223" t="s">
        <v>67</v>
      </c>
      <c r="E16223" t="s">
        <v>67</v>
      </c>
      <c r="F16223" t="s">
        <v>27987</v>
      </c>
      <c r="G16223" s="117">
        <v>17.7</v>
      </c>
    </row>
    <row r="16224" spans="1:7" x14ac:dyDescent="0.25">
      <c r="A16224" s="116" t="s">
        <v>25341</v>
      </c>
      <c r="B16224" s="117" t="s">
        <v>25342</v>
      </c>
      <c r="C16224" t="s">
        <v>67</v>
      </c>
      <c r="D16224" t="s">
        <v>67</v>
      </c>
      <c r="E16224" t="s">
        <v>67</v>
      </c>
      <c r="F16224" t="s">
        <v>27987</v>
      </c>
      <c r="G16224" s="117">
        <v>452.48</v>
      </c>
    </row>
    <row r="16225" spans="1:7" x14ac:dyDescent="0.25">
      <c r="A16225" s="116" t="s">
        <v>25343</v>
      </c>
      <c r="B16225" s="117" t="s">
        <v>25344</v>
      </c>
      <c r="C16225" t="s">
        <v>67</v>
      </c>
      <c r="D16225" t="s">
        <v>67</v>
      </c>
      <c r="E16225" t="s">
        <v>67</v>
      </c>
      <c r="F16225" t="s">
        <v>27987</v>
      </c>
      <c r="G16225" s="117">
        <v>23.94</v>
      </c>
    </row>
    <row r="16226" spans="1:7" x14ac:dyDescent="0.25">
      <c r="A16226" s="116" t="s">
        <v>25345</v>
      </c>
      <c r="B16226" s="117" t="s">
        <v>25346</v>
      </c>
      <c r="C16226" t="s">
        <v>67</v>
      </c>
      <c r="D16226" t="s">
        <v>67</v>
      </c>
      <c r="E16226" t="s">
        <v>67</v>
      </c>
      <c r="F16226" t="s">
        <v>27987</v>
      </c>
      <c r="G16226" s="117">
        <v>29.81</v>
      </c>
    </row>
    <row r="16227" spans="1:7" x14ac:dyDescent="0.25">
      <c r="A16227" s="116" t="s">
        <v>25347</v>
      </c>
      <c r="B16227" s="117" t="s">
        <v>25348</v>
      </c>
      <c r="C16227" t="s">
        <v>67</v>
      </c>
      <c r="D16227" t="s">
        <v>67</v>
      </c>
      <c r="E16227" t="s">
        <v>67</v>
      </c>
      <c r="F16227" t="s">
        <v>27987</v>
      </c>
      <c r="G16227" s="117">
        <v>29.81</v>
      </c>
    </row>
    <row r="16228" spans="1:7" x14ac:dyDescent="0.25">
      <c r="A16228" s="116" t="s">
        <v>25349</v>
      </c>
      <c r="B16228" s="117" t="s">
        <v>25350</v>
      </c>
      <c r="C16228" t="s">
        <v>67</v>
      </c>
      <c r="D16228" t="s">
        <v>67</v>
      </c>
      <c r="E16228" t="s">
        <v>67</v>
      </c>
      <c r="F16228" t="s">
        <v>27987</v>
      </c>
      <c r="G16228" s="117">
        <v>29.81</v>
      </c>
    </row>
    <row r="16229" spans="1:7" x14ac:dyDescent="0.25">
      <c r="A16229" s="116" t="s">
        <v>25351</v>
      </c>
      <c r="B16229" s="117" t="s">
        <v>25352</v>
      </c>
      <c r="C16229" t="s">
        <v>67</v>
      </c>
      <c r="D16229" t="s">
        <v>67</v>
      </c>
      <c r="E16229" t="s">
        <v>67</v>
      </c>
      <c r="F16229" t="s">
        <v>27987</v>
      </c>
      <c r="G16229" s="117">
        <v>17.7</v>
      </c>
    </row>
    <row r="16230" spans="1:7" x14ac:dyDescent="0.25">
      <c r="A16230" s="116" t="s">
        <v>25353</v>
      </c>
      <c r="B16230" s="117" t="s">
        <v>25354</v>
      </c>
      <c r="C16230" t="s">
        <v>67</v>
      </c>
      <c r="D16230" t="s">
        <v>67</v>
      </c>
      <c r="E16230" t="s">
        <v>67</v>
      </c>
      <c r="F16230" t="s">
        <v>27987</v>
      </c>
      <c r="G16230" s="117">
        <v>23.94</v>
      </c>
    </row>
    <row r="16231" spans="1:7" x14ac:dyDescent="0.25">
      <c r="A16231" s="116" t="s">
        <v>25355</v>
      </c>
      <c r="B16231" s="117" t="s">
        <v>25356</v>
      </c>
      <c r="C16231" t="s">
        <v>67</v>
      </c>
      <c r="D16231" t="s">
        <v>67</v>
      </c>
      <c r="E16231" t="s">
        <v>67</v>
      </c>
      <c r="F16231" t="s">
        <v>27987</v>
      </c>
      <c r="G16231" s="117">
        <v>23.94</v>
      </c>
    </row>
    <row r="16232" spans="1:7" x14ac:dyDescent="0.25">
      <c r="A16232" s="116" t="s">
        <v>25357</v>
      </c>
      <c r="B16232" s="117" t="s">
        <v>25358</v>
      </c>
      <c r="C16232" t="s">
        <v>67</v>
      </c>
      <c r="D16232" t="s">
        <v>67</v>
      </c>
      <c r="E16232" t="s">
        <v>67</v>
      </c>
      <c r="F16232" t="s">
        <v>49</v>
      </c>
      <c r="G16232" s="117">
        <v>5.33</v>
      </c>
    </row>
    <row r="16233" spans="1:7" x14ac:dyDescent="0.25">
      <c r="A16233" s="116" t="s">
        <v>25359</v>
      </c>
      <c r="B16233" s="117" t="s">
        <v>8008</v>
      </c>
      <c r="C16233" t="s">
        <v>67</v>
      </c>
      <c r="D16233" t="s">
        <v>67</v>
      </c>
      <c r="E16233" t="s">
        <v>67</v>
      </c>
      <c r="F16233" t="s">
        <v>27987</v>
      </c>
      <c r="G16233" s="117">
        <v>3.56</v>
      </c>
    </row>
    <row r="16234" spans="1:7" x14ac:dyDescent="0.25">
      <c r="A16234" s="116" t="s">
        <v>25360</v>
      </c>
      <c r="B16234" s="117" t="s">
        <v>25361</v>
      </c>
      <c r="C16234" t="s">
        <v>67</v>
      </c>
      <c r="D16234" t="s">
        <v>67</v>
      </c>
      <c r="E16234" t="s">
        <v>67</v>
      </c>
      <c r="F16234" t="s">
        <v>27987</v>
      </c>
      <c r="G16234" s="117">
        <v>9.6999999999999993</v>
      </c>
    </row>
    <row r="16235" spans="1:7" x14ac:dyDescent="0.25">
      <c r="A16235" s="116" t="s">
        <v>25362</v>
      </c>
      <c r="B16235" s="117" t="s">
        <v>25363</v>
      </c>
      <c r="C16235" t="s">
        <v>67</v>
      </c>
      <c r="D16235" t="s">
        <v>67</v>
      </c>
      <c r="E16235" t="s">
        <v>67</v>
      </c>
      <c r="F16235" t="s">
        <v>27987</v>
      </c>
      <c r="G16235" s="117">
        <v>7.92</v>
      </c>
    </row>
    <row r="16236" spans="1:7" x14ac:dyDescent="0.25">
      <c r="A16236" s="116" t="s">
        <v>25364</v>
      </c>
      <c r="B16236" s="117" t="s">
        <v>25365</v>
      </c>
      <c r="C16236" t="s">
        <v>67</v>
      </c>
      <c r="D16236" t="s">
        <v>67</v>
      </c>
      <c r="E16236" t="s">
        <v>67</v>
      </c>
      <c r="F16236" t="s">
        <v>27987</v>
      </c>
      <c r="G16236" s="117">
        <v>210.8</v>
      </c>
    </row>
    <row r="16237" spans="1:7" x14ac:dyDescent="0.25">
      <c r="A16237" s="116" t="s">
        <v>25366</v>
      </c>
      <c r="B16237" s="117" t="s">
        <v>25367</v>
      </c>
      <c r="C16237" t="s">
        <v>67</v>
      </c>
      <c r="D16237" t="s">
        <v>67</v>
      </c>
      <c r="E16237" t="s">
        <v>67</v>
      </c>
      <c r="F16237" t="s">
        <v>27987</v>
      </c>
      <c r="G16237" s="117">
        <v>23.94</v>
      </c>
    </row>
    <row r="16238" spans="1:7" x14ac:dyDescent="0.25">
      <c r="A16238" s="116" t="s">
        <v>25368</v>
      </c>
      <c r="B16238" s="117" t="s">
        <v>25369</v>
      </c>
      <c r="C16238" t="s">
        <v>67</v>
      </c>
      <c r="D16238" t="s">
        <v>67</v>
      </c>
      <c r="E16238" t="s">
        <v>67</v>
      </c>
      <c r="F16238" t="s">
        <v>27987</v>
      </c>
      <c r="G16238" s="117">
        <v>23.94</v>
      </c>
    </row>
    <row r="16239" spans="1:7" x14ac:dyDescent="0.25">
      <c r="A16239" s="116" t="s">
        <v>25370</v>
      </c>
      <c r="B16239" s="117" t="s">
        <v>25371</v>
      </c>
      <c r="C16239" t="s">
        <v>67</v>
      </c>
      <c r="D16239" t="s">
        <v>67</v>
      </c>
      <c r="E16239" t="s">
        <v>67</v>
      </c>
      <c r="F16239" t="s">
        <v>27987</v>
      </c>
      <c r="G16239" s="117">
        <v>34.26</v>
      </c>
    </row>
    <row r="16240" spans="1:7" x14ac:dyDescent="0.25">
      <c r="A16240" s="116" t="s">
        <v>25372</v>
      </c>
      <c r="B16240" s="117" t="s">
        <v>25373</v>
      </c>
      <c r="C16240" t="s">
        <v>67</v>
      </c>
      <c r="D16240" t="s">
        <v>67</v>
      </c>
      <c r="E16240" t="s">
        <v>67</v>
      </c>
      <c r="F16240" t="s">
        <v>27987</v>
      </c>
      <c r="G16240" s="117">
        <v>41.38</v>
      </c>
    </row>
    <row r="16241" spans="1:7" x14ac:dyDescent="0.25">
      <c r="A16241" s="116" t="s">
        <v>25374</v>
      </c>
      <c r="B16241" s="117" t="s">
        <v>25375</v>
      </c>
      <c r="C16241" t="s">
        <v>67</v>
      </c>
      <c r="D16241" t="s">
        <v>67</v>
      </c>
      <c r="E16241" t="s">
        <v>67</v>
      </c>
      <c r="F16241" t="s">
        <v>27987</v>
      </c>
      <c r="G16241" s="117">
        <v>23.94</v>
      </c>
    </row>
    <row r="16242" spans="1:7" x14ac:dyDescent="0.25">
      <c r="A16242" s="116" t="s">
        <v>25376</v>
      </c>
      <c r="B16242" s="117" t="s">
        <v>25377</v>
      </c>
      <c r="C16242" t="s">
        <v>67</v>
      </c>
      <c r="D16242" t="s">
        <v>67</v>
      </c>
      <c r="E16242" t="s">
        <v>67</v>
      </c>
      <c r="F16242" t="s">
        <v>27987</v>
      </c>
      <c r="G16242" s="117">
        <v>23.94</v>
      </c>
    </row>
    <row r="16243" spans="1:7" x14ac:dyDescent="0.25">
      <c r="A16243" s="116" t="s">
        <v>25378</v>
      </c>
      <c r="B16243" s="117" t="s">
        <v>25379</v>
      </c>
      <c r="C16243" t="s">
        <v>67</v>
      </c>
      <c r="D16243" t="s">
        <v>67</v>
      </c>
      <c r="E16243" t="s">
        <v>67</v>
      </c>
      <c r="F16243" t="s">
        <v>27987</v>
      </c>
      <c r="G16243" s="117">
        <v>17.7</v>
      </c>
    </row>
    <row r="16244" spans="1:7" x14ac:dyDescent="0.25">
      <c r="A16244" s="116" t="s">
        <v>25380</v>
      </c>
      <c r="B16244" s="117" t="s">
        <v>25381</v>
      </c>
      <c r="C16244" t="s">
        <v>67</v>
      </c>
      <c r="D16244" t="s">
        <v>67</v>
      </c>
      <c r="E16244" t="s">
        <v>67</v>
      </c>
      <c r="F16244" t="s">
        <v>27987</v>
      </c>
      <c r="G16244" s="117">
        <v>23.94</v>
      </c>
    </row>
    <row r="16245" spans="1:7" x14ac:dyDescent="0.25">
      <c r="A16245" s="116" t="s">
        <v>25382</v>
      </c>
      <c r="B16245" s="117" t="s">
        <v>25383</v>
      </c>
      <c r="C16245" t="s">
        <v>67</v>
      </c>
      <c r="D16245" t="s">
        <v>67</v>
      </c>
      <c r="E16245" t="s">
        <v>67</v>
      </c>
      <c r="F16245" t="s">
        <v>27987</v>
      </c>
      <c r="G16245" s="117">
        <v>3.56</v>
      </c>
    </row>
    <row r="16246" spans="1:7" x14ac:dyDescent="0.25">
      <c r="A16246" s="116" t="s">
        <v>25384</v>
      </c>
      <c r="B16246" s="117" t="s">
        <v>25385</v>
      </c>
      <c r="C16246" t="s">
        <v>67</v>
      </c>
      <c r="D16246" t="s">
        <v>67</v>
      </c>
      <c r="E16246" t="s">
        <v>67</v>
      </c>
      <c r="F16246" t="s">
        <v>27987</v>
      </c>
      <c r="G16246" s="117">
        <v>29.81</v>
      </c>
    </row>
    <row r="16247" spans="1:7" x14ac:dyDescent="0.25">
      <c r="A16247" s="116" t="s">
        <v>25386</v>
      </c>
      <c r="B16247" s="117" t="s">
        <v>25387</v>
      </c>
      <c r="C16247" t="s">
        <v>67</v>
      </c>
      <c r="D16247" t="s">
        <v>67</v>
      </c>
      <c r="E16247" t="s">
        <v>67</v>
      </c>
      <c r="F16247" t="s">
        <v>27987</v>
      </c>
      <c r="G16247" s="117">
        <v>23.94</v>
      </c>
    </row>
    <row r="16248" spans="1:7" x14ac:dyDescent="0.25">
      <c r="A16248" s="116" t="s">
        <v>25388</v>
      </c>
      <c r="B16248" s="117" t="s">
        <v>25389</v>
      </c>
      <c r="C16248" t="s">
        <v>67</v>
      </c>
      <c r="D16248" t="s">
        <v>67</v>
      </c>
      <c r="E16248" t="s">
        <v>67</v>
      </c>
      <c r="F16248" t="s">
        <v>27987</v>
      </c>
      <c r="G16248" s="117">
        <v>531.14</v>
      </c>
    </row>
    <row r="16249" spans="1:7" x14ac:dyDescent="0.25">
      <c r="A16249" s="116" t="s">
        <v>25390</v>
      </c>
      <c r="B16249" s="117" t="s">
        <v>25391</v>
      </c>
      <c r="C16249" t="s">
        <v>67</v>
      </c>
      <c r="D16249" t="s">
        <v>67</v>
      </c>
      <c r="E16249" t="s">
        <v>67</v>
      </c>
      <c r="F16249" t="s">
        <v>27987</v>
      </c>
      <c r="G16249" s="117">
        <v>37.82</v>
      </c>
    </row>
    <row r="16250" spans="1:7" x14ac:dyDescent="0.25">
      <c r="A16250" s="116" t="s">
        <v>25392</v>
      </c>
      <c r="B16250" s="117" t="s">
        <v>25393</v>
      </c>
      <c r="C16250" t="s">
        <v>67</v>
      </c>
      <c r="D16250" t="s">
        <v>67</v>
      </c>
      <c r="E16250" t="s">
        <v>67</v>
      </c>
      <c r="F16250" t="s">
        <v>27987</v>
      </c>
      <c r="G16250" s="117">
        <v>29.81</v>
      </c>
    </row>
    <row r="16251" spans="1:7" x14ac:dyDescent="0.25">
      <c r="A16251" s="116" t="s">
        <v>25394</v>
      </c>
      <c r="B16251" s="117" t="s">
        <v>25395</v>
      </c>
      <c r="C16251" t="s">
        <v>67</v>
      </c>
      <c r="D16251" t="s">
        <v>67</v>
      </c>
      <c r="E16251" t="s">
        <v>67</v>
      </c>
      <c r="F16251" t="s">
        <v>27987</v>
      </c>
      <c r="G16251" s="117">
        <v>39.06</v>
      </c>
    </row>
    <row r="16252" spans="1:7" x14ac:dyDescent="0.25">
      <c r="A16252" s="116" t="s">
        <v>25396</v>
      </c>
      <c r="B16252" s="117" t="s">
        <v>25397</v>
      </c>
      <c r="C16252" t="s">
        <v>67</v>
      </c>
      <c r="D16252" t="s">
        <v>67</v>
      </c>
      <c r="E16252" t="s">
        <v>67</v>
      </c>
      <c r="F16252" t="s">
        <v>27987</v>
      </c>
      <c r="G16252" s="117">
        <v>29.81</v>
      </c>
    </row>
    <row r="16253" spans="1:7" x14ac:dyDescent="0.25">
      <c r="A16253" s="116" t="s">
        <v>25398</v>
      </c>
      <c r="B16253" s="117" t="s">
        <v>25399</v>
      </c>
      <c r="C16253" t="s">
        <v>67</v>
      </c>
      <c r="D16253" t="s">
        <v>67</v>
      </c>
      <c r="E16253" t="s">
        <v>67</v>
      </c>
      <c r="F16253" t="s">
        <v>27987</v>
      </c>
      <c r="G16253" s="117">
        <v>36.93</v>
      </c>
    </row>
    <row r="16254" spans="1:7" x14ac:dyDescent="0.25">
      <c r="A16254" s="116" t="s">
        <v>25400</v>
      </c>
      <c r="B16254" s="117" t="s">
        <v>25401</v>
      </c>
      <c r="C16254" t="s">
        <v>67</v>
      </c>
      <c r="D16254" t="s">
        <v>67</v>
      </c>
      <c r="E16254" t="s">
        <v>67</v>
      </c>
      <c r="F16254" t="s">
        <v>27987</v>
      </c>
      <c r="G16254" s="117">
        <v>20.38</v>
      </c>
    </row>
    <row r="16255" spans="1:7" x14ac:dyDescent="0.25">
      <c r="A16255" s="116" t="s">
        <v>25402</v>
      </c>
      <c r="B16255" s="117" t="s">
        <v>25403</v>
      </c>
      <c r="C16255" t="s">
        <v>67</v>
      </c>
      <c r="D16255" t="s">
        <v>67</v>
      </c>
      <c r="E16255" t="s">
        <v>67</v>
      </c>
      <c r="F16255" t="s">
        <v>27987</v>
      </c>
      <c r="G16255" s="117">
        <v>8.81</v>
      </c>
    </row>
    <row r="16256" spans="1:7" x14ac:dyDescent="0.25">
      <c r="A16256" s="116" t="s">
        <v>25404</v>
      </c>
      <c r="B16256" s="117" t="s">
        <v>25405</v>
      </c>
      <c r="C16256" t="s">
        <v>67</v>
      </c>
      <c r="D16256" t="s">
        <v>67</v>
      </c>
      <c r="E16256" t="s">
        <v>67</v>
      </c>
      <c r="F16256" t="s">
        <v>27987</v>
      </c>
      <c r="G16256" s="117">
        <v>23.94</v>
      </c>
    </row>
    <row r="16257" spans="1:7" x14ac:dyDescent="0.25">
      <c r="A16257" s="116" t="s">
        <v>25406</v>
      </c>
      <c r="B16257" s="117" t="s">
        <v>25407</v>
      </c>
      <c r="C16257" t="s">
        <v>67</v>
      </c>
      <c r="D16257" t="s">
        <v>67</v>
      </c>
      <c r="E16257" t="s">
        <v>67</v>
      </c>
      <c r="F16257" t="s">
        <v>27987</v>
      </c>
      <c r="G16257" s="117">
        <v>23.94</v>
      </c>
    </row>
    <row r="16258" spans="1:7" x14ac:dyDescent="0.25">
      <c r="A16258" s="116" t="s">
        <v>25408</v>
      </c>
      <c r="B16258" s="117" t="s">
        <v>25409</v>
      </c>
      <c r="C16258" t="s">
        <v>67</v>
      </c>
      <c r="D16258" t="s">
        <v>67</v>
      </c>
      <c r="E16258" t="s">
        <v>67</v>
      </c>
      <c r="F16258" t="s">
        <v>27987</v>
      </c>
      <c r="G16258" s="117">
        <v>29.81</v>
      </c>
    </row>
    <row r="16259" spans="1:7" x14ac:dyDescent="0.25">
      <c r="A16259" s="116" t="s">
        <v>25410</v>
      </c>
      <c r="B16259" s="117" t="s">
        <v>25411</v>
      </c>
      <c r="C16259" t="s">
        <v>67</v>
      </c>
      <c r="D16259" t="s">
        <v>67</v>
      </c>
      <c r="E16259" t="s">
        <v>67</v>
      </c>
      <c r="F16259" t="s">
        <v>27987</v>
      </c>
      <c r="G16259" s="117">
        <v>559.26</v>
      </c>
    </row>
    <row r="16260" spans="1:7" x14ac:dyDescent="0.25">
      <c r="A16260" s="116" t="s">
        <v>25412</v>
      </c>
      <c r="B16260" s="117" t="s">
        <v>25413</v>
      </c>
      <c r="C16260" t="s">
        <v>67</v>
      </c>
      <c r="D16260" t="s">
        <v>67</v>
      </c>
      <c r="E16260" t="s">
        <v>67</v>
      </c>
      <c r="F16260" t="s">
        <v>27987</v>
      </c>
      <c r="G16260" s="117">
        <v>21.26</v>
      </c>
    </row>
    <row r="16261" spans="1:7" x14ac:dyDescent="0.25">
      <c r="A16261" s="116" t="s">
        <v>25414</v>
      </c>
      <c r="B16261" s="117" t="s">
        <v>25415</v>
      </c>
      <c r="C16261" t="s">
        <v>67</v>
      </c>
      <c r="D16261" t="s">
        <v>67</v>
      </c>
      <c r="E16261" t="s">
        <v>67</v>
      </c>
      <c r="F16261" t="s">
        <v>27987</v>
      </c>
      <c r="G16261" s="117">
        <v>21.26</v>
      </c>
    </row>
    <row r="16262" spans="1:7" x14ac:dyDescent="0.25">
      <c r="A16262" s="116" t="s">
        <v>25416</v>
      </c>
      <c r="B16262" s="117" t="s">
        <v>25417</v>
      </c>
      <c r="C16262" t="s">
        <v>67</v>
      </c>
      <c r="D16262" t="s">
        <v>67</v>
      </c>
      <c r="E16262" t="s">
        <v>67</v>
      </c>
      <c r="F16262" t="s">
        <v>27987</v>
      </c>
      <c r="G16262" s="117">
        <v>323.81</v>
      </c>
    </row>
    <row r="16263" spans="1:7" x14ac:dyDescent="0.25">
      <c r="A16263" s="116" t="s">
        <v>25418</v>
      </c>
      <c r="B16263" s="117" t="s">
        <v>25419</v>
      </c>
      <c r="C16263" t="s">
        <v>67</v>
      </c>
      <c r="D16263" t="s">
        <v>67</v>
      </c>
      <c r="E16263" t="s">
        <v>67</v>
      </c>
      <c r="F16263" t="s">
        <v>27987</v>
      </c>
      <c r="G16263" s="117">
        <v>47.61</v>
      </c>
    </row>
    <row r="16264" spans="1:7" x14ac:dyDescent="0.25">
      <c r="A16264" s="116" t="s">
        <v>25420</v>
      </c>
      <c r="B16264" s="117" t="s">
        <v>25421</v>
      </c>
      <c r="C16264" t="s">
        <v>67</v>
      </c>
      <c r="D16264" t="s">
        <v>67</v>
      </c>
      <c r="E16264" t="s">
        <v>67</v>
      </c>
      <c r="F16264" t="s">
        <v>27987</v>
      </c>
      <c r="G16264" s="117">
        <v>31.94</v>
      </c>
    </row>
    <row r="16265" spans="1:7" x14ac:dyDescent="0.25">
      <c r="A16265" s="116" t="s">
        <v>25422</v>
      </c>
      <c r="B16265" s="117" t="s">
        <v>25423</v>
      </c>
      <c r="C16265" t="s">
        <v>67</v>
      </c>
      <c r="D16265" t="s">
        <v>67</v>
      </c>
      <c r="E16265" t="s">
        <v>67</v>
      </c>
      <c r="F16265" t="s">
        <v>27987</v>
      </c>
      <c r="G16265" s="117">
        <v>31.94</v>
      </c>
    </row>
    <row r="16266" spans="1:7" x14ac:dyDescent="0.25">
      <c r="A16266" s="116" t="s">
        <v>25424</v>
      </c>
      <c r="B16266" s="117" t="s">
        <v>25425</v>
      </c>
      <c r="C16266" t="s">
        <v>67</v>
      </c>
      <c r="D16266" t="s">
        <v>67</v>
      </c>
      <c r="E16266" t="s">
        <v>67</v>
      </c>
      <c r="F16266" t="s">
        <v>27987</v>
      </c>
      <c r="G16266" s="117">
        <v>29.81</v>
      </c>
    </row>
    <row r="16267" spans="1:7" x14ac:dyDescent="0.25">
      <c r="A16267" s="116" t="s">
        <v>25426</v>
      </c>
      <c r="B16267" s="117" t="s">
        <v>25427</v>
      </c>
      <c r="C16267" t="s">
        <v>67</v>
      </c>
      <c r="D16267" t="s">
        <v>67</v>
      </c>
      <c r="E16267" t="s">
        <v>67</v>
      </c>
      <c r="F16267" t="s">
        <v>27987</v>
      </c>
      <c r="G16267" s="117">
        <v>29.81</v>
      </c>
    </row>
    <row r="16268" spans="1:7" x14ac:dyDescent="0.25">
      <c r="A16268" s="116" t="s">
        <v>25428</v>
      </c>
      <c r="B16268" s="117" t="s">
        <v>25429</v>
      </c>
      <c r="C16268" t="s">
        <v>67</v>
      </c>
      <c r="D16268" t="s">
        <v>67</v>
      </c>
      <c r="E16268" t="s">
        <v>67</v>
      </c>
      <c r="F16268" t="s">
        <v>27987</v>
      </c>
      <c r="G16268" s="117">
        <v>23.94</v>
      </c>
    </row>
    <row r="16269" spans="1:7" x14ac:dyDescent="0.25">
      <c r="A16269" s="116" t="s">
        <v>25430</v>
      </c>
      <c r="B16269" s="117" t="s">
        <v>25431</v>
      </c>
      <c r="C16269" t="s">
        <v>67</v>
      </c>
      <c r="D16269" t="s">
        <v>67</v>
      </c>
      <c r="E16269" t="s">
        <v>67</v>
      </c>
      <c r="F16269" t="s">
        <v>27987</v>
      </c>
      <c r="G16269" s="117">
        <v>28.38</v>
      </c>
    </row>
    <row r="16270" spans="1:7" x14ac:dyDescent="0.25">
      <c r="A16270" s="116" t="s">
        <v>25432</v>
      </c>
      <c r="B16270" s="117" t="s">
        <v>25433</v>
      </c>
      <c r="C16270" t="s">
        <v>67</v>
      </c>
      <c r="D16270" t="s">
        <v>67</v>
      </c>
      <c r="E16270" t="s">
        <v>67</v>
      </c>
      <c r="F16270" t="s">
        <v>27987</v>
      </c>
      <c r="G16270" s="117">
        <v>46.18</v>
      </c>
    </row>
    <row r="16271" spans="1:7" x14ac:dyDescent="0.25">
      <c r="A16271" s="116" t="s">
        <v>25434</v>
      </c>
      <c r="B16271" s="117" t="s">
        <v>25435</v>
      </c>
      <c r="C16271" t="s">
        <v>67</v>
      </c>
      <c r="D16271" t="s">
        <v>67</v>
      </c>
      <c r="E16271" t="s">
        <v>67</v>
      </c>
      <c r="F16271" t="s">
        <v>27987</v>
      </c>
      <c r="G16271" s="117">
        <v>29.81</v>
      </c>
    </row>
    <row r="16272" spans="1:7" x14ac:dyDescent="0.25">
      <c r="A16272" s="116" t="s">
        <v>25436</v>
      </c>
      <c r="B16272" s="117" t="s">
        <v>25437</v>
      </c>
      <c r="C16272" t="s">
        <v>67</v>
      </c>
      <c r="D16272" t="s">
        <v>67</v>
      </c>
      <c r="E16272" t="s">
        <v>67</v>
      </c>
      <c r="F16272" t="s">
        <v>27987</v>
      </c>
      <c r="G16272" s="117">
        <v>39.06</v>
      </c>
    </row>
    <row r="16273" spans="1:7" x14ac:dyDescent="0.25">
      <c r="A16273" s="116" t="s">
        <v>25438</v>
      </c>
      <c r="B16273" s="117" t="s">
        <v>25439</v>
      </c>
      <c r="C16273" t="s">
        <v>67</v>
      </c>
      <c r="D16273" t="s">
        <v>67</v>
      </c>
      <c r="E16273" t="s">
        <v>67</v>
      </c>
      <c r="F16273" t="s">
        <v>27987</v>
      </c>
      <c r="G16273" s="117">
        <v>559.26</v>
      </c>
    </row>
    <row r="16274" spans="1:7" x14ac:dyDescent="0.25">
      <c r="A16274" s="116" t="s">
        <v>25440</v>
      </c>
      <c r="B16274" s="117" t="s">
        <v>25441</v>
      </c>
      <c r="C16274" t="s">
        <v>67</v>
      </c>
      <c r="D16274" t="s">
        <v>67</v>
      </c>
      <c r="E16274" t="s">
        <v>67</v>
      </c>
      <c r="F16274" t="s">
        <v>27987</v>
      </c>
      <c r="G16274" s="117">
        <v>20.38</v>
      </c>
    </row>
    <row r="16275" spans="1:7" x14ac:dyDescent="0.25">
      <c r="A16275" s="116" t="s">
        <v>25442</v>
      </c>
      <c r="B16275" s="117" t="s">
        <v>25443</v>
      </c>
      <c r="C16275" t="s">
        <v>67</v>
      </c>
      <c r="D16275" t="s">
        <v>67</v>
      </c>
      <c r="E16275" t="s">
        <v>67</v>
      </c>
      <c r="F16275" t="s">
        <v>27987</v>
      </c>
      <c r="G16275" s="117">
        <v>15.93</v>
      </c>
    </row>
    <row r="16276" spans="1:7" x14ac:dyDescent="0.25">
      <c r="A16276" s="116" t="s">
        <v>25444</v>
      </c>
      <c r="B16276" s="117" t="s">
        <v>25445</v>
      </c>
      <c r="C16276" t="s">
        <v>67</v>
      </c>
      <c r="D16276" t="s">
        <v>67</v>
      </c>
      <c r="E16276" t="s">
        <v>67</v>
      </c>
      <c r="F16276" t="s">
        <v>27987</v>
      </c>
      <c r="G16276" s="117">
        <v>28.38</v>
      </c>
    </row>
    <row r="16277" spans="1:7" x14ac:dyDescent="0.25">
      <c r="A16277" s="116" t="s">
        <v>25446</v>
      </c>
      <c r="B16277" s="117" t="s">
        <v>25447</v>
      </c>
      <c r="C16277" t="s">
        <v>67</v>
      </c>
      <c r="D16277" t="s">
        <v>67</v>
      </c>
      <c r="E16277" t="s">
        <v>67</v>
      </c>
      <c r="F16277" t="s">
        <v>27987</v>
      </c>
      <c r="G16277" s="117">
        <v>46.18</v>
      </c>
    </row>
    <row r="16278" spans="1:7" x14ac:dyDescent="0.25">
      <c r="A16278" s="116" t="s">
        <v>25448</v>
      </c>
      <c r="B16278" s="117" t="s">
        <v>25449</v>
      </c>
      <c r="C16278" t="s">
        <v>67</v>
      </c>
      <c r="D16278" t="s">
        <v>67</v>
      </c>
      <c r="E16278" t="s">
        <v>67</v>
      </c>
      <c r="F16278" t="s">
        <v>27987</v>
      </c>
      <c r="G16278" s="117">
        <v>37.82</v>
      </c>
    </row>
    <row r="16279" spans="1:7" x14ac:dyDescent="0.25">
      <c r="A16279" s="116" t="s">
        <v>25450</v>
      </c>
      <c r="B16279" s="117" t="s">
        <v>25451</v>
      </c>
      <c r="C16279" t="s">
        <v>67</v>
      </c>
      <c r="D16279" t="s">
        <v>67</v>
      </c>
      <c r="E16279" t="s">
        <v>67</v>
      </c>
      <c r="F16279" t="s">
        <v>27987</v>
      </c>
      <c r="G16279" s="117">
        <v>31.94</v>
      </c>
    </row>
    <row r="16280" spans="1:7" x14ac:dyDescent="0.25">
      <c r="A16280" s="116" t="s">
        <v>25452</v>
      </c>
      <c r="B16280" s="117" t="s">
        <v>25453</v>
      </c>
      <c r="C16280" t="s">
        <v>67</v>
      </c>
      <c r="D16280" t="s">
        <v>67</v>
      </c>
      <c r="E16280" t="s">
        <v>67</v>
      </c>
      <c r="F16280" t="s">
        <v>27987</v>
      </c>
      <c r="G16280" s="117">
        <v>397.67</v>
      </c>
    </row>
    <row r="16281" spans="1:7" x14ac:dyDescent="0.25">
      <c r="A16281" s="116" t="s">
        <v>25454</v>
      </c>
      <c r="B16281" s="117" t="s">
        <v>25455</v>
      </c>
      <c r="C16281" t="s">
        <v>67</v>
      </c>
      <c r="D16281" t="s">
        <v>67</v>
      </c>
      <c r="E16281" t="s">
        <v>67</v>
      </c>
      <c r="F16281" t="s">
        <v>27987</v>
      </c>
      <c r="G16281" s="117">
        <v>29.81</v>
      </c>
    </row>
    <row r="16282" spans="1:7" x14ac:dyDescent="0.25">
      <c r="A16282" s="116" t="s">
        <v>25456</v>
      </c>
      <c r="B16282" s="117" t="s">
        <v>25457</v>
      </c>
      <c r="C16282" t="s">
        <v>67</v>
      </c>
      <c r="D16282" t="s">
        <v>67</v>
      </c>
      <c r="E16282" t="s">
        <v>67</v>
      </c>
      <c r="F16282" t="s">
        <v>27987</v>
      </c>
      <c r="G16282" s="117">
        <v>17.7</v>
      </c>
    </row>
    <row r="16283" spans="1:7" x14ac:dyDescent="0.25">
      <c r="A16283" s="116" t="s">
        <v>25458</v>
      </c>
      <c r="B16283" s="117" t="s">
        <v>29704</v>
      </c>
      <c r="C16283" t="s">
        <v>67</v>
      </c>
      <c r="D16283" t="s">
        <v>67</v>
      </c>
      <c r="E16283" t="s">
        <v>67</v>
      </c>
      <c r="F16283" t="s">
        <v>27987</v>
      </c>
      <c r="G16283" s="117">
        <v>15.57</v>
      </c>
    </row>
    <row r="16284" spans="1:7" x14ac:dyDescent="0.25">
      <c r="A16284" s="116" t="s">
        <v>25459</v>
      </c>
      <c r="B16284" s="117" t="s">
        <v>25460</v>
      </c>
      <c r="C16284" t="s">
        <v>67</v>
      </c>
      <c r="D16284" t="s">
        <v>67</v>
      </c>
      <c r="E16284" t="s">
        <v>67</v>
      </c>
      <c r="F16284" t="s">
        <v>27987</v>
      </c>
      <c r="G16284" s="117">
        <v>29.81</v>
      </c>
    </row>
    <row r="16285" spans="1:7" x14ac:dyDescent="0.25">
      <c r="A16285" s="116" t="s">
        <v>25461</v>
      </c>
      <c r="B16285" s="117" t="s">
        <v>25462</v>
      </c>
      <c r="C16285" t="s">
        <v>67</v>
      </c>
      <c r="D16285" t="s">
        <v>67</v>
      </c>
      <c r="E16285" t="s">
        <v>67</v>
      </c>
      <c r="F16285" t="s">
        <v>27987</v>
      </c>
      <c r="G16285" s="117">
        <v>26.25</v>
      </c>
    </row>
    <row r="16286" spans="1:7" x14ac:dyDescent="0.25">
      <c r="A16286" s="116" t="s">
        <v>25463</v>
      </c>
      <c r="B16286" s="117" t="s">
        <v>25464</v>
      </c>
      <c r="C16286" t="s">
        <v>67</v>
      </c>
      <c r="D16286" t="s">
        <v>67</v>
      </c>
      <c r="E16286" t="s">
        <v>67</v>
      </c>
      <c r="F16286" t="s">
        <v>27987</v>
      </c>
      <c r="G16286" s="117">
        <v>47.61</v>
      </c>
    </row>
    <row r="16287" spans="1:7" x14ac:dyDescent="0.25">
      <c r="A16287" s="116" t="s">
        <v>25465</v>
      </c>
      <c r="B16287" s="117" t="s">
        <v>25466</v>
      </c>
      <c r="C16287" t="s">
        <v>67</v>
      </c>
      <c r="D16287" t="s">
        <v>67</v>
      </c>
      <c r="E16287" t="s">
        <v>67</v>
      </c>
      <c r="F16287" t="s">
        <v>27987</v>
      </c>
      <c r="G16287" s="117">
        <v>17.7</v>
      </c>
    </row>
    <row r="16288" spans="1:7" x14ac:dyDescent="0.25">
      <c r="A16288" s="116" t="s">
        <v>25467</v>
      </c>
      <c r="B16288" s="117" t="s">
        <v>25468</v>
      </c>
      <c r="C16288" t="s">
        <v>67</v>
      </c>
      <c r="D16288" t="s">
        <v>67</v>
      </c>
      <c r="E16288" t="s">
        <v>67</v>
      </c>
      <c r="F16288" t="s">
        <v>27987</v>
      </c>
      <c r="G16288" s="117">
        <v>91.2</v>
      </c>
    </row>
    <row r="16289" spans="1:7" x14ac:dyDescent="0.25">
      <c r="A16289" s="116" t="s">
        <v>25469</v>
      </c>
      <c r="B16289" s="117" t="s">
        <v>25468</v>
      </c>
      <c r="C16289" t="s">
        <v>67</v>
      </c>
      <c r="D16289" t="s">
        <v>67</v>
      </c>
      <c r="E16289" t="s">
        <v>67</v>
      </c>
      <c r="F16289" t="s">
        <v>27987</v>
      </c>
      <c r="G16289" s="117">
        <v>33.369999999999997</v>
      </c>
    </row>
    <row r="16290" spans="1:7" x14ac:dyDescent="0.25">
      <c r="A16290" s="116" t="s">
        <v>25470</v>
      </c>
      <c r="B16290" s="117" t="s">
        <v>25471</v>
      </c>
      <c r="C16290" t="s">
        <v>67</v>
      </c>
      <c r="D16290" t="s">
        <v>67</v>
      </c>
      <c r="E16290" t="s">
        <v>67</v>
      </c>
      <c r="F16290" t="s">
        <v>27987</v>
      </c>
      <c r="G16290" s="117">
        <v>439.13</v>
      </c>
    </row>
    <row r="16291" spans="1:7" x14ac:dyDescent="0.25">
      <c r="A16291" s="116" t="s">
        <v>25472</v>
      </c>
      <c r="B16291" s="117" t="s">
        <v>25473</v>
      </c>
      <c r="C16291" t="s">
        <v>67</v>
      </c>
      <c r="D16291" t="s">
        <v>67</v>
      </c>
      <c r="E16291" t="s">
        <v>67</v>
      </c>
      <c r="F16291" t="s">
        <v>27987</v>
      </c>
      <c r="G16291" s="117">
        <v>161.86000000000001</v>
      </c>
    </row>
    <row r="16292" spans="1:7" x14ac:dyDescent="0.25">
      <c r="A16292" s="116" t="s">
        <v>25474</v>
      </c>
      <c r="B16292" s="117" t="s">
        <v>25475</v>
      </c>
      <c r="C16292" t="s">
        <v>67</v>
      </c>
      <c r="D16292" t="s">
        <v>67</v>
      </c>
      <c r="E16292" t="s">
        <v>67</v>
      </c>
      <c r="F16292" t="s">
        <v>27987</v>
      </c>
      <c r="G16292" s="117">
        <v>140.5</v>
      </c>
    </row>
    <row r="16293" spans="1:7" x14ac:dyDescent="0.25">
      <c r="A16293" s="116" t="s">
        <v>25476</v>
      </c>
      <c r="B16293" s="117" t="s">
        <v>25477</v>
      </c>
      <c r="C16293" t="s">
        <v>67</v>
      </c>
      <c r="D16293" t="s">
        <v>67</v>
      </c>
      <c r="E16293" t="s">
        <v>67</v>
      </c>
      <c r="F16293" t="s">
        <v>27987</v>
      </c>
      <c r="G16293" s="117">
        <v>139.26</v>
      </c>
    </row>
    <row r="16294" spans="1:7" x14ac:dyDescent="0.25">
      <c r="A16294" s="116" t="s">
        <v>25478</v>
      </c>
      <c r="B16294" s="117" t="s">
        <v>25479</v>
      </c>
      <c r="C16294" t="s">
        <v>67</v>
      </c>
      <c r="D16294" t="s">
        <v>67</v>
      </c>
      <c r="E16294" t="s">
        <v>67</v>
      </c>
      <c r="F16294" t="s">
        <v>27987</v>
      </c>
      <c r="G16294" s="117">
        <v>161.86000000000001</v>
      </c>
    </row>
    <row r="16295" spans="1:7" x14ac:dyDescent="0.25">
      <c r="A16295" s="116" t="s">
        <v>25480</v>
      </c>
      <c r="B16295" s="117" t="s">
        <v>25481</v>
      </c>
      <c r="C16295" t="s">
        <v>67</v>
      </c>
      <c r="D16295" t="s">
        <v>67</v>
      </c>
      <c r="E16295" t="s">
        <v>67</v>
      </c>
      <c r="F16295" t="s">
        <v>27987</v>
      </c>
      <c r="G16295" s="117">
        <v>139.26</v>
      </c>
    </row>
    <row r="16296" spans="1:7" x14ac:dyDescent="0.25">
      <c r="A16296" s="116" t="s">
        <v>25482</v>
      </c>
      <c r="B16296" s="117" t="s">
        <v>25483</v>
      </c>
      <c r="C16296" t="s">
        <v>67</v>
      </c>
      <c r="D16296" t="s">
        <v>67</v>
      </c>
      <c r="E16296" t="s">
        <v>67</v>
      </c>
      <c r="F16296" t="s">
        <v>27987</v>
      </c>
      <c r="G16296" s="117">
        <v>139.26</v>
      </c>
    </row>
    <row r="16297" spans="1:7" x14ac:dyDescent="0.25">
      <c r="A16297" s="116" t="s">
        <v>25484</v>
      </c>
      <c r="B16297" s="117" t="s">
        <v>25485</v>
      </c>
      <c r="C16297" t="s">
        <v>67</v>
      </c>
      <c r="D16297" t="s">
        <v>67</v>
      </c>
      <c r="E16297" t="s">
        <v>67</v>
      </c>
      <c r="F16297" t="s">
        <v>27987</v>
      </c>
      <c r="G16297" s="117">
        <v>35.5</v>
      </c>
    </row>
    <row r="16298" spans="1:7" x14ac:dyDescent="0.25">
      <c r="A16298" s="116" t="s">
        <v>25486</v>
      </c>
      <c r="B16298" s="117" t="s">
        <v>25487</v>
      </c>
      <c r="C16298" t="s">
        <v>67</v>
      </c>
      <c r="D16298" t="s">
        <v>67</v>
      </c>
      <c r="E16298" t="s">
        <v>67</v>
      </c>
      <c r="F16298" t="s">
        <v>27987</v>
      </c>
      <c r="G16298" s="117">
        <v>19.13</v>
      </c>
    </row>
    <row r="16299" spans="1:7" x14ac:dyDescent="0.25">
      <c r="A16299" s="116" t="s">
        <v>25488</v>
      </c>
      <c r="B16299" s="117" t="s">
        <v>25489</v>
      </c>
      <c r="C16299" t="s">
        <v>67</v>
      </c>
      <c r="D16299" t="s">
        <v>67</v>
      </c>
      <c r="E16299" t="s">
        <v>67</v>
      </c>
      <c r="F16299" t="s">
        <v>27987</v>
      </c>
      <c r="G16299" s="117">
        <v>14.14</v>
      </c>
    </row>
    <row r="16300" spans="1:7" x14ac:dyDescent="0.25">
      <c r="A16300" s="116" t="s">
        <v>25490</v>
      </c>
      <c r="B16300" s="117" t="s">
        <v>25491</v>
      </c>
      <c r="C16300" t="s">
        <v>67</v>
      </c>
      <c r="D16300" t="s">
        <v>67</v>
      </c>
      <c r="E16300" t="s">
        <v>67</v>
      </c>
      <c r="F16300" t="s">
        <v>27987</v>
      </c>
      <c r="G16300" s="117">
        <v>23.94</v>
      </c>
    </row>
    <row r="16301" spans="1:7" x14ac:dyDescent="0.25">
      <c r="A16301" s="116" t="s">
        <v>25492</v>
      </c>
      <c r="B16301" s="117" t="s">
        <v>25493</v>
      </c>
      <c r="C16301" t="s">
        <v>67</v>
      </c>
      <c r="D16301" t="s">
        <v>67</v>
      </c>
      <c r="E16301" t="s">
        <v>67</v>
      </c>
      <c r="F16301" t="s">
        <v>27987</v>
      </c>
      <c r="G16301" s="117">
        <v>9.6999999999999993</v>
      </c>
    </row>
    <row r="16302" spans="1:7" x14ac:dyDescent="0.25">
      <c r="A16302" s="116" t="s">
        <v>25494</v>
      </c>
      <c r="B16302" s="117" t="s">
        <v>20801</v>
      </c>
      <c r="C16302" t="s">
        <v>67</v>
      </c>
      <c r="D16302" t="s">
        <v>67</v>
      </c>
      <c r="E16302" t="s">
        <v>67</v>
      </c>
      <c r="F16302" t="s">
        <v>45</v>
      </c>
      <c r="G16302" s="117">
        <v>7.12</v>
      </c>
    </row>
    <row r="16303" spans="1:7" x14ac:dyDescent="0.25">
      <c r="A16303" s="116" t="s">
        <v>25495</v>
      </c>
      <c r="B16303" s="117" t="s">
        <v>25496</v>
      </c>
      <c r="C16303" t="s">
        <v>67</v>
      </c>
      <c r="D16303" t="s">
        <v>67</v>
      </c>
      <c r="E16303" t="s">
        <v>67</v>
      </c>
      <c r="F16303" t="s">
        <v>27987</v>
      </c>
      <c r="G16303" s="117">
        <v>146.38</v>
      </c>
    </row>
    <row r="16304" spans="1:7" x14ac:dyDescent="0.25">
      <c r="A16304" s="116" t="s">
        <v>25497</v>
      </c>
      <c r="B16304" s="117" t="s">
        <v>25498</v>
      </c>
      <c r="C16304" t="s">
        <v>67</v>
      </c>
      <c r="D16304" t="s">
        <v>67</v>
      </c>
      <c r="E16304" t="s">
        <v>67</v>
      </c>
      <c r="F16304" t="s">
        <v>27987</v>
      </c>
      <c r="G16304" s="117">
        <v>44.94</v>
      </c>
    </row>
    <row r="16305" spans="1:7" x14ac:dyDescent="0.25">
      <c r="A16305" s="116" t="s">
        <v>25499</v>
      </c>
      <c r="B16305" s="117" t="s">
        <v>25500</v>
      </c>
      <c r="C16305" t="s">
        <v>67</v>
      </c>
      <c r="D16305" t="s">
        <v>67</v>
      </c>
      <c r="E16305" t="s">
        <v>67</v>
      </c>
      <c r="F16305" t="s">
        <v>27987</v>
      </c>
      <c r="G16305" s="117">
        <v>53.3</v>
      </c>
    </row>
    <row r="16306" spans="1:7" x14ac:dyDescent="0.25">
      <c r="A16306" s="116" t="s">
        <v>25501</v>
      </c>
      <c r="B16306" s="117" t="s">
        <v>25502</v>
      </c>
      <c r="C16306" t="s">
        <v>67</v>
      </c>
      <c r="D16306" t="s">
        <v>67</v>
      </c>
      <c r="E16306" t="s">
        <v>67</v>
      </c>
      <c r="F16306" t="s">
        <v>27987</v>
      </c>
      <c r="G16306" s="117">
        <v>20.38</v>
      </c>
    </row>
    <row r="16307" spans="1:7" x14ac:dyDescent="0.25">
      <c r="A16307" s="116" t="s">
        <v>25503</v>
      </c>
      <c r="B16307" s="117" t="s">
        <v>29705</v>
      </c>
      <c r="C16307" t="s">
        <v>67</v>
      </c>
      <c r="D16307" t="s">
        <v>67</v>
      </c>
      <c r="E16307" t="s">
        <v>67</v>
      </c>
      <c r="F16307" t="s">
        <v>27987</v>
      </c>
      <c r="G16307" s="117">
        <v>210.8</v>
      </c>
    </row>
    <row r="16308" spans="1:7" x14ac:dyDescent="0.25">
      <c r="A16308" s="116" t="s">
        <v>25504</v>
      </c>
      <c r="B16308" s="117" t="s">
        <v>25505</v>
      </c>
      <c r="C16308" t="s">
        <v>67</v>
      </c>
      <c r="D16308" t="s">
        <v>67</v>
      </c>
      <c r="E16308" t="s">
        <v>67</v>
      </c>
      <c r="F16308" t="s">
        <v>27987</v>
      </c>
      <c r="G16308" s="117">
        <v>23.94</v>
      </c>
    </row>
    <row r="16309" spans="1:7" x14ac:dyDescent="0.25">
      <c r="A16309" s="116" t="s">
        <v>25506</v>
      </c>
      <c r="B16309" s="117" t="s">
        <v>25507</v>
      </c>
      <c r="C16309" t="s">
        <v>67</v>
      </c>
      <c r="D16309" t="s">
        <v>67</v>
      </c>
      <c r="E16309" t="s">
        <v>67</v>
      </c>
      <c r="F16309" t="s">
        <v>27987</v>
      </c>
      <c r="G16309" s="117">
        <v>20.38</v>
      </c>
    </row>
    <row r="16310" spans="1:7" x14ac:dyDescent="0.25">
      <c r="A16310" s="116" t="s">
        <v>25508</v>
      </c>
      <c r="B16310" s="117" t="s">
        <v>25509</v>
      </c>
      <c r="C16310" t="s">
        <v>67</v>
      </c>
      <c r="D16310" t="s">
        <v>67</v>
      </c>
      <c r="E16310" t="s">
        <v>67</v>
      </c>
      <c r="F16310" t="s">
        <v>27987</v>
      </c>
      <c r="G16310" s="117">
        <v>17.7</v>
      </c>
    </row>
    <row r="16311" spans="1:7" x14ac:dyDescent="0.25">
      <c r="A16311" s="116" t="s">
        <v>25510</v>
      </c>
      <c r="B16311" s="117" t="s">
        <v>25511</v>
      </c>
      <c r="C16311" t="s">
        <v>67</v>
      </c>
      <c r="D16311" t="s">
        <v>67</v>
      </c>
      <c r="E16311" t="s">
        <v>67</v>
      </c>
      <c r="F16311" t="s">
        <v>27987</v>
      </c>
      <c r="G16311" s="117">
        <v>30.7</v>
      </c>
    </row>
    <row r="16312" spans="1:7" x14ac:dyDescent="0.25">
      <c r="A16312" s="116" t="s">
        <v>25512</v>
      </c>
      <c r="B16312" s="117" t="s">
        <v>25513</v>
      </c>
      <c r="C16312" t="s">
        <v>67</v>
      </c>
      <c r="D16312" t="s">
        <v>67</v>
      </c>
      <c r="E16312" t="s">
        <v>67</v>
      </c>
      <c r="F16312" t="s">
        <v>27987</v>
      </c>
      <c r="G16312" s="117">
        <v>120.57</v>
      </c>
    </row>
    <row r="16313" spans="1:7" x14ac:dyDescent="0.25">
      <c r="A16313" s="116" t="s">
        <v>25514</v>
      </c>
      <c r="B16313" s="117" t="s">
        <v>25515</v>
      </c>
      <c r="C16313" t="s">
        <v>67</v>
      </c>
      <c r="D16313" t="s">
        <v>67</v>
      </c>
      <c r="E16313" t="s">
        <v>67</v>
      </c>
      <c r="F16313" t="s">
        <v>27987</v>
      </c>
      <c r="G16313" s="117">
        <v>64.87</v>
      </c>
    </row>
    <row r="16314" spans="1:7" x14ac:dyDescent="0.25">
      <c r="A16314" s="116" t="s">
        <v>25516</v>
      </c>
      <c r="B16314" s="117" t="s">
        <v>25517</v>
      </c>
      <c r="C16314" t="s">
        <v>67</v>
      </c>
      <c r="D16314" t="s">
        <v>67</v>
      </c>
      <c r="E16314" t="s">
        <v>67</v>
      </c>
      <c r="F16314" t="s">
        <v>27987</v>
      </c>
      <c r="G16314" s="117">
        <v>22.69</v>
      </c>
    </row>
    <row r="16315" spans="1:7" x14ac:dyDescent="0.25">
      <c r="A16315" s="116" t="s">
        <v>25518</v>
      </c>
      <c r="B16315" s="117" t="s">
        <v>25517</v>
      </c>
      <c r="C16315" t="s">
        <v>67</v>
      </c>
      <c r="D16315" t="s">
        <v>67</v>
      </c>
      <c r="E16315" t="s">
        <v>67</v>
      </c>
      <c r="F16315" t="s">
        <v>27987</v>
      </c>
      <c r="G16315" s="117">
        <v>17.7</v>
      </c>
    </row>
    <row r="16316" spans="1:7" x14ac:dyDescent="0.25">
      <c r="A16316" s="116" t="s">
        <v>25519</v>
      </c>
      <c r="B16316" s="117" t="s">
        <v>25520</v>
      </c>
      <c r="C16316" t="s">
        <v>67</v>
      </c>
      <c r="D16316" t="s">
        <v>67</v>
      </c>
      <c r="E16316" t="s">
        <v>67</v>
      </c>
      <c r="F16316" t="s">
        <v>27987</v>
      </c>
      <c r="G16316" s="117">
        <v>22.69</v>
      </c>
    </row>
    <row r="16317" spans="1:7" x14ac:dyDescent="0.25">
      <c r="A16317" s="116" t="s">
        <v>25521</v>
      </c>
      <c r="B16317" s="117" t="s">
        <v>25522</v>
      </c>
      <c r="C16317" t="s">
        <v>67</v>
      </c>
      <c r="D16317" t="s">
        <v>67</v>
      </c>
      <c r="E16317" t="s">
        <v>67</v>
      </c>
      <c r="F16317" t="s">
        <v>27987</v>
      </c>
      <c r="G16317" s="117">
        <v>30.7</v>
      </c>
    </row>
    <row r="16318" spans="1:7" x14ac:dyDescent="0.25">
      <c r="A16318" s="116" t="s">
        <v>25523</v>
      </c>
      <c r="B16318" s="117" t="s">
        <v>25524</v>
      </c>
      <c r="C16318" t="s">
        <v>67</v>
      </c>
      <c r="D16318" t="s">
        <v>67</v>
      </c>
      <c r="E16318" t="s">
        <v>67</v>
      </c>
      <c r="F16318" t="s">
        <v>27987</v>
      </c>
      <c r="G16318" s="117">
        <v>24.82</v>
      </c>
    </row>
    <row r="16319" spans="1:7" x14ac:dyDescent="0.25">
      <c r="A16319" s="116" t="s">
        <v>25525</v>
      </c>
      <c r="B16319" s="117" t="s">
        <v>25526</v>
      </c>
      <c r="C16319" t="s">
        <v>67</v>
      </c>
      <c r="D16319" t="s">
        <v>67</v>
      </c>
      <c r="E16319" t="s">
        <v>67</v>
      </c>
      <c r="F16319" t="s">
        <v>27987</v>
      </c>
      <c r="G16319" s="117">
        <v>17.7</v>
      </c>
    </row>
    <row r="16320" spans="1:7" x14ac:dyDescent="0.25">
      <c r="A16320" s="116" t="s">
        <v>25527</v>
      </c>
      <c r="B16320" s="117" t="s">
        <v>25528</v>
      </c>
      <c r="C16320" t="s">
        <v>67</v>
      </c>
      <c r="D16320" t="s">
        <v>67</v>
      </c>
      <c r="E16320" t="s">
        <v>67</v>
      </c>
      <c r="F16320" t="s">
        <v>27987</v>
      </c>
      <c r="G16320" s="117">
        <v>20.38</v>
      </c>
    </row>
    <row r="16321" spans="1:7" x14ac:dyDescent="0.25">
      <c r="A16321" s="116" t="s">
        <v>25529</v>
      </c>
      <c r="B16321" s="117" t="s">
        <v>25530</v>
      </c>
      <c r="C16321" t="s">
        <v>67</v>
      </c>
      <c r="D16321" t="s">
        <v>67</v>
      </c>
      <c r="E16321" t="s">
        <v>67</v>
      </c>
      <c r="F16321" t="s">
        <v>27987</v>
      </c>
      <c r="G16321" s="117">
        <v>17.7</v>
      </c>
    </row>
    <row r="16322" spans="1:7" x14ac:dyDescent="0.25">
      <c r="A16322" s="116" t="s">
        <v>25531</v>
      </c>
      <c r="B16322" s="117" t="s">
        <v>25532</v>
      </c>
      <c r="C16322" t="s">
        <v>67</v>
      </c>
      <c r="D16322" t="s">
        <v>67</v>
      </c>
      <c r="E16322" t="s">
        <v>67</v>
      </c>
      <c r="F16322" t="s">
        <v>27987</v>
      </c>
      <c r="G16322" s="117">
        <v>35.5</v>
      </c>
    </row>
    <row r="16323" spans="1:7" x14ac:dyDescent="0.25">
      <c r="A16323" s="116" t="s">
        <v>25533</v>
      </c>
      <c r="B16323" s="117" t="s">
        <v>25534</v>
      </c>
      <c r="C16323" t="s">
        <v>67</v>
      </c>
      <c r="D16323" t="s">
        <v>67</v>
      </c>
      <c r="E16323" t="s">
        <v>67</v>
      </c>
      <c r="F16323" t="s">
        <v>27987</v>
      </c>
      <c r="G16323" s="117">
        <v>39.06</v>
      </c>
    </row>
    <row r="16324" spans="1:7" x14ac:dyDescent="0.25">
      <c r="A16324" s="116" t="s">
        <v>25535</v>
      </c>
      <c r="B16324" s="117" t="s">
        <v>25536</v>
      </c>
      <c r="C16324" t="s">
        <v>67</v>
      </c>
      <c r="D16324" t="s">
        <v>67</v>
      </c>
      <c r="E16324" t="s">
        <v>67</v>
      </c>
      <c r="F16324" t="s">
        <v>27987</v>
      </c>
      <c r="G16324" s="117">
        <v>77.86</v>
      </c>
    </row>
    <row r="16325" spans="1:7" x14ac:dyDescent="0.25">
      <c r="A16325" s="116" t="s">
        <v>25537</v>
      </c>
      <c r="B16325" s="117" t="s">
        <v>25538</v>
      </c>
      <c r="C16325" t="s">
        <v>67</v>
      </c>
      <c r="D16325" t="s">
        <v>67</v>
      </c>
      <c r="E16325" t="s">
        <v>67</v>
      </c>
      <c r="F16325" t="s">
        <v>27987</v>
      </c>
      <c r="G16325" s="117">
        <v>64.87</v>
      </c>
    </row>
    <row r="16326" spans="1:7" x14ac:dyDescent="0.25">
      <c r="A16326" s="116" t="s">
        <v>25539</v>
      </c>
      <c r="B16326" s="117" t="s">
        <v>25540</v>
      </c>
      <c r="C16326" t="s">
        <v>67</v>
      </c>
      <c r="D16326" t="s">
        <v>67</v>
      </c>
      <c r="E16326" t="s">
        <v>67</v>
      </c>
      <c r="F16326" t="s">
        <v>27987</v>
      </c>
      <c r="G16326" s="117">
        <v>35.5</v>
      </c>
    </row>
    <row r="16327" spans="1:7" x14ac:dyDescent="0.25">
      <c r="A16327" s="116" t="s">
        <v>25541</v>
      </c>
      <c r="B16327" s="117" t="s">
        <v>25542</v>
      </c>
      <c r="C16327" t="s">
        <v>67</v>
      </c>
      <c r="D16327" t="s">
        <v>67</v>
      </c>
      <c r="E16327" t="s">
        <v>67</v>
      </c>
      <c r="F16327" t="s">
        <v>27987</v>
      </c>
      <c r="G16327" s="117">
        <v>47.61</v>
      </c>
    </row>
    <row r="16328" spans="1:7" x14ac:dyDescent="0.25">
      <c r="A16328" s="116" t="s">
        <v>25543</v>
      </c>
      <c r="B16328" s="117" t="s">
        <v>25544</v>
      </c>
      <c r="C16328" t="s">
        <v>67</v>
      </c>
      <c r="D16328" t="s">
        <v>67</v>
      </c>
      <c r="E16328" t="s">
        <v>67</v>
      </c>
      <c r="F16328" t="s">
        <v>27987</v>
      </c>
      <c r="G16328" s="117">
        <v>55.62</v>
      </c>
    </row>
    <row r="16329" spans="1:7" x14ac:dyDescent="0.25">
      <c r="A16329" s="116" t="s">
        <v>25545</v>
      </c>
      <c r="B16329" s="117" t="s">
        <v>25546</v>
      </c>
      <c r="C16329" t="s">
        <v>67</v>
      </c>
      <c r="D16329" t="s">
        <v>67</v>
      </c>
      <c r="E16329" t="s">
        <v>67</v>
      </c>
      <c r="F16329" t="s">
        <v>27987</v>
      </c>
      <c r="G16329" s="117">
        <v>21.26</v>
      </c>
    </row>
    <row r="16330" spans="1:7" x14ac:dyDescent="0.25">
      <c r="A16330" s="116" t="s">
        <v>25547</v>
      </c>
      <c r="B16330" s="117" t="s">
        <v>25548</v>
      </c>
      <c r="C16330" t="s">
        <v>67</v>
      </c>
      <c r="D16330" t="s">
        <v>67</v>
      </c>
      <c r="E16330" t="s">
        <v>67</v>
      </c>
      <c r="F16330" t="s">
        <v>27987</v>
      </c>
      <c r="G16330" s="117">
        <v>39.06</v>
      </c>
    </row>
    <row r="16331" spans="1:7" x14ac:dyDescent="0.25">
      <c r="A16331" s="116" t="s">
        <v>25549</v>
      </c>
      <c r="B16331" s="117" t="s">
        <v>24025</v>
      </c>
      <c r="C16331" t="s">
        <v>67</v>
      </c>
      <c r="D16331" t="s">
        <v>67</v>
      </c>
      <c r="E16331" t="s">
        <v>67</v>
      </c>
      <c r="F16331" t="s">
        <v>49</v>
      </c>
      <c r="G16331" s="117">
        <v>6.14</v>
      </c>
    </row>
    <row r="16332" spans="1:7" x14ac:dyDescent="0.25">
      <c r="A16332" s="116" t="s">
        <v>25550</v>
      </c>
      <c r="B16332" s="117" t="s">
        <v>25551</v>
      </c>
      <c r="C16332" t="s">
        <v>67</v>
      </c>
      <c r="D16332" t="s">
        <v>67</v>
      </c>
      <c r="E16332" t="s">
        <v>67</v>
      </c>
      <c r="F16332" t="s">
        <v>49</v>
      </c>
      <c r="G16332" s="117">
        <v>9.6999999999999993</v>
      </c>
    </row>
    <row r="16333" spans="1:7" x14ac:dyDescent="0.25">
      <c r="A16333" s="116" t="s">
        <v>25552</v>
      </c>
      <c r="B16333" s="117" t="s">
        <v>25553</v>
      </c>
      <c r="C16333" t="s">
        <v>67</v>
      </c>
      <c r="D16333" t="s">
        <v>67</v>
      </c>
      <c r="E16333" t="s">
        <v>67</v>
      </c>
      <c r="F16333" t="s">
        <v>27987</v>
      </c>
      <c r="G16333" s="117">
        <v>161.86000000000001</v>
      </c>
    </row>
    <row r="16334" spans="1:7" x14ac:dyDescent="0.25">
      <c r="A16334" s="116" t="s">
        <v>25554</v>
      </c>
      <c r="B16334" s="117" t="s">
        <v>25555</v>
      </c>
      <c r="C16334" t="s">
        <v>67</v>
      </c>
      <c r="D16334" t="s">
        <v>67</v>
      </c>
      <c r="E16334" t="s">
        <v>67</v>
      </c>
      <c r="F16334" t="s">
        <v>27987</v>
      </c>
      <c r="G16334" s="117">
        <v>7.12</v>
      </c>
    </row>
    <row r="16335" spans="1:7" x14ac:dyDescent="0.25">
      <c r="A16335" s="116" t="s">
        <v>25556</v>
      </c>
      <c r="B16335" s="117" t="s">
        <v>25557</v>
      </c>
      <c r="C16335" t="s">
        <v>67</v>
      </c>
      <c r="D16335" t="s">
        <v>67</v>
      </c>
      <c r="E16335" t="s">
        <v>67</v>
      </c>
      <c r="F16335" t="s">
        <v>27987</v>
      </c>
      <c r="G16335" s="117">
        <v>100.11</v>
      </c>
    </row>
    <row r="16336" spans="1:7" x14ac:dyDescent="0.25">
      <c r="A16336" s="116" t="s">
        <v>25558</v>
      </c>
      <c r="B16336" s="117" t="s">
        <v>25559</v>
      </c>
      <c r="C16336" t="s">
        <v>67</v>
      </c>
      <c r="D16336" t="s">
        <v>67</v>
      </c>
      <c r="E16336" t="s">
        <v>67</v>
      </c>
      <c r="F16336" t="s">
        <v>27987</v>
      </c>
      <c r="G16336" s="117">
        <v>15.57</v>
      </c>
    </row>
    <row r="16337" spans="1:7" x14ac:dyDescent="0.25">
      <c r="A16337" s="116" t="s">
        <v>25560</v>
      </c>
      <c r="B16337" s="117" t="s">
        <v>25561</v>
      </c>
      <c r="C16337" t="s">
        <v>67</v>
      </c>
      <c r="D16337" t="s">
        <v>67</v>
      </c>
      <c r="E16337" t="s">
        <v>67</v>
      </c>
      <c r="F16337" t="s">
        <v>27987</v>
      </c>
      <c r="G16337" s="117">
        <v>9.6999999999999993</v>
      </c>
    </row>
    <row r="16338" spans="1:7" x14ac:dyDescent="0.25">
      <c r="A16338" s="116" t="s">
        <v>25562</v>
      </c>
      <c r="B16338" s="117" t="s">
        <v>25563</v>
      </c>
      <c r="C16338" t="s">
        <v>67</v>
      </c>
      <c r="D16338" t="s">
        <v>67</v>
      </c>
      <c r="E16338" t="s">
        <v>67</v>
      </c>
      <c r="F16338" t="s">
        <v>27987</v>
      </c>
      <c r="G16338" s="117">
        <v>3.56</v>
      </c>
    </row>
    <row r="16339" spans="1:7" x14ac:dyDescent="0.25">
      <c r="A16339" s="116" t="s">
        <v>25564</v>
      </c>
      <c r="B16339" s="117" t="s">
        <v>21587</v>
      </c>
      <c r="C16339" t="s">
        <v>67</v>
      </c>
      <c r="D16339" t="s">
        <v>67</v>
      </c>
      <c r="E16339" t="s">
        <v>67</v>
      </c>
      <c r="F16339" t="s">
        <v>27987</v>
      </c>
      <c r="G16339" s="117">
        <v>7.12</v>
      </c>
    </row>
    <row r="16340" spans="1:7" x14ac:dyDescent="0.25">
      <c r="A16340" s="116" t="s">
        <v>25565</v>
      </c>
      <c r="B16340" s="117" t="s">
        <v>25566</v>
      </c>
      <c r="C16340" t="s">
        <v>67</v>
      </c>
      <c r="D16340" t="s">
        <v>67</v>
      </c>
      <c r="E16340" t="s">
        <v>67</v>
      </c>
      <c r="F16340" t="s">
        <v>49</v>
      </c>
      <c r="G16340" s="117">
        <v>210.69</v>
      </c>
    </row>
    <row r="16341" spans="1:7" x14ac:dyDescent="0.25">
      <c r="A16341" s="116" t="s">
        <v>25567</v>
      </c>
      <c r="B16341" s="117" t="s">
        <v>25568</v>
      </c>
      <c r="C16341" t="s">
        <v>67</v>
      </c>
      <c r="D16341" t="s">
        <v>67</v>
      </c>
      <c r="E16341" t="s">
        <v>67</v>
      </c>
      <c r="F16341" t="s">
        <v>45</v>
      </c>
      <c r="G16341" s="117">
        <v>151.71</v>
      </c>
    </row>
    <row r="16342" spans="1:7" x14ac:dyDescent="0.25">
      <c r="A16342" s="116" t="s">
        <v>25569</v>
      </c>
      <c r="B16342" s="117" t="s">
        <v>25570</v>
      </c>
      <c r="C16342" t="s">
        <v>67</v>
      </c>
      <c r="D16342" t="s">
        <v>67</v>
      </c>
      <c r="E16342" t="s">
        <v>67</v>
      </c>
      <c r="F16342" t="s">
        <v>49</v>
      </c>
      <c r="G16342" s="117">
        <v>8.81</v>
      </c>
    </row>
    <row r="16343" spans="1:7" x14ac:dyDescent="0.25">
      <c r="A16343" s="116" t="s">
        <v>25571</v>
      </c>
      <c r="B16343" s="117" t="s">
        <v>29706</v>
      </c>
      <c r="C16343" t="s">
        <v>67</v>
      </c>
      <c r="D16343" t="s">
        <v>67</v>
      </c>
      <c r="E16343" t="s">
        <v>67</v>
      </c>
      <c r="F16343" t="s">
        <v>45</v>
      </c>
      <c r="G16343" s="117">
        <v>589.87</v>
      </c>
    </row>
    <row r="16344" spans="1:7" x14ac:dyDescent="0.25">
      <c r="A16344" s="116" t="s">
        <v>25572</v>
      </c>
      <c r="B16344" s="117" t="s">
        <v>25573</v>
      </c>
      <c r="C16344" t="s">
        <v>67</v>
      </c>
      <c r="D16344" t="s">
        <v>67</v>
      </c>
      <c r="E16344" t="s">
        <v>67</v>
      </c>
      <c r="F16344" t="s">
        <v>27987</v>
      </c>
      <c r="G16344" s="117">
        <v>210.8</v>
      </c>
    </row>
    <row r="16345" spans="1:7" x14ac:dyDescent="0.25">
      <c r="A16345" s="116" t="s">
        <v>25574</v>
      </c>
      <c r="B16345" s="117" t="s">
        <v>29707</v>
      </c>
      <c r="C16345" t="s">
        <v>67</v>
      </c>
      <c r="D16345" t="s">
        <v>67</v>
      </c>
      <c r="E16345" t="s">
        <v>67</v>
      </c>
      <c r="F16345" t="s">
        <v>27987</v>
      </c>
      <c r="G16345" s="117">
        <v>29.81</v>
      </c>
    </row>
    <row r="16346" spans="1:7" x14ac:dyDescent="0.25">
      <c r="A16346" s="116" t="s">
        <v>25575</v>
      </c>
      <c r="B16346" s="117" t="s">
        <v>29708</v>
      </c>
      <c r="C16346" t="s">
        <v>67</v>
      </c>
      <c r="D16346" t="s">
        <v>67</v>
      </c>
      <c r="E16346" t="s">
        <v>67</v>
      </c>
      <c r="F16346" t="s">
        <v>27987</v>
      </c>
      <c r="G16346" s="117">
        <v>15.57</v>
      </c>
    </row>
    <row r="16347" spans="1:7" x14ac:dyDescent="0.25">
      <c r="A16347" s="116" t="s">
        <v>25576</v>
      </c>
      <c r="B16347" s="117" t="s">
        <v>25577</v>
      </c>
      <c r="C16347" t="s">
        <v>67</v>
      </c>
      <c r="D16347" t="s">
        <v>67</v>
      </c>
      <c r="E16347" t="s">
        <v>67</v>
      </c>
      <c r="F16347" t="s">
        <v>27987</v>
      </c>
      <c r="G16347" s="117">
        <v>24.82</v>
      </c>
    </row>
    <row r="16348" spans="1:7" x14ac:dyDescent="0.25">
      <c r="A16348" s="116" t="s">
        <v>25578</v>
      </c>
      <c r="B16348" s="117" t="s">
        <v>25579</v>
      </c>
      <c r="C16348" t="s">
        <v>67</v>
      </c>
      <c r="D16348" t="s">
        <v>67</v>
      </c>
      <c r="E16348" t="s">
        <v>67</v>
      </c>
      <c r="F16348" t="s">
        <v>27987</v>
      </c>
      <c r="G16348" s="117">
        <v>31.94</v>
      </c>
    </row>
    <row r="16349" spans="1:7" x14ac:dyDescent="0.25">
      <c r="A16349" s="116" t="s">
        <v>25580</v>
      </c>
      <c r="B16349" s="117" t="s">
        <v>25581</v>
      </c>
      <c r="C16349" t="s">
        <v>67</v>
      </c>
      <c r="D16349" t="s">
        <v>67</v>
      </c>
      <c r="E16349" t="s">
        <v>67</v>
      </c>
      <c r="F16349" t="s">
        <v>27987</v>
      </c>
      <c r="G16349" s="117">
        <v>113.81</v>
      </c>
    </row>
    <row r="16350" spans="1:7" x14ac:dyDescent="0.25">
      <c r="A16350" s="116" t="s">
        <v>25582</v>
      </c>
      <c r="B16350" s="117" t="s">
        <v>25583</v>
      </c>
      <c r="C16350" t="s">
        <v>67</v>
      </c>
      <c r="D16350" t="s">
        <v>67</v>
      </c>
      <c r="E16350" t="s">
        <v>67</v>
      </c>
      <c r="F16350" t="s">
        <v>27987</v>
      </c>
      <c r="G16350" s="117">
        <v>126.26</v>
      </c>
    </row>
    <row r="16351" spans="1:7" x14ac:dyDescent="0.25">
      <c r="A16351" s="116" t="s">
        <v>25584</v>
      </c>
      <c r="B16351" s="117" t="s">
        <v>25585</v>
      </c>
      <c r="C16351" t="s">
        <v>67</v>
      </c>
      <c r="D16351" t="s">
        <v>67</v>
      </c>
      <c r="E16351" t="s">
        <v>67</v>
      </c>
      <c r="F16351" t="s">
        <v>27987</v>
      </c>
      <c r="G16351" s="117">
        <v>29.81</v>
      </c>
    </row>
    <row r="16352" spans="1:7" x14ac:dyDescent="0.25">
      <c r="A16352" s="116" t="s">
        <v>25586</v>
      </c>
      <c r="B16352" s="117" t="s">
        <v>25587</v>
      </c>
      <c r="C16352" t="s">
        <v>67</v>
      </c>
      <c r="D16352" t="s">
        <v>67</v>
      </c>
      <c r="E16352" t="s">
        <v>67</v>
      </c>
      <c r="F16352" t="s">
        <v>45</v>
      </c>
      <c r="G16352" s="117">
        <v>28.38</v>
      </c>
    </row>
    <row r="16353" spans="1:7" x14ac:dyDescent="0.25">
      <c r="A16353" s="116" t="s">
        <v>25588</v>
      </c>
      <c r="B16353" s="117" t="s">
        <v>25589</v>
      </c>
      <c r="C16353" t="s">
        <v>67</v>
      </c>
      <c r="D16353" t="s">
        <v>67</v>
      </c>
      <c r="E16353" t="s">
        <v>67</v>
      </c>
      <c r="F16353" t="s">
        <v>27987</v>
      </c>
      <c r="G16353" s="117">
        <v>22.69</v>
      </c>
    </row>
    <row r="16354" spans="1:7" x14ac:dyDescent="0.25">
      <c r="A16354" s="116" t="s">
        <v>25590</v>
      </c>
      <c r="B16354" s="117" t="s">
        <v>25591</v>
      </c>
      <c r="C16354" t="s">
        <v>67</v>
      </c>
      <c r="D16354" t="s">
        <v>67</v>
      </c>
      <c r="E16354" t="s">
        <v>67</v>
      </c>
      <c r="F16354" t="s">
        <v>27987</v>
      </c>
      <c r="G16354" s="117">
        <v>34.26</v>
      </c>
    </row>
    <row r="16355" spans="1:7" x14ac:dyDescent="0.25">
      <c r="A16355" s="116" t="s">
        <v>25592</v>
      </c>
      <c r="B16355" s="117" t="s">
        <v>25593</v>
      </c>
      <c r="C16355" t="s">
        <v>67</v>
      </c>
      <c r="D16355" t="s">
        <v>67</v>
      </c>
      <c r="E16355" t="s">
        <v>67</v>
      </c>
      <c r="F16355" t="s">
        <v>45</v>
      </c>
      <c r="G16355" s="117">
        <v>1703.94</v>
      </c>
    </row>
    <row r="16356" spans="1:7" x14ac:dyDescent="0.25">
      <c r="A16356" s="116" t="s">
        <v>29709</v>
      </c>
      <c r="B16356" s="117" t="s">
        <v>29710</v>
      </c>
      <c r="C16356" t="s">
        <v>67</v>
      </c>
      <c r="D16356" t="s">
        <v>67</v>
      </c>
      <c r="E16356" t="s">
        <v>67</v>
      </c>
      <c r="F16356" t="s">
        <v>45</v>
      </c>
      <c r="G16356" s="117">
        <v>9999</v>
      </c>
    </row>
    <row r="16357" spans="1:7" x14ac:dyDescent="0.25">
      <c r="A16357" s="116" t="s">
        <v>29711</v>
      </c>
      <c r="B16357" s="117" t="s">
        <v>29712</v>
      </c>
      <c r="C16357" t="s">
        <v>67</v>
      </c>
      <c r="D16357" t="s">
        <v>67</v>
      </c>
      <c r="E16357" t="s">
        <v>67</v>
      </c>
      <c r="F16357" t="s">
        <v>45</v>
      </c>
      <c r="G16357" s="117">
        <v>9999</v>
      </c>
    </row>
    <row r="16358" spans="1:7" x14ac:dyDescent="0.25">
      <c r="A16358" s="116" t="s">
        <v>29713</v>
      </c>
      <c r="B16358" s="117" t="s">
        <v>29714</v>
      </c>
      <c r="C16358" t="s">
        <v>67</v>
      </c>
      <c r="D16358" t="s">
        <v>67</v>
      </c>
      <c r="E16358" t="s">
        <v>67</v>
      </c>
      <c r="F16358" t="s">
        <v>45</v>
      </c>
      <c r="G16358" s="117">
        <v>9999</v>
      </c>
    </row>
    <row r="16359" spans="1:7" x14ac:dyDescent="0.25">
      <c r="A16359" s="116" t="s">
        <v>25594</v>
      </c>
      <c r="B16359" s="117" t="s">
        <v>25595</v>
      </c>
      <c r="C16359" t="s">
        <v>67</v>
      </c>
      <c r="D16359" t="s">
        <v>67</v>
      </c>
      <c r="E16359" t="s">
        <v>67</v>
      </c>
      <c r="F16359" t="s">
        <v>27987</v>
      </c>
      <c r="G16359" s="117">
        <v>168.08</v>
      </c>
    </row>
    <row r="16360" spans="1:7" x14ac:dyDescent="0.25">
      <c r="A16360" s="116" t="s">
        <v>25596</v>
      </c>
      <c r="B16360" s="117" t="s">
        <v>25597</v>
      </c>
      <c r="C16360" t="s">
        <v>67</v>
      </c>
      <c r="D16360" t="s">
        <v>67</v>
      </c>
      <c r="E16360" t="s">
        <v>67</v>
      </c>
      <c r="F16360" t="s">
        <v>27987</v>
      </c>
      <c r="G16360" s="117">
        <v>42.26</v>
      </c>
    </row>
    <row r="16361" spans="1:7" x14ac:dyDescent="0.25">
      <c r="A16361" s="116" t="s">
        <v>25598</v>
      </c>
      <c r="B16361" s="117" t="s">
        <v>25599</v>
      </c>
      <c r="C16361" t="s">
        <v>67</v>
      </c>
      <c r="D16361" t="s">
        <v>67</v>
      </c>
      <c r="E16361" t="s">
        <v>67</v>
      </c>
      <c r="F16361" t="s">
        <v>27987</v>
      </c>
      <c r="G16361" s="117">
        <v>1124.6600000000001</v>
      </c>
    </row>
    <row r="16362" spans="1:7" x14ac:dyDescent="0.25">
      <c r="A16362" s="116" t="s">
        <v>25600</v>
      </c>
      <c r="B16362" s="117" t="s">
        <v>25601</v>
      </c>
      <c r="C16362" t="s">
        <v>67</v>
      </c>
      <c r="D16362" t="s">
        <v>67</v>
      </c>
      <c r="E16362" t="s">
        <v>67</v>
      </c>
      <c r="F16362" t="s">
        <v>27987</v>
      </c>
      <c r="G16362" s="117">
        <v>503.56</v>
      </c>
    </row>
    <row r="16363" spans="1:7" x14ac:dyDescent="0.25">
      <c r="A16363" s="116" t="s">
        <v>25602</v>
      </c>
      <c r="B16363" s="117" t="s">
        <v>25603</v>
      </c>
      <c r="C16363" t="s">
        <v>67</v>
      </c>
      <c r="D16363" t="s">
        <v>67</v>
      </c>
      <c r="E16363" t="s">
        <v>67</v>
      </c>
      <c r="F16363" t="s">
        <v>27987</v>
      </c>
      <c r="G16363" s="117">
        <v>22.69</v>
      </c>
    </row>
    <row r="16364" spans="1:7" x14ac:dyDescent="0.25">
      <c r="A16364" s="116" t="s">
        <v>25604</v>
      </c>
      <c r="B16364" s="117" t="s">
        <v>25605</v>
      </c>
      <c r="C16364" t="s">
        <v>67</v>
      </c>
      <c r="D16364" t="s">
        <v>67</v>
      </c>
      <c r="E16364" t="s">
        <v>67</v>
      </c>
      <c r="F16364" t="s">
        <v>27987</v>
      </c>
      <c r="G16364" s="117">
        <v>184.64</v>
      </c>
    </row>
    <row r="16365" spans="1:7" x14ac:dyDescent="0.25">
      <c r="A16365" s="116" t="s">
        <v>25606</v>
      </c>
      <c r="B16365" s="117" t="s">
        <v>25607</v>
      </c>
      <c r="C16365" t="s">
        <v>67</v>
      </c>
      <c r="D16365" t="s">
        <v>67</v>
      </c>
      <c r="E16365" t="s">
        <v>67</v>
      </c>
      <c r="F16365" t="s">
        <v>27987</v>
      </c>
      <c r="G16365" s="117">
        <v>168.08</v>
      </c>
    </row>
    <row r="16366" spans="1:7" x14ac:dyDescent="0.25">
      <c r="A16366" s="116" t="s">
        <v>25608</v>
      </c>
      <c r="B16366" s="117" t="s">
        <v>25609</v>
      </c>
      <c r="C16366" t="s">
        <v>67</v>
      </c>
      <c r="D16366" t="s">
        <v>67</v>
      </c>
      <c r="E16366" t="s">
        <v>67</v>
      </c>
      <c r="F16366" t="s">
        <v>27987</v>
      </c>
      <c r="G16366" s="117">
        <v>75.55</v>
      </c>
    </row>
    <row r="16367" spans="1:7" x14ac:dyDescent="0.25">
      <c r="A16367" s="116" t="s">
        <v>29715</v>
      </c>
      <c r="B16367" s="117" t="s">
        <v>29716</v>
      </c>
      <c r="C16367" t="s">
        <v>67</v>
      </c>
      <c r="D16367" t="s">
        <v>67</v>
      </c>
      <c r="E16367" t="s">
        <v>67</v>
      </c>
      <c r="F16367" t="s">
        <v>27987</v>
      </c>
      <c r="G16367" s="117">
        <v>9999</v>
      </c>
    </row>
    <row r="16368" spans="1:7" x14ac:dyDescent="0.25">
      <c r="A16368" s="116" t="s">
        <v>29717</v>
      </c>
      <c r="B16368" s="117" t="s">
        <v>29718</v>
      </c>
      <c r="C16368" t="s">
        <v>67</v>
      </c>
      <c r="D16368" t="s">
        <v>67</v>
      </c>
      <c r="E16368" t="s">
        <v>67</v>
      </c>
      <c r="F16368" t="s">
        <v>27987</v>
      </c>
      <c r="G16368" s="117">
        <v>9999</v>
      </c>
    </row>
    <row r="16369" spans="1:7" x14ac:dyDescent="0.25">
      <c r="A16369" s="116" t="s">
        <v>29719</v>
      </c>
      <c r="B16369" s="117" t="s">
        <v>29720</v>
      </c>
      <c r="C16369" t="s">
        <v>67</v>
      </c>
      <c r="D16369" t="s">
        <v>67</v>
      </c>
      <c r="E16369" t="s">
        <v>67</v>
      </c>
      <c r="F16369" t="s">
        <v>27987</v>
      </c>
      <c r="G16369" s="117">
        <v>9999</v>
      </c>
    </row>
    <row r="16370" spans="1:7" x14ac:dyDescent="0.25">
      <c r="A16370" s="116" t="s">
        <v>29721</v>
      </c>
      <c r="B16370" s="117" t="s">
        <v>29722</v>
      </c>
      <c r="C16370" t="s">
        <v>67</v>
      </c>
      <c r="D16370" t="s">
        <v>67</v>
      </c>
      <c r="E16370" t="s">
        <v>67</v>
      </c>
      <c r="F16370" t="s">
        <v>27987</v>
      </c>
      <c r="G16370" s="117">
        <v>9999</v>
      </c>
    </row>
    <row r="16371" spans="1:7" x14ac:dyDescent="0.25">
      <c r="A16371" s="116" t="s">
        <v>25610</v>
      </c>
      <c r="B16371" s="117" t="s">
        <v>25611</v>
      </c>
      <c r="C16371" t="s">
        <v>67</v>
      </c>
      <c r="D16371" t="s">
        <v>67</v>
      </c>
      <c r="E16371" t="s">
        <v>67</v>
      </c>
      <c r="F16371" t="s">
        <v>27987</v>
      </c>
      <c r="G16371" s="117">
        <v>66.64</v>
      </c>
    </row>
    <row r="16372" spans="1:7" x14ac:dyDescent="0.25">
      <c r="A16372" s="116" t="s">
        <v>25612</v>
      </c>
      <c r="B16372" s="117" t="s">
        <v>25613</v>
      </c>
      <c r="C16372" t="s">
        <v>67</v>
      </c>
      <c r="D16372" t="s">
        <v>67</v>
      </c>
      <c r="E16372" t="s">
        <v>67</v>
      </c>
      <c r="F16372" t="s">
        <v>27987</v>
      </c>
      <c r="G16372" s="117">
        <v>13.26</v>
      </c>
    </row>
    <row r="16373" spans="1:7" x14ac:dyDescent="0.25">
      <c r="A16373" s="116" t="s">
        <v>25614</v>
      </c>
      <c r="B16373" s="117" t="s">
        <v>25615</v>
      </c>
      <c r="C16373" t="s">
        <v>67</v>
      </c>
      <c r="D16373" t="s">
        <v>67</v>
      </c>
      <c r="E16373" t="s">
        <v>67</v>
      </c>
      <c r="F16373" t="s">
        <v>27987</v>
      </c>
      <c r="G16373" s="117">
        <v>7.56</v>
      </c>
    </row>
    <row r="16374" spans="1:7" x14ac:dyDescent="0.25">
      <c r="A16374" s="116" t="s">
        <v>25616</v>
      </c>
      <c r="B16374" s="117" t="s">
        <v>25617</v>
      </c>
      <c r="C16374" t="s">
        <v>67</v>
      </c>
      <c r="D16374" t="s">
        <v>67</v>
      </c>
      <c r="E16374" t="s">
        <v>67</v>
      </c>
      <c r="F16374" t="s">
        <v>27987</v>
      </c>
      <c r="G16374" s="117">
        <v>7.56</v>
      </c>
    </row>
    <row r="16375" spans="1:7" x14ac:dyDescent="0.25">
      <c r="A16375" s="116" t="s">
        <v>25618</v>
      </c>
      <c r="B16375" s="117" t="s">
        <v>21685</v>
      </c>
      <c r="C16375" t="s">
        <v>67</v>
      </c>
      <c r="D16375" t="s">
        <v>67</v>
      </c>
      <c r="E16375" t="s">
        <v>67</v>
      </c>
      <c r="F16375" t="s">
        <v>27987</v>
      </c>
      <c r="G16375" s="117">
        <v>5.16</v>
      </c>
    </row>
    <row r="16376" spans="1:7" x14ac:dyDescent="0.25">
      <c r="A16376" s="116" t="s">
        <v>25619</v>
      </c>
      <c r="B16376" s="117" t="s">
        <v>25620</v>
      </c>
      <c r="C16376" t="s">
        <v>67</v>
      </c>
      <c r="D16376" t="s">
        <v>67</v>
      </c>
      <c r="E16376" t="s">
        <v>67</v>
      </c>
      <c r="F16376" t="s">
        <v>27987</v>
      </c>
      <c r="G16376" s="117">
        <v>166.31</v>
      </c>
    </row>
    <row r="16377" spans="1:7" x14ac:dyDescent="0.25">
      <c r="A16377" s="116" t="s">
        <v>25621</v>
      </c>
      <c r="B16377" s="117" t="s">
        <v>25622</v>
      </c>
      <c r="C16377" t="s">
        <v>67</v>
      </c>
      <c r="D16377" t="s">
        <v>67</v>
      </c>
      <c r="E16377" t="s">
        <v>67</v>
      </c>
      <c r="F16377" t="s">
        <v>27987</v>
      </c>
      <c r="G16377" s="117">
        <v>0.89</v>
      </c>
    </row>
    <row r="16378" spans="1:7" x14ac:dyDescent="0.25">
      <c r="A16378" s="116" t="s">
        <v>25623</v>
      </c>
      <c r="B16378" s="117" t="s">
        <v>25624</v>
      </c>
      <c r="C16378" t="s">
        <v>67</v>
      </c>
      <c r="D16378" t="s">
        <v>67</v>
      </c>
      <c r="E16378" t="s">
        <v>67</v>
      </c>
      <c r="F16378" t="s">
        <v>27987</v>
      </c>
      <c r="G16378" s="117">
        <v>5.16</v>
      </c>
    </row>
    <row r="16379" spans="1:7" x14ac:dyDescent="0.25">
      <c r="A16379" s="116" t="s">
        <v>25625</v>
      </c>
      <c r="B16379" s="117" t="s">
        <v>9113</v>
      </c>
      <c r="C16379" t="s">
        <v>67</v>
      </c>
      <c r="D16379" t="s">
        <v>67</v>
      </c>
      <c r="E16379" t="s">
        <v>67</v>
      </c>
      <c r="F16379" t="s">
        <v>27987</v>
      </c>
      <c r="G16379" s="117">
        <v>0.44</v>
      </c>
    </row>
    <row r="16380" spans="1:7" x14ac:dyDescent="0.25">
      <c r="A16380" s="116" t="s">
        <v>25626</v>
      </c>
      <c r="B16380" s="117" t="s">
        <v>25627</v>
      </c>
      <c r="C16380" t="s">
        <v>67</v>
      </c>
      <c r="D16380" t="s">
        <v>67</v>
      </c>
      <c r="E16380" t="s">
        <v>67</v>
      </c>
      <c r="F16380" t="s">
        <v>27987</v>
      </c>
      <c r="G16380" s="117">
        <v>5.79</v>
      </c>
    </row>
    <row r="16381" spans="1:7" x14ac:dyDescent="0.25">
      <c r="A16381" s="116" t="s">
        <v>25628</v>
      </c>
      <c r="B16381" s="117" t="s">
        <v>25629</v>
      </c>
      <c r="C16381" t="s">
        <v>67</v>
      </c>
      <c r="D16381" t="s">
        <v>67</v>
      </c>
      <c r="E16381" t="s">
        <v>67</v>
      </c>
      <c r="F16381" t="s">
        <v>27987</v>
      </c>
      <c r="G16381" s="117">
        <v>15.04</v>
      </c>
    </row>
    <row r="16382" spans="1:7" x14ac:dyDescent="0.25">
      <c r="A16382" s="116" t="s">
        <v>25630</v>
      </c>
      <c r="B16382" s="117" t="s">
        <v>25631</v>
      </c>
      <c r="C16382" t="s">
        <v>67</v>
      </c>
      <c r="D16382" t="s">
        <v>67</v>
      </c>
      <c r="E16382" t="s">
        <v>67</v>
      </c>
      <c r="F16382" t="s">
        <v>27987</v>
      </c>
      <c r="G16382" s="117">
        <v>11.48</v>
      </c>
    </row>
    <row r="16383" spans="1:7" x14ac:dyDescent="0.25">
      <c r="A16383" s="116" t="s">
        <v>25632</v>
      </c>
      <c r="B16383" s="117" t="s">
        <v>25633</v>
      </c>
      <c r="C16383" t="s">
        <v>67</v>
      </c>
      <c r="D16383" t="s">
        <v>67</v>
      </c>
      <c r="E16383" t="s">
        <v>67</v>
      </c>
      <c r="F16383" t="s">
        <v>27987</v>
      </c>
      <c r="G16383" s="117">
        <v>0.8</v>
      </c>
    </row>
    <row r="16384" spans="1:7" x14ac:dyDescent="0.25">
      <c r="A16384" s="116" t="s">
        <v>25634</v>
      </c>
      <c r="B16384" s="117" t="s">
        <v>25635</v>
      </c>
      <c r="C16384" t="s">
        <v>67</v>
      </c>
      <c r="D16384" t="s">
        <v>67</v>
      </c>
      <c r="E16384" t="s">
        <v>67</v>
      </c>
      <c r="F16384" t="s">
        <v>27987</v>
      </c>
      <c r="G16384" s="117">
        <v>11.48</v>
      </c>
    </row>
    <row r="16385" spans="1:7" x14ac:dyDescent="0.25">
      <c r="A16385" s="116" t="s">
        <v>25636</v>
      </c>
      <c r="B16385" s="117" t="s">
        <v>25637</v>
      </c>
      <c r="C16385" t="s">
        <v>67</v>
      </c>
      <c r="D16385" t="s">
        <v>67</v>
      </c>
      <c r="E16385" t="s">
        <v>67</v>
      </c>
      <c r="F16385" t="s">
        <v>27987</v>
      </c>
      <c r="G16385" s="117">
        <v>15.04</v>
      </c>
    </row>
    <row r="16386" spans="1:7" x14ac:dyDescent="0.25">
      <c r="A16386" s="116" t="s">
        <v>25638</v>
      </c>
      <c r="B16386" s="117" t="s">
        <v>25639</v>
      </c>
      <c r="C16386" t="s">
        <v>67</v>
      </c>
      <c r="D16386" t="s">
        <v>67</v>
      </c>
      <c r="E16386" t="s">
        <v>67</v>
      </c>
      <c r="F16386" t="s">
        <v>27987</v>
      </c>
      <c r="G16386" s="117">
        <v>39.6</v>
      </c>
    </row>
    <row r="16387" spans="1:7" x14ac:dyDescent="0.25">
      <c r="A16387" s="116" t="s">
        <v>25640</v>
      </c>
      <c r="B16387" s="117" t="s">
        <v>25641</v>
      </c>
      <c r="C16387" t="s">
        <v>67</v>
      </c>
      <c r="D16387" t="s">
        <v>67</v>
      </c>
      <c r="E16387" t="s">
        <v>67</v>
      </c>
      <c r="F16387" t="s">
        <v>27987</v>
      </c>
      <c r="G16387" s="117">
        <v>332.36</v>
      </c>
    </row>
    <row r="16388" spans="1:7" x14ac:dyDescent="0.25">
      <c r="A16388" s="116" t="s">
        <v>25642</v>
      </c>
      <c r="B16388" s="117" t="s">
        <v>25643</v>
      </c>
      <c r="C16388" t="s">
        <v>67</v>
      </c>
      <c r="D16388" t="s">
        <v>67</v>
      </c>
      <c r="E16388" t="s">
        <v>67</v>
      </c>
      <c r="F16388" t="s">
        <v>27987</v>
      </c>
      <c r="G16388" s="117">
        <v>553.91999999999996</v>
      </c>
    </row>
    <row r="16389" spans="1:7" x14ac:dyDescent="0.25">
      <c r="A16389" s="116" t="s">
        <v>25644</v>
      </c>
      <c r="B16389" s="117" t="s">
        <v>9113</v>
      </c>
      <c r="C16389" t="s">
        <v>67</v>
      </c>
      <c r="D16389" t="s">
        <v>67</v>
      </c>
      <c r="E16389" t="s">
        <v>67</v>
      </c>
      <c r="F16389" t="s">
        <v>27987</v>
      </c>
      <c r="G16389" s="117">
        <v>0.44</v>
      </c>
    </row>
    <row r="16390" spans="1:7" x14ac:dyDescent="0.25">
      <c r="A16390" s="116" t="s">
        <v>25645</v>
      </c>
      <c r="B16390" s="117" t="s">
        <v>25646</v>
      </c>
      <c r="C16390" t="s">
        <v>67</v>
      </c>
      <c r="D16390" t="s">
        <v>67</v>
      </c>
      <c r="E16390" t="s">
        <v>67</v>
      </c>
      <c r="F16390" t="s">
        <v>27987</v>
      </c>
      <c r="G16390" s="117">
        <v>11.48</v>
      </c>
    </row>
    <row r="16391" spans="1:7" x14ac:dyDescent="0.25">
      <c r="A16391" s="116" t="s">
        <v>25647</v>
      </c>
      <c r="B16391" s="117" t="s">
        <v>29723</v>
      </c>
      <c r="C16391" t="s">
        <v>67</v>
      </c>
      <c r="D16391" t="s">
        <v>67</v>
      </c>
      <c r="E16391" t="s">
        <v>67</v>
      </c>
      <c r="F16391" t="s">
        <v>27987</v>
      </c>
      <c r="G16391" s="117">
        <v>48.5</v>
      </c>
    </row>
    <row r="16392" spans="1:7" x14ac:dyDescent="0.25">
      <c r="A16392" s="116" t="s">
        <v>25648</v>
      </c>
      <c r="B16392" s="117" t="s">
        <v>25649</v>
      </c>
      <c r="C16392" t="s">
        <v>67</v>
      </c>
      <c r="D16392" t="s">
        <v>67</v>
      </c>
      <c r="E16392" t="s">
        <v>67</v>
      </c>
      <c r="F16392" t="s">
        <v>27987</v>
      </c>
      <c r="G16392" s="117">
        <v>277.18</v>
      </c>
    </row>
    <row r="16393" spans="1:7" x14ac:dyDescent="0.25">
      <c r="A16393" s="116" t="s">
        <v>25650</v>
      </c>
      <c r="B16393" s="117" t="s">
        <v>25651</v>
      </c>
      <c r="C16393" t="s">
        <v>67</v>
      </c>
      <c r="D16393" t="s">
        <v>67</v>
      </c>
      <c r="E16393" t="s">
        <v>67</v>
      </c>
      <c r="F16393" t="s">
        <v>27987</v>
      </c>
      <c r="G16393" s="117">
        <v>64.87</v>
      </c>
    </row>
    <row r="16394" spans="1:7" x14ac:dyDescent="0.25">
      <c r="A16394" s="116" t="s">
        <v>25652</v>
      </c>
      <c r="B16394" s="117" t="s">
        <v>9111</v>
      </c>
      <c r="C16394" t="s">
        <v>67</v>
      </c>
      <c r="D16394" t="s">
        <v>67</v>
      </c>
      <c r="E16394" t="s">
        <v>67</v>
      </c>
      <c r="F16394" t="s">
        <v>27987</v>
      </c>
      <c r="G16394" s="117">
        <v>1.77</v>
      </c>
    </row>
    <row r="16395" spans="1:7" x14ac:dyDescent="0.25">
      <c r="A16395" s="116" t="s">
        <v>25653</v>
      </c>
      <c r="B16395" s="117" t="s">
        <v>25654</v>
      </c>
      <c r="C16395" t="s">
        <v>67</v>
      </c>
      <c r="D16395" t="s">
        <v>67</v>
      </c>
      <c r="E16395" t="s">
        <v>67</v>
      </c>
      <c r="F16395" t="s">
        <v>27987</v>
      </c>
      <c r="G16395" s="117">
        <v>7.56</v>
      </c>
    </row>
    <row r="16396" spans="1:7" x14ac:dyDescent="0.25">
      <c r="A16396" s="116" t="s">
        <v>25655</v>
      </c>
      <c r="B16396" s="117" t="s">
        <v>25656</v>
      </c>
      <c r="C16396" t="s">
        <v>67</v>
      </c>
      <c r="D16396" t="s">
        <v>67</v>
      </c>
      <c r="E16396" t="s">
        <v>67</v>
      </c>
      <c r="F16396" t="s">
        <v>27987</v>
      </c>
      <c r="G16396" s="117">
        <v>5.79</v>
      </c>
    </row>
    <row r="16397" spans="1:7" x14ac:dyDescent="0.25">
      <c r="A16397" s="116" t="s">
        <v>25657</v>
      </c>
      <c r="B16397" s="117" t="s">
        <v>25658</v>
      </c>
      <c r="C16397" t="s">
        <v>67</v>
      </c>
      <c r="D16397" t="s">
        <v>67</v>
      </c>
      <c r="E16397" t="s">
        <v>67</v>
      </c>
      <c r="F16397" t="s">
        <v>27987</v>
      </c>
      <c r="G16397" s="117">
        <v>22.16</v>
      </c>
    </row>
    <row r="16398" spans="1:7" x14ac:dyDescent="0.25">
      <c r="A16398" s="116" t="s">
        <v>25659</v>
      </c>
      <c r="B16398" s="117" t="s">
        <v>25660</v>
      </c>
      <c r="C16398" t="s">
        <v>67</v>
      </c>
      <c r="D16398" t="s">
        <v>67</v>
      </c>
      <c r="E16398" t="s">
        <v>67</v>
      </c>
      <c r="F16398" t="s">
        <v>27987</v>
      </c>
      <c r="G16398" s="117">
        <v>64.87</v>
      </c>
    </row>
    <row r="16399" spans="1:7" x14ac:dyDescent="0.25">
      <c r="A16399" s="116" t="s">
        <v>25661</v>
      </c>
      <c r="B16399" s="117" t="s">
        <v>25662</v>
      </c>
      <c r="C16399" t="s">
        <v>67</v>
      </c>
      <c r="D16399" t="s">
        <v>67</v>
      </c>
      <c r="E16399" t="s">
        <v>67</v>
      </c>
      <c r="F16399" t="s">
        <v>27987</v>
      </c>
      <c r="G16399" s="117">
        <v>3.12</v>
      </c>
    </row>
    <row r="16400" spans="1:7" x14ac:dyDescent="0.25">
      <c r="A16400" s="116" t="s">
        <v>25663</v>
      </c>
      <c r="B16400" s="117" t="s">
        <v>25664</v>
      </c>
      <c r="C16400" t="s">
        <v>67</v>
      </c>
      <c r="D16400" t="s">
        <v>67</v>
      </c>
      <c r="E16400" t="s">
        <v>67</v>
      </c>
      <c r="F16400" t="s">
        <v>27987</v>
      </c>
      <c r="G16400" s="117">
        <v>1.69</v>
      </c>
    </row>
    <row r="16401" spans="1:7" x14ac:dyDescent="0.25">
      <c r="A16401" s="116" t="s">
        <v>25665</v>
      </c>
      <c r="B16401" s="117" t="s">
        <v>25666</v>
      </c>
      <c r="C16401" t="s">
        <v>67</v>
      </c>
      <c r="D16401" t="s">
        <v>67</v>
      </c>
      <c r="E16401" t="s">
        <v>67</v>
      </c>
      <c r="F16401" t="s">
        <v>27987</v>
      </c>
      <c r="G16401" s="117">
        <v>110.79</v>
      </c>
    </row>
    <row r="16402" spans="1:7" x14ac:dyDescent="0.25">
      <c r="A16402" s="116" t="s">
        <v>25667</v>
      </c>
      <c r="B16402" s="117" t="s">
        <v>25668</v>
      </c>
      <c r="C16402" t="s">
        <v>67</v>
      </c>
      <c r="D16402" t="s">
        <v>67</v>
      </c>
      <c r="E16402" t="s">
        <v>67</v>
      </c>
      <c r="F16402" t="s">
        <v>27987</v>
      </c>
      <c r="G16402" s="117">
        <v>5.79</v>
      </c>
    </row>
    <row r="16403" spans="1:7" x14ac:dyDescent="0.25">
      <c r="A16403" s="116" t="s">
        <v>25669</v>
      </c>
      <c r="B16403" s="117" t="s">
        <v>25670</v>
      </c>
      <c r="C16403" t="s">
        <v>67</v>
      </c>
      <c r="D16403" t="s">
        <v>67</v>
      </c>
      <c r="E16403" t="s">
        <v>67</v>
      </c>
      <c r="F16403" t="s">
        <v>27987</v>
      </c>
      <c r="G16403" s="117">
        <v>15.04</v>
      </c>
    </row>
    <row r="16404" spans="1:7" x14ac:dyDescent="0.25">
      <c r="A16404" s="116" t="s">
        <v>25671</v>
      </c>
      <c r="B16404" s="117" t="s">
        <v>25672</v>
      </c>
      <c r="C16404" t="s">
        <v>67</v>
      </c>
      <c r="D16404" t="s">
        <v>67</v>
      </c>
      <c r="E16404" t="s">
        <v>67</v>
      </c>
      <c r="F16404" t="s">
        <v>27987</v>
      </c>
      <c r="G16404" s="117">
        <v>6.41</v>
      </c>
    </row>
    <row r="16405" spans="1:7" x14ac:dyDescent="0.25">
      <c r="A16405" s="116" t="s">
        <v>25673</v>
      </c>
      <c r="B16405" s="117" t="s">
        <v>25674</v>
      </c>
      <c r="C16405" t="s">
        <v>67</v>
      </c>
      <c r="D16405" t="s">
        <v>67</v>
      </c>
      <c r="E16405" t="s">
        <v>67</v>
      </c>
      <c r="F16405" t="s">
        <v>27987</v>
      </c>
      <c r="G16405" s="117">
        <v>96.01</v>
      </c>
    </row>
    <row r="16406" spans="1:7" x14ac:dyDescent="0.25">
      <c r="A16406" s="116" t="s">
        <v>25675</v>
      </c>
      <c r="B16406" s="117" t="s">
        <v>25676</v>
      </c>
      <c r="C16406" t="s">
        <v>67</v>
      </c>
      <c r="D16406" t="s">
        <v>67</v>
      </c>
      <c r="E16406" t="s">
        <v>67</v>
      </c>
      <c r="F16406" t="s">
        <v>27987</v>
      </c>
      <c r="G16406" s="117">
        <v>46.18</v>
      </c>
    </row>
    <row r="16407" spans="1:7" x14ac:dyDescent="0.25">
      <c r="A16407" s="116" t="s">
        <v>25677</v>
      </c>
      <c r="B16407" s="117" t="s">
        <v>9221</v>
      </c>
      <c r="C16407" t="s">
        <v>67</v>
      </c>
      <c r="D16407" t="s">
        <v>67</v>
      </c>
      <c r="E16407" t="s">
        <v>67</v>
      </c>
      <c r="F16407" t="s">
        <v>27987</v>
      </c>
      <c r="G16407" s="117">
        <v>3.12</v>
      </c>
    </row>
    <row r="16408" spans="1:7" x14ac:dyDescent="0.25">
      <c r="A16408" s="116" t="s">
        <v>25678</v>
      </c>
      <c r="B16408" s="117" t="s">
        <v>25679</v>
      </c>
      <c r="C16408" t="s">
        <v>67</v>
      </c>
      <c r="D16408" t="s">
        <v>67</v>
      </c>
      <c r="E16408" t="s">
        <v>67</v>
      </c>
      <c r="F16408" t="s">
        <v>45</v>
      </c>
      <c r="G16408" s="117">
        <v>0.89</v>
      </c>
    </row>
    <row r="16409" spans="1:7" x14ac:dyDescent="0.25">
      <c r="A16409" s="116" t="s">
        <v>25680</v>
      </c>
      <c r="B16409" s="117" t="s">
        <v>21587</v>
      </c>
      <c r="C16409" t="s">
        <v>67</v>
      </c>
      <c r="D16409" t="s">
        <v>67</v>
      </c>
      <c r="E16409" t="s">
        <v>67</v>
      </c>
      <c r="F16409" t="s">
        <v>27987</v>
      </c>
      <c r="G16409" s="117">
        <v>0.44</v>
      </c>
    </row>
    <row r="16410" spans="1:7" x14ac:dyDescent="0.25">
      <c r="A16410" s="116" t="s">
        <v>25681</v>
      </c>
      <c r="B16410" s="117" t="s">
        <v>25682</v>
      </c>
      <c r="C16410" t="s">
        <v>67</v>
      </c>
      <c r="D16410" t="s">
        <v>67</v>
      </c>
      <c r="E16410" t="s">
        <v>67</v>
      </c>
      <c r="F16410" t="s">
        <v>27987</v>
      </c>
      <c r="G16410" s="117">
        <v>52.06</v>
      </c>
    </row>
    <row r="16411" spans="1:7" x14ac:dyDescent="0.25">
      <c r="A16411" s="116" t="s">
        <v>25683</v>
      </c>
      <c r="B16411" s="117" t="s">
        <v>25679</v>
      </c>
      <c r="C16411" t="s">
        <v>67</v>
      </c>
      <c r="D16411" t="s">
        <v>67</v>
      </c>
      <c r="E16411" t="s">
        <v>67</v>
      </c>
      <c r="F16411" t="s">
        <v>27987</v>
      </c>
      <c r="G16411" s="117">
        <v>1.69</v>
      </c>
    </row>
    <row r="16412" spans="1:7" x14ac:dyDescent="0.25">
      <c r="A16412" s="116" t="s">
        <v>25684</v>
      </c>
      <c r="B16412" s="117" t="s">
        <v>25685</v>
      </c>
      <c r="C16412" t="s">
        <v>67</v>
      </c>
      <c r="D16412" t="s">
        <v>67</v>
      </c>
      <c r="E16412" t="s">
        <v>67</v>
      </c>
      <c r="F16412" t="s">
        <v>27987</v>
      </c>
      <c r="G16412" s="117">
        <v>28.02</v>
      </c>
    </row>
    <row r="16413" spans="1:7" x14ac:dyDescent="0.25">
      <c r="A16413" s="116" t="s">
        <v>25686</v>
      </c>
      <c r="B16413" s="117" t="s">
        <v>25687</v>
      </c>
      <c r="C16413" t="s">
        <v>67</v>
      </c>
      <c r="D16413" t="s">
        <v>67</v>
      </c>
      <c r="E16413" t="s">
        <v>67</v>
      </c>
      <c r="F16413" t="s">
        <v>27987</v>
      </c>
      <c r="G16413" s="117">
        <v>5.41</v>
      </c>
    </row>
    <row r="16414" spans="1:7" x14ac:dyDescent="0.25">
      <c r="A16414" s="116" t="s">
        <v>25688</v>
      </c>
      <c r="B16414" s="117" t="s">
        <v>25689</v>
      </c>
      <c r="C16414" t="s">
        <v>67</v>
      </c>
      <c r="D16414" t="s">
        <v>67</v>
      </c>
      <c r="E16414" t="s">
        <v>67</v>
      </c>
      <c r="F16414" t="s">
        <v>27987</v>
      </c>
      <c r="G16414" s="117">
        <v>8.4499999999999993</v>
      </c>
    </row>
    <row r="16415" spans="1:7" x14ac:dyDescent="0.25">
      <c r="A16415" s="116" t="s">
        <v>25690</v>
      </c>
      <c r="B16415" s="117" t="s">
        <v>25691</v>
      </c>
      <c r="C16415" t="s">
        <v>67</v>
      </c>
      <c r="D16415" t="s">
        <v>67</v>
      </c>
      <c r="E16415" t="s">
        <v>67</v>
      </c>
      <c r="F16415" t="s">
        <v>27987</v>
      </c>
      <c r="G16415" s="117">
        <v>7.92</v>
      </c>
    </row>
    <row r="16416" spans="1:7" x14ac:dyDescent="0.25">
      <c r="A16416" s="116" t="s">
        <v>25692</v>
      </c>
      <c r="B16416" s="117" t="s">
        <v>23044</v>
      </c>
      <c r="C16416" t="s">
        <v>67</v>
      </c>
      <c r="D16416" t="s">
        <v>67</v>
      </c>
      <c r="E16416" t="s">
        <v>67</v>
      </c>
      <c r="F16416" t="s">
        <v>27987</v>
      </c>
      <c r="G16416" s="117">
        <v>5.16</v>
      </c>
    </row>
    <row r="16417" spans="1:7" x14ac:dyDescent="0.25">
      <c r="A16417" s="116" t="s">
        <v>25693</v>
      </c>
      <c r="B16417" s="117" t="s">
        <v>25694</v>
      </c>
      <c r="C16417" t="s">
        <v>67</v>
      </c>
      <c r="D16417" t="s">
        <v>67</v>
      </c>
      <c r="E16417" t="s">
        <v>67</v>
      </c>
      <c r="F16417" t="s">
        <v>27987</v>
      </c>
      <c r="G16417" s="117">
        <v>3.37</v>
      </c>
    </row>
    <row r="16418" spans="1:7" x14ac:dyDescent="0.25">
      <c r="A16418" s="116" t="s">
        <v>25695</v>
      </c>
      <c r="B16418" s="117" t="s">
        <v>25696</v>
      </c>
      <c r="C16418" t="s">
        <v>67</v>
      </c>
      <c r="D16418" t="s">
        <v>67</v>
      </c>
      <c r="E16418" t="s">
        <v>67</v>
      </c>
      <c r="F16418" t="s">
        <v>27987</v>
      </c>
      <c r="G16418" s="117">
        <v>3.12</v>
      </c>
    </row>
    <row r="16419" spans="1:7" x14ac:dyDescent="0.25">
      <c r="A16419" s="116" t="s">
        <v>25697</v>
      </c>
      <c r="B16419" s="117" t="s">
        <v>25698</v>
      </c>
      <c r="C16419" t="s">
        <v>67</v>
      </c>
      <c r="D16419" t="s">
        <v>67</v>
      </c>
      <c r="E16419" t="s">
        <v>67</v>
      </c>
      <c r="F16419" t="s">
        <v>27987</v>
      </c>
      <c r="G16419" s="117">
        <v>4</v>
      </c>
    </row>
    <row r="16420" spans="1:7" x14ac:dyDescent="0.25">
      <c r="A16420" s="116" t="s">
        <v>25699</v>
      </c>
      <c r="B16420" s="117" t="s">
        <v>25700</v>
      </c>
      <c r="C16420" t="s">
        <v>67</v>
      </c>
      <c r="D16420" t="s">
        <v>67</v>
      </c>
      <c r="E16420" t="s">
        <v>67</v>
      </c>
      <c r="F16420" t="s">
        <v>27987</v>
      </c>
      <c r="G16420" s="117">
        <v>6.16</v>
      </c>
    </row>
    <row r="16421" spans="1:7" x14ac:dyDescent="0.25">
      <c r="A16421" s="116" t="s">
        <v>25701</v>
      </c>
      <c r="B16421" s="117" t="s">
        <v>25702</v>
      </c>
      <c r="C16421" t="s">
        <v>67</v>
      </c>
      <c r="D16421" t="s">
        <v>67</v>
      </c>
      <c r="E16421" t="s">
        <v>67</v>
      </c>
      <c r="F16421" t="s">
        <v>27987</v>
      </c>
      <c r="G16421" s="117">
        <v>1.69</v>
      </c>
    </row>
    <row r="16422" spans="1:7" x14ac:dyDescent="0.25">
      <c r="A16422" s="116" t="s">
        <v>25703</v>
      </c>
      <c r="B16422" s="117" t="s">
        <v>25704</v>
      </c>
      <c r="C16422" t="s">
        <v>67</v>
      </c>
      <c r="D16422" t="s">
        <v>67</v>
      </c>
      <c r="E16422" t="s">
        <v>67</v>
      </c>
      <c r="F16422" t="s">
        <v>27987</v>
      </c>
      <c r="G16422" s="117">
        <v>7.92</v>
      </c>
    </row>
    <row r="16423" spans="1:7" x14ac:dyDescent="0.25">
      <c r="A16423" s="116" t="s">
        <v>25705</v>
      </c>
      <c r="B16423" s="117" t="s">
        <v>25706</v>
      </c>
      <c r="C16423" t="s">
        <v>67</v>
      </c>
      <c r="D16423" t="s">
        <v>67</v>
      </c>
      <c r="E16423" t="s">
        <v>67</v>
      </c>
      <c r="F16423" t="s">
        <v>27987</v>
      </c>
      <c r="G16423" s="117">
        <v>3.12</v>
      </c>
    </row>
    <row r="16424" spans="1:7" x14ac:dyDescent="0.25">
      <c r="A16424" s="116" t="s">
        <v>25707</v>
      </c>
      <c r="B16424" s="117" t="s">
        <v>25708</v>
      </c>
      <c r="C16424" t="s">
        <v>67</v>
      </c>
      <c r="D16424" t="s">
        <v>67</v>
      </c>
      <c r="E16424" t="s">
        <v>67</v>
      </c>
      <c r="F16424" t="s">
        <v>27987</v>
      </c>
      <c r="G16424" s="117">
        <v>0.8</v>
      </c>
    </row>
    <row r="16425" spans="1:7" x14ac:dyDescent="0.25">
      <c r="A16425" s="116" t="s">
        <v>25709</v>
      </c>
      <c r="B16425" s="117" t="s">
        <v>25710</v>
      </c>
      <c r="C16425" t="s">
        <v>67</v>
      </c>
      <c r="D16425" t="s">
        <v>67</v>
      </c>
      <c r="E16425" t="s">
        <v>67</v>
      </c>
      <c r="F16425" t="s">
        <v>27987</v>
      </c>
      <c r="G16425" s="117">
        <v>0.8</v>
      </c>
    </row>
    <row r="16426" spans="1:7" x14ac:dyDescent="0.25">
      <c r="A16426" s="116" t="s">
        <v>25711</v>
      </c>
      <c r="B16426" s="117" t="s">
        <v>25712</v>
      </c>
      <c r="C16426" t="s">
        <v>67</v>
      </c>
      <c r="D16426" t="s">
        <v>67</v>
      </c>
      <c r="E16426" t="s">
        <v>67</v>
      </c>
      <c r="F16426" t="s">
        <v>27987</v>
      </c>
      <c r="G16426" s="117">
        <v>5.79</v>
      </c>
    </row>
    <row r="16427" spans="1:7" x14ac:dyDescent="0.25">
      <c r="A16427" s="116" t="s">
        <v>25713</v>
      </c>
      <c r="B16427" s="117" t="s">
        <v>25714</v>
      </c>
      <c r="C16427" t="s">
        <v>67</v>
      </c>
      <c r="D16427" t="s">
        <v>67</v>
      </c>
      <c r="E16427" t="s">
        <v>67</v>
      </c>
      <c r="F16427" t="s">
        <v>27987</v>
      </c>
      <c r="G16427" s="117">
        <v>5.79</v>
      </c>
    </row>
    <row r="16428" spans="1:7" x14ac:dyDescent="0.25">
      <c r="A16428" s="116" t="s">
        <v>25715</v>
      </c>
      <c r="B16428" s="117" t="s">
        <v>25716</v>
      </c>
      <c r="C16428" t="s">
        <v>67</v>
      </c>
      <c r="D16428" t="s">
        <v>67</v>
      </c>
      <c r="E16428" t="s">
        <v>67</v>
      </c>
      <c r="F16428" t="s">
        <v>27987</v>
      </c>
      <c r="G16428" s="117">
        <v>29.81</v>
      </c>
    </row>
    <row r="16429" spans="1:7" x14ac:dyDescent="0.25">
      <c r="A16429" s="116" t="s">
        <v>25717</v>
      </c>
      <c r="B16429" s="117" t="s">
        <v>25718</v>
      </c>
      <c r="C16429" t="s">
        <v>67</v>
      </c>
      <c r="D16429" t="s">
        <v>67</v>
      </c>
      <c r="E16429" t="s">
        <v>67</v>
      </c>
      <c r="F16429" t="s">
        <v>27987</v>
      </c>
      <c r="G16429" s="117">
        <v>114.7</v>
      </c>
    </row>
    <row r="16430" spans="1:7" x14ac:dyDescent="0.25">
      <c r="A16430" s="116" t="s">
        <v>25719</v>
      </c>
      <c r="B16430" s="117" t="s">
        <v>25720</v>
      </c>
      <c r="C16430" t="s">
        <v>67</v>
      </c>
      <c r="D16430" t="s">
        <v>67</v>
      </c>
      <c r="E16430" t="s">
        <v>67</v>
      </c>
      <c r="F16430" t="s">
        <v>27987</v>
      </c>
      <c r="G16430" s="117">
        <v>28.02</v>
      </c>
    </row>
    <row r="16431" spans="1:7" x14ac:dyDescent="0.25">
      <c r="A16431" s="116" t="s">
        <v>25721</v>
      </c>
      <c r="B16431" s="117" t="s">
        <v>75</v>
      </c>
      <c r="C16431" t="s">
        <v>67</v>
      </c>
      <c r="D16431" t="s">
        <v>67</v>
      </c>
      <c r="E16431" t="s">
        <v>67</v>
      </c>
      <c r="F16431" t="s">
        <v>27987</v>
      </c>
      <c r="G16431" s="117">
        <v>3.88</v>
      </c>
    </row>
    <row r="16432" spans="1:7" x14ac:dyDescent="0.25">
      <c r="A16432" s="116" t="s">
        <v>25722</v>
      </c>
      <c r="B16432" s="117" t="s">
        <v>25723</v>
      </c>
      <c r="C16432" t="s">
        <v>67</v>
      </c>
      <c r="D16432" t="s">
        <v>67</v>
      </c>
      <c r="E16432" t="s">
        <v>67</v>
      </c>
      <c r="F16432" t="s">
        <v>27987</v>
      </c>
      <c r="G16432" s="117">
        <v>9.35</v>
      </c>
    </row>
    <row r="16433" spans="1:7" x14ac:dyDescent="0.25">
      <c r="A16433" s="116" t="s">
        <v>25724</v>
      </c>
      <c r="B16433" s="117" t="s">
        <v>25679</v>
      </c>
      <c r="C16433" t="s">
        <v>67</v>
      </c>
      <c r="D16433" t="s">
        <v>67</v>
      </c>
      <c r="E16433" t="s">
        <v>67</v>
      </c>
      <c r="F16433" t="s">
        <v>27987</v>
      </c>
      <c r="G16433" s="117">
        <v>5.41</v>
      </c>
    </row>
    <row r="16434" spans="1:7" x14ac:dyDescent="0.25">
      <c r="A16434" s="116" t="s">
        <v>25725</v>
      </c>
      <c r="B16434" s="117" t="s">
        <v>25726</v>
      </c>
      <c r="C16434" t="s">
        <v>67</v>
      </c>
      <c r="D16434" t="s">
        <v>67</v>
      </c>
      <c r="E16434" t="s">
        <v>67</v>
      </c>
      <c r="F16434" t="s">
        <v>27987</v>
      </c>
      <c r="G16434" s="117">
        <v>14.14</v>
      </c>
    </row>
    <row r="16435" spans="1:7" x14ac:dyDescent="0.25">
      <c r="A16435" s="116" t="s">
        <v>25727</v>
      </c>
      <c r="B16435" s="117" t="s">
        <v>25728</v>
      </c>
      <c r="C16435" t="s">
        <v>67</v>
      </c>
      <c r="D16435" t="s">
        <v>67</v>
      </c>
      <c r="E16435" t="s">
        <v>67</v>
      </c>
      <c r="F16435" t="s">
        <v>27987</v>
      </c>
      <c r="G16435" s="117">
        <v>9.35</v>
      </c>
    </row>
    <row r="16436" spans="1:7" x14ac:dyDescent="0.25">
      <c r="A16436" s="116" t="s">
        <v>25729</v>
      </c>
      <c r="B16436" s="117" t="s">
        <v>25730</v>
      </c>
      <c r="C16436" t="s">
        <v>67</v>
      </c>
      <c r="D16436" t="s">
        <v>67</v>
      </c>
      <c r="E16436" t="s">
        <v>67</v>
      </c>
      <c r="F16436" t="s">
        <v>27987</v>
      </c>
      <c r="G16436" s="117">
        <v>9.6999999999999993</v>
      </c>
    </row>
    <row r="16437" spans="1:7" x14ac:dyDescent="0.25">
      <c r="A16437" s="116" t="s">
        <v>25731</v>
      </c>
      <c r="B16437" s="117" t="s">
        <v>9113</v>
      </c>
      <c r="C16437" t="s">
        <v>67</v>
      </c>
      <c r="D16437" t="s">
        <v>67</v>
      </c>
      <c r="E16437" t="s">
        <v>67</v>
      </c>
      <c r="F16437" t="s">
        <v>27987</v>
      </c>
      <c r="G16437" s="117">
        <v>0.44</v>
      </c>
    </row>
    <row r="16438" spans="1:7" x14ac:dyDescent="0.25">
      <c r="A16438" s="116" t="s">
        <v>25732</v>
      </c>
      <c r="B16438" s="117" t="s">
        <v>25679</v>
      </c>
      <c r="C16438" t="s">
        <v>67</v>
      </c>
      <c r="D16438" t="s">
        <v>67</v>
      </c>
      <c r="E16438" t="s">
        <v>67</v>
      </c>
      <c r="F16438" t="s">
        <v>27987</v>
      </c>
      <c r="G16438" s="117">
        <v>0.89</v>
      </c>
    </row>
    <row r="16439" spans="1:7" x14ac:dyDescent="0.25">
      <c r="A16439" s="116" t="s">
        <v>25733</v>
      </c>
      <c r="B16439" s="117" t="s">
        <v>25734</v>
      </c>
      <c r="C16439" t="s">
        <v>67</v>
      </c>
      <c r="D16439" t="s">
        <v>67</v>
      </c>
      <c r="E16439" t="s">
        <v>67</v>
      </c>
      <c r="F16439" t="s">
        <v>27987</v>
      </c>
      <c r="G16439" s="117">
        <v>217.92</v>
      </c>
    </row>
    <row r="16440" spans="1:7" x14ac:dyDescent="0.25">
      <c r="A16440" s="116" t="s">
        <v>25735</v>
      </c>
      <c r="B16440" s="117" t="s">
        <v>25736</v>
      </c>
      <c r="C16440" t="s">
        <v>67</v>
      </c>
      <c r="D16440" t="s">
        <v>67</v>
      </c>
      <c r="E16440" t="s">
        <v>67</v>
      </c>
      <c r="F16440" t="s">
        <v>27987</v>
      </c>
      <c r="G16440" s="117">
        <v>3.37</v>
      </c>
    </row>
    <row r="16441" spans="1:7" x14ac:dyDescent="0.25">
      <c r="A16441" s="116" t="s">
        <v>25737</v>
      </c>
      <c r="B16441" s="117" t="s">
        <v>25738</v>
      </c>
      <c r="C16441" t="s">
        <v>67</v>
      </c>
      <c r="D16441" t="s">
        <v>67</v>
      </c>
      <c r="E16441" t="s">
        <v>67</v>
      </c>
      <c r="F16441" t="s">
        <v>27987</v>
      </c>
      <c r="G16441" s="117">
        <v>9.35</v>
      </c>
    </row>
    <row r="16442" spans="1:7" x14ac:dyDescent="0.25">
      <c r="A16442" s="116" t="s">
        <v>25739</v>
      </c>
      <c r="B16442" s="117" t="s">
        <v>25740</v>
      </c>
      <c r="C16442" t="s">
        <v>67</v>
      </c>
      <c r="D16442" t="s">
        <v>67</v>
      </c>
      <c r="E16442" t="s">
        <v>67</v>
      </c>
      <c r="F16442" t="s">
        <v>27987</v>
      </c>
      <c r="G16442" s="117">
        <v>3.88</v>
      </c>
    </row>
    <row r="16443" spans="1:7" x14ac:dyDescent="0.25">
      <c r="A16443" s="116" t="s">
        <v>25741</v>
      </c>
      <c r="B16443" s="117" t="s">
        <v>25742</v>
      </c>
      <c r="C16443" t="s">
        <v>67</v>
      </c>
      <c r="D16443" t="s">
        <v>67</v>
      </c>
      <c r="E16443" t="s">
        <v>67</v>
      </c>
      <c r="F16443" t="s">
        <v>27987</v>
      </c>
      <c r="G16443" s="117">
        <v>28.02</v>
      </c>
    </row>
    <row r="16444" spans="1:7" x14ac:dyDescent="0.25">
      <c r="A16444" s="116" t="s">
        <v>25743</v>
      </c>
      <c r="B16444" s="117" t="s">
        <v>25744</v>
      </c>
      <c r="C16444" t="s">
        <v>67</v>
      </c>
      <c r="D16444" t="s">
        <v>67</v>
      </c>
      <c r="E16444" t="s">
        <v>67</v>
      </c>
      <c r="F16444" t="s">
        <v>27987</v>
      </c>
      <c r="G16444" s="117">
        <v>7.56</v>
      </c>
    </row>
    <row r="16445" spans="1:7" x14ac:dyDescent="0.25">
      <c r="A16445" s="116" t="s">
        <v>25745</v>
      </c>
      <c r="B16445" s="117" t="s">
        <v>25746</v>
      </c>
      <c r="C16445" t="s">
        <v>67</v>
      </c>
      <c r="D16445" t="s">
        <v>67</v>
      </c>
      <c r="E16445" t="s">
        <v>67</v>
      </c>
      <c r="F16445" t="s">
        <v>27987</v>
      </c>
      <c r="G16445" s="117">
        <v>64.87</v>
      </c>
    </row>
    <row r="16446" spans="1:7" x14ac:dyDescent="0.25">
      <c r="A16446" s="116" t="s">
        <v>25747</v>
      </c>
      <c r="B16446" s="117" t="s">
        <v>25748</v>
      </c>
      <c r="C16446" t="s">
        <v>67</v>
      </c>
      <c r="D16446" t="s">
        <v>67</v>
      </c>
      <c r="E16446" t="s">
        <v>67</v>
      </c>
      <c r="F16446" t="s">
        <v>27987</v>
      </c>
      <c r="G16446" s="117">
        <v>64.87</v>
      </c>
    </row>
    <row r="16447" spans="1:7" x14ac:dyDescent="0.25">
      <c r="A16447" s="116" t="s">
        <v>25749</v>
      </c>
      <c r="B16447" s="117" t="s">
        <v>25750</v>
      </c>
      <c r="C16447" t="s">
        <v>67</v>
      </c>
      <c r="D16447" t="s">
        <v>67</v>
      </c>
      <c r="E16447" t="s">
        <v>67</v>
      </c>
      <c r="F16447" t="s">
        <v>27987</v>
      </c>
      <c r="G16447" s="117">
        <v>63.08</v>
      </c>
    </row>
    <row r="16448" spans="1:7" x14ac:dyDescent="0.25">
      <c r="A16448" s="116" t="s">
        <v>25751</v>
      </c>
      <c r="B16448" s="117" t="s">
        <v>25752</v>
      </c>
      <c r="C16448" t="s">
        <v>67</v>
      </c>
      <c r="D16448" t="s">
        <v>67</v>
      </c>
      <c r="E16448" t="s">
        <v>67</v>
      </c>
      <c r="F16448" t="s">
        <v>27987</v>
      </c>
      <c r="G16448" s="117">
        <v>262.94</v>
      </c>
    </row>
    <row r="16449" spans="1:7" x14ac:dyDescent="0.25">
      <c r="A16449" s="116" t="s">
        <v>25753</v>
      </c>
      <c r="B16449" s="117" t="s">
        <v>25754</v>
      </c>
      <c r="C16449" t="s">
        <v>67</v>
      </c>
      <c r="D16449" t="s">
        <v>67</v>
      </c>
      <c r="E16449" t="s">
        <v>67</v>
      </c>
      <c r="F16449" t="s">
        <v>27987</v>
      </c>
      <c r="G16449" s="117">
        <v>33.369999999999997</v>
      </c>
    </row>
    <row r="16450" spans="1:7" x14ac:dyDescent="0.25">
      <c r="A16450" s="116" t="s">
        <v>25755</v>
      </c>
      <c r="B16450" s="117" t="s">
        <v>25756</v>
      </c>
      <c r="C16450" t="s">
        <v>67</v>
      </c>
      <c r="D16450" t="s">
        <v>67</v>
      </c>
      <c r="E16450" t="s">
        <v>67</v>
      </c>
      <c r="F16450" t="s">
        <v>27987</v>
      </c>
      <c r="G16450" s="117">
        <v>221.48</v>
      </c>
    </row>
    <row r="16451" spans="1:7" x14ac:dyDescent="0.25">
      <c r="A16451" s="116" t="s">
        <v>25757</v>
      </c>
      <c r="B16451" s="117" t="s">
        <v>25758</v>
      </c>
      <c r="C16451" t="s">
        <v>67</v>
      </c>
      <c r="D16451" t="s">
        <v>67</v>
      </c>
      <c r="E16451" t="s">
        <v>67</v>
      </c>
      <c r="F16451" t="s">
        <v>27987</v>
      </c>
      <c r="G16451" s="117">
        <v>138.72999999999999</v>
      </c>
    </row>
    <row r="16452" spans="1:7" x14ac:dyDescent="0.25">
      <c r="A16452" s="116" t="s">
        <v>25759</v>
      </c>
      <c r="B16452" s="117" t="s">
        <v>25660</v>
      </c>
      <c r="C16452" t="s">
        <v>67</v>
      </c>
      <c r="D16452" t="s">
        <v>67</v>
      </c>
      <c r="E16452" t="s">
        <v>67</v>
      </c>
      <c r="F16452" t="s">
        <v>27987</v>
      </c>
      <c r="G16452" s="117">
        <v>138.72999999999999</v>
      </c>
    </row>
    <row r="16453" spans="1:7" x14ac:dyDescent="0.25">
      <c r="A16453" s="116" t="s">
        <v>25760</v>
      </c>
      <c r="B16453" s="117" t="s">
        <v>25761</v>
      </c>
      <c r="C16453" t="s">
        <v>67</v>
      </c>
      <c r="D16453" t="s">
        <v>67</v>
      </c>
      <c r="E16453" t="s">
        <v>67</v>
      </c>
      <c r="F16453" t="s">
        <v>27987</v>
      </c>
      <c r="G16453" s="117">
        <v>160.80000000000001</v>
      </c>
    </row>
    <row r="16454" spans="1:7" x14ac:dyDescent="0.25">
      <c r="A16454" s="116" t="s">
        <v>25762</v>
      </c>
      <c r="B16454" s="117" t="s">
        <v>25763</v>
      </c>
      <c r="C16454" t="s">
        <v>67</v>
      </c>
      <c r="D16454" t="s">
        <v>67</v>
      </c>
      <c r="E16454" t="s">
        <v>67</v>
      </c>
      <c r="F16454" t="s">
        <v>27987</v>
      </c>
      <c r="G16454" s="117">
        <v>461.74</v>
      </c>
    </row>
    <row r="16455" spans="1:7" x14ac:dyDescent="0.25">
      <c r="A16455" s="116" t="s">
        <v>25764</v>
      </c>
      <c r="B16455" s="117" t="s">
        <v>25765</v>
      </c>
      <c r="C16455" t="s">
        <v>67</v>
      </c>
      <c r="D16455" t="s">
        <v>67</v>
      </c>
      <c r="E16455" t="s">
        <v>67</v>
      </c>
      <c r="F16455" t="s">
        <v>27987</v>
      </c>
      <c r="G16455" s="117">
        <v>3.37</v>
      </c>
    </row>
    <row r="16456" spans="1:7" x14ac:dyDescent="0.25">
      <c r="A16456" s="116" t="s">
        <v>25766</v>
      </c>
      <c r="B16456" s="117" t="s">
        <v>25767</v>
      </c>
      <c r="C16456" t="s">
        <v>67</v>
      </c>
      <c r="D16456" t="s">
        <v>67</v>
      </c>
      <c r="E16456" t="s">
        <v>67</v>
      </c>
      <c r="F16456" t="s">
        <v>27987</v>
      </c>
      <c r="G16456" s="117">
        <v>33.369999999999997</v>
      </c>
    </row>
    <row r="16457" spans="1:7" x14ac:dyDescent="0.25">
      <c r="A16457" s="116" t="s">
        <v>25768</v>
      </c>
      <c r="B16457" s="117" t="s">
        <v>25769</v>
      </c>
      <c r="C16457" t="s">
        <v>67</v>
      </c>
      <c r="D16457" t="s">
        <v>67</v>
      </c>
      <c r="E16457" t="s">
        <v>67</v>
      </c>
      <c r="F16457" t="s">
        <v>27987</v>
      </c>
      <c r="G16457" s="117">
        <v>133.02000000000001</v>
      </c>
    </row>
    <row r="16458" spans="1:7" x14ac:dyDescent="0.25">
      <c r="A16458" s="116" t="s">
        <v>25770</v>
      </c>
      <c r="B16458" s="117" t="s">
        <v>25771</v>
      </c>
      <c r="C16458" t="s">
        <v>67</v>
      </c>
      <c r="D16458" t="s">
        <v>67</v>
      </c>
      <c r="E16458" t="s">
        <v>67</v>
      </c>
      <c r="F16458" t="s">
        <v>27987</v>
      </c>
      <c r="G16458" s="117">
        <v>52.06</v>
      </c>
    </row>
    <row r="16459" spans="1:7" x14ac:dyDescent="0.25">
      <c r="A16459" s="116" t="s">
        <v>25772</v>
      </c>
      <c r="B16459" s="117" t="s">
        <v>25734</v>
      </c>
      <c r="C16459" t="s">
        <v>67</v>
      </c>
      <c r="D16459" t="s">
        <v>67</v>
      </c>
      <c r="E16459" t="s">
        <v>67</v>
      </c>
      <c r="F16459" t="s">
        <v>27987</v>
      </c>
      <c r="G16459" s="117">
        <v>332.36</v>
      </c>
    </row>
    <row r="16460" spans="1:7" x14ac:dyDescent="0.25">
      <c r="A16460" s="116" t="s">
        <v>25773</v>
      </c>
      <c r="B16460" s="117" t="s">
        <v>25774</v>
      </c>
      <c r="C16460" t="s">
        <v>67</v>
      </c>
      <c r="D16460" t="s">
        <v>67</v>
      </c>
      <c r="E16460" t="s">
        <v>67</v>
      </c>
      <c r="F16460" t="s">
        <v>27987</v>
      </c>
      <c r="G16460" s="117">
        <v>5.41</v>
      </c>
    </row>
    <row r="16461" spans="1:7" x14ac:dyDescent="0.25">
      <c r="A16461" s="116" t="s">
        <v>25775</v>
      </c>
      <c r="B16461" s="117" t="s">
        <v>25776</v>
      </c>
      <c r="C16461" t="s">
        <v>67</v>
      </c>
      <c r="D16461" t="s">
        <v>67</v>
      </c>
      <c r="E16461" t="s">
        <v>67</v>
      </c>
      <c r="F16461" t="s">
        <v>27987</v>
      </c>
      <c r="G16461" s="117">
        <v>7.56</v>
      </c>
    </row>
    <row r="16462" spans="1:7" x14ac:dyDescent="0.25">
      <c r="A16462" s="116" t="s">
        <v>25777</v>
      </c>
      <c r="B16462" s="117" t="s">
        <v>25778</v>
      </c>
      <c r="C16462" t="s">
        <v>67</v>
      </c>
      <c r="D16462" t="s">
        <v>67</v>
      </c>
      <c r="E16462" t="s">
        <v>67</v>
      </c>
      <c r="F16462" t="s">
        <v>27987</v>
      </c>
      <c r="G16462" s="117">
        <v>18.600000000000001</v>
      </c>
    </row>
    <row r="16463" spans="1:7" x14ac:dyDescent="0.25">
      <c r="A16463" s="116" t="s">
        <v>25779</v>
      </c>
      <c r="B16463" s="117" t="s">
        <v>25780</v>
      </c>
      <c r="C16463" t="s">
        <v>67</v>
      </c>
      <c r="D16463" t="s">
        <v>67</v>
      </c>
      <c r="E16463" t="s">
        <v>67</v>
      </c>
      <c r="F16463" t="s">
        <v>27987</v>
      </c>
      <c r="G16463" s="117">
        <v>16.82</v>
      </c>
    </row>
    <row r="16464" spans="1:7" x14ac:dyDescent="0.25">
      <c r="A16464" s="116" t="s">
        <v>25781</v>
      </c>
      <c r="B16464" s="117" t="s">
        <v>25765</v>
      </c>
      <c r="C16464" t="s">
        <v>67</v>
      </c>
      <c r="D16464" t="s">
        <v>67</v>
      </c>
      <c r="E16464" t="s">
        <v>67</v>
      </c>
      <c r="F16464" t="s">
        <v>27987</v>
      </c>
      <c r="G16464" s="117">
        <v>15.32</v>
      </c>
    </row>
    <row r="16465" spans="1:7" x14ac:dyDescent="0.25">
      <c r="A16465" s="116" t="s">
        <v>25782</v>
      </c>
      <c r="B16465" s="117" t="s">
        <v>30169</v>
      </c>
      <c r="C16465" t="s">
        <v>67</v>
      </c>
      <c r="D16465" t="s">
        <v>67</v>
      </c>
      <c r="E16465" t="s">
        <v>67</v>
      </c>
      <c r="F16465" t="s">
        <v>27987</v>
      </c>
      <c r="G16465" s="117">
        <v>0.44</v>
      </c>
    </row>
    <row r="16466" spans="1:7" x14ac:dyDescent="0.25">
      <c r="A16466" s="116" t="s">
        <v>25783</v>
      </c>
      <c r="B16466" s="117" t="s">
        <v>25784</v>
      </c>
      <c r="C16466" t="s">
        <v>67</v>
      </c>
      <c r="D16466" t="s">
        <v>67</v>
      </c>
      <c r="E16466" t="s">
        <v>67</v>
      </c>
      <c r="F16466" t="s">
        <v>27987</v>
      </c>
      <c r="G16466" s="117">
        <v>65.400000000000006</v>
      </c>
    </row>
    <row r="16467" spans="1:7" x14ac:dyDescent="0.25">
      <c r="A16467" s="116" t="s">
        <v>25785</v>
      </c>
      <c r="B16467" s="117" t="s">
        <v>25786</v>
      </c>
      <c r="C16467" t="s">
        <v>67</v>
      </c>
      <c r="D16467" t="s">
        <v>67</v>
      </c>
      <c r="E16467" t="s">
        <v>67</v>
      </c>
      <c r="F16467" t="s">
        <v>27987</v>
      </c>
      <c r="G16467" s="117">
        <v>95.66</v>
      </c>
    </row>
    <row r="16468" spans="1:7" x14ac:dyDescent="0.25">
      <c r="A16468" s="116" t="s">
        <v>25787</v>
      </c>
      <c r="B16468" s="117" t="s">
        <v>25788</v>
      </c>
      <c r="C16468" t="s">
        <v>67</v>
      </c>
      <c r="D16468" t="s">
        <v>67</v>
      </c>
      <c r="E16468" t="s">
        <v>67</v>
      </c>
      <c r="F16468" t="s">
        <v>27987</v>
      </c>
      <c r="G16468" s="117">
        <v>91.56</v>
      </c>
    </row>
    <row r="16469" spans="1:7" x14ac:dyDescent="0.25">
      <c r="A16469" s="116" t="s">
        <v>25789</v>
      </c>
      <c r="B16469" s="117" t="s">
        <v>25790</v>
      </c>
      <c r="C16469" t="s">
        <v>67</v>
      </c>
      <c r="D16469" t="s">
        <v>67</v>
      </c>
      <c r="E16469" t="s">
        <v>67</v>
      </c>
      <c r="F16469" t="s">
        <v>27987</v>
      </c>
      <c r="G16469" s="117">
        <v>99.57</v>
      </c>
    </row>
    <row r="16470" spans="1:7" x14ac:dyDescent="0.25">
      <c r="A16470" s="116" t="s">
        <v>25791</v>
      </c>
      <c r="B16470" s="117" t="s">
        <v>25792</v>
      </c>
      <c r="C16470" t="s">
        <v>67</v>
      </c>
      <c r="D16470" t="s">
        <v>67</v>
      </c>
      <c r="E16470" t="s">
        <v>67</v>
      </c>
      <c r="F16470" t="s">
        <v>27987</v>
      </c>
      <c r="G16470" s="117">
        <v>158.30000000000001</v>
      </c>
    </row>
    <row r="16471" spans="1:7" x14ac:dyDescent="0.25">
      <c r="A16471" s="116" t="s">
        <v>25793</v>
      </c>
      <c r="B16471" s="117" t="s">
        <v>25794</v>
      </c>
      <c r="C16471" t="s">
        <v>67</v>
      </c>
      <c r="D16471" t="s">
        <v>67</v>
      </c>
      <c r="E16471" t="s">
        <v>67</v>
      </c>
      <c r="F16471" t="s">
        <v>27987</v>
      </c>
      <c r="G16471" s="117">
        <v>96.01</v>
      </c>
    </row>
    <row r="16472" spans="1:7" x14ac:dyDescent="0.25">
      <c r="A16472" s="116" t="s">
        <v>25795</v>
      </c>
      <c r="B16472" s="117" t="s">
        <v>25796</v>
      </c>
      <c r="C16472" t="s">
        <v>67</v>
      </c>
      <c r="D16472" t="s">
        <v>67</v>
      </c>
      <c r="E16472" t="s">
        <v>67</v>
      </c>
      <c r="F16472" t="s">
        <v>27987</v>
      </c>
      <c r="G16472" s="117">
        <v>58.59</v>
      </c>
    </row>
    <row r="16473" spans="1:7" x14ac:dyDescent="0.25">
      <c r="A16473" s="116" t="s">
        <v>25797</v>
      </c>
      <c r="B16473" s="117" t="s">
        <v>25798</v>
      </c>
      <c r="C16473" t="s">
        <v>67</v>
      </c>
      <c r="D16473" t="s">
        <v>67</v>
      </c>
      <c r="E16473" t="s">
        <v>67</v>
      </c>
      <c r="F16473" t="s">
        <v>27987</v>
      </c>
      <c r="G16473" s="117">
        <v>8.4499999999999993</v>
      </c>
    </row>
    <row r="16474" spans="1:7" x14ac:dyDescent="0.25">
      <c r="A16474" s="116" t="s">
        <v>25799</v>
      </c>
      <c r="B16474" s="117" t="s">
        <v>25800</v>
      </c>
      <c r="C16474" t="s">
        <v>67</v>
      </c>
      <c r="D16474" t="s">
        <v>67</v>
      </c>
      <c r="E16474" t="s">
        <v>67</v>
      </c>
      <c r="F16474" t="s">
        <v>27987</v>
      </c>
      <c r="G16474" s="117">
        <v>3.12</v>
      </c>
    </row>
    <row r="16475" spans="1:7" x14ac:dyDescent="0.25">
      <c r="A16475" s="116" t="s">
        <v>25801</v>
      </c>
      <c r="B16475" s="117" t="s">
        <v>25802</v>
      </c>
      <c r="C16475" t="s">
        <v>67</v>
      </c>
      <c r="D16475" t="s">
        <v>67</v>
      </c>
      <c r="E16475" t="s">
        <v>67</v>
      </c>
      <c r="F16475" t="s">
        <v>27987</v>
      </c>
      <c r="G16475" s="117">
        <v>3.12</v>
      </c>
    </row>
    <row r="16476" spans="1:7" x14ac:dyDescent="0.25">
      <c r="A16476" s="116" t="s">
        <v>25803</v>
      </c>
      <c r="B16476" s="117" t="s">
        <v>25804</v>
      </c>
      <c r="C16476" t="s">
        <v>67</v>
      </c>
      <c r="D16476" t="s">
        <v>67</v>
      </c>
      <c r="E16476" t="s">
        <v>67</v>
      </c>
      <c r="F16476" t="s">
        <v>27987</v>
      </c>
      <c r="G16476" s="117">
        <v>12.9</v>
      </c>
    </row>
    <row r="16477" spans="1:7" x14ac:dyDescent="0.25">
      <c r="A16477" s="116" t="s">
        <v>25805</v>
      </c>
      <c r="B16477" s="117" t="s">
        <v>25806</v>
      </c>
      <c r="C16477" t="s">
        <v>67</v>
      </c>
      <c r="D16477" t="s">
        <v>67</v>
      </c>
      <c r="E16477" t="s">
        <v>67</v>
      </c>
      <c r="F16477" t="s">
        <v>27987</v>
      </c>
      <c r="G16477" s="117">
        <v>47.07</v>
      </c>
    </row>
    <row r="16478" spans="1:7" x14ac:dyDescent="0.25">
      <c r="A16478" s="116" t="s">
        <v>25807</v>
      </c>
      <c r="B16478" s="117" t="s">
        <v>25796</v>
      </c>
      <c r="C16478" t="s">
        <v>67</v>
      </c>
      <c r="D16478" t="s">
        <v>67</v>
      </c>
      <c r="E16478" t="s">
        <v>67</v>
      </c>
      <c r="F16478" t="s">
        <v>27987</v>
      </c>
      <c r="G16478" s="117">
        <v>210.44</v>
      </c>
    </row>
    <row r="16479" spans="1:7" x14ac:dyDescent="0.25">
      <c r="A16479" s="116" t="s">
        <v>25808</v>
      </c>
      <c r="B16479" s="117" t="s">
        <v>25809</v>
      </c>
      <c r="C16479" t="s">
        <v>67</v>
      </c>
      <c r="D16479" t="s">
        <v>67</v>
      </c>
      <c r="E16479" t="s">
        <v>67</v>
      </c>
      <c r="F16479" t="s">
        <v>27987</v>
      </c>
      <c r="G16479" s="117">
        <v>88.89</v>
      </c>
    </row>
    <row r="16480" spans="1:7" x14ac:dyDescent="0.25">
      <c r="A16480" s="116" t="s">
        <v>25810</v>
      </c>
      <c r="B16480" s="117" t="s">
        <v>25811</v>
      </c>
      <c r="C16480" t="s">
        <v>67</v>
      </c>
      <c r="D16480" t="s">
        <v>67</v>
      </c>
      <c r="E16480" t="s">
        <v>67</v>
      </c>
      <c r="F16480" t="s">
        <v>27987</v>
      </c>
      <c r="G16480" s="117">
        <v>40.49</v>
      </c>
    </row>
    <row r="16481" spans="1:7" x14ac:dyDescent="0.25">
      <c r="A16481" s="116" t="s">
        <v>25812</v>
      </c>
      <c r="B16481" s="117" t="s">
        <v>25813</v>
      </c>
      <c r="C16481" t="s">
        <v>67</v>
      </c>
      <c r="D16481" t="s">
        <v>67</v>
      </c>
      <c r="E16481" t="s">
        <v>67</v>
      </c>
      <c r="F16481" t="s">
        <v>27987</v>
      </c>
      <c r="G16481" s="117">
        <v>7.92</v>
      </c>
    </row>
    <row r="16482" spans="1:7" x14ac:dyDescent="0.25">
      <c r="A16482" s="116" t="s">
        <v>25814</v>
      </c>
      <c r="B16482" s="117" t="s">
        <v>25815</v>
      </c>
      <c r="C16482" t="s">
        <v>67</v>
      </c>
      <c r="D16482" t="s">
        <v>67</v>
      </c>
      <c r="E16482" t="s">
        <v>67</v>
      </c>
      <c r="F16482" t="s">
        <v>27987</v>
      </c>
      <c r="G16482" s="117">
        <v>5.25</v>
      </c>
    </row>
    <row r="16483" spans="1:7" x14ac:dyDescent="0.25">
      <c r="A16483" s="116" t="s">
        <v>25816</v>
      </c>
      <c r="B16483" s="117" t="s">
        <v>25817</v>
      </c>
      <c r="C16483" t="s">
        <v>67</v>
      </c>
      <c r="D16483" t="s">
        <v>67</v>
      </c>
      <c r="E16483" t="s">
        <v>67</v>
      </c>
      <c r="F16483" t="s">
        <v>27987</v>
      </c>
      <c r="G16483" s="117">
        <v>40.85</v>
      </c>
    </row>
    <row r="16484" spans="1:7" x14ac:dyDescent="0.25">
      <c r="A16484" s="116" t="s">
        <v>25818</v>
      </c>
      <c r="B16484" s="117" t="s">
        <v>25819</v>
      </c>
      <c r="C16484" t="s">
        <v>67</v>
      </c>
      <c r="D16484" t="s">
        <v>67</v>
      </c>
      <c r="E16484" t="s">
        <v>67</v>
      </c>
      <c r="F16484" t="s">
        <v>27987</v>
      </c>
      <c r="G16484" s="117">
        <v>131.61000000000001</v>
      </c>
    </row>
    <row r="16485" spans="1:7" x14ac:dyDescent="0.25">
      <c r="A16485" s="116" t="s">
        <v>25820</v>
      </c>
      <c r="B16485" s="117" t="s">
        <v>25821</v>
      </c>
      <c r="C16485" t="s">
        <v>67</v>
      </c>
      <c r="D16485" t="s">
        <v>67</v>
      </c>
      <c r="E16485" t="s">
        <v>67</v>
      </c>
      <c r="F16485" t="s">
        <v>27987</v>
      </c>
      <c r="G16485" s="117">
        <v>526.98</v>
      </c>
    </row>
    <row r="16486" spans="1:7" x14ac:dyDescent="0.25">
      <c r="A16486" s="116" t="s">
        <v>25822</v>
      </c>
      <c r="B16486" s="117" t="s">
        <v>25823</v>
      </c>
      <c r="C16486" t="s">
        <v>67</v>
      </c>
      <c r="D16486" t="s">
        <v>67</v>
      </c>
      <c r="E16486" t="s">
        <v>67</v>
      </c>
      <c r="F16486" t="s">
        <v>27987</v>
      </c>
      <c r="G16486" s="117">
        <v>80.52</v>
      </c>
    </row>
    <row r="16487" spans="1:7" x14ac:dyDescent="0.25">
      <c r="A16487" s="116" t="s">
        <v>29978</v>
      </c>
      <c r="B16487" s="117" t="s">
        <v>30581</v>
      </c>
      <c r="C16487" t="s">
        <v>67</v>
      </c>
      <c r="D16487" t="s">
        <v>67</v>
      </c>
      <c r="E16487" t="s">
        <v>67</v>
      </c>
      <c r="F16487" t="s">
        <v>45</v>
      </c>
      <c r="G16487" s="117">
        <v>150</v>
      </c>
    </row>
    <row r="16488" spans="1:7" x14ac:dyDescent="0.25">
      <c r="A16488" s="116" t="s">
        <v>29979</v>
      </c>
      <c r="B16488" s="117" t="s">
        <v>30582</v>
      </c>
      <c r="C16488" t="s">
        <v>67</v>
      </c>
      <c r="D16488" t="s">
        <v>67</v>
      </c>
      <c r="E16488" t="s">
        <v>67</v>
      </c>
      <c r="F16488" t="s">
        <v>45</v>
      </c>
      <c r="G16488" s="117">
        <v>122</v>
      </c>
    </row>
    <row r="16489" spans="1:7" x14ac:dyDescent="0.25">
      <c r="A16489" s="116" t="s">
        <v>29980</v>
      </c>
      <c r="B16489" s="117" t="s">
        <v>30583</v>
      </c>
      <c r="C16489" t="s">
        <v>67</v>
      </c>
      <c r="D16489" t="s">
        <v>67</v>
      </c>
      <c r="E16489" t="s">
        <v>67</v>
      </c>
      <c r="F16489" t="s">
        <v>45</v>
      </c>
      <c r="G16489" s="117">
        <v>28.77</v>
      </c>
    </row>
    <row r="16490" spans="1:7" x14ac:dyDescent="0.25">
      <c r="A16490" s="116" t="s">
        <v>29981</v>
      </c>
      <c r="B16490" s="117" t="s">
        <v>30584</v>
      </c>
      <c r="C16490" t="s">
        <v>67</v>
      </c>
      <c r="D16490" t="s">
        <v>67</v>
      </c>
      <c r="E16490" t="s">
        <v>67</v>
      </c>
      <c r="F16490" t="s">
        <v>45</v>
      </c>
      <c r="G16490" s="117">
        <v>42.63</v>
      </c>
    </row>
    <row r="16491" spans="1:7" x14ac:dyDescent="0.25">
      <c r="A16491" s="116" t="s">
        <v>29982</v>
      </c>
      <c r="B16491" s="117" t="s">
        <v>22836</v>
      </c>
      <c r="C16491" t="s">
        <v>67</v>
      </c>
      <c r="D16491" t="s">
        <v>67</v>
      </c>
      <c r="E16491" t="s">
        <v>67</v>
      </c>
      <c r="F16491" t="s">
        <v>45</v>
      </c>
      <c r="G16491" s="117">
        <v>0.8</v>
      </c>
    </row>
    <row r="16492" spans="1:7" x14ac:dyDescent="0.25">
      <c r="A16492" s="116" t="s">
        <v>29983</v>
      </c>
      <c r="B16492" s="117" t="s">
        <v>30585</v>
      </c>
      <c r="C16492" t="s">
        <v>67</v>
      </c>
      <c r="D16492" t="s">
        <v>67</v>
      </c>
      <c r="E16492" t="s">
        <v>67</v>
      </c>
      <c r="F16492" t="s">
        <v>45</v>
      </c>
      <c r="G16492" s="117">
        <v>50</v>
      </c>
    </row>
    <row r="16493" spans="1:7" x14ac:dyDescent="0.25">
      <c r="A16493" s="116" t="s">
        <v>29984</v>
      </c>
      <c r="B16493" s="117" t="s">
        <v>30586</v>
      </c>
      <c r="C16493" t="s">
        <v>67</v>
      </c>
      <c r="D16493" t="s">
        <v>67</v>
      </c>
      <c r="E16493" t="s">
        <v>67</v>
      </c>
      <c r="F16493" t="s">
        <v>45</v>
      </c>
      <c r="G16493" s="117">
        <v>58</v>
      </c>
    </row>
    <row r="16494" spans="1:7" x14ac:dyDescent="0.25">
      <c r="A16494" s="116" t="s">
        <v>29985</v>
      </c>
      <c r="B16494" s="117" t="s">
        <v>30587</v>
      </c>
      <c r="C16494" t="s">
        <v>67</v>
      </c>
      <c r="D16494" t="s">
        <v>67</v>
      </c>
      <c r="E16494" t="s">
        <v>67</v>
      </c>
      <c r="F16494" t="s">
        <v>45</v>
      </c>
      <c r="G16494" s="117">
        <v>40</v>
      </c>
    </row>
    <row r="16495" spans="1:7" x14ac:dyDescent="0.25">
      <c r="A16495" s="116" t="s">
        <v>29986</v>
      </c>
      <c r="B16495" s="117" t="s">
        <v>30588</v>
      </c>
      <c r="C16495" t="s">
        <v>67</v>
      </c>
      <c r="D16495" t="s">
        <v>67</v>
      </c>
      <c r="E16495" t="s">
        <v>67</v>
      </c>
      <c r="F16495" t="s">
        <v>45</v>
      </c>
      <c r="G16495" s="117">
        <v>90</v>
      </c>
    </row>
    <row r="16496" spans="1:7" x14ac:dyDescent="0.25">
      <c r="A16496" s="116" t="s">
        <v>29987</v>
      </c>
      <c r="B16496" s="117" t="s">
        <v>30589</v>
      </c>
      <c r="C16496" t="s">
        <v>67</v>
      </c>
      <c r="D16496" t="s">
        <v>67</v>
      </c>
      <c r="E16496" t="s">
        <v>67</v>
      </c>
      <c r="F16496" t="s">
        <v>27987</v>
      </c>
      <c r="G16496" s="117">
        <v>5</v>
      </c>
    </row>
    <row r="16497" spans="1:7" x14ac:dyDescent="0.25">
      <c r="A16497" s="116" t="s">
        <v>29988</v>
      </c>
      <c r="B16497" s="117" t="s">
        <v>30590</v>
      </c>
      <c r="C16497" t="s">
        <v>67</v>
      </c>
      <c r="D16497" t="s">
        <v>67</v>
      </c>
      <c r="E16497" t="s">
        <v>67</v>
      </c>
      <c r="F16497" t="s">
        <v>45</v>
      </c>
      <c r="G16497" s="117">
        <v>33</v>
      </c>
    </row>
    <row r="16498" spans="1:7" x14ac:dyDescent="0.25">
      <c r="A16498" s="116" t="s">
        <v>29989</v>
      </c>
      <c r="B16498" s="117" t="s">
        <v>30591</v>
      </c>
      <c r="C16498" t="s">
        <v>67</v>
      </c>
      <c r="D16498" t="s">
        <v>67</v>
      </c>
      <c r="E16498" t="s">
        <v>67</v>
      </c>
      <c r="F16498" t="s">
        <v>45</v>
      </c>
      <c r="G16498" s="117">
        <v>3</v>
      </c>
    </row>
    <row r="16499" spans="1:7" x14ac:dyDescent="0.25">
      <c r="A16499" s="116" t="s">
        <v>29990</v>
      </c>
      <c r="B16499" s="117" t="s">
        <v>30592</v>
      </c>
      <c r="C16499" t="s">
        <v>67</v>
      </c>
      <c r="D16499" t="s">
        <v>67</v>
      </c>
      <c r="E16499" t="s">
        <v>67</v>
      </c>
      <c r="F16499" t="s">
        <v>45</v>
      </c>
      <c r="G16499" s="117">
        <v>3</v>
      </c>
    </row>
    <row r="16500" spans="1:7" x14ac:dyDescent="0.25">
      <c r="A16500" s="116" t="s">
        <v>29991</v>
      </c>
      <c r="B16500" s="117" t="s">
        <v>30593</v>
      </c>
      <c r="C16500" t="s">
        <v>67</v>
      </c>
      <c r="D16500" t="s">
        <v>67</v>
      </c>
      <c r="E16500" t="s">
        <v>67</v>
      </c>
      <c r="F16500" t="s">
        <v>45</v>
      </c>
      <c r="G16500" s="117">
        <v>2.5</v>
      </c>
    </row>
    <row r="16501" spans="1:7" x14ac:dyDescent="0.25">
      <c r="A16501" s="116" t="s">
        <v>29992</v>
      </c>
      <c r="B16501" s="117" t="s">
        <v>9415</v>
      </c>
      <c r="C16501" t="s">
        <v>67</v>
      </c>
      <c r="D16501" t="s">
        <v>67</v>
      </c>
      <c r="E16501" t="s">
        <v>67</v>
      </c>
      <c r="F16501" t="s">
        <v>45</v>
      </c>
      <c r="G16501" s="117">
        <v>0.8</v>
      </c>
    </row>
    <row r="16502" spans="1:7" x14ac:dyDescent="0.25">
      <c r="A16502" s="116" t="s">
        <v>29993</v>
      </c>
      <c r="B16502" s="117" t="s">
        <v>30594</v>
      </c>
      <c r="C16502" t="s">
        <v>67</v>
      </c>
      <c r="D16502" t="s">
        <v>67</v>
      </c>
      <c r="E16502" t="s">
        <v>67</v>
      </c>
      <c r="F16502" t="s">
        <v>45</v>
      </c>
      <c r="G16502" s="117">
        <v>35</v>
      </c>
    </row>
    <row r="16503" spans="1:7" x14ac:dyDescent="0.25">
      <c r="A16503" s="116" t="s">
        <v>29994</v>
      </c>
      <c r="B16503" s="117" t="s">
        <v>30595</v>
      </c>
      <c r="C16503" t="s">
        <v>67</v>
      </c>
      <c r="D16503" t="s">
        <v>67</v>
      </c>
      <c r="E16503" t="s">
        <v>67</v>
      </c>
      <c r="F16503" t="s">
        <v>45</v>
      </c>
      <c r="G16503" s="117">
        <v>40.11</v>
      </c>
    </row>
    <row r="16504" spans="1:7" x14ac:dyDescent="0.25">
      <c r="A16504" s="116" t="s">
        <v>29995</v>
      </c>
      <c r="B16504" s="117" t="s">
        <v>30596</v>
      </c>
      <c r="C16504" t="s">
        <v>67</v>
      </c>
      <c r="D16504" t="s">
        <v>67</v>
      </c>
      <c r="E16504" t="s">
        <v>67</v>
      </c>
      <c r="F16504" t="s">
        <v>45</v>
      </c>
      <c r="G16504" s="117">
        <v>3.5</v>
      </c>
    </row>
    <row r="16505" spans="1:7" x14ac:dyDescent="0.25">
      <c r="A16505" s="116" t="s">
        <v>29996</v>
      </c>
      <c r="B16505" s="117" t="s">
        <v>30597</v>
      </c>
      <c r="C16505" t="s">
        <v>67</v>
      </c>
      <c r="D16505" t="s">
        <v>67</v>
      </c>
      <c r="E16505" t="s">
        <v>67</v>
      </c>
      <c r="F16505" t="s">
        <v>45</v>
      </c>
      <c r="G16505" s="117">
        <v>0.8</v>
      </c>
    </row>
    <row r="16506" spans="1:7" x14ac:dyDescent="0.25">
      <c r="A16506" s="116" t="s">
        <v>29997</v>
      </c>
      <c r="B16506" s="117" t="s">
        <v>30598</v>
      </c>
      <c r="C16506" t="s">
        <v>67</v>
      </c>
      <c r="D16506" t="s">
        <v>67</v>
      </c>
      <c r="E16506" t="s">
        <v>67</v>
      </c>
      <c r="F16506" t="s">
        <v>45</v>
      </c>
      <c r="G16506" s="117">
        <v>3</v>
      </c>
    </row>
    <row r="16507" spans="1:7" x14ac:dyDescent="0.25">
      <c r="A16507" s="116" t="s">
        <v>29998</v>
      </c>
      <c r="B16507" s="117" t="s">
        <v>30599</v>
      </c>
      <c r="C16507" t="s">
        <v>67</v>
      </c>
      <c r="D16507" t="s">
        <v>67</v>
      </c>
      <c r="E16507" t="s">
        <v>67</v>
      </c>
      <c r="F16507" t="s">
        <v>45</v>
      </c>
      <c r="G16507" s="117">
        <v>35.81</v>
      </c>
    </row>
    <row r="16508" spans="1:7" x14ac:dyDescent="0.25">
      <c r="A16508" s="116" t="s">
        <v>29999</v>
      </c>
      <c r="B16508" s="117" t="s">
        <v>30600</v>
      </c>
      <c r="C16508" t="s">
        <v>67</v>
      </c>
      <c r="D16508" t="s">
        <v>67</v>
      </c>
      <c r="E16508" t="s">
        <v>67</v>
      </c>
      <c r="F16508" t="s">
        <v>45</v>
      </c>
      <c r="G16508" s="117">
        <v>25</v>
      </c>
    </row>
    <row r="16509" spans="1:7" x14ac:dyDescent="0.25">
      <c r="A16509" s="116" t="s">
        <v>30000</v>
      </c>
      <c r="B16509" s="117" t="s">
        <v>30601</v>
      </c>
      <c r="C16509" t="s">
        <v>67</v>
      </c>
      <c r="D16509" t="s">
        <v>67</v>
      </c>
      <c r="E16509" t="s">
        <v>67</v>
      </c>
      <c r="F16509" t="s">
        <v>45</v>
      </c>
      <c r="G16509" s="117">
        <v>150</v>
      </c>
    </row>
    <row r="16510" spans="1:7" x14ac:dyDescent="0.25">
      <c r="A16510" s="116" t="s">
        <v>30786</v>
      </c>
      <c r="B16510" s="117" t="s">
        <v>30787</v>
      </c>
      <c r="C16510" t="s">
        <v>67</v>
      </c>
      <c r="D16510" t="s">
        <v>67</v>
      </c>
      <c r="E16510" t="s">
        <v>67</v>
      </c>
      <c r="F16510" t="s">
        <v>45</v>
      </c>
      <c r="G16510" s="117">
        <v>9999</v>
      </c>
    </row>
    <row r="16511" spans="1:7" x14ac:dyDescent="0.25">
      <c r="A16511" s="116" t="s">
        <v>30788</v>
      </c>
      <c r="B16511" s="117" t="s">
        <v>30789</v>
      </c>
      <c r="C16511" t="s">
        <v>67</v>
      </c>
      <c r="D16511" t="s">
        <v>67</v>
      </c>
      <c r="E16511" t="s">
        <v>67</v>
      </c>
      <c r="F16511" t="s">
        <v>45</v>
      </c>
      <c r="G16511" s="117">
        <v>9999</v>
      </c>
    </row>
    <row r="16512" spans="1:7" x14ac:dyDescent="0.25">
      <c r="A16512" s="116" t="s">
        <v>30790</v>
      </c>
      <c r="B16512" s="117" t="s">
        <v>30791</v>
      </c>
      <c r="C16512" t="s">
        <v>67</v>
      </c>
      <c r="D16512" t="s">
        <v>67</v>
      </c>
      <c r="E16512" t="s">
        <v>67</v>
      </c>
      <c r="F16512" t="s">
        <v>45</v>
      </c>
      <c r="G16512" s="117">
        <v>9999</v>
      </c>
    </row>
    <row r="16513" spans="1:7" x14ac:dyDescent="0.25">
      <c r="A16513" s="116" t="s">
        <v>30792</v>
      </c>
      <c r="B16513" s="117" t="s">
        <v>30793</v>
      </c>
      <c r="C16513" t="s">
        <v>67</v>
      </c>
      <c r="D16513" t="s">
        <v>67</v>
      </c>
      <c r="E16513" t="s">
        <v>67</v>
      </c>
      <c r="F16513" t="s">
        <v>45</v>
      </c>
      <c r="G16513" s="117">
        <v>9999</v>
      </c>
    </row>
    <row r="16514" spans="1:7" x14ac:dyDescent="0.25">
      <c r="A16514" s="116" t="s">
        <v>30794</v>
      </c>
      <c r="B16514" s="117" t="s">
        <v>30795</v>
      </c>
      <c r="C16514" t="s">
        <v>67</v>
      </c>
      <c r="D16514" t="s">
        <v>67</v>
      </c>
      <c r="E16514" t="s">
        <v>67</v>
      </c>
      <c r="F16514" t="s">
        <v>45</v>
      </c>
      <c r="G16514" s="117">
        <v>9999</v>
      </c>
    </row>
    <row r="16515" spans="1:7" x14ac:dyDescent="0.25">
      <c r="A16515" s="116" t="s">
        <v>30796</v>
      </c>
      <c r="B16515" s="117" t="s">
        <v>30797</v>
      </c>
      <c r="C16515" t="s">
        <v>67</v>
      </c>
      <c r="D16515" t="s">
        <v>67</v>
      </c>
      <c r="E16515" t="s">
        <v>67</v>
      </c>
      <c r="F16515" t="s">
        <v>45</v>
      </c>
      <c r="G16515" s="117">
        <v>9999</v>
      </c>
    </row>
    <row r="16516" spans="1:7" x14ac:dyDescent="0.25">
      <c r="A16516" s="116" t="s">
        <v>30798</v>
      </c>
      <c r="B16516" s="117" t="s">
        <v>30799</v>
      </c>
      <c r="C16516" t="s">
        <v>67</v>
      </c>
      <c r="D16516" t="s">
        <v>67</v>
      </c>
      <c r="E16516" t="s">
        <v>67</v>
      </c>
      <c r="F16516" t="s">
        <v>45</v>
      </c>
      <c r="G16516" s="117">
        <v>9999</v>
      </c>
    </row>
    <row r="16517" spans="1:7" x14ac:dyDescent="0.25">
      <c r="A16517" s="116" t="s">
        <v>30800</v>
      </c>
      <c r="B16517" s="117" t="s">
        <v>30801</v>
      </c>
      <c r="C16517" t="s">
        <v>67</v>
      </c>
      <c r="D16517" t="s">
        <v>67</v>
      </c>
      <c r="E16517" t="s">
        <v>67</v>
      </c>
      <c r="F16517" t="s">
        <v>45</v>
      </c>
      <c r="G16517" s="117">
        <v>9999</v>
      </c>
    </row>
    <row r="16518" spans="1:7" x14ac:dyDescent="0.25">
      <c r="A16518" s="116" t="s">
        <v>30802</v>
      </c>
      <c r="B16518" s="117" t="s">
        <v>30803</v>
      </c>
      <c r="C16518" t="s">
        <v>67</v>
      </c>
      <c r="D16518" t="s">
        <v>67</v>
      </c>
      <c r="E16518" t="s">
        <v>67</v>
      </c>
      <c r="F16518" t="s">
        <v>45</v>
      </c>
      <c r="G16518" s="117">
        <v>9999</v>
      </c>
    </row>
    <row r="16519" spans="1:7" x14ac:dyDescent="0.25">
      <c r="A16519" s="116" t="s">
        <v>30804</v>
      </c>
      <c r="B16519" s="117" t="s">
        <v>30805</v>
      </c>
      <c r="C16519" t="s">
        <v>67</v>
      </c>
      <c r="D16519" t="s">
        <v>67</v>
      </c>
      <c r="E16519" t="s">
        <v>67</v>
      </c>
      <c r="F16519" t="s">
        <v>45</v>
      </c>
      <c r="G16519" s="117">
        <v>9999</v>
      </c>
    </row>
    <row r="16520" spans="1:7" x14ac:dyDescent="0.25">
      <c r="A16520" s="116" t="s">
        <v>31007</v>
      </c>
      <c r="B16520" s="117" t="s">
        <v>31008</v>
      </c>
      <c r="C16520" t="s">
        <v>67</v>
      </c>
      <c r="D16520" t="s">
        <v>67</v>
      </c>
      <c r="E16520" t="s">
        <v>67</v>
      </c>
      <c r="F16520" t="s">
        <v>45</v>
      </c>
      <c r="G16520" s="117">
        <v>9999</v>
      </c>
    </row>
    <row r="16521" spans="1:7" x14ac:dyDescent="0.25">
      <c r="A16521" s="116" t="s">
        <v>31009</v>
      </c>
      <c r="B16521" s="117" t="s">
        <v>31010</v>
      </c>
      <c r="C16521" t="s">
        <v>67</v>
      </c>
      <c r="D16521" t="s">
        <v>67</v>
      </c>
      <c r="E16521" t="s">
        <v>67</v>
      </c>
      <c r="F16521" t="s">
        <v>45</v>
      </c>
      <c r="G16521" s="117">
        <v>9999</v>
      </c>
    </row>
    <row r="16522" spans="1:7" x14ac:dyDescent="0.25">
      <c r="A16522" s="116" t="s">
        <v>31011</v>
      </c>
      <c r="B16522" s="117" t="s">
        <v>31012</v>
      </c>
      <c r="C16522" t="s">
        <v>67</v>
      </c>
      <c r="D16522" t="s">
        <v>67</v>
      </c>
      <c r="E16522" t="s">
        <v>67</v>
      </c>
      <c r="F16522" t="s">
        <v>45</v>
      </c>
      <c r="G16522" s="117">
        <v>9999</v>
      </c>
    </row>
    <row r="16523" spans="1:7" x14ac:dyDescent="0.25">
      <c r="A16523" s="116" t="s">
        <v>31013</v>
      </c>
      <c r="B16523" s="117" t="s">
        <v>31014</v>
      </c>
      <c r="C16523" t="s">
        <v>67</v>
      </c>
      <c r="D16523" t="s">
        <v>67</v>
      </c>
      <c r="E16523" t="s">
        <v>67</v>
      </c>
      <c r="F16523" t="s">
        <v>45</v>
      </c>
      <c r="G16523" s="117">
        <v>9999</v>
      </c>
    </row>
    <row r="16524" spans="1:7" x14ac:dyDescent="0.25">
      <c r="A16524" s="116" t="s">
        <v>31015</v>
      </c>
      <c r="B16524" s="117" t="s">
        <v>31016</v>
      </c>
      <c r="C16524" t="s">
        <v>67</v>
      </c>
      <c r="D16524" t="s">
        <v>67</v>
      </c>
      <c r="E16524" t="s">
        <v>67</v>
      </c>
      <c r="F16524" t="s">
        <v>45</v>
      </c>
      <c r="G16524" s="117">
        <v>9999</v>
      </c>
    </row>
    <row r="16525" spans="1:7" x14ac:dyDescent="0.25">
      <c r="A16525" s="116" t="s">
        <v>31017</v>
      </c>
      <c r="B16525" s="117" t="s">
        <v>31018</v>
      </c>
      <c r="C16525" t="s">
        <v>67</v>
      </c>
      <c r="D16525" t="s">
        <v>67</v>
      </c>
      <c r="E16525" t="s">
        <v>67</v>
      </c>
      <c r="F16525" t="s">
        <v>45</v>
      </c>
      <c r="G16525" s="117">
        <v>9999</v>
      </c>
    </row>
    <row r="16526" spans="1:7" x14ac:dyDescent="0.25">
      <c r="A16526" s="116" t="s">
        <v>31019</v>
      </c>
      <c r="B16526" s="117" t="s">
        <v>31020</v>
      </c>
      <c r="C16526" t="s">
        <v>67</v>
      </c>
      <c r="D16526" t="s">
        <v>67</v>
      </c>
      <c r="E16526" t="s">
        <v>67</v>
      </c>
      <c r="F16526" t="s">
        <v>45</v>
      </c>
      <c r="G16526" s="117">
        <v>9999</v>
      </c>
    </row>
    <row r="16527" spans="1:7" x14ac:dyDescent="0.25">
      <c r="A16527" s="116" t="s">
        <v>31021</v>
      </c>
      <c r="B16527" s="117" t="s">
        <v>31022</v>
      </c>
      <c r="C16527" t="s">
        <v>67</v>
      </c>
      <c r="D16527" t="s">
        <v>67</v>
      </c>
      <c r="E16527" t="s">
        <v>67</v>
      </c>
      <c r="F16527" t="s">
        <v>45</v>
      </c>
      <c r="G16527" s="117">
        <v>9999</v>
      </c>
    </row>
    <row r="16528" spans="1:7" x14ac:dyDescent="0.25">
      <c r="A16528" s="116" t="s">
        <v>31023</v>
      </c>
      <c r="B16528" s="117" t="s">
        <v>31024</v>
      </c>
      <c r="C16528" t="s">
        <v>67</v>
      </c>
      <c r="D16528" t="s">
        <v>67</v>
      </c>
      <c r="E16528" t="s">
        <v>67</v>
      </c>
      <c r="F16528" t="s">
        <v>45</v>
      </c>
      <c r="G16528" s="117">
        <v>9999</v>
      </c>
    </row>
    <row r="16529" spans="1:7" x14ac:dyDescent="0.25">
      <c r="A16529" s="116" t="s">
        <v>31025</v>
      </c>
      <c r="B16529" s="117" t="s">
        <v>31026</v>
      </c>
      <c r="C16529" t="s">
        <v>67</v>
      </c>
      <c r="D16529" t="s">
        <v>67</v>
      </c>
      <c r="E16529" t="s">
        <v>67</v>
      </c>
      <c r="F16529" t="s">
        <v>45</v>
      </c>
      <c r="G16529" s="117">
        <v>9999</v>
      </c>
    </row>
    <row r="16530" spans="1:7" x14ac:dyDescent="0.25">
      <c r="A16530" s="116" t="s">
        <v>25824</v>
      </c>
      <c r="B16530" s="117" t="s">
        <v>15763</v>
      </c>
      <c r="C16530" t="s">
        <v>67</v>
      </c>
      <c r="D16530" t="s">
        <v>67</v>
      </c>
      <c r="E16530" t="s">
        <v>67</v>
      </c>
      <c r="F16530" t="s">
        <v>27987</v>
      </c>
      <c r="G16530" s="117">
        <v>6.14</v>
      </c>
    </row>
    <row r="16531" spans="1:7" x14ac:dyDescent="0.25">
      <c r="A16531" s="116" t="s">
        <v>25825</v>
      </c>
      <c r="B16531" s="117" t="s">
        <v>23044</v>
      </c>
      <c r="C16531" t="s">
        <v>67</v>
      </c>
      <c r="D16531" t="s">
        <v>67</v>
      </c>
      <c r="E16531" t="s">
        <v>67</v>
      </c>
      <c r="F16531" t="s">
        <v>49</v>
      </c>
      <c r="G16531" s="117">
        <v>3.56</v>
      </c>
    </row>
    <row r="16532" spans="1:7" x14ac:dyDescent="0.25">
      <c r="A16532" s="116" t="s">
        <v>25826</v>
      </c>
      <c r="B16532" s="117" t="s">
        <v>29724</v>
      </c>
      <c r="C16532" t="s">
        <v>67</v>
      </c>
      <c r="D16532" t="s">
        <v>67</v>
      </c>
      <c r="E16532" t="s">
        <v>67</v>
      </c>
      <c r="F16532" t="s">
        <v>27987</v>
      </c>
      <c r="G16532" s="117">
        <v>40</v>
      </c>
    </row>
    <row r="16533" spans="1:7" x14ac:dyDescent="0.25">
      <c r="A16533" s="116" t="s">
        <v>25827</v>
      </c>
      <c r="B16533" s="117" t="s">
        <v>25828</v>
      </c>
      <c r="C16533" t="s">
        <v>67</v>
      </c>
      <c r="D16533" t="s">
        <v>67</v>
      </c>
      <c r="E16533" t="s">
        <v>67</v>
      </c>
      <c r="F16533" t="s">
        <v>45</v>
      </c>
      <c r="G16533" s="117">
        <v>17.7</v>
      </c>
    </row>
    <row r="16534" spans="1:7" x14ac:dyDescent="0.25">
      <c r="A16534" s="116" t="s">
        <v>25829</v>
      </c>
      <c r="B16534" s="117" t="s">
        <v>25830</v>
      </c>
      <c r="C16534" t="s">
        <v>67</v>
      </c>
      <c r="D16534" t="s">
        <v>67</v>
      </c>
      <c r="E16534" t="s">
        <v>67</v>
      </c>
      <c r="F16534" t="s">
        <v>45</v>
      </c>
      <c r="G16534" s="117">
        <v>17.7</v>
      </c>
    </row>
    <row r="16535" spans="1:7" x14ac:dyDescent="0.25">
      <c r="A16535" s="116" t="s">
        <v>25831</v>
      </c>
      <c r="B16535" s="117" t="s">
        <v>25832</v>
      </c>
      <c r="C16535" t="s">
        <v>67</v>
      </c>
      <c r="D16535" t="s">
        <v>67</v>
      </c>
      <c r="E16535" t="s">
        <v>67</v>
      </c>
      <c r="F16535" t="s">
        <v>27987</v>
      </c>
      <c r="G16535" s="117">
        <v>3.48</v>
      </c>
    </row>
    <row r="16536" spans="1:7" x14ac:dyDescent="0.25">
      <c r="A16536" s="116" t="s">
        <v>25833</v>
      </c>
      <c r="B16536" s="117" t="s">
        <v>29725</v>
      </c>
      <c r="C16536" t="s">
        <v>67</v>
      </c>
      <c r="D16536" t="s">
        <v>67</v>
      </c>
      <c r="E16536" t="s">
        <v>67</v>
      </c>
      <c r="F16536" t="s">
        <v>27987</v>
      </c>
      <c r="G16536" s="117">
        <v>14.14</v>
      </c>
    </row>
    <row r="16537" spans="1:7" x14ac:dyDescent="0.25">
      <c r="A16537" s="116" t="s">
        <v>25834</v>
      </c>
      <c r="B16537" s="117" t="s">
        <v>25835</v>
      </c>
      <c r="C16537" t="s">
        <v>67</v>
      </c>
      <c r="D16537" t="s">
        <v>67</v>
      </c>
      <c r="E16537" t="s">
        <v>67</v>
      </c>
      <c r="F16537" t="s">
        <v>45</v>
      </c>
      <c r="G16537" s="117">
        <v>12.01</v>
      </c>
    </row>
    <row r="16538" spans="1:7" x14ac:dyDescent="0.25">
      <c r="A16538" s="116" t="s">
        <v>25836</v>
      </c>
      <c r="B16538" s="117" t="s">
        <v>25837</v>
      </c>
      <c r="C16538" t="s">
        <v>67</v>
      </c>
      <c r="D16538" t="s">
        <v>67</v>
      </c>
      <c r="E16538" t="s">
        <v>67</v>
      </c>
      <c r="F16538" t="s">
        <v>45</v>
      </c>
      <c r="G16538" s="117">
        <v>7.12</v>
      </c>
    </row>
    <row r="16539" spans="1:7" x14ac:dyDescent="0.25">
      <c r="A16539" s="116" t="s">
        <v>25838</v>
      </c>
      <c r="B16539" s="117" t="s">
        <v>25839</v>
      </c>
      <c r="C16539" t="s">
        <v>67</v>
      </c>
      <c r="D16539" t="s">
        <v>67</v>
      </c>
      <c r="E16539" t="s">
        <v>67</v>
      </c>
      <c r="F16539" t="s">
        <v>45</v>
      </c>
      <c r="G16539" s="117">
        <v>7.12</v>
      </c>
    </row>
    <row r="16540" spans="1:7" x14ac:dyDescent="0.25">
      <c r="A16540" s="116" t="s">
        <v>25840</v>
      </c>
      <c r="B16540" s="117" t="s">
        <v>25841</v>
      </c>
      <c r="C16540" t="s">
        <v>67</v>
      </c>
      <c r="D16540" t="s">
        <v>67</v>
      </c>
      <c r="E16540" t="s">
        <v>67</v>
      </c>
      <c r="F16540" t="s">
        <v>45</v>
      </c>
      <c r="G16540" s="117">
        <v>8.4499999999999993</v>
      </c>
    </row>
    <row r="16541" spans="1:7" x14ac:dyDescent="0.25">
      <c r="A16541" s="116" t="s">
        <v>25842</v>
      </c>
      <c r="B16541" s="117" t="s">
        <v>25843</v>
      </c>
      <c r="C16541" t="s">
        <v>67</v>
      </c>
      <c r="D16541" t="s">
        <v>67</v>
      </c>
      <c r="E16541" t="s">
        <v>67</v>
      </c>
      <c r="F16541" t="s">
        <v>45</v>
      </c>
      <c r="G16541" s="117">
        <v>6.14</v>
      </c>
    </row>
    <row r="16542" spans="1:7" x14ac:dyDescent="0.25">
      <c r="A16542" s="116" t="s">
        <v>25844</v>
      </c>
      <c r="B16542" s="117" t="s">
        <v>25845</v>
      </c>
      <c r="C16542" t="s">
        <v>67</v>
      </c>
      <c r="D16542" t="s">
        <v>67</v>
      </c>
      <c r="E16542" t="s">
        <v>67</v>
      </c>
      <c r="F16542" t="s">
        <v>45</v>
      </c>
      <c r="G16542" s="117">
        <v>3.56</v>
      </c>
    </row>
    <row r="16543" spans="1:7" x14ac:dyDescent="0.25">
      <c r="A16543" s="116" t="s">
        <v>25846</v>
      </c>
      <c r="B16543" s="117" t="s">
        <v>25847</v>
      </c>
      <c r="C16543" t="s">
        <v>67</v>
      </c>
      <c r="D16543" t="s">
        <v>67</v>
      </c>
      <c r="E16543" t="s">
        <v>67</v>
      </c>
      <c r="F16543" t="s">
        <v>45</v>
      </c>
      <c r="G16543" s="117">
        <v>53.3</v>
      </c>
    </row>
    <row r="16544" spans="1:7" x14ac:dyDescent="0.25">
      <c r="A16544" s="116" t="s">
        <v>25848</v>
      </c>
      <c r="B16544" s="117" t="s">
        <v>25849</v>
      </c>
      <c r="C16544" t="s">
        <v>67</v>
      </c>
      <c r="D16544" t="s">
        <v>67</v>
      </c>
      <c r="E16544" t="s">
        <v>67</v>
      </c>
      <c r="F16544" t="s">
        <v>45</v>
      </c>
      <c r="G16544" s="117">
        <v>4.3600000000000003</v>
      </c>
    </row>
    <row r="16545" spans="1:7" x14ac:dyDescent="0.25">
      <c r="A16545" s="116" t="s">
        <v>25850</v>
      </c>
      <c r="B16545" s="117" t="s">
        <v>25851</v>
      </c>
      <c r="C16545" t="s">
        <v>67</v>
      </c>
      <c r="D16545" t="s">
        <v>67</v>
      </c>
      <c r="E16545" t="s">
        <v>67</v>
      </c>
      <c r="F16545" t="s">
        <v>27987</v>
      </c>
      <c r="G16545" s="117">
        <v>0.8</v>
      </c>
    </row>
    <row r="16546" spans="1:7" x14ac:dyDescent="0.25">
      <c r="A16546" s="116" t="s">
        <v>25852</v>
      </c>
      <c r="B16546" s="117" t="s">
        <v>25853</v>
      </c>
      <c r="C16546" t="s">
        <v>67</v>
      </c>
      <c r="D16546" t="s">
        <v>67</v>
      </c>
      <c r="E16546" t="s">
        <v>67</v>
      </c>
      <c r="F16546" t="s">
        <v>27987</v>
      </c>
      <c r="G16546" s="117">
        <v>0.8</v>
      </c>
    </row>
    <row r="16547" spans="1:7" x14ac:dyDescent="0.25">
      <c r="A16547" s="116" t="s">
        <v>25854</v>
      </c>
      <c r="B16547" s="117" t="s">
        <v>25855</v>
      </c>
      <c r="C16547" t="s">
        <v>67</v>
      </c>
      <c r="D16547" t="s">
        <v>67</v>
      </c>
      <c r="E16547" t="s">
        <v>67</v>
      </c>
      <c r="F16547" t="s">
        <v>45</v>
      </c>
      <c r="G16547" s="117">
        <v>0.8</v>
      </c>
    </row>
    <row r="16548" spans="1:7" x14ac:dyDescent="0.25">
      <c r="A16548" s="116" t="s">
        <v>25856</v>
      </c>
      <c r="B16548" s="117" t="s">
        <v>25857</v>
      </c>
      <c r="C16548" t="s">
        <v>67</v>
      </c>
      <c r="D16548" t="s">
        <v>67</v>
      </c>
      <c r="E16548" t="s">
        <v>67</v>
      </c>
      <c r="F16548" t="s">
        <v>45</v>
      </c>
      <c r="G16548" s="117">
        <v>0.8</v>
      </c>
    </row>
    <row r="16549" spans="1:7" x14ac:dyDescent="0.25">
      <c r="A16549" s="116" t="s">
        <v>25858</v>
      </c>
      <c r="B16549" s="117" t="s">
        <v>25859</v>
      </c>
      <c r="C16549" t="s">
        <v>67</v>
      </c>
      <c r="D16549" t="s">
        <v>67</v>
      </c>
      <c r="E16549" t="s">
        <v>67</v>
      </c>
      <c r="F16549" t="s">
        <v>45</v>
      </c>
      <c r="G16549" s="117">
        <v>3.12</v>
      </c>
    </row>
    <row r="16550" spans="1:7" x14ac:dyDescent="0.25">
      <c r="A16550" s="116" t="s">
        <v>25860</v>
      </c>
      <c r="B16550" s="117" t="s">
        <v>25861</v>
      </c>
      <c r="C16550" t="s">
        <v>67</v>
      </c>
      <c r="D16550" t="s">
        <v>67</v>
      </c>
      <c r="E16550" t="s">
        <v>67</v>
      </c>
      <c r="F16550" t="s">
        <v>45</v>
      </c>
      <c r="G16550" s="117">
        <v>51.17</v>
      </c>
    </row>
    <row r="16551" spans="1:7" x14ac:dyDescent="0.25">
      <c r="A16551" s="116" t="s">
        <v>25862</v>
      </c>
      <c r="B16551" s="117" t="s">
        <v>25863</v>
      </c>
      <c r="C16551" t="s">
        <v>67</v>
      </c>
      <c r="D16551" t="s">
        <v>67</v>
      </c>
      <c r="E16551" t="s">
        <v>67</v>
      </c>
      <c r="F16551" t="s">
        <v>45</v>
      </c>
      <c r="G16551" s="117">
        <v>2.58</v>
      </c>
    </row>
    <row r="16552" spans="1:7" x14ac:dyDescent="0.25">
      <c r="A16552" s="116" t="s">
        <v>25864</v>
      </c>
      <c r="B16552" s="117" t="s">
        <v>29726</v>
      </c>
      <c r="C16552" t="s">
        <v>67</v>
      </c>
      <c r="D16552" t="s">
        <v>67</v>
      </c>
      <c r="E16552" t="s">
        <v>67</v>
      </c>
      <c r="F16552" t="s">
        <v>45</v>
      </c>
      <c r="G16552" s="117">
        <v>6.14</v>
      </c>
    </row>
    <row r="16553" spans="1:7" x14ac:dyDescent="0.25">
      <c r="A16553" s="116" t="s">
        <v>25865</v>
      </c>
      <c r="B16553" s="117" t="s">
        <v>25866</v>
      </c>
      <c r="C16553" t="s">
        <v>67</v>
      </c>
      <c r="D16553" t="s">
        <v>67</v>
      </c>
      <c r="E16553" t="s">
        <v>67</v>
      </c>
      <c r="F16553" t="s">
        <v>45</v>
      </c>
      <c r="G16553" s="117">
        <v>2.58</v>
      </c>
    </row>
    <row r="16554" spans="1:7" x14ac:dyDescent="0.25">
      <c r="A16554" s="116" t="s">
        <v>25867</v>
      </c>
      <c r="B16554" s="117" t="s">
        <v>25868</v>
      </c>
      <c r="C16554" t="s">
        <v>67</v>
      </c>
      <c r="D16554" t="s">
        <v>67</v>
      </c>
      <c r="E16554" t="s">
        <v>67</v>
      </c>
      <c r="F16554" t="s">
        <v>45</v>
      </c>
      <c r="G16554" s="117">
        <v>2.58</v>
      </c>
    </row>
    <row r="16555" spans="1:7" x14ac:dyDescent="0.25">
      <c r="A16555" s="116" t="s">
        <v>25869</v>
      </c>
      <c r="B16555" s="117" t="s">
        <v>25870</v>
      </c>
      <c r="C16555" t="s">
        <v>67</v>
      </c>
      <c r="D16555" t="s">
        <v>67</v>
      </c>
      <c r="E16555" t="s">
        <v>67</v>
      </c>
      <c r="F16555" t="s">
        <v>45</v>
      </c>
      <c r="G16555" s="117">
        <v>1.69</v>
      </c>
    </row>
    <row r="16556" spans="1:7" x14ac:dyDescent="0.25">
      <c r="A16556" s="116" t="s">
        <v>25871</v>
      </c>
      <c r="B16556" s="117" t="s">
        <v>9714</v>
      </c>
      <c r="C16556" t="s">
        <v>67</v>
      </c>
      <c r="D16556" t="s">
        <v>67</v>
      </c>
      <c r="E16556" t="s">
        <v>67</v>
      </c>
      <c r="F16556" t="s">
        <v>49</v>
      </c>
      <c r="G16556" s="117">
        <v>4</v>
      </c>
    </row>
    <row r="16557" spans="1:7" x14ac:dyDescent="0.25">
      <c r="A16557" s="116" t="s">
        <v>25872</v>
      </c>
      <c r="B16557" s="117" t="s">
        <v>9317</v>
      </c>
      <c r="C16557" t="s">
        <v>67</v>
      </c>
      <c r="D16557" t="s">
        <v>67</v>
      </c>
      <c r="E16557" t="s">
        <v>67</v>
      </c>
      <c r="F16557" t="s">
        <v>45</v>
      </c>
      <c r="G16557" s="117">
        <v>3.12</v>
      </c>
    </row>
    <row r="16558" spans="1:7" x14ac:dyDescent="0.25">
      <c r="A16558" s="116" t="s">
        <v>25873</v>
      </c>
      <c r="B16558" s="117" t="s">
        <v>25874</v>
      </c>
      <c r="C16558" t="s">
        <v>67</v>
      </c>
      <c r="D16558" t="s">
        <v>67</v>
      </c>
      <c r="E16558" t="s">
        <v>67</v>
      </c>
      <c r="F16558" t="s">
        <v>45</v>
      </c>
      <c r="G16558" s="117">
        <v>2.58</v>
      </c>
    </row>
    <row r="16559" spans="1:7" x14ac:dyDescent="0.25">
      <c r="A16559" s="116" t="s">
        <v>25875</v>
      </c>
      <c r="B16559" s="117" t="s">
        <v>9516</v>
      </c>
      <c r="C16559" t="s">
        <v>67</v>
      </c>
      <c r="D16559" t="s">
        <v>67</v>
      </c>
      <c r="E16559" t="s">
        <v>67</v>
      </c>
      <c r="F16559" t="s">
        <v>45</v>
      </c>
      <c r="G16559" s="117">
        <v>3.12</v>
      </c>
    </row>
    <row r="16560" spans="1:7" x14ac:dyDescent="0.25">
      <c r="A16560" s="116" t="s">
        <v>25876</v>
      </c>
      <c r="B16560" s="117" t="s">
        <v>25877</v>
      </c>
      <c r="C16560" t="s">
        <v>67</v>
      </c>
      <c r="D16560" t="s">
        <v>67</v>
      </c>
      <c r="E16560" t="s">
        <v>67</v>
      </c>
      <c r="F16560" t="s">
        <v>27987</v>
      </c>
      <c r="G16560" s="117">
        <v>3.48</v>
      </c>
    </row>
    <row r="16561" spans="1:7" x14ac:dyDescent="0.25">
      <c r="A16561" s="116" t="s">
        <v>25878</v>
      </c>
      <c r="B16561" s="117" t="s">
        <v>25879</v>
      </c>
      <c r="C16561" t="s">
        <v>67</v>
      </c>
      <c r="D16561" t="s">
        <v>67</v>
      </c>
      <c r="E16561" t="s">
        <v>67</v>
      </c>
      <c r="F16561" t="s">
        <v>27987</v>
      </c>
      <c r="G16561" s="117">
        <v>3.48</v>
      </c>
    </row>
    <row r="16562" spans="1:7" x14ac:dyDescent="0.25">
      <c r="A16562" s="116" t="s">
        <v>25880</v>
      </c>
      <c r="B16562" s="117" t="s">
        <v>25881</v>
      </c>
      <c r="C16562" t="s">
        <v>67</v>
      </c>
      <c r="D16562" t="s">
        <v>67</v>
      </c>
      <c r="E16562" t="s">
        <v>67</v>
      </c>
      <c r="F16562" t="s">
        <v>45</v>
      </c>
      <c r="G16562" s="117">
        <v>84.98</v>
      </c>
    </row>
    <row r="16563" spans="1:7" x14ac:dyDescent="0.25">
      <c r="A16563" s="116" t="s">
        <v>25882</v>
      </c>
      <c r="B16563" s="117" t="s">
        <v>25883</v>
      </c>
      <c r="C16563" t="s">
        <v>67</v>
      </c>
      <c r="D16563" t="s">
        <v>67</v>
      </c>
      <c r="E16563" t="s">
        <v>67</v>
      </c>
      <c r="F16563" t="s">
        <v>45</v>
      </c>
      <c r="G16563" s="117">
        <v>17.36</v>
      </c>
    </row>
    <row r="16564" spans="1:7" x14ac:dyDescent="0.25">
      <c r="A16564" s="116" t="s">
        <v>25884</v>
      </c>
      <c r="B16564" s="117" t="s">
        <v>25885</v>
      </c>
      <c r="C16564" t="s">
        <v>67</v>
      </c>
      <c r="D16564" t="s">
        <v>67</v>
      </c>
      <c r="E16564" t="s">
        <v>67</v>
      </c>
      <c r="F16564" t="s">
        <v>45</v>
      </c>
      <c r="G16564" s="117">
        <v>15.04</v>
      </c>
    </row>
    <row r="16565" spans="1:7" x14ac:dyDescent="0.25">
      <c r="A16565" s="116" t="s">
        <v>25886</v>
      </c>
      <c r="B16565" s="117" t="s">
        <v>25887</v>
      </c>
      <c r="C16565" t="s">
        <v>67</v>
      </c>
      <c r="D16565" t="s">
        <v>67</v>
      </c>
      <c r="E16565" t="s">
        <v>67</v>
      </c>
      <c r="F16565" t="s">
        <v>45</v>
      </c>
      <c r="G16565" s="117">
        <v>20.02</v>
      </c>
    </row>
    <row r="16566" spans="1:7" x14ac:dyDescent="0.25">
      <c r="A16566" s="116" t="s">
        <v>25888</v>
      </c>
      <c r="B16566" s="117" t="s">
        <v>25889</v>
      </c>
      <c r="C16566" t="s">
        <v>67</v>
      </c>
      <c r="D16566" t="s">
        <v>67</v>
      </c>
      <c r="E16566" t="s">
        <v>67</v>
      </c>
      <c r="F16566" t="s">
        <v>45</v>
      </c>
      <c r="G16566" s="117">
        <v>15.57</v>
      </c>
    </row>
    <row r="16567" spans="1:7" x14ac:dyDescent="0.25">
      <c r="A16567" s="116" t="s">
        <v>25890</v>
      </c>
      <c r="B16567" s="117" t="s">
        <v>25891</v>
      </c>
      <c r="C16567" t="s">
        <v>67</v>
      </c>
      <c r="D16567" t="s">
        <v>67</v>
      </c>
      <c r="E16567" t="s">
        <v>67</v>
      </c>
      <c r="F16567" t="s">
        <v>27987</v>
      </c>
      <c r="G16567" s="117">
        <v>3.12</v>
      </c>
    </row>
    <row r="16568" spans="1:7" x14ac:dyDescent="0.25">
      <c r="A16568" s="116" t="s">
        <v>25892</v>
      </c>
      <c r="B16568" s="117" t="s">
        <v>25893</v>
      </c>
      <c r="C16568" t="s">
        <v>67</v>
      </c>
      <c r="D16568" t="s">
        <v>67</v>
      </c>
      <c r="E16568" t="s">
        <v>67</v>
      </c>
      <c r="F16568" t="s">
        <v>27987</v>
      </c>
      <c r="G16568" s="117">
        <v>14.14</v>
      </c>
    </row>
    <row r="16569" spans="1:7" x14ac:dyDescent="0.25">
      <c r="A16569" s="116" t="s">
        <v>25894</v>
      </c>
      <c r="B16569" s="117" t="s">
        <v>25895</v>
      </c>
      <c r="C16569" t="s">
        <v>67</v>
      </c>
      <c r="D16569" t="s">
        <v>67</v>
      </c>
      <c r="E16569" t="s">
        <v>67</v>
      </c>
      <c r="F16569" t="s">
        <v>45</v>
      </c>
      <c r="G16569" s="117">
        <v>75.55</v>
      </c>
    </row>
    <row r="16570" spans="1:7" x14ac:dyDescent="0.25">
      <c r="A16570" s="116" t="s">
        <v>25896</v>
      </c>
      <c r="B16570" s="117" t="s">
        <v>25897</v>
      </c>
      <c r="C16570" t="s">
        <v>67</v>
      </c>
      <c r="D16570" t="s">
        <v>67</v>
      </c>
      <c r="E16570" t="s">
        <v>67</v>
      </c>
      <c r="F16570" t="s">
        <v>45</v>
      </c>
      <c r="G16570" s="117">
        <v>14.14</v>
      </c>
    </row>
    <row r="16571" spans="1:7" x14ac:dyDescent="0.25">
      <c r="A16571" s="116" t="s">
        <v>25898</v>
      </c>
      <c r="B16571" s="117" t="s">
        <v>23152</v>
      </c>
      <c r="C16571" t="s">
        <v>67</v>
      </c>
      <c r="D16571" t="s">
        <v>67</v>
      </c>
      <c r="E16571" t="s">
        <v>67</v>
      </c>
      <c r="F16571" t="s">
        <v>45</v>
      </c>
      <c r="G16571" s="117">
        <v>3.56</v>
      </c>
    </row>
    <row r="16572" spans="1:7" x14ac:dyDescent="0.25">
      <c r="A16572" s="116" t="s">
        <v>25899</v>
      </c>
      <c r="B16572" s="117" t="s">
        <v>25900</v>
      </c>
      <c r="C16572" t="s">
        <v>67</v>
      </c>
      <c r="D16572" t="s">
        <v>67</v>
      </c>
      <c r="E16572" t="s">
        <v>67</v>
      </c>
      <c r="F16572" t="s">
        <v>45</v>
      </c>
      <c r="G16572" s="117">
        <v>18.239999999999998</v>
      </c>
    </row>
    <row r="16573" spans="1:7" x14ac:dyDescent="0.25">
      <c r="A16573" s="116" t="s">
        <v>25901</v>
      </c>
      <c r="B16573" s="117" t="s">
        <v>25902</v>
      </c>
      <c r="C16573" t="s">
        <v>67</v>
      </c>
      <c r="D16573" t="s">
        <v>67</v>
      </c>
      <c r="E16573" t="s">
        <v>67</v>
      </c>
      <c r="F16573" t="s">
        <v>45</v>
      </c>
      <c r="G16573" s="117">
        <v>15.57</v>
      </c>
    </row>
    <row r="16574" spans="1:7" x14ac:dyDescent="0.25">
      <c r="A16574" s="116" t="s">
        <v>25903</v>
      </c>
      <c r="B16574" s="117" t="s">
        <v>25904</v>
      </c>
      <c r="C16574" t="s">
        <v>67</v>
      </c>
      <c r="D16574" t="s">
        <v>67</v>
      </c>
      <c r="E16574" t="s">
        <v>67</v>
      </c>
      <c r="F16574" t="s">
        <v>45</v>
      </c>
      <c r="G16574" s="117">
        <v>20.02</v>
      </c>
    </row>
    <row r="16575" spans="1:7" x14ac:dyDescent="0.25">
      <c r="A16575" s="116" t="s">
        <v>25905</v>
      </c>
      <c r="B16575" s="117" t="s">
        <v>25906</v>
      </c>
      <c r="C16575" t="s">
        <v>67</v>
      </c>
      <c r="D16575" t="s">
        <v>67</v>
      </c>
      <c r="E16575" t="s">
        <v>67</v>
      </c>
      <c r="F16575" t="s">
        <v>27987</v>
      </c>
      <c r="G16575" s="117">
        <v>14.14</v>
      </c>
    </row>
    <row r="16576" spans="1:7" x14ac:dyDescent="0.25">
      <c r="A16576" s="116" t="s">
        <v>25907</v>
      </c>
      <c r="B16576" s="117" t="s">
        <v>25908</v>
      </c>
      <c r="C16576" t="s">
        <v>67</v>
      </c>
      <c r="D16576" t="s">
        <v>67</v>
      </c>
      <c r="E16576" t="s">
        <v>67</v>
      </c>
      <c r="F16576" t="s">
        <v>45</v>
      </c>
      <c r="G16576" s="117">
        <v>51.52</v>
      </c>
    </row>
    <row r="16577" spans="1:7" x14ac:dyDescent="0.25">
      <c r="A16577" s="116" t="s">
        <v>25909</v>
      </c>
      <c r="B16577" s="117" t="s">
        <v>25910</v>
      </c>
      <c r="C16577" t="s">
        <v>67</v>
      </c>
      <c r="D16577" t="s">
        <v>67</v>
      </c>
      <c r="E16577" t="s">
        <v>67</v>
      </c>
      <c r="F16577" t="s">
        <v>27987</v>
      </c>
      <c r="G16577" s="117">
        <v>2.58</v>
      </c>
    </row>
    <row r="16578" spans="1:7" x14ac:dyDescent="0.25">
      <c r="A16578" s="116" t="s">
        <v>25911</v>
      </c>
      <c r="B16578" s="117" t="s">
        <v>25912</v>
      </c>
      <c r="C16578" t="s">
        <v>67</v>
      </c>
      <c r="D16578" t="s">
        <v>67</v>
      </c>
      <c r="E16578" t="s">
        <v>67</v>
      </c>
      <c r="F16578" t="s">
        <v>27987</v>
      </c>
      <c r="G16578" s="117">
        <v>3.56</v>
      </c>
    </row>
    <row r="16579" spans="1:7" x14ac:dyDescent="0.25">
      <c r="A16579" s="116" t="s">
        <v>25913</v>
      </c>
      <c r="B16579" s="117" t="s">
        <v>25914</v>
      </c>
      <c r="C16579" t="s">
        <v>67</v>
      </c>
      <c r="D16579" t="s">
        <v>67</v>
      </c>
      <c r="E16579" t="s">
        <v>67</v>
      </c>
      <c r="F16579" t="s">
        <v>27987</v>
      </c>
      <c r="G16579" s="117">
        <v>14.14</v>
      </c>
    </row>
    <row r="16580" spans="1:7" x14ac:dyDescent="0.25">
      <c r="A16580" s="116" t="s">
        <v>25915</v>
      </c>
      <c r="B16580" s="117" t="s">
        <v>25916</v>
      </c>
      <c r="C16580" t="s">
        <v>67</v>
      </c>
      <c r="D16580" t="s">
        <v>67</v>
      </c>
      <c r="E16580" t="s">
        <v>67</v>
      </c>
      <c r="F16580" t="s">
        <v>27987</v>
      </c>
      <c r="G16580" s="117">
        <v>3.56</v>
      </c>
    </row>
    <row r="16581" spans="1:7" x14ac:dyDescent="0.25">
      <c r="A16581" s="116" t="s">
        <v>25917</v>
      </c>
      <c r="B16581" s="117" t="s">
        <v>25918</v>
      </c>
      <c r="C16581" t="s">
        <v>67</v>
      </c>
      <c r="D16581" t="s">
        <v>67</v>
      </c>
      <c r="E16581" t="s">
        <v>67</v>
      </c>
      <c r="F16581" t="s">
        <v>27987</v>
      </c>
      <c r="G16581" s="117">
        <v>0.8</v>
      </c>
    </row>
    <row r="16582" spans="1:7" x14ac:dyDescent="0.25">
      <c r="A16582" s="116" t="s">
        <v>25919</v>
      </c>
      <c r="B16582" s="117" t="s">
        <v>25920</v>
      </c>
      <c r="C16582" t="s">
        <v>67</v>
      </c>
      <c r="D16582" t="s">
        <v>67</v>
      </c>
      <c r="E16582" t="s">
        <v>67</v>
      </c>
      <c r="F16582" t="s">
        <v>27987</v>
      </c>
      <c r="G16582" s="117">
        <v>3.56</v>
      </c>
    </row>
    <row r="16583" spans="1:7" x14ac:dyDescent="0.25">
      <c r="A16583" s="116" t="s">
        <v>25921</v>
      </c>
      <c r="B16583" s="117" t="s">
        <v>25922</v>
      </c>
      <c r="C16583" t="s">
        <v>67</v>
      </c>
      <c r="D16583" t="s">
        <v>67</v>
      </c>
      <c r="E16583" t="s">
        <v>67</v>
      </c>
      <c r="F16583" t="s">
        <v>27987</v>
      </c>
      <c r="G16583" s="117">
        <v>2.58</v>
      </c>
    </row>
    <row r="16584" spans="1:7" x14ac:dyDescent="0.25">
      <c r="A16584" s="116" t="s">
        <v>25923</v>
      </c>
      <c r="B16584" s="117" t="s">
        <v>25924</v>
      </c>
      <c r="C16584" t="s">
        <v>67</v>
      </c>
      <c r="D16584" t="s">
        <v>67</v>
      </c>
      <c r="E16584" t="s">
        <v>67</v>
      </c>
      <c r="F16584" t="s">
        <v>27987</v>
      </c>
      <c r="G16584" s="117">
        <v>0.8</v>
      </c>
    </row>
    <row r="16585" spans="1:7" x14ac:dyDescent="0.25">
      <c r="A16585" s="116" t="s">
        <v>25925</v>
      </c>
      <c r="B16585" s="117" t="s">
        <v>25926</v>
      </c>
      <c r="C16585" t="s">
        <v>67</v>
      </c>
      <c r="D16585" t="s">
        <v>67</v>
      </c>
      <c r="E16585" t="s">
        <v>67</v>
      </c>
      <c r="F16585" t="s">
        <v>27987</v>
      </c>
      <c r="G16585" s="117">
        <v>14.14</v>
      </c>
    </row>
    <row r="16586" spans="1:7" x14ac:dyDescent="0.25">
      <c r="A16586" s="116" t="s">
        <v>25927</v>
      </c>
      <c r="B16586" s="117" t="s">
        <v>25928</v>
      </c>
      <c r="C16586" t="s">
        <v>67</v>
      </c>
      <c r="D16586" t="s">
        <v>67</v>
      </c>
      <c r="E16586" t="s">
        <v>67</v>
      </c>
      <c r="F16586" t="s">
        <v>27987</v>
      </c>
      <c r="G16586" s="117">
        <v>2.58</v>
      </c>
    </row>
    <row r="16587" spans="1:7" x14ac:dyDescent="0.25">
      <c r="A16587" s="116" t="s">
        <v>25929</v>
      </c>
      <c r="B16587" s="117" t="s">
        <v>25930</v>
      </c>
      <c r="C16587" t="s">
        <v>67</v>
      </c>
      <c r="D16587" t="s">
        <v>67</v>
      </c>
      <c r="E16587" t="s">
        <v>67</v>
      </c>
      <c r="F16587" t="s">
        <v>27987</v>
      </c>
      <c r="G16587" s="117">
        <v>14.14</v>
      </c>
    </row>
    <row r="16588" spans="1:7" x14ac:dyDescent="0.25">
      <c r="A16588" s="116" t="s">
        <v>25931</v>
      </c>
      <c r="B16588" s="117" t="s">
        <v>25932</v>
      </c>
      <c r="C16588" t="s">
        <v>67</v>
      </c>
      <c r="D16588" t="s">
        <v>67</v>
      </c>
      <c r="E16588" t="s">
        <v>67</v>
      </c>
      <c r="F16588" t="s">
        <v>27987</v>
      </c>
      <c r="G16588" s="117">
        <v>2.58</v>
      </c>
    </row>
    <row r="16589" spans="1:7" x14ac:dyDescent="0.25">
      <c r="A16589" s="116" t="s">
        <v>25933</v>
      </c>
      <c r="B16589" s="117" t="s">
        <v>25934</v>
      </c>
      <c r="C16589" t="s">
        <v>67</v>
      </c>
      <c r="D16589" t="s">
        <v>67</v>
      </c>
      <c r="E16589" t="s">
        <v>67</v>
      </c>
      <c r="F16589" t="s">
        <v>45</v>
      </c>
      <c r="G16589" s="117">
        <v>75.55</v>
      </c>
    </row>
    <row r="16590" spans="1:7" x14ac:dyDescent="0.25">
      <c r="A16590" s="116" t="s">
        <v>25935</v>
      </c>
      <c r="B16590" s="117" t="s">
        <v>25936</v>
      </c>
      <c r="C16590" t="s">
        <v>67</v>
      </c>
      <c r="D16590" t="s">
        <v>67</v>
      </c>
      <c r="E16590" t="s">
        <v>67</v>
      </c>
      <c r="F16590" t="s">
        <v>27987</v>
      </c>
      <c r="G16590" s="117">
        <v>3.56</v>
      </c>
    </row>
    <row r="16591" spans="1:7" x14ac:dyDescent="0.25">
      <c r="A16591" s="116" t="s">
        <v>25937</v>
      </c>
      <c r="B16591" s="117" t="s">
        <v>25938</v>
      </c>
      <c r="C16591" t="s">
        <v>67</v>
      </c>
      <c r="D16591" t="s">
        <v>67</v>
      </c>
      <c r="E16591" t="s">
        <v>67</v>
      </c>
      <c r="F16591" t="s">
        <v>27987</v>
      </c>
      <c r="G16591" s="117">
        <v>2.58</v>
      </c>
    </row>
    <row r="16592" spans="1:7" x14ac:dyDescent="0.25">
      <c r="A16592" s="116" t="s">
        <v>25939</v>
      </c>
      <c r="B16592" s="117" t="s">
        <v>25940</v>
      </c>
      <c r="C16592" t="s">
        <v>67</v>
      </c>
      <c r="D16592" t="s">
        <v>67</v>
      </c>
      <c r="E16592" t="s">
        <v>67</v>
      </c>
      <c r="F16592" t="s">
        <v>45</v>
      </c>
      <c r="G16592" s="117">
        <v>14.14</v>
      </c>
    </row>
    <row r="16593" spans="1:7" x14ac:dyDescent="0.25">
      <c r="A16593" s="116" t="s">
        <v>25941</v>
      </c>
      <c r="B16593" s="117" t="s">
        <v>25942</v>
      </c>
      <c r="C16593" t="s">
        <v>67</v>
      </c>
      <c r="D16593" t="s">
        <v>67</v>
      </c>
      <c r="E16593" t="s">
        <v>67</v>
      </c>
      <c r="F16593" t="s">
        <v>49</v>
      </c>
      <c r="G16593" s="117">
        <v>3.56</v>
      </c>
    </row>
    <row r="16594" spans="1:7" x14ac:dyDescent="0.25">
      <c r="A16594" s="116" t="s">
        <v>25943</v>
      </c>
      <c r="B16594" s="117" t="s">
        <v>25944</v>
      </c>
      <c r="C16594" t="s">
        <v>67</v>
      </c>
      <c r="D16594" t="s">
        <v>67</v>
      </c>
      <c r="E16594" t="s">
        <v>67</v>
      </c>
      <c r="F16594" t="s">
        <v>45</v>
      </c>
      <c r="G16594" s="117">
        <v>36.93</v>
      </c>
    </row>
    <row r="16595" spans="1:7" x14ac:dyDescent="0.25">
      <c r="A16595" s="116" t="s">
        <v>25945</v>
      </c>
      <c r="B16595" s="117" t="s">
        <v>25946</v>
      </c>
      <c r="C16595" t="s">
        <v>67</v>
      </c>
      <c r="D16595" t="s">
        <v>67</v>
      </c>
      <c r="E16595" t="s">
        <v>67</v>
      </c>
      <c r="F16595" t="s">
        <v>27987</v>
      </c>
      <c r="G16595" s="117">
        <v>2.58</v>
      </c>
    </row>
    <row r="16596" spans="1:7" x14ac:dyDescent="0.25">
      <c r="A16596" s="116" t="s">
        <v>25947</v>
      </c>
      <c r="B16596" s="117" t="s">
        <v>25948</v>
      </c>
      <c r="C16596" t="s">
        <v>67</v>
      </c>
      <c r="D16596" t="s">
        <v>67</v>
      </c>
      <c r="E16596" t="s">
        <v>67</v>
      </c>
      <c r="F16596" t="s">
        <v>27987</v>
      </c>
      <c r="G16596" s="117">
        <v>0.8</v>
      </c>
    </row>
    <row r="16597" spans="1:7" x14ac:dyDescent="0.25">
      <c r="A16597" s="116" t="s">
        <v>25949</v>
      </c>
      <c r="B16597" s="117" t="s">
        <v>25950</v>
      </c>
      <c r="C16597" t="s">
        <v>67</v>
      </c>
      <c r="D16597" t="s">
        <v>67</v>
      </c>
      <c r="E16597" t="s">
        <v>67</v>
      </c>
      <c r="F16597" t="s">
        <v>27987</v>
      </c>
      <c r="G16597" s="117">
        <v>14.14</v>
      </c>
    </row>
    <row r="16598" spans="1:7" x14ac:dyDescent="0.25">
      <c r="A16598" s="116" t="s">
        <v>25951</v>
      </c>
      <c r="B16598" s="117" t="s">
        <v>25952</v>
      </c>
      <c r="C16598" t="s">
        <v>67</v>
      </c>
      <c r="D16598" t="s">
        <v>67</v>
      </c>
      <c r="E16598" t="s">
        <v>67</v>
      </c>
      <c r="F16598" t="s">
        <v>27987</v>
      </c>
      <c r="G16598" s="117">
        <v>14.14</v>
      </c>
    </row>
    <row r="16599" spans="1:7" x14ac:dyDescent="0.25">
      <c r="A16599" s="116" t="s">
        <v>25953</v>
      </c>
      <c r="B16599" s="117" t="s">
        <v>25954</v>
      </c>
      <c r="C16599" t="s">
        <v>67</v>
      </c>
      <c r="D16599" t="s">
        <v>67</v>
      </c>
      <c r="E16599" t="s">
        <v>67</v>
      </c>
      <c r="F16599" t="s">
        <v>45</v>
      </c>
      <c r="G16599" s="117">
        <v>14.14</v>
      </c>
    </row>
    <row r="16600" spans="1:7" x14ac:dyDescent="0.25">
      <c r="A16600" s="116" t="s">
        <v>25955</v>
      </c>
      <c r="B16600" s="117" t="s">
        <v>25956</v>
      </c>
      <c r="C16600" t="s">
        <v>67</v>
      </c>
      <c r="D16600" t="s">
        <v>67</v>
      </c>
      <c r="E16600" t="s">
        <v>67</v>
      </c>
      <c r="F16600" t="s">
        <v>49</v>
      </c>
      <c r="G16600" s="117">
        <v>2.58</v>
      </c>
    </row>
    <row r="16601" spans="1:7" x14ac:dyDescent="0.25">
      <c r="A16601" s="116" t="s">
        <v>25957</v>
      </c>
      <c r="B16601" s="117" t="s">
        <v>25958</v>
      </c>
      <c r="C16601" t="s">
        <v>67</v>
      </c>
      <c r="D16601" t="s">
        <v>67</v>
      </c>
      <c r="E16601" t="s">
        <v>67</v>
      </c>
      <c r="F16601" t="s">
        <v>27987</v>
      </c>
      <c r="G16601" s="117">
        <v>117.9</v>
      </c>
    </row>
    <row r="16602" spans="1:7" x14ac:dyDescent="0.25">
      <c r="A16602" s="116" t="s">
        <v>25959</v>
      </c>
      <c r="B16602" s="117" t="s">
        <v>9317</v>
      </c>
      <c r="C16602" t="s">
        <v>67</v>
      </c>
      <c r="D16602" t="s">
        <v>67</v>
      </c>
      <c r="E16602" t="s">
        <v>67</v>
      </c>
      <c r="F16602" t="s">
        <v>27987</v>
      </c>
      <c r="G16602" s="117">
        <v>2.58</v>
      </c>
    </row>
    <row r="16603" spans="1:7" x14ac:dyDescent="0.25">
      <c r="A16603" s="116" t="s">
        <v>25960</v>
      </c>
      <c r="B16603" s="117" t="s">
        <v>25961</v>
      </c>
      <c r="C16603" t="s">
        <v>67</v>
      </c>
      <c r="D16603" t="s">
        <v>67</v>
      </c>
      <c r="E16603" t="s">
        <v>67</v>
      </c>
      <c r="F16603" t="s">
        <v>27987</v>
      </c>
      <c r="G16603" s="117">
        <v>3.12</v>
      </c>
    </row>
    <row r="16604" spans="1:7" x14ac:dyDescent="0.25">
      <c r="A16604" s="116" t="s">
        <v>25962</v>
      </c>
      <c r="B16604" s="117" t="s">
        <v>25963</v>
      </c>
      <c r="C16604" t="s">
        <v>67</v>
      </c>
      <c r="D16604" t="s">
        <v>67</v>
      </c>
      <c r="E16604" t="s">
        <v>67</v>
      </c>
      <c r="F16604" t="s">
        <v>27987</v>
      </c>
      <c r="G16604" s="117">
        <v>5.25</v>
      </c>
    </row>
    <row r="16605" spans="1:7" x14ac:dyDescent="0.25">
      <c r="A16605" s="116" t="s">
        <v>25964</v>
      </c>
      <c r="B16605" s="117" t="s">
        <v>25965</v>
      </c>
      <c r="C16605" t="s">
        <v>67</v>
      </c>
      <c r="D16605" t="s">
        <v>67</v>
      </c>
      <c r="E16605" t="s">
        <v>67</v>
      </c>
      <c r="F16605" t="s">
        <v>27987</v>
      </c>
      <c r="G16605" s="117">
        <v>1.69</v>
      </c>
    </row>
    <row r="16606" spans="1:7" x14ac:dyDescent="0.25">
      <c r="A16606" s="116" t="s">
        <v>25966</v>
      </c>
      <c r="B16606" s="117" t="s">
        <v>25967</v>
      </c>
      <c r="C16606" t="s">
        <v>67</v>
      </c>
      <c r="D16606" t="s">
        <v>67</v>
      </c>
      <c r="E16606" t="s">
        <v>67</v>
      </c>
      <c r="F16606" t="s">
        <v>27987</v>
      </c>
      <c r="G16606" s="117">
        <v>4.3600000000000003</v>
      </c>
    </row>
    <row r="16607" spans="1:7" x14ac:dyDescent="0.25">
      <c r="A16607" s="116" t="s">
        <v>25968</v>
      </c>
      <c r="B16607" s="117" t="s">
        <v>25969</v>
      </c>
      <c r="C16607" t="s">
        <v>67</v>
      </c>
      <c r="D16607" t="s">
        <v>67</v>
      </c>
      <c r="E16607" t="s">
        <v>67</v>
      </c>
      <c r="F16607" t="s">
        <v>27987</v>
      </c>
      <c r="G16607" s="117">
        <v>2.58</v>
      </c>
    </row>
    <row r="16608" spans="1:7" x14ac:dyDescent="0.25">
      <c r="A16608" s="116" t="s">
        <v>25970</v>
      </c>
      <c r="B16608" s="117" t="s">
        <v>25971</v>
      </c>
      <c r="C16608" t="s">
        <v>67</v>
      </c>
      <c r="D16608" t="s">
        <v>67</v>
      </c>
      <c r="E16608" t="s">
        <v>67</v>
      </c>
      <c r="F16608" t="s">
        <v>27987</v>
      </c>
      <c r="G16608" s="117">
        <v>5.25</v>
      </c>
    </row>
    <row r="16609" spans="1:7" x14ac:dyDescent="0.25">
      <c r="A16609" s="116" t="s">
        <v>25972</v>
      </c>
      <c r="B16609" s="117" t="s">
        <v>25973</v>
      </c>
      <c r="C16609" t="s">
        <v>67</v>
      </c>
      <c r="D16609" t="s">
        <v>67</v>
      </c>
      <c r="E16609" t="s">
        <v>67</v>
      </c>
      <c r="F16609" t="s">
        <v>27987</v>
      </c>
      <c r="G16609" s="117">
        <v>4.45</v>
      </c>
    </row>
    <row r="16610" spans="1:7" x14ac:dyDescent="0.25">
      <c r="A16610" s="116" t="s">
        <v>25974</v>
      </c>
      <c r="B16610" s="117" t="s">
        <v>25975</v>
      </c>
      <c r="C16610" t="s">
        <v>67</v>
      </c>
      <c r="D16610" t="s">
        <v>67</v>
      </c>
      <c r="E16610" t="s">
        <v>67</v>
      </c>
      <c r="F16610" t="s">
        <v>27987</v>
      </c>
      <c r="G16610" s="117">
        <v>4.3600000000000003</v>
      </c>
    </row>
    <row r="16611" spans="1:7" x14ac:dyDescent="0.25">
      <c r="A16611" s="116" t="s">
        <v>25976</v>
      </c>
      <c r="B16611" s="117" t="s">
        <v>25977</v>
      </c>
      <c r="C16611" t="s">
        <v>67</v>
      </c>
      <c r="D16611" t="s">
        <v>67</v>
      </c>
      <c r="E16611" t="s">
        <v>67</v>
      </c>
      <c r="F16611" t="s">
        <v>27987</v>
      </c>
      <c r="G16611" s="117">
        <v>21.8</v>
      </c>
    </row>
    <row r="16612" spans="1:7" x14ac:dyDescent="0.25">
      <c r="A16612" s="116" t="s">
        <v>25978</v>
      </c>
      <c r="B16612" s="117" t="s">
        <v>25979</v>
      </c>
      <c r="C16612" t="s">
        <v>67</v>
      </c>
      <c r="D16612" t="s">
        <v>67</v>
      </c>
      <c r="E16612" t="s">
        <v>67</v>
      </c>
      <c r="F16612" t="s">
        <v>27987</v>
      </c>
      <c r="G16612" s="117">
        <v>12.01</v>
      </c>
    </row>
    <row r="16613" spans="1:7" x14ac:dyDescent="0.25">
      <c r="A16613" s="116" t="s">
        <v>25980</v>
      </c>
      <c r="B16613" s="117" t="s">
        <v>25981</v>
      </c>
      <c r="C16613" t="s">
        <v>67</v>
      </c>
      <c r="D16613" t="s">
        <v>67</v>
      </c>
      <c r="E16613" t="s">
        <v>67</v>
      </c>
      <c r="F16613" t="s">
        <v>27987</v>
      </c>
      <c r="G16613" s="117">
        <v>4.3600000000000003</v>
      </c>
    </row>
    <row r="16614" spans="1:7" x14ac:dyDescent="0.25">
      <c r="A16614" s="116" t="s">
        <v>25982</v>
      </c>
      <c r="B16614" s="117" t="s">
        <v>25983</v>
      </c>
      <c r="C16614" t="s">
        <v>67</v>
      </c>
      <c r="D16614" t="s">
        <v>67</v>
      </c>
      <c r="E16614" t="s">
        <v>67</v>
      </c>
      <c r="F16614" t="s">
        <v>27987</v>
      </c>
      <c r="G16614" s="117">
        <v>153.5</v>
      </c>
    </row>
    <row r="16615" spans="1:7" x14ac:dyDescent="0.25">
      <c r="A16615" s="116" t="s">
        <v>25984</v>
      </c>
      <c r="B16615" s="117" t="s">
        <v>25963</v>
      </c>
      <c r="C16615" t="s">
        <v>67</v>
      </c>
      <c r="D16615" t="s">
        <v>67</v>
      </c>
      <c r="E16615" t="s">
        <v>67</v>
      </c>
      <c r="F16615" t="s">
        <v>27987</v>
      </c>
      <c r="G16615" s="117">
        <v>8.81</v>
      </c>
    </row>
    <row r="16616" spans="1:7" x14ac:dyDescent="0.25">
      <c r="A16616" s="116" t="s">
        <v>25985</v>
      </c>
      <c r="B16616" s="117" t="s">
        <v>25986</v>
      </c>
      <c r="C16616" t="s">
        <v>67</v>
      </c>
      <c r="D16616" t="s">
        <v>67</v>
      </c>
      <c r="E16616" t="s">
        <v>67</v>
      </c>
      <c r="F16616" t="s">
        <v>27987</v>
      </c>
      <c r="G16616" s="117">
        <v>11.48</v>
      </c>
    </row>
    <row r="16617" spans="1:7" x14ac:dyDescent="0.25">
      <c r="A16617" s="116" t="s">
        <v>25987</v>
      </c>
      <c r="B16617" s="117" t="s">
        <v>25988</v>
      </c>
      <c r="C16617" t="s">
        <v>67</v>
      </c>
      <c r="D16617" t="s">
        <v>67</v>
      </c>
      <c r="E16617" t="s">
        <v>67</v>
      </c>
      <c r="F16617" t="s">
        <v>27987</v>
      </c>
      <c r="G16617" s="117">
        <v>7.56</v>
      </c>
    </row>
    <row r="16618" spans="1:7" x14ac:dyDescent="0.25">
      <c r="A16618" s="116" t="s">
        <v>25989</v>
      </c>
      <c r="B16618" s="117" t="s">
        <v>25990</v>
      </c>
      <c r="C16618" t="s">
        <v>67</v>
      </c>
      <c r="D16618" t="s">
        <v>67</v>
      </c>
      <c r="E16618" t="s">
        <v>67</v>
      </c>
      <c r="F16618" t="s">
        <v>27987</v>
      </c>
      <c r="G16618" s="117">
        <v>50.27</v>
      </c>
    </row>
    <row r="16619" spans="1:7" x14ac:dyDescent="0.25">
      <c r="A16619" s="116" t="s">
        <v>25991</v>
      </c>
      <c r="B16619" s="117" t="s">
        <v>25992</v>
      </c>
      <c r="C16619" t="s">
        <v>67</v>
      </c>
      <c r="D16619" t="s">
        <v>67</v>
      </c>
      <c r="E16619" t="s">
        <v>67</v>
      </c>
      <c r="F16619" t="s">
        <v>27987</v>
      </c>
      <c r="G16619" s="117">
        <v>4.8899999999999997</v>
      </c>
    </row>
    <row r="16620" spans="1:7" x14ac:dyDescent="0.25">
      <c r="A16620" s="116" t="s">
        <v>25993</v>
      </c>
      <c r="B16620" s="117" t="s">
        <v>25994</v>
      </c>
      <c r="C16620" t="s">
        <v>67</v>
      </c>
      <c r="D16620" t="s">
        <v>67</v>
      </c>
      <c r="E16620" t="s">
        <v>67</v>
      </c>
      <c r="F16620" t="s">
        <v>27987</v>
      </c>
      <c r="G16620" s="117">
        <v>29.81</v>
      </c>
    </row>
    <row r="16621" spans="1:7" x14ac:dyDescent="0.25">
      <c r="A16621" s="116" t="s">
        <v>25995</v>
      </c>
      <c r="B16621" s="117" t="s">
        <v>25996</v>
      </c>
      <c r="C16621" t="s">
        <v>67</v>
      </c>
      <c r="D16621" t="s">
        <v>67</v>
      </c>
      <c r="E16621" t="s">
        <v>67</v>
      </c>
      <c r="F16621" t="s">
        <v>27987</v>
      </c>
      <c r="G16621" s="117">
        <v>17.7</v>
      </c>
    </row>
    <row r="16622" spans="1:7" x14ac:dyDescent="0.25">
      <c r="A16622" s="116" t="s">
        <v>25997</v>
      </c>
      <c r="B16622" s="117" t="s">
        <v>25998</v>
      </c>
      <c r="C16622" t="s">
        <v>67</v>
      </c>
      <c r="D16622" t="s">
        <v>67</v>
      </c>
      <c r="E16622" t="s">
        <v>67</v>
      </c>
      <c r="F16622" t="s">
        <v>27987</v>
      </c>
      <c r="G16622" s="117">
        <v>7.12</v>
      </c>
    </row>
    <row r="16623" spans="1:7" x14ac:dyDescent="0.25">
      <c r="A16623" s="116" t="s">
        <v>25999</v>
      </c>
      <c r="B16623" s="117" t="s">
        <v>26000</v>
      </c>
      <c r="C16623" t="s">
        <v>67</v>
      </c>
      <c r="D16623" t="s">
        <v>67</v>
      </c>
      <c r="E16623" t="s">
        <v>67</v>
      </c>
      <c r="F16623" t="s">
        <v>27987</v>
      </c>
      <c r="G16623" s="117">
        <v>154.74</v>
      </c>
    </row>
    <row r="16624" spans="1:7" x14ac:dyDescent="0.25">
      <c r="A16624" s="116" t="s">
        <v>26001</v>
      </c>
      <c r="B16624" s="117" t="s">
        <v>26002</v>
      </c>
      <c r="C16624" t="s">
        <v>67</v>
      </c>
      <c r="D16624" t="s">
        <v>67</v>
      </c>
      <c r="E16624" t="s">
        <v>67</v>
      </c>
      <c r="F16624" t="s">
        <v>27987</v>
      </c>
      <c r="G16624" s="117">
        <v>162.75</v>
      </c>
    </row>
    <row r="16625" spans="1:7" x14ac:dyDescent="0.25">
      <c r="A16625" s="116" t="s">
        <v>26003</v>
      </c>
      <c r="B16625" s="117" t="s">
        <v>26004</v>
      </c>
      <c r="C16625" t="s">
        <v>67</v>
      </c>
      <c r="D16625" t="s">
        <v>67</v>
      </c>
      <c r="E16625" t="s">
        <v>67</v>
      </c>
      <c r="F16625" t="s">
        <v>27987</v>
      </c>
      <c r="G16625" s="117">
        <v>22.69</v>
      </c>
    </row>
    <row r="16626" spans="1:7" x14ac:dyDescent="0.25">
      <c r="A16626" s="116" t="s">
        <v>26005</v>
      </c>
      <c r="B16626" s="117" t="s">
        <v>26006</v>
      </c>
      <c r="C16626" t="s">
        <v>67</v>
      </c>
      <c r="D16626" t="s">
        <v>67</v>
      </c>
      <c r="E16626" t="s">
        <v>67</v>
      </c>
      <c r="F16626" t="s">
        <v>27987</v>
      </c>
      <c r="G16626" s="117">
        <v>51.52</v>
      </c>
    </row>
    <row r="16627" spans="1:7" x14ac:dyDescent="0.25">
      <c r="A16627" s="116" t="s">
        <v>26007</v>
      </c>
      <c r="B16627" s="117" t="s">
        <v>26008</v>
      </c>
      <c r="C16627" t="s">
        <v>67</v>
      </c>
      <c r="D16627" t="s">
        <v>67</v>
      </c>
      <c r="E16627" t="s">
        <v>67</v>
      </c>
      <c r="F16627" t="s">
        <v>27987</v>
      </c>
      <c r="G16627" s="117">
        <v>117.9</v>
      </c>
    </row>
    <row r="16628" spans="1:7" x14ac:dyDescent="0.25">
      <c r="A16628" s="116" t="s">
        <v>26009</v>
      </c>
      <c r="B16628" s="117" t="s">
        <v>26010</v>
      </c>
      <c r="C16628" t="s">
        <v>67</v>
      </c>
      <c r="D16628" t="s">
        <v>67</v>
      </c>
      <c r="E16628" t="s">
        <v>67</v>
      </c>
      <c r="F16628" t="s">
        <v>27987</v>
      </c>
      <c r="G16628" s="117">
        <v>2.58</v>
      </c>
    </row>
    <row r="16629" spans="1:7" x14ac:dyDescent="0.25">
      <c r="A16629" s="116" t="s">
        <v>26011</v>
      </c>
      <c r="B16629" s="117" t="s">
        <v>26012</v>
      </c>
      <c r="C16629" t="s">
        <v>67</v>
      </c>
      <c r="D16629" t="s">
        <v>67</v>
      </c>
      <c r="E16629" t="s">
        <v>67</v>
      </c>
      <c r="F16629" t="s">
        <v>45</v>
      </c>
      <c r="G16629" s="117">
        <v>35.5</v>
      </c>
    </row>
    <row r="16630" spans="1:7" x14ac:dyDescent="0.25">
      <c r="A16630" s="116" t="s">
        <v>26013</v>
      </c>
      <c r="B16630" s="117" t="s">
        <v>26014</v>
      </c>
      <c r="C16630" t="s">
        <v>67</v>
      </c>
      <c r="D16630" t="s">
        <v>67</v>
      </c>
      <c r="E16630" t="s">
        <v>67</v>
      </c>
      <c r="F16630" t="s">
        <v>27987</v>
      </c>
      <c r="G16630" s="117">
        <v>36.93</v>
      </c>
    </row>
    <row r="16631" spans="1:7" x14ac:dyDescent="0.25">
      <c r="A16631" s="116" t="s">
        <v>26015</v>
      </c>
      <c r="B16631" s="117" t="s">
        <v>26016</v>
      </c>
      <c r="C16631" t="s">
        <v>67</v>
      </c>
      <c r="D16631" t="s">
        <v>67</v>
      </c>
      <c r="E16631" t="s">
        <v>67</v>
      </c>
      <c r="F16631" t="s">
        <v>27987</v>
      </c>
      <c r="G16631" s="117">
        <v>153.5</v>
      </c>
    </row>
    <row r="16632" spans="1:7" x14ac:dyDescent="0.25">
      <c r="A16632" s="116" t="s">
        <v>26017</v>
      </c>
      <c r="B16632" s="117" t="s">
        <v>26018</v>
      </c>
      <c r="C16632" t="s">
        <v>67</v>
      </c>
      <c r="D16632" t="s">
        <v>67</v>
      </c>
      <c r="E16632" t="s">
        <v>67</v>
      </c>
      <c r="F16632" t="s">
        <v>27987</v>
      </c>
      <c r="G16632" s="117">
        <v>1.33</v>
      </c>
    </row>
    <row r="16633" spans="1:7" x14ac:dyDescent="0.25">
      <c r="A16633" s="116" t="s">
        <v>26019</v>
      </c>
      <c r="B16633" s="117" t="s">
        <v>26020</v>
      </c>
      <c r="C16633" t="s">
        <v>67</v>
      </c>
      <c r="D16633" t="s">
        <v>67</v>
      </c>
      <c r="E16633" t="s">
        <v>67</v>
      </c>
      <c r="F16633" t="s">
        <v>27987</v>
      </c>
      <c r="G16633" s="117">
        <v>53.3</v>
      </c>
    </row>
    <row r="16634" spans="1:7" x14ac:dyDescent="0.25">
      <c r="A16634" s="116" t="s">
        <v>26021</v>
      </c>
      <c r="B16634" s="117" t="s">
        <v>26022</v>
      </c>
      <c r="C16634" t="s">
        <v>67</v>
      </c>
      <c r="D16634" t="s">
        <v>67</v>
      </c>
      <c r="E16634" t="s">
        <v>67</v>
      </c>
      <c r="F16634" t="s">
        <v>27987</v>
      </c>
      <c r="G16634" s="117">
        <v>13.26</v>
      </c>
    </row>
    <row r="16635" spans="1:7" x14ac:dyDescent="0.25">
      <c r="A16635" s="116" t="s">
        <v>26023</v>
      </c>
      <c r="B16635" s="117" t="s">
        <v>26024</v>
      </c>
      <c r="C16635" t="s">
        <v>67</v>
      </c>
      <c r="D16635" t="s">
        <v>67</v>
      </c>
      <c r="E16635" t="s">
        <v>67</v>
      </c>
      <c r="F16635" t="s">
        <v>27987</v>
      </c>
      <c r="G16635" s="117">
        <v>106.33</v>
      </c>
    </row>
    <row r="16636" spans="1:7" x14ac:dyDescent="0.25">
      <c r="A16636" s="116" t="s">
        <v>26025</v>
      </c>
      <c r="B16636" s="117" t="s">
        <v>26026</v>
      </c>
      <c r="C16636" t="s">
        <v>67</v>
      </c>
      <c r="D16636" t="s">
        <v>67</v>
      </c>
      <c r="E16636" t="s">
        <v>67</v>
      </c>
      <c r="F16636" t="s">
        <v>27987</v>
      </c>
      <c r="G16636" s="117">
        <v>154.74</v>
      </c>
    </row>
    <row r="16637" spans="1:7" x14ac:dyDescent="0.25">
      <c r="A16637" s="116" t="s">
        <v>26027</v>
      </c>
      <c r="B16637" s="117" t="s">
        <v>26028</v>
      </c>
      <c r="C16637" t="s">
        <v>67</v>
      </c>
      <c r="D16637" t="s">
        <v>67</v>
      </c>
      <c r="E16637" t="s">
        <v>67</v>
      </c>
      <c r="F16637" t="s">
        <v>27987</v>
      </c>
      <c r="G16637" s="117">
        <v>80.52</v>
      </c>
    </row>
    <row r="16638" spans="1:7" x14ac:dyDescent="0.25">
      <c r="A16638" s="116" t="s">
        <v>26029</v>
      </c>
      <c r="B16638" s="117" t="s">
        <v>25936</v>
      </c>
      <c r="C16638" t="s">
        <v>67</v>
      </c>
      <c r="D16638" t="s">
        <v>67</v>
      </c>
      <c r="E16638" t="s">
        <v>67</v>
      </c>
      <c r="F16638" t="s">
        <v>27987</v>
      </c>
      <c r="G16638" s="117">
        <v>2.23</v>
      </c>
    </row>
    <row r="16639" spans="1:7" x14ac:dyDescent="0.25">
      <c r="A16639" s="116" t="s">
        <v>26030</v>
      </c>
      <c r="B16639" s="117" t="s">
        <v>26031</v>
      </c>
      <c r="C16639" t="s">
        <v>67</v>
      </c>
      <c r="D16639" t="s">
        <v>67</v>
      </c>
      <c r="E16639" t="s">
        <v>67</v>
      </c>
      <c r="F16639" t="s">
        <v>27987</v>
      </c>
      <c r="G16639" s="117">
        <v>35.5</v>
      </c>
    </row>
    <row r="16640" spans="1:7" x14ac:dyDescent="0.25">
      <c r="A16640" s="116" t="s">
        <v>26032</v>
      </c>
      <c r="B16640" s="117" t="s">
        <v>26033</v>
      </c>
      <c r="C16640" t="s">
        <v>67</v>
      </c>
      <c r="D16640" t="s">
        <v>67</v>
      </c>
      <c r="E16640" t="s">
        <v>67</v>
      </c>
      <c r="F16640" t="s">
        <v>27987</v>
      </c>
      <c r="G16640" s="117">
        <v>35.5</v>
      </c>
    </row>
    <row r="16641" spans="1:7" x14ac:dyDescent="0.25">
      <c r="A16641" s="116" t="s">
        <v>26034</v>
      </c>
      <c r="B16641" s="117" t="s">
        <v>25952</v>
      </c>
      <c r="C16641" t="s">
        <v>67</v>
      </c>
      <c r="D16641" t="s">
        <v>67</v>
      </c>
      <c r="E16641" t="s">
        <v>67</v>
      </c>
      <c r="F16641" t="s">
        <v>27987</v>
      </c>
      <c r="G16641" s="117">
        <v>1.33</v>
      </c>
    </row>
    <row r="16642" spans="1:7" x14ac:dyDescent="0.25">
      <c r="A16642" s="116" t="s">
        <v>26035</v>
      </c>
      <c r="B16642" s="117" t="s">
        <v>29727</v>
      </c>
      <c r="C16642" t="s">
        <v>67</v>
      </c>
      <c r="D16642" t="s">
        <v>67</v>
      </c>
      <c r="E16642" t="s">
        <v>67</v>
      </c>
      <c r="F16642" t="s">
        <v>27987</v>
      </c>
      <c r="G16642" s="117">
        <v>57.28</v>
      </c>
    </row>
    <row r="16643" spans="1:7" x14ac:dyDescent="0.25">
      <c r="A16643" s="116" t="s">
        <v>26036</v>
      </c>
      <c r="B16643" s="117" t="s">
        <v>29728</v>
      </c>
      <c r="C16643" t="s">
        <v>67</v>
      </c>
      <c r="D16643" t="s">
        <v>67</v>
      </c>
      <c r="E16643" t="s">
        <v>67</v>
      </c>
      <c r="F16643" t="s">
        <v>27987</v>
      </c>
      <c r="G16643" s="117">
        <v>129.99</v>
      </c>
    </row>
    <row r="16644" spans="1:7" x14ac:dyDescent="0.25">
      <c r="A16644" s="116" t="s">
        <v>26037</v>
      </c>
      <c r="B16644" s="117" t="s">
        <v>25963</v>
      </c>
      <c r="C16644" t="s">
        <v>67</v>
      </c>
      <c r="D16644" t="s">
        <v>67</v>
      </c>
      <c r="E16644" t="s">
        <v>67</v>
      </c>
      <c r="F16644" t="s">
        <v>27987</v>
      </c>
      <c r="G16644" s="117">
        <v>4.1500000000000004</v>
      </c>
    </row>
    <row r="16645" spans="1:7" x14ac:dyDescent="0.25">
      <c r="A16645" s="116" t="s">
        <v>26038</v>
      </c>
      <c r="B16645" s="117" t="s">
        <v>26039</v>
      </c>
      <c r="C16645" t="s">
        <v>67</v>
      </c>
      <c r="D16645" t="s">
        <v>67</v>
      </c>
      <c r="E16645" t="s">
        <v>67</v>
      </c>
      <c r="F16645" t="s">
        <v>27987</v>
      </c>
      <c r="G16645" s="117">
        <v>10</v>
      </c>
    </row>
    <row r="16646" spans="1:7" x14ac:dyDescent="0.25">
      <c r="A16646" s="116" t="s">
        <v>26040</v>
      </c>
      <c r="B16646" s="117" t="s">
        <v>26041</v>
      </c>
      <c r="C16646" t="s">
        <v>67</v>
      </c>
      <c r="D16646" t="s">
        <v>67</v>
      </c>
      <c r="E16646" t="s">
        <v>67</v>
      </c>
      <c r="F16646" t="s">
        <v>45</v>
      </c>
      <c r="G16646" s="117">
        <v>83.23</v>
      </c>
    </row>
    <row r="16647" spans="1:7" x14ac:dyDescent="0.25">
      <c r="A16647" s="116" t="s">
        <v>26042</v>
      </c>
      <c r="B16647" s="117" t="s">
        <v>26043</v>
      </c>
      <c r="C16647" t="s">
        <v>67</v>
      </c>
      <c r="D16647" t="s">
        <v>67</v>
      </c>
      <c r="E16647" t="s">
        <v>67</v>
      </c>
      <c r="F16647" t="s">
        <v>27987</v>
      </c>
      <c r="G16647" s="117">
        <v>120.41</v>
      </c>
    </row>
    <row r="16648" spans="1:7" x14ac:dyDescent="0.25">
      <c r="A16648" s="116" t="s">
        <v>26044</v>
      </c>
      <c r="B16648" s="117" t="s">
        <v>26045</v>
      </c>
      <c r="C16648" t="s">
        <v>67</v>
      </c>
      <c r="D16648" t="s">
        <v>67</v>
      </c>
      <c r="E16648" t="s">
        <v>67</v>
      </c>
      <c r="F16648" t="s">
        <v>27987</v>
      </c>
      <c r="G16648" s="117">
        <v>4.2699999999999996</v>
      </c>
    </row>
    <row r="16649" spans="1:7" x14ac:dyDescent="0.25">
      <c r="A16649" s="116" t="s">
        <v>26046</v>
      </c>
      <c r="B16649" s="117" t="s">
        <v>26047</v>
      </c>
      <c r="C16649" t="s">
        <v>67</v>
      </c>
      <c r="D16649" t="s">
        <v>67</v>
      </c>
      <c r="E16649" t="s">
        <v>67</v>
      </c>
      <c r="F16649" t="s">
        <v>27987</v>
      </c>
      <c r="G16649" s="117">
        <v>2.2599999999999998</v>
      </c>
    </row>
    <row r="16650" spans="1:7" x14ac:dyDescent="0.25">
      <c r="A16650" s="116" t="s">
        <v>26048</v>
      </c>
      <c r="B16650" s="117" t="s">
        <v>25973</v>
      </c>
      <c r="C16650" t="s">
        <v>67</v>
      </c>
      <c r="D16650" t="s">
        <v>67</v>
      </c>
      <c r="E16650" t="s">
        <v>67</v>
      </c>
      <c r="F16650" t="s">
        <v>27987</v>
      </c>
      <c r="G16650" s="117">
        <v>4.53</v>
      </c>
    </row>
    <row r="16651" spans="1:7" x14ac:dyDescent="0.25">
      <c r="A16651" s="116" t="s">
        <v>26049</v>
      </c>
      <c r="B16651" s="117" t="s">
        <v>26050</v>
      </c>
      <c r="C16651" t="s">
        <v>67</v>
      </c>
      <c r="D16651" t="s">
        <v>67</v>
      </c>
      <c r="E16651" t="s">
        <v>67</v>
      </c>
      <c r="F16651" t="s">
        <v>27987</v>
      </c>
      <c r="G16651" s="117">
        <v>5.4</v>
      </c>
    </row>
    <row r="16652" spans="1:7" x14ac:dyDescent="0.25">
      <c r="A16652" s="116" t="s">
        <v>26051</v>
      </c>
      <c r="B16652" s="117" t="s">
        <v>26052</v>
      </c>
      <c r="C16652" t="s">
        <v>67</v>
      </c>
      <c r="D16652" t="s">
        <v>67</v>
      </c>
      <c r="E16652" t="s">
        <v>67</v>
      </c>
      <c r="F16652" t="s">
        <v>27987</v>
      </c>
      <c r="G16652" s="117">
        <v>25.99</v>
      </c>
    </row>
    <row r="16653" spans="1:7" x14ac:dyDescent="0.25">
      <c r="A16653" s="116" t="s">
        <v>26053</v>
      </c>
      <c r="B16653" s="117" t="s">
        <v>26054</v>
      </c>
      <c r="C16653" t="s">
        <v>67</v>
      </c>
      <c r="D16653" t="s">
        <v>67</v>
      </c>
      <c r="E16653" t="s">
        <v>67</v>
      </c>
      <c r="F16653" t="s">
        <v>45</v>
      </c>
      <c r="G16653" s="117">
        <v>5.0199999999999996</v>
      </c>
    </row>
    <row r="16654" spans="1:7" x14ac:dyDescent="0.25">
      <c r="A16654" s="116" t="s">
        <v>26055</v>
      </c>
      <c r="B16654" s="117" t="s">
        <v>26056</v>
      </c>
      <c r="C16654" t="s">
        <v>67</v>
      </c>
      <c r="D16654" t="s">
        <v>67</v>
      </c>
      <c r="E16654" t="s">
        <v>67</v>
      </c>
      <c r="F16654" t="s">
        <v>27987</v>
      </c>
      <c r="G16654" s="117">
        <v>39.049999999999997</v>
      </c>
    </row>
    <row r="16655" spans="1:7" x14ac:dyDescent="0.25">
      <c r="A16655" s="116" t="s">
        <v>26057</v>
      </c>
      <c r="B16655" s="117" t="s">
        <v>26058</v>
      </c>
      <c r="C16655" t="s">
        <v>67</v>
      </c>
      <c r="D16655" t="s">
        <v>67</v>
      </c>
      <c r="E16655" t="s">
        <v>67</v>
      </c>
      <c r="F16655" t="s">
        <v>27987</v>
      </c>
      <c r="G16655" s="117">
        <v>104.34</v>
      </c>
    </row>
    <row r="16656" spans="1:7" x14ac:dyDescent="0.25">
      <c r="A16656" s="116" t="s">
        <v>26059</v>
      </c>
      <c r="B16656" s="117" t="s">
        <v>26060</v>
      </c>
      <c r="C16656" t="s">
        <v>67</v>
      </c>
      <c r="D16656" t="s">
        <v>67</v>
      </c>
      <c r="E16656" t="s">
        <v>67</v>
      </c>
      <c r="F16656" t="s">
        <v>27987</v>
      </c>
      <c r="G16656" s="117">
        <v>2.76</v>
      </c>
    </row>
    <row r="16657" spans="1:7" x14ac:dyDescent="0.25">
      <c r="A16657" s="116" t="s">
        <v>26061</v>
      </c>
      <c r="B16657" s="117" t="s">
        <v>26062</v>
      </c>
      <c r="C16657" t="s">
        <v>67</v>
      </c>
      <c r="D16657" t="s">
        <v>67</v>
      </c>
      <c r="E16657" t="s">
        <v>67</v>
      </c>
      <c r="F16657" t="s">
        <v>27987</v>
      </c>
      <c r="G16657" s="117">
        <v>5.4</v>
      </c>
    </row>
    <row r="16658" spans="1:7" x14ac:dyDescent="0.25">
      <c r="A16658" s="116" t="s">
        <v>26063</v>
      </c>
      <c r="B16658" s="117" t="s">
        <v>26064</v>
      </c>
      <c r="C16658" t="s">
        <v>67</v>
      </c>
      <c r="D16658" t="s">
        <v>67</v>
      </c>
      <c r="E16658" t="s">
        <v>67</v>
      </c>
      <c r="F16658" t="s">
        <v>27987</v>
      </c>
      <c r="G16658" s="117">
        <v>128.32</v>
      </c>
    </row>
    <row r="16659" spans="1:7" x14ac:dyDescent="0.25">
      <c r="A16659" s="116" t="s">
        <v>26065</v>
      </c>
      <c r="B16659" s="117" t="s">
        <v>26066</v>
      </c>
      <c r="C16659" t="s">
        <v>67</v>
      </c>
      <c r="D16659" t="s">
        <v>67</v>
      </c>
      <c r="E16659" t="s">
        <v>67</v>
      </c>
      <c r="F16659" t="s">
        <v>27987</v>
      </c>
      <c r="G16659" s="117">
        <v>136.36000000000001</v>
      </c>
    </row>
    <row r="16660" spans="1:7" x14ac:dyDescent="0.25">
      <c r="A16660" s="116" t="s">
        <v>26067</v>
      </c>
      <c r="B16660" s="117" t="s">
        <v>26068</v>
      </c>
      <c r="C16660" t="s">
        <v>67</v>
      </c>
      <c r="D16660" t="s">
        <v>67</v>
      </c>
      <c r="E16660" t="s">
        <v>67</v>
      </c>
      <c r="F16660" t="s">
        <v>49</v>
      </c>
      <c r="G16660" s="117">
        <v>1.39</v>
      </c>
    </row>
    <row r="16661" spans="1:7" x14ac:dyDescent="0.25">
      <c r="A16661" s="116" t="s">
        <v>26069</v>
      </c>
      <c r="B16661" s="117" t="s">
        <v>26070</v>
      </c>
      <c r="C16661" t="s">
        <v>67</v>
      </c>
      <c r="D16661" t="s">
        <v>67</v>
      </c>
      <c r="E16661" t="s">
        <v>67</v>
      </c>
      <c r="F16661" t="s">
        <v>27987</v>
      </c>
      <c r="G16661" s="117">
        <v>7.78</v>
      </c>
    </row>
    <row r="16662" spans="1:7" x14ac:dyDescent="0.25">
      <c r="A16662" s="116" t="s">
        <v>26071</v>
      </c>
      <c r="B16662" s="117" t="s">
        <v>26072</v>
      </c>
      <c r="C16662" t="s">
        <v>67</v>
      </c>
      <c r="D16662" t="s">
        <v>67</v>
      </c>
      <c r="E16662" t="s">
        <v>67</v>
      </c>
      <c r="F16662" t="s">
        <v>27987</v>
      </c>
      <c r="G16662" s="117">
        <v>9.17</v>
      </c>
    </row>
    <row r="16663" spans="1:7" x14ac:dyDescent="0.25">
      <c r="A16663" s="116" t="s">
        <v>26073</v>
      </c>
      <c r="B16663" s="117" t="s">
        <v>26074</v>
      </c>
      <c r="C16663" t="s">
        <v>67</v>
      </c>
      <c r="D16663" t="s">
        <v>67</v>
      </c>
      <c r="E16663" t="s">
        <v>67</v>
      </c>
      <c r="F16663" t="s">
        <v>27987</v>
      </c>
      <c r="G16663" s="117">
        <v>5.4</v>
      </c>
    </row>
    <row r="16664" spans="1:7" x14ac:dyDescent="0.25">
      <c r="A16664" s="116" t="s">
        <v>26075</v>
      </c>
      <c r="B16664" s="117" t="s">
        <v>26076</v>
      </c>
      <c r="C16664" t="s">
        <v>67</v>
      </c>
      <c r="D16664" t="s">
        <v>67</v>
      </c>
      <c r="E16664" t="s">
        <v>67</v>
      </c>
      <c r="F16664" t="s">
        <v>27987</v>
      </c>
      <c r="G16664" s="117">
        <v>11.8</v>
      </c>
    </row>
    <row r="16665" spans="1:7" x14ac:dyDescent="0.25">
      <c r="A16665" s="116" t="s">
        <v>26077</v>
      </c>
      <c r="B16665" s="117" t="s">
        <v>26078</v>
      </c>
      <c r="C16665" t="s">
        <v>67</v>
      </c>
      <c r="D16665" t="s">
        <v>67</v>
      </c>
      <c r="E16665" t="s">
        <v>67</v>
      </c>
      <c r="F16665" t="s">
        <v>27987</v>
      </c>
      <c r="G16665" s="117">
        <v>106.98</v>
      </c>
    </row>
    <row r="16666" spans="1:7" x14ac:dyDescent="0.25">
      <c r="A16666" s="116" t="s">
        <v>26079</v>
      </c>
      <c r="B16666" s="117" t="s">
        <v>26080</v>
      </c>
      <c r="C16666" t="s">
        <v>67</v>
      </c>
      <c r="D16666" t="s">
        <v>67</v>
      </c>
      <c r="E16666" t="s">
        <v>67</v>
      </c>
      <c r="F16666" t="s">
        <v>27987</v>
      </c>
      <c r="G16666" s="117">
        <v>104.34</v>
      </c>
    </row>
    <row r="16667" spans="1:7" x14ac:dyDescent="0.25">
      <c r="A16667" s="116" t="s">
        <v>26081</v>
      </c>
      <c r="B16667" s="117" t="s">
        <v>26082</v>
      </c>
      <c r="C16667" t="s">
        <v>67</v>
      </c>
      <c r="D16667" t="s">
        <v>67</v>
      </c>
      <c r="E16667" t="s">
        <v>67</v>
      </c>
      <c r="F16667" t="s">
        <v>27987</v>
      </c>
      <c r="G16667" s="117">
        <v>93.67</v>
      </c>
    </row>
    <row r="16668" spans="1:7" x14ac:dyDescent="0.25">
      <c r="A16668" s="116" t="s">
        <v>26083</v>
      </c>
      <c r="B16668" s="117" t="s">
        <v>26084</v>
      </c>
      <c r="C16668" t="s">
        <v>67</v>
      </c>
      <c r="D16668" t="s">
        <v>67</v>
      </c>
      <c r="E16668" t="s">
        <v>67</v>
      </c>
      <c r="F16668" t="s">
        <v>45</v>
      </c>
      <c r="G16668" s="117">
        <v>128.32</v>
      </c>
    </row>
    <row r="16669" spans="1:7" x14ac:dyDescent="0.25">
      <c r="A16669" s="116" t="s">
        <v>26085</v>
      </c>
      <c r="B16669" s="117" t="s">
        <v>26086</v>
      </c>
      <c r="C16669" t="s">
        <v>67</v>
      </c>
      <c r="D16669" t="s">
        <v>67</v>
      </c>
      <c r="E16669" t="s">
        <v>67</v>
      </c>
      <c r="F16669" t="s">
        <v>45</v>
      </c>
      <c r="G16669" s="117">
        <v>213.96</v>
      </c>
    </row>
    <row r="16670" spans="1:7" x14ac:dyDescent="0.25">
      <c r="A16670" s="116" t="s">
        <v>29729</v>
      </c>
      <c r="B16670" s="117" t="s">
        <v>29730</v>
      </c>
      <c r="C16670" t="s">
        <v>67</v>
      </c>
      <c r="D16670" t="s">
        <v>67</v>
      </c>
      <c r="E16670" t="s">
        <v>67</v>
      </c>
      <c r="F16670" t="s">
        <v>27987</v>
      </c>
      <c r="G16670" s="117">
        <v>50</v>
      </c>
    </row>
    <row r="16671" spans="1:7" x14ac:dyDescent="0.25">
      <c r="A16671" s="116" t="s">
        <v>30193</v>
      </c>
      <c r="B16671" s="117" t="s">
        <v>30602</v>
      </c>
      <c r="C16671" t="s">
        <v>67</v>
      </c>
      <c r="D16671" t="s">
        <v>67</v>
      </c>
      <c r="E16671" t="s">
        <v>67</v>
      </c>
      <c r="F16671" t="s">
        <v>45</v>
      </c>
      <c r="G16671" s="117">
        <v>147.11000000000001</v>
      </c>
    </row>
    <row r="16672" spans="1:7" x14ac:dyDescent="0.25">
      <c r="A16672" s="116" t="s">
        <v>26087</v>
      </c>
      <c r="B16672" s="117" t="s">
        <v>26088</v>
      </c>
      <c r="C16672" t="s">
        <v>67</v>
      </c>
      <c r="D16672" t="s">
        <v>67</v>
      </c>
      <c r="E16672" t="s">
        <v>67</v>
      </c>
      <c r="F16672" t="s">
        <v>45</v>
      </c>
      <c r="G16672" s="117">
        <v>8.4499999999999993</v>
      </c>
    </row>
    <row r="16673" spans="1:7" x14ac:dyDescent="0.25">
      <c r="A16673" s="116" t="s">
        <v>26089</v>
      </c>
      <c r="B16673" s="117" t="s">
        <v>29731</v>
      </c>
      <c r="C16673" t="s">
        <v>67</v>
      </c>
      <c r="D16673" t="s">
        <v>67</v>
      </c>
      <c r="E16673" t="s">
        <v>67</v>
      </c>
      <c r="F16673" t="s">
        <v>45</v>
      </c>
      <c r="G16673" s="117">
        <v>4.8899999999999997</v>
      </c>
    </row>
    <row r="16674" spans="1:7" x14ac:dyDescent="0.25">
      <c r="A16674" s="116" t="s">
        <v>26090</v>
      </c>
      <c r="B16674" s="117" t="s">
        <v>29732</v>
      </c>
      <c r="C16674" t="s">
        <v>67</v>
      </c>
      <c r="D16674" t="s">
        <v>67</v>
      </c>
      <c r="E16674" t="s">
        <v>67</v>
      </c>
      <c r="F16674" t="s">
        <v>45</v>
      </c>
      <c r="G16674" s="117">
        <v>6.14</v>
      </c>
    </row>
    <row r="16675" spans="1:7" x14ac:dyDescent="0.25">
      <c r="A16675" s="116" t="s">
        <v>26091</v>
      </c>
      <c r="B16675" s="117" t="s">
        <v>21122</v>
      </c>
      <c r="C16675" t="s">
        <v>67</v>
      </c>
      <c r="D16675" t="s">
        <v>67</v>
      </c>
      <c r="E16675" t="s">
        <v>67</v>
      </c>
      <c r="F16675" t="s">
        <v>45</v>
      </c>
      <c r="G16675" s="117">
        <v>13.26</v>
      </c>
    </row>
    <row r="16676" spans="1:7" x14ac:dyDescent="0.25">
      <c r="A16676" s="116" t="s">
        <v>26092</v>
      </c>
      <c r="B16676" s="117" t="s">
        <v>26093</v>
      </c>
      <c r="C16676" t="s">
        <v>67</v>
      </c>
      <c r="D16676" t="s">
        <v>67</v>
      </c>
      <c r="E16676" t="s">
        <v>67</v>
      </c>
      <c r="F16676" t="s">
        <v>45</v>
      </c>
      <c r="G16676" s="117">
        <v>39.06</v>
      </c>
    </row>
    <row r="16677" spans="1:7" x14ac:dyDescent="0.25">
      <c r="A16677" s="116" t="s">
        <v>26094</v>
      </c>
      <c r="B16677" s="117" t="s">
        <v>29733</v>
      </c>
      <c r="C16677" t="s">
        <v>67</v>
      </c>
      <c r="D16677" t="s">
        <v>67</v>
      </c>
      <c r="E16677" t="s">
        <v>67</v>
      </c>
      <c r="F16677" t="s">
        <v>45</v>
      </c>
      <c r="G16677" s="117">
        <v>4.8899999999999997</v>
      </c>
    </row>
    <row r="16678" spans="1:7" x14ac:dyDescent="0.25">
      <c r="A16678" s="116" t="s">
        <v>26095</v>
      </c>
      <c r="B16678" s="117" t="s">
        <v>26096</v>
      </c>
      <c r="C16678" t="s">
        <v>67</v>
      </c>
      <c r="D16678" t="s">
        <v>67</v>
      </c>
      <c r="E16678" t="s">
        <v>67</v>
      </c>
      <c r="F16678" t="s">
        <v>45</v>
      </c>
      <c r="G16678" s="117">
        <v>401.23</v>
      </c>
    </row>
    <row r="16679" spans="1:7" x14ac:dyDescent="0.25">
      <c r="A16679" s="116" t="s">
        <v>26097</v>
      </c>
      <c r="B16679" s="117" t="s">
        <v>26098</v>
      </c>
      <c r="C16679" t="s">
        <v>67</v>
      </c>
      <c r="D16679" t="s">
        <v>67</v>
      </c>
      <c r="E16679" t="s">
        <v>67</v>
      </c>
      <c r="F16679" t="s">
        <v>45</v>
      </c>
      <c r="G16679" s="117">
        <v>448.38</v>
      </c>
    </row>
    <row r="16680" spans="1:7" x14ac:dyDescent="0.25">
      <c r="A16680" s="116" t="s">
        <v>26099</v>
      </c>
      <c r="B16680" s="117" t="s">
        <v>26098</v>
      </c>
      <c r="C16680" t="s">
        <v>67</v>
      </c>
      <c r="D16680" t="s">
        <v>67</v>
      </c>
      <c r="E16680" t="s">
        <v>67</v>
      </c>
      <c r="F16680" t="s">
        <v>45</v>
      </c>
      <c r="G16680" s="117">
        <v>448.38</v>
      </c>
    </row>
    <row r="16681" spans="1:7" x14ac:dyDescent="0.25">
      <c r="A16681" s="116" t="s">
        <v>26100</v>
      </c>
      <c r="B16681" s="117" t="s">
        <v>26101</v>
      </c>
      <c r="C16681" t="s">
        <v>67</v>
      </c>
      <c r="D16681" t="s">
        <v>67</v>
      </c>
      <c r="E16681" t="s">
        <v>67</v>
      </c>
      <c r="F16681" t="s">
        <v>45</v>
      </c>
      <c r="G16681" s="117">
        <v>7.56</v>
      </c>
    </row>
    <row r="16682" spans="1:7" x14ac:dyDescent="0.25">
      <c r="A16682" s="116" t="s">
        <v>26102</v>
      </c>
      <c r="B16682" s="117" t="s">
        <v>26103</v>
      </c>
      <c r="C16682" t="s">
        <v>67</v>
      </c>
      <c r="D16682" t="s">
        <v>67</v>
      </c>
      <c r="E16682" t="s">
        <v>67</v>
      </c>
      <c r="F16682" t="s">
        <v>45</v>
      </c>
      <c r="G16682" s="117">
        <v>266.86</v>
      </c>
    </row>
    <row r="16683" spans="1:7" x14ac:dyDescent="0.25">
      <c r="A16683" s="116" t="s">
        <v>26104</v>
      </c>
      <c r="B16683" s="117" t="s">
        <v>13472</v>
      </c>
      <c r="C16683" t="s">
        <v>67</v>
      </c>
      <c r="D16683" t="s">
        <v>67</v>
      </c>
      <c r="E16683" t="s">
        <v>67</v>
      </c>
      <c r="F16683" t="s">
        <v>45</v>
      </c>
      <c r="G16683" s="117">
        <v>4.8899999999999997</v>
      </c>
    </row>
    <row r="16684" spans="1:7" x14ac:dyDescent="0.25">
      <c r="A16684" s="116" t="s">
        <v>26105</v>
      </c>
      <c r="B16684" s="117" t="s">
        <v>26106</v>
      </c>
      <c r="C16684" t="s">
        <v>67</v>
      </c>
      <c r="D16684" t="s">
        <v>67</v>
      </c>
      <c r="E16684" t="s">
        <v>67</v>
      </c>
      <c r="F16684" t="s">
        <v>45</v>
      </c>
      <c r="G16684" s="117">
        <v>14.68</v>
      </c>
    </row>
    <row r="16685" spans="1:7" x14ac:dyDescent="0.25">
      <c r="A16685" s="116" t="s">
        <v>26107</v>
      </c>
      <c r="B16685" s="117" t="s">
        <v>26108</v>
      </c>
      <c r="C16685" t="s">
        <v>67</v>
      </c>
      <c r="D16685" t="s">
        <v>67</v>
      </c>
      <c r="E16685" t="s">
        <v>67</v>
      </c>
      <c r="F16685" t="s">
        <v>45</v>
      </c>
      <c r="G16685" s="117">
        <v>6.14</v>
      </c>
    </row>
    <row r="16686" spans="1:7" x14ac:dyDescent="0.25">
      <c r="A16686" s="116" t="s">
        <v>26109</v>
      </c>
      <c r="B16686" s="117" t="s">
        <v>26110</v>
      </c>
      <c r="C16686" t="s">
        <v>67</v>
      </c>
      <c r="D16686" t="s">
        <v>67</v>
      </c>
      <c r="E16686" t="s">
        <v>67</v>
      </c>
      <c r="F16686" t="s">
        <v>45</v>
      </c>
      <c r="G16686" s="117">
        <v>15.57</v>
      </c>
    </row>
    <row r="16687" spans="1:7" x14ac:dyDescent="0.25">
      <c r="A16687" s="116" t="s">
        <v>26111</v>
      </c>
      <c r="B16687" s="117" t="s">
        <v>26112</v>
      </c>
      <c r="C16687" t="s">
        <v>67</v>
      </c>
      <c r="D16687" t="s">
        <v>67</v>
      </c>
      <c r="E16687" t="s">
        <v>67</v>
      </c>
      <c r="F16687" t="s">
        <v>45</v>
      </c>
      <c r="G16687" s="117">
        <v>7.12</v>
      </c>
    </row>
    <row r="16688" spans="1:7" x14ac:dyDescent="0.25">
      <c r="A16688" s="116" t="s">
        <v>26113</v>
      </c>
      <c r="B16688" s="117" t="s">
        <v>26114</v>
      </c>
      <c r="C16688" t="s">
        <v>67</v>
      </c>
      <c r="D16688" t="s">
        <v>67</v>
      </c>
      <c r="E16688" t="s">
        <v>67</v>
      </c>
      <c r="F16688" t="s">
        <v>45</v>
      </c>
      <c r="G16688" s="117">
        <v>9.6999999999999993</v>
      </c>
    </row>
    <row r="16689" spans="1:7" x14ac:dyDescent="0.25">
      <c r="A16689" s="116" t="s">
        <v>26115</v>
      </c>
      <c r="B16689" s="117" t="s">
        <v>26116</v>
      </c>
      <c r="C16689" t="s">
        <v>67</v>
      </c>
      <c r="D16689" t="s">
        <v>67</v>
      </c>
      <c r="E16689" t="s">
        <v>67</v>
      </c>
      <c r="F16689" t="s">
        <v>45</v>
      </c>
      <c r="G16689" s="117">
        <v>7.56</v>
      </c>
    </row>
    <row r="16690" spans="1:7" x14ac:dyDescent="0.25">
      <c r="A16690" s="116" t="s">
        <v>26117</v>
      </c>
      <c r="B16690" s="117" t="s">
        <v>26118</v>
      </c>
      <c r="C16690" t="s">
        <v>67</v>
      </c>
      <c r="D16690" t="s">
        <v>67</v>
      </c>
      <c r="E16690" t="s">
        <v>67</v>
      </c>
      <c r="F16690" t="s">
        <v>45</v>
      </c>
      <c r="G16690" s="117">
        <v>26.25</v>
      </c>
    </row>
    <row r="16691" spans="1:7" x14ac:dyDescent="0.25">
      <c r="A16691" s="116" t="s">
        <v>26119</v>
      </c>
      <c r="B16691" s="117" t="s">
        <v>26118</v>
      </c>
      <c r="C16691" t="s">
        <v>67</v>
      </c>
      <c r="D16691" t="s">
        <v>67</v>
      </c>
      <c r="E16691" t="s">
        <v>67</v>
      </c>
      <c r="F16691" t="s">
        <v>45</v>
      </c>
      <c r="G16691" s="117">
        <v>22.69</v>
      </c>
    </row>
    <row r="16692" spans="1:7" x14ac:dyDescent="0.25">
      <c r="A16692" s="116" t="s">
        <v>26120</v>
      </c>
      <c r="B16692" s="117" t="s">
        <v>26121</v>
      </c>
      <c r="C16692" t="s">
        <v>67</v>
      </c>
      <c r="D16692" t="s">
        <v>67</v>
      </c>
      <c r="E16692" t="s">
        <v>67</v>
      </c>
      <c r="F16692" t="s">
        <v>27987</v>
      </c>
      <c r="G16692" s="117">
        <v>472.06</v>
      </c>
    </row>
    <row r="16693" spans="1:7" x14ac:dyDescent="0.25">
      <c r="A16693" s="116" t="s">
        <v>26122</v>
      </c>
      <c r="B16693" s="117" t="s">
        <v>26123</v>
      </c>
      <c r="C16693" t="s">
        <v>67</v>
      </c>
      <c r="D16693" t="s">
        <v>67</v>
      </c>
      <c r="E16693" t="s">
        <v>67</v>
      </c>
      <c r="F16693" t="s">
        <v>27987</v>
      </c>
      <c r="G16693" s="117">
        <v>2.58</v>
      </c>
    </row>
    <row r="16694" spans="1:7" x14ac:dyDescent="0.25">
      <c r="A16694" s="116" t="s">
        <v>26124</v>
      </c>
      <c r="B16694" s="117" t="s">
        <v>26125</v>
      </c>
      <c r="C16694" t="s">
        <v>67</v>
      </c>
      <c r="D16694" t="s">
        <v>67</v>
      </c>
      <c r="E16694" t="s">
        <v>67</v>
      </c>
      <c r="F16694" t="s">
        <v>49</v>
      </c>
      <c r="G16694" s="117">
        <v>5.25</v>
      </c>
    </row>
    <row r="16695" spans="1:7" x14ac:dyDescent="0.25">
      <c r="A16695" s="116" t="s">
        <v>26126</v>
      </c>
      <c r="B16695" s="117" t="s">
        <v>29734</v>
      </c>
      <c r="C16695" t="s">
        <v>67</v>
      </c>
      <c r="D16695" t="s">
        <v>67</v>
      </c>
      <c r="E16695" t="s">
        <v>67</v>
      </c>
      <c r="F16695" t="s">
        <v>27987</v>
      </c>
      <c r="G16695" s="117">
        <v>53.3</v>
      </c>
    </row>
    <row r="16696" spans="1:7" x14ac:dyDescent="0.25">
      <c r="A16696" s="116" t="s">
        <v>26127</v>
      </c>
      <c r="B16696" s="117" t="s">
        <v>26128</v>
      </c>
      <c r="C16696" t="s">
        <v>67</v>
      </c>
      <c r="D16696" t="s">
        <v>67</v>
      </c>
      <c r="E16696" t="s">
        <v>67</v>
      </c>
      <c r="F16696" t="s">
        <v>27987</v>
      </c>
      <c r="G16696" s="117">
        <v>52.42</v>
      </c>
    </row>
    <row r="16697" spans="1:7" x14ac:dyDescent="0.25">
      <c r="A16697" s="116" t="s">
        <v>26129</v>
      </c>
      <c r="B16697" s="117" t="s">
        <v>26130</v>
      </c>
      <c r="C16697" t="s">
        <v>67</v>
      </c>
      <c r="D16697" t="s">
        <v>67</v>
      </c>
      <c r="E16697" t="s">
        <v>67</v>
      </c>
      <c r="F16697" t="s">
        <v>49</v>
      </c>
      <c r="G16697" s="117">
        <v>3.56</v>
      </c>
    </row>
    <row r="16698" spans="1:7" x14ac:dyDescent="0.25">
      <c r="A16698" s="116" t="s">
        <v>26131</v>
      </c>
      <c r="B16698" s="117" t="s">
        <v>26132</v>
      </c>
      <c r="C16698" t="s">
        <v>67</v>
      </c>
      <c r="D16698" t="s">
        <v>67</v>
      </c>
      <c r="E16698" t="s">
        <v>67</v>
      </c>
      <c r="F16698" t="s">
        <v>27987</v>
      </c>
      <c r="G16698" s="117">
        <v>26.25</v>
      </c>
    </row>
    <row r="16699" spans="1:7" x14ac:dyDescent="0.25">
      <c r="A16699" s="116" t="s">
        <v>26133</v>
      </c>
      <c r="B16699" s="117" t="s">
        <v>5573</v>
      </c>
      <c r="C16699" t="s">
        <v>67</v>
      </c>
      <c r="D16699" t="s">
        <v>67</v>
      </c>
      <c r="E16699" t="s">
        <v>67</v>
      </c>
      <c r="F16699" t="s">
        <v>27987</v>
      </c>
      <c r="G16699" s="117">
        <v>2.58</v>
      </c>
    </row>
    <row r="16700" spans="1:7" x14ac:dyDescent="0.25">
      <c r="A16700" s="116" t="s">
        <v>26134</v>
      </c>
      <c r="B16700" s="117" t="s">
        <v>29735</v>
      </c>
      <c r="C16700" t="s">
        <v>67</v>
      </c>
      <c r="D16700" t="s">
        <v>67</v>
      </c>
      <c r="E16700" t="s">
        <v>67</v>
      </c>
      <c r="F16700" t="s">
        <v>45</v>
      </c>
      <c r="G16700" s="117">
        <v>294.98</v>
      </c>
    </row>
    <row r="16701" spans="1:7" x14ac:dyDescent="0.25">
      <c r="A16701" s="116" t="s">
        <v>26135</v>
      </c>
      <c r="B16701" s="117" t="s">
        <v>26136</v>
      </c>
      <c r="C16701" t="s">
        <v>67</v>
      </c>
      <c r="D16701" t="s">
        <v>67</v>
      </c>
      <c r="E16701" t="s">
        <v>67</v>
      </c>
      <c r="F16701" t="s">
        <v>27987</v>
      </c>
      <c r="G16701" s="117">
        <v>76.98</v>
      </c>
    </row>
    <row r="16702" spans="1:7" x14ac:dyDescent="0.25">
      <c r="A16702" s="116" t="s">
        <v>26137</v>
      </c>
      <c r="B16702" s="117" t="s">
        <v>20944</v>
      </c>
      <c r="C16702" t="s">
        <v>67</v>
      </c>
      <c r="D16702" t="s">
        <v>67</v>
      </c>
      <c r="E16702" t="s">
        <v>67</v>
      </c>
      <c r="F16702" t="s">
        <v>27987</v>
      </c>
      <c r="G16702" s="117">
        <v>4.8899999999999997</v>
      </c>
    </row>
    <row r="16703" spans="1:7" x14ac:dyDescent="0.25">
      <c r="A16703" s="116" t="s">
        <v>26138</v>
      </c>
      <c r="B16703" s="117" t="s">
        <v>26139</v>
      </c>
      <c r="C16703" t="s">
        <v>67</v>
      </c>
      <c r="D16703" t="s">
        <v>67</v>
      </c>
      <c r="E16703" t="s">
        <v>67</v>
      </c>
      <c r="F16703" t="s">
        <v>45</v>
      </c>
      <c r="G16703" s="117">
        <v>11.48</v>
      </c>
    </row>
    <row r="16704" spans="1:7" x14ac:dyDescent="0.25">
      <c r="A16704" s="116" t="s">
        <v>26140</v>
      </c>
      <c r="B16704" s="117" t="s">
        <v>26141</v>
      </c>
      <c r="C16704" t="s">
        <v>67</v>
      </c>
      <c r="D16704" t="s">
        <v>67</v>
      </c>
      <c r="E16704" t="s">
        <v>67</v>
      </c>
      <c r="F16704" t="s">
        <v>45</v>
      </c>
      <c r="G16704" s="117">
        <v>21.26</v>
      </c>
    </row>
    <row r="16705" spans="1:7" x14ac:dyDescent="0.25">
      <c r="A16705" s="116" t="s">
        <v>26142</v>
      </c>
      <c r="B16705" s="117" t="s">
        <v>26143</v>
      </c>
      <c r="C16705" t="s">
        <v>67</v>
      </c>
      <c r="D16705" t="s">
        <v>67</v>
      </c>
      <c r="E16705" t="s">
        <v>67</v>
      </c>
      <c r="F16705" t="s">
        <v>49</v>
      </c>
      <c r="G16705" s="117">
        <v>3.14</v>
      </c>
    </row>
    <row r="16706" spans="1:7" x14ac:dyDescent="0.25">
      <c r="A16706" s="116" t="s">
        <v>26144</v>
      </c>
      <c r="B16706" s="117" t="s">
        <v>26145</v>
      </c>
      <c r="C16706" t="s">
        <v>67</v>
      </c>
      <c r="D16706" t="s">
        <v>67</v>
      </c>
      <c r="E16706" t="s">
        <v>67</v>
      </c>
      <c r="F16706" t="s">
        <v>27987</v>
      </c>
      <c r="G16706" s="117">
        <v>36.39</v>
      </c>
    </row>
    <row r="16707" spans="1:7" x14ac:dyDescent="0.25">
      <c r="A16707" s="116" t="s">
        <v>26146</v>
      </c>
      <c r="B16707" s="117" t="s">
        <v>26147</v>
      </c>
      <c r="C16707" t="s">
        <v>67</v>
      </c>
      <c r="D16707" t="s">
        <v>67</v>
      </c>
      <c r="E16707" t="s">
        <v>67</v>
      </c>
      <c r="F16707" t="s">
        <v>27987</v>
      </c>
      <c r="G16707" s="117">
        <v>20.48</v>
      </c>
    </row>
    <row r="16708" spans="1:7" x14ac:dyDescent="0.25">
      <c r="A16708" s="116" t="s">
        <v>26148</v>
      </c>
      <c r="B16708" s="117" t="s">
        <v>26143</v>
      </c>
      <c r="C16708" t="s">
        <v>67</v>
      </c>
      <c r="D16708" t="s">
        <v>67</v>
      </c>
      <c r="E16708" t="s">
        <v>67</v>
      </c>
      <c r="F16708" t="s">
        <v>27987</v>
      </c>
      <c r="G16708" s="117">
        <v>3.14</v>
      </c>
    </row>
    <row r="16709" spans="1:7" x14ac:dyDescent="0.25">
      <c r="A16709" s="116" t="s">
        <v>26149</v>
      </c>
      <c r="B16709" s="117" t="s">
        <v>26143</v>
      </c>
      <c r="C16709" t="s">
        <v>67</v>
      </c>
      <c r="D16709" t="s">
        <v>67</v>
      </c>
      <c r="E16709" t="s">
        <v>67</v>
      </c>
      <c r="F16709" t="s">
        <v>27987</v>
      </c>
      <c r="G16709" s="117">
        <v>4.7699999999999996</v>
      </c>
    </row>
    <row r="16710" spans="1:7" x14ac:dyDescent="0.25">
      <c r="A16710" s="116" t="s">
        <v>26150</v>
      </c>
      <c r="B16710" s="117" t="s">
        <v>26143</v>
      </c>
      <c r="C16710" t="s">
        <v>67</v>
      </c>
      <c r="D16710" t="s">
        <v>67</v>
      </c>
      <c r="E16710" t="s">
        <v>67</v>
      </c>
      <c r="F16710" t="s">
        <v>45</v>
      </c>
      <c r="G16710" s="117">
        <v>3.14</v>
      </c>
    </row>
    <row r="16711" spans="1:7" x14ac:dyDescent="0.25">
      <c r="A16711" s="116" t="s">
        <v>26151</v>
      </c>
      <c r="B16711" s="117" t="s">
        <v>26152</v>
      </c>
      <c r="C16711" t="s">
        <v>67</v>
      </c>
      <c r="D16711" t="s">
        <v>67</v>
      </c>
      <c r="E16711" t="s">
        <v>67</v>
      </c>
      <c r="F16711" t="s">
        <v>27987</v>
      </c>
      <c r="G16711" s="117">
        <v>5.78</v>
      </c>
    </row>
    <row r="16712" spans="1:7" x14ac:dyDescent="0.25">
      <c r="A16712" s="116" t="s">
        <v>26153</v>
      </c>
      <c r="B16712" s="117" t="s">
        <v>26154</v>
      </c>
      <c r="C16712" t="s">
        <v>67</v>
      </c>
      <c r="D16712" t="s">
        <v>67</v>
      </c>
      <c r="E16712" t="s">
        <v>67</v>
      </c>
      <c r="F16712" t="s">
        <v>49</v>
      </c>
      <c r="G16712" s="117">
        <v>5.78</v>
      </c>
    </row>
    <row r="16713" spans="1:7" x14ac:dyDescent="0.25">
      <c r="A16713" s="116" t="s">
        <v>26155</v>
      </c>
      <c r="B16713" s="117" t="s">
        <v>26143</v>
      </c>
      <c r="C16713" t="s">
        <v>67</v>
      </c>
      <c r="D16713" t="s">
        <v>67</v>
      </c>
      <c r="E16713" t="s">
        <v>67</v>
      </c>
      <c r="F16713" t="s">
        <v>27987</v>
      </c>
      <c r="G16713" s="117">
        <v>4.1500000000000004</v>
      </c>
    </row>
    <row r="16714" spans="1:7" x14ac:dyDescent="0.25">
      <c r="A16714" s="116" t="s">
        <v>26156</v>
      </c>
      <c r="B16714" s="117" t="s">
        <v>26143</v>
      </c>
      <c r="C16714" t="s">
        <v>67</v>
      </c>
      <c r="D16714" t="s">
        <v>67</v>
      </c>
      <c r="E16714" t="s">
        <v>67</v>
      </c>
      <c r="F16714" t="s">
        <v>49</v>
      </c>
      <c r="G16714" s="117">
        <v>3.14</v>
      </c>
    </row>
    <row r="16715" spans="1:7" x14ac:dyDescent="0.25">
      <c r="A16715" s="116" t="s">
        <v>26157</v>
      </c>
      <c r="B16715" s="117" t="s">
        <v>26143</v>
      </c>
      <c r="C16715" t="s">
        <v>67</v>
      </c>
      <c r="D16715" t="s">
        <v>67</v>
      </c>
      <c r="E16715" t="s">
        <v>67</v>
      </c>
      <c r="F16715" t="s">
        <v>45</v>
      </c>
      <c r="G16715" s="117">
        <v>4.7699999999999996</v>
      </c>
    </row>
    <row r="16716" spans="1:7" x14ac:dyDescent="0.25">
      <c r="A16716" s="116" t="s">
        <v>26158</v>
      </c>
      <c r="B16716" s="117" t="s">
        <v>26159</v>
      </c>
      <c r="C16716" t="s">
        <v>67</v>
      </c>
      <c r="D16716" t="s">
        <v>67</v>
      </c>
      <c r="E16716" t="s">
        <v>67</v>
      </c>
      <c r="F16716" t="s">
        <v>45</v>
      </c>
      <c r="G16716" s="117">
        <v>276.74</v>
      </c>
    </row>
    <row r="16717" spans="1:7" x14ac:dyDescent="0.25">
      <c r="A16717" s="116" t="s">
        <v>28065</v>
      </c>
      <c r="B16717" s="117" t="s">
        <v>29736</v>
      </c>
      <c r="C16717" t="s">
        <v>67</v>
      </c>
      <c r="D16717" t="s">
        <v>67</v>
      </c>
      <c r="E16717" t="s">
        <v>67</v>
      </c>
      <c r="F16717" t="s">
        <v>49</v>
      </c>
      <c r="G16717" s="117">
        <v>3.3</v>
      </c>
    </row>
    <row r="16718" spans="1:7" x14ac:dyDescent="0.25">
      <c r="A16718" s="116" t="s">
        <v>26160</v>
      </c>
      <c r="B16718" s="117" t="s">
        <v>26161</v>
      </c>
      <c r="C16718" t="s">
        <v>67</v>
      </c>
      <c r="D16718" t="s">
        <v>67</v>
      </c>
      <c r="E16718" t="s">
        <v>67</v>
      </c>
      <c r="F16718" t="s">
        <v>45</v>
      </c>
      <c r="G16718" s="117">
        <v>973.74</v>
      </c>
    </row>
    <row r="16719" spans="1:7" x14ac:dyDescent="0.25">
      <c r="A16719" s="116" t="s">
        <v>26162</v>
      </c>
      <c r="B16719" s="117" t="s">
        <v>26163</v>
      </c>
      <c r="C16719" t="s">
        <v>67</v>
      </c>
      <c r="D16719" t="s">
        <v>67</v>
      </c>
      <c r="E16719" t="s">
        <v>67</v>
      </c>
      <c r="F16719" t="s">
        <v>27987</v>
      </c>
      <c r="G16719" s="117">
        <v>187.97</v>
      </c>
    </row>
    <row r="16720" spans="1:7" x14ac:dyDescent="0.25">
      <c r="A16720" s="116" t="s">
        <v>26164</v>
      </c>
      <c r="B16720" s="117" t="s">
        <v>26165</v>
      </c>
      <c r="C16720" t="s">
        <v>67</v>
      </c>
      <c r="D16720" t="s">
        <v>67</v>
      </c>
      <c r="E16720" t="s">
        <v>67</v>
      </c>
      <c r="F16720" t="s">
        <v>45</v>
      </c>
      <c r="G16720" s="117">
        <v>2.58</v>
      </c>
    </row>
    <row r="16721" spans="1:7" x14ac:dyDescent="0.25">
      <c r="A16721" s="116" t="s">
        <v>26166</v>
      </c>
      <c r="B16721" s="117" t="s">
        <v>26167</v>
      </c>
      <c r="C16721" t="s">
        <v>67</v>
      </c>
      <c r="D16721" t="s">
        <v>67</v>
      </c>
      <c r="E16721" t="s">
        <v>67</v>
      </c>
      <c r="F16721" t="s">
        <v>45</v>
      </c>
      <c r="G16721" s="117">
        <v>0.89</v>
      </c>
    </row>
    <row r="16722" spans="1:7" x14ac:dyDescent="0.25">
      <c r="A16722" s="116" t="s">
        <v>26168</v>
      </c>
      <c r="B16722" s="117" t="s">
        <v>13234</v>
      </c>
      <c r="C16722" t="s">
        <v>67</v>
      </c>
      <c r="D16722" t="s">
        <v>67</v>
      </c>
      <c r="E16722" t="s">
        <v>67</v>
      </c>
      <c r="F16722" t="s">
        <v>45</v>
      </c>
      <c r="G16722" s="117">
        <v>0.8</v>
      </c>
    </row>
    <row r="16723" spans="1:7" x14ac:dyDescent="0.25">
      <c r="A16723" s="116" t="s">
        <v>26169</v>
      </c>
      <c r="B16723" s="117" t="s">
        <v>26170</v>
      </c>
      <c r="C16723" t="s">
        <v>67</v>
      </c>
      <c r="D16723" t="s">
        <v>67</v>
      </c>
      <c r="E16723" t="s">
        <v>67</v>
      </c>
      <c r="F16723" t="s">
        <v>45</v>
      </c>
      <c r="G16723" s="117">
        <v>1.33</v>
      </c>
    </row>
    <row r="16724" spans="1:7" x14ac:dyDescent="0.25">
      <c r="A16724" s="116" t="s">
        <v>26171</v>
      </c>
      <c r="B16724" s="117" t="s">
        <v>26172</v>
      </c>
      <c r="C16724" t="s">
        <v>67</v>
      </c>
      <c r="D16724" t="s">
        <v>67</v>
      </c>
      <c r="E16724" t="s">
        <v>67</v>
      </c>
      <c r="F16724" t="s">
        <v>45</v>
      </c>
      <c r="G16724" s="117">
        <v>0.44</v>
      </c>
    </row>
    <row r="16725" spans="1:7" x14ac:dyDescent="0.25">
      <c r="A16725" s="116" t="s">
        <v>26173</v>
      </c>
      <c r="B16725" s="117" t="s">
        <v>26174</v>
      </c>
      <c r="C16725" t="s">
        <v>67</v>
      </c>
      <c r="D16725" t="s">
        <v>67</v>
      </c>
      <c r="E16725" t="s">
        <v>67</v>
      </c>
      <c r="F16725" t="s">
        <v>45</v>
      </c>
      <c r="G16725" s="117">
        <v>0.44</v>
      </c>
    </row>
    <row r="16726" spans="1:7" x14ac:dyDescent="0.25">
      <c r="A16726" s="116" t="s">
        <v>26175</v>
      </c>
      <c r="B16726" s="117" t="s">
        <v>26170</v>
      </c>
      <c r="C16726" t="s">
        <v>67</v>
      </c>
      <c r="D16726" t="s">
        <v>67</v>
      </c>
      <c r="E16726" t="s">
        <v>67</v>
      </c>
      <c r="F16726" t="s">
        <v>45</v>
      </c>
      <c r="G16726" s="117">
        <v>0.8</v>
      </c>
    </row>
    <row r="16727" spans="1:7" x14ac:dyDescent="0.25">
      <c r="A16727" s="116" t="s">
        <v>26176</v>
      </c>
      <c r="B16727" s="117" t="s">
        <v>26177</v>
      </c>
      <c r="C16727" t="s">
        <v>67</v>
      </c>
      <c r="D16727" t="s">
        <v>67</v>
      </c>
      <c r="E16727" t="s">
        <v>67</v>
      </c>
      <c r="F16727" t="s">
        <v>45</v>
      </c>
      <c r="G16727" s="117">
        <v>1.33</v>
      </c>
    </row>
    <row r="16728" spans="1:7" x14ac:dyDescent="0.25">
      <c r="A16728" s="116" t="s">
        <v>26178</v>
      </c>
      <c r="B16728" s="117" t="s">
        <v>13236</v>
      </c>
      <c r="C16728" t="s">
        <v>67</v>
      </c>
      <c r="D16728" t="s">
        <v>67</v>
      </c>
      <c r="E16728" t="s">
        <v>67</v>
      </c>
      <c r="F16728" t="s">
        <v>45</v>
      </c>
      <c r="G16728" s="117">
        <v>0.8</v>
      </c>
    </row>
    <row r="16729" spans="1:7" x14ac:dyDescent="0.25">
      <c r="A16729" s="116" t="s">
        <v>26179</v>
      </c>
      <c r="B16729" s="117" t="s">
        <v>1247</v>
      </c>
      <c r="C16729" t="s">
        <v>67</v>
      </c>
      <c r="D16729" t="s">
        <v>67</v>
      </c>
      <c r="E16729" t="s">
        <v>67</v>
      </c>
      <c r="F16729" t="s">
        <v>45</v>
      </c>
      <c r="G16729" s="117">
        <v>0.89</v>
      </c>
    </row>
    <row r="16730" spans="1:7" x14ac:dyDescent="0.25">
      <c r="A16730" s="116" t="s">
        <v>26180</v>
      </c>
      <c r="B16730" s="117" t="s">
        <v>26181</v>
      </c>
      <c r="C16730" t="s">
        <v>67</v>
      </c>
      <c r="D16730" t="s">
        <v>67</v>
      </c>
      <c r="E16730" t="s">
        <v>67</v>
      </c>
      <c r="F16730" t="s">
        <v>45</v>
      </c>
      <c r="G16730" s="117">
        <v>35.5</v>
      </c>
    </row>
    <row r="16731" spans="1:7" x14ac:dyDescent="0.25">
      <c r="A16731" s="116" t="s">
        <v>26182</v>
      </c>
      <c r="B16731" s="117" t="s">
        <v>26183</v>
      </c>
      <c r="C16731" t="s">
        <v>67</v>
      </c>
      <c r="D16731" t="s">
        <v>67</v>
      </c>
      <c r="E16731" t="s">
        <v>67</v>
      </c>
      <c r="F16731" t="s">
        <v>45</v>
      </c>
      <c r="G16731" s="117">
        <v>0.89</v>
      </c>
    </row>
    <row r="16732" spans="1:7" x14ac:dyDescent="0.25">
      <c r="A16732" s="116" t="s">
        <v>26184</v>
      </c>
      <c r="B16732" s="117" t="s">
        <v>26185</v>
      </c>
      <c r="C16732" t="s">
        <v>67</v>
      </c>
      <c r="D16732" t="s">
        <v>67</v>
      </c>
      <c r="E16732" t="s">
        <v>67</v>
      </c>
      <c r="F16732" t="s">
        <v>45</v>
      </c>
      <c r="G16732" s="117">
        <v>0.8</v>
      </c>
    </row>
    <row r="16733" spans="1:7" x14ac:dyDescent="0.25">
      <c r="A16733" s="116" t="s">
        <v>26186</v>
      </c>
      <c r="B16733" s="117" t="s">
        <v>13239</v>
      </c>
      <c r="C16733" t="s">
        <v>67</v>
      </c>
      <c r="D16733" t="s">
        <v>67</v>
      </c>
      <c r="E16733" t="s">
        <v>67</v>
      </c>
      <c r="F16733" t="s">
        <v>45</v>
      </c>
      <c r="G16733" s="117">
        <v>0.44</v>
      </c>
    </row>
    <row r="16734" spans="1:7" x14ac:dyDescent="0.25">
      <c r="A16734" s="116" t="s">
        <v>26187</v>
      </c>
      <c r="B16734" s="117" t="s">
        <v>13241</v>
      </c>
      <c r="C16734" t="s">
        <v>67</v>
      </c>
      <c r="D16734" t="s">
        <v>67</v>
      </c>
      <c r="E16734" t="s">
        <v>67</v>
      </c>
      <c r="F16734" t="s">
        <v>45</v>
      </c>
      <c r="G16734" s="117">
        <v>0.8</v>
      </c>
    </row>
    <row r="16735" spans="1:7" x14ac:dyDescent="0.25">
      <c r="A16735" s="116" t="s">
        <v>26188</v>
      </c>
      <c r="B16735" s="117" t="s">
        <v>2210</v>
      </c>
      <c r="C16735" t="s">
        <v>67</v>
      </c>
      <c r="D16735" t="s">
        <v>67</v>
      </c>
      <c r="E16735" t="s">
        <v>67</v>
      </c>
      <c r="F16735" t="s">
        <v>45</v>
      </c>
      <c r="G16735" s="117">
        <v>0.8</v>
      </c>
    </row>
    <row r="16736" spans="1:7" x14ac:dyDescent="0.25">
      <c r="A16736" s="116" t="s">
        <v>26189</v>
      </c>
      <c r="B16736" s="117" t="s">
        <v>3825</v>
      </c>
      <c r="C16736" t="s">
        <v>67</v>
      </c>
      <c r="D16736" t="s">
        <v>67</v>
      </c>
      <c r="E16736" t="s">
        <v>67</v>
      </c>
      <c r="F16736" t="s">
        <v>27987</v>
      </c>
      <c r="G16736" s="117">
        <v>0.8</v>
      </c>
    </row>
    <row r="16737" spans="1:7" x14ac:dyDescent="0.25">
      <c r="A16737" s="116" t="s">
        <v>26190</v>
      </c>
      <c r="B16737" s="117" t="s">
        <v>26191</v>
      </c>
      <c r="C16737" t="s">
        <v>67</v>
      </c>
      <c r="D16737" t="s">
        <v>67</v>
      </c>
      <c r="E16737" t="s">
        <v>67</v>
      </c>
      <c r="F16737" t="s">
        <v>45</v>
      </c>
      <c r="G16737" s="117">
        <v>62.2</v>
      </c>
    </row>
    <row r="16738" spans="1:7" x14ac:dyDescent="0.25">
      <c r="A16738" s="116" t="s">
        <v>29737</v>
      </c>
      <c r="B16738" s="117" t="s">
        <v>29738</v>
      </c>
      <c r="C16738" t="s">
        <v>67</v>
      </c>
      <c r="D16738" t="s">
        <v>67</v>
      </c>
      <c r="E16738" t="s">
        <v>67</v>
      </c>
      <c r="F16738" t="s">
        <v>45</v>
      </c>
      <c r="G16738" s="117">
        <v>0</v>
      </c>
    </row>
    <row r="16739" spans="1:7" x14ac:dyDescent="0.25">
      <c r="A16739" s="116" t="s">
        <v>26192</v>
      </c>
      <c r="B16739" s="117" t="s">
        <v>26193</v>
      </c>
      <c r="C16739" t="s">
        <v>67</v>
      </c>
      <c r="D16739" t="s">
        <v>67</v>
      </c>
      <c r="E16739" t="s">
        <v>67</v>
      </c>
      <c r="F16739" t="s">
        <v>27987</v>
      </c>
      <c r="G16739" s="117">
        <v>0.49</v>
      </c>
    </row>
    <row r="16740" spans="1:7" x14ac:dyDescent="0.25">
      <c r="A16740" s="116" t="s">
        <v>26194</v>
      </c>
      <c r="B16740" s="117" t="s">
        <v>26195</v>
      </c>
      <c r="C16740" t="s">
        <v>67</v>
      </c>
      <c r="D16740" t="s">
        <v>67</v>
      </c>
      <c r="E16740" t="s">
        <v>67</v>
      </c>
      <c r="F16740" t="s">
        <v>45</v>
      </c>
      <c r="G16740" s="117">
        <v>75.19</v>
      </c>
    </row>
    <row r="16741" spans="1:7" x14ac:dyDescent="0.25">
      <c r="A16741" s="116" t="s">
        <v>26196</v>
      </c>
      <c r="B16741" s="117" t="s">
        <v>3827</v>
      </c>
      <c r="C16741" t="s">
        <v>67</v>
      </c>
      <c r="D16741" t="s">
        <v>67</v>
      </c>
      <c r="E16741" t="s">
        <v>67</v>
      </c>
      <c r="F16741" t="s">
        <v>27987</v>
      </c>
      <c r="G16741" s="117">
        <v>33.369999999999997</v>
      </c>
    </row>
    <row r="16742" spans="1:7" x14ac:dyDescent="0.25">
      <c r="A16742" s="116" t="s">
        <v>26197</v>
      </c>
      <c r="B16742" s="117" t="s">
        <v>26198</v>
      </c>
      <c r="C16742" t="s">
        <v>67</v>
      </c>
      <c r="D16742" t="s">
        <v>67</v>
      </c>
      <c r="E16742" t="s">
        <v>67</v>
      </c>
      <c r="F16742" t="s">
        <v>27987</v>
      </c>
      <c r="G16742" s="117">
        <v>1.51</v>
      </c>
    </row>
    <row r="16743" spans="1:7" x14ac:dyDescent="0.25">
      <c r="A16743" s="116" t="s">
        <v>26199</v>
      </c>
      <c r="B16743" s="117" t="s">
        <v>13370</v>
      </c>
      <c r="C16743" t="s">
        <v>67</v>
      </c>
      <c r="D16743" t="s">
        <v>67</v>
      </c>
      <c r="E16743" t="s">
        <v>67</v>
      </c>
      <c r="F16743" t="s">
        <v>27987</v>
      </c>
      <c r="G16743" s="117">
        <v>33.369999999999997</v>
      </c>
    </row>
    <row r="16744" spans="1:7" x14ac:dyDescent="0.25">
      <c r="A16744" s="116" t="s">
        <v>26200</v>
      </c>
      <c r="B16744" s="117" t="s">
        <v>26165</v>
      </c>
      <c r="C16744" t="s">
        <v>67</v>
      </c>
      <c r="D16744" t="s">
        <v>67</v>
      </c>
      <c r="E16744" t="s">
        <v>67</v>
      </c>
      <c r="F16744" t="s">
        <v>27987</v>
      </c>
      <c r="G16744" s="117">
        <v>8.4499999999999993</v>
      </c>
    </row>
    <row r="16745" spans="1:7" x14ac:dyDescent="0.25">
      <c r="A16745" s="116" t="s">
        <v>26201</v>
      </c>
      <c r="B16745" s="117" t="s">
        <v>13370</v>
      </c>
      <c r="C16745" t="s">
        <v>67</v>
      </c>
      <c r="D16745" t="s">
        <v>67</v>
      </c>
      <c r="E16745" t="s">
        <v>67</v>
      </c>
      <c r="F16745" t="s">
        <v>27987</v>
      </c>
      <c r="G16745" s="117">
        <v>0.44</v>
      </c>
    </row>
    <row r="16746" spans="1:7" x14ac:dyDescent="0.25">
      <c r="A16746" s="116" t="s">
        <v>26202</v>
      </c>
      <c r="B16746" s="117" t="s">
        <v>26203</v>
      </c>
      <c r="C16746" t="s">
        <v>67</v>
      </c>
      <c r="D16746" t="s">
        <v>67</v>
      </c>
      <c r="E16746" t="s">
        <v>67</v>
      </c>
      <c r="F16746" t="s">
        <v>27987</v>
      </c>
      <c r="G16746" s="117">
        <v>66.680000000000007</v>
      </c>
    </row>
    <row r="16747" spans="1:7" x14ac:dyDescent="0.25">
      <c r="A16747" s="116" t="s">
        <v>26204</v>
      </c>
      <c r="B16747" s="117" t="s">
        <v>26205</v>
      </c>
      <c r="C16747" t="s">
        <v>67</v>
      </c>
      <c r="D16747" t="s">
        <v>67</v>
      </c>
      <c r="E16747" t="s">
        <v>67</v>
      </c>
      <c r="F16747" t="s">
        <v>27987</v>
      </c>
      <c r="G16747" s="117">
        <v>92.1</v>
      </c>
    </row>
    <row r="16748" spans="1:7" x14ac:dyDescent="0.25">
      <c r="A16748" s="116" t="s">
        <v>26206</v>
      </c>
      <c r="B16748" s="117" t="s">
        <v>26207</v>
      </c>
      <c r="C16748" t="s">
        <v>67</v>
      </c>
      <c r="D16748" t="s">
        <v>67</v>
      </c>
      <c r="E16748" t="s">
        <v>67</v>
      </c>
      <c r="F16748" t="s">
        <v>27987</v>
      </c>
      <c r="G16748" s="117">
        <v>70.94</v>
      </c>
    </row>
    <row r="16749" spans="1:7" x14ac:dyDescent="0.25">
      <c r="A16749" s="116" t="s">
        <v>26208</v>
      </c>
      <c r="B16749" s="117" t="s">
        <v>26209</v>
      </c>
      <c r="C16749" t="s">
        <v>67</v>
      </c>
      <c r="D16749" t="s">
        <v>67</v>
      </c>
      <c r="E16749" t="s">
        <v>67</v>
      </c>
      <c r="F16749" t="s">
        <v>27987</v>
      </c>
      <c r="G16749" s="117">
        <v>125.02</v>
      </c>
    </row>
    <row r="16750" spans="1:7" x14ac:dyDescent="0.25">
      <c r="A16750" s="116" t="s">
        <v>30609</v>
      </c>
      <c r="B16750" s="117" t="s">
        <v>30610</v>
      </c>
      <c r="C16750" t="s">
        <v>67</v>
      </c>
      <c r="D16750" t="s">
        <v>67</v>
      </c>
      <c r="E16750" t="s">
        <v>67</v>
      </c>
      <c r="F16750" t="s">
        <v>45</v>
      </c>
      <c r="G16750" s="117">
        <v>9999</v>
      </c>
    </row>
    <row r="16751" spans="1:7" x14ac:dyDescent="0.25">
      <c r="A16751" s="116" t="s">
        <v>30611</v>
      </c>
      <c r="B16751" s="117" t="s">
        <v>30612</v>
      </c>
      <c r="C16751" t="s">
        <v>67</v>
      </c>
      <c r="D16751" t="s">
        <v>67</v>
      </c>
      <c r="E16751" t="s">
        <v>67</v>
      </c>
      <c r="F16751" t="s">
        <v>45</v>
      </c>
      <c r="G16751" s="117">
        <v>9999</v>
      </c>
    </row>
    <row r="16752" spans="1:7" x14ac:dyDescent="0.25">
      <c r="A16752" s="116" t="s">
        <v>29840</v>
      </c>
      <c r="B16752" s="117" t="s">
        <v>30603</v>
      </c>
      <c r="C16752" t="s">
        <v>67</v>
      </c>
      <c r="D16752" t="s">
        <v>67</v>
      </c>
      <c r="E16752" t="s">
        <v>67</v>
      </c>
      <c r="F16752" t="s">
        <v>45</v>
      </c>
      <c r="G16752" s="117">
        <v>1500</v>
      </c>
    </row>
    <row r="16753" spans="1:7" x14ac:dyDescent="0.25">
      <c r="A16753" s="116" t="s">
        <v>26210</v>
      </c>
      <c r="B16753" s="117" t="s">
        <v>26211</v>
      </c>
      <c r="C16753" t="s">
        <v>67</v>
      </c>
      <c r="D16753" t="s">
        <v>67</v>
      </c>
      <c r="E16753" t="s">
        <v>67</v>
      </c>
      <c r="F16753" t="s">
        <v>27987</v>
      </c>
      <c r="G16753" s="117">
        <v>41.69</v>
      </c>
    </row>
    <row r="16754" spans="1:7" x14ac:dyDescent="0.25">
      <c r="A16754" s="116" t="s">
        <v>26212</v>
      </c>
      <c r="B16754" s="117" t="s">
        <v>26213</v>
      </c>
      <c r="C16754" t="s">
        <v>67</v>
      </c>
      <c r="D16754" t="s">
        <v>67</v>
      </c>
      <c r="E16754" t="s">
        <v>67</v>
      </c>
      <c r="F16754" t="s">
        <v>45</v>
      </c>
      <c r="G16754" s="117">
        <v>90.32</v>
      </c>
    </row>
    <row r="16755" spans="1:7" x14ac:dyDescent="0.25">
      <c r="A16755" s="116" t="s">
        <v>26214</v>
      </c>
      <c r="B16755" s="117" t="s">
        <v>26161</v>
      </c>
      <c r="C16755" t="s">
        <v>67</v>
      </c>
      <c r="D16755" t="s">
        <v>67</v>
      </c>
      <c r="E16755" t="s">
        <v>67</v>
      </c>
      <c r="F16755" t="s">
        <v>45</v>
      </c>
      <c r="G16755" s="117">
        <v>90.32</v>
      </c>
    </row>
    <row r="16756" spans="1:7" x14ac:dyDescent="0.25">
      <c r="A16756" s="116" t="s">
        <v>26215</v>
      </c>
      <c r="B16756" s="117" t="s">
        <v>26216</v>
      </c>
      <c r="C16756" t="s">
        <v>67</v>
      </c>
      <c r="D16756" t="s">
        <v>67</v>
      </c>
      <c r="E16756" t="s">
        <v>67</v>
      </c>
      <c r="F16756" t="s">
        <v>27987</v>
      </c>
      <c r="G16756" s="117">
        <v>74.2</v>
      </c>
    </row>
    <row r="16757" spans="1:7" x14ac:dyDescent="0.25">
      <c r="A16757" s="116" t="s">
        <v>26217</v>
      </c>
      <c r="B16757" s="117" t="s">
        <v>26218</v>
      </c>
      <c r="C16757" t="s">
        <v>67</v>
      </c>
      <c r="D16757" t="s">
        <v>67</v>
      </c>
      <c r="E16757" t="s">
        <v>67</v>
      </c>
      <c r="F16757" t="s">
        <v>27987</v>
      </c>
      <c r="G16757" s="117">
        <v>69.81</v>
      </c>
    </row>
    <row r="16758" spans="1:7" x14ac:dyDescent="0.25">
      <c r="A16758" s="116" t="s">
        <v>26219</v>
      </c>
      <c r="B16758" s="117" t="s">
        <v>26220</v>
      </c>
      <c r="C16758" t="s">
        <v>67</v>
      </c>
      <c r="D16758" t="s">
        <v>67</v>
      </c>
      <c r="E16758" t="s">
        <v>67</v>
      </c>
      <c r="F16758" t="s">
        <v>27987</v>
      </c>
      <c r="G16758" s="117">
        <v>332.7</v>
      </c>
    </row>
    <row r="16759" spans="1:7" x14ac:dyDescent="0.25">
      <c r="A16759" s="116" t="s">
        <v>28069</v>
      </c>
      <c r="B16759" s="117" t="s">
        <v>30037</v>
      </c>
      <c r="C16759" t="s">
        <v>67</v>
      </c>
      <c r="D16759" t="s">
        <v>67</v>
      </c>
      <c r="E16759" t="s">
        <v>67</v>
      </c>
      <c r="F16759" t="s">
        <v>27987</v>
      </c>
      <c r="G16759" s="117">
        <v>41.48</v>
      </c>
    </row>
    <row r="16760" spans="1:7" x14ac:dyDescent="0.25">
      <c r="A16760" s="116" t="s">
        <v>26221</v>
      </c>
      <c r="B16760" s="117" t="s">
        <v>26222</v>
      </c>
      <c r="C16760" t="s">
        <v>67</v>
      </c>
      <c r="D16760" t="s">
        <v>67</v>
      </c>
      <c r="E16760" t="s">
        <v>67</v>
      </c>
      <c r="F16760" t="s">
        <v>27987</v>
      </c>
      <c r="G16760" s="117">
        <v>21.26</v>
      </c>
    </row>
    <row r="16761" spans="1:7" x14ac:dyDescent="0.25">
      <c r="A16761" s="116" t="s">
        <v>26223</v>
      </c>
      <c r="B16761" s="117" t="s">
        <v>26224</v>
      </c>
      <c r="C16761" t="s">
        <v>67</v>
      </c>
      <c r="D16761" t="s">
        <v>67</v>
      </c>
      <c r="E16761" t="s">
        <v>67</v>
      </c>
      <c r="F16761" t="s">
        <v>27987</v>
      </c>
      <c r="G16761" s="117">
        <v>13.8</v>
      </c>
    </row>
    <row r="16762" spans="1:7" x14ac:dyDescent="0.25">
      <c r="A16762" s="116" t="s">
        <v>26225</v>
      </c>
      <c r="B16762" s="117" t="s">
        <v>26226</v>
      </c>
      <c r="C16762" t="s">
        <v>67</v>
      </c>
      <c r="D16762" t="s">
        <v>67</v>
      </c>
      <c r="E16762" t="s">
        <v>67</v>
      </c>
      <c r="F16762" t="s">
        <v>49</v>
      </c>
      <c r="G16762" s="117">
        <v>12.01</v>
      </c>
    </row>
    <row r="16763" spans="1:7" x14ac:dyDescent="0.25">
      <c r="A16763" s="116" t="s">
        <v>26227</v>
      </c>
      <c r="B16763" s="117" t="s">
        <v>26228</v>
      </c>
      <c r="C16763" t="s">
        <v>67</v>
      </c>
      <c r="D16763" t="s">
        <v>67</v>
      </c>
      <c r="E16763" t="s">
        <v>67</v>
      </c>
      <c r="F16763" t="s">
        <v>45</v>
      </c>
      <c r="G16763" s="117">
        <v>4</v>
      </c>
    </row>
    <row r="16764" spans="1:7" x14ac:dyDescent="0.25">
      <c r="A16764" s="116" t="s">
        <v>26229</v>
      </c>
      <c r="B16764" s="117" t="s">
        <v>26230</v>
      </c>
      <c r="C16764" t="s">
        <v>67</v>
      </c>
      <c r="D16764" t="s">
        <v>67</v>
      </c>
      <c r="E16764" t="s">
        <v>67</v>
      </c>
      <c r="F16764" t="s">
        <v>45</v>
      </c>
      <c r="G16764" s="117">
        <v>5.33</v>
      </c>
    </row>
    <row r="16765" spans="1:7" x14ac:dyDescent="0.25">
      <c r="A16765" s="116" t="s">
        <v>26231</v>
      </c>
      <c r="B16765" s="117" t="s">
        <v>26232</v>
      </c>
      <c r="C16765" t="s">
        <v>67</v>
      </c>
      <c r="D16765" t="s">
        <v>67</v>
      </c>
      <c r="E16765" t="s">
        <v>67</v>
      </c>
      <c r="F16765" t="s">
        <v>49</v>
      </c>
      <c r="G16765" s="117">
        <v>7.56</v>
      </c>
    </row>
    <row r="16766" spans="1:7" x14ac:dyDescent="0.25">
      <c r="A16766" s="116" t="s">
        <v>26233</v>
      </c>
      <c r="B16766" s="117" t="s">
        <v>26224</v>
      </c>
      <c r="C16766" t="s">
        <v>67</v>
      </c>
      <c r="D16766" t="s">
        <v>67</v>
      </c>
      <c r="E16766" t="s">
        <v>67</v>
      </c>
      <c r="F16766" t="s">
        <v>49</v>
      </c>
      <c r="G16766" s="117">
        <v>10.58</v>
      </c>
    </row>
    <row r="16767" spans="1:7" x14ac:dyDescent="0.25">
      <c r="A16767" s="116" t="s">
        <v>26234</v>
      </c>
      <c r="B16767" s="117" t="s">
        <v>26235</v>
      </c>
      <c r="C16767" t="s">
        <v>67</v>
      </c>
      <c r="D16767" t="s">
        <v>67</v>
      </c>
      <c r="E16767" t="s">
        <v>67</v>
      </c>
      <c r="F16767" t="s">
        <v>45</v>
      </c>
      <c r="G16767" s="117">
        <v>31.94</v>
      </c>
    </row>
    <row r="16768" spans="1:7" x14ac:dyDescent="0.25">
      <c r="A16768" s="116" t="s">
        <v>26236</v>
      </c>
      <c r="B16768" s="117" t="s">
        <v>29739</v>
      </c>
      <c r="C16768" t="s">
        <v>67</v>
      </c>
      <c r="D16768" t="s">
        <v>67</v>
      </c>
      <c r="E16768" t="s">
        <v>67</v>
      </c>
      <c r="F16768" t="s">
        <v>45</v>
      </c>
      <c r="G16768" s="117">
        <v>5.79</v>
      </c>
    </row>
    <row r="16769" spans="1:7" x14ac:dyDescent="0.25">
      <c r="A16769" s="116" t="s">
        <v>26237</v>
      </c>
      <c r="B16769" s="117" t="s">
        <v>26235</v>
      </c>
      <c r="C16769" t="s">
        <v>67</v>
      </c>
      <c r="D16769" t="s">
        <v>67</v>
      </c>
      <c r="E16769" t="s">
        <v>67</v>
      </c>
      <c r="F16769" t="s">
        <v>45</v>
      </c>
      <c r="G16769" s="117">
        <v>2.58</v>
      </c>
    </row>
    <row r="16770" spans="1:7" x14ac:dyDescent="0.25">
      <c r="A16770" s="116" t="s">
        <v>26238</v>
      </c>
      <c r="B16770" s="117" t="s">
        <v>26239</v>
      </c>
      <c r="C16770" t="s">
        <v>67</v>
      </c>
      <c r="D16770" t="s">
        <v>67</v>
      </c>
      <c r="E16770" t="s">
        <v>67</v>
      </c>
      <c r="F16770" t="s">
        <v>45</v>
      </c>
      <c r="G16770" s="117">
        <v>4.8899999999999997</v>
      </c>
    </row>
    <row r="16771" spans="1:7" x14ac:dyDescent="0.25">
      <c r="A16771" s="116" t="s">
        <v>26240</v>
      </c>
      <c r="B16771" s="117" t="s">
        <v>26241</v>
      </c>
      <c r="C16771" t="s">
        <v>67</v>
      </c>
      <c r="D16771" t="s">
        <v>67</v>
      </c>
      <c r="E16771" t="s">
        <v>67</v>
      </c>
      <c r="F16771" t="s">
        <v>27987</v>
      </c>
      <c r="G16771" s="117">
        <v>41.74</v>
      </c>
    </row>
    <row r="16772" spans="1:7" x14ac:dyDescent="0.25">
      <c r="A16772" s="116" t="s">
        <v>26242</v>
      </c>
      <c r="B16772" s="117" t="s">
        <v>26243</v>
      </c>
      <c r="C16772" t="s">
        <v>67</v>
      </c>
      <c r="D16772" t="s">
        <v>67</v>
      </c>
      <c r="E16772" t="s">
        <v>67</v>
      </c>
      <c r="F16772" t="s">
        <v>27987</v>
      </c>
      <c r="G16772" s="117">
        <v>109.89</v>
      </c>
    </row>
    <row r="16773" spans="1:7" x14ac:dyDescent="0.25">
      <c r="A16773" s="116" t="s">
        <v>26244</v>
      </c>
      <c r="B16773" s="117" t="s">
        <v>26245</v>
      </c>
      <c r="C16773" t="s">
        <v>67</v>
      </c>
      <c r="D16773" t="s">
        <v>67</v>
      </c>
      <c r="E16773" t="s">
        <v>67</v>
      </c>
      <c r="F16773" t="s">
        <v>27987</v>
      </c>
      <c r="G16773" s="117">
        <v>17.36</v>
      </c>
    </row>
    <row r="16774" spans="1:7" x14ac:dyDescent="0.25">
      <c r="A16774" s="116" t="s">
        <v>26246</v>
      </c>
      <c r="B16774" s="117" t="s">
        <v>26247</v>
      </c>
      <c r="C16774" t="s">
        <v>67</v>
      </c>
      <c r="D16774" t="s">
        <v>67</v>
      </c>
      <c r="E16774" t="s">
        <v>67</v>
      </c>
      <c r="F16774" t="s">
        <v>27987</v>
      </c>
      <c r="G16774" s="117">
        <v>23.58</v>
      </c>
    </row>
    <row r="16775" spans="1:7" x14ac:dyDescent="0.25">
      <c r="A16775" s="116" t="s">
        <v>26248</v>
      </c>
      <c r="B16775" s="117" t="s">
        <v>26249</v>
      </c>
      <c r="C16775" t="s">
        <v>67</v>
      </c>
      <c r="D16775" t="s">
        <v>67</v>
      </c>
      <c r="E16775" t="s">
        <v>67</v>
      </c>
      <c r="F16775" t="s">
        <v>27987</v>
      </c>
      <c r="G16775" s="117">
        <v>20.38</v>
      </c>
    </row>
    <row r="16776" spans="1:7" x14ac:dyDescent="0.25">
      <c r="A16776" s="116" t="s">
        <v>26250</v>
      </c>
      <c r="B16776" s="117" t="s">
        <v>26245</v>
      </c>
      <c r="C16776" t="s">
        <v>67</v>
      </c>
      <c r="D16776" t="s">
        <v>67</v>
      </c>
      <c r="E16776" t="s">
        <v>67</v>
      </c>
      <c r="F16776" t="s">
        <v>45</v>
      </c>
      <c r="G16776" s="117">
        <v>0.8</v>
      </c>
    </row>
    <row r="16777" spans="1:7" x14ac:dyDescent="0.25">
      <c r="A16777" s="116" t="s">
        <v>26251</v>
      </c>
      <c r="B16777" s="117" t="s">
        <v>26252</v>
      </c>
      <c r="C16777" t="s">
        <v>67</v>
      </c>
      <c r="D16777" t="s">
        <v>67</v>
      </c>
      <c r="E16777" t="s">
        <v>67</v>
      </c>
      <c r="F16777" t="s">
        <v>27987</v>
      </c>
      <c r="G16777" s="117">
        <v>3.56</v>
      </c>
    </row>
    <row r="16778" spans="1:7" x14ac:dyDescent="0.25">
      <c r="A16778" s="116" t="s">
        <v>26253</v>
      </c>
      <c r="B16778" s="117" t="s">
        <v>26254</v>
      </c>
      <c r="C16778" t="s">
        <v>67</v>
      </c>
      <c r="D16778" t="s">
        <v>67</v>
      </c>
      <c r="E16778" t="s">
        <v>67</v>
      </c>
      <c r="F16778" t="s">
        <v>27987</v>
      </c>
      <c r="G16778" s="117">
        <v>202.8</v>
      </c>
    </row>
    <row r="16779" spans="1:7" x14ac:dyDescent="0.25">
      <c r="A16779" s="116" t="s">
        <v>26255</v>
      </c>
      <c r="B16779" s="117" t="s">
        <v>26256</v>
      </c>
      <c r="C16779" t="s">
        <v>67</v>
      </c>
      <c r="D16779" t="s">
        <v>67</v>
      </c>
      <c r="E16779" t="s">
        <v>67</v>
      </c>
      <c r="F16779" t="s">
        <v>27987</v>
      </c>
      <c r="G16779" s="117">
        <v>5.25</v>
      </c>
    </row>
    <row r="16780" spans="1:7" x14ac:dyDescent="0.25">
      <c r="A16780" s="116" t="s">
        <v>26257</v>
      </c>
      <c r="B16780" s="117" t="s">
        <v>26258</v>
      </c>
      <c r="C16780" t="s">
        <v>67</v>
      </c>
      <c r="D16780" t="s">
        <v>67</v>
      </c>
      <c r="E16780" t="s">
        <v>67</v>
      </c>
      <c r="F16780" t="s">
        <v>27987</v>
      </c>
      <c r="G16780" s="117">
        <v>238.92</v>
      </c>
    </row>
    <row r="16781" spans="1:7" x14ac:dyDescent="0.25">
      <c r="A16781" s="116" t="s">
        <v>26259</v>
      </c>
      <c r="B16781" s="117" t="s">
        <v>26260</v>
      </c>
      <c r="C16781" t="s">
        <v>67</v>
      </c>
      <c r="D16781" t="s">
        <v>67</v>
      </c>
      <c r="E16781" t="s">
        <v>67</v>
      </c>
      <c r="F16781" t="s">
        <v>27987</v>
      </c>
      <c r="G16781" s="117">
        <v>18.600000000000001</v>
      </c>
    </row>
    <row r="16782" spans="1:7" x14ac:dyDescent="0.25">
      <c r="A16782" s="116" t="s">
        <v>26261</v>
      </c>
      <c r="B16782" s="117" t="s">
        <v>26262</v>
      </c>
      <c r="C16782" t="s">
        <v>67</v>
      </c>
      <c r="D16782" t="s">
        <v>67</v>
      </c>
      <c r="E16782" t="s">
        <v>67</v>
      </c>
      <c r="F16782" t="s">
        <v>27987</v>
      </c>
      <c r="G16782" s="117">
        <v>11.48</v>
      </c>
    </row>
    <row r="16783" spans="1:7" x14ac:dyDescent="0.25">
      <c r="A16783" s="116" t="s">
        <v>26263</v>
      </c>
      <c r="B16783" s="117" t="s">
        <v>26264</v>
      </c>
      <c r="C16783" t="s">
        <v>67</v>
      </c>
      <c r="D16783" t="s">
        <v>67</v>
      </c>
      <c r="E16783" t="s">
        <v>67</v>
      </c>
      <c r="F16783" t="s">
        <v>27987</v>
      </c>
      <c r="G16783" s="117">
        <v>12.37</v>
      </c>
    </row>
    <row r="16784" spans="1:7" x14ac:dyDescent="0.25">
      <c r="A16784" s="116" t="s">
        <v>26265</v>
      </c>
      <c r="B16784" s="117" t="s">
        <v>26266</v>
      </c>
      <c r="C16784" t="s">
        <v>67</v>
      </c>
      <c r="D16784" t="s">
        <v>67</v>
      </c>
      <c r="E16784" t="s">
        <v>67</v>
      </c>
      <c r="F16784" t="s">
        <v>27987</v>
      </c>
      <c r="G16784" s="117">
        <v>36.93</v>
      </c>
    </row>
    <row r="16785" spans="1:7" x14ac:dyDescent="0.25">
      <c r="A16785" s="116" t="s">
        <v>26267</v>
      </c>
      <c r="B16785" s="117" t="s">
        <v>26268</v>
      </c>
      <c r="C16785" t="s">
        <v>67</v>
      </c>
      <c r="D16785" t="s">
        <v>67</v>
      </c>
      <c r="E16785" t="s">
        <v>67</v>
      </c>
      <c r="F16785" t="s">
        <v>27987</v>
      </c>
      <c r="G16785" s="117">
        <v>69.319999999999993</v>
      </c>
    </row>
    <row r="16786" spans="1:7" x14ac:dyDescent="0.25">
      <c r="A16786" s="116" t="s">
        <v>26269</v>
      </c>
      <c r="B16786" s="117" t="s">
        <v>26270</v>
      </c>
      <c r="C16786" t="s">
        <v>67</v>
      </c>
      <c r="D16786" t="s">
        <v>67</v>
      </c>
      <c r="E16786" t="s">
        <v>67</v>
      </c>
      <c r="F16786" t="s">
        <v>27987</v>
      </c>
      <c r="G16786" s="117">
        <v>69.319999999999993</v>
      </c>
    </row>
    <row r="16787" spans="1:7" x14ac:dyDescent="0.25">
      <c r="A16787" s="116" t="s">
        <v>26271</v>
      </c>
      <c r="B16787" s="117" t="s">
        <v>26272</v>
      </c>
      <c r="C16787" t="s">
        <v>67</v>
      </c>
      <c r="D16787" t="s">
        <v>67</v>
      </c>
      <c r="E16787" t="s">
        <v>67</v>
      </c>
      <c r="F16787" t="s">
        <v>27987</v>
      </c>
      <c r="G16787" s="117">
        <v>4</v>
      </c>
    </row>
    <row r="16788" spans="1:7" x14ac:dyDescent="0.25">
      <c r="A16788" s="116" t="s">
        <v>26273</v>
      </c>
      <c r="B16788" s="117" t="s">
        <v>26274</v>
      </c>
      <c r="C16788" t="s">
        <v>67</v>
      </c>
      <c r="D16788" t="s">
        <v>67</v>
      </c>
      <c r="E16788" t="s">
        <v>67</v>
      </c>
      <c r="F16788" t="s">
        <v>27987</v>
      </c>
      <c r="G16788" s="117">
        <v>48.5</v>
      </c>
    </row>
    <row r="16789" spans="1:7" x14ac:dyDescent="0.25">
      <c r="A16789" s="116" t="s">
        <v>26275</v>
      </c>
      <c r="B16789" s="117" t="s">
        <v>26276</v>
      </c>
      <c r="C16789" t="s">
        <v>67</v>
      </c>
      <c r="D16789" t="s">
        <v>67</v>
      </c>
      <c r="E16789" t="s">
        <v>67</v>
      </c>
      <c r="F16789" t="s">
        <v>27987</v>
      </c>
      <c r="G16789" s="117">
        <v>4.3600000000000003</v>
      </c>
    </row>
    <row r="16790" spans="1:7" x14ac:dyDescent="0.25">
      <c r="A16790" s="116" t="s">
        <v>26277</v>
      </c>
      <c r="B16790" s="117" t="s">
        <v>26278</v>
      </c>
      <c r="C16790" t="s">
        <v>67</v>
      </c>
      <c r="D16790" t="s">
        <v>67</v>
      </c>
      <c r="E16790" t="s">
        <v>67</v>
      </c>
      <c r="F16790" t="s">
        <v>27987</v>
      </c>
      <c r="G16790" s="117">
        <v>4</v>
      </c>
    </row>
    <row r="16791" spans="1:7" x14ac:dyDescent="0.25">
      <c r="A16791" s="116" t="s">
        <v>26279</v>
      </c>
      <c r="B16791" s="117" t="s">
        <v>26280</v>
      </c>
      <c r="C16791" t="s">
        <v>67</v>
      </c>
      <c r="D16791" t="s">
        <v>67</v>
      </c>
      <c r="E16791" t="s">
        <v>67</v>
      </c>
      <c r="F16791" t="s">
        <v>27987</v>
      </c>
      <c r="G16791" s="117">
        <v>4</v>
      </c>
    </row>
    <row r="16792" spans="1:7" x14ac:dyDescent="0.25">
      <c r="A16792" s="116" t="s">
        <v>26281</v>
      </c>
      <c r="B16792" s="117" t="s">
        <v>26282</v>
      </c>
      <c r="C16792" t="s">
        <v>67</v>
      </c>
      <c r="D16792" t="s">
        <v>67</v>
      </c>
      <c r="E16792" t="s">
        <v>67</v>
      </c>
      <c r="F16792" t="s">
        <v>27987</v>
      </c>
      <c r="G16792" s="117">
        <v>125.38</v>
      </c>
    </row>
    <row r="16793" spans="1:7" x14ac:dyDescent="0.25">
      <c r="A16793" s="116" t="s">
        <v>26283</v>
      </c>
      <c r="B16793" s="117" t="s">
        <v>26284</v>
      </c>
      <c r="C16793" t="s">
        <v>67</v>
      </c>
      <c r="D16793" t="s">
        <v>67</v>
      </c>
      <c r="E16793" t="s">
        <v>67</v>
      </c>
      <c r="F16793" t="s">
        <v>27987</v>
      </c>
      <c r="G16793" s="117">
        <v>47.61</v>
      </c>
    </row>
    <row r="16794" spans="1:7" x14ac:dyDescent="0.25">
      <c r="A16794" s="116" t="s">
        <v>26285</v>
      </c>
      <c r="B16794" s="117" t="s">
        <v>26286</v>
      </c>
      <c r="C16794" t="s">
        <v>67</v>
      </c>
      <c r="D16794" t="s">
        <v>67</v>
      </c>
      <c r="E16794" t="s">
        <v>67</v>
      </c>
      <c r="F16794" t="s">
        <v>27987</v>
      </c>
      <c r="G16794" s="117">
        <v>5.25</v>
      </c>
    </row>
    <row r="16795" spans="1:7" x14ac:dyDescent="0.25">
      <c r="A16795" s="116" t="s">
        <v>26287</v>
      </c>
      <c r="B16795" s="117" t="s">
        <v>26288</v>
      </c>
      <c r="C16795" t="s">
        <v>67</v>
      </c>
      <c r="D16795" t="s">
        <v>67</v>
      </c>
      <c r="E16795" t="s">
        <v>67</v>
      </c>
      <c r="F16795" t="s">
        <v>27987</v>
      </c>
      <c r="G16795" s="117">
        <v>3.12</v>
      </c>
    </row>
    <row r="16796" spans="1:7" x14ac:dyDescent="0.25">
      <c r="A16796" s="116" t="s">
        <v>26289</v>
      </c>
      <c r="B16796" s="117" t="s">
        <v>26290</v>
      </c>
      <c r="C16796" t="s">
        <v>67</v>
      </c>
      <c r="D16796" t="s">
        <v>67</v>
      </c>
      <c r="E16796" t="s">
        <v>67</v>
      </c>
      <c r="F16796" t="s">
        <v>27987</v>
      </c>
      <c r="G16796" s="117">
        <v>4.3600000000000003</v>
      </c>
    </row>
    <row r="16797" spans="1:7" x14ac:dyDescent="0.25">
      <c r="A16797" s="116" t="s">
        <v>26291</v>
      </c>
      <c r="B16797" s="117" t="s">
        <v>26292</v>
      </c>
      <c r="C16797" t="s">
        <v>67</v>
      </c>
      <c r="D16797" t="s">
        <v>67</v>
      </c>
      <c r="E16797" t="s">
        <v>67</v>
      </c>
      <c r="F16797" t="s">
        <v>27987</v>
      </c>
      <c r="G16797" s="117">
        <v>0.44</v>
      </c>
    </row>
    <row r="16798" spans="1:7" x14ac:dyDescent="0.25">
      <c r="A16798" s="116" t="s">
        <v>26293</v>
      </c>
      <c r="B16798" s="117" t="s">
        <v>26294</v>
      </c>
      <c r="C16798" t="s">
        <v>67</v>
      </c>
      <c r="D16798" t="s">
        <v>67</v>
      </c>
      <c r="E16798" t="s">
        <v>67</v>
      </c>
      <c r="F16798" t="s">
        <v>27987</v>
      </c>
      <c r="G16798" s="117">
        <v>11.48</v>
      </c>
    </row>
    <row r="16799" spans="1:7" x14ac:dyDescent="0.25">
      <c r="A16799" s="116" t="s">
        <v>26295</v>
      </c>
      <c r="B16799" s="117" t="s">
        <v>26296</v>
      </c>
      <c r="C16799" t="s">
        <v>67</v>
      </c>
      <c r="D16799" t="s">
        <v>67</v>
      </c>
      <c r="E16799" t="s">
        <v>67</v>
      </c>
      <c r="F16799" t="s">
        <v>27987</v>
      </c>
      <c r="G16799" s="117">
        <v>15.04</v>
      </c>
    </row>
    <row r="16800" spans="1:7" x14ac:dyDescent="0.25">
      <c r="A16800" s="116" t="s">
        <v>26297</v>
      </c>
      <c r="B16800" s="117" t="s">
        <v>26296</v>
      </c>
      <c r="C16800" t="s">
        <v>67</v>
      </c>
      <c r="D16800" t="s">
        <v>67</v>
      </c>
      <c r="E16800" t="s">
        <v>67</v>
      </c>
      <c r="F16800" t="s">
        <v>27987</v>
      </c>
      <c r="G16800" s="117">
        <v>12.01</v>
      </c>
    </row>
    <row r="16801" spans="1:7" x14ac:dyDescent="0.25">
      <c r="A16801" s="116" t="s">
        <v>26298</v>
      </c>
      <c r="B16801" s="117" t="s">
        <v>26299</v>
      </c>
      <c r="C16801" t="s">
        <v>67</v>
      </c>
      <c r="D16801" t="s">
        <v>67</v>
      </c>
      <c r="E16801" t="s">
        <v>67</v>
      </c>
      <c r="F16801" t="s">
        <v>27987</v>
      </c>
      <c r="G16801" s="117">
        <v>10.92</v>
      </c>
    </row>
    <row r="16802" spans="1:7" x14ac:dyDescent="0.25">
      <c r="A16802" s="116" t="s">
        <v>26300</v>
      </c>
      <c r="B16802" s="117" t="s">
        <v>26301</v>
      </c>
      <c r="C16802" t="s">
        <v>67</v>
      </c>
      <c r="D16802" t="s">
        <v>67</v>
      </c>
      <c r="E16802" t="s">
        <v>67</v>
      </c>
      <c r="F16802" t="s">
        <v>27987</v>
      </c>
      <c r="G16802" s="117">
        <v>1</v>
      </c>
    </row>
    <row r="16803" spans="1:7" x14ac:dyDescent="0.25">
      <c r="A16803" s="116" t="s">
        <v>26302</v>
      </c>
      <c r="B16803" s="117" t="s">
        <v>26303</v>
      </c>
      <c r="C16803" t="s">
        <v>67</v>
      </c>
      <c r="D16803" t="s">
        <v>67</v>
      </c>
      <c r="E16803" t="s">
        <v>67</v>
      </c>
      <c r="F16803" t="s">
        <v>27987</v>
      </c>
      <c r="G16803" s="117">
        <v>250.25</v>
      </c>
    </row>
    <row r="16804" spans="1:7" x14ac:dyDescent="0.25">
      <c r="A16804" s="116" t="s">
        <v>26304</v>
      </c>
      <c r="B16804" s="117" t="s">
        <v>29740</v>
      </c>
      <c r="C16804" t="s">
        <v>67</v>
      </c>
      <c r="D16804" t="s">
        <v>67</v>
      </c>
      <c r="E16804" t="s">
        <v>67</v>
      </c>
      <c r="F16804" t="s">
        <v>27987</v>
      </c>
      <c r="G16804" s="117">
        <v>16.829999999999998</v>
      </c>
    </row>
    <row r="16805" spans="1:7" x14ac:dyDescent="0.25">
      <c r="A16805" s="116" t="s">
        <v>26305</v>
      </c>
      <c r="B16805" s="117" t="s">
        <v>26306</v>
      </c>
      <c r="C16805" t="s">
        <v>67</v>
      </c>
      <c r="D16805" t="s">
        <v>67</v>
      </c>
      <c r="E16805" t="s">
        <v>67</v>
      </c>
      <c r="F16805" t="s">
        <v>27987</v>
      </c>
      <c r="G16805" s="117">
        <v>38.549999999999997</v>
      </c>
    </row>
    <row r="16806" spans="1:7" x14ac:dyDescent="0.25">
      <c r="A16806" s="116" t="s">
        <v>26307</v>
      </c>
      <c r="B16806" s="117" t="s">
        <v>26308</v>
      </c>
      <c r="C16806" t="s">
        <v>67</v>
      </c>
      <c r="D16806" t="s">
        <v>67</v>
      </c>
      <c r="E16806" t="s">
        <v>67</v>
      </c>
      <c r="F16806" t="s">
        <v>27987</v>
      </c>
      <c r="G16806" s="117">
        <v>72.58</v>
      </c>
    </row>
    <row r="16807" spans="1:7" x14ac:dyDescent="0.25">
      <c r="A16807" s="116" t="s">
        <v>26309</v>
      </c>
      <c r="B16807" s="117" t="s">
        <v>26310</v>
      </c>
      <c r="C16807" t="s">
        <v>67</v>
      </c>
      <c r="D16807" t="s">
        <v>67</v>
      </c>
      <c r="E16807" t="s">
        <v>67</v>
      </c>
      <c r="F16807" t="s">
        <v>27987</v>
      </c>
      <c r="G16807" s="117">
        <v>131.09</v>
      </c>
    </row>
    <row r="16808" spans="1:7" x14ac:dyDescent="0.25">
      <c r="A16808" s="116" t="s">
        <v>26311</v>
      </c>
      <c r="B16808" s="117" t="s">
        <v>26312</v>
      </c>
      <c r="C16808" t="s">
        <v>67</v>
      </c>
      <c r="D16808" t="s">
        <v>67</v>
      </c>
      <c r="E16808" t="s">
        <v>67</v>
      </c>
      <c r="F16808" t="s">
        <v>27987</v>
      </c>
      <c r="G16808" s="117">
        <v>4.3899999999999997</v>
      </c>
    </row>
    <row r="16809" spans="1:7" x14ac:dyDescent="0.25">
      <c r="A16809" s="116" t="s">
        <v>26313</v>
      </c>
      <c r="B16809" s="117" t="s">
        <v>26314</v>
      </c>
      <c r="C16809" t="s">
        <v>67</v>
      </c>
      <c r="D16809" t="s">
        <v>67</v>
      </c>
      <c r="E16809" t="s">
        <v>67</v>
      </c>
      <c r="F16809" t="s">
        <v>27987</v>
      </c>
      <c r="G16809" s="117">
        <v>371.54</v>
      </c>
    </row>
    <row r="16810" spans="1:7" x14ac:dyDescent="0.25">
      <c r="A16810" s="116" t="s">
        <v>26925</v>
      </c>
      <c r="B16810" s="117" t="s">
        <v>26926</v>
      </c>
      <c r="C16810" t="s">
        <v>67</v>
      </c>
      <c r="D16810" t="s">
        <v>67</v>
      </c>
      <c r="E16810" t="s">
        <v>67</v>
      </c>
      <c r="F16810" t="s">
        <v>27987</v>
      </c>
      <c r="G16810" s="117">
        <v>3.55</v>
      </c>
    </row>
    <row r="16811" spans="1:7" x14ac:dyDescent="0.25">
      <c r="A16811" s="116" t="s">
        <v>26927</v>
      </c>
      <c r="B16811" s="117" t="s">
        <v>26928</v>
      </c>
      <c r="C16811" t="s">
        <v>67</v>
      </c>
      <c r="D16811" t="s">
        <v>67</v>
      </c>
      <c r="E16811" t="s">
        <v>67</v>
      </c>
      <c r="F16811" t="s">
        <v>27987</v>
      </c>
      <c r="G16811" s="117">
        <v>3.08</v>
      </c>
    </row>
    <row r="16812" spans="1:7" x14ac:dyDescent="0.25">
      <c r="A16812" s="116" t="s">
        <v>26929</v>
      </c>
      <c r="B16812" s="117" t="s">
        <v>26930</v>
      </c>
      <c r="C16812" t="s">
        <v>67</v>
      </c>
      <c r="D16812" t="s">
        <v>67</v>
      </c>
      <c r="E16812" t="s">
        <v>67</v>
      </c>
      <c r="F16812" t="s">
        <v>45</v>
      </c>
      <c r="G16812" s="117">
        <v>27.1</v>
      </c>
    </row>
    <row r="16813" spans="1:7" x14ac:dyDescent="0.25">
      <c r="A16813" s="116" t="s">
        <v>26931</v>
      </c>
      <c r="B16813" s="117" t="s">
        <v>26932</v>
      </c>
      <c r="C16813" t="s">
        <v>67</v>
      </c>
      <c r="D16813" t="s">
        <v>67</v>
      </c>
      <c r="E16813" t="s">
        <v>67</v>
      </c>
      <c r="F16813" t="s">
        <v>27987</v>
      </c>
      <c r="G16813" s="117">
        <v>2.48</v>
      </c>
    </row>
    <row r="16814" spans="1:7" x14ac:dyDescent="0.25">
      <c r="A16814" s="116" t="s">
        <v>26315</v>
      </c>
      <c r="B16814" s="117" t="s">
        <v>26316</v>
      </c>
      <c r="C16814" t="s">
        <v>67</v>
      </c>
      <c r="D16814" t="s">
        <v>67</v>
      </c>
      <c r="E16814" t="s">
        <v>67</v>
      </c>
      <c r="F16814" t="s">
        <v>27987</v>
      </c>
      <c r="G16814" s="117">
        <v>15.44</v>
      </c>
    </row>
    <row r="16815" spans="1:7" x14ac:dyDescent="0.25">
      <c r="A16815" s="116" t="s">
        <v>26317</v>
      </c>
      <c r="B16815" s="117" t="s">
        <v>26318</v>
      </c>
      <c r="C16815" t="s">
        <v>67</v>
      </c>
      <c r="D16815" t="s">
        <v>67</v>
      </c>
      <c r="E16815" t="s">
        <v>67</v>
      </c>
      <c r="F16815" t="s">
        <v>27987</v>
      </c>
      <c r="G16815" s="117">
        <v>72.95</v>
      </c>
    </row>
    <row r="16816" spans="1:7" x14ac:dyDescent="0.25">
      <c r="A16816" s="116" t="s">
        <v>26319</v>
      </c>
      <c r="B16816" s="117" t="s">
        <v>26320</v>
      </c>
      <c r="C16816" t="s">
        <v>67</v>
      </c>
      <c r="D16816" t="s">
        <v>67</v>
      </c>
      <c r="E16816" t="s">
        <v>67</v>
      </c>
      <c r="F16816" t="s">
        <v>27987</v>
      </c>
      <c r="G16816" s="117">
        <v>54.49</v>
      </c>
    </row>
    <row r="16817" spans="1:7" x14ac:dyDescent="0.25">
      <c r="A16817" s="116" t="s">
        <v>26321</v>
      </c>
      <c r="B16817" s="117" t="s">
        <v>26322</v>
      </c>
      <c r="C16817" t="s">
        <v>67</v>
      </c>
      <c r="D16817" t="s">
        <v>67</v>
      </c>
      <c r="E16817" t="s">
        <v>67</v>
      </c>
      <c r="F16817" t="s">
        <v>27987</v>
      </c>
      <c r="G16817" s="117">
        <v>74.08</v>
      </c>
    </row>
    <row r="16818" spans="1:7" x14ac:dyDescent="0.25">
      <c r="A16818" s="116" t="s">
        <v>26323</v>
      </c>
      <c r="B16818" s="117" t="s">
        <v>26324</v>
      </c>
      <c r="C16818" t="s">
        <v>67</v>
      </c>
      <c r="D16818" t="s">
        <v>67</v>
      </c>
      <c r="E16818" t="s">
        <v>67</v>
      </c>
      <c r="F16818" t="s">
        <v>45</v>
      </c>
      <c r="G16818" s="117">
        <v>36.93</v>
      </c>
    </row>
    <row r="16819" spans="1:7" x14ac:dyDescent="0.25">
      <c r="A16819" s="116" t="s">
        <v>26325</v>
      </c>
      <c r="B16819" s="117" t="s">
        <v>26326</v>
      </c>
      <c r="C16819" t="s">
        <v>67</v>
      </c>
      <c r="D16819" t="s">
        <v>67</v>
      </c>
      <c r="E16819" t="s">
        <v>67</v>
      </c>
      <c r="F16819" t="s">
        <v>45</v>
      </c>
      <c r="G16819" s="117">
        <v>176.99</v>
      </c>
    </row>
    <row r="16820" spans="1:7" x14ac:dyDescent="0.25">
      <c r="A16820" s="116" t="s">
        <v>26327</v>
      </c>
      <c r="B16820" s="117" t="s">
        <v>26328</v>
      </c>
      <c r="C16820" t="s">
        <v>67</v>
      </c>
      <c r="D16820" t="s">
        <v>67</v>
      </c>
      <c r="E16820" t="s">
        <v>67</v>
      </c>
      <c r="F16820" t="s">
        <v>45</v>
      </c>
      <c r="G16820" s="117">
        <v>37.82</v>
      </c>
    </row>
    <row r="16821" spans="1:7" x14ac:dyDescent="0.25">
      <c r="A16821" s="116" t="s">
        <v>26329</v>
      </c>
      <c r="B16821" s="117" t="s">
        <v>26330</v>
      </c>
      <c r="C16821" t="s">
        <v>67</v>
      </c>
      <c r="D16821" t="s">
        <v>67</v>
      </c>
      <c r="E16821" t="s">
        <v>67</v>
      </c>
      <c r="F16821" t="s">
        <v>45</v>
      </c>
      <c r="G16821" s="117">
        <v>0</v>
      </c>
    </row>
    <row r="16822" spans="1:7" x14ac:dyDescent="0.25">
      <c r="A16822" s="116" t="s">
        <v>26331</v>
      </c>
      <c r="B16822" s="117" t="s">
        <v>26332</v>
      </c>
      <c r="C16822" t="s">
        <v>67</v>
      </c>
      <c r="D16822" t="s">
        <v>67</v>
      </c>
      <c r="E16822" t="s">
        <v>67</v>
      </c>
      <c r="F16822" t="s">
        <v>27987</v>
      </c>
      <c r="G16822" s="117">
        <v>38.700000000000003</v>
      </c>
    </row>
    <row r="16823" spans="1:7" x14ac:dyDescent="0.25">
      <c r="A16823" s="116" t="s">
        <v>26333</v>
      </c>
      <c r="B16823" s="117" t="s">
        <v>26334</v>
      </c>
      <c r="C16823" t="s">
        <v>67</v>
      </c>
      <c r="D16823" t="s">
        <v>67</v>
      </c>
      <c r="E16823" t="s">
        <v>67</v>
      </c>
      <c r="F16823" t="s">
        <v>45</v>
      </c>
      <c r="G16823" s="117">
        <v>691.85</v>
      </c>
    </row>
    <row r="16824" spans="1:7" x14ac:dyDescent="0.25">
      <c r="A16824" s="116" t="s">
        <v>26335</v>
      </c>
      <c r="B16824" s="117" t="s">
        <v>26336</v>
      </c>
      <c r="C16824" t="s">
        <v>67</v>
      </c>
      <c r="D16824" t="s">
        <v>67</v>
      </c>
      <c r="E16824" t="s">
        <v>67</v>
      </c>
      <c r="F16824" t="s">
        <v>45</v>
      </c>
      <c r="G16824" s="117">
        <v>699.86</v>
      </c>
    </row>
    <row r="16825" spans="1:7" x14ac:dyDescent="0.25">
      <c r="A16825" s="116" t="s">
        <v>26337</v>
      </c>
      <c r="B16825" s="117" t="s">
        <v>26338</v>
      </c>
      <c r="C16825" t="s">
        <v>67</v>
      </c>
      <c r="D16825" t="s">
        <v>67</v>
      </c>
      <c r="E16825" t="s">
        <v>67</v>
      </c>
      <c r="F16825" t="s">
        <v>27987</v>
      </c>
      <c r="G16825" s="117">
        <v>185.88</v>
      </c>
    </row>
    <row r="16826" spans="1:7" x14ac:dyDescent="0.25">
      <c r="A16826" s="116" t="s">
        <v>26339</v>
      </c>
      <c r="B16826" s="117" t="s">
        <v>26340</v>
      </c>
      <c r="C16826" t="s">
        <v>67</v>
      </c>
      <c r="D16826" t="s">
        <v>67</v>
      </c>
      <c r="E16826" t="s">
        <v>67</v>
      </c>
      <c r="F16826" t="s">
        <v>45</v>
      </c>
      <c r="G16826" s="117">
        <v>160.62</v>
      </c>
    </row>
    <row r="16827" spans="1:7" x14ac:dyDescent="0.25">
      <c r="A16827" s="116" t="s">
        <v>26341</v>
      </c>
      <c r="B16827" s="117" t="s">
        <v>26342</v>
      </c>
      <c r="C16827" t="s">
        <v>67</v>
      </c>
      <c r="D16827" t="s">
        <v>67</v>
      </c>
      <c r="E16827" t="s">
        <v>67</v>
      </c>
      <c r="F16827" t="s">
        <v>45</v>
      </c>
      <c r="G16827" s="117">
        <v>209.02</v>
      </c>
    </row>
    <row r="16828" spans="1:7" x14ac:dyDescent="0.25">
      <c r="A16828" s="116" t="s">
        <v>26343</v>
      </c>
      <c r="B16828" s="117" t="s">
        <v>26344</v>
      </c>
      <c r="C16828" t="s">
        <v>67</v>
      </c>
      <c r="D16828" t="s">
        <v>67</v>
      </c>
      <c r="E16828" t="s">
        <v>67</v>
      </c>
      <c r="F16828" t="s">
        <v>45</v>
      </c>
      <c r="G16828" s="117">
        <v>5.79</v>
      </c>
    </row>
    <row r="16829" spans="1:7" x14ac:dyDescent="0.25">
      <c r="A16829" s="116" t="s">
        <v>26345</v>
      </c>
      <c r="B16829" s="117" t="s">
        <v>26344</v>
      </c>
      <c r="C16829" t="s">
        <v>67</v>
      </c>
      <c r="D16829" t="s">
        <v>67</v>
      </c>
      <c r="E16829" t="s">
        <v>67</v>
      </c>
      <c r="F16829" t="s">
        <v>27987</v>
      </c>
      <c r="G16829" s="117">
        <v>7.92</v>
      </c>
    </row>
    <row r="16830" spans="1:7" x14ac:dyDescent="0.25">
      <c r="A16830" s="116" t="s">
        <v>26346</v>
      </c>
      <c r="B16830" s="117" t="s">
        <v>26347</v>
      </c>
      <c r="C16830" t="s">
        <v>67</v>
      </c>
      <c r="D16830" t="s">
        <v>67</v>
      </c>
      <c r="E16830" t="s">
        <v>67</v>
      </c>
      <c r="F16830" t="s">
        <v>27987</v>
      </c>
      <c r="G16830" s="117">
        <v>144.06</v>
      </c>
    </row>
    <row r="16831" spans="1:7" x14ac:dyDescent="0.25">
      <c r="A16831" s="116" t="s">
        <v>26348</v>
      </c>
      <c r="B16831" s="117" t="s">
        <v>26349</v>
      </c>
      <c r="C16831" t="s">
        <v>67</v>
      </c>
      <c r="D16831" t="s">
        <v>67</v>
      </c>
      <c r="E16831" t="s">
        <v>67</v>
      </c>
      <c r="F16831" t="s">
        <v>45</v>
      </c>
      <c r="G16831" s="117">
        <v>902.74</v>
      </c>
    </row>
    <row r="16832" spans="1:7" x14ac:dyDescent="0.25">
      <c r="A16832" s="116" t="s">
        <v>26350</v>
      </c>
      <c r="B16832" s="117" t="s">
        <v>26351</v>
      </c>
      <c r="C16832" t="s">
        <v>67</v>
      </c>
      <c r="D16832" t="s">
        <v>67</v>
      </c>
      <c r="E16832" t="s">
        <v>67</v>
      </c>
      <c r="F16832" t="s">
        <v>27987</v>
      </c>
      <c r="G16832" s="117">
        <v>529.36</v>
      </c>
    </row>
    <row r="16833" spans="1:7" x14ac:dyDescent="0.25">
      <c r="A16833" s="116" t="s">
        <v>26352</v>
      </c>
      <c r="B16833" s="117" t="s">
        <v>26353</v>
      </c>
      <c r="C16833" t="s">
        <v>67</v>
      </c>
      <c r="D16833" t="s">
        <v>67</v>
      </c>
      <c r="E16833" t="s">
        <v>67</v>
      </c>
      <c r="F16833" t="s">
        <v>27987</v>
      </c>
      <c r="G16833" s="117">
        <v>65.400000000000006</v>
      </c>
    </row>
    <row r="16834" spans="1:7" x14ac:dyDescent="0.25">
      <c r="A16834" s="116" t="s">
        <v>26354</v>
      </c>
      <c r="B16834" s="117" t="s">
        <v>26355</v>
      </c>
      <c r="C16834" t="s">
        <v>67</v>
      </c>
      <c r="D16834" t="s">
        <v>67</v>
      </c>
      <c r="E16834" t="s">
        <v>67</v>
      </c>
      <c r="F16834" t="s">
        <v>45</v>
      </c>
      <c r="G16834" s="117">
        <v>428.45</v>
      </c>
    </row>
    <row r="16835" spans="1:7" x14ac:dyDescent="0.25">
      <c r="A16835" s="116" t="s">
        <v>26356</v>
      </c>
      <c r="B16835" s="117" t="s">
        <v>384</v>
      </c>
      <c r="C16835" t="s">
        <v>67</v>
      </c>
      <c r="D16835" t="s">
        <v>67</v>
      </c>
      <c r="E16835" t="s">
        <v>67</v>
      </c>
      <c r="F16835" t="s">
        <v>45</v>
      </c>
      <c r="G16835" s="117">
        <v>89.79</v>
      </c>
    </row>
    <row r="16836" spans="1:7" x14ac:dyDescent="0.25">
      <c r="A16836" s="116" t="s">
        <v>26357</v>
      </c>
      <c r="B16836" s="117" t="s">
        <v>26358</v>
      </c>
      <c r="C16836" t="s">
        <v>67</v>
      </c>
      <c r="D16836" t="s">
        <v>67</v>
      </c>
      <c r="E16836" t="s">
        <v>67</v>
      </c>
      <c r="F16836" t="s">
        <v>45</v>
      </c>
      <c r="G16836" s="117">
        <v>15.57</v>
      </c>
    </row>
    <row r="16837" spans="1:7" x14ac:dyDescent="0.25">
      <c r="A16837" s="116" t="s">
        <v>26359</v>
      </c>
      <c r="B16837" s="117" t="s">
        <v>26360</v>
      </c>
      <c r="C16837" t="s">
        <v>67</v>
      </c>
      <c r="D16837" t="s">
        <v>67</v>
      </c>
      <c r="E16837" t="s">
        <v>67</v>
      </c>
      <c r="F16837" t="s">
        <v>45</v>
      </c>
      <c r="G16837" s="117">
        <v>14.14</v>
      </c>
    </row>
    <row r="16838" spans="1:7" x14ac:dyDescent="0.25">
      <c r="A16838" s="116" t="s">
        <v>26361</v>
      </c>
      <c r="B16838" s="117" t="s">
        <v>12541</v>
      </c>
      <c r="C16838" t="s">
        <v>67</v>
      </c>
      <c r="D16838" t="s">
        <v>67</v>
      </c>
      <c r="E16838" t="s">
        <v>67</v>
      </c>
      <c r="F16838" t="s">
        <v>45</v>
      </c>
      <c r="G16838" s="117">
        <v>14.68</v>
      </c>
    </row>
    <row r="16839" spans="1:7" x14ac:dyDescent="0.25">
      <c r="A16839" s="116" t="s">
        <v>26362</v>
      </c>
      <c r="B16839" s="117" t="s">
        <v>13182</v>
      </c>
      <c r="C16839" t="s">
        <v>67</v>
      </c>
      <c r="D16839" t="s">
        <v>67</v>
      </c>
      <c r="E16839" t="s">
        <v>67</v>
      </c>
      <c r="F16839" t="s">
        <v>45</v>
      </c>
      <c r="G16839" s="117">
        <v>20.92</v>
      </c>
    </row>
    <row r="16840" spans="1:7" x14ac:dyDescent="0.25">
      <c r="A16840" s="116" t="s">
        <v>26363</v>
      </c>
      <c r="B16840" s="117" t="s">
        <v>26364</v>
      </c>
      <c r="C16840" t="s">
        <v>67</v>
      </c>
      <c r="D16840" t="s">
        <v>67</v>
      </c>
      <c r="E16840" t="s">
        <v>67</v>
      </c>
      <c r="F16840" t="s">
        <v>45</v>
      </c>
      <c r="G16840" s="117">
        <v>16.46</v>
      </c>
    </row>
    <row r="16841" spans="1:7" x14ac:dyDescent="0.25">
      <c r="A16841" s="116" t="s">
        <v>26365</v>
      </c>
      <c r="B16841" s="117" t="s">
        <v>26366</v>
      </c>
      <c r="C16841" t="s">
        <v>67</v>
      </c>
      <c r="D16841" t="s">
        <v>67</v>
      </c>
      <c r="E16841" t="s">
        <v>67</v>
      </c>
      <c r="F16841" t="s">
        <v>45</v>
      </c>
      <c r="G16841" s="117">
        <v>66.3</v>
      </c>
    </row>
    <row r="16842" spans="1:7" x14ac:dyDescent="0.25">
      <c r="A16842" s="116" t="s">
        <v>26367</v>
      </c>
      <c r="B16842" s="117" t="s">
        <v>26368</v>
      </c>
      <c r="C16842" t="s">
        <v>67</v>
      </c>
      <c r="D16842" t="s">
        <v>67</v>
      </c>
      <c r="E16842" t="s">
        <v>67</v>
      </c>
      <c r="F16842" t="s">
        <v>45</v>
      </c>
      <c r="G16842" s="117">
        <v>15.57</v>
      </c>
    </row>
    <row r="16843" spans="1:7" x14ac:dyDescent="0.25">
      <c r="A16843" s="116" t="s">
        <v>26369</v>
      </c>
      <c r="B16843" s="117" t="s">
        <v>26370</v>
      </c>
      <c r="C16843" t="s">
        <v>67</v>
      </c>
      <c r="D16843" t="s">
        <v>67</v>
      </c>
      <c r="E16843" t="s">
        <v>67</v>
      </c>
      <c r="F16843" t="s">
        <v>45</v>
      </c>
      <c r="G16843" s="117">
        <v>171.3</v>
      </c>
    </row>
    <row r="16844" spans="1:7" x14ac:dyDescent="0.25">
      <c r="A16844" s="116" t="s">
        <v>26371</v>
      </c>
      <c r="B16844" s="117" t="s">
        <v>26372</v>
      </c>
      <c r="C16844" t="s">
        <v>67</v>
      </c>
      <c r="D16844" t="s">
        <v>67</v>
      </c>
      <c r="E16844" t="s">
        <v>67</v>
      </c>
      <c r="F16844" t="s">
        <v>45</v>
      </c>
      <c r="G16844" s="117">
        <v>2.58</v>
      </c>
    </row>
    <row r="16845" spans="1:7" x14ac:dyDescent="0.25">
      <c r="A16845" s="116" t="s">
        <v>26373</v>
      </c>
      <c r="B16845" s="117" t="s">
        <v>26374</v>
      </c>
      <c r="C16845" t="s">
        <v>67</v>
      </c>
      <c r="D16845" t="s">
        <v>67</v>
      </c>
      <c r="E16845" t="s">
        <v>67</v>
      </c>
      <c r="F16845" t="s">
        <v>45</v>
      </c>
      <c r="G16845" s="117">
        <v>1.33</v>
      </c>
    </row>
    <row r="16846" spans="1:7" x14ac:dyDescent="0.25">
      <c r="A16846" s="116" t="s">
        <v>26375</v>
      </c>
      <c r="B16846" s="117" t="s">
        <v>26376</v>
      </c>
      <c r="C16846" t="s">
        <v>67</v>
      </c>
      <c r="D16846" t="s">
        <v>67</v>
      </c>
      <c r="E16846" t="s">
        <v>67</v>
      </c>
      <c r="F16846" t="s">
        <v>45</v>
      </c>
      <c r="G16846" s="117">
        <v>1.69</v>
      </c>
    </row>
    <row r="16847" spans="1:7" x14ac:dyDescent="0.25">
      <c r="A16847" s="116" t="s">
        <v>26377</v>
      </c>
      <c r="B16847" s="117" t="s">
        <v>26378</v>
      </c>
      <c r="C16847" t="s">
        <v>67</v>
      </c>
      <c r="D16847" t="s">
        <v>67</v>
      </c>
      <c r="E16847" t="s">
        <v>67</v>
      </c>
      <c r="F16847" t="s">
        <v>45</v>
      </c>
      <c r="G16847" s="117">
        <v>2.58</v>
      </c>
    </row>
    <row r="16848" spans="1:7" x14ac:dyDescent="0.25">
      <c r="A16848" s="116" t="s">
        <v>26379</v>
      </c>
      <c r="B16848" s="117" t="s">
        <v>8831</v>
      </c>
      <c r="C16848" t="s">
        <v>67</v>
      </c>
      <c r="D16848" t="s">
        <v>67</v>
      </c>
      <c r="E16848" t="s">
        <v>67</v>
      </c>
      <c r="F16848" t="s">
        <v>45</v>
      </c>
      <c r="G16848" s="117">
        <v>3.56</v>
      </c>
    </row>
    <row r="16849" spans="1:7" x14ac:dyDescent="0.25">
      <c r="A16849" s="116" t="s">
        <v>26380</v>
      </c>
      <c r="B16849" s="117" t="s">
        <v>26381</v>
      </c>
      <c r="C16849" t="s">
        <v>67</v>
      </c>
      <c r="D16849" t="s">
        <v>67</v>
      </c>
      <c r="E16849" t="s">
        <v>67</v>
      </c>
      <c r="F16849" t="s">
        <v>45</v>
      </c>
      <c r="G16849" s="117">
        <v>77.86</v>
      </c>
    </row>
    <row r="16850" spans="1:7" x14ac:dyDescent="0.25">
      <c r="A16850" s="116" t="s">
        <v>26382</v>
      </c>
      <c r="B16850" s="117" t="s">
        <v>26383</v>
      </c>
      <c r="C16850" t="s">
        <v>67</v>
      </c>
      <c r="D16850" t="s">
        <v>67</v>
      </c>
      <c r="E16850" t="s">
        <v>67</v>
      </c>
      <c r="F16850" t="s">
        <v>45</v>
      </c>
      <c r="G16850" s="117">
        <v>2.58</v>
      </c>
    </row>
    <row r="16851" spans="1:7" x14ac:dyDescent="0.25">
      <c r="A16851" s="116" t="s">
        <v>26384</v>
      </c>
      <c r="B16851" s="117" t="s">
        <v>10635</v>
      </c>
      <c r="C16851" t="s">
        <v>67</v>
      </c>
      <c r="D16851" t="s">
        <v>67</v>
      </c>
      <c r="E16851" t="s">
        <v>67</v>
      </c>
      <c r="F16851" t="s">
        <v>45</v>
      </c>
      <c r="G16851" s="117">
        <v>46.18</v>
      </c>
    </row>
    <row r="16852" spans="1:7" x14ac:dyDescent="0.25">
      <c r="A16852" s="116" t="s">
        <v>26385</v>
      </c>
      <c r="B16852" s="117" t="s">
        <v>26386</v>
      </c>
      <c r="C16852" t="s">
        <v>67</v>
      </c>
      <c r="D16852" t="s">
        <v>67</v>
      </c>
      <c r="E16852" t="s">
        <v>67</v>
      </c>
      <c r="F16852" t="s">
        <v>45</v>
      </c>
      <c r="G16852" s="117">
        <v>77.86</v>
      </c>
    </row>
    <row r="16853" spans="1:7" x14ac:dyDescent="0.25">
      <c r="A16853" s="116" t="s">
        <v>26387</v>
      </c>
      <c r="B16853" s="117" t="s">
        <v>26388</v>
      </c>
      <c r="C16853" t="s">
        <v>67</v>
      </c>
      <c r="D16853" t="s">
        <v>67</v>
      </c>
      <c r="E16853" t="s">
        <v>67</v>
      </c>
      <c r="F16853" t="s">
        <v>45</v>
      </c>
      <c r="G16853" s="117">
        <v>71.989999999999995</v>
      </c>
    </row>
    <row r="16854" spans="1:7" x14ac:dyDescent="0.25">
      <c r="A16854" s="116" t="s">
        <v>26389</v>
      </c>
      <c r="B16854" s="117" t="s">
        <v>26390</v>
      </c>
      <c r="C16854" t="s">
        <v>67</v>
      </c>
      <c r="D16854" t="s">
        <v>67</v>
      </c>
      <c r="E16854" t="s">
        <v>67</v>
      </c>
      <c r="F16854" t="s">
        <v>45</v>
      </c>
      <c r="G16854" s="117">
        <v>71.989999999999995</v>
      </c>
    </row>
    <row r="16855" spans="1:7" x14ac:dyDescent="0.25">
      <c r="A16855" s="116" t="s">
        <v>26391</v>
      </c>
      <c r="B16855" s="117" t="s">
        <v>465</v>
      </c>
      <c r="C16855" t="s">
        <v>67</v>
      </c>
      <c r="D16855" t="s">
        <v>67</v>
      </c>
      <c r="E16855" t="s">
        <v>67</v>
      </c>
      <c r="F16855" t="s">
        <v>45</v>
      </c>
      <c r="G16855" s="117">
        <v>117.01</v>
      </c>
    </row>
    <row r="16856" spans="1:7" x14ac:dyDescent="0.25">
      <c r="A16856" s="116" t="s">
        <v>26392</v>
      </c>
      <c r="B16856" s="117" t="s">
        <v>26393</v>
      </c>
      <c r="C16856" t="s">
        <v>67</v>
      </c>
      <c r="D16856" t="s">
        <v>67</v>
      </c>
      <c r="E16856" t="s">
        <v>67</v>
      </c>
      <c r="F16856" t="s">
        <v>45</v>
      </c>
      <c r="G16856" s="117">
        <v>114.7</v>
      </c>
    </row>
    <row r="16857" spans="1:7" x14ac:dyDescent="0.25">
      <c r="A16857" s="116" t="s">
        <v>26394</v>
      </c>
      <c r="B16857" s="117" t="s">
        <v>26395</v>
      </c>
      <c r="C16857" t="s">
        <v>67</v>
      </c>
      <c r="D16857" t="s">
        <v>67</v>
      </c>
      <c r="E16857" t="s">
        <v>67</v>
      </c>
      <c r="F16857" t="s">
        <v>45</v>
      </c>
      <c r="G16857" s="117">
        <v>2.58</v>
      </c>
    </row>
    <row r="16858" spans="1:7" x14ac:dyDescent="0.25">
      <c r="A16858" s="116" t="s">
        <v>26396</v>
      </c>
      <c r="B16858" s="117" t="s">
        <v>26397</v>
      </c>
      <c r="C16858" t="s">
        <v>67</v>
      </c>
      <c r="D16858" t="s">
        <v>67</v>
      </c>
      <c r="E16858" t="s">
        <v>67</v>
      </c>
      <c r="F16858" t="s">
        <v>27987</v>
      </c>
      <c r="G16858" s="117">
        <v>19.13</v>
      </c>
    </row>
    <row r="16859" spans="1:7" x14ac:dyDescent="0.25">
      <c r="A16859" s="116" t="s">
        <v>26398</v>
      </c>
      <c r="B16859" s="117" t="s">
        <v>13472</v>
      </c>
      <c r="C16859" t="s">
        <v>67</v>
      </c>
      <c r="D16859" t="s">
        <v>67</v>
      </c>
      <c r="E16859" t="s">
        <v>67</v>
      </c>
      <c r="F16859" t="s">
        <v>49</v>
      </c>
      <c r="G16859" s="119">
        <v>19.13</v>
      </c>
    </row>
    <row r="16860" spans="1:7" x14ac:dyDescent="0.25">
      <c r="A16860" s="116" t="s">
        <v>26399</v>
      </c>
      <c r="B16860" s="117" t="s">
        <v>26400</v>
      </c>
      <c r="C16860" t="s">
        <v>67</v>
      </c>
      <c r="D16860" t="s">
        <v>67</v>
      </c>
      <c r="E16860" t="s">
        <v>67</v>
      </c>
      <c r="F16860" t="s">
        <v>45</v>
      </c>
      <c r="G16860" s="123">
        <v>4.8899999999999997</v>
      </c>
    </row>
    <row r="16861" spans="1:7" x14ac:dyDescent="0.25">
      <c r="A16861" s="116" t="s">
        <v>26401</v>
      </c>
      <c r="B16861" s="117" t="s">
        <v>26402</v>
      </c>
      <c r="C16861" t="s">
        <v>67</v>
      </c>
      <c r="D16861" t="s">
        <v>67</v>
      </c>
      <c r="E16861" t="s">
        <v>67</v>
      </c>
      <c r="F16861" t="s">
        <v>49</v>
      </c>
      <c r="G16861" s="123">
        <v>4.8899999999999997</v>
      </c>
    </row>
    <row r="16862" spans="1:7" x14ac:dyDescent="0.25">
      <c r="A16862" s="116" t="s">
        <v>26403</v>
      </c>
      <c r="B16862" s="117" t="s">
        <v>26404</v>
      </c>
      <c r="C16862" t="s">
        <v>67</v>
      </c>
      <c r="D16862" t="s">
        <v>67</v>
      </c>
      <c r="E16862" t="s">
        <v>67</v>
      </c>
      <c r="F16862" t="s">
        <v>49</v>
      </c>
      <c r="G16862" s="123">
        <v>9.35</v>
      </c>
    </row>
    <row r="16863" spans="1:7" x14ac:dyDescent="0.25">
      <c r="A16863" s="116" t="s">
        <v>26405</v>
      </c>
      <c r="B16863" s="117" t="s">
        <v>26406</v>
      </c>
      <c r="C16863" t="s">
        <v>67</v>
      </c>
      <c r="D16863" t="s">
        <v>67</v>
      </c>
      <c r="E16863" t="s">
        <v>67</v>
      </c>
      <c r="F16863" t="s">
        <v>27987</v>
      </c>
      <c r="G16863" s="123">
        <v>23.94</v>
      </c>
    </row>
    <row r="16864" spans="1:7" x14ac:dyDescent="0.25">
      <c r="A16864" s="116" t="s">
        <v>26407</v>
      </c>
      <c r="B16864" s="117" t="s">
        <v>26408</v>
      </c>
      <c r="C16864" t="s">
        <v>67</v>
      </c>
      <c r="D16864" t="s">
        <v>67</v>
      </c>
      <c r="E16864" t="s">
        <v>67</v>
      </c>
      <c r="F16864" t="s">
        <v>27987</v>
      </c>
      <c r="G16864" s="123">
        <v>28.08</v>
      </c>
    </row>
    <row r="16865" spans="1:7" x14ac:dyDescent="0.25">
      <c r="A16865" s="116" t="s">
        <v>26409</v>
      </c>
      <c r="B16865" s="117" t="s">
        <v>26410</v>
      </c>
      <c r="C16865" t="s">
        <v>67</v>
      </c>
      <c r="D16865" t="s">
        <v>67</v>
      </c>
      <c r="E16865" t="s">
        <v>67</v>
      </c>
      <c r="F16865" t="s">
        <v>49</v>
      </c>
      <c r="G16865" s="123">
        <v>2.23</v>
      </c>
    </row>
    <row r="16866" spans="1:7" x14ac:dyDescent="0.25">
      <c r="A16866" s="116" t="s">
        <v>28025</v>
      </c>
      <c r="B16866" s="117" t="s">
        <v>30038</v>
      </c>
      <c r="C16866" t="s">
        <v>67</v>
      </c>
      <c r="D16866" t="s">
        <v>67</v>
      </c>
      <c r="E16866" t="s">
        <v>67</v>
      </c>
      <c r="F16866" t="s">
        <v>27987</v>
      </c>
      <c r="G16866" s="123">
        <v>3</v>
      </c>
    </row>
    <row r="16867" spans="1:7" x14ac:dyDescent="0.25">
      <c r="A16867" s="116" t="s">
        <v>28026</v>
      </c>
      <c r="B16867" s="117" t="s">
        <v>30039</v>
      </c>
      <c r="C16867" t="s">
        <v>67</v>
      </c>
      <c r="D16867" t="s">
        <v>67</v>
      </c>
      <c r="E16867" t="s">
        <v>67</v>
      </c>
      <c r="F16867" t="s">
        <v>27987</v>
      </c>
      <c r="G16867" s="123">
        <v>4.41</v>
      </c>
    </row>
    <row r="16868" spans="1:7" x14ac:dyDescent="0.25">
      <c r="A16868" s="116" t="s">
        <v>28027</v>
      </c>
      <c r="B16868" s="117" t="s">
        <v>8227</v>
      </c>
      <c r="C16868" t="s">
        <v>67</v>
      </c>
      <c r="D16868" t="s">
        <v>67</v>
      </c>
      <c r="E16868" t="s">
        <v>67</v>
      </c>
      <c r="F16868" t="s">
        <v>27987</v>
      </c>
      <c r="G16868" s="123">
        <v>4.0999999999999996</v>
      </c>
    </row>
    <row r="16869" spans="1:7" x14ac:dyDescent="0.25">
      <c r="A16869" s="116" t="s">
        <v>28028</v>
      </c>
      <c r="B16869" s="117" t="s">
        <v>30040</v>
      </c>
      <c r="C16869" t="s">
        <v>67</v>
      </c>
      <c r="D16869" t="s">
        <v>67</v>
      </c>
      <c r="E16869" t="s">
        <v>67</v>
      </c>
      <c r="F16869" t="s">
        <v>27987</v>
      </c>
      <c r="G16869" s="123">
        <v>21.53</v>
      </c>
    </row>
    <row r="16870" spans="1:7" x14ac:dyDescent="0.25">
      <c r="A16870" s="116" t="s">
        <v>28029</v>
      </c>
      <c r="B16870" s="117" t="s">
        <v>30041</v>
      </c>
      <c r="C16870" t="s">
        <v>67</v>
      </c>
      <c r="D16870" t="s">
        <v>67</v>
      </c>
      <c r="E16870" t="s">
        <v>67</v>
      </c>
      <c r="F16870" t="s">
        <v>27987</v>
      </c>
      <c r="G16870" s="123">
        <v>9</v>
      </c>
    </row>
    <row r="16871" spans="1:7" x14ac:dyDescent="0.25">
      <c r="A16871" s="116" t="s">
        <v>28030</v>
      </c>
      <c r="B16871" s="117" t="s">
        <v>30042</v>
      </c>
      <c r="C16871" t="s">
        <v>67</v>
      </c>
      <c r="D16871" t="s">
        <v>67</v>
      </c>
      <c r="E16871" t="s">
        <v>67</v>
      </c>
      <c r="F16871" t="s">
        <v>27987</v>
      </c>
      <c r="G16871" s="123">
        <v>14</v>
      </c>
    </row>
    <row r="16872" spans="1:7" x14ac:dyDescent="0.25">
      <c r="A16872" s="116" t="s">
        <v>28031</v>
      </c>
      <c r="B16872" s="117" t="s">
        <v>30043</v>
      </c>
      <c r="C16872" t="s">
        <v>67</v>
      </c>
      <c r="D16872" t="s">
        <v>67</v>
      </c>
      <c r="E16872" t="s">
        <v>67</v>
      </c>
      <c r="F16872" t="s">
        <v>27987</v>
      </c>
      <c r="G16872" s="123">
        <v>10.29</v>
      </c>
    </row>
    <row r="16873" spans="1:7" x14ac:dyDescent="0.25">
      <c r="A16873" s="116" t="s">
        <v>28032</v>
      </c>
      <c r="B16873" s="117" t="s">
        <v>30044</v>
      </c>
      <c r="C16873" t="s">
        <v>67</v>
      </c>
      <c r="D16873" t="s">
        <v>67</v>
      </c>
      <c r="E16873" t="s">
        <v>67</v>
      </c>
      <c r="F16873" t="s">
        <v>27987</v>
      </c>
      <c r="G16873" s="123">
        <v>18</v>
      </c>
    </row>
    <row r="16874" spans="1:7" x14ac:dyDescent="0.25">
      <c r="A16874" s="116" t="s">
        <v>28033</v>
      </c>
      <c r="B16874" s="117" t="s">
        <v>30045</v>
      </c>
      <c r="C16874" t="s">
        <v>67</v>
      </c>
      <c r="D16874" t="s">
        <v>67</v>
      </c>
      <c r="E16874" t="s">
        <v>67</v>
      </c>
      <c r="F16874" t="s">
        <v>27987</v>
      </c>
      <c r="G16874" s="123">
        <v>1.68</v>
      </c>
    </row>
    <row r="16875" spans="1:7" x14ac:dyDescent="0.25">
      <c r="A16875" s="116" t="s">
        <v>28034</v>
      </c>
      <c r="B16875" s="117" t="s">
        <v>30046</v>
      </c>
      <c r="C16875" t="s">
        <v>67</v>
      </c>
      <c r="D16875" t="s">
        <v>67</v>
      </c>
      <c r="E16875" t="s">
        <v>67</v>
      </c>
      <c r="F16875" t="s">
        <v>27987</v>
      </c>
      <c r="G16875" s="123">
        <v>2</v>
      </c>
    </row>
    <row r="16876" spans="1:7" x14ac:dyDescent="0.25">
      <c r="A16876" s="116" t="s">
        <v>28035</v>
      </c>
      <c r="B16876" s="117" t="s">
        <v>9657</v>
      </c>
      <c r="C16876" t="s">
        <v>67</v>
      </c>
      <c r="D16876" t="s">
        <v>67</v>
      </c>
      <c r="E16876" t="s">
        <v>67</v>
      </c>
      <c r="F16876" t="s">
        <v>27987</v>
      </c>
      <c r="G16876" s="123">
        <v>1.58</v>
      </c>
    </row>
    <row r="16877" spans="1:7" x14ac:dyDescent="0.25">
      <c r="A16877" s="116" t="s">
        <v>28036</v>
      </c>
      <c r="B16877" s="117" t="s">
        <v>30047</v>
      </c>
      <c r="C16877" t="s">
        <v>67</v>
      </c>
      <c r="D16877" t="s">
        <v>67</v>
      </c>
      <c r="E16877" t="s">
        <v>67</v>
      </c>
      <c r="F16877" t="s">
        <v>27987</v>
      </c>
      <c r="G16877" s="123">
        <v>1.58</v>
      </c>
    </row>
    <row r="16878" spans="1:7" x14ac:dyDescent="0.25">
      <c r="A16878" s="116" t="s">
        <v>28037</v>
      </c>
      <c r="B16878" s="117" t="s">
        <v>30048</v>
      </c>
      <c r="C16878" t="s">
        <v>67</v>
      </c>
      <c r="D16878" t="s">
        <v>67</v>
      </c>
      <c r="E16878" t="s">
        <v>67</v>
      </c>
      <c r="F16878" t="s">
        <v>27987</v>
      </c>
      <c r="G16878" s="123">
        <v>90</v>
      </c>
    </row>
    <row r="16879" spans="1:7" x14ac:dyDescent="0.25">
      <c r="A16879" s="116" t="s">
        <v>28038</v>
      </c>
      <c r="B16879" s="117" t="s">
        <v>30049</v>
      </c>
      <c r="C16879" t="s">
        <v>67</v>
      </c>
      <c r="D16879" t="s">
        <v>67</v>
      </c>
      <c r="E16879" t="s">
        <v>67</v>
      </c>
      <c r="F16879" t="s">
        <v>27987</v>
      </c>
      <c r="G16879" s="123">
        <v>20</v>
      </c>
    </row>
    <row r="16880" spans="1:7" x14ac:dyDescent="0.25">
      <c r="A16880" s="116" t="s">
        <v>28039</v>
      </c>
      <c r="B16880" s="117" t="s">
        <v>30050</v>
      </c>
      <c r="C16880" t="s">
        <v>67</v>
      </c>
      <c r="D16880" t="s">
        <v>67</v>
      </c>
      <c r="E16880" t="s">
        <v>67</v>
      </c>
      <c r="F16880" t="s">
        <v>27987</v>
      </c>
      <c r="G16880" s="123">
        <v>30</v>
      </c>
    </row>
    <row r="16881" spans="1:7" x14ac:dyDescent="0.25">
      <c r="A16881" s="116" t="s">
        <v>28040</v>
      </c>
      <c r="B16881" s="117" t="s">
        <v>30051</v>
      </c>
      <c r="C16881" t="s">
        <v>67</v>
      </c>
      <c r="D16881" t="s">
        <v>67</v>
      </c>
      <c r="E16881" t="s">
        <v>67</v>
      </c>
      <c r="F16881" t="s">
        <v>27987</v>
      </c>
      <c r="G16881" s="123">
        <v>30</v>
      </c>
    </row>
    <row r="16882" spans="1:7" x14ac:dyDescent="0.25">
      <c r="A16882" s="116" t="s">
        <v>28041</v>
      </c>
      <c r="B16882" s="117" t="s">
        <v>30052</v>
      </c>
      <c r="C16882" t="s">
        <v>67</v>
      </c>
      <c r="D16882" t="s">
        <v>67</v>
      </c>
      <c r="E16882" t="s">
        <v>67</v>
      </c>
      <c r="F16882" t="s">
        <v>27987</v>
      </c>
      <c r="G16882" s="123">
        <v>40</v>
      </c>
    </row>
    <row r="16883" spans="1:7" x14ac:dyDescent="0.25">
      <c r="A16883" s="116" t="s">
        <v>28042</v>
      </c>
      <c r="B16883" s="117" t="s">
        <v>30053</v>
      </c>
      <c r="C16883" t="s">
        <v>67</v>
      </c>
      <c r="D16883" t="s">
        <v>67</v>
      </c>
      <c r="E16883" t="s">
        <v>67</v>
      </c>
      <c r="F16883" t="s">
        <v>27987</v>
      </c>
      <c r="G16883" s="123">
        <v>21.53</v>
      </c>
    </row>
    <row r="16884" spans="1:7" x14ac:dyDescent="0.25">
      <c r="A16884" s="116" t="s">
        <v>28043</v>
      </c>
      <c r="B16884" s="117" t="s">
        <v>30054</v>
      </c>
      <c r="C16884" t="s">
        <v>67</v>
      </c>
      <c r="D16884" t="s">
        <v>67</v>
      </c>
      <c r="E16884" t="s">
        <v>67</v>
      </c>
      <c r="F16884" t="s">
        <v>27987</v>
      </c>
      <c r="G16884" s="123">
        <v>266.18</v>
      </c>
    </row>
    <row r="16885" spans="1:7" x14ac:dyDescent="0.25">
      <c r="A16885" s="116" t="s">
        <v>28044</v>
      </c>
      <c r="B16885" s="117" t="s">
        <v>30055</v>
      </c>
      <c r="C16885" t="s">
        <v>67</v>
      </c>
      <c r="D16885" t="s">
        <v>67</v>
      </c>
      <c r="E16885" t="s">
        <v>67</v>
      </c>
      <c r="F16885" t="s">
        <v>27987</v>
      </c>
      <c r="G16885" s="123">
        <v>15.44</v>
      </c>
    </row>
    <row r="16886" spans="1:7" x14ac:dyDescent="0.25">
      <c r="A16886" s="116" t="s">
        <v>28045</v>
      </c>
      <c r="B16886" s="117" t="s">
        <v>30056</v>
      </c>
      <c r="C16886" t="s">
        <v>67</v>
      </c>
      <c r="D16886" t="s">
        <v>67</v>
      </c>
      <c r="E16886" t="s">
        <v>67</v>
      </c>
      <c r="F16886" t="s">
        <v>27987</v>
      </c>
      <c r="G16886" s="123">
        <v>51.56</v>
      </c>
    </row>
    <row r="16887" spans="1:7" x14ac:dyDescent="0.25">
      <c r="A16887" s="116" t="s">
        <v>28046</v>
      </c>
      <c r="B16887" s="117" t="s">
        <v>30057</v>
      </c>
      <c r="C16887" t="s">
        <v>67</v>
      </c>
      <c r="D16887" t="s">
        <v>67</v>
      </c>
      <c r="E16887" t="s">
        <v>67</v>
      </c>
      <c r="F16887" t="s">
        <v>27987</v>
      </c>
      <c r="G16887" s="123">
        <v>270</v>
      </c>
    </row>
    <row r="16888" spans="1:7" x14ac:dyDescent="0.25">
      <c r="A16888" s="116" t="s">
        <v>28047</v>
      </c>
      <c r="B16888" s="117" t="s">
        <v>30058</v>
      </c>
      <c r="C16888" t="s">
        <v>67</v>
      </c>
      <c r="D16888" t="s">
        <v>67</v>
      </c>
      <c r="E16888" t="s">
        <v>67</v>
      </c>
      <c r="F16888" t="s">
        <v>27987</v>
      </c>
      <c r="G16888" s="123">
        <v>5.78</v>
      </c>
    </row>
    <row r="16889" spans="1:7" x14ac:dyDescent="0.25">
      <c r="A16889" s="116" t="s">
        <v>28048</v>
      </c>
      <c r="B16889" s="117" t="s">
        <v>30059</v>
      </c>
      <c r="C16889" t="s">
        <v>67</v>
      </c>
      <c r="D16889" t="s">
        <v>67</v>
      </c>
      <c r="E16889" t="s">
        <v>67</v>
      </c>
      <c r="F16889" t="s">
        <v>27987</v>
      </c>
      <c r="G16889" s="123">
        <v>16.28</v>
      </c>
    </row>
    <row r="16890" spans="1:7" x14ac:dyDescent="0.25">
      <c r="A16890" s="116" t="s">
        <v>28049</v>
      </c>
      <c r="B16890" s="117" t="s">
        <v>30060</v>
      </c>
      <c r="C16890" t="s">
        <v>67</v>
      </c>
      <c r="D16890" t="s">
        <v>67</v>
      </c>
      <c r="E16890" t="s">
        <v>67</v>
      </c>
      <c r="F16890" t="s">
        <v>27987</v>
      </c>
      <c r="G16890" s="123">
        <v>20</v>
      </c>
    </row>
    <row r="16891" spans="1:7" x14ac:dyDescent="0.25">
      <c r="A16891" s="116" t="s">
        <v>28050</v>
      </c>
      <c r="B16891" s="117" t="s">
        <v>30061</v>
      </c>
      <c r="C16891" t="s">
        <v>67</v>
      </c>
      <c r="D16891" t="s">
        <v>67</v>
      </c>
      <c r="E16891" t="s">
        <v>67</v>
      </c>
      <c r="F16891" t="s">
        <v>27987</v>
      </c>
      <c r="G16891" s="123">
        <v>5.04</v>
      </c>
    </row>
    <row r="16892" spans="1:7" x14ac:dyDescent="0.25">
      <c r="A16892" s="116" t="s">
        <v>28051</v>
      </c>
      <c r="B16892" s="117" t="s">
        <v>29741</v>
      </c>
      <c r="C16892" t="s">
        <v>67</v>
      </c>
      <c r="D16892" t="s">
        <v>67</v>
      </c>
      <c r="E16892" t="s">
        <v>67</v>
      </c>
      <c r="F16892" t="s">
        <v>27987</v>
      </c>
      <c r="G16892" s="123">
        <v>13</v>
      </c>
    </row>
    <row r="16893" spans="1:7" x14ac:dyDescent="0.25">
      <c r="A16893" s="116" t="s">
        <v>28052</v>
      </c>
      <c r="B16893" s="117" t="s">
        <v>30072</v>
      </c>
      <c r="C16893" t="s">
        <v>67</v>
      </c>
      <c r="D16893" t="s">
        <v>67</v>
      </c>
      <c r="E16893" t="s">
        <v>67</v>
      </c>
      <c r="F16893" t="s">
        <v>27987</v>
      </c>
      <c r="G16893" s="123">
        <v>10.29</v>
      </c>
    </row>
    <row r="16894" spans="1:7" x14ac:dyDescent="0.25">
      <c r="A16894" s="116" t="s">
        <v>28053</v>
      </c>
      <c r="B16894" s="117" t="s">
        <v>30062</v>
      </c>
      <c r="C16894" t="s">
        <v>67</v>
      </c>
      <c r="D16894" t="s">
        <v>67</v>
      </c>
      <c r="E16894" t="s">
        <v>67</v>
      </c>
      <c r="F16894" t="s">
        <v>27987</v>
      </c>
      <c r="G16894" s="123">
        <v>505.47</v>
      </c>
    </row>
    <row r="16895" spans="1:7" x14ac:dyDescent="0.25">
      <c r="A16895" s="116" t="s">
        <v>28054</v>
      </c>
      <c r="B16895" s="117" t="s">
        <v>30063</v>
      </c>
      <c r="C16895" t="s">
        <v>67</v>
      </c>
      <c r="D16895" t="s">
        <v>67</v>
      </c>
      <c r="E16895" t="s">
        <v>67</v>
      </c>
      <c r="F16895" t="s">
        <v>27987</v>
      </c>
      <c r="G16895" s="123">
        <v>12.08</v>
      </c>
    </row>
    <row r="16896" spans="1:7" x14ac:dyDescent="0.25">
      <c r="A16896" s="116" t="s">
        <v>28055</v>
      </c>
      <c r="B16896" s="117" t="s">
        <v>29742</v>
      </c>
      <c r="C16896" t="s">
        <v>67</v>
      </c>
      <c r="D16896" t="s">
        <v>67</v>
      </c>
      <c r="E16896" t="s">
        <v>67</v>
      </c>
      <c r="F16896" t="s">
        <v>27987</v>
      </c>
      <c r="G16896" s="123">
        <v>70</v>
      </c>
    </row>
    <row r="16897" spans="1:7" x14ac:dyDescent="0.25">
      <c r="A16897" s="116" t="s">
        <v>26411</v>
      </c>
      <c r="B16897" s="117" t="s">
        <v>26412</v>
      </c>
      <c r="C16897" t="s">
        <v>67</v>
      </c>
      <c r="D16897" t="s">
        <v>67</v>
      </c>
      <c r="E16897" t="s">
        <v>67</v>
      </c>
      <c r="F16897" t="s">
        <v>45</v>
      </c>
      <c r="G16897" s="123">
        <v>37.82</v>
      </c>
    </row>
    <row r="16898" spans="1:7" x14ac:dyDescent="0.25">
      <c r="A16898" s="116" t="s">
        <v>26413</v>
      </c>
      <c r="B16898" s="117" t="s">
        <v>26414</v>
      </c>
      <c r="C16898" t="s">
        <v>67</v>
      </c>
      <c r="D16898" t="s">
        <v>67</v>
      </c>
      <c r="E16898" t="s">
        <v>67</v>
      </c>
      <c r="F16898" t="s">
        <v>45</v>
      </c>
      <c r="G16898" s="123">
        <v>41.38</v>
      </c>
    </row>
    <row r="16899" spans="1:7" x14ac:dyDescent="0.25">
      <c r="A16899" s="116" t="s">
        <v>26415</v>
      </c>
      <c r="B16899" s="117" t="s">
        <v>26416</v>
      </c>
      <c r="C16899" t="s">
        <v>67</v>
      </c>
      <c r="D16899" t="s">
        <v>67</v>
      </c>
      <c r="E16899" t="s">
        <v>67</v>
      </c>
      <c r="F16899" t="s">
        <v>45</v>
      </c>
      <c r="G16899" s="123">
        <v>49.74</v>
      </c>
    </row>
    <row r="16900" spans="1:7" x14ac:dyDescent="0.25">
      <c r="A16900" s="116" t="s">
        <v>26417</v>
      </c>
      <c r="B16900" s="117" t="s">
        <v>26418</v>
      </c>
      <c r="C16900" t="s">
        <v>67</v>
      </c>
      <c r="D16900" t="s">
        <v>67</v>
      </c>
      <c r="E16900" t="s">
        <v>67</v>
      </c>
      <c r="F16900" t="s">
        <v>45</v>
      </c>
      <c r="G16900" s="123">
        <v>39.6</v>
      </c>
    </row>
    <row r="16901" spans="1:7" x14ac:dyDescent="0.25">
      <c r="A16901" s="116" t="s">
        <v>26419</v>
      </c>
      <c r="B16901" s="117" t="s">
        <v>26420</v>
      </c>
      <c r="C16901" t="s">
        <v>67</v>
      </c>
      <c r="D16901" t="s">
        <v>67</v>
      </c>
      <c r="E16901" t="s">
        <v>67</v>
      </c>
      <c r="F16901" t="s">
        <v>45</v>
      </c>
      <c r="G16901" s="123">
        <v>86.76</v>
      </c>
    </row>
    <row r="16902" spans="1:7" x14ac:dyDescent="0.25">
      <c r="A16902" s="116" t="s">
        <v>26421</v>
      </c>
      <c r="B16902" s="117" t="s">
        <v>26422</v>
      </c>
      <c r="C16902" t="s">
        <v>67</v>
      </c>
      <c r="D16902" t="s">
        <v>67</v>
      </c>
      <c r="E16902" t="s">
        <v>67</v>
      </c>
      <c r="F16902" t="s">
        <v>45</v>
      </c>
      <c r="G16902" s="123">
        <v>4.45</v>
      </c>
    </row>
    <row r="16903" spans="1:7" x14ac:dyDescent="0.25">
      <c r="A16903" s="116" t="s">
        <v>26423</v>
      </c>
      <c r="B16903" s="117" t="s">
        <v>26235</v>
      </c>
      <c r="C16903" t="s">
        <v>67</v>
      </c>
      <c r="D16903" t="s">
        <v>67</v>
      </c>
      <c r="E16903" t="s">
        <v>67</v>
      </c>
      <c r="F16903" t="s">
        <v>45</v>
      </c>
      <c r="G16903" s="123">
        <v>24.48</v>
      </c>
    </row>
    <row r="16904" spans="1:7" x14ac:dyDescent="0.25">
      <c r="A16904" s="116" t="s">
        <v>26424</v>
      </c>
      <c r="B16904" s="117" t="s">
        <v>26232</v>
      </c>
      <c r="C16904" t="s">
        <v>67</v>
      </c>
      <c r="D16904" t="s">
        <v>67</v>
      </c>
      <c r="E16904" t="s">
        <v>67</v>
      </c>
      <c r="F16904" t="s">
        <v>27987</v>
      </c>
      <c r="G16904" s="123">
        <v>3.56</v>
      </c>
    </row>
    <row r="16905" spans="1:7" x14ac:dyDescent="0.25">
      <c r="A16905" s="116" t="s">
        <v>26425</v>
      </c>
      <c r="B16905" s="117" t="s">
        <v>26226</v>
      </c>
      <c r="C16905" t="s">
        <v>67</v>
      </c>
      <c r="D16905" t="s">
        <v>67</v>
      </c>
      <c r="E16905" t="s">
        <v>67</v>
      </c>
      <c r="F16905" t="s">
        <v>45</v>
      </c>
      <c r="G16905" s="123">
        <v>12.45</v>
      </c>
    </row>
    <row r="16906" spans="1:7" x14ac:dyDescent="0.25">
      <c r="A16906" s="118" t="s">
        <v>26426</v>
      </c>
      <c r="B16906" s="119" t="s">
        <v>26427</v>
      </c>
      <c r="C16906" t="s">
        <v>67</v>
      </c>
      <c r="D16906" t="s">
        <v>67</v>
      </c>
      <c r="E16906" t="s">
        <v>67</v>
      </c>
      <c r="F16906" t="s">
        <v>49</v>
      </c>
      <c r="G16906" s="123">
        <v>31.06</v>
      </c>
    </row>
  </sheetData>
  <sheetProtection autoFilter="0"/>
  <conditionalFormatting sqref="F2:F16906">
    <cfRule type="containsText" dxfId="5" priority="9" operator="containsText" text="Azul">
      <formula>NOT(ISERROR(SEARCH("Azul",F2)))</formula>
    </cfRule>
    <cfRule type="containsText" dxfId="4" priority="10" operator="containsText" text="Morado">
      <formula>NOT(ISERROR(SEARCH("Morado",F2)))</formula>
    </cfRule>
    <cfRule type="containsText" dxfId="3" priority="11" operator="containsText" text="Verde">
      <formula>NOT(ISERROR(SEARCH("Verde",F2)))</formula>
    </cfRule>
    <cfRule type="containsText" dxfId="2" priority="12" operator="containsText" text="Amarillo">
      <formula>NOT(ISERROR(SEARCH("Amarillo",F2)))</formula>
    </cfRule>
    <cfRule type="containsText" dxfId="1" priority="13" operator="containsText" text="Rojo">
      <formula>NOT(ISERROR(SEARCH("Rojo",F2)))</formula>
    </cfRule>
    <cfRule type="containsText" dxfId="0" priority="14" operator="containsText" text="Naranja">
      <formula>NOT(ISERROR(SEARCH("Naranja",F2)))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dc58b-95b6-4f99-84f9-2882e2c62d10">
      <Terms xmlns="http://schemas.microsoft.com/office/infopath/2007/PartnerControls"/>
    </lcf76f155ced4ddcb4097134ff3c332f>
    <TaxCatchAll xmlns="c3f382de-be01-42cd-84e9-fe2ec992c4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46A7209DF2142A876498049B4A824" ma:contentTypeVersion="15" ma:contentTypeDescription="Create a new document." ma:contentTypeScope="" ma:versionID="c7b7153fa58581df2c4d19bdf8d37366">
  <xsd:schema xmlns:xsd="http://www.w3.org/2001/XMLSchema" xmlns:xs="http://www.w3.org/2001/XMLSchema" xmlns:p="http://schemas.microsoft.com/office/2006/metadata/properties" xmlns:ns2="058dc58b-95b6-4f99-84f9-2882e2c62d10" xmlns:ns3="c3f382de-be01-42cd-84e9-fe2ec992c409" targetNamespace="http://schemas.microsoft.com/office/2006/metadata/properties" ma:root="true" ma:fieldsID="481737ece8f43cae9d961a73adaa9a7f" ns2:_="" ns3:_="">
    <xsd:import namespace="058dc58b-95b6-4f99-84f9-2882e2c62d10"/>
    <xsd:import namespace="c3f382de-be01-42cd-84e9-fe2ec992c4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dc58b-95b6-4f99-84f9-2882e2c62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4149bb2-f7ed-4db4-83ce-7ac1b445cb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382de-be01-42cd-84e9-fe2ec992c4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aad013c-fc44-439d-b9e6-083afa99030c}" ma:internalName="TaxCatchAll" ma:showField="CatchAllData" ma:web="c3f382de-be01-42cd-84e9-fe2ec992c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62B45B1-BDFD-4A60-BA10-A82F1CE21E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D75F93-8377-4E94-86BA-52338E5D0477}">
  <ds:schemaRefs>
    <ds:schemaRef ds:uri="http://schemas.microsoft.com/office/2006/metadata/properties"/>
    <ds:schemaRef ds:uri="http://schemas.microsoft.com/office/infopath/2007/PartnerControls"/>
    <ds:schemaRef ds:uri="058dc58b-95b6-4f99-84f9-2882e2c62d10"/>
    <ds:schemaRef ds:uri="c3f382de-be01-42cd-84e9-fe2ec992c409"/>
  </ds:schemaRefs>
</ds:datastoreItem>
</file>

<file path=customXml/itemProps3.xml><?xml version="1.0" encoding="utf-8"?>
<ds:datastoreItem xmlns:ds="http://schemas.openxmlformats.org/officeDocument/2006/customXml" ds:itemID="{119F5420-B55D-41CC-AAB9-F80EB94DDB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dc58b-95b6-4f99-84f9-2882e2c62d10"/>
    <ds:schemaRef ds:uri="c3f382de-be01-42cd-84e9-fe2ec992c4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0B6AB9-2B4C-4972-9B5D-B1EA7875E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 Pedido</vt:lpstr>
      <vt:lpstr>Lista de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 01</dc:creator>
  <cp:keywords/>
  <dc:description/>
  <cp:lastModifiedBy>Kathiusca Causillas</cp:lastModifiedBy>
  <cp:revision/>
  <dcterms:created xsi:type="dcterms:W3CDTF">2023-07-03T15:15:44Z</dcterms:created>
  <dcterms:modified xsi:type="dcterms:W3CDTF">2026-07-17T17:11:37Z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0x0101008B746A7209DF2142A876498049B4A824</vt:lpwstr>
  </property>
  <property fmtid="{D5CDD505-2E9C-101B-9397-08002B2CF9AE}" pid="3" name="MediaServiceImageTags">
    <vt:lpwstr/>
  </property>
</Properties>
</file>